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95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70.xml" ContentType="application/vnd.openxmlformats-officedocument.spreadsheetml.queryTable+xml"/>
  <Override PartName="/xl/calcChain.xml" ContentType="application/vnd.openxmlformats-officedocument.spreadsheetml.calcChain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63.xml" ContentType="application/vnd.openxmlformats-officedocument.spreadsheetml.queryTable+xml"/>
  <Override PartName="/xl/tables/table2.xml" ContentType="application/vnd.openxmlformats-officedocument.spreadsheetml.table+xml"/>
  <Override PartName="/xl/queryTables/queryTable108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86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83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72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88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pivotTables/pivotTable2.xml" ContentType="application/vnd.openxmlformats-officedocument.spreadsheetml.pivot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400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63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43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479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487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Lucro Líquido" sheetId="12" r:id="rId4"/>
    <sheet name="Tabela LL" sheetId="13" r:id="rId5"/>
    <sheet name="Historia" sheetId="15" r:id="rId6"/>
    <sheet name="Tabela Hist" sheetId="16" r:id="rId7"/>
  </sheets>
  <externalReferences>
    <externalReference r:id="rId8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1">Cotacao!$C$7:$C$112</definedName>
    <definedName name="DadosExternos_192" localSheetId="2">'Cotacao 2'!$C$7:$C$16</definedName>
    <definedName name="DadosExternos_193" localSheetId="1">Cotacao!$C$7:$C$112</definedName>
    <definedName name="DadosExternos_193" localSheetId="2">'Cotacao 2'!$C$7:$C$16</definedName>
    <definedName name="DadosExternos_194" localSheetId="1">Cotacao!$C$7:$C$112</definedName>
    <definedName name="DadosExternos_194" localSheetId="2">'Cotacao 2'!$C$7:$C$17</definedName>
    <definedName name="DadosExternos_195" localSheetId="1">Cotacao!$C$7:$C$112</definedName>
    <definedName name="DadosExternos_195" localSheetId="2">'Cotacao 2'!$C$7:$C$19</definedName>
    <definedName name="DadosExternos_196" localSheetId="1">Cotacao!$C$7:$C$112</definedName>
    <definedName name="DadosExternos_196" localSheetId="2">'Cotacao 2'!$C$7:$C$22</definedName>
    <definedName name="DadosExternos_197" localSheetId="1">Cotacao!$C$7:$C$112</definedName>
    <definedName name="DadosExternos_197" localSheetId="2">'Cotacao 2'!$C$7:$C$41</definedName>
    <definedName name="DadosExternos_198" localSheetId="1">Cotacao!$C$7:$C$112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1">Cotacao!$C$7:$C$112</definedName>
    <definedName name="DadosExternos_200" localSheetId="2">'Cotacao 2'!$C$7:$C$41</definedName>
    <definedName name="DadosExternos_201" localSheetId="1">Cotacao!$C$7:$C$112</definedName>
    <definedName name="DadosExternos_201" localSheetId="2">'Cotacao 2'!$C$7:$C$41</definedName>
    <definedName name="DadosExternos_202" localSheetId="1">Cotacao!$C$7:$C$112</definedName>
    <definedName name="DadosExternos_202" localSheetId="2">'Cotacao 2'!$C$7:$C$41</definedName>
    <definedName name="DadosExternos_203" localSheetId="1">Cotacao!$C$7:$C$112</definedName>
    <definedName name="DadosExternos_203" localSheetId="2">'Cotacao 2'!$C$7:$C$41</definedName>
    <definedName name="DadosExternos_204" localSheetId="1">Cotacao!$C$7:$C$112</definedName>
    <definedName name="DadosExternos_204" localSheetId="2">'Cotacao 2'!$C$7:$C$41</definedName>
    <definedName name="DadosExternos_205" localSheetId="1">Cotacao!$C$7:$C$112</definedName>
    <definedName name="DadosExternos_205" localSheetId="2">'Cotacao 2'!$C$7:$C$41</definedName>
    <definedName name="DadosExternos_206" localSheetId="1">Cotacao!$C$7:$C$112</definedName>
    <definedName name="DadosExternos_206" localSheetId="2">'Cotacao 2'!$C$7:$C$43</definedName>
    <definedName name="DadosExternos_207" localSheetId="1">Cotacao!$C$7:$C$112</definedName>
    <definedName name="DadosExternos_207" localSheetId="2">'Cotacao 2'!$C$7:$C$43</definedName>
    <definedName name="DadosExternos_208" localSheetId="2">'Cotacao 2'!$C$7:$C$43</definedName>
    <definedName name="DadosExternos_209" localSheetId="1">Cotacao!$C$7:$C$112</definedName>
    <definedName name="DadosExternos_209" localSheetId="2">'Cotacao 2'!$C$7:$C$44</definedName>
    <definedName name="DadosExternos_21" localSheetId="1">Cotacao!$C$7:$C$63</definedName>
    <definedName name="DadosExternos_21" localSheetId="2">'Cotacao 2'!$C$7:$C$63</definedName>
    <definedName name="DadosExternos_210" localSheetId="2">'Cotacao 2'!$C$7:$C$45</definedName>
    <definedName name="DadosExternos_211" localSheetId="1">Cotacao!$C$7:$C$112</definedName>
    <definedName name="DadosExternos_211" localSheetId="2">'Cotacao 2'!$C$7:$C$46</definedName>
    <definedName name="DadosExternos_212" localSheetId="1">Cotacao!$C$7:$C$112</definedName>
    <definedName name="DadosExternos_212" localSheetId="2">'Cotacao 2'!$C$7:$C$47</definedName>
    <definedName name="DadosExternos_213" localSheetId="1">Cotacao!$C$7:$C$112</definedName>
    <definedName name="DadosExternos_213" localSheetId="2">'Cotacao 2'!$C$7:$C$48</definedName>
    <definedName name="DadosExternos_214" localSheetId="2">'Cotacao 2'!$C$7:$C$49</definedName>
    <definedName name="DadosExternos_215" localSheetId="1">Cotacao!$C$7:$C$112</definedName>
    <definedName name="DadosExternos_215" localSheetId="2">'Cotacao 2'!$C$7:$C$50</definedName>
    <definedName name="DadosExternos_216" localSheetId="1">Cotacao!$C$7:$C$112</definedName>
    <definedName name="DadosExternos_216" localSheetId="2">'Cotacao 2'!$C$7:$C$51</definedName>
    <definedName name="DadosExternos_217" localSheetId="1">Cotacao!$C$7:$C$112</definedName>
    <definedName name="DadosExternos_217" localSheetId="2">'Cotacao 2'!$C$7:$C$51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20" localSheetId="1">Cotacao!$C$7:$C$112</definedName>
    <definedName name="DadosExternos_220" localSheetId="2">'Cotacao 2'!$C$7:$C$51</definedName>
    <definedName name="DadosExternos_221" localSheetId="1">Cotacao!$C$7:$C$112</definedName>
    <definedName name="DadosExternos_221" localSheetId="2">'Cotacao 2'!$C$7:$C$51</definedName>
    <definedName name="DadosExternos_222" localSheetId="1">Cotacao!$C$7:$C$112</definedName>
    <definedName name="DadosExternos_222" localSheetId="2">'Cotacao 2'!$C$7:$C$52</definedName>
    <definedName name="DadosExternos_223" localSheetId="2">'Cotacao 2'!$C$7:$C$53</definedName>
    <definedName name="DadosExternos_224" localSheetId="1">Cotacao!$C$7:$C$112</definedName>
    <definedName name="DadosExternos_224" localSheetId="2">'Cotacao 2'!$C$7:$C$54</definedName>
    <definedName name="DadosExternos_225" localSheetId="1">Cotacao!$C$7:$C$112</definedName>
    <definedName name="DadosExternos_225" localSheetId="2">'Cotacao 2'!$C$7:$C$55</definedName>
    <definedName name="DadosExternos_226" localSheetId="1">Cotacao!$C$7:$C$112</definedName>
    <definedName name="DadosExternos_227" localSheetId="2">'Cotacao 2'!$C$7:$C$56</definedName>
    <definedName name="DadosExternos_228" localSheetId="1">Cotacao!$C$7:$C$112</definedName>
    <definedName name="DadosExternos_228" localSheetId="2">'Cotacao 2'!$C$7:$C$57</definedName>
    <definedName name="DadosExternos_229" localSheetId="1">Cotacao!$C$7:$C$112</definedName>
    <definedName name="DadosExternos_229" localSheetId="2">'Cotacao 2'!$C$7:$C$58</definedName>
    <definedName name="DadosExternos_230" localSheetId="1">Cotacao!$C$7:$C$112</definedName>
    <definedName name="DadosExternos_230" localSheetId="2">'Cotacao 2'!$C$7:$C$59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4" localSheetId="2">'Cotacao 2'!$C$7:$C$63</definedName>
    <definedName name="DadosExternos_235" localSheetId="1">Cotacao!$C$7:$C$112</definedName>
    <definedName name="DadosExternos_235" localSheetId="2">'Cotacao 2'!$C$7:$C$64</definedName>
    <definedName name="DadosExternos_237" localSheetId="1">Cotacao!$C$7:$C$112</definedName>
    <definedName name="DadosExternos_237" localSheetId="2">'Cotacao 2'!$C$7:$C$65</definedName>
    <definedName name="DadosExternos_238" localSheetId="1">Cotacao!$C$7:$C$112</definedName>
    <definedName name="DadosExternos_238" localSheetId="2">'Cotacao 2'!$C$7:$C$66</definedName>
    <definedName name="DadosExternos_239" localSheetId="2">'Cotacao 2'!$C$7:$C$68</definedName>
    <definedName name="DadosExternos_24" localSheetId="1">Cotacao!$C$7:$C$63</definedName>
    <definedName name="DadosExternos_24" localSheetId="2">'Cotacao 2'!$C$7:$C$63</definedName>
    <definedName name="DadosExternos_240" localSheetId="1">Cotacao!$C$7:$C$112</definedName>
    <definedName name="DadosExternos_240" localSheetId="2">'Cotacao 2'!$C$7:$C$68</definedName>
    <definedName name="DadosExternos_241" localSheetId="1">Cotacao!$C$7:$C$113</definedName>
    <definedName name="DadosExternos_241" localSheetId="2">'Cotacao 2'!$C$7:$C$68</definedName>
    <definedName name="DadosExternos_242" localSheetId="2">'Cotacao 2'!$C$7:$C$68</definedName>
    <definedName name="DadosExternos_243" localSheetId="1">Cotacao!$C$7:$C$113</definedName>
    <definedName name="DadosExternos_243" localSheetId="2">'Cotacao 2'!$C$7:$C$68</definedName>
    <definedName name="DadosExternos_244" localSheetId="2">'Cotacao 2'!$C$7:$C$68</definedName>
    <definedName name="DadosExternos_246" localSheetId="2">'Cotacao 2'!$C$7:$C$68</definedName>
    <definedName name="DadosExternos_249" localSheetId="2">'Cotacao 2'!$C$7:$C$68</definedName>
    <definedName name="DadosExternos_250" localSheetId="2">'Cotacao 2'!$C$7:$C$68</definedName>
    <definedName name="DadosExternos_251" localSheetId="2">'Cotacao 2'!$C$7:$C$68</definedName>
    <definedName name="DadosExternos_253" localSheetId="2">'Cotacao 2'!$C$7:$C$69</definedName>
    <definedName name="DadosExternos_256" localSheetId="2">'Cotacao 2'!$C$7:$C$69</definedName>
    <definedName name="DadosExternos_257" localSheetId="2">'Cotacao 2'!$C$7:$C$69</definedName>
    <definedName name="DadosExternos_258" localSheetId="2">'Cotacao 2'!$C$7:$C$69</definedName>
    <definedName name="DadosExternos_259" localSheetId="2">'Cotacao 2'!$C$7:$C$69</definedName>
    <definedName name="DadosExternos_26" localSheetId="1">Cotacao!$C$7:$C$64</definedName>
    <definedName name="DadosExternos_26" localSheetId="2">'Cotacao 2'!$C$7:$C$64</definedName>
    <definedName name="DadosExternos_260" localSheetId="2">'Cotacao 2'!$C$7:$C$69</definedName>
    <definedName name="DadosExternos_261" localSheetId="2">'Cotacao 2'!$C$7:$C$69</definedName>
    <definedName name="DadosExternos_262" localSheetId="2">'Cotacao 2'!$C$7:$C$69</definedName>
    <definedName name="DadosExternos_263" localSheetId="2">'Cotacao 2'!$C$7:$C$69</definedName>
    <definedName name="DadosExternos_265" localSheetId="2">'Cotacao 2'!$C$7:$C$69</definedName>
    <definedName name="DadosExternos_268" localSheetId="2">'Cotacao 2'!$C$7:$C$69</definedName>
    <definedName name="DadosExternos_269" localSheetId="2">'Cotacao 2'!$C$7:$C$69</definedName>
    <definedName name="DadosExternos_27" localSheetId="1">Cotacao!$C$7:$C$65</definedName>
    <definedName name="DadosExternos_27" localSheetId="2">'Cotacao 2'!$C$7:$C$65</definedName>
    <definedName name="DadosExternos_270" localSheetId="2">'Cotacao 2'!$C$7:$C$69</definedName>
    <definedName name="DadosExternos_271" localSheetId="2">'Cotacao 2'!$C$7:$C$69</definedName>
    <definedName name="DadosExternos_272" localSheetId="2">'Cotacao 2'!$C$7:$C$69</definedName>
    <definedName name="DadosExternos_275" localSheetId="2">'Cotacao 2'!$C$7:$C$69</definedName>
    <definedName name="DadosExternos_276" localSheetId="2">'Cotacao 2'!$C$7:$C$69</definedName>
    <definedName name="DadosExternos_277" localSheetId="2">'Cotacao 2'!$C$7:$C$69</definedName>
    <definedName name="DadosExternos_278" localSheetId="2">'Cotacao 2'!$C$7:$C$69</definedName>
    <definedName name="DadosExternos_279" localSheetId="2">'Cotacao 2'!$C$7:$C$69</definedName>
    <definedName name="DadosExternos_28" localSheetId="1">Cotacao!$C$7:$C$65</definedName>
    <definedName name="DadosExternos_28" localSheetId="2">'Cotacao 2'!$C$7:$C$65</definedName>
    <definedName name="DadosExternos_280" localSheetId="2">'Cotacao 2'!$C$7:$C$69</definedName>
    <definedName name="DadosExternos_281" localSheetId="2">'Cotacao 2'!$C$7:$C$69</definedName>
    <definedName name="DadosExternos_282" localSheetId="2">'Cotacao 2'!$C$7:$C$69</definedName>
    <definedName name="DadosExternos_287" localSheetId="2">'Cotacao 2'!$C$7:$C$69</definedName>
    <definedName name="DadosExternos_288" localSheetId="2">'Cotacao 2'!$C$7:$C$71</definedName>
    <definedName name="DadosExternos_29" localSheetId="1">Cotacao!$C$7:$C$65</definedName>
    <definedName name="DadosExternos_29" localSheetId="2">'Cotacao 2'!$C$7:$C$65</definedName>
    <definedName name="DadosExternos_290" localSheetId="2">'Cotacao 2'!$C$7:$C$69</definedName>
    <definedName name="DadosExternos_291" localSheetId="2">'Cotacao 2'!$C$7:$C$71</definedName>
    <definedName name="DadosExternos_292" localSheetId="2">'Cotacao 2'!$C$7:$C$71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0" r:id="rId9"/>
    <pivotCache cacheId="5" r:id="rId10"/>
  </pivotCaches>
</workbook>
</file>

<file path=xl/calcChain.xml><?xml version="1.0" encoding="utf-8"?>
<calcChain xmlns="http://schemas.openxmlformats.org/spreadsheetml/2006/main">
  <c r="P82" i="1"/>
  <c r="P83"/>
  <c r="P158"/>
  <c r="P159"/>
  <c r="P86"/>
  <c r="P87"/>
  <c r="P151"/>
  <c r="P152"/>
  <c r="C130"/>
  <c r="N130"/>
  <c r="O130"/>
  <c r="P130" s="1"/>
  <c r="O432" i="12"/>
  <c r="N2" i="1"/>
  <c r="O2" s="1"/>
  <c r="P2" s="1"/>
  <c r="N3"/>
  <c r="O3" s="1"/>
  <c r="P3" s="1"/>
  <c r="N4"/>
  <c r="N5"/>
  <c r="N6"/>
  <c r="O6" s="1"/>
  <c r="P6" s="1"/>
  <c r="N7"/>
  <c r="O7" s="1"/>
  <c r="P7" s="1"/>
  <c r="N8"/>
  <c r="N9"/>
  <c r="O9" s="1"/>
  <c r="P9" s="1"/>
  <c r="N10"/>
  <c r="N11"/>
  <c r="O11" s="1"/>
  <c r="P11" s="1"/>
  <c r="N12"/>
  <c r="O12" s="1"/>
  <c r="P12" s="1"/>
  <c r="N13"/>
  <c r="O13" s="1"/>
  <c r="P13" s="1"/>
  <c r="N14"/>
  <c r="O14" s="1"/>
  <c r="P14" s="1"/>
  <c r="N15"/>
  <c r="N16"/>
  <c r="N17"/>
  <c r="N18"/>
  <c r="N19"/>
  <c r="O19" s="1"/>
  <c r="P19" s="1"/>
  <c r="N20"/>
  <c r="O20" s="1"/>
  <c r="P20" s="1"/>
  <c r="N21"/>
  <c r="O21" s="1"/>
  <c r="P21" s="1"/>
  <c r="N22"/>
  <c r="O22" s="1"/>
  <c r="P22" s="1"/>
  <c r="N23"/>
  <c r="N24"/>
  <c r="O24" s="1"/>
  <c r="P24" s="1"/>
  <c r="N25"/>
  <c r="N26"/>
  <c r="N27"/>
  <c r="O27" s="1"/>
  <c r="P27" s="1"/>
  <c r="N28"/>
  <c r="O28" s="1"/>
  <c r="P28" s="1"/>
  <c r="N29"/>
  <c r="O29" s="1"/>
  <c r="P29" s="1"/>
  <c r="N30"/>
  <c r="O30" s="1"/>
  <c r="P30" s="1"/>
  <c r="N31"/>
  <c r="N32"/>
  <c r="N33"/>
  <c r="O33" s="1"/>
  <c r="P33" s="1"/>
  <c r="N34"/>
  <c r="N35"/>
  <c r="N36"/>
  <c r="N37"/>
  <c r="N38"/>
  <c r="N39"/>
  <c r="O39" s="1"/>
  <c r="P39" s="1"/>
  <c r="N40"/>
  <c r="O40" s="1"/>
  <c r="P40" s="1"/>
  <c r="N41"/>
  <c r="O41" s="1"/>
  <c r="P41" s="1"/>
  <c r="N42"/>
  <c r="N43"/>
  <c r="O43" s="1"/>
  <c r="P43" s="1"/>
  <c r="N44"/>
  <c r="O44" s="1"/>
  <c r="P44" s="1"/>
  <c r="N45"/>
  <c r="N46"/>
  <c r="O46" s="1"/>
  <c r="P46" s="1"/>
  <c r="N47"/>
  <c r="O47" s="1"/>
  <c r="P47" s="1"/>
  <c r="N48"/>
  <c r="O48" s="1"/>
  <c r="P48" s="1"/>
  <c r="N49"/>
  <c r="O49" s="1"/>
  <c r="P49" s="1"/>
  <c r="N50"/>
  <c r="O50" s="1"/>
  <c r="P50" s="1"/>
  <c r="N51"/>
  <c r="O51" s="1"/>
  <c r="P51" s="1"/>
  <c r="N52"/>
  <c r="O52" s="1"/>
  <c r="P52" s="1"/>
  <c r="N53"/>
  <c r="O53" s="1"/>
  <c r="P53" s="1"/>
  <c r="N54"/>
  <c r="O54" s="1"/>
  <c r="P54" s="1"/>
  <c r="N55"/>
  <c r="O55" s="1"/>
  <c r="P55" s="1"/>
  <c r="N56"/>
  <c r="O56" s="1"/>
  <c r="P56" s="1"/>
  <c r="N57"/>
  <c r="N58"/>
  <c r="O58" s="1"/>
  <c r="P58" s="1"/>
  <c r="N59"/>
  <c r="N60"/>
  <c r="O60" s="1"/>
  <c r="P60" s="1"/>
  <c r="N61"/>
  <c r="O61" s="1"/>
  <c r="P61" s="1"/>
  <c r="N62"/>
  <c r="O62" s="1"/>
  <c r="P62" s="1"/>
  <c r="N63"/>
  <c r="N64"/>
  <c r="N65"/>
  <c r="O65" s="1"/>
  <c r="P65" s="1"/>
  <c r="N66"/>
  <c r="O66" s="1"/>
  <c r="P66" s="1"/>
  <c r="N67"/>
  <c r="O67" s="1"/>
  <c r="P67" s="1"/>
  <c r="N68"/>
  <c r="O68" s="1"/>
  <c r="P68" s="1"/>
  <c r="N69"/>
  <c r="N70"/>
  <c r="O70" s="1"/>
  <c r="P70" s="1"/>
  <c r="N71"/>
  <c r="N72"/>
  <c r="N73"/>
  <c r="N74"/>
  <c r="N75"/>
  <c r="O75" s="1"/>
  <c r="P75" s="1"/>
  <c r="N76"/>
  <c r="O76" s="1"/>
  <c r="P76" s="1"/>
  <c r="N77"/>
  <c r="O77" s="1"/>
  <c r="P77" s="1"/>
  <c r="N78"/>
  <c r="N79"/>
  <c r="O79" s="1"/>
  <c r="P79" s="1"/>
  <c r="N80"/>
  <c r="N81"/>
  <c r="N82"/>
  <c r="N83"/>
  <c r="N84"/>
  <c r="N85"/>
  <c r="N86"/>
  <c r="N87"/>
  <c r="N88"/>
  <c r="O88" s="1"/>
  <c r="P88" s="1"/>
  <c r="N89"/>
  <c r="O89" s="1"/>
  <c r="P89" s="1"/>
  <c r="N90"/>
  <c r="N91"/>
  <c r="O91" s="1"/>
  <c r="P91" s="1"/>
  <c r="N92"/>
  <c r="N93"/>
  <c r="N94"/>
  <c r="O94" s="1"/>
  <c r="P94" s="1"/>
  <c r="N95"/>
  <c r="N96"/>
  <c r="N97"/>
  <c r="O97" s="1"/>
  <c r="P97" s="1"/>
  <c r="N98"/>
  <c r="O98" s="1"/>
  <c r="P98" s="1"/>
  <c r="N99"/>
  <c r="N100"/>
  <c r="N101"/>
  <c r="O101" s="1"/>
  <c r="P101" s="1"/>
  <c r="N102"/>
  <c r="O102" s="1"/>
  <c r="P102" s="1"/>
  <c r="N103"/>
  <c r="O103" s="1"/>
  <c r="P103" s="1"/>
  <c r="N104"/>
  <c r="O104" s="1"/>
  <c r="P104" s="1"/>
  <c r="N105"/>
  <c r="O105" s="1"/>
  <c r="P105" s="1"/>
  <c r="N106"/>
  <c r="O106" s="1"/>
  <c r="P106" s="1"/>
  <c r="N107"/>
  <c r="O107" s="1"/>
  <c r="P107" s="1"/>
  <c r="N108"/>
  <c r="N109"/>
  <c r="N110"/>
  <c r="O110" s="1"/>
  <c r="P110" s="1"/>
  <c r="N111"/>
  <c r="O111" s="1"/>
  <c r="P111" s="1"/>
  <c r="N112"/>
  <c r="O112" s="1"/>
  <c r="P112" s="1"/>
  <c r="N113"/>
  <c r="N114"/>
  <c r="N115"/>
  <c r="N116"/>
  <c r="O116" s="1"/>
  <c r="P116" s="1"/>
  <c r="N117"/>
  <c r="O117" s="1"/>
  <c r="P117" s="1"/>
  <c r="N118"/>
  <c r="N119"/>
  <c r="N120"/>
  <c r="N121"/>
  <c r="O121" s="1"/>
  <c r="P121" s="1"/>
  <c r="N122"/>
  <c r="N123"/>
  <c r="N124"/>
  <c r="O124" s="1"/>
  <c r="P124" s="1"/>
  <c r="N125"/>
  <c r="O125" s="1"/>
  <c r="P125" s="1"/>
  <c r="N126"/>
  <c r="O126" s="1"/>
  <c r="P126" s="1"/>
  <c r="N127"/>
  <c r="O127" s="1"/>
  <c r="P127" s="1"/>
  <c r="N128"/>
  <c r="N129"/>
  <c r="O129" s="1"/>
  <c r="P129" s="1"/>
  <c r="N131"/>
  <c r="O131" s="1"/>
  <c r="P131" s="1"/>
  <c r="N132"/>
  <c r="O132" s="1"/>
  <c r="P132" s="1"/>
  <c r="N133"/>
  <c r="O133" s="1"/>
  <c r="P133" s="1"/>
  <c r="N134"/>
  <c r="N135"/>
  <c r="N136"/>
  <c r="N137"/>
  <c r="N138"/>
  <c r="N139"/>
  <c r="O139" s="1"/>
  <c r="P139" s="1"/>
  <c r="N140"/>
  <c r="N141"/>
  <c r="O141" s="1"/>
  <c r="P141" s="1"/>
  <c r="N142"/>
  <c r="N143"/>
  <c r="O143" s="1"/>
  <c r="P143" s="1"/>
  <c r="N144"/>
  <c r="O144" s="1"/>
  <c r="P144" s="1"/>
  <c r="N145"/>
  <c r="O145" s="1"/>
  <c r="P145" s="1"/>
  <c r="N146"/>
  <c r="N147"/>
  <c r="N148"/>
  <c r="N149"/>
  <c r="N150"/>
  <c r="N151"/>
  <c r="N152"/>
  <c r="N153"/>
  <c r="O153" s="1"/>
  <c r="P153" s="1"/>
  <c r="N154"/>
  <c r="O154" s="1"/>
  <c r="P154" s="1"/>
  <c r="N155"/>
  <c r="N156"/>
  <c r="N157"/>
  <c r="O157" s="1"/>
  <c r="P157" s="1"/>
  <c r="N158"/>
  <c r="N159"/>
  <c r="N160"/>
  <c r="O160" s="1"/>
  <c r="P160" s="1"/>
  <c r="N161"/>
  <c r="N162"/>
  <c r="O162" s="1"/>
  <c r="P162" s="1"/>
  <c r="N163"/>
  <c r="O163" s="1"/>
  <c r="P163" s="1"/>
  <c r="N164"/>
  <c r="O164" s="1"/>
  <c r="P164" s="1"/>
  <c r="N165"/>
  <c r="O165" s="1"/>
  <c r="P165" s="1"/>
  <c r="N166"/>
  <c r="N167"/>
  <c r="O167" s="1"/>
  <c r="P167" s="1"/>
  <c r="N168"/>
  <c r="O168" s="1"/>
  <c r="P168" s="1"/>
  <c r="C120"/>
  <c r="C61"/>
  <c r="C55"/>
  <c r="F179"/>
  <c r="C88"/>
  <c r="R103"/>
  <c r="R104"/>
  <c r="R60"/>
  <c r="R139"/>
  <c r="R77"/>
  <c r="R14"/>
  <c r="R76"/>
  <c r="R75"/>
  <c r="R13"/>
  <c r="R50"/>
  <c r="R51"/>
  <c r="R116"/>
  <c r="R144"/>
  <c r="R157"/>
  <c r="R167"/>
  <c r="R41"/>
  <c r="R160"/>
  <c r="R102"/>
  <c r="R101"/>
  <c r="R168"/>
  <c r="R39"/>
  <c r="R165"/>
  <c r="R21"/>
  <c r="R79"/>
  <c r="R6"/>
  <c r="R154"/>
  <c r="R58"/>
  <c r="R94"/>
  <c r="R2"/>
  <c r="R22"/>
  <c r="R153"/>
  <c r="R125"/>
  <c r="R12"/>
  <c r="R11"/>
  <c r="R133"/>
  <c r="R44"/>
  <c r="R124"/>
  <c r="R40"/>
  <c r="R65"/>
  <c r="R52"/>
  <c r="R110"/>
  <c r="R46"/>
  <c r="R111"/>
  <c r="R143"/>
  <c r="R132"/>
  <c r="R53"/>
  <c r="R112"/>
  <c r="R9"/>
  <c r="R129"/>
  <c r="R98"/>
  <c r="R107"/>
  <c r="R70"/>
  <c r="R31"/>
  <c r="R136"/>
  <c r="R95"/>
  <c r="R57"/>
  <c r="R84"/>
  <c r="R90"/>
  <c r="R109"/>
  <c r="R138"/>
  <c r="R74"/>
  <c r="R128"/>
  <c r="R8"/>
  <c r="R137"/>
  <c r="R85"/>
  <c r="R81"/>
  <c r="R93"/>
  <c r="R59"/>
  <c r="R96"/>
  <c r="R64"/>
  <c r="R78"/>
  <c r="R63"/>
  <c r="R69"/>
  <c r="R80"/>
  <c r="R134"/>
  <c r="R122"/>
  <c r="R166"/>
  <c r="R161"/>
  <c r="R146"/>
  <c r="R147"/>
  <c r="R5"/>
  <c r="R135"/>
  <c r="R108"/>
  <c r="R18"/>
  <c r="R150"/>
  <c r="R92"/>
  <c r="R123"/>
  <c r="R100"/>
  <c r="R148"/>
  <c r="R114"/>
  <c r="R115"/>
  <c r="R156"/>
  <c r="R16"/>
  <c r="R23"/>
  <c r="R10"/>
  <c r="R113"/>
  <c r="R99"/>
  <c r="R15"/>
  <c r="R4"/>
  <c r="R118"/>
  <c r="R72"/>
  <c r="R155"/>
  <c r="R71"/>
  <c r="R17"/>
  <c r="R45"/>
  <c r="R73"/>
  <c r="R158"/>
  <c r="R151"/>
  <c r="R159"/>
  <c r="R83"/>
  <c r="R152"/>
  <c r="R82"/>
  <c r="R87"/>
  <c r="R86"/>
  <c r="C163"/>
  <c r="C162"/>
  <c r="C126"/>
  <c r="C127"/>
  <c r="C164"/>
  <c r="C89"/>
  <c r="C54"/>
  <c r="C62"/>
  <c r="C56"/>
  <c r="C103"/>
  <c r="C121"/>
  <c r="C91"/>
  <c r="C104"/>
  <c r="C117"/>
  <c r="C145"/>
  <c r="C49"/>
  <c r="C20"/>
  <c r="C131"/>
  <c r="C106"/>
  <c r="C7"/>
  <c r="C97"/>
  <c r="C67"/>
  <c r="C60"/>
  <c r="C139"/>
  <c r="C77"/>
  <c r="C105"/>
  <c r="C48"/>
  <c r="C19"/>
  <c r="C14"/>
  <c r="C76"/>
  <c r="C75"/>
  <c r="C13"/>
  <c r="C47"/>
  <c r="C50"/>
  <c r="C51"/>
  <c r="C116"/>
  <c r="C144"/>
  <c r="C157"/>
  <c r="C167"/>
  <c r="C3"/>
  <c r="C41"/>
  <c r="C160"/>
  <c r="C28"/>
  <c r="C102"/>
  <c r="C101"/>
  <c r="C168"/>
  <c r="C39"/>
  <c r="C165"/>
  <c r="C29"/>
  <c r="C21"/>
  <c r="C66"/>
  <c r="C79"/>
  <c r="C6"/>
  <c r="C154"/>
  <c r="C58"/>
  <c r="C94"/>
  <c r="C2"/>
  <c r="C33"/>
  <c r="C22"/>
  <c r="C153"/>
  <c r="C125"/>
  <c r="C12"/>
  <c r="C11"/>
  <c r="C43"/>
  <c r="C133"/>
  <c r="C24"/>
  <c r="C44"/>
  <c r="C124"/>
  <c r="C40"/>
  <c r="C68"/>
  <c r="C27"/>
  <c r="C65"/>
  <c r="C52"/>
  <c r="C110"/>
  <c r="C46"/>
  <c r="C111"/>
  <c r="C141"/>
  <c r="C143"/>
  <c r="C132"/>
  <c r="C53"/>
  <c r="C112"/>
  <c r="C9"/>
  <c r="C129"/>
  <c r="C98"/>
  <c r="C107"/>
  <c r="C30"/>
  <c r="C70"/>
  <c r="C31"/>
  <c r="C136"/>
  <c r="C95"/>
  <c r="C57"/>
  <c r="C84"/>
  <c r="C90"/>
  <c r="C109"/>
  <c r="C138"/>
  <c r="C74"/>
  <c r="C128"/>
  <c r="C8"/>
  <c r="C137"/>
  <c r="C85"/>
  <c r="C81"/>
  <c r="C93"/>
  <c r="C59"/>
  <c r="C96"/>
  <c r="C64"/>
  <c r="C78"/>
  <c r="C63"/>
  <c r="C69"/>
  <c r="C80"/>
  <c r="C134"/>
  <c r="C42"/>
  <c r="C122"/>
  <c r="C166"/>
  <c r="C161"/>
  <c r="C146"/>
  <c r="C147"/>
  <c r="C5"/>
  <c r="C135"/>
  <c r="C108"/>
  <c r="C36"/>
  <c r="C18"/>
  <c r="C34"/>
  <c r="C150"/>
  <c r="C149"/>
  <c r="C32"/>
  <c r="C92"/>
  <c r="C123"/>
  <c r="C100"/>
  <c r="C35"/>
  <c r="C148"/>
  <c r="C114"/>
  <c r="C115"/>
  <c r="C156"/>
  <c r="C16"/>
  <c r="C23"/>
  <c r="C10"/>
  <c r="C113"/>
  <c r="C99"/>
  <c r="C25"/>
  <c r="C15"/>
  <c r="C26"/>
  <c r="C37"/>
  <c r="C38"/>
  <c r="C4"/>
  <c r="C118"/>
  <c r="C142"/>
  <c r="C140"/>
  <c r="C72"/>
  <c r="C155"/>
  <c r="C71"/>
  <c r="C119"/>
  <c r="C17"/>
  <c r="C45"/>
  <c r="C73"/>
  <c r="C158"/>
  <c r="C151"/>
  <c r="C159"/>
  <c r="C83"/>
  <c r="C152"/>
  <c r="C82"/>
  <c r="C87"/>
  <c r="C86"/>
  <c r="L586" i="12"/>
  <c r="M586"/>
  <c r="L585"/>
  <c r="M585"/>
  <c r="L584"/>
  <c r="M584"/>
  <c r="L583"/>
  <c r="M583"/>
  <c r="V103" i="1"/>
  <c r="V104"/>
  <c r="V60"/>
  <c r="V139"/>
  <c r="V77"/>
  <c r="V14"/>
  <c r="V76"/>
  <c r="V75"/>
  <c r="V13"/>
  <c r="V50"/>
  <c r="V51"/>
  <c r="V116"/>
  <c r="V144"/>
  <c r="V157"/>
  <c r="V167"/>
  <c r="V41"/>
  <c r="V160"/>
  <c r="V102"/>
  <c r="V101"/>
  <c r="V168"/>
  <c r="V39"/>
  <c r="V165"/>
  <c r="V21"/>
  <c r="V79"/>
  <c r="V6"/>
  <c r="V154"/>
  <c r="V58"/>
  <c r="V94"/>
  <c r="V2"/>
  <c r="V22"/>
  <c r="V153"/>
  <c r="V125"/>
  <c r="V12"/>
  <c r="V11"/>
  <c r="V133"/>
  <c r="V44"/>
  <c r="V124"/>
  <c r="V40"/>
  <c r="V65"/>
  <c r="V52"/>
  <c r="V110"/>
  <c r="V46"/>
  <c r="V111"/>
  <c r="V143"/>
  <c r="V132"/>
  <c r="V53"/>
  <c r="V112"/>
  <c r="V9"/>
  <c r="V129"/>
  <c r="V98"/>
  <c r="V107"/>
  <c r="V70"/>
  <c r="V31"/>
  <c r="V136"/>
  <c r="V95"/>
  <c r="V57"/>
  <c r="V84"/>
  <c r="V90"/>
  <c r="V109"/>
  <c r="V138"/>
  <c r="V74"/>
  <c r="V128"/>
  <c r="V8"/>
  <c r="V137"/>
  <c r="V85"/>
  <c r="V81"/>
  <c r="V93"/>
  <c r="V59"/>
  <c r="V96"/>
  <c r="V64"/>
  <c r="V78"/>
  <c r="V63"/>
  <c r="V69"/>
  <c r="V80"/>
  <c r="V134"/>
  <c r="V122"/>
  <c r="V166"/>
  <c r="V161"/>
  <c r="V146"/>
  <c r="V147"/>
  <c r="V5"/>
  <c r="V135"/>
  <c r="V108"/>
  <c r="V18"/>
  <c r="V150"/>
  <c r="V92"/>
  <c r="V123"/>
  <c r="V100"/>
  <c r="V148"/>
  <c r="V114"/>
  <c r="V115"/>
  <c r="V156"/>
  <c r="V16"/>
  <c r="V23"/>
  <c r="V10"/>
  <c r="V113"/>
  <c r="V99"/>
  <c r="V15"/>
  <c r="V4"/>
  <c r="V118"/>
  <c r="V72"/>
  <c r="V155"/>
  <c r="V71"/>
  <c r="V17"/>
  <c r="V45"/>
  <c r="V73"/>
  <c r="V158"/>
  <c r="V151"/>
  <c r="V159"/>
  <c r="V83"/>
  <c r="V152"/>
  <c r="V82"/>
  <c r="V87"/>
  <c r="V86"/>
  <c r="U103"/>
  <c r="W103" s="1"/>
  <c r="U104"/>
  <c r="W104" s="1"/>
  <c r="U60"/>
  <c r="W60" s="1"/>
  <c r="U139"/>
  <c r="W139" s="1"/>
  <c r="U77"/>
  <c r="W77" s="1"/>
  <c r="U14"/>
  <c r="W14" s="1"/>
  <c r="U76"/>
  <c r="W76" s="1"/>
  <c r="U75"/>
  <c r="W75" s="1"/>
  <c r="U13"/>
  <c r="W13" s="1"/>
  <c r="U50"/>
  <c r="W50" s="1"/>
  <c r="U51"/>
  <c r="W51" s="1"/>
  <c r="U116"/>
  <c r="W116" s="1"/>
  <c r="U144"/>
  <c r="W144" s="1"/>
  <c r="U157"/>
  <c r="W157" s="1"/>
  <c r="U167"/>
  <c r="W167" s="1"/>
  <c r="U41"/>
  <c r="W41" s="1"/>
  <c r="U160"/>
  <c r="W160" s="1"/>
  <c r="U102"/>
  <c r="W102" s="1"/>
  <c r="U101"/>
  <c r="W101" s="1"/>
  <c r="U168"/>
  <c r="W168" s="1"/>
  <c r="U39"/>
  <c r="W39" s="1"/>
  <c r="U165"/>
  <c r="W165" s="1"/>
  <c r="U21"/>
  <c r="W21" s="1"/>
  <c r="U79"/>
  <c r="W79" s="1"/>
  <c r="U6"/>
  <c r="W6" s="1"/>
  <c r="U154"/>
  <c r="W154" s="1"/>
  <c r="U58"/>
  <c r="W58" s="1"/>
  <c r="U94"/>
  <c r="W94" s="1"/>
  <c r="U2"/>
  <c r="W2" s="1"/>
  <c r="U22"/>
  <c r="W22" s="1"/>
  <c r="U153"/>
  <c r="W153" s="1"/>
  <c r="U125"/>
  <c r="W125" s="1"/>
  <c r="U12"/>
  <c r="W12" s="1"/>
  <c r="U11"/>
  <c r="W11" s="1"/>
  <c r="U133"/>
  <c r="W133" s="1"/>
  <c r="U44"/>
  <c r="W44" s="1"/>
  <c r="U124"/>
  <c r="W124" s="1"/>
  <c r="U40"/>
  <c r="W40" s="1"/>
  <c r="U65"/>
  <c r="W65" s="1"/>
  <c r="U52"/>
  <c r="W52" s="1"/>
  <c r="U110"/>
  <c r="W110" s="1"/>
  <c r="U46"/>
  <c r="W46" s="1"/>
  <c r="U111"/>
  <c r="W111" s="1"/>
  <c r="U143"/>
  <c r="W143" s="1"/>
  <c r="U132"/>
  <c r="W132" s="1"/>
  <c r="U53"/>
  <c r="W53" s="1"/>
  <c r="U112"/>
  <c r="W112" s="1"/>
  <c r="U9"/>
  <c r="W9" s="1"/>
  <c r="U129"/>
  <c r="W129" s="1"/>
  <c r="U98"/>
  <c r="W98" s="1"/>
  <c r="U107"/>
  <c r="W107" s="1"/>
  <c r="U70"/>
  <c r="W70" s="1"/>
  <c r="U31"/>
  <c r="W31" s="1"/>
  <c r="U136"/>
  <c r="W136" s="1"/>
  <c r="U95"/>
  <c r="W95" s="1"/>
  <c r="U57"/>
  <c r="W57" s="1"/>
  <c r="U84"/>
  <c r="W84" s="1"/>
  <c r="U90"/>
  <c r="W90" s="1"/>
  <c r="U109"/>
  <c r="W109" s="1"/>
  <c r="U138"/>
  <c r="W138" s="1"/>
  <c r="U74"/>
  <c r="W74" s="1"/>
  <c r="U128"/>
  <c r="W128" s="1"/>
  <c r="U8"/>
  <c r="W8" s="1"/>
  <c r="U137"/>
  <c r="W137" s="1"/>
  <c r="U85"/>
  <c r="W85" s="1"/>
  <c r="U81"/>
  <c r="W81" s="1"/>
  <c r="U93"/>
  <c r="W93" s="1"/>
  <c r="U59"/>
  <c r="W59" s="1"/>
  <c r="U96"/>
  <c r="W96" s="1"/>
  <c r="U64"/>
  <c r="W64" s="1"/>
  <c r="U78"/>
  <c r="W78" s="1"/>
  <c r="U63"/>
  <c r="W63" s="1"/>
  <c r="U69"/>
  <c r="W69" s="1"/>
  <c r="U80"/>
  <c r="W80" s="1"/>
  <c r="U134"/>
  <c r="W134" s="1"/>
  <c r="U122"/>
  <c r="W122" s="1"/>
  <c r="U166"/>
  <c r="W166" s="1"/>
  <c r="U161"/>
  <c r="W161" s="1"/>
  <c r="U146"/>
  <c r="W146" s="1"/>
  <c r="U147"/>
  <c r="W147" s="1"/>
  <c r="U5"/>
  <c r="W5" s="1"/>
  <c r="U135"/>
  <c r="W135" s="1"/>
  <c r="U108"/>
  <c r="W108" s="1"/>
  <c r="U18"/>
  <c r="W18" s="1"/>
  <c r="U150"/>
  <c r="W150" s="1"/>
  <c r="U92"/>
  <c r="W92" s="1"/>
  <c r="U123"/>
  <c r="W123" s="1"/>
  <c r="U100"/>
  <c r="W100" s="1"/>
  <c r="U148"/>
  <c r="W148" s="1"/>
  <c r="U114"/>
  <c r="W114" s="1"/>
  <c r="U115"/>
  <c r="W115" s="1"/>
  <c r="U156"/>
  <c r="W156" s="1"/>
  <c r="U16"/>
  <c r="W16" s="1"/>
  <c r="U23"/>
  <c r="W23" s="1"/>
  <c r="U10"/>
  <c r="W10" s="1"/>
  <c r="U113"/>
  <c r="W113" s="1"/>
  <c r="U99"/>
  <c r="W99" s="1"/>
  <c r="U15"/>
  <c r="W15" s="1"/>
  <c r="U4"/>
  <c r="W4" s="1"/>
  <c r="U118"/>
  <c r="W118" s="1"/>
  <c r="U72"/>
  <c r="W72" s="1"/>
  <c r="U155"/>
  <c r="W155" s="1"/>
  <c r="U71"/>
  <c r="W71" s="1"/>
  <c r="U17"/>
  <c r="W17" s="1"/>
  <c r="U45"/>
  <c r="W45" s="1"/>
  <c r="U73"/>
  <c r="W73" s="1"/>
  <c r="U158"/>
  <c r="W158" s="1"/>
  <c r="U151"/>
  <c r="W151" s="1"/>
  <c r="U159"/>
  <c r="W159" s="1"/>
  <c r="U83"/>
  <c r="W83" s="1"/>
  <c r="U152"/>
  <c r="W152" s="1"/>
  <c r="U82"/>
  <c r="W82" s="1"/>
  <c r="U87"/>
  <c r="W87" s="1"/>
  <c r="U86"/>
  <c r="W86" s="1"/>
  <c r="Q127"/>
  <c r="U127" s="1"/>
  <c r="Q126"/>
  <c r="U126" s="1"/>
  <c r="S126"/>
  <c r="Z126"/>
  <c r="Y130"/>
  <c r="Y120"/>
  <c r="Y61"/>
  <c r="Y55"/>
  <c r="Y88"/>
  <c r="Y163"/>
  <c r="Y162"/>
  <c r="Y126"/>
  <c r="Q36" l="1"/>
  <c r="R36"/>
  <c r="V36"/>
  <c r="U36"/>
  <c r="W36" s="1"/>
  <c r="Q34"/>
  <c r="Q35"/>
  <c r="R34"/>
  <c r="V34"/>
  <c r="U34"/>
  <c r="W34" s="1"/>
  <c r="Q33"/>
  <c r="R33"/>
  <c r="V33"/>
  <c r="U33"/>
  <c r="W33" s="1"/>
  <c r="Q32"/>
  <c r="R32"/>
  <c r="V32"/>
  <c r="U32"/>
  <c r="W32" s="1"/>
  <c r="Q119"/>
  <c r="R119"/>
  <c r="V119"/>
  <c r="U119"/>
  <c r="W119" s="1"/>
  <c r="Q43"/>
  <c r="R43"/>
  <c r="V43"/>
  <c r="U43"/>
  <c r="W43" s="1"/>
  <c r="Q42"/>
  <c r="R42"/>
  <c r="V42"/>
  <c r="U42"/>
  <c r="W42" s="1"/>
  <c r="Q38"/>
  <c r="R38"/>
  <c r="V38"/>
  <c r="U38"/>
  <c r="W38" s="1"/>
  <c r="Q149"/>
  <c r="R149"/>
  <c r="V149"/>
  <c r="U149"/>
  <c r="W149" s="1"/>
  <c r="Q37"/>
  <c r="R37"/>
  <c r="V37"/>
  <c r="U37"/>
  <c r="W37" s="1"/>
  <c r="Q141"/>
  <c r="Q142"/>
  <c r="R141"/>
  <c r="V141"/>
  <c r="U141"/>
  <c r="W141" s="1"/>
  <c r="Q140"/>
  <c r="R140"/>
  <c r="V140"/>
  <c r="U140"/>
  <c r="W140" s="1"/>
  <c r="Q30"/>
  <c r="R30"/>
  <c r="V30"/>
  <c r="U30"/>
  <c r="W30" s="1"/>
  <c r="Q28"/>
  <c r="Q29"/>
  <c r="R28"/>
  <c r="V28"/>
  <c r="U28"/>
  <c r="W28" s="1"/>
  <c r="Q27"/>
  <c r="R27"/>
  <c r="V27"/>
  <c r="U27"/>
  <c r="W27" s="1"/>
  <c r="Q26"/>
  <c r="R26"/>
  <c r="V26"/>
  <c r="U26"/>
  <c r="W26" s="1"/>
  <c r="Q25"/>
  <c r="R25"/>
  <c r="V25"/>
  <c r="U25"/>
  <c r="W25" s="1"/>
  <c r="Q24"/>
  <c r="R24"/>
  <c r="V24"/>
  <c r="U24"/>
  <c r="W24" s="1"/>
  <c r="Q97"/>
  <c r="R97"/>
  <c r="V97"/>
  <c r="U97"/>
  <c r="W97" s="1"/>
  <c r="Q68"/>
  <c r="R68"/>
  <c r="V68"/>
  <c r="U68"/>
  <c r="W68" s="1"/>
  <c r="Q67"/>
  <c r="R67"/>
  <c r="V67"/>
  <c r="U67"/>
  <c r="W67" s="1"/>
  <c r="Q66"/>
  <c r="R66"/>
  <c r="V66"/>
  <c r="U66"/>
  <c r="W66" s="1"/>
  <c r="Q131"/>
  <c r="R131"/>
  <c r="V131"/>
  <c r="U131"/>
  <c r="W131" s="1"/>
  <c r="Q130"/>
  <c r="R130"/>
  <c r="S130"/>
  <c r="U130"/>
  <c r="V130"/>
  <c r="Z130"/>
  <c r="AF130"/>
  <c r="Q20"/>
  <c r="R20"/>
  <c r="V20"/>
  <c r="U20"/>
  <c r="W20" s="1"/>
  <c r="Q19"/>
  <c r="R19"/>
  <c r="V19"/>
  <c r="U19"/>
  <c r="W19" s="1"/>
  <c r="Q3"/>
  <c r="Q7"/>
  <c r="R7"/>
  <c r="V7"/>
  <c r="U7"/>
  <c r="W7" s="1"/>
  <c r="O166"/>
  <c r="P166" s="1"/>
  <c r="O161"/>
  <c r="P161" s="1"/>
  <c r="O159"/>
  <c r="O158"/>
  <c r="O156"/>
  <c r="P156" s="1"/>
  <c r="O155"/>
  <c r="P155" s="1"/>
  <c r="O152"/>
  <c r="O151"/>
  <c r="O150"/>
  <c r="P150" s="1"/>
  <c r="O149"/>
  <c r="P149" s="1"/>
  <c r="O148"/>
  <c r="P148" s="1"/>
  <c r="O147"/>
  <c r="P147" s="1"/>
  <c r="O146"/>
  <c r="P146" s="1"/>
  <c r="O142"/>
  <c r="P142" s="1"/>
  <c r="O140"/>
  <c r="P140" s="1"/>
  <c r="O138"/>
  <c r="P138" s="1"/>
  <c r="O137"/>
  <c r="P137" s="1"/>
  <c r="O136"/>
  <c r="P136" s="1"/>
  <c r="O135"/>
  <c r="P135" s="1"/>
  <c r="O134"/>
  <c r="P134" s="1"/>
  <c r="O128"/>
  <c r="P128" s="1"/>
  <c r="O123"/>
  <c r="P123" s="1"/>
  <c r="O122"/>
  <c r="P122" s="1"/>
  <c r="O120"/>
  <c r="P120" s="1"/>
  <c r="O119"/>
  <c r="P119" s="1"/>
  <c r="O118"/>
  <c r="P118" s="1"/>
  <c r="O115"/>
  <c r="P115" s="1"/>
  <c r="O114"/>
  <c r="P114" s="1"/>
  <c r="O113"/>
  <c r="P113" s="1"/>
  <c r="O109"/>
  <c r="P109" s="1"/>
  <c r="O108"/>
  <c r="P108" s="1"/>
  <c r="O100"/>
  <c r="P100" s="1"/>
  <c r="O99"/>
  <c r="P99" s="1"/>
  <c r="O96"/>
  <c r="P96" s="1"/>
  <c r="O95"/>
  <c r="P95" s="1"/>
  <c r="O93"/>
  <c r="P93" s="1"/>
  <c r="O92"/>
  <c r="P92" s="1"/>
  <c r="O90"/>
  <c r="P90" s="1"/>
  <c r="O87"/>
  <c r="O86"/>
  <c r="O85"/>
  <c r="P85" s="1"/>
  <c r="O84"/>
  <c r="P84" s="1"/>
  <c r="O83"/>
  <c r="O82"/>
  <c r="O81"/>
  <c r="P81" s="1"/>
  <c r="O80"/>
  <c r="P80" s="1"/>
  <c r="O78"/>
  <c r="P78" s="1"/>
  <c r="O74"/>
  <c r="P74" s="1"/>
  <c r="O73"/>
  <c r="P73" s="1"/>
  <c r="O72"/>
  <c r="P72" s="1"/>
  <c r="O71"/>
  <c r="P71" s="1"/>
  <c r="O69"/>
  <c r="P69" s="1"/>
  <c r="O64"/>
  <c r="P64" s="1"/>
  <c r="O63"/>
  <c r="P63" s="1"/>
  <c r="O59"/>
  <c r="P59" s="1"/>
  <c r="O57"/>
  <c r="P57" s="1"/>
  <c r="O45"/>
  <c r="P45" s="1"/>
  <c r="O42"/>
  <c r="P42" s="1"/>
  <c r="O38"/>
  <c r="P38" s="1"/>
  <c r="O37"/>
  <c r="P37" s="1"/>
  <c r="O36"/>
  <c r="P36" s="1"/>
  <c r="O35"/>
  <c r="P35" s="1"/>
  <c r="O34"/>
  <c r="P34" s="1"/>
  <c r="O32"/>
  <c r="P32" s="1"/>
  <c r="O31"/>
  <c r="P31" s="1"/>
  <c r="O26"/>
  <c r="P26" s="1"/>
  <c r="O25"/>
  <c r="P25" s="1"/>
  <c r="O23"/>
  <c r="P23" s="1"/>
  <c r="O18"/>
  <c r="P18" s="1"/>
  <c r="O17"/>
  <c r="P17" s="1"/>
  <c r="O16"/>
  <c r="P16" s="1"/>
  <c r="O15"/>
  <c r="P15" s="1"/>
  <c r="O10"/>
  <c r="P10" s="1"/>
  <c r="O8"/>
  <c r="P8" s="1"/>
  <c r="O5"/>
  <c r="P5" s="1"/>
  <c r="O4"/>
  <c r="P4" s="1"/>
  <c r="Q106"/>
  <c r="R106"/>
  <c r="V106"/>
  <c r="U106"/>
  <c r="W106" s="1"/>
  <c r="Q105"/>
  <c r="R105"/>
  <c r="V105"/>
  <c r="U105"/>
  <c r="W105" s="1"/>
  <c r="Q48"/>
  <c r="Q49"/>
  <c r="R48"/>
  <c r="V48"/>
  <c r="U48"/>
  <c r="W48" s="1"/>
  <c r="Q47"/>
  <c r="R47"/>
  <c r="V47"/>
  <c r="U47"/>
  <c r="W47" s="1"/>
  <c r="Q145"/>
  <c r="R145"/>
  <c r="V145"/>
  <c r="U145"/>
  <c r="W145" s="1"/>
  <c r="Q117"/>
  <c r="R117"/>
  <c r="V117"/>
  <c r="U117"/>
  <c r="W117" s="1"/>
  <c r="Q91"/>
  <c r="R91"/>
  <c r="V91"/>
  <c r="U91"/>
  <c r="W91" s="1"/>
  <c r="Q121"/>
  <c r="R121"/>
  <c r="V121"/>
  <c r="U121"/>
  <c r="W121" s="1"/>
  <c r="Q120"/>
  <c r="R120"/>
  <c r="S120"/>
  <c r="U120"/>
  <c r="V120"/>
  <c r="Z120"/>
  <c r="Q62"/>
  <c r="R62"/>
  <c r="V62"/>
  <c r="U62"/>
  <c r="W62" s="1"/>
  <c r="Q61"/>
  <c r="R61"/>
  <c r="S61"/>
  <c r="U61"/>
  <c r="V61"/>
  <c r="Z61"/>
  <c r="Q56"/>
  <c r="R56"/>
  <c r="V56"/>
  <c r="U56"/>
  <c r="W56" s="1"/>
  <c r="Q55"/>
  <c r="R55"/>
  <c r="S55"/>
  <c r="U55"/>
  <c r="V55"/>
  <c r="Z55"/>
  <c r="Q54"/>
  <c r="R54"/>
  <c r="V54"/>
  <c r="U54"/>
  <c r="W54" s="1"/>
  <c r="T55"/>
  <c r="AD55" s="1"/>
  <c r="T127"/>
  <c r="AD127" s="1"/>
  <c r="T86"/>
  <c r="AD86" s="1"/>
  <c r="T87"/>
  <c r="AD87" s="1"/>
  <c r="T82"/>
  <c r="AD82" s="1"/>
  <c r="T152"/>
  <c r="AD152" s="1"/>
  <c r="T83"/>
  <c r="AD83" s="1"/>
  <c r="T159"/>
  <c r="AD159" s="1"/>
  <c r="T151"/>
  <c r="AD151" s="1"/>
  <c r="T158"/>
  <c r="AD158" s="1"/>
  <c r="T73"/>
  <c r="AD73" s="1"/>
  <c r="T45"/>
  <c r="AD45" s="1"/>
  <c r="T17"/>
  <c r="AD17" s="1"/>
  <c r="T71"/>
  <c r="AD71" s="1"/>
  <c r="T155"/>
  <c r="AD155" s="1"/>
  <c r="T72"/>
  <c r="AD72" s="1"/>
  <c r="T118"/>
  <c r="AD118" s="1"/>
  <c r="T4"/>
  <c r="AD4" s="1"/>
  <c r="T15"/>
  <c r="AD15" s="1"/>
  <c r="T99"/>
  <c r="AD99" s="1"/>
  <c r="T113"/>
  <c r="AD113" s="1"/>
  <c r="T10"/>
  <c r="AD10" s="1"/>
  <c r="T23"/>
  <c r="AD23" s="1"/>
  <c r="T16"/>
  <c r="AD16" s="1"/>
  <c r="T156"/>
  <c r="AD156" s="1"/>
  <c r="T115"/>
  <c r="AD115" s="1"/>
  <c r="T114"/>
  <c r="AD114" s="1"/>
  <c r="T148"/>
  <c r="AD148" s="1"/>
  <c r="T100"/>
  <c r="AD100" s="1"/>
  <c r="T123"/>
  <c r="AD123" s="1"/>
  <c r="T92"/>
  <c r="AD92" s="1"/>
  <c r="T150"/>
  <c r="AD150" s="1"/>
  <c r="T18"/>
  <c r="AD18" s="1"/>
  <c r="T36"/>
  <c r="AD36" s="1"/>
  <c r="T108"/>
  <c r="AD108" s="1"/>
  <c r="T135"/>
  <c r="AD135" s="1"/>
  <c r="T147"/>
  <c r="AD147" s="1"/>
  <c r="T146"/>
  <c r="AD146" s="1"/>
  <c r="T161"/>
  <c r="AD161" s="1"/>
  <c r="T166"/>
  <c r="AD166" s="1"/>
  <c r="T122"/>
  <c r="AD122" s="1"/>
  <c r="T134"/>
  <c r="AD134" s="1"/>
  <c r="T80"/>
  <c r="AD80" s="1"/>
  <c r="T69"/>
  <c r="AD69" s="1"/>
  <c r="T63"/>
  <c r="AD63" s="1"/>
  <c r="T78"/>
  <c r="AD78" s="1"/>
  <c r="T64"/>
  <c r="AD64" s="1"/>
  <c r="T96"/>
  <c r="AD96" s="1"/>
  <c r="T59"/>
  <c r="AD59" s="1"/>
  <c r="T93"/>
  <c r="AD93" s="1"/>
  <c r="T81"/>
  <c r="AD81" s="1"/>
  <c r="T85"/>
  <c r="AD85" s="1"/>
  <c r="T137"/>
  <c r="AD137" s="1"/>
  <c r="T8"/>
  <c r="AD8" s="1"/>
  <c r="T128"/>
  <c r="AD128" s="1"/>
  <c r="T74"/>
  <c r="AD74" s="1"/>
  <c r="T138"/>
  <c r="AD138" s="1"/>
  <c r="T109"/>
  <c r="AD109" s="1"/>
  <c r="T90"/>
  <c r="AD90" s="1"/>
  <c r="T84"/>
  <c r="AD84" s="1"/>
  <c r="T57"/>
  <c r="AD57" s="1"/>
  <c r="T95"/>
  <c r="AD95" s="1"/>
  <c r="T136"/>
  <c r="AD136" s="1"/>
  <c r="T31"/>
  <c r="AD31" s="1"/>
  <c r="T70"/>
  <c r="AD70" s="1"/>
  <c r="T30"/>
  <c r="AD30" s="1"/>
  <c r="T107"/>
  <c r="AD107" s="1"/>
  <c r="T98"/>
  <c r="AD98" s="1"/>
  <c r="T129"/>
  <c r="AD129" s="1"/>
  <c r="T9"/>
  <c r="AD9" s="1"/>
  <c r="T112"/>
  <c r="AD112" s="1"/>
  <c r="T53"/>
  <c r="AD53" s="1"/>
  <c r="T132"/>
  <c r="AD132" s="1"/>
  <c r="T143"/>
  <c r="AD143" s="1"/>
  <c r="T141"/>
  <c r="AD141" s="1"/>
  <c r="T111"/>
  <c r="AD111" s="1"/>
  <c r="T46"/>
  <c r="AD46" s="1"/>
  <c r="T110"/>
  <c r="AD110" s="1"/>
  <c r="T52"/>
  <c r="AD52" s="1"/>
  <c r="T65"/>
  <c r="AD65" s="1"/>
  <c r="T27"/>
  <c r="AD27" s="1"/>
  <c r="T40"/>
  <c r="AD40" s="1"/>
  <c r="T124"/>
  <c r="AD124" s="1"/>
  <c r="T44"/>
  <c r="AD44" s="1"/>
  <c r="T24"/>
  <c r="AD24" s="1"/>
  <c r="T133"/>
  <c r="AD133" s="1"/>
  <c r="T11"/>
  <c r="AD11" s="1"/>
  <c r="T12"/>
  <c r="AD12" s="1"/>
  <c r="T125"/>
  <c r="AD125" s="1"/>
  <c r="T153"/>
  <c r="AD153" s="1"/>
  <c r="T22"/>
  <c r="AD22" s="1"/>
  <c r="T2"/>
  <c r="AD2" s="1"/>
  <c r="T94"/>
  <c r="AD94" s="1"/>
  <c r="T58"/>
  <c r="AD58" s="1"/>
  <c r="T154"/>
  <c r="AD154" s="1"/>
  <c r="T6"/>
  <c r="AD6" s="1"/>
  <c r="T79"/>
  <c r="AD79" s="1"/>
  <c r="T21"/>
  <c r="AD21" s="1"/>
  <c r="T29"/>
  <c r="AD29" s="1"/>
  <c r="T165"/>
  <c r="AD165" s="1"/>
  <c r="T168"/>
  <c r="AD168" s="1"/>
  <c r="T101"/>
  <c r="AD101" s="1"/>
  <c r="T102"/>
  <c r="AD102" s="1"/>
  <c r="T28"/>
  <c r="AD28" s="1"/>
  <c r="T160"/>
  <c r="AD160" s="1"/>
  <c r="T167"/>
  <c r="AD167" s="1"/>
  <c r="T157"/>
  <c r="AD157" s="1"/>
  <c r="T144"/>
  <c r="AD144" s="1"/>
  <c r="T116"/>
  <c r="AD116" s="1"/>
  <c r="T51"/>
  <c r="AD51" s="1"/>
  <c r="T50"/>
  <c r="AD50" s="1"/>
  <c r="T13"/>
  <c r="AD13" s="1"/>
  <c r="T75"/>
  <c r="AD75" s="1"/>
  <c r="T76"/>
  <c r="AD76" s="1"/>
  <c r="T14"/>
  <c r="AD14" s="1"/>
  <c r="T48"/>
  <c r="AD48" s="1"/>
  <c r="T77"/>
  <c r="AD77" s="1"/>
  <c r="T139"/>
  <c r="AD139" s="1"/>
  <c r="T60"/>
  <c r="AD60" s="1"/>
  <c r="T67"/>
  <c r="AD67" s="1"/>
  <c r="T104"/>
  <c r="AD104" s="1"/>
  <c r="T103"/>
  <c r="AD103" s="1"/>
  <c r="Q89"/>
  <c r="R89"/>
  <c r="V89"/>
  <c r="U89"/>
  <c r="W89" s="1"/>
  <c r="Q88"/>
  <c r="R88"/>
  <c r="S88"/>
  <c r="U88"/>
  <c r="V88"/>
  <c r="Z88"/>
  <c r="AE86"/>
  <c r="AE87"/>
  <c r="AE82"/>
  <c r="AE152"/>
  <c r="AE83"/>
  <c r="AE159"/>
  <c r="AE151"/>
  <c r="AE158"/>
  <c r="AE73"/>
  <c r="AE45"/>
  <c r="AE17"/>
  <c r="AE71"/>
  <c r="AE155"/>
  <c r="AE72"/>
  <c r="AE118"/>
  <c r="AE4"/>
  <c r="AE15"/>
  <c r="AE99"/>
  <c r="AE113"/>
  <c r="AE10"/>
  <c r="AE23"/>
  <c r="AE16"/>
  <c r="AE156"/>
  <c r="AE115"/>
  <c r="AE114"/>
  <c r="AE148"/>
  <c r="AE100"/>
  <c r="AE123"/>
  <c r="AE92"/>
  <c r="AE150"/>
  <c r="AE18"/>
  <c r="AE36"/>
  <c r="AE108"/>
  <c r="AE135"/>
  <c r="AE147"/>
  <c r="AE146"/>
  <c r="AE161"/>
  <c r="AE166"/>
  <c r="AE122"/>
  <c r="AE134"/>
  <c r="AE80"/>
  <c r="AE69"/>
  <c r="AE63"/>
  <c r="AE78"/>
  <c r="AE64"/>
  <c r="AE96"/>
  <c r="AE59"/>
  <c r="AE93"/>
  <c r="AE81"/>
  <c r="AE85"/>
  <c r="AE137"/>
  <c r="AE8"/>
  <c r="AE128"/>
  <c r="AE74"/>
  <c r="AE138"/>
  <c r="AE109"/>
  <c r="AE90"/>
  <c r="AE84"/>
  <c r="AE57"/>
  <c r="AE95"/>
  <c r="AE136"/>
  <c r="AE31"/>
  <c r="AE70"/>
  <c r="AE30"/>
  <c r="AE107"/>
  <c r="AE98"/>
  <c r="AE129"/>
  <c r="AE9"/>
  <c r="AE112"/>
  <c r="AE53"/>
  <c r="AE132"/>
  <c r="AE143"/>
  <c r="AE141"/>
  <c r="AE111"/>
  <c r="AE46"/>
  <c r="AE110"/>
  <c r="AE52"/>
  <c r="AE65"/>
  <c r="AE27"/>
  <c r="AE40"/>
  <c r="AE124"/>
  <c r="AE44"/>
  <c r="AE24"/>
  <c r="AE133"/>
  <c r="AE11"/>
  <c r="AE12"/>
  <c r="AE125"/>
  <c r="AE153"/>
  <c r="AE22"/>
  <c r="AE2"/>
  <c r="AE94"/>
  <c r="AE58"/>
  <c r="AE154"/>
  <c r="AE6"/>
  <c r="AE79"/>
  <c r="AE21"/>
  <c r="AE165"/>
  <c r="AE168"/>
  <c r="AE101"/>
  <c r="AE102"/>
  <c r="AE28"/>
  <c r="AE160"/>
  <c r="AE167"/>
  <c r="AE157"/>
  <c r="AE144"/>
  <c r="AE116"/>
  <c r="AE51"/>
  <c r="AE50"/>
  <c r="AE13"/>
  <c r="AE75"/>
  <c r="AE76"/>
  <c r="AE14"/>
  <c r="AE48"/>
  <c r="AE77"/>
  <c r="AE139"/>
  <c r="AE60"/>
  <c r="AE67"/>
  <c r="AE104"/>
  <c r="AE103"/>
  <c r="R127"/>
  <c r="R126"/>
  <c r="Q164"/>
  <c r="V164"/>
  <c r="U164"/>
  <c r="W164" s="1"/>
  <c r="Q162"/>
  <c r="S162"/>
  <c r="U162"/>
  <c r="V162"/>
  <c r="Z162"/>
  <c r="Q163"/>
  <c r="D586" i="12"/>
  <c r="E586" s="1"/>
  <c r="G586" s="1"/>
  <c r="D585"/>
  <c r="E585" s="1"/>
  <c r="G585" s="1"/>
  <c r="D584"/>
  <c r="E584" s="1"/>
  <c r="G584" s="1"/>
  <c r="D583"/>
  <c r="E583" s="1"/>
  <c r="G583" s="1"/>
  <c r="V127" i="1"/>
  <c r="V126"/>
  <c r="W126" s="1"/>
  <c r="L2" i="12"/>
  <c r="M2" s="1"/>
  <c r="L3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08"/>
  <c r="M108" s="1"/>
  <c r="L109"/>
  <c r="M109" s="1"/>
  <c r="L110"/>
  <c r="M110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2"/>
  <c r="M152" s="1"/>
  <c r="L153"/>
  <c r="M153" s="1"/>
  <c r="L154"/>
  <c r="M154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199"/>
  <c r="M199" s="1"/>
  <c r="L200"/>
  <c r="M200" s="1"/>
  <c r="L201"/>
  <c r="M201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 s="1"/>
  <c r="L237"/>
  <c r="M237" s="1"/>
  <c r="L238"/>
  <c r="M238" s="1"/>
  <c r="L239"/>
  <c r="M239" s="1"/>
  <c r="L240"/>
  <c r="M240" s="1"/>
  <c r="L241"/>
  <c r="M241" s="1"/>
  <c r="L242"/>
  <c r="M242" s="1"/>
  <c r="L243"/>
  <c r="M243" s="1"/>
  <c r="L244"/>
  <c r="M244" s="1"/>
  <c r="L245"/>
  <c r="M245" s="1"/>
  <c r="L246"/>
  <c r="M246" s="1"/>
  <c r="L247"/>
  <c r="M247" s="1"/>
  <c r="L248"/>
  <c r="M248" s="1"/>
  <c r="L249"/>
  <c r="M249" s="1"/>
  <c r="L250"/>
  <c r="M250" s="1"/>
  <c r="L251"/>
  <c r="M251" s="1"/>
  <c r="L252"/>
  <c r="M252" s="1"/>
  <c r="L253"/>
  <c r="M253" s="1"/>
  <c r="L254"/>
  <c r="M254" s="1"/>
  <c r="L255"/>
  <c r="M255" s="1"/>
  <c r="L256"/>
  <c r="M256" s="1"/>
  <c r="L257"/>
  <c r="M257" s="1"/>
  <c r="L258"/>
  <c r="M258" s="1"/>
  <c r="L259"/>
  <c r="M259" s="1"/>
  <c r="L260"/>
  <c r="M260" s="1"/>
  <c r="L261"/>
  <c r="M261" s="1"/>
  <c r="L262"/>
  <c r="M262" s="1"/>
  <c r="L263"/>
  <c r="M263" s="1"/>
  <c r="L264"/>
  <c r="M264" s="1"/>
  <c r="L265"/>
  <c r="M265" s="1"/>
  <c r="L266"/>
  <c r="M266" s="1"/>
  <c r="L267"/>
  <c r="M267" s="1"/>
  <c r="L268"/>
  <c r="M268" s="1"/>
  <c r="L269"/>
  <c r="M269" s="1"/>
  <c r="L270"/>
  <c r="M270" s="1"/>
  <c r="L271"/>
  <c r="M271" s="1"/>
  <c r="L272"/>
  <c r="M272" s="1"/>
  <c r="L273"/>
  <c r="M273" s="1"/>
  <c r="L274"/>
  <c r="M274" s="1"/>
  <c r="L275"/>
  <c r="M275" s="1"/>
  <c r="L276"/>
  <c r="M276" s="1"/>
  <c r="L277"/>
  <c r="M277" s="1"/>
  <c r="L278"/>
  <c r="M278" s="1"/>
  <c r="L279"/>
  <c r="M279" s="1"/>
  <c r="L280"/>
  <c r="M280" s="1"/>
  <c r="L281"/>
  <c r="M281" s="1"/>
  <c r="L282"/>
  <c r="M282" s="1"/>
  <c r="L283"/>
  <c r="M283" s="1"/>
  <c r="L284"/>
  <c r="M284" s="1"/>
  <c r="L285"/>
  <c r="M285" s="1"/>
  <c r="L286"/>
  <c r="M286" s="1"/>
  <c r="L287"/>
  <c r="M287" s="1"/>
  <c r="L288"/>
  <c r="M288" s="1"/>
  <c r="L289"/>
  <c r="M289" s="1"/>
  <c r="L290"/>
  <c r="M290" s="1"/>
  <c r="L291"/>
  <c r="M291" s="1"/>
  <c r="L292"/>
  <c r="M292" s="1"/>
  <c r="L293"/>
  <c r="M293" s="1"/>
  <c r="L294"/>
  <c r="M294" s="1"/>
  <c r="L295"/>
  <c r="M295" s="1"/>
  <c r="L296"/>
  <c r="M296" s="1"/>
  <c r="L297"/>
  <c r="M297" s="1"/>
  <c r="L298"/>
  <c r="M298" s="1"/>
  <c r="L299"/>
  <c r="M299" s="1"/>
  <c r="L300"/>
  <c r="M300" s="1"/>
  <c r="L301"/>
  <c r="M301" s="1"/>
  <c r="L302"/>
  <c r="M302" s="1"/>
  <c r="L303"/>
  <c r="M303" s="1"/>
  <c r="L304"/>
  <c r="M304" s="1"/>
  <c r="L305"/>
  <c r="M305" s="1"/>
  <c r="L306"/>
  <c r="M306" s="1"/>
  <c r="L307"/>
  <c r="M307" s="1"/>
  <c r="L308"/>
  <c r="M308" s="1"/>
  <c r="L309"/>
  <c r="M309" s="1"/>
  <c r="L310"/>
  <c r="M310" s="1"/>
  <c r="L311"/>
  <c r="M311" s="1"/>
  <c r="L312"/>
  <c r="M312" s="1"/>
  <c r="L313"/>
  <c r="M313" s="1"/>
  <c r="L314"/>
  <c r="M314" s="1"/>
  <c r="L315"/>
  <c r="M315" s="1"/>
  <c r="L316"/>
  <c r="M316" s="1"/>
  <c r="L317"/>
  <c r="M317" s="1"/>
  <c r="L318"/>
  <c r="M318" s="1"/>
  <c r="L319"/>
  <c r="M319" s="1"/>
  <c r="L320"/>
  <c r="M320" s="1"/>
  <c r="L321"/>
  <c r="M321" s="1"/>
  <c r="L322"/>
  <c r="M322" s="1"/>
  <c r="L323"/>
  <c r="M323" s="1"/>
  <c r="L324"/>
  <c r="M324" s="1"/>
  <c r="L325"/>
  <c r="M325" s="1"/>
  <c r="L326"/>
  <c r="M326" s="1"/>
  <c r="L327"/>
  <c r="M327" s="1"/>
  <c r="L328"/>
  <c r="M328" s="1"/>
  <c r="L329"/>
  <c r="M329" s="1"/>
  <c r="L330"/>
  <c r="M330" s="1"/>
  <c r="L331"/>
  <c r="M331" s="1"/>
  <c r="L332"/>
  <c r="M332" s="1"/>
  <c r="L333"/>
  <c r="M333" s="1"/>
  <c r="L334"/>
  <c r="M334" s="1"/>
  <c r="L335"/>
  <c r="M335" s="1"/>
  <c r="L336"/>
  <c r="M336" s="1"/>
  <c r="L337"/>
  <c r="M337" s="1"/>
  <c r="L338"/>
  <c r="M338" s="1"/>
  <c r="L339"/>
  <c r="M339" s="1"/>
  <c r="L340"/>
  <c r="M340" s="1"/>
  <c r="L341"/>
  <c r="M341" s="1"/>
  <c r="L342"/>
  <c r="M342" s="1"/>
  <c r="L343"/>
  <c r="M343" s="1"/>
  <c r="L344"/>
  <c r="M344" s="1"/>
  <c r="L345"/>
  <c r="M345" s="1"/>
  <c r="L346"/>
  <c r="M346" s="1"/>
  <c r="L347"/>
  <c r="M347" s="1"/>
  <c r="L348"/>
  <c r="M348" s="1"/>
  <c r="L349"/>
  <c r="M349" s="1"/>
  <c r="L350"/>
  <c r="M350" s="1"/>
  <c r="L351"/>
  <c r="M351" s="1"/>
  <c r="L352"/>
  <c r="M352" s="1"/>
  <c r="L353"/>
  <c r="M353" s="1"/>
  <c r="L354"/>
  <c r="M354" s="1"/>
  <c r="L355"/>
  <c r="M355" s="1"/>
  <c r="L356"/>
  <c r="M356" s="1"/>
  <c r="L357"/>
  <c r="M357" s="1"/>
  <c r="L358"/>
  <c r="M358" s="1"/>
  <c r="L359"/>
  <c r="M359" s="1"/>
  <c r="L360"/>
  <c r="M360" s="1"/>
  <c r="L361"/>
  <c r="M361" s="1"/>
  <c r="L362"/>
  <c r="M362" s="1"/>
  <c r="L363"/>
  <c r="M363" s="1"/>
  <c r="L364"/>
  <c r="M364" s="1"/>
  <c r="L365"/>
  <c r="M365" s="1"/>
  <c r="L366"/>
  <c r="M366" s="1"/>
  <c r="L367"/>
  <c r="M367" s="1"/>
  <c r="L368"/>
  <c r="M368" s="1"/>
  <c r="L369"/>
  <c r="M369" s="1"/>
  <c r="L370"/>
  <c r="M370" s="1"/>
  <c r="L371"/>
  <c r="M371" s="1"/>
  <c r="L372"/>
  <c r="M372" s="1"/>
  <c r="L373"/>
  <c r="M373" s="1"/>
  <c r="L374"/>
  <c r="M374" s="1"/>
  <c r="L375"/>
  <c r="M375" s="1"/>
  <c r="L376"/>
  <c r="M376" s="1"/>
  <c r="L377"/>
  <c r="M377" s="1"/>
  <c r="L378"/>
  <c r="M378" s="1"/>
  <c r="L379"/>
  <c r="M379" s="1"/>
  <c r="L380"/>
  <c r="M380" s="1"/>
  <c r="L381"/>
  <c r="M381" s="1"/>
  <c r="L382"/>
  <c r="M382" s="1"/>
  <c r="L383"/>
  <c r="M383" s="1"/>
  <c r="L384"/>
  <c r="M384" s="1"/>
  <c r="L385"/>
  <c r="M385" s="1"/>
  <c r="L386"/>
  <c r="M386" s="1"/>
  <c r="L387"/>
  <c r="M387" s="1"/>
  <c r="L388"/>
  <c r="M388" s="1"/>
  <c r="L389"/>
  <c r="M389" s="1"/>
  <c r="L390"/>
  <c r="M390" s="1"/>
  <c r="L391"/>
  <c r="M391" s="1"/>
  <c r="L392"/>
  <c r="M392" s="1"/>
  <c r="L393"/>
  <c r="M393" s="1"/>
  <c r="L394"/>
  <c r="M394" s="1"/>
  <c r="L395"/>
  <c r="M395" s="1"/>
  <c r="L396"/>
  <c r="M396" s="1"/>
  <c r="L397"/>
  <c r="M397" s="1"/>
  <c r="L398"/>
  <c r="M398" s="1"/>
  <c r="L399"/>
  <c r="M399" s="1"/>
  <c r="L400"/>
  <c r="M400" s="1"/>
  <c r="L401"/>
  <c r="M401" s="1"/>
  <c r="L402"/>
  <c r="M402" s="1"/>
  <c r="L403"/>
  <c r="M403" s="1"/>
  <c r="L404"/>
  <c r="M404" s="1"/>
  <c r="L405"/>
  <c r="M405" s="1"/>
  <c r="L406"/>
  <c r="M406" s="1"/>
  <c r="L407"/>
  <c r="M407" s="1"/>
  <c r="L408"/>
  <c r="M408" s="1"/>
  <c r="L409"/>
  <c r="M409" s="1"/>
  <c r="L410"/>
  <c r="M410" s="1"/>
  <c r="L411"/>
  <c r="M411" s="1"/>
  <c r="L412"/>
  <c r="M412" s="1"/>
  <c r="L413"/>
  <c r="M413" s="1"/>
  <c r="L414"/>
  <c r="M414" s="1"/>
  <c r="L415"/>
  <c r="M415" s="1"/>
  <c r="L416"/>
  <c r="M416" s="1"/>
  <c r="L417"/>
  <c r="M417" s="1"/>
  <c r="L418"/>
  <c r="M418" s="1"/>
  <c r="L419"/>
  <c r="M419" s="1"/>
  <c r="L420"/>
  <c r="M420" s="1"/>
  <c r="L421"/>
  <c r="M421" s="1"/>
  <c r="L422"/>
  <c r="M422" s="1"/>
  <c r="L423"/>
  <c r="M423" s="1"/>
  <c r="L424"/>
  <c r="M424" s="1"/>
  <c r="L425"/>
  <c r="M425" s="1"/>
  <c r="L426"/>
  <c r="M426" s="1"/>
  <c r="L427"/>
  <c r="M427" s="1"/>
  <c r="L428"/>
  <c r="M428" s="1"/>
  <c r="L429"/>
  <c r="M429" s="1"/>
  <c r="L430"/>
  <c r="M430" s="1"/>
  <c r="L431"/>
  <c r="M431" s="1"/>
  <c r="L432"/>
  <c r="M432" s="1"/>
  <c r="L433"/>
  <c r="M433" s="1"/>
  <c r="L434"/>
  <c r="M434" s="1"/>
  <c r="L435"/>
  <c r="M435" s="1"/>
  <c r="L436"/>
  <c r="M436" s="1"/>
  <c r="L437"/>
  <c r="M437" s="1"/>
  <c r="L438"/>
  <c r="M438" s="1"/>
  <c r="L439"/>
  <c r="M439" s="1"/>
  <c r="L440"/>
  <c r="M440" s="1"/>
  <c r="L441"/>
  <c r="M441" s="1"/>
  <c r="L442"/>
  <c r="M442" s="1"/>
  <c r="L443"/>
  <c r="M443" s="1"/>
  <c r="L444"/>
  <c r="M444" s="1"/>
  <c r="L445"/>
  <c r="M445" s="1"/>
  <c r="L446"/>
  <c r="M446" s="1"/>
  <c r="L447"/>
  <c r="M447" s="1"/>
  <c r="L448"/>
  <c r="M448" s="1"/>
  <c r="L449"/>
  <c r="M449" s="1"/>
  <c r="L450"/>
  <c r="M450" s="1"/>
  <c r="L451"/>
  <c r="M451" s="1"/>
  <c r="L452"/>
  <c r="M452" s="1"/>
  <c r="L453"/>
  <c r="M453" s="1"/>
  <c r="L454"/>
  <c r="M454" s="1"/>
  <c r="L455"/>
  <c r="M455" s="1"/>
  <c r="L456"/>
  <c r="M456" s="1"/>
  <c r="L457"/>
  <c r="M457" s="1"/>
  <c r="L458"/>
  <c r="M458" s="1"/>
  <c r="L459"/>
  <c r="M459" s="1"/>
  <c r="L460"/>
  <c r="M460" s="1"/>
  <c r="L461"/>
  <c r="M461" s="1"/>
  <c r="L462"/>
  <c r="M462" s="1"/>
  <c r="L463"/>
  <c r="M463" s="1"/>
  <c r="L464"/>
  <c r="M464" s="1"/>
  <c r="L465"/>
  <c r="M465" s="1"/>
  <c r="L466"/>
  <c r="M466" s="1"/>
  <c r="L467"/>
  <c r="M467" s="1"/>
  <c r="L468"/>
  <c r="M468" s="1"/>
  <c r="L469"/>
  <c r="M469" s="1"/>
  <c r="L470"/>
  <c r="M470" s="1"/>
  <c r="L471"/>
  <c r="M471" s="1"/>
  <c r="L472"/>
  <c r="M472" s="1"/>
  <c r="L473"/>
  <c r="M473" s="1"/>
  <c r="L474"/>
  <c r="M474" s="1"/>
  <c r="L475"/>
  <c r="M475" s="1"/>
  <c r="L476"/>
  <c r="M476" s="1"/>
  <c r="L477"/>
  <c r="M477" s="1"/>
  <c r="L478"/>
  <c r="M478" s="1"/>
  <c r="L479"/>
  <c r="M479" s="1"/>
  <c r="L480"/>
  <c r="M480" s="1"/>
  <c r="L481"/>
  <c r="M481" s="1"/>
  <c r="L482"/>
  <c r="M482" s="1"/>
  <c r="L483"/>
  <c r="M483" s="1"/>
  <c r="L484"/>
  <c r="M484" s="1"/>
  <c r="L485"/>
  <c r="M485" s="1"/>
  <c r="L486"/>
  <c r="M486" s="1"/>
  <c r="L487"/>
  <c r="M487" s="1"/>
  <c r="L488"/>
  <c r="M488" s="1"/>
  <c r="L489"/>
  <c r="M489" s="1"/>
  <c r="L490"/>
  <c r="M490" s="1"/>
  <c r="L491"/>
  <c r="M491" s="1"/>
  <c r="L492"/>
  <c r="M492" s="1"/>
  <c r="L493"/>
  <c r="M493" s="1"/>
  <c r="L494"/>
  <c r="M494" s="1"/>
  <c r="L495"/>
  <c r="M495" s="1"/>
  <c r="L496"/>
  <c r="M496" s="1"/>
  <c r="L497"/>
  <c r="M497" s="1"/>
  <c r="L498"/>
  <c r="M498" s="1"/>
  <c r="L499"/>
  <c r="M499" s="1"/>
  <c r="L500"/>
  <c r="M500" s="1"/>
  <c r="L501"/>
  <c r="M501" s="1"/>
  <c r="L502"/>
  <c r="M502" s="1"/>
  <c r="L503"/>
  <c r="M503" s="1"/>
  <c r="L504"/>
  <c r="M504" s="1"/>
  <c r="L505"/>
  <c r="M505" s="1"/>
  <c r="L506"/>
  <c r="M506" s="1"/>
  <c r="L507"/>
  <c r="M507" s="1"/>
  <c r="L508"/>
  <c r="M508" s="1"/>
  <c r="L509"/>
  <c r="M509" s="1"/>
  <c r="L510"/>
  <c r="M510" s="1"/>
  <c r="L511"/>
  <c r="M511" s="1"/>
  <c r="L512"/>
  <c r="M512" s="1"/>
  <c r="L513"/>
  <c r="M513" s="1"/>
  <c r="L514"/>
  <c r="M514" s="1"/>
  <c r="L515"/>
  <c r="M515" s="1"/>
  <c r="L516"/>
  <c r="M516" s="1"/>
  <c r="L517"/>
  <c r="M517" s="1"/>
  <c r="L518"/>
  <c r="M518" s="1"/>
  <c r="L519"/>
  <c r="M519" s="1"/>
  <c r="L520"/>
  <c r="M520" s="1"/>
  <c r="L521"/>
  <c r="M521" s="1"/>
  <c r="L522"/>
  <c r="M522" s="1"/>
  <c r="L523"/>
  <c r="M523" s="1"/>
  <c r="L524"/>
  <c r="M524" s="1"/>
  <c r="L525"/>
  <c r="M525" s="1"/>
  <c r="L526"/>
  <c r="M526" s="1"/>
  <c r="L527"/>
  <c r="M527" s="1"/>
  <c r="L528"/>
  <c r="M528" s="1"/>
  <c r="L529"/>
  <c r="M529" s="1"/>
  <c r="L530"/>
  <c r="M530" s="1"/>
  <c r="L531"/>
  <c r="M531" s="1"/>
  <c r="L532"/>
  <c r="M532" s="1"/>
  <c r="L533"/>
  <c r="M533" s="1"/>
  <c r="L534"/>
  <c r="M534" s="1"/>
  <c r="L535"/>
  <c r="M535" s="1"/>
  <c r="L536"/>
  <c r="M536" s="1"/>
  <c r="L537"/>
  <c r="M537" s="1"/>
  <c r="L538"/>
  <c r="M538" s="1"/>
  <c r="L539"/>
  <c r="M539" s="1"/>
  <c r="L540"/>
  <c r="M540" s="1"/>
  <c r="L541"/>
  <c r="M541" s="1"/>
  <c r="L542"/>
  <c r="M542" s="1"/>
  <c r="L543"/>
  <c r="M543" s="1"/>
  <c r="L544"/>
  <c r="M544" s="1"/>
  <c r="L545"/>
  <c r="M545" s="1"/>
  <c r="L546"/>
  <c r="M546" s="1"/>
  <c r="L547"/>
  <c r="M547" s="1"/>
  <c r="L548"/>
  <c r="M548" s="1"/>
  <c r="L549"/>
  <c r="M549" s="1"/>
  <c r="L550"/>
  <c r="M550" s="1"/>
  <c r="L551"/>
  <c r="M551" s="1"/>
  <c r="L552"/>
  <c r="M552" s="1"/>
  <c r="L553"/>
  <c r="M553" s="1"/>
  <c r="L554"/>
  <c r="M554" s="1"/>
  <c r="L555"/>
  <c r="M555" s="1"/>
  <c r="L556"/>
  <c r="M556" s="1"/>
  <c r="L557"/>
  <c r="M557" s="1"/>
  <c r="L558"/>
  <c r="M558" s="1"/>
  <c r="L559"/>
  <c r="M559" s="1"/>
  <c r="L560"/>
  <c r="M560" s="1"/>
  <c r="L561"/>
  <c r="M561" s="1"/>
  <c r="L562"/>
  <c r="M562" s="1"/>
  <c r="L563"/>
  <c r="M563" s="1"/>
  <c r="L564"/>
  <c r="M564" s="1"/>
  <c r="L565"/>
  <c r="M565" s="1"/>
  <c r="L566"/>
  <c r="M566" s="1"/>
  <c r="L567"/>
  <c r="M567" s="1"/>
  <c r="L568"/>
  <c r="M568" s="1"/>
  <c r="L569"/>
  <c r="M569" s="1"/>
  <c r="L570"/>
  <c r="M570" s="1"/>
  <c r="L571"/>
  <c r="M571" s="1"/>
  <c r="L572"/>
  <c r="M572" s="1"/>
  <c r="L573"/>
  <c r="M573" s="1"/>
  <c r="L574"/>
  <c r="M574" s="1"/>
  <c r="L575"/>
  <c r="M575" s="1"/>
  <c r="L576"/>
  <c r="M576" s="1"/>
  <c r="L577"/>
  <c r="M577" s="1"/>
  <c r="L578"/>
  <c r="M578" s="1"/>
  <c r="L579"/>
  <c r="M579" s="1"/>
  <c r="L580"/>
  <c r="M580" s="1"/>
  <c r="L581"/>
  <c r="M581" s="1"/>
  <c r="L582"/>
  <c r="M582" s="1"/>
  <c r="D3"/>
  <c r="E3" s="1"/>
  <c r="G3" s="1"/>
  <c r="D4"/>
  <c r="E4" s="1"/>
  <c r="G4" s="1"/>
  <c r="D5"/>
  <c r="E5" s="1"/>
  <c r="G5" s="1"/>
  <c r="D6"/>
  <c r="E6" s="1"/>
  <c r="G6" s="1"/>
  <c r="I6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2"/>
  <c r="E12" s="1"/>
  <c r="G12" s="1"/>
  <c r="D13"/>
  <c r="E13" s="1"/>
  <c r="G13" s="1"/>
  <c r="D14"/>
  <c r="E14" s="1"/>
  <c r="G14" s="1"/>
  <c r="D15"/>
  <c r="E15" s="1"/>
  <c r="G15" s="1"/>
  <c r="D16"/>
  <c r="E16" s="1"/>
  <c r="G16" s="1"/>
  <c r="D17"/>
  <c r="E17" s="1"/>
  <c r="G17" s="1"/>
  <c r="D18"/>
  <c r="E18" s="1"/>
  <c r="G18" s="1"/>
  <c r="D19"/>
  <c r="E19" s="1"/>
  <c r="G19" s="1"/>
  <c r="D20"/>
  <c r="E20" s="1"/>
  <c r="G20" s="1"/>
  <c r="D21"/>
  <c r="E21" s="1"/>
  <c r="G21" s="1"/>
  <c r="D22"/>
  <c r="E22" s="1"/>
  <c r="G22" s="1"/>
  <c r="D23"/>
  <c r="E23" s="1"/>
  <c r="G23" s="1"/>
  <c r="D24"/>
  <c r="E24" s="1"/>
  <c r="G24" s="1"/>
  <c r="D25"/>
  <c r="E25" s="1"/>
  <c r="G25" s="1"/>
  <c r="D26"/>
  <c r="E26" s="1"/>
  <c r="G26" s="1"/>
  <c r="D27"/>
  <c r="E27" s="1"/>
  <c r="G27" s="1"/>
  <c r="D28"/>
  <c r="E28" s="1"/>
  <c r="G28" s="1"/>
  <c r="D29"/>
  <c r="E29" s="1"/>
  <c r="G29" s="1"/>
  <c r="D30"/>
  <c r="E30" s="1"/>
  <c r="G30" s="1"/>
  <c r="D31"/>
  <c r="E31" s="1"/>
  <c r="G31" s="1"/>
  <c r="D32"/>
  <c r="E32" s="1"/>
  <c r="G32" s="1"/>
  <c r="D33"/>
  <c r="E33" s="1"/>
  <c r="G33" s="1"/>
  <c r="D34"/>
  <c r="E34" s="1"/>
  <c r="G34" s="1"/>
  <c r="D35"/>
  <c r="E35" s="1"/>
  <c r="G35" s="1"/>
  <c r="D36"/>
  <c r="E36" s="1"/>
  <c r="G36" s="1"/>
  <c r="D37"/>
  <c r="E37" s="1"/>
  <c r="G37" s="1"/>
  <c r="D38"/>
  <c r="E38" s="1"/>
  <c r="G38" s="1"/>
  <c r="D39"/>
  <c r="E39" s="1"/>
  <c r="G39" s="1"/>
  <c r="D40"/>
  <c r="E40" s="1"/>
  <c r="G40" s="1"/>
  <c r="D41"/>
  <c r="E41" s="1"/>
  <c r="G41" s="1"/>
  <c r="D42"/>
  <c r="E42" s="1"/>
  <c r="G42" s="1"/>
  <c r="D43"/>
  <c r="E43" s="1"/>
  <c r="G43" s="1"/>
  <c r="D44"/>
  <c r="E44" s="1"/>
  <c r="G44" s="1"/>
  <c r="D45"/>
  <c r="E45" s="1"/>
  <c r="G45" s="1"/>
  <c r="D46"/>
  <c r="E46" s="1"/>
  <c r="G46" s="1"/>
  <c r="D47"/>
  <c r="E47" s="1"/>
  <c r="G47" s="1"/>
  <c r="D48"/>
  <c r="E48" s="1"/>
  <c r="G48" s="1"/>
  <c r="D49"/>
  <c r="E49" s="1"/>
  <c r="G49" s="1"/>
  <c r="D50"/>
  <c r="E50" s="1"/>
  <c r="G50" s="1"/>
  <c r="D51"/>
  <c r="E51" s="1"/>
  <c r="G51" s="1"/>
  <c r="D52"/>
  <c r="E52" s="1"/>
  <c r="G52" s="1"/>
  <c r="D53"/>
  <c r="E53" s="1"/>
  <c r="G53" s="1"/>
  <c r="D54"/>
  <c r="E54" s="1"/>
  <c r="G54" s="1"/>
  <c r="D55"/>
  <c r="E55" s="1"/>
  <c r="G55" s="1"/>
  <c r="D56"/>
  <c r="E56" s="1"/>
  <c r="G56" s="1"/>
  <c r="D57"/>
  <c r="E57" s="1"/>
  <c r="G57" s="1"/>
  <c r="D58"/>
  <c r="E58" s="1"/>
  <c r="G58" s="1"/>
  <c r="D59"/>
  <c r="E59" s="1"/>
  <c r="G59" s="1"/>
  <c r="D60"/>
  <c r="E60" s="1"/>
  <c r="G60" s="1"/>
  <c r="D61"/>
  <c r="E61" s="1"/>
  <c r="G61" s="1"/>
  <c r="D62"/>
  <c r="E62" s="1"/>
  <c r="G62" s="1"/>
  <c r="D63"/>
  <c r="E63" s="1"/>
  <c r="G63" s="1"/>
  <c r="D64"/>
  <c r="E64" s="1"/>
  <c r="G64" s="1"/>
  <c r="D65"/>
  <c r="E65" s="1"/>
  <c r="G65" s="1"/>
  <c r="D66"/>
  <c r="E66" s="1"/>
  <c r="G66" s="1"/>
  <c r="D67"/>
  <c r="E67" s="1"/>
  <c r="G67" s="1"/>
  <c r="D68"/>
  <c r="E68" s="1"/>
  <c r="G68" s="1"/>
  <c r="D69"/>
  <c r="E69" s="1"/>
  <c r="G69" s="1"/>
  <c r="D70"/>
  <c r="E70" s="1"/>
  <c r="G70" s="1"/>
  <c r="D71"/>
  <c r="E71" s="1"/>
  <c r="G71" s="1"/>
  <c r="D72"/>
  <c r="E72" s="1"/>
  <c r="G72" s="1"/>
  <c r="D73"/>
  <c r="E73" s="1"/>
  <c r="G73" s="1"/>
  <c r="D74"/>
  <c r="E74" s="1"/>
  <c r="G74" s="1"/>
  <c r="D75"/>
  <c r="E75" s="1"/>
  <c r="G75" s="1"/>
  <c r="D76"/>
  <c r="E76" s="1"/>
  <c r="G76" s="1"/>
  <c r="D77"/>
  <c r="E77" s="1"/>
  <c r="G77" s="1"/>
  <c r="D78"/>
  <c r="E78" s="1"/>
  <c r="G78" s="1"/>
  <c r="D79"/>
  <c r="E79" s="1"/>
  <c r="G79" s="1"/>
  <c r="D80"/>
  <c r="E80" s="1"/>
  <c r="G80" s="1"/>
  <c r="D81"/>
  <c r="E81" s="1"/>
  <c r="G81" s="1"/>
  <c r="D82"/>
  <c r="E82" s="1"/>
  <c r="G82" s="1"/>
  <c r="D83"/>
  <c r="E83" s="1"/>
  <c r="G83" s="1"/>
  <c r="D84"/>
  <c r="E84" s="1"/>
  <c r="G84" s="1"/>
  <c r="D85"/>
  <c r="E85" s="1"/>
  <c r="G85" s="1"/>
  <c r="D86"/>
  <c r="E86" s="1"/>
  <c r="G86" s="1"/>
  <c r="D87"/>
  <c r="E87" s="1"/>
  <c r="G87" s="1"/>
  <c r="D88"/>
  <c r="E88" s="1"/>
  <c r="G88" s="1"/>
  <c r="D89"/>
  <c r="E89" s="1"/>
  <c r="G89" s="1"/>
  <c r="D90"/>
  <c r="E90" s="1"/>
  <c r="G90" s="1"/>
  <c r="D91"/>
  <c r="E91" s="1"/>
  <c r="G91" s="1"/>
  <c r="D92"/>
  <c r="E92" s="1"/>
  <c r="G92" s="1"/>
  <c r="D93"/>
  <c r="E93" s="1"/>
  <c r="G93" s="1"/>
  <c r="D94"/>
  <c r="E94" s="1"/>
  <c r="G94" s="1"/>
  <c r="D95"/>
  <c r="E95" s="1"/>
  <c r="G95" s="1"/>
  <c r="D96"/>
  <c r="E96" s="1"/>
  <c r="G96" s="1"/>
  <c r="D97"/>
  <c r="E97" s="1"/>
  <c r="G97" s="1"/>
  <c r="D98"/>
  <c r="E98" s="1"/>
  <c r="G98" s="1"/>
  <c r="D99"/>
  <c r="E99" s="1"/>
  <c r="G99" s="1"/>
  <c r="D100"/>
  <c r="E100" s="1"/>
  <c r="G100" s="1"/>
  <c r="D101"/>
  <c r="E101" s="1"/>
  <c r="G101" s="1"/>
  <c r="D102"/>
  <c r="E102" s="1"/>
  <c r="G102" s="1"/>
  <c r="D103"/>
  <c r="E103" s="1"/>
  <c r="G103" s="1"/>
  <c r="D104"/>
  <c r="E104" s="1"/>
  <c r="G104" s="1"/>
  <c r="D105"/>
  <c r="E105" s="1"/>
  <c r="G105" s="1"/>
  <c r="D106"/>
  <c r="E106" s="1"/>
  <c r="G106" s="1"/>
  <c r="D107"/>
  <c r="E107" s="1"/>
  <c r="G107" s="1"/>
  <c r="D108"/>
  <c r="E108" s="1"/>
  <c r="G108" s="1"/>
  <c r="D109"/>
  <c r="E109" s="1"/>
  <c r="G109" s="1"/>
  <c r="D110"/>
  <c r="E110" s="1"/>
  <c r="G110" s="1"/>
  <c r="D111"/>
  <c r="E111" s="1"/>
  <c r="G111" s="1"/>
  <c r="D112"/>
  <c r="E112" s="1"/>
  <c r="G112" s="1"/>
  <c r="D113"/>
  <c r="E113" s="1"/>
  <c r="G113" s="1"/>
  <c r="D114"/>
  <c r="E114" s="1"/>
  <c r="G114" s="1"/>
  <c r="D115"/>
  <c r="E115" s="1"/>
  <c r="G115" s="1"/>
  <c r="D116"/>
  <c r="E116" s="1"/>
  <c r="G116" s="1"/>
  <c r="I116"/>
  <c r="D117"/>
  <c r="E117" s="1"/>
  <c r="G117" s="1"/>
  <c r="I117"/>
  <c r="D118"/>
  <c r="E118" s="1"/>
  <c r="G118" s="1"/>
  <c r="D119"/>
  <c r="E119" s="1"/>
  <c r="G119" s="1"/>
  <c r="I119"/>
  <c r="D120"/>
  <c r="E120" s="1"/>
  <c r="G120" s="1"/>
  <c r="I120"/>
  <c r="D121"/>
  <c r="E121" s="1"/>
  <c r="G121" s="1"/>
  <c r="I121"/>
  <c r="D122"/>
  <c r="E122" s="1"/>
  <c r="G122" s="1"/>
  <c r="D123"/>
  <c r="E123" s="1"/>
  <c r="G123" s="1"/>
  <c r="I123"/>
  <c r="D124"/>
  <c r="E124" s="1"/>
  <c r="G124" s="1"/>
  <c r="I124"/>
  <c r="D125"/>
  <c r="E125" s="1"/>
  <c r="G125" s="1"/>
  <c r="I125"/>
  <c r="D126"/>
  <c r="E126" s="1"/>
  <c r="G126" s="1"/>
  <c r="D127"/>
  <c r="E127" s="1"/>
  <c r="G127" s="1"/>
  <c r="I127"/>
  <c r="D128"/>
  <c r="E128" s="1"/>
  <c r="G128" s="1"/>
  <c r="D129"/>
  <c r="E129" s="1"/>
  <c r="G129" s="1"/>
  <c r="D130"/>
  <c r="E130" s="1"/>
  <c r="G130" s="1"/>
  <c r="D131"/>
  <c r="E131" s="1"/>
  <c r="G131" s="1"/>
  <c r="D132"/>
  <c r="E132" s="1"/>
  <c r="G132" s="1"/>
  <c r="D133"/>
  <c r="E133" s="1"/>
  <c r="G133" s="1"/>
  <c r="D134"/>
  <c r="E134" s="1"/>
  <c r="G134" s="1"/>
  <c r="D135"/>
  <c r="E135" s="1"/>
  <c r="G135" s="1"/>
  <c r="D136"/>
  <c r="E136" s="1"/>
  <c r="G136" s="1"/>
  <c r="D137"/>
  <c r="E137" s="1"/>
  <c r="G137" s="1"/>
  <c r="D138"/>
  <c r="E138" s="1"/>
  <c r="G138" s="1"/>
  <c r="D139"/>
  <c r="E139" s="1"/>
  <c r="G139" s="1"/>
  <c r="D140"/>
  <c r="E140" s="1"/>
  <c r="G140" s="1"/>
  <c r="D141"/>
  <c r="E141" s="1"/>
  <c r="G141" s="1"/>
  <c r="D142"/>
  <c r="E142" s="1"/>
  <c r="G142" s="1"/>
  <c r="D143"/>
  <c r="E143" s="1"/>
  <c r="G143" s="1"/>
  <c r="D144"/>
  <c r="E144" s="1"/>
  <c r="G144" s="1"/>
  <c r="D145"/>
  <c r="E145" s="1"/>
  <c r="G145" s="1"/>
  <c r="D146"/>
  <c r="E146" s="1"/>
  <c r="G146" s="1"/>
  <c r="D147"/>
  <c r="E147" s="1"/>
  <c r="G147" s="1"/>
  <c r="D148"/>
  <c r="E148" s="1"/>
  <c r="G148" s="1"/>
  <c r="D149"/>
  <c r="E149" s="1"/>
  <c r="G149" s="1"/>
  <c r="D150"/>
  <c r="E150" s="1"/>
  <c r="G150" s="1"/>
  <c r="D151"/>
  <c r="E151" s="1"/>
  <c r="G151" s="1"/>
  <c r="I151"/>
  <c r="D152"/>
  <c r="E152" s="1"/>
  <c r="G152" s="1"/>
  <c r="D153"/>
  <c r="E153" s="1"/>
  <c r="G153" s="1"/>
  <c r="D154"/>
  <c r="E154" s="1"/>
  <c r="G154" s="1"/>
  <c r="I154"/>
  <c r="D155"/>
  <c r="E155" s="1"/>
  <c r="G155" s="1"/>
  <c r="I155"/>
  <c r="D156"/>
  <c r="E156" s="1"/>
  <c r="G156" s="1"/>
  <c r="D157"/>
  <c r="E157" s="1"/>
  <c r="G157" s="1"/>
  <c r="I157"/>
  <c r="D158"/>
  <c r="E158" s="1"/>
  <c r="G158" s="1"/>
  <c r="I158"/>
  <c r="D159"/>
  <c r="E159" s="1"/>
  <c r="G159" s="1"/>
  <c r="D160"/>
  <c r="E160" s="1"/>
  <c r="G160" s="1"/>
  <c r="D161"/>
  <c r="E161" s="1"/>
  <c r="G161" s="1"/>
  <c r="I161"/>
  <c r="D162"/>
  <c r="E162" s="1"/>
  <c r="G162" s="1"/>
  <c r="I162"/>
  <c r="D163"/>
  <c r="E163" s="1"/>
  <c r="G163" s="1"/>
  <c r="I163"/>
  <c r="D164"/>
  <c r="E164" s="1"/>
  <c r="G164" s="1"/>
  <c r="D165"/>
  <c r="E165" s="1"/>
  <c r="G165" s="1"/>
  <c r="I165"/>
  <c r="D166"/>
  <c r="E166" s="1"/>
  <c r="G166" s="1"/>
  <c r="I166"/>
  <c r="D167"/>
  <c r="E167" s="1"/>
  <c r="G167" s="1"/>
  <c r="D168"/>
  <c r="E168" s="1"/>
  <c r="G168" s="1"/>
  <c r="D169"/>
  <c r="E169" s="1"/>
  <c r="G169" s="1"/>
  <c r="D170"/>
  <c r="E170" s="1"/>
  <c r="G170" s="1"/>
  <c r="D171"/>
  <c r="E171" s="1"/>
  <c r="G171" s="1"/>
  <c r="D172"/>
  <c r="E172" s="1"/>
  <c r="G172" s="1"/>
  <c r="D173"/>
  <c r="E173" s="1"/>
  <c r="G173" s="1"/>
  <c r="D174"/>
  <c r="E174" s="1"/>
  <c r="G174" s="1"/>
  <c r="D175"/>
  <c r="E175" s="1"/>
  <c r="G175" s="1"/>
  <c r="D176"/>
  <c r="E176" s="1"/>
  <c r="G176" s="1"/>
  <c r="D177"/>
  <c r="E177" s="1"/>
  <c r="G177" s="1"/>
  <c r="D178"/>
  <c r="E178" s="1"/>
  <c r="G178" s="1"/>
  <c r="D179"/>
  <c r="E179" s="1"/>
  <c r="G179" s="1"/>
  <c r="D180"/>
  <c r="E180" s="1"/>
  <c r="G180" s="1"/>
  <c r="D181"/>
  <c r="E181" s="1"/>
  <c r="G181" s="1"/>
  <c r="D182"/>
  <c r="E182" s="1"/>
  <c r="G182" s="1"/>
  <c r="D183"/>
  <c r="E183" s="1"/>
  <c r="G183" s="1"/>
  <c r="D184"/>
  <c r="E184" s="1"/>
  <c r="G184" s="1"/>
  <c r="D185"/>
  <c r="E185" s="1"/>
  <c r="G185" s="1"/>
  <c r="D186"/>
  <c r="E186" s="1"/>
  <c r="G186" s="1"/>
  <c r="D187"/>
  <c r="E187" s="1"/>
  <c r="G187" s="1"/>
  <c r="D188"/>
  <c r="E188" s="1"/>
  <c r="G188" s="1"/>
  <c r="D189"/>
  <c r="E189" s="1"/>
  <c r="G189" s="1"/>
  <c r="D190"/>
  <c r="E190" s="1"/>
  <c r="G190" s="1"/>
  <c r="D191"/>
  <c r="E191" s="1"/>
  <c r="G191" s="1"/>
  <c r="D192"/>
  <c r="E192" s="1"/>
  <c r="G192" s="1"/>
  <c r="D193"/>
  <c r="E193" s="1"/>
  <c r="G193" s="1"/>
  <c r="D194"/>
  <c r="E194" s="1"/>
  <c r="G194" s="1"/>
  <c r="I194"/>
  <c r="D195"/>
  <c r="E195" s="1"/>
  <c r="G195" s="1"/>
  <c r="D196"/>
  <c r="E196" s="1"/>
  <c r="G196" s="1"/>
  <c r="D197"/>
  <c r="E197" s="1"/>
  <c r="G197" s="1"/>
  <c r="D198"/>
  <c r="E198" s="1"/>
  <c r="G198" s="1"/>
  <c r="I198"/>
  <c r="D199"/>
  <c r="E199" s="1"/>
  <c r="G199" s="1"/>
  <c r="D200"/>
  <c r="E200" s="1"/>
  <c r="G200" s="1"/>
  <c r="D201"/>
  <c r="E201" s="1"/>
  <c r="G201" s="1"/>
  <c r="I201"/>
  <c r="D202"/>
  <c r="E202" s="1"/>
  <c r="G202" s="1"/>
  <c r="D203"/>
  <c r="E203" s="1"/>
  <c r="G203" s="1"/>
  <c r="D204"/>
  <c r="E204" s="1"/>
  <c r="G204" s="1"/>
  <c r="D205"/>
  <c r="E205" s="1"/>
  <c r="G205" s="1"/>
  <c r="D206"/>
  <c r="E206" s="1"/>
  <c r="G206" s="1"/>
  <c r="D207"/>
  <c r="E207" s="1"/>
  <c r="G207" s="1"/>
  <c r="D208"/>
  <c r="E208" s="1"/>
  <c r="G208" s="1"/>
  <c r="D209"/>
  <c r="E209" s="1"/>
  <c r="G209" s="1"/>
  <c r="D210"/>
  <c r="E210" s="1"/>
  <c r="G210" s="1"/>
  <c r="D211"/>
  <c r="E211" s="1"/>
  <c r="G211" s="1"/>
  <c r="D212"/>
  <c r="E212" s="1"/>
  <c r="G212" s="1"/>
  <c r="D213"/>
  <c r="E213" s="1"/>
  <c r="G213" s="1"/>
  <c r="D214"/>
  <c r="E214" s="1"/>
  <c r="G214" s="1"/>
  <c r="D215"/>
  <c r="E215" s="1"/>
  <c r="G215" s="1"/>
  <c r="D216"/>
  <c r="E216" s="1"/>
  <c r="G216" s="1"/>
  <c r="D217"/>
  <c r="E217" s="1"/>
  <c r="G217" s="1"/>
  <c r="D218"/>
  <c r="E218" s="1"/>
  <c r="G218" s="1"/>
  <c r="D219"/>
  <c r="E219" s="1"/>
  <c r="G219" s="1"/>
  <c r="D220"/>
  <c r="E220" s="1"/>
  <c r="G220" s="1"/>
  <c r="D221"/>
  <c r="E221" s="1"/>
  <c r="G221" s="1"/>
  <c r="D222"/>
  <c r="E222" s="1"/>
  <c r="G222" s="1"/>
  <c r="D223"/>
  <c r="E223" s="1"/>
  <c r="G223" s="1"/>
  <c r="D224"/>
  <c r="E224" s="1"/>
  <c r="G224" s="1"/>
  <c r="D225"/>
  <c r="E225" s="1"/>
  <c r="G225" s="1"/>
  <c r="D226"/>
  <c r="E226" s="1"/>
  <c r="G226" s="1"/>
  <c r="D227"/>
  <c r="E227" s="1"/>
  <c r="G227" s="1"/>
  <c r="D228"/>
  <c r="E228" s="1"/>
  <c r="G228" s="1"/>
  <c r="D229"/>
  <c r="E229" s="1"/>
  <c r="G229" s="1"/>
  <c r="D230"/>
  <c r="E230" s="1"/>
  <c r="G230" s="1"/>
  <c r="D231"/>
  <c r="E231" s="1"/>
  <c r="G231" s="1"/>
  <c r="D232"/>
  <c r="E232" s="1"/>
  <c r="G232" s="1"/>
  <c r="D233"/>
  <c r="E233" s="1"/>
  <c r="G233" s="1"/>
  <c r="D234"/>
  <c r="E234" s="1"/>
  <c r="G234" s="1"/>
  <c r="D235"/>
  <c r="E235" s="1"/>
  <c r="G235" s="1"/>
  <c r="D236"/>
  <c r="E236" s="1"/>
  <c r="G236" s="1"/>
  <c r="D237"/>
  <c r="E237" s="1"/>
  <c r="G237" s="1"/>
  <c r="D238"/>
  <c r="E238" s="1"/>
  <c r="G238" s="1"/>
  <c r="D239"/>
  <c r="E239" s="1"/>
  <c r="G239" s="1"/>
  <c r="D240"/>
  <c r="E240" s="1"/>
  <c r="G240" s="1"/>
  <c r="D241"/>
  <c r="E241" s="1"/>
  <c r="G241" s="1"/>
  <c r="D242"/>
  <c r="E242" s="1"/>
  <c r="G242" s="1"/>
  <c r="D243"/>
  <c r="E243" s="1"/>
  <c r="G243" s="1"/>
  <c r="D244"/>
  <c r="E244" s="1"/>
  <c r="G244" s="1"/>
  <c r="D245"/>
  <c r="E245" s="1"/>
  <c r="G245" s="1"/>
  <c r="D246"/>
  <c r="E246" s="1"/>
  <c r="G246" s="1"/>
  <c r="D247"/>
  <c r="E247" s="1"/>
  <c r="G247" s="1"/>
  <c r="D248"/>
  <c r="E248" s="1"/>
  <c r="G248" s="1"/>
  <c r="D249"/>
  <c r="E249" s="1"/>
  <c r="G249" s="1"/>
  <c r="D250"/>
  <c r="E250" s="1"/>
  <c r="G250" s="1"/>
  <c r="D251"/>
  <c r="E251" s="1"/>
  <c r="G251" s="1"/>
  <c r="D252"/>
  <c r="E252" s="1"/>
  <c r="G252" s="1"/>
  <c r="D253"/>
  <c r="E253" s="1"/>
  <c r="G253" s="1"/>
  <c r="D254"/>
  <c r="E254" s="1"/>
  <c r="G254" s="1"/>
  <c r="D255"/>
  <c r="E255" s="1"/>
  <c r="G255" s="1"/>
  <c r="D256"/>
  <c r="E256" s="1"/>
  <c r="G256" s="1"/>
  <c r="D257"/>
  <c r="E257" s="1"/>
  <c r="G257" s="1"/>
  <c r="D258"/>
  <c r="E258" s="1"/>
  <c r="G258" s="1"/>
  <c r="D259"/>
  <c r="E259" s="1"/>
  <c r="G259" s="1"/>
  <c r="D260"/>
  <c r="E260" s="1"/>
  <c r="G260" s="1"/>
  <c r="D261"/>
  <c r="E261" s="1"/>
  <c r="G261" s="1"/>
  <c r="D262"/>
  <c r="E262" s="1"/>
  <c r="G262" s="1"/>
  <c r="D263"/>
  <c r="E263" s="1"/>
  <c r="G263" s="1"/>
  <c r="D264"/>
  <c r="E264" s="1"/>
  <c r="G264" s="1"/>
  <c r="D265"/>
  <c r="E265" s="1"/>
  <c r="G265" s="1"/>
  <c r="D266"/>
  <c r="E266" s="1"/>
  <c r="G266" s="1"/>
  <c r="D267"/>
  <c r="E267" s="1"/>
  <c r="G267" s="1"/>
  <c r="D268"/>
  <c r="E268" s="1"/>
  <c r="G268" s="1"/>
  <c r="D269"/>
  <c r="E269" s="1"/>
  <c r="G269" s="1"/>
  <c r="D270"/>
  <c r="E270" s="1"/>
  <c r="G270" s="1"/>
  <c r="D271"/>
  <c r="E271" s="1"/>
  <c r="G271" s="1"/>
  <c r="D272"/>
  <c r="E272" s="1"/>
  <c r="G272" s="1"/>
  <c r="D273"/>
  <c r="E273" s="1"/>
  <c r="G273" s="1"/>
  <c r="D274"/>
  <c r="E274" s="1"/>
  <c r="G274" s="1"/>
  <c r="D275"/>
  <c r="E275" s="1"/>
  <c r="G275" s="1"/>
  <c r="D276"/>
  <c r="E276" s="1"/>
  <c r="G276" s="1"/>
  <c r="D277"/>
  <c r="E277" s="1"/>
  <c r="G277" s="1"/>
  <c r="I277"/>
  <c r="D278"/>
  <c r="E278" s="1"/>
  <c r="G278" s="1"/>
  <c r="D279"/>
  <c r="E279" s="1"/>
  <c r="G279" s="1"/>
  <c r="I279"/>
  <c r="D280"/>
  <c r="E280" s="1"/>
  <c r="G280" s="1"/>
  <c r="D281"/>
  <c r="E281" s="1"/>
  <c r="G281" s="1"/>
  <c r="I281"/>
  <c r="D282"/>
  <c r="E282" s="1"/>
  <c r="G282" s="1"/>
  <c r="D283"/>
  <c r="E283" s="1"/>
  <c r="G283" s="1"/>
  <c r="D284"/>
  <c r="E284" s="1"/>
  <c r="G284" s="1"/>
  <c r="D285"/>
  <c r="E285" s="1"/>
  <c r="G285" s="1"/>
  <c r="D286"/>
  <c r="E286" s="1"/>
  <c r="G286" s="1"/>
  <c r="D287"/>
  <c r="E287" s="1"/>
  <c r="G287" s="1"/>
  <c r="D288"/>
  <c r="E288" s="1"/>
  <c r="G288" s="1"/>
  <c r="D289"/>
  <c r="E289" s="1"/>
  <c r="G289" s="1"/>
  <c r="D290"/>
  <c r="E290" s="1"/>
  <c r="G290" s="1"/>
  <c r="D291"/>
  <c r="E291" s="1"/>
  <c r="G291" s="1"/>
  <c r="D292"/>
  <c r="E292" s="1"/>
  <c r="G292" s="1"/>
  <c r="D293"/>
  <c r="E293" s="1"/>
  <c r="G293" s="1"/>
  <c r="D294"/>
  <c r="E294" s="1"/>
  <c r="G294" s="1"/>
  <c r="D295"/>
  <c r="E295" s="1"/>
  <c r="G295" s="1"/>
  <c r="D296"/>
  <c r="E296" s="1"/>
  <c r="G296" s="1"/>
  <c r="D297"/>
  <c r="E297" s="1"/>
  <c r="G297" s="1"/>
  <c r="D298"/>
  <c r="E298" s="1"/>
  <c r="G298" s="1"/>
  <c r="D299"/>
  <c r="E299" s="1"/>
  <c r="G299" s="1"/>
  <c r="D300"/>
  <c r="E300" s="1"/>
  <c r="G300" s="1"/>
  <c r="D301"/>
  <c r="E301" s="1"/>
  <c r="G301" s="1"/>
  <c r="D302"/>
  <c r="E302" s="1"/>
  <c r="G302" s="1"/>
  <c r="D303"/>
  <c r="E303" s="1"/>
  <c r="G303" s="1"/>
  <c r="D304"/>
  <c r="E304" s="1"/>
  <c r="G304" s="1"/>
  <c r="D305"/>
  <c r="E305" s="1"/>
  <c r="G305" s="1"/>
  <c r="D306"/>
  <c r="E306" s="1"/>
  <c r="G306" s="1"/>
  <c r="D307"/>
  <c r="E307" s="1"/>
  <c r="G307" s="1"/>
  <c r="I307"/>
  <c r="D308"/>
  <c r="E308" s="1"/>
  <c r="G308" s="1"/>
  <c r="I308"/>
  <c r="D309"/>
  <c r="E309" s="1"/>
  <c r="G309" s="1"/>
  <c r="D310"/>
  <c r="E310" s="1"/>
  <c r="G310" s="1"/>
  <c r="I310"/>
  <c r="D311"/>
  <c r="E311" s="1"/>
  <c r="G311" s="1"/>
  <c r="D312"/>
  <c r="E312" s="1"/>
  <c r="G312" s="1"/>
  <c r="D313"/>
  <c r="E313" s="1"/>
  <c r="G313" s="1"/>
  <c r="D314"/>
  <c r="E314" s="1"/>
  <c r="G314" s="1"/>
  <c r="D315"/>
  <c r="E315" s="1"/>
  <c r="G315" s="1"/>
  <c r="D316"/>
  <c r="E316" s="1"/>
  <c r="G316" s="1"/>
  <c r="D317"/>
  <c r="E317" s="1"/>
  <c r="G317" s="1"/>
  <c r="D318"/>
  <c r="E318" s="1"/>
  <c r="G318" s="1"/>
  <c r="D319"/>
  <c r="E319" s="1"/>
  <c r="G319" s="1"/>
  <c r="D320"/>
  <c r="E320" s="1"/>
  <c r="G320" s="1"/>
  <c r="D321"/>
  <c r="E321" s="1"/>
  <c r="G321" s="1"/>
  <c r="D322"/>
  <c r="E322" s="1"/>
  <c r="G322" s="1"/>
  <c r="D323"/>
  <c r="E323" s="1"/>
  <c r="G323" s="1"/>
  <c r="D324"/>
  <c r="E324" s="1"/>
  <c r="G324" s="1"/>
  <c r="D325"/>
  <c r="E325" s="1"/>
  <c r="G325" s="1"/>
  <c r="D326"/>
  <c r="E326" s="1"/>
  <c r="G326" s="1"/>
  <c r="D327"/>
  <c r="E327" s="1"/>
  <c r="G327" s="1"/>
  <c r="D328"/>
  <c r="E328" s="1"/>
  <c r="G328" s="1"/>
  <c r="D329"/>
  <c r="E329" s="1"/>
  <c r="G329" s="1"/>
  <c r="D330"/>
  <c r="E330" s="1"/>
  <c r="G330" s="1"/>
  <c r="D331"/>
  <c r="E331" s="1"/>
  <c r="G331" s="1"/>
  <c r="D332"/>
  <c r="E332" s="1"/>
  <c r="G332" s="1"/>
  <c r="D333"/>
  <c r="E333" s="1"/>
  <c r="G333" s="1"/>
  <c r="D334"/>
  <c r="E334" s="1"/>
  <c r="G334" s="1"/>
  <c r="D335"/>
  <c r="E335" s="1"/>
  <c r="G335" s="1"/>
  <c r="D336"/>
  <c r="E336" s="1"/>
  <c r="G336" s="1"/>
  <c r="D337"/>
  <c r="E337" s="1"/>
  <c r="G337" s="1"/>
  <c r="D338"/>
  <c r="E338" s="1"/>
  <c r="G338" s="1"/>
  <c r="D339"/>
  <c r="E339" s="1"/>
  <c r="G339" s="1"/>
  <c r="D340"/>
  <c r="E340" s="1"/>
  <c r="G340" s="1"/>
  <c r="D341"/>
  <c r="E341" s="1"/>
  <c r="G341" s="1"/>
  <c r="D342"/>
  <c r="E342" s="1"/>
  <c r="G342" s="1"/>
  <c r="D343"/>
  <c r="E343" s="1"/>
  <c r="G343" s="1"/>
  <c r="D344"/>
  <c r="E344" s="1"/>
  <c r="G344" s="1"/>
  <c r="D345"/>
  <c r="E345" s="1"/>
  <c r="G345" s="1"/>
  <c r="D346"/>
  <c r="E346" s="1"/>
  <c r="G346" s="1"/>
  <c r="D347"/>
  <c r="E347" s="1"/>
  <c r="G347" s="1"/>
  <c r="D348"/>
  <c r="E348" s="1"/>
  <c r="G348" s="1"/>
  <c r="D349"/>
  <c r="E349" s="1"/>
  <c r="G349" s="1"/>
  <c r="D350"/>
  <c r="E350" s="1"/>
  <c r="G350" s="1"/>
  <c r="D351"/>
  <c r="E351" s="1"/>
  <c r="G351" s="1"/>
  <c r="D352"/>
  <c r="E352" s="1"/>
  <c r="G352" s="1"/>
  <c r="D353"/>
  <c r="E353" s="1"/>
  <c r="G353" s="1"/>
  <c r="D354"/>
  <c r="E354" s="1"/>
  <c r="G354" s="1"/>
  <c r="D355"/>
  <c r="E355" s="1"/>
  <c r="G355" s="1"/>
  <c r="D356"/>
  <c r="E356" s="1"/>
  <c r="G356" s="1"/>
  <c r="D357"/>
  <c r="E357" s="1"/>
  <c r="G357" s="1"/>
  <c r="D358"/>
  <c r="E358" s="1"/>
  <c r="G358" s="1"/>
  <c r="D359"/>
  <c r="E359" s="1"/>
  <c r="G359" s="1"/>
  <c r="D360"/>
  <c r="E360" s="1"/>
  <c r="G360" s="1"/>
  <c r="D361"/>
  <c r="E361" s="1"/>
  <c r="G361" s="1"/>
  <c r="D362"/>
  <c r="E362" s="1"/>
  <c r="G362" s="1"/>
  <c r="D363"/>
  <c r="E363" s="1"/>
  <c r="G363" s="1"/>
  <c r="D364"/>
  <c r="E364" s="1"/>
  <c r="G364" s="1"/>
  <c r="D365"/>
  <c r="E365" s="1"/>
  <c r="G365" s="1"/>
  <c r="D366"/>
  <c r="E366" s="1"/>
  <c r="G366" s="1"/>
  <c r="D367"/>
  <c r="E367" s="1"/>
  <c r="G367" s="1"/>
  <c r="D368"/>
  <c r="E368" s="1"/>
  <c r="G368" s="1"/>
  <c r="D369"/>
  <c r="E369" s="1"/>
  <c r="G369" s="1"/>
  <c r="D370"/>
  <c r="E370" s="1"/>
  <c r="G370" s="1"/>
  <c r="D371"/>
  <c r="E371" s="1"/>
  <c r="G371" s="1"/>
  <c r="D372"/>
  <c r="E372" s="1"/>
  <c r="G372" s="1"/>
  <c r="D373"/>
  <c r="E373" s="1"/>
  <c r="G373" s="1"/>
  <c r="D374"/>
  <c r="E374" s="1"/>
  <c r="G374" s="1"/>
  <c r="D375"/>
  <c r="E375" s="1"/>
  <c r="G375" s="1"/>
  <c r="D376"/>
  <c r="E376" s="1"/>
  <c r="G376" s="1"/>
  <c r="D377"/>
  <c r="E377" s="1"/>
  <c r="G377" s="1"/>
  <c r="D378"/>
  <c r="E378" s="1"/>
  <c r="G378" s="1"/>
  <c r="D379"/>
  <c r="E379" s="1"/>
  <c r="G379" s="1"/>
  <c r="D380"/>
  <c r="E380" s="1"/>
  <c r="G380" s="1"/>
  <c r="D381"/>
  <c r="E381" s="1"/>
  <c r="G381" s="1"/>
  <c r="D382"/>
  <c r="E382" s="1"/>
  <c r="G382" s="1"/>
  <c r="D383"/>
  <c r="E383" s="1"/>
  <c r="G383" s="1"/>
  <c r="D384"/>
  <c r="E384" s="1"/>
  <c r="G384" s="1"/>
  <c r="D385"/>
  <c r="E385" s="1"/>
  <c r="G385" s="1"/>
  <c r="D386"/>
  <c r="E386" s="1"/>
  <c r="G386" s="1"/>
  <c r="D387"/>
  <c r="E387" s="1"/>
  <c r="G387" s="1"/>
  <c r="D388"/>
  <c r="E388" s="1"/>
  <c r="G388" s="1"/>
  <c r="D389"/>
  <c r="E389" s="1"/>
  <c r="G389" s="1"/>
  <c r="D390"/>
  <c r="E390" s="1"/>
  <c r="G390" s="1"/>
  <c r="D391"/>
  <c r="E391" s="1"/>
  <c r="G391" s="1"/>
  <c r="D392"/>
  <c r="E392" s="1"/>
  <c r="G392" s="1"/>
  <c r="I392"/>
  <c r="D393"/>
  <c r="E393" s="1"/>
  <c r="G393" s="1"/>
  <c r="I393"/>
  <c r="D394"/>
  <c r="E394" s="1"/>
  <c r="G394" s="1"/>
  <c r="D395"/>
  <c r="E395" s="1"/>
  <c r="G395" s="1"/>
  <c r="D396"/>
  <c r="E396" s="1"/>
  <c r="G396" s="1"/>
  <c r="D397"/>
  <c r="E397" s="1"/>
  <c r="G397" s="1"/>
  <c r="D398"/>
  <c r="E398" s="1"/>
  <c r="G398" s="1"/>
  <c r="D399"/>
  <c r="E399" s="1"/>
  <c r="G399" s="1"/>
  <c r="D400"/>
  <c r="E400" s="1"/>
  <c r="G400" s="1"/>
  <c r="D401"/>
  <c r="E401" s="1"/>
  <c r="G401" s="1"/>
  <c r="D402"/>
  <c r="E402" s="1"/>
  <c r="G402" s="1"/>
  <c r="D403"/>
  <c r="E403" s="1"/>
  <c r="G403" s="1"/>
  <c r="D404"/>
  <c r="E404" s="1"/>
  <c r="G404" s="1"/>
  <c r="D405"/>
  <c r="E405" s="1"/>
  <c r="G405" s="1"/>
  <c r="D406"/>
  <c r="E406" s="1"/>
  <c r="G406" s="1"/>
  <c r="D407"/>
  <c r="E407" s="1"/>
  <c r="G407" s="1"/>
  <c r="D408"/>
  <c r="E408" s="1"/>
  <c r="G408" s="1"/>
  <c r="D409"/>
  <c r="E409" s="1"/>
  <c r="G409" s="1"/>
  <c r="D410"/>
  <c r="E410" s="1"/>
  <c r="G410" s="1"/>
  <c r="D411"/>
  <c r="E411" s="1"/>
  <c r="G411" s="1"/>
  <c r="I411"/>
  <c r="D412"/>
  <c r="E412" s="1"/>
  <c r="G412" s="1"/>
  <c r="D413"/>
  <c r="E413" s="1"/>
  <c r="G413" s="1"/>
  <c r="D414"/>
  <c r="E414" s="1"/>
  <c r="G414" s="1"/>
  <c r="D415"/>
  <c r="E415" s="1"/>
  <c r="G415" s="1"/>
  <c r="D416"/>
  <c r="E416" s="1"/>
  <c r="G416" s="1"/>
  <c r="D417"/>
  <c r="E417" s="1"/>
  <c r="G417" s="1"/>
  <c r="D418"/>
  <c r="E418" s="1"/>
  <c r="G418" s="1"/>
  <c r="D419"/>
  <c r="E419" s="1"/>
  <c r="G419" s="1"/>
  <c r="D420"/>
  <c r="E420" s="1"/>
  <c r="G420" s="1"/>
  <c r="D421"/>
  <c r="E421" s="1"/>
  <c r="G421" s="1"/>
  <c r="D422"/>
  <c r="E422" s="1"/>
  <c r="G422" s="1"/>
  <c r="D423"/>
  <c r="E423" s="1"/>
  <c r="G423" s="1"/>
  <c r="D424"/>
  <c r="E424" s="1"/>
  <c r="G424" s="1"/>
  <c r="D425"/>
  <c r="E425" s="1"/>
  <c r="G425" s="1"/>
  <c r="D426"/>
  <c r="E426" s="1"/>
  <c r="G426" s="1"/>
  <c r="D427"/>
  <c r="E427" s="1"/>
  <c r="G427" s="1"/>
  <c r="D428"/>
  <c r="E428" s="1"/>
  <c r="G428" s="1"/>
  <c r="I428"/>
  <c r="D429"/>
  <c r="E429" s="1"/>
  <c r="G429" s="1"/>
  <c r="D430"/>
  <c r="E430" s="1"/>
  <c r="G430" s="1"/>
  <c r="D431"/>
  <c r="E431" s="1"/>
  <c r="G431" s="1"/>
  <c r="I431"/>
  <c r="D432"/>
  <c r="E432" s="1"/>
  <c r="G432" s="1"/>
  <c r="D433"/>
  <c r="E433" s="1"/>
  <c r="G433" s="1"/>
  <c r="D434"/>
  <c r="E434" s="1"/>
  <c r="G434" s="1"/>
  <c r="D436"/>
  <c r="E436" s="1"/>
  <c r="G436" s="1"/>
  <c r="D437"/>
  <c r="E437" s="1"/>
  <c r="G437" s="1"/>
  <c r="D438"/>
  <c r="E438" s="1"/>
  <c r="G438" s="1"/>
  <c r="D439"/>
  <c r="E439" s="1"/>
  <c r="G439" s="1"/>
  <c r="D440"/>
  <c r="E440" s="1"/>
  <c r="G440" s="1"/>
  <c r="D441"/>
  <c r="E441" s="1"/>
  <c r="G441" s="1"/>
  <c r="D442"/>
  <c r="E442" s="1"/>
  <c r="G442" s="1"/>
  <c r="D443"/>
  <c r="E443" s="1"/>
  <c r="G443" s="1"/>
  <c r="D444"/>
  <c r="E444" s="1"/>
  <c r="G444" s="1"/>
  <c r="D445"/>
  <c r="E445" s="1"/>
  <c r="G445" s="1"/>
  <c r="D446"/>
  <c r="E446" s="1"/>
  <c r="G446" s="1"/>
  <c r="D447"/>
  <c r="E447" s="1"/>
  <c r="G447" s="1"/>
  <c r="D448"/>
  <c r="E448" s="1"/>
  <c r="G448" s="1"/>
  <c r="D449"/>
  <c r="E449" s="1"/>
  <c r="G449" s="1"/>
  <c r="D450"/>
  <c r="E450" s="1"/>
  <c r="G450" s="1"/>
  <c r="D451"/>
  <c r="E451" s="1"/>
  <c r="G451" s="1"/>
  <c r="D452"/>
  <c r="E452" s="1"/>
  <c r="G452" s="1"/>
  <c r="D453"/>
  <c r="E453" s="1"/>
  <c r="G453" s="1"/>
  <c r="D454"/>
  <c r="E454" s="1"/>
  <c r="G454" s="1"/>
  <c r="D455"/>
  <c r="E455" s="1"/>
  <c r="G455" s="1"/>
  <c r="D456"/>
  <c r="E456" s="1"/>
  <c r="G456" s="1"/>
  <c r="D457"/>
  <c r="E457" s="1"/>
  <c r="G457" s="1"/>
  <c r="D458"/>
  <c r="E458" s="1"/>
  <c r="G458" s="1"/>
  <c r="D459"/>
  <c r="E459" s="1"/>
  <c r="G459" s="1"/>
  <c r="D460"/>
  <c r="E460" s="1"/>
  <c r="G460" s="1"/>
  <c r="D461"/>
  <c r="E461" s="1"/>
  <c r="G461" s="1"/>
  <c r="D462"/>
  <c r="E462" s="1"/>
  <c r="G462" s="1"/>
  <c r="D463"/>
  <c r="E463" s="1"/>
  <c r="G463" s="1"/>
  <c r="D464"/>
  <c r="E464" s="1"/>
  <c r="G464" s="1"/>
  <c r="D465"/>
  <c r="E465" s="1"/>
  <c r="G465" s="1"/>
  <c r="D466"/>
  <c r="E466" s="1"/>
  <c r="G466" s="1"/>
  <c r="D467"/>
  <c r="E467" s="1"/>
  <c r="G467" s="1"/>
  <c r="D468"/>
  <c r="E468" s="1"/>
  <c r="G468" s="1"/>
  <c r="D469"/>
  <c r="E469" s="1"/>
  <c r="G469" s="1"/>
  <c r="D470"/>
  <c r="E470" s="1"/>
  <c r="G470" s="1"/>
  <c r="D471"/>
  <c r="E471" s="1"/>
  <c r="G471" s="1"/>
  <c r="D472"/>
  <c r="E472" s="1"/>
  <c r="G472" s="1"/>
  <c r="D473"/>
  <c r="E473" s="1"/>
  <c r="G473" s="1"/>
  <c r="D474"/>
  <c r="E474" s="1"/>
  <c r="G474" s="1"/>
  <c r="D475"/>
  <c r="E475" s="1"/>
  <c r="G475" s="1"/>
  <c r="I475"/>
  <c r="D476"/>
  <c r="E476" s="1"/>
  <c r="G476" s="1"/>
  <c r="D477"/>
  <c r="E477" s="1"/>
  <c r="G477" s="1"/>
  <c r="D478"/>
  <c r="E478" s="1"/>
  <c r="G478" s="1"/>
  <c r="D479"/>
  <c r="E479" s="1"/>
  <c r="G479" s="1"/>
  <c r="D480"/>
  <c r="E480" s="1"/>
  <c r="G480" s="1"/>
  <c r="D481"/>
  <c r="E481" s="1"/>
  <c r="G481" s="1"/>
  <c r="D482"/>
  <c r="E482" s="1"/>
  <c r="G482" s="1"/>
  <c r="D483"/>
  <c r="E483" s="1"/>
  <c r="G483" s="1"/>
  <c r="I483"/>
  <c r="D484"/>
  <c r="E484" s="1"/>
  <c r="G484" s="1"/>
  <c r="D485"/>
  <c r="E485" s="1"/>
  <c r="G485" s="1"/>
  <c r="D486"/>
  <c r="E486" s="1"/>
  <c r="G486" s="1"/>
  <c r="D487"/>
  <c r="E487" s="1"/>
  <c r="G487" s="1"/>
  <c r="D488"/>
  <c r="E488" s="1"/>
  <c r="G488" s="1"/>
  <c r="D489"/>
  <c r="E489" s="1"/>
  <c r="G489" s="1"/>
  <c r="D490"/>
  <c r="E490" s="1"/>
  <c r="G490" s="1"/>
  <c r="D491"/>
  <c r="E491" s="1"/>
  <c r="G491" s="1"/>
  <c r="D492"/>
  <c r="E492" s="1"/>
  <c r="G492" s="1"/>
  <c r="D493"/>
  <c r="E493" s="1"/>
  <c r="G493" s="1"/>
  <c r="D494"/>
  <c r="E494" s="1"/>
  <c r="G494" s="1"/>
  <c r="D495"/>
  <c r="E495" s="1"/>
  <c r="G495" s="1"/>
  <c r="D496"/>
  <c r="E496" s="1"/>
  <c r="G496" s="1"/>
  <c r="D497"/>
  <c r="E497" s="1"/>
  <c r="G497" s="1"/>
  <c r="D498"/>
  <c r="E498" s="1"/>
  <c r="G498" s="1"/>
  <c r="I498"/>
  <c r="D499"/>
  <c r="E499" s="1"/>
  <c r="G499" s="1"/>
  <c r="D500"/>
  <c r="E500" s="1"/>
  <c r="G500" s="1"/>
  <c r="D501"/>
  <c r="E501" s="1"/>
  <c r="G501" s="1"/>
  <c r="D502"/>
  <c r="E502" s="1"/>
  <c r="G502" s="1"/>
  <c r="D503"/>
  <c r="E503" s="1"/>
  <c r="G503" s="1"/>
  <c r="D504"/>
  <c r="E504" s="1"/>
  <c r="G504" s="1"/>
  <c r="D505"/>
  <c r="E505" s="1"/>
  <c r="G505" s="1"/>
  <c r="D506"/>
  <c r="E506" s="1"/>
  <c r="G506" s="1"/>
  <c r="D507"/>
  <c r="E507" s="1"/>
  <c r="G507" s="1"/>
  <c r="D508"/>
  <c r="E508" s="1"/>
  <c r="G508" s="1"/>
  <c r="D509"/>
  <c r="E509" s="1"/>
  <c r="G509" s="1"/>
  <c r="D510"/>
  <c r="E510" s="1"/>
  <c r="G510" s="1"/>
  <c r="D511"/>
  <c r="E511" s="1"/>
  <c r="G511" s="1"/>
  <c r="D512"/>
  <c r="E512" s="1"/>
  <c r="G512" s="1"/>
  <c r="D513"/>
  <c r="E513" s="1"/>
  <c r="G513" s="1"/>
  <c r="D514"/>
  <c r="E514" s="1"/>
  <c r="G514" s="1"/>
  <c r="I514"/>
  <c r="D515"/>
  <c r="E515" s="1"/>
  <c r="G515" s="1"/>
  <c r="D516"/>
  <c r="E516" s="1"/>
  <c r="G516" s="1"/>
  <c r="D517"/>
  <c r="E517" s="1"/>
  <c r="G517" s="1"/>
  <c r="D518"/>
  <c r="E518" s="1"/>
  <c r="G518" s="1"/>
  <c r="I518"/>
  <c r="D519"/>
  <c r="E519" s="1"/>
  <c r="G519" s="1"/>
  <c r="D520"/>
  <c r="E520" s="1"/>
  <c r="G520" s="1"/>
  <c r="D521"/>
  <c r="E521" s="1"/>
  <c r="G521" s="1"/>
  <c r="D522"/>
  <c r="E522" s="1"/>
  <c r="G522" s="1"/>
  <c r="D523"/>
  <c r="E523" s="1"/>
  <c r="G523" s="1"/>
  <c r="D524"/>
  <c r="E524" s="1"/>
  <c r="G524" s="1"/>
  <c r="D525"/>
  <c r="E525" s="1"/>
  <c r="G525" s="1"/>
  <c r="D526"/>
  <c r="E526" s="1"/>
  <c r="G526" s="1"/>
  <c r="D527"/>
  <c r="E527" s="1"/>
  <c r="G527" s="1"/>
  <c r="D528"/>
  <c r="E528" s="1"/>
  <c r="G528" s="1"/>
  <c r="D529"/>
  <c r="E529" s="1"/>
  <c r="G529" s="1"/>
  <c r="I529"/>
  <c r="D530"/>
  <c r="E530" s="1"/>
  <c r="G530" s="1"/>
  <c r="D531"/>
  <c r="E531" s="1"/>
  <c r="G531" s="1"/>
  <c r="D532"/>
  <c r="E532" s="1"/>
  <c r="G532" s="1"/>
  <c r="I532"/>
  <c r="D533"/>
  <c r="E533" s="1"/>
  <c r="G533" s="1"/>
  <c r="I533"/>
  <c r="D534"/>
  <c r="E534" s="1"/>
  <c r="G534" s="1"/>
  <c r="D535"/>
  <c r="E535" s="1"/>
  <c r="G535" s="1"/>
  <c r="D536"/>
  <c r="E536" s="1"/>
  <c r="G536" s="1"/>
  <c r="D537"/>
  <c r="E537" s="1"/>
  <c r="G537" s="1"/>
  <c r="D538"/>
  <c r="E538" s="1"/>
  <c r="G538" s="1"/>
  <c r="D539"/>
  <c r="E539" s="1"/>
  <c r="G539" s="1"/>
  <c r="D540"/>
  <c r="E540" s="1"/>
  <c r="G540" s="1"/>
  <c r="D541"/>
  <c r="E541" s="1"/>
  <c r="G541" s="1"/>
  <c r="D542"/>
  <c r="E542" s="1"/>
  <c r="G542" s="1"/>
  <c r="D543"/>
  <c r="E543" s="1"/>
  <c r="G543" s="1"/>
  <c r="D544"/>
  <c r="E544" s="1"/>
  <c r="G544" s="1"/>
  <c r="D545"/>
  <c r="E545" s="1"/>
  <c r="G545" s="1"/>
  <c r="D546"/>
  <c r="E546" s="1"/>
  <c r="G546" s="1"/>
  <c r="D547"/>
  <c r="E547" s="1"/>
  <c r="G547" s="1"/>
  <c r="D548"/>
  <c r="E548" s="1"/>
  <c r="G548" s="1"/>
  <c r="D549"/>
  <c r="E549" s="1"/>
  <c r="G549" s="1"/>
  <c r="D550"/>
  <c r="E550" s="1"/>
  <c r="G550" s="1"/>
  <c r="I550"/>
  <c r="D551"/>
  <c r="E551" s="1"/>
  <c r="G551" s="1"/>
  <c r="I551"/>
  <c r="D552"/>
  <c r="E552" s="1"/>
  <c r="G552" s="1"/>
  <c r="D553"/>
  <c r="E553" s="1"/>
  <c r="G553" s="1"/>
  <c r="D554"/>
  <c r="E554" s="1"/>
  <c r="G554" s="1"/>
  <c r="D555"/>
  <c r="E555" s="1"/>
  <c r="G555" s="1"/>
  <c r="D556"/>
  <c r="E556" s="1"/>
  <c r="G556" s="1"/>
  <c r="I556"/>
  <c r="D557"/>
  <c r="E557" s="1"/>
  <c r="G557" s="1"/>
  <c r="I557"/>
  <c r="D558"/>
  <c r="E558" s="1"/>
  <c r="G558" s="1"/>
  <c r="D559"/>
  <c r="E559" s="1"/>
  <c r="G559" s="1"/>
  <c r="D560"/>
  <c r="E560" s="1"/>
  <c r="G560" s="1"/>
  <c r="D561"/>
  <c r="E561" s="1"/>
  <c r="G561" s="1"/>
  <c r="D562"/>
  <c r="E562" s="1"/>
  <c r="G562" s="1"/>
  <c r="D563"/>
  <c r="E563" s="1"/>
  <c r="G563" s="1"/>
  <c r="D564"/>
  <c r="E564" s="1"/>
  <c r="G564" s="1"/>
  <c r="D565"/>
  <c r="E565" s="1"/>
  <c r="G565" s="1"/>
  <c r="D566"/>
  <c r="E566" s="1"/>
  <c r="G566" s="1"/>
  <c r="D567"/>
  <c r="E567" s="1"/>
  <c r="G567" s="1"/>
  <c r="D568"/>
  <c r="E568" s="1"/>
  <c r="G568" s="1"/>
  <c r="D569"/>
  <c r="E569" s="1"/>
  <c r="G569" s="1"/>
  <c r="D570"/>
  <c r="E570" s="1"/>
  <c r="G570" s="1"/>
  <c r="D571"/>
  <c r="E571" s="1"/>
  <c r="G571" s="1"/>
  <c r="D572"/>
  <c r="E572" s="1"/>
  <c r="G572" s="1"/>
  <c r="D573"/>
  <c r="E573" s="1"/>
  <c r="G573" s="1"/>
  <c r="D574"/>
  <c r="E574" s="1"/>
  <c r="G574" s="1"/>
  <c r="D575"/>
  <c r="E575" s="1"/>
  <c r="G575" s="1"/>
  <c r="D576"/>
  <c r="E576" s="1"/>
  <c r="G576" s="1"/>
  <c r="D577"/>
  <c r="E577" s="1"/>
  <c r="G577" s="1"/>
  <c r="D578"/>
  <c r="E578" s="1"/>
  <c r="G578" s="1"/>
  <c r="D579"/>
  <c r="E579" s="1"/>
  <c r="G579" s="1"/>
  <c r="D580"/>
  <c r="E580" s="1"/>
  <c r="G580" s="1"/>
  <c r="D581"/>
  <c r="E581" s="1"/>
  <c r="G581" s="1"/>
  <c r="D582"/>
  <c r="E582" s="1"/>
  <c r="G582" s="1"/>
  <c r="D2"/>
  <c r="E2" s="1"/>
  <c r="G2" s="1"/>
  <c r="M2" i="15"/>
  <c r="N2" s="1"/>
  <c r="J3"/>
  <c r="D2"/>
  <c r="C2"/>
  <c r="B2"/>
  <c r="L2"/>
  <c r="S81" i="1"/>
  <c r="Z81"/>
  <c r="S57"/>
  <c r="Z57"/>
  <c r="S78"/>
  <c r="Z78"/>
  <c r="N573" i="12"/>
  <c r="S44" i="1"/>
  <c r="Z44"/>
  <c r="S160"/>
  <c r="Z160"/>
  <c r="S31"/>
  <c r="Z31"/>
  <c r="S70"/>
  <c r="Z70"/>
  <c r="S69"/>
  <c r="Z69"/>
  <c r="S4"/>
  <c r="S37"/>
  <c r="S38"/>
  <c r="S46"/>
  <c r="S108"/>
  <c r="S123"/>
  <c r="S149"/>
  <c r="S146"/>
  <c r="S121"/>
  <c r="Z4"/>
  <c r="Z37"/>
  <c r="Z38"/>
  <c r="Z46"/>
  <c r="Z108"/>
  <c r="Z123"/>
  <c r="Z149"/>
  <c r="Z146"/>
  <c r="Z121"/>
  <c r="S97"/>
  <c r="Z97"/>
  <c r="S157"/>
  <c r="Z157"/>
  <c r="S127"/>
  <c r="Z127"/>
  <c r="S165"/>
  <c r="Z165"/>
  <c r="S119"/>
  <c r="Z119"/>
  <c r="S133"/>
  <c r="Z133"/>
  <c r="N491" i="12"/>
  <c r="S98" i="1"/>
  <c r="Z98"/>
  <c r="S80"/>
  <c r="Z80"/>
  <c r="S135"/>
  <c r="Z135"/>
  <c r="S116"/>
  <c r="Z116"/>
  <c r="W162" l="1"/>
  <c r="W88"/>
  <c r="W55"/>
  <c r="W61"/>
  <c r="W120"/>
  <c r="W130"/>
  <c r="W127"/>
  <c r="AE127" s="1"/>
  <c r="R35"/>
  <c r="V35"/>
  <c r="U35"/>
  <c r="R142"/>
  <c r="V142"/>
  <c r="U142"/>
  <c r="W142" s="1"/>
  <c r="R29"/>
  <c r="V29"/>
  <c r="U29"/>
  <c r="D435" i="12"/>
  <c r="E435" s="1"/>
  <c r="G435" s="1"/>
  <c r="AF2" i="1"/>
  <c r="AF3"/>
  <c r="AF6"/>
  <c r="AF7"/>
  <c r="AF9"/>
  <c r="AF11"/>
  <c r="AF12"/>
  <c r="AF13"/>
  <c r="AF14"/>
  <c r="AF19"/>
  <c r="AF20"/>
  <c r="AF21"/>
  <c r="AF22"/>
  <c r="AF24"/>
  <c r="AF27"/>
  <c r="AF28"/>
  <c r="AF29"/>
  <c r="AF30"/>
  <c r="AF33"/>
  <c r="AF39"/>
  <c r="AF40"/>
  <c r="AF41"/>
  <c r="AF43"/>
  <c r="AF44"/>
  <c r="AF46"/>
  <c r="AF47"/>
  <c r="AF48"/>
  <c r="AF49"/>
  <c r="AF50"/>
  <c r="AF51"/>
  <c r="AF52"/>
  <c r="AF53"/>
  <c r="AF58"/>
  <c r="AF60"/>
  <c r="AF65"/>
  <c r="AF66"/>
  <c r="AF67"/>
  <c r="AF68"/>
  <c r="AF70"/>
  <c r="AF75"/>
  <c r="AF76"/>
  <c r="AF77"/>
  <c r="AF79"/>
  <c r="AF91"/>
  <c r="AF94"/>
  <c r="AF97"/>
  <c r="AF98"/>
  <c r="AF101"/>
  <c r="AF102"/>
  <c r="AF103"/>
  <c r="AF104"/>
  <c r="AF105"/>
  <c r="AF106"/>
  <c r="AF107"/>
  <c r="AF110"/>
  <c r="AF111"/>
  <c r="AF112"/>
  <c r="AF116"/>
  <c r="AF117"/>
  <c r="AF121"/>
  <c r="AF124"/>
  <c r="AF125"/>
  <c r="AF126"/>
  <c r="AF127"/>
  <c r="AF129"/>
  <c r="AF131"/>
  <c r="AF132"/>
  <c r="AF133"/>
  <c r="AF139"/>
  <c r="AF141"/>
  <c r="AF143"/>
  <c r="AF144"/>
  <c r="AF145"/>
  <c r="AF153"/>
  <c r="AF154"/>
  <c r="AF157"/>
  <c r="AF160"/>
  <c r="AF165"/>
  <c r="AF167"/>
  <c r="AF168"/>
  <c r="AF4"/>
  <c r="AF5"/>
  <c r="AF8"/>
  <c r="AF10"/>
  <c r="AF15"/>
  <c r="AF16"/>
  <c r="AF17"/>
  <c r="AF18"/>
  <c r="AF23"/>
  <c r="AF25"/>
  <c r="AF26"/>
  <c r="AF31"/>
  <c r="AF32"/>
  <c r="AF34"/>
  <c r="AF35"/>
  <c r="AF36"/>
  <c r="AF37"/>
  <c r="AF38"/>
  <c r="AF42"/>
  <c r="AF45"/>
  <c r="AF57"/>
  <c r="AF59"/>
  <c r="AF63"/>
  <c r="AF64"/>
  <c r="AF69"/>
  <c r="AF71"/>
  <c r="AF72"/>
  <c r="AF73"/>
  <c r="AF74"/>
  <c r="AF78"/>
  <c r="AF80"/>
  <c r="AF81"/>
  <c r="AF82"/>
  <c r="AF83"/>
  <c r="AF84"/>
  <c r="AF85"/>
  <c r="AF86"/>
  <c r="AF87"/>
  <c r="AF90"/>
  <c r="AF92"/>
  <c r="AF93"/>
  <c r="AF95"/>
  <c r="AF96"/>
  <c r="AF99"/>
  <c r="AF100"/>
  <c r="AF108"/>
  <c r="AF109"/>
  <c r="AF113"/>
  <c r="AF114"/>
  <c r="AF115"/>
  <c r="AF118"/>
  <c r="AF119"/>
  <c r="AF122"/>
  <c r="AF123"/>
  <c r="AF128"/>
  <c r="AF134"/>
  <c r="AF135"/>
  <c r="AF136"/>
  <c r="AF137"/>
  <c r="AF138"/>
  <c r="AF140"/>
  <c r="AF142"/>
  <c r="AF146"/>
  <c r="AF147"/>
  <c r="AF148"/>
  <c r="AF149"/>
  <c r="AF150"/>
  <c r="AF151"/>
  <c r="AF152"/>
  <c r="AF155"/>
  <c r="AF156"/>
  <c r="AF158"/>
  <c r="AF159"/>
  <c r="AF161"/>
  <c r="AF166"/>
  <c r="R3"/>
  <c r="V3"/>
  <c r="U3"/>
  <c r="W3" s="1"/>
  <c r="AF54"/>
  <c r="AF55"/>
  <c r="AF56"/>
  <c r="AF61"/>
  <c r="AF62"/>
  <c r="AF88"/>
  <c r="AF89"/>
  <c r="AF162"/>
  <c r="AF163"/>
  <c r="AF164"/>
  <c r="AF120"/>
  <c r="R49"/>
  <c r="V49"/>
  <c r="U49"/>
  <c r="W49" s="1"/>
  <c r="AE55"/>
  <c r="R163"/>
  <c r="R162"/>
  <c r="R164"/>
  <c r="X89"/>
  <c r="X54"/>
  <c r="X62"/>
  <c r="X56"/>
  <c r="X103"/>
  <c r="X121"/>
  <c r="X91"/>
  <c r="X104"/>
  <c r="X117"/>
  <c r="X145"/>
  <c r="X49"/>
  <c r="X20"/>
  <c r="X131"/>
  <c r="X106"/>
  <c r="X7"/>
  <c r="X97"/>
  <c r="X67"/>
  <c r="X60"/>
  <c r="X139"/>
  <c r="X77"/>
  <c r="X105"/>
  <c r="X48"/>
  <c r="X19"/>
  <c r="X14"/>
  <c r="X76"/>
  <c r="X75"/>
  <c r="X13"/>
  <c r="X47"/>
  <c r="X50"/>
  <c r="X51"/>
  <c r="X116"/>
  <c r="X144"/>
  <c r="X157"/>
  <c r="X167"/>
  <c r="X3"/>
  <c r="X41"/>
  <c r="X160"/>
  <c r="X28"/>
  <c r="X102"/>
  <c r="X101"/>
  <c r="X168"/>
  <c r="X39"/>
  <c r="X165"/>
  <c r="X21"/>
  <c r="X66"/>
  <c r="X79"/>
  <c r="X6"/>
  <c r="X154"/>
  <c r="X58"/>
  <c r="X94"/>
  <c r="X2"/>
  <c r="X33"/>
  <c r="X22"/>
  <c r="X153"/>
  <c r="X125"/>
  <c r="X12"/>
  <c r="X11"/>
  <c r="X43"/>
  <c r="X133"/>
  <c r="X24"/>
  <c r="X44"/>
  <c r="X124"/>
  <c r="X40"/>
  <c r="X68"/>
  <c r="X27"/>
  <c r="X65"/>
  <c r="X52"/>
  <c r="X110"/>
  <c r="X46"/>
  <c r="X111"/>
  <c r="X141"/>
  <c r="X143"/>
  <c r="X132"/>
  <c r="X53"/>
  <c r="X112"/>
  <c r="X9"/>
  <c r="X129"/>
  <c r="X98"/>
  <c r="X107"/>
  <c r="X30"/>
  <c r="X70"/>
  <c r="X31"/>
  <c r="X136"/>
  <c r="X95"/>
  <c r="X57"/>
  <c r="X84"/>
  <c r="X90"/>
  <c r="X109"/>
  <c r="X138"/>
  <c r="X74"/>
  <c r="X128"/>
  <c r="X8"/>
  <c r="X137"/>
  <c r="X85"/>
  <c r="X81"/>
  <c r="X93"/>
  <c r="X59"/>
  <c r="X96"/>
  <c r="X64"/>
  <c r="X78"/>
  <c r="X63"/>
  <c r="X69"/>
  <c r="X80"/>
  <c r="X134"/>
  <c r="X42"/>
  <c r="X122"/>
  <c r="X166"/>
  <c r="X161"/>
  <c r="X146"/>
  <c r="X147"/>
  <c r="X5"/>
  <c r="X135"/>
  <c r="X108"/>
  <c r="X36"/>
  <c r="X18"/>
  <c r="X34"/>
  <c r="X150"/>
  <c r="X149"/>
  <c r="X32"/>
  <c r="X92"/>
  <c r="X123"/>
  <c r="X100"/>
  <c r="X148"/>
  <c r="X114"/>
  <c r="X115"/>
  <c r="X156"/>
  <c r="X16"/>
  <c r="X23"/>
  <c r="X10"/>
  <c r="X113"/>
  <c r="X99"/>
  <c r="X25"/>
  <c r="X15"/>
  <c r="X26"/>
  <c r="X37"/>
  <c r="X38"/>
  <c r="X4"/>
  <c r="X118"/>
  <c r="X142"/>
  <c r="X140"/>
  <c r="X72"/>
  <c r="X155"/>
  <c r="X71"/>
  <c r="X119"/>
  <c r="X17"/>
  <c r="X45"/>
  <c r="X73"/>
  <c r="X158"/>
  <c r="X151"/>
  <c r="X159"/>
  <c r="X83"/>
  <c r="X152"/>
  <c r="X82"/>
  <c r="X87"/>
  <c r="X86"/>
  <c r="S163"/>
  <c r="U163"/>
  <c r="V163"/>
  <c r="Z163"/>
  <c r="X127"/>
  <c r="X126"/>
  <c r="N499" i="12"/>
  <c r="N508"/>
  <c r="F3" i="15"/>
  <c r="H3"/>
  <c r="G3"/>
  <c r="I3"/>
  <c r="S5" i="1"/>
  <c r="Z5"/>
  <c r="N548" i="12"/>
  <c r="S161" i="1"/>
  <c r="Z161"/>
  <c r="S122"/>
  <c r="Z122"/>
  <c r="S107"/>
  <c r="Z107"/>
  <c r="S22"/>
  <c r="Z22"/>
  <c r="S21"/>
  <c r="Z21"/>
  <c r="Y125"/>
  <c r="Y7"/>
  <c r="Y50"/>
  <c r="Y79"/>
  <c r="Y27"/>
  <c r="Y70"/>
  <c r="Y59"/>
  <c r="Y108"/>
  <c r="Y113"/>
  <c r="Y17"/>
  <c r="Y127"/>
  <c r="Y20"/>
  <c r="Y75"/>
  <c r="Y29"/>
  <c r="Y44"/>
  <c r="Y98"/>
  <c r="Y85"/>
  <c r="Y5"/>
  <c r="Y16"/>
  <c r="Y155"/>
  <c r="Y56"/>
  <c r="Y117"/>
  <c r="Y101"/>
  <c r="Y28"/>
  <c r="Y11"/>
  <c r="Y112"/>
  <c r="Y128"/>
  <c r="Y166"/>
  <c r="Y114"/>
  <c r="Y142"/>
  <c r="Y87"/>
  <c r="Y103"/>
  <c r="Y105"/>
  <c r="Y133"/>
  <c r="Y33"/>
  <c r="Y132"/>
  <c r="Y109"/>
  <c r="Y134"/>
  <c r="Y100"/>
  <c r="Y38"/>
  <c r="Y82"/>
  <c r="Y121"/>
  <c r="Y48"/>
  <c r="Y41"/>
  <c r="Y22"/>
  <c r="Y147"/>
  <c r="Y138"/>
  <c r="Y42"/>
  <c r="Y35"/>
  <c r="Y4"/>
  <c r="Y152"/>
  <c r="Y102"/>
  <c r="Y3"/>
  <c r="Y94"/>
  <c r="Y141"/>
  <c r="Y84"/>
  <c r="Y69"/>
  <c r="Y32"/>
  <c r="Y159"/>
  <c r="Y153"/>
  <c r="Y67"/>
  <c r="Y144"/>
  <c r="Y65"/>
  <c r="Y110"/>
  <c r="Y136"/>
  <c r="Y64"/>
  <c r="Y18"/>
  <c r="Y25"/>
  <c r="Y73"/>
  <c r="Y164"/>
  <c r="Y106"/>
  <c r="Y47"/>
  <c r="Y66"/>
  <c r="Y68"/>
  <c r="Y150"/>
  <c r="Y93"/>
  <c r="Y135"/>
  <c r="Y10"/>
  <c r="Y119"/>
  <c r="Y49"/>
  <c r="Y76"/>
  <c r="Y165"/>
  <c r="Y24"/>
  <c r="Y129"/>
  <c r="Y137"/>
  <c r="Y146"/>
  <c r="Y156"/>
  <c r="Y72"/>
  <c r="Y54"/>
  <c r="Y116"/>
  <c r="Y19"/>
  <c r="Y160"/>
  <c r="Y12"/>
  <c r="Y53"/>
  <c r="Y74"/>
  <c r="Y122"/>
  <c r="Y148"/>
  <c r="Y118"/>
  <c r="Y86"/>
  <c r="Y104"/>
  <c r="Y77"/>
  <c r="Y168"/>
  <c r="Y2"/>
  <c r="Y143"/>
  <c r="Y90"/>
  <c r="Y80"/>
  <c r="Y123"/>
  <c r="Y37"/>
  <c r="Y83"/>
  <c r="Y62"/>
  <c r="Y60"/>
  <c r="Y157"/>
  <c r="Y154"/>
  <c r="Y46"/>
  <c r="Y95"/>
  <c r="Y78"/>
  <c r="Y34"/>
  <c r="Y15"/>
  <c r="Y158"/>
  <c r="Y167"/>
  <c r="Y99"/>
  <c r="Y107"/>
  <c r="Y115"/>
  <c r="Y149"/>
  <c r="Y31"/>
  <c r="Y21"/>
  <c r="Y145"/>
  <c r="Y140"/>
  <c r="Y89"/>
  <c r="Y111"/>
  <c r="Y26"/>
  <c r="Y51"/>
  <c r="Y96"/>
  <c r="Y124"/>
  <c r="Y40"/>
  <c r="Y23"/>
  <c r="Y14"/>
  <c r="Y8"/>
  <c r="Y139"/>
  <c r="Y57"/>
  <c r="Y151"/>
  <c r="Y6"/>
  <c r="Y36"/>
  <c r="Y131"/>
  <c r="Y30"/>
  <c r="Y71"/>
  <c r="Y39"/>
  <c r="Y161"/>
  <c r="Y63"/>
  <c r="Y91"/>
  <c r="Y52"/>
  <c r="Y13"/>
  <c r="Y81"/>
  <c r="Y43"/>
  <c r="Y58"/>
  <c r="Y97"/>
  <c r="Y45"/>
  <c r="Y92"/>
  <c r="Y9"/>
  <c r="W29" l="1"/>
  <c r="X29" s="1"/>
  <c r="W35"/>
  <c r="X35" s="1"/>
  <c r="W163"/>
  <c r="X130"/>
  <c r="AG48"/>
  <c r="AG127"/>
  <c r="AG55"/>
  <c r="AG9"/>
  <c r="AG92"/>
  <c r="AG45"/>
  <c r="AG58"/>
  <c r="AG81"/>
  <c r="AG13"/>
  <c r="AG52"/>
  <c r="AG63"/>
  <c r="AG161"/>
  <c r="AG71"/>
  <c r="AG30"/>
  <c r="AG36"/>
  <c r="AG6"/>
  <c r="AG151"/>
  <c r="AG57"/>
  <c r="AG139"/>
  <c r="AG8"/>
  <c r="AG14"/>
  <c r="AG23"/>
  <c r="AG40"/>
  <c r="AG124"/>
  <c r="AG96"/>
  <c r="AG51"/>
  <c r="AG111"/>
  <c r="AG21"/>
  <c r="AG31"/>
  <c r="AG115"/>
  <c r="AG107"/>
  <c r="AG99"/>
  <c r="AG167"/>
  <c r="AG158"/>
  <c r="AG15"/>
  <c r="AG78"/>
  <c r="AG95"/>
  <c r="AG46"/>
  <c r="AG154"/>
  <c r="AG157"/>
  <c r="AG60"/>
  <c r="AG83"/>
  <c r="AG123"/>
  <c r="AG80"/>
  <c r="AG90"/>
  <c r="AG143"/>
  <c r="AG2"/>
  <c r="AG168"/>
  <c r="AG77"/>
  <c r="AG104"/>
  <c r="AG86"/>
  <c r="AG118"/>
  <c r="AG148"/>
  <c r="AG122"/>
  <c r="AG74"/>
  <c r="AG53"/>
  <c r="AG12"/>
  <c r="AG160"/>
  <c r="AG116"/>
  <c r="AG72"/>
  <c r="AG156"/>
  <c r="AG146"/>
  <c r="AG137"/>
  <c r="AG129"/>
  <c r="AG24"/>
  <c r="AG165"/>
  <c r="AG76"/>
  <c r="AG10"/>
  <c r="AG135"/>
  <c r="AG93"/>
  <c r="AG150"/>
  <c r="AG73"/>
  <c r="AG18"/>
  <c r="AG64"/>
  <c r="AG136"/>
  <c r="AG110"/>
  <c r="AG65"/>
  <c r="AG144"/>
  <c r="AG67"/>
  <c r="AG153"/>
  <c r="AG159"/>
  <c r="AG69"/>
  <c r="AG84"/>
  <c r="AG141"/>
  <c r="AG94"/>
  <c r="AG102"/>
  <c r="AG152"/>
  <c r="AG4"/>
  <c r="AG138"/>
  <c r="AG147"/>
  <c r="AG22"/>
  <c r="AG82"/>
  <c r="AG100"/>
  <c r="AG134"/>
  <c r="AG109"/>
  <c r="AG132"/>
  <c r="AG133"/>
  <c r="AG103"/>
  <c r="AG87"/>
  <c r="AG114"/>
  <c r="AG166"/>
  <c r="AG128"/>
  <c r="AG112"/>
  <c r="AG11"/>
  <c r="AG28"/>
  <c r="AG101"/>
  <c r="AG155"/>
  <c r="AG16"/>
  <c r="AG85"/>
  <c r="AG98"/>
  <c r="AG44"/>
  <c r="AG75"/>
  <c r="AG17"/>
  <c r="AG113"/>
  <c r="AG108"/>
  <c r="AG59"/>
  <c r="AG70"/>
  <c r="AG27"/>
  <c r="AG79"/>
  <c r="AG50"/>
  <c r="AG125"/>
  <c r="X55"/>
  <c r="X61"/>
  <c r="X120"/>
  <c r="X88"/>
  <c r="X164"/>
  <c r="X162"/>
  <c r="N3" i="15"/>
  <c r="S168" i="1"/>
  <c r="Z168"/>
  <c r="S167"/>
  <c r="Z167"/>
  <c r="S124"/>
  <c r="S125"/>
  <c r="Z124"/>
  <c r="Z125"/>
  <c r="S156"/>
  <c r="Z156"/>
  <c r="S166"/>
  <c r="Z166"/>
  <c r="S113"/>
  <c r="Z113"/>
  <c r="S23"/>
  <c r="Z23"/>
  <c r="S59"/>
  <c r="Z59"/>
  <c r="S58"/>
  <c r="Z58"/>
  <c r="S148"/>
  <c r="Z148"/>
  <c r="S73"/>
  <c r="Z73"/>
  <c r="S34"/>
  <c r="S35"/>
  <c r="S36"/>
  <c r="Z34"/>
  <c r="Z35"/>
  <c r="Z36"/>
  <c r="S84"/>
  <c r="S85"/>
  <c r="Z84"/>
  <c r="Z85"/>
  <c r="S155"/>
  <c r="Z155"/>
  <c r="S10"/>
  <c r="Z10"/>
  <c r="S72"/>
  <c r="Z72"/>
  <c r="S71"/>
  <c r="Z71"/>
  <c r="S150"/>
  <c r="Z150"/>
  <c r="S136"/>
  <c r="Z136"/>
  <c r="S129"/>
  <c r="Z129"/>
  <c r="S128"/>
  <c r="Z128"/>
  <c r="M172" i="14"/>
  <c r="V156" s="1"/>
  <c r="L172"/>
  <c r="U156" s="1"/>
  <c r="K172"/>
  <c r="T156" s="1"/>
  <c r="J172"/>
  <c r="M171"/>
  <c r="V155" s="1"/>
  <c r="L171"/>
  <c r="U155" s="1"/>
  <c r="K171"/>
  <c r="T155" s="1"/>
  <c r="J171"/>
  <c r="M170"/>
  <c r="V154" s="1"/>
  <c r="L170"/>
  <c r="U154" s="1"/>
  <c r="K170"/>
  <c r="T154" s="1"/>
  <c r="J170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S156"/>
  <c r="R156"/>
  <c r="Q156"/>
  <c r="P156"/>
  <c r="M156"/>
  <c r="V140" s="1"/>
  <c r="L156"/>
  <c r="U140" s="1"/>
  <c r="K156"/>
  <c r="T140" s="1"/>
  <c r="J156"/>
  <c r="S140" s="1"/>
  <c r="S155"/>
  <c r="R155"/>
  <c r="Q155"/>
  <c r="P155"/>
  <c r="M155"/>
  <c r="V139" s="1"/>
  <c r="L155"/>
  <c r="U139" s="1"/>
  <c r="K155"/>
  <c r="T139" s="1"/>
  <c r="J155"/>
  <c r="S139" s="1"/>
  <c r="S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T137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L120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V116"/>
  <c r="U116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AE29" i="1" l="1"/>
  <c r="AG29" s="1"/>
  <c r="X163"/>
  <c r="T54" s="1"/>
  <c r="AE54" s="1"/>
  <c r="R124" i="14"/>
  <c r="Q120"/>
  <c r="R128"/>
  <c r="R121"/>
  <c r="Q124"/>
  <c r="Q117"/>
  <c r="R120"/>
  <c r="Q129"/>
  <c r="Q118"/>
  <c r="R125"/>
  <c r="Q128"/>
  <c r="R129"/>
  <c r="R118"/>
  <c r="N557" i="12"/>
  <c r="Q123" i="14"/>
  <c r="Q127"/>
  <c r="Q119"/>
  <c r="Q122"/>
  <c r="R123"/>
  <c r="Q126"/>
  <c r="R127"/>
  <c r="R117"/>
  <c r="R119"/>
  <c r="Q121"/>
  <c r="R122"/>
  <c r="Q125"/>
  <c r="R126"/>
  <c r="J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S100" i="1"/>
  <c r="S99"/>
  <c r="Z100"/>
  <c r="Z99"/>
  <c r="S134"/>
  <c r="Z134"/>
  <c r="S132"/>
  <c r="Z132"/>
  <c r="S109"/>
  <c r="S110"/>
  <c r="Z109"/>
  <c r="Z110"/>
  <c r="S112"/>
  <c r="Z112"/>
  <c r="S111"/>
  <c r="Z111"/>
  <c r="S26"/>
  <c r="S27"/>
  <c r="S28"/>
  <c r="S29"/>
  <c r="S30"/>
  <c r="S24"/>
  <c r="S25"/>
  <c r="Z26"/>
  <c r="Z27"/>
  <c r="Z28"/>
  <c r="Z29"/>
  <c r="Z30"/>
  <c r="Z24"/>
  <c r="Z25"/>
  <c r="S42"/>
  <c r="S43"/>
  <c r="Z42"/>
  <c r="Z43"/>
  <c r="S147"/>
  <c r="Z147"/>
  <c r="S131"/>
  <c r="Z131"/>
  <c r="S20"/>
  <c r="Z20"/>
  <c r="S19"/>
  <c r="Z19"/>
  <c r="S18"/>
  <c r="Z18"/>
  <c r="S17"/>
  <c r="Z17"/>
  <c r="S16"/>
  <c r="Z16"/>
  <c r="S15"/>
  <c r="Z15"/>
  <c r="S41"/>
  <c r="Z41"/>
  <c r="S40"/>
  <c r="Z40"/>
  <c r="S39"/>
  <c r="Z39"/>
  <c r="N286" i="12"/>
  <c r="S14" i="1"/>
  <c r="Z14"/>
  <c r="S13"/>
  <c r="Z13"/>
  <c r="S79"/>
  <c r="Z79"/>
  <c r="S7"/>
  <c r="Z7"/>
  <c r="S9"/>
  <c r="Z9"/>
  <c r="S8"/>
  <c r="Z8"/>
  <c r="S6"/>
  <c r="Z6"/>
  <c r="S33"/>
  <c r="Z33"/>
  <c r="S32"/>
  <c r="Z32"/>
  <c r="S2"/>
  <c r="Z2"/>
  <c r="S12"/>
  <c r="Z12"/>
  <c r="S11"/>
  <c r="Z11"/>
  <c r="S142"/>
  <c r="Z142"/>
  <c r="S141"/>
  <c r="Z141"/>
  <c r="S140"/>
  <c r="Z140"/>
  <c r="S152"/>
  <c r="AC152" s="1"/>
  <c r="Z152"/>
  <c r="S151"/>
  <c r="AC151" s="1"/>
  <c r="Z151"/>
  <c r="S115"/>
  <c r="Z115"/>
  <c r="S114"/>
  <c r="Z114"/>
  <c r="S138"/>
  <c r="Z138"/>
  <c r="S137"/>
  <c r="Z137"/>
  <c r="N495" i="12"/>
  <c r="S144" i="1"/>
  <c r="Z144"/>
  <c r="S143"/>
  <c r="Z143"/>
  <c r="S74"/>
  <c r="Z74"/>
  <c r="S145"/>
  <c r="Z145"/>
  <c r="S45"/>
  <c r="Z45"/>
  <c r="S153"/>
  <c r="Z153"/>
  <c r="S154"/>
  <c r="Z154"/>
  <c r="S106"/>
  <c r="Z106"/>
  <c r="S105"/>
  <c r="Z105"/>
  <c r="S93"/>
  <c r="Z93"/>
  <c r="S90"/>
  <c r="Z90"/>
  <c r="S118"/>
  <c r="Z118"/>
  <c r="S91"/>
  <c r="Z91"/>
  <c r="S101"/>
  <c r="Z10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S159" i="1"/>
  <c r="AC159" s="1"/>
  <c r="Z159"/>
  <c r="S158"/>
  <c r="AC158" s="1"/>
  <c r="Z158"/>
  <c r="Q131" i="9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S68" i="1"/>
  <c r="Z68"/>
  <c r="S67"/>
  <c r="Z67"/>
  <c r="S83"/>
  <c r="AC83" s="1"/>
  <c r="Z83"/>
  <c r="S82"/>
  <c r="AC82" s="1"/>
  <c r="Z82"/>
  <c r="S76"/>
  <c r="Z76"/>
  <c r="S75"/>
  <c r="Z75"/>
  <c r="Q130" i="9"/>
  <c r="S95" i="1"/>
  <c r="Z95"/>
  <c r="S63"/>
  <c r="Z63"/>
  <c r="S53"/>
  <c r="Z53"/>
  <c r="S48"/>
  <c r="Z48"/>
  <c r="S47"/>
  <c r="Z47"/>
  <c r="S51"/>
  <c r="Z51"/>
  <c r="S50"/>
  <c r="Z50"/>
  <c r="N72" i="12"/>
  <c r="S56" i="1"/>
  <c r="Z56"/>
  <c r="T39" l="1"/>
  <c r="T41"/>
  <c r="T35"/>
  <c r="T34"/>
  <c r="T33"/>
  <c r="T32"/>
  <c r="AE32" s="1"/>
  <c r="T119"/>
  <c r="AE119" s="1"/>
  <c r="T43"/>
  <c r="AE43" s="1"/>
  <c r="T42"/>
  <c r="AE42" s="1"/>
  <c r="T38"/>
  <c r="AE38" s="1"/>
  <c r="T149"/>
  <c r="AE149" s="1"/>
  <c r="T37"/>
  <c r="AE37" s="1"/>
  <c r="T26"/>
  <c r="AE26" s="1"/>
  <c r="T25"/>
  <c r="AE25" s="1"/>
  <c r="T142"/>
  <c r="AE142" s="1"/>
  <c r="T140"/>
  <c r="AE140" s="1"/>
  <c r="T97"/>
  <c r="AE97" s="1"/>
  <c r="T66"/>
  <c r="AE66" s="1"/>
  <c r="T68"/>
  <c r="AE68" s="1"/>
  <c r="T131"/>
  <c r="AE131" s="1"/>
  <c r="T130"/>
  <c r="AE130" s="1"/>
  <c r="AN130"/>
  <c r="T20"/>
  <c r="AE20" s="1"/>
  <c r="T19"/>
  <c r="AE19" s="1"/>
  <c r="AD54"/>
  <c r="T5"/>
  <c r="AE5" s="1"/>
  <c r="T3"/>
  <c r="AE3" s="1"/>
  <c r="T7"/>
  <c r="AE7" s="1"/>
  <c r="T106"/>
  <c r="AE106" s="1"/>
  <c r="T105"/>
  <c r="AE105" s="1"/>
  <c r="T47"/>
  <c r="AE47" s="1"/>
  <c r="T49"/>
  <c r="AE49" s="1"/>
  <c r="T145"/>
  <c r="AE145" s="1"/>
  <c r="T117"/>
  <c r="AE117" s="1"/>
  <c r="T91"/>
  <c r="AE91" s="1"/>
  <c r="T121"/>
  <c r="AE121" s="1"/>
  <c r="T120"/>
  <c r="AE120" s="1"/>
  <c r="AN120"/>
  <c r="T62"/>
  <c r="AE62" s="1"/>
  <c r="T61"/>
  <c r="AE61" s="1"/>
  <c r="AN61"/>
  <c r="T56"/>
  <c r="AE56" s="1"/>
  <c r="AN55"/>
  <c r="T88"/>
  <c r="AE88" s="1"/>
  <c r="T164"/>
  <c r="AE164" s="1"/>
  <c r="T126"/>
  <c r="AE126" s="1"/>
  <c r="T162"/>
  <c r="AE162" s="1"/>
  <c r="T163"/>
  <c r="AE163" s="1"/>
  <c r="T89"/>
  <c r="AE89" s="1"/>
  <c r="AN88"/>
  <c r="AN163"/>
  <c r="AN162"/>
  <c r="K586" i="12"/>
  <c r="K584"/>
  <c r="K585"/>
  <c r="K583"/>
  <c r="AN126" i="1"/>
  <c r="R128" i="9"/>
  <c r="Q40"/>
  <c r="Q44"/>
  <c r="Q48"/>
  <c r="Q56"/>
  <c r="Q60"/>
  <c r="Q65"/>
  <c r="Q129"/>
  <c r="Q37"/>
  <c r="Q41"/>
  <c r="Q45"/>
  <c r="Q49"/>
  <c r="Q53"/>
  <c r="Q57"/>
  <c r="R109"/>
  <c r="Q73"/>
  <c r="K5" i="12"/>
  <c r="K8"/>
  <c r="K12"/>
  <c r="K16"/>
  <c r="K20"/>
  <c r="K24"/>
  <c r="K28"/>
  <c r="K32"/>
  <c r="K36"/>
  <c r="K40"/>
  <c r="K44"/>
  <c r="K48"/>
  <c r="K52"/>
  <c r="K56"/>
  <c r="K60"/>
  <c r="K64"/>
  <c r="K68"/>
  <c r="K72"/>
  <c r="K76"/>
  <c r="K80"/>
  <c r="K84"/>
  <c r="K9"/>
  <c r="K13"/>
  <c r="K17"/>
  <c r="K21"/>
  <c r="K25"/>
  <c r="K29"/>
  <c r="K33"/>
  <c r="K37"/>
  <c r="K41"/>
  <c r="K45"/>
  <c r="K49"/>
  <c r="K53"/>
  <c r="K57"/>
  <c r="K61"/>
  <c r="K65"/>
  <c r="K69"/>
  <c r="K73"/>
  <c r="K77"/>
  <c r="K81"/>
  <c r="K85"/>
  <c r="K3"/>
  <c r="K86"/>
  <c r="K87"/>
  <c r="K91"/>
  <c r="K95"/>
  <c r="K99"/>
  <c r="K103"/>
  <c r="K107"/>
  <c r="K111"/>
  <c r="K115"/>
  <c r="K117"/>
  <c r="K122"/>
  <c r="K124"/>
  <c r="K130"/>
  <c r="K88"/>
  <c r="K4"/>
  <c r="K6"/>
  <c r="K10"/>
  <c r="K14"/>
  <c r="K18"/>
  <c r="K22"/>
  <c r="K26"/>
  <c r="K30"/>
  <c r="K34"/>
  <c r="K38"/>
  <c r="K42"/>
  <c r="K46"/>
  <c r="K50"/>
  <c r="K54"/>
  <c r="K58"/>
  <c r="K62"/>
  <c r="K66"/>
  <c r="K70"/>
  <c r="K74"/>
  <c r="K78"/>
  <c r="K82"/>
  <c r="K116"/>
  <c r="K118"/>
  <c r="K127"/>
  <c r="K128"/>
  <c r="K129"/>
  <c r="K134"/>
  <c r="K138"/>
  <c r="K142"/>
  <c r="K146"/>
  <c r="K150"/>
  <c r="K153"/>
  <c r="K155"/>
  <c r="K7"/>
  <c r="K11"/>
  <c r="K15"/>
  <c r="K19"/>
  <c r="K23"/>
  <c r="K27"/>
  <c r="K31"/>
  <c r="K35"/>
  <c r="K39"/>
  <c r="K43"/>
  <c r="K47"/>
  <c r="K51"/>
  <c r="K55"/>
  <c r="K59"/>
  <c r="K63"/>
  <c r="K67"/>
  <c r="K71"/>
  <c r="K75"/>
  <c r="K79"/>
  <c r="K83"/>
  <c r="K89"/>
  <c r="K90"/>
  <c r="K92"/>
  <c r="K93"/>
  <c r="K94"/>
  <c r="K96"/>
  <c r="K97"/>
  <c r="K98"/>
  <c r="K100"/>
  <c r="K101"/>
  <c r="K102"/>
  <c r="K104"/>
  <c r="K105"/>
  <c r="K106"/>
  <c r="K108"/>
  <c r="K109"/>
  <c r="K110"/>
  <c r="K112"/>
  <c r="K113"/>
  <c r="K114"/>
  <c r="K120"/>
  <c r="K132"/>
  <c r="K136"/>
  <c r="K140"/>
  <c r="K144"/>
  <c r="K148"/>
  <c r="K133"/>
  <c r="K137"/>
  <c r="K141"/>
  <c r="K145"/>
  <c r="K149"/>
  <c r="K154"/>
  <c r="K156"/>
  <c r="K164"/>
  <c r="K166"/>
  <c r="K170"/>
  <c r="K174"/>
  <c r="K178"/>
  <c r="K182"/>
  <c r="K186"/>
  <c r="K190"/>
  <c r="K197"/>
  <c r="K200"/>
  <c r="K203"/>
  <c r="K207"/>
  <c r="K211"/>
  <c r="K215"/>
  <c r="K219"/>
  <c r="K223"/>
  <c r="K227"/>
  <c r="K231"/>
  <c r="K235"/>
  <c r="K239"/>
  <c r="K243"/>
  <c r="K247"/>
  <c r="K251"/>
  <c r="K255"/>
  <c r="K259"/>
  <c r="K263"/>
  <c r="K267"/>
  <c r="K119"/>
  <c r="K126"/>
  <c r="K157"/>
  <c r="K162"/>
  <c r="K167"/>
  <c r="K171"/>
  <c r="K175"/>
  <c r="K179"/>
  <c r="K183"/>
  <c r="K187"/>
  <c r="K191"/>
  <c r="K194"/>
  <c r="K204"/>
  <c r="K208"/>
  <c r="K212"/>
  <c r="K216"/>
  <c r="K220"/>
  <c r="K224"/>
  <c r="K228"/>
  <c r="K232"/>
  <c r="K236"/>
  <c r="K240"/>
  <c r="K244"/>
  <c r="K248"/>
  <c r="K252"/>
  <c r="K256"/>
  <c r="K260"/>
  <c r="K264"/>
  <c r="K268"/>
  <c r="K272"/>
  <c r="K276"/>
  <c r="K281"/>
  <c r="K285"/>
  <c r="K289"/>
  <c r="K293"/>
  <c r="K297"/>
  <c r="K301"/>
  <c r="K305"/>
  <c r="K310"/>
  <c r="K314"/>
  <c r="K318"/>
  <c r="K322"/>
  <c r="K326"/>
  <c r="K147"/>
  <c r="K151"/>
  <c r="K168"/>
  <c r="K173"/>
  <c r="K184"/>
  <c r="K189"/>
  <c r="K195"/>
  <c r="K225"/>
  <c r="K230"/>
  <c r="K241"/>
  <c r="K246"/>
  <c r="K257"/>
  <c r="K262"/>
  <c r="K279"/>
  <c r="K280"/>
  <c r="K282"/>
  <c r="K283"/>
  <c r="K284"/>
  <c r="K286"/>
  <c r="K287"/>
  <c r="K288"/>
  <c r="K290"/>
  <c r="K291"/>
  <c r="K292"/>
  <c r="K294"/>
  <c r="K295"/>
  <c r="K296"/>
  <c r="K298"/>
  <c r="K299"/>
  <c r="K300"/>
  <c r="K302"/>
  <c r="K303"/>
  <c r="K304"/>
  <c r="K306"/>
  <c r="K329"/>
  <c r="K333"/>
  <c r="K337"/>
  <c r="K341"/>
  <c r="K345"/>
  <c r="K349"/>
  <c r="K353"/>
  <c r="K357"/>
  <c r="K361"/>
  <c r="K365"/>
  <c r="K369"/>
  <c r="K373"/>
  <c r="K377"/>
  <c r="K381"/>
  <c r="K385"/>
  <c r="K389"/>
  <c r="K123"/>
  <c r="K125"/>
  <c r="K135"/>
  <c r="K158"/>
  <c r="K160"/>
  <c r="K172"/>
  <c r="K177"/>
  <c r="K188"/>
  <c r="K193"/>
  <c r="K202"/>
  <c r="K206"/>
  <c r="K210"/>
  <c r="K214"/>
  <c r="K218"/>
  <c r="K229"/>
  <c r="K234"/>
  <c r="K245"/>
  <c r="K250"/>
  <c r="K261"/>
  <c r="K266"/>
  <c r="K269"/>
  <c r="K270"/>
  <c r="K271"/>
  <c r="K273"/>
  <c r="K274"/>
  <c r="K275"/>
  <c r="K307"/>
  <c r="K330"/>
  <c r="K334"/>
  <c r="K338"/>
  <c r="K342"/>
  <c r="K346"/>
  <c r="K350"/>
  <c r="K354"/>
  <c r="K358"/>
  <c r="K362"/>
  <c r="K366"/>
  <c r="K370"/>
  <c r="K374"/>
  <c r="K378"/>
  <c r="K382"/>
  <c r="K386"/>
  <c r="K390"/>
  <c r="K396"/>
  <c r="K400"/>
  <c r="K404"/>
  <c r="K408"/>
  <c r="K411"/>
  <c r="K415"/>
  <c r="K419"/>
  <c r="K423"/>
  <c r="K427"/>
  <c r="K430"/>
  <c r="K433"/>
  <c r="K437"/>
  <c r="K441"/>
  <c r="K445"/>
  <c r="K449"/>
  <c r="K453"/>
  <c r="K457"/>
  <c r="K461"/>
  <c r="K465"/>
  <c r="K469"/>
  <c r="K473"/>
  <c r="K476"/>
  <c r="K480"/>
  <c r="K483"/>
  <c r="K487"/>
  <c r="K491"/>
  <c r="K495"/>
  <c r="K498"/>
  <c r="K502"/>
  <c r="K506"/>
  <c r="K159"/>
  <c r="K165"/>
  <c r="K176"/>
  <c r="K192"/>
  <c r="K198"/>
  <c r="K221"/>
  <c r="K237"/>
  <c r="K253"/>
  <c r="K313"/>
  <c r="K327"/>
  <c r="K335"/>
  <c r="K343"/>
  <c r="K355"/>
  <c r="K367"/>
  <c r="K375"/>
  <c r="K387"/>
  <c r="K429"/>
  <c r="K507"/>
  <c r="K511"/>
  <c r="K514"/>
  <c r="K521"/>
  <c r="K534"/>
  <c r="K538"/>
  <c r="K546"/>
  <c r="K552"/>
  <c r="K558"/>
  <c r="K566"/>
  <c r="K578"/>
  <c r="K258"/>
  <c r="K278"/>
  <c r="K522"/>
  <c r="K526"/>
  <c r="K121"/>
  <c r="K131"/>
  <c r="K139"/>
  <c r="K143"/>
  <c r="K152"/>
  <c r="K161"/>
  <c r="K163"/>
  <c r="K169"/>
  <c r="K185"/>
  <c r="K196"/>
  <c r="K199"/>
  <c r="K222"/>
  <c r="K238"/>
  <c r="K254"/>
  <c r="K277"/>
  <c r="K312"/>
  <c r="K319"/>
  <c r="K321"/>
  <c r="K393"/>
  <c r="K394"/>
  <c r="K395"/>
  <c r="K397"/>
  <c r="K398"/>
  <c r="K399"/>
  <c r="K401"/>
  <c r="K402"/>
  <c r="K403"/>
  <c r="K405"/>
  <c r="K406"/>
  <c r="K407"/>
  <c r="K409"/>
  <c r="K410"/>
  <c r="K412"/>
  <c r="K413"/>
  <c r="K414"/>
  <c r="K416"/>
  <c r="K417"/>
  <c r="K418"/>
  <c r="K420"/>
  <c r="K421"/>
  <c r="K422"/>
  <c r="K424"/>
  <c r="K425"/>
  <c r="K426"/>
  <c r="K431"/>
  <c r="K432"/>
  <c r="K434"/>
  <c r="K435"/>
  <c r="K436"/>
  <c r="K438"/>
  <c r="K439"/>
  <c r="K440"/>
  <c r="K442"/>
  <c r="K443"/>
  <c r="K444"/>
  <c r="K446"/>
  <c r="K447"/>
  <c r="K448"/>
  <c r="K450"/>
  <c r="K451"/>
  <c r="K452"/>
  <c r="K454"/>
  <c r="K455"/>
  <c r="K456"/>
  <c r="K458"/>
  <c r="K459"/>
  <c r="K460"/>
  <c r="K462"/>
  <c r="K463"/>
  <c r="K464"/>
  <c r="K466"/>
  <c r="K467"/>
  <c r="K468"/>
  <c r="K470"/>
  <c r="K471"/>
  <c r="K472"/>
  <c r="K474"/>
  <c r="K509"/>
  <c r="K513"/>
  <c r="K516"/>
  <c r="K519"/>
  <c r="K523"/>
  <c r="K527"/>
  <c r="K530"/>
  <c r="K536"/>
  <c r="K540"/>
  <c r="K544"/>
  <c r="K548"/>
  <c r="K554"/>
  <c r="K560"/>
  <c r="K564"/>
  <c r="K568"/>
  <c r="K572"/>
  <c r="K576"/>
  <c r="K580"/>
  <c r="K324"/>
  <c r="K508"/>
  <c r="K512"/>
  <c r="K515"/>
  <c r="K539"/>
  <c r="K543"/>
  <c r="K547"/>
  <c r="K553"/>
  <c r="K556"/>
  <c r="K567"/>
  <c r="K571"/>
  <c r="K575"/>
  <c r="K181"/>
  <c r="K201"/>
  <c r="K205"/>
  <c r="K209"/>
  <c r="K213"/>
  <c r="K217"/>
  <c r="K233"/>
  <c r="K249"/>
  <c r="K265"/>
  <c r="K309"/>
  <c r="K316"/>
  <c r="K323"/>
  <c r="K325"/>
  <c r="K328"/>
  <c r="K332"/>
  <c r="K336"/>
  <c r="K340"/>
  <c r="K344"/>
  <c r="K348"/>
  <c r="K352"/>
  <c r="K356"/>
  <c r="K360"/>
  <c r="K364"/>
  <c r="K368"/>
  <c r="K372"/>
  <c r="K376"/>
  <c r="K380"/>
  <c r="K384"/>
  <c r="K388"/>
  <c r="K475"/>
  <c r="K477"/>
  <c r="K478"/>
  <c r="K479"/>
  <c r="K481"/>
  <c r="K482"/>
  <c r="K484"/>
  <c r="K485"/>
  <c r="K486"/>
  <c r="K488"/>
  <c r="K489"/>
  <c r="K490"/>
  <c r="K492"/>
  <c r="K493"/>
  <c r="K494"/>
  <c r="K496"/>
  <c r="K497"/>
  <c r="K499"/>
  <c r="K500"/>
  <c r="K501"/>
  <c r="K503"/>
  <c r="K504"/>
  <c r="K505"/>
  <c r="K510"/>
  <c r="K517"/>
  <c r="K520"/>
  <c r="K524"/>
  <c r="K528"/>
  <c r="K531"/>
  <c r="K533"/>
  <c r="K537"/>
  <c r="K541"/>
  <c r="K545"/>
  <c r="K549"/>
  <c r="K551"/>
  <c r="K555"/>
  <c r="K557"/>
  <c r="K561"/>
  <c r="K565"/>
  <c r="K569"/>
  <c r="K573"/>
  <c r="K577"/>
  <c r="K581"/>
  <c r="K311"/>
  <c r="K320"/>
  <c r="K331"/>
  <c r="K339"/>
  <c r="K347"/>
  <c r="K351"/>
  <c r="K359"/>
  <c r="K363"/>
  <c r="K371"/>
  <c r="K379"/>
  <c r="K383"/>
  <c r="K391"/>
  <c r="K428"/>
  <c r="K525"/>
  <c r="K542"/>
  <c r="K562"/>
  <c r="K570"/>
  <c r="K574"/>
  <c r="K582"/>
  <c r="K180"/>
  <c r="K226"/>
  <c r="K242"/>
  <c r="K308"/>
  <c r="K315"/>
  <c r="K317"/>
  <c r="K392"/>
  <c r="K518"/>
  <c r="K529"/>
  <c r="K532"/>
  <c r="K535"/>
  <c r="K550"/>
  <c r="K559"/>
  <c r="K563"/>
  <c r="K579"/>
  <c r="K2"/>
  <c r="AN81" i="1"/>
  <c r="AN57"/>
  <c r="AN78"/>
  <c r="AN44"/>
  <c r="AN160"/>
  <c r="AN31"/>
  <c r="N544" i="12"/>
  <c r="N527"/>
  <c r="N516"/>
  <c r="N519"/>
  <c r="N492"/>
  <c r="AN70" i="1"/>
  <c r="AN69"/>
  <c r="AN4"/>
  <c r="AN37"/>
  <c r="AN38"/>
  <c r="AN46"/>
  <c r="AN108"/>
  <c r="AN123"/>
  <c r="AN149"/>
  <c r="AN146"/>
  <c r="AN121"/>
  <c r="AN97"/>
  <c r="AN157"/>
  <c r="AN127"/>
  <c r="AN165"/>
  <c r="AN119"/>
  <c r="AN133"/>
  <c r="AN98"/>
  <c r="AN80"/>
  <c r="AN135"/>
  <c r="AN116"/>
  <c r="AN5"/>
  <c r="AN161"/>
  <c r="AN107"/>
  <c r="AN122"/>
  <c r="AN22"/>
  <c r="AN21"/>
  <c r="AN168"/>
  <c r="AN167"/>
  <c r="AN125"/>
  <c r="AN124"/>
  <c r="AN166"/>
  <c r="AN156"/>
  <c r="AN113"/>
  <c r="AN23"/>
  <c r="AN59"/>
  <c r="AN58"/>
  <c r="AN148"/>
  <c r="AN73"/>
  <c r="AN36"/>
  <c r="AN34"/>
  <c r="AN35"/>
  <c r="Q66" i="9"/>
  <c r="Q74"/>
  <c r="Q102"/>
  <c r="R129"/>
  <c r="Q128"/>
  <c r="Q70"/>
  <c r="AN84" i="1"/>
  <c r="AN85"/>
  <c r="AN155"/>
  <c r="AN10"/>
  <c r="AN72"/>
  <c r="AN71"/>
  <c r="AN150"/>
  <c r="AN164"/>
  <c r="AN60"/>
  <c r="AN7"/>
  <c r="AN89"/>
  <c r="AN62"/>
  <c r="AN66"/>
  <c r="AN27"/>
  <c r="AN20"/>
  <c r="AN42"/>
  <c r="AN43"/>
  <c r="AN29"/>
  <c r="AN142"/>
  <c r="AN90"/>
  <c r="AN30"/>
  <c r="AN54"/>
  <c r="AN24"/>
  <c r="AN47"/>
  <c r="AN19"/>
  <c r="AN140"/>
  <c r="AN25"/>
  <c r="AN41"/>
  <c r="AN49"/>
  <c r="AN39"/>
  <c r="AN26"/>
  <c r="AN68"/>
  <c r="AN67"/>
  <c r="AN56"/>
  <c r="AN12"/>
  <c r="AN2"/>
  <c r="AN11"/>
  <c r="AN77"/>
  <c r="AN117"/>
  <c r="AN132"/>
  <c r="AN131"/>
  <c r="AN144"/>
  <c r="AN103"/>
  <c r="AN14"/>
  <c r="AN33"/>
  <c r="AN40"/>
  <c r="AN75"/>
  <c r="AN139"/>
  <c r="AN76"/>
  <c r="AN13"/>
  <c r="AN104"/>
  <c r="AN79"/>
  <c r="AN91"/>
  <c r="AN143"/>
  <c r="AN110"/>
  <c r="AN28"/>
  <c r="AN48"/>
  <c r="AN111"/>
  <c r="AN32"/>
  <c r="AN105"/>
  <c r="AN50"/>
  <c r="AN9"/>
  <c r="AN145"/>
  <c r="AN51"/>
  <c r="AN112"/>
  <c r="AN74"/>
  <c r="AN106"/>
  <c r="AN8"/>
  <c r="AN94"/>
  <c r="AN95"/>
  <c r="AN6"/>
  <c r="AN109"/>
  <c r="AN3"/>
  <c r="AN141"/>
  <c r="AN154"/>
  <c r="AN134"/>
  <c r="AN93"/>
  <c r="AN102"/>
  <c r="AN101"/>
  <c r="AN52"/>
  <c r="AN64"/>
  <c r="AN138"/>
  <c r="AN137"/>
  <c r="AN63"/>
  <c r="AN100"/>
  <c r="AN153"/>
  <c r="AN53"/>
  <c r="AN65"/>
  <c r="AN99"/>
  <c r="AN18"/>
  <c r="AN96"/>
  <c r="AN114"/>
  <c r="AN115"/>
  <c r="AN147"/>
  <c r="AN92"/>
  <c r="AN16"/>
  <c r="AN15"/>
  <c r="AN118"/>
  <c r="AN17"/>
  <c r="AN45"/>
  <c r="AN151"/>
  <c r="AN158"/>
  <c r="AN152"/>
  <c r="AN159"/>
  <c r="AN87"/>
  <c r="AN83"/>
  <c r="AN82"/>
  <c r="AN86"/>
  <c r="AN128"/>
  <c r="AN129"/>
  <c r="AN136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D39" i="1" l="1"/>
  <c r="AE39"/>
  <c r="AD41"/>
  <c r="AE41"/>
  <c r="AD35"/>
  <c r="AE35"/>
  <c r="AG35" s="1"/>
  <c r="AD34"/>
  <c r="AE34"/>
  <c r="AD33"/>
  <c r="AE33"/>
  <c r="AD32"/>
  <c r="AG32"/>
  <c r="AD119"/>
  <c r="AG119"/>
  <c r="AD43"/>
  <c r="AG43"/>
  <c r="AD42"/>
  <c r="AG42"/>
  <c r="AD38"/>
  <c r="AG38"/>
  <c r="AD149"/>
  <c r="AG149"/>
  <c r="AD37"/>
  <c r="AG37"/>
  <c r="AD26"/>
  <c r="AG26"/>
  <c r="AD25"/>
  <c r="AG25"/>
  <c r="AD142"/>
  <c r="AG142"/>
  <c r="AD140"/>
  <c r="AG140"/>
  <c r="AD97"/>
  <c r="AG97"/>
  <c r="AD66"/>
  <c r="AG66"/>
  <c r="AD68"/>
  <c r="AG68"/>
  <c r="AD131"/>
  <c r="AG131"/>
  <c r="AD130"/>
  <c r="AG130"/>
  <c r="AD20"/>
  <c r="AG20"/>
  <c r="AD19"/>
  <c r="AG19"/>
  <c r="AD89"/>
  <c r="AD163"/>
  <c r="AG163" s="1"/>
  <c r="AD162"/>
  <c r="AG162" s="1"/>
  <c r="AD126"/>
  <c r="AD164"/>
  <c r="AD88"/>
  <c r="AD56"/>
  <c r="AD61"/>
  <c r="AD62"/>
  <c r="AD120"/>
  <c r="AD121"/>
  <c r="AD91"/>
  <c r="AD117"/>
  <c r="AD145"/>
  <c r="AD49"/>
  <c r="AD47"/>
  <c r="AD105"/>
  <c r="AD106"/>
  <c r="AD7"/>
  <c r="AD3"/>
  <c r="AD5"/>
  <c r="AG54"/>
  <c r="S92"/>
  <c r="Z92"/>
  <c r="S164"/>
  <c r="Z164"/>
  <c r="AG39" l="1"/>
  <c r="AG41"/>
  <c r="AG34"/>
  <c r="AG33"/>
  <c r="AG5"/>
  <c r="AG3"/>
  <c r="AG7"/>
  <c r="AG106"/>
  <c r="AG105"/>
  <c r="AG47"/>
  <c r="AG49"/>
  <c r="AG145"/>
  <c r="AG117"/>
  <c r="AG91"/>
  <c r="AG121"/>
  <c r="AG120"/>
  <c r="AG62"/>
  <c r="AG61"/>
  <c r="AG56"/>
  <c r="AG88"/>
  <c r="AG164"/>
  <c r="AG126"/>
  <c r="AG89"/>
  <c r="S64"/>
  <c r="Z64"/>
  <c r="S54" l="1"/>
  <c r="Z54"/>
  <c r="S60"/>
  <c r="Z60"/>
  <c r="S52"/>
  <c r="Z52"/>
  <c r="S49"/>
  <c r="Z49"/>
  <c r="S77"/>
  <c r="Z77"/>
  <c r="S3"/>
  <c r="Z3"/>
  <c r="S139"/>
  <c r="Z139"/>
  <c r="S94"/>
  <c r="Z94"/>
  <c r="S117"/>
  <c r="Z117"/>
  <c r="S62" l="1"/>
  <c r="S65"/>
  <c r="S66"/>
  <c r="S86"/>
  <c r="AC86" s="1"/>
  <c r="S87"/>
  <c r="AC87" s="1"/>
  <c r="S89"/>
  <c r="S96"/>
  <c r="S102"/>
  <c r="S103"/>
  <c r="S104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23" l="1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Z102" i="1"/>
  <c r="Z96"/>
  <c r="Z66"/>
  <c r="Z104"/>
  <c r="Z65"/>
  <c r="Z62"/>
  <c r="Z103"/>
  <c r="Z87"/>
  <c r="AM130" l="1"/>
  <c r="AA130" s="1"/>
  <c r="AK130" s="1"/>
  <c r="AM120"/>
  <c r="AA120" s="1"/>
  <c r="AK120" s="1"/>
  <c r="AM61"/>
  <c r="AA61" s="1"/>
  <c r="AK61" s="1"/>
  <c r="AM55"/>
  <c r="AA55" s="1"/>
  <c r="AK55" s="1"/>
  <c r="AM88"/>
  <c r="AA88" s="1"/>
  <c r="AK88" s="1"/>
  <c r="AM163"/>
  <c r="AA163" s="1"/>
  <c r="AK163" s="1"/>
  <c r="AM162"/>
  <c r="AA162" s="1"/>
  <c r="AK162" s="1"/>
  <c r="J586" i="12"/>
  <c r="H586" s="1"/>
  <c r="I586" s="1"/>
  <c r="J584"/>
  <c r="H584" s="1"/>
  <c r="I584" s="1"/>
  <c r="J585"/>
  <c r="H585" s="1"/>
  <c r="I585" s="1"/>
  <c r="J583"/>
  <c r="H583" s="1"/>
  <c r="I583" s="1"/>
  <c r="AM126" i="1"/>
  <c r="AA126" s="1"/>
  <c r="AK126" s="1"/>
  <c r="AB126"/>
  <c r="J9" i="12"/>
  <c r="H9" s="1"/>
  <c r="I9" s="1"/>
  <c r="J13"/>
  <c r="H13" s="1"/>
  <c r="I13" s="1"/>
  <c r="J17"/>
  <c r="H17" s="1"/>
  <c r="I17" s="1"/>
  <c r="J21"/>
  <c r="H21" s="1"/>
  <c r="I21" s="1"/>
  <c r="J25"/>
  <c r="H25" s="1"/>
  <c r="I25" s="1"/>
  <c r="J29"/>
  <c r="H29" s="1"/>
  <c r="I29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69"/>
  <c r="H69" s="1"/>
  <c r="I69" s="1"/>
  <c r="J73"/>
  <c r="H73" s="1"/>
  <c r="I73" s="1"/>
  <c r="J77"/>
  <c r="H77" s="1"/>
  <c r="I77" s="1"/>
  <c r="J81"/>
  <c r="H81" s="1"/>
  <c r="I81" s="1"/>
  <c r="J85"/>
  <c r="H85" s="1"/>
  <c r="I85" s="1"/>
  <c r="J3"/>
  <c r="H3" s="1"/>
  <c r="I3" s="1"/>
  <c r="J6"/>
  <c r="H6" s="1"/>
  <c r="J10"/>
  <c r="H10" s="1"/>
  <c r="I10" s="1"/>
  <c r="J14"/>
  <c r="H14" s="1"/>
  <c r="I14" s="1"/>
  <c r="J18"/>
  <c r="H18" s="1"/>
  <c r="I18" s="1"/>
  <c r="J22"/>
  <c r="H22" s="1"/>
  <c r="I22" s="1"/>
  <c r="J26"/>
  <c r="H26" s="1"/>
  <c r="I26" s="1"/>
  <c r="J30"/>
  <c r="H30" s="1"/>
  <c r="I30" s="1"/>
  <c r="J34"/>
  <c r="H34" s="1"/>
  <c r="I34" s="1"/>
  <c r="J38"/>
  <c r="H38" s="1"/>
  <c r="I38" s="1"/>
  <c r="J42"/>
  <c r="H42" s="1"/>
  <c r="I42" s="1"/>
  <c r="J46"/>
  <c r="H46" s="1"/>
  <c r="I46" s="1"/>
  <c r="J50"/>
  <c r="H50" s="1"/>
  <c r="I50" s="1"/>
  <c r="J54"/>
  <c r="H54" s="1"/>
  <c r="I54" s="1"/>
  <c r="J58"/>
  <c r="H58" s="1"/>
  <c r="I58" s="1"/>
  <c r="J62"/>
  <c r="H62" s="1"/>
  <c r="I62" s="1"/>
  <c r="J66"/>
  <c r="H66" s="1"/>
  <c r="I66" s="1"/>
  <c r="J70"/>
  <c r="H70" s="1"/>
  <c r="I70" s="1"/>
  <c r="J74"/>
  <c r="H74" s="1"/>
  <c r="I74" s="1"/>
  <c r="J78"/>
  <c r="H78" s="1"/>
  <c r="I78" s="1"/>
  <c r="J82"/>
  <c r="H82" s="1"/>
  <c r="I82" s="1"/>
  <c r="J86"/>
  <c r="H86" s="1"/>
  <c r="I86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08"/>
  <c r="H108" s="1"/>
  <c r="I108" s="1"/>
  <c r="J112"/>
  <c r="H112" s="1"/>
  <c r="I112" s="1"/>
  <c r="J118"/>
  <c r="H118" s="1"/>
  <c r="I118" s="1"/>
  <c r="J120"/>
  <c r="H120" s="1"/>
  <c r="J127"/>
  <c r="H127" s="1"/>
  <c r="J7"/>
  <c r="H7" s="1"/>
  <c r="I7" s="1"/>
  <c r="J8"/>
  <c r="H8" s="1"/>
  <c r="I8" s="1"/>
  <c r="J11"/>
  <c r="H11" s="1"/>
  <c r="I11" s="1"/>
  <c r="J12"/>
  <c r="H12" s="1"/>
  <c r="I12" s="1"/>
  <c r="J15"/>
  <c r="H15" s="1"/>
  <c r="I15" s="1"/>
  <c r="J16"/>
  <c r="H16" s="1"/>
  <c r="I16" s="1"/>
  <c r="J19"/>
  <c r="H19" s="1"/>
  <c r="I19" s="1"/>
  <c r="J20"/>
  <c r="H20" s="1"/>
  <c r="I20" s="1"/>
  <c r="J23"/>
  <c r="H23" s="1"/>
  <c r="I23" s="1"/>
  <c r="J24"/>
  <c r="H24" s="1"/>
  <c r="I24" s="1"/>
  <c r="J27"/>
  <c r="H27" s="1"/>
  <c r="I27" s="1"/>
  <c r="J28"/>
  <c r="H28" s="1"/>
  <c r="I28" s="1"/>
  <c r="J31"/>
  <c r="H31" s="1"/>
  <c r="I31" s="1"/>
  <c r="J32"/>
  <c r="H32" s="1"/>
  <c r="I32" s="1"/>
  <c r="J35"/>
  <c r="H35" s="1"/>
  <c r="I35" s="1"/>
  <c r="J36"/>
  <c r="H36" s="1"/>
  <c r="I36" s="1"/>
  <c r="J39"/>
  <c r="H39" s="1"/>
  <c r="I39" s="1"/>
  <c r="J40"/>
  <c r="H40" s="1"/>
  <c r="I40" s="1"/>
  <c r="J43"/>
  <c r="H43" s="1"/>
  <c r="I43" s="1"/>
  <c r="J44"/>
  <c r="H44" s="1"/>
  <c r="I44" s="1"/>
  <c r="J47"/>
  <c r="H47" s="1"/>
  <c r="I47" s="1"/>
  <c r="J48"/>
  <c r="H48" s="1"/>
  <c r="I48" s="1"/>
  <c r="J51"/>
  <c r="H51" s="1"/>
  <c r="I51" s="1"/>
  <c r="J52"/>
  <c r="H52" s="1"/>
  <c r="I52" s="1"/>
  <c r="J55"/>
  <c r="H55" s="1"/>
  <c r="I55" s="1"/>
  <c r="J56"/>
  <c r="H56" s="1"/>
  <c r="I56" s="1"/>
  <c r="J59"/>
  <c r="H59" s="1"/>
  <c r="I59" s="1"/>
  <c r="J60"/>
  <c r="H60" s="1"/>
  <c r="I60" s="1"/>
  <c r="J63"/>
  <c r="H63" s="1"/>
  <c r="I63" s="1"/>
  <c r="J64"/>
  <c r="H64" s="1"/>
  <c r="I64" s="1"/>
  <c r="J67"/>
  <c r="H67" s="1"/>
  <c r="I67" s="1"/>
  <c r="J68"/>
  <c r="H68" s="1"/>
  <c r="I68" s="1"/>
  <c r="J71"/>
  <c r="H71" s="1"/>
  <c r="I71" s="1"/>
  <c r="J72"/>
  <c r="H72" s="1"/>
  <c r="I72" s="1"/>
  <c r="J75"/>
  <c r="H75" s="1"/>
  <c r="I75" s="1"/>
  <c r="J76"/>
  <c r="H76" s="1"/>
  <c r="I76" s="1"/>
  <c r="J79"/>
  <c r="H79" s="1"/>
  <c r="I79" s="1"/>
  <c r="J80"/>
  <c r="H80" s="1"/>
  <c r="I80" s="1"/>
  <c r="J83"/>
  <c r="H83" s="1"/>
  <c r="I83" s="1"/>
  <c r="J84"/>
  <c r="H84" s="1"/>
  <c r="I84" s="1"/>
  <c r="J117"/>
  <c r="H117" s="1"/>
  <c r="J119"/>
  <c r="H119" s="1"/>
  <c r="J123"/>
  <c r="H123" s="1"/>
  <c r="J130"/>
  <c r="H130" s="1"/>
  <c r="I130" s="1"/>
  <c r="J131"/>
  <c r="H131" s="1"/>
  <c r="I131" s="1"/>
  <c r="J135"/>
  <c r="H135" s="1"/>
  <c r="I135" s="1"/>
  <c r="J139"/>
  <c r="H139" s="1"/>
  <c r="I139" s="1"/>
  <c r="J143"/>
  <c r="H143" s="1"/>
  <c r="I143" s="1"/>
  <c r="J147"/>
  <c r="H147" s="1"/>
  <c r="I147" s="1"/>
  <c r="J156"/>
  <c r="H156" s="1"/>
  <c r="I156" s="1"/>
  <c r="J158"/>
  <c r="H158" s="1"/>
  <c r="J161"/>
  <c r="H161" s="1"/>
  <c r="J91"/>
  <c r="H91" s="1"/>
  <c r="I91" s="1"/>
  <c r="J95"/>
  <c r="H95" s="1"/>
  <c r="I95" s="1"/>
  <c r="J99"/>
  <c r="H99" s="1"/>
  <c r="I99" s="1"/>
  <c r="J103"/>
  <c r="H103" s="1"/>
  <c r="I103" s="1"/>
  <c r="J107"/>
  <c r="H107" s="1"/>
  <c r="I107" s="1"/>
  <c r="J111"/>
  <c r="H111" s="1"/>
  <c r="I111" s="1"/>
  <c r="J115"/>
  <c r="H115" s="1"/>
  <c r="I115" s="1"/>
  <c r="J121"/>
  <c r="H121" s="1"/>
  <c r="J125"/>
  <c r="H125" s="1"/>
  <c r="J126"/>
  <c r="H126" s="1"/>
  <c r="I126" s="1"/>
  <c r="J133"/>
  <c r="H133" s="1"/>
  <c r="I133" s="1"/>
  <c r="J137"/>
  <c r="H137" s="1"/>
  <c r="I137" s="1"/>
  <c r="J141"/>
  <c r="H141" s="1"/>
  <c r="I141" s="1"/>
  <c r="J145"/>
  <c r="H145" s="1"/>
  <c r="I145" s="1"/>
  <c r="J149"/>
  <c r="H149" s="1"/>
  <c r="I149" s="1"/>
  <c r="J5"/>
  <c r="H5" s="1"/>
  <c r="I5" s="1"/>
  <c r="J93"/>
  <c r="H93" s="1"/>
  <c r="I93" s="1"/>
  <c r="J102"/>
  <c r="H102" s="1"/>
  <c r="I102" s="1"/>
  <c r="J109"/>
  <c r="H109" s="1"/>
  <c r="I109" s="1"/>
  <c r="J129"/>
  <c r="H129" s="1"/>
  <c r="I129" s="1"/>
  <c r="J150"/>
  <c r="H150" s="1"/>
  <c r="I150" s="1"/>
  <c r="J155"/>
  <c r="H155" s="1"/>
  <c r="J157"/>
  <c r="H157" s="1"/>
  <c r="J162"/>
  <c r="H162" s="1"/>
  <c r="J167"/>
  <c r="H167" s="1"/>
  <c r="I167" s="1"/>
  <c r="J171"/>
  <c r="H171" s="1"/>
  <c r="I171" s="1"/>
  <c r="J175"/>
  <c r="H175" s="1"/>
  <c r="I175" s="1"/>
  <c r="J179"/>
  <c r="H179" s="1"/>
  <c r="I179" s="1"/>
  <c r="J183"/>
  <c r="H183" s="1"/>
  <c r="I183" s="1"/>
  <c r="J187"/>
  <c r="H187" s="1"/>
  <c r="I187" s="1"/>
  <c r="J191"/>
  <c r="H191" s="1"/>
  <c r="I191" s="1"/>
  <c r="J194"/>
  <c r="H194" s="1"/>
  <c r="J204"/>
  <c r="H204" s="1"/>
  <c r="I204" s="1"/>
  <c r="J208"/>
  <c r="H208" s="1"/>
  <c r="I208" s="1"/>
  <c r="J212"/>
  <c r="H212" s="1"/>
  <c r="I212" s="1"/>
  <c r="J216"/>
  <c r="H216" s="1"/>
  <c r="I216" s="1"/>
  <c r="J220"/>
  <c r="H220" s="1"/>
  <c r="I220" s="1"/>
  <c r="J224"/>
  <c r="H224" s="1"/>
  <c r="I224" s="1"/>
  <c r="J228"/>
  <c r="H228" s="1"/>
  <c r="I228" s="1"/>
  <c r="J232"/>
  <c r="H232" s="1"/>
  <c r="I232" s="1"/>
  <c r="J236"/>
  <c r="H236" s="1"/>
  <c r="I236" s="1"/>
  <c r="J240"/>
  <c r="H240" s="1"/>
  <c r="I240" s="1"/>
  <c r="J244"/>
  <c r="H244" s="1"/>
  <c r="I244" s="1"/>
  <c r="J248"/>
  <c r="H248" s="1"/>
  <c r="I248" s="1"/>
  <c r="J252"/>
  <c r="H252" s="1"/>
  <c r="I252" s="1"/>
  <c r="J256"/>
  <c r="H256" s="1"/>
  <c r="I256" s="1"/>
  <c r="J260"/>
  <c r="H260" s="1"/>
  <c r="I260" s="1"/>
  <c r="J264"/>
  <c r="H264" s="1"/>
  <c r="I264" s="1"/>
  <c r="J4"/>
  <c r="H4" s="1"/>
  <c r="I4" s="1"/>
  <c r="J90"/>
  <c r="H90" s="1"/>
  <c r="I90" s="1"/>
  <c r="J97"/>
  <c r="H97" s="1"/>
  <c r="I97" s="1"/>
  <c r="J106"/>
  <c r="H106" s="1"/>
  <c r="I106" s="1"/>
  <c r="J113"/>
  <c r="H113" s="1"/>
  <c r="I113" s="1"/>
  <c r="J132"/>
  <c r="H132" s="1"/>
  <c r="I132" s="1"/>
  <c r="J136"/>
  <c r="H136" s="1"/>
  <c r="I136" s="1"/>
  <c r="J140"/>
  <c r="H140" s="1"/>
  <c r="I140" s="1"/>
  <c r="J144"/>
  <c r="H144" s="1"/>
  <c r="I144" s="1"/>
  <c r="J148"/>
  <c r="H148" s="1"/>
  <c r="I148" s="1"/>
  <c r="J151"/>
  <c r="H151" s="1"/>
  <c r="J152"/>
  <c r="H152" s="1"/>
  <c r="I152" s="1"/>
  <c r="J159"/>
  <c r="H159" s="1"/>
  <c r="I159" s="1"/>
  <c r="J160"/>
  <c r="H160" s="1"/>
  <c r="I160" s="1"/>
  <c r="J165"/>
  <c r="H165" s="1"/>
  <c r="J168"/>
  <c r="H168" s="1"/>
  <c r="I168" s="1"/>
  <c r="J172"/>
  <c r="H172" s="1"/>
  <c r="I172" s="1"/>
  <c r="J176"/>
  <c r="H176" s="1"/>
  <c r="I176" s="1"/>
  <c r="J180"/>
  <c r="H180" s="1"/>
  <c r="I180" s="1"/>
  <c r="J184"/>
  <c r="H184" s="1"/>
  <c r="I184" s="1"/>
  <c r="J188"/>
  <c r="H188" s="1"/>
  <c r="I188" s="1"/>
  <c r="J192"/>
  <c r="H192" s="1"/>
  <c r="I192" s="1"/>
  <c r="J195"/>
  <c r="H195" s="1"/>
  <c r="I195" s="1"/>
  <c r="J198"/>
  <c r="H198" s="1"/>
  <c r="J201"/>
  <c r="H201" s="1"/>
  <c r="J205"/>
  <c r="H205" s="1"/>
  <c r="I205" s="1"/>
  <c r="J209"/>
  <c r="H209" s="1"/>
  <c r="I209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37"/>
  <c r="H237" s="1"/>
  <c r="I237" s="1"/>
  <c r="J241"/>
  <c r="H241" s="1"/>
  <c r="I241" s="1"/>
  <c r="J245"/>
  <c r="H245" s="1"/>
  <c r="I245" s="1"/>
  <c r="J249"/>
  <c r="H249" s="1"/>
  <c r="I249" s="1"/>
  <c r="J253"/>
  <c r="H253" s="1"/>
  <c r="I253" s="1"/>
  <c r="J257"/>
  <c r="H257" s="1"/>
  <c r="I257" s="1"/>
  <c r="J261"/>
  <c r="H261" s="1"/>
  <c r="I261" s="1"/>
  <c r="J265"/>
  <c r="H265" s="1"/>
  <c r="I265" s="1"/>
  <c r="J269"/>
  <c r="H269" s="1"/>
  <c r="I269" s="1"/>
  <c r="J273"/>
  <c r="H273" s="1"/>
  <c r="I273" s="1"/>
  <c r="J279"/>
  <c r="H279" s="1"/>
  <c r="J282"/>
  <c r="H282" s="1"/>
  <c r="I282" s="1"/>
  <c r="J286"/>
  <c r="H286" s="1"/>
  <c r="I286" s="1"/>
  <c r="J290"/>
  <c r="H290" s="1"/>
  <c r="I290" s="1"/>
  <c r="J294"/>
  <c r="H294" s="1"/>
  <c r="I294" s="1"/>
  <c r="J298"/>
  <c r="H298" s="1"/>
  <c r="I298" s="1"/>
  <c r="J302"/>
  <c r="H302" s="1"/>
  <c r="I302" s="1"/>
  <c r="J306"/>
  <c r="H306" s="1"/>
  <c r="I306" s="1"/>
  <c r="J308"/>
  <c r="H308" s="1"/>
  <c r="J311"/>
  <c r="H311" s="1"/>
  <c r="I311" s="1"/>
  <c r="J315"/>
  <c r="H315" s="1"/>
  <c r="I315" s="1"/>
  <c r="J319"/>
  <c r="H319" s="1"/>
  <c r="I319" s="1"/>
  <c r="J323"/>
  <c r="H323" s="1"/>
  <c r="I323" s="1"/>
  <c r="J327"/>
  <c r="H327" s="1"/>
  <c r="I327" s="1"/>
  <c r="J101"/>
  <c r="H101" s="1"/>
  <c r="I101" s="1"/>
  <c r="J110"/>
  <c r="H110" s="1"/>
  <c r="I110" s="1"/>
  <c r="J114"/>
  <c r="H114" s="1"/>
  <c r="I114" s="1"/>
  <c r="J128"/>
  <c r="H128" s="1"/>
  <c r="I128" s="1"/>
  <c r="J138"/>
  <c r="H138" s="1"/>
  <c r="I138" s="1"/>
  <c r="J154"/>
  <c r="H154" s="1"/>
  <c r="J174"/>
  <c r="H174" s="1"/>
  <c r="I174" s="1"/>
  <c r="J177"/>
  <c r="H177" s="1"/>
  <c r="I177" s="1"/>
  <c r="J190"/>
  <c r="H190" s="1"/>
  <c r="I190" s="1"/>
  <c r="J193"/>
  <c r="H193" s="1"/>
  <c r="I193" s="1"/>
  <c r="J202"/>
  <c r="H202" s="1"/>
  <c r="I202" s="1"/>
  <c r="J203"/>
  <c r="H203" s="1"/>
  <c r="I203" s="1"/>
  <c r="J206"/>
  <c r="H206" s="1"/>
  <c r="I206" s="1"/>
  <c r="J207"/>
  <c r="H207" s="1"/>
  <c r="I207" s="1"/>
  <c r="J210"/>
  <c r="H210" s="1"/>
  <c r="I210" s="1"/>
  <c r="J211"/>
  <c r="H211" s="1"/>
  <c r="I211" s="1"/>
  <c r="J214"/>
  <c r="H214" s="1"/>
  <c r="I214" s="1"/>
  <c r="J215"/>
  <c r="H215" s="1"/>
  <c r="I215" s="1"/>
  <c r="J218"/>
  <c r="H218" s="1"/>
  <c r="I218" s="1"/>
  <c r="J231"/>
  <c r="H231" s="1"/>
  <c r="I231" s="1"/>
  <c r="J234"/>
  <c r="H234" s="1"/>
  <c r="I234" s="1"/>
  <c r="J247"/>
  <c r="H247" s="1"/>
  <c r="I247" s="1"/>
  <c r="J250"/>
  <c r="H250" s="1"/>
  <c r="I250" s="1"/>
  <c r="J263"/>
  <c r="H263" s="1"/>
  <c r="I263" s="1"/>
  <c r="J266"/>
  <c r="H266" s="1"/>
  <c r="I266" s="1"/>
  <c r="J270"/>
  <c r="H270" s="1"/>
  <c r="I270" s="1"/>
  <c r="J271"/>
  <c r="H271" s="1"/>
  <c r="I271" s="1"/>
  <c r="J274"/>
  <c r="H274" s="1"/>
  <c r="I274" s="1"/>
  <c r="J275"/>
  <c r="H275" s="1"/>
  <c r="I275" s="1"/>
  <c r="J281"/>
  <c r="H281" s="1"/>
  <c r="J285"/>
  <c r="H285" s="1"/>
  <c r="I285" s="1"/>
  <c r="J289"/>
  <c r="H289" s="1"/>
  <c r="I289" s="1"/>
  <c r="J293"/>
  <c r="H293" s="1"/>
  <c r="I293" s="1"/>
  <c r="J297"/>
  <c r="H297" s="1"/>
  <c r="I297" s="1"/>
  <c r="J301"/>
  <c r="H301" s="1"/>
  <c r="I301" s="1"/>
  <c r="J305"/>
  <c r="H305" s="1"/>
  <c r="I305" s="1"/>
  <c r="J307"/>
  <c r="H307" s="1"/>
  <c r="J330"/>
  <c r="H330" s="1"/>
  <c r="I330" s="1"/>
  <c r="J334"/>
  <c r="H334" s="1"/>
  <c r="I334" s="1"/>
  <c r="J338"/>
  <c r="H338" s="1"/>
  <c r="I338" s="1"/>
  <c r="J342"/>
  <c r="H342" s="1"/>
  <c r="I342" s="1"/>
  <c r="J346"/>
  <c r="H346" s="1"/>
  <c r="I346" s="1"/>
  <c r="J350"/>
  <c r="H350" s="1"/>
  <c r="I350" s="1"/>
  <c r="J354"/>
  <c r="H354" s="1"/>
  <c r="I354" s="1"/>
  <c r="J358"/>
  <c r="H358" s="1"/>
  <c r="I358" s="1"/>
  <c r="J362"/>
  <c r="H362" s="1"/>
  <c r="I362" s="1"/>
  <c r="J366"/>
  <c r="H366" s="1"/>
  <c r="I366" s="1"/>
  <c r="J370"/>
  <c r="H370" s="1"/>
  <c r="I370" s="1"/>
  <c r="J374"/>
  <c r="H374" s="1"/>
  <c r="I374" s="1"/>
  <c r="J378"/>
  <c r="H378" s="1"/>
  <c r="I378" s="1"/>
  <c r="J382"/>
  <c r="H382" s="1"/>
  <c r="I382" s="1"/>
  <c r="J386"/>
  <c r="H386" s="1"/>
  <c r="I386" s="1"/>
  <c r="J390"/>
  <c r="H390" s="1"/>
  <c r="I390" s="1"/>
  <c r="J87"/>
  <c r="H87" s="1"/>
  <c r="I87" s="1"/>
  <c r="J89"/>
  <c r="H89" s="1"/>
  <c r="I89" s="1"/>
  <c r="J122"/>
  <c r="H122" s="1"/>
  <c r="I122" s="1"/>
  <c r="J124"/>
  <c r="H124" s="1"/>
  <c r="J142"/>
  <c r="H142" s="1"/>
  <c r="I142" s="1"/>
  <c r="J153"/>
  <c r="H153" s="1"/>
  <c r="I153" s="1"/>
  <c r="J178"/>
  <c r="H178" s="1"/>
  <c r="I178" s="1"/>
  <c r="J181"/>
  <c r="H181" s="1"/>
  <c r="I181" s="1"/>
  <c r="J199"/>
  <c r="H199" s="1"/>
  <c r="I199" s="1"/>
  <c r="J200"/>
  <c r="H200" s="1"/>
  <c r="I200" s="1"/>
  <c r="J219"/>
  <c r="H219" s="1"/>
  <c r="I219" s="1"/>
  <c r="J222"/>
  <c r="H222" s="1"/>
  <c r="I222" s="1"/>
  <c r="J235"/>
  <c r="H235" s="1"/>
  <c r="I235" s="1"/>
  <c r="J238"/>
  <c r="H238" s="1"/>
  <c r="I238" s="1"/>
  <c r="J251"/>
  <c r="H251" s="1"/>
  <c r="I251" s="1"/>
  <c r="J254"/>
  <c r="H254" s="1"/>
  <c r="I254" s="1"/>
  <c r="J267"/>
  <c r="H267" s="1"/>
  <c r="I267" s="1"/>
  <c r="J268"/>
  <c r="H268" s="1"/>
  <c r="I268" s="1"/>
  <c r="J272"/>
  <c r="H272" s="1"/>
  <c r="I272" s="1"/>
  <c r="J276"/>
  <c r="H276" s="1"/>
  <c r="I276" s="1"/>
  <c r="J309"/>
  <c r="H309" s="1"/>
  <c r="I309" s="1"/>
  <c r="J312"/>
  <c r="H312" s="1"/>
  <c r="I312" s="1"/>
  <c r="J313"/>
  <c r="H313" s="1"/>
  <c r="I313" s="1"/>
  <c r="J316"/>
  <c r="H316" s="1"/>
  <c r="I316" s="1"/>
  <c r="J317"/>
  <c r="H317" s="1"/>
  <c r="I317" s="1"/>
  <c r="J320"/>
  <c r="H320" s="1"/>
  <c r="I320" s="1"/>
  <c r="J321"/>
  <c r="H321" s="1"/>
  <c r="I321" s="1"/>
  <c r="J324"/>
  <c r="H324" s="1"/>
  <c r="I324" s="1"/>
  <c r="J325"/>
  <c r="H325" s="1"/>
  <c r="I325" s="1"/>
  <c r="J331"/>
  <c r="H331" s="1"/>
  <c r="I331" s="1"/>
  <c r="J335"/>
  <c r="H335" s="1"/>
  <c r="I335" s="1"/>
  <c r="J339"/>
  <c r="H339" s="1"/>
  <c r="I339" s="1"/>
  <c r="J343"/>
  <c r="H343" s="1"/>
  <c r="I343" s="1"/>
  <c r="J347"/>
  <c r="H347" s="1"/>
  <c r="I347" s="1"/>
  <c r="J351"/>
  <c r="H351" s="1"/>
  <c r="I351" s="1"/>
  <c r="J355"/>
  <c r="H355" s="1"/>
  <c r="I355" s="1"/>
  <c r="J359"/>
  <c r="H359" s="1"/>
  <c r="I359" s="1"/>
  <c r="J363"/>
  <c r="H363" s="1"/>
  <c r="I363" s="1"/>
  <c r="J367"/>
  <c r="H367" s="1"/>
  <c r="I367" s="1"/>
  <c r="J371"/>
  <c r="H371" s="1"/>
  <c r="I371" s="1"/>
  <c r="J375"/>
  <c r="H375" s="1"/>
  <c r="I375" s="1"/>
  <c r="J379"/>
  <c r="H379" s="1"/>
  <c r="I379" s="1"/>
  <c r="J383"/>
  <c r="H383" s="1"/>
  <c r="I383" s="1"/>
  <c r="J387"/>
  <c r="H387" s="1"/>
  <c r="I387" s="1"/>
  <c r="J391"/>
  <c r="H391" s="1"/>
  <c r="I391" s="1"/>
  <c r="J393"/>
  <c r="H393" s="1"/>
  <c r="J397"/>
  <c r="H397" s="1"/>
  <c r="I397" s="1"/>
  <c r="J401"/>
  <c r="H401" s="1"/>
  <c r="I401" s="1"/>
  <c r="J405"/>
  <c r="H405" s="1"/>
  <c r="I405" s="1"/>
  <c r="J409"/>
  <c r="H409" s="1"/>
  <c r="I409" s="1"/>
  <c r="J412"/>
  <c r="H412" s="1"/>
  <c r="I412" s="1"/>
  <c r="J416"/>
  <c r="H416" s="1"/>
  <c r="I416" s="1"/>
  <c r="J420"/>
  <c r="H420" s="1"/>
  <c r="I420" s="1"/>
  <c r="J424"/>
  <c r="H424" s="1"/>
  <c r="I424" s="1"/>
  <c r="J434"/>
  <c r="H434" s="1"/>
  <c r="I434" s="1"/>
  <c r="J438"/>
  <c r="H438" s="1"/>
  <c r="I438" s="1"/>
  <c r="J442"/>
  <c r="H442" s="1"/>
  <c r="I442" s="1"/>
  <c r="J446"/>
  <c r="H446" s="1"/>
  <c r="I446" s="1"/>
  <c r="J450"/>
  <c r="H450" s="1"/>
  <c r="I450" s="1"/>
  <c r="J454"/>
  <c r="H454" s="1"/>
  <c r="I454" s="1"/>
  <c r="J458"/>
  <c r="H458" s="1"/>
  <c r="I458" s="1"/>
  <c r="J462"/>
  <c r="H462" s="1"/>
  <c r="I462" s="1"/>
  <c r="J466"/>
  <c r="H466" s="1"/>
  <c r="I466" s="1"/>
  <c r="J470"/>
  <c r="H470" s="1"/>
  <c r="I470" s="1"/>
  <c r="J474"/>
  <c r="H474" s="1"/>
  <c r="I474" s="1"/>
  <c r="J477"/>
  <c r="H477" s="1"/>
  <c r="I477" s="1"/>
  <c r="J481"/>
  <c r="H481" s="1"/>
  <c r="I481" s="1"/>
  <c r="J484"/>
  <c r="H484" s="1"/>
  <c r="I484" s="1"/>
  <c r="J488"/>
  <c r="H488" s="1"/>
  <c r="I488" s="1"/>
  <c r="J492"/>
  <c r="H492" s="1"/>
  <c r="I492" s="1"/>
  <c r="J496"/>
  <c r="H496" s="1"/>
  <c r="I496" s="1"/>
  <c r="J499"/>
  <c r="H499" s="1"/>
  <c r="I499" s="1"/>
  <c r="J503"/>
  <c r="H503" s="1"/>
  <c r="I503" s="1"/>
  <c r="J164"/>
  <c r="H164" s="1"/>
  <c r="I164" s="1"/>
  <c r="J173"/>
  <c r="H173" s="1"/>
  <c r="I173" s="1"/>
  <c r="J189"/>
  <c r="H189" s="1"/>
  <c r="I189" s="1"/>
  <c r="J197"/>
  <c r="H197" s="1"/>
  <c r="I197" s="1"/>
  <c r="J226"/>
  <c r="H226" s="1"/>
  <c r="I226" s="1"/>
  <c r="J242"/>
  <c r="H242" s="1"/>
  <c r="I242" s="1"/>
  <c r="J258"/>
  <c r="H258" s="1"/>
  <c r="I258" s="1"/>
  <c r="J284"/>
  <c r="H284" s="1"/>
  <c r="I284" s="1"/>
  <c r="J296"/>
  <c r="H296" s="1"/>
  <c r="I296" s="1"/>
  <c r="J304"/>
  <c r="H304" s="1"/>
  <c r="I304" s="1"/>
  <c r="J518"/>
  <c r="H518" s="1"/>
  <c r="J529"/>
  <c r="H529" s="1"/>
  <c r="J532"/>
  <c r="H532" s="1"/>
  <c r="J556"/>
  <c r="H556" s="1"/>
  <c r="J134"/>
  <c r="H134" s="1"/>
  <c r="I134" s="1"/>
  <c r="J146"/>
  <c r="H146" s="1"/>
  <c r="I146" s="1"/>
  <c r="J163"/>
  <c r="H163" s="1"/>
  <c r="J295"/>
  <c r="H295" s="1"/>
  <c r="I295" s="1"/>
  <c r="J513"/>
  <c r="H513" s="1"/>
  <c r="I513" s="1"/>
  <c r="J516"/>
  <c r="H516" s="1"/>
  <c r="I516" s="1"/>
  <c r="J530"/>
  <c r="H530" s="1"/>
  <c r="I530" s="1"/>
  <c r="J536"/>
  <c r="H536" s="1"/>
  <c r="I536" s="1"/>
  <c r="J540"/>
  <c r="H540" s="1"/>
  <c r="I540" s="1"/>
  <c r="J544"/>
  <c r="H544" s="1"/>
  <c r="I544" s="1"/>
  <c r="J548"/>
  <c r="H548" s="1"/>
  <c r="I548" s="1"/>
  <c r="J554"/>
  <c r="H554" s="1"/>
  <c r="I554" s="1"/>
  <c r="J564"/>
  <c r="H564" s="1"/>
  <c r="I564" s="1"/>
  <c r="J568"/>
  <c r="H568" s="1"/>
  <c r="I568" s="1"/>
  <c r="J572"/>
  <c r="H572" s="1"/>
  <c r="I572" s="1"/>
  <c r="J576"/>
  <c r="H576" s="1"/>
  <c r="I576" s="1"/>
  <c r="J94"/>
  <c r="H94" s="1"/>
  <c r="I94" s="1"/>
  <c r="J98"/>
  <c r="H98" s="1"/>
  <c r="I98" s="1"/>
  <c r="J105"/>
  <c r="H105" s="1"/>
  <c r="I105" s="1"/>
  <c r="J116"/>
  <c r="H116" s="1"/>
  <c r="J170"/>
  <c r="H170" s="1"/>
  <c r="I170" s="1"/>
  <c r="J186"/>
  <c r="H186" s="1"/>
  <c r="I186" s="1"/>
  <c r="J223"/>
  <c r="H223" s="1"/>
  <c r="I223" s="1"/>
  <c r="J239"/>
  <c r="H239" s="1"/>
  <c r="I239" s="1"/>
  <c r="J255"/>
  <c r="H255" s="1"/>
  <c r="I255" s="1"/>
  <c r="J310"/>
  <c r="H310" s="1"/>
  <c r="J326"/>
  <c r="H326" s="1"/>
  <c r="I326" s="1"/>
  <c r="J328"/>
  <c r="H328" s="1"/>
  <c r="I328" s="1"/>
  <c r="J329"/>
  <c r="H329" s="1"/>
  <c r="I329" s="1"/>
  <c r="J332"/>
  <c r="H332" s="1"/>
  <c r="I332" s="1"/>
  <c r="J333"/>
  <c r="H333" s="1"/>
  <c r="I333" s="1"/>
  <c r="J336"/>
  <c r="H336" s="1"/>
  <c r="I336" s="1"/>
  <c r="J337"/>
  <c r="H337" s="1"/>
  <c r="I337" s="1"/>
  <c r="J340"/>
  <c r="H340" s="1"/>
  <c r="I340" s="1"/>
  <c r="J341"/>
  <c r="H341" s="1"/>
  <c r="I341" s="1"/>
  <c r="J344"/>
  <c r="H344" s="1"/>
  <c r="I344" s="1"/>
  <c r="J345"/>
  <c r="H345" s="1"/>
  <c r="I345" s="1"/>
  <c r="J348"/>
  <c r="H348" s="1"/>
  <c r="I348" s="1"/>
  <c r="J349"/>
  <c r="H349" s="1"/>
  <c r="I349" s="1"/>
  <c r="J352"/>
  <c r="H352" s="1"/>
  <c r="I352" s="1"/>
  <c r="J353"/>
  <c r="H353" s="1"/>
  <c r="I353" s="1"/>
  <c r="J356"/>
  <c r="H356" s="1"/>
  <c r="I356" s="1"/>
  <c r="J357"/>
  <c r="H357" s="1"/>
  <c r="I357" s="1"/>
  <c r="J360"/>
  <c r="H360" s="1"/>
  <c r="I360" s="1"/>
  <c r="J361"/>
  <c r="H361" s="1"/>
  <c r="I361" s="1"/>
  <c r="J364"/>
  <c r="H364" s="1"/>
  <c r="I364" s="1"/>
  <c r="J365"/>
  <c r="H365" s="1"/>
  <c r="I365" s="1"/>
  <c r="J368"/>
  <c r="H368" s="1"/>
  <c r="I368" s="1"/>
  <c r="J369"/>
  <c r="H369" s="1"/>
  <c r="I369" s="1"/>
  <c r="J372"/>
  <c r="H372" s="1"/>
  <c r="I372" s="1"/>
  <c r="J373"/>
  <c r="H373" s="1"/>
  <c r="I373" s="1"/>
  <c r="J376"/>
  <c r="H376" s="1"/>
  <c r="I376" s="1"/>
  <c r="J377"/>
  <c r="H377" s="1"/>
  <c r="I377" s="1"/>
  <c r="J380"/>
  <c r="H380" s="1"/>
  <c r="I380" s="1"/>
  <c r="J381"/>
  <c r="H381" s="1"/>
  <c r="I381" s="1"/>
  <c r="J384"/>
  <c r="H384" s="1"/>
  <c r="I384" s="1"/>
  <c r="J385"/>
  <c r="H385" s="1"/>
  <c r="I385" s="1"/>
  <c r="J388"/>
  <c r="H388" s="1"/>
  <c r="I388" s="1"/>
  <c r="J389"/>
  <c r="H389" s="1"/>
  <c r="I389" s="1"/>
  <c r="J396"/>
  <c r="H396" s="1"/>
  <c r="I396" s="1"/>
  <c r="J400"/>
  <c r="H400" s="1"/>
  <c r="I400" s="1"/>
  <c r="J404"/>
  <c r="H404" s="1"/>
  <c r="I404" s="1"/>
  <c r="J408"/>
  <c r="H408" s="1"/>
  <c r="I408" s="1"/>
  <c r="J411"/>
  <c r="H411" s="1"/>
  <c r="J415"/>
  <c r="H415" s="1"/>
  <c r="I415" s="1"/>
  <c r="J419"/>
  <c r="H419" s="1"/>
  <c r="I419" s="1"/>
  <c r="J423"/>
  <c r="H423" s="1"/>
  <c r="I423" s="1"/>
  <c r="J427"/>
  <c r="H427" s="1"/>
  <c r="I427" s="1"/>
  <c r="J433"/>
  <c r="H433" s="1"/>
  <c r="I433" s="1"/>
  <c r="J437"/>
  <c r="H437" s="1"/>
  <c r="I437" s="1"/>
  <c r="J441"/>
  <c r="H441" s="1"/>
  <c r="I441" s="1"/>
  <c r="J445"/>
  <c r="H445" s="1"/>
  <c r="I445" s="1"/>
  <c r="J449"/>
  <c r="H449" s="1"/>
  <c r="I449" s="1"/>
  <c r="J453"/>
  <c r="H453" s="1"/>
  <c r="I453" s="1"/>
  <c r="J457"/>
  <c r="H457" s="1"/>
  <c r="I457" s="1"/>
  <c r="J461"/>
  <c r="H461" s="1"/>
  <c r="I461" s="1"/>
  <c r="J465"/>
  <c r="H465" s="1"/>
  <c r="I465" s="1"/>
  <c r="J469"/>
  <c r="H469" s="1"/>
  <c r="I469" s="1"/>
  <c r="J473"/>
  <c r="H473" s="1"/>
  <c r="I473" s="1"/>
  <c r="J475"/>
  <c r="H475" s="1"/>
  <c r="J478"/>
  <c r="H478" s="1"/>
  <c r="I478" s="1"/>
  <c r="J479"/>
  <c r="H479" s="1"/>
  <c r="I479" s="1"/>
  <c r="J482"/>
  <c r="H482" s="1"/>
  <c r="I482" s="1"/>
  <c r="J485"/>
  <c r="H485" s="1"/>
  <c r="I485" s="1"/>
  <c r="J486"/>
  <c r="H486" s="1"/>
  <c r="I486" s="1"/>
  <c r="J489"/>
  <c r="H489" s="1"/>
  <c r="I489" s="1"/>
  <c r="J490"/>
  <c r="H490" s="1"/>
  <c r="I490" s="1"/>
  <c r="J493"/>
  <c r="H493" s="1"/>
  <c r="I493" s="1"/>
  <c r="J494"/>
  <c r="H494" s="1"/>
  <c r="I494" s="1"/>
  <c r="J497"/>
  <c r="H497" s="1"/>
  <c r="I497" s="1"/>
  <c r="J500"/>
  <c r="H500" s="1"/>
  <c r="I500" s="1"/>
  <c r="J501"/>
  <c r="H501" s="1"/>
  <c r="I501" s="1"/>
  <c r="J504"/>
  <c r="H504" s="1"/>
  <c r="I504" s="1"/>
  <c r="J505"/>
  <c r="H505" s="1"/>
  <c r="I505" s="1"/>
  <c r="J510"/>
  <c r="H510" s="1"/>
  <c r="I510" s="1"/>
  <c r="J517"/>
  <c r="H517" s="1"/>
  <c r="I517" s="1"/>
  <c r="J520"/>
  <c r="H520" s="1"/>
  <c r="I520" s="1"/>
  <c r="J524"/>
  <c r="H524" s="1"/>
  <c r="I524" s="1"/>
  <c r="J528"/>
  <c r="H528" s="1"/>
  <c r="I528" s="1"/>
  <c r="J531"/>
  <c r="H531" s="1"/>
  <c r="I531" s="1"/>
  <c r="J533"/>
  <c r="H533" s="1"/>
  <c r="J537"/>
  <c r="H537" s="1"/>
  <c r="I537" s="1"/>
  <c r="J541"/>
  <c r="H541" s="1"/>
  <c r="I541" s="1"/>
  <c r="J545"/>
  <c r="H545" s="1"/>
  <c r="I545" s="1"/>
  <c r="J549"/>
  <c r="H549" s="1"/>
  <c r="I549" s="1"/>
  <c r="J551"/>
  <c r="H551" s="1"/>
  <c r="J555"/>
  <c r="H555" s="1"/>
  <c r="I555" s="1"/>
  <c r="J557"/>
  <c r="H557" s="1"/>
  <c r="J561"/>
  <c r="H561" s="1"/>
  <c r="I561" s="1"/>
  <c r="J565"/>
  <c r="H565" s="1"/>
  <c r="I565" s="1"/>
  <c r="J569"/>
  <c r="H569" s="1"/>
  <c r="I569" s="1"/>
  <c r="J573"/>
  <c r="H573" s="1"/>
  <c r="I573" s="1"/>
  <c r="J577"/>
  <c r="H577" s="1"/>
  <c r="I577" s="1"/>
  <c r="J581"/>
  <c r="H581" s="1"/>
  <c r="I581" s="1"/>
  <c r="J227"/>
  <c r="H227" s="1"/>
  <c r="I227" s="1"/>
  <c r="J243"/>
  <c r="H243" s="1"/>
  <c r="I243" s="1"/>
  <c r="J277"/>
  <c r="H277" s="1"/>
  <c r="J291"/>
  <c r="H291" s="1"/>
  <c r="I291" s="1"/>
  <c r="J395"/>
  <c r="H395" s="1"/>
  <c r="I395" s="1"/>
  <c r="J399"/>
  <c r="H399" s="1"/>
  <c r="I399" s="1"/>
  <c r="J406"/>
  <c r="H406" s="1"/>
  <c r="I406" s="1"/>
  <c r="J410"/>
  <c r="H410" s="1"/>
  <c r="I410" s="1"/>
  <c r="J417"/>
  <c r="H417" s="1"/>
  <c r="I417" s="1"/>
  <c r="J422"/>
  <c r="H422" s="1"/>
  <c r="I422" s="1"/>
  <c r="J426"/>
  <c r="H426" s="1"/>
  <c r="I426" s="1"/>
  <c r="J435"/>
  <c r="H435" s="1"/>
  <c r="I435" s="1"/>
  <c r="J440"/>
  <c r="H440" s="1"/>
  <c r="I440" s="1"/>
  <c r="J447"/>
  <c r="H447" s="1"/>
  <c r="I447" s="1"/>
  <c r="J452"/>
  <c r="H452" s="1"/>
  <c r="I452" s="1"/>
  <c r="J456"/>
  <c r="H456" s="1"/>
  <c r="I456" s="1"/>
  <c r="J460"/>
  <c r="H460" s="1"/>
  <c r="I460" s="1"/>
  <c r="J467"/>
  <c r="H467" s="1"/>
  <c r="I467" s="1"/>
  <c r="J472"/>
  <c r="H472" s="1"/>
  <c r="I472" s="1"/>
  <c r="J519"/>
  <c r="H519" s="1"/>
  <c r="I519" s="1"/>
  <c r="J523"/>
  <c r="H523" s="1"/>
  <c r="I523" s="1"/>
  <c r="J527"/>
  <c r="H527" s="1"/>
  <c r="I527" s="1"/>
  <c r="J580"/>
  <c r="H580" s="1"/>
  <c r="I580" s="1"/>
  <c r="J166"/>
  <c r="H166" s="1"/>
  <c r="J182"/>
  <c r="H182" s="1"/>
  <c r="I182" s="1"/>
  <c r="J230"/>
  <c r="H230" s="1"/>
  <c r="I230" s="1"/>
  <c r="J246"/>
  <c r="H246" s="1"/>
  <c r="I246" s="1"/>
  <c r="J262"/>
  <c r="H262" s="1"/>
  <c r="I262" s="1"/>
  <c r="J314"/>
  <c r="H314" s="1"/>
  <c r="I314" s="1"/>
  <c r="J428"/>
  <c r="H428" s="1"/>
  <c r="J429"/>
  <c r="H429" s="1"/>
  <c r="I429" s="1"/>
  <c r="J476"/>
  <c r="H476" s="1"/>
  <c r="I476" s="1"/>
  <c r="J480"/>
  <c r="H480" s="1"/>
  <c r="I480" s="1"/>
  <c r="J483"/>
  <c r="H483" s="1"/>
  <c r="J487"/>
  <c r="H487" s="1"/>
  <c r="I487" s="1"/>
  <c r="J491"/>
  <c r="H491" s="1"/>
  <c r="I491" s="1"/>
  <c r="J495"/>
  <c r="H495" s="1"/>
  <c r="I495" s="1"/>
  <c r="J498"/>
  <c r="H498" s="1"/>
  <c r="J502"/>
  <c r="H502" s="1"/>
  <c r="I502" s="1"/>
  <c r="J506"/>
  <c r="H506" s="1"/>
  <c r="I506" s="1"/>
  <c r="J507"/>
  <c r="H507" s="1"/>
  <c r="I507" s="1"/>
  <c r="J511"/>
  <c r="H511" s="1"/>
  <c r="I511" s="1"/>
  <c r="J514"/>
  <c r="H514" s="1"/>
  <c r="J521"/>
  <c r="H521" s="1"/>
  <c r="I521" s="1"/>
  <c r="J525"/>
  <c r="H525" s="1"/>
  <c r="I525" s="1"/>
  <c r="J534"/>
  <c r="H534" s="1"/>
  <c r="I534" s="1"/>
  <c r="J538"/>
  <c r="H538" s="1"/>
  <c r="I538" s="1"/>
  <c r="J542"/>
  <c r="H542" s="1"/>
  <c r="I542" s="1"/>
  <c r="J546"/>
  <c r="H546" s="1"/>
  <c r="I546" s="1"/>
  <c r="J552"/>
  <c r="H552" s="1"/>
  <c r="I552" s="1"/>
  <c r="J558"/>
  <c r="H558" s="1"/>
  <c r="I558" s="1"/>
  <c r="J562"/>
  <c r="H562" s="1"/>
  <c r="I562" s="1"/>
  <c r="J566"/>
  <c r="H566" s="1"/>
  <c r="I566" s="1"/>
  <c r="J570"/>
  <c r="H570" s="1"/>
  <c r="I570" s="1"/>
  <c r="J574"/>
  <c r="H574" s="1"/>
  <c r="I574" s="1"/>
  <c r="J578"/>
  <c r="H578" s="1"/>
  <c r="I578" s="1"/>
  <c r="J582"/>
  <c r="H582" s="1"/>
  <c r="I582" s="1"/>
  <c r="J278"/>
  <c r="H278" s="1"/>
  <c r="I278" s="1"/>
  <c r="J280"/>
  <c r="H280" s="1"/>
  <c r="I280" s="1"/>
  <c r="J288"/>
  <c r="H288" s="1"/>
  <c r="I288" s="1"/>
  <c r="J292"/>
  <c r="H292" s="1"/>
  <c r="I292" s="1"/>
  <c r="J300"/>
  <c r="H300" s="1"/>
  <c r="I300" s="1"/>
  <c r="J318"/>
  <c r="H318" s="1"/>
  <c r="I318" s="1"/>
  <c r="J392"/>
  <c r="H392" s="1"/>
  <c r="J430"/>
  <c r="H430" s="1"/>
  <c r="I430" s="1"/>
  <c r="J508"/>
  <c r="H508" s="1"/>
  <c r="I508" s="1"/>
  <c r="J512"/>
  <c r="H512" s="1"/>
  <c r="I512" s="1"/>
  <c r="J515"/>
  <c r="H515" s="1"/>
  <c r="I515" s="1"/>
  <c r="J522"/>
  <c r="H522" s="1"/>
  <c r="I522" s="1"/>
  <c r="J526"/>
  <c r="H526" s="1"/>
  <c r="I526" s="1"/>
  <c r="J535"/>
  <c r="H535" s="1"/>
  <c r="I535" s="1"/>
  <c r="J539"/>
  <c r="H539" s="1"/>
  <c r="I539" s="1"/>
  <c r="J543"/>
  <c r="H543" s="1"/>
  <c r="I543" s="1"/>
  <c r="J547"/>
  <c r="H547" s="1"/>
  <c r="I547" s="1"/>
  <c r="J550"/>
  <c r="H550" s="1"/>
  <c r="J553"/>
  <c r="H553" s="1"/>
  <c r="I553" s="1"/>
  <c r="J559"/>
  <c r="H559" s="1"/>
  <c r="I559" s="1"/>
  <c r="J563"/>
  <c r="H563" s="1"/>
  <c r="I563" s="1"/>
  <c r="J567"/>
  <c r="H567" s="1"/>
  <c r="I567" s="1"/>
  <c r="J571"/>
  <c r="H571" s="1"/>
  <c r="I571" s="1"/>
  <c r="J575"/>
  <c r="H575" s="1"/>
  <c r="I575" s="1"/>
  <c r="J579"/>
  <c r="H579" s="1"/>
  <c r="I579" s="1"/>
  <c r="J2"/>
  <c r="H2" s="1"/>
  <c r="I2" s="1"/>
  <c r="J169"/>
  <c r="H169" s="1"/>
  <c r="I169" s="1"/>
  <c r="J185"/>
  <c r="H185" s="1"/>
  <c r="I185" s="1"/>
  <c r="J196"/>
  <c r="H196" s="1"/>
  <c r="I196" s="1"/>
  <c r="J259"/>
  <c r="H259" s="1"/>
  <c r="I259" s="1"/>
  <c r="J283"/>
  <c r="H283" s="1"/>
  <c r="I283" s="1"/>
  <c r="J287"/>
  <c r="H287" s="1"/>
  <c r="I287" s="1"/>
  <c r="J299"/>
  <c r="H299" s="1"/>
  <c r="I299" s="1"/>
  <c r="J303"/>
  <c r="H303" s="1"/>
  <c r="I303" s="1"/>
  <c r="J322"/>
  <c r="H322" s="1"/>
  <c r="I322" s="1"/>
  <c r="J394"/>
  <c r="H394" s="1"/>
  <c r="I394" s="1"/>
  <c r="J398"/>
  <c r="H398" s="1"/>
  <c r="I398" s="1"/>
  <c r="J402"/>
  <c r="H402" s="1"/>
  <c r="I402" s="1"/>
  <c r="J403"/>
  <c r="H403" s="1"/>
  <c r="I403" s="1"/>
  <c r="J407"/>
  <c r="H407" s="1"/>
  <c r="I407" s="1"/>
  <c r="J413"/>
  <c r="H413" s="1"/>
  <c r="I413" s="1"/>
  <c r="J414"/>
  <c r="H414" s="1"/>
  <c r="I414" s="1"/>
  <c r="J418"/>
  <c r="H418" s="1"/>
  <c r="I418" s="1"/>
  <c r="J421"/>
  <c r="H421" s="1"/>
  <c r="I421" s="1"/>
  <c r="J425"/>
  <c r="H425" s="1"/>
  <c r="I425" s="1"/>
  <c r="J431"/>
  <c r="H431" s="1"/>
  <c r="J432"/>
  <c r="H432" s="1"/>
  <c r="I432" s="1"/>
  <c r="J436"/>
  <c r="H436" s="1"/>
  <c r="I436" s="1"/>
  <c r="J439"/>
  <c r="H439" s="1"/>
  <c r="I439" s="1"/>
  <c r="J443"/>
  <c r="H443" s="1"/>
  <c r="I443" s="1"/>
  <c r="J444"/>
  <c r="H444" s="1"/>
  <c r="I444" s="1"/>
  <c r="J448"/>
  <c r="H448" s="1"/>
  <c r="I448" s="1"/>
  <c r="J451"/>
  <c r="H451" s="1"/>
  <c r="I451" s="1"/>
  <c r="J455"/>
  <c r="H455" s="1"/>
  <c r="I455" s="1"/>
  <c r="J459"/>
  <c r="H459" s="1"/>
  <c r="I459" s="1"/>
  <c r="J463"/>
  <c r="H463" s="1"/>
  <c r="I463" s="1"/>
  <c r="J464"/>
  <c r="H464" s="1"/>
  <c r="I464" s="1"/>
  <c r="J468"/>
  <c r="H468" s="1"/>
  <c r="I468" s="1"/>
  <c r="J471"/>
  <c r="H471" s="1"/>
  <c r="I471" s="1"/>
  <c r="J509"/>
  <c r="H509" s="1"/>
  <c r="I509" s="1"/>
  <c r="J560"/>
  <c r="H560" s="1"/>
  <c r="I560" s="1"/>
  <c r="AM81" i="1"/>
  <c r="AA81" s="1"/>
  <c r="AK81" s="1"/>
  <c r="AM57"/>
  <c r="AA57" s="1"/>
  <c r="AK57" s="1"/>
  <c r="AM78"/>
  <c r="AA78" s="1"/>
  <c r="AK78" s="1"/>
  <c r="AM44"/>
  <c r="AA44" s="1"/>
  <c r="AK44" s="1"/>
  <c r="AM160"/>
  <c r="AA160" s="1"/>
  <c r="AK160" s="1"/>
  <c r="AM31"/>
  <c r="AA31" s="1"/>
  <c r="AK31" s="1"/>
  <c r="AM70"/>
  <c r="AA70" s="1"/>
  <c r="AK70" s="1"/>
  <c r="AM69"/>
  <c r="AA69" s="1"/>
  <c r="AK69" s="1"/>
  <c r="AM4"/>
  <c r="AA4" s="1"/>
  <c r="AK4" s="1"/>
  <c r="AM37"/>
  <c r="AA37" s="1"/>
  <c r="AK37" s="1"/>
  <c r="AM38"/>
  <c r="AA38" s="1"/>
  <c r="AK38" s="1"/>
  <c r="AM46"/>
  <c r="AA46" s="1"/>
  <c r="AK46" s="1"/>
  <c r="AM108"/>
  <c r="AA108" s="1"/>
  <c r="AK108" s="1"/>
  <c r="AM123"/>
  <c r="AA123" s="1"/>
  <c r="AK123" s="1"/>
  <c r="AM149"/>
  <c r="AA149" s="1"/>
  <c r="AK149" s="1"/>
  <c r="AM146"/>
  <c r="AA146" s="1"/>
  <c r="AK146" s="1"/>
  <c r="AM121"/>
  <c r="AA121" s="1"/>
  <c r="AK121" s="1"/>
  <c r="AM97"/>
  <c r="AA97" s="1"/>
  <c r="AK97" s="1"/>
  <c r="AM157"/>
  <c r="AA157" s="1"/>
  <c r="AK157" s="1"/>
  <c r="AM127"/>
  <c r="AA127" s="1"/>
  <c r="AK127" s="1"/>
  <c r="AM165"/>
  <c r="AA165" s="1"/>
  <c r="AK165" s="1"/>
  <c r="AM119"/>
  <c r="AA119" s="1"/>
  <c r="AK119" s="1"/>
  <c r="AM133"/>
  <c r="AA133" s="1"/>
  <c r="AK133" s="1"/>
  <c r="AM98"/>
  <c r="AA98" s="1"/>
  <c r="AK98" s="1"/>
  <c r="AM80"/>
  <c r="AA80" s="1"/>
  <c r="AK80" s="1"/>
  <c r="AM135"/>
  <c r="AA135" s="1"/>
  <c r="AK135" s="1"/>
  <c r="AM116"/>
  <c r="AA116" s="1"/>
  <c r="AK116" s="1"/>
  <c r="AM5"/>
  <c r="AA5" s="1"/>
  <c r="AK5" s="1"/>
  <c r="AM161"/>
  <c r="AA161" s="1"/>
  <c r="AK161" s="1"/>
  <c r="AM122"/>
  <c r="AA122" s="1"/>
  <c r="AK122" s="1"/>
  <c r="AM107"/>
  <c r="AA107" s="1"/>
  <c r="AK107" s="1"/>
  <c r="AM22"/>
  <c r="AA22" s="1"/>
  <c r="AK22" s="1"/>
  <c r="AM21"/>
  <c r="AA21" s="1"/>
  <c r="AK21" s="1"/>
  <c r="AM168"/>
  <c r="AA168" s="1"/>
  <c r="AK168" s="1"/>
  <c r="AM167"/>
  <c r="AA167" s="1"/>
  <c r="AK167" s="1"/>
  <c r="AM124"/>
  <c r="AA124" s="1"/>
  <c r="AK124" s="1"/>
  <c r="AM125"/>
  <c r="AA125" s="1"/>
  <c r="AK125" s="1"/>
  <c r="AM156"/>
  <c r="AA156" s="1"/>
  <c r="AK156" s="1"/>
  <c r="AM166"/>
  <c r="AA166" s="1"/>
  <c r="AK166" s="1"/>
  <c r="AM113"/>
  <c r="AA113" s="1"/>
  <c r="AK113" s="1"/>
  <c r="AM23"/>
  <c r="AA23" s="1"/>
  <c r="AK23" s="1"/>
  <c r="AM59"/>
  <c r="AA59" s="1"/>
  <c r="AK59" s="1"/>
  <c r="AM58"/>
  <c r="AA58" s="1"/>
  <c r="AK58" s="1"/>
  <c r="AM148"/>
  <c r="AA148" s="1"/>
  <c r="AK148" s="1"/>
  <c r="AM73"/>
  <c r="AA73" s="1"/>
  <c r="AK73" s="1"/>
  <c r="AM35"/>
  <c r="AA35" s="1"/>
  <c r="AK35" s="1"/>
  <c r="AM84"/>
  <c r="AA84" s="1"/>
  <c r="AK84" s="1"/>
  <c r="AM10"/>
  <c r="AA10" s="1"/>
  <c r="AK10" s="1"/>
  <c r="AM72"/>
  <c r="AA72" s="1"/>
  <c r="AK72" s="1"/>
  <c r="AM71"/>
  <c r="AA71" s="1"/>
  <c r="AK71" s="1"/>
  <c r="AM150"/>
  <c r="AA150" s="1"/>
  <c r="AK150" s="1"/>
  <c r="AM85"/>
  <c r="AA85" s="1"/>
  <c r="AK85" s="1"/>
  <c r="AM34"/>
  <c r="AA34" s="1"/>
  <c r="AK34" s="1"/>
  <c r="AM155"/>
  <c r="AA155" s="1"/>
  <c r="AK155" s="1"/>
  <c r="AM164"/>
  <c r="AM89"/>
  <c r="AA89" s="1"/>
  <c r="AK89" s="1"/>
  <c r="AM66"/>
  <c r="AM43"/>
  <c r="AM30"/>
  <c r="AM19"/>
  <c r="AM49"/>
  <c r="AM2"/>
  <c r="AM132"/>
  <c r="AM14"/>
  <c r="AM139"/>
  <c r="AM79"/>
  <c r="AM28"/>
  <c r="AM105"/>
  <c r="AM51"/>
  <c r="AM8"/>
  <c r="AM109"/>
  <c r="AM134"/>
  <c r="AM52"/>
  <c r="AM63"/>
  <c r="AM65"/>
  <c r="AM114"/>
  <c r="AM16"/>
  <c r="AM45"/>
  <c r="AM159"/>
  <c r="AM86"/>
  <c r="AM7"/>
  <c r="AA7" s="1"/>
  <c r="AK7" s="1"/>
  <c r="AM42"/>
  <c r="AM90"/>
  <c r="AM47"/>
  <c r="AM41"/>
  <c r="AM68"/>
  <c r="AM12"/>
  <c r="AM117"/>
  <c r="AM103"/>
  <c r="AM75"/>
  <c r="AM104"/>
  <c r="AM110"/>
  <c r="AM32"/>
  <c r="AM145"/>
  <c r="AM106"/>
  <c r="AM6"/>
  <c r="AM154"/>
  <c r="AM101"/>
  <c r="AM137"/>
  <c r="AM53"/>
  <c r="AM96"/>
  <c r="AM92"/>
  <c r="AM17"/>
  <c r="AM152"/>
  <c r="AM82"/>
  <c r="AM136"/>
  <c r="AA136" s="1"/>
  <c r="AK136" s="1"/>
  <c r="AM62"/>
  <c r="AM29"/>
  <c r="AM140"/>
  <c r="AM67"/>
  <c r="AM131"/>
  <c r="AM76"/>
  <c r="AM48"/>
  <c r="AM112"/>
  <c r="AM3"/>
  <c r="AM64"/>
  <c r="AM99"/>
  <c r="AM15"/>
  <c r="AM87"/>
  <c r="AM27"/>
  <c r="AM39"/>
  <c r="AM33"/>
  <c r="AM50"/>
  <c r="AM93"/>
  <c r="AM115"/>
  <c r="AM128"/>
  <c r="AA128" s="1"/>
  <c r="AK128" s="1"/>
  <c r="AM60"/>
  <c r="AM24"/>
  <c r="AM77"/>
  <c r="AM143"/>
  <c r="AM95"/>
  <c r="AM153"/>
  <c r="AM158"/>
  <c r="AM36"/>
  <c r="AA36" s="1"/>
  <c r="AK36" s="1"/>
  <c r="AM142"/>
  <c r="AM25"/>
  <c r="AM56"/>
  <c r="AM144"/>
  <c r="AM13"/>
  <c r="AM111"/>
  <c r="AM74"/>
  <c r="AM141"/>
  <c r="AM138"/>
  <c r="AM18"/>
  <c r="AM118"/>
  <c r="AM83"/>
  <c r="AM54"/>
  <c r="AM11"/>
  <c r="AM91"/>
  <c r="AM94"/>
  <c r="AM100"/>
  <c r="AM151"/>
  <c r="AM20"/>
  <c r="AM26"/>
  <c r="AM40"/>
  <c r="AM9"/>
  <c r="AM102"/>
  <c r="AM147"/>
  <c r="AM129"/>
  <c r="AA129" s="1"/>
  <c r="AK129" s="1"/>
  <c r="Z89"/>
  <c r="Z86"/>
  <c r="AI129" l="1"/>
  <c r="AI36"/>
  <c r="AI128"/>
  <c r="AI136"/>
  <c r="AI7"/>
  <c r="AI89"/>
  <c r="AI155"/>
  <c r="AI34"/>
  <c r="AI85"/>
  <c r="AI150"/>
  <c r="AI71"/>
  <c r="AI72"/>
  <c r="AI10"/>
  <c r="AI84"/>
  <c r="AI35"/>
  <c r="AI73"/>
  <c r="AI148"/>
  <c r="AI58"/>
  <c r="AI59"/>
  <c r="AI23"/>
  <c r="AI113"/>
  <c r="AI166"/>
  <c r="AI156"/>
  <c r="AI125"/>
  <c r="AI124"/>
  <c r="AI167"/>
  <c r="AI168"/>
  <c r="AI21"/>
  <c r="AI22"/>
  <c r="AI107"/>
  <c r="AI122"/>
  <c r="AI161"/>
  <c r="AI5"/>
  <c r="AI116"/>
  <c r="AI135"/>
  <c r="AI80"/>
  <c r="AI98"/>
  <c r="AI133"/>
  <c r="AI119"/>
  <c r="AI165"/>
  <c r="AI127"/>
  <c r="AI157"/>
  <c r="AI97"/>
  <c r="AI121"/>
  <c r="AI146"/>
  <c r="AI149"/>
  <c r="AI123"/>
  <c r="AI108"/>
  <c r="AI46"/>
  <c r="AI38"/>
  <c r="AI37"/>
  <c r="AI4"/>
  <c r="AI69"/>
  <c r="AI70"/>
  <c r="AI31"/>
  <c r="AI160"/>
  <c r="AI44"/>
  <c r="AI78"/>
  <c r="AI57"/>
  <c r="AI81"/>
  <c r="AI126"/>
  <c r="AJ126" s="1"/>
  <c r="AI162"/>
  <c r="AI163"/>
  <c r="AI88"/>
  <c r="AC130"/>
  <c r="AB130"/>
  <c r="AL130"/>
  <c r="AI130"/>
  <c r="AJ130" s="1"/>
  <c r="AH130" s="1"/>
  <c r="AC55"/>
  <c r="AI55"/>
  <c r="AC61"/>
  <c r="AI61"/>
  <c r="AC120"/>
  <c r="AI120"/>
  <c r="AC129"/>
  <c r="AC36"/>
  <c r="AC128"/>
  <c r="AC136"/>
  <c r="AC7"/>
  <c r="AC89"/>
  <c r="AC155"/>
  <c r="AC34"/>
  <c r="AC85"/>
  <c r="AC150"/>
  <c r="AC71"/>
  <c r="AC72"/>
  <c r="AC10"/>
  <c r="AC84"/>
  <c r="AC35"/>
  <c r="AC73"/>
  <c r="AC148"/>
  <c r="AC58"/>
  <c r="AC59"/>
  <c r="AC23"/>
  <c r="AC113"/>
  <c r="AC166"/>
  <c r="AC156"/>
  <c r="AC125"/>
  <c r="AC124"/>
  <c r="AC167"/>
  <c r="AC168"/>
  <c r="AC21"/>
  <c r="AC22"/>
  <c r="AC107"/>
  <c r="AC122"/>
  <c r="AC161"/>
  <c r="AC5"/>
  <c r="AC116"/>
  <c r="AC135"/>
  <c r="AC80"/>
  <c r="AC98"/>
  <c r="AC133"/>
  <c r="AC119"/>
  <c r="AC165"/>
  <c r="AC127"/>
  <c r="AC157"/>
  <c r="AC97"/>
  <c r="AC121"/>
  <c r="AC146"/>
  <c r="AC149"/>
  <c r="AC123"/>
  <c r="AC108"/>
  <c r="AC46"/>
  <c r="AC38"/>
  <c r="AC37"/>
  <c r="AC4"/>
  <c r="AC69"/>
  <c r="AC70"/>
  <c r="AC31"/>
  <c r="AC160"/>
  <c r="AC44"/>
  <c r="AC78"/>
  <c r="AC57"/>
  <c r="AC81"/>
  <c r="AC126"/>
  <c r="AC162"/>
  <c r="AC163"/>
  <c r="AC88"/>
  <c r="AB120"/>
  <c r="AL120"/>
  <c r="AJ120"/>
  <c r="AH120" s="1"/>
  <c r="AB61"/>
  <c r="AL61"/>
  <c r="AJ61"/>
  <c r="AH61" s="1"/>
  <c r="AB55"/>
  <c r="AL55"/>
  <c r="AJ55"/>
  <c r="AH55" s="1"/>
  <c r="AL126"/>
  <c r="AH126"/>
  <c r="AB88"/>
  <c r="AJ88"/>
  <c r="AH88" s="1"/>
  <c r="AL88"/>
  <c r="AB163"/>
  <c r="AJ163"/>
  <c r="AH163" s="1"/>
  <c r="AL163"/>
  <c r="AB162"/>
  <c r="AJ162"/>
  <c r="AH162" s="1"/>
  <c r="AL162"/>
  <c r="AL21"/>
  <c r="AL161"/>
  <c r="AL121"/>
  <c r="AL57"/>
  <c r="AL36"/>
  <c r="AL128"/>
  <c r="AL85"/>
  <c r="AL148"/>
  <c r="AL124"/>
  <c r="AL5"/>
  <c r="AL4"/>
  <c r="AL160"/>
  <c r="AL84"/>
  <c r="AL167"/>
  <c r="AL107"/>
  <c r="AL133"/>
  <c r="AL46"/>
  <c r="AL69"/>
  <c r="AL129"/>
  <c r="AL155"/>
  <c r="AL71"/>
  <c r="AL35"/>
  <c r="AL59"/>
  <c r="AL156"/>
  <c r="AL168"/>
  <c r="AL122"/>
  <c r="AL119"/>
  <c r="AL97"/>
  <c r="AL149"/>
  <c r="AL70"/>
  <c r="AL78"/>
  <c r="AL72"/>
  <c r="AL125"/>
  <c r="AL165"/>
  <c r="AL31"/>
  <c r="AL136"/>
  <c r="AL10"/>
  <c r="AL22"/>
  <c r="AL81"/>
  <c r="AL34"/>
  <c r="AL23"/>
  <c r="AL80"/>
  <c r="AL37"/>
  <c r="AL113"/>
  <c r="AL98"/>
  <c r="AL108"/>
  <c r="AL150"/>
  <c r="AL166"/>
  <c r="AL116"/>
  <c r="AL146"/>
  <c r="AL44"/>
  <c r="AB81"/>
  <c r="AJ81"/>
  <c r="AB121"/>
  <c r="AJ121"/>
  <c r="AB146"/>
  <c r="AJ146"/>
  <c r="AB149"/>
  <c r="AJ149"/>
  <c r="AB123"/>
  <c r="AL123"/>
  <c r="AJ123"/>
  <c r="AH123" s="1"/>
  <c r="AB108"/>
  <c r="AJ108"/>
  <c r="AH108" s="1"/>
  <c r="AB46"/>
  <c r="AJ38"/>
  <c r="AB38"/>
  <c r="AL38"/>
  <c r="AB37"/>
  <c r="AJ37"/>
  <c r="AB4"/>
  <c r="AJ4"/>
  <c r="AB69"/>
  <c r="AJ69"/>
  <c r="AH69" s="1"/>
  <c r="AB70"/>
  <c r="AJ70"/>
  <c r="AB31"/>
  <c r="AJ31"/>
  <c r="AH31" s="1"/>
  <c r="AB160"/>
  <c r="AJ160"/>
  <c r="AB44"/>
  <c r="AJ44"/>
  <c r="AH44" s="1"/>
  <c r="AB78"/>
  <c r="AJ78"/>
  <c r="AB57"/>
  <c r="AJ57"/>
  <c r="AH57" s="1"/>
  <c r="AB135"/>
  <c r="AL135"/>
  <c r="AJ135"/>
  <c r="AH135" s="1"/>
  <c r="AB80"/>
  <c r="AJ80"/>
  <c r="AH80" s="1"/>
  <c r="AB98"/>
  <c r="AB133"/>
  <c r="AJ133"/>
  <c r="AH133" s="1"/>
  <c r="AB119"/>
  <c r="AB165"/>
  <c r="AJ165"/>
  <c r="AH165" s="1"/>
  <c r="AB127"/>
  <c r="AL127"/>
  <c r="AB157"/>
  <c r="AL157"/>
  <c r="AJ157"/>
  <c r="AB97"/>
  <c r="AJ97"/>
  <c r="AH97" s="1"/>
  <c r="AA106"/>
  <c r="AK106" s="1"/>
  <c r="AJ129"/>
  <c r="AJ36"/>
  <c r="AJ128"/>
  <c r="AJ136"/>
  <c r="AJ155"/>
  <c r="AJ34"/>
  <c r="AJ85"/>
  <c r="AJ150"/>
  <c r="AJ71"/>
  <c r="AJ72"/>
  <c r="AJ10"/>
  <c r="AJ84"/>
  <c r="AJ35"/>
  <c r="AJ73"/>
  <c r="AB73"/>
  <c r="AL73"/>
  <c r="AJ148"/>
  <c r="AB148"/>
  <c r="AJ58"/>
  <c r="AL58"/>
  <c r="AB58"/>
  <c r="AB59"/>
  <c r="AJ23"/>
  <c r="AB23"/>
  <c r="AJ113"/>
  <c r="AB113"/>
  <c r="AJ166"/>
  <c r="AB166"/>
  <c r="AJ156"/>
  <c r="AB156"/>
  <c r="AJ125"/>
  <c r="AB125"/>
  <c r="AJ124"/>
  <c r="AB124"/>
  <c r="AB167"/>
  <c r="AJ167"/>
  <c r="AB168"/>
  <c r="AB21"/>
  <c r="AJ21"/>
  <c r="AB22"/>
  <c r="AB107"/>
  <c r="AJ107"/>
  <c r="AB122"/>
  <c r="AB161"/>
  <c r="AJ161"/>
  <c r="AB5"/>
  <c r="AB116"/>
  <c r="AJ116"/>
  <c r="AA26"/>
  <c r="AK26" s="1"/>
  <c r="AA54"/>
  <c r="AK54" s="1"/>
  <c r="AA13"/>
  <c r="AK13" s="1"/>
  <c r="AA143"/>
  <c r="AK143" s="1"/>
  <c r="AA99"/>
  <c r="AK99" s="1"/>
  <c r="AA140"/>
  <c r="AK140" s="1"/>
  <c r="AA137"/>
  <c r="AK137" s="1"/>
  <c r="AA104"/>
  <c r="AK104" s="1"/>
  <c r="AA90"/>
  <c r="AK90" s="1"/>
  <c r="AA63"/>
  <c r="AK63" s="1"/>
  <c r="AA79"/>
  <c r="AK79" s="1"/>
  <c r="AA30"/>
  <c r="AK30" s="1"/>
  <c r="AA102"/>
  <c r="AK102" s="1"/>
  <c r="AA94"/>
  <c r="AK94" s="1"/>
  <c r="AA141"/>
  <c r="AK141" s="1"/>
  <c r="AA77"/>
  <c r="AK77" s="1"/>
  <c r="AA33"/>
  <c r="AK33" s="1"/>
  <c r="AA76"/>
  <c r="AK76" s="1"/>
  <c r="AA101"/>
  <c r="AK101" s="1"/>
  <c r="AA75"/>
  <c r="AK75" s="1"/>
  <c r="AA42"/>
  <c r="AK42" s="1"/>
  <c r="AA16"/>
  <c r="AK16" s="1"/>
  <c r="AA52"/>
  <c r="AK52" s="1"/>
  <c r="AA51"/>
  <c r="AK51" s="1"/>
  <c r="AA139"/>
  <c r="AK139" s="1"/>
  <c r="AA43"/>
  <c r="AK43" s="1"/>
  <c r="AA9"/>
  <c r="AK9" s="1"/>
  <c r="AA91"/>
  <c r="AK91" s="1"/>
  <c r="AA118"/>
  <c r="AK118" s="1"/>
  <c r="AA74"/>
  <c r="AK74" s="1"/>
  <c r="AA56"/>
  <c r="AK56" s="1"/>
  <c r="AA153"/>
  <c r="AK153" s="1"/>
  <c r="AA24"/>
  <c r="AK24" s="1"/>
  <c r="AA115"/>
  <c r="AK115" s="1"/>
  <c r="AA39"/>
  <c r="AK39" s="1"/>
  <c r="AA87"/>
  <c r="AK87" s="1"/>
  <c r="AA3"/>
  <c r="AK3" s="1"/>
  <c r="AA131"/>
  <c r="AK131" s="1"/>
  <c r="AA62"/>
  <c r="AK62" s="1"/>
  <c r="AA82"/>
  <c r="AK82" s="1"/>
  <c r="AA96"/>
  <c r="AK96" s="1"/>
  <c r="AA154"/>
  <c r="AK154" s="1"/>
  <c r="AA32"/>
  <c r="AK32" s="1"/>
  <c r="AA103"/>
  <c r="AK103" s="1"/>
  <c r="AA41"/>
  <c r="AK41" s="1"/>
  <c r="AA86"/>
  <c r="AK86" s="1"/>
  <c r="AA114"/>
  <c r="AK114" s="1"/>
  <c r="AA134"/>
  <c r="AK134" s="1"/>
  <c r="AA105"/>
  <c r="AK105" s="1"/>
  <c r="AA14"/>
  <c r="AK14" s="1"/>
  <c r="AA49"/>
  <c r="AK49" s="1"/>
  <c r="AA66"/>
  <c r="AK66" s="1"/>
  <c r="AA147"/>
  <c r="AK147" s="1"/>
  <c r="AA100"/>
  <c r="AK100" s="1"/>
  <c r="AA138"/>
  <c r="AK138" s="1"/>
  <c r="AA142"/>
  <c r="AK142" s="1"/>
  <c r="AA50"/>
  <c r="AK50" s="1"/>
  <c r="AA48"/>
  <c r="AK48" s="1"/>
  <c r="AA17"/>
  <c r="AK17" s="1"/>
  <c r="AA12"/>
  <c r="AK12" s="1"/>
  <c r="AA45"/>
  <c r="AK45" s="1"/>
  <c r="AA8"/>
  <c r="AK8" s="1"/>
  <c r="AA2"/>
  <c r="AK2" s="1"/>
  <c r="AA164"/>
  <c r="AK164" s="1"/>
  <c r="AA20"/>
  <c r="AK20" s="1"/>
  <c r="AA83"/>
  <c r="AK83" s="1"/>
  <c r="AA144"/>
  <c r="AK144" s="1"/>
  <c r="AA158"/>
  <c r="AK158" s="1"/>
  <c r="AA64"/>
  <c r="AK64" s="1"/>
  <c r="AA29"/>
  <c r="AK29" s="1"/>
  <c r="AA92"/>
  <c r="AK92" s="1"/>
  <c r="AA145"/>
  <c r="AK145" s="1"/>
  <c r="AA68"/>
  <c r="AK68" s="1"/>
  <c r="AA40"/>
  <c r="AK40" s="1"/>
  <c r="AA151"/>
  <c r="AK151" s="1"/>
  <c r="AA11"/>
  <c r="AK11" s="1"/>
  <c r="AA18"/>
  <c r="AK18" s="1"/>
  <c r="AA111"/>
  <c r="AK111" s="1"/>
  <c r="AA25"/>
  <c r="AK25" s="1"/>
  <c r="AA95"/>
  <c r="AK95" s="1"/>
  <c r="AA60"/>
  <c r="AK60" s="1"/>
  <c r="AA93"/>
  <c r="AK93" s="1"/>
  <c r="AA27"/>
  <c r="AK27" s="1"/>
  <c r="AA15"/>
  <c r="AK15" s="1"/>
  <c r="AA112"/>
  <c r="AK112" s="1"/>
  <c r="AA67"/>
  <c r="AK67" s="1"/>
  <c r="AA152"/>
  <c r="AK152" s="1"/>
  <c r="AA53"/>
  <c r="AK53" s="1"/>
  <c r="AA6"/>
  <c r="AK6" s="1"/>
  <c r="AA110"/>
  <c r="AK110" s="1"/>
  <c r="AA117"/>
  <c r="AK117" s="1"/>
  <c r="AA47"/>
  <c r="AK47" s="1"/>
  <c r="AA159"/>
  <c r="AK159" s="1"/>
  <c r="AA65"/>
  <c r="AK65" s="1"/>
  <c r="AA109"/>
  <c r="AK109" s="1"/>
  <c r="AA28"/>
  <c r="AK28" s="1"/>
  <c r="AA132"/>
  <c r="AK132" s="1"/>
  <c r="AA19"/>
  <c r="AK19" s="1"/>
  <c r="AB155"/>
  <c r="AB72"/>
  <c r="AB84"/>
  <c r="AB128"/>
  <c r="AB136"/>
  <c r="AB150"/>
  <c r="AB10"/>
  <c r="AB129"/>
  <c r="AB36"/>
  <c r="AB34"/>
  <c r="AB85"/>
  <c r="AB71"/>
  <c r="AB35"/>
  <c r="AJ89"/>
  <c r="AI19" l="1"/>
  <c r="AI132"/>
  <c r="AI28"/>
  <c r="AI109"/>
  <c r="AI65"/>
  <c r="AI47"/>
  <c r="AI117"/>
  <c r="AI110"/>
  <c r="AI6"/>
  <c r="AI53"/>
  <c r="AI67"/>
  <c r="AI112"/>
  <c r="AI15"/>
  <c r="AI27"/>
  <c r="AI93"/>
  <c r="AI60"/>
  <c r="AI95"/>
  <c r="AI25"/>
  <c r="AI111"/>
  <c r="AI18"/>
  <c r="AI11"/>
  <c r="AI40"/>
  <c r="AI68"/>
  <c r="AI145"/>
  <c r="AI92"/>
  <c r="AI29"/>
  <c r="AI64"/>
  <c r="AI144"/>
  <c r="AI20"/>
  <c r="AI164"/>
  <c r="AI2"/>
  <c r="AI8"/>
  <c r="AI45"/>
  <c r="AI12"/>
  <c r="AI17"/>
  <c r="AI48"/>
  <c r="AI50"/>
  <c r="AI142"/>
  <c r="AI138"/>
  <c r="AI100"/>
  <c r="AI147"/>
  <c r="AI66"/>
  <c r="AI49"/>
  <c r="AI14"/>
  <c r="AI105"/>
  <c r="AI134"/>
  <c r="AI114"/>
  <c r="AI41"/>
  <c r="AI103"/>
  <c r="AI32"/>
  <c r="AI154"/>
  <c r="AI96"/>
  <c r="AI62"/>
  <c r="AI131"/>
  <c r="AI3"/>
  <c r="AI39"/>
  <c r="AI115"/>
  <c r="AI24"/>
  <c r="AI153"/>
  <c r="AI56"/>
  <c r="AI74"/>
  <c r="AI118"/>
  <c r="AI91"/>
  <c r="AI9"/>
  <c r="AI43"/>
  <c r="AI139"/>
  <c r="AI51"/>
  <c r="AI52"/>
  <c r="AI16"/>
  <c r="AI42"/>
  <c r="AI75"/>
  <c r="AI101"/>
  <c r="AI76"/>
  <c r="AI33"/>
  <c r="AI77"/>
  <c r="AI141"/>
  <c r="AI94"/>
  <c r="AI102"/>
  <c r="AI30"/>
  <c r="AI79"/>
  <c r="AI63"/>
  <c r="AI90"/>
  <c r="AI104"/>
  <c r="AI137"/>
  <c r="AI140"/>
  <c r="AI99"/>
  <c r="AI143"/>
  <c r="AI13"/>
  <c r="AI54"/>
  <c r="AI26"/>
  <c r="AI106"/>
  <c r="AI159"/>
  <c r="AI152"/>
  <c r="AI151"/>
  <c r="AI158"/>
  <c r="AI83"/>
  <c r="AI86"/>
  <c r="AI82"/>
  <c r="AI87"/>
  <c r="AC19"/>
  <c r="AC132"/>
  <c r="AC28"/>
  <c r="AC109"/>
  <c r="AC65"/>
  <c r="AC47"/>
  <c r="AC117"/>
  <c r="AC110"/>
  <c r="AC6"/>
  <c r="AC53"/>
  <c r="AC67"/>
  <c r="AC112"/>
  <c r="AC15"/>
  <c r="AC27"/>
  <c r="AC93"/>
  <c r="AC60"/>
  <c r="AC95"/>
  <c r="AC25"/>
  <c r="AC111"/>
  <c r="AC18"/>
  <c r="AC11"/>
  <c r="AC40"/>
  <c r="AC68"/>
  <c r="AC145"/>
  <c r="AC92"/>
  <c r="AC29"/>
  <c r="AC64"/>
  <c r="AC144"/>
  <c r="AC20"/>
  <c r="AC164"/>
  <c r="AC2"/>
  <c r="AC8"/>
  <c r="AC45"/>
  <c r="AC12"/>
  <c r="AC17"/>
  <c r="AC48"/>
  <c r="AC50"/>
  <c r="AC142"/>
  <c r="AC138"/>
  <c r="AC100"/>
  <c r="AC147"/>
  <c r="AC66"/>
  <c r="AC49"/>
  <c r="AC14"/>
  <c r="AC105"/>
  <c r="AC134"/>
  <c r="AC114"/>
  <c r="AC41"/>
  <c r="AC103"/>
  <c r="AC32"/>
  <c r="AC154"/>
  <c r="AC96"/>
  <c r="AC62"/>
  <c r="AC131"/>
  <c r="AC3"/>
  <c r="AC39"/>
  <c r="AC115"/>
  <c r="AC24"/>
  <c r="AC153"/>
  <c r="AC56"/>
  <c r="AC74"/>
  <c r="AC118"/>
  <c r="AC91"/>
  <c r="AC9"/>
  <c r="AC43"/>
  <c r="AC139"/>
  <c r="AC51"/>
  <c r="AC52"/>
  <c r="AC16"/>
  <c r="AC42"/>
  <c r="AC75"/>
  <c r="AC101"/>
  <c r="AC76"/>
  <c r="AC33"/>
  <c r="AC77"/>
  <c r="AC141"/>
  <c r="AC94"/>
  <c r="AC102"/>
  <c r="AC30"/>
  <c r="AC79"/>
  <c r="AC63"/>
  <c r="AC90"/>
  <c r="AC104"/>
  <c r="AC137"/>
  <c r="AC140"/>
  <c r="AC99"/>
  <c r="AC143"/>
  <c r="AC13"/>
  <c r="AC54"/>
  <c r="AC26"/>
  <c r="AC106"/>
  <c r="AH125"/>
  <c r="AH166"/>
  <c r="AH58"/>
  <c r="AH148"/>
  <c r="AH35"/>
  <c r="AH10"/>
  <c r="AH71"/>
  <c r="AH85"/>
  <c r="AH155"/>
  <c r="AH156"/>
  <c r="AH113"/>
  <c r="AH73"/>
  <c r="AH72"/>
  <c r="AH34"/>
  <c r="AH36"/>
  <c r="AH37"/>
  <c r="AH38"/>
  <c r="AH149"/>
  <c r="AH23"/>
  <c r="AH150"/>
  <c r="AH4"/>
  <c r="AH128"/>
  <c r="AH124"/>
  <c r="AH81"/>
  <c r="AH116"/>
  <c r="AH161"/>
  <c r="AH107"/>
  <c r="AH21"/>
  <c r="AH167"/>
  <c r="AH129"/>
  <c r="AH157"/>
  <c r="AH84"/>
  <c r="AH136"/>
  <c r="AH78"/>
  <c r="AH160"/>
  <c r="AH70"/>
  <c r="AH146"/>
  <c r="AH121"/>
  <c r="AJ5"/>
  <c r="AH5" s="1"/>
  <c r="AJ122"/>
  <c r="AH122" s="1"/>
  <c r="AJ22"/>
  <c r="AH22" s="1"/>
  <c r="AJ168"/>
  <c r="AH168" s="1"/>
  <c r="AJ119"/>
  <c r="AH119" s="1"/>
  <c r="AJ98"/>
  <c r="AH98" s="1"/>
  <c r="AJ46"/>
  <c r="AH46" s="1"/>
  <c r="AJ59"/>
  <c r="AH59" s="1"/>
  <c r="AJ127"/>
  <c r="AH127" s="1"/>
  <c r="AL47"/>
  <c r="AL92"/>
  <c r="AL12"/>
  <c r="AL134"/>
  <c r="AL41"/>
  <c r="AL24"/>
  <c r="AL43"/>
  <c r="AL101"/>
  <c r="AL30"/>
  <c r="AL143"/>
  <c r="AL109"/>
  <c r="AL117"/>
  <c r="AL27"/>
  <c r="AL29"/>
  <c r="AL2"/>
  <c r="AL17"/>
  <c r="AL49"/>
  <c r="AL103"/>
  <c r="AL153"/>
  <c r="AL16"/>
  <c r="AL141"/>
  <c r="AL137"/>
  <c r="AB137"/>
  <c r="AL19"/>
  <c r="AL65"/>
  <c r="AL110"/>
  <c r="AL67"/>
  <c r="AL93"/>
  <c r="AL111"/>
  <c r="AL40"/>
  <c r="AL68"/>
  <c r="AL64"/>
  <c r="AL20"/>
  <c r="AL8"/>
  <c r="AL48"/>
  <c r="AL100"/>
  <c r="AL14"/>
  <c r="AL32"/>
  <c r="AL62"/>
  <c r="AL39"/>
  <c r="AL56"/>
  <c r="AL9"/>
  <c r="AL139"/>
  <c r="AL42"/>
  <c r="AL33"/>
  <c r="AL94"/>
  <c r="AL63"/>
  <c r="AL140"/>
  <c r="AL54"/>
  <c r="AL28"/>
  <c r="AL15"/>
  <c r="AL11"/>
  <c r="AL164"/>
  <c r="AL66"/>
  <c r="AL3"/>
  <c r="AL52"/>
  <c r="AL132"/>
  <c r="AL6"/>
  <c r="AL112"/>
  <c r="AL60"/>
  <c r="AL18"/>
  <c r="AL145"/>
  <c r="AL45"/>
  <c r="AL50"/>
  <c r="AL147"/>
  <c r="AL105"/>
  <c r="AL154"/>
  <c r="AL131"/>
  <c r="AL115"/>
  <c r="AL74"/>
  <c r="AL51"/>
  <c r="AL75"/>
  <c r="AL77"/>
  <c r="AL102"/>
  <c r="AL90"/>
  <c r="AL99"/>
  <c r="AL26"/>
  <c r="AL106"/>
  <c r="AL53"/>
  <c r="AL95"/>
  <c r="AL144"/>
  <c r="AL142"/>
  <c r="AL96"/>
  <c r="AL118"/>
  <c r="AL104"/>
  <c r="AL25"/>
  <c r="AL138"/>
  <c r="AL114"/>
  <c r="AL91"/>
  <c r="AL76"/>
  <c r="AL79"/>
  <c r="AL13"/>
  <c r="AB106"/>
  <c r="AB13"/>
  <c r="AB153"/>
  <c r="AB82"/>
  <c r="AB19"/>
  <c r="AJ132"/>
  <c r="AJ109"/>
  <c r="AJ159"/>
  <c r="AJ47"/>
  <c r="AB117"/>
  <c r="AJ110"/>
  <c r="AJ53"/>
  <c r="AJ67"/>
  <c r="AJ15"/>
  <c r="AJ93"/>
  <c r="AJ95"/>
  <c r="AJ111"/>
  <c r="AJ11"/>
  <c r="AB151"/>
  <c r="AJ40"/>
  <c r="AJ68"/>
  <c r="AJ92"/>
  <c r="AJ64"/>
  <c r="AJ144"/>
  <c r="AJ20"/>
  <c r="AJ164"/>
  <c r="AJ8"/>
  <c r="AJ12"/>
  <c r="AJ17"/>
  <c r="AJ50"/>
  <c r="AJ138"/>
  <c r="AJ147"/>
  <c r="AJ49"/>
  <c r="AJ105"/>
  <c r="AJ114"/>
  <c r="AB41"/>
  <c r="AJ103"/>
  <c r="AJ154"/>
  <c r="AJ62"/>
  <c r="AJ131"/>
  <c r="AJ87"/>
  <c r="AJ115"/>
  <c r="AJ153"/>
  <c r="AH153" s="1"/>
  <c r="AB56"/>
  <c r="AJ74"/>
  <c r="AJ91"/>
  <c r="AJ51"/>
  <c r="AJ16"/>
  <c r="AJ75"/>
  <c r="AB101"/>
  <c r="AJ76"/>
  <c r="AJ77"/>
  <c r="AJ141"/>
  <c r="AJ79"/>
  <c r="AJ90"/>
  <c r="AJ99"/>
  <c r="AB143"/>
  <c r="AJ13"/>
  <c r="AH13" s="1"/>
  <c r="AJ26"/>
  <c r="AB102"/>
  <c r="AB105"/>
  <c r="AB99"/>
  <c r="AB11"/>
  <c r="AB131"/>
  <c r="AB47"/>
  <c r="AB115"/>
  <c r="AB114"/>
  <c r="AB49"/>
  <c r="AB89"/>
  <c r="AH89" s="1"/>
  <c r="AB141"/>
  <c r="AB15"/>
  <c r="AB138"/>
  <c r="AB53"/>
  <c r="AB12"/>
  <c r="AB40"/>
  <c r="AB20"/>
  <c r="AB95"/>
  <c r="AB147"/>
  <c r="AB109"/>
  <c r="AB76"/>
  <c r="AB75"/>
  <c r="AB16"/>
  <c r="AB90"/>
  <c r="AB50"/>
  <c r="AB62"/>
  <c r="AB154"/>
  <c r="AB79"/>
  <c r="AB8"/>
  <c r="AB68"/>
  <c r="AB64"/>
  <c r="AB164"/>
  <c r="AB26"/>
  <c r="AB17"/>
  <c r="AB51"/>
  <c r="AB92"/>
  <c r="AB87"/>
  <c r="AB144"/>
  <c r="AB93"/>
  <c r="AB110"/>
  <c r="AL87"/>
  <c r="AB159"/>
  <c r="AB91"/>
  <c r="AB74"/>
  <c r="AB111"/>
  <c r="AB77"/>
  <c r="AB67"/>
  <c r="AB132"/>
  <c r="AB103"/>
  <c r="AL82"/>
  <c r="AJ29"/>
  <c r="AJ83"/>
  <c r="AB83"/>
  <c r="AL83"/>
  <c r="AJ142"/>
  <c r="AB142"/>
  <c r="AJ134"/>
  <c r="AB134"/>
  <c r="AB96"/>
  <c r="AJ96"/>
  <c r="AJ24"/>
  <c r="AB24"/>
  <c r="AJ42"/>
  <c r="AJ94"/>
  <c r="AB94"/>
  <c r="AJ140"/>
  <c r="AB140"/>
  <c r="AB42"/>
  <c r="AB65"/>
  <c r="AJ117"/>
  <c r="AH117" s="1"/>
  <c r="AJ152"/>
  <c r="AB152"/>
  <c r="AL152"/>
  <c r="AJ27"/>
  <c r="AB27"/>
  <c r="AJ25"/>
  <c r="AB25"/>
  <c r="AL151"/>
  <c r="AJ2"/>
  <c r="AB2"/>
  <c r="AJ48"/>
  <c r="AB48"/>
  <c r="AJ14"/>
  <c r="AB14"/>
  <c r="AJ32"/>
  <c r="AB32"/>
  <c r="AJ39"/>
  <c r="AB39"/>
  <c r="AJ9"/>
  <c r="AB9"/>
  <c r="AJ52"/>
  <c r="AB104"/>
  <c r="AJ145"/>
  <c r="AB145"/>
  <c r="AJ158"/>
  <c r="AL158"/>
  <c r="AB158"/>
  <c r="AJ66"/>
  <c r="AB66"/>
  <c r="AJ41"/>
  <c r="AJ3"/>
  <c r="AB3"/>
  <c r="AJ118"/>
  <c r="AB118"/>
  <c r="AJ139"/>
  <c r="AB139"/>
  <c r="AJ33"/>
  <c r="AB33"/>
  <c r="AJ63"/>
  <c r="AB63"/>
  <c r="AJ54"/>
  <c r="AB54"/>
  <c r="AB29"/>
  <c r="AB52"/>
  <c r="AJ28"/>
  <c r="AB28"/>
  <c r="AJ7"/>
  <c r="AL7"/>
  <c r="AB7"/>
  <c r="AJ6"/>
  <c r="AB6"/>
  <c r="AJ112"/>
  <c r="AB112"/>
  <c r="AJ60"/>
  <c r="AB60"/>
  <c r="AJ18"/>
  <c r="AB18"/>
  <c r="AJ45"/>
  <c r="AB45"/>
  <c r="AJ100"/>
  <c r="AB100"/>
  <c r="AB86"/>
  <c r="AL86"/>
  <c r="AJ43"/>
  <c r="AB43"/>
  <c r="AJ30"/>
  <c r="AB30"/>
  <c r="AJ143"/>
  <c r="AH143" s="1"/>
  <c r="AL159"/>
  <c r="AL89"/>
  <c r="AH30" l="1"/>
  <c r="AH18"/>
  <c r="AH28"/>
  <c r="AH54"/>
  <c r="AH33"/>
  <c r="AH9"/>
  <c r="AH48"/>
  <c r="AH152"/>
  <c r="AH140"/>
  <c r="AH83"/>
  <c r="AH26"/>
  <c r="AH99"/>
  <c r="AH76"/>
  <c r="AH87"/>
  <c r="AH131"/>
  <c r="AH103"/>
  <c r="AH49"/>
  <c r="AH20"/>
  <c r="AH15"/>
  <c r="AH47"/>
  <c r="AH164"/>
  <c r="AH77"/>
  <c r="AH41"/>
  <c r="AH29"/>
  <c r="AH79"/>
  <c r="AH138"/>
  <c r="AH110"/>
  <c r="AH27"/>
  <c r="AH42"/>
  <c r="AH68"/>
  <c r="AH111"/>
  <c r="AH92"/>
  <c r="AH158"/>
  <c r="AH159"/>
  <c r="AH45"/>
  <c r="AH25"/>
  <c r="AH115"/>
  <c r="AH114"/>
  <c r="AH100"/>
  <c r="AH118"/>
  <c r="AH32"/>
  <c r="AH142"/>
  <c r="AH16"/>
  <c r="AH17"/>
  <c r="AH112"/>
  <c r="AH66"/>
  <c r="AH90"/>
  <c r="AH51"/>
  <c r="AH62"/>
  <c r="AH147"/>
  <c r="AH12"/>
  <c r="AH144"/>
  <c r="AH40"/>
  <c r="AH95"/>
  <c r="AH53"/>
  <c r="AH7"/>
  <c r="AH139"/>
  <c r="AH14"/>
  <c r="AH24"/>
  <c r="AH91"/>
  <c r="AH8"/>
  <c r="AH64"/>
  <c r="AH93"/>
  <c r="AH109"/>
  <c r="AH67"/>
  <c r="AH63"/>
  <c r="AH3"/>
  <c r="AH52"/>
  <c r="AH39"/>
  <c r="AH2"/>
  <c r="AH134"/>
  <c r="AH43"/>
  <c r="AH60"/>
  <c r="AH6"/>
  <c r="AH145"/>
  <c r="AH94"/>
  <c r="AH96"/>
  <c r="AH141"/>
  <c r="AH75"/>
  <c r="AH74"/>
  <c r="AH154"/>
  <c r="AH105"/>
  <c r="AH50"/>
  <c r="AH11"/>
  <c r="AH132"/>
  <c r="AJ65"/>
  <c r="AH65" s="1"/>
  <c r="AJ151"/>
  <c r="AH151" s="1"/>
  <c r="AJ86"/>
  <c r="AH86" s="1"/>
  <c r="AJ101"/>
  <c r="AH101" s="1"/>
  <c r="AJ104"/>
  <c r="AH104" s="1"/>
  <c r="AJ19"/>
  <c r="AH19" s="1"/>
  <c r="AJ137"/>
  <c r="AH137" s="1"/>
  <c r="AJ82"/>
  <c r="AH82" s="1"/>
  <c r="AJ56"/>
  <c r="AH56" s="1"/>
  <c r="AJ106"/>
  <c r="AH106" s="1"/>
  <c r="AJ102"/>
  <c r="AH102" s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3" name="Conexão14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4" name="Conexão14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5" name="Conexão14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6" name="Conexão1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7" name="Conexão1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9" name="Conexão15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3.SA+PTPA4.SA&amp;f=nol1hgd1" htmlFormat="all"/>
  </connection>
  <connection id="6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2" name="Conexão1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PTPA4.SA&amp;f=nol1hgd1" htmlFormat="all"/>
  </connection>
  <connection id="63" name="Conexão15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&amp;f=nol1hgd1" htmlFormat="all"/>
  </connection>
  <connection id="64" name="Conexão1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&amp;f=nol1hgd1" htmlFormat="all"/>
  </connection>
  <connection id="65" name="Conexão15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&amp;f=nol1hgd1" htmlFormat="all"/>
  </connection>
  <connection id="66" name="Conexão1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&amp;f=nol1hgd1" htmlFormat="all"/>
  </connection>
  <connection id="67" name="Conexão15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&amp;f=nol1hgd1" htmlFormat="all"/>
  </connection>
  <connection id="68" name="Conexão1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&amp;f=nol1hgd1" htmlFormat="all"/>
  </connection>
  <connection id="6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0" name="Conexão16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&amp;f=nol1hgd1" htmlFormat="all"/>
  </connection>
  <connection id="71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2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3" name="Conexão16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&amp;f=nol1hgd1" htmlFormat="all"/>
  </connection>
  <connection id="74" name="Conexão1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5" name="Conexão1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6" name="Conexão16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7" name="Conexão1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Tables="1" htmlFormat="all"/>
  </connection>
  <connection id="78" name="Conexão16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9" name="Conexão16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1" name="Conexão17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2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3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4" name="Conexão17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5" name="Conexão1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17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7" name="Conexão1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&amp;f=nol1hgd1" htmlFormat="all"/>
  </connection>
  <connection id="88" name="Conexão17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&amp;f=nol1hgd1" htmlFormat="all"/>
  </connection>
  <connection id="89" name="Conexão1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&amp;f=nol1hgd1" htmlFormat="all"/>
  </connection>
  <connection id="90" name="Conexão17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&amp;f=nol1hgd1" htmlFormat="all"/>
  </connection>
  <connection id="9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2" name="Conexão180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Tables="1" htmlFormat="all"/>
  </connection>
  <connection id="93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4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5" name="Conexão1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Format="all"/>
  </connection>
  <connection id="96" name="Conexão18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&amp;f=nol1hgd1" htmlFormat="all"/>
  </connection>
  <connection id="97" name="Conexão18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MNZC3B.SA&amp;f=nol1hgd1" htmlFormat="all"/>
  </connection>
  <connection id="98" name="Conexão18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&amp;f=nol1hgd1" htmlFormat="all"/>
  </connection>
  <connection id="99" name="Conexão18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0" name="Conexão18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1" name="Conexão1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Format="all"/>
  </connection>
  <connection id="10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3" name="Conexão19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&amp;f=nol1hgd1" htmlFormat="all"/>
  </connection>
  <connection id="104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5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6" name="Conexão1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&amp;f=nol1hgd1" htmlFormat="all"/>
  </connection>
  <connection id="107" name="Conexão19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Tables="1" htmlFormat="all"/>
  </connection>
  <connection id="108" name="Conexão1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Format="all"/>
  </connection>
  <connection id="109" name="Conexão19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&amp;f=nol1hgd1" htmlFormat="all"/>
  </connection>
  <connection id="110" name="Conexão1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1" name="Conexão19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12" name="Conexão1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5" name="Conexão20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8" name="Conexão2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9" name="Conexão20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0" name="Conexão2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1" name="Conexão2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2" name="Conexão2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3" name="Conexão20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4" name="Conexão20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6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7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8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9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0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1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2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3" name="Conexão21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4" name="Conexão21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35" name="Conexão21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3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7" name="Conexão22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8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9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40" name="Conexão2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1" name="Conexão2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2" name="Conexão22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3" name="Conexão22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4" name="Conexão2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5" name="Conexão2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6" name="Conexão22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4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8" name="Conexão23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9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0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1" name="Conexão23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52" name="Conexão23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3" name="Conexão2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4" name="Conexão23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5" name="Conexão23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6" name="Conexão2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7" name="Conexão23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5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59" name="Conexão2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0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1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2" name="Conexão2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3" name="Conexão2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4" name="Conexão24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5" name="Conexão24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6" name="Conexão247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67" name="Conexão2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8" name="Conexão2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9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0" name="Conexão25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1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2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3" name="Conexão2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4" name="Conexão25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5" name="Conexão2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6" name="Conexão25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7" name="Conexão2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8" name="Conexão2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9" name="Conexão2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0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1" name="Conexão26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2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3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4" name="Conexão263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5" name="Conexão2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6" name="Conexão2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7" name="Conexão26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8" name="Conexão2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9" name="Conexão26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90" name="Conexão26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2" name="Conexão27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3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4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5" name="Conexão273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96" name="Conexão2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7" name="Conexão27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8" name="Conexão2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9" name="Conexão27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0" name="Conexão2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1" name="Conexão27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02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3" name="Conexão2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4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5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6" name="Conexão2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7" name="Conexão2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8" name="Conexão28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09" name="Conexão28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10" name="Conexão28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1" name="Conexão28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2" name="Conexão2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3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4" name="Conexão29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5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6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7" name="Conexão2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8" name="Conexão29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9" name="Conexão2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0" name="Conexão29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1" name="Conexão2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2" name="Conexão29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23" name="Conexão29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24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5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6" name="Conexão30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7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8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9" name="Conexão3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30" name="Conexão304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31" name="Conexão3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2" name="Conexão3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33" name="Conexão3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4" name="Conexão30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35" name="Conexão30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36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37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8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9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40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1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42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3" name="Conexão31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44" name="Conexão31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45" name="Conexão31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46" name="Conexão31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CATA3.SA+CATA4.SA&amp;f=nol1hgd1" htmlFormat="all"/>
  </connection>
  <connection id="247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48" name="Conexão320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49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50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51" name="Conexão3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2" name="Conexão3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53" name="Conexão32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54" name="Conexão32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55" name="Conexão3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UNIP3.SA+UNIP5.SA&amp;f=nol1hgd1" htmlFormat="all"/>
  </connection>
  <connection id="256" name="Conexão32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3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58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59" name="Conexão3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UNIP3.SA+UNIP5.SA&amp;f=nol1hgd1" htmlFormat="all"/>
  </connection>
  <connection id="260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61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62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63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64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65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6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7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68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69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70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71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72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73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74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5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6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77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78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79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80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1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82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83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84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85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6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87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8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89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90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91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92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93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94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95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96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97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98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99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300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301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302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303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304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5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306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307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308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9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310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11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12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13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14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315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316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317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318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19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320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321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322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323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324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325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326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327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328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9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330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331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32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33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34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35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36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37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38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39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40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41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42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43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44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45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46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47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48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49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50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51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52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3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54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55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56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7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58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59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60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61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62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63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64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65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66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67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68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69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70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71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72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3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4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5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76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77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78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79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0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81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82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3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84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85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6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7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8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89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0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1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2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3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4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5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6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97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98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99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0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1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2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3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4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5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6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407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408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09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0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11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2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413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4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5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416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417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418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419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420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421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422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423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24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425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26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427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428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429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430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431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432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433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434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5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6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7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38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39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40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41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42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43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44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45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446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<sst xmlns="http://schemas.openxmlformats.org/spreadsheetml/2006/main" count="2217" uniqueCount="817">
  <si>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</si>
  <si>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</si>
  <si>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</si>
  <si>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</si>
  <si>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</si>
  <si>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</si>
  <si>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</si>
  <si>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</si>
  <si>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</si>
  <si>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</si>
  <si>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</si>
  <si>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</si>
  <si>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</si>
  <si>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</si>
  <si>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</si>
  <si>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</si>
  <si>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</si>
  <si>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</si>
  <si>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</si>
  <si>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</si>
  <si>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</si>
  <si>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</si>
  <si>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</si>
  <si>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</si>
  <si>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</si>
  <si>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</si>
  <si>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</si>
  <si>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</si>
  <si>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</si>
  <si>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</si>
  <si>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</si>
  <si>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</si>
  <si>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</si>
  <si>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</si>
  <si>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</si>
  <si>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</si>
  <si>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</si>
  <si>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</si>
  <si>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</si>
  <si>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</si>
  <si>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</si>
  <si>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</si>
  <si>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</si>
  <si>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</si>
  <si>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</si>
  <si>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</si>
  <si>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</si>
  <si>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</si>
  <si>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</si>
  <si>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</si>
  <si>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</si>
  <si>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</si>
  <si>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</si>
  <si>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</si>
  <si>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</si>
  <si>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</si>
  <si>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</si>
  <si>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</si>
  <si>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</si>
  <si>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</si>
  <si>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</si>
  <si>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</si>
  <si>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</si>
  <si>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</si>
  <si>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</si>
  <si>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</si>
  <si>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</si>
  <si>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</si>
  <si>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</si>
  <si>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</si>
  <si>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</si>
  <si>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</si>
  <si>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</si>
  <si>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</si>
  <si>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</si>
  <si>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</si>
  <si>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</si>
  <si>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</si>
  <si>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</si>
  <si>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</si>
  <si>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</si>
  <si>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</si>
  <si>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</si>
  <si>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</si>
  <si>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</si>
  <si>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</si>
  <si>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</si>
  <si>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</si>
  <si>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</si>
  <si>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</si>
  <si>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</si>
  <si>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</si>
  <si>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</si>
  <si>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</si>
  <si>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</si>
  <si>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</si>
  <si>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</si>
  <si>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</si>
  <si>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</si>
  <si>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</si>
  <si>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</si>
  <si>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</si>
  <si>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</si>
  <si>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</si>
  <si>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</si>
  <si>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</si>
  <si>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</si>
  <si>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</si>
  <si>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</si>
  <si>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</si>
  <si>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</si>
  <si>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</si>
  <si>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</si>
  <si>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</si>
  <si>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</si>
  <si>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</si>
  <si>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</si>
  <si>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</si>
  <si>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</si>
  <si>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</si>
  <si>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</si>
  <si>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</si>
  <si>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</si>
  <si>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</si>
  <si>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</si>
  <si>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</si>
  <si>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</si>
  <si>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</si>
  <si>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</si>
  <si>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</si>
  <si>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</si>
  <si>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</si>
  <si>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</si>
  <si>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</si>
  <si>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</si>
  <si>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</si>
  <si>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</si>
  <si>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</si>
  <si>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</si>
  <si>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</si>
  <si>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</si>
  <si>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</si>
  <si>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</si>
  <si>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</si>
  <si>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</si>
  <si>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</si>
  <si>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</si>
  <si>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</si>
  <si>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</si>
  <si>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</si>
  <si>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</si>
  <si>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</si>
  <si>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</si>
  <si>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</si>
  <si>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</si>
  <si>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</si>
  <si>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</si>
  <si>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</si>
  <si>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</si>
  <si>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</si>
  <si>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</si>
  <si>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</si>
  <si>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</si>
  <si>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</si>
  <si>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</si>
  <si>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</si>
  <si>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</si>
  <si>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</si>
  <si>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</si>
  <si>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</si>
  <si>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</si>
  <si>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</si>
  <si>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</si>
  <si>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</si>
  <si>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</si>
  <si>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</si>
  <si>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</si>
  <si>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</si>
  <si>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</si>
  <si>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</si>
  <si>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</si>
  <si>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</si>
  <si>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</si>
  <si>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</si>
  <si>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</si>
  <si>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</si>
  <si>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</si>
  <si>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</si>
  <si>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</si>
  <si>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</si>
  <si>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</si>
  <si>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</si>
  <si>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</si>
  <si>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</si>
  <si>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</si>
  <si>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</si>
  <si>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</si>
  <si>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</si>
  <si>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</si>
  <si>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</si>
  <si>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</si>
  <si>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</si>
  <si>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</si>
  <si>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</si>
  <si>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</si>
  <si>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</si>
  <si>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</si>
  <si>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</si>
  <si>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</si>
  <si>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</si>
  <si>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</si>
  <si>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</si>
  <si>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</si>
  <si>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</si>
  <si>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</si>
  <si>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</si>
  <si>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</si>
  <si>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</si>
  <si>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</si>
  <si>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</si>
  <si>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</si>
  <si>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</si>
  <si>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</si>
  <si>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</si>
  <si>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</si>
  <si>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</si>
  <si>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</si>
  <si>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</si>
  <si>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</si>
  <si>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</si>
  <si>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</si>
  <si>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</si>
  <si>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</si>
  <si>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</si>
  <si>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</si>
  <si>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</si>
  <si>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</si>
  <si>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</si>
  <si>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</si>
  <si>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</si>
  <si>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</si>
  <si>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</si>
  <si>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</si>
  <si>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</si>
  <si>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</si>
  <si>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</si>
  <si>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</si>
  <si>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</si>
  <si>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</si>
  <si>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</si>
  <si>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</si>
  <si>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</si>
  <si>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</si>
  <si>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</si>
  <si>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</si>
  <si>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</si>
  <si>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</si>
  <si>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</si>
  <si>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</si>
  <si>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</si>
  <si>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</si>
  <si>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</si>
  <si>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</si>
  <si>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</si>
  <si>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</si>
  <si>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</si>
  <si>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</si>
  <si>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</si>
  <si>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</si>
  <si>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</si>
  <si>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</si>
  <si>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</si>
  <si>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</si>
  <si>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</si>
  <si>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</si>
  <si>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</si>
  <si>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</si>
  <si>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</si>
  <si>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</si>
  <si>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</si>
  <si>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</si>
  <si>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</si>
  <si>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</si>
  <si>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</si>
  <si>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</si>
  <si>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</si>
  <si>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</si>
  <si>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</si>
  <si>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</si>
  <si>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17.00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</si>
  <si>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</si>
  <si>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</si>
  <si>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</si>
  <si>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</si>
  <si>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</si>
  <si>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</si>
  <si>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</si>
  <si>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</si>
  <si>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</si>
  <si>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</si>
  <si>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</si>
  <si>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</si>
  <si>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</si>
  <si>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</si>
  <si>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</si>
  <si>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</si>
  <si>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</si>
  <si>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</si>
  <si>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</si>
  <si>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</si>
  <si>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</si>
  <si>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</si>
  <si>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</si>
  <si>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</si>
  <si>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</si>
  <si>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</si>
  <si>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</si>
  <si>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</si>
  <si>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</si>
  <si>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</si>
  <si>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</si>
  <si>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</si>
  <si>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</si>
  <si>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</si>
  <si>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</si>
  <si>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</si>
  <si>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</si>
  <si>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</si>
  <si>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</si>
  <si>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</si>
  <si>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</si>
  <si>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</si>
  <si>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</si>
  <si>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</si>
  <si>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</si>
  <si>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</si>
  <si>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</si>
  <si>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</si>
  <si>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</si>
  <si>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</si>
  <si>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</si>
  <si>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</si>
  <si>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</si>
  <si>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</si>
  <si>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</si>
  <si>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</si>
  <si>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</si>
  <si>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</si>
  <si>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</si>
  <si>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</si>
  <si>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</si>
  <si>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</si>
  <si>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</si>
  <si>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</si>
  <si>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</si>
  <si>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6.61</t>
  </si>
  <si>
    <t>16.51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</si>
  <si>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</si>
  <si>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</si>
  <si>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</si>
  <si>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</si>
  <si>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</si>
  <si>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</si>
  <si>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</si>
  <si>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</si>
  <si>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</si>
  <si>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</si>
  <si>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</si>
  <si>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</si>
  <si>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</si>
  <si>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</si>
  <si>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</si>
  <si>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</si>
  <si>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</si>
  <si>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</si>
  <si>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</si>
  <si>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</si>
  <si>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</si>
  <si>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</si>
  <si>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</si>
  <si>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</si>
  <si>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88.00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</si>
  <si>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</si>
  <si>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</si>
  <si>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</si>
  <si>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</si>
  <si>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</si>
  <si>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 xml:space="preserve">CACIQUE     -ON  </t>
  </si>
  <si>
    <t xml:space="preserve">CACIQUE     -PN  </t>
  </si>
  <si>
    <t xml:space="preserve">TELEF BRASIL-ON  </t>
  </si>
  <si>
    <t xml:space="preserve">TELEF BRASIL-PN  </t>
  </si>
  <si>
    <t xml:space="preserve">BANESTES    -ON  </t>
  </si>
  <si>
    <t xml:space="preserve">BANESTES    -PN  </t>
  </si>
  <si>
    <t xml:space="preserve">COELBA      -ON  </t>
  </si>
  <si>
    <t xml:space="preserve">COELBA      -PNA </t>
  </si>
  <si>
    <t xml:space="preserve">COSERN      -ON  </t>
  </si>
  <si>
    <t xml:space="preserve">COSERN      -PNA </t>
  </si>
  <si>
    <t xml:space="preserve">COSERN      -PNB </t>
  </si>
  <si>
    <t>GER PARANAP -ON</t>
  </si>
  <si>
    <t>GER PARANAP -PN</t>
  </si>
  <si>
    <t xml:space="preserve">SANEPAR     -ON  </t>
  </si>
  <si>
    <t xml:space="preserve">SANEPAR     -PN  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</si>
  <si>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</si>
  <si>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</si>
  <si>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</si>
  <si>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</si>
  <si>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</si>
  <si>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</si>
  <si>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</si>
  <si>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</si>
  <si>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</si>
  <si>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</si>
  <si>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</si>
  <si>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</si>
  <si>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</si>
  <si>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</si>
  <si>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</si>
  <si>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</si>
  <si>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</si>
  <si>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</si>
  <si>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</si>
  <si>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</si>
  <si>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</si>
  <si>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</si>
  <si>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</si>
  <si>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</si>
  <si>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</si>
  <si>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</si>
  <si>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</si>
  <si>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</si>
  <si>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</si>
  <si>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</si>
  <si>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</si>
  <si>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</si>
  <si>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</si>
  <si>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</si>
  <si>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</si>
  <si>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</si>
  <si>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</si>
  <si>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</si>
  <si>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</si>
  <si>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</si>
  <si>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1.40</t>
  </si>
  <si>
    <t>0.46</t>
  </si>
  <si>
    <t>5.95</t>
  </si>
  <si>
    <t>Soma de Dividendo / Ação</t>
  </si>
  <si>
    <t>EBTP4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</si>
  <si>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</si>
  <si>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</si>
  <si>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</si>
  <si>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</si>
  <si>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</si>
  <si>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</si>
  <si>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</si>
  <si>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</si>
  <si>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</si>
  <si>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</si>
  <si>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</si>
  <si>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</si>
  <si>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</si>
  <si>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16.00</t>
  </si>
  <si>
    <t>Dividendo</t>
  </si>
  <si>
    <t>JPC</t>
  </si>
  <si>
    <t>Total Dividendo</t>
  </si>
  <si>
    <t>Total JPC</t>
  </si>
  <si>
    <t>30.05</t>
  </si>
  <si>
    <t>10.50</t>
  </si>
  <si>
    <t>0.47</t>
  </si>
  <si>
    <t>43.24</t>
  </si>
  <si>
    <t>6.58</t>
  </si>
  <si>
    <t>43.25</t>
  </si>
  <si>
    <t>5.97</t>
  </si>
  <si>
    <t>23.54</t>
  </si>
  <si>
    <t>3.81</t>
  </si>
  <si>
    <t>5.64</t>
  </si>
  <si>
    <t>19.50</t>
  </si>
  <si>
    <t>20.80</t>
  </si>
  <si>
    <t>2.99</t>
  </si>
  <si>
    <t>0.31</t>
  </si>
  <si>
    <t>BANESE      -ON</t>
  </si>
  <si>
    <t>BANESE      -PN</t>
  </si>
  <si>
    <t>5.67</t>
  </si>
  <si>
    <t>0.50</t>
  </si>
  <si>
    <t>ELEKEIROZ   -ON</t>
  </si>
  <si>
    <t>ELEKEIROZ   -PN</t>
  </si>
  <si>
    <t>MONT ARANHA -ON</t>
  </si>
  <si>
    <t>EVORA       -PN</t>
  </si>
  <si>
    <t>3.85</t>
  </si>
  <si>
    <t>15.50</t>
  </si>
  <si>
    <t>1.85</t>
  </si>
  <si>
    <t>5.26</t>
  </si>
  <si>
    <t>24.00</t>
  </si>
  <si>
    <t>12.40</t>
  </si>
  <si>
    <t>59.50</t>
  </si>
  <si>
    <t>61.99</t>
  </si>
  <si>
    <t>12.20</t>
  </si>
  <si>
    <t>6.80</t>
  </si>
  <si>
    <t>5.80</t>
  </si>
  <si>
    <t>8.96</t>
  </si>
  <si>
    <t>17.97</t>
  </si>
  <si>
    <t>17.23</t>
  </si>
  <si>
    <t>0.33</t>
  </si>
  <si>
    <t>7.40</t>
  </si>
  <si>
    <t>2.10</t>
  </si>
  <si>
    <t>8.76</t>
  </si>
  <si>
    <t>6.55</t>
  </si>
  <si>
    <t>3.88</t>
  </si>
  <si>
    <t>3.84</t>
  </si>
  <si>
    <t>23.55</t>
  </si>
  <si>
    <t>45.05</t>
  </si>
  <si>
    <t>5.50</t>
  </si>
  <si>
    <t>31.98</t>
  </si>
  <si>
    <t>21.64</t>
  </si>
  <si>
    <t>15.90</t>
  </si>
  <si>
    <t>48.01</t>
  </si>
  <si>
    <t>48.35</t>
  </si>
  <si>
    <t>22.20</t>
  </si>
  <si>
    <t>31.18</t>
  </si>
  <si>
    <t>7.78</t>
  </si>
  <si>
    <t>10.22</t>
  </si>
  <si>
    <t>15.00</t>
  </si>
  <si>
    <t>0.12</t>
  </si>
  <si>
    <t>23.50</t>
  </si>
  <si>
    <t>24.06</t>
  </si>
  <si>
    <t>17.96</t>
  </si>
  <si>
    <t>18.16</t>
  </si>
  <si>
    <t>0.66</t>
  </si>
  <si>
    <t>14.95</t>
  </si>
  <si>
    <t>9.74</t>
  </si>
  <si>
    <t>20.00</t>
  </si>
  <si>
    <t>8.99</t>
  </si>
  <si>
    <t>9.01</t>
  </si>
  <si>
    <t>13.47</t>
  </si>
  <si>
    <t>4.37</t>
  </si>
  <si>
    <t>18.10</t>
  </si>
  <si>
    <t>15.95</t>
  </si>
  <si>
    <t>12.49</t>
  </si>
  <si>
    <t>12.15</t>
  </si>
  <si>
    <t>7.67</t>
  </si>
  <si>
    <t>17.95</t>
  </si>
  <si>
    <t>20.60</t>
  </si>
  <si>
    <t>17.15</t>
  </si>
  <si>
    <t>4.01</t>
  </si>
  <si>
    <t>45.00</t>
  </si>
  <si>
    <t>10.33</t>
  </si>
  <si>
    <t>3.15</t>
  </si>
  <si>
    <t>3.40</t>
  </si>
  <si>
    <t>2.21</t>
  </si>
  <si>
    <t>12.23</t>
  </si>
  <si>
    <t>12.35</t>
  </si>
  <si>
    <t>12.22</t>
  </si>
  <si>
    <t>10.14</t>
  </si>
  <si>
    <t>3.36</t>
  </si>
  <si>
    <t>2.41</t>
  </si>
  <si>
    <t>9.15</t>
  </si>
  <si>
    <t>1.52</t>
  </si>
  <si>
    <t>17.14</t>
  </si>
  <si>
    <t>1.51</t>
  </si>
  <si>
    <t>8.34</t>
  </si>
  <si>
    <t>8.30</t>
  </si>
  <si>
    <t>11.85</t>
  </si>
  <si>
    <t>27.50</t>
  </si>
  <si>
    <t>32.88</t>
  </si>
  <si>
    <t>10.25</t>
  </si>
  <si>
    <t>23.65</t>
  </si>
  <si>
    <t>12.38</t>
  </si>
  <si>
    <t>10.56</t>
  </si>
  <si>
    <t>41.50</t>
  </si>
  <si>
    <t>42.00</t>
  </si>
  <si>
    <t>16.04</t>
  </si>
  <si>
    <t>4.69</t>
  </si>
  <si>
    <t>46.90</t>
  </si>
  <si>
    <t>53.92</t>
  </si>
  <si>
    <t>18.18</t>
  </si>
  <si>
    <t>15.10</t>
  </si>
  <si>
    <t>Média de Crescimento</t>
  </si>
  <si>
    <t>Lucro Anterior</t>
  </si>
  <si>
    <t>Crescimento</t>
  </si>
  <si>
    <t>Average of Lucro Líquido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</si>
  <si>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</si>
  <si>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</si>
  <si>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</si>
  <si>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</si>
  <si>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</si>
  <si>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</si>
  <si>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</si>
  <si>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</si>
  <si>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</si>
  <si>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</si>
  <si>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% Div Mínimo</t>
  </si>
  <si>
    <t>Reserva Legal</t>
  </si>
  <si>
    <t>Lucro Distribuir</t>
  </si>
  <si>
    <t>Teto R. Legal</t>
  </si>
  <si>
    <t>Div. Mínimo</t>
  </si>
  <si>
    <t>Div. Pref</t>
  </si>
  <si>
    <t>Total Div. Pref.</t>
  </si>
  <si>
    <t>UNIP3</t>
  </si>
  <si>
    <t>% Nominal</t>
  </si>
  <si>
    <t>V. Nominal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</si>
  <si>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+UNIP3.SA+UNIP5.SA&amp;f=nol1hgd1</t>
  </si>
  <si>
    <t>UNIPAR      -ON</t>
  </si>
  <si>
    <t>0.57</t>
  </si>
  <si>
    <t>% Pref. / ON</t>
  </si>
  <si>
    <t>12.09</t>
  </si>
  <si>
    <t>12.04</t>
  </si>
  <si>
    <t>23.30</t>
  </si>
  <si>
    <t>23.22</t>
  </si>
  <si>
    <t>23.07</t>
  </si>
  <si>
    <t>30.35</t>
  </si>
  <si>
    <t>30.09</t>
  </si>
  <si>
    <t>30.41</t>
  </si>
  <si>
    <t>29.95</t>
  </si>
  <si>
    <t>28.00</t>
  </si>
  <si>
    <t>27.85</t>
  </si>
  <si>
    <t>28.09</t>
  </si>
  <si>
    <t>27.70</t>
  </si>
  <si>
    <t>11.92</t>
  </si>
  <si>
    <t>11.99</t>
  </si>
  <si>
    <t>11.84</t>
  </si>
  <si>
    <t>19.79</t>
  </si>
  <si>
    <t>21.30</t>
  </si>
  <si>
    <t>21.88</t>
  </si>
  <si>
    <t>21.97</t>
  </si>
  <si>
    <t>13.88</t>
  </si>
  <si>
    <t>13.90</t>
  </si>
  <si>
    <t>13.98</t>
  </si>
  <si>
    <t>13.85</t>
  </si>
  <si>
    <t>13.44</t>
  </si>
  <si>
    <t>13.39</t>
  </si>
  <si>
    <t>13.33</t>
  </si>
  <si>
    <t>47.63</t>
  </si>
  <si>
    <t>48.24</t>
  </si>
  <si>
    <t>48.29</t>
  </si>
  <si>
    <t>18.64</t>
  </si>
  <si>
    <t>18.80</t>
  </si>
  <si>
    <t>18.87</t>
  </si>
  <si>
    <t>18.59</t>
  </si>
  <si>
    <t>22.21</t>
  </si>
  <si>
    <t>30.89</t>
  </si>
  <si>
    <t>30.69</t>
  </si>
  <si>
    <t>33.00</t>
  </si>
  <si>
    <t>33.11</t>
  </si>
  <si>
    <t>32.71</t>
  </si>
  <si>
    <t>7.82</t>
  </si>
  <si>
    <t>5.63</t>
  </si>
  <si>
    <t>9.73</t>
  </si>
  <si>
    <t>9.61</t>
  </si>
  <si>
    <t>9.20</t>
  </si>
  <si>
    <t>9.26</t>
  </si>
  <si>
    <t>9.32</t>
  </si>
  <si>
    <t>9.13</t>
  </si>
  <si>
    <t>10.21</t>
  </si>
  <si>
    <t>10.41</t>
  </si>
  <si>
    <t>10.16</t>
  </si>
  <si>
    <t>15.55</t>
  </si>
  <si>
    <t>23.71</t>
  </si>
  <si>
    <t>23.48</t>
  </si>
  <si>
    <t>17.30</t>
  </si>
  <si>
    <t>17.47</t>
  </si>
  <si>
    <t>17.52</t>
  </si>
  <si>
    <t>17.26</t>
  </si>
  <si>
    <t>18.86</t>
  </si>
  <si>
    <t>19.29</t>
  </si>
  <si>
    <t>19.34</t>
  </si>
  <si>
    <t>18.77</t>
  </si>
  <si>
    <t>8.66</t>
  </si>
  <si>
    <t>8.59</t>
  </si>
  <si>
    <t>8.68</t>
  </si>
  <si>
    <t>29.06</t>
  </si>
  <si>
    <t>28.71</t>
  </si>
  <si>
    <t>29.17</t>
  </si>
  <si>
    <t>28.66</t>
  </si>
  <si>
    <t>31.39</t>
  </si>
  <si>
    <t>30.99</t>
  </si>
  <si>
    <t>31.43</t>
  </si>
  <si>
    <t>30.95</t>
  </si>
  <si>
    <t>12.66</t>
  </si>
  <si>
    <t>12.52</t>
  </si>
  <si>
    <t>12.78</t>
  </si>
  <si>
    <t>12.47</t>
  </si>
  <si>
    <t>20.51</t>
  </si>
  <si>
    <t>20.89</t>
  </si>
  <si>
    <t>20.27</t>
  </si>
  <si>
    <t>8.69</t>
  </si>
  <si>
    <t>8.75</t>
  </si>
  <si>
    <t>11.33</t>
  </si>
  <si>
    <t>28.95</t>
  </si>
  <si>
    <t>29.52</t>
  </si>
  <si>
    <t>29.61</t>
  </si>
  <si>
    <t>3.33</t>
  </si>
  <si>
    <t>23.36</t>
  </si>
  <si>
    <t>23.82</t>
  </si>
  <si>
    <t>23.29</t>
  </si>
  <si>
    <t>2.73</t>
  </si>
  <si>
    <t>2.75</t>
  </si>
  <si>
    <t>9.44</t>
  </si>
  <si>
    <t>9.45</t>
  </si>
  <si>
    <t>9.41</t>
  </si>
  <si>
    <t>18.08</t>
  </si>
  <si>
    <t>17.91</t>
  </si>
  <si>
    <t>35.06</t>
  </si>
  <si>
    <t>35.25</t>
  </si>
  <si>
    <t>35.43</t>
  </si>
  <si>
    <t>26.96</t>
  </si>
  <si>
    <t>26.71</t>
  </si>
  <si>
    <t>27.14</t>
  </si>
  <si>
    <t>26.49</t>
  </si>
  <si>
    <t>15.14</t>
  </si>
  <si>
    <t>14.98</t>
  </si>
  <si>
    <t>15.23</t>
  </si>
  <si>
    <t>14.80</t>
  </si>
  <si>
    <t>16.02</t>
  </si>
  <si>
    <t>16.19</t>
  </si>
  <si>
    <t>15.83</t>
  </si>
  <si>
    <t>9.92</t>
  </si>
  <si>
    <t>9.66</t>
  </si>
  <si>
    <t>14.14</t>
  </si>
  <si>
    <t>14.04</t>
  </si>
  <si>
    <t>14.18</t>
  </si>
  <si>
    <t>13.95</t>
  </si>
  <si>
    <t>23.95</t>
  </si>
  <si>
    <t>23.92</t>
  </si>
  <si>
    <t>23.77</t>
  </si>
  <si>
    <t>2.43</t>
  </si>
  <si>
    <t>2.44</t>
  </si>
  <si>
    <t>2.48</t>
  </si>
  <si>
    <t>20.22</t>
  </si>
  <si>
    <t>20.18</t>
  </si>
  <si>
    <t>20.28</t>
  </si>
  <si>
    <t>38.57</t>
  </si>
  <si>
    <t>38.38</t>
  </si>
  <si>
    <t>38.70</t>
  </si>
  <si>
    <t>38.21</t>
  </si>
  <si>
    <t>27.00</t>
  </si>
  <si>
    <t>26.79</t>
  </si>
  <si>
    <t>26.75</t>
  </si>
  <si>
    <t>14.00</t>
  </si>
  <si>
    <t>44.80</t>
  </si>
  <si>
    <t>43.98</t>
  </si>
  <si>
    <t>44.92</t>
  </si>
  <si>
    <t>43.77</t>
  </si>
  <si>
    <t>8.97</t>
  </si>
  <si>
    <t>8.94</t>
  </si>
  <si>
    <t>9.06</t>
  </si>
  <si>
    <t>8.92</t>
  </si>
  <si>
    <t>13.55</t>
  </si>
  <si>
    <t>13.26</t>
  </si>
  <si>
    <t>13.75</t>
  </si>
  <si>
    <t>13.22</t>
  </si>
  <si>
    <t>4.65</t>
  </si>
  <si>
    <t>4.76</t>
  </si>
  <si>
    <t>4.60</t>
  </si>
  <si>
    <t>4.39</t>
  </si>
  <si>
    <t>4.49</t>
  </si>
  <si>
    <t>4.26</t>
  </si>
  <si>
    <t>40.87</t>
  </si>
  <si>
    <t>41.45</t>
  </si>
  <si>
    <t>47.12</t>
  </si>
  <si>
    <t>47.30</t>
  </si>
  <si>
    <t>47.35</t>
  </si>
  <si>
    <t>18.50</t>
  </si>
  <si>
    <t>18.60</t>
  </si>
  <si>
    <t>22.55</t>
  </si>
  <si>
    <t>22.83</t>
  </si>
  <si>
    <t>22.98</t>
  </si>
  <si>
    <t>54.58</t>
  </si>
  <si>
    <t>55.13</t>
  </si>
  <si>
    <t>4.85</t>
  </si>
  <si>
    <t>4.82</t>
  </si>
  <si>
    <t>6.49</t>
  </si>
  <si>
    <t>6.40</t>
  </si>
  <si>
    <t>12.55</t>
  </si>
  <si>
    <t>12.64</t>
  </si>
  <si>
    <t>12.46</t>
  </si>
  <si>
    <t>6.56</t>
  </si>
  <si>
    <t>6.54</t>
  </si>
  <si>
    <t>5.69</t>
  </si>
  <si>
    <t>30.60</t>
  </si>
  <si>
    <t>30.76</t>
  </si>
  <si>
    <t>30.85</t>
  </si>
  <si>
    <t>30.55</t>
  </si>
  <si>
    <t>8.35</t>
  </si>
  <si>
    <t>8.39</t>
  </si>
  <si>
    <t>8.29</t>
  </si>
  <si>
    <t>17.80</t>
  </si>
  <si>
    <t>18.11</t>
  </si>
  <si>
    <t>17.76</t>
  </si>
  <si>
    <t>17.06</t>
  </si>
  <si>
    <t>21.48</t>
  </si>
  <si>
    <t>21.61</t>
  </si>
  <si>
    <t>21.62</t>
  </si>
  <si>
    <t>21.41</t>
  </si>
  <si>
    <t>47.23</t>
  </si>
  <si>
    <t>47.50</t>
  </si>
  <si>
    <t>47.64</t>
  </si>
  <si>
    <t>47.20</t>
  </si>
  <si>
    <t>17.46</t>
  </si>
  <si>
    <t>34.13</t>
  </si>
  <si>
    <t>34.45</t>
  </si>
  <si>
    <t>34.56</t>
  </si>
  <si>
    <t>18.25</t>
  </si>
  <si>
    <t>18.26</t>
  </si>
  <si>
    <t>18.70</t>
  </si>
  <si>
    <t>10.30</t>
  </si>
  <si>
    <t>10.38</t>
  </si>
  <si>
    <t>23.32</t>
  </si>
  <si>
    <t>23.57</t>
  </si>
  <si>
    <t>23.31</t>
  </si>
  <si>
    <t>66.61</t>
  </si>
  <si>
    <t>66.50</t>
  </si>
  <si>
    <t>67.10</t>
  </si>
  <si>
    <t>66.42</t>
  </si>
  <si>
    <t>Lucro Atual</t>
  </si>
  <si>
    <t>Lucro</t>
  </si>
  <si>
    <t>Lucro Dist./Ação</t>
  </si>
  <si>
    <t>Lucro Payout</t>
  </si>
  <si>
    <t>PINE3</t>
  </si>
</sst>
</file>

<file path=xl/styles.xml><?xml version="1.0" encoding="utf-8"?>
<styleSheet xmlns="http://schemas.openxmlformats.org/spreadsheetml/2006/main">
  <numFmts count="14">
    <numFmt numFmtId="8" formatCode="&quot;R$ &quot;#,##0.00_);[Red]\(&quot;R$ &quot;#,##0.00\)"/>
    <numFmt numFmtId="44" formatCode="_(&quot;R$ &quot;* #,##0.00_);_(&quot;R$ &quot;* \(#,##0.00\);_(&quot;R$ &quot;* &quot;-&quot;??_);_(@_)"/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_-;\-* #,##0.00000_-;_-* &quot;-&quot;??_-;_-@_-"/>
    <numFmt numFmtId="172" formatCode="&quot;R$ &quot;#,##0.00"/>
    <numFmt numFmtId="173" formatCode="0.0000%"/>
    <numFmt numFmtId="179" formatCode="_-&quot;R$&quot;\ * #,##0.0000_-;\-&quot;R$&quot;\ * #,##0.0000_-;_-&quot;R$&quot;\ * &quot;-&quot;??_-;_-@_-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1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2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73" fontId="2" fillId="0" borderId="0" xfId="3" applyNumberFormat="1" applyFont="1"/>
    <xf numFmtId="164" fontId="0" fillId="0" borderId="0" xfId="0" applyNumberFormat="1"/>
    <xf numFmtId="166" fontId="3" fillId="0" borderId="0" xfId="1" applyNumberFormat="1" applyFont="1"/>
    <xf numFmtId="170" fontId="2" fillId="0" borderId="0" xfId="1" applyNumberFormat="1" applyFont="1" applyBorder="1"/>
    <xf numFmtId="170" fontId="4" fillId="0" borderId="0" xfId="1" applyNumberFormat="1" applyFont="1" applyBorder="1"/>
    <xf numFmtId="179" fontId="2" fillId="0" borderId="0" xfId="2" applyNumberFormat="1" applyFont="1"/>
    <xf numFmtId="179" fontId="2" fillId="0" borderId="0" xfId="2" applyNumberFormat="1" applyFont="1" applyBorder="1"/>
    <xf numFmtId="179" fontId="4" fillId="0" borderId="0" xfId="2" applyNumberFormat="1" applyFont="1" applyBorder="1"/>
    <xf numFmtId="0" fontId="0" fillId="0" borderId="0" xfId="0" applyAlignment="1">
      <alignment horizontal="left" indent="1"/>
    </xf>
    <xf numFmtId="164" fontId="3" fillId="0" borderId="0" xfId="2" applyNumberFormat="1" applyFont="1"/>
    <xf numFmtId="9" fontId="2" fillId="0" borderId="0" xfId="3" applyNumberFormat="1" applyFont="1"/>
    <xf numFmtId="0" fontId="11" fillId="0" borderId="0" xfId="5" applyNumberFormat="1" applyFont="1" applyBorder="1" applyAlignment="1" applyProtection="1"/>
    <xf numFmtId="0" fontId="11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9" fontId="2" fillId="0" borderId="0" xfId="0" applyNumberFormat="1" applyFont="1"/>
    <xf numFmtId="164" fontId="4" fillId="0" borderId="0" xfId="2" applyNumberFormat="1" applyFont="1" applyBorder="1"/>
    <xf numFmtId="164" fontId="2" fillId="0" borderId="3" xfId="2" applyNumberFormat="1" applyFont="1" applyBorder="1"/>
    <xf numFmtId="164" fontId="2" fillId="0" borderId="3" xfId="2" applyFont="1" applyBorder="1"/>
    <xf numFmtId="43" fontId="2" fillId="0" borderId="0" xfId="0" applyNumberFormat="1" applyFont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44">
      <sharedItems containsString="0" containsBlank="1" containsNumber="1" minValue="940.06" maxValue="940.06"/>
    </cacheField>
    <cacheField name="Taxas" numFmtId="44">
      <sharedItems containsString="0" containsBlank="1" containsNumber="1" containsInteger="1" minValue="0" maxValue="0"/>
    </cacheField>
    <cacheField name="Resgates" numFmtId="44">
      <sharedItems containsString="0" containsBlank="1" containsNumber="1" containsInteger="1" minValue="0" maxValue="0"/>
    </cacheField>
    <cacheField name="Dividendo" numFmtId="44">
      <sharedItems containsSemiMixedTypes="0" containsString="0" containsNumber="1" containsInteger="1" minValue="0" maxValue="94"/>
    </cacheField>
    <cacheField name="JPC" numFmtId="16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5.395154861108" createdVersion="3" refreshedVersion="3" minRefreshableVersion="3" recordCount="585">
  <cacheSource type="worksheet">
    <worksheetSource name="Tabela2"/>
  </cacheSource>
  <cacheFields count="13">
    <cacheField name="Ativo" numFmtId="0">
      <sharedItems containsBlank="1" count="172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DAYC4"/>
        <s v="DTEX3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UGPA3"/>
        <s v="UNIP6"/>
        <s v="VALE5"/>
        <s v="VIGR3"/>
        <s v="VIVT3"/>
        <s v="VIVT4"/>
        <s v="BRIN3"/>
        <s v="TRPN3"/>
        <s v="BVMF3"/>
        <s v="CIEL3"/>
        <s v="CTIP3"/>
        <s v="EBTP4"/>
        <s v="PATI3"/>
        <m u="1"/>
        <s v="RSID3" u="1"/>
        <s v="UNIP5" u="1"/>
        <s v="NUTR3M" u="1"/>
        <s v="RNAR3" u="1"/>
        <s v="TIBR5" u="1"/>
        <s v="TIBR6" u="1"/>
        <s v="BBRK3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5" u="1"/>
        <n v="2006" u="1"/>
        <n v="2007" u="1"/>
        <n v="2004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0" maxValue="13044496930"/>
    </cacheField>
    <cacheField name="Lucro por ação" numFmtId="168">
      <sharedItems containsMixedTypes="1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.12" maxValue="158.99"/>
    </cacheField>
    <cacheField name="Yield" numFmtId="10">
      <sharedItems containsMixedTypes="1" containsNumber="1" minValue="3.0927835051546394E-7" maxValue="1.0447962695081967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  <cacheField name="Lucro Anterior" numFmtId="164">
      <sharedItems containsSemiMixedTypes="0" containsString="0" containsNumber="1" minValue="-525142000" maxValue="46307964102"/>
    </cacheField>
    <cacheField name="Crescimento" numFmtId="10">
      <sharedItems containsMixedTypes="1" containsNumber="1" minValue="-10.562828055910773" maxValue="12.182230275735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85">
  <r>
    <x v="0"/>
    <x v="0"/>
    <n v="226618835.09"/>
    <n v="147232649"/>
    <n v="1.5391887372073296"/>
    <n v="0.62"/>
    <n v="0.40280960028652135"/>
    <n v="12.19"/>
    <n v="5.0861361771944218E-2"/>
    <n v="12.19"/>
    <n v="0"/>
    <n v="259319392"/>
    <n v="-0.12610147146265094"/>
  </r>
  <r>
    <x v="0"/>
    <x v="1"/>
    <n v="259319392"/>
    <n v="147232649"/>
    <n v="1.7612899975738399"/>
    <n v="0.6"/>
    <n v="0.34065940352042778"/>
    <n v="12.19"/>
    <n v="4.922067268252666E-2"/>
    <n v="12.19"/>
    <n v="0"/>
    <n v="221437904"/>
    <n v="0.17107047761796013"/>
  </r>
  <r>
    <x v="0"/>
    <x v="2"/>
    <n v="221437904"/>
    <n v="147232649"/>
    <n v="1.5039999993479707"/>
    <n v="0.54"/>
    <n v="0.35904255334714513"/>
    <n v="12.19"/>
    <n v="4.4298605414274002E-2"/>
    <n v="12.19"/>
    <n v="0"/>
    <n v="165523361"/>
    <n v="0.33780454107622915"/>
  </r>
  <r>
    <x v="0"/>
    <x v="3"/>
    <n v="165523361"/>
    <n v="147232649"/>
    <n v="1.1242300001000458"/>
    <n v="0.51"/>
    <n v="0.45364382729033637"/>
    <n v="12.19"/>
    <n v="4.1837571780147666E-2"/>
    <n v="12.19"/>
    <n v="0"/>
    <n v="0"/>
    <s v=""/>
  </r>
  <r>
    <x v="1"/>
    <x v="0"/>
    <n v="-30675397.18"/>
    <n v="95061053"/>
    <n v="-0.32269153572283699"/>
    <n v="0"/>
    <s v=""/>
    <n v="8.3000000000000007"/>
    <s v=""/>
    <n v="8.3000000000000007"/>
    <n v="0"/>
    <n v="436885000"/>
    <n v="0"/>
  </r>
  <r>
    <x v="1"/>
    <x v="1"/>
    <n v="436885000"/>
    <n v="95061053"/>
    <n v="4.5958358992720187"/>
    <n v="3.2228539679999999"/>
    <n v="0.70125523161314363"/>
    <n v="8.3000000000000007"/>
    <n v="0.38829565879518069"/>
    <n v="8.3000000000000007"/>
    <n v="0"/>
    <n v="376137000"/>
    <n v="0.16150498355652321"/>
  </r>
  <r>
    <x v="1"/>
    <x v="2"/>
    <n v="376137000"/>
    <n v="95061053"/>
    <n v="3.9567939564061003"/>
    <n v="3.5129712419999999"/>
    <n v="0.8878327455773769"/>
    <n v="8.3000000000000007"/>
    <n v="0.42324954722891561"/>
    <n v="8.3000000000000007"/>
    <n v="0"/>
    <n v="335010000"/>
    <n v="0.12276349959702704"/>
  </r>
  <r>
    <x v="1"/>
    <x v="3"/>
    <n v="335010000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n v="127417790.75"/>
    <n v="159025920"/>
    <n v="0.80123913604775876"/>
    <n v="0.346085953"/>
    <n v="0.43193840319274063"/>
    <n v="18"/>
    <n v="1.9226997388888889E-2"/>
    <n v="0"/>
    <n v="18"/>
    <n v="101417617.86"/>
    <n v="0.25636741858689138"/>
  </r>
  <r>
    <x v="2"/>
    <x v="1"/>
    <n v="101417617.86"/>
    <n v="159025920"/>
    <n v="0.63774268911634024"/>
    <n v="0.18179478700000001"/>
    <n v="0.28505977426710427"/>
    <n v="18"/>
    <n v="1.0099710388888889E-2"/>
    <n v="0"/>
    <n v="18"/>
    <n v="54564689.799999997"/>
    <n v="0.8586675418064964"/>
  </r>
  <r>
    <x v="2"/>
    <x v="2"/>
    <n v="54564689.799999997"/>
    <n v="159025920"/>
    <n v="0.34311821494257033"/>
    <n v="9.2918793E-2"/>
    <n v="0.27080693753187179"/>
    <n v="18"/>
    <n v="5.1621551666666664E-3"/>
    <n v="0"/>
    <n v="18"/>
    <n v="47715454.25"/>
    <n v="0.14354333742929826"/>
  </r>
  <r>
    <x v="2"/>
    <x v="3"/>
    <n v="47715454.25"/>
    <n v="159025920"/>
    <n v="0.30004828300946162"/>
    <n v="8.036008E-2"/>
    <n v="0.26782382886512285"/>
    <n v="18"/>
    <n v="4.4644488888888889E-3"/>
    <n v="0"/>
    <n v="18"/>
    <n v="0"/>
    <s v=""/>
  </r>
  <r>
    <x v="3"/>
    <x v="0"/>
    <n v="-2048000"/>
    <n v="5996334"/>
    <n v="-0.34154201550480678"/>
    <n v="1"/>
    <s v=""/>
    <n v="4.8099999999999996"/>
    <n v="0.20790020790020791"/>
    <n v="0"/>
    <n v="4.8099999999999996"/>
    <n v="-2767000"/>
    <n v="0"/>
  </r>
  <r>
    <x v="3"/>
    <x v="1"/>
    <n v="-2767000"/>
    <n v="5996334"/>
    <n v="-0.4614486117684572"/>
    <n v="1"/>
    <s v=""/>
    <n v="4.8099999999999996"/>
    <n v="0.20790020790020791"/>
    <n v="0"/>
    <n v="4.8099999999999996"/>
    <n v="47518888.590000004"/>
    <n v="0"/>
  </r>
  <r>
    <x v="3"/>
    <x v="2"/>
    <n v="47518888.590000004"/>
    <n v="5996334"/>
    <n v="7.9246567302621909"/>
    <n v="1.5139"/>
    <n v="0.19103666588090965"/>
    <n v="4.8099999999999996"/>
    <n v="0.31474012474012475"/>
    <n v="0"/>
    <n v="4.8099999999999996"/>
    <n v="0"/>
    <s v=""/>
  </r>
  <r>
    <x v="4"/>
    <x v="0"/>
    <n v="165948458.28999999"/>
    <n v="2964596762"/>
    <n v="5.5976738697524085E-2"/>
    <n v="2.6766000000000002E-2"/>
    <n v="0.47816290521376681"/>
    <n v="0.33"/>
    <n v="8.1109090909090908E-2"/>
    <n v="0.33"/>
    <n v="0"/>
    <n v="78567508.840000004"/>
    <n v="1.1121766585211228"/>
  </r>
  <r>
    <x v="4"/>
    <x v="1"/>
    <n v="78567508.840000004"/>
    <n v="2964596762"/>
    <n v="2.6501920884173184E-2"/>
    <n v="2.648E-2"/>
    <n v="0.99917285678011836"/>
    <n v="0.33"/>
    <n v="8.024242424242424E-2"/>
    <n v="0.33"/>
    <n v="0"/>
    <n v="142163159.71000001"/>
    <n v="-0.4473426941250418"/>
  </r>
  <r>
    <x v="4"/>
    <x v="2"/>
    <n v="142163159.71000001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n v="12309870442.799999"/>
    <n v="2865417020"/>
    <n v="4.2960135843682536"/>
    <n v="1.722"/>
    <n v="0.40083672134226433"/>
    <n v="23.17"/>
    <n v="7.4320241691842898E-2"/>
    <n v="23.17"/>
    <n v="0"/>
    <n v="12247330314.43"/>
    <n v="5.1064294637594987E-3"/>
  </r>
  <r>
    <x v="5"/>
    <x v="1"/>
    <n v="12247330314.43"/>
    <n v="2865417020"/>
    <n v="4.2741877461277875"/>
    <n v="1.7096750979999999"/>
    <n v="0.39999999989445595"/>
    <n v="23.17"/>
    <n v="7.3788308070781169E-2"/>
    <n v="23.17"/>
    <n v="0"/>
    <n v="11758093384.549999"/>
    <n v="4.1608525623963111E-2"/>
  </r>
  <r>
    <x v="5"/>
    <x v="2"/>
    <n v="11758093384.549999"/>
    <n v="2865417020"/>
    <n v="4.1034492719492537"/>
    <n v="1.6421960419999999"/>
    <n v="0.40019893829951275"/>
    <n v="23.17"/>
    <n v="7.0875962106171767E-2"/>
    <n v="23.17"/>
    <n v="0"/>
    <n v="10147521914.51"/>
    <n v="0.15871574199184857"/>
  </r>
  <r>
    <x v="5"/>
    <x v="3"/>
    <n v="10147521914.51"/>
    <n v="2865417020"/>
    <n v="3.5413769945814031"/>
    <n v="1.4165507980000001"/>
    <n v="0.4000000000472807"/>
    <n v="23.17"/>
    <n v="6.1137280880448855E-2"/>
    <n v="23.17"/>
    <n v="0"/>
    <n v="0"/>
    <s v=""/>
  </r>
  <r>
    <x v="6"/>
    <x v="0"/>
    <n v="11381244459.27"/>
    <n v="4207274039"/>
    <n v="2.705135047959732"/>
    <n v="0.97174542699999999"/>
    <n v="0.35922251930930776"/>
    <n v="30.03"/>
    <n v="3.2359155078255077E-2"/>
    <n v="30.03"/>
    <n v="0"/>
    <n v="11037515599"/>
    <n v="3.1141868583283605E-2"/>
  </r>
  <r>
    <x v="6"/>
    <x v="1"/>
    <n v="11037515599"/>
    <n v="4207274039"/>
    <n v="2.6234363382765142"/>
    <n v="0.933388"/>
    <n v="0.35578831717075171"/>
    <n v="30.03"/>
    <n v="3.1081851481851479E-2"/>
    <n v="30.03"/>
    <n v="0"/>
    <n v="10159097403"/>
    <n v="8.6466165364316838E-2"/>
  </r>
  <r>
    <x v="6"/>
    <x v="2"/>
    <n v="10159097403"/>
    <n v="4207274039"/>
    <n v="2.4146507474503967"/>
    <n v="0.87638400000000005"/>
    <n v="0.36294441377303294"/>
    <n v="30.03"/>
    <n v="2.9183616383616384E-2"/>
    <n v="30.03"/>
    <n v="0"/>
    <n v="8134916341"/>
    <n v="0.24882629115656929"/>
  </r>
  <r>
    <x v="6"/>
    <x v="3"/>
    <n v="8134916341"/>
    <n v="4207274039"/>
    <n v="1.933536124719258"/>
    <n v="0.834144"/>
    <n v="0.43140854175719862"/>
    <n v="30.03"/>
    <n v="2.7777022977022975E-2"/>
    <n v="30.03"/>
    <n v="0"/>
    <n v="0"/>
    <s v=""/>
  </r>
  <r>
    <x v="7"/>
    <x v="0"/>
    <n v="11381244459.27"/>
    <n v="4207274039"/>
    <n v="2.705135047959732"/>
    <n v="1.0689199700000001"/>
    <n v="0.39514477135113873"/>
    <n v="27.83"/>
    <n v="3.8408910168882503E-2"/>
    <n v="27.83"/>
    <n v="0"/>
    <n v="11037515599"/>
    <n v="3.1141868583283605E-2"/>
  </r>
  <r>
    <x v="7"/>
    <x v="1"/>
    <n v="11037515599"/>
    <n v="4207274039"/>
    <n v="2.6234363382765142"/>
    <n v="1.0267269999999999"/>
    <n v="0.3913672251237153"/>
    <n v="27.83"/>
    <n v="3.6892813510600073E-2"/>
    <n v="27.83"/>
    <n v="0"/>
    <n v="10159097403"/>
    <n v="8.6466165364316838E-2"/>
  </r>
  <r>
    <x v="7"/>
    <x v="2"/>
    <n v="10159097403"/>
    <n v="4207274039"/>
    <n v="2.4146507474503967"/>
    <n v="0.96402200000000005"/>
    <n v="0.39923868949490948"/>
    <n v="27.83"/>
    <n v="3.4639669421487607E-2"/>
    <n v="27.83"/>
    <n v="0"/>
    <n v="8134916341"/>
    <n v="0.24882629115656929"/>
  </r>
  <r>
    <x v="7"/>
    <x v="3"/>
    <n v="8134916341"/>
    <n v="4207274039"/>
    <n v="1.933536124719258"/>
    <n v="0.91755799999999998"/>
    <n v="0.47454918905806631"/>
    <n v="27.83"/>
    <n v="3.2970104204096302E-2"/>
    <n v="27.83"/>
    <n v="0"/>
    <n v="0"/>
    <s v=""/>
  </r>
  <r>
    <x v="8"/>
    <x v="0"/>
    <n v="2000000000"/>
    <n v="2000000000"/>
    <n v="1"/>
    <n v="0.25"/>
    <n v="0.25"/>
    <n v="23.96"/>
    <n v="1.0434056761268781E-2"/>
    <n v="0"/>
    <n v="23.96"/>
    <n v="0"/>
    <s v=""/>
  </r>
  <r>
    <x v="9"/>
    <x v="0"/>
    <n v="81395000"/>
    <n v="1579564303"/>
    <n v="5.153003258266213E-2"/>
    <n v="2.0200094799999999E-2"/>
    <n v="0.39200624931870415"/>
    <n v="0.47"/>
    <n v="4.297892510638298E-2"/>
    <n v="0.47"/>
    <n v="0"/>
    <n v="87892000"/>
    <n v="-7.3920265780730854E-2"/>
  </r>
  <r>
    <x v="9"/>
    <x v="1"/>
    <n v="87892000"/>
    <n v="1579564303"/>
    <n v="5.5643192134103327E-2"/>
    <n v="3.1132696000000001E-2"/>
    <n v="0.55950593066207266"/>
    <n v="0.47"/>
    <n v="6.6239778723404266E-2"/>
    <n v="0.47"/>
    <n v="0"/>
    <n v="167023000"/>
    <n v="-0.47377307316956352"/>
  </r>
  <r>
    <x v="9"/>
    <x v="2"/>
    <n v="167023000"/>
    <n v="1579564303"/>
    <n v="0.1057399180791692"/>
    <n v="2.6446688999999999E-2"/>
    <n v="0.25011073850273774"/>
    <n v="0.47"/>
    <n v="5.626955106382979E-2"/>
    <n v="0.47"/>
    <n v="0"/>
    <n v="132496000"/>
    <n v="0.26058899891317466"/>
  </r>
  <r>
    <x v="9"/>
    <x v="3"/>
    <n v="132496000"/>
    <n v="1579564303"/>
    <n v="8.3881358769855668E-2"/>
    <n v="2.117499288E-2"/>
    <n v="0.2524397934241574"/>
    <n v="0.47"/>
    <n v="4.5053176340425535E-2"/>
    <n v="0.47"/>
    <n v="0"/>
    <n v="0"/>
    <s v="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10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n v="87990976.469999999"/>
    <n v="10541442"/>
    <n v="8.3471479964505804"/>
    <n v="4.946395323"/>
    <n v="0.5925850751781726"/>
    <n v="43.25"/>
    <n v="0.11436752191907515"/>
    <n v="43.25"/>
    <n v="0"/>
    <n v="90962523.890000001"/>
    <n v="-3.2667820690567728E-2"/>
  </r>
  <r>
    <x v="11"/>
    <x v="1"/>
    <n v="90962523.890000001"/>
    <n v="10541442"/>
    <n v="8.6290399254675023"/>
    <n v="5.5438895290000003"/>
    <n v="0.64246886987252461"/>
    <n v="43.25"/>
    <n v="0.12818241685549134"/>
    <n v="43.25"/>
    <n v="0"/>
    <n v="54465018.079999998"/>
    <n v="0.67010912869598749"/>
  </r>
  <r>
    <x v="11"/>
    <x v="2"/>
    <n v="54465018.079999998"/>
    <n v="10541442"/>
    <n v="5.1667521464330965"/>
    <n v="2.2723217359999999"/>
    <n v="0.43979693076020943"/>
    <n v="43.25"/>
    <n v="5.2539230890173406E-2"/>
    <n v="43.25"/>
    <n v="0"/>
    <n v="39114199.380000003"/>
    <n v="0.39246153425932651"/>
  </r>
  <r>
    <x v="11"/>
    <x v="3"/>
    <n v="39114199.380000003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n v="87990976.469999999"/>
    <n v="10541442"/>
    <n v="8.3471479964505804"/>
    <n v="5.4410348859999997"/>
    <n v="0.65184358637389272"/>
    <n v="45"/>
    <n v="0.12091188635555555"/>
    <n v="45"/>
    <n v="0"/>
    <n v="90962523.890000001"/>
    <n v="-3.2667820690567728E-2"/>
  </r>
  <r>
    <x v="12"/>
    <x v="1"/>
    <n v="90962523.890000001"/>
    <n v="10541442"/>
    <n v="8.6290399254675023"/>
    <n v="6.0982784810000004"/>
    <n v="0.70671575675547815"/>
    <n v="45"/>
    <n v="0.13551729957777778"/>
    <n v="45"/>
    <n v="0"/>
    <n v="54465018.079999998"/>
    <n v="0.67010912869598749"/>
  </r>
  <r>
    <x v="12"/>
    <x v="2"/>
    <n v="54465018.079999998"/>
    <n v="10541442"/>
    <n v="5.1667521464330965"/>
    <n v="2.4995539089999999"/>
    <n v="0.48377662372010322"/>
    <n v="45"/>
    <n v="5.5545642422222222E-2"/>
    <n v="45"/>
    <n v="0"/>
    <n v="39114199.380000003"/>
    <n v="0.39246153425932651"/>
  </r>
  <r>
    <x v="12"/>
    <x v="3"/>
    <n v="39114199.380000003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  <n v="232542541"/>
    <n v="-0.53204471245542984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  <n v="348395895.98000002"/>
    <n v="-0.33253363864725516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n v="108819511.64"/>
    <n v="252903569"/>
    <n v="0.43028064835257424"/>
    <n v="0.48572491200000001"/>
    <n v="1.1288560474650824"/>
    <n v="7.4"/>
    <n v="6.5638501621621617E-2"/>
    <n v="7.4"/>
    <n v="0"/>
    <n v="232542541"/>
    <n v="-0.53204471245542984"/>
  </r>
  <r>
    <x v="14"/>
    <x v="1"/>
    <n v="232542541"/>
    <n v="252903569"/>
    <n v="0.91949094241528873"/>
    <n v="0.46371743599999998"/>
    <n v="0.50431974325045792"/>
    <n v="7.4"/>
    <n v="6.2664518378378373E-2"/>
    <n v="7.4"/>
    <n v="0"/>
    <n v="348395895.98000002"/>
    <n v="-0.33253363864725516"/>
  </r>
  <r>
    <x v="14"/>
    <x v="2"/>
    <n v="348395895.98000002"/>
    <n v="252903569"/>
    <n v="1.3775839437837274"/>
    <n v="0.60299663000000003"/>
    <n v="0.43772042547460682"/>
    <n v="7.4"/>
    <n v="8.1486031081081087E-2"/>
    <n v="7.4"/>
    <n v="0"/>
    <n v="0"/>
    <s v="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  <n v="5361000"/>
    <n v="1.3057265435552967E-2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  <n v="2644000"/>
    <n v="1.0276096822995462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  <n v="5361000"/>
    <n v="1.3057265435552967E-2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  <n v="2644000"/>
    <n v="1.0276096822995462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  <n v="314799260.60000002"/>
    <n v="0.6148808699584345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  <n v="313589945.75999999"/>
    <n v="3.8563571834844268E-3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  <n v="459012514.60000002"/>
    <n v="-0.31681613074695025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n v="508363303.81999999"/>
    <n v="87001901"/>
    <n v="5.8431286900271298"/>
    <n v="2.308672948101"/>
    <n v="0.3951090367120223"/>
    <n v="23.54"/>
    <n v="9.8074466784239589E-2"/>
    <n v="23.54"/>
    <n v="0"/>
    <n v="314799260.60000002"/>
    <n v="0.6148808699584345"/>
  </r>
  <r>
    <x v="18"/>
    <x v="1"/>
    <n v="314799260.60000002"/>
    <n v="87001901"/>
    <n v="3.6183032437417664"/>
    <n v="2.0491208919999999"/>
    <n v="0.56632093939173522"/>
    <n v="23.54"/>
    <n v="8.7048466100254879E-2"/>
    <n v="23.54"/>
    <n v="0"/>
    <n v="313589945.75999999"/>
    <n v="3.8563571834844268E-3"/>
  </r>
  <r>
    <x v="18"/>
    <x v="2"/>
    <n v="313589945.75999999"/>
    <n v="87001901"/>
    <n v="3.6044033768871326"/>
    <n v="2.5006020599999998"/>
    <n v="0.69376309988911189"/>
    <n v="23.54"/>
    <n v="0.10622778504672897"/>
    <n v="23.54"/>
    <n v="0"/>
    <n v="459012514.60000002"/>
    <n v="-0.31681613074695025"/>
  </r>
  <r>
    <x v="18"/>
    <x v="3"/>
    <n v="459012514.60000002"/>
    <n v="87001901"/>
    <n v="5.2758906337000617"/>
    <n v="2.911501565"/>
    <n v="0.55185024996587539"/>
    <n v="23.54"/>
    <n v="0.1236831590909091"/>
    <n v="23.54"/>
    <n v="0"/>
    <n v="0"/>
    <s v=""/>
  </r>
  <r>
    <x v="19"/>
    <x v="0"/>
    <n v="476737173.38"/>
    <n v="349547945"/>
    <n v="1.3638677617744255"/>
    <n v="0.59109131800000003"/>
    <n v="0.43339342315047885"/>
    <n v="18.16"/>
    <n v="3.2549081387665199E-2"/>
    <n v="0"/>
    <n v="18.16"/>
    <n v="2023882601.55"/>
    <n v="-0.76444425530666227"/>
  </r>
  <r>
    <x v="19"/>
    <x v="1"/>
    <n v="2023882601.55"/>
    <n v="349547945"/>
    <n v="5.79"/>
    <n v="1.7780234450000001"/>
    <n v="0.30708522366148533"/>
    <n v="18.16"/>
    <n v="9.7908780011013219E-2"/>
    <n v="0"/>
    <n v="18.16"/>
    <n v="1758226163.3499999"/>
    <n v="0.15109343936381703"/>
  </r>
  <r>
    <x v="19"/>
    <x v="2"/>
    <n v="1758226163.3499999"/>
    <n v="349547945"/>
    <n v="5.0299999999999994"/>
    <n v="1.5299646339999999"/>
    <n v="0.30416791928429426"/>
    <n v="18.16"/>
    <n v="8.4249153854625544E-2"/>
    <n v="0"/>
    <n v="18.16"/>
    <n v="961256848.75"/>
    <n v="0.8290909090909091"/>
  </r>
  <r>
    <x v="19"/>
    <x v="3"/>
    <n v="961256848.75"/>
    <n v="349547945"/>
    <n v="2.75"/>
    <n v="0.86687395199999995"/>
    <n v="0.31522689163636364"/>
    <n v="18.16"/>
    <n v="4.7735349779735682E-2"/>
    <n v="0"/>
    <n v="18.16"/>
    <n v="0"/>
    <s v=""/>
  </r>
  <r>
    <x v="20"/>
    <x v="0"/>
    <n v="476737173.38"/>
    <n v="349547945"/>
    <n v="1.3638677617744255"/>
    <n v="0.65020045000000004"/>
    <n v="0.47673276561216849"/>
    <n v="22.41"/>
    <n v="2.9013853190539941E-2"/>
    <n v="0"/>
    <n v="22.41"/>
    <n v="2023882601.55"/>
    <n v="-0.76444425530666227"/>
  </r>
  <r>
    <x v="20"/>
    <x v="1"/>
    <n v="2023882601.55"/>
    <n v="349547945"/>
    <n v="5.79"/>
    <n v="1.955825792"/>
    <n v="0.33779374645941279"/>
    <n v="22.41"/>
    <n v="8.727468951360999E-2"/>
    <n v="0"/>
    <n v="22.41"/>
    <n v="1758226163.3499999"/>
    <n v="0.15109343936381703"/>
  </r>
  <r>
    <x v="20"/>
    <x v="2"/>
    <n v="1758226163.3499999"/>
    <n v="349547945"/>
    <n v="5.0299999999999994"/>
    <n v="1.6829611"/>
    <n v="0.33458471172962229"/>
    <n v="22.41"/>
    <n v="7.5098665774207943E-2"/>
    <n v="0"/>
    <n v="22.41"/>
    <n v="961256848.75"/>
    <n v="0.8290909090909091"/>
  </r>
  <r>
    <x v="20"/>
    <x v="3"/>
    <n v="961256848.75"/>
    <n v="349547945"/>
    <n v="2.75"/>
    <n v="0.953561349"/>
    <n v="0.34674958145454543"/>
    <n v="22.41"/>
    <n v="4.2550707228915664E-2"/>
    <n v="0"/>
    <n v="22.41"/>
    <n v="0"/>
    <s v=""/>
  </r>
  <r>
    <x v="21"/>
    <x v="0"/>
    <n v="813227000"/>
    <n v="872473246"/>
    <n v="0.93209391087735427"/>
    <n v="0.32"/>
    <n v="0.34331304632040011"/>
    <n v="44.71"/>
    <n v="7.1572355177812567E-3"/>
    <n v="0"/>
    <n v="44.71"/>
    <n v="1367409000"/>
    <n v="-0.40527888875969076"/>
  </r>
  <r>
    <x v="21"/>
    <x v="1"/>
    <n v="1367409000"/>
    <n v="872473246"/>
    <n v="1.5672790039913729"/>
    <n v="0.72453109900000001"/>
    <n v="0.46228597279415107"/>
    <n v="44.71"/>
    <n v="1.620512411093715E-2"/>
    <n v="0"/>
    <n v="44.71"/>
    <n v="804106000"/>
    <n v="0.7005332630275114"/>
  </r>
  <r>
    <x v="21"/>
    <x v="2"/>
    <n v="804106000"/>
    <n v="872473246"/>
    <n v="0.92163972211934164"/>
    <n v="0.30086882500000001"/>
    <n v="0.32644949840935888"/>
    <n v="44.71"/>
    <n v="6.7293407515097298E-3"/>
    <n v="0"/>
    <n v="44.71"/>
    <n v="0"/>
    <s v=""/>
  </r>
  <r>
    <x v="22"/>
    <x v="0"/>
    <n v="63154000"/>
    <n v="73646388"/>
    <n v="0.85753017513907126"/>
    <n v="0.24782000000000001"/>
    <n v="0.28899274589353013"/>
    <n v="3.82"/>
    <n v="6.4874345549738227E-2"/>
    <n v="3.82"/>
    <n v="0"/>
    <n v="56638000"/>
    <n v="0.11504643525548208"/>
  </r>
  <r>
    <x v="22"/>
    <x v="1"/>
    <n v="56638000"/>
    <n v="73646388"/>
    <n v="0.76905333089791184"/>
    <n v="0.22899"/>
    <n v="0.29775568325364593"/>
    <n v="3.82"/>
    <n v="5.9945026178010473E-2"/>
    <n v="3.82"/>
    <n v="0"/>
    <n v="50724000"/>
    <n v="0.11659175143916101"/>
  </r>
  <r>
    <x v="22"/>
    <x v="2"/>
    <n v="50724000"/>
    <n v="73646388"/>
    <n v="0.6887506825181976"/>
    <n v="0.22311"/>
    <n v="0.32393434324343506"/>
    <n v="3.82"/>
    <n v="5.8405759162303665E-2"/>
    <n v="3.82"/>
    <n v="0"/>
    <n v="46296000"/>
    <n v="9.5645412130637597E-2"/>
  </r>
  <r>
    <x v="22"/>
    <x v="3"/>
    <n v="46296000"/>
    <n v="73646388"/>
    <n v="0.62862553422171907"/>
    <n v="0.19269"/>
    <n v="0.30652588784603418"/>
    <n v="3.82"/>
    <n v="5.0442408376963351E-2"/>
    <n v="3.82"/>
    <n v="0"/>
    <n v="0"/>
    <s v=""/>
  </r>
  <r>
    <x v="23"/>
    <x v="0"/>
    <n v="63154000"/>
    <n v="73646388"/>
    <n v="0.85753017513907126"/>
    <n v="3.3640000000000003E-2"/>
    <n v="3.9228940246381863E-2"/>
    <n v="4"/>
    <n v="8.4100000000000008E-3"/>
    <n v="4"/>
    <n v="0"/>
    <n v="56638000"/>
    <n v="0.11504643525548208"/>
  </r>
  <r>
    <x v="23"/>
    <x v="1"/>
    <n v="56638000"/>
    <n v="73646388"/>
    <n v="0.76905333089791184"/>
    <n v="1.0189999999999999E-2"/>
    <n v="1.3250056388290545E-2"/>
    <n v="4"/>
    <n v="2.5474999999999999E-3"/>
    <n v="4"/>
    <n v="0"/>
    <n v="50724000"/>
    <n v="0.11659175143916101"/>
  </r>
  <r>
    <x v="23"/>
    <x v="2"/>
    <n v="50724000"/>
    <n v="73646388"/>
    <n v="0.6887506825181976"/>
    <n v="3.8589999999999999E-2"/>
    <n v="5.6028982590489711E-2"/>
    <n v="4"/>
    <n v="9.6474999999999998E-3"/>
    <n v="4"/>
    <n v="0"/>
    <n v="46296000"/>
    <n v="9.5645412130637597E-2"/>
  </r>
  <r>
    <x v="23"/>
    <x v="3"/>
    <n v="46296000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n v="63154000"/>
    <n v="73646388"/>
    <n v="0.85753017513907126"/>
    <n v="3.058E-2"/>
    <n v="3.5660552697216331E-2"/>
    <n v="4.2"/>
    <n v="7.2809523809523801E-3"/>
    <n v="4.2"/>
    <n v="0"/>
    <n v="56638000"/>
    <n v="0.11504643525548208"/>
  </r>
  <r>
    <x v="24"/>
    <x v="1"/>
    <n v="56638000"/>
    <n v="73646388"/>
    <n v="0.76905333089791184"/>
    <n v="2.5999999999999999E-3"/>
    <n v="3.380779843921042E-3"/>
    <n v="4.2"/>
    <n v="6.19047619047619E-4"/>
    <n v="4.2"/>
    <n v="0"/>
    <n v="50724000"/>
    <n v="0.11659175143916101"/>
  </r>
  <r>
    <x v="24"/>
    <x v="2"/>
    <n v="50724000"/>
    <n v="73646388"/>
    <n v="0.6887506825181976"/>
    <n v="3.508E-2"/>
    <n v="5.0932798892831796E-2"/>
    <n v="4.2"/>
    <n v="8.3523809523809514E-3"/>
    <n v="4.2"/>
    <n v="0"/>
    <n v="46296000"/>
    <n v="9.5645412130637597E-2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n v="63154000"/>
    <n v="73646388"/>
    <n v="0.85753017513907126"/>
    <n v="0.20652000000000001"/>
    <n v="0.24083117537701496"/>
    <n v="3.27"/>
    <n v="6.3155963302752291E-2"/>
    <n v="3.27"/>
    <n v="0"/>
    <n v="56638000"/>
    <n v="0.11504643525548208"/>
  </r>
  <r>
    <x v="25"/>
    <x v="1"/>
    <n v="56638000"/>
    <n v="73646388"/>
    <n v="0.76905333089791184"/>
    <n v="0.19086"/>
    <n v="0.24817524654260389"/>
    <n v="3.27"/>
    <n v="5.8366972477064218E-2"/>
    <n v="3.27"/>
    <n v="0"/>
    <n v="50724000"/>
    <n v="0.11659175143916101"/>
  </r>
  <r>
    <x v="25"/>
    <x v="2"/>
    <n v="50724000"/>
    <n v="73646388"/>
    <n v="0.6887506825181976"/>
    <n v="0.18592"/>
    <n v="0.26993802651525906"/>
    <n v="3.27"/>
    <n v="5.6856269113149845E-2"/>
    <n v="3.27"/>
    <n v="0"/>
    <n v="46296000"/>
    <n v="9.5645412130637597E-2"/>
  </r>
  <r>
    <x v="25"/>
    <x v="3"/>
    <n v="46296000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n v="63154000"/>
    <n v="73646388"/>
    <n v="0.85753017513907126"/>
    <n v="0.49564999999999998"/>
    <n v="0.57799715318427969"/>
    <n v="5.97"/>
    <n v="8.302345058626466E-2"/>
    <n v="5.97"/>
    <n v="0"/>
    <n v="56638000"/>
    <n v="0.11504643525548208"/>
  </r>
  <r>
    <x v="26"/>
    <x v="1"/>
    <n v="56638000"/>
    <n v="73646388"/>
    <n v="0.76905333089791184"/>
    <n v="0.45779999999999998"/>
    <n v="0.59527731251809735"/>
    <n v="5.97"/>
    <n v="7.6683417085427141E-2"/>
    <n v="5.97"/>
    <n v="0"/>
    <n v="50724000"/>
    <n v="0.11659175143916101"/>
  </r>
  <r>
    <x v="26"/>
    <x v="2"/>
    <n v="50724000"/>
    <n v="73646388"/>
    <n v="0.6887506825181976"/>
    <n v="0.44624000000000003"/>
    <n v="0.64789772457061756"/>
    <n v="5.97"/>
    <n v="7.4747068676716918E-2"/>
    <n v="5.97"/>
    <n v="0"/>
    <n v="46296000"/>
    <n v="9.5645412130637597E-2"/>
  </r>
  <r>
    <x v="26"/>
    <x v="3"/>
    <n v="46296000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n v="63154000"/>
    <n v="73646388"/>
    <n v="0.85753017513907126"/>
    <n v="0.28913"/>
    <n v="0.33716597780726482"/>
    <n v="3.6"/>
    <n v="8.0313888888888893E-2"/>
    <n v="3.6"/>
    <n v="0"/>
    <n v="56638000"/>
    <n v="0.11504643525548208"/>
  </r>
  <r>
    <x v="27"/>
    <x v="1"/>
    <n v="56638000"/>
    <n v="73646388"/>
    <n v="0.76905333089791184"/>
    <n v="0.26712000000000002"/>
    <n v="0.34733611996468805"/>
    <n v="3.6"/>
    <n v="7.4200000000000002E-2"/>
    <n v="3.6"/>
    <n v="0"/>
    <n v="50724000"/>
    <n v="0.11659175143916101"/>
  </r>
  <r>
    <x v="27"/>
    <x v="2"/>
    <n v="50724000"/>
    <n v="73646388"/>
    <n v="0.6887506825181976"/>
    <n v="0.26029999999999998"/>
    <n v="0.37793065997161107"/>
    <n v="3.6"/>
    <n v="7.2305555555555553E-2"/>
    <n v="3.6"/>
    <n v="0"/>
    <n v="46296000"/>
    <n v="9.5645412130637597E-2"/>
  </r>
  <r>
    <x v="27"/>
    <x v="3"/>
    <n v="46296000"/>
    <n v="73646388"/>
    <n v="0.62862553422171907"/>
    <n v="0.22452"/>
    <n v="0.35716016575427684"/>
    <n v="3.6"/>
    <n v="6.2366666666666667E-2"/>
    <n v="3.6"/>
    <n v="0"/>
    <n v="0"/>
    <s v=""/>
  </r>
  <r>
    <x v="28"/>
    <x v="0"/>
    <n v="63154000"/>
    <n v="73646388"/>
    <n v="0.85753017513907126"/>
    <n v="0.20652000000000001"/>
    <n v="0.24083117537701496"/>
    <n v="3.81"/>
    <n v="5.4204724409448818E-2"/>
    <n v="3.81"/>
    <n v="0"/>
    <n v="56638000"/>
    <n v="0.11504643525548208"/>
  </r>
  <r>
    <x v="28"/>
    <x v="1"/>
    <n v="56638000"/>
    <n v="73646388"/>
    <n v="0.76905333089791184"/>
    <n v="0.19086"/>
    <n v="0.24817524654260389"/>
    <n v="3.81"/>
    <n v="5.0094488188976376E-2"/>
    <n v="3.81"/>
    <n v="0"/>
    <n v="50724000"/>
    <n v="0.11659175143916101"/>
  </r>
  <r>
    <x v="28"/>
    <x v="2"/>
    <n v="50724000"/>
    <n v="73646388"/>
    <n v="0.6887506825181976"/>
    <n v="0.18592"/>
    <n v="0.26993802651525906"/>
    <n v="3.81"/>
    <n v="4.8797900262467192E-2"/>
    <n v="3.81"/>
    <n v="0"/>
    <n v="46296000"/>
    <n v="9.5645412130637597E-2"/>
  </r>
  <r>
    <x v="28"/>
    <x v="3"/>
    <n v="46296000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n v="66187000"/>
    <n v="90224492"/>
    <n v="0.73358129852368692"/>
    <n v="7.9699999999999993E-2"/>
    <n v="0.10864508154773594"/>
    <n v="6.61"/>
    <n v="1.2057488653555219E-2"/>
    <n v="6.61"/>
    <n v="0"/>
    <n v="67513447"/>
    <n v="-1.9647152662787271E-2"/>
  </r>
  <r>
    <x v="29"/>
    <x v="1"/>
    <n v="67513447"/>
    <n v="90224492"/>
    <n v="0.74828292743393887"/>
    <n v="9.9199999999999997E-2"/>
    <n v="0.13257017681825667"/>
    <n v="6.61"/>
    <n v="1.5007564296520422E-2"/>
    <n v="6.61"/>
    <n v="0"/>
    <n v="82086317"/>
    <n v="-0.17753104941960063"/>
  </r>
  <r>
    <x v="29"/>
    <x v="2"/>
    <n v="82086317"/>
    <n v="90224492"/>
    <n v="0.90980082215370084"/>
    <n v="0.1905"/>
    <n v="0.20938648917577821"/>
    <n v="6.61"/>
    <n v="2.8819969742813919E-2"/>
    <n v="6.61"/>
    <n v="0"/>
    <n v="76789552"/>
    <n v="6.8977678109126028E-2"/>
  </r>
  <r>
    <x v="29"/>
    <x v="3"/>
    <n v="76789552"/>
    <n v="90224492"/>
    <n v="0.85109431261746538"/>
    <n v="0.1767"/>
    <n v="0.20761506378367722"/>
    <n v="6.61"/>
    <n v="2.6732223903177001E-2"/>
    <n v="6.61"/>
    <n v="0"/>
    <n v="0"/>
    <s v=""/>
  </r>
  <r>
    <x v="30"/>
    <x v="0"/>
    <n v="66187000"/>
    <n v="90224492"/>
    <n v="0.73358129852368692"/>
    <n v="0.39119999999999999"/>
    <n v="0.53327422712012928"/>
    <n v="5.64"/>
    <n v="6.9361702127659575E-2"/>
    <n v="5.64"/>
    <n v="0"/>
    <n v="67513447"/>
    <n v="-1.9647152662787271E-2"/>
  </r>
  <r>
    <x v="30"/>
    <x v="1"/>
    <n v="67513447"/>
    <n v="90224492"/>
    <n v="0.74828292743393887"/>
    <n v="0.37240000000000001"/>
    <n v="0.49767272023305226"/>
    <n v="5.64"/>
    <n v="6.6028368794326248E-2"/>
    <n v="5.64"/>
    <n v="0"/>
    <n v="82086317"/>
    <n v="-0.17753104941960063"/>
  </r>
  <r>
    <x v="30"/>
    <x v="2"/>
    <n v="82086317"/>
    <n v="90224492"/>
    <n v="0.90980082215370084"/>
    <n v="0.34889999999999999"/>
    <n v="0.3834905305691812"/>
    <n v="5.64"/>
    <n v="6.1861702127659575E-2"/>
    <n v="5.64"/>
    <n v="0"/>
    <n v="76789552"/>
    <n v="6.8977678109126028E-2"/>
  </r>
  <r>
    <x v="30"/>
    <x v="3"/>
    <n v="76789552"/>
    <n v="90224492"/>
    <n v="0.85109431261746538"/>
    <n v="0.3286"/>
    <n v="0.38609117124683834"/>
    <n v="5.64"/>
    <n v="5.8262411347517737E-2"/>
    <n v="5.64"/>
    <n v="0"/>
    <n v="0"/>
    <s v=""/>
  </r>
  <r>
    <x v="31"/>
    <x v="0"/>
    <n v="-731143033.12"/>
    <n v="797265348"/>
    <n v="-0.91706360367238737"/>
    <n v="0"/>
    <s v=""/>
    <n v="16"/>
    <s v=""/>
    <n v="0"/>
    <n v="16"/>
    <n v="-525142000"/>
    <n v="0"/>
  </r>
  <r>
    <x v="31"/>
    <x v="1"/>
    <n v="-525142000"/>
    <n v="797265348"/>
    <n v="-0.65867907255389713"/>
    <n v="0"/>
    <s v=""/>
    <n v="16"/>
    <s v=""/>
    <n v="0"/>
    <n v="16"/>
    <n v="1895309000"/>
    <n v="0"/>
  </r>
  <r>
    <x v="31"/>
    <x v="2"/>
    <n v="1895309000"/>
    <n v="797265348"/>
    <n v="2.3772624820011616"/>
    <n v="0.83324714"/>
    <n v="0.35050699967240423"/>
    <n v="16"/>
    <n v="5.207794625E-2"/>
    <n v="0"/>
    <n v="16"/>
    <n v="398491000"/>
    <n v="3.7562153223033894"/>
  </r>
  <r>
    <x v="31"/>
    <x v="3"/>
    <n v="398491000"/>
    <n v="797265348"/>
    <n v="0.49982230006564893"/>
    <n v="0"/>
    <s v=""/>
    <n v="16"/>
    <s v=""/>
    <n v="0"/>
    <n v="16"/>
    <n v="0"/>
    <s v=""/>
  </r>
  <r>
    <x v="32"/>
    <x v="0"/>
    <n v="-731143033.12"/>
    <n v="797265348"/>
    <n v="-0.91706360367238737"/>
    <n v="0"/>
    <s v=""/>
    <n v="20.170000000000002"/>
    <s v=""/>
    <n v="0"/>
    <n v="20.170000000000002"/>
    <n v="-525142000"/>
    <n v="0"/>
  </r>
  <r>
    <x v="32"/>
    <x v="1"/>
    <n v="-525142000"/>
    <n v="797265348"/>
    <n v="-0.65867907255389713"/>
    <n v="0"/>
    <s v=""/>
    <n v="20.170000000000002"/>
    <s v=""/>
    <n v="0"/>
    <n v="20.170000000000002"/>
    <n v="1895309000"/>
    <n v="0"/>
  </r>
  <r>
    <x v="32"/>
    <x v="2"/>
    <n v="1895309000"/>
    <n v="797265348"/>
    <n v="2.3772624820011616"/>
    <n v="0.83324714"/>
    <n v="0.35050699967240423"/>
    <n v="20.170000000000002"/>
    <n v="4.1311211700545358E-2"/>
    <n v="0"/>
    <n v="20.170000000000002"/>
    <n v="398491000"/>
    <n v="3.7562153223033894"/>
  </r>
  <r>
    <x v="32"/>
    <x v="3"/>
    <n v="398491000"/>
    <n v="797265348"/>
    <n v="0.49982230006564893"/>
    <n v="0"/>
    <s v=""/>
    <n v="20.170000000000002"/>
    <s v=""/>
    <n v="0"/>
    <n v="20.170000000000002"/>
    <n v="0"/>
    <s v=""/>
  </r>
  <r>
    <x v="33"/>
    <x v="0"/>
    <n v="-731143033.12"/>
    <n v="797265348"/>
    <n v="-0.91706360367238737"/>
    <n v="0"/>
    <s v=""/>
    <n v="10.5"/>
    <s v=""/>
    <n v="0"/>
    <n v="10.5"/>
    <n v="-525142000"/>
    <n v="0"/>
  </r>
  <r>
    <x v="33"/>
    <x v="1"/>
    <n v="-525142000"/>
    <n v="797265348"/>
    <n v="-0.65867907255389713"/>
    <n v="0"/>
    <s v=""/>
    <n v="10.5"/>
    <s v=""/>
    <n v="0"/>
    <n v="10.5"/>
    <n v="1895309000"/>
    <n v="0"/>
  </r>
  <r>
    <x v="33"/>
    <x v="2"/>
    <n v="1895309000"/>
    <n v="797265348"/>
    <n v="2.3772624820011616"/>
    <n v="0.60198830400000003"/>
    <n v="0.25322752895727813"/>
    <n v="10.5"/>
    <n v="5.7332219428571432E-2"/>
    <n v="0"/>
    <n v="10.5"/>
    <n v="398491000"/>
    <n v="3.7562153223033894"/>
  </r>
  <r>
    <x v="33"/>
    <x v="3"/>
    <n v="398491000"/>
    <n v="797265348"/>
    <n v="0.49982230006564893"/>
    <n v="0"/>
    <s v=""/>
    <n v="10.5"/>
    <s v=""/>
    <n v="0"/>
    <n v="10.5"/>
    <n v="0"/>
    <s v=""/>
  </r>
  <r>
    <x v="34"/>
    <x v="0"/>
    <n v="1741995406.21"/>
    <n v="457066306"/>
    <n v="3.8112531668654657"/>
    <n v="0.47533848406620999"/>
    <n v="0.12471973475778002"/>
    <n v="17.14"/>
    <n v="2.7732700353921235E-2"/>
    <n v="0"/>
    <n v="17.14"/>
    <n v="478868368.80000001"/>
    <n v="2.637733288952202"/>
  </r>
  <r>
    <x v="34"/>
    <x v="1"/>
    <n v="478868368.80000001"/>
    <n v="457066306"/>
    <n v="1.0477000000083139"/>
    <n v="0.15065705026321699"/>
    <n v="0.14379789086763528"/>
    <n v="17.14"/>
    <n v="8.7897928975039074E-3"/>
    <n v="0"/>
    <n v="17.14"/>
    <n v="562602916.05999994"/>
    <n v="-0.14883418636790335"/>
  </r>
  <r>
    <x v="34"/>
    <x v="2"/>
    <n v="562602916.05999994"/>
    <n v="457066306"/>
    <n v="1.2309000000100641"/>
    <n v="0.16521896199328401"/>
    <n v="0.13422614509052982"/>
    <n v="17.14"/>
    <n v="9.6393793461659275E-3"/>
    <n v="0"/>
    <n v="17.14"/>
    <n v="2228426774.9000001"/>
    <n v="-0.74753358629643707"/>
  </r>
  <r>
    <x v="34"/>
    <x v="3"/>
    <n v="2228426774.9000001"/>
    <n v="457066306"/>
    <n v="4.875499999993437"/>
    <n v="0.24224801190112999"/>
    <n v="4.968680379478127E-2"/>
    <n v="17.14"/>
    <n v="1.4133489609167443E-2"/>
    <n v="0"/>
    <n v="17.14"/>
    <n v="0"/>
    <s v=""/>
  </r>
  <r>
    <x v="35"/>
    <x v="0"/>
    <n v="1216399447.4000001"/>
    <n v="312653445"/>
    <n v="3.8905678694824557"/>
    <n v="0.51"/>
    <n v="0.13108626223961567"/>
    <n v="18"/>
    <n v="2.8333333333333335E-2"/>
    <n v="0"/>
    <n v="18"/>
    <n v="335408130.56999999"/>
    <n v="2.6266248088047957"/>
  </r>
  <r>
    <x v="35"/>
    <x v="1"/>
    <n v="335408130.56999999"/>
    <n v="312653445"/>
    <n v="1.072779257461884"/>
    <n v="0.19"/>
    <n v="0.17711006125297937"/>
    <n v="18"/>
    <n v="1.0555555555555556E-2"/>
    <n v="0"/>
    <n v="18"/>
    <n v="813367859.21000004"/>
    <n v="-0.58763045924168689"/>
  </r>
  <r>
    <x v="35"/>
    <x v="2"/>
    <n v="813367859.21000004"/>
    <n v="312653445"/>
    <n v="2.6014997506584328"/>
    <n v="0.11"/>
    <n v="4.2283302149907678E-2"/>
    <n v="18"/>
    <n v="6.1111111111111114E-3"/>
    <n v="0"/>
    <n v="18"/>
    <n v="0"/>
    <s v=""/>
  </r>
  <r>
    <x v="36"/>
    <x v="0"/>
    <n v="818590368.54999995"/>
    <n v="408974477"/>
    <n v="2.0015683486038176"/>
    <n v="0.79800700000000002"/>
    <n v="0.39869085687563216"/>
    <n v="12.2"/>
    <n v="6.5410409836065581E-2"/>
    <n v="12.2"/>
    <n v="0"/>
    <n v="904348943.24000001"/>
    <n v="-9.4829076023192793E-2"/>
  </r>
  <r>
    <x v="36"/>
    <x v="1"/>
    <n v="904348943.24000001"/>
    <n v="408974477"/>
    <n v="2.2112601008106432"/>
    <n v="0.840279"/>
    <n v="0.38000007312208794"/>
    <n v="12.2"/>
    <n v="6.8875327868852462E-2"/>
    <n v="12.2"/>
    <n v="0"/>
    <n v="0"/>
    <s v=""/>
  </r>
  <r>
    <x v="37"/>
    <x v="0"/>
    <n v="818590368.54999995"/>
    <n v="408974477"/>
    <n v="2.0015683486038176"/>
    <n v="0.82645999999999997"/>
    <n v="0.41290620956136337"/>
    <n v="15.72"/>
    <n v="5.2573791348600504E-2"/>
    <n v="15.72"/>
    <n v="0"/>
    <n v="904348943.24000001"/>
    <n v="-9.4829076023192793E-2"/>
  </r>
  <r>
    <x v="37"/>
    <x v="1"/>
    <n v="904348943.24000001"/>
    <n v="408974477"/>
    <n v="2.2112601008106432"/>
    <n v="0.82327300000000003"/>
    <n v="0.37230943555585794"/>
    <n v="15.72"/>
    <n v="5.2371055979643769E-2"/>
    <n v="15.72"/>
    <n v="0"/>
    <n v="0"/>
    <s v=""/>
  </r>
  <r>
    <x v="38"/>
    <x v="0"/>
    <n v="818590368.54999995"/>
    <n v="408974477"/>
    <n v="2.0015683486038176"/>
    <n v="0.79800700000000002"/>
    <n v="0.39869085687563216"/>
    <n v="11.85"/>
    <n v="6.7342362869198313E-2"/>
    <n v="11.85"/>
    <n v="0"/>
    <n v="904348943.24000001"/>
    <n v="-9.4829076023192793E-2"/>
  </r>
  <r>
    <x v="38"/>
    <x v="1"/>
    <n v="904348943.24000001"/>
    <n v="408974477"/>
    <n v="2.2112601008106432"/>
    <n v="0.84058699999999997"/>
    <n v="0.3801393602190184"/>
    <n v="11.85"/>
    <n v="7.0935611814345989E-2"/>
    <n v="11.85"/>
    <n v="0"/>
    <n v="0"/>
    <s v=""/>
  </r>
  <r>
    <x v="39"/>
    <x v="0"/>
    <n v="215388793.88999999"/>
    <n v="36304650"/>
    <n v="5.9328156004809296"/>
    <n v="1.375"/>
    <n v="0.23176179618468826"/>
    <n v="27.5"/>
    <n v="0.05"/>
    <n v="27.5"/>
    <n v="0"/>
    <n v="96039575.989999995"/>
    <n v="1.2427087132540766"/>
  </r>
  <r>
    <x v="39"/>
    <x v="1"/>
    <n v="96039575.989999995"/>
    <n v="36304650"/>
    <n v="2.6453794759073559"/>
    <n v="0.59060447900000002"/>
    <n v="0.22325888757318069"/>
    <n v="27.5"/>
    <n v="2.1476526509090911E-2"/>
    <n v="27.5"/>
    <n v="0"/>
    <n v="196040834.49000001"/>
    <n v="-0.51010422782658094"/>
  </r>
  <r>
    <x v="39"/>
    <x v="2"/>
    <n v="196040834.49000001"/>
    <n v="36304650"/>
    <n v="5.3998822324412989"/>
    <n v="0.52209249599999996"/>
    <n v="9.6685904159795125E-2"/>
    <n v="27.5"/>
    <n v="1.898518167272727E-2"/>
    <n v="27.5"/>
    <n v="0"/>
    <n v="190454809.5"/>
    <n v="2.9329923485077458E-2"/>
  </r>
  <r>
    <x v="39"/>
    <x v="3"/>
    <n v="190454809.5"/>
    <n v="36304650"/>
    <n v="5.2460169565055716"/>
    <n v="0.18859646699999999"/>
    <n v="3.5950411247932017E-2"/>
    <n v="27.5"/>
    <n v="6.8580533454545454E-3"/>
    <n v="27.5"/>
    <n v="0"/>
    <n v="0"/>
    <s v=""/>
  </r>
  <r>
    <x v="40"/>
    <x v="0"/>
    <n v="215388793.88999999"/>
    <n v="36304650"/>
    <n v="5.9328156004809296"/>
    <n v="1.5129999999999999"/>
    <n v="0.2550222528199515"/>
    <n v="29.99"/>
    <n v="5.0450150050016671E-2"/>
    <n v="29.99"/>
    <n v="0"/>
    <n v="96039575.989999995"/>
    <n v="1.2427087132540766"/>
  </r>
  <r>
    <x v="40"/>
    <x v="1"/>
    <n v="96039575.989999995"/>
    <n v="36304650"/>
    <n v="2.6453794759073559"/>
    <n v="0.649664927"/>
    <n v="0.24558477636830051"/>
    <n v="29.99"/>
    <n v="2.1662718472824277E-2"/>
    <n v="29.99"/>
    <n v="0"/>
    <n v="196040834.49000001"/>
    <n v="-0.51010422782658094"/>
  </r>
  <r>
    <x v="40"/>
    <x v="2"/>
    <n v="196040834.49000001"/>
    <n v="36304650"/>
    <n v="5.3998822324412989"/>
    <n v="1.954906128"/>
    <n v="0.3620275487223325"/>
    <n v="29.99"/>
    <n v="6.5185266022007332E-2"/>
    <n v="29.99"/>
    <n v="0"/>
    <n v="190454809.5"/>
    <n v="2.9329923485077458E-2"/>
  </r>
  <r>
    <x v="40"/>
    <x v="3"/>
    <n v="190454809.5"/>
    <n v="36304650"/>
    <n v="5.2460169565055716"/>
    <n v="1.4895923250000001"/>
    <n v="0.28394729512888067"/>
    <n v="29.99"/>
    <n v="4.9669634044681568E-2"/>
    <n v="29.99"/>
    <n v="0"/>
    <n v="0"/>
    <s v=""/>
  </r>
  <r>
    <x v="41"/>
    <x v="0"/>
    <n v="21418024.760000002"/>
    <n v="715094432"/>
    <n v="2.995132363161793E-2"/>
    <n v="7.6962999999999997E-3"/>
    <n v="0.25696026308084252"/>
    <n v="4.12"/>
    <n v="1.8680339805825241E-3"/>
    <n v="4.12"/>
    <n v="0"/>
    <n v="7903625"/>
    <n v="1.7098989084122795"/>
  </r>
  <r>
    <x v="41"/>
    <x v="1"/>
    <n v="7903625"/>
    <n v="715094432"/>
    <n v="1.1052561237115044E-2"/>
    <n v="3.2377399999999998E-3"/>
    <n v="0.29294024530056523"/>
    <n v="4.12"/>
    <n v="7.8585922330097078E-4"/>
    <n v="4.12"/>
    <n v="0"/>
    <n v="-11477601"/>
    <n v="-1.688612977572578"/>
  </r>
  <r>
    <x v="41"/>
    <x v="2"/>
    <n v="-11477601"/>
    <n v="715094432"/>
    <n v="-1.6050468981976356E-2"/>
    <n v="0"/>
    <s v=""/>
    <n v="4.12"/>
    <s v=""/>
    <n v="4.12"/>
    <n v="0"/>
    <n v="32515448"/>
    <n v="0"/>
  </r>
  <r>
    <x v="41"/>
    <x v="3"/>
    <n v="32515448"/>
    <n v="715094432"/>
    <n v="4.5470145682801236E-2"/>
    <n v="1.1338000000000001E-2"/>
    <n v="0.24935042168313351"/>
    <n v="4.12"/>
    <n v="2.7519417475728157E-3"/>
    <n v="4.12"/>
    <n v="0"/>
    <n v="0"/>
    <s v=""/>
  </r>
  <r>
    <x v="42"/>
    <x v="0"/>
    <n v="153035960.99000001"/>
    <n v="83000000"/>
    <n v="1.8438067589156628"/>
    <n v="0.87951522900000001"/>
    <n v="0.47701052442027075"/>
    <n v="20.6"/>
    <n v="4.2694914029126209E-2"/>
    <n v="0"/>
    <n v="20.6"/>
    <n v="113733898.18000001"/>
    <n v="0.34556155586788129"/>
  </r>
  <r>
    <x v="42"/>
    <x v="1"/>
    <n v="113733898.18000001"/>
    <n v="83000000"/>
    <n v="1.3702879298795181"/>
    <n v="0"/>
    <s v=""/>
    <n v="20.6"/>
    <s v=""/>
    <n v="0"/>
    <n v="20.6"/>
    <n v="93892304.709999993"/>
    <n v="0.21132289308781638"/>
  </r>
  <r>
    <x v="42"/>
    <x v="2"/>
    <n v="93892304.709999993"/>
    <n v="83000000"/>
    <n v="1.1312325868674697"/>
    <n v="0"/>
    <s v=""/>
    <n v="20.6"/>
    <s v=""/>
    <n v="0"/>
    <n v="20.6"/>
    <n v="0"/>
    <s v=""/>
  </r>
  <r>
    <x v="43"/>
    <x v="0"/>
    <n v="55498182.030000001"/>
    <n v="9183458"/>
    <n v="6.0432771653118031"/>
    <n v="2.4664000000000001"/>
    <n v="0.40812293272879302"/>
    <n v="16.510000000000002"/>
    <n v="0.14938824954572985"/>
    <n v="16.510000000000002"/>
    <n v="0"/>
    <n v="26190000"/>
    <n v="1.1190600240549831"/>
  </r>
  <r>
    <x v="43"/>
    <x v="1"/>
    <n v="26190000"/>
    <n v="9183458"/>
    <n v="2.8518669111352173"/>
    <n v="0"/>
    <s v=""/>
    <n v="16.510000000000002"/>
    <s v=""/>
    <n v="16.510000000000002"/>
    <n v="0"/>
    <n v="2049000"/>
    <n v="11.781844802342606"/>
  </r>
  <r>
    <x v="43"/>
    <x v="2"/>
    <n v="2049000"/>
    <n v="9183458"/>
    <n v="0.22311856819076212"/>
    <n v="0"/>
    <s v=""/>
    <n v="16.510000000000002"/>
    <s v=""/>
    <n v="16.510000000000002"/>
    <n v="0"/>
    <n v="48919970.259999998"/>
    <n v="-0.9581152648067861"/>
  </r>
  <r>
    <x v="43"/>
    <x v="3"/>
    <n v="48919970.259999998"/>
    <n v="9183458"/>
    <n v="5.3269661885533743"/>
    <n v="2.8779460000000001"/>
    <n v="0.540259858638516"/>
    <n v="16.510000000000002"/>
    <n v="0.1743153240460327"/>
    <n v="16.510000000000002"/>
    <n v="0"/>
    <n v="0"/>
    <s v=""/>
  </r>
  <r>
    <x v="44"/>
    <x v="0"/>
    <n v="55498182.030000001"/>
    <n v="9183458"/>
    <n v="6.0432771653118031"/>
    <n v="4.5993199999999996"/>
    <n v="0.76106388540309444"/>
    <n v="24"/>
    <n v="0.19163833333333333"/>
    <n v="24"/>
    <n v="0"/>
    <n v="26190000"/>
    <n v="1.1190600240549831"/>
  </r>
  <r>
    <x v="44"/>
    <x v="1"/>
    <n v="26190000"/>
    <n v="9183458"/>
    <n v="2.8518669111352173"/>
    <n v="0"/>
    <s v=""/>
    <n v="24"/>
    <s v=""/>
    <n v="24"/>
    <n v="0"/>
    <n v="2049000"/>
    <n v="11.781844802342606"/>
  </r>
  <r>
    <x v="44"/>
    <x v="2"/>
    <n v="2049000"/>
    <n v="9183458"/>
    <n v="0.22311856819076212"/>
    <n v="0"/>
    <s v=""/>
    <n v="24"/>
    <s v=""/>
    <n v="24"/>
    <n v="0"/>
    <n v="48919970.259999998"/>
    <n v="-0.9581152648067861"/>
  </r>
  <r>
    <x v="44"/>
    <x v="3"/>
    <n v="48919970.259999998"/>
    <n v="9183458"/>
    <n v="5.3269661885533743"/>
    <n v="0"/>
    <s v=""/>
    <n v="24"/>
    <s v=""/>
    <n v="24"/>
    <n v="0"/>
    <n v="0"/>
    <s v=""/>
  </r>
  <r>
    <x v="45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  <n v="26190000"/>
    <n v="1.1190600240549831"/>
  </r>
  <r>
    <x v="45"/>
    <x v="1"/>
    <n v="26190000"/>
    <n v="9183458"/>
    <n v="2.8518669111352173"/>
    <n v="0"/>
    <s v=""/>
    <n v="17.079999999999998"/>
    <s v=""/>
    <n v="17.079999999999998"/>
    <n v="0"/>
    <n v="2049000"/>
    <n v="11.781844802342606"/>
  </r>
  <r>
    <x v="45"/>
    <x v="2"/>
    <n v="2049000"/>
    <n v="9183458"/>
    <n v="0.22311856819076212"/>
    <n v="0"/>
    <s v=""/>
    <n v="17.079999999999998"/>
    <s v=""/>
    <n v="17.079999999999998"/>
    <n v="0"/>
    <n v="48919970.259999998"/>
    <n v="-0.9581152648067861"/>
  </r>
  <r>
    <x v="45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6"/>
    <x v="0"/>
    <n v="805497405.55999994"/>
    <n v="188177338"/>
    <n v="4.2805229052607805"/>
    <n v="2.3192654978"/>
    <n v="0.54181826592952298"/>
    <n v="31.98"/>
    <n v="7.2522373289555978E-2"/>
    <n v="31.98"/>
    <n v="0"/>
    <n v="750490000"/>
    <n v="7.3295321136857217E-2"/>
  </r>
  <r>
    <x v="46"/>
    <x v="1"/>
    <n v="750490000"/>
    <n v="188177338"/>
    <n v="3.988206061242082"/>
    <n v="4.4176596381"/>
    <n v="1.1076808896690182"/>
    <n v="31.98"/>
    <n v="0.13813820006566604"/>
    <n v="31.98"/>
    <n v="0"/>
    <n v="945719000"/>
    <n v="-0.20643446943542432"/>
  </r>
  <r>
    <x v="46"/>
    <x v="2"/>
    <n v="945719000"/>
    <n v="188177338"/>
    <n v="5.0256795534008454"/>
    <n v="3.6718683019"/>
    <n v="0.73062125487393448"/>
    <n v="31.98"/>
    <n v="0.11481764546278925"/>
    <n v="31.98"/>
    <n v="0"/>
    <n v="887625000"/>
    <n v="6.5448810026756732E-2"/>
  </r>
  <r>
    <x v="46"/>
    <x v="3"/>
    <n v="887625000"/>
    <n v="188177338"/>
    <n v="4.7169601261975549"/>
    <n v="3.24332932"/>
    <n v="0.68758887784250122"/>
    <n v="31.98"/>
    <n v="0.10141742714196372"/>
    <n v="31.98"/>
    <n v="0"/>
    <n v="0"/>
    <s v=""/>
  </r>
  <r>
    <x v="47"/>
    <x v="0"/>
    <n v="805497405.55999994"/>
    <n v="188177338"/>
    <n v="4.2805229052607805"/>
    <n v="2.3192654978"/>
    <n v="0.54181826592952298"/>
    <n v="32.01"/>
    <n v="7.2454404804748518E-2"/>
    <n v="32.01"/>
    <n v="0"/>
    <n v="750490000"/>
    <n v="7.3295321136857217E-2"/>
  </r>
  <r>
    <x v="47"/>
    <x v="1"/>
    <n v="750490000"/>
    <n v="188177338"/>
    <n v="3.988206061242082"/>
    <n v="4.4176596381"/>
    <n v="1.1076808896690182"/>
    <n v="32.01"/>
    <n v="0.13800873596063731"/>
    <n v="32.01"/>
    <n v="0"/>
    <n v="945719000"/>
    <n v="-0.20643446943542432"/>
  </r>
  <r>
    <x v="47"/>
    <x v="2"/>
    <n v="945719000"/>
    <n v="188177338"/>
    <n v="5.0256795534008454"/>
    <n v="3.6718683019"/>
    <n v="0.73062125487393448"/>
    <n v="32.01"/>
    <n v="0.11471003754764136"/>
    <n v="32.01"/>
    <n v="0"/>
    <n v="887625000"/>
    <n v="6.5448810026756732E-2"/>
  </r>
  <r>
    <x v="47"/>
    <x v="3"/>
    <n v="887625000"/>
    <n v="188177338"/>
    <n v="4.7169601261975549"/>
    <n v="3.24332932"/>
    <n v="0.68758887784250122"/>
    <n v="32.01"/>
    <n v="0.10132237800687285"/>
    <n v="32.01"/>
    <n v="0"/>
    <n v="0"/>
    <s v=""/>
  </r>
  <r>
    <x v="48"/>
    <x v="0"/>
    <n v="15128479.970000001"/>
    <n v="74612388"/>
    <n v="0.20276096738788202"/>
    <n v="0.20233950000000001"/>
    <n v="0.99792135836935647"/>
    <n v="18"/>
    <n v="1.1241083333333334E-2"/>
    <n v="18"/>
    <n v="0"/>
    <n v="283416000"/>
    <n v="-0.94662093893781574"/>
  </r>
  <r>
    <x v="48"/>
    <x v="1"/>
    <n v="283416000"/>
    <n v="74612388"/>
    <n v="3.7985113142337705"/>
    <n v="3.2507519999999999"/>
    <n v="0.85579631889440255"/>
    <n v="18"/>
    <n v="0.18059733333333333"/>
    <n v="18"/>
    <n v="0"/>
    <n v="1035240000"/>
    <n v="-0.72623159846992003"/>
  </r>
  <r>
    <x v="48"/>
    <x v="2"/>
    <n v="448291000"/>
    <n v="74612388"/>
    <n v="6.0082650082182063"/>
    <n v="3.3315596300000001"/>
    <n v="0.55449611916968322"/>
    <n v="18"/>
    <n v="0.18508664611111111"/>
    <n v="18"/>
    <n v="0"/>
    <n v="0"/>
    <s v=""/>
  </r>
  <r>
    <x v="48"/>
    <x v="2"/>
    <n v="586949000"/>
    <n v="74612388"/>
    <n v="7.866642734983901"/>
    <n v="4.429843"/>
    <n v="0.56311734868801888"/>
    <n v="18"/>
    <n v="0.24610238888888888"/>
    <n v="18"/>
    <n v="0"/>
    <n v="0"/>
    <s v=""/>
  </r>
  <r>
    <x v="49"/>
    <x v="0"/>
    <n v="15128479.970000001"/>
    <n v="74612388"/>
    <n v="0.20276096738788202"/>
    <n v="0.22263450000000001"/>
    <n v="1.0980145876602565"/>
    <n v="21.51"/>
    <n v="1.0350278940027893E-2"/>
    <n v="21.51"/>
    <n v="0"/>
    <n v="283416000"/>
    <n v="-0.94662093893781574"/>
  </r>
  <r>
    <x v="49"/>
    <x v="1"/>
    <n v="283416000"/>
    <n v="74612388"/>
    <n v="3.7985113142337705"/>
    <n v="3.5758272"/>
    <n v="0.94137595078384284"/>
    <n v="21.51"/>
    <n v="0.1662402231520223"/>
    <n v="21.51"/>
    <n v="0"/>
    <n v="1035240000"/>
    <n v="-0.72623159846992003"/>
  </r>
  <r>
    <x v="49"/>
    <x v="2"/>
    <n v="448291000"/>
    <n v="74612388"/>
    <n v="6.0082650082182063"/>
    <n v="3.6647560000000001"/>
    <n v="0.60995245632262973"/>
    <n v="21.51"/>
    <n v="0.17037452347745233"/>
    <n v="21.51"/>
    <n v="0"/>
    <n v="0"/>
    <s v=""/>
  </r>
  <r>
    <x v="49"/>
    <x v="2"/>
    <n v="586949000"/>
    <n v="74612388"/>
    <n v="7.866642734983901"/>
    <n v="4.8728273"/>
    <n v="0.6194290835568208"/>
    <n v="21.51"/>
    <n v="0.22653776383077637"/>
    <n v="21.51"/>
    <n v="0"/>
    <n v="0"/>
    <s v=""/>
  </r>
  <r>
    <x v="50"/>
    <x v="0"/>
    <n v="147982000"/>
    <n v="327502673"/>
    <n v="0.4518497471927504"/>
    <n v="1.1599999999999999"/>
    <n v="2.5672250725088186"/>
    <n v="19.399999999999999"/>
    <n v="5.9793814432989693E-2"/>
    <n v="19.399999999999999"/>
    <n v="0"/>
    <n v="108581000"/>
    <n v="0.36287195734060296"/>
  </r>
  <r>
    <x v="50"/>
    <x v="1"/>
    <n v="108581000"/>
    <n v="327502673"/>
    <n v="0.33154233217510259"/>
    <n v="1.6978355000000001"/>
    <n v="5.121021767752107"/>
    <n v="19.399999999999999"/>
    <n v="8.7517293814433003E-2"/>
    <n v="19.399999999999999"/>
    <n v="0"/>
    <n v="93042000"/>
    <n v="0.16701059736463097"/>
  </r>
  <r>
    <x v="50"/>
    <x v="2"/>
    <n v="93042000"/>
    <n v="327502673"/>
    <n v="0.28409539118479193"/>
    <n v="0.70331069999999996"/>
    <n v="2.475614606301467"/>
    <n v="19.399999999999999"/>
    <n v="3.6253128865979381E-2"/>
    <n v="19.399999999999999"/>
    <n v="0"/>
    <n v="0"/>
    <s v=""/>
  </r>
  <r>
    <x v="51"/>
    <x v="0"/>
    <n v="147982000"/>
    <n v="0"/>
    <e v="#DIV/0!"/>
    <n v="1.82"/>
    <e v="#DIV/0!"/>
    <n v="21.64"/>
    <n v="8.4103512014787427E-2"/>
    <n v="21.64"/>
    <n v="0"/>
    <n v="108581000"/>
    <n v="0.36287195734060296"/>
  </r>
  <r>
    <x v="51"/>
    <x v="1"/>
    <n v="108581000"/>
    <n v="0"/>
    <e v="#DIV/0!"/>
    <n v="1.8245449413999999"/>
    <e v="#DIV/0!"/>
    <n v="21.64"/>
    <n v="8.4313537033271713E-2"/>
    <n v="21.64"/>
    <n v="0"/>
    <n v="93042000"/>
    <n v="0.16701059736463097"/>
  </r>
  <r>
    <x v="51"/>
    <x v="2"/>
    <n v="93042000"/>
    <n v="0"/>
    <e v="#DIV/0!"/>
    <n v="1.8245449413999999"/>
    <e v="#DIV/0!"/>
    <n v="21.64"/>
    <n v="8.4313537033271713E-2"/>
    <n v="21.64"/>
    <n v="0"/>
    <n v="0"/>
    <s v=""/>
  </r>
  <r>
    <x v="52"/>
    <x v="0"/>
    <n v="147982000"/>
    <n v="327502673"/>
    <n v="0.4518497471927504"/>
    <n v="1.1599999999999999"/>
    <n v="2.5672250725088186"/>
    <n v="21.47"/>
    <n v="5.4028877503493243E-2"/>
    <n v="21.47"/>
    <n v="0"/>
    <n v="108581000"/>
    <n v="0.36287195734060296"/>
  </r>
  <r>
    <x v="52"/>
    <x v="1"/>
    <n v="108581000"/>
    <n v="327502673"/>
    <n v="0.33154233217510259"/>
    <n v="1.4108145000000001"/>
    <n v="4.2553072808056518"/>
    <n v="21.47"/>
    <n v="6.5710968793665586E-2"/>
    <n v="21.47"/>
    <n v="0"/>
    <n v="93042000"/>
    <n v="0.16701059736463097"/>
  </r>
  <r>
    <x v="52"/>
    <x v="2"/>
    <n v="93042000"/>
    <n v="327502673"/>
    <n v="0.28409539118479193"/>
    <n v="0.70331069999999996"/>
    <n v="2.475614606301467"/>
    <n v="21.47"/>
    <n v="3.2757834187238009E-2"/>
    <n v="21.47"/>
    <n v="0"/>
    <n v="0"/>
    <s v=""/>
  </r>
  <r>
    <x v="53"/>
    <x v="0"/>
    <n v="11833190.779999999"/>
    <n v="24948000"/>
    <n v="0.47431420474587138"/>
    <n v="5.0590000000000003E-2"/>
    <n v="0.10665925560273948"/>
    <n v="7.08"/>
    <n v="7.1454802259887009E-3"/>
    <n v="0"/>
    <n v="7.08"/>
    <n v="-9978849.7799999993"/>
    <n v="-2.1858271284648998"/>
  </r>
  <r>
    <x v="53"/>
    <x v="1"/>
    <n v="-9978849.7799999993"/>
    <n v="24948000"/>
    <n v="-0.39998596200096198"/>
    <n v="0"/>
    <s v=""/>
    <n v="7.08"/>
    <s v=""/>
    <n v="0"/>
    <n v="7.08"/>
    <n v="9148149.2799999993"/>
    <n v="0"/>
  </r>
  <r>
    <x v="53"/>
    <x v="2"/>
    <n v="9148149.2799999993"/>
    <n v="24948000"/>
    <n v="0.36668868366201696"/>
    <n v="9.9110000000000004E-2"/>
    <n v="0.27028377044586227"/>
    <n v="7.08"/>
    <n v="1.399858757062147E-2"/>
    <n v="0"/>
    <n v="7.08"/>
    <n v="8891946.6600000001"/>
    <n v="2.8812883139809564E-2"/>
  </r>
  <r>
    <x v="53"/>
    <x v="3"/>
    <n v="8891946.6600000001"/>
    <n v="24948000"/>
    <n v="0.35641921837421836"/>
    <n v="8.3030000000000007E-2"/>
    <n v="0.23295601280631167"/>
    <n v="7.08"/>
    <n v="1.1727401129943504E-2"/>
    <n v="0"/>
    <n v="7.08"/>
    <n v="0"/>
    <s v=""/>
  </r>
  <r>
    <x v="54"/>
    <x v="0"/>
    <n v="11833190.779999999"/>
    <n v="24948000"/>
    <n v="0.47431420474587138"/>
    <n v="5.5649999999999998E-2"/>
    <n v="0.11732728947010183"/>
    <n v="13.08"/>
    <n v="4.2545871559633028E-3"/>
    <n v="0"/>
    <n v="13.08"/>
    <n v="-9978849.7799999993"/>
    <n v="-2.1858271284648998"/>
  </r>
  <r>
    <x v="54"/>
    <x v="1"/>
    <n v="-9978849.7799999993"/>
    <n v="24948000"/>
    <n v="-0.39998596200096198"/>
    <n v="0"/>
    <s v=""/>
    <n v="13.08"/>
    <s v=""/>
    <n v="0"/>
    <n v="13.08"/>
    <n v="9148149.2799999993"/>
    <n v="0"/>
  </r>
  <r>
    <x v="54"/>
    <x v="2"/>
    <n v="9148149.2799999993"/>
    <n v="24948000"/>
    <n v="0.36668868366201696"/>
    <n v="0.10902000000000001"/>
    <n v="0.29730942038147418"/>
    <n v="13.08"/>
    <n v="8.3348623853211016E-3"/>
    <n v="0"/>
    <n v="13.08"/>
    <n v="8891946.6600000001"/>
    <n v="2.8812883139809564E-2"/>
  </r>
  <r>
    <x v="54"/>
    <x v="3"/>
    <n v="8891946.6600000001"/>
    <n v="24948000"/>
    <n v="0.35641921837421836"/>
    <n v="9.1329999999999995E-2"/>
    <n v="0.25624319703240322"/>
    <n v="13.08"/>
    <n v="6.9824159021406726E-3"/>
    <n v="0"/>
    <n v="13.08"/>
    <n v="0"/>
    <s v=""/>
  </r>
  <r>
    <x v="55"/>
    <x v="0"/>
    <n v="-258366398.66"/>
    <n v="38571591"/>
    <n v="-6.6983599058695811"/>
    <n v="0"/>
    <s v=""/>
    <n v="15.9"/>
    <s v=""/>
    <n v="15.9"/>
    <n v="0"/>
    <n v="323886563.73000002"/>
    <n v="0"/>
  </r>
  <r>
    <x v="55"/>
    <x v="1"/>
    <n v="323886563.73000002"/>
    <n v="38571591"/>
    <n v="8.3970236988668692"/>
    <n v="2.2201449599999998"/>
    <n v="0.26439665286398989"/>
    <n v="15.9"/>
    <n v="0.13963175849056603"/>
    <n v="15.9"/>
    <n v="0"/>
    <n v="259841000"/>
    <n v="0.24647982316108696"/>
  </r>
  <r>
    <x v="55"/>
    <x v="2"/>
    <n v="259841000"/>
    <n v="38571591"/>
    <n v="6.7365901499888867"/>
    <n v="2.09736089"/>
    <n v="0.31133865105382136"/>
    <n v="15.9"/>
    <n v="0.13190948993710691"/>
    <n v="15.9"/>
    <n v="0"/>
    <n v="120919000"/>
    <n v="1.1488847906449773"/>
  </r>
  <r>
    <x v="55"/>
    <x v="3"/>
    <n v="120919000"/>
    <n v="38571591"/>
    <n v="3.1349238355244409"/>
    <n v="0.97620123000000003"/>
    <n v="0.31139551747249755"/>
    <n v="15.9"/>
    <n v="6.1396303773584904E-2"/>
    <n v="15.9"/>
    <n v="0"/>
    <n v="245522000"/>
    <n v="-0.50750238267853798"/>
  </r>
  <r>
    <x v="55"/>
    <x v="4"/>
    <n v="245522000"/>
    <n v="38571591"/>
    <n v="6.3653583799537854"/>
    <n v="1.9821435199999999"/>
    <n v="0.31139543159773997"/>
    <n v="15.9"/>
    <n v="0.1246631144654088"/>
    <n v="15.9"/>
    <n v="0"/>
    <n v="0"/>
    <s v=""/>
  </r>
  <r>
    <x v="56"/>
    <x v="0"/>
    <n v="4271685000"/>
    <n v="0"/>
    <e v="#DIV/0!"/>
    <n v="1.4286055"/>
    <e v="#DIV/0!"/>
    <n v="13.81"/>
    <n v="0.10344717595944967"/>
    <n v="13.81"/>
    <n v="0"/>
    <n v="2415450000"/>
    <n v="0.76848413339129351"/>
  </r>
  <r>
    <x v="56"/>
    <x v="1"/>
    <n v="2415450000"/>
    <n v="0"/>
    <e v="#DIV/0!"/>
    <n v="1.9"/>
    <e v="#DIV/0!"/>
    <n v="13.81"/>
    <n v="0.13758146270818247"/>
    <n v="13.81"/>
    <n v="0"/>
    <n v="2257976000"/>
    <n v="6.9741219570092827E-2"/>
  </r>
  <r>
    <x v="56"/>
    <x v="2"/>
    <n v="2257976000"/>
    <n v="0"/>
    <e v="#DIV/0!"/>
    <n v="1.75"/>
    <e v="#DIV/0!"/>
    <n v="13.81"/>
    <n v="0.12671976828385229"/>
    <n v="13.81"/>
    <n v="0"/>
    <n v="1861403000"/>
    <n v="0.21305058603644667"/>
  </r>
  <r>
    <x v="56"/>
    <x v="3"/>
    <n v="1861403000"/>
    <n v="0"/>
    <e v="#DIV/0!"/>
    <n v="1.5"/>
    <e v="#DIV/0!"/>
    <n v="13.81"/>
    <n v="0.10861694424330195"/>
    <n v="13.81"/>
    <n v="0"/>
    <n v="0"/>
    <s v=""/>
  </r>
  <r>
    <x v="57"/>
    <x v="0"/>
    <n v="4271685000"/>
    <n v="962672385"/>
    <n v="4.4373195560190499"/>
    <n v="1.4286055"/>
    <n v="0.32195235929360838"/>
    <n v="13.3"/>
    <n v="0.10741394736842104"/>
    <n v="13.3"/>
    <n v="0"/>
    <n v="2415450000"/>
    <n v="0.76848413339129351"/>
  </r>
  <r>
    <x v="57"/>
    <x v="1"/>
    <n v="2415450000"/>
    <n v="962672385"/>
    <n v="2.5091090568677732"/>
    <n v="1.9"/>
    <n v="0.75724089983232934"/>
    <n v="13.3"/>
    <n v="0.14285714285714285"/>
    <n v="13.3"/>
    <n v="0"/>
    <n v="2257976000"/>
    <n v="6.9741219570092827E-2"/>
  </r>
  <r>
    <x v="57"/>
    <x v="2"/>
    <n v="2257976000"/>
    <n v="962672385"/>
    <n v="2.3455290036184011"/>
    <n v="1.75"/>
    <n v="0.74610034550854398"/>
    <n v="13.3"/>
    <n v="0.13157894736842105"/>
    <n v="13.3"/>
    <n v="0"/>
    <n v="1861403000"/>
    <n v="0.21305058603644667"/>
  </r>
  <r>
    <x v="57"/>
    <x v="3"/>
    <n v="1861403000"/>
    <n v="962672385"/>
    <n v="1.9335788883151561"/>
    <n v="1.5"/>
    <n v="0.77576353830954392"/>
    <n v="13.3"/>
    <n v="0.11278195488721804"/>
    <n v="13.3"/>
    <n v="0"/>
    <n v="0"/>
    <s v=""/>
  </r>
  <r>
    <x v="58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58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58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59"/>
    <x v="0"/>
    <n v="400000153.68000001"/>
    <n v="77855299"/>
    <n v="5.1377383276120998"/>
    <n v="2.7486247275000002"/>
    <n v="0.53498729445364657"/>
    <n v="48.1"/>
    <n v="5.7143965228690231E-2"/>
    <n v="48.1"/>
    <n v="0"/>
    <n v="471181647.69999999"/>
    <n v="-0.15107017509587095"/>
  </r>
  <r>
    <x v="59"/>
    <x v="1"/>
    <n v="471181647.69999999"/>
    <n v="77855299"/>
    <n v="6.0520177014540781"/>
    <n v="3.5452297189999999"/>
    <n v="0.58579301877260059"/>
    <n v="48.1"/>
    <n v="7.370539956340956E-2"/>
    <n v="48.1"/>
    <n v="0"/>
    <n v="458054165.95999998"/>
    <n v="2.8659234465179706E-2"/>
  </r>
  <r>
    <x v="59"/>
    <x v="2"/>
    <n v="458054165.95999998"/>
    <n v="77855299"/>
    <n v="5.8834038510339548"/>
    <n v="4.272592929"/>
    <n v="0.72621105692908205"/>
    <n v="48.1"/>
    <n v="8.8827295821205812E-2"/>
    <n v="48.1"/>
    <n v="0"/>
    <n v="0"/>
    <s v=""/>
  </r>
  <r>
    <x v="60"/>
    <x v="0"/>
    <n v="1225923257.8099999"/>
    <n v="962274260"/>
    <n v="1.2739852958448665"/>
    <n v="1.139118233"/>
    <n v="0.89413766133350314"/>
    <n v="18.73"/>
    <n v="6.0817844794447413E-2"/>
    <n v="18.73"/>
    <n v="0"/>
    <n v="1572292596.6700001"/>
    <n v="-0.2202957258678091"/>
  </r>
  <r>
    <x v="60"/>
    <x v="1"/>
    <n v="1572292596.6700001"/>
    <n v="962274260"/>
    <n v="1.6339339645954991"/>
    <n v="1.5653283019999999"/>
    <n v="0.9580119735056225"/>
    <n v="18.73"/>
    <n v="8.3573320982381197E-2"/>
    <n v="18.73"/>
    <n v="0"/>
    <n v="1595150826.9300001"/>
    <n v="-1.4329823784746787E-2"/>
  </r>
  <r>
    <x v="60"/>
    <x v="2"/>
    <n v="1595150826.9300001"/>
    <n v="962274260"/>
    <n v="1.6576883464907397"/>
    <n v="2.6197703689999998"/>
    <n v="1.580375692780823"/>
    <n v="18.73"/>
    <n v="0.13987028131340096"/>
    <n v="18.73"/>
    <n v="0"/>
    <n v="1649898817.26"/>
    <n v="-3.3182635054506138E-2"/>
  </r>
  <r>
    <x v="60"/>
    <x v="3"/>
    <n v="1649898817.26"/>
    <n v="962274260"/>
    <n v="1.7145827191304068"/>
    <n v="2.5560733889999998"/>
    <n v="1.4907845276175278"/>
    <n v="18.73"/>
    <n v="0.13646948152696209"/>
    <n v="18.73"/>
    <n v="0"/>
    <n v="0"/>
    <s v=""/>
  </r>
  <r>
    <x v="61"/>
    <x v="0"/>
    <n v="700688167.34000003"/>
    <n v="273655375"/>
    <n v="2.5604765385660708"/>
    <n v="0.93527000000000005"/>
    <n v="0.36527184917061339"/>
    <n v="22.2"/>
    <n v="4.2129279279279286E-2"/>
    <n v="22.2"/>
    <n v="0"/>
    <n v="1203117000"/>
    <n v="-0.41760596239600967"/>
  </r>
  <r>
    <x v="61"/>
    <x v="1"/>
    <n v="1203117000"/>
    <n v="273655375"/>
    <n v="4.396467637443628"/>
    <n v="1.4683299999999999"/>
    <n v="0.33397948559761848"/>
    <n v="22.2"/>
    <n v="6.6140990990990994E-2"/>
    <n v="22.2"/>
    <n v="0"/>
    <n v="1041534000"/>
    <n v="0.15513943855889489"/>
  </r>
  <r>
    <x v="61"/>
    <x v="2"/>
    <n v="1041534000"/>
    <n v="273655375"/>
    <n v="3.8060060029882474"/>
    <n v="0.98026999999999997"/>
    <n v="0.25755871095062666"/>
    <n v="22.2"/>
    <n v="4.4156306306306306E-2"/>
    <n v="22.2"/>
    <n v="0"/>
    <n v="900821000"/>
    <n v="0.15620528384662435"/>
  </r>
  <r>
    <x v="61"/>
    <x v="3"/>
    <n v="900821000"/>
    <n v="273655375"/>
    <n v="3.2918081729620696"/>
    <n v="0.86965000000000003"/>
    <n v="0.26418611119051399"/>
    <n v="22.2"/>
    <n v="3.9173423423423427E-2"/>
    <n v="22.2"/>
    <n v="0"/>
    <n v="0"/>
    <s v=""/>
  </r>
  <r>
    <x v="62"/>
    <x v="0"/>
    <n v="700688167.34000003"/>
    <n v="273655375"/>
    <n v="2.5604765385660708"/>
    <n v="2.5250699999999999"/>
    <n v="0.98617189494503266"/>
    <n v="30"/>
    <n v="8.4168999999999994E-2"/>
    <n v="30"/>
    <n v="0"/>
    <n v="1203117000"/>
    <n v="-0.41760596239600967"/>
  </r>
  <r>
    <x v="62"/>
    <x v="1"/>
    <n v="1203117000"/>
    <n v="273655375"/>
    <n v="4.396467637443628"/>
    <n v="2.5250699999999999"/>
    <n v="0.57434063166861571"/>
    <n v="30"/>
    <n v="8.4168999999999994E-2"/>
    <n v="30"/>
    <n v="0"/>
    <n v="1041534000"/>
    <n v="0.15513943855889489"/>
  </r>
  <r>
    <x v="62"/>
    <x v="2"/>
    <n v="1041534000"/>
    <n v="273655375"/>
    <n v="3.8060060029882474"/>
    <n v="2.5250699999999999"/>
    <n v="0.66344351480724584"/>
    <n v="30"/>
    <n v="8.4168999999999994E-2"/>
    <n v="30"/>
    <n v="0"/>
    <n v="900821000"/>
    <n v="0.15620528384662435"/>
  </r>
  <r>
    <x v="62"/>
    <x v="3"/>
    <n v="900821000"/>
    <n v="273655375"/>
    <n v="3.2918081729620696"/>
    <n v="1.6297900000000001"/>
    <n v="0.49510479176356903"/>
    <n v="30"/>
    <n v="5.4326333333333338E-2"/>
    <n v="30"/>
    <n v="0"/>
    <n v="0"/>
    <s v=""/>
  </r>
  <r>
    <x v="63"/>
    <x v="0"/>
    <n v="700688167.34000003"/>
    <n v="273655375"/>
    <n v="2.5604765385660708"/>
    <n v="1.0288900000000001"/>
    <n v="0.40183535545152993"/>
    <n v="30.83"/>
    <n v="3.3373013298735002E-2"/>
    <n v="30.83"/>
    <n v="0"/>
    <n v="1203117000"/>
    <n v="-0.41760596239600967"/>
  </r>
  <r>
    <x v="63"/>
    <x v="1"/>
    <n v="1203117000"/>
    <n v="273655375"/>
    <n v="4.396467637443628"/>
    <n v="1.6154599999999999"/>
    <n v="0.3674449883905721"/>
    <n v="30.83"/>
    <n v="5.2398962049951349E-2"/>
    <n v="30.83"/>
    <n v="0"/>
    <n v="1041534000"/>
    <n v="0.15513943855889489"/>
  </r>
  <r>
    <x v="63"/>
    <x v="2"/>
    <n v="1041534000"/>
    <n v="273655375"/>
    <n v="3.8060060029882474"/>
    <n v="1.0785400000000001"/>
    <n v="0.28337842850305417"/>
    <n v="30.83"/>
    <n v="3.4983457671099581E-2"/>
    <n v="30.83"/>
    <n v="0"/>
    <n v="900821000"/>
    <n v="0.15620528384662435"/>
  </r>
  <r>
    <x v="63"/>
    <x v="3"/>
    <n v="900821000"/>
    <n v="273655375"/>
    <n v="3.2918081729620696"/>
    <n v="0.95679000000000003"/>
    <n v="0.29065788458112102"/>
    <n v="30.83"/>
    <n v="3.1034382095361662E-2"/>
    <n v="30.83"/>
    <n v="0"/>
    <n v="0"/>
    <s v=""/>
  </r>
  <r>
    <x v="64"/>
    <x v="0"/>
    <n v="94365000"/>
    <n v="105765903"/>
    <n v="0.8922062528979684"/>
    <n v="0.23760000000000001"/>
    <n v="0.2663061363090129"/>
    <n v="3.85"/>
    <n v="6.1714285714285715E-2"/>
    <n v="0"/>
    <n v="3.85"/>
    <n v="76912864.659999996"/>
    <n v="0.22690788357901748"/>
  </r>
  <r>
    <x v="64"/>
    <x v="1"/>
    <n v="76912864.659999996"/>
    <n v="105765903"/>
    <n v="0.72719905450057942"/>
    <n v="0.17430000000000001"/>
    <n v="0.23968678028563242"/>
    <n v="3.85"/>
    <n v="4.5272727272727277E-2"/>
    <n v="0"/>
    <n v="3.85"/>
    <n v="61174998.299999997"/>
    <n v="0.25725977600885352"/>
  </r>
  <r>
    <x v="64"/>
    <x v="2"/>
    <n v="61174998.299999997"/>
    <n v="105765903"/>
    <n v="0.57840000004538317"/>
    <n v="0.1163"/>
    <n v="0.20107192252917483"/>
    <n v="3.85"/>
    <n v="3.0207792207792208E-2"/>
    <n v="0"/>
    <n v="3.85"/>
    <n v="67848826.769999996"/>
    <n v="-9.8363211093148828E-2"/>
  </r>
  <r>
    <x v="64"/>
    <x v="3"/>
    <n v="67848826.769999996"/>
    <n v="105765903"/>
    <n v="0.64149999995745322"/>
    <n v="0.16420000000000001"/>
    <n v="0.25596258770208946"/>
    <n v="3.85"/>
    <n v="4.2649350649350652E-2"/>
    <n v="0"/>
    <n v="3.85"/>
    <n v="0"/>
    <s v=""/>
  </r>
  <r>
    <x v="65"/>
    <x v="0"/>
    <n v="94365000"/>
    <n v="105765903"/>
    <n v="0.8922062528979684"/>
    <n v="0.26429999999999998"/>
    <n v="0.29623195213161657"/>
    <n v="4.01"/>
    <n v="6.5910224438902737E-2"/>
    <n v="0"/>
    <n v="4.01"/>
    <n v="76912864.659999996"/>
    <n v="0.22690788357901748"/>
  </r>
  <r>
    <x v="65"/>
    <x v="1"/>
    <n v="76912864.659999996"/>
    <n v="105765903"/>
    <n v="0.72719905450057942"/>
    <n v="0.2402"/>
    <n v="0.33030846026740618"/>
    <n v="4.01"/>
    <n v="5.9900249376558606E-2"/>
    <n v="0"/>
    <n v="4.01"/>
    <n v="61174998.299999997"/>
    <n v="0.25725977600885352"/>
  </r>
  <r>
    <x v="65"/>
    <x v="2"/>
    <n v="61174998.299999997"/>
    <n v="105765903"/>
    <n v="0.57840000004538317"/>
    <n v="0.2198"/>
    <n v="0.38001383122882737"/>
    <n v="4.01"/>
    <n v="5.4812967581047381E-2"/>
    <n v="0"/>
    <n v="4.01"/>
    <n v="67848826.769999996"/>
    <n v="-9.8363211093148828E-2"/>
  </r>
  <r>
    <x v="65"/>
    <x v="3"/>
    <n v="67848826.769999996"/>
    <n v="105765903"/>
    <n v="0.64149999995745322"/>
    <n v="0.19839999999999999"/>
    <n v="0.30927513641957699"/>
    <n v="4.01"/>
    <n v="4.947630922693267E-2"/>
    <n v="0"/>
    <n v="4.01"/>
    <n v="0"/>
    <s v=""/>
  </r>
  <r>
    <x v="66"/>
    <x v="0"/>
    <n v="13717907.74"/>
    <n v="7680000"/>
    <n v="1.7861859036458334"/>
    <n v="1.24"/>
    <n v="0.69421665318766745"/>
    <n v="30.01"/>
    <n v="4.1319560146617793E-2"/>
    <n v="0"/>
    <n v="30.01"/>
    <n v="28253000"/>
    <n v="-0.51446190705411809"/>
  </r>
  <r>
    <x v="66"/>
    <x v="1"/>
    <n v="28253000"/>
    <n v="7680000"/>
    <n v="3.6787760416666666"/>
    <n v="2.48"/>
    <n v="0.67413725976002548"/>
    <n v="30.01"/>
    <n v="8.2639120293235585E-2"/>
    <n v="0"/>
    <n v="30.01"/>
    <n v="23457000"/>
    <n v="0.20445922325958144"/>
  </r>
  <r>
    <x v="66"/>
    <x v="2"/>
    <n v="23457000"/>
    <n v="7680000"/>
    <n v="3.0542968749999999"/>
    <n v="2.5"/>
    <n v="0.81851899219849089"/>
    <n v="30.01"/>
    <n v="8.3305564811729418E-2"/>
    <n v="0"/>
    <n v="30.01"/>
    <n v="0"/>
    <s v=""/>
  </r>
  <r>
    <x v="67"/>
    <x v="0"/>
    <n v="13717907.74"/>
    <n v="7680000"/>
    <n v="1.7861859036458334"/>
    <n v="1.37"/>
    <n v="0.7669974313444391"/>
    <n v="30.05"/>
    <n v="4.5590682196339438E-2"/>
    <n v="0"/>
    <n v="30.05"/>
    <n v="28253000"/>
    <n v="-0.51446190705411809"/>
  </r>
  <r>
    <x v="67"/>
    <x v="1"/>
    <n v="28253000"/>
    <n v="7680000"/>
    <n v="3.6787760416666666"/>
    <n v="2.74"/>
    <n v="0.7448129402187379"/>
    <n v="30.05"/>
    <n v="9.1181364392678876E-2"/>
    <n v="0"/>
    <n v="30.05"/>
    <n v="23457000"/>
    <n v="0.20445922325958144"/>
  </r>
  <r>
    <x v="67"/>
    <x v="2"/>
    <n v="23457000"/>
    <n v="7680000"/>
    <n v="3.0542968749999999"/>
    <n v="2.75"/>
    <n v="0.90037089141833992"/>
    <n v="30.05"/>
    <n v="9.1514143094841932E-2"/>
    <n v="0"/>
    <n v="30.05"/>
    <n v="0"/>
    <s v=""/>
  </r>
  <r>
    <x v="68"/>
    <x v="0"/>
    <n v="638200000"/>
    <n v="407214353"/>
    <n v="1.5672335596677753"/>
    <n v="0.74068530099999996"/>
    <n v="0.4726068405254234"/>
    <n v="38.26"/>
    <n v="1.9359260350235233E-2"/>
    <n v="0"/>
    <n v="38.26"/>
    <n v="2605800000"/>
    <n v="-0.75508481080666212"/>
  </r>
  <r>
    <x v="68"/>
    <x v="1"/>
    <n v="2605800000"/>
    <n v="407214353"/>
    <n v="6.399086821971621"/>
    <n v="0.61834152200000003"/>
    <n v="9.6629650323994662E-2"/>
    <n v="38.26"/>
    <n v="1.6161566178776791E-2"/>
    <n v="0"/>
    <n v="38.26"/>
    <n v="771500000"/>
    <n v="2.3775761503564485"/>
  </r>
  <r>
    <x v="68"/>
    <x v="2"/>
    <n v="771500000"/>
    <n v="407214353"/>
    <n v="1.8945795852141782"/>
    <n v="0.49227156500000002"/>
    <n v="0.25983155779879774"/>
    <n v="38.26"/>
    <n v="1.2866481050705699E-2"/>
    <n v="0"/>
    <n v="38.26"/>
    <n v="0"/>
    <s v=""/>
  </r>
  <r>
    <x v="69"/>
    <x v="0"/>
    <n v="486927674.55000001"/>
    <n v="119684430"/>
    <n v="4.0684295739220211"/>
    <n v="1.3564000000000001"/>
    <n v="0.33339645564822007"/>
    <n v="32.880000000000003"/>
    <n v="4.1253041362530413E-2"/>
    <n v="32.880000000000003"/>
    <n v="0"/>
    <n v="470437900"/>
    <n v="3.5051968708303516E-2"/>
  </r>
  <r>
    <x v="69"/>
    <x v="1"/>
    <n v="470437900"/>
    <n v="119684430"/>
    <n v="3.9306524666575258"/>
    <n v="1.33"/>
    <n v="0.33836621560465263"/>
    <n v="32.880000000000003"/>
    <n v="4.0450121654501216E-2"/>
    <n v="32.880000000000003"/>
    <n v="0"/>
    <n v="677124500"/>
    <n v="-0.30524165053841645"/>
  </r>
  <r>
    <x v="69"/>
    <x v="2"/>
    <n v="677124500"/>
    <n v="119684430"/>
    <n v="5.6575821934398656"/>
    <n v="1.95"/>
    <n v="0.34467020245169089"/>
    <n v="32.880000000000003"/>
    <n v="5.930656934306569E-2"/>
    <n v="32.880000000000003"/>
    <n v="0"/>
    <n v="525306600"/>
    <n v="0.28900817160873293"/>
  </r>
  <r>
    <x v="69"/>
    <x v="3"/>
    <n v="525306600"/>
    <n v="119684430"/>
    <n v="4.3890972284364809"/>
    <n v="1.5"/>
    <n v="0.34175592882328149"/>
    <n v="32.880000000000003"/>
    <n v="4.5620437956204379E-2"/>
    <n v="32.880000000000003"/>
    <n v="0"/>
    <n v="0"/>
    <s v=""/>
  </r>
  <r>
    <x v="70"/>
    <x v="0"/>
    <n v="245872000"/>
    <n v="168074028"/>
    <n v="1.4628792022524741"/>
    <n v="0.210547822"/>
    <n v="0.14392700482432735"/>
    <n v="9.5"/>
    <n v="2.2162928631578947E-2"/>
    <n v="9.5"/>
    <n v="0"/>
    <n v="232128000"/>
    <n v="5.9208712434518862E-2"/>
  </r>
  <r>
    <x v="70"/>
    <x v="1"/>
    <n v="232128000"/>
    <n v="168074028"/>
    <n v="1.3811057113476213"/>
    <n v="1.158632954"/>
    <n v="0.83891692321615097"/>
    <n v="9.5"/>
    <n v="0.12196136357894737"/>
    <n v="9.5"/>
    <n v="0"/>
    <n v="253664000"/>
    <n v="-8.4899709852403138E-2"/>
  </r>
  <r>
    <x v="70"/>
    <x v="2"/>
    <n v="253664000"/>
    <n v="168074028"/>
    <n v="1.5092397261996957"/>
    <n v="1.1372260759999999"/>
    <n v="0.75350923796815517"/>
    <n v="9.5"/>
    <n v="0.11970800799999999"/>
    <n v="9.5"/>
    <n v="0"/>
    <n v="244788000"/>
    <n v="3.6259947383041613E-2"/>
  </r>
  <r>
    <x v="70"/>
    <x v="3"/>
    <n v="244788000"/>
    <n v="168074028"/>
    <n v="1.4564296632433893"/>
    <n v="0.9505576"/>
    <n v="0.65266289474162464"/>
    <n v="9.5"/>
    <n v="0.1000586947368421"/>
    <n v="9.5"/>
    <n v="0"/>
    <n v="0"/>
    <s v=""/>
  </r>
  <r>
    <x v="71"/>
    <x v="0"/>
    <n v="245872000"/>
    <n v="168074028"/>
    <n v="1.4628792022524741"/>
    <n v="0.23160260399999999"/>
    <n v="0.1583197051700434"/>
    <n v="10.119999999999999"/>
    <n v="2.2885632806324111E-2"/>
    <n v="10.119999999999999"/>
    <n v="0"/>
    <n v="232128000"/>
    <n v="5.9208712434518862E-2"/>
  </r>
  <r>
    <x v="71"/>
    <x v="1"/>
    <n v="232128000"/>
    <n v="168074028"/>
    <n v="1.3811057113476213"/>
    <n v="1.2744962500000001"/>
    <n v="0.92280861597220065"/>
    <n v="10.119999999999999"/>
    <n v="0.12593836462450594"/>
    <n v="10.119999999999999"/>
    <n v="0"/>
    <n v="253664000"/>
    <n v="-8.4899709852403138E-2"/>
  </r>
  <r>
    <x v="71"/>
    <x v="2"/>
    <n v="253664000"/>
    <n v="168074028"/>
    <n v="1.5092397261996957"/>
    <n v="1.250948685"/>
    <n v="0.82886016269259011"/>
    <n v="10.119999999999999"/>
    <n v="0.12361153013833993"/>
    <n v="10.119999999999999"/>
    <n v="0"/>
    <n v="244788000"/>
    <n v="3.6259947383041613E-2"/>
  </r>
  <r>
    <x v="71"/>
    <x v="3"/>
    <n v="24478800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2"/>
    <x v="0"/>
    <n v="245872000"/>
    <n v="168074028"/>
    <n v="1.4628792022524741"/>
    <n v="0.23160260399999999"/>
    <n v="0.1583197051700434"/>
    <n v="9"/>
    <n v="2.5733622666666664E-2"/>
    <n v="9"/>
    <n v="0"/>
    <n v="232128000"/>
    <n v="5.9208712434518862E-2"/>
  </r>
  <r>
    <x v="72"/>
    <x v="1"/>
    <n v="232128000"/>
    <n v="168074028"/>
    <n v="1.3811057113476213"/>
    <n v="1.2744962500000001"/>
    <n v="0.92280861597220065"/>
    <n v="9"/>
    <n v="0.14161069444444446"/>
    <n v="9"/>
    <n v="0"/>
    <n v="253664000"/>
    <n v="-8.4899709852403138E-2"/>
  </r>
  <r>
    <x v="72"/>
    <x v="2"/>
    <n v="253664000"/>
    <n v="168074028"/>
    <n v="1.5092397261996957"/>
    <n v="1.250948685"/>
    <n v="0.82886016269259011"/>
    <n v="9"/>
    <n v="0.13899429833333332"/>
    <n v="9"/>
    <n v="0"/>
    <n v="244788000"/>
    <n v="3.6259947383041613E-2"/>
  </r>
  <r>
    <x v="72"/>
    <x v="3"/>
    <n v="244788000"/>
    <n v="168074028"/>
    <n v="1.4564296632433893"/>
    <n v="1.0456133000000001"/>
    <n v="0.717929143019153"/>
    <n v="9"/>
    <n v="0.11617925555555557"/>
    <n v="9"/>
    <n v="0"/>
    <n v="0"/>
    <s v=""/>
  </r>
  <r>
    <x v="73"/>
    <x v="0"/>
    <n v="357464258.91000003"/>
    <n v="243051520"/>
    <n v="1.4707345130365777"/>
    <n v="0.74467047200000003"/>
    <n v="0.50632555733155615"/>
    <n v="7.78"/>
    <n v="9.5715998971722366E-2"/>
    <n v="7.78"/>
    <n v="0"/>
    <n v="305060417.76999998"/>
    <n v="0.17178184414442743"/>
  </r>
  <r>
    <x v="73"/>
    <x v="1"/>
    <n v="305060417.76999998"/>
    <n v="243051520"/>
    <n v="1.2551265582293005"/>
    <n v="0.63549999999999995"/>
    <n v="0.50632344271046792"/>
    <n v="7.78"/>
    <n v="8.1683804627249348E-2"/>
    <n v="7.78"/>
    <n v="0"/>
    <n v="276916946.19"/>
    <n v="0.10163145292195308"/>
  </r>
  <r>
    <x v="73"/>
    <x v="2"/>
    <n v="276916946.19"/>
    <n v="243051520"/>
    <n v="1.1393343526096853"/>
    <n v="0.57389999999999997"/>
    <n v="0.50371517253514031"/>
    <n v="7.78"/>
    <n v="7.3766066838046263E-2"/>
    <n v="7.78"/>
    <n v="0"/>
    <n v="211087826.47999999"/>
    <n v="0.31185654240576088"/>
  </r>
  <r>
    <x v="73"/>
    <x v="3"/>
    <n v="211087826.47999999"/>
    <n v="243051520"/>
    <n v="0.8684900488587769"/>
    <n v="0.43609999999999999"/>
    <n v="0.50213586278052236"/>
    <n v="7.78"/>
    <n v="5.6053984575835471E-2"/>
    <n v="7.78"/>
    <n v="0"/>
    <n v="0"/>
    <s v=""/>
  </r>
  <r>
    <x v="74"/>
    <x v="0"/>
    <n v="459255478.19"/>
    <n v="605059489"/>
    <n v="0.7590253298052152"/>
    <n v="0.28884578700000002"/>
    <n v="0.38054828430314053"/>
    <n v="12.54"/>
    <n v="2.30339543062201E-2"/>
    <n v="0"/>
    <n v="12.54"/>
    <n v="374211888.35000002"/>
    <n v="0.22726052401750207"/>
  </r>
  <r>
    <x v="74"/>
    <x v="1"/>
    <n v="374211888.35000002"/>
    <n v="605059489"/>
    <n v="0.61847123324761211"/>
    <n v="0.23499071399999999"/>
    <n v="0.37995415367349633"/>
    <n v="12.54"/>
    <n v="1.8739291387559809E-2"/>
    <n v="0"/>
    <n v="12.54"/>
    <n v="466895395.82999998"/>
    <n v="-0.19851021943627545"/>
  </r>
  <r>
    <x v="74"/>
    <x v="2"/>
    <n v="466895395.82999998"/>
    <n v="605059489"/>
    <n v="0.77165205127458136"/>
    <n v="0.34668314900000002"/>
    <n v="0.44927392913342723"/>
    <n v="12.54"/>
    <n v="2.7646184130781504E-2"/>
    <n v="0"/>
    <n v="12.54"/>
    <n v="179469272.13999999"/>
    <n v="1.6015339019472106"/>
  </r>
  <r>
    <x v="74"/>
    <x v="3"/>
    <n v="179469272.13999999"/>
    <n v="605059489"/>
    <n v="0.29661425926335649"/>
    <n v="7.8760800000000006E-2"/>
    <n v="0.26553275016380867"/>
    <n v="12.54"/>
    <n v="6.280765550239235E-3"/>
    <n v="0"/>
    <n v="12.54"/>
    <n v="0"/>
    <s v=""/>
  </r>
  <r>
    <x v="75"/>
    <x v="0"/>
    <n v="-130200000"/>
    <n v="387229828"/>
    <n v="-0.33623442871761416"/>
    <n v="0"/>
    <s v=""/>
    <n v="1.4"/>
    <s v=""/>
    <n v="1.4"/>
    <n v="0"/>
    <n v="88173075.810000002"/>
    <n v="0"/>
  </r>
  <r>
    <x v="75"/>
    <x v="1"/>
    <n v="88173075.810000002"/>
    <n v="387229828"/>
    <n v="0.22770217951805097"/>
    <n v="0.1"/>
    <n v="0.43917014853198871"/>
    <n v="1.4"/>
    <n v="7.1428571428571438E-2"/>
    <n v="1.4"/>
    <n v="0"/>
    <n v="0"/>
    <s v=""/>
  </r>
  <r>
    <x v="76"/>
    <x v="0"/>
    <n v="-130200000"/>
    <n v="387229828"/>
    <n v="-0.33623442871761416"/>
    <n v="0"/>
    <s v=""/>
    <n v="1.85"/>
    <s v=""/>
    <n v="1.85"/>
    <n v="0"/>
    <n v="88173075.810000002"/>
    <n v="0"/>
  </r>
  <r>
    <x v="76"/>
    <x v="1"/>
    <n v="88173075.810000002"/>
    <n v="387229828"/>
    <n v="0.22770217951805097"/>
    <n v="0.1"/>
    <n v="0.43917014853198871"/>
    <n v="1.85"/>
    <n v="5.4054054054054057E-2"/>
    <n v="1.85"/>
    <n v="0"/>
    <n v="0"/>
    <s v=""/>
  </r>
  <r>
    <x v="77"/>
    <x v="0"/>
    <n v="459346.49"/>
    <n v="31485170"/>
    <n v="1.4589296802272307E-2"/>
    <n v="0"/>
    <s v=""/>
    <n v="10"/>
    <s v=""/>
    <n v="0"/>
    <n v="10"/>
    <n v="14826895.1"/>
    <n v="-0.96901937412371653"/>
  </r>
  <r>
    <x v="77"/>
    <x v="1"/>
    <n v="14826895.1"/>
    <n v="31485170"/>
    <n v="0.47091678717313579"/>
    <n v="0.11279"/>
    <n v="0.2395115295784348"/>
    <n v="10"/>
    <n v="1.1279000000000001E-2"/>
    <n v="0"/>
    <n v="10"/>
    <n v="45200803.640000001"/>
    <n v="-0.67197717947476743"/>
  </r>
  <r>
    <x v="77"/>
    <x v="2"/>
    <n v="45200803.640000001"/>
    <n v="31485170"/>
    <n v="1.4356220290377979"/>
    <n v="0.31025000000000003"/>
    <n v="0.21610841414013407"/>
    <n v="10"/>
    <n v="3.1025000000000004E-2"/>
    <n v="0"/>
    <n v="10"/>
    <n v="3829778.75"/>
    <n v="10.802458207278946"/>
  </r>
  <r>
    <x v="77"/>
    <x v="3"/>
    <n v="3829778.75"/>
    <n v="31485170"/>
    <n v="0.12163754396117284"/>
    <n v="4.3194999999999997E-2"/>
    <n v="0.35511239863399419"/>
    <n v="10"/>
    <n v="4.3194999999999996E-3"/>
    <n v="0"/>
    <n v="10"/>
    <n v="0"/>
    <s v=""/>
  </r>
  <r>
    <x v="78"/>
    <x v="0"/>
    <n v="459346.49"/>
    <n v="31485170"/>
    <n v="1.4589296802272307E-2"/>
    <n v="2E-3"/>
    <n v="0.13708679911758986"/>
    <n v="9.5"/>
    <n v="2.105263157894737E-4"/>
    <n v="0"/>
    <n v="9.5"/>
    <n v="14826895.1"/>
    <n v="-0.96901937412371653"/>
  </r>
  <r>
    <x v="78"/>
    <x v="1"/>
    <n v="14826895.1"/>
    <n v="31485170"/>
    <n v="0.47091678717313579"/>
    <n v="0.11279"/>
    <n v="0.2395115295784348"/>
    <n v="9.5"/>
    <n v="1.1872631578947369E-2"/>
    <n v="0"/>
    <n v="9.5"/>
    <n v="45200803.640000001"/>
    <n v="-0.67197717947476743"/>
  </r>
  <r>
    <x v="78"/>
    <x v="2"/>
    <n v="45200803.640000001"/>
    <n v="31485170"/>
    <n v="1.4356220290377979"/>
    <n v="0.31025000000000003"/>
    <n v="0.21610841414013407"/>
    <n v="9.5"/>
    <n v="3.2657894736842108E-2"/>
    <n v="0"/>
    <n v="9.5"/>
    <n v="3829778.75"/>
    <n v="10.802458207278946"/>
  </r>
  <r>
    <x v="78"/>
    <x v="3"/>
    <n v="3829778.75"/>
    <n v="31485170"/>
    <n v="0.12163754396117284"/>
    <n v="4.3194999999999997E-2"/>
    <n v="0.35511239863399419"/>
    <n v="9.5"/>
    <n v="4.5468421052631573E-3"/>
    <n v="0"/>
    <n v="9.5"/>
    <n v="0"/>
    <s v=""/>
  </r>
  <r>
    <x v="79"/>
    <x v="0"/>
    <n v="-6878916000"/>
    <n v="1352634100"/>
    <n v="-5.0855704436255156"/>
    <n v="0.40852810099999998"/>
    <s v=""/>
    <n v="5.65"/>
    <n v="7.2305858584070792E-2"/>
    <n v="5.65"/>
    <n v="0"/>
    <n v="3732565000"/>
    <n v="0"/>
  </r>
  <r>
    <x v="79"/>
    <x v="1"/>
    <n v="3732565000"/>
    <n v="1352634100"/>
    <n v="2.7594787089871531"/>
    <n v="1.2317791624600001"/>
    <n v="0.44638110757959637"/>
    <n v="5.65"/>
    <n v="0.21801401105486726"/>
    <n v="5.65"/>
    <n v="0"/>
    <n v="2247913000"/>
    <n v="0.66045794476921493"/>
  </r>
  <r>
    <x v="79"/>
    <x v="2"/>
    <n v="2247913000"/>
    <n v="1352634100"/>
    <n v="1.6618781087952759"/>
    <n v="0.83224516954000005"/>
    <n v="0.50078592716003034"/>
    <n v="5.65"/>
    <n v="0.14730003000707964"/>
    <n v="5.65"/>
    <n v="0"/>
    <n v="170526000"/>
    <n v="12.182230275735078"/>
  </r>
  <r>
    <x v="79"/>
    <x v="3"/>
    <n v="170526000"/>
    <n v="1352634100"/>
    <n v="0.12606957047733752"/>
    <n v="0.41"/>
    <n v="3.2521725777887238"/>
    <n v="5.65"/>
    <n v="7.2566371681415914E-2"/>
    <n v="5.65"/>
    <n v="0"/>
    <n v="6136497000"/>
    <n v="-0.9722111817214284"/>
  </r>
  <r>
    <x v="79"/>
    <x v="4"/>
    <n v="6136497000"/>
    <n v="1352634100"/>
    <n v="4.5367013887939098"/>
    <n v="1.54227975422"/>
    <n v="0.33995619769676261"/>
    <n v="5.65"/>
    <n v="0.27296986800353978"/>
    <n v="5.65"/>
    <n v="0"/>
    <n v="0"/>
    <s v=""/>
  </r>
  <r>
    <x v="80"/>
    <x v="0"/>
    <n v="-6878916000"/>
    <n v="1352634100"/>
    <n v="-5.0855704436255156"/>
    <n v="1.671821523"/>
    <s v=""/>
    <n v="9.57"/>
    <n v="0.17469399404388714"/>
    <n v="9.57"/>
    <n v="0"/>
    <n v="3732565000"/>
    <n v="0"/>
  </r>
  <r>
    <x v="80"/>
    <x v="1"/>
    <n v="3732565000"/>
    <n v="1352634100"/>
    <n v="2.7594787089871531"/>
    <n v="1.6336924400499999"/>
    <n v="0.59202936943464768"/>
    <n v="9.57"/>
    <n v="0.17070976385057471"/>
    <n v="9.57"/>
    <n v="0"/>
    <n v="2247913000"/>
    <n v="0.66045794476921493"/>
  </r>
  <r>
    <x v="80"/>
    <x v="2"/>
    <n v="2247913000"/>
    <n v="1352634100"/>
    <n v="1.6618781087952759"/>
    <n v="1.6305332803199999"/>
    <n v="0.98113891246933971"/>
    <n v="9.57"/>
    <n v="0.17037965311598743"/>
    <n v="9.57"/>
    <n v="0"/>
    <n v="170526000"/>
    <n v="12.182230275735078"/>
  </r>
  <r>
    <x v="80"/>
    <x v="3"/>
    <n v="170526000"/>
    <n v="1352634100"/>
    <n v="0.12606957047733752"/>
    <n v="1.63"/>
    <n v="12.929369028769806"/>
    <n v="9.57"/>
    <n v="0.17032392894461859"/>
    <n v="9.57"/>
    <n v="0"/>
    <n v="6136497000"/>
    <n v="-0.9722111817214284"/>
  </r>
  <r>
    <x v="80"/>
    <x v="4"/>
    <n v="6136497000"/>
    <n v="1352634100"/>
    <n v="4.5367013887939098"/>
    <n v="1.69650772972"/>
    <n v="0.37395181748363199"/>
    <n v="9.57"/>
    <n v="0.17727353497596654"/>
    <n v="9.57"/>
    <n v="0"/>
    <n v="0"/>
    <s v=""/>
  </r>
  <r>
    <x v="81"/>
    <x v="0"/>
    <n v="107945984.63"/>
    <n v="0"/>
    <e v="#DIV/0!"/>
    <n v="0.30919236900000002"/>
    <e v="#DIV/0!"/>
    <n v="11"/>
    <n v="2.8108397181818182E-2"/>
    <n v="11"/>
    <n v="0"/>
    <n v="1573104991"/>
    <n v="-0.93138030503521552"/>
  </r>
  <r>
    <x v="81"/>
    <x v="1"/>
    <n v="1573104991"/>
    <n v="0"/>
    <e v="#DIV/0!"/>
    <n v="5.1351776620000003"/>
    <e v="#DIV/0!"/>
    <n v="11"/>
    <n v="0.46683433290909093"/>
    <n v="11"/>
    <n v="0"/>
    <n v="1347688144.1600001"/>
    <n v="0.16726187569194639"/>
  </r>
  <r>
    <x v="81"/>
    <x v="2"/>
    <n v="1347688144.1600001"/>
    <n v="0"/>
    <e v="#DIV/0!"/>
    <n v="8.6908053330000001"/>
    <e v="#DIV/0!"/>
    <n v="11"/>
    <n v="0.79007321209090908"/>
    <n v="11"/>
    <n v="0"/>
    <n v="1063193672.4299999"/>
    <n v="0.26758480520277095"/>
  </r>
  <r>
    <x v="81"/>
    <x v="3"/>
    <n v="1063193672.4299999"/>
    <n v="0"/>
    <e v="#DIV/0!"/>
    <n v="6.086401306"/>
    <e v="#DIV/0!"/>
    <n v="11"/>
    <n v="0.55330920963636365"/>
    <n v="11"/>
    <n v="0"/>
    <n v="0"/>
    <s v=""/>
  </r>
  <r>
    <x v="82"/>
    <x v="0"/>
    <n v="107945984.63"/>
    <n v="167343887"/>
    <n v="0.64505484224828602"/>
    <n v="0.34011160499999998"/>
    <n v="0.52725998275521624"/>
    <n v="9.15"/>
    <n v="3.7170667213114753E-2"/>
    <n v="9.15"/>
    <n v="0"/>
    <n v="1573104991"/>
    <n v="-0.93138030503521552"/>
  </r>
  <r>
    <x v="82"/>
    <x v="1"/>
    <n v="1573104991"/>
    <n v="167343887"/>
    <n v="9.4004329599443324"/>
    <n v="5.648695429"/>
    <n v="0.60089736856476139"/>
    <n v="9.15"/>
    <n v="0.61734376273224045"/>
    <n v="9.15"/>
    <n v="0"/>
    <n v="1347688144.1600001"/>
    <n v="0.16726187569194639"/>
  </r>
  <r>
    <x v="82"/>
    <x v="2"/>
    <n v="1347688144.1600001"/>
    <n v="167343887"/>
    <n v="8.0534052860861305"/>
    <n v="9.5598858660000001"/>
    <n v="1.1870613146114248"/>
    <n v="9.15"/>
    <n v="1.0447962695081967"/>
    <n v="9.15"/>
    <n v="0"/>
    <n v="1063193672.4299999"/>
    <n v="0.26758480520277095"/>
  </r>
  <r>
    <x v="82"/>
    <x v="3"/>
    <n v="1063193672.4299999"/>
    <n v="167343887"/>
    <n v="6.3533463426124426"/>
    <n v="6.6950414370000004"/>
    <n v="1.0537819089281784"/>
    <n v="9.15"/>
    <n v="0.73169851770491801"/>
    <n v="9.15"/>
    <n v="0"/>
    <n v="0"/>
    <s v=""/>
  </r>
  <r>
    <x v="83"/>
    <x v="0"/>
    <m/>
    <n v="36947084"/>
    <n v="0"/>
    <n v="0"/>
    <s v=""/>
    <n v="5.67"/>
    <s v=""/>
    <n v="5.67"/>
    <n v="0"/>
    <n v="0"/>
    <s v=""/>
  </r>
  <r>
    <x v="83"/>
    <x v="1"/>
    <m/>
    <n v="36947084"/>
    <n v="0"/>
    <n v="0"/>
    <s v=""/>
    <n v="5.67"/>
    <s v=""/>
    <n v="5.67"/>
    <n v="0"/>
    <n v="13974263.699999999"/>
    <n v="0"/>
  </r>
  <r>
    <x v="83"/>
    <x v="2"/>
    <n v="13974263.699999999"/>
    <n v="36947084"/>
    <n v="0.37822372396154452"/>
    <n v="8.7654448199999999E-2"/>
    <n v="0.23175290878610291"/>
    <n v="5.67"/>
    <n v="1.5459338306878307E-2"/>
    <n v="5.67"/>
    <n v="0"/>
    <n v="-7526000"/>
    <n v="-2.8567982593675261"/>
  </r>
  <r>
    <x v="83"/>
    <x v="3"/>
    <n v="-7526000"/>
    <n v="36947084"/>
    <n v="-0.20369672475370451"/>
    <n v="0"/>
    <s v=""/>
    <n v="5.67"/>
    <s v=""/>
    <n v="5.67"/>
    <n v="0"/>
    <n v="-170585000"/>
    <n v="0"/>
  </r>
  <r>
    <x v="83"/>
    <x v="4"/>
    <n v="-170585000"/>
    <n v="36947084"/>
    <n v="-4.6170084762304926"/>
    <n v="0.36506361199999998"/>
    <s v=""/>
    <n v="5.67"/>
    <n v="6.4385116754850091E-2"/>
    <n v="5.67"/>
    <n v="0"/>
    <n v="0"/>
    <s v=""/>
  </r>
  <r>
    <x v="84"/>
    <x v="0"/>
    <n v="341644899.63"/>
    <n v="476415612"/>
    <n v="0.71711524774717084"/>
    <n v="0.77853000000000006"/>
    <n v="1.0856413978726078"/>
    <n v="10.25"/>
    <n v="7.5954146341463413E-2"/>
    <n v="10.25"/>
    <n v="0"/>
    <n v="491579920.89999998"/>
    <n v="-0.30500639854348455"/>
  </r>
  <r>
    <x v="84"/>
    <x v="1"/>
    <n v="491579920.89999998"/>
    <n v="476415612"/>
    <n v="1.0318299999371137"/>
    <n v="2.3355890000000001"/>
    <n v="2.2635405058414135"/>
    <n v="10.25"/>
    <n v="0.22786234146341464"/>
    <n v="10.25"/>
    <n v="0"/>
    <n v="588911630.5"/>
    <n v="-0.1652738790663093"/>
  </r>
  <r>
    <x v="84"/>
    <x v="2"/>
    <n v="588911630.5"/>
    <n v="476415612"/>
    <n v="1.2361300000806859"/>
    <n v="2.22437"/>
    <n v="1.7994628395515107"/>
    <n v="10.25"/>
    <n v="0.21701170731707317"/>
    <n v="10.25"/>
    <n v="0"/>
    <n v="695571557.70000005"/>
    <n v="-0.15334141544356028"/>
  </r>
  <r>
    <x v="84"/>
    <x v="3"/>
    <n v="695571557.70000005"/>
    <n v="476415612"/>
    <n v="1.4600100000501244"/>
    <n v="1.869219"/>
    <n v="1.2802782172285305"/>
    <n v="10.25"/>
    <n v="0.18236282926829267"/>
    <n v="10.25"/>
    <n v="0"/>
    <n v="0"/>
    <s v=""/>
  </r>
  <r>
    <x v="85"/>
    <x v="0"/>
    <n v="290441196.88"/>
    <n v="1245690889"/>
    <n v="0.23315671603984894"/>
    <n v="0.79500000000000004"/>
    <n v="3.4097237836551368"/>
    <n v="12.4"/>
    <n v="6.4112903225806456E-2"/>
    <n v="12.4"/>
    <n v="0"/>
    <n v="212054242.16999999"/>
    <n v="0.36965520664830009"/>
  </r>
  <r>
    <x v="85"/>
    <x v="1"/>
    <n v="212054242.16999999"/>
    <n v="1245690889"/>
    <n v="0.17023022648919767"/>
    <n v="9.6000000000000002E-2"/>
    <n v="0.56394215046228524"/>
    <n v="12.4"/>
    <n v="7.7419354838709677E-3"/>
    <n v="12.4"/>
    <n v="0"/>
    <n v="194647783.53"/>
    <n v="8.9425414070113174E-2"/>
  </r>
  <r>
    <x v="85"/>
    <x v="2"/>
    <n v="194647783.53"/>
    <n v="1245690889"/>
    <n v="0.15625688944892011"/>
    <n v="8.8999999999999996E-2"/>
    <n v="0.56957488603466555"/>
    <n v="12.4"/>
    <n v="7.1774193548387087E-3"/>
    <n v="12.4"/>
    <n v="0"/>
    <n v="276855137.25"/>
    <n v="-0.29693273723061464"/>
  </r>
  <r>
    <x v="85"/>
    <x v="3"/>
    <n v="276855137.25"/>
    <n v="1245690889"/>
    <n v="0.22225027066887379"/>
    <n v="0.113"/>
    <n v="0.50843582624183359"/>
    <n v="12.4"/>
    <n v="9.112903225806452E-3"/>
    <n v="12.4"/>
    <n v="0"/>
    <n v="0"/>
    <s v=""/>
  </r>
  <r>
    <x v="86"/>
    <x v="0"/>
    <n v="290441196.88"/>
    <n v="1245690889"/>
    <n v="0.23315671603984894"/>
    <n v="0.159"/>
    <n v="0.68194475673102728"/>
    <n v="3.4"/>
    <n v="4.6764705882352944E-2"/>
    <n v="3.4"/>
    <n v="0"/>
    <n v="212054242.16999999"/>
    <n v="0.36965520664830009"/>
  </r>
  <r>
    <x v="86"/>
    <x v="1"/>
    <n v="212054242.16999999"/>
    <n v="1245690889"/>
    <n v="0.17023022648919767"/>
    <n v="9.6000000000000002E-2"/>
    <n v="0.56394215046228524"/>
    <n v="3.4"/>
    <n v="2.823529411764706E-2"/>
    <n v="3.4"/>
    <n v="0"/>
    <n v="194647783.53"/>
    <n v="8.9425414070113174E-2"/>
  </r>
  <r>
    <x v="86"/>
    <x v="2"/>
    <n v="194647783.53"/>
    <n v="1245690889"/>
    <n v="0.15625688944892011"/>
    <n v="8.8999999999999996E-2"/>
    <n v="0.56957488603466555"/>
    <n v="3.4"/>
    <n v="2.6176470588235294E-2"/>
    <n v="3.4"/>
    <n v="0"/>
    <n v="276855137.25"/>
    <n v="-0.29693273723061464"/>
  </r>
  <r>
    <x v="86"/>
    <x v="3"/>
    <n v="276855137.25"/>
    <n v="1245690889"/>
    <n v="0.22225027066887379"/>
    <n v="0.113"/>
    <n v="0.50843582624183359"/>
    <n v="3.4"/>
    <n v="3.3235294117647057E-2"/>
    <n v="3.4"/>
    <n v="0"/>
    <n v="0"/>
    <s v=""/>
  </r>
  <r>
    <x v="87"/>
    <x v="0"/>
    <n v="290441196.88"/>
    <n v="1245690889"/>
    <n v="0.23315671603984894"/>
    <n v="0.159"/>
    <n v="0.68194475673102728"/>
    <n v="2.1"/>
    <n v="7.5714285714285706E-2"/>
    <n v="2.1"/>
    <n v="0"/>
    <n v="212054242.16999999"/>
    <n v="0.36965520664830009"/>
  </r>
  <r>
    <x v="87"/>
    <x v="1"/>
    <n v="212054242.16999999"/>
    <n v="1245690889"/>
    <n v="0.17023022648919767"/>
    <n v="9.6000000000000002E-2"/>
    <n v="0.56394215046228524"/>
    <n v="2.1"/>
    <n v="4.5714285714285714E-2"/>
    <n v="2.1"/>
    <n v="0"/>
    <n v="194647783.53"/>
    <n v="8.9425414070113174E-2"/>
  </r>
  <r>
    <x v="87"/>
    <x v="2"/>
    <n v="194647783.53"/>
    <n v="1245690889"/>
    <n v="0.15625688944892011"/>
    <n v="8.8999999999999996E-2"/>
    <n v="0.56957488603466555"/>
    <n v="2.1"/>
    <n v="4.238095238095238E-2"/>
    <n v="2.1"/>
    <n v="0"/>
    <n v="276855137.25"/>
    <n v="-0.29693273723061464"/>
  </r>
  <r>
    <x v="87"/>
    <x v="3"/>
    <n v="276855137.25"/>
    <n v="1245690889"/>
    <n v="0.22225027066887379"/>
    <n v="0.113"/>
    <n v="0.50843582624183359"/>
    <n v="2.1"/>
    <n v="5.3809523809523807E-2"/>
    <n v="2.1"/>
    <n v="0"/>
    <n v="0"/>
    <s v=""/>
  </r>
  <r>
    <x v="88"/>
    <x v="0"/>
    <n v="384946993.33999997"/>
    <n v="164183899"/>
    <n v="2.3446086716456889"/>
    <n v="0.46"/>
    <n v="0.19619478745556479"/>
    <n v="15.4"/>
    <n v="2.987012987012987E-2"/>
    <n v="15.4"/>
    <n v="0"/>
    <n v="247502000"/>
    <n v="0.55532881891863495"/>
  </r>
  <r>
    <x v="88"/>
    <x v="1"/>
    <n v="247502000"/>
    <n v="164183899"/>
    <n v="1.5074681592255279"/>
    <n v="0.56999999999999995"/>
    <n v="0.37811743917220869"/>
    <n v="15.4"/>
    <n v="3.7012987012987011E-2"/>
    <n v="15.4"/>
    <n v="0"/>
    <n v="278621000"/>
    <n v="-0.11168935579155914"/>
  </r>
  <r>
    <x v="88"/>
    <x v="2"/>
    <n v="278621000"/>
    <n v="164183899"/>
    <n v="1.6970056241629394"/>
    <n v="1.52"/>
    <n v="0.89569532260669515"/>
    <n v="15.4"/>
    <n v="9.8701298701298706E-2"/>
    <n v="15.4"/>
    <n v="0"/>
    <n v="0"/>
    <s v=""/>
  </r>
  <r>
    <x v="89"/>
    <x v="0"/>
    <n v="140995000"/>
    <n v="198447352"/>
    <n v="0.7104907098987141"/>
    <n v="0.17"/>
    <n v="0.23927124961878082"/>
    <n v="23.65"/>
    <n v="7.1881606765327706E-3"/>
    <n v="23.65"/>
    <n v="0"/>
    <n v="159996000"/>
    <n v="-0.11875921898047448"/>
  </r>
  <r>
    <x v="89"/>
    <x v="1"/>
    <n v="159996000"/>
    <n v="198447352"/>
    <n v="0.80623902706446793"/>
    <n v="0.46"/>
    <n v="0.57055040076001906"/>
    <n v="23.65"/>
    <n v="1.945031712473573E-2"/>
    <n v="23.65"/>
    <n v="0"/>
    <n v="188871000"/>
    <n v="-0.15288212589545247"/>
  </r>
  <r>
    <x v="89"/>
    <x v="2"/>
    <n v="188871000"/>
    <n v="198447352"/>
    <n v="0.95174361409468444"/>
    <n v="1.8"/>
    <n v="1.8912656448051846"/>
    <n v="23.65"/>
    <n v="7.6109936575052856E-2"/>
    <n v="23.65"/>
    <n v="0"/>
    <n v="0"/>
    <s v=""/>
  </r>
  <r>
    <x v="90"/>
    <x v="0"/>
    <n v="113004000"/>
    <n v="89500000"/>
    <n v="1.2626145251396648"/>
    <n v="0.8"/>
    <n v="0.6336058900569892"/>
    <n v="8.2799999999999994"/>
    <n v="9.6618357487922718E-2"/>
    <n v="0"/>
    <n v="8.2799999999999994"/>
    <n v="97193000"/>
    <n v="0.16267632442665625"/>
  </r>
  <r>
    <x v="90"/>
    <x v="1"/>
    <n v="97193000"/>
    <n v="89500000"/>
    <n v="1.0859553072625698"/>
    <n v="0.9"/>
    <n v="0.82876338830985774"/>
    <n v="8.2799999999999994"/>
    <n v="0.10869565217391305"/>
    <n v="0"/>
    <n v="8.2799999999999994"/>
    <n v="102085000"/>
    <n v="-4.7920850271832349E-2"/>
  </r>
  <r>
    <x v="90"/>
    <x v="2"/>
    <n v="102085000"/>
    <n v="89500000"/>
    <n v="1.1406145251396649"/>
    <n v="0.8"/>
    <n v="0.7013763040603419"/>
    <n v="8.2799999999999994"/>
    <n v="9.6618357487922718E-2"/>
    <n v="0"/>
    <n v="8.2799999999999994"/>
    <n v="0"/>
    <s v=""/>
  </r>
  <r>
    <x v="91"/>
    <x v="0"/>
    <n v="88379478.969999999"/>
    <n v="92619256"/>
    <n v="0.95422359007072999"/>
    <n v="0.190493"/>
    <n v="0.1996314092233667"/>
    <n v="6.61"/>
    <n v="2.8818910741301058E-2"/>
    <n v="0"/>
    <n v="6.61"/>
    <n v="88914485.760000005"/>
    <n v="-6.017093676322971E-3"/>
  </r>
  <r>
    <x v="91"/>
    <x v="1"/>
    <n v="88914485.760000005"/>
    <n v="92619256"/>
    <n v="0.96000000000000008"/>
    <n v="0.28855599999999998"/>
    <n v="0.30057916666666662"/>
    <n v="6.61"/>
    <n v="4.3654462934947041E-2"/>
    <n v="0"/>
    <n v="6.61"/>
    <n v="120405032.8"/>
    <n v="-0.2615384615384615"/>
  </r>
  <r>
    <x v="91"/>
    <x v="2"/>
    <n v="120405032.8"/>
    <n v="92619256"/>
    <n v="1.3"/>
    <n v="0.28032499999999999"/>
    <n v="0.21563461538461537"/>
    <n v="6.61"/>
    <n v="4.2409228441754911E-2"/>
    <n v="0"/>
    <n v="6.61"/>
    <n v="0"/>
    <s v=""/>
  </r>
  <r>
    <x v="92"/>
    <x v="0"/>
    <n v="85326018.709999993"/>
    <n v="88320000"/>
    <n v="0.96610075532155792"/>
    <n v="0.22040999999999999"/>
    <n v="0.22814390609459623"/>
    <n v="19"/>
    <n v="1.1600526315789473E-2"/>
    <n v="19"/>
    <n v="0"/>
    <n v="90654592"/>
    <n v="-5.8778856894529996E-2"/>
  </r>
  <r>
    <x v="92"/>
    <x v="1"/>
    <n v="90654592"/>
    <n v="88320000"/>
    <n v="1.0264333333333333"/>
    <n v="0.244201419"/>
    <n v="0.23791259604455559"/>
    <n v="19"/>
    <n v="1.2852706263157895E-2"/>
    <n v="19"/>
    <n v="0"/>
    <n v="133778304"/>
    <n v="-0.32235206091415247"/>
  </r>
  <r>
    <x v="92"/>
    <x v="2"/>
    <n v="133778304"/>
    <n v="88320000"/>
    <n v="1.5146999999999999"/>
    <n v="0.31610713000000001"/>
    <n v="0.20869289628309237"/>
    <n v="19"/>
    <n v="1.6637217368421053E-2"/>
    <n v="19"/>
    <n v="0"/>
    <n v="0"/>
    <s v=""/>
  </r>
  <r>
    <x v="93"/>
    <x v="0"/>
    <n v="85326018.709999993"/>
    <n v="88320000"/>
    <n v="0.96610075532155792"/>
    <n v="0.24245"/>
    <n v="0.25095726161532989"/>
    <n v="12.35"/>
    <n v="1.963157894736842E-2"/>
    <n v="12.35"/>
    <n v="0"/>
    <n v="90654592"/>
    <n v="-5.8778856894529996E-2"/>
  </r>
  <r>
    <x v="93"/>
    <x v="1"/>
    <n v="90654592"/>
    <n v="88320000"/>
    <n v="1.0264333333333333"/>
    <n v="0.26862156100000001"/>
    <n v="0.2617038557464359"/>
    <n v="12.35"/>
    <n v="2.1750733684210526E-2"/>
    <n v="12.35"/>
    <n v="0"/>
    <n v="133778304"/>
    <n v="-0.32235206091415247"/>
  </r>
  <r>
    <x v="93"/>
    <x v="2"/>
    <n v="133778304"/>
    <n v="88320000"/>
    <n v="1.5146999999999999"/>
    <n v="0.3477384"/>
    <n v="0.2295757575757576"/>
    <n v="12.35"/>
    <n v="2.8156955465587045E-2"/>
    <n v="12.35"/>
    <n v="0"/>
    <n v="0"/>
    <s v=""/>
  </r>
  <r>
    <x v="94"/>
    <x v="0"/>
    <n v="324648000"/>
    <n v="94433283"/>
    <n v="3.4378556975510426"/>
    <n v="3.9972394429999998"/>
    <n v="1.1627129800263096"/>
    <n v="62.04"/>
    <n v="6.4430036154094136E-2"/>
    <n v="62.04"/>
    <n v="0"/>
    <n v="281411183"/>
    <n v="0.15364285292102275"/>
  </r>
  <r>
    <x v="94"/>
    <x v="1"/>
    <n v="281411183"/>
    <n v="94433283"/>
    <n v="2.9799999963995747"/>
    <n v="3.6127542309999998"/>
    <n v="1.2123336360284955"/>
    <n v="62.04"/>
    <n v="5.8232660074145709E-2"/>
    <n v="62.04"/>
    <n v="0"/>
    <n v="183200569"/>
    <n v="0.53608247253860886"/>
  </r>
  <r>
    <x v="94"/>
    <x v="2"/>
    <n v="183200569"/>
    <n v="94433283"/>
    <n v="1.9399999997882102"/>
    <n v="2.6568953629999998"/>
    <n v="1.3695336924175532"/>
    <n v="62.04"/>
    <n v="4.2825521647324304E-2"/>
    <n v="62.04"/>
    <n v="0"/>
    <n v="101987946"/>
    <n v="0.796296289759576"/>
  </r>
  <r>
    <x v="94"/>
    <x v="3"/>
    <n v="101987946"/>
    <n v="94433283"/>
    <n v="1.0800000038122153"/>
    <n v="1.4826292830000001"/>
    <n v="1.3728048868209002"/>
    <n v="62.04"/>
    <n v="2.389795749516441E-2"/>
    <n v="62.04"/>
    <n v="0"/>
    <n v="0"/>
    <s v=""/>
  </r>
  <r>
    <x v="95"/>
    <x v="0"/>
    <n v="324648000"/>
    <n v="94433283"/>
    <n v="3.4378556975510426"/>
    <n v="3.9972394429999998"/>
    <n v="1.1627129800263096"/>
    <n v="61.99"/>
    <n v="6.4482004242619767E-2"/>
    <n v="61.99"/>
    <n v="0"/>
    <n v="281411183"/>
    <n v="0.15364285292102275"/>
  </r>
  <r>
    <x v="95"/>
    <x v="1"/>
    <n v="281411183"/>
    <n v="94433283"/>
    <n v="2.9799999963995747"/>
    <n v="3.6127542300000002"/>
    <n v="1.2123336356929251"/>
    <n v="61.99"/>
    <n v="5.8279629456363932E-2"/>
    <n v="61.99"/>
    <n v="0"/>
    <n v="183200569"/>
    <n v="0.53608247253860886"/>
  </r>
  <r>
    <x v="95"/>
    <x v="2"/>
    <n v="183200569"/>
    <n v="94433283"/>
    <n v="1.9399999997882102"/>
    <n v="2.6568953610000001"/>
    <n v="1.3695336913866254"/>
    <n v="61.99"/>
    <n v="4.2860063897402809E-2"/>
    <n v="61.99"/>
    <n v="0"/>
    <n v="101987946"/>
    <n v="0.796296289759576"/>
  </r>
  <r>
    <x v="95"/>
    <x v="3"/>
    <n v="101987946"/>
    <n v="94433283"/>
    <n v="1.0800000038122153"/>
    <n v="2.1814776419999999"/>
    <n v="2.0198866984257009"/>
    <n v="61.99"/>
    <n v="3.519079919341829E-2"/>
    <n v="61.99"/>
    <n v="0"/>
    <n v="0"/>
    <s v=""/>
  </r>
  <r>
    <x v="96"/>
    <x v="0"/>
    <n v="901262803.92999995"/>
    <n v="381253493"/>
    <n v="2.363946351909227"/>
    <n v="2.4435890119999999"/>
    <n v="1.0336905530984026"/>
    <n v="17.239999999999998"/>
    <n v="0.1417395018561485"/>
    <n v="17.239999999999998"/>
    <n v="0"/>
    <n v="844863980.05999994"/>
    <n v="6.6754915822064831E-2"/>
  </r>
  <r>
    <x v="96"/>
    <x v="1"/>
    <n v="844863980.05999994"/>
    <n v="381253493"/>
    <n v="2.2160163659405474"/>
    <n v="2.307552448"/>
    <n v="1.0413065911724897"/>
    <n v="17.239999999999998"/>
    <n v="0.13384874988399073"/>
    <n v="17.239999999999998"/>
    <n v="0"/>
    <n v="737339863.24000001"/>
    <n v="0.14582707673978201"/>
  </r>
  <r>
    <x v="96"/>
    <x v="2"/>
    <n v="737339863.24000001"/>
    <n v="381253493"/>
    <n v="1.9339884795232551"/>
    <n v="2.1575277719999999"/>
    <n v="1.1155846039640573"/>
    <n v="17.239999999999998"/>
    <n v="0.12514662250580047"/>
    <n v="17.239999999999998"/>
    <n v="0"/>
    <n v="780235000"/>
    <n v="-5.4977201432901635E-2"/>
  </r>
  <r>
    <x v="96"/>
    <x v="3"/>
    <n v="780235000"/>
    <n v="381253493"/>
    <n v="2.0464992828275541"/>
    <n v="1.9523818630000001"/>
    <n v="0.95401052880042236"/>
    <n v="17.239999999999998"/>
    <n v="0.11324720783062646"/>
    <n v="17.239999999999998"/>
    <n v="0"/>
    <n v="0"/>
    <s v=""/>
  </r>
  <r>
    <x v="97"/>
    <x v="0"/>
    <n v="901262803.92999995"/>
    <n v="381253493"/>
    <n v="2.363946351909227"/>
    <n v="2.687947914"/>
    <n v="1.13705960874666"/>
    <n v="18.760000000000002"/>
    <n v="0.14328080565031981"/>
    <n v="18.760000000000002"/>
    <n v="0"/>
    <n v="844863980.05999994"/>
    <n v="6.6754915822064831E-2"/>
  </r>
  <r>
    <x v="97"/>
    <x v="1"/>
    <n v="844863980.05999994"/>
    <n v="381253493"/>
    <n v="2.2160163659405474"/>
    <n v="2.5383076930000001"/>
    <n v="1.1454372503799908"/>
    <n v="18.760000000000002"/>
    <n v="0.13530424802771854"/>
    <n v="18.760000000000002"/>
    <n v="0"/>
    <n v="737339863.24000001"/>
    <n v="0.14582707673978201"/>
  </r>
  <r>
    <x v="97"/>
    <x v="2"/>
    <n v="737339863.24000001"/>
    <n v="381253493"/>
    <n v="1.9339884795232551"/>
    <n v="2.373280549"/>
    <n v="1.2271430642570498"/>
    <n v="18.760000000000002"/>
    <n v="0.12650749195095948"/>
    <n v="18.760000000000002"/>
    <n v="0"/>
    <n v="780235000"/>
    <n v="-5.4977201432901635E-2"/>
  </r>
  <r>
    <x v="97"/>
    <x v="3"/>
    <n v="780235000"/>
    <n v="381253493"/>
    <n v="2.0464992828275541"/>
    <n v="2.1476200489999999"/>
    <n v="1.0494115815338727"/>
    <n v="18.760000000000002"/>
    <n v="0.11447868065031981"/>
    <n v="18.760000000000002"/>
    <n v="0"/>
    <n v="0"/>
    <s v=""/>
  </r>
  <r>
    <x v="98"/>
    <x v="0"/>
    <n v="3061251.15"/>
    <n v="166355563"/>
    <n v="1.8401856209641753E-2"/>
    <n v="1.6664410399999999E-2"/>
    <n v="0.90558312216724046"/>
    <n v="0.12"/>
    <n v="0.13887008666666667"/>
    <n v="0.12"/>
    <n v="0"/>
    <n v="2796437"/>
    <n v="9.4696984055067102E-2"/>
  </r>
  <r>
    <x v="98"/>
    <x v="1"/>
    <n v="2796437"/>
    <n v="166355563"/>
    <n v="1.6809999915662573E-2"/>
    <n v="1.4520999999999999E-2"/>
    <n v="0.86383105727860132"/>
    <n v="0.12"/>
    <n v="0.12100833333333333"/>
    <n v="0.12"/>
    <n v="0"/>
    <n v="2520287"/>
    <n v="0.10957085443046766"/>
  </r>
  <r>
    <x v="98"/>
    <x v="2"/>
    <n v="2520287"/>
    <n v="166355563"/>
    <n v="1.5150001325774719E-2"/>
    <n v="2.696E-3"/>
    <n v="0.17795377980682361"/>
    <n v="0.12"/>
    <n v="2.246666666666667E-2"/>
    <n v="0.12"/>
    <n v="0"/>
    <n v="1605331"/>
    <n v="0.56994850283212628"/>
  </r>
  <r>
    <x v="98"/>
    <x v="3"/>
    <n v="1605331"/>
    <n v="166355563"/>
    <n v="9.6499989002471771E-3"/>
    <n v="1.01E-2"/>
    <n v="1.0466322436307527"/>
    <n v="0.12"/>
    <n v="8.4166666666666667E-2"/>
    <n v="0.12"/>
    <n v="0"/>
    <n v="0"/>
    <s v=""/>
  </r>
  <r>
    <x v="99"/>
    <x v="0"/>
    <n v="3061251.15"/>
    <n v="166355563"/>
    <n v="1.8401856209641753E-2"/>
    <n v="1.8330851400000001E-2"/>
    <n v="0.99614143221027074"/>
    <n v="0.12"/>
    <n v="0.15275709500000001"/>
    <n v="0.12"/>
    <n v="0"/>
    <n v="2796437"/>
    <n v="9.4696984055067102E-2"/>
  </r>
  <r>
    <x v="99"/>
    <x v="1"/>
    <n v="2796437"/>
    <n v="166355563"/>
    <n v="1.6809999915662573E-2"/>
    <n v="1.5972E-2"/>
    <n v="0.95014872576639497"/>
    <n v="0.12"/>
    <n v="0.1331"/>
    <n v="0.12"/>
    <n v="0"/>
    <n v="2520287"/>
    <n v="0.10957085443046766"/>
  </r>
  <r>
    <x v="99"/>
    <x v="2"/>
    <n v="2520287"/>
    <n v="166355563"/>
    <n v="1.5150001325774719E-2"/>
    <n v="3.0049999999999999E-3"/>
    <n v="0.1983498176259291"/>
    <n v="0.12"/>
    <n v="2.5041666666666667E-2"/>
    <n v="0.12"/>
    <n v="0"/>
    <n v="1605331"/>
    <n v="0.56994850283212628"/>
  </r>
  <r>
    <x v="99"/>
    <x v="3"/>
    <n v="1605331"/>
    <n v="166355563"/>
    <n v="9.6499989002471771E-3"/>
    <n v="1.11E-2"/>
    <n v="1.1502591984456789"/>
    <n v="0.12"/>
    <n v="9.2500000000000013E-2"/>
    <n v="0.12"/>
    <n v="0"/>
    <n v="0"/>
    <s v=""/>
  </r>
  <r>
    <x v="100"/>
    <x v="0"/>
    <n v="645407.11"/>
    <n v="9133687"/>
    <n v="7.0662275814794173E-2"/>
    <n v="1.3493369900000001"/>
    <n v="19.095577865856068"/>
    <n v="17.97"/>
    <n v="7.5088313299944365E-2"/>
    <n v="0"/>
    <n v="17.97"/>
    <n v="9737000"/>
    <n v="-0.93371602033480539"/>
  </r>
  <r>
    <x v="100"/>
    <x v="1"/>
    <n v="9737000"/>
    <n v="9133687"/>
    <n v="1.0660536101138565"/>
    <n v="0.91752482999999996"/>
    <n v="0.86067419245642496"/>
    <n v="17.97"/>
    <n v="5.1058699499165278E-2"/>
    <n v="0"/>
    <n v="17.97"/>
    <n v="18645000"/>
    <n v="-0.47776883883078569"/>
  </r>
  <r>
    <x v="100"/>
    <x v="2"/>
    <n v="18645000"/>
    <n v="9133687"/>
    <n v="2.0413443114483778"/>
    <n v="0.50479059999999998"/>
    <n v="0.24728341866142128"/>
    <n v="17.97"/>
    <n v="2.8090740122426267E-2"/>
    <n v="0"/>
    <n v="17.97"/>
    <n v="0"/>
    <s v=""/>
  </r>
  <r>
    <x v="101"/>
    <x v="0"/>
    <n v="268308000"/>
    <n v="176611578"/>
    <n v="1.5191982487127769"/>
    <n v="0.40200000000000002"/>
    <n v="0.26461325922447337"/>
    <n v="21.35"/>
    <n v="1.8829039812646369E-2"/>
    <n v="0"/>
    <n v="21.35"/>
    <n v="151938000"/>
    <n v="0.765904513683213"/>
  </r>
  <r>
    <x v="101"/>
    <x v="1"/>
    <n v="151938000"/>
    <n v="176611578"/>
    <n v="0.86029467445220376"/>
    <n v="0.38"/>
    <n v="0.44170911582355965"/>
    <n v="21.35"/>
    <n v="1.7798594847775174E-2"/>
    <n v="0"/>
    <n v="21.35"/>
    <n v="151547000"/>
    <n v="2.5800576718773005E-3"/>
  </r>
  <r>
    <x v="101"/>
    <x v="2"/>
    <n v="151547000"/>
    <n v="176611578"/>
    <n v="0.85808077656154569"/>
    <n v="0.36499999999999999"/>
    <n v="0.42536787907381868"/>
    <n v="21.35"/>
    <n v="1.7096018735362997E-2"/>
    <n v="0"/>
    <n v="21.35"/>
    <n v="92927000"/>
    <n v="0.63081773865507329"/>
  </r>
  <r>
    <x v="101"/>
    <x v="3"/>
    <n v="92927000"/>
    <n v="176611578"/>
    <n v="0.52616595725111526"/>
    <n v="0.315"/>
    <n v="0.59867043023018063"/>
    <n v="21.35"/>
    <n v="1.4754098360655736E-2"/>
    <n v="0"/>
    <n v="21.35"/>
    <n v="0"/>
    <s v=""/>
  </r>
  <r>
    <x v="102"/>
    <x v="0"/>
    <n v="4539233257.3500004"/>
    <n v="5470667261"/>
    <n v="0.82974032979667278"/>
    <n v="0.34289999999999998"/>
    <n v="0.41326182142312806"/>
    <n v="10.56"/>
    <n v="3.2471590909090908E-2"/>
    <n v="10.56"/>
    <n v="0"/>
    <n v="4693567188.1000004"/>
    <n v="-3.2882011605436468E-2"/>
  </r>
  <r>
    <x v="102"/>
    <x v="1"/>
    <n v="4693567188.1000004"/>
    <n v="5470667261"/>
    <n v="0.85795150100977791"/>
    <n v="0.33350000000000002"/>
    <n v="0.38871661114583117"/>
    <n v="10.56"/>
    <n v="3.1581439393939391E-2"/>
    <n v="10.56"/>
    <n v="0"/>
    <n v="4309548054.5299997"/>
    <n v="8.9108910890629778E-2"/>
  </r>
  <r>
    <x v="102"/>
    <x v="2"/>
    <n v="4309548054.5299997"/>
    <n v="5470667261"/>
    <n v="0.78775546910931016"/>
    <n v="0.29649999999999999"/>
    <n v="0.37638583497902339"/>
    <n v="10.56"/>
    <n v="2.8077651515151514E-2"/>
    <n v="10.56"/>
    <n v="0"/>
    <n v="2858809105.48"/>
    <n v="0.50746268656732063"/>
  </r>
  <r>
    <x v="102"/>
    <x v="3"/>
    <n v="2858809105.48"/>
    <n v="5470667261"/>
    <n v="0.52257045970612181"/>
    <n v="0.25769999999999998"/>
    <n v="0.49313924125164449"/>
    <n v="10.56"/>
    <n v="2.4403409090909087E-2"/>
    <n v="10.56"/>
    <n v="0"/>
    <n v="0"/>
    <s v=""/>
  </r>
  <r>
    <x v="103"/>
    <x v="0"/>
    <n v="4539233257.3500004"/>
    <n v="5470667261"/>
    <n v="0.82974032979667278"/>
    <n v="0.34289999999999998"/>
    <n v="0.41326182142312806"/>
    <n v="8.6199999999999992"/>
    <n v="3.9779582366589329E-2"/>
    <n v="8.6199999999999992"/>
    <n v="0"/>
    <n v="4693567188.1000004"/>
    <n v="-3.2882011605436468E-2"/>
  </r>
  <r>
    <x v="103"/>
    <x v="1"/>
    <n v="4693567188.1000004"/>
    <n v="5470667261"/>
    <n v="0.85795150100977791"/>
    <n v="0.33350000000000002"/>
    <n v="0.38871661114583117"/>
    <n v="8.6199999999999992"/>
    <n v="3.8689095127610214E-2"/>
    <n v="8.6199999999999992"/>
    <n v="0"/>
    <n v="4309548054.5299997"/>
    <n v="8.9108910890629778E-2"/>
  </r>
  <r>
    <x v="103"/>
    <x v="2"/>
    <n v="4309548054.5299997"/>
    <n v="5470667261"/>
    <n v="0.78775546910931016"/>
    <n v="0.29649999999999999"/>
    <n v="0.37638583497902339"/>
    <n v="8.6199999999999992"/>
    <n v="3.439675174013921E-2"/>
    <n v="8.6199999999999992"/>
    <n v="0"/>
    <n v="2858809105.48"/>
    <n v="0.50746268656732063"/>
  </r>
  <r>
    <x v="103"/>
    <x v="3"/>
    <n v="2858809105.48"/>
    <n v="5470667261"/>
    <n v="0.52257045970612181"/>
    <n v="0.25769999999999998"/>
    <n v="0.49313924125164449"/>
    <n v="8.6199999999999992"/>
    <n v="2.9895591647331788E-2"/>
    <n v="8.6199999999999992"/>
    <n v="0"/>
    <n v="0"/>
    <s v=""/>
  </r>
  <r>
    <x v="104"/>
    <x v="0"/>
    <n v="10799538178.68"/>
    <n v="5028029710"/>
    <n v="2.14786681892538"/>
    <n v="1"/>
    <n v="0.46557821518017567"/>
    <n v="28.99"/>
    <n v="3.4494653328734047E-2"/>
    <n v="28.99"/>
    <n v="0"/>
    <n v="11890195760.129999"/>
    <n v="-9.172747055243391E-2"/>
  </r>
  <r>
    <x v="104"/>
    <x v="1"/>
    <n v="11890195760.129999"/>
    <n v="5028029710"/>
    <n v="2.364782319500256"/>
    <n v="0.97270000000000001"/>
    <n v="0.41132750020118491"/>
    <n v="28.99"/>
    <n v="3.355294929285961E-2"/>
    <n v="28.99"/>
    <n v="0"/>
    <n v="10272015528.35"/>
    <n v="0.15753288410769439"/>
  </r>
  <r>
    <x v="104"/>
    <x v="2"/>
    <n v="10272015528.35"/>
    <n v="5028029710"/>
    <n v="2.0429504439722175"/>
    <n v="0.86070000000000002"/>
    <n v="0.42130243664966005"/>
    <n v="28.99"/>
    <n v="2.9689548120041397E-2"/>
    <n v="28.99"/>
    <n v="0"/>
    <n v="0"/>
    <s v=""/>
  </r>
  <r>
    <x v="105"/>
    <x v="0"/>
    <n v="10799538178.68"/>
    <n v="5028029710"/>
    <n v="2.14786681892538"/>
    <n v="1"/>
    <n v="0.46557821518017567"/>
    <n v="31.25"/>
    <n v="3.2000000000000001E-2"/>
    <n v="31.25"/>
    <n v="0"/>
    <n v="11890195760.129999"/>
    <n v="-9.172747055243391E-2"/>
  </r>
  <r>
    <x v="105"/>
    <x v="1"/>
    <n v="11890195760.129999"/>
    <n v="5028029710"/>
    <n v="2.364782319500256"/>
    <n v="0.97270000000000001"/>
    <n v="0.41132750020118491"/>
    <n v="31.25"/>
    <n v="3.1126400000000002E-2"/>
    <n v="31.25"/>
    <n v="0"/>
    <n v="10272015528.35"/>
    <n v="0.15753288410769439"/>
  </r>
  <r>
    <x v="105"/>
    <x v="2"/>
    <n v="10272015528.35"/>
    <n v="5028029710"/>
    <n v="2.0429504439722175"/>
    <n v="0.86070000000000002"/>
    <n v="0.42130243664966005"/>
    <n v="31.25"/>
    <n v="2.7542400000000002E-2"/>
    <n v="31.25"/>
    <n v="0"/>
    <n v="0"/>
    <s v=""/>
  </r>
  <r>
    <x v="106"/>
    <x v="0"/>
    <n v="718939800.83000004"/>
    <n v="2943644008"/>
    <n v="0.244234628533927"/>
    <n v="5.8005724000000002E-2"/>
    <n v="0.23749999886663223"/>
    <n v="8.9"/>
    <n v="6.5174970786516856E-3"/>
    <n v="0"/>
    <n v="8.9"/>
    <n v="-75180667.959999993"/>
    <n v="-10.562828055910773"/>
  </r>
  <r>
    <x v="106"/>
    <x v="1"/>
    <n v="-75180667.959999993"/>
    <n v="2943644008"/>
    <n v="-2.5539999998532428E-2"/>
    <n v="0"/>
    <s v=""/>
    <n v="8.9"/>
    <s v=""/>
    <n v="0"/>
    <n v="8.9"/>
    <n v="-357505564.80000001"/>
    <n v="0"/>
  </r>
  <r>
    <x v="106"/>
    <x v="2"/>
    <n v="-357505564.80000001"/>
    <n v="2943644008"/>
    <n v="-0.12145000000964791"/>
    <n v="0"/>
    <s v=""/>
    <n v="8.9"/>
    <s v=""/>
    <n v="0"/>
    <n v="8.9"/>
    <n v="0"/>
    <s v=""/>
  </r>
  <r>
    <x v="107"/>
    <x v="0"/>
    <n v="751965362.53999996"/>
    <n v="917683296"/>
    <n v="0.81941707538719322"/>
    <n v="0.2064"/>
    <n v="0.25188637898773503"/>
    <n v="11"/>
    <n v="1.8763636363636364E-2"/>
    <n v="11"/>
    <n v="0"/>
    <n v="182710744"/>
    <n v="3.1156056074075202"/>
  </r>
  <r>
    <x v="107"/>
    <x v="1"/>
    <n v="182710744"/>
    <n v="917683296"/>
    <n v="0.19909999974544595"/>
    <n v="0.1447"/>
    <n v="0.72677046803115197"/>
    <n v="11"/>
    <n v="1.3154545454545453E-2"/>
    <n v="11"/>
    <n v="0"/>
    <n v="559786811"/>
    <n v="-0.67360655805090053"/>
  </r>
  <r>
    <x v="107"/>
    <x v="2"/>
    <n v="559786811"/>
    <n v="917683296"/>
    <n v="0.61000000047946823"/>
    <n v="0.12509999999999999"/>
    <n v="0.20508196705191753"/>
    <n v="11"/>
    <n v="1.1372727272727272E-2"/>
    <n v="11"/>
    <n v="0"/>
    <n v="0"/>
    <s v=""/>
  </r>
  <r>
    <x v="108"/>
    <x v="0"/>
    <n v="751965362.53999996"/>
    <n v="917683296"/>
    <n v="0.81941707538719322"/>
    <n v="0.22700000000000001"/>
    <n v="0.27702620169678221"/>
    <n v="12.71"/>
    <n v="1.7859952793076318E-2"/>
    <n v="12.71"/>
    <n v="0"/>
    <n v="182710744"/>
    <n v="3.1156056074075202"/>
  </r>
  <r>
    <x v="108"/>
    <x v="1"/>
    <n v="182710744"/>
    <n v="917683296"/>
    <n v="0.19909999974544595"/>
    <n v="0.15920000000000001"/>
    <n v="0.79959819288569045"/>
    <n v="12.71"/>
    <n v="1.2525570416994493E-2"/>
    <n v="12.71"/>
    <n v="0"/>
    <n v="559786811"/>
    <n v="-0.67360655805090053"/>
  </r>
  <r>
    <x v="108"/>
    <x v="2"/>
    <n v="559786811"/>
    <n v="917683296"/>
    <n v="0.61000000047946823"/>
    <n v="0.1376"/>
    <n v="0.22557377031449924"/>
    <n v="12.71"/>
    <n v="1.0826121164437451E-2"/>
    <n v="12.71"/>
    <n v="0"/>
    <n v="0"/>
    <s v=""/>
  </r>
  <r>
    <x v="109"/>
    <x v="0"/>
    <n v="3722000"/>
    <n v="65075322"/>
    <n v="5.7195260593562641E-2"/>
    <n v="0.15492519799999999"/>
    <n v="2.7087069171853182"/>
    <n v="6.5"/>
    <n v="2.3834645846153843E-2"/>
    <n v="0"/>
    <n v="6.5"/>
    <n v="22576000"/>
    <n v="-0.83513465627214745"/>
  </r>
  <r>
    <x v="109"/>
    <x v="1"/>
    <n v="22576000"/>
    <n v="65075322"/>
    <n v="0.34692106479319457"/>
    <n v="0.22154209999999999"/>
    <n v="0.63859512287633768"/>
    <n v="6.5"/>
    <n v="3.40834E-2"/>
    <n v="0"/>
    <n v="6.5"/>
    <n v="0"/>
    <s v=""/>
  </r>
  <r>
    <x v="110"/>
    <x v="0"/>
    <n v="423923458.43000001"/>
    <n v="203934060"/>
    <n v="2.0787280870591212"/>
    <n v="1.71"/>
    <n v="0.82261841298311467"/>
    <n v="20.61"/>
    <n v="8.296943231441048E-2"/>
    <n v="20.61"/>
    <n v="0"/>
    <n v="310647000"/>
    <n v="0.36464687709844301"/>
  </r>
  <r>
    <x v="110"/>
    <x v="1"/>
    <n v="310647000"/>
    <n v="203934060"/>
    <n v="1.523271786968788"/>
    <n v="1.45"/>
    <n v="0.95189841524302499"/>
    <n v="20.61"/>
    <n v="7.0354196991751577E-2"/>
    <n v="20.61"/>
    <n v="0"/>
    <n v="575150000"/>
    <n v="-0.45988524732678426"/>
  </r>
  <r>
    <x v="110"/>
    <x v="2"/>
    <n v="575150000"/>
    <n v="203934060"/>
    <n v="2.8202743573094167"/>
    <n v="1.72"/>
    <n v="0.6098697438928975"/>
    <n v="20.61"/>
    <n v="8.3454633672974288E-2"/>
    <n v="20.61"/>
    <n v="0"/>
    <n v="0"/>
    <s v=""/>
  </r>
  <r>
    <x v="111"/>
    <x v="0"/>
    <n v="13335000"/>
    <n v="11764889"/>
    <n v="1.1334573577362268"/>
    <n v="0.27145999999999998"/>
    <n v="0.23949732043044619"/>
    <n v="49.6"/>
    <n v="5.4729838709677413E-3"/>
    <n v="49.6"/>
    <n v="0"/>
    <n v="23655000"/>
    <n v="-0.43627140139505394"/>
  </r>
  <r>
    <x v="111"/>
    <x v="1"/>
    <n v="23655000"/>
    <n v="11764889"/>
    <n v="2.0106437043307421"/>
    <n v="1.9100999999999999"/>
    <n v="0.94999427093214961"/>
    <n v="49.6"/>
    <n v="3.8510080645161288E-2"/>
    <n v="49.6"/>
    <n v="0"/>
    <n v="23252000"/>
    <n v="1.7331842422157129E-2"/>
  </r>
  <r>
    <x v="111"/>
    <x v="2"/>
    <n v="23252000"/>
    <n v="11764889"/>
    <n v="1.9763892375015182"/>
    <n v="0.92493999999999998"/>
    <n v="0.46799485771804578"/>
    <n v="49.6"/>
    <n v="1.8647983870967742E-2"/>
    <n v="49.6"/>
    <n v="0"/>
    <n v="11051000"/>
    <n v="1.1040629807257263"/>
  </r>
  <r>
    <x v="111"/>
    <x v="3"/>
    <n v="11051000"/>
    <n v="11764889"/>
    <n v="0.93932037947829339"/>
    <n v="6.5060000000000007E-2"/>
    <n v="6.9262843031399887E-2"/>
    <n v="49.6"/>
    <n v="1.3116935483870969E-3"/>
    <n v="49.6"/>
    <n v="0"/>
    <n v="0"/>
    <s v=""/>
  </r>
  <r>
    <x v="112"/>
    <x v="0"/>
    <n v="70727730.280000001"/>
    <n v="290677834"/>
    <n v="0.24331999900618498"/>
    <n v="5.7530390000000001E-2"/>
    <n v="0.23643921681315488"/>
    <n v="5.65"/>
    <n v="1.0182369911504424E-2"/>
    <n v="0"/>
    <n v="5.65"/>
    <n v="97911000"/>
    <n v="-0.27763243884752475"/>
  </r>
  <r>
    <x v="112"/>
    <x v="1"/>
    <n v="97911000"/>
    <n v="290677834"/>
    <n v="0.33683682946392124"/>
    <n v="0.03"/>
    <n v="8.9063894965836304E-2"/>
    <n v="5.65"/>
    <n v="5.3097345132743353E-3"/>
    <n v="0"/>
    <n v="5.65"/>
    <n v="91765000"/>
    <n v="6.6975426360812884E-2"/>
  </r>
  <r>
    <x v="112"/>
    <x v="2"/>
    <n v="91765000"/>
    <n v="290677834"/>
    <n v="0.31569314638556167"/>
    <n v="0"/>
    <s v=""/>
    <n v="5.65"/>
    <s v=""/>
    <n v="0"/>
    <n v="5.65"/>
    <n v="0"/>
    <s v=""/>
  </r>
  <r>
    <x v="113"/>
    <x v="0"/>
    <n v="16768000"/>
    <n v="11759999"/>
    <n v="1.4258504613818419"/>
    <n v="0.42399999999999999"/>
    <n v="0.29736638692748091"/>
    <n v="83.91"/>
    <n v="5.0530330115600049E-3"/>
    <n v="0"/>
    <n v="83.91"/>
    <n v="8649000"/>
    <n v="0.93872123944964736"/>
  </r>
  <r>
    <x v="113"/>
    <x v="1"/>
    <n v="8649000"/>
    <n v="11759999"/>
    <n v="0.7354592462125209"/>
    <n v="0.18870000000000001"/>
    <n v="0.25657437984738124"/>
    <n v="83.91"/>
    <n v="2.2488380407579551E-3"/>
    <n v="0"/>
    <n v="83.91"/>
    <n v="24344000"/>
    <n v="-0.64471738416036806"/>
  </r>
  <r>
    <x v="113"/>
    <x v="2"/>
    <n v="24344000"/>
    <n v="11759999"/>
    <n v="2.0700682032370921"/>
    <n v="0.54059999999999997"/>
    <n v="0.2611508157821229"/>
    <n v="83.91"/>
    <n v="6.4426170897390056E-3"/>
    <n v="0"/>
    <n v="83.91"/>
    <n v="0"/>
    <s v=""/>
  </r>
  <r>
    <x v="114"/>
    <x v="0"/>
    <n v="16768000"/>
    <n v="11759999"/>
    <n v="1.4258504613818419"/>
    <n v="0.52300000000000002"/>
    <n v="0.36679863293177484"/>
    <n v="6.58"/>
    <n v="7.9483282674772032E-2"/>
    <n v="0"/>
    <n v="6.58"/>
    <n v="8649000"/>
    <n v="0.93872123944964736"/>
  </r>
  <r>
    <x v="114"/>
    <x v="1"/>
    <n v="8649000"/>
    <n v="11759999"/>
    <n v="0.7354592462125209"/>
    <n v="0.38419999999999999"/>
    <n v="0.5223946832928662"/>
    <n v="6.58"/>
    <n v="5.8389057750759879E-2"/>
    <n v="0"/>
    <n v="6.58"/>
    <n v="24344000"/>
    <n v="-0.64471738416036806"/>
  </r>
  <r>
    <x v="114"/>
    <x v="2"/>
    <n v="24344000"/>
    <n v="11759999"/>
    <n v="2.0700682032370921"/>
    <n v="0.62594000000000005"/>
    <n v="0.3023765106005587"/>
    <n v="6.58"/>
    <n v="9.5127659574468088E-2"/>
    <n v="0"/>
    <n v="6.58"/>
    <n v="0"/>
    <s v=""/>
  </r>
  <r>
    <x v="115"/>
    <x v="0"/>
    <n v="172669675.86000001"/>
    <n v="12251221"/>
    <n v="14.094078937927902"/>
    <n v="3.8149609419999999"/>
    <n v="0.27067827268469036"/>
    <n v="158.99"/>
    <n v="2.3994974161896974E-2"/>
    <n v="0"/>
    <n v="158.99"/>
    <n v="181046595.15000001"/>
    <n v="-4.6269410827967095E-2"/>
  </r>
  <r>
    <x v="115"/>
    <x v="1"/>
    <n v="181046595.15000001"/>
    <n v="12251221"/>
    <n v="14.777840931120254"/>
    <n v="5.4828608059999997"/>
    <n v="0.37101907048233224"/>
    <n v="158.99"/>
    <n v="3.4485570199383607E-2"/>
    <n v="0"/>
    <n v="158.99"/>
    <n v="111311611.06999999"/>
    <n v="0.62648436591350842"/>
  </r>
  <r>
    <x v="115"/>
    <x v="2"/>
    <n v="111311611.06999999"/>
    <n v="12251221"/>
    <n v="9.0857565192889744"/>
    <n v="3.6731054410000001"/>
    <n v="0.40427073223919574"/>
    <n v="158.99"/>
    <n v="2.3102745084596515E-2"/>
    <n v="0"/>
    <n v="158.99"/>
    <n v="74101153.209999993"/>
    <n v="0.50215760818926669"/>
  </r>
  <r>
    <x v="115"/>
    <x v="3"/>
    <n v="74101153.209999993"/>
    <n v="12251221"/>
    <n v="6.0484708593535288"/>
    <n v="3.9996022359999999"/>
    <n v="0.66125841208524638"/>
    <n v="158.99"/>
    <n v="2.5156313202088179E-2"/>
    <n v="0"/>
    <n v="158.99"/>
    <n v="0"/>
    <s v=""/>
  </r>
  <r>
    <x v="116"/>
    <x v="0"/>
    <n v="386792226.60000002"/>
    <n v="189997214"/>
    <n v="2.0357784119929256"/>
    <n v="1.0304815780000001"/>
    <n v="0.50618553175009351"/>
    <n v="47.25"/>
    <n v="2.1809133925925928E-2"/>
    <n v="0"/>
    <n v="47.25"/>
    <n v="296889622.02999997"/>
    <n v="0.30281491133063465"/>
  </r>
  <r>
    <x v="116"/>
    <x v="1"/>
    <n v="296889622.02999997"/>
    <n v="189997214"/>
    <n v="1.5625998707012618"/>
    <n v="0.784386535"/>
    <n v="0.50197529752001313"/>
    <n v="47.25"/>
    <n v="1.6600773227513226E-2"/>
    <n v="0"/>
    <n v="47.25"/>
    <n v="216710069.06"/>
    <n v="0.36998536024554007"/>
  </r>
  <r>
    <x v="116"/>
    <x v="2"/>
    <n v="216710069.06"/>
    <n v="189997214"/>
    <n v="1.1405960355818692"/>
    <n v="0.54198311700000001"/>
    <n v="0.47517534700487551"/>
    <n v="47.25"/>
    <n v="1.1470542158730159E-2"/>
    <n v="0"/>
    <n v="47.25"/>
    <n v="170612814.30000001"/>
    <n v="0.2701863570396541"/>
  </r>
  <r>
    <x v="116"/>
    <x v="3"/>
    <n v="170612814.30000001"/>
    <n v="189997214"/>
    <n v="0.89797534768062448"/>
    <n v="0.32047732699999998"/>
    <n v="0.35688878077528419"/>
    <n v="47.25"/>
    <n v="6.7825889312169308E-3"/>
    <n v="0"/>
    <n v="47.25"/>
    <n v="0"/>
    <s v=""/>
  </r>
  <r>
    <x v="117"/>
    <x v="0"/>
    <n v="837439831.94000006"/>
    <n v="1797086404"/>
    <n v="0.46599864651805584"/>
    <n v="4.07"/>
    <n v="8.7339309468193953"/>
    <n v="4.6900000000000004"/>
    <n v="0.86780383795309168"/>
    <n v="0"/>
    <n v="4.6900000000000004"/>
    <n v="1005731443.8099999"/>
    <n v="-0.16733255473495279"/>
  </r>
  <r>
    <x v="117"/>
    <x v="1"/>
    <n v="1005731443.8099999"/>
    <n v="1797086404"/>
    <n v="0.55964556939021837"/>
    <n v="0.92"/>
    <n v="1.6438975850419375"/>
    <n v="4.6900000000000004"/>
    <n v="0.19616204690831557"/>
    <n v="0"/>
    <n v="4.6900000000000004"/>
    <n v="1971024029.29"/>
    <n v="-0.48974166277806197"/>
  </r>
  <r>
    <x v="117"/>
    <x v="2"/>
    <n v="1971024029.29"/>
    <n v="1797086404"/>
    <n v="1.0967886824489046"/>
    <n v="0"/>
    <s v=""/>
    <n v="4.6900000000000004"/>
    <s v=""/>
    <n v="0"/>
    <n v="4.6900000000000004"/>
    <n v="0"/>
    <s v=""/>
  </r>
  <r>
    <x v="118"/>
    <x v="0"/>
    <n v="837439831.94000006"/>
    <n v="1797086404"/>
    <n v="0.46599864651805584"/>
    <n v="4.07"/>
    <n v="8.7339309468193953"/>
    <n v="4.37"/>
    <n v="0.93135011441647597"/>
    <n v="0"/>
    <n v="4.37"/>
    <n v="1005731443.8099999"/>
    <n v="-0.16733255473495279"/>
  </r>
  <r>
    <x v="118"/>
    <x v="1"/>
    <n v="1005731443.8099999"/>
    <n v="1797086404"/>
    <n v="0.55964556939021837"/>
    <n v="0.92"/>
    <n v="1.6438975850419375"/>
    <n v="4.37"/>
    <n v="0.2105263157894737"/>
    <n v="0"/>
    <n v="4.37"/>
    <n v="1971024029.29"/>
    <n v="-0.48974166277806197"/>
  </r>
  <r>
    <x v="118"/>
    <x v="2"/>
    <n v="1971024029.29"/>
    <n v="1797086404"/>
    <n v="1.0967886824489046"/>
    <n v="0"/>
    <s v=""/>
    <n v="4.37"/>
    <s v=""/>
    <n v="0"/>
    <n v="4.37"/>
    <n v="0"/>
    <s v=""/>
  </r>
  <r>
    <x v="119"/>
    <x v="0"/>
    <n v="15469895.77"/>
    <n v="12587262"/>
    <n v="1.2290119781410762"/>
    <n v="1.0680540000000001"/>
    <n v="0.86903465466257634"/>
    <n v="20"/>
    <n v="5.3402700000000004E-2"/>
    <n v="0"/>
    <n v="20"/>
    <n v="13306306.460000001"/>
    <n v="0.1625987885146003"/>
  </r>
  <r>
    <x v="119"/>
    <x v="1"/>
    <n v="13306306.460000001"/>
    <n v="12587262"/>
    <n v="1.0571247710582334"/>
    <n v="1.003811"/>
    <n v="0.9495671915767675"/>
    <n v="20"/>
    <n v="5.019055E-2"/>
    <n v="0"/>
    <n v="20"/>
    <n v="19966613.23"/>
    <n v="-0.333572183388259"/>
  </r>
  <r>
    <x v="119"/>
    <x v="2"/>
    <n v="19966613.23"/>
    <n v="12587262"/>
    <n v="1.5862554723974125"/>
    <n v="0.962588"/>
    <n v="0.6068303730074307"/>
    <n v="20"/>
    <n v="4.8129400000000003E-2"/>
    <n v="0"/>
    <n v="20"/>
    <n v="8984823.1899999995"/>
    <n v="1.2222600053190362"/>
  </r>
  <r>
    <x v="119"/>
    <x v="3"/>
    <n v="8984823.1899999995"/>
    <n v="12587262"/>
    <n v="0.71380282622225544"/>
    <n v="0.86186600000000002"/>
    <n v="1.2074286740518487"/>
    <n v="20"/>
    <n v="4.3093300000000001E-2"/>
    <n v="0"/>
    <n v="20"/>
    <n v="0"/>
    <s v=""/>
  </r>
  <r>
    <x v="120"/>
    <x v="0"/>
    <n v="20894905121.599998"/>
    <n v="13044496930"/>
    <n v="1.6018176272896711"/>
    <n v="0.47"/>
    <n v="0.29341667365420099"/>
    <n v="15.12"/>
    <n v="3.1084656084656083E-2"/>
    <n v="0"/>
    <n v="15.12"/>
    <n v="33133022202"/>
    <n v="-0.36936313885852756"/>
  </r>
  <r>
    <x v="120"/>
    <x v="1"/>
    <n v="33133022202"/>
    <n v="13044496930"/>
    <n v="2.5399999999846679"/>
    <n v="0.92"/>
    <n v="0.3622047244116352"/>
    <n v="15.12"/>
    <n v="6.084656084656085E-2"/>
    <n v="0"/>
    <n v="15.12"/>
    <n v="46307964102"/>
    <n v="-0.28450704226556545"/>
  </r>
  <r>
    <x v="120"/>
    <x v="2"/>
    <n v="46307964102"/>
    <n v="13044496930"/>
    <n v="3.5500000000383305"/>
    <n v="1.03"/>
    <n v="0.29014084506728982"/>
    <n v="15.12"/>
    <n v="6.8121693121693125E-2"/>
    <n v="0"/>
    <n v="15.12"/>
    <n v="44612179501"/>
    <n v="3.801169590833342E-2"/>
  </r>
  <r>
    <x v="120"/>
    <x v="3"/>
    <n v="44612179501"/>
    <n v="13044496930"/>
    <n v="3.4200000000306643"/>
    <n v="0.95"/>
    <n v="0.27777777777528717"/>
    <n v="15.12"/>
    <n v="6.2830687830687834E-2"/>
    <n v="0"/>
    <n v="15.12"/>
    <n v="0"/>
    <s v=""/>
  </r>
  <r>
    <x v="121"/>
    <x v="0"/>
    <n v="20894905121.599998"/>
    <n v="13044496930"/>
    <n v="1.6018176272896711"/>
    <n v="0.96"/>
    <n v="0.5993191632085807"/>
    <n v="16.04"/>
    <n v="5.9850374064837904E-2"/>
    <n v="0"/>
    <n v="16.04"/>
    <n v="33133022202"/>
    <n v="-0.36936313885852756"/>
  </r>
  <r>
    <x v="121"/>
    <x v="1"/>
    <n v="33133022202"/>
    <n v="13044496930"/>
    <n v="2.5399999999846679"/>
    <n v="0.92"/>
    <n v="0.3622047244116352"/>
    <n v="16.04"/>
    <n v="5.7356608478803001E-2"/>
    <n v="0"/>
    <n v="16.04"/>
    <n v="46307964102"/>
    <n v="-0.28450704226556545"/>
  </r>
  <r>
    <x v="121"/>
    <x v="2"/>
    <n v="46307964102"/>
    <n v="13044496930"/>
    <n v="3.5500000000383305"/>
    <n v="1.03"/>
    <n v="0.29014084506728982"/>
    <n v="16.04"/>
    <n v="6.4214463840399014E-2"/>
    <n v="0"/>
    <n v="16.04"/>
    <n v="44612179501"/>
    <n v="3.801169590833342E-2"/>
  </r>
  <r>
    <x v="121"/>
    <x v="3"/>
    <n v="44612179501"/>
    <n v="13044496930"/>
    <n v="3.4200000000306643"/>
    <n v="0.95"/>
    <n v="0.27777777777528717"/>
    <n v="16.04"/>
    <n v="5.922693266832918E-2"/>
    <n v="0"/>
    <n v="16.04"/>
    <n v="0"/>
    <s v=""/>
  </r>
  <r>
    <x v="122"/>
    <x v="0"/>
    <n v="187453404.96000001"/>
    <n v="110842313"/>
    <n v="1.6911718989480129"/>
    <n v="0.92906"/>
    <n v="0.54935870243463614"/>
    <n v="8.6999999999999993"/>
    <n v="0.10678850574712645"/>
    <n v="8.6999999999999993"/>
    <n v="0"/>
    <n v="161513908.16999999"/>
    <n v="0.16060224833825232"/>
  </r>
  <r>
    <x v="122"/>
    <x v="1"/>
    <n v="161513908.16999999"/>
    <n v="110842313"/>
    <n v="1.4571502867321073"/>
    <n v="0.83615399999999995"/>
    <n v="0.57382825067084131"/>
    <n v="8.6999999999999993"/>
    <n v="9.6109655172413794E-2"/>
    <n v="8.6999999999999993"/>
    <n v="0"/>
    <n v="116428578.18000001"/>
    <n v="0.38723594064936107"/>
  </r>
  <r>
    <x v="122"/>
    <x v="2"/>
    <n v="116428578.18000001"/>
    <n v="110842313"/>
    <n v="1.0503983093532161"/>
    <n v="0.69679500000000005"/>
    <n v="0.66336264424211833"/>
    <n v="8.6999999999999993"/>
    <n v="8.0091379310344837E-2"/>
    <n v="8.6999999999999993"/>
    <n v="0"/>
    <n v="86911496.730000004"/>
    <n v="0.3396222888865672"/>
  </r>
  <r>
    <x v="122"/>
    <x v="3"/>
    <n v="86911496.730000004"/>
    <n v="110842313"/>
    <n v="0.78410035281382129"/>
    <n v="0.69679500000000005"/>
    <n v="0.88865538384147214"/>
    <n v="8.6999999999999993"/>
    <n v="8.0091379310344837E-2"/>
    <n v="8.6999999999999993"/>
    <n v="0"/>
    <n v="0"/>
    <s v=""/>
  </r>
  <r>
    <x v="123"/>
    <x v="0"/>
    <n v="196691606.94"/>
    <n v="87289932"/>
    <n v="2.2533137835414969"/>
    <n v="0.72"/>
    <n v="0.31952939943783043"/>
    <n v="11.32"/>
    <n v="6.3604240282685506E-2"/>
    <n v="11.32"/>
    <n v="0"/>
    <n v="359474959.12"/>
    <n v="-0.45283641614007286"/>
  </r>
  <r>
    <x v="123"/>
    <x v="1"/>
    <n v="359474959.12"/>
    <n v="87289932"/>
    <n v="4.118172060438769"/>
    <n v="1.0900000000000001"/>
    <n v="0.26468053884175652"/>
    <n v="11.32"/>
    <n v="9.6289752650176683E-2"/>
    <n v="11.32"/>
    <n v="0"/>
    <n v="117452154.81999999"/>
    <n v="2.0606076122733499"/>
  </r>
  <r>
    <x v="123"/>
    <x v="2"/>
    <n v="117452154.81999999"/>
    <n v="87289932"/>
    <n v="1.3455406841192177"/>
    <n v="0.52"/>
    <n v="0.38646174444022008"/>
    <n v="11.32"/>
    <n v="4.5936395759717315E-2"/>
    <n v="11.32"/>
    <n v="0"/>
    <n v="0"/>
    <s v=""/>
  </r>
  <r>
    <x v="124"/>
    <x v="0"/>
    <n v="45071000"/>
    <n v="80041132"/>
    <n v="0.56309798317195214"/>
    <n v="0.66"/>
    <n v="1.1720873093563489"/>
    <n v="7.7"/>
    <n v="8.5714285714285715E-2"/>
    <n v="0"/>
    <n v="7.7"/>
    <n v="29451000"/>
    <n v="0.53037248310753449"/>
  </r>
  <r>
    <x v="124"/>
    <x v="1"/>
    <n v="29451000"/>
    <n v="80041132"/>
    <n v="0.36794831937159511"/>
    <n v="0.5"/>
    <n v="1.3588864894231094"/>
    <n v="7.7"/>
    <n v="6.4935064935064929E-2"/>
    <n v="0"/>
    <n v="7.7"/>
    <n v="23814000"/>
    <n v="0.23670949861426061"/>
  </r>
  <r>
    <x v="124"/>
    <x v="2"/>
    <n v="23814000"/>
    <n v="80041132"/>
    <n v="0.29752202904876457"/>
    <n v="0.41"/>
    <n v="1.37804921978668"/>
    <n v="7.7"/>
    <n v="5.3246753246753244E-2"/>
    <n v="0"/>
    <n v="7.7"/>
    <n v="0"/>
    <s v=""/>
  </r>
  <r>
    <x v="125"/>
    <x v="0"/>
    <n v="682580077"/>
    <n v="323293030"/>
    <n v="2.111335579984511"/>
    <n v="1.05"/>
    <n v="0.49731554280333917"/>
    <n v="29"/>
    <n v="3.6206896551724141E-2"/>
    <n v="29"/>
    <n v="0"/>
    <n v="580084000"/>
    <n v="0.17669178429330934"/>
  </r>
  <r>
    <x v="125"/>
    <x v="1"/>
    <n v="580084000"/>
    <n v="323293030"/>
    <n v="1.7942978851106068"/>
    <n v="0.84"/>
    <n v="0.46814969073444535"/>
    <n v="29"/>
    <n v="2.8965517241379309E-2"/>
    <n v="29"/>
    <n v="0"/>
    <n v="623912000"/>
    <n v="-7.0247086127530833E-2"/>
  </r>
  <r>
    <x v="125"/>
    <x v="2"/>
    <n v="623912000"/>
    <n v="323293030"/>
    <n v="1.9298652989827836"/>
    <n v="0.72"/>
    <n v="0.37308303350472499"/>
    <n v="29"/>
    <n v="2.4827586206896551E-2"/>
    <n v="29"/>
    <n v="0"/>
    <n v="328416000"/>
    <n v="0.89976127837864173"/>
  </r>
  <r>
    <x v="125"/>
    <x v="3"/>
    <n v="328416000"/>
    <n v="323293030"/>
    <n v="1.0158462123356016"/>
    <n v="0.4"/>
    <n v="0.39376038926239892"/>
    <n v="29"/>
    <n v="1.3793103448275864E-2"/>
    <n v="29"/>
    <n v="0"/>
    <n v="0"/>
    <s v=""/>
  </r>
  <r>
    <x v="126"/>
    <x v="0"/>
    <n v="313688976.75999999"/>
    <n v="17887362"/>
    <n v="17.53690548444203"/>
    <n v="5.0837892499999997"/>
    <n v="0.28989089634486048"/>
    <n v="58"/>
    <n v="8.7651538793103445E-2"/>
    <n v="0"/>
    <n v="58"/>
    <n v="96465537.109999999"/>
    <n v="2.2518242903919079"/>
  </r>
  <r>
    <x v="126"/>
    <x v="1"/>
    <n v="96465537.109999999"/>
    <n v="17887362"/>
    <n v="5.392943750453532"/>
    <n v="2.3852000000000002"/>
    <n v="0.44228163881728072"/>
    <n v="58"/>
    <n v="4.1124137931034484E-2"/>
    <n v="0"/>
    <n v="58"/>
    <n v="86203563.489999995"/>
    <n v="0.11904349663213676"/>
  </r>
  <r>
    <x v="126"/>
    <x v="2"/>
    <n v="86203563.489999995"/>
    <n v="17887362"/>
    <n v="4.8192440836161303"/>
    <n v="1.2701"/>
    <n v="0.26354755599906815"/>
    <n v="58"/>
    <n v="2.1898275862068967E-2"/>
    <n v="0"/>
    <n v="58"/>
    <n v="74229898.859999999"/>
    <n v="0.16130514541832697"/>
  </r>
  <r>
    <x v="126"/>
    <x v="3"/>
    <n v="74229898.859999999"/>
    <n v="17887362"/>
    <n v="4.1498516583943452"/>
    <n v="0.79869999999999997"/>
    <n v="0.1924647109697005"/>
    <n v="58"/>
    <n v="1.3770689655172414E-2"/>
    <n v="0"/>
    <n v="58"/>
    <n v="0"/>
    <s v=""/>
  </r>
  <r>
    <x v="127"/>
    <x v="0"/>
    <n v="82468112.400000006"/>
    <n v="265806905"/>
    <n v="0.31025571890241155"/>
    <n v="3.0000000000000001E-6"/>
    <n v="9.6694430343236506E-6"/>
    <n v="9.6999999999999993"/>
    <n v="3.0927835051546394E-7"/>
    <n v="0"/>
    <n v="9.6999999999999993"/>
    <n v="92137357.700000003"/>
    <n v="-0.10494380934477343"/>
  </r>
  <r>
    <x v="127"/>
    <x v="1"/>
    <n v="92137357.700000003"/>
    <n v="265806905"/>
    <n v="0.34663267193905289"/>
    <n v="3.0000000000000001E-6"/>
    <n v="8.6546948480594434E-6"/>
    <n v="9.6999999999999993"/>
    <n v="3.0927835051546394E-7"/>
    <n v="0"/>
    <n v="9.6999999999999993"/>
    <n v="35594641.18"/>
    <n v="1.5885176713558318"/>
  </r>
  <r>
    <x v="127"/>
    <x v="2"/>
    <n v="35594641.18"/>
    <n v="265806905"/>
    <n v="0.13391164981210701"/>
    <n v="0.18173600000000001"/>
    <n v="1.3571336045444582"/>
    <n v="9.6999999999999993"/>
    <n v="1.8735670103092787E-2"/>
    <n v="0"/>
    <n v="9.6999999999999993"/>
    <n v="0"/>
    <s v=""/>
  </r>
  <r>
    <x v="128"/>
    <x v="0"/>
    <n v="26381000"/>
    <n v="166720235"/>
    <n v="0.15823514164312449"/>
    <n v="6.1899999999999997E-2"/>
    <n v="0.39118996802623096"/>
    <n v="3.25"/>
    <n v="1.9046153846153845E-2"/>
    <n v="3.25"/>
    <n v="0"/>
    <n v="9354000"/>
    <n v="1.8202907846910414"/>
  </r>
  <r>
    <x v="128"/>
    <x v="1"/>
    <n v="9354000"/>
    <n v="166720235"/>
    <n v="5.610596698115259E-2"/>
    <n v="6.0350000000000001E-2"/>
    <n v="1.0756431668002993"/>
    <n v="3.25"/>
    <n v="1.8569230769230768E-2"/>
    <n v="3.25"/>
    <n v="0"/>
    <n v="34360000"/>
    <n v="-0.72776484284051224"/>
  </r>
  <r>
    <x v="128"/>
    <x v="2"/>
    <n v="34360000"/>
    <n v="166720235"/>
    <n v="0.20609375940478972"/>
    <n v="5.9830000000000001E-2"/>
    <n v="0.29030476309807918"/>
    <n v="3.25"/>
    <n v="1.8409230769230768E-2"/>
    <n v="3.25"/>
    <n v="0"/>
    <n v="0"/>
    <s v=""/>
  </r>
  <r>
    <x v="129"/>
    <x v="0"/>
    <n v="26381000"/>
    <n v="166720235"/>
    <n v="0.15823514164312449"/>
    <n v="6.1899999999999997E-2"/>
    <n v="0.39118996802623096"/>
    <n v="3.36"/>
    <n v="1.8422619047619049E-2"/>
    <n v="3.36"/>
    <n v="0"/>
    <n v="9354000"/>
    <n v="1.8202907846910414"/>
  </r>
  <r>
    <x v="129"/>
    <x v="1"/>
    <n v="9354000"/>
    <n v="166720235"/>
    <n v="5.610596698115259E-2"/>
    <n v="6.6379999999999995E-2"/>
    <n v="1.1831183663994012"/>
    <n v="3.36"/>
    <n v="1.9755952380952381E-2"/>
    <n v="3.36"/>
    <n v="0"/>
    <n v="34360000"/>
    <n v="-0.72776484284051224"/>
  </r>
  <r>
    <x v="129"/>
    <x v="2"/>
    <n v="34360000"/>
    <n v="166720235"/>
    <n v="0.20609375940478972"/>
    <n v="6.5809999999999994E-2"/>
    <n v="0.31932068292636784"/>
    <n v="3.36"/>
    <n v="1.9586309523809523E-2"/>
    <n v="3.36"/>
    <n v="0"/>
    <n v="0"/>
    <s v=""/>
  </r>
  <r>
    <x v="130"/>
    <x v="0"/>
    <n v="50944000"/>
    <n v="108480828"/>
    <n v="0.46961293473903054"/>
    <n v="0.25598361800000002"/>
    <n v="0.5450949048970577"/>
    <n v="5.96"/>
    <n v="4.2950271476510073E-2"/>
    <n v="5.96"/>
    <n v="0"/>
    <n v="42494000"/>
    <n v="0.19885160257918755"/>
  </r>
  <r>
    <x v="130"/>
    <x v="1"/>
    <n v="42494000"/>
    <n v="108480828"/>
    <n v="0.39171898651068554"/>
    <n v="0.36250183699999999"/>
    <n v="0.9254129860517023"/>
    <n v="5.96"/>
    <n v="6.0822455872483222E-2"/>
    <n v="5.96"/>
    <n v="0"/>
    <n v="60637000"/>
    <n v="-0.29920675495159721"/>
  </r>
  <r>
    <x v="130"/>
    <x v="2"/>
    <n v="60637000"/>
    <n v="108480828"/>
    <n v="0.55896512884285876"/>
    <n v="0.41899999999999998"/>
    <n v="0.74959953381598687"/>
    <n v="5.96"/>
    <n v="7.030201342281879E-2"/>
    <n v="5.96"/>
    <n v="0"/>
    <n v="0"/>
    <s v=""/>
  </r>
  <r>
    <x v="131"/>
    <x v="0"/>
    <n v="52406000"/>
    <n v="84682269"/>
    <n v="0.61885446172917258"/>
    <n v="1.0399999999999999E-3"/>
    <n v="1.6805243628592145E-3"/>
    <n v="3.08"/>
    <n v="3.3766233766233762E-4"/>
    <n v="3.08"/>
    <n v="0"/>
    <n v="47835000"/>
    <n v="9.5557646075049574E-2"/>
  </r>
  <r>
    <x v="131"/>
    <x v="1"/>
    <n v="47835000"/>
    <n v="84682269"/>
    <n v="0.56487621983770886"/>
    <n v="0"/>
    <s v=""/>
    <n v="3.08"/>
    <s v=""/>
    <n v="3.08"/>
    <n v="0"/>
    <n v="43244000"/>
    <n v="0.10616501711220061"/>
  </r>
  <r>
    <x v="131"/>
    <x v="2"/>
    <n v="43244000"/>
    <n v="84682269"/>
    <n v="0.51066180099638092"/>
    <n v="4.8799999999999998E-3"/>
    <n v="9.5562268226806035E-3"/>
    <n v="3.08"/>
    <n v="1.5844155844155843E-3"/>
    <n v="3.08"/>
    <n v="0"/>
    <n v="40621000"/>
    <n v="6.4572511755003559E-2"/>
  </r>
  <r>
    <x v="131"/>
    <x v="3"/>
    <n v="40621000"/>
    <n v="84682269"/>
    <n v="0.47968719402169063"/>
    <n v="3.2800000000000003E-2"/>
    <n v="6.8377893779079796E-2"/>
    <n v="3.08"/>
    <n v="1.064935064935065E-2"/>
    <n v="3.08"/>
    <n v="0"/>
    <n v="0"/>
    <s v=""/>
  </r>
  <r>
    <x v="132"/>
    <x v="0"/>
    <n v="52406000"/>
    <n v="84682269"/>
    <n v="0.61885446172917258"/>
    <n v="0.38174999999999998"/>
    <n v="0.61686555338606264"/>
    <n v="6.8"/>
    <n v="5.6139705882352939E-2"/>
    <n v="6.8"/>
    <n v="0"/>
    <n v="47835000"/>
    <n v="9.5557646075049574E-2"/>
  </r>
  <r>
    <x v="132"/>
    <x v="1"/>
    <n v="47835000"/>
    <n v="84682269"/>
    <n v="0.56487621983770886"/>
    <n v="0.34691"/>
    <n v="0.61413454455503291"/>
    <n v="6.8"/>
    <n v="5.1016176470588238E-2"/>
    <n v="6.8"/>
    <n v="0"/>
    <n v="43244000"/>
    <n v="0.10616501711220061"/>
  </r>
  <r>
    <x v="132"/>
    <x v="2"/>
    <n v="43244000"/>
    <n v="84682269"/>
    <n v="0.51066180099638092"/>
    <n v="0.34364"/>
    <n v="0.67293069371843495"/>
    <n v="6.8"/>
    <n v="5.053529411764706E-2"/>
    <n v="6.8"/>
    <n v="0"/>
    <n v="40621000"/>
    <n v="6.4572511755003559E-2"/>
  </r>
  <r>
    <x v="132"/>
    <x v="3"/>
    <n v="40621000"/>
    <n v="84682269"/>
    <n v="0.47968719402169063"/>
    <n v="0.29580000000000001"/>
    <n v="0.61665185914182319"/>
    <n v="6.8"/>
    <n v="4.3500000000000004E-2"/>
    <n v="6.8"/>
    <n v="0"/>
    <n v="0"/>
    <s v=""/>
  </r>
  <r>
    <x v="133"/>
    <x v="0"/>
    <n v="52406000"/>
    <n v="84682269"/>
    <n v="0.61885446172917258"/>
    <n v="1.14E-3"/>
    <n v="1.8421132439033698E-3"/>
    <n v="2.99"/>
    <n v="3.8127090301003341E-4"/>
    <n v="2.99"/>
    <n v="0"/>
    <n v="47835000"/>
    <n v="9.5557646075049574E-2"/>
  </r>
  <r>
    <x v="133"/>
    <x v="1"/>
    <n v="47835000"/>
    <n v="84682269"/>
    <n v="0.56487621983770886"/>
    <n v="0"/>
    <s v=""/>
    <n v="2.99"/>
    <s v=""/>
    <n v="2.99"/>
    <n v="0"/>
    <n v="43244000"/>
    <n v="0.10616501711220061"/>
  </r>
  <r>
    <x v="133"/>
    <x v="2"/>
    <n v="43244000"/>
    <n v="84682269"/>
    <n v="0.51066180099638092"/>
    <n v="5.3800000000000002E-3"/>
    <n v="1.0535348423365093E-2"/>
    <n v="2.99"/>
    <n v="1.7993311036789297E-3"/>
    <n v="2.99"/>
    <n v="0"/>
    <n v="40621000"/>
    <n v="6.4572511755003559E-2"/>
  </r>
  <r>
    <x v="133"/>
    <x v="3"/>
    <n v="40621000"/>
    <n v="84682269"/>
    <n v="0.47968719402169063"/>
    <n v="3.6089999999999997E-2"/>
    <n v="7.5236530075822844E-2"/>
    <n v="2.99"/>
    <n v="1.2070234113712372E-2"/>
    <n v="2.99"/>
    <n v="0"/>
    <n v="0"/>
    <s v=""/>
  </r>
  <r>
    <x v="134"/>
    <x v="0"/>
    <n v="335756000"/>
    <n v="476620206"/>
    <n v="0.70445187965866474"/>
    <n v="0.37269999999999998"/>
    <n v="0.52906381651020384"/>
    <n v="8.19"/>
    <n v="4.5506715506715506E-2"/>
    <n v="8.19"/>
    <n v="0"/>
    <n v="249170000"/>
    <n v="0.34749769233856398"/>
  </r>
  <r>
    <x v="134"/>
    <x v="1"/>
    <n v="249170000"/>
    <n v="476620206"/>
    <n v="0.52278522157325402"/>
    <n v="0.27800000000000002"/>
    <n v="0.53176713596339853"/>
    <n v="8.19"/>
    <n v="3.3943833943833948E-2"/>
    <n v="8.19"/>
    <n v="0"/>
    <n v="135511000"/>
    <n v="0.83874371822213689"/>
  </r>
  <r>
    <x v="134"/>
    <x v="2"/>
    <n v="135511000"/>
    <n v="476620206"/>
    <n v="0.28431652350047448"/>
    <n v="8.72E-2"/>
    <n v="0.30670042995181207"/>
    <n v="8.19"/>
    <n v="1.0647130647130647E-2"/>
    <n v="8.19"/>
    <n v="0"/>
    <n v="137871000"/>
    <n v="-1.7117450370273679E-2"/>
  </r>
  <r>
    <x v="134"/>
    <x v="3"/>
    <n v="137871000"/>
    <n v="476620206"/>
    <n v="0.28926805507695996"/>
    <n v="9.1499999999999998E-2"/>
    <n v="0.31631560552255367"/>
    <n v="8.19"/>
    <n v="1.1172161172161172E-2"/>
    <n v="8.19"/>
    <n v="0"/>
    <n v="0"/>
    <s v=""/>
  </r>
  <r>
    <x v="135"/>
    <x v="0"/>
    <n v="335756000"/>
    <n v="476620206"/>
    <n v="0.70445187965866474"/>
    <n v="0.40989999999999999"/>
    <n v="0.58187083012485252"/>
    <n v="5.8"/>
    <n v="7.0672413793103447E-2"/>
    <n v="5.8"/>
    <n v="0"/>
    <n v="249170000"/>
    <n v="0.34749769233856398"/>
  </r>
  <r>
    <x v="135"/>
    <x v="1"/>
    <n v="249170000"/>
    <n v="476620206"/>
    <n v="0.52278522157325402"/>
    <n v="0.30580000000000002"/>
    <n v="0.58494384955973844"/>
    <n v="5.8"/>
    <n v="5.272413793103449E-2"/>
    <n v="5.8"/>
    <n v="0"/>
    <n v="135511000"/>
    <n v="0.83874371822213689"/>
  </r>
  <r>
    <x v="135"/>
    <x v="2"/>
    <n v="135511000"/>
    <n v="476620206"/>
    <n v="0.28431652350047448"/>
    <n v="9.5899999999999999E-2"/>
    <n v="0.3373001288116832"/>
    <n v="5.8"/>
    <n v="1.653448275862069E-2"/>
    <n v="5.8"/>
    <n v="0"/>
    <n v="137871000"/>
    <n v="-1.7117450370273679E-2"/>
  </r>
  <r>
    <x v="135"/>
    <x v="3"/>
    <n v="137871000"/>
    <n v="476620206"/>
    <n v="0.28926805507695996"/>
    <n v="0.10059999999999999"/>
    <n v="0.34777431601714642"/>
    <n v="5.8"/>
    <n v="1.7344827586206896E-2"/>
    <n v="5.8"/>
    <n v="0"/>
    <n v="0"/>
    <s v=""/>
  </r>
  <r>
    <x v="136"/>
    <x v="0"/>
    <n v="1911900245.4200001"/>
    <n v="683509869"/>
    <n v="2.7971801610080336"/>
    <n v="2.3450000000000002"/>
    <n v="0.83834428425050789"/>
    <n v="23.46"/>
    <n v="9.995737425404945E-2"/>
    <n v="23.46"/>
    <n v="0"/>
    <n v="1223420217"/>
    <n v="0.56275024627944337"/>
  </r>
  <r>
    <x v="136"/>
    <x v="1"/>
    <n v="1223420217"/>
    <n v="683509869"/>
    <n v="1.7899086355401257"/>
    <n v="2.54"/>
    <n v="1.4190668448468184"/>
    <n v="23.46"/>
    <n v="0.1082693947144075"/>
    <n v="23.46"/>
    <n v="0"/>
    <n v="1630452307"/>
    <n v="-0.24964366528998994"/>
  </r>
  <r>
    <x v="136"/>
    <x v="2"/>
    <n v="1630452307"/>
    <n v="683509869"/>
    <n v="2.385411507496463"/>
    <n v="2"/>
    <n v="0.83842976095098998"/>
    <n v="23.46"/>
    <n v="8.525149190110827E-2"/>
    <n v="23.46"/>
    <n v="0"/>
    <n v="0"/>
    <s v=""/>
  </r>
  <r>
    <x v="137"/>
    <x v="0"/>
    <n v="221047209.75999999"/>
    <n v="57737317"/>
    <n v="3.8284981229730501"/>
    <n v="1.0118932270000001"/>
    <n v="0.26430553039273963"/>
    <n v="34.28"/>
    <n v="2.9518472199533255E-2"/>
    <n v="0"/>
    <n v="34.28"/>
    <n v="96359523.819999993"/>
    <n v="1.2939840401548386"/>
  </r>
  <r>
    <x v="137"/>
    <x v="1"/>
    <n v="96359523.819999993"/>
    <n v="57737317"/>
    <n v="1.6689297117841482"/>
    <n v="0"/>
    <s v=""/>
    <n v="34.28"/>
    <s v=""/>
    <n v="0"/>
    <n v="34.28"/>
    <n v="91934228.780000001"/>
    <n v="4.8135445293066903E-2"/>
  </r>
  <r>
    <x v="137"/>
    <x v="2"/>
    <n v="91934228.780000001"/>
    <n v="57737317"/>
    <n v="1.5922843934712103"/>
    <n v="0.74785255399999995"/>
    <n v="0.46967272747657041"/>
    <n v="34.28"/>
    <n v="2.1816002158693112E-2"/>
    <n v="0"/>
    <n v="34.28"/>
    <n v="0"/>
    <s v=""/>
  </r>
  <r>
    <x v="138"/>
    <x v="0"/>
    <n v="26389234.239999998"/>
    <n v="137747421"/>
    <n v="0.19157697507817587"/>
    <n v="0.59209073000000001"/>
    <n v="3.090615298411453"/>
    <n v="2.85"/>
    <n v="0.20775113333333334"/>
    <n v="2.85"/>
    <n v="0"/>
    <n v="27175402.329999998"/>
    <n v="-2.8929400214697809E-2"/>
  </r>
  <r>
    <x v="138"/>
    <x v="1"/>
    <n v="27175402.329999998"/>
    <n v="137747421"/>
    <n v="0.19728429129718514"/>
    <n v="0.28363851000000001"/>
    <n v="1.4377146205357658"/>
    <n v="2.85"/>
    <n v="9.9522284210526321E-2"/>
    <n v="2.85"/>
    <n v="0"/>
    <n v="76030857.450000003"/>
    <n v="-0.64257403847021854"/>
  </r>
  <r>
    <x v="138"/>
    <x v="2"/>
    <n v="76030857.450000003"/>
    <n v="137747421"/>
    <n v="0.55195848240236745"/>
    <n v="0.69388981999999999"/>
    <n v="1.2571413287823472"/>
    <n v="2.85"/>
    <n v="0.24347011228070176"/>
    <n v="2.85"/>
    <n v="0"/>
    <n v="0"/>
    <s v=""/>
  </r>
  <r>
    <x v="139"/>
    <x v="0"/>
    <n v="72949906.010000005"/>
    <n v="113000000"/>
    <n v="0.64557438946902657"/>
    <n v="0.26730199999999998"/>
    <n v="0.41405298035421001"/>
    <n v="26.8"/>
    <n v="9.973955223880596E-3"/>
    <n v="0"/>
    <n v="26.8"/>
    <n v="126610718.51000001"/>
    <n v="-0.42382519530336404"/>
  </r>
  <r>
    <x v="139"/>
    <x v="1"/>
    <n v="126610718.51000001"/>
    <n v="113000000"/>
    <n v="1.1204488363716814"/>
    <n v="0.32134299999999999"/>
    <n v="0.28679845930368064"/>
    <n v="26.8"/>
    <n v="1.1990410447761193E-2"/>
    <n v="0"/>
    <n v="26.8"/>
    <n v="142288162.75"/>
    <n v="-0.1101809450414033"/>
  </r>
  <r>
    <x v="139"/>
    <x v="2"/>
    <n v="142288162.75"/>
    <n v="113000000"/>
    <n v="1.2591872809734512"/>
    <n v="0.41675099999999998"/>
    <n v="0.33096824141824127"/>
    <n v="26.8"/>
    <n v="1.5550410447761193E-2"/>
    <n v="0"/>
    <n v="26.8"/>
    <n v="93031657.010000005"/>
    <n v="0.52945961969381461"/>
  </r>
  <r>
    <x v="139"/>
    <x v="3"/>
    <n v="93031657.010000005"/>
    <n v="113000000"/>
    <n v="0.82328900008849559"/>
    <n v="0.24957299999999999"/>
    <n v="0.30314142418175549"/>
    <n v="26.8"/>
    <n v="9.3124253731343282E-3"/>
    <n v="0"/>
    <n v="26.8"/>
    <n v="0"/>
    <s v=""/>
  </r>
  <r>
    <x v="140"/>
    <x v="0"/>
    <n v="185531000"/>
    <n v="76423831"/>
    <n v="2.4276589850618717"/>
    <n v="0.35"/>
    <n v="0.14417181414426697"/>
    <n v="17.350000000000001"/>
    <n v="2.0172910662824204E-2"/>
    <n v="0"/>
    <n v="17.350000000000001"/>
    <n v="239206591.03"/>
    <n v="-0.22439010061921039"/>
  </r>
  <r>
    <x v="140"/>
    <x v="1"/>
    <n v="239206591.03"/>
    <n v="76423831"/>
    <n v="3.13"/>
    <n v="0.32"/>
    <n v="0.10223642172523963"/>
    <n v="17.350000000000001"/>
    <n v="1.844380403458213E-2"/>
    <n v="0"/>
    <n v="17.350000000000001"/>
    <n v="200230437.22"/>
    <n v="0.19465648854961826"/>
  </r>
  <r>
    <x v="140"/>
    <x v="2"/>
    <n v="200230437.22"/>
    <n v="76423831"/>
    <n v="2.62"/>
    <n v="0.26"/>
    <n v="9.9236641221374045E-2"/>
    <n v="17.350000000000001"/>
    <n v="1.4985590778097982E-2"/>
    <n v="0"/>
    <n v="17.350000000000001"/>
    <n v="0"/>
    <s v=""/>
  </r>
  <r>
    <x v="141"/>
    <x v="0"/>
    <n v="483247945.06999999"/>
    <n v="1022205493"/>
    <n v="0.47275029177523703"/>
    <n v="0.30062499999999998"/>
    <n v="0.63590653507820194"/>
    <n v="14.07"/>
    <n v="2.1366382373845059E-2"/>
    <n v="0"/>
    <n v="14.07"/>
    <n v="445682000"/>
    <n v="8.4288674593095525E-2"/>
  </r>
  <r>
    <x v="141"/>
    <x v="1"/>
    <n v="445682000"/>
    <n v="1022205493"/>
    <n v="0.43600039625300663"/>
    <n v="0.76497757200000005"/>
    <n v="1.7545341210105032"/>
    <n v="14.07"/>
    <n v="5.4369408102345418E-2"/>
    <n v="0"/>
    <n v="14.07"/>
    <n v="614021000"/>
    <n v="-0.27415837569073376"/>
  </r>
  <r>
    <x v="141"/>
    <x v="2"/>
    <n v="614021000"/>
    <n v="1022205493"/>
    <n v="0.6006825478876584"/>
    <n v="1.0517938200000001"/>
    <n v="1.7509978002502413"/>
    <n v="14.07"/>
    <n v="7.4754358208955235E-2"/>
    <n v="0"/>
    <n v="14.07"/>
    <n v="419093000"/>
    <n v="0.46511872066581872"/>
  </r>
  <r>
    <x v="141"/>
    <x v="3"/>
    <n v="419093000"/>
    <n v="1022205493"/>
    <n v="0.40998899230137476"/>
    <n v="2.1419339700000002"/>
    <n v="5.2243694592305223"/>
    <n v="14.07"/>
    <n v="0.15223411300639661"/>
    <n v="0"/>
    <n v="14.07"/>
    <n v="0"/>
    <s v=""/>
  </r>
  <r>
    <x v="142"/>
    <x v="0"/>
    <n v="-182125692.53"/>
    <n v="1107677313"/>
    <n v="-0.16442125372843128"/>
    <n v="0"/>
    <s v=""/>
    <n v="9.43"/>
    <s v=""/>
    <n v="9.43"/>
    <n v="0"/>
    <n v="78013713"/>
    <n v="0"/>
  </r>
  <r>
    <x v="142"/>
    <x v="1"/>
    <n v="78013713"/>
    <n v="1107677313"/>
    <n v="7.04299998604377E-2"/>
    <n v="0.24881"/>
    <n v="3.5327275378820899"/>
    <n v="9.43"/>
    <n v="2.6384941675503714E-2"/>
    <n v="9.43"/>
    <n v="0"/>
    <n v="2190730959"/>
    <n v="-0.96438918586533751"/>
  </r>
  <r>
    <x v="142"/>
    <x v="2"/>
    <n v="2190730959"/>
    <n v="1107677313"/>
    <n v="1.9777699997002647"/>
    <n v="0.64239000000000002"/>
    <n v="0.32480520995735379"/>
    <n v="9.43"/>
    <n v="6.81219512195122E-2"/>
    <n v="9.43"/>
    <n v="0"/>
    <n v="3206936280"/>
    <n v="-0.31687730353033394"/>
  </r>
  <r>
    <x v="142"/>
    <x v="3"/>
    <n v="3206936280"/>
    <n v="1107677313"/>
    <n v="2.8951900001584669"/>
    <n v="0.77659999999999996"/>
    <n v="0.26823800854434188"/>
    <n v="9.43"/>
    <n v="8.2354188759278898E-2"/>
    <n v="9.43"/>
    <n v="0"/>
    <n v="0"/>
    <s v=""/>
  </r>
  <r>
    <x v="143"/>
    <x v="0"/>
    <n v="-182125692.53"/>
    <n v="1107677313"/>
    <n v="-0.16442125372843128"/>
    <n v="0"/>
    <s v=""/>
    <n v="5.7"/>
    <s v=""/>
    <n v="5.7"/>
    <n v="0"/>
    <n v="78013713"/>
    <n v="0"/>
  </r>
  <r>
    <x v="143"/>
    <x v="1"/>
    <n v="78013713"/>
    <n v="1107677313"/>
    <n v="7.04299998604377E-2"/>
    <n v="0.24881"/>
    <n v="3.5327275378820899"/>
    <n v="5.7"/>
    <n v="4.3650877192982454E-2"/>
    <n v="5.7"/>
    <n v="0"/>
    <n v="2190730959"/>
    <n v="-0.96438918586533751"/>
  </r>
  <r>
    <x v="143"/>
    <x v="2"/>
    <n v="2190730959"/>
    <n v="1107677313"/>
    <n v="1.9777699997002647"/>
    <n v="0.59360000000000002"/>
    <n v="0.3001360118163191"/>
    <n v="5.7"/>
    <n v="0.10414035087719298"/>
    <n v="5.7"/>
    <n v="0"/>
    <n v="3206936280"/>
    <n v="-0.31687730353033394"/>
  </r>
  <r>
    <x v="143"/>
    <x v="3"/>
    <n v="3206936280"/>
    <n v="1107677313"/>
    <n v="2.8951900001584669"/>
    <n v="0.77659999999999996"/>
    <n v="0.26823800854434188"/>
    <n v="5.7"/>
    <n v="0.1362456140350877"/>
    <n v="5.7"/>
    <n v="0"/>
    <n v="0"/>
    <s v=""/>
  </r>
  <r>
    <x v="144"/>
    <x v="0"/>
    <n v="589182430.70000005"/>
    <n v="1033496721"/>
    <n v="0.57008640543137246"/>
    <n v="1.51"/>
    <n v="2.6487212913933891"/>
    <n v="17.95"/>
    <n v="8.4122562674094709E-2"/>
    <n v="17.95"/>
    <n v="0"/>
    <n v="495399428.38999999"/>
    <n v="0.18930785329079947"/>
  </r>
  <r>
    <x v="144"/>
    <x v="1"/>
    <n v="495399428.38999999"/>
    <n v="1033496721"/>
    <n v="0.47934300934274565"/>
    <n v="1.88"/>
    <n v="3.9220348755638983"/>
    <n v="17.95"/>
    <n v="0.10473537604456824"/>
    <n v="17.95"/>
    <n v="0"/>
    <n v="428630102.26999998"/>
    <n v="0.15577376802607557"/>
  </r>
  <r>
    <x v="144"/>
    <x v="2"/>
    <n v="428630102.26999998"/>
    <n v="1033496721"/>
    <n v="0.41473774764883842"/>
    <n v="1.63"/>
    <n v="3.9301944644308895"/>
    <n v="17.95"/>
    <n v="9.0807799442896936E-2"/>
    <n v="17.95"/>
    <n v="0"/>
    <n v="287794829.95999998"/>
    <n v="0.48935998026640859"/>
  </r>
  <r>
    <x v="144"/>
    <x v="3"/>
    <n v="287794829.95999998"/>
    <n v="1033496721"/>
    <n v="0.2784670953590766"/>
    <n v="1.0900000000000001"/>
    <n v="3.9142865285195416"/>
    <n v="17.95"/>
    <n v="6.0724233983286913E-2"/>
    <n v="17.95"/>
    <n v="0"/>
    <n v="0"/>
    <s v=""/>
  </r>
  <r>
    <x v="145"/>
    <x v="0"/>
    <n v="1499500000"/>
    <n v="652742192"/>
    <n v="2.2972316151427821"/>
    <n v="2.3690660666999999"/>
    <n v="1.0312700082498008"/>
    <n v="35.17"/>
    <n v="6.736042270969575E-2"/>
    <n v="35.17"/>
    <n v="0"/>
    <n v="1447636528"/>
    <n v="3.5826307914219813E-2"/>
  </r>
  <r>
    <x v="145"/>
    <x v="1"/>
    <n v="1447636528"/>
    <n v="652742192"/>
    <n v="2.2177768585242608"/>
    <n v="2.1897556102000002"/>
    <n v="0.98736516335421309"/>
    <n v="35.17"/>
    <n v="6.2262030429343196E-2"/>
    <n v="35.17"/>
    <n v="0"/>
    <n v="1211648449"/>
    <n v="0.19476612972580143"/>
  </r>
  <r>
    <x v="145"/>
    <x v="2"/>
    <n v="1211648449"/>
    <n v="652742192"/>
    <n v="1.8562434968199513"/>
    <n v="1.0178134248999999"/>
    <n v="0.5483189175577885"/>
    <n v="35.17"/>
    <n v="2.8939818734717085E-2"/>
    <n v="35.17"/>
    <n v="0"/>
    <n v="0"/>
    <s v=""/>
  </r>
  <r>
    <x v="146"/>
    <x v="0"/>
    <m/>
    <n v="817720079"/>
    <n v="0"/>
    <n v="0"/>
    <s v=""/>
    <n v="2.41"/>
    <s v=""/>
    <n v="0"/>
    <n v="2.41"/>
    <n v="166896668.09999999"/>
    <n v="0"/>
  </r>
  <r>
    <x v="146"/>
    <x v="1"/>
    <n v="166896668.09999999"/>
    <n v="817720079"/>
    <n v="0.20409999997077238"/>
    <n v="6.6000000000000003E-2"/>
    <n v="0.32337089666561175"/>
    <n v="2.41"/>
    <n v="2.7385892116182572E-2"/>
    <n v="0"/>
    <n v="2.41"/>
    <n v="234522118.69999999"/>
    <n v="-0.28835425406720927"/>
  </r>
  <r>
    <x v="146"/>
    <x v="2"/>
    <n v="234522118.69999999"/>
    <n v="817720079"/>
    <n v="0.28680000005234063"/>
    <n v="6.6400000000000001E-2"/>
    <n v="0.23152022310977016"/>
    <n v="2.41"/>
    <n v="2.7551867219917012E-2"/>
    <n v="0"/>
    <n v="2.41"/>
    <n v="106303610.3"/>
    <n v="1.2061538459338665"/>
  </r>
  <r>
    <x v="146"/>
    <x v="3"/>
    <n v="106303610.3"/>
    <n v="817720079"/>
    <n v="0.13000000003668738"/>
    <n v="0"/>
    <s v=""/>
    <n v="2.41"/>
    <s v=""/>
    <n v="0"/>
    <n v="2.41"/>
    <n v="0"/>
    <s v=""/>
  </r>
  <r>
    <x v="147"/>
    <x v="0"/>
    <m/>
    <n v="2417632647"/>
    <n v="0"/>
    <m/>
    <s v=""/>
    <n v="13.46"/>
    <s v=""/>
    <n v="0"/>
    <n v="13.46"/>
    <n v="1281227722.3699999"/>
    <n v="0"/>
  </r>
  <r>
    <x v="147"/>
    <x v="1"/>
    <n v="1281227722.3699999"/>
    <n v="2417632647"/>
    <n v="0.52995136542346666"/>
    <n v="0.22"/>
    <n v="0.41513243356624857"/>
    <n v="13.46"/>
    <n v="1.6344725111441305E-2"/>
    <n v="0"/>
    <n v="13.46"/>
    <n v="2216909132.75"/>
    <n v="-0.4220657475569688"/>
  </r>
  <r>
    <x v="147"/>
    <x v="2"/>
    <n v="2216909132.75"/>
    <n v="2417632647"/>
    <n v="0.9169751804522186"/>
    <n v="0.2"/>
    <n v="0.21810841150724203"/>
    <n v="13.46"/>
    <n v="1.4858841010401188E-2"/>
    <n v="0"/>
    <n v="13.46"/>
    <n v="0"/>
    <s v=""/>
  </r>
  <r>
    <x v="148"/>
    <x v="0"/>
    <n v="21385000"/>
    <n v="2857301"/>
    <n v="7.4843357420166789"/>
    <n v="5.7389999999999999"/>
    <n v="0.76680151690437226"/>
    <n v="88"/>
    <n v="6.5215909090909088E-2"/>
    <n v="0"/>
    <n v="88"/>
    <n v="27650101.780000001"/>
    <n v="-0.22658512543095599"/>
  </r>
  <r>
    <x v="148"/>
    <x v="1"/>
    <n v="27650101.780000001"/>
    <n v="2857301"/>
    <n v="9.677000001049942"/>
    <n v="9.48"/>
    <n v="0.97964245106659431"/>
    <n v="88"/>
    <n v="0.10772727272727273"/>
    <n v="0"/>
    <n v="88"/>
    <n v="27290081.850000001"/>
    <n v="1.3192336028116314E-2"/>
  </r>
  <r>
    <x v="148"/>
    <x v="2"/>
    <n v="27290081.850000001"/>
    <n v="2857301"/>
    <n v="9.5509999996500206"/>
    <n v="6.27"/>
    <n v="0.65647576172440081"/>
    <n v="88"/>
    <n v="7.1249999999999994E-2"/>
    <n v="0"/>
    <n v="88"/>
    <n v="20461132.460000001"/>
    <n v="0.33375226925245172"/>
  </r>
  <r>
    <x v="148"/>
    <x v="3"/>
    <n v="20461132.460000001"/>
    <n v="2857301"/>
    <n v="7.16099999965002"/>
    <n v="3.63"/>
    <n v="0.50691244242108768"/>
    <n v="88"/>
    <n v="4.1250000000000002E-2"/>
    <n v="0"/>
    <n v="88"/>
    <n v="0"/>
    <s v=""/>
  </r>
  <r>
    <x v="149"/>
    <x v="0"/>
    <n v="843488000"/>
    <n v="152661565"/>
    <n v="5.5252152039709532"/>
    <n v="1.8032159999999999"/>
    <n v="0.32636122457348538"/>
    <n v="42"/>
    <n v="4.2933714285714283E-2"/>
    <n v="42"/>
    <n v="0"/>
    <n v="920137051"/>
    <n v="-8.330177653067905E-2"/>
  </r>
  <r>
    <x v="149"/>
    <x v="1"/>
    <n v="920137051"/>
    <n v="152661565"/>
    <n v="6.0273000018046456"/>
    <n v="4.9819000000000004"/>
    <n v="0.82655583735808069"/>
    <n v="42"/>
    <n v="0.11861666666666668"/>
    <n v="42"/>
    <n v="0"/>
    <n v="818571312"/>
    <n v="0.12407683669226843"/>
  </r>
  <r>
    <x v="149"/>
    <x v="2"/>
    <n v="818571312"/>
    <n v="152661565"/>
    <n v="5.3620000030787054"/>
    <n v="5.0853999999999999"/>
    <n v="0.94841477006342978"/>
    <n v="42"/>
    <n v="0.12108095238095237"/>
    <n v="42"/>
    <n v="0"/>
    <n v="0"/>
    <s v=""/>
  </r>
  <r>
    <x v="150"/>
    <x v="0"/>
    <n v="843488000"/>
    <n v="152661565"/>
    <n v="5.5252152039709532"/>
    <n v="1.8032159999999999"/>
    <n v="0.32636122457348538"/>
    <n v="26.83"/>
    <n v="6.7208945210585166E-2"/>
    <n v="26.83"/>
    <n v="0"/>
    <n v="920137051"/>
    <n v="-8.330177653067905E-2"/>
  </r>
  <r>
    <x v="150"/>
    <x v="1"/>
    <n v="920137051"/>
    <n v="152661565"/>
    <n v="6.0273000018046456"/>
    <n v="4.9819000000000004"/>
    <n v="0.82655583735808069"/>
    <n v="26.83"/>
    <n v="0.1856839358926575"/>
    <n v="26.83"/>
    <n v="0"/>
    <n v="818571312"/>
    <n v="0.12407683669226843"/>
  </r>
  <r>
    <x v="150"/>
    <x v="2"/>
    <n v="818571312"/>
    <n v="152661565"/>
    <n v="5.3620000030787054"/>
    <n v="5.0853999999999999"/>
    <n v="0.94841477006342978"/>
    <n v="26.83"/>
    <n v="0.18954155795751026"/>
    <n v="26.83"/>
    <n v="0"/>
    <n v="0"/>
    <s v=""/>
  </r>
  <r>
    <x v="151"/>
    <x v="0"/>
    <n v="1011009000"/>
    <n v="544383996"/>
    <n v="1.8571615025949439"/>
    <n v="1.17"/>
    <n v="0.62999367495244851"/>
    <n v="53.92"/>
    <n v="2.1698813056379818E-2"/>
    <n v="0"/>
    <n v="53.92"/>
    <n v="860126713.70000005"/>
    <n v="0.1754186725011142"/>
  </r>
  <r>
    <x v="151"/>
    <x v="1"/>
    <n v="860126713.70000005"/>
    <n v="544383996"/>
    <n v="1.5800000000367389"/>
    <n v="0.98"/>
    <n v="0.62025316454253965"/>
    <n v="53.92"/>
    <n v="1.8175074183976261E-2"/>
    <n v="0"/>
    <n v="53.92"/>
    <n v="773025274.29999995"/>
    <n v="0.1126760563926883"/>
  </r>
  <r>
    <x v="151"/>
    <x v="2"/>
    <n v="773025274.29999995"/>
    <n v="544383996"/>
    <n v="1.4199999999632611"/>
    <n v="0.8"/>
    <n v="0.56338028170471688"/>
    <n v="53.92"/>
    <n v="1.483679525222552E-2"/>
    <n v="0"/>
    <n v="53.92"/>
    <n v="0"/>
    <s v=""/>
  </r>
  <r>
    <x v="152"/>
    <x v="0"/>
    <n v="39281689.020000003"/>
    <n v="835502072"/>
    <n v="4.7015669184360807E-2"/>
    <n v="9.6799999999999994E-3"/>
    <n v="0.20588880617740807"/>
    <n v="0.51"/>
    <n v="1.8980392156862744E-2"/>
    <n v="0.51"/>
    <n v="0"/>
    <n v="4448000"/>
    <n v="7.8313149775179856"/>
  </r>
  <r>
    <x v="152"/>
    <x v="1"/>
    <n v="4448000"/>
    <n v="835502072"/>
    <n v="5.323745025972838E-3"/>
    <n v="0"/>
    <s v=""/>
    <n v="0.51"/>
    <s v=""/>
    <n v="0.51"/>
    <n v="0"/>
    <n v="30296000"/>
    <n v="-0.85318193820966459"/>
  </r>
  <r>
    <x v="152"/>
    <x v="2"/>
    <n v="30296000"/>
    <n v="835502072"/>
    <n v="3.6260831678703483E-2"/>
    <n v="0"/>
    <s v=""/>
    <n v="0.51"/>
    <s v=""/>
    <n v="0.51"/>
    <n v="0"/>
    <n v="0"/>
    <s v=""/>
  </r>
  <r>
    <x v="153"/>
    <x v="0"/>
    <n v="9733695883.3700008"/>
    <n v="5365304100"/>
    <n v="1.8141927655824766"/>
    <n v="1.8288805334"/>
    <n v="1.0080960348294674"/>
    <n v="30.23"/>
    <n v="6.0498859854449222E-2"/>
    <n v="0"/>
    <n v="30.23"/>
    <n v="39810556422"/>
    <n v="-0.75549962727998965"/>
  </r>
  <r>
    <x v="153"/>
    <x v="1"/>
    <n v="39810556422"/>
    <n v="5365304100"/>
    <n v="7.42"/>
    <n v="1.7557325829999999"/>
    <n v="0.23662164191374663"/>
    <n v="30.23"/>
    <n v="5.8079145980813755E-2"/>
    <n v="0"/>
    <n v="30.23"/>
    <n v="37074251331"/>
    <n v="7.3806078147612197E-2"/>
  </r>
  <r>
    <x v="153"/>
    <x v="2"/>
    <n v="37074251331"/>
    <n v="5365304100"/>
    <n v="6.91"/>
    <n v="1.873923027"/>
    <n v="0.27119001837916062"/>
    <n v="30.23"/>
    <n v="6.1988853026794577E-2"/>
    <n v="0"/>
    <n v="30.23"/>
    <n v="0"/>
    <s v=""/>
  </r>
  <r>
    <x v="154"/>
    <x v="0"/>
    <n v="30653409.600000001"/>
    <n v="149714346"/>
    <n v="0.20474597404312878"/>
    <n v="4.87E-2"/>
    <n v="0.23785571475872622"/>
    <n v="9.15"/>
    <n v="5.322404371584699E-3"/>
    <n v="0"/>
    <n v="9.15"/>
    <n v="0"/>
    <s v=""/>
  </r>
  <r>
    <x v="154"/>
    <x v="1"/>
    <m/>
    <n v="149714346"/>
    <n v="0"/>
    <n v="0"/>
    <s v=""/>
    <n v="9.15"/>
    <s v=""/>
    <n v="0"/>
    <n v="9.15"/>
    <n v="0"/>
    <s v=""/>
  </r>
  <r>
    <x v="154"/>
    <x v="2"/>
    <m/>
    <n v="149714346"/>
    <n v="0"/>
    <n v="0"/>
    <s v=""/>
    <n v="9.15"/>
    <s v=""/>
    <n v="0"/>
    <n v="9.15"/>
    <n v="0"/>
    <s v=""/>
  </r>
  <r>
    <x v="155"/>
    <x v="0"/>
    <n v="4453572915.3800001"/>
    <n v="1125601930"/>
    <n v="3.9566144981467826"/>
    <n v="3.566950672031"/>
    <n v="0.90151584737449275"/>
    <n v="41.55"/>
    <n v="8.5847188255860421E-2"/>
    <n v="0"/>
    <n v="41.55"/>
    <n v="4091563016"/>
    <n v="8.847716580787468E-2"/>
  </r>
  <r>
    <x v="155"/>
    <x v="1"/>
    <n v="4091563016"/>
    <n v="1125601930"/>
    <n v="3.6350000003997862"/>
    <n v="3.5070000000000001"/>
    <n v="0.96478679494203345"/>
    <n v="41.55"/>
    <n v="8.4404332129963913E-2"/>
    <n v="0"/>
    <n v="41.55"/>
    <n v="5004201060"/>
    <n v="-0.18237437566107706"/>
  </r>
  <r>
    <x v="155"/>
    <x v="2"/>
    <n v="5004201060"/>
    <n v="1125601930"/>
    <n v="4.4457999996499646"/>
    <n v="4.6006999999999998"/>
    <n v="1.0348418733101423"/>
    <n v="41.55"/>
    <n v="0.11072683513838749"/>
    <n v="0"/>
    <n v="41.55"/>
    <n v="0"/>
    <s v=""/>
  </r>
  <r>
    <x v="156"/>
    <x v="0"/>
    <n v="4453572915.3800001"/>
    <n v="1125601930"/>
    <n v="3.9566144981467826"/>
    <n v="3.9236457392339998"/>
    <n v="0.99166743211191666"/>
    <n v="46.9"/>
    <n v="8.365982386426439E-2"/>
    <n v="0"/>
    <n v="46.9"/>
    <n v="4091563016"/>
    <n v="8.847716580787468E-2"/>
  </r>
  <r>
    <x v="156"/>
    <x v="1"/>
    <n v="4091563016"/>
    <n v="1125601930"/>
    <n v="3.6350000003997862"/>
    <n v="3.8576999999999999"/>
    <n v="1.0612654744362366"/>
    <n v="46.9"/>
    <n v="8.2253731343283579E-2"/>
    <n v="0"/>
    <n v="46.9"/>
    <n v="5004201060"/>
    <n v="-0.18237437566107706"/>
  </r>
  <r>
    <x v="156"/>
    <x v="2"/>
    <n v="5004201060"/>
    <n v="1125601930"/>
    <n v="4.4457999996499646"/>
    <n v="5.0608000000000004"/>
    <n v="1.1383328085830351"/>
    <n v="46.9"/>
    <n v="0.10790618336886995"/>
    <n v="0"/>
    <n v="46.9"/>
    <n v="0"/>
    <s v=""/>
  </r>
  <r>
    <x v="157"/>
    <x v="0"/>
    <n v="109798096.84"/>
    <n v="98312688"/>
    <n v="1.1168252956322382"/>
    <n v="1.072465845"/>
    <n v="0.96028076118465222"/>
    <n v="18.2"/>
    <n v="5.8926694780219779E-2"/>
    <n v="0"/>
    <n v="18.2"/>
    <n v="106752609.08"/>
    <n v="2.8528462079252082E-2"/>
  </r>
  <r>
    <x v="157"/>
    <x v="1"/>
    <n v="106752609.08"/>
    <n v="98312688"/>
    <n v="1.0858477298474434"/>
    <n v="0.91520231900000004"/>
    <n v="0.84284591093502748"/>
    <n v="18.2"/>
    <n v="5.028584170329671E-2"/>
    <n v="0"/>
    <n v="18.2"/>
    <n v="13071107.109999999"/>
    <n v="7.1670671184638461"/>
  </r>
  <r>
    <x v="157"/>
    <x v="2"/>
    <n v="13071107.109999999"/>
    <n v="98312688"/>
    <n v="0.13295442710304087"/>
    <n v="6.6522439999999999E-3"/>
    <n v="5.0034016504350409E-2"/>
    <n v="18.2"/>
    <n v="3.6550791208791208E-4"/>
    <n v="0"/>
    <n v="18.2"/>
    <n v="0"/>
    <s v=""/>
  </r>
  <r>
    <x v="158"/>
    <x v="0"/>
    <n v="40688154.170000002"/>
    <n v="46288258"/>
    <n v="0.87901675128927947"/>
    <n v="0.63615900000000003"/>
    <n v="0.72371658340631972"/>
    <n v="15.1"/>
    <n v="4.2129735099337755E-2"/>
    <n v="0"/>
    <n v="15.1"/>
    <n v="105074345.66"/>
    <n v="-0.6127679509738857"/>
  </r>
  <r>
    <x v="158"/>
    <x v="1"/>
    <n v="105074345.66"/>
    <n v="46288258"/>
    <n v="2.27"/>
    <n v="2.1378400000000002"/>
    <n v="0.94177973568281947"/>
    <n v="15.1"/>
    <n v="0.14157880794701988"/>
    <n v="0"/>
    <n v="15.1"/>
    <n v="155991429.46000001"/>
    <n v="-0.32640949554896148"/>
  </r>
  <r>
    <x v="158"/>
    <x v="2"/>
    <n v="155991429.46000001"/>
    <n v="46288258"/>
    <n v="3.37"/>
    <n v="3.2867000000000002"/>
    <n v="0.97528189910979235"/>
    <n v="15.1"/>
    <n v="0.21766225165562916"/>
    <n v="0"/>
    <n v="15.1"/>
    <n v="0"/>
    <s v=""/>
  </r>
  <r>
    <x v="159"/>
    <x v="0"/>
    <n v="1074289736.8800001"/>
    <n v="1980000000"/>
    <n v="0.5425705741818182"/>
    <n v="0.35504000000000002"/>
    <n v="0.65436648593667424"/>
    <n v="10.34"/>
    <n v="3.4336557059961317E-2"/>
    <n v="0"/>
    <n v="10.34"/>
    <n v="1047998632.27"/>
    <n v="2.5086964620414376E-2"/>
  </r>
  <r>
    <x v="159"/>
    <x v="1"/>
    <n v="1047998632.27"/>
    <n v="1980000000"/>
    <n v="0.52929223852020202"/>
    <n v="0.470941"/>
    <n v="0.88975610395621763"/>
    <n v="10.34"/>
    <n v="4.5545551257253389E-2"/>
    <n v="0"/>
    <n v="10.34"/>
    <n v="1144560312.5999999"/>
    <n v="-8.4365742256647835E-2"/>
  </r>
  <r>
    <x v="159"/>
    <x v="2"/>
    <n v="1144560312.5999999"/>
    <n v="1980000000"/>
    <n v="0.57806076393939387"/>
    <n v="0.57673300000000005"/>
    <n v="0.99770307202594877"/>
    <n v="10.34"/>
    <n v="5.5776885880077377E-2"/>
    <n v="0"/>
    <n v="10.34"/>
    <n v="0"/>
    <s v=""/>
  </r>
  <r>
    <x v="160"/>
    <x v="0"/>
    <n v="2314615815.0500002"/>
    <n v="786115469"/>
    <n v="2.9443712868217329"/>
    <n v="2.4300000000000002"/>
    <n v="0.8253035243469703"/>
    <n v="66.599999999999994"/>
    <n v="3.6486486486486495E-2"/>
    <n v="0"/>
    <n v="66.599999999999994"/>
    <n v="1810326710.1800001"/>
    <n v="0.2785624837960099"/>
  </r>
  <r>
    <x v="160"/>
    <x v="1"/>
    <n v="1810326710.1800001"/>
    <n v="786115469"/>
    <n v="2.3028763350540302"/>
    <n v="2.25"/>
    <n v="0.97703900368024332"/>
    <n v="66.599999999999994"/>
    <n v="3.3783783783783786E-2"/>
    <n v="0"/>
    <n v="66.599999999999994"/>
    <n v="1829334179.3199999"/>
    <n v="-1.0390375555692777E-2"/>
  </r>
  <r>
    <x v="160"/>
    <x v="2"/>
    <n v="1829334179.3199999"/>
    <n v="786115469"/>
    <n v="2.3270553137022674"/>
    <n v="1.19"/>
    <n v="0.51137589768192904"/>
    <n v="66.599999999999994"/>
    <n v="1.7867867867867867E-2"/>
    <n v="0"/>
    <n v="66.599999999999994"/>
    <n v="0"/>
    <s v=""/>
  </r>
  <r>
    <x v="161"/>
    <x v="0"/>
    <n v="275394800.88"/>
    <n v="260378479"/>
    <n v="1.0576711329510455"/>
    <n v="0.53490000000000004"/>
    <n v="0.50573376102981715"/>
    <n v="23.41"/>
    <n v="2.2849209739427598E-2"/>
    <n v="0"/>
    <n v="23.41"/>
    <n v="220517318.09"/>
    <n v="0.24885792764631209"/>
  </r>
  <r>
    <x v="161"/>
    <x v="1"/>
    <n v="220517318.09"/>
    <n v="260378479"/>
    <n v="0.84691069299164312"/>
    <n v="0.254"/>
    <n v="0.29991355889340077"/>
    <n v="23.41"/>
    <n v="1.0850064075181546E-2"/>
    <n v="0"/>
    <n v="23.41"/>
    <n v="112319339.34999999"/>
    <n v="0.96330675880172922"/>
  </r>
  <r>
    <x v="161"/>
    <x v="2"/>
    <n v="112319339.34999999"/>
    <n v="260378479"/>
    <n v="0.43136951940640222"/>
    <n v="0.13089999999999999"/>
    <n v="0.30345213120326281"/>
    <n v="23.41"/>
    <n v="5.5916275096112768E-3"/>
    <n v="0"/>
    <n v="23.41"/>
    <n v="66605139.840000004"/>
    <n v="0.68634642341139762"/>
  </r>
  <r>
    <x v="161"/>
    <x v="3"/>
    <n v="66605139.840000004"/>
    <n v="260378479"/>
    <n v="0.2558012478442967"/>
    <n v="0.29799999999999999"/>
    <n v="1.164966951925853"/>
    <n v="23.41"/>
    <n v="1.2729602733874412E-2"/>
    <n v="0"/>
    <n v="23.41"/>
    <n v="0"/>
    <s v=""/>
  </r>
  <r>
    <x v="162"/>
    <x v="0"/>
    <n v="796111000"/>
    <n v="1231364363"/>
    <n v="0.64652756237026165"/>
    <n v="0.33180395810000002"/>
    <n v="0.51320930059587822"/>
    <n v="8.9600000000000009"/>
    <n v="3.7031691752232143E-2"/>
    <n v="0"/>
    <n v="8.9600000000000009"/>
    <n v="391378000"/>
    <n v="1.0341230217334649"/>
  </r>
  <r>
    <x v="162"/>
    <x v="1"/>
    <n v="391378000"/>
    <n v="1231364363"/>
    <n v="0.31784093462513174"/>
    <n v="0.33180395810000002"/>
    <n v="1.043930853309806"/>
    <n v="8.9600000000000009"/>
    <n v="3.7031691752232143E-2"/>
    <n v="0"/>
    <n v="8.9600000000000009"/>
    <n v="723006000"/>
    <n v="-0.45867945770851137"/>
  </r>
  <r>
    <x v="162"/>
    <x v="2"/>
    <n v="723006000"/>
    <n v="1231364363"/>
    <n v="0.58715845750036544"/>
    <n v="0.33180395810000002"/>
    <n v="0.56510121562848048"/>
    <n v="8.9600000000000009"/>
    <n v="3.7031691752232143E-2"/>
    <n v="0"/>
    <n v="8.9600000000000009"/>
    <n v="0"/>
    <s v=""/>
  </r>
  <r>
    <x v="163"/>
    <x v="0"/>
    <n v="15469895.77"/>
    <n v="12587262"/>
    <n v="1.2290119781410762"/>
    <n v="0.34962399999999999"/>
    <n v="0.2844756651833602"/>
    <n v="18"/>
    <n v="1.9423555555555555E-2"/>
    <n v="18"/>
    <n v="0"/>
    <n v="13306306.460000001"/>
    <n v="0.1625987885146003"/>
  </r>
  <r>
    <x v="163"/>
    <x v="1"/>
    <n v="13306306.460000001"/>
    <n v="12587262"/>
    <n v="1.0571247710582334"/>
    <n v="0.30808799999999997"/>
    <n v="0.2914395806765448"/>
    <n v="18"/>
    <n v="1.7115999999999999E-2"/>
    <n v="18"/>
    <n v="0"/>
    <n v="19966613.23"/>
    <n v="-0.333572183388259"/>
  </r>
  <r>
    <x v="163"/>
    <x v="2"/>
    <n v="19966613.23"/>
    <n v="12587262"/>
    <n v="1.5862554723974125"/>
    <n v="0.51934000000000002"/>
    <n v="0.32739997373505497"/>
    <n v="18"/>
    <n v="2.8852222222222224E-2"/>
    <n v="18"/>
    <n v="0"/>
    <n v="8984823.1899999995"/>
    <n v="1.2222600053190362"/>
  </r>
  <r>
    <x v="163"/>
    <x v="3"/>
    <n v="8984823.1899999995"/>
    <n v="12587262"/>
    <n v="0.71380282622225544"/>
    <n v="0.22691"/>
    <n v="0.31788890666194625"/>
    <n v="18"/>
    <n v="1.2606111111111111E-2"/>
    <n v="18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H186" firstHeaderRow="1" firstDataRow="2" firstDataCol="1"/>
  <pivotFields count="13">
    <pivotField axis="axisRow" showAll="0" sortType="ascending">
      <items count="173">
        <item sd="0" x="0"/>
        <item sd="0" x="1"/>
        <item sd="0" x="2"/>
        <item sd="0" x="3"/>
        <item sd="0" x="4"/>
        <item sd="0" x="5"/>
        <item sd="0" x="6"/>
        <item sd="0" x="7"/>
        <item sd="0" m="1" x="171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157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159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160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161"/>
        <item sd="0" x="73"/>
        <item sd="0" x="74"/>
        <item sd="0" x="162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x="110"/>
        <item sd="0" x="111"/>
        <item sd="0" x="112"/>
        <item x="113"/>
        <item x="114"/>
        <item sd="0" x="115"/>
        <item sd="0" x="116"/>
        <item m="1" x="167"/>
        <item sd="0" x="117"/>
        <item sd="0" x="118"/>
        <item x="163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m="1" x="168"/>
        <item sd="0" x="131"/>
        <item sd="0" x="132"/>
        <item sd="0" x="133"/>
        <item sd="0" m="1" x="165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m="1" x="169"/>
        <item sd="0" m="1" x="170"/>
        <item sd="0" x="147"/>
        <item sd="0" x="148"/>
        <item sd="0" x="149"/>
        <item sd="0" x="150"/>
        <item sd="0" x="158"/>
        <item sd="0" x="151"/>
        <item sd="0" m="1" x="166"/>
        <item sd="0" x="152"/>
        <item sd="0" x="153"/>
        <item sd="0" x="154"/>
        <item sd="0" x="155"/>
        <item sd="0" x="156"/>
        <item m="1" x="164"/>
        <item t="default"/>
      </items>
    </pivotField>
    <pivotField axis="axisRow" showAll="0" sortType="ascending">
      <items count="10">
        <item m="1" x="8"/>
        <item m="1" x="5"/>
        <item m="1" x="6"/>
        <item m="1" x="7"/>
        <item x="4"/>
        <item x="3"/>
        <item x="2"/>
        <item x="1"/>
        <item x="0"/>
        <item t="default"/>
      </items>
    </pivotField>
    <pivotField dataField="1"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  <pivotField numFmtId="164" showAll="0" defaultSubtotal="0"/>
    <pivotField dataField="1" showAll="0" defaultSubtotal="0"/>
  </pivotFields>
  <rowFields count="2">
    <field x="0"/>
    <field x="1"/>
  </rowFields>
  <rowItems count="18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r="1">
      <x v="5"/>
    </i>
    <i r="1">
      <x v="6"/>
    </i>
    <i r="1">
      <x v="7"/>
    </i>
    <i r="1">
      <x v="8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r="1">
      <x v="6"/>
    </i>
    <i r="1">
      <x v="7"/>
    </i>
    <i r="1">
      <x v="8"/>
    </i>
    <i>
      <x v="117"/>
    </i>
    <i>
      <x v="118"/>
    </i>
    <i>
      <x v="119"/>
    </i>
    <i r="1">
      <x v="6"/>
    </i>
    <i r="1">
      <x v="7"/>
    </i>
    <i r="1">
      <x v="8"/>
    </i>
    <i>
      <x v="120"/>
    </i>
    <i r="1">
      <x v="6"/>
    </i>
    <i r="1">
      <x v="7"/>
    </i>
    <i r="1">
      <x v="8"/>
    </i>
    <i>
      <x v="121"/>
    </i>
    <i>
      <x v="122"/>
    </i>
    <i>
      <x v="124"/>
    </i>
    <i>
      <x v="125"/>
    </i>
    <i>
      <x v="126"/>
    </i>
    <i r="1">
      <x v="5"/>
    </i>
    <i r="1">
      <x v="6"/>
    </i>
    <i r="1">
      <x v="7"/>
    </i>
    <i r="1">
      <x v="8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40"/>
    </i>
    <i>
      <x v="141"/>
    </i>
    <i>
      <x v="142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9"/>
    </i>
    <i>
      <x v="160"/>
    </i>
    <i>
      <x v="161"/>
    </i>
    <i>
      <x v="162"/>
    </i>
    <i>
      <x v="163"/>
    </i>
    <i>
      <x v="164"/>
    </i>
    <i>
      <x v="166"/>
    </i>
    <i>
      <x v="167"/>
    </i>
    <i>
      <x v="168"/>
    </i>
    <i>
      <x v="169"/>
    </i>
    <i>
      <x v="17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Dividendo / Ação" fld="5" baseField="0" baseItem="0" numFmtId="172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  <dataField name="Average of Lucro Líquido" fld="2" subtotal="average" baseField="0" baseItem="22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164" showAll="0"/>
    <pivotField numFmtId="164" showAll="0"/>
    <pivotField numFmtId="164" showAll="0"/>
    <pivotField dataField="1" numFmtId="44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43" connectionId="25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41" connectionId="2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83" connectionId="40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51" connectionId="16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69" connectionId="36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61" connectionId="2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72" connectionId="3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49" connectionId="1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1" connectionId="43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68" connectionId="36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45" connectionId="3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02" connectionId="12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1" connectionId="44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60" connectionId="34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9" connectionId="44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64" connectionId="3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33" connectionId="2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03" connectionId="37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0" connectionId="44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3" connectionId="4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24" connectionId="21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58" connectionId="33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28" connectionId="11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5" connectionId="41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69" connectionId="1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" connectionId="41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23" connectionId="20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14" connectionId="10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28" connectionId="25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3" connectionId="4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203" connectionId="1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4" connectionId="42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215" connectionId="1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43" connectionId="30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63" connectionId="2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26" connectionId="23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19" connectionId="42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82" connectionId="39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66" connectionId="2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24" connectionId="19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98" connectionId="22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17" connectionId="13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9" connectionId="22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81" connectionId="39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42" connectionId="2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17" connectionId="17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34" connectionId="27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55" connectionId="21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35" connectionId="28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35" connectionId="39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8" connectionId="44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12" connectionId="8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92" connectionId="5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59" connectionId="2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53" connectionId="19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30" connectionId="28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48" connectionId="1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27" connectionId="24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47" connectionId="31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4" connectionId="41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75" connectionId="37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13" connectionId="16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78" connectionId="38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52" connectionId="32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38" connectionId="29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29" connectionId="26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57" connectionId="33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97" connectionId="8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6" connectionId="4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74" connectionId="37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200" connectionId="11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35" connectionId="2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04" connectionId="39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7" connectionId="41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53" connectionId="32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49" connectionId="31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59" connectionId="34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32" connectionId="32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25" connectionId="22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71" connectionId="28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58" connectionId="24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56" connectionId="33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62" connectionId="26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31" connectionId="26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6" connectionId="30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94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46" connectionId="11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230" connectionId="21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51" connectionId="32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72" connectionId="30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41" connectionId="29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9" connectionId="37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18" connectionId="14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77" connectionId="38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71" connectionId="36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52" connectionId="18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04" connectionId="12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216" connectionId="17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98" connectionId="8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65" connectionId="27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4" connectionId="22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50" connectionId="15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41" connectionId="5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232" connectionId="21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13" connectionId="9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73" connectionId="37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12" connectionId="41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57" connectionId="23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70" connectionId="36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5" connectionId="37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31" connectionId="304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46" connectionId="30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66" connectionId="35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63" connectionId="34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20" connectionId="43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8" connectionId="11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0" connectionId="39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31" connectionId="21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19" connectionId="15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37" connectionId="23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19" connectionId="178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97" connectionId="11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40" connectionId="29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16" connectionId="12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21" connectionId="18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1" connectionId="41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62" connectionId="346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43" connectionId="8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90" connectionId="39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96" connectionId="7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44" connectionId="30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54" connectionId="20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10" connectionId="5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79" connectionId="38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50" connectionId="31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60" connectionId="26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8" connectionId="35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26" connectionId="19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38" connectionId="23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36" connectionId="28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233" connectionId="22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205" connectionId="134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34" connectionId="37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37" connectionId="288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73" connectionId="32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5" connectionId="434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11" connectionId="69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206" connectionId="14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56" connectionId="22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7" connectionId="44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61" connectionId="344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64" connectionId="27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33" connectionId="35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211" connectionId="15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32" connectionId="27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22" connectionId="19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76" connectionId="37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45" connectionId="10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12" connectionId="16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16" connectionId="41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39" connectionId="29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30" connectionId="26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15" connectionId="11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40" connectionId="25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54" connectionId="326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48" connectionId="31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25" connectionId="19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93" connectionId="5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80" connectionId="39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218" connectionId="176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70" connectionId="22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55" connectionId="32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42" connectionId="69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95" connectionId="7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18" connectionId="41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65" connectionId="35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01" connectionId="119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4" connectionId="35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44" connectionId="9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20" connectionId="16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67" connectionId="36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47" connectionId="12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7" connectionId="32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3" connectionId="113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92" connectionId="259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91" connectionId="25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238" connectionId="109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20" connectionId="17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29" connectionId="42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78" connectionId="38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61" connectionId="26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15" connectionId="41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269" connectionId="19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77" connectionId="38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53" connectionId="325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48" connectionId="13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11" connectionId="6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50" connectionId="31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76" connectionId="21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27" connectionId="41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62" connectionId="269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21" connectionId="18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215" connectionId="7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26" connectionId="417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33" connectionId="35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57" connectionId="33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63" connectionId="27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15" connectionId="11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13" connectionId="9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6" connectionId="398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16" connectionId="41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31" connectionId="27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50" connectionId="16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34" connectionId="10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53" connectionId="15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1" connectionId="444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22" connectionId="19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33" connectionId="427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235" connectionId="106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17" connectionId="138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97" connectionId="13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278" connectionId="21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28" connectionId="26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56" connectionId="15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57" connectionId="23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57" connectionId="162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51" connectionId="32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42" connectionId="7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04" connectionId="40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40" connectionId="11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07" connectionId="6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30" connectionId="26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34" connectionId="38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71" connectionId="200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06" connectionId="5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25" connectionId="22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30" connectionId="98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35" connectionId="429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38" connectionId="29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46" connectionId="30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23" connectionId="8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42" connectionId="12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69" connectionId="36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20" connectionId="43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82" connectionId="39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68" connectionId="190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56" connectionId="227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31" connectionId="42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65" connectionId="279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22" connectionId="445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31" connectionId="30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58" connectionId="33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43" connectionId="12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70" connectionId="36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5" connectionId="38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16" connectionId="13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19" connectionId="42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90" connectionId="253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210" connectionId="6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4" connectionId="35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6" connectionId="31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17" connectionId="44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66" connectionId="28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4" connectionId="23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77" connectionId="21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39" connectionId="29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64" connectionId="35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80" connectionId="22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47" connectionId="129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03" connectionId="5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83" connectionId="409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0" connectionId="406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47" connectionId="31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37" connectionId="10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46" connectionId="13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04" connectionId="55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8" connectionId="12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33" connectionId="27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3" connectionId="41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09" connectionId="64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98" connectionId="23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9" connectionId="44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18" connectionId="41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258" connectionId="16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ExternalData_6" connectionId="44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39" connectionId="110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49" connectionId="14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33" connectionId="10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7" connectionId="442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217" connectionId="7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51" connectionId="17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54" connectionId="20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67" connectionId="397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90" connectionId="40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32" connectionId="272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25" connectionId="9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41" connectionId="29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11" connectionId="7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59" connectionId="34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73" connectionId="37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49" connectionId="31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288" connectionId="24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54" connectionId="32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35" connectionId="28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172" connectionId="37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49" connectionId="149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73" connectionId="33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30" connectionId="421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14" connectionId="415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46" connectionId="116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34" connectionId="42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29" connectionId="97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30" connectionId="28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51" connectionId="15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37" connectionId="289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62" connectionId="347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70" connectionId="24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37" connectionId="431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" connectionId="40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79" connectionId="390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71" connectionId="28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7" connectionId="333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60" connectionId="17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42" connectionId="29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43" connectionId="8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270" connectionId="198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155" connectionId="33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72" connectionId="20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38" connectionId="43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2" connectionId="44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26" connectionId="24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23" connectionId="44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19" connectionId="78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1" connectionId="407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10" connectionId="60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279" connectionId="22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27" connectionId="249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244" connectionId="133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103" connectionId="380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14" connectionId="70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213" connectionId="68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36" connectionId="430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58" connectionId="250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40" connectionId="435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66" connectionId="358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171" connectionId="36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53" connectionId="19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52" connectionId="323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60" connectionId="34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12" connectionId="6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59" connectionId="260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45" connectionId="30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18" connectionId="15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205" connectionId="57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0" connectionId="40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6" connectionId="40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ExternalData_25" connectionId="41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23" connectionId="20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44" connectionId="9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ExternalData_10" connectionId="44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35" connectionId="40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61" connectionId="345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45" connectionId="104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24" connectionId="412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21" connectionId="86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29" connectionId="24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63" connectionId="34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8" connectionId="13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63" connectionId="17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29" connectionId="26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08" connectionId="63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167" connectionId="36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60" connectionId="26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74" connectionId="375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265" connectionId="185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14" connectionId="10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8" connectionId="443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ExternalData_5" connectionId="436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250" connectionId="14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80" connectionId="39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69" connectionId="126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36" connectionId="286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41" connectionId="61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22" connectionId="87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ExternalData_28" connectionId="419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65" connectionId="354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39" connectionId="433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81" connectionId="39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3" connectionId="12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11" connectionId="44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62" connectionId="177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ExternalData_12" connectionId="41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20" connectionId="8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75" connectionId="378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281" connectionId="22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41" connectionId="11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75" connectionId="210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24" connectionId="8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59" connectionId="168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ExternalData_4" connectionId="426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52" connectionId="18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13" connectionId="41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24" connectionId="21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216" connectionId="7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64" connectionId="27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_21" connectionId="43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19" connectionId="160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176" connectionId="38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34" connectionId="278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43" connectionId="30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261" connectionId="175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228" connectionId="9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72" connectionId="31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40" connectionId="29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8" connectionId="357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27" connectionId="95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55" connectionId="21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282" connectionId="232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32" connectionId="42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48" connectionId="31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287" connectionId="24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156" connectionId="33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12" connectionId="8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144" connectionId="303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68" connectionId="36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32" connectionId="33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9" connectionId="38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AN168">
  <autoFilter ref="A1:AN168">
    <filterColumn colId="2"/>
    <filterColumn colId="4"/>
    <filterColumn colId="5"/>
    <filterColumn colId="6"/>
    <filterColumn colId="7"/>
    <filterColumn colId="8"/>
    <filterColumn colId="9"/>
    <filterColumn colId="10"/>
    <filterColumn colId="13"/>
    <filterColumn colId="14"/>
    <filterColumn colId="15"/>
    <filterColumn colId="17"/>
    <filterColumn colId="19"/>
    <filterColumn colId="20"/>
    <filterColumn colId="21"/>
    <filterColumn colId="22"/>
    <filterColumn colId="23"/>
    <filterColumn colId="29"/>
    <filterColumn colId="31"/>
    <filterColumn colId="32"/>
    <filterColumn colId="33"/>
  </autoFilter>
  <sortState ref="A2:AO168">
    <sortCondition ref="B1:B168"/>
  </sortState>
  <tableColumns count="40">
    <tableColumn id="10" name="Classificação Setorial" totalsRowFunction="count" dataDxfId="14" totalsRowDxfId="131"/>
    <tableColumn id="9" name="PAPEL" dataDxfId="12" totalsRowDxfId="130"/>
    <tableColumn id="34" name="Nome" dataDxfId="13" dataCellStyle="Moeda">
      <calculatedColumnFormula>LEFT([PAPEL],LEN([PAPEL])-(LEN([PAPEL])-4))</calculatedColumnFormula>
    </tableColumn>
    <tableColumn id="24" name="Ref"/>
    <tableColumn id="1" name="Capital Social" dataDxfId="27" dataCellStyle="Moeda"/>
    <tableColumn id="7" name="Ações" dataDxfId="26" dataCellStyle="Separador de milhares"/>
    <tableColumn id="11" name="% Div Mínimo" dataDxfId="38" dataCellStyle="Porcentagem"/>
    <tableColumn id="29" name="% PNA (PL)" dataDxfId="18" dataCellStyle="Moeda"/>
    <tableColumn id="30" name="% PNA (CS)" dataDxfId="16" dataCellStyle="Porcentagem"/>
    <tableColumn id="43" name="% Nominal" dataDxfId="17" dataCellStyle="Porcentagem"/>
    <tableColumn id="47" name="% Pref. / ON" dataDxfId="20" dataCellStyle="Porcentagem"/>
    <tableColumn id="2" name="Patrimônio Líquido" dataDxfId="19" totalsRowDxfId="129"/>
    <tableColumn id="13" name="Lucro Líquido" dataDxfId="128" totalsRowDxfId="127"/>
    <tableColumn id="39" name="Teto R. Legal" dataDxfId="11" totalsRowDxfId="35" dataCellStyle="Moeda">
      <calculatedColumnFormula>Tabela3[[#This Row],[Capital Social]]*20%</calculatedColumnFormula>
    </tableColumn>
    <tableColumn id="36" name="Reserva Legal" dataDxfId="10" totalsRowDxfId="37" dataCellStyle="Moeda">
      <calculatedColumnFormula>IF(([Lucro Líquido]*5%)&gt;[Teto R. Legal],[Teto R. Legal],[Lucro Líquido]*5%)</calculatedColumnFormula>
    </tableColumn>
    <tableColumn id="37" name="Lucro Distribuir" dataDxfId="2" totalsRowDxfId="36" dataCellStyle="Moeda">
      <calculatedColumnFormula>IF([Lucro Líquido]&lt;0,0,[Lucro Líquido]-[Reserva Legal])</calculatedColumnFormula>
    </tableColumn>
    <tableColumn id="3" name="Total Ações" dataDxfId="25" totalsRowDxfId="126"/>
    <tableColumn id="44" name="V. Nominal" dataDxfId="24" totalsRowDxfId="30" dataCellStyle="Moeda">
      <calculatedColumnFormula>[Capital Social]/[Total Ações]</calculatedColumnFormula>
    </tableColumn>
    <tableColumn id="19" name="Lucro/Ação" dataDxfId="22" totalsRowDxfId="40" dataCellStyle="Moeda">
      <calculatedColumnFormula>Tabela3[[#This Row],[Lucro Líquido]]/Tabela3[[#This Row],[Total Ações]]</calculatedColumnFormula>
    </tableColumn>
    <tableColumn id="40" name="Div. Mínimo" dataDxfId="21" totalsRowDxfId="34" dataCellStyle="Moeda">
      <calculatedColumnFormula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calculatedColumnFormula>
    </tableColumn>
    <tableColumn id="28" name="Div PNA (PL)" dataDxfId="23" totalsRowDxfId="41" dataCellStyle="Moeda">
      <calculatedColumnFormula>[Patrimônio Líquido]*[% PNA (PL)]/[Total Ações]</calculatedColumnFormula>
    </tableColumn>
    <tableColumn id="33" name="Div PNA (CS)" dataDxfId="28" totalsRowDxfId="39" dataCellStyle="Moeda">
      <calculatedColumnFormula>[Capital Social]*[% PNA (CS)]/[Total Ações]</calculatedColumnFormula>
    </tableColumn>
    <tableColumn id="41" name="Div. Pref" dataDxfId="0" totalsRowDxfId="33" dataCellStyle="Moeda">
      <calculatedColumnFormula>MAX(Tabela3[[#This Row],[Div PNA (PL)]],Tabela3[[#This Row],[Div PNA (CS)]])</calculatedColumnFormula>
    </tableColumn>
    <tableColumn id="42" name="Total Div. Pref." dataDxfId="29" totalsRowDxfId="32" dataCellStyle="Moeda">
      <calculatedColumnFormula>[Div. Pref]*[Ações]</calculatedColumnFormula>
    </tableColumn>
    <tableColumn id="26" name="Payout" dataDxfId="125" totalsRowDxfId="124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123" totalsRowDxfId="122">
      <calculatedColumnFormula>[Patrimônio Líquido]/[Total Ações]</calculatedColumnFormula>
    </tableColumn>
    <tableColumn id="5" name="Cotação" dataDxfId="121" totalsRowDxfId="120">
      <calculatedColumnFormula>MAX(Tabela3[[#This Row],[Cotação 1]],Tabela3[[#This Row],[Cotação 2]])</calculatedColumnFormula>
    </tableColumn>
    <tableColumn id="6" name="PVPA" dataDxfId="119" totalsRowDxfId="118">
      <calculatedColumnFormula>[Cotação]/[VPA]</calculatedColumnFormula>
    </tableColumn>
    <tableColumn id="16" name="PL" dataDxfId="15">
      <calculatedColumnFormula>IF(Tabela3[[#This Row],[Lucro/Ação]]&gt;0,Tabela3[[#This Row],[Cotação]]/(Tabela3[[#This Row],[Lucro/Ação]]/[Ref]*4),0)</calculatedColumnFormula>
    </tableColumn>
    <tableColumn id="51" name="Lucro Payout" dataDxfId="4">
      <calculatedColumnFormula>IF([Div. Mínimo]=0,0,[Lucro Distribuir]*[Payout]/[Total Ações])</calculatedColumnFormula>
    </tableColumn>
    <tableColumn id="21" name="Lucro Atual" dataDxfId="1" totalsRowDxfId="117" dataCellStyle="Moeda">
      <calculatedColumnFormula>IF(AND([Div. Pref]&gt;0,[Div. Mínimo]&gt;0),[Div. Mínimo]+[Div. Pref],IF([Div. Pref]&gt;0,[Div. Pref],IF([Div. Mínimo]&gt;0,[Div. Mínimo],0)))</calculatedColumnFormula>
    </tableColumn>
    <tableColumn id="53" name="Lucro Dist./Ação" dataDxfId="6" totalsRowDxfId="7" dataCellStyle="Moeda">
      <calculatedColumnFormula>[Lucro Distribuir]/[Total Ações]</calculatedColumnFormula>
    </tableColumn>
    <tableColumn id="52" name="Lucro" dataDxfId="5" totalsRowDxfId="9" dataCellStyle="Moeda">
      <calculatedColumnFormula>IF([Lucro Payout]&gt;[Lucro Dist./Ação],MAX(Tabela3[[#This Row],[Lucro Atual]:[Lucro Dist./Ação]]),MAX(Tabela3[[#This Row],[Lucro Payout]:[Lucro Atual]]))</calculatedColumnFormula>
    </tableColumn>
    <tableColumn id="8" name="Comprar ?" dataDxfId="31" totalsRowDxfId="116">
      <calculatedColumnFormula>IF(AND([% A.A.]&gt;=10%,[PVPA]&lt;=2,[PL]&lt;=15,[PL]&gt;0),"Sim","Não")</calculatedColumnFormula>
    </tableColumn>
    <tableColumn id="14" name="% Yield" dataDxfId="8" totalsRowDxfId="115">
      <calculatedColumnFormula>Tabela3[[#This Row],[Lucro]]/Tabela3[[#This Row],[Cotação]]</calculatedColumnFormula>
    </tableColumn>
    <tableColumn id="12" name="% A.A." dataDxfId="114" totalsRowDxfId="113">
      <calculatedColumnFormula>((1+Tabela3[[#This Row],[% Yield]])^(1/(3*Tabela3[[#This Row],[Ref]])))^(12)-1</calculatedColumnFormula>
    </tableColumn>
    <tableColumn id="17" name="Ativos" dataDxfId="3" totalsRowDxfId="112">
      <calculatedColumnFormula>($AQ$1/Tabela3[[#This Row],[Cotação]]-MOD($AQ$1/Tabela3[[#This Row],[Cotação]],100))</calculatedColumnFormula>
    </tableColumn>
    <tableColumn id="18" name="Lucro Med A.A" totalsRowFunction="sum" dataDxfId="111" totalsRowDxfId="110">
      <calculatedColumnFormula>Tabela3[[#This Row],[Ativos]]*Tabela3[[#This Row],[Lucro Atual]]</calculatedColumnFormula>
    </tableColumn>
    <tableColumn id="15" name="Cotação 1" dataDxfId="109" totalsRowDxfId="108">
      <calculatedColumnFormula>SUMPRODUCT(N(Tabela1[Código]=Tabela3[[#This Row],[PAPEL]]),Tabela1[Fechamento])</calculatedColumnFormula>
    </tableColumn>
    <tableColumn id="20" name="Cotação 2" totalsRowFunction="sum" dataDxfId="107" totalsRowDxfId="106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05" dataDxfId="104">
  <autoFilter ref="P6:V112"/>
  <sortState ref="P7:V112">
    <sortCondition ref="P6:P112"/>
  </sortState>
  <tableColumns count="7">
    <tableColumn id="1" name="Código" dataDxfId="103"/>
    <tableColumn id="2" name="Ativo" dataDxfId="102">
      <calculatedColumnFormula>IF(A7="","",C7)</calculatedColumnFormula>
    </tableColumn>
    <tableColumn id="3" name="Data" dataDxfId="101">
      <calculatedColumnFormula>IF(A7="","",H7)</calculatedColumnFormula>
    </tableColumn>
    <tableColumn id="4" name="Abertura" dataDxfId="100">
      <calculatedColumnFormula>J7</calculatedColumnFormula>
    </tableColumn>
    <tableColumn id="5" name="Fechamento" dataDxfId="99">
      <calculatedColumnFormula>K7</calculatedColumnFormula>
    </tableColumn>
    <tableColumn id="6" name="Máxima" dataDxfId="98">
      <calculatedColumnFormula>L7</calculatedColumnFormula>
    </tableColumn>
    <tableColumn id="7" name="Mínima" dataDxfId="97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96" dataDxfId="95">
  <autoFilter ref="P6:V112"/>
  <sortState ref="P7:V112">
    <sortCondition ref="P6:P112"/>
  </sortState>
  <tableColumns count="7">
    <tableColumn id="1" name="Código" dataDxfId="94"/>
    <tableColumn id="2" name="Ativo" dataDxfId="93">
      <calculatedColumnFormula>IF(A7="","",C7)</calculatedColumnFormula>
    </tableColumn>
    <tableColumn id="3" name="Data" dataDxfId="92">
      <calculatedColumnFormula>IF(A7="","",H7)</calculatedColumnFormula>
    </tableColumn>
    <tableColumn id="4" name="Abertura" dataDxfId="91">
      <calculatedColumnFormula>J7</calculatedColumnFormula>
    </tableColumn>
    <tableColumn id="5" name="Fechamento" dataDxfId="90">
      <calculatedColumnFormula>K7</calculatedColumnFormula>
    </tableColumn>
    <tableColumn id="6" name="Máxima" dataDxfId="89">
      <calculatedColumnFormula>L7</calculatedColumnFormula>
    </tableColumn>
    <tableColumn id="7" name="Mínima" dataDxfId="88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M586" totalsRowShown="0" headerRowDxfId="87" dataDxfId="86">
  <autoFilter ref="A1:M586"/>
  <sortState ref="A2:K563">
    <sortCondition ref="A1:A563"/>
  </sortState>
  <tableColumns count="13">
    <tableColumn id="1" name="Ativo" dataDxfId="85"/>
    <tableColumn id="4" name="Exercício" dataDxfId="84"/>
    <tableColumn id="2" name="Lucro Líquido" dataDxfId="83"/>
    <tableColumn id="6" name="Total Ações" dataDxfId="82">
      <calculatedColumnFormula>SUMPRODUCT(N(Tabela3[PAPEL]=Tabela2[[#This Row],[Ativo]]),Tabela3[Total Ações])</calculatedColumnFormula>
    </tableColumn>
    <tableColumn id="7" name="Lucro por ação" dataDxfId="81">
      <calculatedColumnFormula>(Tabela2[[#This Row],[Lucro Líquido]])/Tabela2[[#This Row],[Total Ações]]</calculatedColumnFormula>
    </tableColumn>
    <tableColumn id="8" name="Dividendo / Ação" dataDxfId="80"/>
    <tableColumn id="5" name="Payout" dataDxfId="79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78">
      <calculatedColumnFormula>MAX(Tabela2[[#This Row],[Cotação 1]],Tabela2[[#This Row],[Cotação 2]])</calculatedColumnFormula>
    </tableColumn>
    <tableColumn id="10" name="Yield" dataDxfId="77">
      <calculatedColumnFormula>IF(Tabela2[[#This Row],[Dividendo / Ação]]&gt;0,Tabela2[[#This Row],[Dividendo / Ação]]/Tabela2[[#This Row],[Cotação]],"")</calculatedColumnFormula>
    </tableColumn>
    <tableColumn id="11" name="Cotação 1" dataDxfId="76">
      <calculatedColumnFormula>SUMPRODUCT(N(Tabela1[Código]=Tabela2[[#This Row],[Ativo]]),Tabela1[Fechamento])</calculatedColumnFormula>
    </tableColumn>
    <tableColumn id="12" name="Cotação 2" dataDxfId="75">
      <calculatedColumnFormula>SUMPRODUCT(N(Tabela17[Código]=Tabela2[[#This Row],[Ativo]]),Tabela17[Fechamento])</calculatedColumnFormula>
    </tableColumn>
    <tableColumn id="3" name="Lucro Anterior" dataDxfId="74">
      <calculatedColumnFormula>SUMPRODUCT(N([Ativo]=Tabela2[[#This Row],[Ativo]]),N([Exercício]=Tabela2[[#This Row],[Exercício]]-1),[Lucro Líquido])</calculatedColumnFormula>
    </tableColumn>
    <tableColumn id="13" name="Crescimento" dataDxfId="73">
      <calculatedColumnFormula>IF(Tabela2[[#This Row],[Lucro Anterior]]=0,"",IF(Tabela2[[#This Row],[Lucro Líquido]]&gt;0,Tabela2[[#This Row],[Lucro Líquido]]/Tabela2[[#This Row],[Lucro Anterior]]-1,0))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N3" totalsRowCount="1" headerRowDxfId="72" dataDxfId="71" totalsRowDxfId="70">
  <autoFilter ref="A1:N2"/>
  <tableColumns count="14">
    <tableColumn id="1" name="Data Liquidação" totalsRowLabel="Total" dataDxfId="69" totalsRowDxfId="68"/>
    <tableColumn id="16" name="Dia" dataDxfId="67" totalsRowDxfId="66">
      <calculatedColumnFormula>DAY([Data Liquidação])</calculatedColumnFormula>
    </tableColumn>
    <tableColumn id="15" name="Mês" dataDxfId="65" totalsRowDxfId="64">
      <calculatedColumnFormula>MONTH([Data Liquidação])</calculatedColumnFormula>
    </tableColumn>
    <tableColumn id="14" name="Ano" dataDxfId="63" totalsRowDxfId="62">
      <calculatedColumnFormula>YEAR([Data Liquidação])</calculatedColumnFormula>
    </tableColumn>
    <tableColumn id="7" name="Nome" dataDxfId="61" totalsRowDxfId="60"/>
    <tableColumn id="2" name="Aplicação" totalsRowFunction="sum" dataDxfId="59" totalsRowDxfId="58"/>
    <tableColumn id="3" name="Taxas" totalsRowFunction="min" dataDxfId="57" totalsRowDxfId="56"/>
    <tableColumn id="4" name="Resgates" totalsRowFunction="sum" dataDxfId="55" totalsRowDxfId="54"/>
    <tableColumn id="5" name="Dividendo" totalsRowFunction="sum" dataDxfId="53" totalsRowDxfId="52"/>
    <tableColumn id="18" name="JPC" totalsRowFunction="sum" dataDxfId="51" totalsRowDxfId="50"/>
    <tableColumn id="8" name="Quantidade" dataDxfId="49" totalsRowDxfId="48"/>
    <tableColumn id="9" name="Preço Médio" dataDxfId="47" totalsRowDxfId="46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5" totalsRowDxfId="44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3" totalsRowDxfId="42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34" Type="http://schemas.openxmlformats.org/officeDocument/2006/relationships/hyperlink" Target="http://www.bmfbovespa.com.br/cias-listadas/empresas-listadas/ResumoEmpresaPrincipal.aspx?codigoCvm=5770&amp;idioma=pt-br" TargetMode="External"/><Relationship Id="rId42" Type="http://schemas.openxmlformats.org/officeDocument/2006/relationships/hyperlink" Target="http://www.bmfbovespa.com.br/cias-listadas/empresas-listadas/ResumoEmpresaPrincipal.aspx?codigoCvm=19909&amp;idioma=pt-br" TargetMode="External"/><Relationship Id="rId47" Type="http://schemas.openxmlformats.org/officeDocument/2006/relationships/hyperlink" Target="http://www.bmfbovespa.com.br/cias-listadas/empresas-listadas/ResumoEmpresaPrincipal.aspx?codigoCvm=22357&amp;idioma=pt-br" TargetMode="External"/><Relationship Id="rId50" Type="http://schemas.openxmlformats.org/officeDocument/2006/relationships/hyperlink" Target="http://www.bmfbovespa.com.br/cias-listadas/empresas-listadas/ResumoEmpresaPrincipal.aspx?codigoCvm=3891&amp;idioma=pt-br" TargetMode="External"/><Relationship Id="rId55" Type="http://schemas.openxmlformats.org/officeDocument/2006/relationships/hyperlink" Target="http://www.bmfbovespa.com.br/cias-listadas/empresas-listadas/ResumoEmpresaPrincipal.aspx?codigoCvm=21733&amp;idioma=pt-br" TargetMode="External"/><Relationship Id="rId63" Type="http://schemas.openxmlformats.org/officeDocument/2006/relationships/hyperlink" Target="http://www.bmfbovespa.com.br/cias-listadas/empresas-listadas/ResumoEmpresaPrincipal.aspx?codigoCvm=2577" TargetMode="External"/><Relationship Id="rId68" Type="http://schemas.openxmlformats.org/officeDocument/2006/relationships/hyperlink" Target="http://www.bmfbovespa.com.br/Cias-Listadas/Empresas-Listadas/ResumoEmpresaPrincipal.aspx?codigoCvm=14451&amp;idioma=pt-br" TargetMode="External"/><Relationship Id="rId76" Type="http://schemas.openxmlformats.org/officeDocument/2006/relationships/hyperlink" Target="http://www.bmfbovespa.com.br/Cias-Listadas/Empresas-Listadas/ResumoEmpresaPrincipal.aspx?codigoCvm=20567&amp;idioma=pt-br" TargetMode="External"/><Relationship Id="rId84" Type="http://schemas.openxmlformats.org/officeDocument/2006/relationships/hyperlink" Target="http://www.bmfbovespa.com.br/Cias-Listadas/Empresas-Listadas/ResumoEmpresaPrincipal.aspx?codigoCvm=4707&amp;idioma=pt-br" TargetMode="External"/><Relationship Id="rId89" Type="http://schemas.openxmlformats.org/officeDocument/2006/relationships/hyperlink" Target="http://www.bmfbovespa.com.br/Cias-Listadas/Empresas-Listadas/ResumoEmpresaPrincipal.aspx?codigoCvm=14206&amp;idioma=pt-BR" TargetMode="External"/><Relationship Id="rId97" Type="http://schemas.openxmlformats.org/officeDocument/2006/relationships/printerSettings" Target="../printerSettings/printerSettings1.bin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71" Type="http://schemas.openxmlformats.org/officeDocument/2006/relationships/hyperlink" Target="http://www.bmfbovespa.com.br/Cias-Listadas/Empresas-Listadas/ResumoEmpresaPrincipal.aspx?codigoCvm=1023&amp;idioma=pt-BR" TargetMode="External"/><Relationship Id="rId92" Type="http://schemas.openxmlformats.org/officeDocument/2006/relationships/hyperlink" Target="http://www.bmfbovespa.com.br/cias-listadas/empresas-listadas/ResumoEmpresaPrincipal.aspx?codigoCvm=4820&amp;idioma=pt-br" TargetMode="External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9" Type="http://schemas.openxmlformats.org/officeDocument/2006/relationships/hyperlink" Target="http://www.bmfbovespa.com.br/cias-listadas/empresas-listadas/ResumoEmpresaPrincipal.aspx?codigoCvm=2453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hyperlink" Target="http://www.bmfbovespa.com.br/cias-listadas/empresas-listadas/ResumoEmpresaPrincipal.aspx?codigoCvm=13412&amp;idioma=pt-br" TargetMode="External"/><Relationship Id="rId37" Type="http://schemas.openxmlformats.org/officeDocument/2006/relationships/hyperlink" Target="http://www.bmfbovespa.com.br/cias-listadas/empresas-listadas/ResumoEmpresaPrincipal.aspx?codigoCvm=4170&amp;idioma=pt-br" TargetMode="External"/><Relationship Id="rId40" Type="http://schemas.openxmlformats.org/officeDocument/2006/relationships/hyperlink" Target="http://www.bmfbovespa.com.br/cias-listadas/empresas-listadas/ResumoEmpresaPrincipal.aspx?codigoCvm=5762&amp;idioma=pt-br" TargetMode="External"/><Relationship Id="rId45" Type="http://schemas.openxmlformats.org/officeDocument/2006/relationships/hyperlink" Target="http://www.bmfbovespa.com.br/cias-listadas/empresas-listadas/ResumoEmpresaPrincipal.aspx?codigoCvm=20494&amp;idioma=pt-br" TargetMode="External"/><Relationship Id="rId53" Type="http://schemas.openxmlformats.org/officeDocument/2006/relationships/hyperlink" Target="http://www.bmfbovespa.com.br/cias-listadas/empresas-listadas/ResumoEmpresaPrincipal.aspx?codigoCvm=21717&amp;idioma=pt-br" TargetMode="External"/><Relationship Id="rId58" Type="http://schemas.openxmlformats.org/officeDocument/2006/relationships/hyperlink" Target="http://www.bmfbovespa.com.br/cias-listadas/empresas-listadas/ResumoEmpresaPrincipal.aspx?codigoCvm=94&amp;idioma=pt-br" TargetMode="External"/><Relationship Id="rId66" Type="http://schemas.openxmlformats.org/officeDocument/2006/relationships/hyperlink" Target="http://www.bmfbovespa.com.br/Cias-Listadas/Empresas-Listadas/ResumoEmpresaPrincipal.aspx?codigoCvm=14443&amp;idioma=pt-BR" TargetMode="External"/><Relationship Id="rId74" Type="http://schemas.openxmlformats.org/officeDocument/2006/relationships/hyperlink" Target="http://www.bmfbovespa.com.br/Cias-Listadas/Empresas-Listadas/ResumoEmpresaPrincipal.aspx?codigoCvm=1228&amp;idioma=pt-BR" TargetMode="External"/><Relationship Id="rId79" Type="http://schemas.openxmlformats.org/officeDocument/2006/relationships/hyperlink" Target="http://www.bmfbovespa.com.br/Cias-Listadas/Empresas-Listadas/ResumoEmpresaPrincipal.aspx?codigoCvm=14311&amp;idioma=pt-BR" TargetMode="External"/><Relationship Id="rId87" Type="http://schemas.openxmlformats.org/officeDocument/2006/relationships/hyperlink" Target="http://www.bmfbovespa.com.br/Cias-Listadas/Empresas-Listadas/ResumoEmpresaPrincipal.aspx?codigoCvm=4707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61" Type="http://schemas.openxmlformats.org/officeDocument/2006/relationships/hyperlink" Target="http://www.bmfbovespa.com.br/cias-listadas/empresas-listadas/ResumoEmpresaPrincipal.aspx?codigoCvm=14176&amp;idioma=pt-br" TargetMode="External"/><Relationship Id="rId82" Type="http://schemas.openxmlformats.org/officeDocument/2006/relationships/hyperlink" Target="http://www.bmfbovespa.com.br/Cias-Listadas/Empresas-Listadas/ResumoEmpresaPrincipal.aspx?codigoCvm=4707&amp;idioma=pt-br" TargetMode="External"/><Relationship Id="rId90" Type="http://schemas.openxmlformats.org/officeDocument/2006/relationships/hyperlink" Target="http://www.bmfbovespa.com.br/Cias-Listadas/Empresas-Listadas/ResumoEmpresaPrincipal.aspx?codigoCvm=1384&amp;idioma=pt-br" TargetMode="External"/><Relationship Id="rId95" Type="http://schemas.openxmlformats.org/officeDocument/2006/relationships/hyperlink" Target="http://www.bmfbovespa.com.br/Cias-Listadas/Empresas-Listadas/ResumoEmpresaPrincipal.aspx?codigoCvm=1210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0974&amp;idioma=pt-br" TargetMode="External"/><Relationship Id="rId43" Type="http://schemas.openxmlformats.org/officeDocument/2006/relationships/hyperlink" Target="http://www.bmfbovespa.com.br/cias-listadas/empresas-listadas/ResumoEmpresaPrincipal.aspx?codigoCvm=19925&amp;idioma=pt-br" TargetMode="External"/><Relationship Id="rId48" Type="http://schemas.openxmlformats.org/officeDocument/2006/relationships/hyperlink" Target="http://www.bmfbovespa.com.br/cias-listadas/empresas-listadas/ResumoEmpresaPrincipal.aspx?codigoCvm=13781&amp;idioma=pt-br" TargetMode="External"/><Relationship Id="rId56" Type="http://schemas.openxmlformats.org/officeDocument/2006/relationships/hyperlink" Target="http://www.bmfbovespa.com.br/cias-listadas/empresas-listadas/ResumoEmpresaPrincipal.aspx?codigoCvm=21792&amp;idioma=pt-br" TargetMode="External"/><Relationship Id="rId64" Type="http://schemas.openxmlformats.org/officeDocument/2006/relationships/hyperlink" Target="http://www.bmfbovespa.com.br/cias-listadas/empresas-listadas/ResumoEmpresaPrincipal.aspx?codigoCvm=2453&amp;idioma=pt-br" TargetMode="External"/><Relationship Id="rId69" Type="http://schemas.openxmlformats.org/officeDocument/2006/relationships/hyperlink" Target="http://www.bmfbovespa.com.br/Cias-Listadas/Empresas-Listadas/ResumoEmpresaPrincipal.aspx?codigoCvm=14451&amp;idioma=pt-br" TargetMode="External"/><Relationship Id="rId77" Type="http://schemas.openxmlformats.org/officeDocument/2006/relationships/hyperlink" Target="http://www.bmfbovespa.com.br/Cias-Listadas/Empresas-Listadas/ResumoEmpresaPrincipal.aspx?codigoCvm=20567&amp;idioma=pt-br" TargetMode="External"/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51" Type="http://schemas.openxmlformats.org/officeDocument/2006/relationships/hyperlink" Target="http://www.bmfbovespa.com.br/cias-listadas/empresas-listadas/ResumoEmpresaPrincipal.aspx?codigoCvm=3891&amp;idioma=pt-br" TargetMode="External"/><Relationship Id="rId72" Type="http://schemas.openxmlformats.org/officeDocument/2006/relationships/hyperlink" Target="http://www.bmfbovespa.com.br/Cias-Listadas/Empresas-Listadas/ResumoEmpresaPrincipal.aspx?codigoCvm=19763&amp;idioma=pt-BR" TargetMode="External"/><Relationship Id="rId80" Type="http://schemas.openxmlformats.org/officeDocument/2006/relationships/hyperlink" Target="http://www.bmfbovespa.com.br/Cias-Listadas/Empresas-Listadas/ResumoEmpresaPrincipal.aspx?codigoCvm=14311&amp;idioma=pt-BR" TargetMode="External"/><Relationship Id="rId85" Type="http://schemas.openxmlformats.org/officeDocument/2006/relationships/hyperlink" Target="http://www.bmfbovespa.com.br/Cias-Listadas/Empresas-Listadas/ResumoEmpresaPrincipal.aspx?codigoCvm=4707&amp;idioma=pt-br" TargetMode="External"/><Relationship Id="rId93" Type="http://schemas.openxmlformats.org/officeDocument/2006/relationships/hyperlink" Target="http://www.bmfbovespa.com.br/cias-listadas/empresas-listadas/ResumoEmpresaPrincipal.aspx?codigoCvm=4820&amp;idioma=pt-br" TargetMode="External"/><Relationship Id="rId98" Type="http://schemas.openxmlformats.org/officeDocument/2006/relationships/table" Target="../tables/table1.xml"/><Relationship Id="rId3" Type="http://schemas.openxmlformats.org/officeDocument/2006/relationships/hyperlink" Target="http://www.bmfbovespa.com.br/cias-listadas/empresas-listadas/ResumoEmpresaPrincipal.aspx?codigoCvm=21121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hyperlink" Target="http://www.bmfbovespa.com.br/cias-listadas/empresas-listadas/ResumoEmpresaPrincipal.aspx?codigoCvm=21091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46" Type="http://schemas.openxmlformats.org/officeDocument/2006/relationships/hyperlink" Target="http://www.bmfbovespa.com.br/cias-listadas/empresas-listadas/ResumoEmpresaPrincipal.aspx?codigoCvm=20982&amp;idioma=pt-br" TargetMode="External"/><Relationship Id="rId59" Type="http://schemas.openxmlformats.org/officeDocument/2006/relationships/hyperlink" Target="http://www.bmfbovespa.com.br/cias-listadas/empresas-listadas/ResumoEmpresaPrincipal.aspx?codigoCvm=11592&amp;idioma=pt-br" TargetMode="External"/><Relationship Id="rId67" Type="http://schemas.openxmlformats.org/officeDocument/2006/relationships/hyperlink" Target="http://www.bmfbovespa.com.br/Cias-Listadas/Empresas-Listadas/ResumoEmpresaPrincipal.aspx?codigoCvm=14451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41" Type="http://schemas.openxmlformats.org/officeDocument/2006/relationships/hyperlink" Target="http://www.bmfbovespa.com.br/cias-listadas/empresas-listadas/ResumoEmpresaPrincipal.aspx?codigoCvm=21300&amp;idioma=pt-br" TargetMode="External"/><Relationship Id="rId54" Type="http://schemas.openxmlformats.org/officeDocument/2006/relationships/hyperlink" Target="http://www.bmfbovespa.com.br/cias-listadas/empresas-listadas/ResumoEmpresaPrincipal.aspx?codigoCvm=21610&amp;idioma=pt-br" TargetMode="External"/><Relationship Id="rId62" Type="http://schemas.openxmlformats.org/officeDocument/2006/relationships/hyperlink" Target="http://www.bmfbovespa.com.br/cias-listadas/empresas-listadas/ResumoEmpresaPrincipal.aspx?codigoCvm=2577" TargetMode="External"/><Relationship Id="rId70" Type="http://schemas.openxmlformats.org/officeDocument/2006/relationships/hyperlink" Target="http://www.bmfbovespa.com.br/cias-listadas/empresas-listadas/ResumoEmpresaPrincipal.aspx?codigoCvm=14915&amp;idioma=pt-br" TargetMode="External"/><Relationship Id="rId75" Type="http://schemas.openxmlformats.org/officeDocument/2006/relationships/hyperlink" Target="http://www.bmfbovespa.com.br/Cias-Listadas/Empresas-Listadas/ResumoEmpresaPrincipal.aspx?codigoCvm=1228&amp;idioma=pt-BR" TargetMode="External"/><Relationship Id="rId83" Type="http://schemas.openxmlformats.org/officeDocument/2006/relationships/hyperlink" Target="http://www.bmfbovespa.com.br/Cias-Listadas/Empresas-Listadas/ResumoEmpresaPrincipal.aspx?codigoCvm=4707&amp;idioma=pt-br" TargetMode="External"/><Relationship Id="rId88" Type="http://schemas.openxmlformats.org/officeDocument/2006/relationships/hyperlink" Target="http://www.bmfbovespa.com.br/Cias-Listadas/Empresas-Listadas/ResumoEmpresaPrincipal.aspx?codigoCvm=14206&amp;idioma=pt-BR" TargetMode="External"/><Relationship Id="rId91" Type="http://schemas.openxmlformats.org/officeDocument/2006/relationships/hyperlink" Target="http://www.bmfbovespa.com.br/Cias-Listadas/Empresas-Listadas/ResumoEmpresaPrincipal.aspx?codigoCvm=1384&amp;idioma=pt-br" TargetMode="External"/><Relationship Id="rId96" Type="http://schemas.openxmlformats.org/officeDocument/2006/relationships/hyperlink" Target="http://www.bmfbovespa.com.br/Cias-Listadas/Empresas-Listadas/ResumoEmpresaPrincipal.aspx?codigoCvm=1210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2577" TargetMode="External"/><Relationship Id="rId36" Type="http://schemas.openxmlformats.org/officeDocument/2006/relationships/hyperlink" Target="http://www.bmfbovespa.com.br/cias-listadas/empresas-listadas/ResumoEmpresaPrincipal.aspx?codigoCvm=20842&amp;idioma=pt-br" TargetMode="External"/><Relationship Id="rId49" Type="http://schemas.openxmlformats.org/officeDocument/2006/relationships/hyperlink" Target="http://www.bmfbovespa.com.br/cias-listadas/empresas-listadas/ResumoEmpresaPrincipal.aspx?codigoCvm=8540&amp;idioma=pt-br" TargetMode="External"/><Relationship Id="rId57" Type="http://schemas.openxmlformats.org/officeDocument/2006/relationships/hyperlink" Target="http://www.bmfbovespa.com.br/Cias-Listadas/Empresas-Listadas/ResumoEmpresaPrincipal.aspx?codigoCvm=17647&amp;idioma=pt-BR" TargetMode="Externa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31" Type="http://schemas.openxmlformats.org/officeDocument/2006/relationships/hyperlink" Target="http://www.bmfbovespa.com.br/Cias-Listadas/Empresas-Listadas/ResumoEmpresaPrincipal.aspx?codigoCvm=19313&amp;idioma=pt-BR" TargetMode="External"/><Relationship Id="rId44" Type="http://schemas.openxmlformats.org/officeDocument/2006/relationships/hyperlink" Target="http://www.bmfbovespa.com.br/cias-listadas/empresas-listadas/ResumoEmpresaPrincipal.aspx?codigoCvm=21040&amp;idioma=pt-br" TargetMode="External"/><Relationship Id="rId52" Type="http://schemas.openxmlformats.org/officeDocument/2006/relationships/hyperlink" Target="http://www.bmfbovespa.com.br/cias-listadas/empresas-listadas/ResumoEmpresaPrincipal.aspx?codigoCvm=22217&amp;idioma=pt-br" TargetMode="External"/><Relationship Id="rId60" Type="http://schemas.openxmlformats.org/officeDocument/2006/relationships/hyperlink" Target="http://www.bmfbovespa.com.br/cias-listadas/empresas-listadas/ResumoEmpresaPrincipal.aspx?codigoCvm=11592&amp;idioma=pt-br" TargetMode="External"/><Relationship Id="rId65" Type="http://schemas.openxmlformats.org/officeDocument/2006/relationships/hyperlink" Target="http://www.bmfbovespa.com.br/cias-listadas/empresas-listadas/ResumoEmpresaPrincipal.aspx?codigoCvm=8540&amp;idioma=pt-br" TargetMode="External"/><Relationship Id="rId73" Type="http://schemas.openxmlformats.org/officeDocument/2006/relationships/hyperlink" Target="http://www.bmfbovespa.com.br/Cias-Listadas/Empresas-Listadas/ResumoEmpresaPrincipal.aspx?codigoCvm=19879&amp;idioma=pt-BR" TargetMode="External"/><Relationship Id="rId78" Type="http://schemas.openxmlformats.org/officeDocument/2006/relationships/hyperlink" Target="http://www.bmfbovespa.com.br/Cias-Listadas/Empresas-Listadas/ResumoEmpresaPrincipal.aspx?codigoCvm=14311&amp;idioma=pt-BR" TargetMode="External"/><Relationship Id="rId81" Type="http://schemas.openxmlformats.org/officeDocument/2006/relationships/hyperlink" Target="http://www.bmfbovespa.com.br/Cias-Listadas/Empresas-Listadas/ResumoEmpresaPrincipal.aspx?codigoCvm=4707&amp;idioma=pt-br" TargetMode="External"/><Relationship Id="rId86" Type="http://schemas.openxmlformats.org/officeDocument/2006/relationships/hyperlink" Target="http://www.bmfbovespa.com.br/Cias-Listadas/Empresas-Listadas/ResumoEmpresaPrincipal.aspx?codigoCvm=4707&amp;idioma=pt-br" TargetMode="External"/><Relationship Id="rId94" Type="http://schemas.openxmlformats.org/officeDocument/2006/relationships/hyperlink" Target="http://www.bmfbovespa.com.br/Cias-Listadas/Empresas-Listadas/ResumoEmpresaPrincipal.aspx?codigoCvm=1210&amp;idioma=pt-BR" TargetMode="External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39" Type="http://schemas.openxmlformats.org/officeDocument/2006/relationships/hyperlink" Target="http://www.bmfbovespa.com.br/cias-listadas/empresas-listadas/ResumoEmpresaPrincipal.aspx?codigoCvm=11231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11" Type="http://schemas.openxmlformats.org/officeDocument/2006/relationships/queryTable" Target="../queryTables/queryTable208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6" Type="http://schemas.openxmlformats.org/officeDocument/2006/relationships/queryTable" Target="../queryTables/queryTable23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36.xml"/><Relationship Id="rId21" Type="http://schemas.openxmlformats.org/officeDocument/2006/relationships/queryTable" Target="../queryTables/queryTable240.xml"/><Relationship Id="rId42" Type="http://schemas.openxmlformats.org/officeDocument/2006/relationships/queryTable" Target="../queryTables/queryTable261.xml"/><Relationship Id="rId63" Type="http://schemas.openxmlformats.org/officeDocument/2006/relationships/queryTable" Target="../queryTables/queryTable282.xml"/><Relationship Id="rId84" Type="http://schemas.openxmlformats.org/officeDocument/2006/relationships/queryTable" Target="../queryTables/queryTable303.xml"/><Relationship Id="rId138" Type="http://schemas.openxmlformats.org/officeDocument/2006/relationships/queryTable" Target="../queryTables/queryTable357.xml"/><Relationship Id="rId159" Type="http://schemas.openxmlformats.org/officeDocument/2006/relationships/queryTable" Target="../queryTables/queryTable378.xml"/><Relationship Id="rId170" Type="http://schemas.openxmlformats.org/officeDocument/2006/relationships/queryTable" Target="../queryTables/queryTable389.xml"/><Relationship Id="rId191" Type="http://schemas.openxmlformats.org/officeDocument/2006/relationships/queryTable" Target="../queryTables/queryTable410.xml"/><Relationship Id="rId205" Type="http://schemas.openxmlformats.org/officeDocument/2006/relationships/queryTable" Target="../queryTables/queryTable424.xml"/><Relationship Id="rId226" Type="http://schemas.openxmlformats.org/officeDocument/2006/relationships/queryTable" Target="../queryTables/queryTable445.xml"/><Relationship Id="rId247" Type="http://schemas.openxmlformats.org/officeDocument/2006/relationships/queryTable" Target="../queryTables/queryTable466.xml"/><Relationship Id="rId107" Type="http://schemas.openxmlformats.org/officeDocument/2006/relationships/queryTable" Target="../queryTables/queryTable326.xml"/><Relationship Id="rId268" Type="http://schemas.openxmlformats.org/officeDocument/2006/relationships/queryTable" Target="../queryTables/queryTable487.xml"/><Relationship Id="rId11" Type="http://schemas.openxmlformats.org/officeDocument/2006/relationships/queryTable" Target="../queryTables/queryTable230.xml"/><Relationship Id="rId32" Type="http://schemas.openxmlformats.org/officeDocument/2006/relationships/queryTable" Target="../queryTables/queryTable251.xml"/><Relationship Id="rId53" Type="http://schemas.openxmlformats.org/officeDocument/2006/relationships/queryTable" Target="../queryTables/queryTable272.xml"/><Relationship Id="rId74" Type="http://schemas.openxmlformats.org/officeDocument/2006/relationships/queryTable" Target="../queryTables/queryTable293.xml"/><Relationship Id="rId128" Type="http://schemas.openxmlformats.org/officeDocument/2006/relationships/queryTable" Target="../queryTables/queryTable347.xml"/><Relationship Id="rId149" Type="http://schemas.openxmlformats.org/officeDocument/2006/relationships/queryTable" Target="../queryTables/queryTable368.xml"/><Relationship Id="rId5" Type="http://schemas.openxmlformats.org/officeDocument/2006/relationships/queryTable" Target="../queryTables/queryTable224.xml"/><Relationship Id="rId95" Type="http://schemas.openxmlformats.org/officeDocument/2006/relationships/queryTable" Target="../queryTables/queryTable314.xml"/><Relationship Id="rId160" Type="http://schemas.openxmlformats.org/officeDocument/2006/relationships/queryTable" Target="../queryTables/queryTable379.xml"/><Relationship Id="rId181" Type="http://schemas.openxmlformats.org/officeDocument/2006/relationships/queryTable" Target="../queryTables/queryTable400.xml"/><Relationship Id="rId216" Type="http://schemas.openxmlformats.org/officeDocument/2006/relationships/queryTable" Target="../queryTables/queryTable435.xml"/><Relationship Id="rId237" Type="http://schemas.openxmlformats.org/officeDocument/2006/relationships/queryTable" Target="../queryTables/queryTable456.xml"/><Relationship Id="rId258" Type="http://schemas.openxmlformats.org/officeDocument/2006/relationships/queryTable" Target="../queryTables/queryTable477.xml"/><Relationship Id="rId279" Type="http://schemas.openxmlformats.org/officeDocument/2006/relationships/queryTable" Target="../queryTables/queryTable498.xml"/><Relationship Id="rId22" Type="http://schemas.openxmlformats.org/officeDocument/2006/relationships/queryTable" Target="../queryTables/queryTable241.xml"/><Relationship Id="rId43" Type="http://schemas.openxmlformats.org/officeDocument/2006/relationships/queryTable" Target="../queryTables/queryTable262.xml"/><Relationship Id="rId64" Type="http://schemas.openxmlformats.org/officeDocument/2006/relationships/queryTable" Target="../queryTables/queryTable283.xml"/><Relationship Id="rId118" Type="http://schemas.openxmlformats.org/officeDocument/2006/relationships/queryTable" Target="../queryTables/queryTable337.xml"/><Relationship Id="rId139" Type="http://schemas.openxmlformats.org/officeDocument/2006/relationships/queryTable" Target="../queryTables/queryTable358.xml"/><Relationship Id="rId85" Type="http://schemas.openxmlformats.org/officeDocument/2006/relationships/queryTable" Target="../queryTables/queryTable304.xml"/><Relationship Id="rId150" Type="http://schemas.openxmlformats.org/officeDocument/2006/relationships/queryTable" Target="../queryTables/queryTable369.xml"/><Relationship Id="rId171" Type="http://schemas.openxmlformats.org/officeDocument/2006/relationships/queryTable" Target="../queryTables/queryTable390.xml"/><Relationship Id="rId192" Type="http://schemas.openxmlformats.org/officeDocument/2006/relationships/queryTable" Target="../queryTables/queryTable411.xml"/><Relationship Id="rId206" Type="http://schemas.openxmlformats.org/officeDocument/2006/relationships/queryTable" Target="../queryTables/queryTable425.xml"/><Relationship Id="rId227" Type="http://schemas.openxmlformats.org/officeDocument/2006/relationships/queryTable" Target="../queryTables/queryTable446.xml"/><Relationship Id="rId248" Type="http://schemas.openxmlformats.org/officeDocument/2006/relationships/queryTable" Target="../queryTables/queryTable467.xml"/><Relationship Id="rId269" Type="http://schemas.openxmlformats.org/officeDocument/2006/relationships/queryTable" Target="../queryTables/queryTable488.xml"/><Relationship Id="rId12" Type="http://schemas.openxmlformats.org/officeDocument/2006/relationships/queryTable" Target="../queryTables/queryTable231.xml"/><Relationship Id="rId33" Type="http://schemas.openxmlformats.org/officeDocument/2006/relationships/queryTable" Target="../queryTables/queryTable252.xml"/><Relationship Id="rId108" Type="http://schemas.openxmlformats.org/officeDocument/2006/relationships/queryTable" Target="../queryTables/queryTable327.xml"/><Relationship Id="rId129" Type="http://schemas.openxmlformats.org/officeDocument/2006/relationships/queryTable" Target="../queryTables/queryTable348.xml"/><Relationship Id="rId280" Type="http://schemas.openxmlformats.org/officeDocument/2006/relationships/queryTable" Target="../queryTables/queryTable499.xml"/><Relationship Id="rId54" Type="http://schemas.openxmlformats.org/officeDocument/2006/relationships/queryTable" Target="../queryTables/queryTable273.xml"/><Relationship Id="rId75" Type="http://schemas.openxmlformats.org/officeDocument/2006/relationships/queryTable" Target="../queryTables/queryTable294.xml"/><Relationship Id="rId96" Type="http://schemas.openxmlformats.org/officeDocument/2006/relationships/queryTable" Target="../queryTables/queryTable315.xml"/><Relationship Id="rId140" Type="http://schemas.openxmlformats.org/officeDocument/2006/relationships/queryTable" Target="../queryTables/queryTable359.xml"/><Relationship Id="rId161" Type="http://schemas.openxmlformats.org/officeDocument/2006/relationships/queryTable" Target="../queryTables/queryTable380.xml"/><Relationship Id="rId182" Type="http://schemas.openxmlformats.org/officeDocument/2006/relationships/queryTable" Target="../queryTables/queryTable401.xml"/><Relationship Id="rId217" Type="http://schemas.openxmlformats.org/officeDocument/2006/relationships/queryTable" Target="../queryTables/queryTable436.xml"/><Relationship Id="rId6" Type="http://schemas.openxmlformats.org/officeDocument/2006/relationships/queryTable" Target="../queryTables/queryTable225.xml"/><Relationship Id="rId238" Type="http://schemas.openxmlformats.org/officeDocument/2006/relationships/queryTable" Target="../queryTables/queryTable457.xml"/><Relationship Id="rId259" Type="http://schemas.openxmlformats.org/officeDocument/2006/relationships/queryTable" Target="../queryTables/queryTable478.xml"/><Relationship Id="rId23" Type="http://schemas.openxmlformats.org/officeDocument/2006/relationships/queryTable" Target="../queryTables/queryTable242.xml"/><Relationship Id="rId119" Type="http://schemas.openxmlformats.org/officeDocument/2006/relationships/queryTable" Target="../queryTables/queryTable338.xml"/><Relationship Id="rId270" Type="http://schemas.openxmlformats.org/officeDocument/2006/relationships/queryTable" Target="../queryTables/queryTable489.xml"/><Relationship Id="rId44" Type="http://schemas.openxmlformats.org/officeDocument/2006/relationships/queryTable" Target="../queryTables/queryTable263.xml"/><Relationship Id="rId65" Type="http://schemas.openxmlformats.org/officeDocument/2006/relationships/queryTable" Target="../queryTables/queryTable284.xml"/><Relationship Id="rId86" Type="http://schemas.openxmlformats.org/officeDocument/2006/relationships/queryTable" Target="../queryTables/queryTable305.xml"/><Relationship Id="rId130" Type="http://schemas.openxmlformats.org/officeDocument/2006/relationships/queryTable" Target="../queryTables/queryTable349.xml"/><Relationship Id="rId151" Type="http://schemas.openxmlformats.org/officeDocument/2006/relationships/queryTable" Target="../queryTables/queryTable370.xml"/><Relationship Id="rId172" Type="http://schemas.openxmlformats.org/officeDocument/2006/relationships/queryTable" Target="../queryTables/queryTable391.xml"/><Relationship Id="rId193" Type="http://schemas.openxmlformats.org/officeDocument/2006/relationships/queryTable" Target="../queryTables/queryTable412.xml"/><Relationship Id="rId202" Type="http://schemas.openxmlformats.org/officeDocument/2006/relationships/queryTable" Target="../queryTables/queryTable421.xml"/><Relationship Id="rId207" Type="http://schemas.openxmlformats.org/officeDocument/2006/relationships/queryTable" Target="../queryTables/queryTable426.xml"/><Relationship Id="rId223" Type="http://schemas.openxmlformats.org/officeDocument/2006/relationships/queryTable" Target="../queryTables/queryTable442.xml"/><Relationship Id="rId228" Type="http://schemas.openxmlformats.org/officeDocument/2006/relationships/queryTable" Target="../queryTables/queryTable447.xml"/><Relationship Id="rId244" Type="http://schemas.openxmlformats.org/officeDocument/2006/relationships/queryTable" Target="../queryTables/queryTable463.xml"/><Relationship Id="rId249" Type="http://schemas.openxmlformats.org/officeDocument/2006/relationships/queryTable" Target="../queryTables/queryTable468.xml"/><Relationship Id="rId13" Type="http://schemas.openxmlformats.org/officeDocument/2006/relationships/queryTable" Target="../queryTables/queryTable232.xml"/><Relationship Id="rId18" Type="http://schemas.openxmlformats.org/officeDocument/2006/relationships/queryTable" Target="../queryTables/queryTable237.xml"/><Relationship Id="rId39" Type="http://schemas.openxmlformats.org/officeDocument/2006/relationships/queryTable" Target="../queryTables/queryTable258.xml"/><Relationship Id="rId109" Type="http://schemas.openxmlformats.org/officeDocument/2006/relationships/queryTable" Target="../queryTables/queryTable328.xml"/><Relationship Id="rId260" Type="http://schemas.openxmlformats.org/officeDocument/2006/relationships/queryTable" Target="../queryTables/queryTable479.xml"/><Relationship Id="rId265" Type="http://schemas.openxmlformats.org/officeDocument/2006/relationships/queryTable" Target="../queryTables/queryTable484.xml"/><Relationship Id="rId281" Type="http://schemas.openxmlformats.org/officeDocument/2006/relationships/queryTable" Target="../queryTables/queryTable500.xml"/><Relationship Id="rId34" Type="http://schemas.openxmlformats.org/officeDocument/2006/relationships/queryTable" Target="../queryTables/queryTable253.xml"/><Relationship Id="rId50" Type="http://schemas.openxmlformats.org/officeDocument/2006/relationships/queryTable" Target="../queryTables/queryTable269.xml"/><Relationship Id="rId55" Type="http://schemas.openxmlformats.org/officeDocument/2006/relationships/queryTable" Target="../queryTables/queryTable274.xml"/><Relationship Id="rId76" Type="http://schemas.openxmlformats.org/officeDocument/2006/relationships/queryTable" Target="../queryTables/queryTable295.xml"/><Relationship Id="rId97" Type="http://schemas.openxmlformats.org/officeDocument/2006/relationships/queryTable" Target="../queryTables/queryTable316.xml"/><Relationship Id="rId104" Type="http://schemas.openxmlformats.org/officeDocument/2006/relationships/queryTable" Target="../queryTables/queryTable323.xml"/><Relationship Id="rId120" Type="http://schemas.openxmlformats.org/officeDocument/2006/relationships/queryTable" Target="../queryTables/queryTable339.xml"/><Relationship Id="rId125" Type="http://schemas.openxmlformats.org/officeDocument/2006/relationships/queryTable" Target="../queryTables/queryTable344.xml"/><Relationship Id="rId141" Type="http://schemas.openxmlformats.org/officeDocument/2006/relationships/queryTable" Target="../queryTables/queryTable360.xml"/><Relationship Id="rId146" Type="http://schemas.openxmlformats.org/officeDocument/2006/relationships/queryTable" Target="../queryTables/queryTable365.xml"/><Relationship Id="rId167" Type="http://schemas.openxmlformats.org/officeDocument/2006/relationships/queryTable" Target="../queryTables/queryTable386.xml"/><Relationship Id="rId188" Type="http://schemas.openxmlformats.org/officeDocument/2006/relationships/queryTable" Target="../queryTables/queryTable407.xml"/><Relationship Id="rId7" Type="http://schemas.openxmlformats.org/officeDocument/2006/relationships/queryTable" Target="../queryTables/queryTable226.xml"/><Relationship Id="rId71" Type="http://schemas.openxmlformats.org/officeDocument/2006/relationships/queryTable" Target="../queryTables/queryTable290.xml"/><Relationship Id="rId92" Type="http://schemas.openxmlformats.org/officeDocument/2006/relationships/queryTable" Target="../queryTables/queryTable311.xml"/><Relationship Id="rId162" Type="http://schemas.openxmlformats.org/officeDocument/2006/relationships/queryTable" Target="../queryTables/queryTable381.xml"/><Relationship Id="rId183" Type="http://schemas.openxmlformats.org/officeDocument/2006/relationships/queryTable" Target="../queryTables/queryTable402.xml"/><Relationship Id="rId213" Type="http://schemas.openxmlformats.org/officeDocument/2006/relationships/queryTable" Target="../queryTables/queryTable432.xml"/><Relationship Id="rId218" Type="http://schemas.openxmlformats.org/officeDocument/2006/relationships/queryTable" Target="../queryTables/queryTable437.xml"/><Relationship Id="rId234" Type="http://schemas.openxmlformats.org/officeDocument/2006/relationships/queryTable" Target="../queryTables/queryTable453.xml"/><Relationship Id="rId239" Type="http://schemas.openxmlformats.org/officeDocument/2006/relationships/queryTable" Target="../queryTables/queryTable458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48.xml"/><Relationship Id="rId250" Type="http://schemas.openxmlformats.org/officeDocument/2006/relationships/queryTable" Target="../queryTables/queryTable469.xml"/><Relationship Id="rId255" Type="http://schemas.openxmlformats.org/officeDocument/2006/relationships/queryTable" Target="../queryTables/queryTable474.xml"/><Relationship Id="rId271" Type="http://schemas.openxmlformats.org/officeDocument/2006/relationships/queryTable" Target="../queryTables/queryTable490.xml"/><Relationship Id="rId276" Type="http://schemas.openxmlformats.org/officeDocument/2006/relationships/queryTable" Target="../queryTables/queryTable495.xml"/><Relationship Id="rId24" Type="http://schemas.openxmlformats.org/officeDocument/2006/relationships/queryTable" Target="../queryTables/queryTable243.xml"/><Relationship Id="rId40" Type="http://schemas.openxmlformats.org/officeDocument/2006/relationships/queryTable" Target="../queryTables/queryTable259.xml"/><Relationship Id="rId45" Type="http://schemas.openxmlformats.org/officeDocument/2006/relationships/queryTable" Target="../queryTables/queryTable264.xml"/><Relationship Id="rId66" Type="http://schemas.openxmlformats.org/officeDocument/2006/relationships/queryTable" Target="../queryTables/queryTable285.xml"/><Relationship Id="rId87" Type="http://schemas.openxmlformats.org/officeDocument/2006/relationships/queryTable" Target="../queryTables/queryTable306.xml"/><Relationship Id="rId110" Type="http://schemas.openxmlformats.org/officeDocument/2006/relationships/queryTable" Target="../queryTables/queryTable329.xml"/><Relationship Id="rId115" Type="http://schemas.openxmlformats.org/officeDocument/2006/relationships/queryTable" Target="../queryTables/queryTable334.xml"/><Relationship Id="rId131" Type="http://schemas.openxmlformats.org/officeDocument/2006/relationships/queryTable" Target="../queryTables/queryTable350.xml"/><Relationship Id="rId136" Type="http://schemas.openxmlformats.org/officeDocument/2006/relationships/queryTable" Target="../queryTables/queryTable355.xml"/><Relationship Id="rId157" Type="http://schemas.openxmlformats.org/officeDocument/2006/relationships/queryTable" Target="../queryTables/queryTable376.xml"/><Relationship Id="rId178" Type="http://schemas.openxmlformats.org/officeDocument/2006/relationships/queryTable" Target="../queryTables/queryTable397.xml"/><Relationship Id="rId61" Type="http://schemas.openxmlformats.org/officeDocument/2006/relationships/queryTable" Target="../queryTables/queryTable280.xml"/><Relationship Id="rId82" Type="http://schemas.openxmlformats.org/officeDocument/2006/relationships/queryTable" Target="../queryTables/queryTable301.xml"/><Relationship Id="rId152" Type="http://schemas.openxmlformats.org/officeDocument/2006/relationships/queryTable" Target="../queryTables/queryTable371.xml"/><Relationship Id="rId173" Type="http://schemas.openxmlformats.org/officeDocument/2006/relationships/queryTable" Target="../queryTables/queryTable392.xml"/><Relationship Id="rId194" Type="http://schemas.openxmlformats.org/officeDocument/2006/relationships/queryTable" Target="../queryTables/queryTable413.xml"/><Relationship Id="rId199" Type="http://schemas.openxmlformats.org/officeDocument/2006/relationships/queryTable" Target="../queryTables/queryTable418.xml"/><Relationship Id="rId203" Type="http://schemas.openxmlformats.org/officeDocument/2006/relationships/queryTable" Target="../queryTables/queryTable422.xml"/><Relationship Id="rId208" Type="http://schemas.openxmlformats.org/officeDocument/2006/relationships/queryTable" Target="../queryTables/queryTable427.xml"/><Relationship Id="rId229" Type="http://schemas.openxmlformats.org/officeDocument/2006/relationships/queryTable" Target="../queryTables/queryTable448.xml"/><Relationship Id="rId19" Type="http://schemas.openxmlformats.org/officeDocument/2006/relationships/queryTable" Target="../queryTables/queryTable238.xml"/><Relationship Id="rId224" Type="http://schemas.openxmlformats.org/officeDocument/2006/relationships/queryTable" Target="../queryTables/queryTable443.xml"/><Relationship Id="rId240" Type="http://schemas.openxmlformats.org/officeDocument/2006/relationships/queryTable" Target="../queryTables/queryTable459.xml"/><Relationship Id="rId245" Type="http://schemas.openxmlformats.org/officeDocument/2006/relationships/queryTable" Target="../queryTables/queryTable464.xml"/><Relationship Id="rId261" Type="http://schemas.openxmlformats.org/officeDocument/2006/relationships/queryTable" Target="../queryTables/queryTable480.xml"/><Relationship Id="rId266" Type="http://schemas.openxmlformats.org/officeDocument/2006/relationships/queryTable" Target="../queryTables/queryTable485.xml"/><Relationship Id="rId14" Type="http://schemas.openxmlformats.org/officeDocument/2006/relationships/queryTable" Target="../queryTables/queryTable233.xml"/><Relationship Id="rId30" Type="http://schemas.openxmlformats.org/officeDocument/2006/relationships/queryTable" Target="../queryTables/queryTable249.xml"/><Relationship Id="rId35" Type="http://schemas.openxmlformats.org/officeDocument/2006/relationships/queryTable" Target="../queryTables/queryTable254.xml"/><Relationship Id="rId56" Type="http://schemas.openxmlformats.org/officeDocument/2006/relationships/queryTable" Target="../queryTables/queryTable275.xml"/><Relationship Id="rId77" Type="http://schemas.openxmlformats.org/officeDocument/2006/relationships/queryTable" Target="../queryTables/queryTable296.xml"/><Relationship Id="rId100" Type="http://schemas.openxmlformats.org/officeDocument/2006/relationships/queryTable" Target="../queryTables/queryTable319.xml"/><Relationship Id="rId105" Type="http://schemas.openxmlformats.org/officeDocument/2006/relationships/queryTable" Target="../queryTables/queryTable324.xml"/><Relationship Id="rId126" Type="http://schemas.openxmlformats.org/officeDocument/2006/relationships/queryTable" Target="../queryTables/queryTable345.xml"/><Relationship Id="rId147" Type="http://schemas.openxmlformats.org/officeDocument/2006/relationships/queryTable" Target="../queryTables/queryTable366.xml"/><Relationship Id="rId168" Type="http://schemas.openxmlformats.org/officeDocument/2006/relationships/queryTable" Target="../queryTables/queryTable387.xml"/><Relationship Id="rId282" Type="http://schemas.openxmlformats.org/officeDocument/2006/relationships/queryTable" Target="../queryTables/queryTable501.xml"/><Relationship Id="rId8" Type="http://schemas.openxmlformats.org/officeDocument/2006/relationships/queryTable" Target="../queryTables/queryTable227.xml"/><Relationship Id="rId51" Type="http://schemas.openxmlformats.org/officeDocument/2006/relationships/queryTable" Target="../queryTables/queryTable270.xml"/><Relationship Id="rId72" Type="http://schemas.openxmlformats.org/officeDocument/2006/relationships/queryTable" Target="../queryTables/queryTable291.xml"/><Relationship Id="rId93" Type="http://schemas.openxmlformats.org/officeDocument/2006/relationships/queryTable" Target="../queryTables/queryTable312.xml"/><Relationship Id="rId98" Type="http://schemas.openxmlformats.org/officeDocument/2006/relationships/queryTable" Target="../queryTables/queryTable317.xml"/><Relationship Id="rId121" Type="http://schemas.openxmlformats.org/officeDocument/2006/relationships/queryTable" Target="../queryTables/queryTable340.xml"/><Relationship Id="rId142" Type="http://schemas.openxmlformats.org/officeDocument/2006/relationships/queryTable" Target="../queryTables/queryTable361.xml"/><Relationship Id="rId163" Type="http://schemas.openxmlformats.org/officeDocument/2006/relationships/queryTable" Target="../queryTables/queryTable382.xml"/><Relationship Id="rId184" Type="http://schemas.openxmlformats.org/officeDocument/2006/relationships/queryTable" Target="../queryTables/queryTable403.xml"/><Relationship Id="rId189" Type="http://schemas.openxmlformats.org/officeDocument/2006/relationships/queryTable" Target="../queryTables/queryTable408.xml"/><Relationship Id="rId219" Type="http://schemas.openxmlformats.org/officeDocument/2006/relationships/queryTable" Target="../queryTables/queryTable438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33.xml"/><Relationship Id="rId230" Type="http://schemas.openxmlformats.org/officeDocument/2006/relationships/queryTable" Target="../queryTables/queryTable449.xml"/><Relationship Id="rId235" Type="http://schemas.openxmlformats.org/officeDocument/2006/relationships/queryTable" Target="../queryTables/queryTable454.xml"/><Relationship Id="rId251" Type="http://schemas.openxmlformats.org/officeDocument/2006/relationships/queryTable" Target="../queryTables/queryTable470.xml"/><Relationship Id="rId256" Type="http://schemas.openxmlformats.org/officeDocument/2006/relationships/queryTable" Target="../queryTables/queryTable475.xml"/><Relationship Id="rId277" Type="http://schemas.openxmlformats.org/officeDocument/2006/relationships/queryTable" Target="../queryTables/queryTable496.xml"/><Relationship Id="rId25" Type="http://schemas.openxmlformats.org/officeDocument/2006/relationships/queryTable" Target="../queryTables/queryTable244.xml"/><Relationship Id="rId46" Type="http://schemas.openxmlformats.org/officeDocument/2006/relationships/queryTable" Target="../queryTables/queryTable265.xml"/><Relationship Id="rId67" Type="http://schemas.openxmlformats.org/officeDocument/2006/relationships/queryTable" Target="../queryTables/queryTable286.xml"/><Relationship Id="rId116" Type="http://schemas.openxmlformats.org/officeDocument/2006/relationships/queryTable" Target="../queryTables/queryTable335.xml"/><Relationship Id="rId137" Type="http://schemas.openxmlformats.org/officeDocument/2006/relationships/queryTable" Target="../queryTables/queryTable356.xml"/><Relationship Id="rId158" Type="http://schemas.openxmlformats.org/officeDocument/2006/relationships/queryTable" Target="../queryTables/queryTable377.xml"/><Relationship Id="rId272" Type="http://schemas.openxmlformats.org/officeDocument/2006/relationships/queryTable" Target="../queryTables/queryTable491.xml"/><Relationship Id="rId20" Type="http://schemas.openxmlformats.org/officeDocument/2006/relationships/queryTable" Target="../queryTables/queryTable239.xml"/><Relationship Id="rId41" Type="http://schemas.openxmlformats.org/officeDocument/2006/relationships/queryTable" Target="../queryTables/queryTable260.xml"/><Relationship Id="rId62" Type="http://schemas.openxmlformats.org/officeDocument/2006/relationships/queryTable" Target="../queryTables/queryTable281.xml"/><Relationship Id="rId83" Type="http://schemas.openxmlformats.org/officeDocument/2006/relationships/queryTable" Target="../queryTables/queryTable302.xml"/><Relationship Id="rId88" Type="http://schemas.openxmlformats.org/officeDocument/2006/relationships/queryTable" Target="../queryTables/queryTable307.xml"/><Relationship Id="rId111" Type="http://schemas.openxmlformats.org/officeDocument/2006/relationships/queryTable" Target="../queryTables/queryTable330.xml"/><Relationship Id="rId132" Type="http://schemas.openxmlformats.org/officeDocument/2006/relationships/queryTable" Target="../queryTables/queryTable351.xml"/><Relationship Id="rId153" Type="http://schemas.openxmlformats.org/officeDocument/2006/relationships/queryTable" Target="../queryTables/queryTable372.xml"/><Relationship Id="rId174" Type="http://schemas.openxmlformats.org/officeDocument/2006/relationships/queryTable" Target="../queryTables/queryTable393.xml"/><Relationship Id="rId179" Type="http://schemas.openxmlformats.org/officeDocument/2006/relationships/queryTable" Target="../queryTables/queryTable398.xml"/><Relationship Id="rId195" Type="http://schemas.openxmlformats.org/officeDocument/2006/relationships/queryTable" Target="../queryTables/queryTable414.xml"/><Relationship Id="rId209" Type="http://schemas.openxmlformats.org/officeDocument/2006/relationships/queryTable" Target="../queryTables/queryTable428.xml"/><Relationship Id="rId190" Type="http://schemas.openxmlformats.org/officeDocument/2006/relationships/queryTable" Target="../queryTables/queryTable409.xml"/><Relationship Id="rId204" Type="http://schemas.openxmlformats.org/officeDocument/2006/relationships/queryTable" Target="../queryTables/queryTable423.xml"/><Relationship Id="rId220" Type="http://schemas.openxmlformats.org/officeDocument/2006/relationships/queryTable" Target="../queryTables/queryTable439.xml"/><Relationship Id="rId225" Type="http://schemas.openxmlformats.org/officeDocument/2006/relationships/queryTable" Target="../queryTables/queryTable444.xml"/><Relationship Id="rId241" Type="http://schemas.openxmlformats.org/officeDocument/2006/relationships/queryTable" Target="../queryTables/queryTable460.xml"/><Relationship Id="rId246" Type="http://schemas.openxmlformats.org/officeDocument/2006/relationships/queryTable" Target="../queryTables/queryTable465.xml"/><Relationship Id="rId267" Type="http://schemas.openxmlformats.org/officeDocument/2006/relationships/queryTable" Target="../queryTables/queryTable486.xml"/><Relationship Id="rId15" Type="http://schemas.openxmlformats.org/officeDocument/2006/relationships/queryTable" Target="../queryTables/queryTable234.xml"/><Relationship Id="rId36" Type="http://schemas.openxmlformats.org/officeDocument/2006/relationships/queryTable" Target="../queryTables/queryTable255.xml"/><Relationship Id="rId57" Type="http://schemas.openxmlformats.org/officeDocument/2006/relationships/queryTable" Target="../queryTables/queryTable276.xml"/><Relationship Id="rId106" Type="http://schemas.openxmlformats.org/officeDocument/2006/relationships/queryTable" Target="../queryTables/queryTable325.xml"/><Relationship Id="rId127" Type="http://schemas.openxmlformats.org/officeDocument/2006/relationships/queryTable" Target="../queryTables/queryTable346.xml"/><Relationship Id="rId262" Type="http://schemas.openxmlformats.org/officeDocument/2006/relationships/queryTable" Target="../queryTables/queryTable481.xml"/><Relationship Id="rId10" Type="http://schemas.openxmlformats.org/officeDocument/2006/relationships/queryTable" Target="../queryTables/queryTable229.xml"/><Relationship Id="rId31" Type="http://schemas.openxmlformats.org/officeDocument/2006/relationships/queryTable" Target="../queryTables/queryTable250.xml"/><Relationship Id="rId52" Type="http://schemas.openxmlformats.org/officeDocument/2006/relationships/queryTable" Target="../queryTables/queryTable271.xml"/><Relationship Id="rId73" Type="http://schemas.openxmlformats.org/officeDocument/2006/relationships/queryTable" Target="../queryTables/queryTable292.xml"/><Relationship Id="rId78" Type="http://schemas.openxmlformats.org/officeDocument/2006/relationships/queryTable" Target="../queryTables/queryTable297.xml"/><Relationship Id="rId94" Type="http://schemas.openxmlformats.org/officeDocument/2006/relationships/queryTable" Target="../queryTables/queryTable313.xml"/><Relationship Id="rId99" Type="http://schemas.openxmlformats.org/officeDocument/2006/relationships/queryTable" Target="../queryTables/queryTable318.xml"/><Relationship Id="rId101" Type="http://schemas.openxmlformats.org/officeDocument/2006/relationships/queryTable" Target="../queryTables/queryTable320.xml"/><Relationship Id="rId122" Type="http://schemas.openxmlformats.org/officeDocument/2006/relationships/queryTable" Target="../queryTables/queryTable341.xml"/><Relationship Id="rId143" Type="http://schemas.openxmlformats.org/officeDocument/2006/relationships/queryTable" Target="../queryTables/queryTable362.xml"/><Relationship Id="rId148" Type="http://schemas.openxmlformats.org/officeDocument/2006/relationships/queryTable" Target="../queryTables/queryTable367.xml"/><Relationship Id="rId164" Type="http://schemas.openxmlformats.org/officeDocument/2006/relationships/queryTable" Target="../queryTables/queryTable383.xml"/><Relationship Id="rId169" Type="http://schemas.openxmlformats.org/officeDocument/2006/relationships/queryTable" Target="../queryTables/queryTable388.xml"/><Relationship Id="rId185" Type="http://schemas.openxmlformats.org/officeDocument/2006/relationships/queryTable" Target="../queryTables/queryTable404.xml"/><Relationship Id="rId4" Type="http://schemas.openxmlformats.org/officeDocument/2006/relationships/queryTable" Target="../queryTables/queryTable223.xml"/><Relationship Id="rId9" Type="http://schemas.openxmlformats.org/officeDocument/2006/relationships/queryTable" Target="../queryTables/queryTable228.xml"/><Relationship Id="rId180" Type="http://schemas.openxmlformats.org/officeDocument/2006/relationships/queryTable" Target="../queryTables/queryTable399.xml"/><Relationship Id="rId210" Type="http://schemas.openxmlformats.org/officeDocument/2006/relationships/queryTable" Target="../queryTables/queryTable429.xml"/><Relationship Id="rId215" Type="http://schemas.openxmlformats.org/officeDocument/2006/relationships/queryTable" Target="../queryTables/queryTable434.xml"/><Relationship Id="rId236" Type="http://schemas.openxmlformats.org/officeDocument/2006/relationships/queryTable" Target="../queryTables/queryTable455.xml"/><Relationship Id="rId257" Type="http://schemas.openxmlformats.org/officeDocument/2006/relationships/queryTable" Target="../queryTables/queryTable476.xml"/><Relationship Id="rId278" Type="http://schemas.openxmlformats.org/officeDocument/2006/relationships/queryTable" Target="../queryTables/queryTable497.xml"/><Relationship Id="rId26" Type="http://schemas.openxmlformats.org/officeDocument/2006/relationships/queryTable" Target="../queryTables/queryTable245.xml"/><Relationship Id="rId231" Type="http://schemas.openxmlformats.org/officeDocument/2006/relationships/queryTable" Target="../queryTables/queryTable450.xml"/><Relationship Id="rId252" Type="http://schemas.openxmlformats.org/officeDocument/2006/relationships/queryTable" Target="../queryTables/queryTable471.xml"/><Relationship Id="rId273" Type="http://schemas.openxmlformats.org/officeDocument/2006/relationships/queryTable" Target="../queryTables/queryTable492.xml"/><Relationship Id="rId47" Type="http://schemas.openxmlformats.org/officeDocument/2006/relationships/queryTable" Target="../queryTables/queryTable266.xml"/><Relationship Id="rId68" Type="http://schemas.openxmlformats.org/officeDocument/2006/relationships/queryTable" Target="../queryTables/queryTable287.xml"/><Relationship Id="rId89" Type="http://schemas.openxmlformats.org/officeDocument/2006/relationships/queryTable" Target="../queryTables/queryTable308.xml"/><Relationship Id="rId112" Type="http://schemas.openxmlformats.org/officeDocument/2006/relationships/queryTable" Target="../queryTables/queryTable331.xml"/><Relationship Id="rId133" Type="http://schemas.openxmlformats.org/officeDocument/2006/relationships/queryTable" Target="../queryTables/queryTable352.xml"/><Relationship Id="rId154" Type="http://schemas.openxmlformats.org/officeDocument/2006/relationships/queryTable" Target="../queryTables/queryTable373.xml"/><Relationship Id="rId175" Type="http://schemas.openxmlformats.org/officeDocument/2006/relationships/queryTable" Target="../queryTables/queryTable394.xml"/><Relationship Id="rId196" Type="http://schemas.openxmlformats.org/officeDocument/2006/relationships/queryTable" Target="../queryTables/queryTable415.xml"/><Relationship Id="rId200" Type="http://schemas.openxmlformats.org/officeDocument/2006/relationships/queryTable" Target="../queryTables/queryTable419.xml"/><Relationship Id="rId16" Type="http://schemas.openxmlformats.org/officeDocument/2006/relationships/queryTable" Target="../queryTables/queryTable235.xml"/><Relationship Id="rId221" Type="http://schemas.openxmlformats.org/officeDocument/2006/relationships/queryTable" Target="../queryTables/queryTable440.xml"/><Relationship Id="rId242" Type="http://schemas.openxmlformats.org/officeDocument/2006/relationships/queryTable" Target="../queryTables/queryTable461.xml"/><Relationship Id="rId263" Type="http://schemas.openxmlformats.org/officeDocument/2006/relationships/queryTable" Target="../queryTables/queryTable482.xml"/><Relationship Id="rId37" Type="http://schemas.openxmlformats.org/officeDocument/2006/relationships/queryTable" Target="../queryTables/queryTable256.xml"/><Relationship Id="rId58" Type="http://schemas.openxmlformats.org/officeDocument/2006/relationships/queryTable" Target="../queryTables/queryTable277.xml"/><Relationship Id="rId79" Type="http://schemas.openxmlformats.org/officeDocument/2006/relationships/queryTable" Target="../queryTables/queryTable298.xml"/><Relationship Id="rId102" Type="http://schemas.openxmlformats.org/officeDocument/2006/relationships/queryTable" Target="../queryTables/queryTable321.xml"/><Relationship Id="rId123" Type="http://schemas.openxmlformats.org/officeDocument/2006/relationships/queryTable" Target="../queryTables/queryTable342.xml"/><Relationship Id="rId144" Type="http://schemas.openxmlformats.org/officeDocument/2006/relationships/queryTable" Target="../queryTables/queryTable363.xml"/><Relationship Id="rId90" Type="http://schemas.openxmlformats.org/officeDocument/2006/relationships/queryTable" Target="../queryTables/queryTable309.xml"/><Relationship Id="rId165" Type="http://schemas.openxmlformats.org/officeDocument/2006/relationships/queryTable" Target="../queryTables/queryTable384.xml"/><Relationship Id="rId186" Type="http://schemas.openxmlformats.org/officeDocument/2006/relationships/queryTable" Target="../queryTables/queryTable405.xml"/><Relationship Id="rId211" Type="http://schemas.openxmlformats.org/officeDocument/2006/relationships/queryTable" Target="../queryTables/queryTable430.xml"/><Relationship Id="rId232" Type="http://schemas.openxmlformats.org/officeDocument/2006/relationships/queryTable" Target="../queryTables/queryTable451.xml"/><Relationship Id="rId253" Type="http://schemas.openxmlformats.org/officeDocument/2006/relationships/queryTable" Target="../queryTables/queryTable472.xml"/><Relationship Id="rId274" Type="http://schemas.openxmlformats.org/officeDocument/2006/relationships/queryTable" Target="../queryTables/queryTable493.xml"/><Relationship Id="rId27" Type="http://schemas.openxmlformats.org/officeDocument/2006/relationships/queryTable" Target="../queryTables/queryTable246.xml"/><Relationship Id="rId48" Type="http://schemas.openxmlformats.org/officeDocument/2006/relationships/queryTable" Target="../queryTables/queryTable267.xml"/><Relationship Id="rId69" Type="http://schemas.openxmlformats.org/officeDocument/2006/relationships/queryTable" Target="../queryTables/queryTable288.xml"/><Relationship Id="rId113" Type="http://schemas.openxmlformats.org/officeDocument/2006/relationships/queryTable" Target="../queryTables/queryTable332.xml"/><Relationship Id="rId134" Type="http://schemas.openxmlformats.org/officeDocument/2006/relationships/queryTable" Target="../queryTables/queryTable353.xml"/><Relationship Id="rId80" Type="http://schemas.openxmlformats.org/officeDocument/2006/relationships/queryTable" Target="../queryTables/queryTable299.xml"/><Relationship Id="rId155" Type="http://schemas.openxmlformats.org/officeDocument/2006/relationships/queryTable" Target="../queryTables/queryTable374.xml"/><Relationship Id="rId176" Type="http://schemas.openxmlformats.org/officeDocument/2006/relationships/queryTable" Target="../queryTables/queryTable395.xml"/><Relationship Id="rId197" Type="http://schemas.openxmlformats.org/officeDocument/2006/relationships/queryTable" Target="../queryTables/queryTable416.xml"/><Relationship Id="rId201" Type="http://schemas.openxmlformats.org/officeDocument/2006/relationships/queryTable" Target="../queryTables/queryTable420.xml"/><Relationship Id="rId222" Type="http://schemas.openxmlformats.org/officeDocument/2006/relationships/queryTable" Target="../queryTables/queryTable441.xml"/><Relationship Id="rId243" Type="http://schemas.openxmlformats.org/officeDocument/2006/relationships/queryTable" Target="../queryTables/queryTable462.xml"/><Relationship Id="rId264" Type="http://schemas.openxmlformats.org/officeDocument/2006/relationships/queryTable" Target="../queryTables/queryTable483.xml"/><Relationship Id="rId17" Type="http://schemas.openxmlformats.org/officeDocument/2006/relationships/queryTable" Target="../queryTables/queryTable236.xml"/><Relationship Id="rId38" Type="http://schemas.openxmlformats.org/officeDocument/2006/relationships/queryTable" Target="../queryTables/queryTable257.xml"/><Relationship Id="rId59" Type="http://schemas.openxmlformats.org/officeDocument/2006/relationships/queryTable" Target="../queryTables/queryTable278.xml"/><Relationship Id="rId103" Type="http://schemas.openxmlformats.org/officeDocument/2006/relationships/queryTable" Target="../queryTables/queryTable322.xml"/><Relationship Id="rId124" Type="http://schemas.openxmlformats.org/officeDocument/2006/relationships/queryTable" Target="../queryTables/queryTable343.xml"/><Relationship Id="rId70" Type="http://schemas.openxmlformats.org/officeDocument/2006/relationships/queryTable" Target="../queryTables/queryTable289.xml"/><Relationship Id="rId91" Type="http://schemas.openxmlformats.org/officeDocument/2006/relationships/queryTable" Target="../queryTables/queryTable310.xml"/><Relationship Id="rId145" Type="http://schemas.openxmlformats.org/officeDocument/2006/relationships/queryTable" Target="../queryTables/queryTable364.xml"/><Relationship Id="rId166" Type="http://schemas.openxmlformats.org/officeDocument/2006/relationships/queryTable" Target="../queryTables/queryTable385.xml"/><Relationship Id="rId187" Type="http://schemas.openxmlformats.org/officeDocument/2006/relationships/queryTable" Target="../queryTables/queryTable406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31.xml"/><Relationship Id="rId233" Type="http://schemas.openxmlformats.org/officeDocument/2006/relationships/queryTable" Target="../queryTables/queryTable452.xml"/><Relationship Id="rId254" Type="http://schemas.openxmlformats.org/officeDocument/2006/relationships/queryTable" Target="../queryTables/queryTable473.xml"/><Relationship Id="rId28" Type="http://schemas.openxmlformats.org/officeDocument/2006/relationships/queryTable" Target="../queryTables/queryTable247.xml"/><Relationship Id="rId49" Type="http://schemas.openxmlformats.org/officeDocument/2006/relationships/queryTable" Target="../queryTables/queryTable268.xml"/><Relationship Id="rId114" Type="http://schemas.openxmlformats.org/officeDocument/2006/relationships/queryTable" Target="../queryTables/queryTable333.xml"/><Relationship Id="rId275" Type="http://schemas.openxmlformats.org/officeDocument/2006/relationships/queryTable" Target="../queryTables/queryTable494.xml"/><Relationship Id="rId60" Type="http://schemas.openxmlformats.org/officeDocument/2006/relationships/queryTable" Target="../queryTables/queryTable279.xml"/><Relationship Id="rId81" Type="http://schemas.openxmlformats.org/officeDocument/2006/relationships/queryTable" Target="../queryTables/queryTable300.xml"/><Relationship Id="rId135" Type="http://schemas.openxmlformats.org/officeDocument/2006/relationships/queryTable" Target="../queryTables/queryTable354.xml"/><Relationship Id="rId156" Type="http://schemas.openxmlformats.org/officeDocument/2006/relationships/queryTable" Target="../queryTables/queryTable375.xml"/><Relationship Id="rId177" Type="http://schemas.openxmlformats.org/officeDocument/2006/relationships/queryTable" Target="../queryTables/queryTable396.xml"/><Relationship Id="rId198" Type="http://schemas.openxmlformats.org/officeDocument/2006/relationships/queryTable" Target="../queryTables/queryTable4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Q183"/>
  <sheetViews>
    <sheetView tabSelected="1" topLeftCell="A16" workbookViewId="0">
      <pane xSplit="2" topLeftCell="D1" activePane="topRight" state="frozen"/>
      <selection activeCell="B1" sqref="B1"/>
      <selection pane="topRight" activeCell="W40" sqref="W40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5" bestFit="1" customWidth="1"/>
    <col min="5" max="5" width="16.85546875" style="95" bestFit="1" customWidth="1"/>
    <col min="6" max="6" width="11.7109375" style="60" bestFit="1" customWidth="1"/>
    <col min="7" max="7" width="6.28515625" style="18" customWidth="1"/>
    <col min="8" max="8" width="10.140625" style="18" bestFit="1" customWidth="1"/>
    <col min="9" max="9" width="10.140625" style="3" bestFit="1" customWidth="1"/>
    <col min="10" max="10" width="7.140625" style="3" customWidth="1"/>
    <col min="11" max="11" width="6.85546875" style="18" customWidth="1"/>
    <col min="12" max="12" width="17.85546875" style="98" bestFit="1" customWidth="1"/>
    <col min="13" max="13" width="16.85546875" style="93" bestFit="1" customWidth="1"/>
    <col min="14" max="14" width="16.85546875" style="18" bestFit="1" customWidth="1"/>
    <col min="15" max="15" width="14.7109375" style="3" bestFit="1" customWidth="1"/>
    <col min="16" max="16" width="16.85546875" style="3" bestFit="1" customWidth="1"/>
    <col min="17" max="17" width="14.7109375" style="5" bestFit="1" customWidth="1"/>
    <col min="18" max="18" width="16.85546875" style="5" bestFit="1" customWidth="1"/>
    <col min="19" max="19" width="12.5703125" style="98" bestFit="1" customWidth="1"/>
    <col min="20" max="20" width="11.7109375" style="98" bestFit="1" customWidth="1"/>
    <col min="21" max="21" width="8.5703125" style="107" bestFit="1" customWidth="1"/>
    <col min="22" max="22" width="14.7109375" style="107" bestFit="1" customWidth="1"/>
    <col min="23" max="23" width="12" style="3" bestFit="1" customWidth="1"/>
    <col min="24" max="24" width="14.7109375" style="3" bestFit="1" customWidth="1"/>
    <col min="25" max="25" width="9.140625" style="98"/>
    <col min="26" max="28" width="7.7109375" style="3" bestFit="1" customWidth="1"/>
    <col min="29" max="29" width="9.28515625" style="3" bestFit="1" customWidth="1"/>
    <col min="30" max="30" width="12.5703125" style="85" bestFit="1" customWidth="1"/>
    <col min="31" max="32" width="11" style="3" bestFit="1" customWidth="1"/>
    <col min="33" max="33" width="9.85546875" style="3" bestFit="1" customWidth="1"/>
    <col min="34" max="34" width="8" style="3" bestFit="1" customWidth="1"/>
    <col min="35" max="35" width="7.42578125" style="3" bestFit="1" customWidth="1"/>
    <col min="36" max="37" width="7.28515625" style="3" bestFit="1" customWidth="1"/>
    <col min="38" max="39" width="10.42578125" style="3" bestFit="1" customWidth="1"/>
    <col min="40" max="42" width="9.140625" style="3"/>
    <col min="43" max="43" width="9.85546875" style="3" bestFit="1" customWidth="1"/>
    <col min="44" max="16384" width="9.140625" style="3"/>
  </cols>
  <sheetData>
    <row r="1" spans="1:43">
      <c r="A1" s="5" t="s">
        <v>13</v>
      </c>
      <c r="B1" s="16" t="s">
        <v>9</v>
      </c>
      <c r="C1" s="16" t="s">
        <v>449</v>
      </c>
      <c r="D1" s="16" t="s">
        <v>63</v>
      </c>
      <c r="E1" s="5" t="s">
        <v>580</v>
      </c>
      <c r="F1" s="60" t="s">
        <v>586</v>
      </c>
      <c r="G1" s="18" t="s">
        <v>589</v>
      </c>
      <c r="H1" s="18" t="s">
        <v>581</v>
      </c>
      <c r="I1" s="18" t="s">
        <v>582</v>
      </c>
      <c r="J1" s="18" t="s">
        <v>597</v>
      </c>
      <c r="K1" s="18" t="s">
        <v>602</v>
      </c>
      <c r="L1" s="5" t="s">
        <v>3</v>
      </c>
      <c r="M1" s="5" t="s">
        <v>53</v>
      </c>
      <c r="N1" s="5" t="s">
        <v>592</v>
      </c>
      <c r="O1" s="5" t="s">
        <v>590</v>
      </c>
      <c r="P1" s="5" t="s">
        <v>591</v>
      </c>
      <c r="Q1" s="5" t="s">
        <v>4</v>
      </c>
      <c r="R1" s="5" t="s">
        <v>598</v>
      </c>
      <c r="S1" s="49" t="s">
        <v>85</v>
      </c>
      <c r="T1" s="98" t="s">
        <v>593</v>
      </c>
      <c r="U1" s="98" t="s">
        <v>583</v>
      </c>
      <c r="V1" s="98" t="s">
        <v>584</v>
      </c>
      <c r="W1" s="98" t="s">
        <v>594</v>
      </c>
      <c r="X1" s="5" t="s">
        <v>595</v>
      </c>
      <c r="Y1" s="18" t="s">
        <v>73</v>
      </c>
      <c r="Z1" s="5" t="s">
        <v>5</v>
      </c>
      <c r="AA1" s="12" t="s">
        <v>6</v>
      </c>
      <c r="AB1" s="23" t="s">
        <v>7</v>
      </c>
      <c r="AC1" s="36" t="s">
        <v>52</v>
      </c>
      <c r="AD1" s="85" t="s">
        <v>815</v>
      </c>
      <c r="AE1" s="98" t="s">
        <v>812</v>
      </c>
      <c r="AF1" s="98" t="s">
        <v>814</v>
      </c>
      <c r="AG1" s="98" t="s">
        <v>813</v>
      </c>
      <c r="AH1" s="3" t="s">
        <v>8</v>
      </c>
      <c r="AI1" s="3" t="s">
        <v>336</v>
      </c>
      <c r="AJ1" s="18" t="s">
        <v>579</v>
      </c>
      <c r="AK1" s="3" t="s">
        <v>41</v>
      </c>
      <c r="AL1" s="5" t="s">
        <v>60</v>
      </c>
      <c r="AM1" s="5" t="s">
        <v>273</v>
      </c>
      <c r="AN1" s="5" t="s">
        <v>274</v>
      </c>
      <c r="AQ1" s="5">
        <v>300</v>
      </c>
    </row>
    <row r="2" spans="1:43">
      <c r="A2" s="4" t="s">
        <v>14</v>
      </c>
      <c r="B2" s="14" t="s">
        <v>22</v>
      </c>
      <c r="C2" s="14" t="str">
        <f>LEFT([PAPEL],LEN([PAPEL])-(LEN([PAPEL])-4))</f>
        <v>ABCB</v>
      </c>
      <c r="D2" s="15">
        <v>3</v>
      </c>
      <c r="E2" s="6"/>
      <c r="F2" s="8"/>
      <c r="G2" s="19"/>
      <c r="H2" s="15"/>
      <c r="I2" s="19"/>
      <c r="J2" s="19"/>
      <c r="K2" s="19"/>
      <c r="L2" s="6">
        <v>1864725000</v>
      </c>
      <c r="M2" s="6">
        <v>192096000</v>
      </c>
      <c r="N2" s="6">
        <f>Tabela3[[#This Row],[Capital Social]]*20%</f>
        <v>0</v>
      </c>
      <c r="O2" s="6">
        <f>IF(([Lucro Líquido]*5%)&gt;[Teto R. Legal],[Teto R. Legal],[Lucro Líquido]*5%)</f>
        <v>0</v>
      </c>
      <c r="P2" s="6">
        <f>IF([Lucro Líquido]&lt;0,0,[Lucro Líquido]-[Reserva Legal])</f>
        <v>192096000</v>
      </c>
      <c r="Q2" s="40">
        <v>147232649</v>
      </c>
      <c r="R2" s="6">
        <f>[Capital Social]/[Total Ações]</f>
        <v>0</v>
      </c>
      <c r="S2" s="13">
        <f>Tabela3[[#This Row],[Lucro Líquido]]/Tabela3[[#This Row],[Total Ações]]</f>
        <v>1.3047106148310896</v>
      </c>
      <c r="T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" s="99">
        <f>[Patrimônio Líquido]*[% PNA (PL)]/[Total Ações]</f>
        <v>0</v>
      </c>
      <c r="V2" s="99">
        <f>[Capital Social]*[% PNA (CS)]/[Total Ações]</f>
        <v>0</v>
      </c>
      <c r="W2" s="99">
        <f>MAX(Tabela3[[#This Row],[Div PNA (PL)]],Tabela3[[#This Row],[Div PNA (CS)]])</f>
        <v>0</v>
      </c>
      <c r="X2" s="6">
        <f>[Div. Pref]*[Ações]</f>
        <v>0</v>
      </c>
      <c r="Y2" s="19">
        <f>IF(GETPIVOTDATA("Payout",'Tabela LL'!$A$3,"Ativo",Tabela3[[#This Row],[PAPEL]])&gt;1,1,GETPIVOTDATA("Payout",'Tabela LL'!$A$3,"Ativo",Tabela3[[#This Row],[PAPEL]]))</f>
        <v>0.38903884611110762</v>
      </c>
      <c r="Z2" s="6">
        <f>[Patrimônio Líquido]/[Total Ações]</f>
        <v>12.665159614155961</v>
      </c>
      <c r="AA2" s="50">
        <f>MAX(Tabela3[[#This Row],[Cotação 1]],Tabela3[[#This Row],[Cotação 2]])</f>
        <v>12.15</v>
      </c>
      <c r="AB2" s="46">
        <f>[Cotação]/[VPA]</f>
        <v>0.95932466468245992</v>
      </c>
      <c r="AC2" s="42">
        <f>IF(Tabela3[[#This Row],[Lucro/Ação]]&gt;0,Tabela3[[#This Row],[Cotação]]/(Tabela3[[#This Row],[Lucro/Ação]]/[Ref]*4),0)</f>
        <v>6.9843073984492126</v>
      </c>
      <c r="AD2" s="42">
        <f>IF([Div. Mínimo]=0,0,[Lucro Distribuir]*[Payout]/[Total Ações])</f>
        <v>0</v>
      </c>
      <c r="AE2" s="99">
        <f>IF(AND([Div. Pref]&gt;0,[Div. Mínimo]&gt;0),[Div. Mínimo]+[Div. Pref],IF([Div. Pref]&gt;0,[Div. Pref],IF([Div. Mínimo]&gt;0,[Div. Mínimo],0)))</f>
        <v>0</v>
      </c>
      <c r="AF2" s="99">
        <f>[Lucro Distribuir]/[Total Ações]</f>
        <v>1.3047106148310896</v>
      </c>
      <c r="AG2" s="99">
        <f>IF([Lucro Payout]&gt;[Lucro Dist./Ação],MAX(Tabela3[[#This Row],[Lucro Atual]:[Lucro Dist./Ação]]),MAX(Tabela3[[#This Row],[Lucro Payout]:[Lucro Atual]]))</f>
        <v>0</v>
      </c>
      <c r="AH2" s="15" t="str">
        <f>IF(AND([% A.A.]&gt;=10%,[PVPA]&lt;=2,[PL]&lt;=15,[PL]&gt;0),"Sim","Não")</f>
        <v>Não</v>
      </c>
      <c r="AI2" s="44">
        <f>Tabela3[[#This Row],[Lucro]]/Tabela3[[#This Row],[Cotação]]</f>
        <v>0</v>
      </c>
      <c r="AJ2" s="19">
        <f>((1+Tabela3[[#This Row],[% Yield]])^(1/(3*Tabela3[[#This Row],[Ref]])))^(12)-1</f>
        <v>0</v>
      </c>
      <c r="AK2" s="14">
        <f>($AQ$1/Tabela3[[#This Row],[Cotação]]-MOD($AQ$1/Tabela3[[#This Row],[Cotação]],100))</f>
        <v>0</v>
      </c>
      <c r="AL2" s="17">
        <f>Tabela3[[#This Row],[Ativos]]*Tabela3[[#This Row],[Lucro Atual]]</f>
        <v>0</v>
      </c>
      <c r="AM2" s="5">
        <f>SUMPRODUCT(N(Tabela1[Código]=Tabela3[[#This Row],[PAPEL]]),Tabela1[Fechamento])</f>
        <v>12.15</v>
      </c>
      <c r="AN2" s="5">
        <f>SUMPRODUCT(N(Tabela17[Código]=Tabela3[[#This Row],[PAPEL]]),Tabela17[Fechamento])</f>
        <v>0</v>
      </c>
    </row>
    <row r="3" spans="1:43">
      <c r="A3" s="4" t="s">
        <v>12</v>
      </c>
      <c r="B3" s="68" t="s">
        <v>67</v>
      </c>
      <c r="C3" s="104" t="str">
        <f>LEFT([PAPEL],LEN([PAPEL])-(LEN([PAPEL])-4))</f>
        <v>AELP</v>
      </c>
      <c r="D3" s="15">
        <v>3</v>
      </c>
      <c r="E3" s="6">
        <v>958781908.12</v>
      </c>
      <c r="F3" s="8">
        <v>95061053</v>
      </c>
      <c r="G3" s="19">
        <v>0.25</v>
      </c>
      <c r="H3" s="15"/>
      <c r="I3" s="19"/>
      <c r="J3" s="19"/>
      <c r="K3" s="19"/>
      <c r="L3" s="6">
        <v>1476720000</v>
      </c>
      <c r="M3" s="6">
        <v>48170000</v>
      </c>
      <c r="N3" s="6">
        <f>Tabela3[[#This Row],[Capital Social]]*20%</f>
        <v>191756381.62400001</v>
      </c>
      <c r="O3" s="6">
        <f>IF(([Lucro Líquido]*5%)&gt;[Teto R. Legal],[Teto R. Legal],[Lucro Líquido]*5%)</f>
        <v>2408500</v>
      </c>
      <c r="P3" s="6">
        <f>IF([Lucro Líquido]&lt;0,0,[Lucro Líquido]-[Reserva Legal])</f>
        <v>45761500</v>
      </c>
      <c r="Q3" s="21">
        <f>SUMPRODUCT(N([Nome]=Tabela3[[#This Row],[Nome]]),[Ações])</f>
        <v>95061053</v>
      </c>
      <c r="R3" s="6">
        <f>[Capital Social]/[Total Ações]</f>
        <v>10.085959263674473</v>
      </c>
      <c r="S3" s="13">
        <f>Tabela3[[#This Row],[Lucro Líquido]]/Tabela3[[#This Row],[Total Ações]]</f>
        <v>0.50672697681983392</v>
      </c>
      <c r="T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0.12034765699471055</v>
      </c>
      <c r="U3" s="99">
        <f>[Patrimônio Líquido]*[% PNA (PL)]/[Total Ações]</f>
        <v>0</v>
      </c>
      <c r="V3" s="99">
        <f>[Capital Social]*[% PNA (CS)]/[Total Ações]</f>
        <v>0</v>
      </c>
      <c r="W3" s="99">
        <f>MAX(Tabela3[[#This Row],[Div PNA (PL)]],Tabela3[[#This Row],[Div PNA (CS)]])</f>
        <v>0</v>
      </c>
      <c r="X3" s="6">
        <f>[Div. Pref]*[Ações]</f>
        <v>0</v>
      </c>
      <c r="Y3" s="19">
        <f>IF(GETPIVOTDATA("Payout",'Tabela LL'!$A$3,"Ativo",Tabela3[[#This Row],[PAPEL]])&gt;1,1,GETPIVOTDATA("Payout",'Tabela LL'!$A$3,"Ativo",Tabela3[[#This Row],[PAPEL]]))</f>
        <v>0.83226612425770607</v>
      </c>
      <c r="Z3" s="6">
        <f>[Patrimônio Líquido]/[Total Ações]</f>
        <v>15.53443764188053</v>
      </c>
      <c r="AA3" s="50">
        <f>MAX(Tabela3[[#This Row],[Cotação 1]],Tabela3[[#This Row],[Cotação 2]])</f>
        <v>8.3000000000000007</v>
      </c>
      <c r="AB3" s="46">
        <f>[Cotação]/[VPA]</f>
        <v>0.53429677928110952</v>
      </c>
      <c r="AC3" s="42">
        <f>IF(Tabela3[[#This Row],[Lucro/Ação]]&gt;0,Tabela3[[#This Row],[Cotação]]/(Tabela3[[#This Row],[Lucro/Ação]]/[Ref]*4),0)</f>
        <v>12.28472192080133</v>
      </c>
      <c r="AD3" s="42">
        <f>IF([Div. Mínimo]=0,0,[Lucro Distribuir]*[Payout]/[Total Ações])</f>
        <v>0.40064511220193422</v>
      </c>
      <c r="AE3" s="99">
        <f>IF(AND([Div. Pref]&gt;0,[Div. Mínimo]&gt;0),[Div. Mínimo]+[Div. Pref],IF([Div. Pref]&gt;0,[Div. Pref],IF([Div. Mínimo]&gt;0,[Div. Mínimo],0)))</f>
        <v>0.12034765699471055</v>
      </c>
      <c r="AF3" s="99">
        <f>[Lucro Distribuir]/[Total Ações]</f>
        <v>0.48139062797884219</v>
      </c>
      <c r="AG3" s="99">
        <f>IF([Lucro Payout]&gt;[Lucro Dist./Ação],MAX(Tabela3[[#This Row],[Lucro Atual]:[Lucro Dist./Ação]]),MAX(Tabela3[[#This Row],[Lucro Payout]:[Lucro Atual]]))</f>
        <v>0.40064511220193422</v>
      </c>
      <c r="AH3" s="14" t="str">
        <f>IF(AND([% A.A.]&gt;=10%,[PVPA]&lt;=2,[PL]&lt;=15,[PL]&gt;0),"Sim","Não")</f>
        <v>Não</v>
      </c>
      <c r="AI3" s="44">
        <f>Tabela3[[#This Row],[Lucro]]/Tabela3[[#This Row],[Cotação]]</f>
        <v>4.8270495446016165E-2</v>
      </c>
      <c r="AJ3" s="19">
        <f>((1+Tabela3[[#This Row],[% Yield]])^(1/(3*Tabela3[[#This Row],[Ref]])))^(12)-1</f>
        <v>6.4873002155963144E-2</v>
      </c>
      <c r="AK3" s="14">
        <f>($AQ$1/Tabela3[[#This Row],[Cotação]]-MOD($AQ$1/Tabela3[[#This Row],[Cotação]],100))</f>
        <v>0</v>
      </c>
      <c r="AL3" s="17">
        <f>Tabela3[[#This Row],[Ativos]]*Tabela3[[#This Row],[Lucro Atual]]</f>
        <v>0</v>
      </c>
      <c r="AM3" s="5">
        <f>SUMPRODUCT(N(Tabela1[Código]=Tabela3[[#This Row],[PAPEL]]),Tabela1[Fechamento])</f>
        <v>8.3000000000000007</v>
      </c>
      <c r="AN3" s="5">
        <f>SUMPRODUCT(N(Tabela17[Código]=Tabela3[[#This Row],[PAPEL]]),Tabela17[Fechamento])</f>
        <v>0</v>
      </c>
      <c r="AQ3" s="5"/>
    </row>
    <row r="4" spans="1:43">
      <c r="A4" s="3" t="s">
        <v>402</v>
      </c>
      <c r="B4" s="69" t="s">
        <v>403</v>
      </c>
      <c r="C4" s="105" t="str">
        <f>LEFT([PAPEL],LEN([PAPEL])-(LEN([PAPEL])-4))</f>
        <v>ALSC</v>
      </c>
      <c r="D4" s="16">
        <v>3</v>
      </c>
      <c r="E4" s="5"/>
      <c r="H4" s="16"/>
      <c r="I4" s="18"/>
      <c r="J4" s="18"/>
      <c r="L4" s="5">
        <v>1645312000</v>
      </c>
      <c r="M4" s="5">
        <v>40163000</v>
      </c>
      <c r="N4" s="5">
        <f>Tabela3[[#This Row],[Capital Social]]*20%</f>
        <v>0</v>
      </c>
      <c r="O4" s="5">
        <f>IF(([Lucro Líquido]*5%)&gt;[Teto R. Legal],[Teto R. Legal],[Lucro Líquido]*5%)</f>
        <v>0</v>
      </c>
      <c r="P4" s="5">
        <f>IF([Lucro Líquido]&lt;0,0,[Lucro Líquido]-[Reserva Legal])</f>
        <v>40163000</v>
      </c>
      <c r="Q4" s="21">
        <v>159025920</v>
      </c>
      <c r="R4" s="5">
        <f>[Capital Social]/[Total Ações]</f>
        <v>0</v>
      </c>
      <c r="S4" s="49">
        <f>Tabela3[[#This Row],[Lucro Líquido]]/Tabela3[[#This Row],[Total Ações]]</f>
        <v>0.25255631283252439</v>
      </c>
      <c r="T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" s="98">
        <f>[Patrimônio Líquido]*[% PNA (PL)]/[Total Ações]</f>
        <v>0</v>
      </c>
      <c r="V4" s="98">
        <f>[Capital Social]*[% PNA (CS)]/[Total Ações]</f>
        <v>0</v>
      </c>
      <c r="W4" s="98">
        <f>MAX(Tabela3[[#This Row],[Div PNA (PL)]],Tabela3[[#This Row],[Div PNA (CS)]])</f>
        <v>0</v>
      </c>
      <c r="X4" s="5">
        <f>[Div. Pref]*[Ações]</f>
        <v>0</v>
      </c>
      <c r="Y4" s="18">
        <f>IF(GETPIVOTDATA("Payout",'Tabela LL'!$A$3,"Ativo",Tabela3[[#This Row],[PAPEL]])&gt;1,1,GETPIVOTDATA("Payout",'Tabela LL'!$A$3,"Ativo",Tabela3[[#This Row],[PAPEL]]))</f>
        <v>0.31390723596420989</v>
      </c>
      <c r="Z4" s="5">
        <f>[Patrimônio Líquido]/[Total Ações]</f>
        <v>10.346187590048213</v>
      </c>
      <c r="AA4" s="56">
        <f>MAX(Tabela3[[#This Row],[Cotação 1]],Tabela3[[#This Row],[Cotação 2]])</f>
        <v>17.8</v>
      </c>
      <c r="AB4" s="57">
        <f>[Cotação]/[VPA]</f>
        <v>1.7204404854519995</v>
      </c>
      <c r="AC4" s="39">
        <f>IF(Tabela3[[#This Row],[Lucro/Ação]]&gt;0,Tabela3[[#This Row],[Cotação]]/(Tabela3[[#This Row],[Lucro/Ação]]/[Ref]*4),0)</f>
        <v>52.8594983442472</v>
      </c>
      <c r="AD4" s="39">
        <f>IF([Div. Mínimo]=0,0,[Lucro Distribuir]*[Payout]/[Total Ações])</f>
        <v>0</v>
      </c>
      <c r="AE4" s="98">
        <f>IF(AND([Div. Pref]&gt;0,[Div. Mínimo]&gt;0),[Div. Mínimo]+[Div. Pref],IF([Div. Pref]&gt;0,[Div. Pref],IF([Div. Mínimo]&gt;0,[Div. Mínimo],0)))</f>
        <v>0</v>
      </c>
      <c r="AF4" s="98">
        <f>[Lucro Distribuir]/[Total Ações]</f>
        <v>0.25255631283252439</v>
      </c>
      <c r="AG4" s="98">
        <f>IF([Lucro Payout]&gt;[Lucro Dist./Ação],MAX(Tabela3[[#This Row],[Lucro Atual]:[Lucro Dist./Ação]]),MAX(Tabela3[[#This Row],[Lucro Payout]:[Lucro Atual]]))</f>
        <v>0</v>
      </c>
      <c r="AH4" s="16" t="str">
        <f>IF(AND([% A.A.]&gt;=10%,[PVPA]&lt;=2,[PL]&lt;=15,[PL]&gt;0),"Sim","Não")</f>
        <v>Não</v>
      </c>
      <c r="AI4" s="22">
        <f>Tabela3[[#This Row],[Lucro]]/Tabela3[[#This Row],[Cotação]]</f>
        <v>0</v>
      </c>
      <c r="AJ4" s="18">
        <f>((1+Tabela3[[#This Row],[% Yield]])^(1/(3*Tabela3[[#This Row],[Ref]])))^(12)-1</f>
        <v>0</v>
      </c>
      <c r="AK4" s="10">
        <f>($AQ$1/Tabela3[[#This Row],[Cotação]]-MOD($AQ$1/Tabela3[[#This Row],[Cotação]],100))</f>
        <v>0</v>
      </c>
      <c r="AL4" s="7">
        <f>Tabela3[[#This Row],[Ativos]]*Tabela3[[#This Row],[Lucro Atual]]</f>
        <v>0</v>
      </c>
      <c r="AM4" s="49">
        <f>SUMPRODUCT(N(Tabela1[Código]=Tabela3[[#This Row],[PAPEL]]),Tabela1[Fechamento])</f>
        <v>0</v>
      </c>
      <c r="AN4" s="58">
        <f>SUMPRODUCT(N(Tabela17[Código]=Tabela3[[#This Row],[PAPEL]]),Tabela17[Fechamento])</f>
        <v>17.8</v>
      </c>
    </row>
    <row r="5" spans="1:43">
      <c r="A5" s="3" t="s">
        <v>331</v>
      </c>
      <c r="B5" s="69" t="s">
        <v>345</v>
      </c>
      <c r="C5" s="105" t="str">
        <f>LEFT([PAPEL],LEN([PAPEL])-(LEN([PAPEL])-4))</f>
        <v>BAHI</v>
      </c>
      <c r="D5" s="16">
        <v>3</v>
      </c>
      <c r="E5" s="5">
        <v>26186518.66</v>
      </c>
      <c r="F5" s="60">
        <v>5996334</v>
      </c>
      <c r="G5" s="18">
        <v>0.25</v>
      </c>
      <c r="H5" s="16"/>
      <c r="I5" s="18"/>
      <c r="J5" s="18"/>
      <c r="L5" s="5">
        <v>43741000</v>
      </c>
      <c r="M5" s="5">
        <v>2583000</v>
      </c>
      <c r="N5" s="5">
        <f>Tabela3[[#This Row],[Capital Social]]*20%</f>
        <v>5237303.7320000008</v>
      </c>
      <c r="O5" s="5">
        <f>IF(([Lucro Líquido]*5%)&gt;[Teto R. Legal],[Teto R. Legal],[Lucro Líquido]*5%)</f>
        <v>129150</v>
      </c>
      <c r="P5" s="5">
        <f>IF([Lucro Líquido]&lt;0,0,[Lucro Líquido]-[Reserva Legal])</f>
        <v>2453850</v>
      </c>
      <c r="Q5" s="21">
        <v>5996334</v>
      </c>
      <c r="R5" s="5">
        <f>[Capital Social]/[Total Ações]</f>
        <v>4.3670880674758941</v>
      </c>
      <c r="S5" s="49">
        <f>Tabela3[[#This Row],[Lucro Líquido]]/Tabela3[[#This Row],[Total Ações]]</f>
        <v>0.43076319631294718</v>
      </c>
      <c r="T5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0.10230625912432496</v>
      </c>
      <c r="U5" s="98">
        <f>[Patrimônio Líquido]*[% PNA (PL)]/[Total Ações]</f>
        <v>0</v>
      </c>
      <c r="V5" s="98">
        <f>[Capital Social]*[% PNA (CS)]/[Total Ações]</f>
        <v>0</v>
      </c>
      <c r="W5" s="98">
        <f>MAX(Tabela3[[#This Row],[Div PNA (PL)]],Tabela3[[#This Row],[Div PNA (CS)]])</f>
        <v>0</v>
      </c>
      <c r="X5" s="5">
        <f>[Div. Pref]*[Ações]</f>
        <v>0</v>
      </c>
      <c r="Y5" s="18">
        <f>IF(GETPIVOTDATA("Payout",'Tabela LL'!$A$3,"Ativo",Tabela3[[#This Row],[PAPEL]])&gt;1,1,GETPIVOTDATA("Payout",'Tabela LL'!$A$3,"Ativo",Tabela3[[#This Row],[PAPEL]]))</f>
        <v>0.19103666588090965</v>
      </c>
      <c r="Z5" s="5">
        <f>[Patrimônio Líquido]/[Total Ações]</f>
        <v>7.2946236817362076</v>
      </c>
      <c r="AA5" s="56">
        <f>MAX(Tabela3[[#This Row],[Cotação 1]],Tabela3[[#This Row],[Cotação 2]])</f>
        <v>4.82</v>
      </c>
      <c r="AB5" s="57">
        <f>[Cotação]/[VPA]</f>
        <v>0.66076061086852156</v>
      </c>
      <c r="AC5" s="39">
        <f>IF(Tabela3[[#This Row],[Lucro/Ação]]&gt;0,Tabela3[[#This Row],[Cotação]]/(Tabela3[[#This Row],[Lucro/Ação]]/[Ref]*4),0)</f>
        <v>8.3920818466898979</v>
      </c>
      <c r="AD5" s="85">
        <f>IF([Div. Mínimo]=0,0,[Lucro Distribuir]*[Payout]/[Total Ações])</f>
        <v>7.8176986567437726E-2</v>
      </c>
      <c r="AE5" s="98">
        <f>IF(AND([Div. Pref]&gt;0,[Div. Mínimo]&gt;0),[Div. Mínimo]+[Div. Pref],IF([Div. Pref]&gt;0,[Div. Pref],IF([Div. Mínimo]&gt;0,[Div. Mínimo],0)))</f>
        <v>0.10230625912432496</v>
      </c>
      <c r="AF5" s="98">
        <f>[Lucro Distribuir]/[Total Ações]</f>
        <v>0.40922503649729985</v>
      </c>
      <c r="AG5" s="98">
        <f>IF([Lucro Payout]&gt;[Lucro Dist./Ação],MAX(Tabela3[[#This Row],[Lucro Atual]:[Lucro Dist./Ação]]),MAX(Tabela3[[#This Row],[Lucro Payout]:[Lucro Atual]]))</f>
        <v>0.10230625912432496</v>
      </c>
      <c r="AH5" s="16" t="str">
        <f>IF(AND([% A.A.]&gt;=10%,[PVPA]&lt;=2,[PL]&lt;=15,[PL]&gt;0),"Sim","Não")</f>
        <v>Não</v>
      </c>
      <c r="AI5" s="22">
        <f>Tabela3[[#This Row],[Lucro]]/Tabela3[[#This Row],[Cotação]]</f>
        <v>2.1225364963552897E-2</v>
      </c>
      <c r="AJ5" s="18">
        <f>((1+Tabela3[[#This Row],[% Yield]])^(1/(3*Tabela3[[#This Row],[Ref]])))^(12)-1</f>
        <v>2.8400133224727453E-2</v>
      </c>
      <c r="AK5" s="10">
        <f>($AQ$1/Tabela3[[#This Row],[Cotação]]-MOD($AQ$1/Tabela3[[#This Row],[Cotação]],100))</f>
        <v>0</v>
      </c>
      <c r="AL5" s="7">
        <f>Tabela3[[#This Row],[Ativos]]*Tabela3[[#This Row],[Lucro Atual]]</f>
        <v>0</v>
      </c>
      <c r="AM5" s="49">
        <f>SUMPRODUCT(N(Tabela1[Código]=Tabela3[[#This Row],[PAPEL]]),Tabela1[Fechamento])</f>
        <v>0</v>
      </c>
      <c r="AN5" s="58">
        <f>SUMPRODUCT(N(Tabela17[Código]=Tabela3[[#This Row],[PAPEL]]),Tabela17[Fechamento])</f>
        <v>4.82</v>
      </c>
    </row>
    <row r="6" spans="1:43">
      <c r="A6" s="4" t="s">
        <v>14</v>
      </c>
      <c r="B6" s="14" t="s">
        <v>62</v>
      </c>
      <c r="C6" s="14" t="str">
        <f>LEFT([PAPEL],LEN([PAPEL])-(LEN([PAPEL])-4))</f>
        <v>BAZA</v>
      </c>
      <c r="D6" s="15">
        <v>3</v>
      </c>
      <c r="E6" s="6"/>
      <c r="F6" s="8"/>
      <c r="G6" s="19"/>
      <c r="H6" s="15"/>
      <c r="I6" s="19"/>
      <c r="J6" s="19"/>
      <c r="K6" s="19"/>
      <c r="L6" s="6">
        <v>1550119000</v>
      </c>
      <c r="M6" s="6">
        <v>56710000</v>
      </c>
      <c r="N6" s="6">
        <f>Tabela3[[#This Row],[Capital Social]]*20%</f>
        <v>0</v>
      </c>
      <c r="O6" s="6">
        <f>IF(([Lucro Líquido]*5%)&gt;[Teto R. Legal],[Teto R. Legal],[Lucro Líquido]*5%)</f>
        <v>0</v>
      </c>
      <c r="P6" s="6">
        <f>IF([Lucro Líquido]&lt;0,0,[Lucro Líquido]-[Reserva Legal])</f>
        <v>56710000</v>
      </c>
      <c r="Q6" s="40">
        <v>2964596762</v>
      </c>
      <c r="R6" s="6">
        <f>[Capital Social]/[Total Ações]</f>
        <v>0</v>
      </c>
      <c r="S6" s="13">
        <f>Tabela3[[#This Row],[Lucro Líquido]]/Tabela3[[#This Row],[Total Ações]]</f>
        <v>1.9129077089641643E-2</v>
      </c>
      <c r="T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" s="99">
        <f>[Patrimônio Líquido]*[% PNA (PL)]/[Total Ações]</f>
        <v>0</v>
      </c>
      <c r="V6" s="99">
        <f>[Capital Social]*[% PNA (CS)]/[Total Ações]</f>
        <v>0</v>
      </c>
      <c r="W6" s="99">
        <f>MAX(Tabela3[[#This Row],[Div PNA (PL)]],Tabela3[[#This Row],[Div PNA (CS)]])</f>
        <v>0</v>
      </c>
      <c r="X6" s="6">
        <f>[Div. Pref]*[Ações]</f>
        <v>0</v>
      </c>
      <c r="Y6" s="19">
        <f>IF(GETPIVOTDATA("Payout",'Tabela LL'!$A$3,"Ativo",Tabela3[[#This Row],[PAPEL]])&gt;1,1,GETPIVOTDATA("Payout",'Tabela LL'!$A$3,"Ativo",Tabela3[[#This Row],[PAPEL]]))</f>
        <v>0.75262718633546799</v>
      </c>
      <c r="Z6" s="6">
        <f>[Patrimônio Líquido]/[Total Ações]</f>
        <v>0.52287684445632543</v>
      </c>
      <c r="AA6" s="50">
        <f>MAX(Tabela3[[#This Row],[Cotação 1]],Tabela3[[#This Row],[Cotação 2]])</f>
        <v>0.33</v>
      </c>
      <c r="AB6" s="46">
        <f>[Cotação]/[VPA]</f>
        <v>0.63112375982747138</v>
      </c>
      <c r="AC6" s="42">
        <f>IF(Tabela3[[#This Row],[Lucro/Ação]]&gt;0,Tabela3[[#This Row],[Cotação]]/(Tabela3[[#This Row],[Lucro/Ação]]/[Ref]*4),0)</f>
        <v>12.938418243607831</v>
      </c>
      <c r="AD6" s="42">
        <f>IF([Div. Mínimo]=0,0,[Lucro Distribuir]*[Payout]/[Total Ações])</f>
        <v>0</v>
      </c>
      <c r="AE6" s="99">
        <f>IF(AND([Div. Pref]&gt;0,[Div. Mínimo]&gt;0),[Div. Mínimo]+[Div. Pref],IF([Div. Pref]&gt;0,[Div. Pref],IF([Div. Mínimo]&gt;0,[Div. Mínimo],0)))</f>
        <v>0</v>
      </c>
      <c r="AF6" s="99">
        <f>[Lucro Distribuir]/[Total Ações]</f>
        <v>1.9129077089641643E-2</v>
      </c>
      <c r="AG6" s="99">
        <f>IF([Lucro Payout]&gt;[Lucro Dist./Ação],MAX(Tabela3[[#This Row],[Lucro Atual]:[Lucro Dist./Ação]]),MAX(Tabela3[[#This Row],[Lucro Payout]:[Lucro Atual]]))</f>
        <v>0</v>
      </c>
      <c r="AH6" s="15" t="str">
        <f>IF(AND([% A.A.]&gt;=10%,[PVPA]&lt;=2,[PL]&lt;=15,[PL]&gt;0),"Sim","Não")</f>
        <v>Não</v>
      </c>
      <c r="AI6" s="44">
        <f>Tabela3[[#This Row],[Lucro]]/Tabela3[[#This Row],[Cotação]]</f>
        <v>0</v>
      </c>
      <c r="AJ6" s="19">
        <f>((1+Tabela3[[#This Row],[% Yield]])^(1/(3*Tabela3[[#This Row],[Ref]])))^(12)-1</f>
        <v>0</v>
      </c>
      <c r="AK6" s="14">
        <f>($AQ$1/Tabela3[[#This Row],[Cotação]]-MOD($AQ$1/Tabela3[[#This Row],[Cotação]],100))</f>
        <v>900</v>
      </c>
      <c r="AL6" s="17">
        <f>Tabela3[[#This Row],[Ativos]]*Tabela3[[#This Row],[Lucro Atual]]</f>
        <v>0</v>
      </c>
      <c r="AM6" s="5">
        <f>SUMPRODUCT(N(Tabela1[Código]=Tabela3[[#This Row],[PAPEL]]),Tabela1[Fechamento])</f>
        <v>0.33</v>
      </c>
      <c r="AN6" s="5">
        <f>SUMPRODUCT(N(Tabela17[Código]=Tabela3[[#This Row],[PAPEL]]),Tabela17[Fechamento])</f>
        <v>0</v>
      </c>
    </row>
    <row r="7" spans="1:43">
      <c r="A7" s="4" t="s">
        <v>14</v>
      </c>
      <c r="B7" s="68" t="s">
        <v>24</v>
      </c>
      <c r="C7" s="14" t="str">
        <f>LEFT([PAPEL],LEN([PAPEL])-(LEN([PAPEL])-4))</f>
        <v>BBAS</v>
      </c>
      <c r="D7" s="15">
        <v>3</v>
      </c>
      <c r="E7" s="6">
        <v>54000000000</v>
      </c>
      <c r="F7" s="8">
        <v>2865417020</v>
      </c>
      <c r="G7" s="19">
        <v>0.25</v>
      </c>
      <c r="H7" s="19"/>
      <c r="I7" s="19"/>
      <c r="J7" s="19"/>
      <c r="K7" s="19"/>
      <c r="L7" s="6">
        <v>63802635000</v>
      </c>
      <c r="M7" s="6">
        <v>12718352000</v>
      </c>
      <c r="N7" s="6">
        <f>Tabela3[[#This Row],[Capital Social]]*20%</f>
        <v>10800000000</v>
      </c>
      <c r="O7" s="6">
        <f>IF(([Lucro Líquido]*5%)&gt;[Teto R. Legal],[Teto R. Legal],[Lucro Líquido]*5%)</f>
        <v>635917600</v>
      </c>
      <c r="P7" s="6">
        <f>IF([Lucro Líquido]&lt;0,0,[Lucro Líquido]-[Reserva Legal])</f>
        <v>12082434400</v>
      </c>
      <c r="Q7" s="21">
        <f>SUMPRODUCT(N([Nome]=Tabela3[[#This Row],[Nome]]),[Ações])</f>
        <v>2865417020</v>
      </c>
      <c r="R7" s="6">
        <f>[Capital Social]/[Total Ações]</f>
        <v>18.845424461113865</v>
      </c>
      <c r="S7" s="13">
        <f>Tabela3[[#This Row],[Lucro Líquido]]/Tabela3[[#This Row],[Total Ações]]</f>
        <v>4.4385692941825274</v>
      </c>
      <c r="T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1.0541602073683503</v>
      </c>
      <c r="U7" s="99">
        <f>[Patrimônio Líquido]*[% PNA (PL)]/[Total Ações]</f>
        <v>0</v>
      </c>
      <c r="V7" s="99">
        <f>[Capital Social]*[% PNA (CS)]/[Total Ações]</f>
        <v>0</v>
      </c>
      <c r="W7" s="99">
        <f>MAX(Tabela3[[#This Row],[Div PNA (PL)]],Tabela3[[#This Row],[Div PNA (CS)]])</f>
        <v>0</v>
      </c>
      <c r="X7" s="6">
        <f>[Div. Pref]*[Ações]</f>
        <v>0</v>
      </c>
      <c r="Y7" s="19">
        <f>IF(GETPIVOTDATA("Payout",'Tabela LL'!$A$3,"Ativo",Tabela3[[#This Row],[PAPEL]])&gt;1,1,GETPIVOTDATA("Payout",'Tabela LL'!$A$3,"Ativo",Tabela3[[#This Row],[PAPEL]]))</f>
        <v>0.40025891489587845</v>
      </c>
      <c r="Z7" s="6">
        <f>[Patrimônio Líquido]/[Total Ações]</f>
        <v>22.266439598379993</v>
      </c>
      <c r="AA7" s="50">
        <f>MAX(Tabela3[[#This Row],[Cotação 1]],Tabela3[[#This Row],[Cotação 2]])</f>
        <v>23.22</v>
      </c>
      <c r="AB7" s="46">
        <f>[Cotação]/[VPA]</f>
        <v>1.0428250056506287</v>
      </c>
      <c r="AC7" s="42">
        <f>IF(Tabela3[[#This Row],[Lucro/Ação]]&gt;0,Tabela3[[#This Row],[Cotação]]/(Tabela3[[#This Row],[Lucro/Ação]]/[Ref]*4),0)</f>
        <v>3.9235615906290371</v>
      </c>
      <c r="AD7" s="96">
        <f>IF([Div. Mínimo]=0,0,[Lucro Distribuir]*[Payout]/[Total Ações])</f>
        <v>1.6877480829106803</v>
      </c>
      <c r="AE7" s="99">
        <f>IF(AND([Div. Pref]&gt;0,[Div. Mínimo]&gt;0),[Div. Mínimo]+[Div. Pref],IF([Div. Pref]&gt;0,[Div. Pref],IF([Div. Mínimo]&gt;0,[Div. Mínimo],0)))</f>
        <v>1.0541602073683503</v>
      </c>
      <c r="AF7" s="99">
        <f>[Lucro Distribuir]/[Total Ações]</f>
        <v>4.216640829473401</v>
      </c>
      <c r="AG7" s="99">
        <f>IF([Lucro Payout]&gt;[Lucro Dist./Ação],MAX(Tabela3[[#This Row],[Lucro Atual]:[Lucro Dist./Ação]]),MAX(Tabela3[[#This Row],[Lucro Payout]:[Lucro Atual]]))</f>
        <v>1.6877480829106803</v>
      </c>
      <c r="AH7" s="15" t="str">
        <f>IF(AND([% A.A.]&gt;=10%,[PVPA]&lt;=2,[PL]&lt;=15,[PL]&gt;0),"Sim","Não")</f>
        <v>Não</v>
      </c>
      <c r="AI7" s="44">
        <f>Tabela3[[#This Row],[Lucro]]/Tabela3[[#This Row],[Cotação]]</f>
        <v>7.268510262319898E-2</v>
      </c>
      <c r="AJ7" s="19">
        <f>((1+Tabela3[[#This Row],[% Yield]])^(1/(3*Tabela3[[#This Row],[Ref]])))^(12)-1</f>
        <v>9.806908755909971E-2</v>
      </c>
      <c r="AK7" s="14">
        <f>($AQ$1/Tabela3[[#This Row],[Cotação]]-MOD($AQ$1/Tabela3[[#This Row],[Cotação]],100))</f>
        <v>0</v>
      </c>
      <c r="AL7" s="17">
        <f>Tabela3[[#This Row],[Ativos]]*Tabela3[[#This Row],[Lucro Atual]]</f>
        <v>0</v>
      </c>
      <c r="AM7" s="5">
        <f>SUMPRODUCT(N(Tabela1[Código]=Tabela3[[#This Row],[PAPEL]]),Tabela1[Fechamento])</f>
        <v>23.22</v>
      </c>
      <c r="AN7" s="5">
        <f>SUMPRODUCT(N(Tabela17[Código]=Tabela3[[#This Row],[PAPEL]]),Tabela17[Fechamento])</f>
        <v>0</v>
      </c>
    </row>
    <row r="8" spans="1:43">
      <c r="A8" s="4" t="s">
        <v>14</v>
      </c>
      <c r="B8" s="14" t="s">
        <v>218</v>
      </c>
      <c r="C8" s="14" t="str">
        <f>LEFT([PAPEL],LEN([PAPEL])-(LEN([PAPEL])-4))</f>
        <v>BBDC</v>
      </c>
      <c r="D8" s="15">
        <v>3</v>
      </c>
      <c r="E8" s="6"/>
      <c r="F8" s="8"/>
      <c r="G8" s="19"/>
      <c r="H8" s="15"/>
      <c r="I8" s="19"/>
      <c r="J8" s="19"/>
      <c r="K8" s="19"/>
      <c r="L8" s="6">
        <v>67033392000</v>
      </c>
      <c r="M8" s="6">
        <v>8931828000</v>
      </c>
      <c r="N8" s="6">
        <f>Tabela3[[#This Row],[Capital Social]]*20%</f>
        <v>0</v>
      </c>
      <c r="O8" s="6">
        <f>IF(([Lucro Líquido]*5%)&gt;[Teto R. Legal],[Teto R. Legal],[Lucro Líquido]*5%)</f>
        <v>0</v>
      </c>
      <c r="P8" s="6">
        <f>IF([Lucro Líquido]&lt;0,0,[Lucro Líquido]-[Reserva Legal])</f>
        <v>8931828000</v>
      </c>
      <c r="Q8" s="40">
        <v>4207274039</v>
      </c>
      <c r="R8" s="6">
        <f>[Capital Social]/[Total Ações]</f>
        <v>0</v>
      </c>
      <c r="S8" s="13">
        <f>Tabela3[[#This Row],[Lucro Líquido]]/Tabela3[[#This Row],[Total Ações]]</f>
        <v>2.1229489491782543</v>
      </c>
      <c r="T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" s="99">
        <f>[Patrimônio Líquido]*[% PNA (PL)]/[Total Ações]</f>
        <v>0</v>
      </c>
      <c r="V8" s="99">
        <f>[Capital Social]*[% PNA (CS)]/[Total Ações]</f>
        <v>0</v>
      </c>
      <c r="W8" s="99">
        <f>MAX(Tabela3[[#This Row],[Div PNA (PL)]],Tabela3[[#This Row],[Div PNA (CS)]])</f>
        <v>0</v>
      </c>
      <c r="X8" s="6">
        <f>[Div. Pref]*[Ações]</f>
        <v>0</v>
      </c>
      <c r="Y8" s="19">
        <f>IF(GETPIVOTDATA("Payout",'Tabela LL'!$A$3,"Ativo",Tabela3[[#This Row],[PAPEL]])&gt;1,1,GETPIVOTDATA("Payout",'Tabela LL'!$A$3,"Ativo",Tabela3[[#This Row],[PAPEL]]))</f>
        <v>0.37734094800257278</v>
      </c>
      <c r="Z8" s="6">
        <f>[Patrimônio Líquido]/[Total Ações]</f>
        <v>15.932737297029679</v>
      </c>
      <c r="AA8" s="50">
        <f>MAX(Tabela3[[#This Row],[Cotação 1]],Tabela3[[#This Row],[Cotação 2]])</f>
        <v>30.09</v>
      </c>
      <c r="AB8" s="46">
        <f>[Cotação]/[VPA]</f>
        <v>1.8885643715226286</v>
      </c>
      <c r="AC8" s="42">
        <f>IF(Tabela3[[#This Row],[Lucro/Ação]]&gt;0,Tabela3[[#This Row],[Cotação]]/(Tabela3[[#This Row],[Lucro/Ação]]/[Ref]*4),0)</f>
        <v>10.630260331382612</v>
      </c>
      <c r="AD8" s="42">
        <f>IF([Div. Mínimo]=0,0,[Lucro Distribuir]*[Payout]/[Total Ações])</f>
        <v>0</v>
      </c>
      <c r="AE8" s="99">
        <f>IF(AND([Div. Pref]&gt;0,[Div. Mínimo]&gt;0),[Div. Mínimo]+[Div. Pref],IF([Div. Pref]&gt;0,[Div. Pref],IF([Div. Mínimo]&gt;0,[Div. Mínimo],0)))</f>
        <v>0</v>
      </c>
      <c r="AF8" s="99">
        <f>[Lucro Distribuir]/[Total Ações]</f>
        <v>2.1229489491782543</v>
      </c>
      <c r="AG8" s="99">
        <f>IF([Lucro Payout]&gt;[Lucro Dist./Ação],MAX(Tabela3[[#This Row],[Lucro Atual]:[Lucro Dist./Ação]]),MAX(Tabela3[[#This Row],[Lucro Payout]:[Lucro Atual]]))</f>
        <v>0</v>
      </c>
      <c r="AH8" s="15" t="str">
        <f>IF(AND([% A.A.]&gt;=10%,[PVPA]&lt;=2,[PL]&lt;=15,[PL]&gt;0),"Sim","Não")</f>
        <v>Não</v>
      </c>
      <c r="AI8" s="44">
        <f>Tabela3[[#This Row],[Lucro]]/Tabela3[[#This Row],[Cotação]]</f>
        <v>0</v>
      </c>
      <c r="AJ8" s="19">
        <f>((1+Tabela3[[#This Row],[% Yield]])^(1/(3*Tabela3[[#This Row],[Ref]])))^(12)-1</f>
        <v>0</v>
      </c>
      <c r="AK8" s="14">
        <f>($AQ$1/Tabela3[[#This Row],[Cotação]]-MOD($AQ$1/Tabela3[[#This Row],[Cotação]],100))</f>
        <v>0</v>
      </c>
      <c r="AL8" s="17">
        <f>Tabela3[[#This Row],[Ativos]]*Tabela3[[#This Row],[Lucro Atual]]</f>
        <v>0</v>
      </c>
      <c r="AM8" s="5">
        <f>SUMPRODUCT(N(Tabela1[Código]=Tabela3[[#This Row],[PAPEL]]),Tabela1[Fechamento])</f>
        <v>30.09</v>
      </c>
      <c r="AN8" s="5">
        <f>SUMPRODUCT(N(Tabela17[Código]=Tabela3[[#This Row],[PAPEL]]),Tabela17[Fechamento])</f>
        <v>0</v>
      </c>
    </row>
    <row r="9" spans="1:43">
      <c r="A9" s="4" t="s">
        <v>14</v>
      </c>
      <c r="B9" s="14" t="s">
        <v>219</v>
      </c>
      <c r="C9" s="14" t="str">
        <f>LEFT([PAPEL],LEN([PAPEL])-(LEN([PAPEL])-4))</f>
        <v>BBDC</v>
      </c>
      <c r="D9" s="15">
        <v>3</v>
      </c>
      <c r="E9" s="6"/>
      <c r="F9" s="8"/>
      <c r="G9" s="19"/>
      <c r="H9" s="15"/>
      <c r="I9" s="19"/>
      <c r="J9" s="19"/>
      <c r="K9" s="19"/>
      <c r="L9" s="6">
        <v>67033392000</v>
      </c>
      <c r="M9" s="6">
        <v>8931828000</v>
      </c>
      <c r="N9" s="6">
        <f>Tabela3[[#This Row],[Capital Social]]*20%</f>
        <v>0</v>
      </c>
      <c r="O9" s="6">
        <f>IF(([Lucro Líquido]*5%)&gt;[Teto R. Legal],[Teto R. Legal],[Lucro Líquido]*5%)</f>
        <v>0</v>
      </c>
      <c r="P9" s="6">
        <f>IF([Lucro Líquido]&lt;0,0,[Lucro Líquido]-[Reserva Legal])</f>
        <v>8931828000</v>
      </c>
      <c r="Q9" s="40">
        <v>4207274039</v>
      </c>
      <c r="R9" s="6">
        <f>[Capital Social]/[Total Ações]</f>
        <v>0</v>
      </c>
      <c r="S9" s="13">
        <f>Tabela3[[#This Row],[Lucro Líquido]]/Tabela3[[#This Row],[Total Ações]]</f>
        <v>2.1229489491782543</v>
      </c>
      <c r="T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" s="99">
        <f>[Patrimônio Líquido]*[% PNA (PL)]/[Total Ações]</f>
        <v>0</v>
      </c>
      <c r="V9" s="99">
        <f>[Capital Social]*[% PNA (CS)]/[Total Ações]</f>
        <v>0</v>
      </c>
      <c r="W9" s="99">
        <f>MAX(Tabela3[[#This Row],[Div PNA (PL)]],Tabela3[[#This Row],[Div PNA (CS)]])</f>
        <v>0</v>
      </c>
      <c r="X9" s="6">
        <f>[Div. Pref]*[Ações]</f>
        <v>0</v>
      </c>
      <c r="Y9" s="19">
        <f>IF(GETPIVOTDATA("Payout",'Tabela LL'!$A$3,"Ativo",Tabela3[[#This Row],[PAPEL]])&gt;1,1,GETPIVOTDATA("Payout",'Tabela LL'!$A$3,"Ativo",Tabela3[[#This Row],[PAPEL]]))</f>
        <v>0.41507496875695749</v>
      </c>
      <c r="Z9" s="6">
        <f>[Patrimônio Líquido]/[Total Ações]</f>
        <v>15.932737297029679</v>
      </c>
      <c r="AA9" s="50">
        <f>MAX(Tabela3[[#This Row],[Cotação 1]],Tabela3[[#This Row],[Cotação 2]])</f>
        <v>27.85</v>
      </c>
      <c r="AB9" s="46">
        <f>[Cotação]/[VPA]</f>
        <v>1.7479733382155271</v>
      </c>
      <c r="AC9" s="42">
        <f>IF(Tabela3[[#This Row],[Lucro/Ação]]&gt;0,Tabela3[[#This Row],[Cotação]]/(Tabela3[[#This Row],[Lucro/Ação]]/[Ref]*4),0)</f>
        <v>9.8389082827851713</v>
      </c>
      <c r="AD9" s="42">
        <f>IF([Div. Mínimo]=0,0,[Lucro Distribuir]*[Payout]/[Total Ações])</f>
        <v>0</v>
      </c>
      <c r="AE9" s="99">
        <f>IF(AND([Div. Pref]&gt;0,[Div. Mínimo]&gt;0),[Div. Mínimo]+[Div. Pref],IF([Div. Pref]&gt;0,[Div. Pref],IF([Div. Mínimo]&gt;0,[Div. Mínimo],0)))</f>
        <v>0</v>
      </c>
      <c r="AF9" s="99">
        <f>[Lucro Distribuir]/[Total Ações]</f>
        <v>2.1229489491782543</v>
      </c>
      <c r="AG9" s="99">
        <f>IF([Lucro Payout]&gt;[Lucro Dist./Ação],MAX(Tabela3[[#This Row],[Lucro Atual]:[Lucro Dist./Ação]]),MAX(Tabela3[[#This Row],[Lucro Payout]:[Lucro Atual]]))</f>
        <v>0</v>
      </c>
      <c r="AH9" s="15" t="str">
        <f>IF(AND([% A.A.]&gt;=10%,[PVPA]&lt;=2,[PL]&lt;=15,[PL]&gt;0),"Sim","Não")</f>
        <v>Não</v>
      </c>
      <c r="AI9" s="44">
        <f>Tabela3[[#This Row],[Lucro]]/Tabela3[[#This Row],[Cotação]]</f>
        <v>0</v>
      </c>
      <c r="AJ9" s="19">
        <f>((1+Tabela3[[#This Row],[% Yield]])^(1/(3*Tabela3[[#This Row],[Ref]])))^(12)-1</f>
        <v>0</v>
      </c>
      <c r="AK9" s="14">
        <f>($AQ$1/Tabela3[[#This Row],[Cotação]]-MOD($AQ$1/Tabela3[[#This Row],[Cotação]],100))</f>
        <v>0</v>
      </c>
      <c r="AL9" s="17">
        <f>Tabela3[[#This Row],[Ativos]]*Tabela3[[#This Row],[Lucro Atual]]</f>
        <v>0</v>
      </c>
      <c r="AM9" s="5">
        <f>SUMPRODUCT(N(Tabela1[Código]=Tabela3[[#This Row],[PAPEL]]),Tabela1[Fechamento])</f>
        <v>27.85</v>
      </c>
      <c r="AN9" s="5">
        <f>SUMPRODUCT(N(Tabela17[Código]=Tabela3[[#This Row],[PAPEL]]),Tabela17[Fechamento])</f>
        <v>0</v>
      </c>
    </row>
    <row r="10" spans="1:43">
      <c r="A10" s="4" t="s">
        <v>26</v>
      </c>
      <c r="B10" s="68" t="s">
        <v>25</v>
      </c>
      <c r="C10" s="104" t="str">
        <f>LEFT([PAPEL],LEN([PAPEL])-(LEN([PAPEL])-4))</f>
        <v>BBSE</v>
      </c>
      <c r="D10" s="15">
        <v>3</v>
      </c>
      <c r="E10" s="6"/>
      <c r="F10" s="8"/>
      <c r="G10" s="19"/>
      <c r="H10" s="15"/>
      <c r="I10" s="19"/>
      <c r="J10" s="19"/>
      <c r="K10" s="19"/>
      <c r="L10" s="6">
        <v>6389579000</v>
      </c>
      <c r="M10" s="6">
        <v>1570142000</v>
      </c>
      <c r="N10" s="6">
        <f>Tabela3[[#This Row],[Capital Social]]*20%</f>
        <v>0</v>
      </c>
      <c r="O10" s="6">
        <f>IF(([Lucro Líquido]*5%)&gt;[Teto R. Legal],[Teto R. Legal],[Lucro Líquido]*5%)</f>
        <v>0</v>
      </c>
      <c r="P10" s="6">
        <f>IF([Lucro Líquido]&lt;0,0,[Lucro Líquido]-[Reserva Legal])</f>
        <v>1570142000</v>
      </c>
      <c r="Q10" s="40">
        <v>2000000000</v>
      </c>
      <c r="R10" s="6">
        <f>[Capital Social]/[Total Ações]</f>
        <v>0</v>
      </c>
      <c r="S10" s="13">
        <f>Tabela3[[#This Row],[Lucro Líquido]]/Tabela3[[#This Row],[Total Ações]]</f>
        <v>0.78507099999999996</v>
      </c>
      <c r="T1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" s="99">
        <f>[Patrimônio Líquido]*[% PNA (PL)]/[Total Ações]</f>
        <v>0</v>
      </c>
      <c r="V10" s="99">
        <f>[Capital Social]*[% PNA (CS)]/[Total Ações]</f>
        <v>0</v>
      </c>
      <c r="W10" s="99">
        <f>MAX(Tabela3[[#This Row],[Div PNA (PL)]],Tabela3[[#This Row],[Div PNA (CS)]])</f>
        <v>0</v>
      </c>
      <c r="X10" s="6">
        <f>[Div. Pref]*[Ações]</f>
        <v>0</v>
      </c>
      <c r="Y10" s="19">
        <f>IF(GETPIVOTDATA("Payout",'Tabela LL'!$A$3,"Ativo",Tabela3[[#This Row],[PAPEL]])&gt;1,1,GETPIVOTDATA("Payout",'Tabela LL'!$A$3,"Ativo",Tabela3[[#This Row],[PAPEL]]))</f>
        <v>0.25</v>
      </c>
      <c r="Z10" s="6">
        <f>[Patrimônio Líquido]/[Total Ações]</f>
        <v>3.1947895000000002</v>
      </c>
      <c r="AA10" s="50">
        <f>MAX(Tabela3[[#This Row],[Cotação 1]],Tabela3[[#This Row],[Cotação 2]])</f>
        <v>23.92</v>
      </c>
      <c r="AB10" s="46">
        <f>[Cotação]/[VPA]</f>
        <v>7.4871912531326403</v>
      </c>
      <c r="AC10" s="42">
        <f>IF(Tabela3[[#This Row],[Lucro/Ação]]&gt;0,Tabela3[[#This Row],[Cotação]]/(Tabela3[[#This Row],[Lucro/Ação]]/[Ref]*4),0)</f>
        <v>22.851436366901851</v>
      </c>
      <c r="AD10" s="42">
        <f>IF([Div. Mínimo]=0,0,[Lucro Distribuir]*[Payout]/[Total Ações])</f>
        <v>0</v>
      </c>
      <c r="AE10" s="99">
        <f>IF(AND([Div. Pref]&gt;0,[Div. Mínimo]&gt;0),[Div. Mínimo]+[Div. Pref],IF([Div. Pref]&gt;0,[Div. Pref],IF([Div. Mínimo]&gt;0,[Div. Mínimo],0)))</f>
        <v>0</v>
      </c>
      <c r="AF10" s="99">
        <f>[Lucro Distribuir]/[Total Ações]</f>
        <v>0.78507099999999996</v>
      </c>
      <c r="AG10" s="99">
        <f>IF([Lucro Payout]&gt;[Lucro Dist./Ação],MAX(Tabela3[[#This Row],[Lucro Atual]:[Lucro Dist./Ação]]),MAX(Tabela3[[#This Row],[Lucro Payout]:[Lucro Atual]]))</f>
        <v>0</v>
      </c>
      <c r="AH10" s="15" t="str">
        <f>IF(AND([% A.A.]&gt;=10%,[PVPA]&lt;=2,[PL]&lt;=15,[PL]&gt;0),"Sim","Não")</f>
        <v>Não</v>
      </c>
      <c r="AI10" s="44">
        <f>Tabela3[[#This Row],[Lucro]]/Tabela3[[#This Row],[Cotação]]</f>
        <v>0</v>
      </c>
      <c r="AJ10" s="19">
        <f>((1+Tabela3[[#This Row],[% Yield]])^(1/(3*Tabela3[[#This Row],[Ref]])))^(12)-1</f>
        <v>0</v>
      </c>
      <c r="AK10" s="14">
        <f>($AQ$1/Tabela3[[#This Row],[Cotação]]-MOD($AQ$1/Tabela3[[#This Row],[Cotação]],100))</f>
        <v>0</v>
      </c>
      <c r="AL10" s="17">
        <f>Tabela3[[#This Row],[Ativos]]*Tabela3[[#This Row],[Lucro Atual]]</f>
        <v>0</v>
      </c>
      <c r="AM10" s="13">
        <f>SUMPRODUCT(N(Tabela1[Código]=Tabela3[[#This Row],[PAPEL]]),Tabela1[Fechamento])</f>
        <v>0</v>
      </c>
      <c r="AN10" s="13">
        <f>SUMPRODUCT(N(Tabela17[Código]=Tabela3[[#This Row],[PAPEL]]),Tabela17[Fechamento])</f>
        <v>23.92</v>
      </c>
    </row>
    <row r="11" spans="1:43">
      <c r="A11" s="4" t="s">
        <v>14</v>
      </c>
      <c r="B11" s="14" t="s">
        <v>58</v>
      </c>
      <c r="C11" s="14" t="str">
        <f>LEFT([PAPEL],LEN([PAPEL])-(LEN([PAPEL])-4))</f>
        <v>BEES</v>
      </c>
      <c r="D11" s="15">
        <v>3</v>
      </c>
      <c r="E11" s="6"/>
      <c r="F11" s="8"/>
      <c r="G11" s="19"/>
      <c r="H11" s="15"/>
      <c r="I11" s="19"/>
      <c r="J11" s="19"/>
      <c r="K11" s="19"/>
      <c r="L11" s="6">
        <v>901919000</v>
      </c>
      <c r="M11" s="6">
        <v>77892000</v>
      </c>
      <c r="N11" s="6">
        <f>Tabela3[[#This Row],[Capital Social]]*20%</f>
        <v>0</v>
      </c>
      <c r="O11" s="6">
        <f>IF(([Lucro Líquido]*5%)&gt;[Teto R. Legal],[Teto R. Legal],[Lucro Líquido]*5%)</f>
        <v>0</v>
      </c>
      <c r="P11" s="6">
        <f>IF([Lucro Líquido]&lt;0,0,[Lucro Líquido]-[Reserva Legal])</f>
        <v>77892000</v>
      </c>
      <c r="Q11" s="40">
        <v>1579564303</v>
      </c>
      <c r="R11" s="6">
        <f>[Capital Social]/[Total Ações]</f>
        <v>0</v>
      </c>
      <c r="S11" s="13">
        <f>Tabela3[[#This Row],[Lucro Líquido]]/Tabela3[[#This Row],[Total Ações]]</f>
        <v>4.931233242740609E-2</v>
      </c>
      <c r="T1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" s="99">
        <f>[Patrimônio Líquido]*[% PNA (PL)]/[Total Ações]</f>
        <v>0</v>
      </c>
      <c r="V11" s="99">
        <f>[Capital Social]*[% PNA (CS)]/[Total Ações]</f>
        <v>0</v>
      </c>
      <c r="W11" s="99">
        <f>MAX(Tabela3[[#This Row],[Div PNA (PL)]],Tabela3[[#This Row],[Div PNA (CS)]])</f>
        <v>0</v>
      </c>
      <c r="X11" s="6">
        <f>[Div. Pref]*[Ações]</f>
        <v>0</v>
      </c>
      <c r="Y11" s="19">
        <f>IF(GETPIVOTDATA("Payout",'Tabela LL'!$A$3,"Ativo",Tabela3[[#This Row],[PAPEL]])&gt;1,1,GETPIVOTDATA("Payout",'Tabela LL'!$A$3,"Ativo",Tabela3[[#This Row],[PAPEL]]))</f>
        <v>0.36351567797691797</v>
      </c>
      <c r="Z11" s="6">
        <f>[Patrimônio Líquido]/[Total Ações]</f>
        <v>0.57099226558046623</v>
      </c>
      <c r="AA11" s="50">
        <f>MAX(Tabela3[[#This Row],[Cotação 1]],Tabela3[[#This Row],[Cotação 2]])</f>
        <v>0.46</v>
      </c>
      <c r="AB11" s="46">
        <f>[Cotação]/[VPA]</f>
        <v>0.80561511552589538</v>
      </c>
      <c r="AC11" s="42">
        <f>IF(Tabela3[[#This Row],[Lucro/Ação]]&gt;0,Tabela3[[#This Row],[Cotação]]/(Tabela3[[#This Row],[Lucro/Ação]]/[Ref]*4),0)</f>
        <v>6.99622149302881</v>
      </c>
      <c r="AD11" s="42">
        <f>IF([Div. Mínimo]=0,0,[Lucro Distribuir]*[Payout]/[Total Ações])</f>
        <v>0</v>
      </c>
      <c r="AE11" s="99">
        <f>IF(AND([Div. Pref]&gt;0,[Div. Mínimo]&gt;0),[Div. Mínimo]+[Div. Pref],IF([Div. Pref]&gt;0,[Div. Pref],IF([Div. Mínimo]&gt;0,[Div. Mínimo],0)))</f>
        <v>0</v>
      </c>
      <c r="AF11" s="99">
        <f>[Lucro Distribuir]/[Total Ações]</f>
        <v>4.931233242740609E-2</v>
      </c>
      <c r="AG11" s="99">
        <f>IF([Lucro Payout]&gt;[Lucro Dist./Ação],MAX(Tabela3[[#This Row],[Lucro Atual]:[Lucro Dist./Ação]]),MAX(Tabela3[[#This Row],[Lucro Payout]:[Lucro Atual]]))</f>
        <v>0</v>
      </c>
      <c r="AH11" s="15" t="str">
        <f>IF(AND([% A.A.]&gt;=10%,[PVPA]&lt;=2,[PL]&lt;=15,[PL]&gt;0),"Sim","Não")</f>
        <v>Não</v>
      </c>
      <c r="AI11" s="44">
        <f>Tabela3[[#This Row],[Lucro]]/Tabela3[[#This Row],[Cotação]]</f>
        <v>0</v>
      </c>
      <c r="AJ11" s="19">
        <f>((1+Tabela3[[#This Row],[% Yield]])^(1/(3*Tabela3[[#This Row],[Ref]])))^(12)-1</f>
        <v>0</v>
      </c>
      <c r="AK11" s="14">
        <f>($AQ$1/Tabela3[[#This Row],[Cotação]]-MOD($AQ$1/Tabela3[[#This Row],[Cotação]],100))</f>
        <v>600</v>
      </c>
      <c r="AL11" s="17">
        <f>Tabela3[[#This Row],[Ativos]]*Tabela3[[#This Row],[Lucro Atual]]</f>
        <v>0</v>
      </c>
      <c r="AM11" s="5">
        <f>SUMPRODUCT(N(Tabela1[Código]=Tabela3[[#This Row],[PAPEL]]),Tabela1[Fechamento])</f>
        <v>0.46</v>
      </c>
      <c r="AN11" s="5">
        <f>SUMPRODUCT(N(Tabela17[Código]=Tabela3[[#This Row],[PAPEL]]),Tabela17[Fechamento])</f>
        <v>0</v>
      </c>
    </row>
    <row r="12" spans="1:43">
      <c r="A12" s="4" t="s">
        <v>14</v>
      </c>
      <c r="B12" s="14" t="s">
        <v>59</v>
      </c>
      <c r="C12" s="14" t="str">
        <f>LEFT([PAPEL],LEN([PAPEL])-(LEN([PAPEL])-4))</f>
        <v>BEES</v>
      </c>
      <c r="D12" s="15">
        <v>3</v>
      </c>
      <c r="E12" s="6"/>
      <c r="F12" s="8"/>
      <c r="G12" s="19"/>
      <c r="H12" s="15"/>
      <c r="I12" s="19"/>
      <c r="J12" s="19"/>
      <c r="K12" s="19"/>
      <c r="L12" s="6">
        <v>901919000</v>
      </c>
      <c r="M12" s="6">
        <v>77892000</v>
      </c>
      <c r="N12" s="6">
        <f>Tabela3[[#This Row],[Capital Social]]*20%</f>
        <v>0</v>
      </c>
      <c r="O12" s="6">
        <f>IF(([Lucro Líquido]*5%)&gt;[Teto R. Legal],[Teto R. Legal],[Lucro Líquido]*5%)</f>
        <v>0</v>
      </c>
      <c r="P12" s="6">
        <f>IF([Lucro Líquido]&lt;0,0,[Lucro Líquido]-[Reserva Legal])</f>
        <v>77892000</v>
      </c>
      <c r="Q12" s="40">
        <v>1579564303</v>
      </c>
      <c r="R12" s="6">
        <f>[Capital Social]/[Total Ações]</f>
        <v>0</v>
      </c>
      <c r="S12" s="13">
        <f>Tabela3[[#This Row],[Lucro Líquido]]/Tabela3[[#This Row],[Total Ações]]</f>
        <v>4.931233242740609E-2</v>
      </c>
      <c r="T1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" s="99">
        <f>[Patrimônio Líquido]*[% PNA (PL)]/[Total Ações]</f>
        <v>0</v>
      </c>
      <c r="V12" s="99">
        <f>[Capital Social]*[% PNA (CS)]/[Total Ações]</f>
        <v>0</v>
      </c>
      <c r="W12" s="99">
        <f>MAX(Tabela3[[#This Row],[Div PNA (PL)]],Tabela3[[#This Row],[Div PNA (CS)]])</f>
        <v>0</v>
      </c>
      <c r="X12" s="6">
        <f>[Div. Pref]*[Ações]</f>
        <v>0</v>
      </c>
      <c r="Y12" s="19">
        <f>IF(GETPIVOTDATA("Payout",'Tabela LL'!$A$3,"Ativo",Tabela3[[#This Row],[PAPEL]])&gt;1,1,GETPIVOTDATA("Payout",'Tabela LL'!$A$3,"Ativo",Tabela3[[#This Row],[PAPEL]]))</f>
        <v>0.36351567797691797</v>
      </c>
      <c r="Z12" s="6">
        <f>[Patrimônio Líquido]/[Total Ações]</f>
        <v>0.57099226558046623</v>
      </c>
      <c r="AA12" s="50">
        <f>MAX(Tabela3[[#This Row],[Cotação 1]],Tabela3[[#This Row],[Cotação 2]])</f>
        <v>0.46</v>
      </c>
      <c r="AB12" s="46">
        <f>[Cotação]/[VPA]</f>
        <v>0.80561511552589538</v>
      </c>
      <c r="AC12" s="42">
        <f>IF(Tabela3[[#This Row],[Lucro/Ação]]&gt;0,Tabela3[[#This Row],[Cotação]]/(Tabela3[[#This Row],[Lucro/Ação]]/[Ref]*4),0)</f>
        <v>6.99622149302881</v>
      </c>
      <c r="AD12" s="42">
        <f>IF([Div. Mínimo]=0,0,[Lucro Distribuir]*[Payout]/[Total Ações])</f>
        <v>0</v>
      </c>
      <c r="AE12" s="99">
        <f>IF(AND([Div. Pref]&gt;0,[Div. Mínimo]&gt;0),[Div. Mínimo]+[Div. Pref],IF([Div. Pref]&gt;0,[Div. Pref],IF([Div. Mínimo]&gt;0,[Div. Mínimo],0)))</f>
        <v>0</v>
      </c>
      <c r="AF12" s="99">
        <f>[Lucro Distribuir]/[Total Ações]</f>
        <v>4.931233242740609E-2</v>
      </c>
      <c r="AG12" s="99">
        <f>IF([Lucro Payout]&gt;[Lucro Dist./Ação],MAX(Tabela3[[#This Row],[Lucro Atual]:[Lucro Dist./Ação]]),MAX(Tabela3[[#This Row],[Lucro Payout]:[Lucro Atual]]))</f>
        <v>0</v>
      </c>
      <c r="AH12" s="15" t="str">
        <f>IF(AND([% A.A.]&gt;=10%,[PVPA]&lt;=2,[PL]&lt;=15,[PL]&gt;0),"Sim","Não")</f>
        <v>Não</v>
      </c>
      <c r="AI12" s="44">
        <f>Tabela3[[#This Row],[Lucro]]/Tabela3[[#This Row],[Cotação]]</f>
        <v>0</v>
      </c>
      <c r="AJ12" s="19">
        <f>((1+Tabela3[[#This Row],[% Yield]])^(1/(3*Tabela3[[#This Row],[Ref]])))^(12)-1</f>
        <v>0</v>
      </c>
      <c r="AK12" s="14">
        <f>($AQ$1/Tabela3[[#This Row],[Cotação]]-MOD($AQ$1/Tabela3[[#This Row],[Cotação]],100))</f>
        <v>600</v>
      </c>
      <c r="AL12" s="17">
        <f>Tabela3[[#This Row],[Ativos]]*Tabela3[[#This Row],[Lucro Atual]]</f>
        <v>0</v>
      </c>
      <c r="AM12" s="5">
        <f>SUMPRODUCT(N(Tabela1[Código]=Tabela3[[#This Row],[PAPEL]]),Tabela1[Fechamento])</f>
        <v>0.46</v>
      </c>
      <c r="AN12" s="5">
        <f>SUMPRODUCT(N(Tabela17[Código]=Tabela3[[#This Row],[PAPEL]]),Tabela17[Fechamento])</f>
        <v>0</v>
      </c>
    </row>
    <row r="13" spans="1:43">
      <c r="A13" s="4" t="s">
        <v>14</v>
      </c>
      <c r="B13" s="14" t="s">
        <v>223</v>
      </c>
      <c r="C13" s="14" t="str">
        <f>LEFT([PAPEL],LEN([PAPEL])-(LEN([PAPEL])-4))</f>
        <v>BGIP</v>
      </c>
      <c r="D13" s="15">
        <v>3</v>
      </c>
      <c r="E13" s="6"/>
      <c r="F13" s="8"/>
      <c r="G13" s="19"/>
      <c r="H13" s="15"/>
      <c r="I13" s="19"/>
      <c r="J13" s="19"/>
      <c r="K13" s="19"/>
      <c r="L13" s="6">
        <v>273287000</v>
      </c>
      <c r="M13" s="6">
        <v>47071000</v>
      </c>
      <c r="N13" s="6">
        <f>Tabela3[[#This Row],[Capital Social]]*20%</f>
        <v>0</v>
      </c>
      <c r="O13" s="6">
        <f>IF(([Lucro Líquido]*5%)&gt;[Teto R. Legal],[Teto R. Legal],[Lucro Líquido]*5%)</f>
        <v>0</v>
      </c>
      <c r="P13" s="6">
        <f>IF([Lucro Líquido]&lt;0,0,[Lucro Líquido]-[Reserva Legal])</f>
        <v>47071000</v>
      </c>
      <c r="Q13" s="40">
        <v>10541442</v>
      </c>
      <c r="R13" s="6">
        <f>[Capital Social]/[Total Ações]</f>
        <v>0</v>
      </c>
      <c r="S13" s="13">
        <f>Tabela3[[#This Row],[Lucro Líquido]]/Tabela3[[#This Row],[Total Ações]]</f>
        <v>4.4653283677887714</v>
      </c>
      <c r="T1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" s="99">
        <f>[Patrimônio Líquido]*[% PNA (PL)]/[Total Ações]</f>
        <v>0</v>
      </c>
      <c r="V13" s="99">
        <f>[Capital Social]*[% PNA (CS)]/[Total Ações]</f>
        <v>0</v>
      </c>
      <c r="W13" s="99">
        <f>MAX(Tabela3[[#This Row],[Div PNA (PL)]],Tabela3[[#This Row],[Div PNA (CS)]])</f>
        <v>0</v>
      </c>
      <c r="X13" s="6">
        <f>[Div. Pref]*[Ações]</f>
        <v>0</v>
      </c>
      <c r="Y13" s="19">
        <f>IF(GETPIVOTDATA("Payout",'Tabela LL'!$A$3,"Ativo",Tabela3[[#This Row],[PAPEL]])&gt;1,1,GETPIVOTDATA("Payout",'Tabela LL'!$A$3,"Ativo",Tabela3[[#This Row],[PAPEL]]))</f>
        <v>0.55210929465239156</v>
      </c>
      <c r="Z13" s="6">
        <f>[Patrimônio Líquido]/[Total Ações]</f>
        <v>25.925011018416644</v>
      </c>
      <c r="AA13" s="50">
        <f>MAX(Tabela3[[#This Row],[Cotação 1]],Tabela3[[#This Row],[Cotação 2]])</f>
        <v>43.25</v>
      </c>
      <c r="AB13" s="46">
        <f>[Cotação]/[VPA]</f>
        <v>1.6682731578889594</v>
      </c>
      <c r="AC13" s="42">
        <f>IF(Tabela3[[#This Row],[Lucro/Ação]]&gt;0,Tabela3[[#This Row],[Cotação]]/(Tabela3[[#This Row],[Lucro/Ação]]/[Ref]*4),0)</f>
        <v>7.2643033900915635</v>
      </c>
      <c r="AD13" s="42">
        <f>IF([Div. Mínimo]=0,0,[Lucro Distribuir]*[Payout]/[Total Ações])</f>
        <v>0</v>
      </c>
      <c r="AE13" s="99">
        <f>IF(AND([Div. Pref]&gt;0,[Div. Mínimo]&gt;0),[Div. Mínimo]+[Div. Pref],IF([Div. Pref]&gt;0,[Div. Pref],IF([Div. Mínimo]&gt;0,[Div. Mínimo],0)))</f>
        <v>0</v>
      </c>
      <c r="AF13" s="99">
        <f>[Lucro Distribuir]/[Total Ações]</f>
        <v>4.4653283677887714</v>
      </c>
      <c r="AG13" s="99">
        <f>IF([Lucro Payout]&gt;[Lucro Dist./Ação],MAX(Tabela3[[#This Row],[Lucro Atual]:[Lucro Dist./Ação]]),MAX(Tabela3[[#This Row],[Lucro Payout]:[Lucro Atual]]))</f>
        <v>0</v>
      </c>
      <c r="AH13" s="15" t="str">
        <f>IF(AND([% A.A.]&gt;=10%,[PVPA]&lt;=2,[PL]&lt;=15,[PL]&gt;0),"Sim","Não")</f>
        <v>Não</v>
      </c>
      <c r="AI13" s="44">
        <f>Tabela3[[#This Row],[Lucro]]/Tabela3[[#This Row],[Cotação]]</f>
        <v>0</v>
      </c>
      <c r="AJ13" s="19">
        <f>((1+Tabela3[[#This Row],[% Yield]])^(1/(3*Tabela3[[#This Row],[Ref]])))^(12)-1</f>
        <v>0</v>
      </c>
      <c r="AK13" s="14">
        <f>($AQ$1/Tabela3[[#This Row],[Cotação]]-MOD($AQ$1/Tabela3[[#This Row],[Cotação]],100))</f>
        <v>0</v>
      </c>
      <c r="AL13" s="17">
        <f>Tabela3[[#This Row],[Ativos]]*Tabela3[[#This Row],[Lucro Atual]]</f>
        <v>0</v>
      </c>
      <c r="AM13" s="5">
        <f>SUMPRODUCT(N(Tabela1[Código]=Tabela3[[#This Row],[PAPEL]]),Tabela1[Fechamento])</f>
        <v>43.25</v>
      </c>
      <c r="AN13" s="5">
        <f>SUMPRODUCT(N(Tabela17[Código]=Tabela3[[#This Row],[PAPEL]]),Tabela17[Fechamento])</f>
        <v>0</v>
      </c>
    </row>
    <row r="14" spans="1:43">
      <c r="A14" s="4" t="s">
        <v>14</v>
      </c>
      <c r="B14" s="14" t="s">
        <v>224</v>
      </c>
      <c r="C14" s="14" t="str">
        <f>LEFT([PAPEL],LEN([PAPEL])-(LEN([PAPEL])-4))</f>
        <v>BGIP</v>
      </c>
      <c r="D14" s="15">
        <v>3</v>
      </c>
      <c r="E14" s="6"/>
      <c r="F14" s="8"/>
      <c r="G14" s="19"/>
      <c r="H14" s="15"/>
      <c r="I14" s="19"/>
      <c r="J14" s="19"/>
      <c r="K14" s="19"/>
      <c r="L14" s="6">
        <v>273287000</v>
      </c>
      <c r="M14" s="6">
        <v>47071000</v>
      </c>
      <c r="N14" s="6">
        <f>Tabela3[[#This Row],[Capital Social]]*20%</f>
        <v>0</v>
      </c>
      <c r="O14" s="6">
        <f>IF(([Lucro Líquido]*5%)&gt;[Teto R. Legal],[Teto R. Legal],[Lucro Líquido]*5%)</f>
        <v>0</v>
      </c>
      <c r="P14" s="6">
        <f>IF([Lucro Líquido]&lt;0,0,[Lucro Líquido]-[Reserva Legal])</f>
        <v>47071000</v>
      </c>
      <c r="Q14" s="40">
        <v>10541442</v>
      </c>
      <c r="R14" s="6">
        <f>[Capital Social]/[Total Ações]</f>
        <v>0</v>
      </c>
      <c r="S14" s="13">
        <f>Tabela3[[#This Row],[Lucro Líquido]]/Tabela3[[#This Row],[Total Ações]]</f>
        <v>4.4653283677887714</v>
      </c>
      <c r="T1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" s="99">
        <f>[Patrimônio Líquido]*[% PNA (PL)]/[Total Ações]</f>
        <v>0</v>
      </c>
      <c r="V14" s="99">
        <f>[Capital Social]*[% PNA (CS)]/[Total Ações]</f>
        <v>0</v>
      </c>
      <c r="W14" s="99">
        <f>MAX(Tabela3[[#This Row],[Div PNA (PL)]],Tabela3[[#This Row],[Div PNA (CS)]])</f>
        <v>0</v>
      </c>
      <c r="X14" s="6">
        <f>[Div. Pref]*[Ações]</f>
        <v>0</v>
      </c>
      <c r="Y14" s="19">
        <f>IF(GETPIVOTDATA("Payout",'Tabela LL'!$A$3,"Ativo",Tabela3[[#This Row],[PAPEL]])&gt;1,1,GETPIVOTDATA("Payout",'Tabela LL'!$A$3,"Ativo",Tabela3[[#This Row],[PAPEL]]))</f>
        <v>0.60740107618893502</v>
      </c>
      <c r="Z14" s="6">
        <f>[Patrimônio Líquido]/[Total Ações]</f>
        <v>25.925011018416644</v>
      </c>
      <c r="AA14" s="50">
        <f>MAX(Tabela3[[#This Row],[Cotação 1]],Tabela3[[#This Row],[Cotação 2]])</f>
        <v>45</v>
      </c>
      <c r="AB14" s="46">
        <f>[Cotação]/[VPA]</f>
        <v>1.7357755400000734</v>
      </c>
      <c r="AC14" s="42">
        <f>IF(Tabela3[[#This Row],[Lucro/Ação]]&gt;0,Tabela3[[#This Row],[Cotação]]/(Tabela3[[#This Row],[Lucro/Ação]]/[Ref]*4),0)</f>
        <v>7.5582347411357311</v>
      </c>
      <c r="AD14" s="42">
        <f>IF([Div. Mínimo]=0,0,[Lucro Distribuir]*[Payout]/[Total Ações])</f>
        <v>0</v>
      </c>
      <c r="AE14" s="99">
        <f>IF(AND([Div. Pref]&gt;0,[Div. Mínimo]&gt;0),[Div. Mínimo]+[Div. Pref],IF([Div. Pref]&gt;0,[Div. Pref],IF([Div. Mínimo]&gt;0,[Div. Mínimo],0)))</f>
        <v>0</v>
      </c>
      <c r="AF14" s="99">
        <f>[Lucro Distribuir]/[Total Ações]</f>
        <v>4.4653283677887714</v>
      </c>
      <c r="AG14" s="99">
        <f>IF([Lucro Payout]&gt;[Lucro Dist./Ação],MAX(Tabela3[[#This Row],[Lucro Atual]:[Lucro Dist./Ação]]),MAX(Tabela3[[#This Row],[Lucro Payout]:[Lucro Atual]]))</f>
        <v>0</v>
      </c>
      <c r="AH14" s="15" t="str">
        <f>IF(AND([% A.A.]&gt;=10%,[PVPA]&lt;=2,[PL]&lt;=15,[PL]&gt;0),"Sim","Não")</f>
        <v>Não</v>
      </c>
      <c r="AI14" s="44">
        <f>Tabela3[[#This Row],[Lucro]]/Tabela3[[#This Row],[Cotação]]</f>
        <v>0</v>
      </c>
      <c r="AJ14" s="19">
        <f>((1+Tabela3[[#This Row],[% Yield]])^(1/(3*Tabela3[[#This Row],[Ref]])))^(12)-1</f>
        <v>0</v>
      </c>
      <c r="AK14" s="14">
        <f>($AQ$1/Tabela3[[#This Row],[Cotação]]-MOD($AQ$1/Tabela3[[#This Row],[Cotação]],100))</f>
        <v>0</v>
      </c>
      <c r="AL14" s="17">
        <f>Tabela3[[#This Row],[Ativos]]*Tabela3[[#This Row],[Lucro Atual]]</f>
        <v>0</v>
      </c>
      <c r="AM14" s="5">
        <f>SUMPRODUCT(N(Tabela1[Código]=Tabela3[[#This Row],[PAPEL]]),Tabela1[Fechamento])</f>
        <v>45</v>
      </c>
      <c r="AN14" s="5">
        <f>SUMPRODUCT(N(Tabela17[Código]=Tabela3[[#This Row],[PAPEL]]),Tabela17[Fechamento])</f>
        <v>0</v>
      </c>
    </row>
    <row r="15" spans="1:43">
      <c r="A15" s="4" t="s">
        <v>14</v>
      </c>
      <c r="B15" s="14" t="s">
        <v>230</v>
      </c>
      <c r="C15" s="14" t="str">
        <f>LEFT([PAPEL],LEN([PAPEL])-(LEN([PAPEL])-4))</f>
        <v>BICB</v>
      </c>
      <c r="D15" s="15">
        <v>3</v>
      </c>
      <c r="E15" s="6"/>
      <c r="F15" s="8"/>
      <c r="G15" s="19"/>
      <c r="H15" s="15"/>
      <c r="I15" s="19"/>
      <c r="J15" s="19"/>
      <c r="K15" s="19"/>
      <c r="L15" s="6">
        <v>1922945000</v>
      </c>
      <c r="M15" s="6">
        <v>22434000</v>
      </c>
      <c r="N15" s="6">
        <f>Tabela3[[#This Row],[Capital Social]]*20%</f>
        <v>0</v>
      </c>
      <c r="O15" s="6">
        <f>IF(([Lucro Líquido]*5%)&gt;[Teto R. Legal],[Teto R. Legal],[Lucro Líquido]*5%)</f>
        <v>0</v>
      </c>
      <c r="P15" s="6">
        <f>IF([Lucro Líquido]&lt;0,0,[Lucro Líquido]-[Reserva Legal])</f>
        <v>22434000</v>
      </c>
      <c r="Q15" s="40">
        <v>252903569</v>
      </c>
      <c r="R15" s="6">
        <f>[Capital Social]/[Total Ações]</f>
        <v>0</v>
      </c>
      <c r="S15" s="13">
        <f>Tabela3[[#This Row],[Lucro Líquido]]/Tabela3[[#This Row],[Total Ações]]</f>
        <v>8.8705746971882396E-2</v>
      </c>
      <c r="T1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" s="99">
        <f>[Patrimônio Líquido]*[% PNA (PL)]/[Total Ações]</f>
        <v>0</v>
      </c>
      <c r="V15" s="99">
        <f>[Capital Social]*[% PNA (CS)]/[Total Ações]</f>
        <v>0</v>
      </c>
      <c r="W15" s="99">
        <f>MAX(Tabela3[[#This Row],[Div PNA (PL)]],Tabela3[[#This Row],[Div PNA (CS)]])</f>
        <v>0</v>
      </c>
      <c r="X15" s="6">
        <f>[Div. Pref]*[Ações]</f>
        <v>0</v>
      </c>
      <c r="Y15" s="19">
        <f>IF(GETPIVOTDATA("Payout",'Tabela LL'!$A$3,"Ativo",Tabela3[[#This Row],[PAPEL]])&gt;1,1,GETPIVOTDATA("Payout",'Tabela LL'!$A$3,"Ativo",Tabela3[[#This Row],[PAPEL]]))</f>
        <v>0.69029873873004899</v>
      </c>
      <c r="Z15" s="6">
        <f>[Patrimônio Líquido]/[Total Ações]</f>
        <v>7.60347118707526</v>
      </c>
      <c r="AA15" s="50">
        <f>MAX(Tabela3[[#This Row],[Cotação 1]],Tabela3[[#This Row],[Cotação 2]])</f>
        <v>9.65</v>
      </c>
      <c r="AB15" s="46">
        <f>[Cotação]/[VPA]</f>
        <v>1.269157173424097</v>
      </c>
      <c r="AC15" s="42">
        <f>IF(Tabela3[[#This Row],[Lucro/Ação]]&gt;0,Tabela3[[#This Row],[Cotação]]/(Tabela3[[#This Row],[Lucro/Ação]]/[Ref]*4),0)</f>
        <v>81.589978632321476</v>
      </c>
      <c r="AD15" s="42">
        <f>IF([Div. Mínimo]=0,0,[Lucro Distribuir]*[Payout]/[Total Ações])</f>
        <v>0</v>
      </c>
      <c r="AE15" s="99">
        <f>IF(AND([Div. Pref]&gt;0,[Div. Mínimo]&gt;0),[Div. Mínimo]+[Div. Pref],IF([Div. Pref]&gt;0,[Div. Pref],IF([Div. Mínimo]&gt;0,[Div. Mínimo],0)))</f>
        <v>0</v>
      </c>
      <c r="AF15" s="99">
        <f>[Lucro Distribuir]/[Total Ações]</f>
        <v>8.8705746971882396E-2</v>
      </c>
      <c r="AG15" s="99">
        <f>IF([Lucro Payout]&gt;[Lucro Dist./Ação],MAX(Tabela3[[#This Row],[Lucro Atual]:[Lucro Dist./Ação]]),MAX(Tabela3[[#This Row],[Lucro Payout]:[Lucro Atual]]))</f>
        <v>0</v>
      </c>
      <c r="AH15" s="15" t="str">
        <f>IF(AND([% A.A.]&gt;=10%,[PVPA]&lt;=2,[PL]&lt;=15,[PL]&gt;0),"Sim","Não")</f>
        <v>Não</v>
      </c>
      <c r="AI15" s="44">
        <f>Tabela3[[#This Row],[Lucro]]/Tabela3[[#This Row],[Cotação]]</f>
        <v>0</v>
      </c>
      <c r="AJ15" s="19">
        <f>((1+Tabela3[[#This Row],[% Yield]])^(1/(3*Tabela3[[#This Row],[Ref]])))^(12)-1</f>
        <v>0</v>
      </c>
      <c r="AK15" s="14">
        <f>($AQ$1/Tabela3[[#This Row],[Cotação]]-MOD($AQ$1/Tabela3[[#This Row],[Cotação]],100))</f>
        <v>0</v>
      </c>
      <c r="AL15" s="17">
        <f>Tabela3[[#This Row],[Ativos]]*Tabela3[[#This Row],[Lucro Atual]]</f>
        <v>0</v>
      </c>
      <c r="AM15" s="5">
        <f>SUMPRODUCT(N(Tabela1[Código]=Tabela3[[#This Row],[PAPEL]]),Tabela1[Fechamento])</f>
        <v>9.65</v>
      </c>
      <c r="AN15" s="5">
        <f>SUMPRODUCT(N(Tabela17[Código]=Tabela3[[#This Row],[PAPEL]]),Tabela17[Fechamento])</f>
        <v>0</v>
      </c>
    </row>
    <row r="16" spans="1:43">
      <c r="A16" s="4" t="s">
        <v>14</v>
      </c>
      <c r="B16" s="14" t="s">
        <v>10</v>
      </c>
      <c r="C16" s="14" t="str">
        <f>LEFT([PAPEL],LEN([PAPEL])-(LEN([PAPEL])-4))</f>
        <v>BICB</v>
      </c>
      <c r="D16" s="15">
        <v>3</v>
      </c>
      <c r="E16" s="6"/>
      <c r="F16" s="8"/>
      <c r="G16" s="19"/>
      <c r="H16" s="15"/>
      <c r="I16" s="19"/>
      <c r="J16" s="19"/>
      <c r="K16" s="19"/>
      <c r="L16" s="6">
        <v>1922945000</v>
      </c>
      <c r="M16" s="6">
        <v>22434000</v>
      </c>
      <c r="N16" s="6">
        <f>Tabela3[[#This Row],[Capital Social]]*20%</f>
        <v>0</v>
      </c>
      <c r="O16" s="6">
        <f>IF(([Lucro Líquido]*5%)&gt;[Teto R. Legal],[Teto R. Legal],[Lucro Líquido]*5%)</f>
        <v>0</v>
      </c>
      <c r="P16" s="6">
        <f>IF([Lucro Líquido]&lt;0,0,[Lucro Líquido]-[Reserva Legal])</f>
        <v>22434000</v>
      </c>
      <c r="Q16" s="40">
        <v>252903569</v>
      </c>
      <c r="R16" s="6">
        <f>[Capital Social]/[Total Ações]</f>
        <v>0</v>
      </c>
      <c r="S16" s="13">
        <f>Tabela3[[#This Row],[Lucro Líquido]]/Tabela3[[#This Row],[Total Ações]]</f>
        <v>8.8705746971882396E-2</v>
      </c>
      <c r="T1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" s="99">
        <f>[Patrimônio Líquido]*[% PNA (PL)]/[Total Ações]</f>
        <v>0</v>
      </c>
      <c r="V16" s="99">
        <f>[Capital Social]*[% PNA (CS)]/[Total Ações]</f>
        <v>0</v>
      </c>
      <c r="W16" s="99">
        <f>MAX(Tabela3[[#This Row],[Div PNA (PL)]],Tabela3[[#This Row],[Div PNA (CS)]])</f>
        <v>0</v>
      </c>
      <c r="X16" s="6">
        <f>[Div. Pref]*[Ações]</f>
        <v>0</v>
      </c>
      <c r="Y16" s="19">
        <f>IF(GETPIVOTDATA("Payout",'Tabela LL'!$A$3,"Ativo",Tabela3[[#This Row],[PAPEL]])&gt;1,1,GETPIVOTDATA("Payout",'Tabela LL'!$A$3,"Ativo",Tabela3[[#This Row],[PAPEL]]))</f>
        <v>0.69029873873004899</v>
      </c>
      <c r="Z16" s="6">
        <f>[Patrimônio Líquido]/[Total Ações]</f>
        <v>7.60347118707526</v>
      </c>
      <c r="AA16" s="50">
        <f>MAX(Tabela3[[#This Row],[Cotação 1]],Tabela3[[#This Row],[Cotação 2]])</f>
        <v>7.4</v>
      </c>
      <c r="AB16" s="46">
        <f>[Cotação]/[VPA]</f>
        <v>0.97323969775526609</v>
      </c>
      <c r="AC16" s="42">
        <f>IF(Tabela3[[#This Row],[Lucro/Ação]]&gt;0,Tabela3[[#This Row],[Cotação]]/(Tabela3[[#This Row],[Lucro/Ação]]/[Ref]*4),0)</f>
        <v>62.56640848488901</v>
      </c>
      <c r="AD16" s="42">
        <f>IF([Div. Mínimo]=0,0,[Lucro Distribuir]*[Payout]/[Total Ações])</f>
        <v>0</v>
      </c>
      <c r="AE16" s="99">
        <f>IF(AND([Div. Pref]&gt;0,[Div. Mínimo]&gt;0),[Div. Mínimo]+[Div. Pref],IF([Div. Pref]&gt;0,[Div. Pref],IF([Div. Mínimo]&gt;0,[Div. Mínimo],0)))</f>
        <v>0</v>
      </c>
      <c r="AF16" s="99">
        <f>[Lucro Distribuir]/[Total Ações]</f>
        <v>8.8705746971882396E-2</v>
      </c>
      <c r="AG16" s="99">
        <f>IF([Lucro Payout]&gt;[Lucro Dist./Ação],MAX(Tabela3[[#This Row],[Lucro Atual]:[Lucro Dist./Ação]]),MAX(Tabela3[[#This Row],[Lucro Payout]:[Lucro Atual]]))</f>
        <v>0</v>
      </c>
      <c r="AH16" s="15" t="str">
        <f>IF(AND([% A.A.]&gt;=10%,[PVPA]&lt;=2,[PL]&lt;=15,[PL]&gt;0),"Sim","Não")</f>
        <v>Não</v>
      </c>
      <c r="AI16" s="44">
        <f>Tabela3[[#This Row],[Lucro]]/Tabela3[[#This Row],[Cotação]]</f>
        <v>0</v>
      </c>
      <c r="AJ16" s="19">
        <f>((1+Tabela3[[#This Row],[% Yield]])^(1/(3*Tabela3[[#This Row],[Ref]])))^(12)-1</f>
        <v>0</v>
      </c>
      <c r="AK16" s="14">
        <f>($AQ$1/Tabela3[[#This Row],[Cotação]]-MOD($AQ$1/Tabela3[[#This Row],[Cotação]],100))</f>
        <v>0</v>
      </c>
      <c r="AL16" s="17">
        <f>Tabela3[[#This Row],[Ativos]]*Tabela3[[#This Row],[Lucro Atual]]</f>
        <v>0</v>
      </c>
      <c r="AM16" s="5">
        <f>SUMPRODUCT(N(Tabela1[Código]=Tabela3[[#This Row],[PAPEL]]),Tabela1[Fechamento])</f>
        <v>7.4</v>
      </c>
      <c r="AN16" s="5">
        <f>SUMPRODUCT(N(Tabela17[Código]=Tabela3[[#This Row],[PAPEL]]),Tabela17[Fechamento])</f>
        <v>0</v>
      </c>
    </row>
    <row r="17" spans="1:40">
      <c r="A17" s="4" t="s">
        <v>14</v>
      </c>
      <c r="B17" s="14" t="s">
        <v>234</v>
      </c>
      <c r="C17" s="14" t="str">
        <f>LEFT([PAPEL],LEN([PAPEL])-(LEN([PAPEL])-4))</f>
        <v>BMIN</v>
      </c>
      <c r="D17" s="15">
        <v>3</v>
      </c>
      <c r="E17" s="6"/>
      <c r="F17" s="8"/>
      <c r="G17" s="19"/>
      <c r="H17" s="15"/>
      <c r="I17" s="19"/>
      <c r="J17" s="19"/>
      <c r="K17" s="19"/>
      <c r="L17" s="6">
        <v>56483000</v>
      </c>
      <c r="M17" s="6">
        <v>1359000</v>
      </c>
      <c r="N17" s="6">
        <f>Tabela3[[#This Row],[Capital Social]]*20%</f>
        <v>0</v>
      </c>
      <c r="O17" s="6">
        <f>IF(([Lucro Líquido]*5%)&gt;[Teto R. Legal],[Teto R. Legal],[Lucro Líquido]*5%)</f>
        <v>0</v>
      </c>
      <c r="P17" s="6">
        <f>IF([Lucro Líquido]&lt;0,0,[Lucro Líquido]-[Reserva Legal])</f>
        <v>1359000</v>
      </c>
      <c r="Q17" s="40">
        <v>182520000</v>
      </c>
      <c r="R17" s="6">
        <f>[Capital Social]/[Total Ações]</f>
        <v>0</v>
      </c>
      <c r="S17" s="13">
        <f>Tabela3[[#This Row],[Lucro Líquido]]/Tabela3[[#This Row],[Total Ações]]</f>
        <v>7.4457593688362919E-3</v>
      </c>
      <c r="T1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7" s="99">
        <f>[Patrimônio Líquido]*[% PNA (PL)]/[Total Ações]</f>
        <v>0</v>
      </c>
      <c r="V17" s="99">
        <f>[Capital Social]*[% PNA (CS)]/[Total Ações]</f>
        <v>0</v>
      </c>
      <c r="W17" s="99">
        <f>MAX(Tabela3[[#This Row],[Div PNA (PL)]],Tabela3[[#This Row],[Div PNA (CS)]])</f>
        <v>0</v>
      </c>
      <c r="X17" s="6">
        <f>[Div. Pref]*[Ações]</f>
        <v>0</v>
      </c>
      <c r="Y17" s="19">
        <f>IF(GETPIVOTDATA("Payout",'Tabela LL'!$A$3,"Ativo",Tabela3[[#This Row],[PAPEL]])&gt;1,1,GETPIVOTDATA("Payout",'Tabela LL'!$A$3,"Ativo",Tabela3[[#This Row],[PAPEL]]))</f>
        <v>0.29293027940656419</v>
      </c>
      <c r="Z17" s="6">
        <f>[Patrimônio Líquido]/[Total Ações]</f>
        <v>0.30946197676966908</v>
      </c>
      <c r="AA17" s="50">
        <f>MAX(Tabela3[[#This Row],[Cotação 1]],Tabela3[[#This Row],[Cotação 2]])</f>
        <v>1.1000000000000001</v>
      </c>
      <c r="AB17" s="46">
        <f>[Cotação]/[VPA]</f>
        <v>3.5545562381601545</v>
      </c>
      <c r="AC17" s="42">
        <f>IF(Tabela3[[#This Row],[Lucro/Ação]]&gt;0,Tabela3[[#This Row],[Cotação]]/(Tabela3[[#This Row],[Lucro/Ação]]/[Ref]*4),0)</f>
        <v>110.80132450331126</v>
      </c>
      <c r="AD17" s="42">
        <f>IF([Div. Mínimo]=0,0,[Lucro Distribuir]*[Payout]/[Total Ações])</f>
        <v>0</v>
      </c>
      <c r="AE17" s="99">
        <f>IF(AND([Div. Pref]&gt;0,[Div. Mínimo]&gt;0),[Div. Mínimo]+[Div. Pref],IF([Div. Pref]&gt;0,[Div. Pref],IF([Div. Mínimo]&gt;0,[Div. Mínimo],0)))</f>
        <v>0</v>
      </c>
      <c r="AF17" s="99">
        <f>[Lucro Distribuir]/[Total Ações]</f>
        <v>7.4457593688362919E-3</v>
      </c>
      <c r="AG17" s="99">
        <f>IF([Lucro Payout]&gt;[Lucro Dist./Ação],MAX(Tabela3[[#This Row],[Lucro Atual]:[Lucro Dist./Ação]]),MAX(Tabela3[[#This Row],[Lucro Payout]:[Lucro Atual]]))</f>
        <v>0</v>
      </c>
      <c r="AH17" s="15" t="str">
        <f>IF(AND([% A.A.]&gt;=10%,[PVPA]&lt;=2,[PL]&lt;=15,[PL]&gt;0),"Sim","Não")</f>
        <v>Não</v>
      </c>
      <c r="AI17" s="44">
        <f>Tabela3[[#This Row],[Lucro]]/Tabela3[[#This Row],[Cotação]]</f>
        <v>0</v>
      </c>
      <c r="AJ17" s="19">
        <f>((1+Tabela3[[#This Row],[% Yield]])^(1/(3*Tabela3[[#This Row],[Ref]])))^(12)-1</f>
        <v>0</v>
      </c>
      <c r="AK17" s="14">
        <f>($AQ$1/Tabela3[[#This Row],[Cotação]]-MOD($AQ$1/Tabela3[[#This Row],[Cotação]],100))</f>
        <v>200</v>
      </c>
      <c r="AL17" s="17">
        <f>Tabela3[[#This Row],[Ativos]]*Tabela3[[#This Row],[Lucro Atual]]</f>
        <v>0</v>
      </c>
      <c r="AM17" s="5">
        <f>SUMPRODUCT(N(Tabela1[Código]=Tabela3[[#This Row],[PAPEL]]),Tabela1[Fechamento])</f>
        <v>1.1000000000000001</v>
      </c>
      <c r="AN17" s="5">
        <f>SUMPRODUCT(N(Tabela17[Código]=Tabela3[[#This Row],[PAPEL]]),Tabela17[Fechamento])</f>
        <v>0</v>
      </c>
    </row>
    <row r="18" spans="1:40">
      <c r="A18" s="4" t="s">
        <v>14</v>
      </c>
      <c r="B18" s="14" t="s">
        <v>61</v>
      </c>
      <c r="C18" s="14" t="str">
        <f>LEFT([PAPEL],LEN([PAPEL])-(LEN([PAPEL])-4))</f>
        <v>BMIN</v>
      </c>
      <c r="D18" s="15">
        <v>3</v>
      </c>
      <c r="E18" s="6"/>
      <c r="F18" s="8"/>
      <c r="G18" s="19"/>
      <c r="H18" s="15"/>
      <c r="I18" s="19"/>
      <c r="J18" s="19"/>
      <c r="K18" s="19"/>
      <c r="L18" s="6">
        <v>56483000</v>
      </c>
      <c r="M18" s="6">
        <v>1359000</v>
      </c>
      <c r="N18" s="6">
        <f>Tabela3[[#This Row],[Capital Social]]*20%</f>
        <v>0</v>
      </c>
      <c r="O18" s="6">
        <f>IF(([Lucro Líquido]*5%)&gt;[Teto R. Legal],[Teto R. Legal],[Lucro Líquido]*5%)</f>
        <v>0</v>
      </c>
      <c r="P18" s="6">
        <f>IF([Lucro Líquido]&lt;0,0,[Lucro Líquido]-[Reserva Legal])</f>
        <v>1359000</v>
      </c>
      <c r="Q18" s="40">
        <v>182520000</v>
      </c>
      <c r="R18" s="6">
        <f>[Capital Social]/[Total Ações]</f>
        <v>0</v>
      </c>
      <c r="S18" s="13">
        <f>Tabela3[[#This Row],[Lucro Líquido]]/Tabela3[[#This Row],[Total Ações]]</f>
        <v>7.4457593688362919E-3</v>
      </c>
      <c r="T1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8" s="99">
        <f>[Patrimônio Líquido]*[% PNA (PL)]/[Total Ações]</f>
        <v>0</v>
      </c>
      <c r="V18" s="99">
        <f>[Capital Social]*[% PNA (CS)]/[Total Ações]</f>
        <v>0</v>
      </c>
      <c r="W18" s="99">
        <f>MAX(Tabela3[[#This Row],[Div PNA (PL)]],Tabela3[[#This Row],[Div PNA (CS)]])</f>
        <v>0</v>
      </c>
      <c r="X18" s="6">
        <f>[Div. Pref]*[Ações]</f>
        <v>0</v>
      </c>
      <c r="Y18" s="19">
        <f>IF(GETPIVOTDATA("Payout",'Tabela LL'!$A$3,"Ativo",Tabela3[[#This Row],[PAPEL]])&gt;1,1,GETPIVOTDATA("Payout",'Tabela LL'!$A$3,"Ativo",Tabela3[[#This Row],[PAPEL]]))</f>
        <v>0.49690562667042543</v>
      </c>
      <c r="Z18" s="6">
        <f>[Patrimônio Líquido]/[Total Ações]</f>
        <v>0.30946197676966908</v>
      </c>
      <c r="AA18" s="50">
        <f>MAX(Tabela3[[#This Row],[Cotação 1]],Tabela3[[#This Row],[Cotação 2]])</f>
        <v>0.26</v>
      </c>
      <c r="AB18" s="46">
        <f>[Cotação]/[VPA]</f>
        <v>0.84016783811058193</v>
      </c>
      <c r="AC18" s="42">
        <f>IF(Tabela3[[#This Row],[Lucro/Ação]]&gt;0,Tabela3[[#This Row],[Cotação]]/(Tabela3[[#This Row],[Lucro/Ação]]/[Ref]*4),0)</f>
        <v>26.189403973509933</v>
      </c>
      <c r="AD18" s="42">
        <f>IF([Div. Mínimo]=0,0,[Lucro Distribuir]*[Payout]/[Total Ações])</f>
        <v>0</v>
      </c>
      <c r="AE18" s="99">
        <f>IF(AND([Div. Pref]&gt;0,[Div. Mínimo]&gt;0),[Div. Mínimo]+[Div. Pref],IF([Div. Pref]&gt;0,[Div. Pref],IF([Div. Mínimo]&gt;0,[Div. Mínimo],0)))</f>
        <v>0</v>
      </c>
      <c r="AF18" s="99">
        <f>[Lucro Distribuir]/[Total Ações]</f>
        <v>7.4457593688362919E-3</v>
      </c>
      <c r="AG18" s="99">
        <f>IF([Lucro Payout]&gt;[Lucro Dist./Ação],MAX(Tabela3[[#This Row],[Lucro Atual]:[Lucro Dist./Ação]]),MAX(Tabela3[[#This Row],[Lucro Payout]:[Lucro Atual]]))</f>
        <v>0</v>
      </c>
      <c r="AH18" s="15" t="str">
        <f>IF(AND([% A.A.]&gt;=10%,[PVPA]&lt;=2,[PL]&lt;=15,[PL]&gt;0),"Sim","Não")</f>
        <v>Não</v>
      </c>
      <c r="AI18" s="44">
        <f>Tabela3[[#This Row],[Lucro]]/Tabela3[[#This Row],[Cotação]]</f>
        <v>0</v>
      </c>
      <c r="AJ18" s="19">
        <f>((1+Tabela3[[#This Row],[% Yield]])^(1/(3*Tabela3[[#This Row],[Ref]])))^(12)-1</f>
        <v>0</v>
      </c>
      <c r="AK18" s="14">
        <f>($AQ$1/Tabela3[[#This Row],[Cotação]]-MOD($AQ$1/Tabela3[[#This Row],[Cotação]],100))</f>
        <v>1100</v>
      </c>
      <c r="AL18" s="17">
        <f>Tabela3[[#This Row],[Ativos]]*Tabela3[[#This Row],[Lucro Atual]]</f>
        <v>0</v>
      </c>
      <c r="AM18" s="5">
        <f>SUMPRODUCT(N(Tabela1[Código]=Tabela3[[#This Row],[PAPEL]]),Tabela1[Fechamento])</f>
        <v>0.26</v>
      </c>
      <c r="AN18" s="5">
        <f>SUMPRODUCT(N(Tabela17[Código]=Tabela3[[#This Row],[PAPEL]]),Tabela17[Fechamento])</f>
        <v>0</v>
      </c>
    </row>
    <row r="19" spans="1:40">
      <c r="A19" s="4" t="s">
        <v>14</v>
      </c>
      <c r="B19" s="68" t="s">
        <v>236</v>
      </c>
      <c r="C19" s="14" t="str">
        <f>LEFT([PAPEL],LEN([PAPEL])-(LEN([PAPEL])-4))</f>
        <v>BNBR</v>
      </c>
      <c r="D19" s="15">
        <v>3</v>
      </c>
      <c r="E19" s="6">
        <v>2437000000</v>
      </c>
      <c r="F19" s="8">
        <v>48484775</v>
      </c>
      <c r="G19" s="19">
        <v>0.25</v>
      </c>
      <c r="H19" s="15"/>
      <c r="I19" s="19"/>
      <c r="J19" s="19"/>
      <c r="K19" s="19"/>
      <c r="L19" s="6">
        <v>2513911000</v>
      </c>
      <c r="M19" s="6">
        <v>303723000</v>
      </c>
      <c r="N19" s="6">
        <f>Tabela3[[#This Row],[Capital Social]]*20%</f>
        <v>487400000</v>
      </c>
      <c r="O19" s="6">
        <f>IF(([Lucro Líquido]*5%)&gt;[Teto R. Legal],[Teto R. Legal],[Lucro Líquido]*5%)</f>
        <v>15186150</v>
      </c>
      <c r="P19" s="6">
        <f>IF([Lucro Líquido]&lt;0,0,[Lucro Líquido]-[Reserva Legal])</f>
        <v>288536850</v>
      </c>
      <c r="Q19" s="21">
        <f>SUMPRODUCT(N([Nome]=Tabela3[[#This Row],[Nome]]),[Ações])</f>
        <v>87001901</v>
      </c>
      <c r="R19" s="6">
        <f>[Capital Social]/[Total Ações]</f>
        <v>28.010882198999308</v>
      </c>
      <c r="S19" s="13">
        <f>Tabela3[[#This Row],[Lucro Líquido]]/Tabela3[[#This Row],[Total Ações]]</f>
        <v>3.4909926853207494</v>
      </c>
      <c r="T1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0.82911076276367801</v>
      </c>
      <c r="U19" s="99">
        <f>[Patrimônio Líquido]*[% PNA (PL)]/[Total Ações]</f>
        <v>0</v>
      </c>
      <c r="V19" s="99">
        <f>[Capital Social]*[% PNA (CS)]/[Total Ações]</f>
        <v>0</v>
      </c>
      <c r="W19" s="99">
        <f>MAX(Tabela3[[#This Row],[Div PNA (PL)]],Tabela3[[#This Row],[Div PNA (CS)]])</f>
        <v>0</v>
      </c>
      <c r="X19" s="6">
        <f>[Div. Pref]*[Ações]</f>
        <v>0</v>
      </c>
      <c r="Y19" s="19">
        <f>IF(GETPIVOTDATA("Payout",'Tabela LL'!$A$3,"Ativo",Tabela3[[#This Row],[PAPEL]])&gt;1,1,GETPIVOTDATA("Payout",'Tabela LL'!$A$3,"Ativo",Tabela3[[#This Row],[PAPEL]]))</f>
        <v>0.50160075598307408</v>
      </c>
      <c r="Z19" s="6">
        <f>[Patrimônio Líquido]/[Total Ações]</f>
        <v>28.894897365518485</v>
      </c>
      <c r="AA19" s="50">
        <f>MAX(Tabela3[[#This Row],[Cotação 1]],Tabela3[[#This Row],[Cotação 2]])</f>
        <v>28.74</v>
      </c>
      <c r="AB19" s="46">
        <f>[Cotação]/[VPA]</f>
        <v>0.99463928306928917</v>
      </c>
      <c r="AC19" s="42">
        <f>IF(Tabela3[[#This Row],[Lucro/Ação]]&gt;0,Tabela3[[#This Row],[Cotação]]/(Tabela3[[#This Row],[Lucro/Ação]]/[Ref]*4),0)</f>
        <v>6.174461519394316</v>
      </c>
      <c r="AD19" s="42">
        <f>IF([Div. Mínimo]=0,0,[Lucro Distribuir]*[Payout]/[Total Ações])</f>
        <v>1.663530341583856</v>
      </c>
      <c r="AE19" s="99">
        <f>IF(AND([Div. Pref]&gt;0,[Div. Mínimo]&gt;0),[Div. Mínimo]+[Div. Pref],IF([Div. Pref]&gt;0,[Div. Pref],IF([Div. Mínimo]&gt;0,[Div. Mínimo],0)))</f>
        <v>0.82911076276367801</v>
      </c>
      <c r="AF19" s="99">
        <f>[Lucro Distribuir]/[Total Ações]</f>
        <v>3.316443051054712</v>
      </c>
      <c r="AG19" s="99">
        <f>IF([Lucro Payout]&gt;[Lucro Dist./Ação],MAX(Tabela3[[#This Row],[Lucro Atual]:[Lucro Dist./Ação]]),MAX(Tabela3[[#This Row],[Lucro Payout]:[Lucro Atual]]))</f>
        <v>1.663530341583856</v>
      </c>
      <c r="AH19" s="15" t="str">
        <f>IF(AND([% A.A.]&gt;=10%,[PVPA]&lt;=2,[PL]&lt;=15,[PL]&gt;0),"Sim","Não")</f>
        <v>Não</v>
      </c>
      <c r="AI19" s="44">
        <f>Tabela3[[#This Row],[Lucro]]/Tabela3[[#This Row],[Cotação]]</f>
        <v>5.7882057814330416E-2</v>
      </c>
      <c r="AJ19" s="19">
        <f>((1+Tabela3[[#This Row],[% Yield]])^(1/(3*Tabela3[[#This Row],[Ref]])))^(12)-1</f>
        <v>7.7911243018485843E-2</v>
      </c>
      <c r="AK19" s="14">
        <f>($AQ$1/Tabela3[[#This Row],[Cotação]]-MOD($AQ$1/Tabela3[[#This Row],[Cotação]],100))</f>
        <v>0</v>
      </c>
      <c r="AL19" s="17">
        <f>Tabela3[[#This Row],[Ativos]]*Tabela3[[#This Row],[Lucro Atual]]</f>
        <v>0</v>
      </c>
      <c r="AM19" s="5">
        <f>SUMPRODUCT(N(Tabela1[Código]=Tabela3[[#This Row],[PAPEL]]),Tabela1[Fechamento])</f>
        <v>28.74</v>
      </c>
      <c r="AN19" s="5">
        <f>SUMPRODUCT(N(Tabela17[Código]=Tabela3[[#This Row],[PAPEL]]),Tabela17[Fechamento])</f>
        <v>0</v>
      </c>
    </row>
    <row r="20" spans="1:40">
      <c r="A20" s="4" t="s">
        <v>14</v>
      </c>
      <c r="B20" s="68" t="s">
        <v>237</v>
      </c>
      <c r="C20" s="14" t="str">
        <f>LEFT([PAPEL],LEN([PAPEL])-(LEN([PAPEL])-4))</f>
        <v>BNBR</v>
      </c>
      <c r="D20" s="15">
        <v>3</v>
      </c>
      <c r="E20" s="6">
        <v>2437000000</v>
      </c>
      <c r="F20" s="8">
        <v>38517126</v>
      </c>
      <c r="G20" s="19">
        <v>0.25</v>
      </c>
      <c r="H20" s="19"/>
      <c r="I20" s="19"/>
      <c r="J20" s="19"/>
      <c r="K20" s="19"/>
      <c r="L20" s="6">
        <v>2513911000</v>
      </c>
      <c r="M20" s="6">
        <v>303723000</v>
      </c>
      <c r="N20" s="6">
        <f>Tabela3[[#This Row],[Capital Social]]*20%</f>
        <v>487400000</v>
      </c>
      <c r="O20" s="6">
        <f>IF(([Lucro Líquido]*5%)&gt;[Teto R. Legal],[Teto R. Legal],[Lucro Líquido]*5%)</f>
        <v>15186150</v>
      </c>
      <c r="P20" s="6">
        <f>IF([Lucro Líquido]&lt;0,0,[Lucro Líquido]-[Reserva Legal])</f>
        <v>288536850</v>
      </c>
      <c r="Q20" s="21">
        <f>SUMPRODUCT(N([Nome]=Tabela3[[#This Row],[Nome]]),[Ações])</f>
        <v>87001901</v>
      </c>
      <c r="R20" s="6">
        <f>[Capital Social]/[Total Ações]</f>
        <v>28.010882198999308</v>
      </c>
      <c r="S20" s="13">
        <f>Tabela3[[#This Row],[Lucro Líquido]]/Tabela3[[#This Row],[Total Ações]]</f>
        <v>3.4909926853207494</v>
      </c>
      <c r="T2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0.82911076276367801</v>
      </c>
      <c r="U20" s="99">
        <f>[Patrimônio Líquido]*[% PNA (PL)]/[Total Ações]</f>
        <v>0</v>
      </c>
      <c r="V20" s="99">
        <f>[Capital Social]*[% PNA (CS)]/[Total Ações]</f>
        <v>0</v>
      </c>
      <c r="W20" s="99">
        <f>MAX(Tabela3[[#This Row],[Div PNA (PL)]],Tabela3[[#This Row],[Div PNA (CS)]])</f>
        <v>0</v>
      </c>
      <c r="X20" s="6">
        <f>[Div. Pref]*[Ações]</f>
        <v>0</v>
      </c>
      <c r="Y20" s="19">
        <f>IF(GETPIVOTDATA("Payout",'Tabela LL'!$A$3,"Ativo",Tabela3[[#This Row],[PAPEL]])&gt;1,1,GETPIVOTDATA("Payout",'Tabela LL'!$A$3,"Ativo",Tabela3[[#This Row],[PAPEL]]))</f>
        <v>0.55176083148968624</v>
      </c>
      <c r="Z20" s="6">
        <f>[Patrimônio Líquido]/[Total Ações]</f>
        <v>28.894897365518485</v>
      </c>
      <c r="AA20" s="50">
        <f>MAX(Tabela3[[#This Row],[Cotação 1]],Tabela3[[#This Row],[Cotação 2]])</f>
        <v>23.54</v>
      </c>
      <c r="AB20" s="46">
        <f>[Cotação]/[VPA]</f>
        <v>0.81467671271576436</v>
      </c>
      <c r="AC20" s="42">
        <f>IF(Tabela3[[#This Row],[Lucro/Ação]]&gt;0,Tabela3[[#This Row],[Cotação]]/(Tabela3[[#This Row],[Lucro/Ação]]/[Ref]*4),0)</f>
        <v>5.0573007712784346</v>
      </c>
      <c r="AD20" s="96">
        <f>IF([Div. Mínimo]=0,0,[Lucro Distribuir]*[Payout]/[Total Ações])</f>
        <v>1.8298833754381398</v>
      </c>
      <c r="AE20" s="99">
        <f>IF(AND([Div. Pref]&gt;0,[Div. Mínimo]&gt;0),[Div. Mínimo]+[Div. Pref],IF([Div. Pref]&gt;0,[Div. Pref],IF([Div. Mínimo]&gt;0,[Div. Mínimo],0)))</f>
        <v>0.82911076276367801</v>
      </c>
      <c r="AF20" s="99">
        <f>[Lucro Distribuir]/[Total Ações]</f>
        <v>3.316443051054712</v>
      </c>
      <c r="AG20" s="99">
        <f>IF([Lucro Payout]&gt;[Lucro Dist./Ação],MAX(Tabela3[[#This Row],[Lucro Atual]:[Lucro Dist./Ação]]),MAX(Tabela3[[#This Row],[Lucro Payout]:[Lucro Atual]]))</f>
        <v>1.8298833754381398</v>
      </c>
      <c r="AH20" s="15" t="str">
        <f>IF(AND([% A.A.]&gt;=10%,[PVPA]&lt;=2,[PL]&lt;=15,[PL]&gt;0),"Sim","Não")</f>
        <v>Sim</v>
      </c>
      <c r="AI20" s="44">
        <f>Tabela3[[#This Row],[Lucro]]/Tabela3[[#This Row],[Cotação]]</f>
        <v>7.7735062677915884E-2</v>
      </c>
      <c r="AJ20" s="19">
        <f>((1+Tabela3[[#This Row],[% Yield]])^(1/(3*Tabela3[[#This Row],[Ref]])))^(12)-1</f>
        <v>0.10496710625077643</v>
      </c>
      <c r="AK20" s="14">
        <f>($AQ$1/Tabela3[[#This Row],[Cotação]]-MOD($AQ$1/Tabela3[[#This Row],[Cotação]],100))</f>
        <v>0</v>
      </c>
      <c r="AL20" s="17">
        <f>Tabela3[[#This Row],[Ativos]]*Tabela3[[#This Row],[Lucro Atual]]</f>
        <v>0</v>
      </c>
      <c r="AM20" s="5">
        <f>SUMPRODUCT(N(Tabela1[Código]=Tabela3[[#This Row],[PAPEL]]),Tabela1[Fechamento])</f>
        <v>23.54</v>
      </c>
      <c r="AN20" s="5">
        <f>SUMPRODUCT(N(Tabela17[Código]=Tabela3[[#This Row],[PAPEL]]),Tabela17[Fechamento])</f>
        <v>0</v>
      </c>
    </row>
    <row r="21" spans="1:40">
      <c r="A21" s="3" t="s">
        <v>331</v>
      </c>
      <c r="B21" s="69" t="s">
        <v>329</v>
      </c>
      <c r="C21" s="105" t="str">
        <f>LEFT([PAPEL],LEN([PAPEL])-(LEN([PAPEL])-4))</f>
        <v>BRAP</v>
      </c>
      <c r="D21" s="16">
        <v>3</v>
      </c>
      <c r="E21" s="5"/>
      <c r="H21" s="16"/>
      <c r="I21" s="18"/>
      <c r="J21" s="18"/>
      <c r="L21" s="5">
        <v>10031194000</v>
      </c>
      <c r="M21" s="5">
        <v>852679000</v>
      </c>
      <c r="N21" s="5">
        <f>Tabela3[[#This Row],[Capital Social]]*20%</f>
        <v>0</v>
      </c>
      <c r="O21" s="5">
        <f>IF(([Lucro Líquido]*5%)&gt;[Teto R. Legal],[Teto R. Legal],[Lucro Líquido]*5%)</f>
        <v>0</v>
      </c>
      <c r="P21" s="5">
        <f>IF([Lucro Líquido]&lt;0,0,[Lucro Líquido]-[Reserva Legal])</f>
        <v>852679000</v>
      </c>
      <c r="Q21" s="21">
        <v>349547945</v>
      </c>
      <c r="R21" s="5">
        <f>[Capital Social]/[Total Ações]</f>
        <v>0</v>
      </c>
      <c r="S21" s="49">
        <f>Tabela3[[#This Row],[Lucro Líquido]]/Tabela3[[#This Row],[Total Ações]]</f>
        <v>2.439376377967263</v>
      </c>
      <c r="T21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1" s="98">
        <f>[Patrimônio Líquido]*[% PNA (PL)]/[Total Ações]</f>
        <v>0</v>
      </c>
      <c r="V21" s="98">
        <f>[Capital Social]*[% PNA (CS)]/[Total Ações]</f>
        <v>0</v>
      </c>
      <c r="W21" s="98">
        <f>MAX(Tabela3[[#This Row],[Div PNA (PL)]],Tabela3[[#This Row],[Div PNA (CS)]])</f>
        <v>0</v>
      </c>
      <c r="X21" s="5">
        <f>[Div. Pref]*[Ações]</f>
        <v>0</v>
      </c>
      <c r="Y21" s="18">
        <f>IF(GETPIVOTDATA("Payout",'Tabela LL'!$A$3,"Ativo",Tabela3[[#This Row],[PAPEL]])&gt;1,1,GETPIVOTDATA("Payout",'Tabela LL'!$A$3,"Ativo",Tabela3[[#This Row],[PAPEL]]))</f>
        <v>0.33996836443315553</v>
      </c>
      <c r="Z21" s="5">
        <f>[Patrimônio Líquido]/[Total Ações]</f>
        <v>28.697619721380423</v>
      </c>
      <c r="AA21" s="56">
        <f>MAX(Tabela3[[#This Row],[Cotação 1]],Tabela3[[#This Row],[Cotação 2]])</f>
        <v>18.5</v>
      </c>
      <c r="AB21" s="57">
        <f>[Cotação]/[VPA]</f>
        <v>0.6446527684042398</v>
      </c>
      <c r="AC21" s="39">
        <f>IF(Tabela3[[#This Row],[Lucro/Ação]]&gt;0,Tabela3[[#This Row],[Cotação]]/(Tabela3[[#This Row],[Lucro/Ação]]/[Ref]*4),0)</f>
        <v>5.6879291466952981</v>
      </c>
      <c r="AD21" s="39">
        <f>IF([Div. Mínimo]=0,0,[Lucro Distribuir]*[Payout]/[Total Ações])</f>
        <v>0</v>
      </c>
      <c r="AE21" s="98">
        <f>IF(AND([Div. Pref]&gt;0,[Div. Mínimo]&gt;0),[Div. Mínimo]+[Div. Pref],IF([Div. Pref]&gt;0,[Div. Pref],IF([Div. Mínimo]&gt;0,[Div. Mínimo],0)))</f>
        <v>0</v>
      </c>
      <c r="AF21" s="98">
        <f>[Lucro Distribuir]/[Total Ações]</f>
        <v>2.439376377967263</v>
      </c>
      <c r="AG21" s="98">
        <f>IF([Lucro Payout]&gt;[Lucro Dist./Ação],MAX(Tabela3[[#This Row],[Lucro Atual]:[Lucro Dist./Ação]]),MAX(Tabela3[[#This Row],[Lucro Payout]:[Lucro Atual]]))</f>
        <v>0</v>
      </c>
      <c r="AH21" s="16" t="str">
        <f>IF(AND([% A.A.]&gt;=10%,[PVPA]&lt;=2,[PL]&lt;=15,[PL]&gt;0),"Sim","Não")</f>
        <v>Não</v>
      </c>
      <c r="AI21" s="22">
        <f>Tabela3[[#This Row],[Lucro]]/Tabela3[[#This Row],[Cotação]]</f>
        <v>0</v>
      </c>
      <c r="AJ21" s="18">
        <f>((1+Tabela3[[#This Row],[% Yield]])^(1/(3*Tabela3[[#This Row],[Ref]])))^(12)-1</f>
        <v>0</v>
      </c>
      <c r="AK21" s="10">
        <f>($AQ$1/Tabela3[[#This Row],[Cotação]]-MOD($AQ$1/Tabela3[[#This Row],[Cotação]],100))</f>
        <v>0</v>
      </c>
      <c r="AL21" s="7">
        <f>Tabela3[[#This Row],[Ativos]]*Tabela3[[#This Row],[Lucro Atual]]</f>
        <v>0</v>
      </c>
      <c r="AM21" s="49">
        <f>SUMPRODUCT(N(Tabela1[Código]=Tabela3[[#This Row],[PAPEL]]),Tabela1[Fechamento])</f>
        <v>0</v>
      </c>
      <c r="AN21" s="58">
        <f>SUMPRODUCT(N(Tabela17[Código]=Tabela3[[#This Row],[PAPEL]]),Tabela17[Fechamento])</f>
        <v>18.5</v>
      </c>
    </row>
    <row r="22" spans="1:40">
      <c r="A22" s="3" t="s">
        <v>331</v>
      </c>
      <c r="B22" s="72" t="s">
        <v>330</v>
      </c>
      <c r="C22" s="105" t="str">
        <f>LEFT([PAPEL],LEN([PAPEL])-(LEN([PAPEL])-4))</f>
        <v>BRAP</v>
      </c>
      <c r="D22" s="16">
        <v>3</v>
      </c>
      <c r="E22" s="5"/>
      <c r="H22" s="16"/>
      <c r="I22" s="18"/>
      <c r="J22" s="18"/>
      <c r="L22" s="5">
        <v>10031194000</v>
      </c>
      <c r="M22" s="5">
        <v>852679000</v>
      </c>
      <c r="N22" s="5">
        <f>Tabela3[[#This Row],[Capital Social]]*20%</f>
        <v>0</v>
      </c>
      <c r="O22" s="5">
        <f>IF(([Lucro Líquido]*5%)&gt;[Teto R. Legal],[Teto R. Legal],[Lucro Líquido]*5%)</f>
        <v>0</v>
      </c>
      <c r="P22" s="5">
        <f>IF([Lucro Líquido]&lt;0,0,[Lucro Líquido]-[Reserva Legal])</f>
        <v>852679000</v>
      </c>
      <c r="Q22" s="21">
        <v>349547945</v>
      </c>
      <c r="R22" s="5">
        <f>[Capital Social]/[Total Ações]</f>
        <v>0</v>
      </c>
      <c r="S22" s="49">
        <f>Tabela3[[#This Row],[Lucro Líquido]]/Tabela3[[#This Row],[Total Ações]]</f>
        <v>2.439376377967263</v>
      </c>
      <c r="T22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2" s="98">
        <f>[Patrimônio Líquido]*[% PNA (PL)]/[Total Ações]</f>
        <v>0</v>
      </c>
      <c r="V22" s="98">
        <f>[Capital Social]*[% PNA (CS)]/[Total Ações]</f>
        <v>0</v>
      </c>
      <c r="W22" s="98">
        <f>MAX(Tabela3[[#This Row],[Div PNA (PL)]],Tabela3[[#This Row],[Div PNA (CS)]])</f>
        <v>0</v>
      </c>
      <c r="X22" s="5">
        <f>[Div. Pref]*[Ações]</f>
        <v>0</v>
      </c>
      <c r="Y22" s="18">
        <f>IF(GETPIVOTDATA("Payout",'Tabela LL'!$A$3,"Ativo",Tabela3[[#This Row],[PAPEL]])&gt;1,1,GETPIVOTDATA("Payout",'Tabela LL'!$A$3,"Ativo",Tabela3[[#This Row],[PAPEL]]))</f>
        <v>0.37396520131393723</v>
      </c>
      <c r="Z22" s="5">
        <f>[Patrimônio Líquido]/[Total Ações]</f>
        <v>28.697619721380423</v>
      </c>
      <c r="AA22" s="56">
        <f>MAX(Tabela3[[#This Row],[Cotação 1]],Tabela3[[#This Row],[Cotação 2]])</f>
        <v>22.83</v>
      </c>
      <c r="AB22" s="57">
        <f>[Cotação]/[VPA]</f>
        <v>0.79553636230642133</v>
      </c>
      <c r="AC22" s="39">
        <f>IF(Tabela3[[#This Row],[Lucro/Ação]]&gt;0,Tabela3[[#This Row],[Cotação]]/(Tabela3[[#This Row],[Lucro/Ação]]/[Ref]*4),0)</f>
        <v>7.0192120226515478</v>
      </c>
      <c r="AD22" s="39">
        <f>IF([Div. Mínimo]=0,0,[Lucro Distribuir]*[Payout]/[Total Ações])</f>
        <v>0</v>
      </c>
      <c r="AE22" s="98">
        <f>IF(AND([Div. Pref]&gt;0,[Div. Mínimo]&gt;0),[Div. Mínimo]+[Div. Pref],IF([Div. Pref]&gt;0,[Div. Pref],IF([Div. Mínimo]&gt;0,[Div. Mínimo],0)))</f>
        <v>0</v>
      </c>
      <c r="AF22" s="98">
        <f>[Lucro Distribuir]/[Total Ações]</f>
        <v>2.439376377967263</v>
      </c>
      <c r="AG22" s="98">
        <f>IF([Lucro Payout]&gt;[Lucro Dist./Ação],MAX(Tabela3[[#This Row],[Lucro Atual]:[Lucro Dist./Ação]]),MAX(Tabela3[[#This Row],[Lucro Payout]:[Lucro Atual]]))</f>
        <v>0</v>
      </c>
      <c r="AH22" s="16" t="str">
        <f>IF(AND([% A.A.]&gt;=10%,[PVPA]&lt;=2,[PL]&lt;=15,[PL]&gt;0),"Sim","Não")</f>
        <v>Não</v>
      </c>
      <c r="AI22" s="22">
        <f>Tabela3[[#This Row],[Lucro]]/Tabela3[[#This Row],[Cotação]]</f>
        <v>0</v>
      </c>
      <c r="AJ22" s="18">
        <f>((1+Tabela3[[#This Row],[% Yield]])^(1/(3*Tabela3[[#This Row],[Ref]])))^(12)-1</f>
        <v>0</v>
      </c>
      <c r="AK22" s="10">
        <f>($AQ$1/Tabela3[[#This Row],[Cotação]]-MOD($AQ$1/Tabela3[[#This Row],[Cotação]],100))</f>
        <v>0</v>
      </c>
      <c r="AL22" s="7">
        <f>Tabela3[[#This Row],[Ativos]]*Tabela3[[#This Row],[Lucro Atual]]</f>
        <v>0</v>
      </c>
      <c r="AM22" s="49">
        <f>SUMPRODUCT(N(Tabela1[Código]=Tabela3[[#This Row],[PAPEL]]),Tabela1[Fechamento])</f>
        <v>0</v>
      </c>
      <c r="AN22" s="58">
        <f>SUMPRODUCT(N(Tabela17[Código]=Tabela3[[#This Row],[PAPEL]]),Tabela17[Fechamento])</f>
        <v>22.83</v>
      </c>
    </row>
    <row r="23" spans="1:40">
      <c r="A23" s="3" t="s">
        <v>312</v>
      </c>
      <c r="B23" s="69" t="s">
        <v>311</v>
      </c>
      <c r="C23" s="105" t="str">
        <f>LEFT([PAPEL],LEN([PAPEL])-(LEN([PAPEL])-4))</f>
        <v>BRFS</v>
      </c>
      <c r="D23" s="16">
        <v>3</v>
      </c>
      <c r="E23" s="5"/>
      <c r="H23" s="16"/>
      <c r="I23" s="18"/>
      <c r="J23" s="18"/>
      <c r="L23" s="5">
        <v>14822624000</v>
      </c>
      <c r="M23" s="5">
        <v>853987000</v>
      </c>
      <c r="N23" s="5">
        <f>Tabela3[[#This Row],[Capital Social]]*20%</f>
        <v>0</v>
      </c>
      <c r="O23" s="5">
        <f>IF(([Lucro Líquido]*5%)&gt;[Teto R. Legal],[Teto R. Legal],[Lucro Líquido]*5%)</f>
        <v>0</v>
      </c>
      <c r="P23" s="5">
        <f>IF([Lucro Líquido]&lt;0,0,[Lucro Líquido]-[Reserva Legal])</f>
        <v>853987000</v>
      </c>
      <c r="Q23" s="21">
        <v>872473246</v>
      </c>
      <c r="R23" s="5">
        <f>[Capital Social]/[Total Ações]</f>
        <v>0</v>
      </c>
      <c r="S23" s="49">
        <f>Tabela3[[#This Row],[Lucro Líquido]]/Tabela3[[#This Row],[Total Ações]]</f>
        <v>0.97881167579091588</v>
      </c>
      <c r="T23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3" s="98">
        <f>[Patrimônio Líquido]*[% PNA (PL)]/[Total Ações]</f>
        <v>0</v>
      </c>
      <c r="V23" s="98">
        <f>[Capital Social]*[% PNA (CS)]/[Total Ações]</f>
        <v>0</v>
      </c>
      <c r="W23" s="98">
        <f>MAX(Tabela3[[#This Row],[Div PNA (PL)]],Tabela3[[#This Row],[Div PNA (CS)]])</f>
        <v>0</v>
      </c>
      <c r="X23" s="5">
        <f>[Div. Pref]*[Ações]</f>
        <v>0</v>
      </c>
      <c r="Y23" s="18">
        <f>IF(GETPIVOTDATA("Payout",'Tabela LL'!$A$3,"Ativo",Tabela3[[#This Row],[PAPEL]])&gt;1,1,GETPIVOTDATA("Payout",'Tabela LL'!$A$3,"Ativo",Tabela3[[#This Row],[PAPEL]]))</f>
        <v>0.37734950584130339</v>
      </c>
      <c r="Z23" s="5">
        <f>[Patrimônio Líquido]/[Total Ações]</f>
        <v>16.989201752554369</v>
      </c>
      <c r="AA23" s="56">
        <f>MAX(Tabela3[[#This Row],[Cotação 1]],Tabela3[[#This Row],[Cotação 2]])</f>
        <v>43.98</v>
      </c>
      <c r="AB23" s="57">
        <f>[Cotação]/[VPA]</f>
        <v>2.588703144536352</v>
      </c>
      <c r="AC23" s="39">
        <f>IF(Tabela3[[#This Row],[Lucro/Ação]]&gt;0,Tabela3[[#This Row],[Cotação]]/(Tabela3[[#This Row],[Lucro/Ação]]/[Ref]*4),0)</f>
        <v>33.699025886002943</v>
      </c>
      <c r="AD23" s="39">
        <f>IF([Div. Mínimo]=0,0,[Lucro Distribuir]*[Payout]/[Total Ações])</f>
        <v>0</v>
      </c>
      <c r="AE23" s="98">
        <f>IF(AND([Div. Pref]&gt;0,[Div. Mínimo]&gt;0),[Div. Mínimo]+[Div. Pref],IF([Div. Pref]&gt;0,[Div. Pref],IF([Div. Mínimo]&gt;0,[Div. Mínimo],0)))</f>
        <v>0</v>
      </c>
      <c r="AF23" s="98">
        <f>[Lucro Distribuir]/[Total Ações]</f>
        <v>0.97881167579091588</v>
      </c>
      <c r="AG23" s="98">
        <f>IF([Lucro Payout]&gt;[Lucro Dist./Ação],MAX(Tabela3[[#This Row],[Lucro Atual]:[Lucro Dist./Ação]]),MAX(Tabela3[[#This Row],[Lucro Payout]:[Lucro Atual]]))</f>
        <v>0</v>
      </c>
      <c r="AH23" s="16" t="str">
        <f>IF(AND([% A.A.]&gt;=10%,[PVPA]&lt;=2,[PL]&lt;=15,[PL]&gt;0),"Sim","Não")</f>
        <v>Não</v>
      </c>
      <c r="AI23" s="22">
        <f>Tabela3[[#This Row],[Lucro]]/Tabela3[[#This Row],[Cotação]]</f>
        <v>0</v>
      </c>
      <c r="AJ23" s="18">
        <f>((1+Tabela3[[#This Row],[% Yield]])^(1/(3*Tabela3[[#This Row],[Ref]])))^(12)-1</f>
        <v>0</v>
      </c>
      <c r="AK23" s="10">
        <f>($AQ$1/Tabela3[[#This Row],[Cotação]]-MOD($AQ$1/Tabela3[[#This Row],[Cotação]],100))</f>
        <v>0</v>
      </c>
      <c r="AL23" s="7">
        <f>Tabela3[[#This Row],[Ativos]]*Tabela3[[#This Row],[Lucro Atual]]</f>
        <v>0</v>
      </c>
      <c r="AM23" s="49">
        <f>SUMPRODUCT(N(Tabela1[Código]=Tabela3[[#This Row],[PAPEL]]),Tabela1[Fechamento])</f>
        <v>0</v>
      </c>
      <c r="AN23" s="58">
        <f>SUMPRODUCT(N(Tabela17[Código]=Tabela3[[#This Row],[PAPEL]]),Tabela17[Fechamento])</f>
        <v>43.98</v>
      </c>
    </row>
    <row r="24" spans="1:40">
      <c r="A24" s="4" t="s">
        <v>14</v>
      </c>
      <c r="B24" s="68" t="s">
        <v>249</v>
      </c>
      <c r="C24" s="15" t="str">
        <f>LEFT([PAPEL],LEN([PAPEL])-(LEN([PAPEL])-4))</f>
        <v>BRGE</v>
      </c>
      <c r="D24" s="16">
        <v>3</v>
      </c>
      <c r="E24" s="5">
        <v>303375520</v>
      </c>
      <c r="F24" s="60">
        <v>6759345</v>
      </c>
      <c r="H24" s="16"/>
      <c r="I24" s="18">
        <v>0.06</v>
      </c>
      <c r="J24" s="18"/>
      <c r="L24" s="5">
        <v>843867000</v>
      </c>
      <c r="M24" s="5">
        <v>34502000</v>
      </c>
      <c r="N24" s="5">
        <f>Tabela3[[#This Row],[Capital Social]]*20%</f>
        <v>60675104</v>
      </c>
      <c r="O24" s="5">
        <f>IF(([Lucro Líquido]*5%)&gt;[Teto R. Legal],[Teto R. Legal],[Lucro Líquido]*5%)</f>
        <v>1725100</v>
      </c>
      <c r="P24" s="5">
        <f>IF([Lucro Líquido]&lt;0,0,[Lucro Líquido]-[Reserva Legal])</f>
        <v>32776900</v>
      </c>
      <c r="Q24" s="21">
        <f>SUMPRODUCT(N([Nome]=Tabela3[[#This Row],[Nome]]),[Ações])</f>
        <v>73646388</v>
      </c>
      <c r="R24" s="5">
        <f>[Capital Social]/[Total Ações]</f>
        <v>4.1193536877871049</v>
      </c>
      <c r="S24" s="49">
        <f>Tabela3[[#This Row],[Lucro Líquido]]/Tabela3[[#This Row],[Total Ações]]</f>
        <v>0.46848190300928266</v>
      </c>
      <c r="T2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4" s="98">
        <f>[Patrimônio Líquido]*[% PNA (PL)]/[Total Ações]</f>
        <v>0</v>
      </c>
      <c r="V24" s="98">
        <f>[Capital Social]*[% PNA (CS)]/[Total Ações]</f>
        <v>0.24716122126722628</v>
      </c>
      <c r="W24" s="98">
        <f>MAX(Tabela3[[#This Row],[Div PNA (PL)]],Tabela3[[#This Row],[Div PNA (CS)]])</f>
        <v>0.24716122126722628</v>
      </c>
      <c r="X24" s="5">
        <f>[Div. Pref]*[Ações]</f>
        <v>1670647.9651665196</v>
      </c>
      <c r="Y24" s="18">
        <f>IF(GETPIVOTDATA("Payout",'Tabela LL'!$A$3,"Ativo",Tabela3[[#This Row],[PAPEL]])&gt;1,1,GETPIVOTDATA("Payout",'Tabela LL'!$A$3,"Ativo",Tabela3[[#This Row],[PAPEL]]))</f>
        <v>0.3043021650591613</v>
      </c>
      <c r="Z24" s="5">
        <f>[Patrimônio Líquido]/[Total Ações]</f>
        <v>11.45836235716</v>
      </c>
      <c r="AA24" s="56">
        <f>MAX(Tabela3[[#This Row],[Cotação 1]],Tabela3[[#This Row],[Cotação 2]])</f>
        <v>3.82</v>
      </c>
      <c r="AB24" s="57">
        <f>[Cotação]/[VPA]</f>
        <v>0.33338097373164255</v>
      </c>
      <c r="AC24" s="39">
        <f>IF(Tabela3[[#This Row],[Lucro/Ação]]&gt;0,Tabela3[[#This Row],[Cotação]]/(Tabela3[[#This Row],[Lucro/Ação]]/[Ref]*4),0)</f>
        <v>6.1154976992638108</v>
      </c>
      <c r="AD24" s="39">
        <f>IF([Div. Mínimo]=0,0,[Lucro Distribuir]*[Payout]/[Total Ações])</f>
        <v>0</v>
      </c>
      <c r="AE24" s="98">
        <f>IF(AND([Div. Pref]&gt;0,[Div. Mínimo]&gt;0),[Div. Mínimo]+[Div. Pref],IF([Div. Pref]&gt;0,[Div. Pref],IF([Div. Mínimo]&gt;0,[Div. Mínimo],0)))</f>
        <v>0.24716122126722628</v>
      </c>
      <c r="AF24" s="98">
        <f>[Lucro Distribuir]/[Total Ações]</f>
        <v>0.44505780785881854</v>
      </c>
      <c r="AG24" s="98">
        <f>IF([Lucro Payout]&gt;[Lucro Dist./Ação],MAX(Tabela3[[#This Row],[Lucro Atual]:[Lucro Dist./Ação]]),MAX(Tabela3[[#This Row],[Lucro Payout]:[Lucro Atual]]))</f>
        <v>0.24716122126722628</v>
      </c>
      <c r="AH24" s="16" t="str">
        <f>IF(AND([% A.A.]&gt;=10%,[PVPA]&lt;=2,[PL]&lt;=15,[PL]&gt;0),"Sim","Não")</f>
        <v>Não</v>
      </c>
      <c r="AI24" s="22">
        <f>Tabela3[[#This Row],[Lucro]]/Tabela3[[#This Row],[Cotação]]</f>
        <v>6.4701890384090646E-2</v>
      </c>
      <c r="AJ24" s="18">
        <f>((1+Tabela3[[#This Row],[% Yield]])^(1/(3*Tabela3[[#This Row],[Ref]])))^(12)-1</f>
        <v>8.7186456405498713E-2</v>
      </c>
      <c r="AK24" s="10">
        <f>($AQ$1/Tabela3[[#This Row],[Cotação]]-MOD($AQ$1/Tabela3[[#This Row],[Cotação]],100))</f>
        <v>0</v>
      </c>
      <c r="AL24" s="7">
        <f>Tabela3[[#This Row],[Ativos]]*Tabela3[[#This Row],[Lucro Atual]]</f>
        <v>0</v>
      </c>
      <c r="AM24" s="5">
        <f>SUMPRODUCT(N(Tabela1[Código]=Tabela3[[#This Row],[PAPEL]]),Tabela1[Fechamento])</f>
        <v>3.82</v>
      </c>
      <c r="AN24" s="5">
        <f>SUMPRODUCT(N(Tabela17[Código]=Tabela3[[#This Row],[PAPEL]]),Tabela17[Fechamento])</f>
        <v>0</v>
      </c>
    </row>
    <row r="25" spans="1:40">
      <c r="A25" s="4" t="s">
        <v>14</v>
      </c>
      <c r="B25" s="68" t="s">
        <v>250</v>
      </c>
      <c r="C25" s="14" t="str">
        <f>LEFT([PAPEL],LEN([PAPEL])-(LEN([PAPEL])-4))</f>
        <v>BRGE</v>
      </c>
      <c r="D25" s="15">
        <v>3</v>
      </c>
      <c r="E25" s="5">
        <v>303375520</v>
      </c>
      <c r="F25" s="8">
        <v>21717524</v>
      </c>
      <c r="G25" s="19">
        <v>0.25</v>
      </c>
      <c r="H25" s="15"/>
      <c r="I25" s="19"/>
      <c r="J25" s="19"/>
      <c r="K25" s="19"/>
      <c r="L25" s="5">
        <v>843867000</v>
      </c>
      <c r="M25" s="5">
        <v>34502000</v>
      </c>
      <c r="N25" s="5">
        <f>Tabela3[[#This Row],[Capital Social]]*20%</f>
        <v>60675104</v>
      </c>
      <c r="O25" s="5">
        <f>IF(([Lucro Líquido]*5%)&gt;[Teto R. Legal],[Teto R. Legal],[Lucro Líquido]*5%)</f>
        <v>1725100</v>
      </c>
      <c r="P25" s="5">
        <f>IF([Lucro Líquido]&lt;0,0,[Lucro Líquido]-[Reserva Legal])</f>
        <v>32776900</v>
      </c>
      <c r="Q25" s="21">
        <f>SUMPRODUCT(N([Nome]=Tabela3[[#This Row],[Nome]]),[Ações])</f>
        <v>73646388</v>
      </c>
      <c r="R25" s="5">
        <f>[Capital Social]/[Total Ações]</f>
        <v>4.1193536877871049</v>
      </c>
      <c r="S25" s="13">
        <f>Tabela3[[#This Row],[Lucro Líquido]]/Tabela3[[#This Row],[Total Ações]]</f>
        <v>0.46848190300928266</v>
      </c>
      <c r="T2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7.8085912537628047E-2</v>
      </c>
      <c r="U25" s="98">
        <f>[Patrimônio Líquido]*[% PNA (PL)]/[Total Ações]</f>
        <v>0</v>
      </c>
      <c r="V25" s="98">
        <f>[Capital Social]*[% PNA (CS)]/[Total Ações]</f>
        <v>0</v>
      </c>
      <c r="W25" s="98">
        <f>MAX(Tabela3[[#This Row],[Div PNA (PL)]],Tabela3[[#This Row],[Div PNA (CS)]])</f>
        <v>0</v>
      </c>
      <c r="X25" s="5">
        <f>[Div. Pref]*[Ações]</f>
        <v>0</v>
      </c>
      <c r="Y25" s="19">
        <f>IF(GETPIVOTDATA("Payout",'Tabela LL'!$A$3,"Ativo",Tabela3[[#This Row],[PAPEL]])&gt;1,1,GETPIVOTDATA("Payout",'Tabela LL'!$A$3,"Ativo",Tabela3[[#This Row],[PAPEL]]))</f>
        <v>5.4484299057845742E-2</v>
      </c>
      <c r="Z25" s="6">
        <f>[Patrimônio Líquido]/[Total Ações]</f>
        <v>11.45836235716</v>
      </c>
      <c r="AA25" s="50">
        <f>MAX(Tabela3[[#This Row],[Cotação 1]],Tabela3[[#This Row],[Cotação 2]])</f>
        <v>4</v>
      </c>
      <c r="AB25" s="46">
        <f>[Cotação]/[VPA]</f>
        <v>0.34909002484988749</v>
      </c>
      <c r="AC25" s="42">
        <f>IF(Tabela3[[#This Row],[Lucro/Ação]]&gt;0,Tabela3[[#This Row],[Cotação]]/(Tabela3[[#This Row],[Lucro/Ação]]/[Ref]*4),0)</f>
        <v>6.4036625123181272</v>
      </c>
      <c r="AD25" s="42">
        <f>IF([Div. Mínimo]=0,0,[Lucro Distribuir]*[Payout]/[Total Ações])</f>
        <v>2.4248662701409119E-2</v>
      </c>
      <c r="AE25" s="99">
        <f>IF(AND([Div. Pref]&gt;0,[Div. Mínimo]&gt;0),[Div. Mínimo]+[Div. Pref],IF([Div. Pref]&gt;0,[Div. Pref],IF([Div. Mínimo]&gt;0,[Div. Mínimo],0)))</f>
        <v>7.8085912537628047E-2</v>
      </c>
      <c r="AF25" s="99">
        <f>[Lucro Distribuir]/[Total Ações]</f>
        <v>0.44505780785881854</v>
      </c>
      <c r="AG25" s="99">
        <f>IF([Lucro Payout]&gt;[Lucro Dist./Ação],MAX(Tabela3[[#This Row],[Lucro Atual]:[Lucro Dist./Ação]]),MAX(Tabela3[[#This Row],[Lucro Payout]:[Lucro Atual]]))</f>
        <v>7.8085912537628047E-2</v>
      </c>
      <c r="AH25" s="15" t="str">
        <f>IF(AND([% A.A.]&gt;=10%,[PVPA]&lt;=2,[PL]&lt;=15,[PL]&gt;0),"Sim","Não")</f>
        <v>Não</v>
      </c>
      <c r="AI25" s="44">
        <f>Tabela3[[#This Row],[Lucro]]/Tabela3[[#This Row],[Cotação]]</f>
        <v>1.9521478134407012E-2</v>
      </c>
      <c r="AJ25" s="19">
        <f>((1+Tabela3[[#This Row],[% Yield]])^(1/(3*Tabela3[[#This Row],[Ref]])))^(12)-1</f>
        <v>2.6112959338441266E-2</v>
      </c>
      <c r="AK25" s="14">
        <f>($AQ$1/Tabela3[[#This Row],[Cotação]]-MOD($AQ$1/Tabela3[[#This Row],[Cotação]],100))</f>
        <v>0</v>
      </c>
      <c r="AL25" s="17">
        <f>Tabela3[[#This Row],[Ativos]]*Tabela3[[#This Row],[Lucro Atual]]</f>
        <v>0</v>
      </c>
      <c r="AM25" s="5">
        <f>SUMPRODUCT(N(Tabela1[Código]=Tabela3[[#This Row],[PAPEL]]),Tabela1[Fechamento])</f>
        <v>4</v>
      </c>
      <c r="AN25" s="5">
        <f>SUMPRODUCT(N(Tabela17[Código]=Tabela3[[#This Row],[PAPEL]]),Tabela17[Fechamento])</f>
        <v>0</v>
      </c>
    </row>
    <row r="26" spans="1:40">
      <c r="A26" s="4" t="s">
        <v>14</v>
      </c>
      <c r="B26" s="68" t="s">
        <v>245</v>
      </c>
      <c r="C26" s="15" t="str">
        <f>LEFT([PAPEL],LEN([PAPEL])-(LEN([PAPEL])-4))</f>
        <v>BRGE</v>
      </c>
      <c r="D26" s="16">
        <v>3</v>
      </c>
      <c r="E26" s="5">
        <v>303375520</v>
      </c>
      <c r="F26" s="60">
        <v>40394932</v>
      </c>
      <c r="G26" s="18">
        <v>0.25</v>
      </c>
      <c r="H26" s="16"/>
      <c r="I26" s="18"/>
      <c r="J26" s="18"/>
      <c r="L26" s="5">
        <v>843867000</v>
      </c>
      <c r="M26" s="5">
        <v>34502000</v>
      </c>
      <c r="N26" s="5">
        <f>Tabela3[[#This Row],[Capital Social]]*20%</f>
        <v>60675104</v>
      </c>
      <c r="O26" s="5">
        <f>IF(([Lucro Líquido]*5%)&gt;[Teto R. Legal],[Teto R. Legal],[Lucro Líquido]*5%)</f>
        <v>1725100</v>
      </c>
      <c r="P26" s="5">
        <f>IF([Lucro Líquido]&lt;0,0,[Lucro Líquido]-[Reserva Legal])</f>
        <v>32776900</v>
      </c>
      <c r="Q26" s="21">
        <f>SUMPRODUCT(N([Nome]=Tabela3[[#This Row],[Nome]]),[Ações])</f>
        <v>73646388</v>
      </c>
      <c r="R26" s="5">
        <f>[Capital Social]/[Total Ações]</f>
        <v>4.1193536877871049</v>
      </c>
      <c r="S26" s="49">
        <f>Tabela3[[#This Row],[Lucro Líquido]]/Tabela3[[#This Row],[Total Ações]]</f>
        <v>0.46848190300928266</v>
      </c>
      <c r="T2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7.8085912537628047E-2</v>
      </c>
      <c r="U26" s="98">
        <f>[Patrimônio Líquido]*[% PNA (PL)]/[Total Ações]</f>
        <v>0</v>
      </c>
      <c r="V26" s="98">
        <f>[Capital Social]*[% PNA (CS)]/[Total Ações]</f>
        <v>0</v>
      </c>
      <c r="W26" s="98">
        <f>MAX(Tabela3[[#This Row],[Div PNA (PL)]],Tabela3[[#This Row],[Div PNA (CS)]])</f>
        <v>0</v>
      </c>
      <c r="X26" s="5">
        <f>[Div. Pref]*[Ações]</f>
        <v>0</v>
      </c>
      <c r="Y26" s="18">
        <f>IF(GETPIVOTDATA("Payout",'Tabela LL'!$A$3,"Ativo",Tabela3[[#This Row],[PAPEL]])&gt;1,1,GETPIVOTDATA("Payout",'Tabela LL'!$A$3,"Ativo",Tabela3[[#This Row],[PAPEL]]))</f>
        <v>4.7361278676921532E-2</v>
      </c>
      <c r="Z26" s="5">
        <f>[Patrimônio Líquido]/[Total Ações]</f>
        <v>11.45836235716</v>
      </c>
      <c r="AA26" s="56">
        <f>MAX(Tabela3[[#This Row],[Cotação 1]],Tabela3[[#This Row],[Cotação 2]])</f>
        <v>4.2</v>
      </c>
      <c r="AB26" s="57">
        <f>[Cotação]/[VPA]</f>
        <v>0.36654452609238186</v>
      </c>
      <c r="AC26" s="39">
        <f>IF(Tabela3[[#This Row],[Lucro/Ação]]&gt;0,Tabela3[[#This Row],[Cotação]]/(Tabela3[[#This Row],[Lucro/Ação]]/[Ref]*4),0)</f>
        <v>6.7238456379340334</v>
      </c>
      <c r="AD26" s="39">
        <f>IF([Div. Mínimo]=0,0,[Lucro Distribuir]*[Payout]/[Total Ações])</f>
        <v>2.1078506865341302E-2</v>
      </c>
      <c r="AE26" s="98">
        <f>IF(AND([Div. Pref]&gt;0,[Div. Mínimo]&gt;0),[Div. Mínimo]+[Div. Pref],IF([Div. Pref]&gt;0,[Div. Pref],IF([Div. Mínimo]&gt;0,[Div. Mínimo],0)))</f>
        <v>7.8085912537628047E-2</v>
      </c>
      <c r="AF26" s="98">
        <f>[Lucro Distribuir]/[Total Ações]</f>
        <v>0.44505780785881854</v>
      </c>
      <c r="AG26" s="98">
        <f>IF([Lucro Payout]&gt;[Lucro Dist./Ação],MAX(Tabela3[[#This Row],[Lucro Atual]:[Lucro Dist./Ação]]),MAX(Tabela3[[#This Row],[Lucro Payout]:[Lucro Atual]]))</f>
        <v>7.8085912537628047E-2</v>
      </c>
      <c r="AH26" s="16" t="str">
        <f>IF(AND([% A.A.]&gt;=10%,[PVPA]&lt;=2,[PL]&lt;=15,[PL]&gt;0),"Sim","Não")</f>
        <v>Não</v>
      </c>
      <c r="AI26" s="22">
        <f>Tabela3[[#This Row],[Lucro]]/Tabela3[[#This Row],[Cotação]]</f>
        <v>1.8591883937530487E-2</v>
      </c>
      <c r="AJ26" s="18">
        <f>((1+Tabela3[[#This Row],[% Yield]])^(1/(3*Tabela3[[#This Row],[Ref]])))^(12)-1</f>
        <v>2.4865676584680418E-2</v>
      </c>
      <c r="AK26" s="10">
        <f>($AQ$1/Tabela3[[#This Row],[Cotação]]-MOD($AQ$1/Tabela3[[#This Row],[Cotação]],100))</f>
        <v>0</v>
      </c>
      <c r="AL26" s="7">
        <f>Tabela3[[#This Row],[Ativos]]*Tabela3[[#This Row],[Lucro Atual]]</f>
        <v>0</v>
      </c>
      <c r="AM26" s="5">
        <f>SUMPRODUCT(N(Tabela1[Código]=Tabela3[[#This Row],[PAPEL]]),Tabela1[Fechamento])</f>
        <v>4.2</v>
      </c>
      <c r="AN26" s="5">
        <f>SUMPRODUCT(N(Tabela17[Código]=Tabela3[[#This Row],[PAPEL]]),Tabela17[Fechamento])</f>
        <v>0</v>
      </c>
    </row>
    <row r="27" spans="1:40">
      <c r="A27" s="4" t="s">
        <v>14</v>
      </c>
      <c r="B27" s="68" t="s">
        <v>246</v>
      </c>
      <c r="C27" s="10" t="str">
        <f>LEFT([PAPEL],LEN([PAPEL])-(LEN([PAPEL])-4))</f>
        <v>BRGE</v>
      </c>
      <c r="D27" s="16">
        <v>3</v>
      </c>
      <c r="E27" s="5">
        <v>303375520</v>
      </c>
      <c r="F27" s="60">
        <v>164936</v>
      </c>
      <c r="H27" s="16"/>
      <c r="I27" s="18">
        <v>0.05</v>
      </c>
      <c r="J27" s="18"/>
      <c r="L27" s="5">
        <v>843867000</v>
      </c>
      <c r="M27" s="5">
        <v>34502000</v>
      </c>
      <c r="N27" s="5">
        <f>Tabela3[[#This Row],[Capital Social]]*20%</f>
        <v>60675104</v>
      </c>
      <c r="O27" s="5">
        <f>IF(([Lucro Líquido]*5%)&gt;[Teto R. Legal],[Teto R. Legal],[Lucro Líquido]*5%)</f>
        <v>1725100</v>
      </c>
      <c r="P27" s="5">
        <f>IF([Lucro Líquido]&lt;0,0,[Lucro Líquido]-[Reserva Legal])</f>
        <v>32776900</v>
      </c>
      <c r="Q27" s="21">
        <f>SUMPRODUCT(N([Nome]=Tabela3[[#This Row],[Nome]]),[Ações])</f>
        <v>73646388</v>
      </c>
      <c r="R27" s="5">
        <f>[Capital Social]/[Total Ações]</f>
        <v>4.1193536877871049</v>
      </c>
      <c r="S27" s="49">
        <f>Tabela3[[#This Row],[Lucro Líquido]]/Tabela3[[#This Row],[Total Ações]]</f>
        <v>0.46848190300928266</v>
      </c>
      <c r="T27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7" s="98">
        <f>[Patrimônio Líquido]*[% PNA (PL)]/[Total Ações]</f>
        <v>0</v>
      </c>
      <c r="V27" s="98">
        <f>[Capital Social]*[% PNA (CS)]/[Total Ações]</f>
        <v>0.20596768438935525</v>
      </c>
      <c r="W27" s="98">
        <f>MAX(Tabela3[[#This Row],[Div PNA (PL)]],Tabela3[[#This Row],[Div PNA (CS)]])</f>
        <v>0.20596768438935525</v>
      </c>
      <c r="X27" s="5">
        <f>[Div. Pref]*[Ações]</f>
        <v>33971.4859924427</v>
      </c>
      <c r="Y27" s="18">
        <f>IF(GETPIVOTDATA("Payout",'Tabela LL'!$A$3,"Ativo",Tabela3[[#This Row],[PAPEL]])&gt;1,1,GETPIVOTDATA("Payout",'Tabela LL'!$A$3,"Ativo",Tabela3[[#This Row],[PAPEL]]))</f>
        <v>0.25370503766276303</v>
      </c>
      <c r="Z27" s="5">
        <f>[Patrimônio Líquido]/[Total Ações]</f>
        <v>11.45836235716</v>
      </c>
      <c r="AA27" s="56">
        <f>MAX(Tabela3[[#This Row],[Cotação 1]],Tabela3[[#This Row],[Cotação 2]])</f>
        <v>3.27</v>
      </c>
      <c r="AB27" s="57">
        <f>[Cotação]/[VPA]</f>
        <v>0.28538109531478301</v>
      </c>
      <c r="AC27" s="39">
        <f>IF(Tabela3[[#This Row],[Lucro/Ação]]&gt;0,Tabela3[[#This Row],[Cotação]]/(Tabela3[[#This Row],[Lucro/Ação]]/[Ref]*4),0)</f>
        <v>5.2349941038200694</v>
      </c>
      <c r="AD27" s="39">
        <f>IF([Div. Mínimo]=0,0,[Lucro Distribuir]*[Payout]/[Total Ações])</f>
        <v>0</v>
      </c>
      <c r="AE27" s="98">
        <f>IF(AND([Div. Pref]&gt;0,[Div. Mínimo]&gt;0),[Div. Mínimo]+[Div. Pref],IF([Div. Pref]&gt;0,[Div. Pref],IF([Div. Mínimo]&gt;0,[Div. Mínimo],0)))</f>
        <v>0.20596768438935525</v>
      </c>
      <c r="AF27" s="98">
        <f>[Lucro Distribuir]/[Total Ações]</f>
        <v>0.44505780785881854</v>
      </c>
      <c r="AG27" s="98">
        <f>IF([Lucro Payout]&gt;[Lucro Dist./Ação],MAX(Tabela3[[#This Row],[Lucro Atual]:[Lucro Dist./Ação]]),MAX(Tabela3[[#This Row],[Lucro Payout]:[Lucro Atual]]))</f>
        <v>0.20596768438935525</v>
      </c>
      <c r="AH27" s="16" t="str">
        <f>IF(AND([% A.A.]&gt;=10%,[PVPA]&lt;=2,[PL]&lt;=15,[PL]&gt;0),"Sim","Não")</f>
        <v>Não</v>
      </c>
      <c r="AI27" s="22">
        <f>Tabela3[[#This Row],[Lucro]]/Tabela3[[#This Row],[Cotação]]</f>
        <v>6.2987059446286006E-2</v>
      </c>
      <c r="AJ27" s="18">
        <f>((1+Tabela3[[#This Row],[% Yield]])^(1/(3*Tabela3[[#This Row],[Ref]])))^(12)-1</f>
        <v>8.4852356628532188E-2</v>
      </c>
      <c r="AK27" s="10">
        <f>($AQ$1/Tabela3[[#This Row],[Cotação]]-MOD($AQ$1/Tabela3[[#This Row],[Cotação]],100))</f>
        <v>0</v>
      </c>
      <c r="AL27" s="7">
        <f>Tabela3[[#This Row],[Ativos]]*Tabela3[[#This Row],[Lucro Atual]]</f>
        <v>0</v>
      </c>
      <c r="AM27" s="5">
        <f>SUMPRODUCT(N(Tabela1[Código]=Tabela3[[#This Row],[PAPEL]]),Tabela1[Fechamento])</f>
        <v>3.27</v>
      </c>
      <c r="AN27" s="5">
        <f>SUMPRODUCT(N(Tabela17[Código]=Tabela3[[#This Row],[PAPEL]]),Tabela17[Fechamento])</f>
        <v>0</v>
      </c>
    </row>
    <row r="28" spans="1:40">
      <c r="A28" s="4" t="s">
        <v>14</v>
      </c>
      <c r="B28" s="68" t="s">
        <v>78</v>
      </c>
      <c r="C28" s="15" t="str">
        <f>LEFT([PAPEL],LEN([PAPEL])-(LEN([PAPEL])-4))</f>
        <v>BRGE</v>
      </c>
      <c r="D28" s="16">
        <v>3</v>
      </c>
      <c r="E28" s="5">
        <v>303375520</v>
      </c>
      <c r="F28" s="60">
        <v>2330271</v>
      </c>
      <c r="H28" s="16"/>
      <c r="I28" s="18">
        <v>0.12</v>
      </c>
      <c r="J28" s="18"/>
      <c r="L28" s="5">
        <v>843867000</v>
      </c>
      <c r="M28" s="5">
        <v>34502000</v>
      </c>
      <c r="N28" s="5">
        <f>Tabela3[[#This Row],[Capital Social]]*20%</f>
        <v>60675104</v>
      </c>
      <c r="O28" s="5">
        <f>IF(([Lucro Líquido]*5%)&gt;[Teto R. Legal],[Teto R. Legal],[Lucro Líquido]*5%)</f>
        <v>1725100</v>
      </c>
      <c r="P28" s="5">
        <f>IF([Lucro Líquido]&lt;0,0,[Lucro Líquido]-[Reserva Legal])</f>
        <v>32776900</v>
      </c>
      <c r="Q28" s="21">
        <f>SUMPRODUCT(N([Nome]=Tabela3[[#This Row],[Nome]]),[Ações])</f>
        <v>73646388</v>
      </c>
      <c r="R28" s="5">
        <f>[Capital Social]/[Total Ações]</f>
        <v>4.1193536877871049</v>
      </c>
      <c r="S28" s="49">
        <f>Tabela3[[#This Row],[Lucro Líquido]]/Tabela3[[#This Row],[Total Ações]]</f>
        <v>0.46848190300928266</v>
      </c>
      <c r="T2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8" s="98">
        <f>[Patrimônio Líquido]*[% PNA (PL)]/[Total Ações]</f>
        <v>0</v>
      </c>
      <c r="V28" s="98">
        <f>[Capital Social]*[% PNA (CS)]/[Total Ações]</f>
        <v>0.49432244253445257</v>
      </c>
      <c r="W28" s="98">
        <f>MAX(Tabela3[[#This Row],[Div PNA (PL)]],Tabela3[[#This Row],[Div PNA (CS)]])</f>
        <v>0.49432244253445257</v>
      </c>
      <c r="X28" s="5">
        <f>[Div. Pref]*[Ações]</f>
        <v>1151905.2524872012</v>
      </c>
      <c r="Y28" s="18">
        <f>IF(GETPIVOTDATA("Payout",'Tabela LL'!$A$3,"Ativo",Tabela3[[#This Row],[PAPEL]])&gt;1,1,GETPIVOTDATA("Payout",'Tabela LL'!$A$3,"Ativo",Tabela3[[#This Row],[PAPEL]]))</f>
        <v>0.60787593639212112</v>
      </c>
      <c r="Z28" s="5">
        <f>[Patrimônio Líquido]/[Total Ações]</f>
        <v>11.45836235716</v>
      </c>
      <c r="AA28" s="56">
        <f>MAX(Tabela3[[#This Row],[Cotação 1]],Tabela3[[#This Row],[Cotação 2]])</f>
        <v>5.97</v>
      </c>
      <c r="AB28" s="57">
        <f>[Cotação]/[VPA]</f>
        <v>0.5210168620884571</v>
      </c>
      <c r="AC28" s="39">
        <f>IF(Tabela3[[#This Row],[Lucro/Ação]]&gt;0,Tabela3[[#This Row],[Cotação]]/(Tabela3[[#This Row],[Lucro/Ação]]/[Ref]*4),0)</f>
        <v>9.5574662996348039</v>
      </c>
      <c r="AD28" s="39">
        <f>IF([Div. Mínimo]=0,0,[Lucro Distribuir]*[Payout]/[Total Ações])</f>
        <v>0</v>
      </c>
      <c r="AE28" s="98">
        <f>IF(AND([Div. Pref]&gt;0,[Div. Mínimo]&gt;0),[Div. Mínimo]+[Div. Pref],IF([Div. Pref]&gt;0,[Div. Pref],IF([Div. Mínimo]&gt;0,[Div. Mínimo],0)))</f>
        <v>0.49432244253445257</v>
      </c>
      <c r="AF28" s="98">
        <f>[Lucro Distribuir]/[Total Ações]</f>
        <v>0.44505780785881854</v>
      </c>
      <c r="AG28" s="98">
        <f>IF([Lucro Payout]&gt;[Lucro Dist./Ação],MAX(Tabela3[[#This Row],[Lucro Atual]:[Lucro Dist./Ação]]),MAX(Tabela3[[#This Row],[Lucro Payout]:[Lucro Atual]]))</f>
        <v>0.49432244253445257</v>
      </c>
      <c r="AH28" s="16" t="str">
        <f>IF(AND([% A.A.]&gt;=10%,[PVPA]&lt;=2,[PL]&lt;=15,[PL]&gt;0),"Sim","Não")</f>
        <v>Sim</v>
      </c>
      <c r="AI28" s="22">
        <f>Tabela3[[#This Row],[Lucro]]/Tabela3[[#This Row],[Cotação]]</f>
        <v>8.280107915149959E-2</v>
      </c>
      <c r="AJ28" s="18">
        <f>((1+Tabela3[[#This Row],[% Yield]])^(1/(3*Tabela3[[#This Row],[Ref]])))^(12)-1</f>
        <v>0.11189789123577554</v>
      </c>
      <c r="AK28" s="10">
        <f>($AQ$1/Tabela3[[#This Row],[Cotação]]-MOD($AQ$1/Tabela3[[#This Row],[Cotação]],100))</f>
        <v>0</v>
      </c>
      <c r="AL28" s="7">
        <f>Tabela3[[#This Row],[Ativos]]*Tabela3[[#This Row],[Lucro Atual]]</f>
        <v>0</v>
      </c>
      <c r="AM28" s="5">
        <f>SUMPRODUCT(N(Tabela1[Código]=Tabela3[[#This Row],[PAPEL]]),Tabela1[Fechamento])</f>
        <v>5.97</v>
      </c>
      <c r="AN28" s="5">
        <f>SUMPRODUCT(N(Tabela17[Código]=Tabela3[[#This Row],[PAPEL]]),Tabela17[Fechamento])</f>
        <v>0</v>
      </c>
    </row>
    <row r="29" spans="1:40">
      <c r="A29" s="4" t="s">
        <v>14</v>
      </c>
      <c r="B29" s="68" t="s">
        <v>247</v>
      </c>
      <c r="C29" s="15" t="str">
        <f>LEFT([PAPEL],LEN([PAPEL])-(LEN([PAPEL])-4))</f>
        <v>BRGE</v>
      </c>
      <c r="D29" s="16">
        <v>3</v>
      </c>
      <c r="E29" s="5">
        <v>303375520</v>
      </c>
      <c r="F29" s="60">
        <v>219863</v>
      </c>
      <c r="H29" s="16"/>
      <c r="I29" s="18">
        <v>7.0000000000000007E-2</v>
      </c>
      <c r="J29" s="18"/>
      <c r="L29" s="5">
        <v>843867000</v>
      </c>
      <c r="M29" s="5">
        <v>34502000</v>
      </c>
      <c r="N29" s="5">
        <f>Tabela3[[#This Row],[Capital Social]]*20%</f>
        <v>60675104</v>
      </c>
      <c r="O29" s="5">
        <f>IF(([Lucro Líquido]*5%)&gt;[Teto R. Legal],[Teto R. Legal],[Lucro Líquido]*5%)</f>
        <v>1725100</v>
      </c>
      <c r="P29" s="5">
        <f>IF([Lucro Líquido]&lt;0,0,[Lucro Líquido]-[Reserva Legal])</f>
        <v>32776900</v>
      </c>
      <c r="Q29" s="21">
        <f>SUMPRODUCT(N([Nome]=Tabela3[[#This Row],[Nome]]),[Ações])</f>
        <v>73646388</v>
      </c>
      <c r="R29" s="5">
        <f>[Capital Social]/[Total Ações]</f>
        <v>4.1193536877871049</v>
      </c>
      <c r="S29" s="49">
        <f>Tabela3[[#This Row],[Lucro Líquido]]/Tabela3[[#This Row],[Total Ações]]</f>
        <v>0.46848190300928266</v>
      </c>
      <c r="T29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29" s="98">
        <f>[Patrimônio Líquido]*[% PNA (PL)]/[Total Ações]</f>
        <v>0</v>
      </c>
      <c r="V29" s="98">
        <f>[Capital Social]*[% PNA (CS)]/[Total Ações]</f>
        <v>0.28835475814509737</v>
      </c>
      <c r="W29" s="98">
        <f>MAX(Tabela3[[#This Row],[Div PNA (PL)]],Tabela3[[#This Row],[Div PNA (CS)]])</f>
        <v>0.28835475814509737</v>
      </c>
      <c r="X29" s="5">
        <f>[Div. Pref]*[Ações]</f>
        <v>63398.542190055545</v>
      </c>
      <c r="Y29" s="18">
        <f>IF(GETPIVOTDATA("Payout",'Tabela LL'!$A$3,"Ativo",Tabela3[[#This Row],[PAPEL]])&gt;1,1,GETPIVOTDATA("Payout",'Tabela LL'!$A$3,"Ativo",Tabela3[[#This Row],[PAPEL]]))</f>
        <v>0.35489823087446021</v>
      </c>
      <c r="Z29" s="5">
        <f>[Patrimônio Líquido]/[Total Ações]</f>
        <v>11.45836235716</v>
      </c>
      <c r="AA29" s="56">
        <f>MAX(Tabela3[[#This Row],[Cotação 1]],Tabela3[[#This Row],[Cotação 2]])</f>
        <v>3.6</v>
      </c>
      <c r="AB29" s="57">
        <f>[Cotação]/[VPA]</f>
        <v>0.31418102236489875</v>
      </c>
      <c r="AC29" s="39">
        <f>IF(Tabela3[[#This Row],[Lucro/Ação]]&gt;0,Tabela3[[#This Row],[Cotação]]/(Tabela3[[#This Row],[Lucro/Ação]]/[Ref]*4),0)</f>
        <v>5.7632962610863148</v>
      </c>
      <c r="AD29" s="39">
        <f>IF([Div. Mínimo]=0,0,[Lucro Distribuir]*[Payout]/[Total Ações])</f>
        <v>0</v>
      </c>
      <c r="AE29" s="98">
        <f>IF(AND([Div. Pref]&gt;0,[Div. Mínimo]&gt;0),[Div. Mínimo]+[Div. Pref],IF([Div. Pref]&gt;0,[Div. Pref],IF([Div. Mínimo]&gt;0,[Div. Mínimo],0)))</f>
        <v>0.28835475814509737</v>
      </c>
      <c r="AF29" s="98">
        <f>[Lucro Distribuir]/[Total Ações]</f>
        <v>0.44505780785881854</v>
      </c>
      <c r="AG29" s="98">
        <f>IF([Lucro Payout]&gt;[Lucro Dist./Ação],MAX(Tabela3[[#This Row],[Lucro Atual]:[Lucro Dist./Ação]]),MAX(Tabela3[[#This Row],[Lucro Payout]:[Lucro Atual]]))</f>
        <v>0.28835475814509737</v>
      </c>
      <c r="AH29" s="16" t="str">
        <f>IF(AND([% A.A.]&gt;=10%,[PVPA]&lt;=2,[PL]&lt;=15,[PL]&gt;0),"Sim","Não")</f>
        <v>Sim</v>
      </c>
      <c r="AI29" s="22">
        <f>Tabela3[[#This Row],[Lucro]]/Tabela3[[#This Row],[Cotação]]</f>
        <v>8.0098543929193716E-2</v>
      </c>
      <c r="AJ29" s="18">
        <f>((1+Tabela3[[#This Row],[% Yield]])^(1/(3*Tabela3[[#This Row],[Ref]])))^(12)-1</f>
        <v>0.10819922169540064</v>
      </c>
      <c r="AK29" s="10">
        <f>($AQ$1/Tabela3[[#This Row],[Cotação]]-MOD($AQ$1/Tabela3[[#This Row],[Cotação]],100))</f>
        <v>0</v>
      </c>
      <c r="AL29" s="7">
        <f>Tabela3[[#This Row],[Ativos]]*Tabela3[[#This Row],[Lucro Atual]]</f>
        <v>0</v>
      </c>
      <c r="AM29" s="5">
        <f>SUMPRODUCT(N(Tabela1[Código]=Tabela3[[#This Row],[PAPEL]]),Tabela1[Fechamento])</f>
        <v>3.6</v>
      </c>
      <c r="AN29" s="5">
        <f>SUMPRODUCT(N(Tabela17[Código]=Tabela3[[#This Row],[PAPEL]]),Tabela17[Fechamento])</f>
        <v>0</v>
      </c>
    </row>
    <row r="30" spans="1:40">
      <c r="A30" s="4" t="s">
        <v>14</v>
      </c>
      <c r="B30" s="68" t="s">
        <v>248</v>
      </c>
      <c r="C30" s="15" t="str">
        <f>LEFT([PAPEL],LEN([PAPEL])-(LEN([PAPEL])-4))</f>
        <v>BRGE</v>
      </c>
      <c r="D30" s="16">
        <v>3</v>
      </c>
      <c r="E30" s="5">
        <v>303375520</v>
      </c>
      <c r="F30" s="60">
        <v>2059517</v>
      </c>
      <c r="H30" s="16"/>
      <c r="I30" s="18">
        <v>0.05</v>
      </c>
      <c r="J30" s="18"/>
      <c r="L30" s="5">
        <v>843867000</v>
      </c>
      <c r="M30" s="5">
        <v>34502000</v>
      </c>
      <c r="N30" s="5">
        <f>Tabela3[[#This Row],[Capital Social]]*20%</f>
        <v>60675104</v>
      </c>
      <c r="O30" s="5">
        <f>IF(([Lucro Líquido]*5%)&gt;[Teto R. Legal],[Teto R. Legal],[Lucro Líquido]*5%)</f>
        <v>1725100</v>
      </c>
      <c r="P30" s="5">
        <f>IF([Lucro Líquido]&lt;0,0,[Lucro Líquido]-[Reserva Legal])</f>
        <v>32776900</v>
      </c>
      <c r="Q30" s="21">
        <f>SUMPRODUCT(N([Nome]=Tabela3[[#This Row],[Nome]]),[Ações])</f>
        <v>73646388</v>
      </c>
      <c r="R30" s="5">
        <f>[Capital Social]/[Total Ações]</f>
        <v>4.1193536877871049</v>
      </c>
      <c r="S30" s="49">
        <f>Tabela3[[#This Row],[Lucro Líquido]]/Tabela3[[#This Row],[Total Ações]]</f>
        <v>0.46848190300928266</v>
      </c>
      <c r="T30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30" s="98">
        <f>[Patrimônio Líquido]*[% PNA (PL)]/[Total Ações]</f>
        <v>0</v>
      </c>
      <c r="V30" s="98">
        <f>[Capital Social]*[% PNA (CS)]/[Total Ações]</f>
        <v>0.20596768438935525</v>
      </c>
      <c r="W30" s="98">
        <f>MAX(Tabela3[[#This Row],[Div PNA (PL)]],Tabela3[[#This Row],[Div PNA (CS)]])</f>
        <v>0.20596768438935525</v>
      </c>
      <c r="X30" s="5">
        <f>[Div. Pref]*[Ações]</f>
        <v>424193.94745051174</v>
      </c>
      <c r="Y30" s="18">
        <f>IF(GETPIVOTDATA("Payout",'Tabela LL'!$A$3,"Ativo",Tabela3[[#This Row],[PAPEL]])&gt;1,1,GETPIVOTDATA("Payout",'Tabela LL'!$A$3,"Ativo",Tabela3[[#This Row],[PAPEL]]))</f>
        <v>0.25370503766276303</v>
      </c>
      <c r="Z30" s="5">
        <f>[Patrimônio Líquido]/[Total Ações]</f>
        <v>11.45836235716</v>
      </c>
      <c r="AA30" s="56">
        <f>MAX(Tabela3[[#This Row],[Cotação 1]],Tabela3[[#This Row],[Cotação 2]])</f>
        <v>3.81</v>
      </c>
      <c r="AB30" s="57">
        <f>[Cotação]/[VPA]</f>
        <v>0.33250824866951784</v>
      </c>
      <c r="AC30" s="39">
        <f>IF(Tabela3[[#This Row],[Lucro/Ação]]&gt;0,Tabela3[[#This Row],[Cotação]]/(Tabela3[[#This Row],[Lucro/Ação]]/[Ref]*4),0)</f>
        <v>6.0994885429830159</v>
      </c>
      <c r="AD30" s="39">
        <f>IF([Div. Mínimo]=0,0,[Lucro Distribuir]*[Payout]/[Total Ações])</f>
        <v>0</v>
      </c>
      <c r="AE30" s="98">
        <f>IF(AND([Div. Pref]&gt;0,[Div. Mínimo]&gt;0),[Div. Mínimo]+[Div. Pref],IF([Div. Pref]&gt;0,[Div. Pref],IF([Div. Mínimo]&gt;0,[Div. Mínimo],0)))</f>
        <v>0.20596768438935525</v>
      </c>
      <c r="AF30" s="98">
        <f>[Lucro Distribuir]/[Total Ações]</f>
        <v>0.44505780785881854</v>
      </c>
      <c r="AG30" s="98">
        <f>IF([Lucro Payout]&gt;[Lucro Dist./Ação],MAX(Tabela3[[#This Row],[Lucro Atual]:[Lucro Dist./Ação]]),MAX(Tabela3[[#This Row],[Lucro Payout]:[Lucro Atual]]))</f>
        <v>0.20596768438935525</v>
      </c>
      <c r="AH30" s="16" t="str">
        <f>IF(AND([% A.A.]&gt;=10%,[PVPA]&lt;=2,[PL]&lt;=15,[PL]&gt;0),"Sim","Não")</f>
        <v>Não</v>
      </c>
      <c r="AI30" s="22">
        <f>Tabela3[[#This Row],[Lucro]]/Tabela3[[#This Row],[Cotação]]</f>
        <v>5.4059759682245474E-2</v>
      </c>
      <c r="AJ30" s="18">
        <f>((1+Tabela3[[#This Row],[% Yield]])^(1/(3*Tabela3[[#This Row],[Ref]])))^(12)-1</f>
        <v>7.2721483588101821E-2</v>
      </c>
      <c r="AK30" s="10">
        <f>($AQ$1/Tabela3[[#This Row],[Cotação]]-MOD($AQ$1/Tabela3[[#This Row],[Cotação]],100))</f>
        <v>0</v>
      </c>
      <c r="AL30" s="7">
        <f>Tabela3[[#This Row],[Ativos]]*Tabela3[[#This Row],[Lucro Atual]]</f>
        <v>0</v>
      </c>
      <c r="AM30" s="5">
        <f>SUMPRODUCT(N(Tabela1[Código]=Tabela3[[#This Row],[PAPEL]]),Tabela1[Fechamento])</f>
        <v>3.81</v>
      </c>
      <c r="AN30" s="5">
        <f>SUMPRODUCT(N(Tabela17[Código]=Tabela3[[#This Row],[PAPEL]]),Tabela17[Fechamento])</f>
        <v>0</v>
      </c>
    </row>
    <row r="31" spans="1:40">
      <c r="A31" s="4" t="s">
        <v>430</v>
      </c>
      <c r="B31" s="68" t="s">
        <v>429</v>
      </c>
      <c r="C31" s="104" t="str">
        <f>LEFT([PAPEL],LEN([PAPEL])-(LEN([PAPEL])-4))</f>
        <v>BRIN</v>
      </c>
      <c r="D31" s="15">
        <v>3</v>
      </c>
      <c r="E31" s="6"/>
      <c r="F31" s="8"/>
      <c r="G31" s="19"/>
      <c r="H31" s="15"/>
      <c r="I31" s="19"/>
      <c r="J31" s="19"/>
      <c r="K31" s="19"/>
      <c r="L31" s="6">
        <v>496428000</v>
      </c>
      <c r="M31" s="6">
        <v>88119000</v>
      </c>
      <c r="N31" s="6">
        <f>Tabela3[[#This Row],[Capital Social]]*20%</f>
        <v>0</v>
      </c>
      <c r="O31" s="6">
        <f>IF(([Lucro Líquido]*5%)&gt;[Teto R. Legal],[Teto R. Legal],[Lucro Líquido]*5%)</f>
        <v>0</v>
      </c>
      <c r="P31" s="6">
        <f>IF([Lucro Líquido]&lt;0,0,[Lucro Líquido]-[Reserva Legal])</f>
        <v>88119000</v>
      </c>
      <c r="Q31" s="40">
        <v>98312688</v>
      </c>
      <c r="R31" s="6">
        <f>[Capital Social]/[Total Ações]</f>
        <v>0</v>
      </c>
      <c r="S31" s="13">
        <f>Tabela3[[#This Row],[Lucro Líquido]]/Tabela3[[#This Row],[Total Ações]]</f>
        <v>0.89631360704937701</v>
      </c>
      <c r="T3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31" s="99">
        <f>[Patrimônio Líquido]*[% PNA (PL)]/[Total Ações]</f>
        <v>0</v>
      </c>
      <c r="V31" s="99">
        <f>[Capital Social]*[% PNA (CS)]/[Total Ações]</f>
        <v>0</v>
      </c>
      <c r="W31" s="99">
        <f>MAX(Tabela3[[#This Row],[Div PNA (PL)]],Tabela3[[#This Row],[Div PNA (CS)]])</f>
        <v>0</v>
      </c>
      <c r="X31" s="6">
        <f>[Div. Pref]*[Ações]</f>
        <v>0</v>
      </c>
      <c r="Y31" s="19">
        <f>IF(GETPIVOTDATA("Payout",'Tabela LL'!$A$3,"Ativo",Tabela3[[#This Row],[PAPEL]])&gt;1,1,GETPIVOTDATA("Payout",'Tabela LL'!$A$3,"Ativo",Tabela3[[#This Row],[PAPEL]]))</f>
        <v>0.61772022954134342</v>
      </c>
      <c r="Z31" s="6">
        <f>[Patrimônio Líquido]/[Total Ações]</f>
        <v>5.0494804902496409</v>
      </c>
      <c r="AA31" s="50">
        <f>MAX(Tabela3[[#This Row],[Cotação 1]],Tabela3[[#This Row],[Cotação 2]])</f>
        <v>18.260000000000002</v>
      </c>
      <c r="AB31" s="46">
        <f>[Cotação]/[VPA]</f>
        <v>3.6162135956875927</v>
      </c>
      <c r="AC31" s="42">
        <f>IF(Tabela3[[#This Row],[Lucro/Ação]]&gt;0,Tabela3[[#This Row],[Cotação]]/(Tabela3[[#This Row],[Lucro/Ação]]/[Ref]*4),0)</f>
        <v>15.279250356449802</v>
      </c>
      <c r="AD31" s="42">
        <f>IF([Div. Mínimo]=0,0,[Lucro Distribuir]*[Payout]/[Total Ações])</f>
        <v>0</v>
      </c>
      <c r="AE31" s="99">
        <f>IF(AND([Div. Pref]&gt;0,[Div. Mínimo]&gt;0),[Div. Mínimo]+[Div. Pref],IF([Div. Pref]&gt;0,[Div. Pref],IF([Div. Mínimo]&gt;0,[Div. Mínimo],0)))</f>
        <v>0</v>
      </c>
      <c r="AF31" s="99">
        <f>[Lucro Distribuir]/[Total Ações]</f>
        <v>0.89631360704937701</v>
      </c>
      <c r="AG31" s="99">
        <f>IF([Lucro Payout]&gt;[Lucro Dist./Ação],MAX(Tabela3[[#This Row],[Lucro Atual]:[Lucro Dist./Ação]]),MAX(Tabela3[[#This Row],[Lucro Payout]:[Lucro Atual]]))</f>
        <v>0</v>
      </c>
      <c r="AH31" s="15" t="str">
        <f>IF(AND([% A.A.]&gt;=10%,[PVPA]&lt;=2,[PL]&lt;=15,[PL]&gt;0),"Sim","Não")</f>
        <v>Não</v>
      </c>
      <c r="AI31" s="44">
        <f>Tabela3[[#This Row],[Lucro]]/Tabela3[[#This Row],[Cotação]]</f>
        <v>0</v>
      </c>
      <c r="AJ31" s="19">
        <f>((1+Tabela3[[#This Row],[% Yield]])^(1/(3*Tabela3[[#This Row],[Ref]])))^(12)-1</f>
        <v>0</v>
      </c>
      <c r="AK31" s="14">
        <f>($AQ$1/Tabela3[[#This Row],[Cotação]]-MOD($AQ$1/Tabela3[[#This Row],[Cotação]],100))</f>
        <v>0</v>
      </c>
      <c r="AL31" s="17">
        <f>Tabela3[[#This Row],[Ativos]]*Tabela3[[#This Row],[Lucro Atual]]</f>
        <v>0</v>
      </c>
      <c r="AM31" s="13">
        <f>SUMPRODUCT(N(Tabela1[Código]=Tabela3[[#This Row],[PAPEL]]),Tabela1[Fechamento])</f>
        <v>0</v>
      </c>
      <c r="AN31" s="59">
        <f>SUMPRODUCT(N(Tabela17[Código]=Tabela3[[#This Row],[PAPEL]]),Tabela17[Fechamento])</f>
        <v>18.260000000000002</v>
      </c>
    </row>
    <row r="32" spans="1:40">
      <c r="A32" s="4" t="s">
        <v>14</v>
      </c>
      <c r="B32" s="68" t="s">
        <v>214</v>
      </c>
      <c r="C32" s="14" t="str">
        <f>LEFT([PAPEL],LEN([PAPEL])-(LEN([PAPEL])-4))</f>
        <v>BRIV</v>
      </c>
      <c r="D32" s="15">
        <v>3</v>
      </c>
      <c r="E32" s="6">
        <v>524000000</v>
      </c>
      <c r="F32" s="8">
        <v>53948999</v>
      </c>
      <c r="G32" s="19">
        <v>0.25</v>
      </c>
      <c r="H32" s="15"/>
      <c r="I32" s="19"/>
      <c r="J32" s="19"/>
      <c r="K32" s="19"/>
      <c r="L32" s="6">
        <v>1179411000</v>
      </c>
      <c r="M32" s="6">
        <v>46761000</v>
      </c>
      <c r="N32" s="6">
        <f>Tabela3[[#This Row],[Capital Social]]*20%</f>
        <v>104800000</v>
      </c>
      <c r="O32" s="6">
        <f>IF(([Lucro Líquido]*5%)&gt;[Teto R. Legal],[Teto R. Legal],[Lucro Líquido]*5%)</f>
        <v>2338050</v>
      </c>
      <c r="P32" s="6">
        <f>IF([Lucro Líquido]&lt;0,0,[Lucro Líquido]-[Reserva Legal])</f>
        <v>44422950</v>
      </c>
      <c r="Q32" s="21">
        <f>SUMPRODUCT(N([Nome]=Tabela3[[#This Row],[Nome]]),[Ações])</f>
        <v>90224492</v>
      </c>
      <c r="R32" s="6">
        <f>[Capital Social]/[Total Ações]</f>
        <v>5.8077356645022729</v>
      </c>
      <c r="S32" s="13">
        <f>Tabela3[[#This Row],[Lucro Líquido]]/Tabela3[[#This Row],[Total Ações]]</f>
        <v>0.51827390726677625</v>
      </c>
      <c r="T3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-2.8452260376696743E-2</v>
      </c>
      <c r="U32" s="99">
        <f>[Patrimônio Líquido]*[% PNA (PL)]/[Total Ações]</f>
        <v>0</v>
      </c>
      <c r="V32" s="99">
        <f>[Capital Social]*[% PNA (CS)]/[Total Ações]</f>
        <v>0</v>
      </c>
      <c r="W32" s="99">
        <f>MAX(Tabela3[[#This Row],[Div PNA (PL)]],Tabela3[[#This Row],[Div PNA (CS)]])</f>
        <v>0</v>
      </c>
      <c r="X32" s="6">
        <f>[Div. Pref]*[Ações]</f>
        <v>0</v>
      </c>
      <c r="Y32" s="19">
        <f>IF(GETPIVOTDATA("Payout",'Tabela LL'!$A$3,"Ativo",Tabela3[[#This Row],[PAPEL]])&gt;1,1,GETPIVOTDATA("Payout",'Tabela LL'!$A$3,"Ativo",Tabela3[[#This Row],[PAPEL]]))</f>
        <v>0.16455420283136202</v>
      </c>
      <c r="Z32" s="6">
        <f>[Patrimônio Líquido]/[Total Ações]</f>
        <v>13.071960549248645</v>
      </c>
      <c r="AA32" s="50">
        <f>MAX(Tabela3[[#This Row],[Cotação 1]],Tabela3[[#This Row],[Cotação 2]])</f>
        <v>6.61</v>
      </c>
      <c r="AB32" s="46">
        <f>[Cotação]/[VPA]</f>
        <v>0.50566248078066089</v>
      </c>
      <c r="AC32" s="42">
        <f>IF(Tabela3[[#This Row],[Lucro/Ação]]&gt;0,Tabela3[[#This Row],[Cotação]]/(Tabela3[[#This Row],[Lucro/Ação]]/[Ref]*4),0)</f>
        <v>9.5654053397061674</v>
      </c>
      <c r="AD32" s="42">
        <f>IF([Div. Mínimo]=0,0,[Lucro Distribuir]*[Payout]/[Total Ações])</f>
        <v>8.1019942175650644E-2</v>
      </c>
      <c r="AE32" s="99">
        <f>IF(AND([Div. Pref]&gt;0,[Div. Mínimo]&gt;0),[Div. Mínimo]+[Div. Pref],IF([Div. Pref]&gt;0,[Div. Pref],IF([Div. Mínimo]&gt;0,[Div. Mínimo],0)))</f>
        <v>0</v>
      </c>
      <c r="AF32" s="99">
        <f>[Lucro Distribuir]/[Total Ações]</f>
        <v>0.49236021190343748</v>
      </c>
      <c r="AG32" s="99">
        <f>IF([Lucro Payout]&gt;[Lucro Dist./Ação],MAX(Tabela3[[#This Row],[Lucro Atual]:[Lucro Dist./Ação]]),MAX(Tabela3[[#This Row],[Lucro Payout]:[Lucro Atual]]))</f>
        <v>8.1019942175650644E-2</v>
      </c>
      <c r="AH32" s="15" t="str">
        <f>IF(AND([% A.A.]&gt;=10%,[PVPA]&lt;=2,[PL]&lt;=15,[PL]&gt;0),"Sim","Não")</f>
        <v>Não</v>
      </c>
      <c r="AI32" s="44">
        <f>Tabela3[[#This Row],[Lucro]]/Tabela3[[#This Row],[Cotação]]</f>
        <v>1.225717733368391E-2</v>
      </c>
      <c r="AJ32" s="19">
        <f>((1+Tabela3[[#This Row],[% Yield]])^(1/(3*Tabela3[[#This Row],[Ref]])))^(12)-1</f>
        <v>1.6376198945060594E-2</v>
      </c>
      <c r="AK32" s="14">
        <f>($AQ$1/Tabela3[[#This Row],[Cotação]]-MOD($AQ$1/Tabela3[[#This Row],[Cotação]],100))</f>
        <v>0</v>
      </c>
      <c r="AL32" s="17">
        <f>Tabela3[[#This Row],[Ativos]]*Tabela3[[#This Row],[Lucro Atual]]</f>
        <v>0</v>
      </c>
      <c r="AM32" s="5">
        <f>SUMPRODUCT(N(Tabela1[Código]=Tabela3[[#This Row],[PAPEL]]),Tabela1[Fechamento])</f>
        <v>6.61</v>
      </c>
      <c r="AN32" s="5">
        <f>SUMPRODUCT(N(Tabela17[Código]=Tabela3[[#This Row],[PAPEL]]),Tabela17[Fechamento])</f>
        <v>0</v>
      </c>
    </row>
    <row r="33" spans="1:40">
      <c r="A33" s="4" t="s">
        <v>14</v>
      </c>
      <c r="B33" s="68" t="s">
        <v>215</v>
      </c>
      <c r="C33" s="14" t="str">
        <f>LEFT([PAPEL],LEN([PAPEL])-(LEN([PAPEL])-4))</f>
        <v>BRIV</v>
      </c>
      <c r="D33" s="15">
        <v>3</v>
      </c>
      <c r="E33" s="6">
        <v>524000000</v>
      </c>
      <c r="F33" s="8">
        <v>36275493</v>
      </c>
      <c r="G33" s="19"/>
      <c r="H33" s="15"/>
      <c r="I33" s="19">
        <v>0.06</v>
      </c>
      <c r="J33" s="19"/>
      <c r="K33" s="19"/>
      <c r="L33" s="6">
        <v>1179411000</v>
      </c>
      <c r="M33" s="6">
        <v>46761000</v>
      </c>
      <c r="N33" s="6">
        <f>Tabela3[[#This Row],[Capital Social]]*20%</f>
        <v>104800000</v>
      </c>
      <c r="O33" s="6">
        <f>IF(([Lucro Líquido]*5%)&gt;[Teto R. Legal],[Teto R. Legal],[Lucro Líquido]*5%)</f>
        <v>2338050</v>
      </c>
      <c r="P33" s="6">
        <f>IF([Lucro Líquido]&lt;0,0,[Lucro Líquido]-[Reserva Legal])</f>
        <v>44422950</v>
      </c>
      <c r="Q33" s="21">
        <f>SUMPRODUCT(N([Nome]=Tabela3[[#This Row],[Nome]]),[Ações])</f>
        <v>90224492</v>
      </c>
      <c r="R33" s="6">
        <f>[Capital Social]/[Total Ações]</f>
        <v>5.8077356645022729</v>
      </c>
      <c r="S33" s="13">
        <f>Tabela3[[#This Row],[Lucro Líquido]]/Tabela3[[#This Row],[Total Ações]]</f>
        <v>0.51827390726677625</v>
      </c>
      <c r="T3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33" s="99">
        <f>[Patrimônio Líquido]*[% PNA (PL)]/[Total Ações]</f>
        <v>0</v>
      </c>
      <c r="V33" s="99">
        <f>[Capital Social]*[% PNA (CS)]/[Total Ações]</f>
        <v>0.34846413987013636</v>
      </c>
      <c r="W33" s="99">
        <f>MAX(Tabela3[[#This Row],[Div PNA (PL)]],Tabela3[[#This Row],[Div PNA (CS)]])</f>
        <v>0.34846413987013636</v>
      </c>
      <c r="X33" s="6">
        <f>[Div. Pref]*[Ações]</f>
        <v>12640708.466610152</v>
      </c>
      <c r="Y33" s="19">
        <f>IF(GETPIVOTDATA("Payout",'Tabela LL'!$A$3,"Ativo",Tabela3[[#This Row],[PAPEL]])&gt;1,1,GETPIVOTDATA("Payout",'Tabela LL'!$A$3,"Ativo",Tabela3[[#This Row],[PAPEL]]))</f>
        <v>0.45013216229230024</v>
      </c>
      <c r="Z33" s="6">
        <f>[Patrimônio Líquido]/[Total Ações]</f>
        <v>13.071960549248645</v>
      </c>
      <c r="AA33" s="50">
        <f>MAX(Tabela3[[#This Row],[Cotação 1]],Tabela3[[#This Row],[Cotação 2]])</f>
        <v>5.64</v>
      </c>
      <c r="AB33" s="46">
        <f>[Cotação]/[VPA]</f>
        <v>0.43145785046942919</v>
      </c>
      <c r="AC33" s="42">
        <f>IF(Tabela3[[#This Row],[Lucro/Ação]]&gt;0,Tabela3[[#This Row],[Cotação]]/(Tabela3[[#This Row],[Lucro/Ação]]/[Ref]*4),0)</f>
        <v>8.1617074305511004</v>
      </c>
      <c r="AD33" s="42">
        <f>IF([Div. Mínimo]=0,0,[Lucro Distribuir]*[Payout]/[Total Ações])</f>
        <v>0</v>
      </c>
      <c r="AE33" s="99">
        <f>IF(AND([Div. Pref]&gt;0,[Div. Mínimo]&gt;0),[Div. Mínimo]+[Div. Pref],IF([Div. Pref]&gt;0,[Div. Pref],IF([Div. Mínimo]&gt;0,[Div. Mínimo],0)))</f>
        <v>0.34846413987013636</v>
      </c>
      <c r="AF33" s="99">
        <f>[Lucro Distribuir]/[Total Ações]</f>
        <v>0.49236021190343748</v>
      </c>
      <c r="AG33" s="99">
        <f>IF([Lucro Payout]&gt;[Lucro Dist./Ação],MAX(Tabela3[[#This Row],[Lucro Atual]:[Lucro Dist./Ação]]),MAX(Tabela3[[#This Row],[Lucro Payout]:[Lucro Atual]]))</f>
        <v>0.34846413987013636</v>
      </c>
      <c r="AH33" s="15" t="str">
        <f>IF(AND([% A.A.]&gt;=10%,[PVPA]&lt;=2,[PL]&lt;=15,[PL]&gt;0),"Sim","Não")</f>
        <v>Não</v>
      </c>
      <c r="AI33" s="44">
        <f>Tabela3[[#This Row],[Lucro]]/Tabela3[[#This Row],[Cotação]]</f>
        <v>6.1784421962790138E-2</v>
      </c>
      <c r="AJ33" s="19">
        <f>((1+Tabela3[[#This Row],[% Yield]])^(1/(3*Tabela3[[#This Row],[Ref]])))^(12)-1</f>
        <v>8.3216164829746919E-2</v>
      </c>
      <c r="AK33" s="14">
        <f>($AQ$1/Tabela3[[#This Row],[Cotação]]-MOD($AQ$1/Tabela3[[#This Row],[Cotação]],100))</f>
        <v>0</v>
      </c>
      <c r="AL33" s="17">
        <f>Tabela3[[#This Row],[Ativos]]*Tabela3[[#This Row],[Lucro Atual]]</f>
        <v>0</v>
      </c>
      <c r="AM33" s="5">
        <f>SUMPRODUCT(N(Tabela1[Código]=Tabela3[[#This Row],[PAPEL]]),Tabela1[Fechamento])</f>
        <v>5.64</v>
      </c>
      <c r="AN33" s="5">
        <f>SUMPRODUCT(N(Tabela17[Código]=Tabela3[[#This Row],[PAPEL]]),Tabela17[Fechamento])</f>
        <v>0</v>
      </c>
    </row>
    <row r="34" spans="1:40">
      <c r="A34" s="4" t="s">
        <v>40</v>
      </c>
      <c r="B34" s="68" t="s">
        <v>296</v>
      </c>
      <c r="C34" s="104" t="str">
        <f>LEFT([PAPEL],LEN([PAPEL])-(LEN([PAPEL])-4))</f>
        <v>BRKM</v>
      </c>
      <c r="D34" s="16">
        <v>3</v>
      </c>
      <c r="E34" s="5">
        <v>8043222080.5</v>
      </c>
      <c r="F34" s="60">
        <v>451668652</v>
      </c>
      <c r="G34" s="18">
        <v>0.25</v>
      </c>
      <c r="H34" s="16"/>
      <c r="I34" s="18"/>
      <c r="J34" s="18"/>
      <c r="L34" s="5">
        <v>8048177000</v>
      </c>
      <c r="M34" s="6">
        <v>485601000</v>
      </c>
      <c r="N34" s="5">
        <f>Tabela3[[#This Row],[Capital Social]]*20%</f>
        <v>1608644416.1000001</v>
      </c>
      <c r="O34" s="5">
        <f>IF(([Lucro Líquido]*5%)&gt;[Teto R. Legal],[Teto R. Legal],[Lucro Líquido]*5%)</f>
        <v>24280050</v>
      </c>
      <c r="P34" s="5">
        <f>IF([Lucro Líquido]&lt;0,0,[Lucro Líquido]-[Reserva Legal])</f>
        <v>461320950</v>
      </c>
      <c r="Q34" s="21">
        <f>SUMPRODUCT(N([Nome]=Tabela3[[#This Row],[Nome]]),[Ações])</f>
        <v>797265348</v>
      </c>
      <c r="R34" s="5">
        <f>[Capital Social]/[Total Ações]</f>
        <v>10.088513317024283</v>
      </c>
      <c r="S34" s="49">
        <f>Tabela3[[#This Row],[Lucro Líquido]]/Tabela3[[#This Row],[Total Ações]]</f>
        <v>0.60908328854147065</v>
      </c>
      <c r="T3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-0.1178191653151401</v>
      </c>
      <c r="U34" s="98">
        <f>[Patrimônio Líquido]*[% PNA (PL)]/[Total Ações]</f>
        <v>0</v>
      </c>
      <c r="V34" s="98">
        <f>[Capital Social]*[% PNA (CS)]/[Total Ações]</f>
        <v>0</v>
      </c>
      <c r="W34" s="98">
        <f>MAX(Tabela3[[#This Row],[Div PNA (PL)]],Tabela3[[#This Row],[Div PNA (CS)]])</f>
        <v>0</v>
      </c>
      <c r="X34" s="5">
        <f>[Div. Pref]*[Ações]</f>
        <v>0</v>
      </c>
      <c r="Y34" s="18">
        <f>IF(GETPIVOTDATA("Payout",'Tabela LL'!$A$3,"Ativo",Tabela3[[#This Row],[PAPEL]])&gt;1,1,GETPIVOTDATA("Payout",'Tabela LL'!$A$3,"Ativo",Tabela3[[#This Row],[PAPEL]]))</f>
        <v>0.35050699967240423</v>
      </c>
      <c r="Z34" s="5">
        <f>[Patrimônio Líquido]/[Total Ações]</f>
        <v>10.094728210864121</v>
      </c>
      <c r="AA34" s="56">
        <f>MAX(Tabela3[[#This Row],[Cotação 1]],Tabela3[[#This Row],[Cotação 2]])</f>
        <v>15.9</v>
      </c>
      <c r="AB34" s="57">
        <f>[Cotação]/[VPA]</f>
        <v>1.5750795531957111</v>
      </c>
      <c r="AC34" s="39">
        <f>IF(Tabela3[[#This Row],[Lucro/Ação]]&gt;0,Tabela3[[#This Row],[Cotação]]/(Tabela3[[#This Row],[Lucro/Ação]]/[Ref]*4),0)</f>
        <v>19.578603163708479</v>
      </c>
      <c r="AD34" s="39">
        <f>IF([Div. Mínimo]=0,0,[Lucro Distribuir]*[Payout]/[Total Ações])</f>
        <v>0.20281355821640853</v>
      </c>
      <c r="AE34" s="98">
        <f>IF(AND([Div. Pref]&gt;0,[Div. Mínimo]&gt;0),[Div. Mínimo]+[Div. Pref],IF([Div. Pref]&gt;0,[Div. Pref],IF([Div. Mínimo]&gt;0,[Div. Mínimo],0)))</f>
        <v>0</v>
      </c>
      <c r="AF34" s="98">
        <f>[Lucro Distribuir]/[Total Ações]</f>
        <v>0.57862912411439715</v>
      </c>
      <c r="AG34" s="98">
        <f>IF([Lucro Payout]&gt;[Lucro Dist./Ação],MAX(Tabela3[[#This Row],[Lucro Atual]:[Lucro Dist./Ação]]),MAX(Tabela3[[#This Row],[Lucro Payout]:[Lucro Atual]]))</f>
        <v>0.20281355821640853</v>
      </c>
      <c r="AH34" s="16" t="str">
        <f>IF(AND([% A.A.]&gt;=10%,[PVPA]&lt;=2,[PL]&lt;=15,[PL]&gt;0),"Sim","Não")</f>
        <v>Não</v>
      </c>
      <c r="AI34" s="22">
        <f>Tabela3[[#This Row],[Lucro]]/Tabela3[[#This Row],[Cotação]]</f>
        <v>1.2755569699145191E-2</v>
      </c>
      <c r="AJ34" s="18">
        <f>((1+Tabela3[[#This Row],[% Yield]])^(1/(3*Tabela3[[#This Row],[Ref]])))^(12)-1</f>
        <v>1.7043480886717033E-2</v>
      </c>
      <c r="AK34" s="10">
        <f>($AQ$1/Tabela3[[#This Row],[Cotação]]-MOD($AQ$1/Tabela3[[#This Row],[Cotação]],100))</f>
        <v>0</v>
      </c>
      <c r="AL34" s="7">
        <f>Tabela3[[#This Row],[Ativos]]*Tabela3[[#This Row],[Lucro Atual]]</f>
        <v>0</v>
      </c>
      <c r="AM34" s="49">
        <f>SUMPRODUCT(N(Tabela1[Código]=Tabela3[[#This Row],[PAPEL]]),Tabela1[Fechamento])</f>
        <v>0</v>
      </c>
      <c r="AN34" s="49">
        <f>SUMPRODUCT(N(Tabela17[Código]=Tabela3[[#This Row],[PAPEL]]),Tabela17[Fechamento])</f>
        <v>15.9</v>
      </c>
    </row>
    <row r="35" spans="1:40">
      <c r="A35" s="4" t="s">
        <v>40</v>
      </c>
      <c r="B35" s="68" t="s">
        <v>297</v>
      </c>
      <c r="C35" s="14" t="str">
        <f>LEFT([PAPEL],LEN([PAPEL])-(LEN([PAPEL])-4))</f>
        <v>BRKM</v>
      </c>
      <c r="D35" s="16">
        <v>3</v>
      </c>
      <c r="E35" s="5">
        <v>8043222080.5</v>
      </c>
      <c r="F35" s="60">
        <v>345002878</v>
      </c>
      <c r="G35" s="18">
        <v>0.25</v>
      </c>
      <c r="H35" s="16"/>
      <c r="I35" s="18">
        <v>0.06</v>
      </c>
      <c r="J35" s="18"/>
      <c r="L35" s="5">
        <v>8048177000</v>
      </c>
      <c r="M35" s="5">
        <v>485601000</v>
      </c>
      <c r="N35" s="5">
        <f>Tabela3[[#This Row],[Capital Social]]*20%</f>
        <v>1608644416.1000001</v>
      </c>
      <c r="O35" s="5">
        <f>IF(([Lucro Líquido]*5%)&gt;[Teto R. Legal],[Teto R. Legal],[Lucro Líquido]*5%)</f>
        <v>24280050</v>
      </c>
      <c r="P35" s="5">
        <f>IF([Lucro Líquido]&lt;0,0,[Lucro Líquido]-[Reserva Legal])</f>
        <v>461320950</v>
      </c>
      <c r="Q35" s="21">
        <f>SUMPRODUCT(N([Nome]=Tabela3[[#This Row],[Nome]]),[Ações])</f>
        <v>797265348</v>
      </c>
      <c r="R35" s="5">
        <f>[Capital Social]/[Total Ações]</f>
        <v>10.088513317024283</v>
      </c>
      <c r="S35" s="49">
        <f>Tabela3[[#This Row],[Lucro Líquido]]/Tabela3[[#This Row],[Total Ações]]</f>
        <v>0.60908328854147065</v>
      </c>
      <c r="T35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-0.1178191653151401</v>
      </c>
      <c r="U35" s="98">
        <f>[Patrimônio Líquido]*[% PNA (PL)]/[Total Ações]</f>
        <v>0</v>
      </c>
      <c r="V35" s="98">
        <f>[Capital Social]*[% PNA (CS)]/[Total Ações]</f>
        <v>0.60531079902145701</v>
      </c>
      <c r="W35" s="98">
        <f>MAX(Tabela3[[#This Row],[Div PNA (PL)]],Tabela3[[#This Row],[Div PNA (CS)]])</f>
        <v>0.60531079902145701</v>
      </c>
      <c r="X35" s="5">
        <f>[Div. Pref]*[Ações]</f>
        <v>208833967.74688226</v>
      </c>
      <c r="Y35" s="18">
        <f>IF(GETPIVOTDATA("Payout",'Tabela LL'!$A$3,"Ativo",Tabela3[[#This Row],[PAPEL]])&gt;1,1,GETPIVOTDATA("Payout",'Tabela LL'!$A$3,"Ativo",Tabela3[[#This Row],[PAPEL]]))</f>
        <v>0.35050699967240423</v>
      </c>
      <c r="Z35" s="5">
        <f>[Patrimônio Líquido]/[Total Ações]</f>
        <v>10.094728210864121</v>
      </c>
      <c r="AA35" s="56">
        <f>MAX(Tabela3[[#This Row],[Cotação 1]],Tabela3[[#This Row],[Cotação 2]])</f>
        <v>20.18</v>
      </c>
      <c r="AB35" s="57">
        <f>[Cotação]/[VPA]</f>
        <v>1.9990632316660031</v>
      </c>
      <c r="AC35" s="39">
        <f>IF(Tabela3[[#This Row],[Lucro/Ação]]&gt;0,Tabela3[[#This Row],[Cotação]]/(Tabela3[[#This Row],[Lucro/Ação]]/[Ref]*4),0)</f>
        <v>24.848818354945728</v>
      </c>
      <c r="AD35" s="39">
        <f>IF([Div. Mínimo]=0,0,[Lucro Distribuir]*[Payout]/[Total Ações])</f>
        <v>0.20281355821640853</v>
      </c>
      <c r="AE35" s="98">
        <f>IF(AND([Div. Pref]&gt;0,[Div. Mínimo]&gt;0),[Div. Mínimo]+[Div. Pref],IF([Div. Pref]&gt;0,[Div. Pref],IF([Div. Mínimo]&gt;0,[Div. Mínimo],0)))</f>
        <v>0.60531079902145701</v>
      </c>
      <c r="AF35" s="98">
        <f>[Lucro Distribuir]/[Total Ações]</f>
        <v>0.57862912411439715</v>
      </c>
      <c r="AG35" s="98">
        <f>IF([Lucro Payout]&gt;[Lucro Dist./Ação],MAX(Tabela3[[#This Row],[Lucro Atual]:[Lucro Dist./Ação]]),MAX(Tabela3[[#This Row],[Lucro Payout]:[Lucro Atual]]))</f>
        <v>0.60531079902145701</v>
      </c>
      <c r="AH35" s="16" t="str">
        <f>IF(AND([% A.A.]&gt;=10%,[PVPA]&lt;=2,[PL]&lt;=15,[PL]&gt;0),"Sim","Não")</f>
        <v>Não</v>
      </c>
      <c r="AI35" s="22">
        <f>Tabela3[[#This Row],[Lucro]]/Tabela3[[#This Row],[Cotação]]</f>
        <v>2.9995579733471608E-2</v>
      </c>
      <c r="AJ35" s="18">
        <f>((1+Tabela3[[#This Row],[% Yield]])^(1/(3*Tabela3[[#This Row],[Ref]])))^(12)-1</f>
        <v>4.0192731029863538E-2</v>
      </c>
      <c r="AK35" s="10">
        <f>($AQ$1/Tabela3[[#This Row],[Cotação]]-MOD($AQ$1/Tabela3[[#This Row],[Cotação]],100))</f>
        <v>0</v>
      </c>
      <c r="AL35" s="7">
        <f>Tabela3[[#This Row],[Ativos]]*Tabela3[[#This Row],[Lucro Atual]]</f>
        <v>0</v>
      </c>
      <c r="AM35" s="49">
        <f>SUMPRODUCT(N(Tabela1[Código]=Tabela3[[#This Row],[PAPEL]]),Tabela1[Fechamento])</f>
        <v>0</v>
      </c>
      <c r="AN35" s="49">
        <f>SUMPRODUCT(N(Tabela17[Código]=Tabela3[[#This Row],[PAPEL]]),Tabela17[Fechamento])</f>
        <v>20.18</v>
      </c>
    </row>
    <row r="36" spans="1:40">
      <c r="A36" s="4" t="s">
        <v>40</v>
      </c>
      <c r="B36" s="68" t="s">
        <v>298</v>
      </c>
      <c r="C36" s="15" t="str">
        <f>LEFT([PAPEL],LEN([PAPEL])-(LEN([PAPEL])-4))</f>
        <v>BRKM</v>
      </c>
      <c r="D36" s="15">
        <v>3</v>
      </c>
      <c r="E36" s="5">
        <v>8043222080.5</v>
      </c>
      <c r="F36" s="8">
        <v>593818</v>
      </c>
      <c r="G36" s="19"/>
      <c r="H36" s="15"/>
      <c r="I36" s="19">
        <v>0.06</v>
      </c>
      <c r="J36" s="19"/>
      <c r="K36" s="19"/>
      <c r="L36" s="5">
        <v>8048177000</v>
      </c>
      <c r="M36" s="5">
        <v>485601000</v>
      </c>
      <c r="N36" s="5">
        <f>Tabela3[[#This Row],[Capital Social]]*20%</f>
        <v>1608644416.1000001</v>
      </c>
      <c r="O36" s="5">
        <f>IF(([Lucro Líquido]*5%)&gt;[Teto R. Legal],[Teto R. Legal],[Lucro Líquido]*5%)</f>
        <v>24280050</v>
      </c>
      <c r="P36" s="5">
        <f>IF([Lucro Líquido]&lt;0,0,[Lucro Líquido]-[Reserva Legal])</f>
        <v>461320950</v>
      </c>
      <c r="Q36" s="21">
        <f>SUMPRODUCT(N([Nome]=Tabela3[[#This Row],[Nome]]),[Ações])</f>
        <v>797265348</v>
      </c>
      <c r="R36" s="5">
        <f>[Capital Social]/[Total Ações]</f>
        <v>10.088513317024283</v>
      </c>
      <c r="S36" s="13">
        <f>Tabela3[[#This Row],[Lucro Líquido]]/Tabela3[[#This Row],[Total Ações]]</f>
        <v>0.60908328854147065</v>
      </c>
      <c r="T3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36" s="98">
        <f>[Patrimônio Líquido]*[% PNA (PL)]/[Total Ações]</f>
        <v>0</v>
      </c>
      <c r="V36" s="98">
        <f>[Capital Social]*[% PNA (CS)]/[Total Ações]</f>
        <v>0.60531079902145701</v>
      </c>
      <c r="W36" s="98">
        <f>MAX(Tabela3[[#This Row],[Div PNA (PL)]],Tabela3[[#This Row],[Div PNA (CS)]])</f>
        <v>0.60531079902145701</v>
      </c>
      <c r="X36" s="5">
        <f>[Div. Pref]*[Ações]</f>
        <v>359444.44805332355</v>
      </c>
      <c r="Y36" s="19">
        <f>IF(GETPIVOTDATA("Payout",'Tabela LL'!$A$3,"Ativo",Tabela3[[#This Row],[PAPEL]])&gt;1,1,GETPIVOTDATA("Payout",'Tabela LL'!$A$3,"Ativo",Tabela3[[#This Row],[PAPEL]]))</f>
        <v>0.25322752895727813</v>
      </c>
      <c r="Z36" s="6">
        <f>[Patrimônio Líquido]/[Total Ações]</f>
        <v>10.094728210864121</v>
      </c>
      <c r="AA36" s="50">
        <f>MAX(Tabela3[[#This Row],[Cotação 1]],Tabela3[[#This Row],[Cotação 2]])</f>
        <v>10.5</v>
      </c>
      <c r="AB36" s="46">
        <f>[Cotação]/[VPA]</f>
        <v>1.0401468747518847</v>
      </c>
      <c r="AC36" s="42">
        <f>IF(Tabela3[[#This Row],[Lucro/Ação]]&gt;0,Tabela3[[#This Row],[Cotação]]/(Tabela3[[#This Row],[Lucro/Ação]]/[Ref]*4),0)</f>
        <v>12.929266240184843</v>
      </c>
      <c r="AD36" s="42">
        <f>IF([Div. Mínimo]=0,0,[Lucro Distribuir]*[Payout]/[Total Ações])</f>
        <v>0</v>
      </c>
      <c r="AE36" s="99">
        <f>IF(AND([Div. Pref]&gt;0,[Div. Mínimo]&gt;0),[Div. Mínimo]+[Div. Pref],IF([Div. Pref]&gt;0,[Div. Pref],IF([Div. Mínimo]&gt;0,[Div. Mínimo],0)))</f>
        <v>0.60531079902145701</v>
      </c>
      <c r="AF36" s="99">
        <f>[Lucro Distribuir]/[Total Ações]</f>
        <v>0.57862912411439715</v>
      </c>
      <c r="AG36" s="99">
        <f>IF([Lucro Payout]&gt;[Lucro Dist./Ação],MAX(Tabela3[[#This Row],[Lucro Atual]:[Lucro Dist./Ação]]),MAX(Tabela3[[#This Row],[Lucro Payout]:[Lucro Atual]]))</f>
        <v>0.60531079902145701</v>
      </c>
      <c r="AH36" s="15" t="str">
        <f>IF(AND([% A.A.]&gt;=10%,[PVPA]&lt;=2,[PL]&lt;=15,[PL]&gt;0),"Sim","Não")</f>
        <v>Não</v>
      </c>
      <c r="AI36" s="44">
        <f>Tabela3[[#This Row],[Lucro]]/Tabela3[[#This Row],[Cotação]]</f>
        <v>5.7648647525853046E-2</v>
      </c>
      <c r="AJ36" s="19">
        <f>((1+Tabela3[[#This Row],[% Yield]])^(1/(3*Tabela3[[#This Row],[Ref]])))^(12)-1</f>
        <v>7.7594148663276741E-2</v>
      </c>
      <c r="AK36" s="14">
        <f>($AQ$1/Tabela3[[#This Row],[Cotação]]-MOD($AQ$1/Tabela3[[#This Row],[Cotação]],100))</f>
        <v>0</v>
      </c>
      <c r="AL36" s="17">
        <f>Tabela3[[#This Row],[Ativos]]*Tabela3[[#This Row],[Lucro Atual]]</f>
        <v>0</v>
      </c>
      <c r="AM36" s="13">
        <f>SUMPRODUCT(N(Tabela1[Código]=Tabela3[[#This Row],[PAPEL]]),Tabela1[Fechamento])</f>
        <v>0</v>
      </c>
      <c r="AN36" s="13">
        <f>SUMPRODUCT(N(Tabela17[Código]=Tabela3[[#This Row],[PAPEL]]),Tabela17[Fechamento])</f>
        <v>10.5</v>
      </c>
    </row>
    <row r="37" spans="1:40">
      <c r="A37" s="3" t="s">
        <v>402</v>
      </c>
      <c r="B37" s="69" t="s">
        <v>405</v>
      </c>
      <c r="C37" s="105" t="str">
        <f>LEFT([PAPEL],LEN([PAPEL])-(LEN([PAPEL])-4))</f>
        <v>BRML</v>
      </c>
      <c r="D37" s="16">
        <v>3</v>
      </c>
      <c r="E37" s="5">
        <v>4293276979.0900002</v>
      </c>
      <c r="F37" s="60">
        <v>457057334</v>
      </c>
      <c r="G37" s="18">
        <v>0.25</v>
      </c>
      <c r="H37" s="16"/>
      <c r="I37" s="18"/>
      <c r="J37" s="18"/>
      <c r="L37" s="5">
        <v>8579316000</v>
      </c>
      <c r="M37" s="5">
        <v>334866000</v>
      </c>
      <c r="N37" s="5">
        <f>Tabela3[[#This Row],[Capital Social]]*20%</f>
        <v>858655395.81800008</v>
      </c>
      <c r="O37" s="5">
        <f>IF(([Lucro Líquido]*5%)&gt;[Teto R. Legal],[Teto R. Legal],[Lucro Líquido]*5%)</f>
        <v>16743300</v>
      </c>
      <c r="P37" s="5">
        <f>IF([Lucro Líquido]&lt;0,0,[Lucro Líquido]-[Reserva Legal])</f>
        <v>318122700</v>
      </c>
      <c r="Q37" s="21">
        <f>SUMPRODUCT(N([Nome]=Tabela3[[#This Row],[Nome]]),[Ações])</f>
        <v>457057334</v>
      </c>
      <c r="R37" s="5">
        <f>[Capital Social]/[Total Ações]</f>
        <v>9.3933007080682795</v>
      </c>
      <c r="S37" s="49">
        <f>Tabela3[[#This Row],[Lucro Líquido]]/Tabela3[[#This Row],[Total Ações]]</f>
        <v>0.73265644174085176</v>
      </c>
      <c r="T37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0.17400590491345228</v>
      </c>
      <c r="U37" s="98">
        <f>[Patrimônio Líquido]*[% PNA (PL)]/[Total Ações]</f>
        <v>0</v>
      </c>
      <c r="V37" s="98">
        <f>[Capital Social]*[% PNA (CS)]/[Total Ações]</f>
        <v>0</v>
      </c>
      <c r="W37" s="98">
        <f>MAX(Tabela3[[#This Row],[Div PNA (PL)]],Tabela3[[#This Row],[Div PNA (CS)]])</f>
        <v>0</v>
      </c>
      <c r="X37" s="5">
        <f>[Div. Pref]*[Ações]</f>
        <v>0</v>
      </c>
      <c r="Y37" s="18">
        <f>IF(GETPIVOTDATA("Payout",'Tabela LL'!$A$3,"Ativo",Tabela3[[#This Row],[PAPEL]])&gt;1,1,GETPIVOTDATA("Payout",'Tabela LL'!$A$3,"Ativo",Tabela3[[#This Row],[PAPEL]]))</f>
        <v>0.11310764362768161</v>
      </c>
      <c r="Z37" s="5">
        <f>[Patrimônio Líquido]/[Total Ações]</f>
        <v>18.770765419989957</v>
      </c>
      <c r="AA37" s="56">
        <f>MAX(Tabela3[[#This Row],[Cotação 1]],Tabela3[[#This Row],[Cotação 2]])</f>
        <v>17.14</v>
      </c>
      <c r="AB37" s="57">
        <f>[Cotação]/[VPA]</f>
        <v>0.9131220606351369</v>
      </c>
      <c r="AC37" s="39">
        <f>IF(Tabela3[[#This Row],[Lucro/Ação]]&gt;0,Tabela3[[#This Row],[Cotação]]/(Tabela3[[#This Row],[Lucro/Ação]]/[Ref]*4),0)</f>
        <v>17.545740769651143</v>
      </c>
      <c r="AD37" s="39">
        <f>IF([Div. Mínimo]=0,0,[Lucro Distribuir]*[Payout]/[Total Ações])</f>
        <v>7.8725591528252051E-2</v>
      </c>
      <c r="AE37" s="98">
        <f>IF(AND([Div. Pref]&gt;0,[Div. Mínimo]&gt;0),[Div. Mínimo]+[Div. Pref],IF([Div. Pref]&gt;0,[Div. Pref],IF([Div. Mínimo]&gt;0,[Div. Mínimo],0)))</f>
        <v>0.17400590491345228</v>
      </c>
      <c r="AF37" s="98">
        <f>[Lucro Distribuir]/[Total Ações]</f>
        <v>0.6960236196538091</v>
      </c>
      <c r="AG37" s="98">
        <f>IF([Lucro Payout]&gt;[Lucro Dist./Ação],MAX(Tabela3[[#This Row],[Lucro Atual]:[Lucro Dist./Ação]]),MAX(Tabela3[[#This Row],[Lucro Payout]:[Lucro Atual]]))</f>
        <v>0.17400590491345228</v>
      </c>
      <c r="AH37" s="16" t="str">
        <f>IF(AND([% A.A.]&gt;=10%,[PVPA]&lt;=2,[PL]&lt;=15,[PL]&gt;0),"Sim","Não")</f>
        <v>Não</v>
      </c>
      <c r="AI37" s="22">
        <f>Tabela3[[#This Row],[Lucro]]/Tabela3[[#This Row],[Cotação]]</f>
        <v>1.0152036459361276E-2</v>
      </c>
      <c r="AJ37" s="18">
        <f>((1+Tabela3[[#This Row],[% Yield]])^(1/(3*Tabela3[[#This Row],[Ref]])))^(12)-1</f>
        <v>1.3558900236848137E-2</v>
      </c>
      <c r="AK37" s="10">
        <f>($AQ$1/Tabela3[[#This Row],[Cotação]]-MOD($AQ$1/Tabela3[[#This Row],[Cotação]],100))</f>
        <v>0</v>
      </c>
      <c r="AL37" s="7">
        <f>Tabela3[[#This Row],[Ativos]]*Tabela3[[#This Row],[Lucro Atual]]</f>
        <v>0</v>
      </c>
      <c r="AM37" s="49">
        <f>SUMPRODUCT(N(Tabela1[Código]=Tabela3[[#This Row],[PAPEL]]),Tabela1[Fechamento])</f>
        <v>0</v>
      </c>
      <c r="AN37" s="58">
        <f>SUMPRODUCT(N(Tabela17[Código]=Tabela3[[#This Row],[PAPEL]]),Tabela17[Fechamento])</f>
        <v>17.14</v>
      </c>
    </row>
    <row r="38" spans="1:40">
      <c r="A38" s="3" t="s">
        <v>402</v>
      </c>
      <c r="B38" s="69" t="s">
        <v>407</v>
      </c>
      <c r="C38" s="105" t="str">
        <f>LEFT([PAPEL],LEN([PAPEL])-(LEN([PAPEL])-4))</f>
        <v>BRPR</v>
      </c>
      <c r="D38" s="16">
        <v>3</v>
      </c>
      <c r="E38" s="5">
        <v>2346986526</v>
      </c>
      <c r="F38" s="60">
        <v>311612886</v>
      </c>
      <c r="G38" s="18">
        <v>0.25</v>
      </c>
      <c r="H38" s="16"/>
      <c r="I38" s="18"/>
      <c r="J38" s="18"/>
      <c r="L38" s="5">
        <v>8025139000</v>
      </c>
      <c r="M38" s="5">
        <v>230295000</v>
      </c>
      <c r="N38" s="5">
        <f>Tabela3[[#This Row],[Capital Social]]*20%</f>
        <v>469397305.20000005</v>
      </c>
      <c r="O38" s="5">
        <f>IF(([Lucro Líquido]*5%)&gt;[Teto R. Legal],[Teto R. Legal],[Lucro Líquido]*5%)</f>
        <v>11514750</v>
      </c>
      <c r="P38" s="5">
        <f>IF([Lucro Líquido]&lt;0,0,[Lucro Líquido]-[Reserva Legal])</f>
        <v>218780250</v>
      </c>
      <c r="Q38" s="21">
        <f>SUMPRODUCT(N([Nome]=Tabela3[[#This Row],[Nome]]),[Ações])</f>
        <v>311612886</v>
      </c>
      <c r="R38" s="5">
        <f>[Capital Social]/[Total Ações]</f>
        <v>7.5317377151084823</v>
      </c>
      <c r="S38" s="49">
        <f>Tabela3[[#This Row],[Lucro Líquido]]/Tabela3[[#This Row],[Total Ações]]</f>
        <v>0.7390419663197112</v>
      </c>
      <c r="T3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0.17552246700093141</v>
      </c>
      <c r="U38" s="98">
        <f>[Patrimônio Líquido]*[% PNA (PL)]/[Total Ações]</f>
        <v>0</v>
      </c>
      <c r="V38" s="98">
        <f>[Capital Social]*[% PNA (CS)]/[Total Ações]</f>
        <v>0</v>
      </c>
      <c r="W38" s="98">
        <f>MAX(Tabela3[[#This Row],[Div PNA (PL)]],Tabela3[[#This Row],[Div PNA (CS)]])</f>
        <v>0</v>
      </c>
      <c r="X38" s="5">
        <f>[Div. Pref]*[Ações]</f>
        <v>0</v>
      </c>
      <c r="Y38" s="18">
        <f>IF(GETPIVOTDATA("Payout",'Tabela LL'!$A$3,"Ativo",Tabela3[[#This Row],[PAPEL]])&gt;1,1,GETPIVOTDATA("Payout",'Tabela LL'!$A$3,"Ativo",Tabela3[[#This Row],[PAPEL]]))</f>
        <v>0.11682654188083424</v>
      </c>
      <c r="Z38" s="5">
        <f>[Patrimônio Líquido]/[Total Ações]</f>
        <v>25.753553079958316</v>
      </c>
      <c r="AA38" s="56">
        <f>MAX(Tabela3[[#This Row],[Cotação 1]],Tabela3[[#This Row],[Cotação 2]])</f>
        <v>18</v>
      </c>
      <c r="AB38" s="57">
        <f>[Cotação]/[VPA]</f>
        <v>0.69893268490427396</v>
      </c>
      <c r="AC38" s="39">
        <f>IF(Tabela3[[#This Row],[Lucro/Ação]]&gt;0,Tabela3[[#This Row],[Cotação]]/(Tabela3[[#This Row],[Lucro/Ação]]/[Ref]*4),0)</f>
        <v>18.266892294665539</v>
      </c>
      <c r="AD38" s="39">
        <f>IF([Div. Mínimo]=0,0,[Lucro Distribuir]*[Payout]/[Total Ações])</f>
        <v>8.202273136844665E-2</v>
      </c>
      <c r="AE38" s="98">
        <f>IF(AND([Div. Pref]&gt;0,[Div. Mínimo]&gt;0),[Div. Mínimo]+[Div. Pref],IF([Div. Pref]&gt;0,[Div. Pref],IF([Div. Mínimo]&gt;0,[Div. Mínimo],0)))</f>
        <v>0.17552246700093141</v>
      </c>
      <c r="AF38" s="98">
        <f>[Lucro Distribuir]/[Total Ações]</f>
        <v>0.70208986800372564</v>
      </c>
      <c r="AG38" s="98">
        <f>IF([Lucro Payout]&gt;[Lucro Dist./Ação],MAX(Tabela3[[#This Row],[Lucro Atual]:[Lucro Dist./Ação]]),MAX(Tabela3[[#This Row],[Lucro Payout]:[Lucro Atual]]))</f>
        <v>0.17552246700093141</v>
      </c>
      <c r="AH38" s="16" t="str">
        <f>IF(AND([% A.A.]&gt;=10%,[PVPA]&lt;=2,[PL]&lt;=15,[PL]&gt;0),"Sim","Não")</f>
        <v>Não</v>
      </c>
      <c r="AI38" s="22">
        <f>Tabela3[[#This Row],[Lucro]]/Tabela3[[#This Row],[Cotação]]</f>
        <v>9.7512481667184122E-3</v>
      </c>
      <c r="AJ38" s="18">
        <f>((1+Tabela3[[#This Row],[% Yield]])^(1/(3*Tabela3[[#This Row],[Ref]])))^(12)-1</f>
        <v>1.3022749028023251E-2</v>
      </c>
      <c r="AK38" s="10">
        <f>($AQ$1/Tabela3[[#This Row],[Cotação]]-MOD($AQ$1/Tabela3[[#This Row],[Cotação]],100))</f>
        <v>0</v>
      </c>
      <c r="AL38" s="7">
        <f>Tabela3[[#This Row],[Ativos]]*Tabela3[[#This Row],[Lucro Atual]]</f>
        <v>0</v>
      </c>
      <c r="AM38" s="49">
        <f>SUMPRODUCT(N(Tabela1[Código]=Tabela3[[#This Row],[PAPEL]]),Tabela1[Fechamento])</f>
        <v>0</v>
      </c>
      <c r="AN38" s="58">
        <f>SUMPRODUCT(N(Tabela17[Código]=Tabela3[[#This Row],[PAPEL]]),Tabela17[Fechamento])</f>
        <v>18</v>
      </c>
    </row>
    <row r="39" spans="1:40">
      <c r="A39" s="4" t="s">
        <v>14</v>
      </c>
      <c r="B39" s="68" t="s">
        <v>225</v>
      </c>
      <c r="C39" s="14" t="str">
        <f>LEFT([PAPEL],LEN([PAPEL])-(LEN([PAPEL])-4))</f>
        <v>BRSR</v>
      </c>
      <c r="D39" s="15">
        <v>3</v>
      </c>
      <c r="E39" s="6">
        <v>3750000000</v>
      </c>
      <c r="F39" s="8">
        <v>205043374</v>
      </c>
      <c r="G39" s="19">
        <v>0.25</v>
      </c>
      <c r="H39" s="15"/>
      <c r="I39" s="19"/>
      <c r="J39" s="19"/>
      <c r="K39" s="19"/>
      <c r="L39" s="6">
        <v>5008604000</v>
      </c>
      <c r="M39" s="6">
        <v>602652000</v>
      </c>
      <c r="N39" s="6">
        <f>Tabela3[[#This Row],[Capital Social]]*20%</f>
        <v>750000000</v>
      </c>
      <c r="O39" s="6">
        <f>IF(([Lucro Líquido]*5%)&gt;[Teto R. Legal],[Teto R. Legal],[Lucro Líquido]*5%)</f>
        <v>30132600</v>
      </c>
      <c r="P39" s="6">
        <f>IF([Lucro Líquido]&lt;0,0,[Lucro Líquido]-[Reserva Legal])</f>
        <v>572519400</v>
      </c>
      <c r="Q39" s="40">
        <v>408974477</v>
      </c>
      <c r="R39" s="6">
        <f>[Capital Social]/[Total Ações]</f>
        <v>9.1692763507097776</v>
      </c>
      <c r="S39" s="13">
        <f>Tabela3[[#This Row],[Lucro Líquido]]/Tabela3[[#This Row],[Total Ações]]</f>
        <v>1.4735687283487864</v>
      </c>
      <c r="T3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0.33738895018427234</v>
      </c>
      <c r="U39" s="99">
        <f>[Patrimônio Líquido]*[% PNA (PL)]/[Total Ações]</f>
        <v>0</v>
      </c>
      <c r="V39" s="99">
        <f>[Capital Social]*[% PNA (CS)]/[Total Ações]</f>
        <v>0</v>
      </c>
      <c r="W39" s="99">
        <f>MAX(Tabela3[[#This Row],[Div PNA (PL)]],Tabela3[[#This Row],[Div PNA (CS)]])</f>
        <v>0</v>
      </c>
      <c r="X39" s="6">
        <f>[Div. Pref]*[Ações]</f>
        <v>0</v>
      </c>
      <c r="Y39" s="19">
        <f>IF(GETPIVOTDATA("Payout",'Tabela LL'!$A$3,"Ativo",Tabela3[[#This Row],[PAPEL]])&gt;1,1,GETPIVOTDATA("Payout",'Tabela LL'!$A$3,"Ativo",Tabela3[[#This Row],[PAPEL]]))</f>
        <v>0.38934546499886002</v>
      </c>
      <c r="Z39" s="6">
        <f>[Patrimônio Líquido]/[Total Ações]</f>
        <v>12.246739788605439</v>
      </c>
      <c r="AA39" s="50">
        <f>MAX(Tabela3[[#This Row],[Cotação 1]],Tabela3[[#This Row],[Cotação 2]])</f>
        <v>12.2</v>
      </c>
      <c r="AB39" s="46">
        <f>[Cotação]/[VPA]</f>
        <v>0.99618349132812256</v>
      </c>
      <c r="AC39" s="42">
        <f>IF(Tabela3[[#This Row],[Lucro/Ação]]&gt;0,Tabela3[[#This Row],[Cotação]]/(Tabela3[[#This Row],[Lucro/Ação]]/[Ref]*4),0)</f>
        <v>6.2094151592461317</v>
      </c>
      <c r="AD39" s="42">
        <f>IF([Div. Mínimo]=0,0,[Lucro Distribuir]*[Payout]/[Total Ações])</f>
        <v>0.54504093665940023</v>
      </c>
      <c r="AE39" s="99">
        <f>IF(AND([Div. Pref]&gt;0,[Div. Mínimo]&gt;0),[Div. Mínimo]+[Div. Pref],IF([Div. Pref]&gt;0,[Div. Pref],IF([Div. Mínimo]&gt;0,[Div. Mínimo],0)))</f>
        <v>0.33738895018427234</v>
      </c>
      <c r="AF39" s="99">
        <f>[Lucro Distribuir]/[Total Ações]</f>
        <v>1.3998902919313472</v>
      </c>
      <c r="AG39" s="99">
        <f>IF([Lucro Payout]&gt;[Lucro Dist./Ação],MAX(Tabela3[[#This Row],[Lucro Atual]:[Lucro Dist./Ação]]),MAX(Tabela3[[#This Row],[Lucro Payout]:[Lucro Atual]]))</f>
        <v>0.54504093665940023</v>
      </c>
      <c r="AH39" s="15" t="str">
        <f>IF(AND([% A.A.]&gt;=10%,[PVPA]&lt;=2,[PL]&lt;=15,[PL]&gt;0),"Sim","Não")</f>
        <v>Não</v>
      </c>
      <c r="AI39" s="44">
        <f>Tabela3[[#This Row],[Lucro]]/Tabela3[[#This Row],[Cotação]]</f>
        <v>4.467548661142625E-2</v>
      </c>
      <c r="AJ39" s="19">
        <f>((1+Tabela3[[#This Row],[% Yield]])^(1/(3*Tabela3[[#This Row],[Ref]])))^(12)-1</f>
        <v>6.0006525335862593E-2</v>
      </c>
      <c r="AK39" s="14">
        <f>($AQ$1/Tabela3[[#This Row],[Cotação]]-MOD($AQ$1/Tabela3[[#This Row],[Cotação]],100))</f>
        <v>0</v>
      </c>
      <c r="AL39" s="17">
        <f>Tabela3[[#This Row],[Ativos]]*Tabela3[[#This Row],[Lucro Atual]]</f>
        <v>0</v>
      </c>
      <c r="AM39" s="5">
        <f>SUMPRODUCT(N(Tabela1[Código]=Tabela3[[#This Row],[PAPEL]]),Tabela1[Fechamento])</f>
        <v>12.2</v>
      </c>
      <c r="AN39" s="5">
        <f>SUMPRODUCT(N(Tabela17[Código]=Tabela3[[#This Row],[PAPEL]]),Tabela17[Fechamento])</f>
        <v>0</v>
      </c>
    </row>
    <row r="40" spans="1:40">
      <c r="A40" s="4" t="s">
        <v>14</v>
      </c>
      <c r="B40" s="68" t="s">
        <v>226</v>
      </c>
      <c r="C40" s="14" t="str">
        <f>LEFT([PAPEL],LEN([PAPEL])-(LEN([PAPEL])-4))</f>
        <v>BRSR</v>
      </c>
      <c r="D40" s="15">
        <v>3</v>
      </c>
      <c r="E40" s="6">
        <v>3750000000</v>
      </c>
      <c r="F40" s="8">
        <v>3542377</v>
      </c>
      <c r="G40" s="19"/>
      <c r="H40" s="15"/>
      <c r="I40" s="19">
        <v>0.06</v>
      </c>
      <c r="J40" s="19"/>
      <c r="K40" s="19"/>
      <c r="L40" s="6">
        <v>5008604000</v>
      </c>
      <c r="M40" s="6">
        <v>602652000</v>
      </c>
      <c r="N40" s="6">
        <f>Tabela3[[#This Row],[Capital Social]]*20%</f>
        <v>750000000</v>
      </c>
      <c r="O40" s="6">
        <f>IF(([Lucro Líquido]*5%)&gt;[Teto R. Legal],[Teto R. Legal],[Lucro Líquido]*5%)</f>
        <v>30132600</v>
      </c>
      <c r="P40" s="6">
        <f>IF([Lucro Líquido]&lt;0,0,[Lucro Líquido]-[Reserva Legal])</f>
        <v>572519400</v>
      </c>
      <c r="Q40" s="40">
        <v>408974477</v>
      </c>
      <c r="R40" s="6">
        <f>[Capital Social]/[Total Ações]</f>
        <v>9.1692763507097776</v>
      </c>
      <c r="S40" s="13">
        <f>Tabela3[[#This Row],[Lucro Líquido]]/Tabela3[[#This Row],[Total Ações]]</f>
        <v>1.4735687283487864</v>
      </c>
      <c r="T4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0" s="99">
        <f>[Patrimônio Líquido]*[% PNA (PL)]/[Total Ações]</f>
        <v>0</v>
      </c>
      <c r="V40" s="99">
        <f>[Capital Social]*[% PNA (CS)]/[Total Ações]</f>
        <v>0.55015658104258669</v>
      </c>
      <c r="W40" s="99">
        <f>MAX(Tabela3[[#This Row],[Div PNA (PL)]],Tabela3[[#This Row],[Div PNA (CS)]])</f>
        <v>0.55015658104258669</v>
      </c>
      <c r="X40" s="6">
        <f>[Div. Pref]*[Ações]</f>
        <v>1948862.019083895</v>
      </c>
      <c r="Y40" s="19">
        <f>IF(GETPIVOTDATA("Payout",'Tabela LL'!$A$3,"Ativo",Tabela3[[#This Row],[PAPEL]])&gt;1,1,GETPIVOTDATA("Payout",'Tabela LL'!$A$3,"Ativo",Tabela3[[#This Row],[PAPEL]]))</f>
        <v>0.39260782255861065</v>
      </c>
      <c r="Z40" s="6">
        <f>[Patrimônio Líquido]/[Total Ações]</f>
        <v>12.246739788605439</v>
      </c>
      <c r="AA40" s="50">
        <f>MAX(Tabela3[[#This Row],[Cotação 1]],Tabela3[[#This Row],[Cotação 2]])</f>
        <v>15.72</v>
      </c>
      <c r="AB40" s="46">
        <f>[Cotação]/[VPA]</f>
        <v>1.2836069248916466</v>
      </c>
      <c r="AC40" s="42">
        <f>IF(Tabela3[[#This Row],[Lucro/Ação]]&gt;0,Tabela3[[#This Row],[Cotação]]/(Tabela3[[#This Row],[Lucro/Ação]]/[Ref]*4),0)</f>
        <v>8.0009841232253454</v>
      </c>
      <c r="AD40" s="42">
        <f>IF([Div. Mínimo]=0,0,[Lucro Distribuir]*[Payout]/[Total Ações])</f>
        <v>0</v>
      </c>
      <c r="AE40" s="99">
        <f>IF(AND([Div. Pref]&gt;0,[Div. Mínimo]&gt;0),[Div. Mínimo]+[Div. Pref],IF([Div. Pref]&gt;0,[Div. Pref],IF([Div. Mínimo]&gt;0,[Div. Mínimo],0)))</f>
        <v>0.55015658104258669</v>
      </c>
      <c r="AF40" s="99">
        <f>[Lucro Distribuir]/[Total Ações]</f>
        <v>1.3998902919313472</v>
      </c>
      <c r="AG40" s="99">
        <f>IF([Lucro Payout]&gt;[Lucro Dist./Ação],MAX(Tabela3[[#This Row],[Lucro Atual]:[Lucro Dist./Ação]]),MAX(Tabela3[[#This Row],[Lucro Payout]:[Lucro Atual]]))</f>
        <v>0.55015658104258669</v>
      </c>
      <c r="AH40" s="15" t="str">
        <f>IF(AND([% A.A.]&gt;=10%,[PVPA]&lt;=2,[PL]&lt;=15,[PL]&gt;0),"Sim","Não")</f>
        <v>Não</v>
      </c>
      <c r="AI40" s="44">
        <f>Tabela3[[#This Row],[Lucro]]/Tabela3[[#This Row],[Cotação]]</f>
        <v>3.4997237979808311E-2</v>
      </c>
      <c r="AJ40" s="19">
        <f>((1+Tabela3[[#This Row],[% Yield]])^(1/(3*Tabela3[[#This Row],[Ref]])))^(12)-1</f>
        <v>4.6933076752710745E-2</v>
      </c>
      <c r="AK40" s="14">
        <f>($AQ$1/Tabela3[[#This Row],[Cotação]]-MOD($AQ$1/Tabela3[[#This Row],[Cotação]],100))</f>
        <v>0</v>
      </c>
      <c r="AL40" s="17">
        <f>Tabela3[[#This Row],[Ativos]]*Tabela3[[#This Row],[Lucro Atual]]</f>
        <v>0</v>
      </c>
      <c r="AM40" s="5">
        <f>SUMPRODUCT(N(Tabela1[Código]=Tabela3[[#This Row],[PAPEL]]),Tabela1[Fechamento])</f>
        <v>15.72</v>
      </c>
      <c r="AN40" s="5">
        <f>SUMPRODUCT(N(Tabela17[Código]=Tabela3[[#This Row],[PAPEL]]),Tabela17[Fechamento])</f>
        <v>0</v>
      </c>
    </row>
    <row r="41" spans="1:40">
      <c r="A41" s="4" t="s">
        <v>14</v>
      </c>
      <c r="B41" s="68" t="s">
        <v>23</v>
      </c>
      <c r="C41" s="14" t="str">
        <f>LEFT([PAPEL],LEN([PAPEL])-(LEN([PAPEL])-4))</f>
        <v>BRSR</v>
      </c>
      <c r="D41" s="15">
        <v>3</v>
      </c>
      <c r="E41" s="6">
        <v>3750000000</v>
      </c>
      <c r="F41" s="8">
        <v>200388726</v>
      </c>
      <c r="G41" s="19">
        <v>0.25</v>
      </c>
      <c r="H41" s="15"/>
      <c r="I41" s="19"/>
      <c r="J41" s="19"/>
      <c r="K41" s="19">
        <v>0.1</v>
      </c>
      <c r="L41" s="6">
        <v>5008604000</v>
      </c>
      <c r="M41" s="6">
        <v>602652000</v>
      </c>
      <c r="N41" s="6">
        <f>Tabela3[[#This Row],[Capital Social]]*20%</f>
        <v>750000000</v>
      </c>
      <c r="O41" s="6">
        <f>IF(([Lucro Líquido]*5%)&gt;[Teto R. Legal],[Teto R. Legal],[Lucro Líquido]*5%)</f>
        <v>30132600</v>
      </c>
      <c r="P41" s="6">
        <f>IF([Lucro Líquido]&lt;0,0,[Lucro Líquido]-[Reserva Legal])</f>
        <v>572519400</v>
      </c>
      <c r="Q41" s="40">
        <v>408974477</v>
      </c>
      <c r="R41" s="6">
        <f>[Capital Social]/[Total Ações]</f>
        <v>9.1692763507097776</v>
      </c>
      <c r="S41" s="13">
        <f>Tabela3[[#This Row],[Lucro Líquido]]/Tabela3[[#This Row],[Total Ações]]</f>
        <v>1.4735687283487864</v>
      </c>
      <c r="T4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0.37112784571110591</v>
      </c>
      <c r="U41" s="99">
        <f>[Patrimônio Líquido]*[% PNA (PL)]/[Total Ações]</f>
        <v>0</v>
      </c>
      <c r="V41" s="99">
        <f>[Capital Social]*[% PNA (CS)]/[Total Ações]</f>
        <v>0</v>
      </c>
      <c r="W41" s="99">
        <f>MAX(Tabela3[[#This Row],[Div PNA (PL)]],Tabela3[[#This Row],[Div PNA (CS)]])</f>
        <v>0</v>
      </c>
      <c r="X41" s="6">
        <f>[Div. Pref]*[Ações]</f>
        <v>0</v>
      </c>
      <c r="Y41" s="19">
        <f>IF(GETPIVOTDATA("Payout",'Tabela LL'!$A$3,"Ativo",Tabela3[[#This Row],[PAPEL]])&gt;1,1,GETPIVOTDATA("Payout",'Tabela LL'!$A$3,"Ativo",Tabela3[[#This Row],[PAPEL]]))</f>
        <v>0.38941510854732531</v>
      </c>
      <c r="Z41" s="6">
        <f>[Patrimônio Líquido]/[Total Ações]</f>
        <v>12.246739788605439</v>
      </c>
      <c r="AA41" s="50">
        <f>MAX(Tabela3[[#This Row],[Cotação 1]],Tabela3[[#This Row],[Cotação 2]])</f>
        <v>11.92</v>
      </c>
      <c r="AB41" s="46">
        <f>[Cotação]/[VPA]</f>
        <v>0.97332026365829682</v>
      </c>
      <c r="AC41" s="42">
        <f>IF(Tabela3[[#This Row],[Lucro/Ação]]&gt;0,Tabela3[[#This Row],[Cotação]]/(Tabela3[[#This Row],[Lucro/Ação]]/[Ref]*4),0)</f>
        <v>6.0669039916568765</v>
      </c>
      <c r="AD41" s="42">
        <f>IF([Div. Mínimo]=0,0,[Lucro Distribuir]*[Payout]/[Total Ações])</f>
        <v>0.54513842998679241</v>
      </c>
      <c r="AE41" s="99">
        <f>IF(AND([Div. Pref]&gt;0,[Div. Mínimo]&gt;0),[Div. Mínimo]+[Div. Pref],IF([Div. Pref]&gt;0,[Div. Pref],IF([Div. Mínimo]&gt;0,[Div. Mínimo],0)))</f>
        <v>0.37112784571110591</v>
      </c>
      <c r="AF41" s="99">
        <f>[Lucro Distribuir]/[Total Ações]</f>
        <v>1.3998902919313472</v>
      </c>
      <c r="AG41" s="99">
        <f>IF([Lucro Payout]&gt;[Lucro Dist./Ação],MAX(Tabela3[[#This Row],[Lucro Atual]:[Lucro Dist./Ação]]),MAX(Tabela3[[#This Row],[Lucro Payout]:[Lucro Atual]]))</f>
        <v>0.54513842998679241</v>
      </c>
      <c r="AH41" s="15" t="str">
        <f>IF(AND([% A.A.]&gt;=10%,[PVPA]&lt;=2,[PL]&lt;=15,[PL]&gt;0),"Sim","Não")</f>
        <v>Não</v>
      </c>
      <c r="AI41" s="44">
        <f>Tabela3[[#This Row],[Lucro]]/Tabela3[[#This Row],[Cotação]]</f>
        <v>4.5733089763992651E-2</v>
      </c>
      <c r="AJ41" s="19">
        <f>((1+Tabela3[[#This Row],[% Yield]])^(1/(3*Tabela3[[#This Row],[Ref]])))^(12)-1</f>
        <v>6.1437598584679565E-2</v>
      </c>
      <c r="AK41" s="14">
        <f>($AQ$1/Tabela3[[#This Row],[Cotação]]-MOD($AQ$1/Tabela3[[#This Row],[Cotação]],100))</f>
        <v>0</v>
      </c>
      <c r="AL41" s="17">
        <f>Tabela3[[#This Row],[Ativos]]*Tabela3[[#This Row],[Lucro Atual]]</f>
        <v>0</v>
      </c>
      <c r="AM41" s="5">
        <f>SUMPRODUCT(N(Tabela1[Código]=Tabela3[[#This Row],[PAPEL]]),Tabela1[Fechamento])</f>
        <v>11.92</v>
      </c>
      <c r="AN41" s="5">
        <f>SUMPRODUCT(N(Tabela17[Código]=Tabela3[[#This Row],[PAPEL]]),Tabela17[Fechamento])</f>
        <v>0</v>
      </c>
    </row>
    <row r="42" spans="1:40">
      <c r="A42" s="4" t="s">
        <v>14</v>
      </c>
      <c r="B42" s="68" t="s">
        <v>240</v>
      </c>
      <c r="C42" s="15" t="str">
        <f>LEFT([PAPEL],LEN([PAPEL])-(LEN([PAPEL])-4))</f>
        <v>BSLI</v>
      </c>
      <c r="D42" s="16">
        <v>3</v>
      </c>
      <c r="E42" s="5">
        <v>500000000</v>
      </c>
      <c r="F42" s="60">
        <v>28014650</v>
      </c>
      <c r="G42" s="18">
        <v>0.25</v>
      </c>
      <c r="H42" s="16"/>
      <c r="I42" s="18"/>
      <c r="J42" s="18"/>
      <c r="L42" s="5">
        <v>1002748000</v>
      </c>
      <c r="M42" s="5">
        <v>143437000</v>
      </c>
      <c r="N42" s="5">
        <f>Tabela3[[#This Row],[Capital Social]]*20%</f>
        <v>100000000</v>
      </c>
      <c r="O42" s="5">
        <f>IF(([Lucro Líquido]*5%)&gt;[Teto R. Legal],[Teto R. Legal],[Lucro Líquido]*5%)</f>
        <v>7171850</v>
      </c>
      <c r="P42" s="5">
        <f>IF([Lucro Líquido]&lt;0,0,[Lucro Líquido]-[Reserva Legal])</f>
        <v>136265150</v>
      </c>
      <c r="Q42" s="21">
        <f>SUMPRODUCT(N([Nome]=Tabela3[[#This Row],[Nome]]),[Ações])</f>
        <v>36304650</v>
      </c>
      <c r="R42" s="5">
        <f>[Capital Social]/[Total Ações]</f>
        <v>13.772340457765052</v>
      </c>
      <c r="S42" s="49">
        <f>Tabela3[[#This Row],[Lucro Líquido]]/Tabela3[[#This Row],[Total Ações]]</f>
        <v>3.9509263964808916</v>
      </c>
      <c r="T42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0.90914953746724325</v>
      </c>
      <c r="U42" s="98">
        <f>[Patrimônio Líquido]*[% PNA (PL)]/[Total Ações]</f>
        <v>0</v>
      </c>
      <c r="V42" s="98">
        <f>[Capital Social]*[% PNA (CS)]/[Total Ações]</f>
        <v>0</v>
      </c>
      <c r="W42" s="98">
        <f>MAX(Tabela3[[#This Row],[Div PNA (PL)]],Tabela3[[#This Row],[Div PNA (CS)]])</f>
        <v>0</v>
      </c>
      <c r="X42" s="5">
        <f>[Div. Pref]*[Ações]</f>
        <v>0</v>
      </c>
      <c r="Y42" s="18">
        <f>IF(GETPIVOTDATA("Payout",'Tabela LL'!$A$3,"Ativo",Tabela3[[#This Row],[PAPEL]])&gt;1,1,GETPIVOTDATA("Payout",'Tabela LL'!$A$3,"Ativo",Tabela3[[#This Row],[PAPEL]]))</f>
        <v>0.14691424979139903</v>
      </c>
      <c r="Z42" s="5">
        <f>[Patrimônio Líquido]/[Total Ações]</f>
        <v>27.620373698685981</v>
      </c>
      <c r="AA42" s="56">
        <f>MAX(Tabela3[[#This Row],[Cotação 1]],Tabela3[[#This Row],[Cotação 2]])</f>
        <v>27.5</v>
      </c>
      <c r="AB42" s="57">
        <f>[Cotação]/[VPA]</f>
        <v>0.99564185119292181</v>
      </c>
      <c r="AC42" s="39">
        <f>IF(Tabela3[[#This Row],[Lucro/Ação]]&gt;0,Tabela3[[#This Row],[Cotação]]/(Tabela3[[#This Row],[Lucro/Ação]]/[Ref]*4),0)</f>
        <v>5.2202946676938309</v>
      </c>
      <c r="AD42" s="39">
        <f>IF([Div. Mínimo]=0,0,[Lucro Distribuir]*[Payout]/[Total Ações])</f>
        <v>0.55142501814402445</v>
      </c>
      <c r="AE42" s="98">
        <f>IF(AND([Div. Pref]&gt;0,[Div. Mínimo]&gt;0),[Div. Mínimo]+[Div. Pref],IF([Div. Pref]&gt;0,[Div. Pref],IF([Div. Mínimo]&gt;0,[Div. Mínimo],0)))</f>
        <v>0.90914953746724325</v>
      </c>
      <c r="AF42" s="98">
        <f>[Lucro Distribuir]/[Total Ações]</f>
        <v>3.753380076656847</v>
      </c>
      <c r="AG42" s="98">
        <f>IF([Lucro Payout]&gt;[Lucro Dist./Ação],MAX(Tabela3[[#This Row],[Lucro Atual]:[Lucro Dist./Ação]]),MAX(Tabela3[[#This Row],[Lucro Payout]:[Lucro Atual]]))</f>
        <v>0.90914953746724325</v>
      </c>
      <c r="AH42" s="16" t="str">
        <f>IF(AND([% A.A.]&gt;=10%,[PVPA]&lt;=2,[PL]&lt;=15,[PL]&gt;0),"Sim","Não")</f>
        <v>Não</v>
      </c>
      <c r="AI42" s="22">
        <f>Tabela3[[#This Row],[Lucro]]/Tabela3[[#This Row],[Cotação]]</f>
        <v>3.3059983180627028E-2</v>
      </c>
      <c r="AJ42" s="18">
        <f>((1+Tabela3[[#This Row],[% Yield]])^(1/(3*Tabela3[[#This Row],[Ref]])))^(12)-1</f>
        <v>4.4321097920229091E-2</v>
      </c>
      <c r="AK42" s="10">
        <f>($AQ$1/Tabela3[[#This Row],[Cotação]]-MOD($AQ$1/Tabela3[[#This Row],[Cotação]],100))</f>
        <v>0</v>
      </c>
      <c r="AL42" s="7">
        <f>Tabela3[[#This Row],[Ativos]]*Tabela3[[#This Row],[Lucro Atual]]</f>
        <v>0</v>
      </c>
      <c r="AM42" s="5">
        <f>SUMPRODUCT(N(Tabela1[Código]=Tabela3[[#This Row],[PAPEL]]),Tabela1[Fechamento])</f>
        <v>27.5</v>
      </c>
      <c r="AN42" s="5">
        <f>SUMPRODUCT(N(Tabela17[Código]=Tabela3[[#This Row],[PAPEL]]),Tabela17[Fechamento])</f>
        <v>0</v>
      </c>
    </row>
    <row r="43" spans="1:40">
      <c r="A43" s="4" t="s">
        <v>14</v>
      </c>
      <c r="B43" s="68" t="s">
        <v>241</v>
      </c>
      <c r="C43" s="14" t="str">
        <f>LEFT([PAPEL],LEN([PAPEL])-(LEN([PAPEL])-4))</f>
        <v>BSLI</v>
      </c>
      <c r="D43" s="15">
        <v>3</v>
      </c>
      <c r="E43" s="5">
        <v>500000000</v>
      </c>
      <c r="F43" s="8">
        <v>8290000</v>
      </c>
      <c r="G43" s="19">
        <v>0.25</v>
      </c>
      <c r="H43" s="15"/>
      <c r="I43" s="19"/>
      <c r="J43" s="19"/>
      <c r="K43" s="19">
        <v>0.1</v>
      </c>
      <c r="L43" s="5">
        <v>1002748000</v>
      </c>
      <c r="M43" s="5">
        <v>143437000</v>
      </c>
      <c r="N43" s="5">
        <f>Tabela3[[#This Row],[Capital Social]]*20%</f>
        <v>100000000</v>
      </c>
      <c r="O43" s="5">
        <f>IF(([Lucro Líquido]*5%)&gt;[Teto R. Legal],[Teto R. Legal],[Lucro Líquido]*5%)</f>
        <v>7171850</v>
      </c>
      <c r="P43" s="5">
        <f>IF([Lucro Líquido]&lt;0,0,[Lucro Líquido]-[Reserva Legal])</f>
        <v>136265150</v>
      </c>
      <c r="Q43" s="21">
        <f>SUMPRODUCT(N([Nome]=Tabela3[[#This Row],[Nome]]),[Ações])</f>
        <v>36304650</v>
      </c>
      <c r="R43" s="5">
        <f>[Capital Social]/[Total Ações]</f>
        <v>13.772340457765052</v>
      </c>
      <c r="S43" s="13">
        <f>Tabela3[[#This Row],[Lucro Líquido]]/Tabela3[[#This Row],[Total Ações]]</f>
        <v>3.9509263964808916</v>
      </c>
      <c r="T4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1.0000644925839512</v>
      </c>
      <c r="U43" s="98">
        <f>[Patrimônio Líquido]*[% PNA (PL)]/[Total Ações]</f>
        <v>0</v>
      </c>
      <c r="V43" s="98">
        <f>[Capital Social]*[% PNA (CS)]/[Total Ações]</f>
        <v>0</v>
      </c>
      <c r="W43" s="98">
        <f>MAX(Tabela3[[#This Row],[Div PNA (PL)]],Tabela3[[#This Row],[Div PNA (CS)]])</f>
        <v>0</v>
      </c>
      <c r="X43" s="5">
        <f>[Div. Pref]*[Ações]</f>
        <v>0</v>
      </c>
      <c r="Y43" s="19">
        <f>IF(GETPIVOTDATA("Payout",'Tabela LL'!$A$3,"Ativo",Tabela3[[#This Row],[PAPEL]])&gt;1,1,GETPIVOTDATA("Payout",'Tabela LL'!$A$3,"Ativo",Tabela3[[#This Row],[PAPEL]]))</f>
        <v>0.28664546825986631</v>
      </c>
      <c r="Z43" s="6">
        <f>[Patrimônio Líquido]/[Total Ações]</f>
        <v>27.620373698685981</v>
      </c>
      <c r="AA43" s="50">
        <f>MAX(Tabela3[[#This Row],[Cotação 1]],Tabela3[[#This Row],[Cotação 2]])</f>
        <v>29.99</v>
      </c>
      <c r="AB43" s="46">
        <f>[Cotação]/[VPA]</f>
        <v>1.0857926951736627</v>
      </c>
      <c r="AC43" s="42">
        <f>IF(Tabela3[[#This Row],[Lucro/Ação]]&gt;0,Tabela3[[#This Row],[Cotação]]/(Tabela3[[#This Row],[Lucro/Ação]]/[Ref]*4),0)</f>
        <v>5.6929686212413806</v>
      </c>
      <c r="AD43" s="42">
        <f>IF([Div. Mínimo]=0,0,[Lucro Distribuir]*[Payout]/[Total Ações])</f>
        <v>1.0758893896305548</v>
      </c>
      <c r="AE43" s="99">
        <f>IF(AND([Div. Pref]&gt;0,[Div. Mínimo]&gt;0),[Div. Mínimo]+[Div. Pref],IF([Div. Pref]&gt;0,[Div. Pref],IF([Div. Mínimo]&gt;0,[Div. Mínimo],0)))</f>
        <v>1.0000644925839512</v>
      </c>
      <c r="AF43" s="99">
        <f>[Lucro Distribuir]/[Total Ações]</f>
        <v>3.753380076656847</v>
      </c>
      <c r="AG43" s="99">
        <f>IF([Lucro Payout]&gt;[Lucro Dist./Ação],MAX(Tabela3[[#This Row],[Lucro Atual]:[Lucro Dist./Ação]]),MAX(Tabela3[[#This Row],[Lucro Payout]:[Lucro Atual]]))</f>
        <v>1.0758893896305548</v>
      </c>
      <c r="AH43" s="15" t="str">
        <f>IF(AND([% A.A.]&gt;=10%,[PVPA]&lt;=2,[PL]&lt;=15,[PL]&gt;0),"Sim","Não")</f>
        <v>Não</v>
      </c>
      <c r="AI43" s="44">
        <f>Tabela3[[#This Row],[Lucro]]/Tabela3[[#This Row],[Cotação]]</f>
        <v>3.5874937967007497E-2</v>
      </c>
      <c r="AJ43" s="19">
        <f>((1+Tabela3[[#This Row],[% Yield]])^(1/(3*Tabela3[[#This Row],[Ref]])))^(12)-1</f>
        <v>4.8117006478523905E-2</v>
      </c>
      <c r="AK43" s="14">
        <f>($AQ$1/Tabela3[[#This Row],[Cotação]]-MOD($AQ$1/Tabela3[[#This Row],[Cotação]],100))</f>
        <v>0</v>
      </c>
      <c r="AL43" s="17">
        <f>Tabela3[[#This Row],[Ativos]]*Tabela3[[#This Row],[Lucro Atual]]</f>
        <v>0</v>
      </c>
      <c r="AM43" s="5">
        <f>SUMPRODUCT(N(Tabela1[Código]=Tabela3[[#This Row],[PAPEL]]),Tabela1[Fechamento])</f>
        <v>29.99</v>
      </c>
      <c r="AN43" s="5">
        <f>SUMPRODUCT(N(Tabela17[Código]=Tabela3[[#This Row],[PAPEL]]),Tabela17[Fechamento])</f>
        <v>0</v>
      </c>
    </row>
    <row r="44" spans="1:40">
      <c r="A44" s="4" t="s">
        <v>436</v>
      </c>
      <c r="B44" s="68" t="s">
        <v>435</v>
      </c>
      <c r="C44" s="104" t="str">
        <f>LEFT([PAPEL],LEN([PAPEL])-(LEN([PAPEL])-4))</f>
        <v>BVMF</v>
      </c>
      <c r="D44" s="15">
        <v>3</v>
      </c>
      <c r="E44" s="6"/>
      <c r="F44" s="8"/>
      <c r="G44" s="19"/>
      <c r="H44" s="15"/>
      <c r="I44" s="19"/>
      <c r="J44" s="19"/>
      <c r="K44" s="19"/>
      <c r="L44" s="6">
        <v>19321802000</v>
      </c>
      <c r="M44" s="6">
        <v>899387000</v>
      </c>
      <c r="N44" s="6">
        <f>Tabela3[[#This Row],[Capital Social]]*20%</f>
        <v>0</v>
      </c>
      <c r="O44" s="6">
        <f>IF(([Lucro Líquido]*5%)&gt;[Teto R. Legal],[Teto R. Legal],[Lucro Líquido]*5%)</f>
        <v>0</v>
      </c>
      <c r="P44" s="6">
        <f>IF([Lucro Líquido]&lt;0,0,[Lucro Líquido]-[Reserva Legal])</f>
        <v>899387000</v>
      </c>
      <c r="Q44" s="40">
        <v>1980000000</v>
      </c>
      <c r="R44" s="6">
        <f>[Capital Social]/[Total Ações]</f>
        <v>0</v>
      </c>
      <c r="S44" s="13">
        <f>Tabela3[[#This Row],[Lucro Líquido]]/Tabela3[[#This Row],[Total Ações]]</f>
        <v>0.45423585858585858</v>
      </c>
      <c r="T4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4" s="99">
        <f>[Patrimônio Líquido]*[% PNA (PL)]/[Total Ações]</f>
        <v>0</v>
      </c>
      <c r="V44" s="99">
        <f>[Capital Social]*[% PNA (CS)]/[Total Ações]</f>
        <v>0</v>
      </c>
      <c r="W44" s="99">
        <f>MAX(Tabela3[[#This Row],[Div PNA (PL)]],Tabela3[[#This Row],[Div PNA (CS)]])</f>
        <v>0</v>
      </c>
      <c r="X44" s="6">
        <f>[Div. Pref]*[Ações]</f>
        <v>0</v>
      </c>
      <c r="Y44" s="19">
        <f>IF(GETPIVOTDATA("Payout",'Tabela LL'!$A$3,"Ativo",Tabela3[[#This Row],[PAPEL]])&gt;1,1,GETPIVOTDATA("Payout",'Tabela LL'!$A$3,"Ativo",Tabela3[[#This Row],[PAPEL]]))</f>
        <v>0.84727522063961358</v>
      </c>
      <c r="Z44" s="6">
        <f>[Patrimônio Líquido]/[Total Ações]</f>
        <v>9.7584858585858587</v>
      </c>
      <c r="AA44" s="50">
        <f>MAX(Tabela3[[#This Row],[Cotação 1]],Tabela3[[#This Row],[Cotação 2]])</f>
        <v>10.25</v>
      </c>
      <c r="AB44" s="46">
        <f>[Cotação]/[VPA]</f>
        <v>1.0503678694150784</v>
      </c>
      <c r="AC44" s="42">
        <f>IF(Tabela3[[#This Row],[Lucro/Ação]]&gt;0,Tabela3[[#This Row],[Cotação]]/(Tabela3[[#This Row],[Lucro/Ação]]/[Ref]*4),0)</f>
        <v>16.924027142931799</v>
      </c>
      <c r="AD44" s="42">
        <f>IF([Div. Mínimo]=0,0,[Lucro Distribuir]*[Payout]/[Total Ações])</f>
        <v>0</v>
      </c>
      <c r="AE44" s="99">
        <f>IF(AND([Div. Pref]&gt;0,[Div. Mínimo]&gt;0),[Div. Mínimo]+[Div. Pref],IF([Div. Pref]&gt;0,[Div. Pref],IF([Div. Mínimo]&gt;0,[Div. Mínimo],0)))</f>
        <v>0</v>
      </c>
      <c r="AF44" s="99">
        <f>[Lucro Distribuir]/[Total Ações]</f>
        <v>0.45423585858585858</v>
      </c>
      <c r="AG44" s="99">
        <f>IF([Lucro Payout]&gt;[Lucro Dist./Ação],MAX(Tabela3[[#This Row],[Lucro Atual]:[Lucro Dist./Ação]]),MAX(Tabela3[[#This Row],[Lucro Payout]:[Lucro Atual]]))</f>
        <v>0</v>
      </c>
      <c r="AH44" s="15" t="str">
        <f>IF(AND([% A.A.]&gt;=10%,[PVPA]&lt;=2,[PL]&lt;=15,[PL]&gt;0),"Sim","Não")</f>
        <v>Não</v>
      </c>
      <c r="AI44" s="44">
        <f>Tabela3[[#This Row],[Lucro]]/Tabela3[[#This Row],[Cotação]]</f>
        <v>0</v>
      </c>
      <c r="AJ44" s="19">
        <f>((1+Tabela3[[#This Row],[% Yield]])^(1/(3*Tabela3[[#This Row],[Ref]])))^(12)-1</f>
        <v>0</v>
      </c>
      <c r="AK44" s="14">
        <f>($AQ$1/Tabela3[[#This Row],[Cotação]]-MOD($AQ$1/Tabela3[[#This Row],[Cotação]],100))</f>
        <v>0</v>
      </c>
      <c r="AL44" s="17">
        <f>Tabela3[[#This Row],[Ativos]]*Tabela3[[#This Row],[Lucro Atual]]</f>
        <v>0</v>
      </c>
      <c r="AM44" s="13">
        <f>SUMPRODUCT(N(Tabela1[Código]=Tabela3[[#This Row],[PAPEL]]),Tabela1[Fechamento])</f>
        <v>0</v>
      </c>
      <c r="AN44" s="59">
        <f>SUMPRODUCT(N(Tabela17[Código]=Tabela3[[#This Row],[PAPEL]]),Tabela17[Fechamento])</f>
        <v>10.25</v>
      </c>
    </row>
    <row r="45" spans="1:40">
      <c r="A45" s="4" t="s">
        <v>37</v>
      </c>
      <c r="B45" s="14" t="s">
        <v>194</v>
      </c>
      <c r="C45" s="14" t="str">
        <f>LEFT([PAPEL],LEN([PAPEL])-(LEN([PAPEL])-4))</f>
        <v>CASN</v>
      </c>
      <c r="D45" s="15">
        <v>3</v>
      </c>
      <c r="E45" s="6"/>
      <c r="F45" s="8"/>
      <c r="G45" s="19"/>
      <c r="H45" s="15"/>
      <c r="I45" s="19"/>
      <c r="J45" s="19"/>
      <c r="K45" s="19"/>
      <c r="L45" s="6">
        <v>1255450000</v>
      </c>
      <c r="M45" s="6">
        <v>19870000</v>
      </c>
      <c r="N45" s="6">
        <f>Tabela3[[#This Row],[Capital Social]]*20%</f>
        <v>0</v>
      </c>
      <c r="O45" s="6">
        <f>IF(([Lucro Líquido]*5%)&gt;[Teto R. Legal],[Teto R. Legal],[Lucro Líquido]*5%)</f>
        <v>0</v>
      </c>
      <c r="P45" s="6">
        <f>IF([Lucro Líquido]&lt;0,0,[Lucro Líquido]-[Reserva Legal])</f>
        <v>19870000</v>
      </c>
      <c r="Q45" s="40">
        <v>715094432</v>
      </c>
      <c r="R45" s="6">
        <f>[Capital Social]/[Total Ações]</f>
        <v>0</v>
      </c>
      <c r="S45" s="13">
        <f>Tabela3[[#This Row],[Lucro Líquido]]/Tabela3[[#This Row],[Total Ações]]</f>
        <v>2.7786539946097637E-2</v>
      </c>
      <c r="T4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5" s="99">
        <f>[Patrimônio Líquido]*[% PNA (PL)]/[Total Ações]</f>
        <v>0</v>
      </c>
      <c r="V45" s="99">
        <f>[Capital Social]*[% PNA (CS)]/[Total Ações]</f>
        <v>0</v>
      </c>
      <c r="W45" s="99">
        <f>MAX(Tabela3[[#This Row],[Div PNA (PL)]],Tabela3[[#This Row],[Div PNA (CS)]])</f>
        <v>0</v>
      </c>
      <c r="X45" s="6">
        <f>[Div. Pref]*[Ações]</f>
        <v>0</v>
      </c>
      <c r="Y45" s="19">
        <f>IF(GETPIVOTDATA("Payout",'Tabela LL'!$A$3,"Ativo",Tabela3[[#This Row],[PAPEL]])&gt;1,1,GETPIVOTDATA("Payout",'Tabela LL'!$A$3,"Ativo",Tabela3[[#This Row],[PAPEL]]))</f>
        <v>0.26641697668818037</v>
      </c>
      <c r="Z45" s="6">
        <f>[Patrimônio Líquido]/[Total Ações]</f>
        <v>1.7556422534136022</v>
      </c>
      <c r="AA45" s="50">
        <f>MAX(Tabela3[[#This Row],[Cotação 1]],Tabela3[[#This Row],[Cotação 2]])</f>
        <v>4.12</v>
      </c>
      <c r="AB45" s="46">
        <f>[Cotação]/[VPA]</f>
        <v>2.3467195506312479</v>
      </c>
      <c r="AC45" s="42">
        <f>IF(Tabela3[[#This Row],[Lucro/Ação]]&gt;0,Tabela3[[#This Row],[Cotação]]/(Tabela3[[#This Row],[Lucro/Ação]]/[Ref]*4),0)</f>
        <v>111.20492173527931</v>
      </c>
      <c r="AD45" s="42">
        <f>IF([Div. Mínimo]=0,0,[Lucro Distribuir]*[Payout]/[Total Ações])</f>
        <v>0</v>
      </c>
      <c r="AE45" s="99">
        <f>IF(AND([Div. Pref]&gt;0,[Div. Mínimo]&gt;0),[Div. Mínimo]+[Div. Pref],IF([Div. Pref]&gt;0,[Div. Pref],IF([Div. Mínimo]&gt;0,[Div. Mínimo],0)))</f>
        <v>0</v>
      </c>
      <c r="AF45" s="99">
        <f>[Lucro Distribuir]/[Total Ações]</f>
        <v>2.7786539946097637E-2</v>
      </c>
      <c r="AG45" s="99">
        <f>IF([Lucro Payout]&gt;[Lucro Dist./Ação],MAX(Tabela3[[#This Row],[Lucro Atual]:[Lucro Dist./Ação]]),MAX(Tabela3[[#This Row],[Lucro Payout]:[Lucro Atual]]))</f>
        <v>0</v>
      </c>
      <c r="AH45" s="15" t="str">
        <f>IF(AND([% A.A.]&gt;=10%,[PVPA]&lt;=2,[PL]&lt;=15,[PL]&gt;0),"Sim","Não")</f>
        <v>Não</v>
      </c>
      <c r="AI45" s="44">
        <f>Tabela3[[#This Row],[Lucro]]/Tabela3[[#This Row],[Cotação]]</f>
        <v>0</v>
      </c>
      <c r="AJ45" s="19">
        <f>((1+Tabela3[[#This Row],[% Yield]])^(1/(3*Tabela3[[#This Row],[Ref]])))^(12)-1</f>
        <v>0</v>
      </c>
      <c r="AK45" s="14">
        <f>($AQ$1/Tabela3[[#This Row],[Cotação]]-MOD($AQ$1/Tabela3[[#This Row],[Cotação]],100))</f>
        <v>0</v>
      </c>
      <c r="AL45" s="17">
        <f>Tabela3[[#This Row],[Ativos]]*Tabela3[[#This Row],[Lucro Atual]]</f>
        <v>0</v>
      </c>
      <c r="AM45" s="5">
        <f>SUMPRODUCT(N(Tabela1[Código]=Tabela3[[#This Row],[PAPEL]]),Tabela1[Fechamento])</f>
        <v>4.12</v>
      </c>
      <c r="AN45" s="5">
        <f>SUMPRODUCT(N(Tabela17[Código]=Tabela3[[#This Row],[PAPEL]]),Tabela17[Fechamento])</f>
        <v>0</v>
      </c>
    </row>
    <row r="46" spans="1:40">
      <c r="A46" s="3" t="s">
        <v>402</v>
      </c>
      <c r="B46" s="69" t="s">
        <v>409</v>
      </c>
      <c r="C46" s="105" t="str">
        <f>LEFT([PAPEL],LEN([PAPEL])-(LEN([PAPEL])-4))</f>
        <v>CCPR</v>
      </c>
      <c r="D46" s="16">
        <v>3</v>
      </c>
      <c r="E46" s="5"/>
      <c r="H46" s="16"/>
      <c r="I46" s="18"/>
      <c r="J46" s="18"/>
      <c r="L46" s="5">
        <v>709804000</v>
      </c>
      <c r="M46" s="5">
        <v>124200000</v>
      </c>
      <c r="N46" s="5">
        <f>Tabela3[[#This Row],[Capital Social]]*20%</f>
        <v>0</v>
      </c>
      <c r="O46" s="5">
        <f>IF(([Lucro Líquido]*5%)&gt;[Teto R. Legal],[Teto R. Legal],[Lucro Líquido]*5%)</f>
        <v>0</v>
      </c>
      <c r="P46" s="5">
        <f>IF([Lucro Líquido]&lt;0,0,[Lucro Líquido]-[Reserva Legal])</f>
        <v>124200000</v>
      </c>
      <c r="Q46" s="21">
        <v>83000000</v>
      </c>
      <c r="R46" s="5">
        <f>[Capital Social]/[Total Ações]</f>
        <v>0</v>
      </c>
      <c r="S46" s="49">
        <f>Tabela3[[#This Row],[Lucro Líquido]]/Tabela3[[#This Row],[Total Ações]]</f>
        <v>1.4963855421686747</v>
      </c>
      <c r="T4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6" s="98">
        <f>[Patrimônio Líquido]*[% PNA (PL)]/[Total Ações]</f>
        <v>0</v>
      </c>
      <c r="V46" s="98">
        <f>[Capital Social]*[% PNA (CS)]/[Total Ações]</f>
        <v>0</v>
      </c>
      <c r="W46" s="98">
        <f>MAX(Tabela3[[#This Row],[Div PNA (PL)]],Tabela3[[#This Row],[Div PNA (CS)]])</f>
        <v>0</v>
      </c>
      <c r="X46" s="5">
        <f>[Div. Pref]*[Ações]</f>
        <v>0</v>
      </c>
      <c r="Y46" s="18">
        <f>IF(GETPIVOTDATA("Payout",'Tabela LL'!$A$3,"Ativo",Tabela3[[#This Row],[PAPEL]])&gt;1,1,GETPIVOTDATA("Payout",'Tabela LL'!$A$3,"Ativo",Tabela3[[#This Row],[PAPEL]]))</f>
        <v>0.47701052442027075</v>
      </c>
      <c r="Z46" s="5">
        <f>[Patrimônio Líquido]/[Total Ações]</f>
        <v>8.5518554216867475</v>
      </c>
      <c r="AA46" s="56">
        <f>MAX(Tabela3[[#This Row],[Cotação 1]],Tabela3[[#This Row],[Cotação 2]])</f>
        <v>20.6</v>
      </c>
      <c r="AB46" s="57">
        <f>[Cotação]/[VPA]</f>
        <v>2.4088339879741452</v>
      </c>
      <c r="AC46" s="39">
        <f>IF(Tabela3[[#This Row],[Lucro/Ação]]&gt;0,Tabela3[[#This Row],[Cotação]]/(Tabela3[[#This Row],[Lucro/Ação]]/[Ref]*4),0)</f>
        <v>10.32487922705314</v>
      </c>
      <c r="AD46" s="39">
        <f>IF([Div. Mínimo]=0,0,[Lucro Distribuir]*[Payout]/[Total Ações])</f>
        <v>0</v>
      </c>
      <c r="AE46" s="98">
        <f>IF(AND([Div. Pref]&gt;0,[Div. Mínimo]&gt;0),[Div. Mínimo]+[Div. Pref],IF([Div. Pref]&gt;0,[Div. Pref],IF([Div. Mínimo]&gt;0,[Div. Mínimo],0)))</f>
        <v>0</v>
      </c>
      <c r="AF46" s="98">
        <f>[Lucro Distribuir]/[Total Ações]</f>
        <v>1.4963855421686747</v>
      </c>
      <c r="AG46" s="98">
        <f>IF([Lucro Payout]&gt;[Lucro Dist./Ação],MAX(Tabela3[[#This Row],[Lucro Atual]:[Lucro Dist./Ação]]),MAX(Tabela3[[#This Row],[Lucro Payout]:[Lucro Atual]]))</f>
        <v>0</v>
      </c>
      <c r="AH46" s="16" t="str">
        <f>IF(AND([% A.A.]&gt;=10%,[PVPA]&lt;=2,[PL]&lt;=15,[PL]&gt;0),"Sim","Não")</f>
        <v>Não</v>
      </c>
      <c r="AI46" s="22">
        <f>Tabela3[[#This Row],[Lucro]]/Tabela3[[#This Row],[Cotação]]</f>
        <v>0</v>
      </c>
      <c r="AJ46" s="18">
        <f>((1+Tabela3[[#This Row],[% Yield]])^(1/(3*Tabela3[[#This Row],[Ref]])))^(12)-1</f>
        <v>0</v>
      </c>
      <c r="AK46" s="10">
        <f>($AQ$1/Tabela3[[#This Row],[Cotação]]-MOD($AQ$1/Tabela3[[#This Row],[Cotação]],100))</f>
        <v>0</v>
      </c>
      <c r="AL46" s="7">
        <f>Tabela3[[#This Row],[Ativos]]*Tabela3[[#This Row],[Lucro Atual]]</f>
        <v>0</v>
      </c>
      <c r="AM46" s="49">
        <f>SUMPRODUCT(N(Tabela1[Código]=Tabela3[[#This Row],[PAPEL]]),Tabela1[Fechamento])</f>
        <v>0</v>
      </c>
      <c r="AN46" s="58">
        <f>SUMPRODUCT(N(Tabela17[Código]=Tabela3[[#This Row],[PAPEL]]),Tabela17[Fechamento])</f>
        <v>20.6</v>
      </c>
    </row>
    <row r="47" spans="1:40">
      <c r="A47" s="4" t="s">
        <v>12</v>
      </c>
      <c r="B47" s="68" t="s">
        <v>94</v>
      </c>
      <c r="C47" s="14" t="str">
        <f>LEFT([PAPEL],LEN([PAPEL])-(LEN([PAPEL])-4))</f>
        <v>CEBR</v>
      </c>
      <c r="D47" s="15">
        <v>3</v>
      </c>
      <c r="E47" s="6">
        <v>342056165.62</v>
      </c>
      <c r="F47" s="8">
        <v>4576432</v>
      </c>
      <c r="G47" s="19">
        <v>0.25</v>
      </c>
      <c r="H47" s="15"/>
      <c r="I47" s="19"/>
      <c r="J47" s="19"/>
      <c r="K47" s="19"/>
      <c r="L47" s="6">
        <v>465994000</v>
      </c>
      <c r="M47" s="6">
        <v>17904000</v>
      </c>
      <c r="N47" s="6">
        <f>Tabela3[[#This Row],[Capital Social]]*20%</f>
        <v>68411233.123999998</v>
      </c>
      <c r="O47" s="6">
        <f>IF(([Lucro Líquido]*5%)&gt;[Teto R. Legal],[Teto R. Legal],[Lucro Líquido]*5%)</f>
        <v>895200</v>
      </c>
      <c r="P47" s="6">
        <f>IF([Lucro Líquido]&lt;0,0,[Lucro Líquido]-[Reserva Legal])</f>
        <v>17008800</v>
      </c>
      <c r="Q47" s="21">
        <f>SUMPRODUCT(N([Nome]=Tabela3[[#This Row],[Nome]]),[Ações])</f>
        <v>9183458</v>
      </c>
      <c r="R47" s="6">
        <f>[Capital Social]/[Total Ações]</f>
        <v>37.246989709105222</v>
      </c>
      <c r="S47" s="13">
        <f>Tabela3[[#This Row],[Lucro Líquido]]/Tabela3[[#This Row],[Total Ações]]</f>
        <v>1.9495924084369962</v>
      </c>
      <c r="T4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-8.1105490991050147E-2</v>
      </c>
      <c r="U47" s="99">
        <f>[Patrimônio Líquido]*[% PNA (PL)]/[Total Ações]</f>
        <v>0</v>
      </c>
      <c r="V47" s="99">
        <f>[Capital Social]*[% PNA (CS)]/[Total Ações]</f>
        <v>0</v>
      </c>
      <c r="W47" s="99">
        <f>MAX(Tabela3[[#This Row],[Div PNA (PL)]],Tabela3[[#This Row],[Div PNA (CS)]])</f>
        <v>0</v>
      </c>
      <c r="X47" s="6">
        <f>[Div. Pref]*[Ações]</f>
        <v>0</v>
      </c>
      <c r="Y47" s="19">
        <f>IF(GETPIVOTDATA("Payout",'Tabela LL'!$A$3,"Ativo",Tabela3[[#This Row],[PAPEL]])&gt;1,1,GETPIVOTDATA("Payout",'Tabela LL'!$A$3,"Ativo",Tabela3[[#This Row],[PAPEL]]))</f>
        <v>0.47419139568365454</v>
      </c>
      <c r="Z47" s="6">
        <f>[Patrimônio Líquido]/[Total Ações]</f>
        <v>50.742759426786726</v>
      </c>
      <c r="AA47" s="50">
        <f>MAX(Tabela3[[#This Row],[Cotação 1]],Tabela3[[#This Row],[Cotação 2]])</f>
        <v>16.510000000000002</v>
      </c>
      <c r="AB47" s="46">
        <f>[Cotação]/[VPA]</f>
        <v>0.32536661755301577</v>
      </c>
      <c r="AC47" s="42">
        <f>IF(Tabela3[[#This Row],[Lucro/Ação]]&gt;0,Tabela3[[#This Row],[Cotação]]/(Tabela3[[#This Row],[Lucro/Ação]]/[Ref]*4),0)</f>
        <v>6.3513275628351211</v>
      </c>
      <c r="AD47" s="42">
        <f>IF([Div. Mínimo]=0,0,[Lucro Distribuir]*[Payout]/[Total Ações])</f>
        <v>0.87825594791244688</v>
      </c>
      <c r="AE47" s="99">
        <f>IF(AND([Div. Pref]&gt;0,[Div. Mínimo]&gt;0),[Div. Mínimo]+[Div. Pref],IF([Div. Pref]&gt;0,[Div. Pref],IF([Div. Mínimo]&gt;0,[Div. Mínimo],0)))</f>
        <v>0</v>
      </c>
      <c r="AF47" s="99">
        <f>[Lucro Distribuir]/[Total Ações]</f>
        <v>1.8521127880151464</v>
      </c>
      <c r="AG47" s="99">
        <f>IF([Lucro Payout]&gt;[Lucro Dist./Ação],MAX(Tabela3[[#This Row],[Lucro Atual]:[Lucro Dist./Ação]]),MAX(Tabela3[[#This Row],[Lucro Payout]:[Lucro Atual]]))</f>
        <v>0.87825594791244688</v>
      </c>
      <c r="AH47" s="15" t="str">
        <f>IF(AND([% A.A.]&gt;=10%,[PVPA]&lt;=2,[PL]&lt;=15,[PL]&gt;0),"Sim","Não")</f>
        <v>Não</v>
      </c>
      <c r="AI47" s="44">
        <f>Tabela3[[#This Row],[Lucro]]/Tabela3[[#This Row],[Cotação]]</f>
        <v>5.3195393574345655E-2</v>
      </c>
      <c r="AJ47" s="19">
        <f>((1+Tabela3[[#This Row],[% Yield]])^(1/(3*Tabela3[[#This Row],[Ref]])))^(12)-1</f>
        <v>7.1548751414938661E-2</v>
      </c>
      <c r="AK47" s="14">
        <f>($AQ$1/Tabela3[[#This Row],[Cotação]]-MOD($AQ$1/Tabela3[[#This Row],[Cotação]],100))</f>
        <v>0</v>
      </c>
      <c r="AL47" s="17">
        <f>Tabela3[[#This Row],[Ativos]]*Tabela3[[#This Row],[Lucro Atual]]</f>
        <v>0</v>
      </c>
      <c r="AM47" s="5">
        <f>SUMPRODUCT(N(Tabela1[Código]=Tabela3[[#This Row],[PAPEL]]),Tabela1[Fechamento])</f>
        <v>16.510000000000002</v>
      </c>
      <c r="AN47" s="5">
        <f>SUMPRODUCT(N(Tabela17[Código]=Tabela3[[#This Row],[PAPEL]]),Tabela17[Fechamento])</f>
        <v>0</v>
      </c>
    </row>
    <row r="48" spans="1:40">
      <c r="A48" s="4" t="s">
        <v>12</v>
      </c>
      <c r="B48" s="68" t="s">
        <v>95</v>
      </c>
      <c r="C48" s="14" t="str">
        <f>LEFT([PAPEL],LEN([PAPEL])-(LEN([PAPEL])-4))</f>
        <v>CEBR</v>
      </c>
      <c r="D48" s="15">
        <v>3</v>
      </c>
      <c r="E48" s="6">
        <v>342056165.62</v>
      </c>
      <c r="F48" s="8">
        <v>1313002</v>
      </c>
      <c r="G48" s="19"/>
      <c r="H48" s="15"/>
      <c r="I48" s="19">
        <v>0.1</v>
      </c>
      <c r="J48" s="19"/>
      <c r="K48" s="19"/>
      <c r="L48" s="6">
        <v>465994000</v>
      </c>
      <c r="M48" s="6">
        <v>17904000</v>
      </c>
      <c r="N48" s="6">
        <f>Tabela3[[#This Row],[Capital Social]]*20%</f>
        <v>68411233.123999998</v>
      </c>
      <c r="O48" s="6">
        <f>IF(([Lucro Líquido]*5%)&gt;[Teto R. Legal],[Teto R. Legal],[Lucro Líquido]*5%)</f>
        <v>895200</v>
      </c>
      <c r="P48" s="6">
        <f>IF([Lucro Líquido]&lt;0,0,[Lucro Líquido]-[Reserva Legal])</f>
        <v>17008800</v>
      </c>
      <c r="Q48" s="21">
        <f>SUMPRODUCT(N([Nome]=Tabela3[[#This Row],[Nome]]),[Ações])</f>
        <v>9183458</v>
      </c>
      <c r="R48" s="6">
        <f>[Capital Social]/[Total Ações]</f>
        <v>37.246989709105222</v>
      </c>
      <c r="S48" s="13">
        <f>Tabela3[[#This Row],[Lucro Líquido]]/Tabela3[[#This Row],[Total Ações]]</f>
        <v>1.9495924084369962</v>
      </c>
      <c r="T4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48" s="99">
        <f>[Patrimônio Líquido]*[% PNA (PL)]/[Total Ações]</f>
        <v>0</v>
      </c>
      <c r="V48" s="99">
        <f>[Capital Social]*[% PNA (CS)]/[Total Ações]</f>
        <v>3.7246989709105218</v>
      </c>
      <c r="W48" s="99">
        <f>MAX(Tabela3[[#This Row],[Div PNA (PL)]],Tabela3[[#This Row],[Div PNA (CS)]])</f>
        <v>3.7246989709105218</v>
      </c>
      <c r="X48" s="6">
        <f>[Div. Pref]*[Ações]</f>
        <v>4890537.1982034566</v>
      </c>
      <c r="Y48" s="19">
        <f>IF(GETPIVOTDATA("Payout",'Tabela LL'!$A$3,"Ativo",Tabela3[[#This Row],[PAPEL]])&gt;1,1,GETPIVOTDATA("Payout",'Tabela LL'!$A$3,"Ativo",Tabela3[[#This Row],[PAPEL]]))</f>
        <v>0.76106388540309444</v>
      </c>
      <c r="Z48" s="6">
        <f>[Patrimônio Líquido]/[Total Ações]</f>
        <v>50.742759426786726</v>
      </c>
      <c r="AA48" s="50">
        <f>MAX(Tabela3[[#This Row],[Cotação 1]],Tabela3[[#This Row],[Cotação 2]])</f>
        <v>24</v>
      </c>
      <c r="AB48" s="46">
        <f>[Cotação]/[VPA]</f>
        <v>0.47297388378391142</v>
      </c>
      <c r="AC48" s="42">
        <f>IF(Tabela3[[#This Row],[Lucro/Ação]]&gt;0,Tabela3[[#This Row],[Cotação]]/(Tabela3[[#This Row],[Lucro/Ação]]/[Ref]*4),0)</f>
        <v>9.2326990616621973</v>
      </c>
      <c r="AD48" s="96">
        <f>IF([Div. Mínimo]=0,0,[Lucro Distribuir]*[Payout]/[Total Ações])</f>
        <v>0</v>
      </c>
      <c r="AE48" s="99">
        <f>IF(AND([Div. Pref]&gt;0,[Div. Mínimo]&gt;0),[Div. Mínimo]+[Div. Pref],IF([Div. Pref]&gt;0,[Div. Pref],IF([Div. Mínimo]&gt;0,[Div. Mínimo],0)))</f>
        <v>3.7246989709105218</v>
      </c>
      <c r="AF48" s="99">
        <f>[Lucro Distribuir]/[Total Ações]</f>
        <v>1.8521127880151464</v>
      </c>
      <c r="AG48" s="99">
        <f>IF([Lucro Payout]&gt;[Lucro Dist./Ação],MAX(Tabela3[[#This Row],[Lucro Atual]:[Lucro Dist./Ação]]),MAX(Tabela3[[#This Row],[Lucro Payout]:[Lucro Atual]]))</f>
        <v>3.7246989709105218</v>
      </c>
      <c r="AH48" s="15" t="str">
        <f>IF(AND([% A.A.]&gt;=10%,[PVPA]&lt;=2,[PL]&lt;=15,[PL]&gt;0),"Sim","Não")</f>
        <v>Sim</v>
      </c>
      <c r="AI48" s="44">
        <f>Tabela3[[#This Row],[Lucro]]/Tabela3[[#This Row],[Cotação]]</f>
        <v>0.15519579045460508</v>
      </c>
      <c r="AJ48" s="19">
        <f>((1+Tabela3[[#This Row],[% Yield]])^(1/(3*Tabela3[[#This Row],[Ref]])))^(12)-1</f>
        <v>0.21210654662147332</v>
      </c>
      <c r="AK48" s="14">
        <f>($AQ$1/Tabela3[[#This Row],[Cotação]]-MOD($AQ$1/Tabela3[[#This Row],[Cotação]],100))</f>
        <v>0</v>
      </c>
      <c r="AL48" s="17">
        <f>Tabela3[[#This Row],[Ativos]]*Tabela3[[#This Row],[Lucro Atual]]</f>
        <v>0</v>
      </c>
      <c r="AM48" s="5">
        <f>SUMPRODUCT(N(Tabela1[Código]=Tabela3[[#This Row],[PAPEL]]),Tabela1[Fechamento])</f>
        <v>24</v>
      </c>
      <c r="AN48" s="5">
        <f>SUMPRODUCT(N(Tabela17[Código]=Tabela3[[#This Row],[PAPEL]]),Tabela17[Fechamento])</f>
        <v>0</v>
      </c>
    </row>
    <row r="49" spans="1:40">
      <c r="A49" s="4" t="s">
        <v>12</v>
      </c>
      <c r="B49" s="68" t="s">
        <v>69</v>
      </c>
      <c r="C49" s="14" t="str">
        <f>LEFT([PAPEL],LEN([PAPEL])-(LEN([PAPEL])-4))</f>
        <v>CEBR</v>
      </c>
      <c r="D49" s="15">
        <v>3</v>
      </c>
      <c r="E49" s="6">
        <v>342056165.62</v>
      </c>
      <c r="F49" s="8">
        <v>3294024</v>
      </c>
      <c r="G49" s="19">
        <v>0.25</v>
      </c>
      <c r="H49" s="19"/>
      <c r="I49" s="19"/>
      <c r="J49" s="19"/>
      <c r="K49" s="19"/>
      <c r="L49" s="6">
        <v>465994000</v>
      </c>
      <c r="M49" s="6">
        <v>17904000</v>
      </c>
      <c r="N49" s="6">
        <f>Tabela3[[#This Row],[Capital Social]]*20%</f>
        <v>68411233.123999998</v>
      </c>
      <c r="O49" s="6">
        <f>IF(([Lucro Líquido]*5%)&gt;[Teto R. Legal],[Teto R. Legal],[Lucro Líquido]*5%)</f>
        <v>895200</v>
      </c>
      <c r="P49" s="6">
        <f>IF([Lucro Líquido]&lt;0,0,[Lucro Líquido]-[Reserva Legal])</f>
        <v>17008800</v>
      </c>
      <c r="Q49" s="21">
        <f>SUMPRODUCT(N([Nome]=Tabela3[[#This Row],[Nome]]),[Ações])</f>
        <v>9183458</v>
      </c>
      <c r="R49" s="6">
        <f>[Capital Social]/[Total Ações]</f>
        <v>37.246989709105222</v>
      </c>
      <c r="S49" s="13">
        <f>Tabela3[[#This Row],[Lucro Líquido]]/Tabela3[[#This Row],[Total Ações]]</f>
        <v>1.9495924084369962</v>
      </c>
      <c r="T4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-8.1105490991050147E-2</v>
      </c>
      <c r="U49" s="99">
        <f>[Patrimônio Líquido]*[% PNA (PL)]/[Total Ações]</f>
        <v>0</v>
      </c>
      <c r="V49" s="99">
        <f>[Capital Social]*[% PNA (CS)]/[Total Ações]</f>
        <v>0</v>
      </c>
      <c r="W49" s="99">
        <f>MAX(Tabela3[[#This Row],[Div PNA (PL)]],Tabela3[[#This Row],[Div PNA (CS)]])</f>
        <v>0</v>
      </c>
      <c r="X49" s="6">
        <f>[Div. Pref]*[Ações]</f>
        <v>0</v>
      </c>
      <c r="Y49" s="19">
        <f>IF(GETPIVOTDATA("Payout",'Tabela LL'!$A$3,"Ativo",Tabela3[[#This Row],[PAPEL]])&gt;1,1,GETPIVOTDATA("Payout",'Tabela LL'!$A$3,"Ativo",Tabela3[[#This Row],[PAPEL]]))</f>
        <v>0.7246803815404973</v>
      </c>
      <c r="Z49" s="6">
        <f>[Patrimônio Líquido]/[Total Ações]</f>
        <v>50.742759426786726</v>
      </c>
      <c r="AA49" s="50">
        <f>MAX(Tabela3[[#This Row],[Cotação 1]],Tabela3[[#This Row],[Cotação 2]])</f>
        <v>17.079999999999998</v>
      </c>
      <c r="AB49" s="46">
        <f>[Cotação]/[VPA]</f>
        <v>0.33659974729288356</v>
      </c>
      <c r="AC49" s="42">
        <f>IF(Tabela3[[#This Row],[Lucro/Ação]]&gt;0,Tabela3[[#This Row],[Cotação]]/(Tabela3[[#This Row],[Lucro/Ação]]/[Ref]*4),0)</f>
        <v>6.5706041655495975</v>
      </c>
      <c r="AD49" s="96">
        <f>IF([Div. Mínimo]=0,0,[Lucro Distribuir]*[Payout]/[Total Ações])</f>
        <v>1.3421898018748504</v>
      </c>
      <c r="AE49" s="99">
        <f>IF(AND([Div. Pref]&gt;0,[Div. Mínimo]&gt;0),[Div. Mínimo]+[Div. Pref],IF([Div. Pref]&gt;0,[Div. Pref],IF([Div. Mínimo]&gt;0,[Div. Mínimo],0)))</f>
        <v>0</v>
      </c>
      <c r="AF49" s="99">
        <f>[Lucro Distribuir]/[Total Ações]</f>
        <v>1.8521127880151464</v>
      </c>
      <c r="AG49" s="99">
        <f>IF([Lucro Payout]&gt;[Lucro Dist./Ação],MAX(Tabela3[[#This Row],[Lucro Atual]:[Lucro Dist./Ação]]),MAX(Tabela3[[#This Row],[Lucro Payout]:[Lucro Atual]]))</f>
        <v>1.3421898018748504</v>
      </c>
      <c r="AH49" s="14" t="str">
        <f>IF(AND([% A.A.]&gt;=10%,[PVPA]&lt;=2,[PL]&lt;=15,[PL]&gt;0),"Sim","Não")</f>
        <v>Sim</v>
      </c>
      <c r="AI49" s="44">
        <f>Tabela3[[#This Row],[Lucro]]/Tabela3[[#This Row],[Cotação]]</f>
        <v>7.8582541093375327E-2</v>
      </c>
      <c r="AJ49" s="19">
        <f>((1+Tabela3[[#This Row],[% Yield]])^(1/(3*Tabela3[[#This Row],[Ref]])))^(12)-1</f>
        <v>0.10612578121800742</v>
      </c>
      <c r="AK49" s="14">
        <f>($AQ$1/Tabela3[[#This Row],[Cotação]]-MOD($AQ$1/Tabela3[[#This Row],[Cotação]],100))</f>
        <v>0</v>
      </c>
      <c r="AL49" s="17">
        <f>Tabela3[[#This Row],[Ativos]]*Tabela3[[#This Row],[Lucro Atual]]</f>
        <v>0</v>
      </c>
      <c r="AM49" s="5">
        <f>SUMPRODUCT(N(Tabela1[Código]=Tabela3[[#This Row],[PAPEL]]),Tabela1[Fechamento])</f>
        <v>17.079999999999998</v>
      </c>
      <c r="AN49" s="5">
        <f>SUMPRODUCT(N(Tabela17[Código]=Tabela3[[#This Row],[PAPEL]]),Tabela17[Fechamento])</f>
        <v>0</v>
      </c>
    </row>
    <row r="50" spans="1:40">
      <c r="A50" s="4" t="s">
        <v>12</v>
      </c>
      <c r="B50" s="14" t="s">
        <v>92</v>
      </c>
      <c r="C50" s="14" t="str">
        <f>LEFT([PAPEL],LEN([PAPEL])-(LEN([PAPEL])-4))</f>
        <v>CEEB</v>
      </c>
      <c r="D50" s="15">
        <v>3</v>
      </c>
      <c r="E50" s="6"/>
      <c r="F50" s="8"/>
      <c r="G50" s="19"/>
      <c r="H50" s="15"/>
      <c r="I50" s="19"/>
      <c r="J50" s="19"/>
      <c r="K50" s="19"/>
      <c r="L50" s="6">
        <v>2778571000</v>
      </c>
      <c r="M50" s="6">
        <v>434008000</v>
      </c>
      <c r="N50" s="6">
        <f>Tabela3[[#This Row],[Capital Social]]*20%</f>
        <v>0</v>
      </c>
      <c r="O50" s="6">
        <f>IF(([Lucro Líquido]*5%)&gt;[Teto R. Legal],[Teto R. Legal],[Lucro Líquido]*5%)</f>
        <v>0</v>
      </c>
      <c r="P50" s="6">
        <f>IF([Lucro Líquido]&lt;0,0,[Lucro Líquido]-[Reserva Legal])</f>
        <v>434008000</v>
      </c>
      <c r="Q50" s="40">
        <v>188177338</v>
      </c>
      <c r="R50" s="6">
        <f>[Capital Social]/[Total Ações]</f>
        <v>0</v>
      </c>
      <c r="S50" s="13">
        <f>Tabela3[[#This Row],[Lucro Líquido]]/Tabela3[[#This Row],[Total Ações]]</f>
        <v>2.3063776149283184</v>
      </c>
      <c r="T5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0" s="99">
        <f>[Patrimônio Líquido]*[% PNA (PL)]/[Total Ações]</f>
        <v>0</v>
      </c>
      <c r="V50" s="99">
        <f>[Capital Social]*[% PNA (CS)]/[Total Ações]</f>
        <v>0</v>
      </c>
      <c r="W50" s="99">
        <f>MAX(Tabela3[[#This Row],[Div PNA (PL)]],Tabela3[[#This Row],[Div PNA (CS)]])</f>
        <v>0</v>
      </c>
      <c r="X50" s="6">
        <f>[Div. Pref]*[Ações]</f>
        <v>0</v>
      </c>
      <c r="Y50" s="19">
        <f>IF(GETPIVOTDATA("Payout",'Tabela LL'!$A$3,"Ativo",Tabela3[[#This Row],[PAPEL]])&gt;1,1,GETPIVOTDATA("Payout",'Tabela LL'!$A$3,"Ativo",Tabela3[[#This Row],[PAPEL]]))</f>
        <v>0.76692732207874426</v>
      </c>
      <c r="Z50" s="6">
        <f>[Patrimônio Líquido]/[Total Ações]</f>
        <v>14.765704677999006</v>
      </c>
      <c r="AA50" s="50">
        <f>MAX(Tabela3[[#This Row],[Cotação 1]],Tabela3[[#This Row],[Cotação 2]])</f>
        <v>31.98</v>
      </c>
      <c r="AB50" s="46">
        <f>[Cotação]/[VPA]</f>
        <v>2.1658295826307841</v>
      </c>
      <c r="AC50" s="42">
        <f>IF(Tabela3[[#This Row],[Lucro/Ação]]&gt;0,Tabela3[[#This Row],[Cotação]]/(Tabela3[[#This Row],[Lucro/Ação]]/[Ref]*4),0)</f>
        <v>10.399424554224806</v>
      </c>
      <c r="AD50" s="42">
        <f>IF([Div. Mínimo]=0,0,[Lucro Distribuir]*[Payout]/[Total Ações])</f>
        <v>0</v>
      </c>
      <c r="AE50" s="99">
        <f>IF(AND([Div. Pref]&gt;0,[Div. Mínimo]&gt;0),[Div. Mínimo]+[Div. Pref],IF([Div. Pref]&gt;0,[Div. Pref],IF([Div. Mínimo]&gt;0,[Div. Mínimo],0)))</f>
        <v>0</v>
      </c>
      <c r="AF50" s="99">
        <f>[Lucro Distribuir]/[Total Ações]</f>
        <v>2.3063776149283184</v>
      </c>
      <c r="AG50" s="99">
        <f>IF([Lucro Payout]&gt;[Lucro Dist./Ação],MAX(Tabela3[[#This Row],[Lucro Atual]:[Lucro Dist./Ação]]),MAX(Tabela3[[#This Row],[Lucro Payout]:[Lucro Atual]]))</f>
        <v>0</v>
      </c>
      <c r="AH50" s="15" t="str">
        <f>IF(AND([% A.A.]&gt;=10%,[PVPA]&lt;=2,[PL]&lt;=15,[PL]&gt;0),"Sim","Não")</f>
        <v>Não</v>
      </c>
      <c r="AI50" s="44">
        <f>Tabela3[[#This Row],[Lucro]]/Tabela3[[#This Row],[Cotação]]</f>
        <v>0</v>
      </c>
      <c r="AJ50" s="19">
        <f>((1+Tabela3[[#This Row],[% Yield]])^(1/(3*Tabela3[[#This Row],[Ref]])))^(12)-1</f>
        <v>0</v>
      </c>
      <c r="AK50" s="14">
        <f>($AQ$1/Tabela3[[#This Row],[Cotação]]-MOD($AQ$1/Tabela3[[#This Row],[Cotação]],100))</f>
        <v>0</v>
      </c>
      <c r="AL50" s="17">
        <f>Tabela3[[#This Row],[Ativos]]*Tabela3[[#This Row],[Lucro Atual]]</f>
        <v>0</v>
      </c>
      <c r="AM50" s="5">
        <f>SUMPRODUCT(N(Tabela1[Código]=Tabela3[[#This Row],[PAPEL]]),Tabela1[Fechamento])</f>
        <v>31.98</v>
      </c>
      <c r="AN50" s="5">
        <f>SUMPRODUCT(N(Tabela17[Código]=Tabela3[[#This Row],[PAPEL]]),Tabela17[Fechamento])</f>
        <v>0</v>
      </c>
    </row>
    <row r="51" spans="1:40">
      <c r="A51" s="4" t="s">
        <v>12</v>
      </c>
      <c r="B51" s="14" t="s">
        <v>93</v>
      </c>
      <c r="C51" s="14" t="str">
        <f>LEFT([PAPEL],LEN([PAPEL])-(LEN([PAPEL])-4))</f>
        <v>CEEB</v>
      </c>
      <c r="D51" s="15">
        <v>3</v>
      </c>
      <c r="E51" s="6"/>
      <c r="F51" s="8"/>
      <c r="G51" s="19"/>
      <c r="H51" s="15"/>
      <c r="I51" s="19"/>
      <c r="J51" s="19"/>
      <c r="K51" s="19"/>
      <c r="L51" s="6">
        <v>2778571000</v>
      </c>
      <c r="M51" s="6">
        <v>434008000</v>
      </c>
      <c r="N51" s="6">
        <f>Tabela3[[#This Row],[Capital Social]]*20%</f>
        <v>0</v>
      </c>
      <c r="O51" s="6">
        <f>IF(([Lucro Líquido]*5%)&gt;[Teto R. Legal],[Teto R. Legal],[Lucro Líquido]*5%)</f>
        <v>0</v>
      </c>
      <c r="P51" s="6">
        <f>IF([Lucro Líquido]&lt;0,0,[Lucro Líquido]-[Reserva Legal])</f>
        <v>434008000</v>
      </c>
      <c r="Q51" s="40">
        <v>188177338</v>
      </c>
      <c r="R51" s="6">
        <f>[Capital Social]/[Total Ações]</f>
        <v>0</v>
      </c>
      <c r="S51" s="13">
        <f>Tabela3[[#This Row],[Lucro Líquido]]/Tabela3[[#This Row],[Total Ações]]</f>
        <v>2.3063776149283184</v>
      </c>
      <c r="T5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1" s="99">
        <f>[Patrimônio Líquido]*[% PNA (PL)]/[Total Ações]</f>
        <v>0</v>
      </c>
      <c r="V51" s="99">
        <f>[Capital Social]*[% PNA (CS)]/[Total Ações]</f>
        <v>0</v>
      </c>
      <c r="W51" s="99">
        <f>MAX(Tabela3[[#This Row],[Div PNA (PL)]],Tabela3[[#This Row],[Div PNA (CS)]])</f>
        <v>0</v>
      </c>
      <c r="X51" s="6">
        <f>[Div. Pref]*[Ações]</f>
        <v>0</v>
      </c>
      <c r="Y51" s="19">
        <f>IF(GETPIVOTDATA("Payout",'Tabela LL'!$A$3,"Ativo",Tabela3[[#This Row],[PAPEL]])&gt;1,1,GETPIVOTDATA("Payout",'Tabela LL'!$A$3,"Ativo",Tabela3[[#This Row],[PAPEL]]))</f>
        <v>0.76692732207874426</v>
      </c>
      <c r="Z51" s="6">
        <f>[Patrimônio Líquido]/[Total Ações]</f>
        <v>14.765704677999006</v>
      </c>
      <c r="AA51" s="50">
        <f>MAX(Tabela3[[#This Row],[Cotação 1]],Tabela3[[#This Row],[Cotação 2]])</f>
        <v>32.01</v>
      </c>
      <c r="AB51" s="46">
        <f>[Cotação]/[VPA]</f>
        <v>2.1678613176989177</v>
      </c>
      <c r="AC51" s="42">
        <f>IF(Tabela3[[#This Row],[Lucro/Ação]]&gt;0,Tabela3[[#This Row],[Cotação]]/(Tabela3[[#This Row],[Lucro/Ação]]/[Ref]*4),0)</f>
        <v>10.409180111967981</v>
      </c>
      <c r="AD51" s="42">
        <f>IF([Div. Mínimo]=0,0,[Lucro Distribuir]*[Payout]/[Total Ações])</f>
        <v>0</v>
      </c>
      <c r="AE51" s="99">
        <f>IF(AND([Div. Pref]&gt;0,[Div. Mínimo]&gt;0),[Div. Mínimo]+[Div. Pref],IF([Div. Pref]&gt;0,[Div. Pref],IF([Div. Mínimo]&gt;0,[Div. Mínimo],0)))</f>
        <v>0</v>
      </c>
      <c r="AF51" s="99">
        <f>[Lucro Distribuir]/[Total Ações]</f>
        <v>2.3063776149283184</v>
      </c>
      <c r="AG51" s="99">
        <f>IF([Lucro Payout]&gt;[Lucro Dist./Ação],MAX(Tabela3[[#This Row],[Lucro Atual]:[Lucro Dist./Ação]]),MAX(Tabela3[[#This Row],[Lucro Payout]:[Lucro Atual]]))</f>
        <v>0</v>
      </c>
      <c r="AH51" s="15" t="str">
        <f>IF(AND([% A.A.]&gt;=10%,[PVPA]&lt;=2,[PL]&lt;=15,[PL]&gt;0),"Sim","Não")</f>
        <v>Não</v>
      </c>
      <c r="AI51" s="44">
        <f>Tabela3[[#This Row],[Lucro]]/Tabela3[[#This Row],[Cotação]]</f>
        <v>0</v>
      </c>
      <c r="AJ51" s="19">
        <f>((1+Tabela3[[#This Row],[% Yield]])^(1/(3*Tabela3[[#This Row],[Ref]])))^(12)-1</f>
        <v>0</v>
      </c>
      <c r="AK51" s="14">
        <f>($AQ$1/Tabela3[[#This Row],[Cotação]]-MOD($AQ$1/Tabela3[[#This Row],[Cotação]],100))</f>
        <v>0</v>
      </c>
      <c r="AL51" s="17">
        <f>Tabela3[[#This Row],[Ativos]]*Tabela3[[#This Row],[Lucro Atual]]</f>
        <v>0</v>
      </c>
      <c r="AM51" s="5">
        <f>SUMPRODUCT(N(Tabela1[Código]=Tabela3[[#This Row],[PAPEL]]),Tabela1[Fechamento])</f>
        <v>32.01</v>
      </c>
      <c r="AN51" s="5">
        <f>SUMPRODUCT(N(Tabela17[Código]=Tabela3[[#This Row],[PAPEL]]),Tabela17[Fechamento])</f>
        <v>0</v>
      </c>
    </row>
    <row r="52" spans="1:40">
      <c r="A52" s="4" t="s">
        <v>12</v>
      </c>
      <c r="B52" s="14" t="s">
        <v>70</v>
      </c>
      <c r="C52" s="14" t="str">
        <f>LEFT([PAPEL],LEN([PAPEL])-(LEN([PAPEL])-4))</f>
        <v>CEPE</v>
      </c>
      <c r="D52" s="15">
        <v>3</v>
      </c>
      <c r="E52" s="6"/>
      <c r="F52" s="8"/>
      <c r="G52" s="19"/>
      <c r="H52" s="15"/>
      <c r="I52" s="19"/>
      <c r="J52" s="19"/>
      <c r="K52" s="19"/>
      <c r="L52" s="6">
        <v>3707916000</v>
      </c>
      <c r="M52" s="6">
        <v>63180000</v>
      </c>
      <c r="N52" s="6">
        <f>Tabela3[[#This Row],[Capital Social]]*20%</f>
        <v>0</v>
      </c>
      <c r="O52" s="6">
        <f>IF(([Lucro Líquido]*5%)&gt;[Teto R. Legal],[Teto R. Legal],[Lucro Líquido]*5%)</f>
        <v>0</v>
      </c>
      <c r="P52" s="6">
        <f>IF([Lucro Líquido]&lt;0,0,[Lucro Líquido]-[Reserva Legal])</f>
        <v>63180000</v>
      </c>
      <c r="Q52" s="40">
        <v>74612388</v>
      </c>
      <c r="R52" s="6">
        <f>[Capital Social]/[Total Ações]</f>
        <v>0</v>
      </c>
      <c r="S52" s="13">
        <f>Tabela3[[#This Row],[Lucro Líquido]]/Tabela3[[#This Row],[Total Ações]]</f>
        <v>0.84677627527482435</v>
      </c>
      <c r="T5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2" s="99">
        <f>[Patrimônio Líquido]*[% PNA (PL)]/[Total Ações]</f>
        <v>0</v>
      </c>
      <c r="V52" s="99">
        <f>[Capital Social]*[% PNA (CS)]/[Total Ações]</f>
        <v>0</v>
      </c>
      <c r="W52" s="99">
        <f>MAX(Tabela3[[#This Row],[Div PNA (PL)]],Tabela3[[#This Row],[Div PNA (CS)]])</f>
        <v>0</v>
      </c>
      <c r="X52" s="6">
        <f>[Div. Pref]*[Ações]</f>
        <v>0</v>
      </c>
      <c r="Y52" s="43">
        <f>IF(GETPIVOTDATA("Payout",'Tabela LL'!$A$3,"Ativo",Tabela3[[#This Row],[PAPEL]])&gt;1,1,GETPIVOTDATA("Payout",'Tabela LL'!$A$3,"Ativo",Tabela3[[#This Row],[PAPEL]]))</f>
        <v>0.74283278628036531</v>
      </c>
      <c r="Z52" s="6">
        <f>[Patrimônio Líquido]/[Total Ações]</f>
        <v>49.69571540854583</v>
      </c>
      <c r="AA52" s="50">
        <f>MAX(Tabela3[[#This Row],[Cotação 1]],Tabela3[[#This Row],[Cotação 2]])</f>
        <v>18</v>
      </c>
      <c r="AB52" s="46">
        <f>[Cotação]/[VPA]</f>
        <v>0.36220426352700547</v>
      </c>
      <c r="AC52" s="42">
        <f>IF(Tabela3[[#This Row],[Lucro/Ação]]&gt;0,Tabela3[[#This Row],[Cotação]]/(Tabela3[[#This Row],[Lucro/Ação]]/[Ref]*4),0)</f>
        <v>15.942817948717947</v>
      </c>
      <c r="AD52" s="42">
        <f>IF([Div. Mínimo]=0,0,[Lucro Distribuir]*[Payout]/[Total Ações])</f>
        <v>0</v>
      </c>
      <c r="AE52" s="99">
        <f>IF(AND([Div. Pref]&gt;0,[Div. Mínimo]&gt;0),[Div. Mínimo]+[Div. Pref],IF([Div. Pref]&gt;0,[Div. Pref],IF([Div. Mínimo]&gt;0,[Div. Mínimo],0)))</f>
        <v>0</v>
      </c>
      <c r="AF52" s="99">
        <f>[Lucro Distribuir]/[Total Ações]</f>
        <v>0.84677627527482435</v>
      </c>
      <c r="AG52" s="99">
        <f>IF([Lucro Payout]&gt;[Lucro Dist./Ação],MAX(Tabela3[[#This Row],[Lucro Atual]:[Lucro Dist./Ação]]),MAX(Tabela3[[#This Row],[Lucro Payout]:[Lucro Atual]]))</f>
        <v>0</v>
      </c>
      <c r="AH52" s="14" t="str">
        <f>IF(AND([% A.A.]&gt;=10%,[PVPA]&lt;=2,[PL]&lt;=15,[PL]&gt;0),"Sim","Não")</f>
        <v>Não</v>
      </c>
      <c r="AI52" s="44">
        <f>Tabela3[[#This Row],[Lucro]]/Tabela3[[#This Row],[Cotação]]</f>
        <v>0</v>
      </c>
      <c r="AJ52" s="19">
        <f>((1+Tabela3[[#This Row],[% Yield]])^(1/(3*Tabela3[[#This Row],[Ref]])))^(12)-1</f>
        <v>0</v>
      </c>
      <c r="AK52" s="14">
        <f>($AQ$1/Tabela3[[#This Row],[Cotação]]-MOD($AQ$1/Tabela3[[#This Row],[Cotação]],100))</f>
        <v>0</v>
      </c>
      <c r="AL52" s="17">
        <f>Tabela3[[#This Row],[Ativos]]*Tabela3[[#This Row],[Lucro Atual]]</f>
        <v>0</v>
      </c>
      <c r="AM52" s="5">
        <f>SUMPRODUCT(N(Tabela1[Código]=Tabela3[[#This Row],[PAPEL]]),Tabela1[Fechamento])</f>
        <v>18</v>
      </c>
      <c r="AN52" s="5">
        <f>SUMPRODUCT(N(Tabela17[Código]=Tabela3[[#This Row],[PAPEL]]),Tabela17[Fechamento])</f>
        <v>0</v>
      </c>
    </row>
    <row r="53" spans="1:40">
      <c r="A53" s="4" t="s">
        <v>12</v>
      </c>
      <c r="B53" s="14" t="s">
        <v>96</v>
      </c>
      <c r="C53" s="14" t="str">
        <f>LEFT([PAPEL],LEN([PAPEL])-(LEN([PAPEL])-4))</f>
        <v>CEPE</v>
      </c>
      <c r="D53" s="15">
        <v>3</v>
      </c>
      <c r="E53" s="6"/>
      <c r="F53" s="8"/>
      <c r="G53" s="19"/>
      <c r="H53" s="15"/>
      <c r="I53" s="19"/>
      <c r="J53" s="19"/>
      <c r="K53" s="19"/>
      <c r="L53" s="6">
        <v>3707916000</v>
      </c>
      <c r="M53" s="6">
        <v>63180000</v>
      </c>
      <c r="N53" s="6">
        <f>Tabela3[[#This Row],[Capital Social]]*20%</f>
        <v>0</v>
      </c>
      <c r="O53" s="6">
        <f>IF(([Lucro Líquido]*5%)&gt;[Teto R. Legal],[Teto R. Legal],[Lucro Líquido]*5%)</f>
        <v>0</v>
      </c>
      <c r="P53" s="6">
        <f>IF([Lucro Líquido]&lt;0,0,[Lucro Líquido]-[Reserva Legal])</f>
        <v>63180000</v>
      </c>
      <c r="Q53" s="40">
        <v>74612388</v>
      </c>
      <c r="R53" s="6">
        <f>[Capital Social]/[Total Ações]</f>
        <v>0</v>
      </c>
      <c r="S53" s="13">
        <f>Tabela3[[#This Row],[Lucro Líquido]]/Tabela3[[#This Row],[Total Ações]]</f>
        <v>0.84677627527482435</v>
      </c>
      <c r="T5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3" s="99">
        <f>[Patrimônio Líquido]*[% PNA (PL)]/[Total Ações]</f>
        <v>0</v>
      </c>
      <c r="V53" s="99">
        <f>[Capital Social]*[% PNA (CS)]/[Total Ações]</f>
        <v>0</v>
      </c>
      <c r="W53" s="99">
        <f>MAX(Tabela3[[#This Row],[Div PNA (PL)]],Tabela3[[#This Row],[Div PNA (CS)]])</f>
        <v>0</v>
      </c>
      <c r="X53" s="6">
        <f>[Div. Pref]*[Ações]</f>
        <v>0</v>
      </c>
      <c r="Y53" s="19">
        <f>IF(GETPIVOTDATA("Payout",'Tabela LL'!$A$3,"Ativo",Tabela3[[#This Row],[PAPEL]])&gt;1,1,GETPIVOTDATA("Payout",'Tabela LL'!$A$3,"Ativo",Tabela3[[#This Row],[PAPEL]]))</f>
        <v>0.81719301958088741</v>
      </c>
      <c r="Z53" s="6">
        <f>[Patrimônio Líquido]/[Total Ações]</f>
        <v>49.69571540854583</v>
      </c>
      <c r="AA53" s="50">
        <f>MAX(Tabela3[[#This Row],[Cotação 1]],Tabela3[[#This Row],[Cotação 2]])</f>
        <v>21.51</v>
      </c>
      <c r="AB53" s="46">
        <f>[Cotação]/[VPA]</f>
        <v>0.43283409491477154</v>
      </c>
      <c r="AC53" s="42">
        <f>IF(Tabela3[[#This Row],[Lucro/Ação]]&gt;0,Tabela3[[#This Row],[Cotação]]/(Tabela3[[#This Row],[Lucro/Ação]]/[Ref]*4),0)</f>
        <v>19.05166744871795</v>
      </c>
      <c r="AD53" s="42">
        <f>IF([Div. Mínimo]=0,0,[Lucro Distribuir]*[Payout]/[Total Ações])</f>
        <v>0</v>
      </c>
      <c r="AE53" s="99">
        <f>IF(AND([Div. Pref]&gt;0,[Div. Mínimo]&gt;0),[Div. Mínimo]+[Div. Pref],IF([Div. Pref]&gt;0,[Div. Pref],IF([Div. Mínimo]&gt;0,[Div. Mínimo],0)))</f>
        <v>0</v>
      </c>
      <c r="AF53" s="99">
        <f>[Lucro Distribuir]/[Total Ações]</f>
        <v>0.84677627527482435</v>
      </c>
      <c r="AG53" s="99">
        <f>IF([Lucro Payout]&gt;[Lucro Dist./Ação],MAX(Tabela3[[#This Row],[Lucro Atual]:[Lucro Dist./Ação]]),MAX(Tabela3[[#This Row],[Lucro Payout]:[Lucro Atual]]))</f>
        <v>0</v>
      </c>
      <c r="AH53" s="15" t="str">
        <f>IF(AND([% A.A.]&gt;=10%,[PVPA]&lt;=2,[PL]&lt;=15,[PL]&gt;0),"Sim","Não")</f>
        <v>Não</v>
      </c>
      <c r="AI53" s="44">
        <f>Tabela3[[#This Row],[Lucro]]/Tabela3[[#This Row],[Cotação]]</f>
        <v>0</v>
      </c>
      <c r="AJ53" s="19">
        <f>((1+Tabela3[[#This Row],[% Yield]])^(1/(3*Tabela3[[#This Row],[Ref]])))^(12)-1</f>
        <v>0</v>
      </c>
      <c r="AK53" s="14">
        <f>($AQ$1/Tabela3[[#This Row],[Cotação]]-MOD($AQ$1/Tabela3[[#This Row],[Cotação]],100))</f>
        <v>0</v>
      </c>
      <c r="AL53" s="17">
        <f>Tabela3[[#This Row],[Ativos]]*Tabela3[[#This Row],[Lucro Atual]]</f>
        <v>0</v>
      </c>
      <c r="AM53" s="5">
        <f>SUMPRODUCT(N(Tabela1[Código]=Tabela3[[#This Row],[PAPEL]]),Tabela1[Fechamento])</f>
        <v>21.51</v>
      </c>
      <c r="AN53" s="5">
        <f>SUMPRODUCT(N(Tabela17[Código]=Tabela3[[#This Row],[PAPEL]]),Tabela17[Fechamento])</f>
        <v>0</v>
      </c>
    </row>
    <row r="54" spans="1:40">
      <c r="A54" s="4" t="s">
        <v>12</v>
      </c>
      <c r="B54" s="68" t="s">
        <v>72</v>
      </c>
      <c r="C54" s="104" t="str">
        <f>LEFT([PAPEL],LEN([PAPEL])-(LEN([PAPEL])-4))</f>
        <v>CESP</v>
      </c>
      <c r="D54" s="15">
        <v>3</v>
      </c>
      <c r="E54" s="6">
        <v>5975433454.4300003</v>
      </c>
      <c r="F54" s="8">
        <v>109167558</v>
      </c>
      <c r="G54" s="19">
        <v>0.25</v>
      </c>
      <c r="H54" s="19"/>
      <c r="I54" s="19"/>
      <c r="J54" s="19"/>
      <c r="K54" s="19"/>
      <c r="L54" s="6">
        <v>10479149000</v>
      </c>
      <c r="M54" s="6">
        <v>795212000</v>
      </c>
      <c r="N54" s="6">
        <f>Tabela3[[#This Row],[Capital Social]]*20%</f>
        <v>1195086690.8860002</v>
      </c>
      <c r="O54" s="6">
        <f>IF(([Lucro Líquido]*5%)&gt;[Teto R. Legal],[Teto R. Legal],[Lucro Líquido]*5%)</f>
        <v>39760600</v>
      </c>
      <c r="P54" s="6">
        <f>IF([Lucro Líquido]&lt;0,0,[Lucro Líquido]-[Reserva Legal])</f>
        <v>755451400</v>
      </c>
      <c r="Q54" s="21">
        <f>SUMPRODUCT(N([Nome]=Tabela3[[#This Row],[Nome]]),[Ações])</f>
        <v>327502673</v>
      </c>
      <c r="R54" s="6">
        <f>[Capital Social]/[Total Ações]</f>
        <v>18.245449417843378</v>
      </c>
      <c r="S54" s="13">
        <f>Tabela3[[#This Row],[Lucro Líquido]]/Tabela3[[#This Row],[Total Ações]]</f>
        <v>2.4281084264616064</v>
      </c>
      <c r="T5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0.5466194784539764</v>
      </c>
      <c r="U54" s="99">
        <f>[Patrimônio Líquido]*[% PNA (PL)]/[Total Ações]</f>
        <v>0</v>
      </c>
      <c r="V54" s="99">
        <f>[Capital Social]*[% PNA (CS)]/[Total Ações]</f>
        <v>0</v>
      </c>
      <c r="W54" s="99">
        <f>MAX(Tabela3[[#This Row],[Div PNA (PL)]],Tabela3[[#This Row],[Div PNA (CS)]])</f>
        <v>0</v>
      </c>
      <c r="X54" s="6">
        <f>[Div. Pref]*[Ações]</f>
        <v>0</v>
      </c>
      <c r="Y54" s="19">
        <f>IF(GETPIVOTDATA("Payout",'Tabela LL'!$A$3,"Ativo",Tabela3[[#This Row],[PAPEL]])&gt;1,1,GETPIVOTDATA("Payout",'Tabela LL'!$A$3,"Ativo",Tabela3[[#This Row],[PAPEL]]))</f>
        <v>1</v>
      </c>
      <c r="Z54" s="6">
        <f>[Patrimônio Líquido]/[Total Ações]</f>
        <v>31.99714037143141</v>
      </c>
      <c r="AA54" s="50">
        <f>MAX(Tabela3[[#This Row],[Cotação 1]],Tabela3[[#This Row],[Cotação 2]])</f>
        <v>19.79</v>
      </c>
      <c r="AB54" s="46">
        <f>[Cotação]/[VPA]</f>
        <v>0.61849277061238461</v>
      </c>
      <c r="AC54" s="42">
        <f>IF(Tabela3[[#This Row],[Lucro/Ação]]&gt;0,Tabela3[[#This Row],[Cotação]]/(Tabela3[[#This Row],[Lucro/Ação]]/[Ref]*4),0)</f>
        <v>6.1127830364764355</v>
      </c>
      <c r="AD54" s="96">
        <f>IF([Div. Mínimo]=0,0,[Lucro Distribuir]*[Payout]/[Total Ações])</f>
        <v>2.3067030051385262</v>
      </c>
      <c r="AE54" s="99">
        <f>IF(AND([Div. Pref]&gt;0,[Div. Mínimo]&gt;0),[Div. Mínimo]+[Div. Pref],IF([Div. Pref]&gt;0,[Div. Pref],IF([Div. Mínimo]&gt;0,[Div. Mínimo],0)))</f>
        <v>0.5466194784539764</v>
      </c>
      <c r="AF54" s="99">
        <f>[Lucro Distribuir]/[Total Ações]</f>
        <v>2.3067030051385262</v>
      </c>
      <c r="AG54" s="99">
        <f>IF([Lucro Payout]&gt;[Lucro Dist./Ação],MAX(Tabela3[[#This Row],[Lucro Atual]:[Lucro Dist./Ação]]),MAX(Tabela3[[#This Row],[Lucro Payout]:[Lucro Atual]]))</f>
        <v>2.3067030051385262</v>
      </c>
      <c r="AH54" s="14" t="str">
        <f>IF(AND([% A.A.]&gt;=10%,[PVPA]&lt;=2,[PL]&lt;=15,[PL]&gt;0),"Sim","Não")</f>
        <v>Sim</v>
      </c>
      <c r="AI54" s="44">
        <f>Tabela3[[#This Row],[Lucro]]/Tabela3[[#This Row],[Cotação]]</f>
        <v>0.11655901996657536</v>
      </c>
      <c r="AJ54" s="19">
        <f>((1+Tabela3[[#This Row],[% Yield]])^(1/(3*Tabela3[[#This Row],[Ref]])))^(12)-1</f>
        <v>0.15835651526044248</v>
      </c>
      <c r="AK54" s="14">
        <f>($AQ$1/Tabela3[[#This Row],[Cotação]]-MOD($AQ$1/Tabela3[[#This Row],[Cotação]],100))</f>
        <v>0</v>
      </c>
      <c r="AL54" s="17">
        <f>Tabela3[[#This Row],[Ativos]]*Tabela3[[#This Row],[Lucro Atual]]</f>
        <v>0</v>
      </c>
      <c r="AM54" s="5">
        <f>SUMPRODUCT(N(Tabela1[Código]=Tabela3[[#This Row],[PAPEL]]),Tabela1[Fechamento])</f>
        <v>19.79</v>
      </c>
      <c r="AN54" s="5">
        <f>SUMPRODUCT(N(Tabela17[Código]=Tabela3[[#This Row],[PAPEL]]),Tabela17[Fechamento])</f>
        <v>0</v>
      </c>
    </row>
    <row r="55" spans="1:40">
      <c r="A55" s="4" t="s">
        <v>12</v>
      </c>
      <c r="B55" s="68" t="s">
        <v>90</v>
      </c>
      <c r="C55" s="106" t="str">
        <f>LEFT([PAPEL],LEN([PAPEL])-(LEN([PAPEL])-4))</f>
        <v>CESP</v>
      </c>
      <c r="D55" s="15">
        <v>3</v>
      </c>
      <c r="E55" s="6">
        <v>5975433454.4300003</v>
      </c>
      <c r="F55" s="8">
        <v>7702726</v>
      </c>
      <c r="G55" s="19"/>
      <c r="H55" s="15"/>
      <c r="I55" s="19">
        <v>0.1</v>
      </c>
      <c r="J55" s="19"/>
      <c r="K55" s="19"/>
      <c r="L55" s="6">
        <v>10479149000</v>
      </c>
      <c r="M55" s="6">
        <v>795212000</v>
      </c>
      <c r="N55" s="13">
        <f>Tabela3[[#This Row],[Capital Social]]*20%</f>
        <v>1195086690.8860002</v>
      </c>
      <c r="O55" s="13">
        <f>IF(([Lucro Líquido]*5%)&gt;[Teto R. Legal],[Teto R. Legal],[Lucro Líquido]*5%)</f>
        <v>39760600</v>
      </c>
      <c r="P55" s="13">
        <f>IF([Lucro Líquido]&lt;0,0,[Lucro Líquido]-[Reserva Legal])</f>
        <v>755451400</v>
      </c>
      <c r="Q55" s="21">
        <f>SUMPRODUCT(N([Nome]=Tabela3[[#This Row],[Nome]]),[Ações])</f>
        <v>327502673</v>
      </c>
      <c r="R55" s="6">
        <f>[Capital Social]/[Total Ações]</f>
        <v>18.245449417843378</v>
      </c>
      <c r="S55" s="13">
        <f>Tabela3[[#This Row],[Lucro Líquido]]/Tabela3[[#This Row],[Total Ações]]</f>
        <v>2.4281084264616064</v>
      </c>
      <c r="T5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5" s="99">
        <f>[Patrimônio Líquido]*[% PNA (PL)]/[Total Ações]</f>
        <v>0</v>
      </c>
      <c r="V55" s="99">
        <f>[Capital Social]*[% PNA (CS)]/[Total Ações]</f>
        <v>1.824544941784338</v>
      </c>
      <c r="W55" s="99">
        <f>MAX(Tabela3[[#This Row],[Div PNA (PL)]],Tabela3[[#This Row],[Div PNA (CS)]])</f>
        <v>1.824544941784338</v>
      </c>
      <c r="X55" s="13">
        <f>[Div. Pref]*[Ações]</f>
        <v>14053969.761250706</v>
      </c>
      <c r="Y55" s="19" t="e">
        <f>IF(GETPIVOTDATA("Payout",'Tabela LL'!$A$3,"Ativo",Tabela3[[#This Row],[PAPEL]])&gt;1,1,GETPIVOTDATA("Payout",'Tabela LL'!$A$3,"Ativo",Tabela3[[#This Row],[PAPEL]]))</f>
        <v>#DIV/0!</v>
      </c>
      <c r="Z55" s="6">
        <f>[Patrimônio Líquido]/[Total Ações]</f>
        <v>31.99714037143141</v>
      </c>
      <c r="AA55" s="50">
        <f>MAX(Tabela3[[#This Row],[Cotação 1]],Tabela3[[#This Row],[Cotação 2]])</f>
        <v>21.64</v>
      </c>
      <c r="AB55" s="46">
        <f>[Cotação]/[VPA]</f>
        <v>0.67631043739525032</v>
      </c>
      <c r="AC55" s="42">
        <f>IF(Tabela3[[#This Row],[Lucro/Ação]]&gt;0,Tabela3[[#This Row],[Cotação]]/(Tabela3[[#This Row],[Lucro/Ação]]/[Ref]*4),0)</f>
        <v>6.6842155083047032</v>
      </c>
      <c r="AD55" s="96">
        <f>IF([Div. Mínimo]=0,0,[Lucro Distribuir]*[Payout]/[Total Ações])</f>
        <v>0</v>
      </c>
      <c r="AE55" s="99">
        <f>IF(AND([Div. Pref]&gt;0,[Div. Mínimo]&gt;0),[Div. Mínimo]+[Div. Pref],IF([Div. Pref]&gt;0,[Div. Pref],IF([Div. Mínimo]&gt;0,[Div. Mínimo],0)))</f>
        <v>1.824544941784338</v>
      </c>
      <c r="AF55" s="99">
        <f>[Lucro Distribuir]/[Total Ações]</f>
        <v>2.3067030051385262</v>
      </c>
      <c r="AG55" s="99">
        <f>IF([Lucro Payout]&gt;[Lucro Dist./Ação],MAX(Tabela3[[#This Row],[Lucro Atual]:[Lucro Dist./Ação]]),MAX(Tabela3[[#This Row],[Lucro Payout]:[Lucro Atual]]))</f>
        <v>1.824544941784338</v>
      </c>
      <c r="AH55" s="14" t="str">
        <f>IF(AND([% A.A.]&gt;=10%,[PVPA]&lt;=2,[PL]&lt;=15,[PL]&gt;0),"Sim","Não")</f>
        <v>Sim</v>
      </c>
      <c r="AI55" s="44">
        <f>Tabela3[[#This Row],[Lucro]]/Tabela3[[#This Row],[Cotação]]</f>
        <v>8.4313537051032256E-2</v>
      </c>
      <c r="AJ55" s="19">
        <f>((1+Tabela3[[#This Row],[% Yield]])^(1/(3*Tabela3[[#This Row],[Ref]])))^(12)-1</f>
        <v>0.1139691736529882</v>
      </c>
      <c r="AK55" s="14">
        <f>($AQ$1/Tabela3[[#This Row],[Cotação]]-MOD($AQ$1/Tabela3[[#This Row],[Cotação]],100))</f>
        <v>0</v>
      </c>
      <c r="AL55" s="17">
        <f>Tabela3[[#This Row],[Ativos]]*Tabela3[[#This Row],[Lucro Atual]]</f>
        <v>0</v>
      </c>
      <c r="AM55" s="49">
        <f>SUMPRODUCT(N(Tabela1[Código]=Tabela3[[#This Row],[PAPEL]]),Tabela1[Fechamento])</f>
        <v>21.64</v>
      </c>
      <c r="AN55" s="49">
        <f>SUMPRODUCT(N(Tabela17[Código]=Tabela3[[#This Row],[PAPEL]]),Tabela17[Fechamento])</f>
        <v>0</v>
      </c>
    </row>
    <row r="56" spans="1:40">
      <c r="A56" s="4" t="s">
        <v>12</v>
      </c>
      <c r="B56" s="68" t="s">
        <v>91</v>
      </c>
      <c r="C56" s="14" t="str">
        <f>LEFT([PAPEL],LEN([PAPEL])-(LEN([PAPEL])-4))</f>
        <v>CESP</v>
      </c>
      <c r="D56" s="15">
        <v>3</v>
      </c>
      <c r="E56" s="6">
        <v>5975433454.4300003</v>
      </c>
      <c r="F56" s="8">
        <v>210632389</v>
      </c>
      <c r="G56" s="19">
        <v>0.25</v>
      </c>
      <c r="H56" s="19"/>
      <c r="I56" s="19"/>
      <c r="J56" s="19"/>
      <c r="K56" s="19"/>
      <c r="L56" s="6">
        <v>10479149000</v>
      </c>
      <c r="M56" s="6">
        <v>795212000</v>
      </c>
      <c r="N56" s="6">
        <f>Tabela3[[#This Row],[Capital Social]]*20%</f>
        <v>1195086690.8860002</v>
      </c>
      <c r="O56" s="6">
        <f>IF(([Lucro Líquido]*5%)&gt;[Teto R. Legal],[Teto R. Legal],[Lucro Líquido]*5%)</f>
        <v>39760600</v>
      </c>
      <c r="P56" s="6">
        <f>IF([Lucro Líquido]&lt;0,0,[Lucro Líquido]-[Reserva Legal])</f>
        <v>755451400</v>
      </c>
      <c r="Q56" s="21">
        <f>SUMPRODUCT(N([Nome]=Tabela3[[#This Row],[Nome]]),[Ações])</f>
        <v>327502673</v>
      </c>
      <c r="R56" s="6">
        <f>[Capital Social]/[Total Ações]</f>
        <v>18.245449417843378</v>
      </c>
      <c r="S56" s="13">
        <f>Tabela3[[#This Row],[Lucro Líquido]]/Tabela3[[#This Row],[Total Ações]]</f>
        <v>2.4281084264616064</v>
      </c>
      <c r="T5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0.5466194784539764</v>
      </c>
      <c r="U56" s="99">
        <f>[Patrimônio Líquido]*[% PNA (PL)]/[Total Ações]</f>
        <v>0</v>
      </c>
      <c r="V56" s="99">
        <f>[Capital Social]*[% PNA (CS)]/[Total Ações]</f>
        <v>0</v>
      </c>
      <c r="W56" s="99">
        <f>MAX(Tabela3[[#This Row],[Div PNA (PL)]],Tabela3[[#This Row],[Div PNA (CS)]])</f>
        <v>0</v>
      </c>
      <c r="X56" s="6">
        <f>[Div. Pref]*[Ações]</f>
        <v>0</v>
      </c>
      <c r="Y56" s="19">
        <f>IF(GETPIVOTDATA("Payout",'Tabela LL'!$A$3,"Ativo",Tabela3[[#This Row],[PAPEL]])&gt;1,1,GETPIVOTDATA("Payout",'Tabela LL'!$A$3,"Ativo",Tabela3[[#This Row],[PAPEL]]))</f>
        <v>1</v>
      </c>
      <c r="Z56" s="6">
        <f>[Patrimônio Líquido]/[Total Ações]</f>
        <v>31.99714037143141</v>
      </c>
      <c r="AA56" s="50">
        <f>MAX(Tabela3[[#This Row],[Cotação 1]],Tabela3[[#This Row],[Cotação 2]])</f>
        <v>21.88</v>
      </c>
      <c r="AB56" s="46">
        <f>[Cotação]/[VPA]</f>
        <v>0.68381110768059505</v>
      </c>
      <c r="AC56" s="42">
        <f>IF(Tabela3[[#This Row],[Lucro/Ação]]&gt;0,Tabela3[[#This Row],[Cotação]]/(Tabela3[[#This Row],[Lucro/Ação]]/[Ref]*4),0)</f>
        <v>6.7583472884337752</v>
      </c>
      <c r="AD56" s="96">
        <f>IF([Div. Mínimo]=0,0,[Lucro Distribuir]*[Payout]/[Total Ações])</f>
        <v>2.3067030051385262</v>
      </c>
      <c r="AE56" s="99">
        <f>IF(AND([Div. Pref]&gt;0,[Div. Mínimo]&gt;0),[Div. Mínimo]+[Div. Pref],IF([Div. Pref]&gt;0,[Div. Pref],IF([Div. Mínimo]&gt;0,[Div. Mínimo],0)))</f>
        <v>0.5466194784539764</v>
      </c>
      <c r="AF56" s="99">
        <f>[Lucro Distribuir]/[Total Ações]</f>
        <v>2.3067030051385262</v>
      </c>
      <c r="AG56" s="99">
        <f>IF([Lucro Payout]&gt;[Lucro Dist./Ação],MAX(Tabela3[[#This Row],[Lucro Atual]:[Lucro Dist./Ação]]),MAX(Tabela3[[#This Row],[Lucro Payout]:[Lucro Atual]]))</f>
        <v>2.3067030051385262</v>
      </c>
      <c r="AH56" s="15" t="str">
        <f>IF(AND([% A.A.]&gt;=10%,[PVPA]&lt;=2,[PL]&lt;=15,[PL]&gt;0),"Sim","Não")</f>
        <v>Sim</v>
      </c>
      <c r="AI56" s="44">
        <f>Tabela3[[#This Row],[Lucro]]/Tabela3[[#This Row],[Cotação]]</f>
        <v>0.10542518305020687</v>
      </c>
      <c r="AJ56" s="19">
        <f>((1+Tabela3[[#This Row],[% Yield]])^(1/(3*Tabela3[[#This Row],[Ref]])))^(12)-1</f>
        <v>0.14298133632160592</v>
      </c>
      <c r="AK56" s="14">
        <f>($AQ$1/Tabela3[[#This Row],[Cotação]]-MOD($AQ$1/Tabela3[[#This Row],[Cotação]],100))</f>
        <v>0</v>
      </c>
      <c r="AL56" s="17">
        <f>Tabela3[[#This Row],[Ativos]]*Tabela3[[#This Row],[Lucro Atual]]</f>
        <v>0</v>
      </c>
      <c r="AM56" s="5">
        <f>SUMPRODUCT(N(Tabela1[Código]=Tabela3[[#This Row],[PAPEL]]),Tabela1[Fechamento])</f>
        <v>21.88</v>
      </c>
      <c r="AN56" s="5">
        <f>SUMPRODUCT(N(Tabela17[Código]=Tabela3[[#This Row],[PAPEL]]),Tabela17[Fechamento])</f>
        <v>0</v>
      </c>
    </row>
    <row r="57" spans="1:40">
      <c r="A57" s="4" t="s">
        <v>436</v>
      </c>
      <c r="B57" s="68" t="s">
        <v>439</v>
      </c>
      <c r="C57" s="104" t="str">
        <f>LEFT([PAPEL],LEN([PAPEL])-(LEN([PAPEL])-4))</f>
        <v>CIEL</v>
      </c>
      <c r="D57" s="15">
        <v>3</v>
      </c>
      <c r="E57" s="6"/>
      <c r="F57" s="8"/>
      <c r="G57" s="19"/>
      <c r="H57" s="15"/>
      <c r="I57" s="19"/>
      <c r="J57" s="19"/>
      <c r="K57" s="19"/>
      <c r="L57" s="6">
        <v>2947112000</v>
      </c>
      <c r="M57" s="6">
        <v>1953406000</v>
      </c>
      <c r="N57" s="6">
        <f>Tabela3[[#This Row],[Capital Social]]*20%</f>
        <v>0</v>
      </c>
      <c r="O57" s="6">
        <f>IF(([Lucro Líquido]*5%)&gt;[Teto R. Legal],[Teto R. Legal],[Lucro Líquido]*5%)</f>
        <v>0</v>
      </c>
      <c r="P57" s="6">
        <f>IF([Lucro Líquido]&lt;0,0,[Lucro Líquido]-[Reserva Legal])</f>
        <v>1953406000</v>
      </c>
      <c r="Q57" s="40">
        <v>786115469</v>
      </c>
      <c r="R57" s="6">
        <f>[Capital Social]/[Total Ações]</f>
        <v>0</v>
      </c>
      <c r="S57" s="13">
        <f>Tabela3[[#This Row],[Lucro Líquido]]/Tabela3[[#This Row],[Total Ações]]</f>
        <v>2.4848843166575572</v>
      </c>
      <c r="T5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7" s="99">
        <f>[Patrimônio Líquido]*[% PNA (PL)]/[Total Ações]</f>
        <v>0</v>
      </c>
      <c r="V57" s="99">
        <f>[Capital Social]*[% PNA (CS)]/[Total Ações]</f>
        <v>0</v>
      </c>
      <c r="W57" s="99">
        <f>MAX(Tabela3[[#This Row],[Div PNA (PL)]],Tabela3[[#This Row],[Div PNA (CS)]])</f>
        <v>0</v>
      </c>
      <c r="X57" s="6">
        <f>[Div. Pref]*[Ações]</f>
        <v>0</v>
      </c>
      <c r="Y57" s="19">
        <f>IF(GETPIVOTDATA("Payout",'Tabela LL'!$A$3,"Ativo",Tabela3[[#This Row],[PAPEL]])&gt;1,1,GETPIVOTDATA("Payout",'Tabela LL'!$A$3,"Ativo",Tabela3[[#This Row],[PAPEL]]))</f>
        <v>0.77123947523638092</v>
      </c>
      <c r="Z57" s="6">
        <f>[Patrimônio Líquido]/[Total Ações]</f>
        <v>3.7489556130334845</v>
      </c>
      <c r="AA57" s="50">
        <f>MAX(Tabela3[[#This Row],[Cotação 1]],Tabela3[[#This Row],[Cotação 2]])</f>
        <v>66.5</v>
      </c>
      <c r="AB57" s="46">
        <f>[Cotação]/[VPA]</f>
        <v>17.738273499106921</v>
      </c>
      <c r="AC57" s="42">
        <f>IF(Tabela3[[#This Row],[Lucro/Ação]]&gt;0,Tabela3[[#This Row],[Cotação]]/(Tabela3[[#This Row],[Lucro/Ação]]/[Ref]*4),0)</f>
        <v>20.071356910122628</v>
      </c>
      <c r="AD57" s="42">
        <f>IF([Div. Mínimo]=0,0,[Lucro Distribuir]*[Payout]/[Total Ações])</f>
        <v>0</v>
      </c>
      <c r="AE57" s="99">
        <f>IF(AND([Div. Pref]&gt;0,[Div. Mínimo]&gt;0),[Div. Mínimo]+[Div. Pref],IF([Div. Pref]&gt;0,[Div. Pref],IF([Div. Mínimo]&gt;0,[Div. Mínimo],0)))</f>
        <v>0</v>
      </c>
      <c r="AF57" s="99">
        <f>[Lucro Distribuir]/[Total Ações]</f>
        <v>2.4848843166575572</v>
      </c>
      <c r="AG57" s="99">
        <f>IF([Lucro Payout]&gt;[Lucro Dist./Ação],MAX(Tabela3[[#This Row],[Lucro Atual]:[Lucro Dist./Ação]]),MAX(Tabela3[[#This Row],[Lucro Payout]:[Lucro Atual]]))</f>
        <v>0</v>
      </c>
      <c r="AH57" s="15" t="str">
        <f>IF(AND([% A.A.]&gt;=10%,[PVPA]&lt;=2,[PL]&lt;=15,[PL]&gt;0),"Sim","Não")</f>
        <v>Não</v>
      </c>
      <c r="AI57" s="44">
        <f>Tabela3[[#This Row],[Lucro]]/Tabela3[[#This Row],[Cotação]]</f>
        <v>0</v>
      </c>
      <c r="AJ57" s="19">
        <f>((1+Tabela3[[#This Row],[% Yield]])^(1/(3*Tabela3[[#This Row],[Ref]])))^(12)-1</f>
        <v>0</v>
      </c>
      <c r="AK57" s="14">
        <f>($AQ$1/Tabela3[[#This Row],[Cotação]]-MOD($AQ$1/Tabela3[[#This Row],[Cotação]],100))</f>
        <v>0</v>
      </c>
      <c r="AL57" s="17">
        <f>Tabela3[[#This Row],[Ativos]]*Tabela3[[#This Row],[Lucro Atual]]</f>
        <v>0</v>
      </c>
      <c r="AM57" s="13">
        <f>SUMPRODUCT(N(Tabela1[Código]=Tabela3[[#This Row],[PAPEL]]),Tabela1[Fechamento])</f>
        <v>0</v>
      </c>
      <c r="AN57" s="59">
        <f>SUMPRODUCT(N(Tabela17[Código]=Tabela3[[#This Row],[PAPEL]]),Tabela17[Fechamento])</f>
        <v>66.5</v>
      </c>
    </row>
    <row r="58" spans="1:40">
      <c r="A58" s="3" t="s">
        <v>310</v>
      </c>
      <c r="B58" s="69" t="s">
        <v>307</v>
      </c>
      <c r="C58" s="105" t="str">
        <f>LEFT([PAPEL],LEN([PAPEL])-(LEN([PAPEL])-4))</f>
        <v>CIQU</v>
      </c>
      <c r="D58" s="16">
        <v>3</v>
      </c>
      <c r="E58" s="5"/>
      <c r="H58" s="16"/>
      <c r="I58" s="18"/>
      <c r="J58" s="18"/>
      <c r="L58" s="5">
        <v>264517000</v>
      </c>
      <c r="M58" s="5">
        <v>37183000</v>
      </c>
      <c r="N58" s="5">
        <f>Tabela3[[#This Row],[Capital Social]]*20%</f>
        <v>0</v>
      </c>
      <c r="O58" s="5">
        <f>IF(([Lucro Líquido]*5%)&gt;[Teto R. Legal],[Teto R. Legal],[Lucro Líquido]*5%)</f>
        <v>0</v>
      </c>
      <c r="P58" s="5">
        <f>IF([Lucro Líquido]&lt;0,0,[Lucro Líquido]-[Reserva Legal])</f>
        <v>37183000</v>
      </c>
      <c r="Q58" s="21">
        <v>24948000</v>
      </c>
      <c r="R58" s="5">
        <f>[Capital Social]/[Total Ações]</f>
        <v>0</v>
      </c>
      <c r="S58" s="49">
        <f>Tabela3[[#This Row],[Lucro Líquido]]/Tabela3[[#This Row],[Total Ações]]</f>
        <v>1.490420073753407</v>
      </c>
      <c r="T5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8" s="98">
        <f>[Patrimônio Líquido]*[% PNA (PL)]/[Total Ações]</f>
        <v>0</v>
      </c>
      <c r="V58" s="98">
        <f>[Capital Social]*[% PNA (CS)]/[Total Ações]</f>
        <v>0</v>
      </c>
      <c r="W58" s="98">
        <f>MAX(Tabela3[[#This Row],[Div PNA (PL)]],Tabela3[[#This Row],[Div PNA (CS)]])</f>
        <v>0</v>
      </c>
      <c r="X58" s="5">
        <f>[Div. Pref]*[Ações]</f>
        <v>0</v>
      </c>
      <c r="Y58" s="18">
        <f>IF(GETPIVOTDATA("Payout",'Tabela LL'!$A$3,"Ativo",Tabela3[[#This Row],[PAPEL]])&gt;1,1,GETPIVOTDATA("Payout",'Tabela LL'!$A$3,"Ativo",Tabela3[[#This Row],[PAPEL]]))</f>
        <v>0.2032996796183045</v>
      </c>
      <c r="Z58" s="5">
        <f>[Patrimônio Líquido]/[Total Ações]</f>
        <v>10.602733686067019</v>
      </c>
      <c r="AA58" s="56">
        <f>MAX(Tabela3[[#This Row],[Cotação 1]],Tabela3[[#This Row],[Cotação 2]])</f>
        <v>7.08</v>
      </c>
      <c r="AB58" s="57">
        <f>[Cotação]/[VPA]</f>
        <v>0.66775231837651272</v>
      </c>
      <c r="AC58" s="39">
        <f>IF(Tabela3[[#This Row],[Lucro/Ação]]&gt;0,Tabela3[[#This Row],[Cotação]]/(Tabela3[[#This Row],[Lucro/Ação]]/[Ref]*4),0)</f>
        <v>3.5627539466960707</v>
      </c>
      <c r="AD58" s="39">
        <f>IF([Div. Mínimo]=0,0,[Lucro Distribuir]*[Payout]/[Total Ações])</f>
        <v>0</v>
      </c>
      <c r="AE58" s="98">
        <f>IF(AND([Div. Pref]&gt;0,[Div. Mínimo]&gt;0),[Div. Mínimo]+[Div. Pref],IF([Div. Pref]&gt;0,[Div. Pref],IF([Div. Mínimo]&gt;0,[Div. Mínimo],0)))</f>
        <v>0</v>
      </c>
      <c r="AF58" s="98">
        <f>[Lucro Distribuir]/[Total Ações]</f>
        <v>1.490420073753407</v>
      </c>
      <c r="AG58" s="98">
        <f>IF([Lucro Payout]&gt;[Lucro Dist./Ação],MAX(Tabela3[[#This Row],[Lucro Atual]:[Lucro Dist./Ação]]),MAX(Tabela3[[#This Row],[Lucro Payout]:[Lucro Atual]]))</f>
        <v>0</v>
      </c>
      <c r="AH58" s="16" t="str">
        <f>IF(AND([% A.A.]&gt;=10%,[PVPA]&lt;=2,[PL]&lt;=15,[PL]&gt;0),"Sim","Não")</f>
        <v>Não</v>
      </c>
      <c r="AI58" s="22">
        <f>Tabela3[[#This Row],[Lucro]]/Tabela3[[#This Row],[Cotação]]</f>
        <v>0</v>
      </c>
      <c r="AJ58" s="18">
        <f>((1+Tabela3[[#This Row],[% Yield]])^(1/(3*Tabela3[[#This Row],[Ref]])))^(12)-1</f>
        <v>0</v>
      </c>
      <c r="AK58" s="10">
        <f>($AQ$1/Tabela3[[#This Row],[Cotação]]-MOD($AQ$1/Tabela3[[#This Row],[Cotação]],100))</f>
        <v>0</v>
      </c>
      <c r="AL58" s="7">
        <f>Tabela3[[#This Row],[Ativos]]*Tabela3[[#This Row],[Lucro Atual]]</f>
        <v>0</v>
      </c>
      <c r="AM58" s="49">
        <f>SUMPRODUCT(N(Tabela1[Código]=Tabela3[[#This Row],[PAPEL]]),Tabela1[Fechamento])</f>
        <v>0</v>
      </c>
      <c r="AN58" s="58">
        <f>SUMPRODUCT(N(Tabela17[Código]=Tabela3[[#This Row],[PAPEL]]),Tabela17[Fechamento])</f>
        <v>7.08</v>
      </c>
    </row>
    <row r="59" spans="1:40">
      <c r="A59" s="3" t="s">
        <v>310</v>
      </c>
      <c r="B59" s="69" t="s">
        <v>308</v>
      </c>
      <c r="C59" s="105" t="str">
        <f>LEFT([PAPEL],LEN([PAPEL])-(LEN([PAPEL])-4))</f>
        <v>CIQU</v>
      </c>
      <c r="D59" s="16">
        <v>3</v>
      </c>
      <c r="E59" s="5"/>
      <c r="H59" s="16"/>
      <c r="I59" s="18"/>
      <c r="J59" s="18"/>
      <c r="L59" s="5">
        <v>264517000</v>
      </c>
      <c r="M59" s="5">
        <v>37183000</v>
      </c>
      <c r="N59" s="5">
        <f>Tabela3[[#This Row],[Capital Social]]*20%</f>
        <v>0</v>
      </c>
      <c r="O59" s="5">
        <f>IF(([Lucro Líquido]*5%)&gt;[Teto R. Legal],[Teto R. Legal],[Lucro Líquido]*5%)</f>
        <v>0</v>
      </c>
      <c r="P59" s="5">
        <f>IF([Lucro Líquido]&lt;0,0,[Lucro Líquido]-[Reserva Legal])</f>
        <v>37183000</v>
      </c>
      <c r="Q59" s="21">
        <v>24948000</v>
      </c>
      <c r="R59" s="5">
        <f>[Capital Social]/[Total Ações]</f>
        <v>0</v>
      </c>
      <c r="S59" s="49">
        <f>Tabela3[[#This Row],[Lucro Líquido]]/Tabela3[[#This Row],[Total Ações]]</f>
        <v>1.490420073753407</v>
      </c>
      <c r="T59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59" s="98">
        <f>[Patrimônio Líquido]*[% PNA (PL)]/[Total Ações]</f>
        <v>0</v>
      </c>
      <c r="V59" s="98">
        <f>[Capital Social]*[% PNA (CS)]/[Total Ações]</f>
        <v>0</v>
      </c>
      <c r="W59" s="98">
        <f>MAX(Tabela3[[#This Row],[Div PNA (PL)]],Tabela3[[#This Row],[Div PNA (CS)]])</f>
        <v>0</v>
      </c>
      <c r="X59" s="5">
        <f>[Div. Pref]*[Ações]</f>
        <v>0</v>
      </c>
      <c r="Y59" s="18">
        <f>IF(GETPIVOTDATA("Payout",'Tabela LL'!$A$3,"Ativo",Tabela3[[#This Row],[PAPEL]])&gt;1,1,GETPIVOTDATA("Payout",'Tabela LL'!$A$3,"Ativo",Tabela3[[#This Row],[PAPEL]]))</f>
        <v>0.22362663562799309</v>
      </c>
      <c r="Z59" s="5">
        <f>[Patrimônio Líquido]/[Total Ações]</f>
        <v>10.602733686067019</v>
      </c>
      <c r="AA59" s="56">
        <f>MAX(Tabela3[[#This Row],[Cotação 1]],Tabela3[[#This Row],[Cotação 2]])</f>
        <v>14</v>
      </c>
      <c r="AB59" s="57">
        <f>[Cotação]/[VPA]</f>
        <v>1.3204141888801098</v>
      </c>
      <c r="AC59" s="39">
        <f>IF(Tabela3[[#This Row],[Lucro/Ação]]&gt;0,Tabela3[[#This Row],[Cotação]]/(Tabela3[[#This Row],[Lucro/Ação]]/[Ref]*4),0)</f>
        <v>7.0449936799074848</v>
      </c>
      <c r="AD59" s="39">
        <f>IF([Div. Mínimo]=0,0,[Lucro Distribuir]*[Payout]/[Total Ações])</f>
        <v>0</v>
      </c>
      <c r="AE59" s="98">
        <f>IF(AND([Div. Pref]&gt;0,[Div. Mínimo]&gt;0),[Div. Mínimo]+[Div. Pref],IF([Div. Pref]&gt;0,[Div. Pref],IF([Div. Mínimo]&gt;0,[Div. Mínimo],0)))</f>
        <v>0</v>
      </c>
      <c r="AF59" s="98">
        <f>[Lucro Distribuir]/[Total Ações]</f>
        <v>1.490420073753407</v>
      </c>
      <c r="AG59" s="98">
        <f>IF([Lucro Payout]&gt;[Lucro Dist./Ação],MAX(Tabela3[[#This Row],[Lucro Atual]:[Lucro Dist./Ação]]),MAX(Tabela3[[#This Row],[Lucro Payout]:[Lucro Atual]]))</f>
        <v>0</v>
      </c>
      <c r="AH59" s="16" t="str">
        <f>IF(AND([% A.A.]&gt;=10%,[PVPA]&lt;=2,[PL]&lt;=15,[PL]&gt;0),"Sim","Não")</f>
        <v>Não</v>
      </c>
      <c r="AI59" s="22">
        <f>Tabela3[[#This Row],[Lucro]]/Tabela3[[#This Row],[Cotação]]</f>
        <v>0</v>
      </c>
      <c r="AJ59" s="18">
        <f>((1+Tabela3[[#This Row],[% Yield]])^(1/(3*Tabela3[[#This Row],[Ref]])))^(12)-1</f>
        <v>0</v>
      </c>
      <c r="AK59" s="10">
        <f>($AQ$1/Tabela3[[#This Row],[Cotação]]-MOD($AQ$1/Tabela3[[#This Row],[Cotação]],100))</f>
        <v>0</v>
      </c>
      <c r="AL59" s="7">
        <f>Tabela3[[#This Row],[Ativos]]*Tabela3[[#This Row],[Lucro Atual]]</f>
        <v>0</v>
      </c>
      <c r="AM59" s="49">
        <f>SUMPRODUCT(N(Tabela1[Código]=Tabela3[[#This Row],[PAPEL]]),Tabela1[Fechamento])</f>
        <v>0</v>
      </c>
      <c r="AN59" s="58">
        <f>SUMPRODUCT(N(Tabela17[Código]=Tabela3[[#This Row],[PAPEL]]),Tabela17[Fechamento])</f>
        <v>14</v>
      </c>
    </row>
    <row r="60" spans="1:40">
      <c r="A60" s="4" t="s">
        <v>12</v>
      </c>
      <c r="B60" s="14" t="s">
        <v>71</v>
      </c>
      <c r="C60" s="14" t="str">
        <f>LEFT([PAPEL],LEN([PAPEL])-(LEN([PAPEL])-4))</f>
        <v>CLSC</v>
      </c>
      <c r="D60" s="15">
        <v>3</v>
      </c>
      <c r="E60" s="6"/>
      <c r="F60" s="8"/>
      <c r="G60" s="19"/>
      <c r="H60" s="15"/>
      <c r="I60" s="19"/>
      <c r="J60" s="19"/>
      <c r="K60" s="19"/>
      <c r="L60" s="6">
        <v>1927248000</v>
      </c>
      <c r="M60" s="6">
        <v>149553000</v>
      </c>
      <c r="N60" s="6">
        <f>Tabela3[[#This Row],[Capital Social]]*20%</f>
        <v>0</v>
      </c>
      <c r="O60" s="6">
        <f>IF(([Lucro Líquido]*5%)&gt;[Teto R. Legal],[Teto R. Legal],[Lucro Líquido]*5%)</f>
        <v>0</v>
      </c>
      <c r="P60" s="6">
        <f>IF([Lucro Líquido]&lt;0,0,[Lucro Líquido]-[Reserva Legal])</f>
        <v>149553000</v>
      </c>
      <c r="Q60" s="40">
        <v>38571591</v>
      </c>
      <c r="R60" s="6">
        <f>[Capital Social]/[Total Ações]</f>
        <v>0</v>
      </c>
      <c r="S60" s="13">
        <f>Tabela3[[#This Row],[Lucro Líquido]]/Tabela3[[#This Row],[Total Ações]]</f>
        <v>3.8772836723276467</v>
      </c>
      <c r="T6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0" s="99">
        <f>[Patrimônio Líquido]*[% PNA (PL)]/[Total Ações]</f>
        <v>0</v>
      </c>
      <c r="V60" s="99">
        <f>[Capital Social]*[% PNA (CS)]/[Total Ações]</f>
        <v>0</v>
      </c>
      <c r="W60" s="99">
        <f>MAX(Tabela3[[#This Row],[Div PNA (PL)]],Tabela3[[#This Row],[Div PNA (CS)]])</f>
        <v>0</v>
      </c>
      <c r="X60" s="6">
        <f>[Div. Pref]*[Ações]</f>
        <v>0</v>
      </c>
      <c r="Y60" s="19">
        <f>IF(GETPIVOTDATA("Payout",'Tabela LL'!$A$3,"Ativo",Tabela3[[#This Row],[PAPEL]])&gt;1,1,GETPIVOTDATA("Payout",'Tabela LL'!$A$3,"Ativo",Tabela3[[#This Row],[PAPEL]]))</f>
        <v>0.29963156324701223</v>
      </c>
      <c r="Z60" s="6">
        <f>[Patrimônio Líquido]/[Total Ações]</f>
        <v>49.965478478707297</v>
      </c>
      <c r="AA60" s="50">
        <f>MAX(Tabela3[[#This Row],[Cotação 1]],Tabela3[[#This Row],[Cotação 2]])</f>
        <v>16</v>
      </c>
      <c r="AB60" s="46">
        <f>[Cotação]/[VPA]</f>
        <v>0.32022109038380114</v>
      </c>
      <c r="AC60" s="42">
        <f>IF(Tabela3[[#This Row],[Lucro/Ação]]&gt;0,Tabela3[[#This Row],[Cotação]]/(Tabela3[[#This Row],[Lucro/Ação]]/[Ref]*4),0)</f>
        <v>3.0949502316904374</v>
      </c>
      <c r="AD60" s="42">
        <f>IF([Div. Mínimo]=0,0,[Lucro Distribuir]*[Payout]/[Total Ações])</f>
        <v>0</v>
      </c>
      <c r="AE60" s="99">
        <f>IF(AND([Div. Pref]&gt;0,[Div. Mínimo]&gt;0),[Div. Mínimo]+[Div. Pref],IF([Div. Pref]&gt;0,[Div. Pref],IF([Div. Mínimo]&gt;0,[Div. Mínimo],0)))</f>
        <v>0</v>
      </c>
      <c r="AF60" s="99">
        <f>[Lucro Distribuir]/[Total Ações]</f>
        <v>3.8772836723276467</v>
      </c>
      <c r="AG60" s="99">
        <f>IF([Lucro Payout]&gt;[Lucro Dist./Ação],MAX(Tabela3[[#This Row],[Lucro Atual]:[Lucro Dist./Ação]]),MAX(Tabela3[[#This Row],[Lucro Payout]:[Lucro Atual]]))</f>
        <v>0</v>
      </c>
      <c r="AH60" s="14" t="str">
        <f>IF(AND([% A.A.]&gt;=10%,[PVPA]&lt;=2,[PL]&lt;=15,[PL]&gt;0),"Sim","Não")</f>
        <v>Não</v>
      </c>
      <c r="AI60" s="44">
        <f>Tabela3[[#This Row],[Lucro]]/Tabela3[[#This Row],[Cotação]]</f>
        <v>0</v>
      </c>
      <c r="AJ60" s="19">
        <f>((1+Tabela3[[#This Row],[% Yield]])^(1/(3*Tabela3[[#This Row],[Ref]])))^(12)-1</f>
        <v>0</v>
      </c>
      <c r="AK60" s="14">
        <f>($AQ$1/Tabela3[[#This Row],[Cotação]]-MOD($AQ$1/Tabela3[[#This Row],[Cotação]],100))</f>
        <v>0</v>
      </c>
      <c r="AL60" s="17">
        <f>Tabela3[[#This Row],[Ativos]]*Tabela3[[#This Row],[Lucro Atual]]</f>
        <v>0</v>
      </c>
      <c r="AM60" s="5">
        <f>SUMPRODUCT(N(Tabela1[Código]=Tabela3[[#This Row],[PAPEL]]),Tabela1[Fechamento])</f>
        <v>16</v>
      </c>
      <c r="AN60" s="5">
        <f>SUMPRODUCT(N(Tabela17[Código]=Tabela3[[#This Row],[PAPEL]]),Tabela17[Fechamento])</f>
        <v>0</v>
      </c>
    </row>
    <row r="61" spans="1:40">
      <c r="A61" s="25" t="s">
        <v>12</v>
      </c>
      <c r="B61" s="68" t="s">
        <v>31</v>
      </c>
      <c r="C61" s="15" t="str">
        <f>LEFT([PAPEL],LEN([PAPEL])-(LEN([PAPEL])-4))</f>
        <v>CMIG</v>
      </c>
      <c r="D61" s="15">
        <v>3</v>
      </c>
      <c r="E61" s="6">
        <v>6294208270</v>
      </c>
      <c r="F61" s="8">
        <v>420764708</v>
      </c>
      <c r="G61" s="19">
        <v>0.5</v>
      </c>
      <c r="H61" s="15"/>
      <c r="I61" s="19">
        <v>0.1</v>
      </c>
      <c r="J61" s="19"/>
      <c r="K61" s="19"/>
      <c r="L61" s="30">
        <v>13197926000</v>
      </c>
      <c r="M61" s="30">
        <v>2271426000</v>
      </c>
      <c r="N61" s="13">
        <f>Tabela3[[#This Row],[Capital Social]]*20%</f>
        <v>1258841654</v>
      </c>
      <c r="O61" s="13">
        <f>IF(([Lucro Líquido]*5%)&gt;[Teto R. Legal],[Teto R. Legal],[Lucro Líquido]*5%)</f>
        <v>113571300</v>
      </c>
      <c r="P61" s="13">
        <f>IF([Lucro Líquido]&lt;0,0,[Lucro Líquido]-[Reserva Legal])</f>
        <v>2157854700</v>
      </c>
      <c r="Q61" s="21">
        <f>SUMPRODUCT(N([Nome]=Tabela3[[#This Row],[Nome]]),[Ações])</f>
        <v>1258841654</v>
      </c>
      <c r="R61" s="6">
        <f>[Capital Social]/[Total Ações]</f>
        <v>5</v>
      </c>
      <c r="S61" s="13">
        <f>Tabela3[[#This Row],[Lucro Líquido]]/Tabela3[[#This Row],[Total Ações]]</f>
        <v>1.8043778522759304</v>
      </c>
      <c r="T6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0.35707947983106697</v>
      </c>
      <c r="U61" s="99">
        <f>[Patrimônio Líquido]*[% PNA (PL)]/[Total Ações]</f>
        <v>0</v>
      </c>
      <c r="V61" s="99">
        <f>[Capital Social]*[% PNA (CS)]/[Total Ações]</f>
        <v>0.5</v>
      </c>
      <c r="W61" s="99">
        <f>MAX(Tabela3[[#This Row],[Div PNA (PL)]],Tabela3[[#This Row],[Div PNA (CS)]])</f>
        <v>0.5</v>
      </c>
      <c r="X61" s="13">
        <f>[Div. Pref]*[Ações]</f>
        <v>210382354</v>
      </c>
      <c r="Y61" s="19" t="e">
        <f>IF(GETPIVOTDATA("Payout",'Tabela LL'!$A$3,"Ativo",Tabela3[[#This Row],[PAPEL]])&gt;1,1,GETPIVOTDATA("Payout",'Tabela LL'!$A$3,"Ativo",Tabela3[[#This Row],[PAPEL]]))</f>
        <v>#DIV/0!</v>
      </c>
      <c r="Z61" s="6">
        <f>[Patrimônio Líquido]/[Total Ações]</f>
        <v>10.484182786662062</v>
      </c>
      <c r="AA61" s="50">
        <f>MAX(Tabela3[[#This Row],[Cotação 1]],Tabela3[[#This Row],[Cotação 2]])</f>
        <v>13.9</v>
      </c>
      <c r="AB61" s="46">
        <f>[Cotação]/[VPA]</f>
        <v>1.3258067207377888</v>
      </c>
      <c r="AC61" s="42">
        <f>IF(Tabela3[[#This Row],[Lucro/Ação]]&gt;0,Tabela3[[#This Row],[Cotação]]/(Tabela3[[#This Row],[Lucro/Ação]]/[Ref]*4),0)</f>
        <v>5.7776146979694696</v>
      </c>
      <c r="AD61" s="96" t="e">
        <f>IF([Div. Mínimo]=0,0,[Lucro Distribuir]*[Payout]/[Total Ações])</f>
        <v>#DIV/0!</v>
      </c>
      <c r="AE61" s="99">
        <f>IF(AND([Div. Pref]&gt;0,[Div. Mínimo]&gt;0),[Div. Mínimo]+[Div. Pref],IF([Div. Pref]&gt;0,[Div. Pref],IF([Div. Mínimo]&gt;0,[Div. Mínimo],0)))</f>
        <v>0.85707947983106703</v>
      </c>
      <c r="AF61" s="99">
        <f>[Lucro Distribuir]/[Total Ações]</f>
        <v>1.7141589596621341</v>
      </c>
      <c r="AG61" s="99" t="e">
        <f>IF([Lucro Payout]&gt;[Lucro Dist./Ação],MAX(Tabela3[[#This Row],[Lucro Atual]:[Lucro Dist./Ação]]),MAX(Tabela3[[#This Row],[Lucro Payout]:[Lucro Atual]]))</f>
        <v>#DIV/0!</v>
      </c>
      <c r="AH61" s="14" t="e">
        <f>IF(AND([% A.A.]&gt;=10%,[PVPA]&lt;=2,[PL]&lt;=15,[PL]&gt;0),"Sim","Não")</f>
        <v>#DIV/0!</v>
      </c>
      <c r="AI61" s="44" t="e">
        <f>Tabela3[[#This Row],[Lucro]]/Tabela3[[#This Row],[Cotação]]</f>
        <v>#DIV/0!</v>
      </c>
      <c r="AJ61" s="19" t="e">
        <f>((1+Tabela3[[#This Row],[% Yield]])^(1/(3*Tabela3[[#This Row],[Ref]])))^(12)-1</f>
        <v>#DIV/0!</v>
      </c>
      <c r="AK61" s="14">
        <f>($AQ$1/Tabela3[[#This Row],[Cotação]]-MOD($AQ$1/Tabela3[[#This Row],[Cotação]],100))</f>
        <v>0</v>
      </c>
      <c r="AL61" s="17">
        <f>Tabela3[[#This Row],[Ativos]]*Tabela3[[#This Row],[Lucro Atual]]</f>
        <v>0</v>
      </c>
      <c r="AM61" s="49">
        <f>SUMPRODUCT(N(Tabela1[Código]=Tabela3[[#This Row],[PAPEL]]),Tabela1[Fechamento])</f>
        <v>13.9</v>
      </c>
      <c r="AN61" s="49">
        <f>SUMPRODUCT(N(Tabela17[Código]=Tabela3[[#This Row],[PAPEL]]),Tabela17[Fechamento])</f>
        <v>0</v>
      </c>
    </row>
    <row r="62" spans="1:40">
      <c r="A62" s="25" t="s">
        <v>12</v>
      </c>
      <c r="B62" s="68" t="s">
        <v>30</v>
      </c>
      <c r="C62" s="104" t="str">
        <f>LEFT([PAPEL],LEN([PAPEL])-(LEN([PAPEL])-4))</f>
        <v>CMIG</v>
      </c>
      <c r="D62" s="15">
        <v>3</v>
      </c>
      <c r="E62" s="6">
        <v>6294208270</v>
      </c>
      <c r="F62" s="8">
        <v>838076946</v>
      </c>
      <c r="G62" s="19">
        <v>0.5</v>
      </c>
      <c r="H62" s="19">
        <v>0.03</v>
      </c>
      <c r="I62" s="19">
        <v>0.1</v>
      </c>
      <c r="J62" s="19"/>
      <c r="K62" s="19"/>
      <c r="L62" s="30">
        <v>13197926000</v>
      </c>
      <c r="M62" s="30">
        <v>2271426000</v>
      </c>
      <c r="N62" s="30">
        <f>Tabela3[[#This Row],[Capital Social]]*20%</f>
        <v>1258841654</v>
      </c>
      <c r="O62" s="30">
        <f>IF(([Lucro Líquido]*5%)&gt;[Teto R. Legal],[Teto R. Legal],[Lucro Líquido]*5%)</f>
        <v>113571300</v>
      </c>
      <c r="P62" s="30">
        <f>IF([Lucro Líquido]&lt;0,0,[Lucro Líquido]-[Reserva Legal])</f>
        <v>2157854700</v>
      </c>
      <c r="Q62" s="21">
        <f>SUMPRODUCT(N([Nome]=Tabela3[[#This Row],[Nome]]),[Ações])</f>
        <v>1258841654</v>
      </c>
      <c r="R62" s="30">
        <f>[Capital Social]/[Total Ações]</f>
        <v>5</v>
      </c>
      <c r="S62" s="108">
        <f>Tabela3[[#This Row],[Lucro Líquido]]/Tabela3[[#This Row],[Total Ações]]</f>
        <v>1.8043778522759304</v>
      </c>
      <c r="T62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0.35707947983106697</v>
      </c>
      <c r="U62" s="100">
        <f>[Patrimônio Líquido]*[% PNA (PL)]/[Total Ações]</f>
        <v>0.31452548359986188</v>
      </c>
      <c r="V62" s="100">
        <f>[Capital Social]*[% PNA (CS)]/[Total Ações]</f>
        <v>0.5</v>
      </c>
      <c r="W62" s="100">
        <f>MAX(Tabela3[[#This Row],[Div PNA (PL)]],Tabela3[[#This Row],[Div PNA (CS)]])</f>
        <v>0.5</v>
      </c>
      <c r="X62" s="30">
        <f>[Div. Pref]*[Ações]</f>
        <v>419038473</v>
      </c>
      <c r="Y62" s="19">
        <f>IF(GETPIVOTDATA("Payout",'Tabela LL'!$A$3,"Ativo",Tabela3[[#This Row],[PAPEL]])&gt;1,1,GETPIVOTDATA("Payout",'Tabela LL'!$A$3,"Ativo",Tabela3[[#This Row],[PAPEL]]))</f>
        <v>0.65026428573600636</v>
      </c>
      <c r="Z62" s="30">
        <f>[Patrimônio Líquido]/[Total Ações]</f>
        <v>10.484182786662062</v>
      </c>
      <c r="AA62" s="31">
        <f>MAX(Tabela3[[#This Row],[Cotação 1]],Tabela3[[#This Row],[Cotação 2]])</f>
        <v>13.39</v>
      </c>
      <c r="AB62" s="32">
        <f>[Cotação]/[VPA]</f>
        <v>1.2771620137179129</v>
      </c>
      <c r="AC62" s="37">
        <f>IF(Tabela3[[#This Row],[Lucro/Ação]]&gt;0,Tabela3[[#This Row],[Cotação]]/(Tabela3[[#This Row],[Lucro/Ação]]/[Ref]*4),0)</f>
        <v>5.5656302737993668</v>
      </c>
      <c r="AD62" s="97">
        <f>IF([Div. Mínimo]=0,0,[Lucro Distribuir]*[Payout]/[Total Ações])</f>
        <v>1.1146563515426733</v>
      </c>
      <c r="AE62" s="99">
        <f>IF(AND([Div. Pref]&gt;0,[Div. Mínimo]&gt;0),[Div. Mínimo]+[Div. Pref],IF([Div. Pref]&gt;0,[Div. Pref],IF([Div. Mínimo]&gt;0,[Div. Mínimo],0)))</f>
        <v>0.85707947983106703</v>
      </c>
      <c r="AF62" s="99">
        <f>[Lucro Distribuir]/[Total Ações]</f>
        <v>1.7141589596621341</v>
      </c>
      <c r="AG62" s="99">
        <f>IF([Lucro Payout]&gt;[Lucro Dist./Ação],MAX(Tabela3[[#This Row],[Lucro Atual]:[Lucro Dist./Ação]]),MAX(Tabela3[[#This Row],[Lucro Payout]:[Lucro Atual]]))</f>
        <v>1.1146563515426733</v>
      </c>
      <c r="AH62" s="26" t="str">
        <f>IF(AND([% A.A.]&gt;=10%,[PVPA]&lt;=2,[PL]&lt;=15,[PL]&gt;0),"Sim","Não")</f>
        <v>Sim</v>
      </c>
      <c r="AI62" s="29">
        <f>Tabela3[[#This Row],[Lucro]]/Tabela3[[#This Row],[Cotação]]</f>
        <v>8.3245433274284783E-2</v>
      </c>
      <c r="AJ62" s="52">
        <f>((1+Tabela3[[#This Row],[% Yield]])^(1/(3*Tabela3[[#This Row],[Ref]])))^(12)-1</f>
        <v>0.11250632579962061</v>
      </c>
      <c r="AK62" s="10">
        <f>($AQ$1/Tabela3[[#This Row],[Cotação]]-MOD($AQ$1/Tabela3[[#This Row],[Cotação]],100))</f>
        <v>0</v>
      </c>
      <c r="AL62" s="7">
        <f>Tabela3[[#This Row],[Ativos]]*Tabela3[[#This Row],[Lucro Atual]]</f>
        <v>0</v>
      </c>
      <c r="AM62" s="5">
        <f>SUMPRODUCT(N(Tabela1[Código]=Tabela3[[#This Row],[PAPEL]]),Tabela1[Fechamento])</f>
        <v>13.39</v>
      </c>
      <c r="AN62" s="5">
        <f>SUMPRODUCT(N(Tabela17[Código]=Tabela3[[#This Row],[PAPEL]]),Tabela17[Fechamento])</f>
        <v>0</v>
      </c>
    </row>
    <row r="63" spans="1:40">
      <c r="A63" s="4" t="s">
        <v>12</v>
      </c>
      <c r="B63" s="14" t="s">
        <v>97</v>
      </c>
      <c r="C63" s="14" t="str">
        <f>LEFT([PAPEL],LEN([PAPEL])-(LEN([PAPEL])-4))</f>
        <v>COCE</v>
      </c>
      <c r="D63" s="15">
        <v>3</v>
      </c>
      <c r="E63" s="6"/>
      <c r="F63" s="8"/>
      <c r="G63" s="19"/>
      <c r="H63" s="15"/>
      <c r="I63" s="19"/>
      <c r="J63" s="19"/>
      <c r="K63" s="19"/>
      <c r="L63" s="5">
        <v>1597704000</v>
      </c>
      <c r="M63" s="5">
        <v>150604000</v>
      </c>
      <c r="N63" s="5">
        <f>Tabela3[[#This Row],[Capital Social]]*20%</f>
        <v>0</v>
      </c>
      <c r="O63" s="5">
        <f>IF(([Lucro Líquido]*5%)&gt;[Teto R. Legal],[Teto R. Legal],[Lucro Líquido]*5%)</f>
        <v>0</v>
      </c>
      <c r="P63" s="5">
        <f>IF([Lucro Líquido]&lt;0,0,[Lucro Líquido]-[Reserva Legal])</f>
        <v>150604000</v>
      </c>
      <c r="Q63" s="21">
        <v>77855299</v>
      </c>
      <c r="R63" s="5">
        <f>[Capital Social]/[Total Ações]</f>
        <v>0</v>
      </c>
      <c r="S63" s="13">
        <f>Tabela3[[#This Row],[Lucro Líquido]]/Tabela3[[#This Row],[Total Ações]]</f>
        <v>1.9344091145292499</v>
      </c>
      <c r="T6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3" s="98">
        <f>[Patrimônio Líquido]*[% PNA (PL)]/[Total Ações]</f>
        <v>0</v>
      </c>
      <c r="V63" s="98">
        <f>[Capital Social]*[% PNA (CS)]/[Total Ações]</f>
        <v>0</v>
      </c>
      <c r="W63" s="98">
        <f>MAX(Tabela3[[#This Row],[Div PNA (PL)]],Tabela3[[#This Row],[Div PNA (CS)]])</f>
        <v>0</v>
      </c>
      <c r="X63" s="5">
        <f>[Div. Pref]*[Ações]</f>
        <v>0</v>
      </c>
      <c r="Y63" s="19">
        <f>IF(GETPIVOTDATA("Payout",'Tabela LL'!$A$3,"Ativo",Tabela3[[#This Row],[PAPEL]])&gt;1,1,GETPIVOTDATA("Payout",'Tabela LL'!$A$3,"Ativo",Tabela3[[#This Row],[PAPEL]]))</f>
        <v>0.61566379005177641</v>
      </c>
      <c r="Z63" s="6">
        <f>[Patrimônio Líquido]/[Total Ações]</f>
        <v>20.52145480810497</v>
      </c>
      <c r="AA63" s="50">
        <f>MAX(Tabela3[[#This Row],[Cotação 1]],Tabela3[[#This Row],[Cotação 2]])</f>
        <v>48.01</v>
      </c>
      <c r="AB63" s="46">
        <f>[Cotação]/[VPA]</f>
        <v>2.3395027520679674</v>
      </c>
      <c r="AC63" s="42">
        <f>IF(Tabela3[[#This Row],[Lucro/Ação]]&gt;0,Tabela3[[#This Row],[Cotação]]/(Tabela3[[#This Row],[Lucro/Ação]]/[Ref]*4),0)</f>
        <v>18.614211300778866</v>
      </c>
      <c r="AD63" s="42">
        <f>IF([Div. Mínimo]=0,0,[Lucro Distribuir]*[Payout]/[Total Ações])</f>
        <v>0</v>
      </c>
      <c r="AE63" s="99">
        <f>IF(AND([Div. Pref]&gt;0,[Div. Mínimo]&gt;0),[Div. Mínimo]+[Div. Pref],IF([Div. Pref]&gt;0,[Div. Pref],IF([Div. Mínimo]&gt;0,[Div. Mínimo],0)))</f>
        <v>0</v>
      </c>
      <c r="AF63" s="99">
        <f>[Lucro Distribuir]/[Total Ações]</f>
        <v>1.9344091145292499</v>
      </c>
      <c r="AG63" s="99">
        <f>IF([Lucro Payout]&gt;[Lucro Dist./Ação],MAX(Tabela3[[#This Row],[Lucro Atual]:[Lucro Dist./Ação]]),MAX(Tabela3[[#This Row],[Lucro Payout]:[Lucro Atual]]))</f>
        <v>0</v>
      </c>
      <c r="AH63" s="15" t="str">
        <f>IF(AND([% A.A.]&gt;=10%,[PVPA]&lt;=2,[PL]&lt;=15,[PL]&gt;0),"Sim","Não")</f>
        <v>Não</v>
      </c>
      <c r="AI63" s="44">
        <f>Tabela3[[#This Row],[Lucro]]/Tabela3[[#This Row],[Cotação]]</f>
        <v>0</v>
      </c>
      <c r="AJ63" s="19">
        <f>((1+Tabela3[[#This Row],[% Yield]])^(1/(3*Tabela3[[#This Row],[Ref]])))^(12)-1</f>
        <v>0</v>
      </c>
      <c r="AK63" s="14">
        <f>($AQ$1/Tabela3[[#This Row],[Cotação]]-MOD($AQ$1/Tabela3[[#This Row],[Cotação]],100))</f>
        <v>0</v>
      </c>
      <c r="AL63" s="17">
        <f>Tabela3[[#This Row],[Ativos]]*Tabela3[[#This Row],[Lucro Atual]]</f>
        <v>0</v>
      </c>
      <c r="AM63" s="5">
        <f>SUMPRODUCT(N(Tabela1[Código]=Tabela3[[#This Row],[PAPEL]]),Tabela1[Fechamento])</f>
        <v>48.01</v>
      </c>
      <c r="AN63" s="5">
        <f>SUMPRODUCT(N(Tabela17[Código]=Tabela3[[#This Row],[PAPEL]]),Tabela17[Fechamento])</f>
        <v>0</v>
      </c>
    </row>
    <row r="64" spans="1:40">
      <c r="A64" s="3" t="s">
        <v>12</v>
      </c>
      <c r="B64" s="10" t="s">
        <v>82</v>
      </c>
      <c r="C64" s="10" t="str">
        <f>LEFT([PAPEL],LEN([PAPEL])-(LEN([PAPEL])-4))</f>
        <v>COCE</v>
      </c>
      <c r="D64" s="16">
        <v>3</v>
      </c>
      <c r="E64" s="5"/>
      <c r="H64" s="16"/>
      <c r="I64" s="18"/>
      <c r="J64" s="18"/>
      <c r="L64" s="5">
        <v>1597704000</v>
      </c>
      <c r="M64" s="5">
        <v>150604000</v>
      </c>
      <c r="N64" s="5">
        <f>Tabela3[[#This Row],[Capital Social]]*20%</f>
        <v>0</v>
      </c>
      <c r="O64" s="5">
        <f>IF(([Lucro Líquido]*5%)&gt;[Teto R. Legal],[Teto R. Legal],[Lucro Líquido]*5%)</f>
        <v>0</v>
      </c>
      <c r="P64" s="5">
        <f>IF([Lucro Líquido]&lt;0,0,[Lucro Líquido]-[Reserva Legal])</f>
        <v>150604000</v>
      </c>
      <c r="Q64" s="21">
        <v>77855299</v>
      </c>
      <c r="R64" s="5">
        <f>[Capital Social]/[Total Ações]</f>
        <v>0</v>
      </c>
      <c r="S64" s="49">
        <f>Tabela3[[#This Row],[Lucro Líquido]]/Tabela3[[#This Row],[Total Ações]]</f>
        <v>1.9344091145292499</v>
      </c>
      <c r="T6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4" s="98">
        <f>[Patrimônio Líquido]*[% PNA (PL)]/[Total Ações]</f>
        <v>0</v>
      </c>
      <c r="V64" s="98">
        <f>[Capital Social]*[% PNA (CS)]/[Total Ações]</f>
        <v>0</v>
      </c>
      <c r="W64" s="98">
        <f>MAX(Tabela3[[#This Row],[Div PNA (PL)]],Tabela3[[#This Row],[Div PNA (CS)]])</f>
        <v>0</v>
      </c>
      <c r="X64" s="5">
        <f>[Div. Pref]*[Ações]</f>
        <v>0</v>
      </c>
      <c r="Y64" s="18">
        <f>IF(GETPIVOTDATA("Payout",'Tabela LL'!$A$3,"Ativo",Tabela3[[#This Row],[PAPEL]])&gt;1,1,GETPIVOTDATA("Payout",'Tabela LL'!$A$3,"Ativo",Tabela3[[#This Row],[PAPEL]]))</f>
        <v>0.61566379005177641</v>
      </c>
      <c r="Z64" s="5">
        <f>[Patrimônio Líquido]/[Total Ações]</f>
        <v>20.52145480810497</v>
      </c>
      <c r="AA64" s="56">
        <f>MAX(Tabela3[[#This Row],[Cotação 1]],Tabela3[[#This Row],[Cotação 2]])</f>
        <v>48.24</v>
      </c>
      <c r="AB64" s="57">
        <f>[Cotação]/[VPA]</f>
        <v>2.3507105344669603</v>
      </c>
      <c r="AC64" s="39">
        <f>IF(Tabela3[[#This Row],[Lucro/Ação]]&gt;0,Tabela3[[#This Row],[Cotação]]/(Tabela3[[#This Row],[Lucro/Ação]]/[Ref]*4),0)</f>
        <v>18.70338581857056</v>
      </c>
      <c r="AD64" s="39">
        <f>IF([Div. Mínimo]=0,0,[Lucro Distribuir]*[Payout]/[Total Ações])</f>
        <v>0</v>
      </c>
      <c r="AE64" s="98">
        <f>IF(AND([Div. Pref]&gt;0,[Div. Mínimo]&gt;0),[Div. Mínimo]+[Div. Pref],IF([Div. Pref]&gt;0,[Div. Pref],IF([Div. Mínimo]&gt;0,[Div. Mínimo],0)))</f>
        <v>0</v>
      </c>
      <c r="AF64" s="98">
        <f>[Lucro Distribuir]/[Total Ações]</f>
        <v>1.9344091145292499</v>
      </c>
      <c r="AG64" s="98">
        <f>IF([Lucro Payout]&gt;[Lucro Dist./Ação],MAX(Tabela3[[#This Row],[Lucro Atual]:[Lucro Dist./Ação]]),MAX(Tabela3[[#This Row],[Lucro Payout]:[Lucro Atual]]))</f>
        <v>0</v>
      </c>
      <c r="AH64" s="10" t="str">
        <f>IF(AND([% A.A.]&gt;=10%,[PVPA]&lt;=2,[PL]&lt;=15,[PL]&gt;0),"Sim","Não")</f>
        <v>Não</v>
      </c>
      <c r="AI64" s="22">
        <f>Tabela3[[#This Row],[Lucro]]/Tabela3[[#This Row],[Cotação]]</f>
        <v>0</v>
      </c>
      <c r="AJ64" s="18">
        <f>((1+Tabela3[[#This Row],[% Yield]])^(1/(3*Tabela3[[#This Row],[Ref]])))^(12)-1</f>
        <v>0</v>
      </c>
      <c r="AK64" s="10">
        <f>($AQ$1/Tabela3[[#This Row],[Cotação]]-MOD($AQ$1/Tabela3[[#This Row],[Cotação]],100))</f>
        <v>0</v>
      </c>
      <c r="AL64" s="7">
        <f>Tabela3[[#This Row],[Ativos]]*Tabela3[[#This Row],[Lucro Atual]]</f>
        <v>0</v>
      </c>
      <c r="AM64" s="5">
        <f>SUMPRODUCT(N(Tabela1[Código]=Tabela3[[#This Row],[PAPEL]]),Tabela1[Fechamento])</f>
        <v>48.24</v>
      </c>
      <c r="AN64" s="5">
        <f>SUMPRODUCT(N(Tabela17[Código]=Tabela3[[#This Row],[PAPEL]]),Tabela17[Fechamento])</f>
        <v>0</v>
      </c>
    </row>
    <row r="65" spans="1:40">
      <c r="A65" s="25" t="s">
        <v>12</v>
      </c>
      <c r="B65" s="15" t="s">
        <v>32</v>
      </c>
      <c r="C65" s="15" t="str">
        <f>LEFT([PAPEL],LEN([PAPEL])-(LEN([PAPEL])-4))</f>
        <v>CPFE</v>
      </c>
      <c r="D65" s="16">
        <v>3</v>
      </c>
      <c r="E65" s="5"/>
      <c r="H65" s="16"/>
      <c r="I65" s="18"/>
      <c r="J65" s="18"/>
      <c r="L65" s="30">
        <v>6763474000</v>
      </c>
      <c r="M65" s="30">
        <v>636489000</v>
      </c>
      <c r="N65" s="30">
        <f>Tabela3[[#This Row],[Capital Social]]*20%</f>
        <v>0</v>
      </c>
      <c r="O65" s="30">
        <f>IF(([Lucro Líquido]*5%)&gt;[Teto R. Legal],[Teto R. Legal],[Lucro Líquido]*5%)</f>
        <v>0</v>
      </c>
      <c r="P65" s="30">
        <f>IF([Lucro Líquido]&lt;0,0,[Lucro Líquido]-[Reserva Legal])</f>
        <v>636489000</v>
      </c>
      <c r="Q65" s="28">
        <v>962274260</v>
      </c>
      <c r="R65" s="30">
        <f>[Capital Social]/[Total Ações]</f>
        <v>0</v>
      </c>
      <c r="S65" s="108">
        <f>Tabela3[[#This Row],[Lucro Líquido]]/Tabela3[[#This Row],[Total Ações]]</f>
        <v>0.6614424041644843</v>
      </c>
      <c r="T65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5" s="100">
        <f>[Patrimônio Líquido]*[% PNA (PL)]/[Total Ações]</f>
        <v>0</v>
      </c>
      <c r="V65" s="100">
        <f>[Capital Social]*[% PNA (CS)]/[Total Ações]</f>
        <v>0</v>
      </c>
      <c r="W65" s="100">
        <f>MAX(Tabela3[[#This Row],[Div PNA (PL)]],Tabela3[[#This Row],[Div PNA (CS)]])</f>
        <v>0</v>
      </c>
      <c r="X65" s="30">
        <f>[Div. Pref]*[Ações]</f>
        <v>0</v>
      </c>
      <c r="Y65" s="51">
        <f>IF(GETPIVOTDATA("Payout",'Tabela LL'!$A$3,"Ativo",Tabela3[[#This Row],[PAPEL]])&gt;1,1,GETPIVOTDATA("Payout",'Tabela LL'!$A$3,"Ativo",Tabela3[[#This Row],[PAPEL]]))</f>
        <v>1</v>
      </c>
      <c r="Z65" s="30">
        <f>[Patrimônio Líquido]/[Total Ações]</f>
        <v>7.0286344352596526</v>
      </c>
      <c r="AA65" s="31">
        <f>MAX(Tabela3[[#This Row],[Cotação 1]],Tabela3[[#This Row],[Cotação 2]])</f>
        <v>18.8</v>
      </c>
      <c r="AB65" s="32">
        <f>[Cotação]/[VPA]</f>
        <v>2.6747727703248363</v>
      </c>
      <c r="AC65" s="37">
        <f>IF(Tabela3[[#This Row],[Lucro/Ação]]&gt;0,Tabela3[[#This Row],[Cotação]]/(Tabela3[[#This Row],[Lucro/Ação]]/[Ref]*4),0)</f>
        <v>21.3170487879602</v>
      </c>
      <c r="AD65" s="37">
        <f>IF([Div. Mínimo]=0,0,[Lucro Distribuir]*[Payout]/[Total Ações])</f>
        <v>0</v>
      </c>
      <c r="AE65" s="99">
        <f>IF(AND([Div. Pref]&gt;0,[Div. Mínimo]&gt;0),[Div. Mínimo]+[Div. Pref],IF([Div. Pref]&gt;0,[Div. Pref],IF([Div. Mínimo]&gt;0,[Div. Mínimo],0)))</f>
        <v>0</v>
      </c>
      <c r="AF65" s="99">
        <f>[Lucro Distribuir]/[Total Ações]</f>
        <v>0.6614424041644843</v>
      </c>
      <c r="AG65" s="99">
        <f>IF([Lucro Payout]&gt;[Lucro Dist./Ação],MAX(Tabela3[[#This Row],[Lucro Atual]:[Lucro Dist./Ação]]),MAX(Tabela3[[#This Row],[Lucro Payout]:[Lucro Atual]]))</f>
        <v>0</v>
      </c>
      <c r="AH65" s="26" t="str">
        <f>IF(AND([% A.A.]&gt;=10%,[PVPA]&lt;=2,[PL]&lt;=15,[PL]&gt;0),"Sim","Não")</f>
        <v>Não</v>
      </c>
      <c r="AI65" s="29">
        <f>Tabela3[[#This Row],[Lucro]]/Tabela3[[#This Row],[Cotação]]</f>
        <v>0</v>
      </c>
      <c r="AJ65" s="52">
        <f>((1+Tabela3[[#This Row],[% Yield]])^(1/(3*Tabela3[[#This Row],[Ref]])))^(12)-1</f>
        <v>0</v>
      </c>
      <c r="AK65" s="10">
        <f>($AQ$1/Tabela3[[#This Row],[Cotação]]-MOD($AQ$1/Tabela3[[#This Row],[Cotação]],100))</f>
        <v>0</v>
      </c>
      <c r="AL65" s="7">
        <f>Tabela3[[#This Row],[Ativos]]*Tabela3[[#This Row],[Lucro Atual]]</f>
        <v>0</v>
      </c>
      <c r="AM65" s="5">
        <f>SUMPRODUCT(N(Tabela1[Código]=Tabela3[[#This Row],[PAPEL]]),Tabela1[Fechamento])</f>
        <v>18.8</v>
      </c>
      <c r="AN65" s="5">
        <f>SUMPRODUCT(N(Tabela17[Código]=Tabela3[[#This Row],[PAPEL]]),Tabela17[Fechamento])</f>
        <v>0</v>
      </c>
    </row>
    <row r="66" spans="1:40">
      <c r="A66" s="25" t="s">
        <v>12</v>
      </c>
      <c r="B66" s="68" t="s">
        <v>34</v>
      </c>
      <c r="C66" s="15" t="str">
        <f>LEFT([PAPEL],LEN([PAPEL])-(LEN([PAPEL])-4))</f>
        <v>CPLE</v>
      </c>
      <c r="D66" s="15">
        <v>3</v>
      </c>
      <c r="E66" s="6">
        <v>6910000000</v>
      </c>
      <c r="F66" s="8">
        <v>145031080</v>
      </c>
      <c r="G66" s="19">
        <v>0.25</v>
      </c>
      <c r="H66" s="15"/>
      <c r="I66" s="19"/>
      <c r="J66" s="19"/>
      <c r="K66" s="19"/>
      <c r="L66" s="30">
        <v>12828375000</v>
      </c>
      <c r="M66" s="30">
        <v>898498000</v>
      </c>
      <c r="N66" s="30">
        <f>Tabela3[[#This Row],[Capital Social]]*20%</f>
        <v>1382000000</v>
      </c>
      <c r="O66" s="30">
        <f>IF(([Lucro Líquido]*5%)&gt;[Teto R. Legal],[Teto R. Legal],[Lucro Líquido]*5%)</f>
        <v>44924900</v>
      </c>
      <c r="P66" s="30">
        <f>IF([Lucro Líquido]&lt;0,0,[Lucro Líquido]-[Reserva Legal])</f>
        <v>853573100</v>
      </c>
      <c r="Q66" s="21">
        <f>SUMPRODUCT(N([Nome]=Tabela3[[#This Row],[Nome]]),[Ações])</f>
        <v>273655375</v>
      </c>
      <c r="R66" s="30">
        <f>[Capital Social]/[Total Ações]</f>
        <v>25.250737355332415</v>
      </c>
      <c r="S66" s="108">
        <f>Tabela3[[#This Row],[Lucro Líquido]]/Tabela3[[#This Row],[Total Ações]]</f>
        <v>3.2833193939640322</v>
      </c>
      <c r="T66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0.75316425140191623</v>
      </c>
      <c r="U66" s="100">
        <f>[Patrimônio Líquido]*[% PNA (PL)]/[Total Ações]</f>
        <v>0</v>
      </c>
      <c r="V66" s="100">
        <f>[Capital Social]*[% PNA (CS)]/[Total Ações]</f>
        <v>0</v>
      </c>
      <c r="W66" s="100">
        <f>MAX(Tabela3[[#This Row],[Div PNA (PL)]],Tabela3[[#This Row],[Div PNA (CS)]])</f>
        <v>0</v>
      </c>
      <c r="X66" s="30">
        <f>[Div. Pref]*[Ações]</f>
        <v>0</v>
      </c>
      <c r="Y66" s="19">
        <f>IF(GETPIVOTDATA("Payout",'Tabela LL'!$A$3,"Ativo",Tabela3[[#This Row],[PAPEL]])&gt;1,1,GETPIVOTDATA("Payout",'Tabela LL'!$A$3,"Ativo",Tabela3[[#This Row],[PAPEL]]))</f>
        <v>0.30524903922734314</v>
      </c>
      <c r="Z66" s="30">
        <f>[Patrimônio Líquido]/[Total Ações]</f>
        <v>46.877847730927996</v>
      </c>
      <c r="AA66" s="31">
        <f>MAX(Tabela3[[#This Row],[Cotação 1]],Tabela3[[#This Row],[Cotação 2]])</f>
        <v>22.2</v>
      </c>
      <c r="AB66" s="32">
        <f>[Cotação]/[VPA]</f>
        <v>0.47357122979332922</v>
      </c>
      <c r="AC66" s="37">
        <f>IF(Tabela3[[#This Row],[Lucro/Ação]]&gt;0,Tabela3[[#This Row],[Cotação]]/(Tabela3[[#This Row],[Lucro/Ação]]/[Ref]*4),0)</f>
        <v>5.0710875191152347</v>
      </c>
      <c r="AD66" s="37">
        <f>IF([Div. Mínimo]=0,0,[Lucro Distribuir]*[Payout]/[Total Ações])</f>
        <v>0.95211858595982224</v>
      </c>
      <c r="AE66" s="99">
        <f>IF(AND([Div. Pref]&gt;0,[Div. Mínimo]&gt;0),[Div. Mínimo]+[Div. Pref],IF([Div. Pref]&gt;0,[Div. Pref],IF([Div. Mínimo]&gt;0,[Div. Mínimo],0)))</f>
        <v>0.75316425140191623</v>
      </c>
      <c r="AF66" s="99">
        <f>[Lucro Distribuir]/[Total Ações]</f>
        <v>3.1191534242658308</v>
      </c>
      <c r="AG66" s="99">
        <f>IF([Lucro Payout]&gt;[Lucro Dist./Ação],MAX(Tabela3[[#This Row],[Lucro Atual]:[Lucro Dist./Ação]]),MAX(Tabela3[[#This Row],[Lucro Payout]:[Lucro Atual]]))</f>
        <v>0.95211858595982224</v>
      </c>
      <c r="AH66" s="26" t="str">
        <f>IF(AND([% A.A.]&gt;=10%,[PVPA]&lt;=2,[PL]&lt;=15,[PL]&gt;0),"Sim","Não")</f>
        <v>Não</v>
      </c>
      <c r="AI66" s="29">
        <f>Tabela3[[#This Row],[Lucro]]/Tabela3[[#This Row],[Cotação]]</f>
        <v>4.2888224592784789E-2</v>
      </c>
      <c r="AJ66" s="52">
        <f>((1+Tabela3[[#This Row],[% Yield]])^(1/(3*Tabela3[[#This Row],[Ref]])))^(12)-1</f>
        <v>5.7589227302438539E-2</v>
      </c>
      <c r="AK66" s="10">
        <f>($AQ$1/Tabela3[[#This Row],[Cotação]]-MOD($AQ$1/Tabela3[[#This Row],[Cotação]],100))</f>
        <v>0</v>
      </c>
      <c r="AL66" s="5">
        <f>Tabela3[[#This Row],[Ativos]]*Tabela3[[#This Row],[Lucro Atual]]</f>
        <v>0</v>
      </c>
      <c r="AM66" s="5">
        <f>SUMPRODUCT(N(Tabela1[Código]=Tabela3[[#This Row],[PAPEL]]),Tabela1[Fechamento])</f>
        <v>22.2</v>
      </c>
      <c r="AN66" s="5">
        <f>SUMPRODUCT(N(Tabela17[Código]=Tabela3[[#This Row],[PAPEL]]),Tabela17[Fechamento])</f>
        <v>0</v>
      </c>
    </row>
    <row r="67" spans="1:40">
      <c r="A67" s="4" t="s">
        <v>12</v>
      </c>
      <c r="B67" s="68" t="s">
        <v>103</v>
      </c>
      <c r="C67" s="14" t="str">
        <f>LEFT([PAPEL],LEN([PAPEL])-(LEN([PAPEL])-4))</f>
        <v>CPLE</v>
      </c>
      <c r="D67" s="15">
        <v>3</v>
      </c>
      <c r="E67" s="6">
        <v>6910000000</v>
      </c>
      <c r="F67" s="8">
        <v>381702</v>
      </c>
      <c r="G67" s="19"/>
      <c r="H67" s="19"/>
      <c r="I67" s="19">
        <v>0.1</v>
      </c>
      <c r="J67" s="19"/>
      <c r="K67" s="19"/>
      <c r="L67" s="30">
        <v>12828375000</v>
      </c>
      <c r="M67" s="30">
        <v>898498000</v>
      </c>
      <c r="N67" s="30">
        <f>Tabela3[[#This Row],[Capital Social]]*20%</f>
        <v>1382000000</v>
      </c>
      <c r="O67" s="30">
        <f>IF(([Lucro Líquido]*5%)&gt;[Teto R. Legal],[Teto R. Legal],[Lucro Líquido]*5%)</f>
        <v>44924900</v>
      </c>
      <c r="P67" s="30">
        <f>IF([Lucro Líquido]&lt;0,0,[Lucro Líquido]-[Reserva Legal])</f>
        <v>853573100</v>
      </c>
      <c r="Q67" s="21">
        <f>SUMPRODUCT(N([Nome]=Tabela3[[#This Row],[Nome]]),[Ações])</f>
        <v>273655375</v>
      </c>
      <c r="R67" s="6">
        <f>[Capital Social]/[Total Ações]</f>
        <v>25.250737355332415</v>
      </c>
      <c r="S67" s="13">
        <f>Tabela3[[#This Row],[Lucro Líquido]]/Tabela3[[#This Row],[Total Ações]]</f>
        <v>3.2833193939640322</v>
      </c>
      <c r="T6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7" s="99">
        <f>[Patrimônio Líquido]*[% PNA (PL)]/[Total Ações]</f>
        <v>0</v>
      </c>
      <c r="V67" s="99">
        <f>[Capital Social]*[% PNA (CS)]/[Total Ações]</f>
        <v>2.5250737355332413</v>
      </c>
      <c r="W67" s="99">
        <f>MAX(Tabela3[[#This Row],[Div PNA (PL)]],Tabela3[[#This Row],[Div PNA (CS)]])</f>
        <v>2.5250737355332413</v>
      </c>
      <c r="X67" s="6">
        <f>[Div. Pref]*[Ações]</f>
        <v>963825.69500050927</v>
      </c>
      <c r="Y67" s="19">
        <f>IF(GETPIVOTDATA("Payout",'Tabela LL'!$A$3,"Ativo",Tabela3[[#This Row],[PAPEL]])&gt;1,1,GETPIVOTDATA("Payout",'Tabela LL'!$A$3,"Ativo",Tabela3[[#This Row],[PAPEL]]))</f>
        <v>0.67976520829611575</v>
      </c>
      <c r="Z67" s="6">
        <f>[Patrimônio Líquido]/[Total Ações]</f>
        <v>46.877847730927996</v>
      </c>
      <c r="AA67" s="50">
        <f>MAX(Tabela3[[#This Row],[Cotação 1]],Tabela3[[#This Row],[Cotação 2]])</f>
        <v>30</v>
      </c>
      <c r="AB67" s="46">
        <f>[Cotação]/[VPA]</f>
        <v>0.63996112134233685</v>
      </c>
      <c r="AC67" s="42">
        <f>IF(Tabela3[[#This Row],[Lucro/Ação]]&gt;0,Tabela3[[#This Row],[Cotação]]/(Tabela3[[#This Row],[Lucro/Ação]]/[Ref]*4),0)</f>
        <v>6.8528209717773443</v>
      </c>
      <c r="AD67" s="96">
        <f>IF([Div. Mínimo]=0,0,[Lucro Distribuir]*[Payout]/[Total Ações])</f>
        <v>0</v>
      </c>
      <c r="AE67" s="99">
        <f>IF(AND([Div. Pref]&gt;0,[Div. Mínimo]&gt;0),[Div. Mínimo]+[Div. Pref],IF([Div. Pref]&gt;0,[Div. Pref],IF([Div. Mínimo]&gt;0,[Div. Mínimo],0)))</f>
        <v>2.5250737355332413</v>
      </c>
      <c r="AF67" s="99">
        <f>[Lucro Distribuir]/[Total Ações]</f>
        <v>3.1191534242658308</v>
      </c>
      <c r="AG67" s="99">
        <f>IF([Lucro Payout]&gt;[Lucro Dist./Ação],MAX(Tabela3[[#This Row],[Lucro Atual]:[Lucro Dist./Ação]]),MAX(Tabela3[[#This Row],[Lucro Payout]:[Lucro Atual]]))</f>
        <v>2.5250737355332413</v>
      </c>
      <c r="AH67" s="15" t="str">
        <f>IF(AND([% A.A.]&gt;=10%,[PVPA]&lt;=2,[PL]&lt;=15,[PL]&gt;0),"Sim","Não")</f>
        <v>Sim</v>
      </c>
      <c r="AI67" s="44">
        <f>Tabela3[[#This Row],[Lucro]]/Tabela3[[#This Row],[Cotação]]</f>
        <v>8.416912451777471E-2</v>
      </c>
      <c r="AJ67" s="19">
        <f>((1+Tabela3[[#This Row],[% Yield]])^(1/(3*Tabela3[[#This Row],[Ref]])))^(12)-1</f>
        <v>0.11377136181616954</v>
      </c>
      <c r="AK67" s="14">
        <f>($AQ$1/Tabela3[[#This Row],[Cotação]]-MOD($AQ$1/Tabela3[[#This Row],[Cotação]],100))</f>
        <v>0</v>
      </c>
      <c r="AL67" s="17">
        <f>Tabela3[[#This Row],[Ativos]]*Tabela3[[#This Row],[Lucro Atual]]</f>
        <v>0</v>
      </c>
      <c r="AM67" s="5">
        <f>SUMPRODUCT(N(Tabela1[Código]=Tabela3[[#This Row],[PAPEL]]),Tabela1[Fechamento])</f>
        <v>30</v>
      </c>
      <c r="AN67" s="5">
        <f>SUMPRODUCT(N(Tabela17[Código]=Tabela3[[#This Row],[PAPEL]]),Tabela17[Fechamento])</f>
        <v>0</v>
      </c>
    </row>
    <row r="68" spans="1:40">
      <c r="A68" s="4" t="s">
        <v>12</v>
      </c>
      <c r="B68" s="68" t="s">
        <v>104</v>
      </c>
      <c r="C68" s="14" t="str">
        <f>LEFT([PAPEL],LEN([PAPEL])-(LEN([PAPEL])-4))</f>
        <v>CPLE</v>
      </c>
      <c r="D68" s="15">
        <v>3</v>
      </c>
      <c r="E68" s="6">
        <v>6910000000</v>
      </c>
      <c r="F68" s="8">
        <v>128242593</v>
      </c>
      <c r="G68" s="19">
        <v>0.25</v>
      </c>
      <c r="H68" s="15"/>
      <c r="I68" s="19"/>
      <c r="J68" s="19"/>
      <c r="K68" s="19">
        <v>0.1</v>
      </c>
      <c r="L68" s="6">
        <v>13116477000</v>
      </c>
      <c r="M68" s="6">
        <v>923222000</v>
      </c>
      <c r="N68" s="6">
        <f>Tabela3[[#This Row],[Capital Social]]*20%</f>
        <v>1382000000</v>
      </c>
      <c r="O68" s="6">
        <f>IF(([Lucro Líquido]*5%)&gt;[Teto R. Legal],[Teto R. Legal],[Lucro Líquido]*5%)</f>
        <v>46161100</v>
      </c>
      <c r="P68" s="6">
        <f>IF([Lucro Líquido]&lt;0,0,[Lucro Líquido]-[Reserva Legal])</f>
        <v>877060900</v>
      </c>
      <c r="Q68" s="21">
        <f>SUMPRODUCT(N([Nome]=Tabela3[[#This Row],[Nome]]),[Ações])</f>
        <v>273655375</v>
      </c>
      <c r="R68" s="6">
        <f>[Capital Social]/[Total Ações]</f>
        <v>25.250737355332415</v>
      </c>
      <c r="S68" s="13">
        <f>Tabela3[[#This Row],[Lucro Líquido]]/Tabela3[[#This Row],[Total Ações]]</f>
        <v>3.3736666053060351</v>
      </c>
      <c r="T6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0.85138144370172097</v>
      </c>
      <c r="U68" s="99">
        <f>[Patrimônio Líquido]*[% PNA (PL)]/[Total Ações]</f>
        <v>0</v>
      </c>
      <c r="V68" s="99">
        <f>[Capital Social]*[% PNA (CS)]/[Total Ações]</f>
        <v>0</v>
      </c>
      <c r="W68" s="99">
        <f>MAX(Tabela3[[#This Row],[Div PNA (PL)]],Tabela3[[#This Row],[Div PNA (CS)]])</f>
        <v>0</v>
      </c>
      <c r="X68" s="6">
        <f>[Div. Pref]*[Ações]</f>
        <v>0</v>
      </c>
      <c r="Y68" s="19">
        <f>IF(GETPIVOTDATA("Payout",'Tabela LL'!$A$3,"Ativo",Tabela3[[#This Row],[PAPEL]])&gt;1,1,GETPIVOTDATA("Payout",'Tabela LL'!$A$3,"Ativo",Tabela3[[#This Row],[PAPEL]]))</f>
        <v>0.33582916423156933</v>
      </c>
      <c r="Z68" s="6">
        <f>[Patrimônio Líquido]/[Total Ações]</f>
        <v>47.930639038242902</v>
      </c>
      <c r="AA68" s="50">
        <f>MAX(Tabela3[[#This Row],[Cotação 1]],Tabela3[[#This Row],[Cotação 2]])</f>
        <v>30.89</v>
      </c>
      <c r="AB68" s="46">
        <f>[Cotação]/[VPA]</f>
        <v>0.64447294298232671</v>
      </c>
      <c r="AC68" s="42">
        <f>IF(Tabela3[[#This Row],[Lucro/Ação]]&gt;0,Tabela3[[#This Row],[Cotação]]/(Tabela3[[#This Row],[Lucro/Ação]]/[Ref]*4),0)</f>
        <v>6.8671575204149162</v>
      </c>
      <c r="AD68" s="42">
        <f>IF([Div. Mínimo]=0,0,[Lucro Distribuir]*[Payout]/[Total Ações])</f>
        <v>1.0763268546330873</v>
      </c>
      <c r="AE68" s="99">
        <f>IF(AND([Div. Pref]&gt;0,[Div. Mínimo]&gt;0),[Div. Mínimo]+[Div. Pref],IF([Div. Pref]&gt;0,[Div. Pref],IF([Div. Mínimo]&gt;0,[Div. Mínimo],0)))</f>
        <v>0.85138144370172097</v>
      </c>
      <c r="AF68" s="99">
        <f>[Lucro Distribuir]/[Total Ações]</f>
        <v>3.2049832750407332</v>
      </c>
      <c r="AG68" s="99">
        <f>IF([Lucro Payout]&gt;[Lucro Dist./Ação],MAX(Tabela3[[#This Row],[Lucro Atual]:[Lucro Dist./Ação]]),MAX(Tabela3[[#This Row],[Lucro Payout]:[Lucro Atual]]))</f>
        <v>1.0763268546330873</v>
      </c>
      <c r="AH68" s="15" t="str">
        <f>IF(AND([% A.A.]&gt;=10%,[PVPA]&lt;=2,[PL]&lt;=15,[PL]&gt;0),"Sim","Não")</f>
        <v>Não</v>
      </c>
      <c r="AI68" s="44">
        <f>Tabela3[[#This Row],[Lucro]]/Tabela3[[#This Row],[Cotação]]</f>
        <v>3.4843860622631506E-2</v>
      </c>
      <c r="AJ68" s="19">
        <f>((1+Tabela3[[#This Row],[% Yield]])^(1/(3*Tabela3[[#This Row],[Ref]])))^(12)-1</f>
        <v>4.6726220339383229E-2</v>
      </c>
      <c r="AK68" s="14">
        <f>($AQ$1/Tabela3[[#This Row],[Cotação]]-MOD($AQ$1/Tabela3[[#This Row],[Cotação]],100))</f>
        <v>0</v>
      </c>
      <c r="AL68" s="17">
        <f>Tabela3[[#This Row],[Ativos]]*Tabela3[[#This Row],[Lucro Atual]]</f>
        <v>0</v>
      </c>
      <c r="AM68" s="5">
        <f>SUMPRODUCT(N(Tabela1[Código]=Tabela3[[#This Row],[PAPEL]]),Tabela1[Fechamento])</f>
        <v>30.89</v>
      </c>
      <c r="AN68" s="5">
        <f>SUMPRODUCT(N(Tabela17[Código]=Tabela3[[#This Row],[PAPEL]]),Tabela17[Fechamento])</f>
        <v>0</v>
      </c>
    </row>
    <row r="69" spans="1:40">
      <c r="A69" s="4" t="s">
        <v>421</v>
      </c>
      <c r="B69" s="68" t="s">
        <v>425</v>
      </c>
      <c r="C69" s="104" t="str">
        <f>LEFT([PAPEL],LEN([PAPEL])-(LEN([PAPEL])-4))</f>
        <v>CRIV</v>
      </c>
      <c r="D69" s="15">
        <v>3</v>
      </c>
      <c r="E69" s="6"/>
      <c r="F69" s="8"/>
      <c r="G69" s="19"/>
      <c r="H69" s="15"/>
      <c r="I69" s="19"/>
      <c r="J69" s="19"/>
      <c r="K69" s="19"/>
      <c r="L69" s="6">
        <v>735745000</v>
      </c>
      <c r="M69" s="6">
        <v>39503000</v>
      </c>
      <c r="N69" s="6">
        <f>Tabela3[[#This Row],[Capital Social]]*20%</f>
        <v>0</v>
      </c>
      <c r="O69" s="6">
        <f>IF(([Lucro Líquido]*5%)&gt;[Teto R. Legal],[Teto R. Legal],[Lucro Líquido]*5%)</f>
        <v>0</v>
      </c>
      <c r="P69" s="6">
        <f>IF([Lucro Líquido]&lt;0,0,[Lucro Líquido]-[Reserva Legal])</f>
        <v>39503000</v>
      </c>
      <c r="Q69" s="40">
        <v>105765903</v>
      </c>
      <c r="R69" s="6">
        <f>[Capital Social]/[Total Ações]</f>
        <v>0</v>
      </c>
      <c r="S69" s="13">
        <f>Tabela3[[#This Row],[Lucro Líquido]]/Tabela3[[#This Row],[Total Ações]]</f>
        <v>0.37349466018363214</v>
      </c>
      <c r="T6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69" s="99">
        <f>[Patrimônio Líquido]*[% PNA (PL)]/[Total Ações]</f>
        <v>0</v>
      </c>
      <c r="V69" s="99">
        <f>[Capital Social]*[% PNA (CS)]/[Total Ações]</f>
        <v>0</v>
      </c>
      <c r="W69" s="99">
        <f>MAX(Tabela3[[#This Row],[Div PNA (PL)]],Tabela3[[#This Row],[Div PNA (CS)]])</f>
        <v>0</v>
      </c>
      <c r="X69" s="6">
        <f>[Div. Pref]*[Ações]</f>
        <v>0</v>
      </c>
      <c r="Y69" s="19">
        <f>IF(GETPIVOTDATA("Payout",'Tabela LL'!$A$3,"Ativo",Tabela3[[#This Row],[PAPEL]])&gt;1,1,GETPIVOTDATA("Payout",'Tabela LL'!$A$3,"Ativo",Tabela3[[#This Row],[PAPEL]]))</f>
        <v>0.2407568567064774</v>
      </c>
      <c r="Z69" s="6">
        <f>[Patrimônio Líquido]/[Total Ações]</f>
        <v>6.9563534100399069</v>
      </c>
      <c r="AA69" s="50">
        <f>MAX(Tabela3[[#This Row],[Cotação 1]],Tabela3[[#This Row],[Cotação 2]])</f>
        <v>3.85</v>
      </c>
      <c r="AB69" s="46">
        <f>[Cotação]/[VPA]</f>
        <v>0.55345089202101272</v>
      </c>
      <c r="AC69" s="42">
        <f>IF(Tabela3[[#This Row],[Lucro/Ação]]&gt;0,Tabela3[[#This Row],[Cotação]]/(Tabela3[[#This Row],[Lucro/Ação]]/[Ref]*4),0)</f>
        <v>7.7310342230336939</v>
      </c>
      <c r="AD69" s="42">
        <f>IF([Div. Mínimo]=0,0,[Lucro Distribuir]*[Payout]/[Total Ações])</f>
        <v>0</v>
      </c>
      <c r="AE69" s="99">
        <f>IF(AND([Div. Pref]&gt;0,[Div. Mínimo]&gt;0),[Div. Mínimo]+[Div. Pref],IF([Div. Pref]&gt;0,[Div. Pref],IF([Div. Mínimo]&gt;0,[Div. Mínimo],0)))</f>
        <v>0</v>
      </c>
      <c r="AF69" s="99">
        <f>[Lucro Distribuir]/[Total Ações]</f>
        <v>0.37349466018363214</v>
      </c>
      <c r="AG69" s="99">
        <f>IF([Lucro Payout]&gt;[Lucro Dist./Ação],MAX(Tabela3[[#This Row],[Lucro Atual]:[Lucro Dist./Ação]]),MAX(Tabela3[[#This Row],[Lucro Payout]:[Lucro Atual]]))</f>
        <v>0</v>
      </c>
      <c r="AH69" s="15" t="str">
        <f>IF(AND([% A.A.]&gt;=10%,[PVPA]&lt;=2,[PL]&lt;=15,[PL]&gt;0),"Sim","Não")</f>
        <v>Não</v>
      </c>
      <c r="AI69" s="44">
        <f>Tabela3[[#This Row],[Lucro]]/Tabela3[[#This Row],[Cotação]]</f>
        <v>0</v>
      </c>
      <c r="AJ69" s="19">
        <f>((1+Tabela3[[#This Row],[% Yield]])^(1/(3*Tabela3[[#This Row],[Ref]])))^(12)-1</f>
        <v>0</v>
      </c>
      <c r="AK69" s="14">
        <f>($AQ$1/Tabela3[[#This Row],[Cotação]]-MOD($AQ$1/Tabela3[[#This Row],[Cotação]],100))</f>
        <v>0</v>
      </c>
      <c r="AL69" s="17">
        <f>Tabela3[[#This Row],[Ativos]]*Tabela3[[#This Row],[Lucro Atual]]</f>
        <v>0</v>
      </c>
      <c r="AM69" s="13">
        <f>SUMPRODUCT(N(Tabela1[Código]=Tabela3[[#This Row],[PAPEL]]),Tabela1[Fechamento])</f>
        <v>0</v>
      </c>
      <c r="AN69" s="59">
        <f>SUMPRODUCT(N(Tabela17[Código]=Tabela3[[#This Row],[PAPEL]]),Tabela17[Fechamento])</f>
        <v>3.85</v>
      </c>
    </row>
    <row r="70" spans="1:40">
      <c r="A70" s="4" t="s">
        <v>421</v>
      </c>
      <c r="B70" s="68" t="s">
        <v>426</v>
      </c>
      <c r="C70" s="104" t="str">
        <f>LEFT([PAPEL],LEN([PAPEL])-(LEN([PAPEL])-4))</f>
        <v>CRIV</v>
      </c>
      <c r="D70" s="15">
        <v>3</v>
      </c>
      <c r="E70" s="6"/>
      <c r="F70" s="8"/>
      <c r="G70" s="19"/>
      <c r="H70" s="15"/>
      <c r="I70" s="19"/>
      <c r="J70" s="19"/>
      <c r="K70" s="19"/>
      <c r="L70" s="6">
        <v>735745000</v>
      </c>
      <c r="M70" s="6">
        <v>39503000</v>
      </c>
      <c r="N70" s="6">
        <f>Tabela3[[#This Row],[Capital Social]]*20%</f>
        <v>0</v>
      </c>
      <c r="O70" s="6">
        <f>IF(([Lucro Líquido]*5%)&gt;[Teto R. Legal],[Teto R. Legal],[Lucro Líquido]*5%)</f>
        <v>0</v>
      </c>
      <c r="P70" s="6">
        <f>IF([Lucro Líquido]&lt;0,0,[Lucro Líquido]-[Reserva Legal])</f>
        <v>39503000</v>
      </c>
      <c r="Q70" s="40">
        <v>105765903</v>
      </c>
      <c r="R70" s="6">
        <f>[Capital Social]/[Total Ações]</f>
        <v>0</v>
      </c>
      <c r="S70" s="13">
        <f>Tabela3[[#This Row],[Lucro Líquido]]/Tabela3[[#This Row],[Total Ações]]</f>
        <v>0.37349466018363214</v>
      </c>
      <c r="T7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0" s="99">
        <f>[Patrimônio Líquido]*[% PNA (PL)]/[Total Ações]</f>
        <v>0</v>
      </c>
      <c r="V70" s="99">
        <f>[Capital Social]*[% PNA (CS)]/[Total Ações]</f>
        <v>0</v>
      </c>
      <c r="W70" s="99">
        <f>MAX(Tabela3[[#This Row],[Div PNA (PL)]],Tabela3[[#This Row],[Div PNA (CS)]])</f>
        <v>0</v>
      </c>
      <c r="X70" s="6">
        <f>[Div. Pref]*[Ações]</f>
        <v>0</v>
      </c>
      <c r="Y70" s="19">
        <f>IF(GETPIVOTDATA("Payout",'Tabela LL'!$A$3,"Ativo",Tabela3[[#This Row],[PAPEL]])&gt;1,1,GETPIVOTDATA("Payout",'Tabela LL'!$A$3,"Ativo",Tabela3[[#This Row],[PAPEL]]))</f>
        <v>0.32895734501185681</v>
      </c>
      <c r="Z70" s="6">
        <f>[Patrimônio Líquido]/[Total Ações]</f>
        <v>6.9563534100399069</v>
      </c>
      <c r="AA70" s="50">
        <f>MAX(Tabela3[[#This Row],[Cotação 1]],Tabela3[[#This Row],[Cotação 2]])</f>
        <v>4.01</v>
      </c>
      <c r="AB70" s="46">
        <f>[Cotação]/[VPA]</f>
        <v>0.57645144857253527</v>
      </c>
      <c r="AC70" s="42">
        <f>IF(Tabela3[[#This Row],[Lucro/Ação]]&gt;0,Tabela3[[#This Row],[Cotação]]/(Tabela3[[#This Row],[Lucro/Ação]]/[Ref]*4),0)</f>
        <v>8.0523239569779506</v>
      </c>
      <c r="AD70" s="42">
        <f>IF([Div. Mínimo]=0,0,[Lucro Distribuir]*[Payout]/[Total Ações])</f>
        <v>0</v>
      </c>
      <c r="AE70" s="99">
        <f>IF(AND([Div. Pref]&gt;0,[Div. Mínimo]&gt;0),[Div. Mínimo]+[Div. Pref],IF([Div. Pref]&gt;0,[Div. Pref],IF([Div. Mínimo]&gt;0,[Div. Mínimo],0)))</f>
        <v>0</v>
      </c>
      <c r="AF70" s="99">
        <f>[Lucro Distribuir]/[Total Ações]</f>
        <v>0.37349466018363214</v>
      </c>
      <c r="AG70" s="99">
        <f>IF([Lucro Payout]&gt;[Lucro Dist./Ação],MAX(Tabela3[[#This Row],[Lucro Atual]:[Lucro Dist./Ação]]),MAX(Tabela3[[#This Row],[Lucro Payout]:[Lucro Atual]]))</f>
        <v>0</v>
      </c>
      <c r="AH70" s="15" t="str">
        <f>IF(AND([% A.A.]&gt;=10%,[PVPA]&lt;=2,[PL]&lt;=15,[PL]&gt;0),"Sim","Não")</f>
        <v>Não</v>
      </c>
      <c r="AI70" s="44">
        <f>Tabela3[[#This Row],[Lucro]]/Tabela3[[#This Row],[Cotação]]</f>
        <v>0</v>
      </c>
      <c r="AJ70" s="19">
        <f>((1+Tabela3[[#This Row],[% Yield]])^(1/(3*Tabela3[[#This Row],[Ref]])))^(12)-1</f>
        <v>0</v>
      </c>
      <c r="AK70" s="14">
        <f>($AQ$1/Tabela3[[#This Row],[Cotação]]-MOD($AQ$1/Tabela3[[#This Row],[Cotação]],100))</f>
        <v>0</v>
      </c>
      <c r="AL70" s="17">
        <f>Tabela3[[#This Row],[Ativos]]*Tabela3[[#This Row],[Lucro Atual]]</f>
        <v>0</v>
      </c>
      <c r="AM70" s="13">
        <f>SUMPRODUCT(N(Tabela1[Código]=Tabela3[[#This Row],[PAPEL]]),Tabela1[Fechamento])</f>
        <v>0</v>
      </c>
      <c r="AN70" s="59">
        <f>SUMPRODUCT(N(Tabela17[Código]=Tabela3[[#This Row],[PAPEL]]),Tabela17[Fechamento])</f>
        <v>4.01</v>
      </c>
    </row>
    <row r="71" spans="1:40">
      <c r="A71" s="4" t="s">
        <v>26</v>
      </c>
      <c r="B71" s="68" t="s">
        <v>280</v>
      </c>
      <c r="C71" s="104" t="str">
        <f>LEFT([PAPEL],LEN([PAPEL])-(LEN([PAPEL])-4))</f>
        <v>CSAB</v>
      </c>
      <c r="D71" s="15">
        <v>3</v>
      </c>
      <c r="E71" s="6"/>
      <c r="F71" s="8"/>
      <c r="G71" s="19"/>
      <c r="H71" s="15"/>
      <c r="I71" s="19"/>
      <c r="J71" s="19"/>
      <c r="K71" s="19"/>
      <c r="L71" s="6">
        <v>168049000</v>
      </c>
      <c r="M71" s="6">
        <v>901000</v>
      </c>
      <c r="N71" s="6">
        <f>Tabela3[[#This Row],[Capital Social]]*20%</f>
        <v>0</v>
      </c>
      <c r="O71" s="6">
        <f>IF(([Lucro Líquido]*5%)&gt;[Teto R. Legal],[Teto R. Legal],[Lucro Líquido]*5%)</f>
        <v>0</v>
      </c>
      <c r="P71" s="6">
        <f>IF([Lucro Líquido]&lt;0,0,[Lucro Líquido]-[Reserva Legal])</f>
        <v>901000</v>
      </c>
      <c r="Q71" s="40">
        <v>7680000</v>
      </c>
      <c r="R71" s="6">
        <f>[Capital Social]/[Total Ações]</f>
        <v>0</v>
      </c>
      <c r="S71" s="13">
        <f>Tabela3[[#This Row],[Lucro Líquido]]/Tabela3[[#This Row],[Total Ações]]</f>
        <v>0.11731770833333334</v>
      </c>
      <c r="T7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1" s="99">
        <f>[Patrimônio Líquido]*[% PNA (PL)]/[Total Ações]</f>
        <v>0</v>
      </c>
      <c r="V71" s="99">
        <f>[Capital Social]*[% PNA (CS)]/[Total Ações]</f>
        <v>0</v>
      </c>
      <c r="W71" s="99">
        <f>MAX(Tabela3[[#This Row],[Div PNA (PL)]],Tabela3[[#This Row],[Div PNA (CS)]])</f>
        <v>0</v>
      </c>
      <c r="X71" s="6">
        <f>[Div. Pref]*[Ações]</f>
        <v>0</v>
      </c>
      <c r="Y71" s="19">
        <f>IF(GETPIVOTDATA("Payout",'Tabela LL'!$A$3,"Ativo",Tabela3[[#This Row],[PAPEL]])&gt;1,1,GETPIVOTDATA("Payout",'Tabela LL'!$A$3,"Ativo",Tabela3[[#This Row],[PAPEL]]))</f>
        <v>0.72895763504872801</v>
      </c>
      <c r="Z71" s="6">
        <f>[Patrimônio Líquido]/[Total Ações]</f>
        <v>21.881380208333333</v>
      </c>
      <c r="AA71" s="50">
        <f>MAX(Tabela3[[#This Row],[Cotação 1]],Tabela3[[#This Row],[Cotação 2]])</f>
        <v>30.01</v>
      </c>
      <c r="AB71" s="46">
        <f>[Cotação]/[VPA]</f>
        <v>1.3714856976239074</v>
      </c>
      <c r="AC71" s="42">
        <f>IF(Tabela3[[#This Row],[Lucro/Ação]]&gt;0,Tabela3[[#This Row],[Cotação]]/(Tabela3[[#This Row],[Lucro/Ação]]/[Ref]*4),0)</f>
        <v>191.85083240843508</v>
      </c>
      <c r="AD71" s="42">
        <f>IF([Div. Mínimo]=0,0,[Lucro Distribuir]*[Payout]/[Total Ações])</f>
        <v>0</v>
      </c>
      <c r="AE71" s="99">
        <f>IF(AND([Div. Pref]&gt;0,[Div. Mínimo]&gt;0),[Div. Mínimo]+[Div. Pref],IF([Div. Pref]&gt;0,[Div. Pref],IF([Div. Mínimo]&gt;0,[Div. Mínimo],0)))</f>
        <v>0</v>
      </c>
      <c r="AF71" s="99">
        <f>[Lucro Distribuir]/[Total Ações]</f>
        <v>0.11731770833333334</v>
      </c>
      <c r="AG71" s="99">
        <f>IF([Lucro Payout]&gt;[Lucro Dist./Ação],MAX(Tabela3[[#This Row],[Lucro Atual]:[Lucro Dist./Ação]]),MAX(Tabela3[[#This Row],[Lucro Payout]:[Lucro Atual]]))</f>
        <v>0</v>
      </c>
      <c r="AH71" s="15" t="str">
        <f>IF(AND([% A.A.]&gt;=10%,[PVPA]&lt;=2,[PL]&lt;=15,[PL]&gt;0),"Sim","Não")</f>
        <v>Não</v>
      </c>
      <c r="AI71" s="44">
        <f>Tabela3[[#This Row],[Lucro]]/Tabela3[[#This Row],[Cotação]]</f>
        <v>0</v>
      </c>
      <c r="AJ71" s="19">
        <f>((1+Tabela3[[#This Row],[% Yield]])^(1/(3*Tabela3[[#This Row],[Ref]])))^(12)-1</f>
        <v>0</v>
      </c>
      <c r="AK71" s="14">
        <f>($AQ$1/Tabela3[[#This Row],[Cotação]]-MOD($AQ$1/Tabela3[[#This Row],[Cotação]],100))</f>
        <v>0</v>
      </c>
      <c r="AL71" s="17">
        <f>Tabela3[[#This Row],[Ativos]]*Tabela3[[#This Row],[Lucro Atual]]</f>
        <v>0</v>
      </c>
      <c r="AM71" s="13">
        <f>SUMPRODUCT(N(Tabela1[Código]=Tabela3[[#This Row],[PAPEL]]),Tabela1[Fechamento])</f>
        <v>0</v>
      </c>
      <c r="AN71" s="13">
        <f>SUMPRODUCT(N(Tabela17[Código]=Tabela3[[#This Row],[PAPEL]]),Tabela17[Fechamento])</f>
        <v>30.01</v>
      </c>
    </row>
    <row r="72" spans="1:40">
      <c r="A72" s="4" t="s">
        <v>26</v>
      </c>
      <c r="B72" s="68" t="s">
        <v>281</v>
      </c>
      <c r="C72" s="104" t="str">
        <f>LEFT([PAPEL],LEN([PAPEL])-(LEN([PAPEL])-4))</f>
        <v>CSAB</v>
      </c>
      <c r="D72" s="15">
        <v>3</v>
      </c>
      <c r="E72" s="6"/>
      <c r="F72" s="8"/>
      <c r="G72" s="19"/>
      <c r="H72" s="15"/>
      <c r="I72" s="19"/>
      <c r="J72" s="19"/>
      <c r="K72" s="19"/>
      <c r="L72" s="6">
        <v>168049000</v>
      </c>
      <c r="M72" s="6">
        <v>901000</v>
      </c>
      <c r="N72" s="6">
        <f>Tabela3[[#This Row],[Capital Social]]*20%</f>
        <v>0</v>
      </c>
      <c r="O72" s="6">
        <f>IF(([Lucro Líquido]*5%)&gt;[Teto R. Legal],[Teto R. Legal],[Lucro Líquido]*5%)</f>
        <v>0</v>
      </c>
      <c r="P72" s="6">
        <f>IF([Lucro Líquido]&lt;0,0,[Lucro Líquido]-[Reserva Legal])</f>
        <v>901000</v>
      </c>
      <c r="Q72" s="40">
        <v>7680000</v>
      </c>
      <c r="R72" s="6">
        <f>[Capital Social]/[Total Ações]</f>
        <v>0</v>
      </c>
      <c r="S72" s="13">
        <f>Tabela3[[#This Row],[Lucro Líquido]]/Tabela3[[#This Row],[Total Ações]]</f>
        <v>0.11731770833333334</v>
      </c>
      <c r="T7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2" s="99">
        <f>[Patrimônio Líquido]*[% PNA (PL)]/[Total Ações]</f>
        <v>0</v>
      </c>
      <c r="V72" s="99">
        <f>[Capital Social]*[% PNA (CS)]/[Total Ações]</f>
        <v>0</v>
      </c>
      <c r="W72" s="99">
        <f>MAX(Tabela3[[#This Row],[Div PNA (PL)]],Tabela3[[#This Row],[Div PNA (CS)]])</f>
        <v>0</v>
      </c>
      <c r="X72" s="6">
        <f>[Div. Pref]*[Ações]</f>
        <v>0</v>
      </c>
      <c r="Y72" s="19">
        <f>IF(GETPIVOTDATA("Payout",'Tabela LL'!$A$3,"Ativo",Tabela3[[#This Row],[PAPEL]])&gt;1,1,GETPIVOTDATA("Payout",'Tabela LL'!$A$3,"Ativo",Tabela3[[#This Row],[PAPEL]]))</f>
        <v>0.80406042099383901</v>
      </c>
      <c r="Z72" s="6">
        <f>[Patrimônio Líquido]/[Total Ações]</f>
        <v>21.881380208333333</v>
      </c>
      <c r="AA72" s="50">
        <f>MAX(Tabela3[[#This Row],[Cotação 1]],Tabela3[[#This Row],[Cotação 2]])</f>
        <v>30.05</v>
      </c>
      <c r="AB72" s="46">
        <f>[Cotação]/[VPA]</f>
        <v>1.3733137358746557</v>
      </c>
      <c r="AC72" s="42">
        <f>IF(Tabela3[[#This Row],[Lucro/Ação]]&gt;0,Tabela3[[#This Row],[Cotação]]/(Tabela3[[#This Row],[Lucro/Ação]]/[Ref]*4),0)</f>
        <v>192.10654827968924</v>
      </c>
      <c r="AD72" s="42">
        <f>IF([Div. Mínimo]=0,0,[Lucro Distribuir]*[Payout]/[Total Ações])</f>
        <v>0</v>
      </c>
      <c r="AE72" s="99">
        <f>IF(AND([Div. Pref]&gt;0,[Div. Mínimo]&gt;0),[Div. Mínimo]+[Div. Pref],IF([Div. Pref]&gt;0,[Div. Pref],IF([Div. Mínimo]&gt;0,[Div. Mínimo],0)))</f>
        <v>0</v>
      </c>
      <c r="AF72" s="99">
        <f>[Lucro Distribuir]/[Total Ações]</f>
        <v>0.11731770833333334</v>
      </c>
      <c r="AG72" s="99">
        <f>IF([Lucro Payout]&gt;[Lucro Dist./Ação],MAX(Tabela3[[#This Row],[Lucro Atual]:[Lucro Dist./Ação]]),MAX(Tabela3[[#This Row],[Lucro Payout]:[Lucro Atual]]))</f>
        <v>0</v>
      </c>
      <c r="AH72" s="15" t="str">
        <f>IF(AND([% A.A.]&gt;=10%,[PVPA]&lt;=2,[PL]&lt;=15,[PL]&gt;0),"Sim","Não")</f>
        <v>Não</v>
      </c>
      <c r="AI72" s="44">
        <f>Tabela3[[#This Row],[Lucro]]/Tabela3[[#This Row],[Cotação]]</f>
        <v>0</v>
      </c>
      <c r="AJ72" s="19">
        <f>((1+Tabela3[[#This Row],[% Yield]])^(1/(3*Tabela3[[#This Row],[Ref]])))^(12)-1</f>
        <v>0</v>
      </c>
      <c r="AK72" s="14">
        <f>($AQ$1/Tabela3[[#This Row],[Cotação]]-MOD($AQ$1/Tabela3[[#This Row],[Cotação]],100))</f>
        <v>0</v>
      </c>
      <c r="AL72" s="17">
        <f>Tabela3[[#This Row],[Ativos]]*Tabela3[[#This Row],[Lucro Atual]]</f>
        <v>0</v>
      </c>
      <c r="AM72" s="13">
        <f>SUMPRODUCT(N(Tabela1[Código]=Tabela3[[#This Row],[PAPEL]]),Tabela1[Fechamento])</f>
        <v>0</v>
      </c>
      <c r="AN72" s="13">
        <f>SUMPRODUCT(N(Tabela17[Código]=Tabela3[[#This Row],[PAPEL]]),Tabela17[Fechamento])</f>
        <v>30.05</v>
      </c>
    </row>
    <row r="73" spans="1:40">
      <c r="A73" s="3" t="s">
        <v>302</v>
      </c>
      <c r="B73" s="69" t="s">
        <v>303</v>
      </c>
      <c r="C73" s="105" t="str">
        <f>LEFT([PAPEL],LEN([PAPEL])-(LEN([PAPEL])-4))</f>
        <v>CSAN</v>
      </c>
      <c r="D73" s="16">
        <v>3</v>
      </c>
      <c r="E73" s="5"/>
      <c r="H73" s="16"/>
      <c r="I73" s="18"/>
      <c r="J73" s="18"/>
      <c r="L73" s="5">
        <v>9543805000</v>
      </c>
      <c r="M73" s="5">
        <v>10847000</v>
      </c>
      <c r="N73" s="5">
        <f>Tabela3[[#This Row],[Capital Social]]*20%</f>
        <v>0</v>
      </c>
      <c r="O73" s="5">
        <f>IF(([Lucro Líquido]*5%)&gt;[Teto R. Legal],[Teto R. Legal],[Lucro Líquido]*5%)</f>
        <v>0</v>
      </c>
      <c r="P73" s="5">
        <f>IF([Lucro Líquido]&lt;0,0,[Lucro Líquido]-[Reserva Legal])</f>
        <v>10847000</v>
      </c>
      <c r="Q73" s="21">
        <v>407214353</v>
      </c>
      <c r="R73" s="5">
        <f>[Capital Social]/[Total Ações]</f>
        <v>0</v>
      </c>
      <c r="S73" s="49">
        <f>Tabela3[[#This Row],[Lucro Líquido]]/Tabela3[[#This Row],[Total Ações]]</f>
        <v>2.6637076812466874E-2</v>
      </c>
      <c r="T73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3" s="98">
        <f>[Patrimônio Líquido]*[% PNA (PL)]/[Total Ações]</f>
        <v>0</v>
      </c>
      <c r="V73" s="98">
        <f>[Capital Social]*[% PNA (CS)]/[Total Ações]</f>
        <v>0</v>
      </c>
      <c r="W73" s="98">
        <f>MAX(Tabela3[[#This Row],[Div PNA (PL)]],Tabela3[[#This Row],[Div PNA (CS)]])</f>
        <v>0</v>
      </c>
      <c r="X73" s="5">
        <f>[Div. Pref]*[Ações]</f>
        <v>0</v>
      </c>
      <c r="Y73" s="18">
        <f>IF(GETPIVOTDATA("Payout",'Tabela LL'!$A$3,"Ativo",Tabela3[[#This Row],[PAPEL]])&gt;1,1,GETPIVOTDATA("Payout",'Tabela LL'!$A$3,"Ativo",Tabela3[[#This Row],[PAPEL]]))</f>
        <v>0.27635601621607192</v>
      </c>
      <c r="Z73" s="5">
        <f>[Patrimônio Líquido]/[Total Ações]</f>
        <v>23.436808967290993</v>
      </c>
      <c r="AA73" s="56">
        <f>MAX(Tabela3[[#This Row],[Cotação 1]],Tabela3[[#This Row],[Cotação 2]])</f>
        <v>38.380000000000003</v>
      </c>
      <c r="AB73" s="57">
        <f>[Cotação]/[VPA]</f>
        <v>1.6375949496181033</v>
      </c>
      <c r="AC73" s="39">
        <f>IF(Tabela3[[#This Row],[Lucro/Ação]]&gt;0,Tabela3[[#This Row],[Cotação]]/(Tabela3[[#This Row],[Lucro/Ação]]/[Ref]*4),0)</f>
        <v>1080.6365954738637</v>
      </c>
      <c r="AD73" s="39">
        <f>IF([Div. Mínimo]=0,0,[Lucro Distribuir]*[Payout]/[Total Ações])</f>
        <v>0</v>
      </c>
      <c r="AE73" s="98">
        <f>IF(AND([Div. Pref]&gt;0,[Div. Mínimo]&gt;0),[Div. Mínimo]+[Div. Pref],IF([Div. Pref]&gt;0,[Div. Pref],IF([Div. Mínimo]&gt;0,[Div. Mínimo],0)))</f>
        <v>0</v>
      </c>
      <c r="AF73" s="98">
        <f>[Lucro Distribuir]/[Total Ações]</f>
        <v>2.6637076812466874E-2</v>
      </c>
      <c r="AG73" s="98">
        <f>IF([Lucro Payout]&gt;[Lucro Dist./Ação],MAX(Tabela3[[#This Row],[Lucro Atual]:[Lucro Dist./Ação]]),MAX(Tabela3[[#This Row],[Lucro Payout]:[Lucro Atual]]))</f>
        <v>0</v>
      </c>
      <c r="AH73" s="16" t="str">
        <f>IF(AND([% A.A.]&gt;=10%,[PVPA]&lt;=2,[PL]&lt;=15,[PL]&gt;0),"Sim","Não")</f>
        <v>Não</v>
      </c>
      <c r="AI73" s="22">
        <f>Tabela3[[#This Row],[Lucro]]/Tabela3[[#This Row],[Cotação]]</f>
        <v>0</v>
      </c>
      <c r="AJ73" s="18">
        <f>((1+Tabela3[[#This Row],[% Yield]])^(1/(3*Tabela3[[#This Row],[Ref]])))^(12)-1</f>
        <v>0</v>
      </c>
      <c r="AK73" s="10">
        <f>($AQ$1/Tabela3[[#This Row],[Cotação]]-MOD($AQ$1/Tabela3[[#This Row],[Cotação]],100))</f>
        <v>0</v>
      </c>
      <c r="AL73" s="7">
        <f>Tabela3[[#This Row],[Ativos]]*Tabela3[[#This Row],[Lucro Atual]]</f>
        <v>0</v>
      </c>
      <c r="AM73" s="49">
        <f>SUMPRODUCT(N(Tabela1[Código]=Tabela3[[#This Row],[PAPEL]]),Tabela1[Fechamento])</f>
        <v>0</v>
      </c>
      <c r="AN73" s="58">
        <f>SUMPRODUCT(N(Tabela17[Código]=Tabela3[[#This Row],[PAPEL]]),Tabela17[Fechamento])</f>
        <v>38.380000000000003</v>
      </c>
    </row>
    <row r="74" spans="1:40">
      <c r="A74" s="4" t="s">
        <v>37</v>
      </c>
      <c r="B74" s="14" t="s">
        <v>196</v>
      </c>
      <c r="C74" s="14" t="str">
        <f>LEFT([PAPEL],LEN([PAPEL])-(LEN([PAPEL])-4))</f>
        <v>CSMG</v>
      </c>
      <c r="D74" s="15">
        <v>3</v>
      </c>
      <c r="E74" s="6"/>
      <c r="F74" s="8"/>
      <c r="G74" s="19"/>
      <c r="H74" s="15"/>
      <c r="I74" s="19"/>
      <c r="J74" s="19"/>
      <c r="K74" s="19"/>
      <c r="L74" s="6">
        <v>5136809000</v>
      </c>
      <c r="M74" s="6">
        <v>318427000</v>
      </c>
      <c r="N74" s="6">
        <f>Tabela3[[#This Row],[Capital Social]]*20%</f>
        <v>0</v>
      </c>
      <c r="O74" s="6">
        <f>IF(([Lucro Líquido]*5%)&gt;[Teto R. Legal],[Teto R. Legal],[Lucro Líquido]*5%)</f>
        <v>0</v>
      </c>
      <c r="P74" s="6">
        <f>IF([Lucro Líquido]&lt;0,0,[Lucro Líquido]-[Reserva Legal])</f>
        <v>318427000</v>
      </c>
      <c r="Q74" s="40">
        <v>119684430</v>
      </c>
      <c r="R74" s="6">
        <f>[Capital Social]/[Total Ações]</f>
        <v>0</v>
      </c>
      <c r="S74" s="13">
        <f>Tabela3[[#This Row],[Lucro Líquido]]/Tabela3[[#This Row],[Total Ações]]</f>
        <v>2.6605549276543323</v>
      </c>
      <c r="T7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4" s="99">
        <f>[Patrimônio Líquido]*[% PNA (PL)]/[Total Ações]</f>
        <v>0</v>
      </c>
      <c r="V74" s="99">
        <f>[Capital Social]*[% PNA (CS)]/[Total Ações]</f>
        <v>0</v>
      </c>
      <c r="W74" s="99">
        <f>MAX(Tabela3[[#This Row],[Div PNA (PL)]],Tabela3[[#This Row],[Div PNA (CS)]])</f>
        <v>0</v>
      </c>
      <c r="X74" s="6">
        <f>[Div. Pref]*[Ações]</f>
        <v>0</v>
      </c>
      <c r="Y74" s="19">
        <f>IF(GETPIVOTDATA("Payout",'Tabela LL'!$A$3,"Ativo",Tabela3[[#This Row],[PAPEL]])&gt;1,1,GETPIVOTDATA("Payout",'Tabela LL'!$A$3,"Ativo",Tabela3[[#This Row],[PAPEL]]))</f>
        <v>0.33954720063196125</v>
      </c>
      <c r="Z74" s="6">
        <f>[Patrimônio Líquido]/[Total Ações]</f>
        <v>42.919609509775</v>
      </c>
      <c r="AA74" s="50">
        <f>MAX(Tabela3[[#This Row],[Cotação 1]],Tabela3[[#This Row],[Cotação 2]])</f>
        <v>32.880000000000003</v>
      </c>
      <c r="AB74" s="46">
        <f>[Cotação]/[VPA]</f>
        <v>0.76608339114808433</v>
      </c>
      <c r="AC74" s="42">
        <f>IF(Tabela3[[#This Row],[Lucro/Ação]]&gt;0,Tabela3[[#This Row],[Cotação]]/(Tabela3[[#This Row],[Lucro/Ação]]/[Ref]*4),0)</f>
        <v>9.2687430519396923</v>
      </c>
      <c r="AD74" s="42">
        <f>IF([Div. Mínimo]=0,0,[Lucro Distribuir]*[Payout]/[Total Ações])</f>
        <v>0</v>
      </c>
      <c r="AE74" s="99">
        <f>IF(AND([Div. Pref]&gt;0,[Div. Mínimo]&gt;0),[Div. Mínimo]+[Div. Pref],IF([Div. Pref]&gt;0,[Div. Pref],IF([Div. Mínimo]&gt;0,[Div. Mínimo],0)))</f>
        <v>0</v>
      </c>
      <c r="AF74" s="99">
        <f>[Lucro Distribuir]/[Total Ações]</f>
        <v>2.6605549276543323</v>
      </c>
      <c r="AG74" s="99">
        <f>IF([Lucro Payout]&gt;[Lucro Dist./Ação],MAX(Tabela3[[#This Row],[Lucro Atual]:[Lucro Dist./Ação]]),MAX(Tabela3[[#This Row],[Lucro Payout]:[Lucro Atual]]))</f>
        <v>0</v>
      </c>
      <c r="AH74" s="15" t="str">
        <f>IF(AND([% A.A.]&gt;=10%,[PVPA]&lt;=2,[PL]&lt;=15,[PL]&gt;0),"Sim","Não")</f>
        <v>Não</v>
      </c>
      <c r="AI74" s="44">
        <f>Tabela3[[#This Row],[Lucro]]/Tabela3[[#This Row],[Cotação]]</f>
        <v>0</v>
      </c>
      <c r="AJ74" s="19">
        <f>((1+Tabela3[[#This Row],[% Yield]])^(1/(3*Tabela3[[#This Row],[Ref]])))^(12)-1</f>
        <v>0</v>
      </c>
      <c r="AK74" s="14">
        <f>($AQ$1/Tabela3[[#This Row],[Cotação]]-MOD($AQ$1/Tabela3[[#This Row],[Cotação]],100))</f>
        <v>0</v>
      </c>
      <c r="AL74" s="17">
        <f>Tabela3[[#This Row],[Ativos]]*Tabela3[[#This Row],[Lucro Atual]]</f>
        <v>0</v>
      </c>
      <c r="AM74" s="5">
        <f>SUMPRODUCT(N(Tabela1[Código]=Tabela3[[#This Row],[PAPEL]]),Tabela1[Fechamento])</f>
        <v>32.880000000000003</v>
      </c>
      <c r="AN74" s="5">
        <f>SUMPRODUCT(N(Tabela17[Código]=Tabela3[[#This Row],[PAPEL]]),Tabela17[Fechamento])</f>
        <v>0</v>
      </c>
    </row>
    <row r="75" spans="1:40">
      <c r="A75" s="4" t="s">
        <v>12</v>
      </c>
      <c r="B75" s="14" t="s">
        <v>99</v>
      </c>
      <c r="C75" s="14" t="str">
        <f>LEFT([PAPEL],LEN([PAPEL])-(LEN([PAPEL])-4))</f>
        <v>CSRN</v>
      </c>
      <c r="D75" s="15">
        <v>3</v>
      </c>
      <c r="E75" s="6"/>
      <c r="F75" s="8"/>
      <c r="G75" s="19"/>
      <c r="H75" s="15"/>
      <c r="I75" s="19"/>
      <c r="J75" s="19"/>
      <c r="K75" s="19"/>
      <c r="L75" s="6">
        <v>884793000</v>
      </c>
      <c r="M75" s="6">
        <v>154604000</v>
      </c>
      <c r="N75" s="6">
        <f>Tabela3[[#This Row],[Capital Social]]*20%</f>
        <v>0</v>
      </c>
      <c r="O75" s="6">
        <f>IF(([Lucro Líquido]*5%)&gt;[Teto R. Legal],[Teto R. Legal],[Lucro Líquido]*5%)</f>
        <v>0</v>
      </c>
      <c r="P75" s="6">
        <f>IF([Lucro Líquido]&lt;0,0,[Lucro Líquido]-[Reserva Legal])</f>
        <v>154604000</v>
      </c>
      <c r="Q75" s="40">
        <v>168074028</v>
      </c>
      <c r="R75" s="6">
        <f>[Capital Social]/[Total Ações]</f>
        <v>0</v>
      </c>
      <c r="S75" s="13">
        <f>Tabela3[[#This Row],[Lucro Líquido]]/Tabela3[[#This Row],[Total Ações]]</f>
        <v>0.91985657653186015</v>
      </c>
      <c r="T7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5" s="99">
        <f>[Patrimônio Líquido]*[% PNA (PL)]/[Total Ações]</f>
        <v>0</v>
      </c>
      <c r="V75" s="99">
        <f>[Capital Social]*[% PNA (CS)]/[Total Ações]</f>
        <v>0</v>
      </c>
      <c r="W75" s="99">
        <f>MAX(Tabela3[[#This Row],[Div PNA (PL)]],Tabela3[[#This Row],[Div PNA (CS)]])</f>
        <v>0</v>
      </c>
      <c r="X75" s="6">
        <f>[Div. Pref]*[Ações]</f>
        <v>0</v>
      </c>
      <c r="Y75" s="19">
        <f>IF(GETPIVOTDATA("Payout",'Tabela LL'!$A$3,"Ativo",Tabela3[[#This Row],[PAPEL]])&gt;1,1,GETPIVOTDATA("Payout",'Tabela LL'!$A$3,"Ativo",Tabela3[[#This Row],[PAPEL]]))</f>
        <v>0.59725401518756449</v>
      </c>
      <c r="Z75" s="6">
        <f>[Patrimônio Líquido]/[Total Ações]</f>
        <v>5.2643053214622784</v>
      </c>
      <c r="AA75" s="50">
        <f>MAX(Tabela3[[#This Row],[Cotação 1]],Tabela3[[#This Row],[Cotação 2]])</f>
        <v>9.5</v>
      </c>
      <c r="AB75" s="46">
        <f>[Cotação]/[VPA]</f>
        <v>1.8046065757753509</v>
      </c>
      <c r="AC75" s="42">
        <f>IF(Tabela3[[#This Row],[Lucro/Ação]]&gt;0,Tabela3[[#This Row],[Cotação]]/(Tabela3[[#This Row],[Lucro/Ação]]/[Ref]*4),0)</f>
        <v>7.745772745207109</v>
      </c>
      <c r="AD75" s="42">
        <f>IF([Div. Mínimo]=0,0,[Lucro Distribuir]*[Payout]/[Total Ações])</f>
        <v>0</v>
      </c>
      <c r="AE75" s="99">
        <f>IF(AND([Div. Pref]&gt;0,[Div. Mínimo]&gt;0),[Div. Mínimo]+[Div. Pref],IF([Div. Pref]&gt;0,[Div. Pref],IF([Div. Mínimo]&gt;0,[Div. Mínimo],0)))</f>
        <v>0</v>
      </c>
      <c r="AF75" s="99">
        <f>[Lucro Distribuir]/[Total Ações]</f>
        <v>0.91985657653186015</v>
      </c>
      <c r="AG75" s="99">
        <f>IF([Lucro Payout]&gt;[Lucro Dist./Ação],MAX(Tabela3[[#This Row],[Lucro Atual]:[Lucro Dist./Ação]]),MAX(Tabela3[[#This Row],[Lucro Payout]:[Lucro Atual]]))</f>
        <v>0</v>
      </c>
      <c r="AH75" s="15" t="str">
        <f>IF(AND([% A.A.]&gt;=10%,[PVPA]&lt;=2,[PL]&lt;=15,[PL]&gt;0),"Sim","Não")</f>
        <v>Não</v>
      </c>
      <c r="AI75" s="44">
        <f>Tabela3[[#This Row],[Lucro]]/Tabela3[[#This Row],[Cotação]]</f>
        <v>0</v>
      </c>
      <c r="AJ75" s="19">
        <f>((1+Tabela3[[#This Row],[% Yield]])^(1/(3*Tabela3[[#This Row],[Ref]])))^(12)-1</f>
        <v>0</v>
      </c>
      <c r="AK75" s="14">
        <f>($AQ$1/Tabela3[[#This Row],[Cotação]]-MOD($AQ$1/Tabela3[[#This Row],[Cotação]],100))</f>
        <v>0</v>
      </c>
      <c r="AL75" s="17">
        <f>Tabela3[[#This Row],[Ativos]]*Tabela3[[#This Row],[Lucro Atual]]</f>
        <v>0</v>
      </c>
      <c r="AM75" s="5">
        <f>SUMPRODUCT(N(Tabela1[Código]=Tabela3[[#This Row],[PAPEL]]),Tabela1[Fechamento])</f>
        <v>9.5</v>
      </c>
      <c r="AN75" s="5">
        <f>SUMPRODUCT(N(Tabela17[Código]=Tabela3[[#This Row],[PAPEL]]),Tabela17[Fechamento])</f>
        <v>0</v>
      </c>
    </row>
    <row r="76" spans="1:40">
      <c r="A76" s="4" t="s">
        <v>12</v>
      </c>
      <c r="B76" s="14" t="s">
        <v>100</v>
      </c>
      <c r="C76" s="14" t="str">
        <f>LEFT([PAPEL],LEN([PAPEL])-(LEN([PAPEL])-4))</f>
        <v>CSRN</v>
      </c>
      <c r="D76" s="15">
        <v>3</v>
      </c>
      <c r="E76" s="6"/>
      <c r="F76" s="8"/>
      <c r="G76" s="19"/>
      <c r="H76" s="15"/>
      <c r="I76" s="19"/>
      <c r="J76" s="19"/>
      <c r="K76" s="19"/>
      <c r="L76" s="6">
        <v>884793000</v>
      </c>
      <c r="M76" s="6">
        <v>154604000</v>
      </c>
      <c r="N76" s="6">
        <f>Tabela3[[#This Row],[Capital Social]]*20%</f>
        <v>0</v>
      </c>
      <c r="O76" s="6">
        <f>IF(([Lucro Líquido]*5%)&gt;[Teto R. Legal],[Teto R. Legal],[Lucro Líquido]*5%)</f>
        <v>0</v>
      </c>
      <c r="P76" s="6">
        <f>IF([Lucro Líquido]&lt;0,0,[Lucro Líquido]-[Reserva Legal])</f>
        <v>154604000</v>
      </c>
      <c r="Q76" s="40">
        <v>168074028</v>
      </c>
      <c r="R76" s="6">
        <f>[Capital Social]/[Total Ações]</f>
        <v>0</v>
      </c>
      <c r="S76" s="13">
        <f>Tabela3[[#This Row],[Lucro Líquido]]/Tabela3[[#This Row],[Total Ações]]</f>
        <v>0.91985657653186015</v>
      </c>
      <c r="T7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6" s="99">
        <f>[Patrimônio Líquido]*[% PNA (PL)]/[Total Ações]</f>
        <v>0</v>
      </c>
      <c r="V76" s="99">
        <f>[Capital Social]*[% PNA (CS)]/[Total Ações]</f>
        <v>0</v>
      </c>
      <c r="W76" s="99">
        <f>MAX(Tabela3[[#This Row],[Div PNA (PL)]],Tabela3[[#This Row],[Div PNA (CS)]])</f>
        <v>0</v>
      </c>
      <c r="X76" s="6">
        <f>[Div. Pref]*[Ações]</f>
        <v>0</v>
      </c>
      <c r="Y76" s="19">
        <f>IF(GETPIVOTDATA("Payout",'Tabela LL'!$A$3,"Ativo",Tabela3[[#This Row],[PAPEL]])&gt;1,1,GETPIVOTDATA("Payout",'Tabela LL'!$A$3,"Ativo",Tabela3[[#This Row],[PAPEL]]))</f>
        <v>0.65697940671349686</v>
      </c>
      <c r="Z76" s="6">
        <f>[Patrimônio Líquido]/[Total Ações]</f>
        <v>5.2643053214622784</v>
      </c>
      <c r="AA76" s="50">
        <f>MAX(Tabela3[[#This Row],[Cotação 1]],Tabela3[[#This Row],[Cotação 2]])</f>
        <v>10.119999999999999</v>
      </c>
      <c r="AB76" s="46">
        <f>[Cotação]/[VPA]</f>
        <v>1.9223808996680578</v>
      </c>
      <c r="AC76" s="42">
        <f>IF(Tabela3[[#This Row],[Lucro/Ação]]&gt;0,Tabela3[[#This Row],[Cotação]]/(Tabela3[[#This Row],[Lucro/Ação]]/[Ref]*4),0)</f>
        <v>8.25128633489431</v>
      </c>
      <c r="AD76" s="42">
        <f>IF([Div. Mínimo]=0,0,[Lucro Distribuir]*[Payout]/[Total Ações])</f>
        <v>0</v>
      </c>
      <c r="AE76" s="99">
        <f>IF(AND([Div. Pref]&gt;0,[Div. Mínimo]&gt;0),[Div. Mínimo]+[Div. Pref],IF([Div. Pref]&gt;0,[Div. Pref],IF([Div. Mínimo]&gt;0,[Div. Mínimo],0)))</f>
        <v>0</v>
      </c>
      <c r="AF76" s="99">
        <f>[Lucro Distribuir]/[Total Ações]</f>
        <v>0.91985657653186015</v>
      </c>
      <c r="AG76" s="99">
        <f>IF([Lucro Payout]&gt;[Lucro Dist./Ação],MAX(Tabela3[[#This Row],[Lucro Atual]:[Lucro Dist./Ação]]),MAX(Tabela3[[#This Row],[Lucro Payout]:[Lucro Atual]]))</f>
        <v>0</v>
      </c>
      <c r="AH76" s="15" t="str">
        <f>IF(AND([% A.A.]&gt;=10%,[PVPA]&lt;=2,[PL]&lt;=15,[PL]&gt;0),"Sim","Não")</f>
        <v>Não</v>
      </c>
      <c r="AI76" s="44">
        <f>Tabela3[[#This Row],[Lucro]]/Tabela3[[#This Row],[Cotação]]</f>
        <v>0</v>
      </c>
      <c r="AJ76" s="19">
        <f>((1+Tabela3[[#This Row],[% Yield]])^(1/(3*Tabela3[[#This Row],[Ref]])))^(12)-1</f>
        <v>0</v>
      </c>
      <c r="AK76" s="14">
        <f>($AQ$1/Tabela3[[#This Row],[Cotação]]-MOD($AQ$1/Tabela3[[#This Row],[Cotação]],100))</f>
        <v>0</v>
      </c>
      <c r="AL76" s="17">
        <f>Tabela3[[#This Row],[Ativos]]*Tabela3[[#This Row],[Lucro Atual]]</f>
        <v>0</v>
      </c>
      <c r="AM76" s="5">
        <f>SUMPRODUCT(N(Tabela1[Código]=Tabela3[[#This Row],[PAPEL]]),Tabela1[Fechamento])</f>
        <v>10.119999999999999</v>
      </c>
      <c r="AN76" s="5">
        <f>SUMPRODUCT(N(Tabela17[Código]=Tabela3[[#This Row],[PAPEL]]),Tabela17[Fechamento])</f>
        <v>0</v>
      </c>
    </row>
    <row r="77" spans="1:40">
      <c r="A77" s="4" t="s">
        <v>12</v>
      </c>
      <c r="B77" s="14" t="s">
        <v>68</v>
      </c>
      <c r="C77" s="14" t="str">
        <f>LEFT([PAPEL],LEN([PAPEL])-(LEN([PAPEL])-4))</f>
        <v>CSRN</v>
      </c>
      <c r="D77" s="15">
        <v>3</v>
      </c>
      <c r="E77" s="6"/>
      <c r="F77" s="8"/>
      <c r="G77" s="19"/>
      <c r="H77" s="15"/>
      <c r="I77" s="19"/>
      <c r="J77" s="19"/>
      <c r="K77" s="19"/>
      <c r="L77" s="6">
        <v>884793000</v>
      </c>
      <c r="M77" s="6">
        <v>154604000</v>
      </c>
      <c r="N77" s="6">
        <f>Tabela3[[#This Row],[Capital Social]]*20%</f>
        <v>0</v>
      </c>
      <c r="O77" s="6">
        <f>IF(([Lucro Líquido]*5%)&gt;[Teto R. Legal],[Teto R. Legal],[Lucro Líquido]*5%)</f>
        <v>0</v>
      </c>
      <c r="P77" s="6">
        <f>IF([Lucro Líquido]&lt;0,0,[Lucro Líquido]-[Reserva Legal])</f>
        <v>154604000</v>
      </c>
      <c r="Q77" s="40">
        <v>168074028</v>
      </c>
      <c r="R77" s="6">
        <f>[Capital Social]/[Total Ações]</f>
        <v>0</v>
      </c>
      <c r="S77" s="13">
        <f>Tabela3[[#This Row],[Lucro Líquido]]/Tabela3[[#This Row],[Total Ações]]</f>
        <v>0.91985657653186015</v>
      </c>
      <c r="T7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7" s="99">
        <f>[Patrimônio Líquido]*[% PNA (PL)]/[Total Ações]</f>
        <v>0</v>
      </c>
      <c r="V77" s="99">
        <f>[Capital Social]*[% PNA (CS)]/[Total Ações]</f>
        <v>0</v>
      </c>
      <c r="W77" s="99">
        <f>MAX(Tabela3[[#This Row],[Div PNA (PL)]],Tabela3[[#This Row],[Div PNA (CS)]])</f>
        <v>0</v>
      </c>
      <c r="X77" s="6">
        <f>[Div. Pref]*[Ações]</f>
        <v>0</v>
      </c>
      <c r="Y77" s="19">
        <f>IF(GETPIVOTDATA("Payout",'Tabela LL'!$A$3,"Ativo",Tabela3[[#This Row],[PAPEL]])&gt;1,1,GETPIVOTDATA("Payout",'Tabela LL'!$A$3,"Ativo",Tabela3[[#This Row],[PAPEL]]))</f>
        <v>0.65697940671349686</v>
      </c>
      <c r="Z77" s="6">
        <f>[Patrimônio Líquido]/[Total Ações]</f>
        <v>5.2643053214622784</v>
      </c>
      <c r="AA77" s="50">
        <f>MAX(Tabela3[[#This Row],[Cotação 1]],Tabela3[[#This Row],[Cotação 2]])</f>
        <v>9</v>
      </c>
      <c r="AB77" s="46">
        <f>[Cotação]/[VPA]</f>
        <v>1.7096272823134904</v>
      </c>
      <c r="AC77" s="42">
        <f>IF(Tabela3[[#This Row],[Lucro/Ação]]&gt;0,Tabela3[[#This Row],[Cotação]]/(Tabela3[[#This Row],[Lucro/Ação]]/[Ref]*4),0)</f>
        <v>7.3381004954593667</v>
      </c>
      <c r="AD77" s="96">
        <f>IF([Div. Mínimo]=0,0,[Lucro Distribuir]*[Payout]/[Total Ações])</f>
        <v>0</v>
      </c>
      <c r="AE77" s="99">
        <f>IF(AND([Div. Pref]&gt;0,[Div. Mínimo]&gt;0),[Div. Mínimo]+[Div. Pref],IF([Div. Pref]&gt;0,[Div. Pref],IF([Div. Mínimo]&gt;0,[Div. Mínimo],0)))</f>
        <v>0</v>
      </c>
      <c r="AF77" s="99">
        <f>[Lucro Distribuir]/[Total Ações]</f>
        <v>0.91985657653186015</v>
      </c>
      <c r="AG77" s="99">
        <f>IF([Lucro Payout]&gt;[Lucro Dist./Ação],MAX(Tabela3[[#This Row],[Lucro Atual]:[Lucro Dist./Ação]]),MAX(Tabela3[[#This Row],[Lucro Payout]:[Lucro Atual]]))</f>
        <v>0</v>
      </c>
      <c r="AH77" s="14" t="str">
        <f>IF(AND([% A.A.]&gt;=10%,[PVPA]&lt;=2,[PL]&lt;=15,[PL]&gt;0),"Sim","Não")</f>
        <v>Não</v>
      </c>
      <c r="AI77" s="44">
        <f>Tabela3[[#This Row],[Lucro]]/Tabela3[[#This Row],[Cotação]]</f>
        <v>0</v>
      </c>
      <c r="AJ77" s="19">
        <f>((1+Tabela3[[#This Row],[% Yield]])^(1/(3*Tabela3[[#This Row],[Ref]])))^(12)-1</f>
        <v>0</v>
      </c>
      <c r="AK77" s="14">
        <f>($AQ$1/Tabela3[[#This Row],[Cotação]]-MOD($AQ$1/Tabela3[[#This Row],[Cotação]],100))</f>
        <v>0</v>
      </c>
      <c r="AL77" s="17">
        <f>Tabela3[[#This Row],[Ativos]]*Tabela3[[#This Row],[Lucro Atual]]</f>
        <v>0</v>
      </c>
      <c r="AM77" s="5">
        <f>SUMPRODUCT(N(Tabela1[Código]=Tabela3[[#This Row],[PAPEL]]),Tabela1[Fechamento])</f>
        <v>9</v>
      </c>
      <c r="AN77" s="5">
        <f>SUMPRODUCT(N(Tabela17[Código]=Tabela3[[#This Row],[PAPEL]]),Tabela17[Fechamento])</f>
        <v>0</v>
      </c>
    </row>
    <row r="78" spans="1:40">
      <c r="A78" s="4" t="s">
        <v>436</v>
      </c>
      <c r="B78" s="68" t="s">
        <v>438</v>
      </c>
      <c r="C78" s="104" t="str">
        <f>LEFT([PAPEL],LEN([PAPEL])-(LEN([PAPEL])-4))</f>
        <v>CTIP</v>
      </c>
      <c r="D78" s="15">
        <v>3</v>
      </c>
      <c r="E78" s="6"/>
      <c r="F78" s="8"/>
      <c r="G78" s="19"/>
      <c r="H78" s="15"/>
      <c r="I78" s="19"/>
      <c r="J78" s="19"/>
      <c r="K78" s="19"/>
      <c r="L78" s="6">
        <v>1632971000</v>
      </c>
      <c r="M78" s="6">
        <v>264743000</v>
      </c>
      <c r="N78" s="6">
        <f>Tabela3[[#This Row],[Capital Social]]*20%</f>
        <v>0</v>
      </c>
      <c r="O78" s="6">
        <f>IF(([Lucro Líquido]*5%)&gt;[Teto R. Legal],[Teto R. Legal],[Lucro Líquido]*5%)</f>
        <v>0</v>
      </c>
      <c r="P78" s="6">
        <f>IF([Lucro Líquido]&lt;0,0,[Lucro Líquido]-[Reserva Legal])</f>
        <v>264743000</v>
      </c>
      <c r="Q78" s="40">
        <v>260378479</v>
      </c>
      <c r="R78" s="6">
        <f>[Capital Social]/[Total Ações]</f>
        <v>0</v>
      </c>
      <c r="S78" s="13">
        <f>Tabela3[[#This Row],[Lucro Líquido]]/Tabela3[[#This Row],[Total Ações]]</f>
        <v>1.0167622186624725</v>
      </c>
      <c r="T7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8" s="99">
        <f>[Patrimônio Líquido]*[% PNA (PL)]/[Total Ações]</f>
        <v>0</v>
      </c>
      <c r="V78" s="99">
        <f>[Capital Social]*[% PNA (CS)]/[Total Ações]</f>
        <v>0</v>
      </c>
      <c r="W78" s="99">
        <f>MAX(Tabela3[[#This Row],[Div PNA (PL)]],Tabela3[[#This Row],[Div PNA (CS)]])</f>
        <v>0</v>
      </c>
      <c r="X78" s="6">
        <f>[Div. Pref]*[Ações]</f>
        <v>0</v>
      </c>
      <c r="Y78" s="19">
        <f>IF(GETPIVOTDATA("Payout",'Tabela LL'!$A$3,"Ativo",Tabela3[[#This Row],[PAPEL]])&gt;1,1,GETPIVOTDATA("Payout",'Tabela LL'!$A$3,"Ativo",Tabela3[[#This Row],[PAPEL]]))</f>
        <v>0.56851660076308341</v>
      </c>
      <c r="Z78" s="6">
        <f>[Patrimônio Líquido]/[Total Ações]</f>
        <v>6.2715283009238254</v>
      </c>
      <c r="AA78" s="50">
        <f>MAX(Tabela3[[#This Row],[Cotação 1]],Tabela3[[#This Row],[Cotação 2]])</f>
        <v>23.54</v>
      </c>
      <c r="AB78" s="46">
        <f>[Cotação]/[VPA]</f>
        <v>3.7534710632705663</v>
      </c>
      <c r="AC78" s="42">
        <f>IF(Tabela3[[#This Row],[Lucro/Ação]]&gt;0,Tabela3[[#This Row],[Cotação]]/(Tabela3[[#This Row],[Lucro/Ação]]/[Ref]*4),0)</f>
        <v>17.363941810529454</v>
      </c>
      <c r="AD78" s="42">
        <f>IF([Div. Mínimo]=0,0,[Lucro Distribuir]*[Payout]/[Total Ações])</f>
        <v>0</v>
      </c>
      <c r="AE78" s="99">
        <f>IF(AND([Div. Pref]&gt;0,[Div. Mínimo]&gt;0),[Div. Mínimo]+[Div. Pref],IF([Div. Pref]&gt;0,[Div. Pref],IF([Div. Mínimo]&gt;0,[Div. Mínimo],0)))</f>
        <v>0</v>
      </c>
      <c r="AF78" s="99">
        <f>[Lucro Distribuir]/[Total Ações]</f>
        <v>1.0167622186624725</v>
      </c>
      <c r="AG78" s="99">
        <f>IF([Lucro Payout]&gt;[Lucro Dist./Ação],MAX(Tabela3[[#This Row],[Lucro Atual]:[Lucro Dist./Ação]]),MAX(Tabela3[[#This Row],[Lucro Payout]:[Lucro Atual]]))</f>
        <v>0</v>
      </c>
      <c r="AH78" s="15" t="str">
        <f>IF(AND([% A.A.]&gt;=10%,[PVPA]&lt;=2,[PL]&lt;=15,[PL]&gt;0),"Sim","Não")</f>
        <v>Não</v>
      </c>
      <c r="AI78" s="44">
        <f>Tabela3[[#This Row],[Lucro]]/Tabela3[[#This Row],[Cotação]]</f>
        <v>0</v>
      </c>
      <c r="AJ78" s="19">
        <f>((1+Tabela3[[#This Row],[% Yield]])^(1/(3*Tabela3[[#This Row],[Ref]])))^(12)-1</f>
        <v>0</v>
      </c>
      <c r="AK78" s="14">
        <f>($AQ$1/Tabela3[[#This Row],[Cotação]]-MOD($AQ$1/Tabela3[[#This Row],[Cotação]],100))</f>
        <v>0</v>
      </c>
      <c r="AL78" s="17">
        <f>Tabela3[[#This Row],[Ativos]]*Tabela3[[#This Row],[Lucro Atual]]</f>
        <v>0</v>
      </c>
      <c r="AM78" s="13">
        <f>SUMPRODUCT(N(Tabela1[Código]=Tabela3[[#This Row],[PAPEL]]),Tabela1[Fechamento])</f>
        <v>0</v>
      </c>
      <c r="AN78" s="59">
        <f>SUMPRODUCT(N(Tabela17[Código]=Tabela3[[#This Row],[PAPEL]]),Tabela17[Fechamento])</f>
        <v>23.54</v>
      </c>
    </row>
    <row r="79" spans="1:40">
      <c r="A79" s="4" t="s">
        <v>14</v>
      </c>
      <c r="B79" s="14" t="s">
        <v>15</v>
      </c>
      <c r="C79" s="14" t="str">
        <f>LEFT([PAPEL],LEN([PAPEL])-(LEN([PAPEL])-4))</f>
        <v>DAYC</v>
      </c>
      <c r="D79" s="15">
        <v>3</v>
      </c>
      <c r="E79" s="6"/>
      <c r="F79" s="8"/>
      <c r="G79" s="19"/>
      <c r="H79" s="15"/>
      <c r="I79" s="19"/>
      <c r="J79" s="19"/>
      <c r="K79" s="19"/>
      <c r="L79" s="6">
        <v>2365276000</v>
      </c>
      <c r="M79" s="6">
        <v>168016000</v>
      </c>
      <c r="N79" s="6">
        <f>Tabela3[[#This Row],[Capital Social]]*20%</f>
        <v>0</v>
      </c>
      <c r="O79" s="6">
        <f>IF(([Lucro Líquido]*5%)&gt;[Teto R. Legal],[Teto R. Legal],[Lucro Líquido]*5%)</f>
        <v>0</v>
      </c>
      <c r="P79" s="6">
        <f>IF([Lucro Líquido]&lt;0,0,[Lucro Líquido]-[Reserva Legal])</f>
        <v>168016000</v>
      </c>
      <c r="Q79" s="40">
        <v>243051520</v>
      </c>
      <c r="R79" s="6">
        <f>[Capital Social]/[Total Ações]</f>
        <v>0</v>
      </c>
      <c r="S79" s="13">
        <f>Tabela3[[#This Row],[Lucro Líquido]]/Tabela3[[#This Row],[Total Ações]]</f>
        <v>0.6912773061448042</v>
      </c>
      <c r="T7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79" s="99">
        <f>[Patrimônio Líquido]*[% PNA (PL)]/[Total Ações]</f>
        <v>0</v>
      </c>
      <c r="V79" s="99">
        <f>[Capital Social]*[% PNA (CS)]/[Total Ações]</f>
        <v>0</v>
      </c>
      <c r="W79" s="99">
        <f>MAX(Tabela3[[#This Row],[Div PNA (PL)]],Tabela3[[#This Row],[Div PNA (CS)]])</f>
        <v>0</v>
      </c>
      <c r="X79" s="6">
        <f>[Div. Pref]*[Ações]</f>
        <v>0</v>
      </c>
      <c r="Y79" s="19">
        <f>IF(GETPIVOTDATA("Payout",'Tabela LL'!$A$3,"Ativo",Tabela3[[#This Row],[PAPEL]])&gt;1,1,GETPIVOTDATA("Payout",'Tabela LL'!$A$3,"Ativo",Tabela3[[#This Row],[PAPEL]]))</f>
        <v>0.50462500883942174</v>
      </c>
      <c r="Z79" s="6">
        <f>[Patrimônio Líquido]/[Total Ações]</f>
        <v>9.7315828347833406</v>
      </c>
      <c r="AA79" s="50">
        <f>MAX(Tabela3[[#This Row],[Cotação 1]],Tabela3[[#This Row],[Cotação 2]])</f>
        <v>7.82</v>
      </c>
      <c r="AB79" s="46">
        <f>[Cotação]/[VPA]</f>
        <v>0.80356917602850586</v>
      </c>
      <c r="AC79" s="42">
        <f>IF(Tabela3[[#This Row],[Lucro/Ação]]&gt;0,Tabela3[[#This Row],[Cotação]]/(Tabela3[[#This Row],[Lucro/Ação]]/[Ref]*4),0)</f>
        <v>8.4842941434149139</v>
      </c>
      <c r="AD79" s="42">
        <f>IF([Div. Mínimo]=0,0,[Lucro Distribuir]*[Payout]/[Total Ações])</f>
        <v>0</v>
      </c>
      <c r="AE79" s="99">
        <f>IF(AND([Div. Pref]&gt;0,[Div. Mínimo]&gt;0),[Div. Mínimo]+[Div. Pref],IF([Div. Pref]&gt;0,[Div. Pref],IF([Div. Mínimo]&gt;0,[Div. Mínimo],0)))</f>
        <v>0</v>
      </c>
      <c r="AF79" s="99">
        <f>[Lucro Distribuir]/[Total Ações]</f>
        <v>0.6912773061448042</v>
      </c>
      <c r="AG79" s="99">
        <f>IF([Lucro Payout]&gt;[Lucro Dist./Ação],MAX(Tabela3[[#This Row],[Lucro Atual]:[Lucro Dist./Ação]]),MAX(Tabela3[[#This Row],[Lucro Payout]:[Lucro Atual]]))</f>
        <v>0</v>
      </c>
      <c r="AH79" s="15" t="str">
        <f>IF(AND([% A.A.]&gt;=10%,[PVPA]&lt;=2,[PL]&lt;=15,[PL]&gt;0),"Sim","Não")</f>
        <v>Não</v>
      </c>
      <c r="AI79" s="44">
        <f>Tabela3[[#This Row],[Lucro]]/Tabela3[[#This Row],[Cotação]]</f>
        <v>0</v>
      </c>
      <c r="AJ79" s="19">
        <f>((1+Tabela3[[#This Row],[% Yield]])^(1/(3*Tabela3[[#This Row],[Ref]])))^(12)-1</f>
        <v>0</v>
      </c>
      <c r="AK79" s="14">
        <f>($AQ$1/Tabela3[[#This Row],[Cotação]]-MOD($AQ$1/Tabela3[[#This Row],[Cotação]],100))</f>
        <v>0</v>
      </c>
      <c r="AL79" s="17">
        <f>Tabela3[[#This Row],[Ativos]]*Tabela3[[#This Row],[Lucro Atual]]</f>
        <v>0</v>
      </c>
      <c r="AM79" s="5">
        <f>SUMPRODUCT(N(Tabela1[Código]=Tabela3[[#This Row],[PAPEL]]),Tabela1[Fechamento])</f>
        <v>7.82</v>
      </c>
      <c r="AN79" s="5">
        <f>SUMPRODUCT(N(Tabela17[Código]=Tabela3[[#This Row],[PAPEL]]),Tabela17[Fechamento])</f>
        <v>0</v>
      </c>
    </row>
    <row r="80" spans="1:40">
      <c r="A80" s="4" t="s">
        <v>362</v>
      </c>
      <c r="B80" s="68" t="s">
        <v>361</v>
      </c>
      <c r="C80" s="104" t="str">
        <f>LEFT([PAPEL],LEN([PAPEL])-(LEN([PAPEL])-4))</f>
        <v>DTEX</v>
      </c>
      <c r="D80" s="15">
        <v>3</v>
      </c>
      <c r="E80" s="6"/>
      <c r="F80" s="8"/>
      <c r="G80" s="19"/>
      <c r="H80" s="15"/>
      <c r="I80" s="19"/>
      <c r="J80" s="19"/>
      <c r="K80" s="19"/>
      <c r="L80" s="6">
        <v>4373556000</v>
      </c>
      <c r="M80" s="6">
        <v>449642000</v>
      </c>
      <c r="N80" s="6">
        <f>Tabela3[[#This Row],[Capital Social]]*20%</f>
        <v>0</v>
      </c>
      <c r="O80" s="6">
        <f>IF(([Lucro Líquido]*5%)&gt;[Teto R. Legal],[Teto R. Legal],[Lucro Líquido]*5%)</f>
        <v>0</v>
      </c>
      <c r="P80" s="6">
        <f>IF([Lucro Líquido]&lt;0,0,[Lucro Líquido]-[Reserva Legal])</f>
        <v>449642000</v>
      </c>
      <c r="Q80" s="40">
        <v>605059489</v>
      </c>
      <c r="R80" s="6">
        <f>[Capital Social]/[Total Ações]</f>
        <v>0</v>
      </c>
      <c r="S80" s="13">
        <f>Tabela3[[#This Row],[Lucro Líquido]]/Tabela3[[#This Row],[Total Ações]]</f>
        <v>0.7431368455077646</v>
      </c>
      <c r="T8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0" s="99">
        <f>[Patrimônio Líquido]*[% PNA (PL)]/[Total Ações]</f>
        <v>0</v>
      </c>
      <c r="V80" s="99">
        <f>[Capital Social]*[% PNA (CS)]/[Total Ações]</f>
        <v>0</v>
      </c>
      <c r="W80" s="99">
        <f>MAX(Tabela3[[#This Row],[Div PNA (PL)]],Tabela3[[#This Row],[Div PNA (CS)]])</f>
        <v>0</v>
      </c>
      <c r="X80" s="6">
        <f>[Div. Pref]*[Ações]</f>
        <v>0</v>
      </c>
      <c r="Y80" s="19">
        <f>IF(GETPIVOTDATA("Payout",'Tabela LL'!$A$3,"Ativo",Tabela3[[#This Row],[PAPEL]])&gt;1,1,GETPIVOTDATA("Payout",'Tabela LL'!$A$3,"Ativo",Tabela3[[#This Row],[PAPEL]]))</f>
        <v>0.3688272793184682</v>
      </c>
      <c r="Z80" s="6">
        <f>[Patrimônio Líquido]/[Total Ações]</f>
        <v>7.2283074301145289</v>
      </c>
      <c r="AA80" s="50">
        <f>MAX(Tabela3[[#This Row],[Cotação 1]],Tabela3[[#This Row],[Cotação 2]])</f>
        <v>12.55</v>
      </c>
      <c r="AB80" s="46">
        <f>[Cotação]/[VPA]</f>
        <v>1.7362294176523636</v>
      </c>
      <c r="AC80" s="42">
        <f>IF(Tabela3[[#This Row],[Lucro/Ação]]&gt;0,Tabela3[[#This Row],[Cotação]]/(Tabela3[[#This Row],[Lucro/Ação]]/[Ref]*4),0)</f>
        <v>12.665904075269882</v>
      </c>
      <c r="AD80" s="42">
        <f>IF([Div. Mínimo]=0,0,[Lucro Distribuir]*[Payout]/[Total Ações])</f>
        <v>0</v>
      </c>
      <c r="AE80" s="99">
        <f>IF(AND([Div. Pref]&gt;0,[Div. Mínimo]&gt;0),[Div. Mínimo]+[Div. Pref],IF([Div. Pref]&gt;0,[Div. Pref],IF([Div. Mínimo]&gt;0,[Div. Mínimo],0)))</f>
        <v>0</v>
      </c>
      <c r="AF80" s="99">
        <f>[Lucro Distribuir]/[Total Ações]</f>
        <v>0.7431368455077646</v>
      </c>
      <c r="AG80" s="99">
        <f>IF([Lucro Payout]&gt;[Lucro Dist./Ação],MAX(Tabela3[[#This Row],[Lucro Atual]:[Lucro Dist./Ação]]),MAX(Tabela3[[#This Row],[Lucro Payout]:[Lucro Atual]]))</f>
        <v>0</v>
      </c>
      <c r="AH80" s="15" t="str">
        <f>IF(AND([% A.A.]&gt;=10%,[PVPA]&lt;=2,[PL]&lt;=15,[PL]&gt;0),"Sim","Não")</f>
        <v>Não</v>
      </c>
      <c r="AI80" s="44">
        <f>Tabela3[[#This Row],[Lucro]]/Tabela3[[#This Row],[Cotação]]</f>
        <v>0</v>
      </c>
      <c r="AJ80" s="19">
        <f>((1+Tabela3[[#This Row],[% Yield]])^(1/(3*Tabela3[[#This Row],[Ref]])))^(12)-1</f>
        <v>0</v>
      </c>
      <c r="AK80" s="14">
        <f>($AQ$1/Tabela3[[#This Row],[Cotação]]-MOD($AQ$1/Tabela3[[#This Row],[Cotação]],100))</f>
        <v>0</v>
      </c>
      <c r="AL80" s="17">
        <f>Tabela3[[#This Row],[Ativos]]*Tabela3[[#This Row],[Lucro Atual]]</f>
        <v>0</v>
      </c>
      <c r="AM80" s="13">
        <f>SUMPRODUCT(N(Tabela1[Código]=Tabela3[[#This Row],[PAPEL]]),Tabela1[Fechamento])</f>
        <v>0</v>
      </c>
      <c r="AN80" s="59">
        <f>SUMPRODUCT(N(Tabela17[Código]=Tabela3[[#This Row],[PAPEL]]),Tabela17[Fechamento])</f>
        <v>12.55</v>
      </c>
    </row>
    <row r="81" spans="1:40">
      <c r="A81" s="4" t="s">
        <v>326</v>
      </c>
      <c r="B81" s="68" t="s">
        <v>446</v>
      </c>
      <c r="C81" s="104" t="str">
        <f>LEFT([PAPEL],LEN([PAPEL])-(LEN([PAPEL])-4))</f>
        <v>EBTP</v>
      </c>
      <c r="D81" s="15">
        <v>3</v>
      </c>
      <c r="E81" s="6"/>
      <c r="F81" s="8"/>
      <c r="G81" s="19"/>
      <c r="H81" s="15"/>
      <c r="I81" s="19"/>
      <c r="J81" s="19"/>
      <c r="K81" s="19"/>
      <c r="L81" s="6">
        <v>11657711000</v>
      </c>
      <c r="M81" s="6">
        <v>411188000</v>
      </c>
      <c r="N81" s="6">
        <f>Tabela3[[#This Row],[Capital Social]]*20%</f>
        <v>0</v>
      </c>
      <c r="O81" s="6">
        <f>IF(([Lucro Líquido]*5%)&gt;[Teto R. Legal],[Teto R. Legal],[Lucro Líquido]*5%)</f>
        <v>0</v>
      </c>
      <c r="P81" s="6">
        <f>IF([Lucro Líquido]&lt;0,0,[Lucro Líquido]-[Reserva Legal])</f>
        <v>411188000</v>
      </c>
      <c r="Q81" s="40">
        <v>1231364363</v>
      </c>
      <c r="R81" s="6">
        <f>[Capital Social]/[Total Ações]</f>
        <v>0</v>
      </c>
      <c r="S81" s="13">
        <f>Tabela3[[#This Row],[Lucro Líquido]]/Tabela3[[#This Row],[Total Ações]]</f>
        <v>0.33392878042873814</v>
      </c>
      <c r="T8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1" s="99">
        <f>[Patrimônio Líquido]*[% PNA (PL)]/[Total Ações]</f>
        <v>0</v>
      </c>
      <c r="V81" s="99">
        <f>[Capital Social]*[% PNA (CS)]/[Total Ações]</f>
        <v>0</v>
      </c>
      <c r="W81" s="99">
        <f>MAX(Tabela3[[#This Row],[Div PNA (PL)]],Tabela3[[#This Row],[Div PNA (CS)]])</f>
        <v>0</v>
      </c>
      <c r="X81" s="6">
        <f>[Div. Pref]*[Ações]</f>
        <v>0</v>
      </c>
      <c r="Y81" s="19">
        <f>IF(GETPIVOTDATA("Payout",'Tabela LL'!$A$3,"Ativo",Tabela3[[#This Row],[PAPEL]])&gt;1,1,GETPIVOTDATA("Payout",'Tabela LL'!$A$3,"Ativo",Tabela3[[#This Row],[PAPEL]]))</f>
        <v>0.70741378984472159</v>
      </c>
      <c r="Z81" s="6">
        <f>[Patrimônio Líquido]/[Total Ações]</f>
        <v>9.4673123165575976</v>
      </c>
      <c r="AA81" s="50">
        <f>MAX(Tabela3[[#This Row],[Cotação 1]],Tabela3[[#This Row],[Cotação 2]])</f>
        <v>8.9600000000000009</v>
      </c>
      <c r="AB81" s="46">
        <f>[Cotação]/[VPA]</f>
        <v>0.94641432546063298</v>
      </c>
      <c r="AC81" s="42">
        <f>IF(Tabela3[[#This Row],[Lucro/Ação]]&gt;0,Tabela3[[#This Row],[Cotação]]/(Tabela3[[#This Row],[Lucro/Ação]]/[Ref]*4),0)</f>
        <v>20.1240515758242</v>
      </c>
      <c r="AD81" s="42">
        <f>IF([Div. Mínimo]=0,0,[Lucro Distribuir]*[Payout]/[Total Ações])</f>
        <v>0</v>
      </c>
      <c r="AE81" s="99">
        <f>IF(AND([Div. Pref]&gt;0,[Div. Mínimo]&gt;0),[Div. Mínimo]+[Div. Pref],IF([Div. Pref]&gt;0,[Div. Pref],IF([Div. Mínimo]&gt;0,[Div. Mínimo],0)))</f>
        <v>0</v>
      </c>
      <c r="AF81" s="99">
        <f>[Lucro Distribuir]/[Total Ações]</f>
        <v>0.33392878042873814</v>
      </c>
      <c r="AG81" s="99">
        <f>IF([Lucro Payout]&gt;[Lucro Dist./Ação],MAX(Tabela3[[#This Row],[Lucro Atual]:[Lucro Dist./Ação]]),MAX(Tabela3[[#This Row],[Lucro Payout]:[Lucro Atual]]))</f>
        <v>0</v>
      </c>
      <c r="AH81" s="15" t="str">
        <f>IF(AND([% A.A.]&gt;=10%,[PVPA]&lt;=2,[PL]&lt;=15,[PL]&gt;0),"Sim","Não")</f>
        <v>Não</v>
      </c>
      <c r="AI81" s="44">
        <f>Tabela3[[#This Row],[Lucro]]/Tabela3[[#This Row],[Cotação]]</f>
        <v>0</v>
      </c>
      <c r="AJ81" s="19">
        <f>((1+Tabela3[[#This Row],[% Yield]])^(1/(3*Tabela3[[#This Row],[Ref]])))^(12)-1</f>
        <v>0</v>
      </c>
      <c r="AK81" s="14">
        <f>($AQ$1/Tabela3[[#This Row],[Cotação]]-MOD($AQ$1/Tabela3[[#This Row],[Cotação]],100))</f>
        <v>0</v>
      </c>
      <c r="AL81" s="13">
        <f>Tabela3[[#This Row],[Ativos]]*Tabela3[[#This Row],[Lucro Atual]]</f>
        <v>0</v>
      </c>
      <c r="AM81" s="59">
        <f>SUMPRODUCT(N(Tabela1[Código]=Tabela3[[#This Row],[PAPEL]]),Tabela1[Fechamento])</f>
        <v>0</v>
      </c>
      <c r="AN81" s="17">
        <f>SUMPRODUCT(N(Tabela17[Código]=Tabela3[[#This Row],[PAPEL]]),Tabela17[Fechamento])</f>
        <v>8.9600000000000009</v>
      </c>
    </row>
    <row r="82" spans="1:40">
      <c r="A82" s="4" t="s">
        <v>12</v>
      </c>
      <c r="B82" s="14" t="s">
        <v>101</v>
      </c>
      <c r="C82" s="14" t="str">
        <f>LEFT([PAPEL],LEN([PAPEL])-(LEN([PAPEL])-4))</f>
        <v>EEEL</v>
      </c>
      <c r="D82" s="15">
        <v>3</v>
      </c>
      <c r="E82" s="6"/>
      <c r="F82" s="8"/>
      <c r="G82" s="19"/>
      <c r="H82" s="15"/>
      <c r="I82" s="19"/>
      <c r="J82" s="19"/>
      <c r="K82" s="19"/>
      <c r="L82" s="6">
        <v>1791505000</v>
      </c>
      <c r="M82" s="6">
        <v>-38094000</v>
      </c>
      <c r="N82" s="6">
        <f>Tabela3[[#This Row],[Capital Social]]*20%</f>
        <v>0</v>
      </c>
      <c r="O82" s="6">
        <f>IF(([Lucro Líquido]*5%)&gt;[Teto R. Legal],[Teto R. Legal],[Lucro Líquido]*5%)</f>
        <v>-1904700</v>
      </c>
      <c r="P82" s="6">
        <f>IF([Lucro Líquido]&lt;0,0,[Lucro Líquido]-[Reserva Legal])</f>
        <v>0</v>
      </c>
      <c r="Q82" s="40">
        <v>387229828</v>
      </c>
      <c r="R82" s="6">
        <f>[Capital Social]/[Total Ações]</f>
        <v>0</v>
      </c>
      <c r="S82" s="13">
        <f>Tabela3[[#This Row],[Lucro Líquido]]/Tabela3[[#This Row],[Total Ações]]</f>
        <v>-9.8375686079637439E-2</v>
      </c>
      <c r="T8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2" s="99">
        <f>[Patrimônio Líquido]*[% PNA (PL)]/[Total Ações]</f>
        <v>0</v>
      </c>
      <c r="V82" s="99">
        <f>[Capital Social]*[% PNA (CS)]/[Total Ações]</f>
        <v>0</v>
      </c>
      <c r="W82" s="99">
        <f>MAX(Tabela3[[#This Row],[Div PNA (PL)]],Tabela3[[#This Row],[Div PNA (CS)]])</f>
        <v>0</v>
      </c>
      <c r="X82" s="6">
        <f>[Div. Pref]*[Ações]</f>
        <v>0</v>
      </c>
      <c r="Y82" s="19">
        <f>IF(GETPIVOTDATA("Payout",'Tabela LL'!$A$3,"Ativo",Tabela3[[#This Row],[PAPEL]])&gt;1,1,GETPIVOTDATA("Payout",'Tabela LL'!$A$3,"Ativo",Tabela3[[#This Row],[PAPEL]]))</f>
        <v>0.43917014853198871</v>
      </c>
      <c r="Z82" s="6">
        <f>[Patrimônio Líquido]/[Total Ações]</f>
        <v>4.6264643642069849</v>
      </c>
      <c r="AA82" s="50">
        <f>MAX(Tabela3[[#This Row],[Cotação 1]],Tabela3[[#This Row],[Cotação 2]])</f>
        <v>1.4</v>
      </c>
      <c r="AB82" s="46">
        <f>[Cotação]/[VPA]</f>
        <v>0.30260689152416542</v>
      </c>
      <c r="AC82" s="42">
        <f>IF(Tabela3[[#This Row],[Lucro/Ação]]&gt;0,Tabela3[[#This Row],[Cotação]]/(Tabela3[[#This Row],[Lucro/Ação]]/[Ref]*4),0)</f>
        <v>0</v>
      </c>
      <c r="AD82" s="42">
        <f>IF([Div. Mínimo]=0,0,[Lucro Distribuir]*[Payout]/[Total Ações])</f>
        <v>0</v>
      </c>
      <c r="AE82" s="99">
        <f>IF(AND([Div. Pref]&gt;0,[Div. Mínimo]&gt;0),[Div. Mínimo]+[Div. Pref],IF([Div. Pref]&gt;0,[Div. Pref],IF([Div. Mínimo]&gt;0,[Div. Mínimo],0)))</f>
        <v>0</v>
      </c>
      <c r="AF82" s="99">
        <f>[Lucro Distribuir]/[Total Ações]</f>
        <v>0</v>
      </c>
      <c r="AG82" s="99">
        <f>IF([Lucro Payout]&gt;[Lucro Dist./Ação],MAX(Tabela3[[#This Row],[Lucro Atual]:[Lucro Dist./Ação]]),MAX(Tabela3[[#This Row],[Lucro Payout]:[Lucro Atual]]))</f>
        <v>0</v>
      </c>
      <c r="AH82" s="15" t="str">
        <f>IF(AND([% A.A.]&gt;=10%,[PVPA]&lt;=2,[PL]&lt;=15,[PL]&gt;0),"Sim","Não")</f>
        <v>Não</v>
      </c>
      <c r="AI82" s="44">
        <f>Tabela3[[#This Row],[Lucro]]/Tabela3[[#This Row],[Cotação]]</f>
        <v>0</v>
      </c>
      <c r="AJ82" s="19">
        <f>((1+Tabela3[[#This Row],[% Yield]])^(1/(3*Tabela3[[#This Row],[Ref]])))^(12)-1</f>
        <v>0</v>
      </c>
      <c r="AK82" s="14">
        <f>($AQ$1/Tabela3[[#This Row],[Cotação]]-MOD($AQ$1/Tabela3[[#This Row],[Cotação]],100))</f>
        <v>200</v>
      </c>
      <c r="AL82" s="17">
        <f>Tabela3[[#This Row],[Ativos]]*Tabela3[[#This Row],[Lucro Atual]]</f>
        <v>0</v>
      </c>
      <c r="AM82" s="5">
        <f>SUMPRODUCT(N(Tabela1[Código]=Tabela3[[#This Row],[PAPEL]]),Tabela1[Fechamento])</f>
        <v>1.4</v>
      </c>
      <c r="AN82" s="5">
        <f>SUMPRODUCT(N(Tabela17[Código]=Tabela3[[#This Row],[PAPEL]]),Tabela17[Fechamento])</f>
        <v>0</v>
      </c>
    </row>
    <row r="83" spans="1:40">
      <c r="A83" s="4" t="s">
        <v>12</v>
      </c>
      <c r="B83" s="14" t="s">
        <v>102</v>
      </c>
      <c r="C83" s="14" t="str">
        <f>LEFT([PAPEL],LEN([PAPEL])-(LEN([PAPEL])-4))</f>
        <v>EEEL</v>
      </c>
      <c r="D83" s="15">
        <v>3</v>
      </c>
      <c r="E83" s="6"/>
      <c r="F83" s="8"/>
      <c r="G83" s="19"/>
      <c r="H83" s="15"/>
      <c r="I83" s="19"/>
      <c r="J83" s="19"/>
      <c r="K83" s="19"/>
      <c r="L83" s="6">
        <v>1791505000</v>
      </c>
      <c r="M83" s="6">
        <v>-38094000</v>
      </c>
      <c r="N83" s="6">
        <f>Tabela3[[#This Row],[Capital Social]]*20%</f>
        <v>0</v>
      </c>
      <c r="O83" s="6">
        <f>IF(([Lucro Líquido]*5%)&gt;[Teto R. Legal],[Teto R. Legal],[Lucro Líquido]*5%)</f>
        <v>-1904700</v>
      </c>
      <c r="P83" s="6">
        <f>IF([Lucro Líquido]&lt;0,0,[Lucro Líquido]-[Reserva Legal])</f>
        <v>0</v>
      </c>
      <c r="Q83" s="40">
        <v>387229828</v>
      </c>
      <c r="R83" s="6">
        <f>[Capital Social]/[Total Ações]</f>
        <v>0</v>
      </c>
      <c r="S83" s="13">
        <f>Tabela3[[#This Row],[Lucro Líquido]]/Tabela3[[#This Row],[Total Ações]]</f>
        <v>-9.8375686079637439E-2</v>
      </c>
      <c r="T8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3" s="99">
        <f>[Patrimônio Líquido]*[% PNA (PL)]/[Total Ações]</f>
        <v>0</v>
      </c>
      <c r="V83" s="99">
        <f>[Capital Social]*[% PNA (CS)]/[Total Ações]</f>
        <v>0</v>
      </c>
      <c r="W83" s="99">
        <f>MAX(Tabela3[[#This Row],[Div PNA (PL)]],Tabela3[[#This Row],[Div PNA (CS)]])</f>
        <v>0</v>
      </c>
      <c r="X83" s="6">
        <f>[Div. Pref]*[Ações]</f>
        <v>0</v>
      </c>
      <c r="Y83" s="19">
        <f>IF(GETPIVOTDATA("Payout",'Tabela LL'!$A$3,"Ativo",Tabela3[[#This Row],[PAPEL]])&gt;1,1,GETPIVOTDATA("Payout",'Tabela LL'!$A$3,"Ativo",Tabela3[[#This Row],[PAPEL]]))</f>
        <v>0.43917014853198871</v>
      </c>
      <c r="Z83" s="6">
        <f>[Patrimônio Líquido]/[Total Ações]</f>
        <v>4.6264643642069849</v>
      </c>
      <c r="AA83" s="50">
        <f>MAX(Tabela3[[#This Row],[Cotação 1]],Tabela3[[#This Row],[Cotação 2]])</f>
        <v>1.85</v>
      </c>
      <c r="AB83" s="46">
        <f>[Cotação]/[VPA]</f>
        <v>0.39987339237121861</v>
      </c>
      <c r="AC83" s="42">
        <f>IF(Tabela3[[#This Row],[Lucro/Ação]]&gt;0,Tabela3[[#This Row],[Cotação]]/(Tabela3[[#This Row],[Lucro/Ação]]/[Ref]*4),0)</f>
        <v>0</v>
      </c>
      <c r="AD83" s="42">
        <f>IF([Div. Mínimo]=0,0,[Lucro Distribuir]*[Payout]/[Total Ações])</f>
        <v>0</v>
      </c>
      <c r="AE83" s="99">
        <f>IF(AND([Div. Pref]&gt;0,[Div. Mínimo]&gt;0),[Div. Mínimo]+[Div. Pref],IF([Div. Pref]&gt;0,[Div. Pref],IF([Div. Mínimo]&gt;0,[Div. Mínimo],0)))</f>
        <v>0</v>
      </c>
      <c r="AF83" s="99">
        <f>[Lucro Distribuir]/[Total Ações]</f>
        <v>0</v>
      </c>
      <c r="AG83" s="99">
        <f>IF([Lucro Payout]&gt;[Lucro Dist./Ação],MAX(Tabela3[[#This Row],[Lucro Atual]:[Lucro Dist./Ação]]),MAX(Tabela3[[#This Row],[Lucro Payout]:[Lucro Atual]]))</f>
        <v>0</v>
      </c>
      <c r="AH83" s="15" t="str">
        <f>IF(AND([% A.A.]&gt;=10%,[PVPA]&lt;=2,[PL]&lt;=15,[PL]&gt;0),"Sim","Não")</f>
        <v>Não</v>
      </c>
      <c r="AI83" s="44">
        <f>Tabela3[[#This Row],[Lucro]]/Tabela3[[#This Row],[Cotação]]</f>
        <v>0</v>
      </c>
      <c r="AJ83" s="19">
        <f>((1+Tabela3[[#This Row],[% Yield]])^(1/(3*Tabela3[[#This Row],[Ref]])))^(12)-1</f>
        <v>0</v>
      </c>
      <c r="AK83" s="14">
        <f>($AQ$1/Tabela3[[#This Row],[Cotação]]-MOD($AQ$1/Tabela3[[#This Row],[Cotação]],100))</f>
        <v>100</v>
      </c>
      <c r="AL83" s="17">
        <f>Tabela3[[#This Row],[Ativos]]*Tabela3[[#This Row],[Lucro Atual]]</f>
        <v>0</v>
      </c>
      <c r="AM83" s="5">
        <f>SUMPRODUCT(N(Tabela1[Código]=Tabela3[[#This Row],[PAPEL]]),Tabela1[Fechamento])</f>
        <v>1.85</v>
      </c>
      <c r="AN83" s="5">
        <f>SUMPRODUCT(N(Tabela17[Código]=Tabela3[[#This Row],[PAPEL]]),Tabela17[Fechamento])</f>
        <v>0</v>
      </c>
    </row>
    <row r="84" spans="1:40">
      <c r="A84" s="3" t="s">
        <v>40</v>
      </c>
      <c r="B84" s="14" t="s">
        <v>293</v>
      </c>
      <c r="C84" s="14" t="str">
        <f>LEFT([PAPEL],LEN([PAPEL])-(LEN([PAPEL])-4))</f>
        <v>ELEK</v>
      </c>
      <c r="D84" s="16">
        <v>3</v>
      </c>
      <c r="E84" s="5"/>
      <c r="H84" s="16"/>
      <c r="I84" s="18"/>
      <c r="J84" s="18"/>
      <c r="L84" s="5">
        <v>509526000</v>
      </c>
      <c r="M84" s="5">
        <v>33359000</v>
      </c>
      <c r="N84" s="5">
        <f>Tabela3[[#This Row],[Capital Social]]*20%</f>
        <v>0</v>
      </c>
      <c r="O84" s="5">
        <f>IF(([Lucro Líquido]*5%)&gt;[Teto R. Legal],[Teto R. Legal],[Lucro Líquido]*5%)</f>
        <v>0</v>
      </c>
      <c r="P84" s="5">
        <f>IF([Lucro Líquido]&lt;0,0,[Lucro Líquido]-[Reserva Legal])</f>
        <v>33359000</v>
      </c>
      <c r="Q84" s="21">
        <v>31485170</v>
      </c>
      <c r="R84" s="5">
        <f>[Capital Social]/[Total Ações]</f>
        <v>0</v>
      </c>
      <c r="S84" s="49">
        <f>Tabela3[[#This Row],[Lucro Líquido]]/Tabela3[[#This Row],[Total Ações]]</f>
        <v>1.0595146858028717</v>
      </c>
      <c r="T8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4" s="98">
        <f>[Patrimônio Líquido]*[% PNA (PL)]/[Total Ações]</f>
        <v>0</v>
      </c>
      <c r="V84" s="98">
        <f>[Capital Social]*[% PNA (CS)]/[Total Ações]</f>
        <v>0</v>
      </c>
      <c r="W84" s="98">
        <f>MAX(Tabela3[[#This Row],[Div PNA (PL)]],Tabela3[[#This Row],[Div PNA (CS)]])</f>
        <v>0</v>
      </c>
      <c r="X84" s="5">
        <f>[Div. Pref]*[Ações]</f>
        <v>0</v>
      </c>
      <c r="Y84" s="18">
        <f>IF(GETPIVOTDATA("Payout",'Tabela LL'!$A$3,"Ativo",Tabela3[[#This Row],[PAPEL]])&gt;1,1,GETPIVOTDATA("Payout",'Tabela LL'!$A$3,"Ativo",Tabela3[[#This Row],[PAPEL]]))</f>
        <v>0.27024411411752097</v>
      </c>
      <c r="Z84" s="5">
        <f>[Patrimônio Líquido]/[Total Ações]</f>
        <v>16.183047447417309</v>
      </c>
      <c r="AA84" s="56">
        <f>MAX(Tabela3[[#This Row],[Cotação 1]],Tabela3[[#This Row],[Cotação 2]])</f>
        <v>10</v>
      </c>
      <c r="AB84" s="57">
        <f>[Cotação]/[VPA]</f>
        <v>0.61793058646663757</v>
      </c>
      <c r="AC84" s="39">
        <f>IF(Tabela3[[#This Row],[Lucro/Ação]]&gt;0,Tabela3[[#This Row],[Cotação]]/(Tabela3[[#This Row],[Lucro/Ação]]/[Ref]*4),0)</f>
        <v>7.0787126412662245</v>
      </c>
      <c r="AD84" s="39">
        <f>IF([Div. Mínimo]=0,0,[Lucro Distribuir]*[Payout]/[Total Ações])</f>
        <v>0</v>
      </c>
      <c r="AE84" s="98">
        <f>IF(AND([Div. Pref]&gt;0,[Div. Mínimo]&gt;0),[Div. Mínimo]+[Div. Pref],IF([Div. Pref]&gt;0,[Div. Pref],IF([Div. Mínimo]&gt;0,[Div. Mínimo],0)))</f>
        <v>0</v>
      </c>
      <c r="AF84" s="98">
        <f>[Lucro Distribuir]/[Total Ações]</f>
        <v>1.0595146858028717</v>
      </c>
      <c r="AG84" s="98">
        <f>IF([Lucro Payout]&gt;[Lucro Dist./Ação],MAX(Tabela3[[#This Row],[Lucro Atual]:[Lucro Dist./Ação]]),MAX(Tabela3[[#This Row],[Lucro Payout]:[Lucro Atual]]))</f>
        <v>0</v>
      </c>
      <c r="AH84" s="16" t="str">
        <f>IF(AND([% A.A.]&gt;=10%,[PVPA]&lt;=2,[PL]&lt;=15,[PL]&gt;0),"Sim","Não")</f>
        <v>Não</v>
      </c>
      <c r="AI84" s="22">
        <f>Tabela3[[#This Row],[Lucro]]/Tabela3[[#This Row],[Cotação]]</f>
        <v>0</v>
      </c>
      <c r="AJ84" s="18">
        <f>((1+Tabela3[[#This Row],[% Yield]])^(1/(3*Tabela3[[#This Row],[Ref]])))^(12)-1</f>
        <v>0</v>
      </c>
      <c r="AK84" s="10">
        <f>($AQ$1/Tabela3[[#This Row],[Cotação]]-MOD($AQ$1/Tabela3[[#This Row],[Cotação]],100))</f>
        <v>0</v>
      </c>
      <c r="AL84" s="7">
        <f>Tabela3[[#This Row],[Ativos]]*Tabela3[[#This Row],[Lucro Atual]]</f>
        <v>0</v>
      </c>
      <c r="AM84" s="49">
        <f>SUMPRODUCT(N(Tabela1[Código]=Tabela3[[#This Row],[PAPEL]]),Tabela1[Fechamento])</f>
        <v>0</v>
      </c>
      <c r="AN84" s="49">
        <f>SUMPRODUCT(N(Tabela17[Código]=Tabela3[[#This Row],[PAPEL]]),Tabela17[Fechamento])</f>
        <v>10</v>
      </c>
    </row>
    <row r="85" spans="1:40">
      <c r="A85" s="4" t="s">
        <v>40</v>
      </c>
      <c r="B85" s="14" t="s">
        <v>294</v>
      </c>
      <c r="C85" s="14" t="str">
        <f>LEFT([PAPEL],LEN([PAPEL])-(LEN([PAPEL])-4))</f>
        <v>ELEK</v>
      </c>
      <c r="D85" s="15">
        <v>3</v>
      </c>
      <c r="E85" s="6"/>
      <c r="F85" s="8"/>
      <c r="G85" s="19"/>
      <c r="H85" s="15"/>
      <c r="I85" s="19"/>
      <c r="J85" s="19"/>
      <c r="K85" s="19"/>
      <c r="L85" s="5">
        <v>509526000</v>
      </c>
      <c r="M85" s="5">
        <v>33359000</v>
      </c>
      <c r="N85" s="5">
        <f>Tabela3[[#This Row],[Capital Social]]*20%</f>
        <v>0</v>
      </c>
      <c r="O85" s="5">
        <f>IF(([Lucro Líquido]*5%)&gt;[Teto R. Legal],[Teto R. Legal],[Lucro Líquido]*5%)</f>
        <v>0</v>
      </c>
      <c r="P85" s="5">
        <f>IF([Lucro Líquido]&lt;0,0,[Lucro Líquido]-[Reserva Legal])</f>
        <v>33359000</v>
      </c>
      <c r="Q85" s="21">
        <v>31485170</v>
      </c>
      <c r="R85" s="5">
        <f>[Capital Social]/[Total Ações]</f>
        <v>0</v>
      </c>
      <c r="S85" s="13">
        <f>Tabela3[[#This Row],[Lucro Líquido]]/Tabela3[[#This Row],[Total Ações]]</f>
        <v>1.0595146858028717</v>
      </c>
      <c r="T8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5" s="98">
        <f>[Patrimônio Líquido]*[% PNA (PL)]/[Total Ações]</f>
        <v>0</v>
      </c>
      <c r="V85" s="98">
        <f>[Capital Social]*[% PNA (CS)]/[Total Ações]</f>
        <v>0</v>
      </c>
      <c r="W85" s="98">
        <f>MAX(Tabela3[[#This Row],[Div PNA (PL)]],Tabela3[[#This Row],[Div PNA (CS)]])</f>
        <v>0</v>
      </c>
      <c r="X85" s="5">
        <f>[Div. Pref]*[Ações]</f>
        <v>0</v>
      </c>
      <c r="Y85" s="19">
        <f>IF(GETPIVOTDATA("Payout",'Tabela LL'!$A$3,"Ativo",Tabela3[[#This Row],[PAPEL]])&gt;1,1,GETPIVOTDATA("Payout",'Tabela LL'!$A$3,"Ativo",Tabela3[[#This Row],[PAPEL]]))</f>
        <v>0.23695478536753822</v>
      </c>
      <c r="Z85" s="6">
        <f>[Patrimônio Líquido]/[Total Ações]</f>
        <v>16.183047447417309</v>
      </c>
      <c r="AA85" s="50">
        <f>MAX(Tabela3[[#This Row],[Cotação 1]],Tabela3[[#This Row],[Cotação 2]])</f>
        <v>9.5</v>
      </c>
      <c r="AB85" s="46">
        <f>[Cotação]/[VPA]</f>
        <v>0.5870340571433057</v>
      </c>
      <c r="AC85" s="42">
        <f>IF(Tabela3[[#This Row],[Lucro/Ação]]&gt;0,Tabela3[[#This Row],[Cotação]]/(Tabela3[[#This Row],[Lucro/Ação]]/[Ref]*4),0)</f>
        <v>6.7247770092029135</v>
      </c>
      <c r="AD85" s="42">
        <f>IF([Div. Mínimo]=0,0,[Lucro Distribuir]*[Payout]/[Total Ações])</f>
        <v>0</v>
      </c>
      <c r="AE85" s="99">
        <f>IF(AND([Div. Pref]&gt;0,[Div. Mínimo]&gt;0),[Div. Mínimo]+[Div. Pref],IF([Div. Pref]&gt;0,[Div. Pref],IF([Div. Mínimo]&gt;0,[Div. Mínimo],0)))</f>
        <v>0</v>
      </c>
      <c r="AF85" s="99">
        <f>[Lucro Distribuir]/[Total Ações]</f>
        <v>1.0595146858028717</v>
      </c>
      <c r="AG85" s="99">
        <f>IF([Lucro Payout]&gt;[Lucro Dist./Ação],MAX(Tabela3[[#This Row],[Lucro Atual]:[Lucro Dist./Ação]]),MAX(Tabela3[[#This Row],[Lucro Payout]:[Lucro Atual]]))</f>
        <v>0</v>
      </c>
      <c r="AH85" s="15" t="str">
        <f>IF(AND([% A.A.]&gt;=10%,[PVPA]&lt;=2,[PL]&lt;=15,[PL]&gt;0),"Sim","Não")</f>
        <v>Não</v>
      </c>
      <c r="AI85" s="44">
        <f>Tabela3[[#This Row],[Lucro]]/Tabela3[[#This Row],[Cotação]]</f>
        <v>0</v>
      </c>
      <c r="AJ85" s="19">
        <f>((1+Tabela3[[#This Row],[% Yield]])^(1/(3*Tabela3[[#This Row],[Ref]])))^(12)-1</f>
        <v>0</v>
      </c>
      <c r="AK85" s="14">
        <f>($AQ$1/Tabela3[[#This Row],[Cotação]]-MOD($AQ$1/Tabela3[[#This Row],[Cotação]],100))</f>
        <v>0</v>
      </c>
      <c r="AL85" s="17">
        <f>Tabela3[[#This Row],[Ativos]]*Tabela3[[#This Row],[Lucro Atual]]</f>
        <v>0</v>
      </c>
      <c r="AM85" s="13">
        <f>SUMPRODUCT(N(Tabela1[Código]=Tabela3[[#This Row],[PAPEL]]),Tabela1[Fechamento])</f>
        <v>0</v>
      </c>
      <c r="AN85" s="13">
        <f>SUMPRODUCT(N(Tabela17[Código]=Tabela3[[#This Row],[PAPEL]]),Tabela17[Fechamento])</f>
        <v>9.5</v>
      </c>
    </row>
    <row r="86" spans="1:40">
      <c r="A86" s="4" t="s">
        <v>12</v>
      </c>
      <c r="B86" s="15" t="s">
        <v>2</v>
      </c>
      <c r="C86" s="15" t="str">
        <f>LEFT([PAPEL],LEN([PAPEL])-(LEN([PAPEL])-4))</f>
        <v>ELET</v>
      </c>
      <c r="D86" s="15">
        <v>3</v>
      </c>
      <c r="E86" s="6"/>
      <c r="F86" s="8"/>
      <c r="G86" s="19"/>
      <c r="H86" s="15"/>
      <c r="I86" s="19"/>
      <c r="J86" s="19"/>
      <c r="K86" s="19"/>
      <c r="L86" s="6">
        <v>65493746000</v>
      </c>
      <c r="M86" s="6">
        <v>-787071000</v>
      </c>
      <c r="N86" s="6">
        <f>Tabela3[[#This Row],[Capital Social]]*20%</f>
        <v>0</v>
      </c>
      <c r="O86" s="6">
        <f>IF(([Lucro Líquido]*5%)&gt;[Teto R. Legal],[Teto R. Legal],[Lucro Líquido]*5%)</f>
        <v>-39353550</v>
      </c>
      <c r="P86" s="6">
        <f>IF([Lucro Líquido]&lt;0,0,[Lucro Líquido]-[Reserva Legal])</f>
        <v>0</v>
      </c>
      <c r="Q86" s="8">
        <v>1352634100</v>
      </c>
      <c r="R86" s="6">
        <f>[Capital Social]/[Total Ações]</f>
        <v>0</v>
      </c>
      <c r="S86" s="13">
        <f>Tabela3[[#This Row],[Lucro Líquido]]/Tabela3[[#This Row],[Total Ações]]</f>
        <v>-0.58188019953067871</v>
      </c>
      <c r="T8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6" s="99">
        <f>[Patrimônio Líquido]*[% PNA (PL)]/[Total Ações]</f>
        <v>0</v>
      </c>
      <c r="V86" s="99">
        <f>[Capital Social]*[% PNA (CS)]/[Total Ações]</f>
        <v>0</v>
      </c>
      <c r="W86" s="99">
        <f>MAX(Tabela3[[#This Row],[Div PNA (PL)]],Tabela3[[#This Row],[Div PNA (CS)]])</f>
        <v>0</v>
      </c>
      <c r="X86" s="6">
        <f>[Div. Pref]*[Ações]</f>
        <v>0</v>
      </c>
      <c r="Y86" s="53">
        <f>IF(GETPIVOTDATA("Payout",'Tabela LL'!$A$3,"Ativo",Tabela3[[#This Row],[PAPEL]])&gt;1,1,GETPIVOTDATA("Payout",'Tabela LL'!$A$3,"Ativo",Tabela3[[#This Row],[PAPEL]]))</f>
        <v>1</v>
      </c>
      <c r="Z86" s="6">
        <f>[Patrimônio Líquido]/[Total Ações]</f>
        <v>48.419410689113931</v>
      </c>
      <c r="AA86" s="11">
        <f>MAX(Tabela3[[#This Row],[Cotação 1]],Tabela3[[#This Row],[Cotação 2]])</f>
        <v>5.67</v>
      </c>
      <c r="AB86" s="9">
        <f>[Cotação]/[VPA]</f>
        <v>0.11710179697157648</v>
      </c>
      <c r="AC86" s="38">
        <f>IF(Tabela3[[#This Row],[Lucro/Ação]]&gt;0,Tabela3[[#This Row],[Cotação]]/(Tabela3[[#This Row],[Lucro/Ação]]/[Ref]*4),0)</f>
        <v>0</v>
      </c>
      <c r="AD86" s="38">
        <f>IF([Div. Mínimo]=0,0,[Lucro Distribuir]*[Payout]/[Total Ações])</f>
        <v>0</v>
      </c>
      <c r="AE86" s="99">
        <f>IF(AND([Div. Pref]&gt;0,[Div. Mínimo]&gt;0),[Div. Mínimo]+[Div. Pref],IF([Div. Pref]&gt;0,[Div. Pref],IF([Div. Mínimo]&gt;0,[Div. Mínimo],0)))</f>
        <v>0</v>
      </c>
      <c r="AF86" s="99">
        <f>[Lucro Distribuir]/[Total Ações]</f>
        <v>0</v>
      </c>
      <c r="AG86" s="99">
        <f>IF([Lucro Payout]&gt;[Lucro Dist./Ação],MAX(Tabela3[[#This Row],[Lucro Atual]:[Lucro Dist./Ação]]),MAX(Tabela3[[#This Row],[Lucro Payout]:[Lucro Atual]]))</f>
        <v>0</v>
      </c>
      <c r="AH86" s="14" t="str">
        <f>IF(AND([% A.A.]&gt;=10%,[PVPA]&lt;=2,[PL]&lt;=15,[PL]&gt;0),"Sim","Não")</f>
        <v>Não</v>
      </c>
      <c r="AI86" s="19">
        <f>Tabela3[[#This Row],[Lucro]]/Tabela3[[#This Row],[Cotação]]</f>
        <v>0</v>
      </c>
      <c r="AJ86" s="19">
        <f>((1+Tabela3[[#This Row],[% Yield]])^(1/(3*Tabela3[[#This Row],[Ref]])))^(12)-1</f>
        <v>0</v>
      </c>
      <c r="AK86" s="10">
        <f>($AQ$1/Tabela3[[#This Row],[Cotação]]-MOD($AQ$1/Tabela3[[#This Row],[Cotação]],100))</f>
        <v>0</v>
      </c>
      <c r="AL86" s="5">
        <f>Tabela3[[#This Row],[Ativos]]*Tabela3[[#This Row],[Lucro Atual]]</f>
        <v>0</v>
      </c>
      <c r="AM86" s="5">
        <f>SUMPRODUCT(N(Tabela1[Código]=Tabela3[[#This Row],[PAPEL]]),Tabela1[Fechamento])</f>
        <v>5.67</v>
      </c>
      <c r="AN86" s="5">
        <f>SUMPRODUCT(N(Tabela17[Código]=Tabela3[[#This Row],[PAPEL]]),Tabela17[Fechamento])</f>
        <v>0</v>
      </c>
    </row>
    <row r="87" spans="1:40">
      <c r="A87" s="4" t="s">
        <v>12</v>
      </c>
      <c r="B87" s="15" t="s">
        <v>27</v>
      </c>
      <c r="C87" s="15" t="str">
        <f>LEFT([PAPEL],LEN([PAPEL])-(LEN([PAPEL])-4))</f>
        <v>ELET</v>
      </c>
      <c r="D87" s="15">
        <v>3</v>
      </c>
      <c r="E87" s="6"/>
      <c r="F87" s="8"/>
      <c r="G87" s="19"/>
      <c r="H87" s="15"/>
      <c r="I87" s="19"/>
      <c r="J87" s="19"/>
      <c r="K87" s="19"/>
      <c r="L87" s="6">
        <v>65493746000</v>
      </c>
      <c r="M87" s="6">
        <v>-787071000</v>
      </c>
      <c r="N87" s="6">
        <f>Tabela3[[#This Row],[Capital Social]]*20%</f>
        <v>0</v>
      </c>
      <c r="O87" s="6">
        <f>IF(([Lucro Líquido]*5%)&gt;[Teto R. Legal],[Teto R. Legal],[Lucro Líquido]*5%)</f>
        <v>-39353550</v>
      </c>
      <c r="P87" s="6">
        <f>IF([Lucro Líquido]&lt;0,0,[Lucro Líquido]-[Reserva Legal])</f>
        <v>0</v>
      </c>
      <c r="Q87" s="8">
        <v>1352634100</v>
      </c>
      <c r="R87" s="6">
        <f>[Capital Social]/[Total Ações]</f>
        <v>0</v>
      </c>
      <c r="S87" s="13">
        <f>Tabela3[[#This Row],[Lucro Líquido]]/Tabela3[[#This Row],[Total Ações]]</f>
        <v>-0.58188019953067871</v>
      </c>
      <c r="T8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87" s="99">
        <f>[Patrimônio Líquido]*[% PNA (PL)]/[Total Ações]</f>
        <v>0</v>
      </c>
      <c r="V87" s="99">
        <f>[Capital Social]*[% PNA (CS)]/[Total Ações]</f>
        <v>0</v>
      </c>
      <c r="W87" s="99">
        <f>MAX(Tabela3[[#This Row],[Div PNA (PL)]],Tabela3[[#This Row],[Div PNA (CS)]])</f>
        <v>0</v>
      </c>
      <c r="X87" s="6">
        <f>[Div. Pref]*[Ações]</f>
        <v>0</v>
      </c>
      <c r="Y87" s="53">
        <f>IF(GETPIVOTDATA("Payout",'Tabela LL'!$A$3,"Ativo",Tabela3[[#This Row],[PAPEL]])&gt;1,1,GETPIVOTDATA("Payout",'Tabela LL'!$A$3,"Ativo",Tabela3[[#This Row],[PAPEL]]))</f>
        <v>1</v>
      </c>
      <c r="Z87" s="30">
        <f>[Patrimônio Líquido]/[Total Ações]</f>
        <v>48.419410689113931</v>
      </c>
      <c r="AA87" s="31">
        <f>MAX(Tabela3[[#This Row],[Cotação 1]],Tabela3[[#This Row],[Cotação 2]])</f>
        <v>9.73</v>
      </c>
      <c r="AB87" s="32">
        <f>[Cotação]/[VPA]</f>
        <v>0.20095246640801398</v>
      </c>
      <c r="AC87" s="37">
        <f>IF(Tabela3[[#This Row],[Lucro/Ação]]&gt;0,Tabela3[[#This Row],[Cotação]]/(Tabela3[[#This Row],[Lucro/Ação]]/[Ref]*4),0)</f>
        <v>0</v>
      </c>
      <c r="AD87" s="37">
        <f>IF([Div. Mínimo]=0,0,[Lucro Distribuir]*[Payout]/[Total Ações])</f>
        <v>0</v>
      </c>
      <c r="AE87" s="99">
        <f>IF(AND([Div. Pref]&gt;0,[Div. Mínimo]&gt;0),[Div. Mínimo]+[Div. Pref],IF([Div. Pref]&gt;0,[Div. Pref],IF([Div. Mínimo]&gt;0,[Div. Mínimo],0)))</f>
        <v>0</v>
      </c>
      <c r="AF87" s="99">
        <f>[Lucro Distribuir]/[Total Ações]</f>
        <v>0</v>
      </c>
      <c r="AG87" s="99">
        <f>IF([Lucro Payout]&gt;[Lucro Dist./Ação],MAX(Tabela3[[#This Row],[Lucro Atual]:[Lucro Dist./Ação]]),MAX(Tabela3[[#This Row],[Lucro Payout]:[Lucro Atual]]))</f>
        <v>0</v>
      </c>
      <c r="AH87" s="26" t="str">
        <f>IF(AND([% A.A.]&gt;=10%,[PVPA]&lt;=2,[PL]&lt;=15,[PL]&gt;0),"Sim","Não")</f>
        <v>Não</v>
      </c>
      <c r="AI87" s="29">
        <f>Tabela3[[#This Row],[Lucro]]/Tabela3[[#This Row],[Cotação]]</f>
        <v>0</v>
      </c>
      <c r="AJ87" s="52">
        <f>((1+Tabela3[[#This Row],[% Yield]])^(1/(3*Tabela3[[#This Row],[Ref]])))^(12)-1</f>
        <v>0</v>
      </c>
      <c r="AK87" s="10">
        <f>($AQ$1/Tabela3[[#This Row],[Cotação]]-MOD($AQ$1/Tabela3[[#This Row],[Cotação]],100))</f>
        <v>0</v>
      </c>
      <c r="AL87" s="5">
        <f>Tabela3[[#This Row],[Ativos]]*Tabela3[[#This Row],[Lucro Atual]]</f>
        <v>0</v>
      </c>
      <c r="AM87" s="5">
        <f>SUMPRODUCT(N(Tabela1[Código]=Tabela3[[#This Row],[PAPEL]]),Tabela1[Fechamento])</f>
        <v>9.73</v>
      </c>
      <c r="AN87" s="5">
        <f>SUMPRODUCT(N(Tabela17[Código]=Tabela3[[#This Row],[PAPEL]]),Tabela17[Fechamento])</f>
        <v>0</v>
      </c>
    </row>
    <row r="88" spans="1:40">
      <c r="A88" s="4" t="s">
        <v>12</v>
      </c>
      <c r="B88" s="68" t="s">
        <v>182</v>
      </c>
      <c r="C88" s="106" t="str">
        <f>LEFT([PAPEL],LEN([PAPEL])-(LEN([PAPEL])-4))</f>
        <v>ELPL</v>
      </c>
      <c r="D88" s="15">
        <v>3</v>
      </c>
      <c r="E88" s="5">
        <v>1257629316.47</v>
      </c>
      <c r="F88" s="8">
        <v>66604817</v>
      </c>
      <c r="G88" s="19">
        <v>0.25</v>
      </c>
      <c r="H88" s="15"/>
      <c r="I88" s="19"/>
      <c r="J88" s="19"/>
      <c r="K88" s="19"/>
      <c r="L88" s="6">
        <v>2577741000</v>
      </c>
      <c r="M88" s="13">
        <v>271448000</v>
      </c>
      <c r="N88" s="13">
        <f>Tabela3[[#This Row],[Capital Social]]*20%</f>
        <v>251525863.29400003</v>
      </c>
      <c r="O88" s="13">
        <f>IF(([Lucro Líquido]*5%)&gt;[Teto R. Legal],[Teto R. Legal],[Lucro Líquido]*5%)</f>
        <v>13572400</v>
      </c>
      <c r="P88" s="13">
        <f>IF([Lucro Líquido]&lt;0,0,[Lucro Líquido]-[Reserva Legal])</f>
        <v>257875600</v>
      </c>
      <c r="Q88" s="21">
        <f>SUMPRODUCT(N([Nome]=Tabela3[[#This Row],[Nome]]),[Ações])</f>
        <v>167343887</v>
      </c>
      <c r="R88" s="5">
        <f>[Capital Social]/[Total Ações]</f>
        <v>7.5152390626016716</v>
      </c>
      <c r="S88" s="13">
        <f>Tabela3[[#This Row],[Lucro Líquido]]/Tabela3[[#This Row],[Total Ações]]</f>
        <v>1.6220968979882724</v>
      </c>
      <c r="T8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0.37326148263522085</v>
      </c>
      <c r="U88" s="99">
        <f>[Patrimônio Líquido]*[% PNA (PL)]/[Total Ações]</f>
        <v>0</v>
      </c>
      <c r="V88" s="99">
        <f>[Capital Social]*[% PNA (CS)]/[Total Ações]</f>
        <v>0</v>
      </c>
      <c r="W88" s="99">
        <f>MAX(Tabela3[[#This Row],[Div PNA (PL)]],Tabela3[[#This Row],[Div PNA (CS)]])</f>
        <v>0</v>
      </c>
      <c r="X88" s="13">
        <f>[Div. Pref]*[Ações]</f>
        <v>0</v>
      </c>
      <c r="Y88" s="19" t="e">
        <f>IF(GETPIVOTDATA("Payout",'Tabela LL'!$A$3,"Ativo",Tabela3[[#This Row],[PAPEL]])&gt;1,1,GETPIVOTDATA("Payout",'Tabela LL'!$A$3,"Ativo",Tabela3[[#This Row],[PAPEL]]))</f>
        <v>#DIV/0!</v>
      </c>
      <c r="Z88" s="6">
        <f>[Patrimônio Líquido]/[Total Ações]</f>
        <v>15.403855176377013</v>
      </c>
      <c r="AA88" s="50">
        <f>MAX(Tabela3[[#This Row],[Cotação 1]],Tabela3[[#This Row],[Cotação 2]])</f>
        <v>11</v>
      </c>
      <c r="AB88" s="46">
        <f>[Cotação]/[VPA]</f>
        <v>0.71410694751722537</v>
      </c>
      <c r="AC88" s="42">
        <f>IF(Tabela3[[#This Row],[Lucro/Ação]]&gt;0,Tabela3[[#This Row],[Cotação]]/(Tabela3[[#This Row],[Lucro/Ação]]/[Ref]*4),0)</f>
        <v>5.0860093563039701</v>
      </c>
      <c r="AD88" s="96" t="e">
        <f>IF([Div. Mínimo]=0,0,[Lucro Distribuir]*[Payout]/[Total Ações])</f>
        <v>#DIV/0!</v>
      </c>
      <c r="AE88" s="99">
        <f>IF(AND([Div. Pref]&gt;0,[Div. Mínimo]&gt;0),[Div. Mínimo]+[Div. Pref],IF([Div. Pref]&gt;0,[Div. Pref],IF([Div. Mínimo]&gt;0,[Div. Mínimo],0)))</f>
        <v>0.37326148263522085</v>
      </c>
      <c r="AF88" s="99">
        <f>[Lucro Distribuir]/[Total Ações]</f>
        <v>1.5409920530888588</v>
      </c>
      <c r="AG88" s="99" t="e">
        <f>IF([Lucro Payout]&gt;[Lucro Dist./Ação],MAX(Tabela3[[#This Row],[Lucro Atual]:[Lucro Dist./Ação]]),MAX(Tabela3[[#This Row],[Lucro Payout]:[Lucro Atual]]))</f>
        <v>#DIV/0!</v>
      </c>
      <c r="AH88" s="14" t="e">
        <f>IF(AND([% A.A.]&gt;=10%,[PVPA]&lt;=2,[PL]&lt;=15,[PL]&gt;0),"Sim","Não")</f>
        <v>#DIV/0!</v>
      </c>
      <c r="AI88" s="44" t="e">
        <f>Tabela3[[#This Row],[Lucro]]/Tabela3[[#This Row],[Cotação]]</f>
        <v>#DIV/0!</v>
      </c>
      <c r="AJ88" s="19" t="e">
        <f>((1+Tabela3[[#This Row],[% Yield]])^(1/(3*Tabela3[[#This Row],[Ref]])))^(12)-1</f>
        <v>#DIV/0!</v>
      </c>
      <c r="AK88" s="14">
        <f>($AQ$1/Tabela3[[#This Row],[Cotação]]-MOD($AQ$1/Tabela3[[#This Row],[Cotação]],100))</f>
        <v>0</v>
      </c>
      <c r="AL88" s="17">
        <f>Tabela3[[#This Row],[Ativos]]*Tabela3[[#This Row],[Lucro Atual]]</f>
        <v>0</v>
      </c>
      <c r="AM88" s="17">
        <f>SUMPRODUCT(N(Tabela1[Código]=Tabela3[[#This Row],[PAPEL]]),Tabela1[Fechamento])</f>
        <v>11</v>
      </c>
      <c r="AN88" s="17">
        <f>SUMPRODUCT(N(Tabela17[Código]=Tabela3[[#This Row],[PAPEL]]),Tabela17[Fechamento])</f>
        <v>0</v>
      </c>
    </row>
    <row r="89" spans="1:40">
      <c r="A89" s="4" t="s">
        <v>12</v>
      </c>
      <c r="B89" s="68" t="s">
        <v>1</v>
      </c>
      <c r="C89" s="104" t="str">
        <f>LEFT([PAPEL],LEN([PAPEL])-(LEN([PAPEL])-4))</f>
        <v>ELPL</v>
      </c>
      <c r="D89" s="16">
        <v>3</v>
      </c>
      <c r="E89" s="5">
        <v>1257629316.47</v>
      </c>
      <c r="F89" s="60">
        <v>100739070</v>
      </c>
      <c r="G89" s="18">
        <v>0.25</v>
      </c>
      <c r="I89" s="18"/>
      <c r="J89" s="18"/>
      <c r="K89" s="18">
        <v>0.1</v>
      </c>
      <c r="L89" s="6">
        <v>2577741000</v>
      </c>
      <c r="M89" s="109">
        <v>271448000</v>
      </c>
      <c r="N89" s="6">
        <f>Tabela3[[#This Row],[Capital Social]]*20%</f>
        <v>251525863.29400003</v>
      </c>
      <c r="O89" s="6">
        <f>IF(([Lucro Líquido]*5%)&gt;[Teto R. Legal],[Teto R. Legal],[Lucro Líquido]*5%)</f>
        <v>13572400</v>
      </c>
      <c r="P89" s="6">
        <f>IF([Lucro Líquido]&lt;0,0,[Lucro Líquido]-[Reserva Legal])</f>
        <v>257875600</v>
      </c>
      <c r="Q89" s="21">
        <f>SUMPRODUCT(N([Nome]=Tabela3[[#This Row],[Nome]]),[Ações])</f>
        <v>167343887</v>
      </c>
      <c r="R89" s="6">
        <f>[Capital Social]/[Total Ações]</f>
        <v>7.5152390626016716</v>
      </c>
      <c r="S89" s="13">
        <f>Tabela3[[#This Row],[Lucro Líquido]]/Tabela3[[#This Row],[Total Ações]]</f>
        <v>1.6220968979882724</v>
      </c>
      <c r="T8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0.41058763146120503</v>
      </c>
      <c r="U89" s="99">
        <f>[Patrimônio Líquido]*[% PNA (PL)]/[Total Ações]</f>
        <v>0</v>
      </c>
      <c r="V89" s="99">
        <f>[Capital Social]*[% PNA (CS)]/[Total Ações]</f>
        <v>0</v>
      </c>
      <c r="W89" s="99">
        <f>MAX(Tabela3[[#This Row],[Div PNA (PL)]],Tabela3[[#This Row],[Div PNA (CS)]])</f>
        <v>0</v>
      </c>
      <c r="X89" s="6">
        <f>[Div. Pref]*[Ações]</f>
        <v>0</v>
      </c>
      <c r="Y89" s="19">
        <f>IF(GETPIVOTDATA("Payout",'Tabela LL'!$A$3,"Ativo",Tabela3[[#This Row],[PAPEL]])&gt;1,1,GETPIVOTDATA("Payout",'Tabela LL'!$A$3,"Ativo",Tabela3[[#This Row],[PAPEL]]))</f>
        <v>0.84225014371489515</v>
      </c>
      <c r="Z89" s="6">
        <f>[Patrimônio Líquido]/[Total Ações]</f>
        <v>15.403855176377013</v>
      </c>
      <c r="AA89" s="11">
        <f>MAX(Tabela3[[#This Row],[Cotação 1]],Tabela3[[#This Row],[Cotação 2]])</f>
        <v>9.26</v>
      </c>
      <c r="AB89" s="9">
        <f>[Cotação]/[VPA]</f>
        <v>0.60114821218268244</v>
      </c>
      <c r="AC89" s="38">
        <f>IF(Tabela3[[#This Row],[Lucro/Ação]]&gt;0,Tabela3[[#This Row],[Cotação]]/(Tabela3[[#This Row],[Lucro/Ação]]/[Ref]*4),0)</f>
        <v>4.2814951490340691</v>
      </c>
      <c r="AD89" s="96">
        <f>IF([Div. Mínimo]=0,0,[Lucro Distribuir]*[Payout]/[Total Ações])</f>
        <v>1.2979007781776026</v>
      </c>
      <c r="AE89" s="99">
        <f>IF(AND([Div. Pref]&gt;0,[Div. Mínimo]&gt;0),[Div. Mínimo]+[Div. Pref],IF([Div. Pref]&gt;0,[Div. Pref],IF([Div. Mínimo]&gt;0,[Div. Mínimo],0)))</f>
        <v>0.41058763146120503</v>
      </c>
      <c r="AF89" s="99">
        <f>[Lucro Distribuir]/[Total Ações]</f>
        <v>1.5409920530888588</v>
      </c>
      <c r="AG89" s="99">
        <f>IF([Lucro Payout]&gt;[Lucro Dist./Ação],MAX(Tabela3[[#This Row],[Lucro Atual]:[Lucro Dist./Ação]]),MAX(Tabela3[[#This Row],[Lucro Payout]:[Lucro Atual]]))</f>
        <v>1.2979007781776026</v>
      </c>
      <c r="AH89" s="14" t="str">
        <f>IF(AND([% A.A.]&gt;=10%,[PVPA]&lt;=2,[PL]&lt;=15,[PL]&gt;0),"Sim","Não")</f>
        <v>Sim</v>
      </c>
      <c r="AI89" s="19">
        <f>Tabela3[[#This Row],[Lucro]]/Tabela3[[#This Row],[Cotação]]</f>
        <v>0.1401620710774949</v>
      </c>
      <c r="AJ89" s="19">
        <f>((1+Tabela3[[#This Row],[% Yield]])^(1/(3*Tabela3[[#This Row],[Ref]])))^(12)-1</f>
        <v>0.19111982401523564</v>
      </c>
      <c r="AK89" s="10">
        <f>($AQ$1/Tabela3[[#This Row],[Cotação]]-MOD($AQ$1/Tabela3[[#This Row],[Cotação]],100))</f>
        <v>0</v>
      </c>
      <c r="AL89" s="5">
        <f>Tabela3[[#This Row],[Ativos]]*Tabela3[[#This Row],[Lucro Atual]]</f>
        <v>0</v>
      </c>
      <c r="AM89" s="5">
        <f>SUMPRODUCT(N(Tabela1[Código]=Tabela3[[#This Row],[PAPEL]]),Tabela1[Fechamento])</f>
        <v>9.26</v>
      </c>
      <c r="AN89" s="5">
        <f>SUMPRODUCT(N(Tabela17[Código]=Tabela3[[#This Row],[PAPEL]]),Tabela17[Fechamento])</f>
        <v>0</v>
      </c>
    </row>
    <row r="90" spans="1:40">
      <c r="A90" s="4" t="s">
        <v>12</v>
      </c>
      <c r="B90" s="14" t="s">
        <v>184</v>
      </c>
      <c r="C90" s="14" t="str">
        <f>LEFT([PAPEL],LEN([PAPEL])-(LEN([PAPEL])-4))</f>
        <v>EMAE</v>
      </c>
      <c r="D90" s="15">
        <v>3</v>
      </c>
      <c r="E90" s="6"/>
      <c r="F90" s="8"/>
      <c r="G90" s="19"/>
      <c r="H90" s="15"/>
      <c r="I90" s="19"/>
      <c r="J90" s="19"/>
      <c r="K90" s="19"/>
      <c r="L90" s="6">
        <v>672379000</v>
      </c>
      <c r="M90" s="110">
        <v>25747000</v>
      </c>
      <c r="N90" s="6">
        <f>Tabela3[[#This Row],[Capital Social]]*20%</f>
        <v>0</v>
      </c>
      <c r="O90" s="6">
        <f>IF(([Lucro Líquido]*5%)&gt;[Teto R. Legal],[Teto R. Legal],[Lucro Líquido]*5%)</f>
        <v>0</v>
      </c>
      <c r="P90" s="6">
        <f>IF([Lucro Líquido]&lt;0,0,[Lucro Líquido]-[Reserva Legal])</f>
        <v>25747000</v>
      </c>
      <c r="Q90" s="40">
        <v>36947084</v>
      </c>
      <c r="R90" s="6">
        <f>[Capital Social]/[Total Ações]</f>
        <v>0</v>
      </c>
      <c r="S90" s="13">
        <f>Tabela3[[#This Row],[Lucro Líquido]]/Tabela3[[#This Row],[Total Ações]]</f>
        <v>0.69686148979984452</v>
      </c>
      <c r="T9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0" s="99">
        <f>[Patrimônio Líquido]*[% PNA (PL)]/[Total Ações]</f>
        <v>0</v>
      </c>
      <c r="V90" s="99">
        <f>[Capital Social]*[% PNA (CS)]/[Total Ações]</f>
        <v>0</v>
      </c>
      <c r="W90" s="99">
        <f>MAX(Tabela3[[#This Row],[Div PNA (PL)]],Tabela3[[#This Row],[Div PNA (CS)]])</f>
        <v>0</v>
      </c>
      <c r="X90" s="6">
        <f>[Div. Pref]*[Ações]</f>
        <v>0</v>
      </c>
      <c r="Y90" s="19">
        <f>IF(GETPIVOTDATA("Payout",'Tabela LL'!$A$3,"Ativo",Tabela3[[#This Row],[PAPEL]])&gt;1,1,GETPIVOTDATA("Payout",'Tabela LL'!$A$3,"Ativo",Tabela3[[#This Row],[PAPEL]]))</f>
        <v>0.23175290878610291</v>
      </c>
      <c r="Z90" s="6">
        <f>[Patrimônio Líquido]/[Total Ações]</f>
        <v>18.198432114426133</v>
      </c>
      <c r="AA90" s="50">
        <f>MAX(Tabela3[[#This Row],[Cotação 1]],Tabela3[[#This Row],[Cotação 2]])</f>
        <v>5.67</v>
      </c>
      <c r="AB90" s="46">
        <f>[Cotação]/[VPA]</f>
        <v>0.31156530212871014</v>
      </c>
      <c r="AC90" s="42">
        <f>IF(Tabela3[[#This Row],[Lucro/Ação]]&gt;0,Tabela3[[#This Row],[Cotação]]/(Tabela3[[#This Row],[Lucro/Ação]]/[Ref]*4),0)</f>
        <v>6.1023604579174275</v>
      </c>
      <c r="AD90" s="42">
        <f>IF([Div. Mínimo]=0,0,[Lucro Distribuir]*[Payout]/[Total Ações])</f>
        <v>0</v>
      </c>
      <c r="AE90" s="99">
        <f>IF(AND([Div. Pref]&gt;0,[Div. Mínimo]&gt;0),[Div. Mínimo]+[Div. Pref],IF([Div. Pref]&gt;0,[Div. Pref],IF([Div. Mínimo]&gt;0,[Div. Mínimo],0)))</f>
        <v>0</v>
      </c>
      <c r="AF90" s="99">
        <f>[Lucro Distribuir]/[Total Ações]</f>
        <v>0.69686148979984452</v>
      </c>
      <c r="AG90" s="99">
        <f>IF([Lucro Payout]&gt;[Lucro Dist./Ação],MAX(Tabela3[[#This Row],[Lucro Atual]:[Lucro Dist./Ação]]),MAX(Tabela3[[#This Row],[Lucro Payout]:[Lucro Atual]]))</f>
        <v>0</v>
      </c>
      <c r="AH90" s="15" t="str">
        <f>IF(AND([% A.A.]&gt;=10%,[PVPA]&lt;=2,[PL]&lt;=15,[PL]&gt;0),"Sim","Não")</f>
        <v>Não</v>
      </c>
      <c r="AI90" s="44">
        <f>Tabela3[[#This Row],[Lucro]]/Tabela3[[#This Row],[Cotação]]</f>
        <v>0</v>
      </c>
      <c r="AJ90" s="19">
        <f>((1+Tabela3[[#This Row],[% Yield]])^(1/(3*Tabela3[[#This Row],[Ref]])))^(12)-1</f>
        <v>0</v>
      </c>
      <c r="AK90" s="14">
        <f>($AQ$1/Tabela3[[#This Row],[Cotação]]-MOD($AQ$1/Tabela3[[#This Row],[Cotação]],100))</f>
        <v>0</v>
      </c>
      <c r="AL90" s="17">
        <f>Tabela3[[#This Row],[Ativos]]*Tabela3[[#This Row],[Lucro Atual]]</f>
        <v>0</v>
      </c>
      <c r="AM90" s="5">
        <f>SUMPRODUCT(N(Tabela1[Código]=Tabela3[[#This Row],[PAPEL]]),Tabela1[Fechamento])</f>
        <v>5.67</v>
      </c>
      <c r="AN90" s="5">
        <f>SUMPRODUCT(N(Tabela17[Código]=Tabela3[[#This Row],[PAPEL]]),Tabela17[Fechamento])</f>
        <v>0</v>
      </c>
    </row>
    <row r="91" spans="1:40">
      <c r="A91" s="4" t="s">
        <v>12</v>
      </c>
      <c r="B91" s="68" t="s">
        <v>28</v>
      </c>
      <c r="C91" s="14" t="str">
        <f>LEFT([PAPEL],LEN([PAPEL])-(LEN([PAPEL])-4))</f>
        <v>ENBR</v>
      </c>
      <c r="D91" s="15">
        <v>3</v>
      </c>
      <c r="E91" s="6">
        <v>3182715945.1199999</v>
      </c>
      <c r="F91" s="8">
        <v>476415612</v>
      </c>
      <c r="G91" s="19">
        <v>0.25</v>
      </c>
      <c r="H91" s="19"/>
      <c r="I91" s="19"/>
      <c r="J91" s="19"/>
      <c r="K91" s="19"/>
      <c r="L91" s="6">
        <v>6277330000</v>
      </c>
      <c r="M91" s="6">
        <v>451384000</v>
      </c>
      <c r="N91" s="6">
        <f>Tabela3[[#This Row],[Capital Social]]*20%</f>
        <v>636543189.02400005</v>
      </c>
      <c r="O91" s="6">
        <f>IF(([Lucro Líquido]*5%)&gt;[Teto R. Legal],[Teto R. Legal],[Lucro Líquido]*5%)</f>
        <v>22569200</v>
      </c>
      <c r="P91" s="6">
        <f>IF([Lucro Líquido]&lt;0,0,[Lucro Líquido]-[Reserva Legal])</f>
        <v>428814800</v>
      </c>
      <c r="Q91" s="21">
        <f>SUMPRODUCT(N([Nome]=Tabela3[[#This Row],[Nome]]),[Ações])</f>
        <v>476415612</v>
      </c>
      <c r="R91" s="6">
        <f>[Capital Social]/[Total Ações]</f>
        <v>6.6805450219376938</v>
      </c>
      <c r="S91" s="13">
        <f>Tabela3[[#This Row],[Lucro Líquido]]/Tabela3[[#This Row],[Total Ações]]</f>
        <v>0.94745845566454689</v>
      </c>
      <c r="T9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0.22502138322032991</v>
      </c>
      <c r="U91" s="99">
        <f>[Patrimônio Líquido]*[% PNA (PL)]/[Total Ações]</f>
        <v>0</v>
      </c>
      <c r="V91" s="99">
        <f>[Capital Social]*[% PNA (CS)]/[Total Ações]</f>
        <v>0</v>
      </c>
      <c r="W91" s="99">
        <f>MAX(Tabela3[[#This Row],[Div PNA (PL)]],Tabela3[[#This Row],[Div PNA (CS)]])</f>
        <v>0</v>
      </c>
      <c r="X91" s="6">
        <f>[Div. Pref]*[Ações]</f>
        <v>0</v>
      </c>
      <c r="Y91" s="19">
        <f>IF(GETPIVOTDATA("Payout",'Tabela LL'!$A$3,"Ativo",Tabela3[[#This Row],[PAPEL]])&gt;1,1,GETPIVOTDATA("Payout",'Tabela LL'!$A$3,"Ativo",Tabela3[[#This Row],[PAPEL]]))</f>
        <v>1</v>
      </c>
      <c r="Z91" s="6">
        <f>[Patrimônio Líquido]/[Total Ações]</f>
        <v>13.176163504902101</v>
      </c>
      <c r="AA91" s="50">
        <f>MAX(Tabela3[[#This Row],[Cotação 1]],Tabela3[[#This Row],[Cotação 2]])</f>
        <v>10.210000000000001</v>
      </c>
      <c r="AB91" s="46">
        <f>[Cotação]/[VPA]</f>
        <v>0.7748841304376225</v>
      </c>
      <c r="AC91" s="42">
        <f>IF(Tabela3[[#This Row],[Lucro/Ação]]&gt;0,Tabela3[[#This Row],[Cotação]]/(Tabela3[[#This Row],[Lucro/Ação]]/[Ref]*4),0)</f>
        <v>8.0821485672730979</v>
      </c>
      <c r="AD91" s="96">
        <f>IF([Div. Mínimo]=0,0,[Lucro Distribuir]*[Payout]/[Total Ações])</f>
        <v>0.90008553288131965</v>
      </c>
      <c r="AE91" s="99">
        <f>IF(AND([Div. Pref]&gt;0,[Div. Mínimo]&gt;0),[Div. Mínimo]+[Div. Pref],IF([Div. Pref]&gt;0,[Div. Pref],IF([Div. Mínimo]&gt;0,[Div. Mínimo],0)))</f>
        <v>0.22502138322032991</v>
      </c>
      <c r="AF91" s="99">
        <f>[Lucro Distribuir]/[Total Ações]</f>
        <v>0.90008553288131965</v>
      </c>
      <c r="AG91" s="99">
        <f>IF([Lucro Payout]&gt;[Lucro Dist./Ação],MAX(Tabela3[[#This Row],[Lucro Atual]:[Lucro Dist./Ação]]),MAX(Tabela3[[#This Row],[Lucro Payout]:[Lucro Atual]]))</f>
        <v>0.90008553288131965</v>
      </c>
      <c r="AH91" s="15" t="str">
        <f>IF(AND([% A.A.]&gt;=10%,[PVPA]&lt;=2,[PL]&lt;=15,[PL]&gt;0),"Sim","Não")</f>
        <v>Sim</v>
      </c>
      <c r="AI91" s="44">
        <f>Tabela3[[#This Row],[Lucro]]/Tabela3[[#This Row],[Cotação]]</f>
        <v>8.8157251016779584E-2</v>
      </c>
      <c r="AJ91" s="19">
        <f>((1+Tabela3[[#This Row],[% Yield]])^(1/(3*Tabela3[[#This Row],[Ref]])))^(12)-1</f>
        <v>0.11923739965936586</v>
      </c>
      <c r="AK91" s="14">
        <f>($AQ$1/Tabela3[[#This Row],[Cotação]]-MOD($AQ$1/Tabela3[[#This Row],[Cotação]],100))</f>
        <v>0</v>
      </c>
      <c r="AL91" s="17">
        <f>Tabela3[[#This Row],[Ativos]]*Tabela3[[#This Row],[Lucro Atual]]</f>
        <v>0</v>
      </c>
      <c r="AM91" s="5">
        <f>SUMPRODUCT(N(Tabela1[Código]=Tabela3[[#This Row],[PAPEL]]),Tabela1[Fechamento])</f>
        <v>10.210000000000001</v>
      </c>
      <c r="AN91" s="5">
        <f>SUMPRODUCT(N(Tabela17[Código]=Tabela3[[#This Row],[PAPEL]]),Tabela17[Fechamento])</f>
        <v>0</v>
      </c>
    </row>
    <row r="92" spans="1:40">
      <c r="A92" s="4" t="s">
        <v>12</v>
      </c>
      <c r="B92" s="14" t="s">
        <v>88</v>
      </c>
      <c r="C92" s="14" t="str">
        <f>LEFT([PAPEL],LEN([PAPEL])-(LEN([PAPEL])-4))</f>
        <v>ENGI</v>
      </c>
      <c r="D92" s="15">
        <v>3</v>
      </c>
      <c r="E92" s="6"/>
      <c r="F92" s="8"/>
      <c r="G92" s="19"/>
      <c r="H92" s="15"/>
      <c r="I92" s="19"/>
      <c r="J92" s="19"/>
      <c r="K92" s="19"/>
      <c r="L92" s="6">
        <v>1825587000</v>
      </c>
      <c r="M92" s="6">
        <v>190026000</v>
      </c>
      <c r="N92" s="6">
        <f>Tabela3[[#This Row],[Capital Social]]*20%</f>
        <v>0</v>
      </c>
      <c r="O92" s="6">
        <f>IF(([Lucro Líquido]*5%)&gt;[Teto R. Legal],[Teto R. Legal],[Lucro Líquido]*5%)</f>
        <v>0</v>
      </c>
      <c r="P92" s="6">
        <f>IF([Lucro Líquido]&lt;0,0,[Lucro Líquido]-[Reserva Legal])</f>
        <v>190026000</v>
      </c>
      <c r="Q92" s="40">
        <v>1245690889</v>
      </c>
      <c r="R92" s="6">
        <f>[Capital Social]/[Total Ações]</f>
        <v>0</v>
      </c>
      <c r="S92" s="13">
        <f>Tabela3[[#This Row],[Lucro Líquido]]/Tabela3[[#This Row],[Total Ações]]</f>
        <v>0.15254667243536371</v>
      </c>
      <c r="T9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2" s="99">
        <f>[Patrimônio Líquido]*[% PNA (PL)]/[Total Ações]</f>
        <v>0</v>
      </c>
      <c r="V92" s="99">
        <f>[Capital Social]*[% PNA (CS)]/[Total Ações]</f>
        <v>0</v>
      </c>
      <c r="W92" s="99">
        <f>MAX(Tabela3[[#This Row],[Div PNA (PL)]],Tabela3[[#This Row],[Div PNA (CS)]])</f>
        <v>0</v>
      </c>
      <c r="X92" s="6">
        <f>[Div. Pref]*[Ações]</f>
        <v>0</v>
      </c>
      <c r="Y92" s="19">
        <f>IF(GETPIVOTDATA("Payout",'Tabela LL'!$A$3,"Ativo",Tabela3[[#This Row],[PAPEL]])&gt;1,1,GETPIVOTDATA("Payout",'Tabela LL'!$A$3,"Ativo",Tabela3[[#This Row],[PAPEL]]))</f>
        <v>1</v>
      </c>
      <c r="Z92" s="6">
        <f>[Patrimônio Líquido]/[Total Ações]</f>
        <v>1.4655216764614227</v>
      </c>
      <c r="AA92" s="50">
        <f>MAX(Tabela3[[#This Row],[Cotação 1]],Tabela3[[#This Row],[Cotação 2]])</f>
        <v>12.4</v>
      </c>
      <c r="AB92" s="46">
        <f>[Cotação]/[VPA]</f>
        <v>8.4611508646807856</v>
      </c>
      <c r="AC92" s="42">
        <f>IF(Tabela3[[#This Row],[Lucro/Ação]]&gt;0,Tabela3[[#This Row],[Cotação]]/(Tabela3[[#This Row],[Lucro/Ação]]/[Ref]*4),0)</f>
        <v>60.964948310757471</v>
      </c>
      <c r="AD92" s="42">
        <f>IF([Div. Mínimo]=0,0,[Lucro Distribuir]*[Payout]/[Total Ações])</f>
        <v>0</v>
      </c>
      <c r="AE92" s="99">
        <f>IF(AND([Div. Pref]&gt;0,[Div. Mínimo]&gt;0),[Div. Mínimo]+[Div. Pref],IF([Div. Pref]&gt;0,[Div. Pref],IF([Div. Mínimo]&gt;0,[Div. Mínimo],0)))</f>
        <v>0</v>
      </c>
      <c r="AF92" s="99">
        <f>[Lucro Distribuir]/[Total Ações]</f>
        <v>0.15254667243536371</v>
      </c>
      <c r="AG92" s="99">
        <f>IF([Lucro Payout]&gt;[Lucro Dist./Ação],MAX(Tabela3[[#This Row],[Lucro Atual]:[Lucro Dist./Ação]]),MAX(Tabela3[[#This Row],[Lucro Payout]:[Lucro Atual]]))</f>
        <v>0</v>
      </c>
      <c r="AH92" s="14" t="str">
        <f>IF(AND([% A.A.]&gt;=10%,[PVPA]&lt;=2,[PL]&lt;=15,[PL]&gt;0),"Sim","Não")</f>
        <v>Não</v>
      </c>
      <c r="AI92" s="44">
        <f>Tabela3[[#This Row],[Lucro]]/Tabela3[[#This Row],[Cotação]]</f>
        <v>0</v>
      </c>
      <c r="AJ92" s="19">
        <f>((1+Tabela3[[#This Row],[% Yield]])^(1/(3*Tabela3[[#This Row],[Ref]])))^(12)-1</f>
        <v>0</v>
      </c>
      <c r="AK92" s="14">
        <f>($AQ$1/Tabela3[[#This Row],[Cotação]]-MOD($AQ$1/Tabela3[[#This Row],[Cotação]],100))</f>
        <v>0</v>
      </c>
      <c r="AL92" s="17">
        <f>Tabela3[[#This Row],[Ativos]]*Tabela3[[#This Row],[Lucro Atual]]</f>
        <v>0</v>
      </c>
      <c r="AM92" s="5">
        <f>SUMPRODUCT(N(Tabela1[Código]=Tabela3[[#This Row],[PAPEL]]),Tabela1[Fechamento])</f>
        <v>12.4</v>
      </c>
      <c r="AN92" s="5">
        <f>SUMPRODUCT(N(Tabela17[Código]=Tabela3[[#This Row],[PAPEL]]),Tabela17[Fechamento])</f>
        <v>0</v>
      </c>
    </row>
    <row r="93" spans="1:40">
      <c r="A93" s="4" t="s">
        <v>12</v>
      </c>
      <c r="B93" s="14" t="s">
        <v>186</v>
      </c>
      <c r="C93" s="14" t="str">
        <f>LEFT([PAPEL],LEN([PAPEL])-(LEN([PAPEL])-4))</f>
        <v>ENGI</v>
      </c>
      <c r="D93" s="15">
        <v>3</v>
      </c>
      <c r="E93" s="6"/>
      <c r="F93" s="8"/>
      <c r="G93" s="19"/>
      <c r="H93" s="15"/>
      <c r="I93" s="19"/>
      <c r="J93" s="19"/>
      <c r="K93" s="19"/>
      <c r="L93" s="6">
        <v>1825587000</v>
      </c>
      <c r="M93" s="6">
        <v>190026000</v>
      </c>
      <c r="N93" s="6">
        <f>Tabela3[[#This Row],[Capital Social]]*20%</f>
        <v>0</v>
      </c>
      <c r="O93" s="6">
        <f>IF(([Lucro Líquido]*5%)&gt;[Teto R. Legal],[Teto R. Legal],[Lucro Líquido]*5%)</f>
        <v>0</v>
      </c>
      <c r="P93" s="6">
        <f>IF([Lucro Líquido]&lt;0,0,[Lucro Líquido]-[Reserva Legal])</f>
        <v>190026000</v>
      </c>
      <c r="Q93" s="40">
        <v>1245690889</v>
      </c>
      <c r="R93" s="6">
        <f>[Capital Social]/[Total Ações]</f>
        <v>0</v>
      </c>
      <c r="S93" s="13">
        <f>Tabela3[[#This Row],[Lucro Líquido]]/Tabela3[[#This Row],[Total Ações]]</f>
        <v>0.15254667243536371</v>
      </c>
      <c r="T9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3" s="99">
        <f>[Patrimônio Líquido]*[% PNA (PL)]/[Total Ações]</f>
        <v>0</v>
      </c>
      <c r="V93" s="99">
        <f>[Capital Social]*[% PNA (CS)]/[Total Ações]</f>
        <v>0</v>
      </c>
      <c r="W93" s="99">
        <f>MAX(Tabela3[[#This Row],[Div PNA (PL)]],Tabela3[[#This Row],[Div PNA (CS)]])</f>
        <v>0</v>
      </c>
      <c r="X93" s="6">
        <f>[Div. Pref]*[Ações]</f>
        <v>0</v>
      </c>
      <c r="Y93" s="19">
        <f>IF(GETPIVOTDATA("Payout",'Tabela LL'!$A$3,"Ativo",Tabela3[[#This Row],[PAPEL]])&gt;1,1,GETPIVOTDATA("Payout",'Tabela LL'!$A$3,"Ativo",Tabela3[[#This Row],[PAPEL]]))</f>
        <v>0.58097440486745289</v>
      </c>
      <c r="Z93" s="6">
        <f>[Patrimônio Líquido]/[Total Ações]</f>
        <v>1.4655216764614227</v>
      </c>
      <c r="AA93" s="50">
        <f>MAX(Tabela3[[#This Row],[Cotação 1]],Tabela3[[#This Row],[Cotação 2]])</f>
        <v>3.4</v>
      </c>
      <c r="AB93" s="46">
        <f>[Cotação]/[VPA]</f>
        <v>2.3199929790253764</v>
      </c>
      <c r="AC93" s="42">
        <f>IF(Tabela3[[#This Row],[Lucro/Ação]]&gt;0,Tabela3[[#This Row],[Cotação]]/(Tabela3[[#This Row],[Lucro/Ação]]/[Ref]*4),0)</f>
        <v>16.716195504562531</v>
      </c>
      <c r="AD93" s="42">
        <f>IF([Div. Mínimo]=0,0,[Lucro Distribuir]*[Payout]/[Total Ações])</f>
        <v>0</v>
      </c>
      <c r="AE93" s="99">
        <f>IF(AND([Div. Pref]&gt;0,[Div. Mínimo]&gt;0),[Div. Mínimo]+[Div. Pref],IF([Div. Pref]&gt;0,[Div. Pref],IF([Div. Mínimo]&gt;0,[Div. Mínimo],0)))</f>
        <v>0</v>
      </c>
      <c r="AF93" s="99">
        <f>[Lucro Distribuir]/[Total Ações]</f>
        <v>0.15254667243536371</v>
      </c>
      <c r="AG93" s="99">
        <f>IF([Lucro Payout]&gt;[Lucro Dist./Ação],MAX(Tabela3[[#This Row],[Lucro Atual]:[Lucro Dist./Ação]]),MAX(Tabela3[[#This Row],[Lucro Payout]:[Lucro Atual]]))</f>
        <v>0</v>
      </c>
      <c r="AH93" s="15" t="str">
        <f>IF(AND([% A.A.]&gt;=10%,[PVPA]&lt;=2,[PL]&lt;=15,[PL]&gt;0),"Sim","Não")</f>
        <v>Não</v>
      </c>
      <c r="AI93" s="44">
        <f>Tabela3[[#This Row],[Lucro]]/Tabela3[[#This Row],[Cotação]]</f>
        <v>0</v>
      </c>
      <c r="AJ93" s="19">
        <f>((1+Tabela3[[#This Row],[% Yield]])^(1/(3*Tabela3[[#This Row],[Ref]])))^(12)-1</f>
        <v>0</v>
      </c>
      <c r="AK93" s="14">
        <f>($AQ$1/Tabela3[[#This Row],[Cotação]]-MOD($AQ$1/Tabela3[[#This Row],[Cotação]],100))</f>
        <v>0</v>
      </c>
      <c r="AL93" s="17">
        <f>Tabela3[[#This Row],[Ativos]]*Tabela3[[#This Row],[Lucro Atual]]</f>
        <v>0</v>
      </c>
      <c r="AM93" s="5">
        <f>SUMPRODUCT(N(Tabela1[Código]=Tabela3[[#This Row],[PAPEL]]),Tabela1[Fechamento])</f>
        <v>3.4</v>
      </c>
      <c r="AN93" s="5">
        <f>SUMPRODUCT(N(Tabela17[Código]=Tabela3[[#This Row],[PAPEL]]),Tabela17[Fechamento])</f>
        <v>0</v>
      </c>
    </row>
    <row r="94" spans="1:40">
      <c r="A94" s="4" t="s">
        <v>12</v>
      </c>
      <c r="B94" s="14" t="s">
        <v>64</v>
      </c>
      <c r="C94" s="14" t="str">
        <f>LEFT([PAPEL],LEN([PAPEL])-(LEN([PAPEL])-4))</f>
        <v>ENGI</v>
      </c>
      <c r="D94" s="15">
        <v>3</v>
      </c>
      <c r="E94" s="6"/>
      <c r="F94" s="8"/>
      <c r="G94" s="19"/>
      <c r="H94" s="15"/>
      <c r="I94" s="19"/>
      <c r="J94" s="19"/>
      <c r="K94" s="19"/>
      <c r="L94" s="6">
        <v>1825587000</v>
      </c>
      <c r="M94" s="6">
        <v>190026000</v>
      </c>
      <c r="N94" s="6">
        <f>Tabela3[[#This Row],[Capital Social]]*20%</f>
        <v>0</v>
      </c>
      <c r="O94" s="6">
        <f>IF(([Lucro Líquido]*5%)&gt;[Teto R. Legal],[Teto R. Legal],[Lucro Líquido]*5%)</f>
        <v>0</v>
      </c>
      <c r="P94" s="6">
        <f>IF([Lucro Líquido]&lt;0,0,[Lucro Líquido]-[Reserva Legal])</f>
        <v>190026000</v>
      </c>
      <c r="Q94" s="40">
        <v>1245690889</v>
      </c>
      <c r="R94" s="6">
        <f>[Capital Social]/[Total Ações]</f>
        <v>0</v>
      </c>
      <c r="S94" s="13">
        <f>Tabela3[[#This Row],[Lucro Líquido]]/Tabela3[[#This Row],[Total Ações]]</f>
        <v>0.15254667243536371</v>
      </c>
      <c r="T9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4" s="99">
        <f>[Patrimônio Líquido]*[% PNA (PL)]/[Total Ações]</f>
        <v>0</v>
      </c>
      <c r="V94" s="99">
        <f>[Capital Social]*[% PNA (CS)]/[Total Ações]</f>
        <v>0</v>
      </c>
      <c r="W94" s="99">
        <f>MAX(Tabela3[[#This Row],[Div PNA (PL)]],Tabela3[[#This Row],[Div PNA (CS)]])</f>
        <v>0</v>
      </c>
      <c r="X94" s="6">
        <f>[Div. Pref]*[Ações]</f>
        <v>0</v>
      </c>
      <c r="Y94" s="43">
        <f>IF(GETPIVOTDATA("Payout",'Tabela LL'!$A$3,"Ativo",Tabela3[[#This Row],[PAPEL]])&gt;1,1,GETPIVOTDATA("Payout",'Tabela LL'!$A$3,"Ativo",Tabela3[[#This Row],[PAPEL]]))</f>
        <v>0.58097440486745289</v>
      </c>
      <c r="Z94" s="6">
        <f>[Patrimônio Líquido]/[Total Ações]</f>
        <v>1.4655216764614227</v>
      </c>
      <c r="AA94" s="50">
        <f>MAX(Tabela3[[#This Row],[Cotação 1]],Tabela3[[#This Row],[Cotação 2]])</f>
        <v>2.1</v>
      </c>
      <c r="AB94" s="46">
        <f>[Cotação]/[VPA]</f>
        <v>1.4329368399862619</v>
      </c>
      <c r="AC94" s="42">
        <f>IF(Tabela3[[#This Row],[Lucro/Ação]]&gt;0,Tabela3[[#This Row],[Cotação]]/(Tabela3[[#This Row],[Lucro/Ação]]/[Ref]*4),0)</f>
        <v>10.324708988112153</v>
      </c>
      <c r="AD94" s="42">
        <f>IF([Div. Mínimo]=0,0,[Lucro Distribuir]*[Payout]/[Total Ações])</f>
        <v>0</v>
      </c>
      <c r="AE94" s="99">
        <f>IF(AND([Div. Pref]&gt;0,[Div. Mínimo]&gt;0),[Div. Mínimo]+[Div. Pref],IF([Div. Pref]&gt;0,[Div. Pref],IF([Div. Mínimo]&gt;0,[Div. Mínimo],0)))</f>
        <v>0</v>
      </c>
      <c r="AF94" s="99">
        <f>[Lucro Distribuir]/[Total Ações]</f>
        <v>0.15254667243536371</v>
      </c>
      <c r="AG94" s="99">
        <f>IF([Lucro Payout]&gt;[Lucro Dist./Ação],MAX(Tabela3[[#This Row],[Lucro Atual]:[Lucro Dist./Ação]]),MAX(Tabela3[[#This Row],[Lucro Payout]:[Lucro Atual]]))</f>
        <v>0</v>
      </c>
      <c r="AH94" s="14" t="str">
        <f>IF(AND([% A.A.]&gt;=10%,[PVPA]&lt;=2,[PL]&lt;=15,[PL]&gt;0),"Sim","Não")</f>
        <v>Não</v>
      </c>
      <c r="AI94" s="44">
        <f>Tabela3[[#This Row],[Lucro]]/Tabela3[[#This Row],[Cotação]]</f>
        <v>0</v>
      </c>
      <c r="AJ94" s="19">
        <f>((1+Tabela3[[#This Row],[% Yield]])^(1/(3*Tabela3[[#This Row],[Ref]])))^(12)-1</f>
        <v>0</v>
      </c>
      <c r="AK94" s="14">
        <f>($AQ$1/Tabela3[[#This Row],[Cotação]]-MOD($AQ$1/Tabela3[[#This Row],[Cotação]],100))</f>
        <v>100</v>
      </c>
      <c r="AL94" s="17">
        <f>Tabela3[[#This Row],[Ativos]]*Tabela3[[#This Row],[Lucro Atual]]</f>
        <v>0</v>
      </c>
      <c r="AM94" s="5">
        <f>SUMPRODUCT(N(Tabela1[Código]=Tabela3[[#This Row],[PAPEL]]),Tabela1[Fechamento])</f>
        <v>2.1</v>
      </c>
      <c r="AN94" s="5">
        <f>SUMPRODUCT(N(Tabela17[Código]=Tabela3[[#This Row],[PAPEL]]),Tabela17[Fechamento])</f>
        <v>0</v>
      </c>
    </row>
    <row r="95" spans="1:40">
      <c r="A95" s="4" t="s">
        <v>12</v>
      </c>
      <c r="B95" s="14" t="s">
        <v>98</v>
      </c>
      <c r="C95" s="14" t="str">
        <f>LEFT([PAPEL],LEN([PAPEL])-(LEN([PAPEL])-4))</f>
        <v>ENMA</v>
      </c>
      <c r="D95" s="15">
        <v>3</v>
      </c>
      <c r="E95" s="6"/>
      <c r="F95" s="8"/>
      <c r="G95" s="19"/>
      <c r="H95" s="15"/>
      <c r="I95" s="19"/>
      <c r="J95" s="19"/>
      <c r="K95" s="19"/>
      <c r="L95" s="6">
        <v>1380983000</v>
      </c>
      <c r="M95" s="6">
        <v>154788000</v>
      </c>
      <c r="N95" s="6">
        <f>Tabela3[[#This Row],[Capital Social]]*20%</f>
        <v>0</v>
      </c>
      <c r="O95" s="6">
        <f>IF(([Lucro Líquido]*5%)&gt;[Teto R. Legal],[Teto R. Legal],[Lucro Líquido]*5%)</f>
        <v>0</v>
      </c>
      <c r="P95" s="6">
        <f>IF([Lucro Líquido]&lt;0,0,[Lucro Líquido]-[Reserva Legal])</f>
        <v>154788000</v>
      </c>
      <c r="Q95" s="40">
        <v>164183899</v>
      </c>
      <c r="R95" s="6">
        <f>[Capital Social]/[Total Ações]</f>
        <v>0</v>
      </c>
      <c r="S95" s="13">
        <f>Tabela3[[#This Row],[Lucro Líquido]]/Tabela3[[#This Row],[Total Ações]]</f>
        <v>0.94277210458986604</v>
      </c>
      <c r="T9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5" s="99">
        <f>[Patrimônio Líquido]*[% PNA (PL)]/[Total Ações]</f>
        <v>0</v>
      </c>
      <c r="V95" s="99">
        <f>[Capital Social]*[% PNA (CS)]/[Total Ações]</f>
        <v>0</v>
      </c>
      <c r="W95" s="99">
        <f>MAX(Tabela3[[#This Row],[Div PNA (PL)]],Tabela3[[#This Row],[Div PNA (CS)]])</f>
        <v>0</v>
      </c>
      <c r="X95" s="6">
        <f>[Div. Pref]*[Ações]</f>
        <v>0</v>
      </c>
      <c r="Y95" s="19">
        <f>IF(GETPIVOTDATA("Payout",'Tabela LL'!$A$3,"Ativo",Tabela3[[#This Row],[PAPEL]])&gt;1,1,GETPIVOTDATA("Payout",'Tabela LL'!$A$3,"Ativo",Tabela3[[#This Row],[PAPEL]]))</f>
        <v>0.49000251641148956</v>
      </c>
      <c r="Z95" s="6">
        <f>[Patrimônio Líquido]/[Total Ações]</f>
        <v>8.4111962769260344</v>
      </c>
      <c r="AA95" s="50">
        <f>MAX(Tabela3[[#This Row],[Cotação 1]],Tabela3[[#This Row],[Cotação 2]])</f>
        <v>15</v>
      </c>
      <c r="AB95" s="46">
        <f>[Cotação]/[VPA]</f>
        <v>1.7833372930731224</v>
      </c>
      <c r="AC95" s="42">
        <f>IF(Tabela3[[#This Row],[Lucro/Ação]]&gt;0,Tabela3[[#This Row],[Cotação]]/(Tabela3[[#This Row],[Lucro/Ação]]/[Ref]*4),0)</f>
        <v>11.932894434646096</v>
      </c>
      <c r="AD95" s="42">
        <f>IF([Div. Mínimo]=0,0,[Lucro Distribuir]*[Payout]/[Total Ações])</f>
        <v>0</v>
      </c>
      <c r="AE95" s="99">
        <f>IF(AND([Div. Pref]&gt;0,[Div. Mínimo]&gt;0),[Div. Mínimo]+[Div. Pref],IF([Div. Pref]&gt;0,[Div. Pref],IF([Div. Mínimo]&gt;0,[Div. Mínimo],0)))</f>
        <v>0</v>
      </c>
      <c r="AF95" s="99">
        <f>[Lucro Distribuir]/[Total Ações]</f>
        <v>0.94277210458986604</v>
      </c>
      <c r="AG95" s="99">
        <f>IF([Lucro Payout]&gt;[Lucro Dist./Ação],MAX(Tabela3[[#This Row],[Lucro Atual]:[Lucro Dist./Ação]]),MAX(Tabela3[[#This Row],[Lucro Payout]:[Lucro Atual]]))</f>
        <v>0</v>
      </c>
      <c r="AH95" s="15" t="str">
        <f>IF(AND([% A.A.]&gt;=10%,[PVPA]&lt;=2,[PL]&lt;=15,[PL]&gt;0),"Sim","Não")</f>
        <v>Não</v>
      </c>
      <c r="AI95" s="44">
        <f>Tabela3[[#This Row],[Lucro]]/Tabela3[[#This Row],[Cotação]]</f>
        <v>0</v>
      </c>
      <c r="AJ95" s="19">
        <f>((1+Tabela3[[#This Row],[% Yield]])^(1/(3*Tabela3[[#This Row],[Ref]])))^(12)-1</f>
        <v>0</v>
      </c>
      <c r="AK95" s="14">
        <f>($AQ$1/Tabela3[[#This Row],[Cotação]]-MOD($AQ$1/Tabela3[[#This Row],[Cotação]],100))</f>
        <v>0</v>
      </c>
      <c r="AL95" s="17">
        <f>Tabela3[[#This Row],[Ativos]]*Tabela3[[#This Row],[Lucro Atual]]</f>
        <v>0</v>
      </c>
      <c r="AM95" s="5">
        <f>SUMPRODUCT(N(Tabela1[Código]=Tabela3[[#This Row],[PAPEL]]),Tabela1[Fechamento])</f>
        <v>15</v>
      </c>
      <c r="AN95" s="5">
        <f>SUMPRODUCT(N(Tabela17[Código]=Tabela3[[#This Row],[PAPEL]]),Tabela17[Fechamento])</f>
        <v>0</v>
      </c>
    </row>
    <row r="96" spans="1:40">
      <c r="A96" s="25" t="s">
        <v>12</v>
      </c>
      <c r="B96" s="15" t="s">
        <v>35</v>
      </c>
      <c r="C96" s="15" t="str">
        <f>LEFT([PAPEL],LEN([PAPEL])-(LEN([PAPEL])-4))</f>
        <v>EQTL</v>
      </c>
      <c r="D96" s="16">
        <v>3</v>
      </c>
      <c r="E96" s="5"/>
      <c r="H96" s="16"/>
      <c r="I96" s="18"/>
      <c r="J96" s="18"/>
      <c r="L96" s="30">
        <v>2881205000</v>
      </c>
      <c r="M96" s="30">
        <v>130778000</v>
      </c>
      <c r="N96" s="30">
        <f>Tabela3[[#This Row],[Capital Social]]*20%</f>
        <v>0</v>
      </c>
      <c r="O96" s="30">
        <f>IF(([Lucro Líquido]*5%)&gt;[Teto R. Legal],[Teto R. Legal],[Lucro Líquido]*5%)</f>
        <v>0</v>
      </c>
      <c r="P96" s="30">
        <f>IF([Lucro Líquido]&lt;0,0,[Lucro Líquido]-[Reserva Legal])</f>
        <v>130778000</v>
      </c>
      <c r="Q96" s="28">
        <v>198447352</v>
      </c>
      <c r="R96" s="30">
        <f>[Capital Social]/[Total Ações]</f>
        <v>0</v>
      </c>
      <c r="S96" s="108">
        <f>Tabela3[[#This Row],[Lucro Líquido]]/Tabela3[[#This Row],[Total Ações]]</f>
        <v>0.65900602190952895</v>
      </c>
      <c r="T96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6" s="100">
        <f>[Patrimônio Líquido]*[% PNA (PL)]/[Total Ações]</f>
        <v>0</v>
      </c>
      <c r="V96" s="100">
        <f>[Capital Social]*[% PNA (CS)]/[Total Ações]</f>
        <v>0</v>
      </c>
      <c r="W96" s="100">
        <f>MAX(Tabela3[[#This Row],[Div PNA (PL)]],Tabela3[[#This Row],[Div PNA (CS)]])</f>
        <v>0</v>
      </c>
      <c r="X96" s="30">
        <f>[Div. Pref]*[Ações]</f>
        <v>0</v>
      </c>
      <c r="Y96" s="51">
        <f>IF(GETPIVOTDATA("Payout",'Tabela LL'!$A$3,"Ativo",Tabela3[[#This Row],[PAPEL]])&gt;1,1,GETPIVOTDATA("Payout",'Tabela LL'!$A$3,"Ativo",Tabela3[[#This Row],[PAPEL]]))</f>
        <v>0.90036243172799468</v>
      </c>
      <c r="Z96" s="30">
        <f>[Patrimônio Líquido]/[Total Ações]</f>
        <v>14.518737443269083</v>
      </c>
      <c r="AA96" s="31">
        <f>MAX(Tabela3[[#This Row],[Cotação 1]],Tabela3[[#This Row],[Cotação 2]])</f>
        <v>23.71</v>
      </c>
      <c r="AB96" s="32">
        <f>[Cotação]/[VPA]</f>
        <v>1.6330621097492197</v>
      </c>
      <c r="AC96" s="37">
        <f>IF(Tabela3[[#This Row],[Lucro/Ação]]&gt;0,Tabela3[[#This Row],[Cotação]]/(Tabela3[[#This Row],[Lucro/Ação]]/[Ref]*4),0)</f>
        <v>26.983820191010718</v>
      </c>
      <c r="AD96" s="37">
        <f>IF([Div. Mínimo]=0,0,[Lucro Distribuir]*[Payout]/[Total Ações])</f>
        <v>0</v>
      </c>
      <c r="AE96" s="99">
        <f>IF(AND([Div. Pref]&gt;0,[Div. Mínimo]&gt;0),[Div. Mínimo]+[Div. Pref],IF([Div. Pref]&gt;0,[Div. Pref],IF([Div. Mínimo]&gt;0,[Div. Mínimo],0)))</f>
        <v>0</v>
      </c>
      <c r="AF96" s="99">
        <f>[Lucro Distribuir]/[Total Ações]</f>
        <v>0.65900602190952895</v>
      </c>
      <c r="AG96" s="99">
        <f>IF([Lucro Payout]&gt;[Lucro Dist./Ação],MAX(Tabela3[[#This Row],[Lucro Atual]:[Lucro Dist./Ação]]),MAX(Tabela3[[#This Row],[Lucro Payout]:[Lucro Atual]]))</f>
        <v>0</v>
      </c>
      <c r="AH96" s="26" t="str">
        <f>IF(AND([% A.A.]&gt;=10%,[PVPA]&lt;=2,[PL]&lt;=15,[PL]&gt;0),"Sim","Não")</f>
        <v>Não</v>
      </c>
      <c r="AI96" s="29">
        <f>Tabela3[[#This Row],[Lucro]]/Tabela3[[#This Row],[Cotação]]</f>
        <v>0</v>
      </c>
      <c r="AJ96" s="52">
        <f>((1+Tabela3[[#This Row],[% Yield]])^(1/(3*Tabela3[[#This Row],[Ref]])))^(12)-1</f>
        <v>0</v>
      </c>
      <c r="AK96" s="10">
        <f>($AQ$1/Tabela3[[#This Row],[Cotação]]-MOD($AQ$1/Tabela3[[#This Row],[Cotação]],100))</f>
        <v>0</v>
      </c>
      <c r="AL96" s="7">
        <f>Tabela3[[#This Row],[Ativos]]*Tabela3[[#This Row],[Lucro Atual]]</f>
        <v>0</v>
      </c>
      <c r="AM96" s="5">
        <f>SUMPRODUCT(N(Tabela1[Código]=Tabela3[[#This Row],[PAPEL]]),Tabela1[Fechamento])</f>
        <v>23.71</v>
      </c>
      <c r="AN96" s="5">
        <f>SUMPRODUCT(N(Tabela17[Código]=Tabela3[[#This Row],[PAPEL]]),Tabela17[Fechamento])</f>
        <v>0</v>
      </c>
    </row>
    <row r="97" spans="1:40">
      <c r="A97" s="4" t="s">
        <v>383</v>
      </c>
      <c r="B97" s="68" t="s">
        <v>382</v>
      </c>
      <c r="C97" s="104" t="str">
        <f>LEFT([PAPEL],LEN([PAPEL])-(LEN([PAPEL])-4))</f>
        <v>ETER</v>
      </c>
      <c r="D97" s="15">
        <v>3</v>
      </c>
      <c r="E97" s="6">
        <v>334251231.39999998</v>
      </c>
      <c r="F97" s="8">
        <v>89500000</v>
      </c>
      <c r="G97" s="19">
        <v>0.25</v>
      </c>
      <c r="H97" s="19"/>
      <c r="I97" s="19"/>
      <c r="J97" s="19"/>
      <c r="K97" s="19"/>
      <c r="L97" s="6">
        <v>502819000</v>
      </c>
      <c r="M97" s="6">
        <v>76981000</v>
      </c>
      <c r="N97" s="6">
        <f>Tabela3[[#This Row],[Capital Social]]*20%</f>
        <v>66850246.280000001</v>
      </c>
      <c r="O97" s="6">
        <f>IF(([Lucro Líquido]*5%)&gt;[Teto R. Legal],[Teto R. Legal],[Lucro Líquido]*5%)</f>
        <v>3849050</v>
      </c>
      <c r="P97" s="6">
        <f>IF([Lucro Líquido]&lt;0,0,[Lucro Líquido]-[Reserva Legal])</f>
        <v>73131950</v>
      </c>
      <c r="Q97" s="21">
        <f>SUMPRODUCT(N([Nome]=Tabela3[[#This Row],[Nome]]),[Ações])</f>
        <v>89500000</v>
      </c>
      <c r="R97" s="6">
        <f>[Capital Social]/[Total Ações]</f>
        <v>3.7346506301675975</v>
      </c>
      <c r="S97" s="13">
        <f>Tabela3[[#This Row],[Lucro Líquido]]/Tabela3[[#This Row],[Total Ações]]</f>
        <v>0.86012290502793298</v>
      </c>
      <c r="T9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0.20427918994413408</v>
      </c>
      <c r="U97" s="99">
        <f>[Patrimônio Líquido]*[% PNA (PL)]/[Total Ações]</f>
        <v>0</v>
      </c>
      <c r="V97" s="99">
        <f>[Capital Social]*[% PNA (CS)]/[Total Ações]</f>
        <v>0</v>
      </c>
      <c r="W97" s="99">
        <f>MAX(Tabela3[[#This Row],[Div PNA (PL)]],Tabela3[[#This Row],[Div PNA (CS)]])</f>
        <v>0</v>
      </c>
      <c r="X97" s="6">
        <f>[Div. Pref]*[Ações]</f>
        <v>0</v>
      </c>
      <c r="Y97" s="19">
        <f>IF(GETPIVOTDATA("Payout",'Tabela LL'!$A$3,"Ativo",Tabela3[[#This Row],[PAPEL]])&gt;1,1,GETPIVOTDATA("Payout",'Tabela LL'!$A$3,"Ativo",Tabela3[[#This Row],[PAPEL]]))</f>
        <v>0.72124852747572954</v>
      </c>
      <c r="Z97" s="6">
        <f>[Patrimônio Líquido]/[Total Ações]</f>
        <v>5.6180893854748604</v>
      </c>
      <c r="AA97" s="50">
        <f>MAX(Tabela3[[#This Row],[Cotação 1]],Tabela3[[#This Row],[Cotação 2]])</f>
        <v>8.35</v>
      </c>
      <c r="AB97" s="46">
        <f>[Cotação]/[VPA]</f>
        <v>1.4862704074428372</v>
      </c>
      <c r="AC97" s="42">
        <f>IF(Tabela3[[#This Row],[Lucro/Ação]]&gt;0,Tabela3[[#This Row],[Cotação]]/(Tabela3[[#This Row],[Lucro/Ação]]/[Ref]*4),0)</f>
        <v>7.2809362050376061</v>
      </c>
      <c r="AD97" s="96">
        <f>IF([Div. Mínimo]=0,0,[Lucro Distribuir]*[Payout]/[Total Ações])</f>
        <v>0.58934425976456628</v>
      </c>
      <c r="AE97" s="99">
        <f>IF(AND([Div. Pref]&gt;0,[Div. Mínimo]&gt;0),[Div. Mínimo]+[Div. Pref],IF([Div. Pref]&gt;0,[Div. Pref],IF([Div. Mínimo]&gt;0,[Div. Mínimo],0)))</f>
        <v>0.20427918994413408</v>
      </c>
      <c r="AF97" s="99">
        <f>[Lucro Distribuir]/[Total Ações]</f>
        <v>0.81711675977653631</v>
      </c>
      <c r="AG97" s="99">
        <f>IF([Lucro Payout]&gt;[Lucro Dist./Ação],MAX(Tabela3[[#This Row],[Lucro Atual]:[Lucro Dist./Ação]]),MAX(Tabela3[[#This Row],[Lucro Payout]:[Lucro Atual]]))</f>
        <v>0.58934425976456628</v>
      </c>
      <c r="AH97" s="15" t="str">
        <f>IF(AND([% A.A.]&gt;=10%,[PVPA]&lt;=2,[PL]&lt;=15,[PL]&gt;0),"Sim","Não")</f>
        <v>Não</v>
      </c>
      <c r="AI97" s="44">
        <f>Tabela3[[#This Row],[Lucro]]/Tabela3[[#This Row],[Cotação]]</f>
        <v>7.0580150870007935E-2</v>
      </c>
      <c r="AJ97" s="19">
        <f>((1+Tabela3[[#This Row],[% Yield]])^(1/(3*Tabela3[[#This Row],[Ref]])))^(12)-1</f>
        <v>9.5197009916476283E-2</v>
      </c>
      <c r="AK97" s="14">
        <f>($AQ$1/Tabela3[[#This Row],[Cotação]]-MOD($AQ$1/Tabela3[[#This Row],[Cotação]],100))</f>
        <v>0</v>
      </c>
      <c r="AL97" s="17">
        <f>Tabela3[[#This Row],[Ativos]]*Tabela3[[#This Row],[Lucro Atual]]</f>
        <v>0</v>
      </c>
      <c r="AM97" s="13">
        <f>SUMPRODUCT(N(Tabela1[Código]=Tabela3[[#This Row],[PAPEL]]),Tabela1[Fechamento])</f>
        <v>0</v>
      </c>
      <c r="AN97" s="59">
        <f>SUMPRODUCT(N(Tabela17[Código]=Tabela3[[#This Row],[PAPEL]]),Tabela17[Fechamento])</f>
        <v>8.35</v>
      </c>
    </row>
    <row r="98" spans="1:40">
      <c r="A98" s="4" t="s">
        <v>362</v>
      </c>
      <c r="B98" s="68" t="s">
        <v>364</v>
      </c>
      <c r="C98" s="104" t="str">
        <f>LEFT([PAPEL],LEN([PAPEL])-(LEN([PAPEL])-4))</f>
        <v>EUCA</v>
      </c>
      <c r="D98" s="15">
        <v>3</v>
      </c>
      <c r="E98" s="6"/>
      <c r="F98" s="8"/>
      <c r="G98" s="19"/>
      <c r="H98" s="15"/>
      <c r="I98" s="19"/>
      <c r="J98" s="19"/>
      <c r="K98" s="19"/>
      <c r="L98" s="6">
        <v>1148966000</v>
      </c>
      <c r="M98" s="6">
        <v>80315000</v>
      </c>
      <c r="N98" s="6">
        <f>Tabela3[[#This Row],[Capital Social]]*20%</f>
        <v>0</v>
      </c>
      <c r="O98" s="6">
        <f>IF(([Lucro Líquido]*5%)&gt;[Teto R. Legal],[Teto R. Legal],[Lucro Líquido]*5%)</f>
        <v>0</v>
      </c>
      <c r="P98" s="6">
        <f>IF([Lucro Líquido]&lt;0,0,[Lucro Líquido]-[Reserva Legal])</f>
        <v>80315000</v>
      </c>
      <c r="Q98" s="40">
        <v>92619256</v>
      </c>
      <c r="R98" s="6">
        <f>[Capital Social]/[Total Ações]</f>
        <v>0</v>
      </c>
      <c r="S98" s="13">
        <f>Tabela3[[#This Row],[Lucro Líquido]]/Tabela3[[#This Row],[Total Ações]]</f>
        <v>0.86715229066404942</v>
      </c>
      <c r="T9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8" s="99">
        <f>[Patrimônio Líquido]*[% PNA (PL)]/[Total Ações]</f>
        <v>0</v>
      </c>
      <c r="V98" s="99">
        <f>[Capital Social]*[% PNA (CS)]/[Total Ações]</f>
        <v>0</v>
      </c>
      <c r="W98" s="99">
        <f>MAX(Tabela3[[#This Row],[Div PNA (PL)]],Tabela3[[#This Row],[Div PNA (CS)]])</f>
        <v>0</v>
      </c>
      <c r="X98" s="6">
        <f>[Div. Pref]*[Ações]</f>
        <v>0</v>
      </c>
      <c r="Y98" s="19">
        <f>IF(GETPIVOTDATA("Payout",'Tabela LL'!$A$3,"Ativo",Tabela3[[#This Row],[PAPEL]])&gt;1,1,GETPIVOTDATA("Payout",'Tabela LL'!$A$3,"Ativo",Tabela3[[#This Row],[PAPEL]]))</f>
        <v>0.2386150637582162</v>
      </c>
      <c r="Z98" s="6">
        <f>[Patrimônio Líquido]/[Total Ações]</f>
        <v>12.40526052163494</v>
      </c>
      <c r="AA98" s="50">
        <f>MAX(Tabela3[[#This Row],[Cotação 1]],Tabela3[[#This Row],[Cotação 2]])</f>
        <v>6.55</v>
      </c>
      <c r="AB98" s="46">
        <f>[Cotação]/[VPA]</f>
        <v>0.52800180927895168</v>
      </c>
      <c r="AC98" s="42">
        <f>IF(Tabela3[[#This Row],[Lucro/Ação]]&gt;0,Tabela3[[#This Row],[Cotação]]/(Tabela3[[#This Row],[Lucro/Ação]]/[Ref]*4),0)</f>
        <v>5.6650948776691772</v>
      </c>
      <c r="AD98" s="42">
        <f>IF([Div. Mínimo]=0,0,[Lucro Distribuir]*[Payout]/[Total Ações])</f>
        <v>0</v>
      </c>
      <c r="AE98" s="99">
        <f>IF(AND([Div. Pref]&gt;0,[Div. Mínimo]&gt;0),[Div. Mínimo]+[Div. Pref],IF([Div. Pref]&gt;0,[Div. Pref],IF([Div. Mínimo]&gt;0,[Div. Mínimo],0)))</f>
        <v>0</v>
      </c>
      <c r="AF98" s="99">
        <f>[Lucro Distribuir]/[Total Ações]</f>
        <v>0.86715229066404942</v>
      </c>
      <c r="AG98" s="99">
        <f>IF([Lucro Payout]&gt;[Lucro Dist./Ação],MAX(Tabela3[[#This Row],[Lucro Atual]:[Lucro Dist./Ação]]),MAX(Tabela3[[#This Row],[Lucro Payout]:[Lucro Atual]]))</f>
        <v>0</v>
      </c>
      <c r="AH98" s="15" t="str">
        <f>IF(AND([% A.A.]&gt;=10%,[PVPA]&lt;=2,[PL]&lt;=15,[PL]&gt;0),"Sim","Não")</f>
        <v>Não</v>
      </c>
      <c r="AI98" s="44">
        <f>Tabela3[[#This Row],[Lucro]]/Tabela3[[#This Row],[Cotação]]</f>
        <v>0</v>
      </c>
      <c r="AJ98" s="19">
        <f>((1+Tabela3[[#This Row],[% Yield]])^(1/(3*Tabela3[[#This Row],[Ref]])))^(12)-1</f>
        <v>0</v>
      </c>
      <c r="AK98" s="14">
        <f>($AQ$1/Tabela3[[#This Row],[Cotação]]-MOD($AQ$1/Tabela3[[#This Row],[Cotação]],100))</f>
        <v>0</v>
      </c>
      <c r="AL98" s="17">
        <f>Tabela3[[#This Row],[Ativos]]*Tabela3[[#This Row],[Lucro Atual]]</f>
        <v>0</v>
      </c>
      <c r="AM98" s="13">
        <f>SUMPRODUCT(N(Tabela1[Código]=Tabela3[[#This Row],[PAPEL]]),Tabela1[Fechamento])</f>
        <v>0</v>
      </c>
      <c r="AN98" s="59">
        <f>SUMPRODUCT(N(Tabela17[Código]=Tabela3[[#This Row],[PAPEL]]),Tabela17[Fechamento])</f>
        <v>6.55</v>
      </c>
    </row>
    <row r="99" spans="1:40">
      <c r="A99" s="3" t="s">
        <v>271</v>
      </c>
      <c r="B99" s="14" t="s">
        <v>268</v>
      </c>
      <c r="C99" s="14" t="str">
        <f>LEFT([PAPEL],LEN([PAPEL])-(LEN([PAPEL])-4))</f>
        <v>FESA</v>
      </c>
      <c r="D99" s="16">
        <v>3</v>
      </c>
      <c r="E99" s="5"/>
      <c r="H99" s="16"/>
      <c r="I99" s="18"/>
      <c r="J99" s="18"/>
      <c r="L99" s="5">
        <v>1206918000</v>
      </c>
      <c r="M99" s="5">
        <v>49929000</v>
      </c>
      <c r="N99" s="5">
        <f>Tabela3[[#This Row],[Capital Social]]*20%</f>
        <v>0</v>
      </c>
      <c r="O99" s="5">
        <f>IF(([Lucro Líquido]*5%)&gt;[Teto R. Legal],[Teto R. Legal],[Lucro Líquido]*5%)</f>
        <v>0</v>
      </c>
      <c r="P99" s="5">
        <f>IF([Lucro Líquido]&lt;0,0,[Lucro Líquido]-[Reserva Legal])</f>
        <v>49929000</v>
      </c>
      <c r="Q99" s="21">
        <v>88320000</v>
      </c>
      <c r="R99" s="5">
        <f>[Capital Social]/[Total Ações]</f>
        <v>0</v>
      </c>
      <c r="S99" s="49">
        <f>Tabela3[[#This Row],[Lucro Líquido]]/Tabela3[[#This Row],[Total Ações]]</f>
        <v>0.56531929347826082</v>
      </c>
      <c r="T99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99" s="98">
        <f>[Patrimônio Líquido]*[% PNA (PL)]/[Total Ações]</f>
        <v>0</v>
      </c>
      <c r="V99" s="98">
        <f>[Capital Social]*[% PNA (CS)]/[Total Ações]</f>
        <v>0</v>
      </c>
      <c r="W99" s="98">
        <f>MAX(Tabela3[[#This Row],[Div PNA (PL)]],Tabela3[[#This Row],[Div PNA (CS)]])</f>
        <v>0</v>
      </c>
      <c r="X99" s="5">
        <f>[Div. Pref]*[Ações]</f>
        <v>0</v>
      </c>
      <c r="Y99" s="18">
        <f>IF(GETPIVOTDATA("Payout",'Tabela LL'!$A$3,"Ativo",Tabela3[[#This Row],[PAPEL]])&gt;1,1,GETPIVOTDATA("Payout",'Tabela LL'!$A$3,"Ativo",Tabela3[[#This Row],[PAPEL]]))</f>
        <v>0.22491646614074809</v>
      </c>
      <c r="Z99" s="5">
        <f>[Patrimônio Líquido]/[Total Ações]</f>
        <v>13.665285326086957</v>
      </c>
      <c r="AA99" s="56">
        <f>MAX(Tabela3[[#This Row],[Cotação 1]],Tabela3[[#This Row],[Cotação 2]])</f>
        <v>19</v>
      </c>
      <c r="AB99" s="57">
        <f>[Cotação]/[VPA]</f>
        <v>1.3903844337394917</v>
      </c>
      <c r="AC99" s="39">
        <f>IF(Tabela3[[#This Row],[Lucro/Ação]]&gt;0,Tabela3[[#This Row],[Cotação]]/(Tabela3[[#This Row],[Lucro/Ação]]/[Ref]*4),0)</f>
        <v>25.206993931382566</v>
      </c>
      <c r="AD99" s="39">
        <f>IF([Div. Mínimo]=0,0,[Lucro Distribuir]*[Payout]/[Total Ações])</f>
        <v>0</v>
      </c>
      <c r="AE99" s="98">
        <f>IF(AND([Div. Pref]&gt;0,[Div. Mínimo]&gt;0),[Div. Mínimo]+[Div. Pref],IF([Div. Pref]&gt;0,[Div. Pref],IF([Div. Mínimo]&gt;0,[Div. Mínimo],0)))</f>
        <v>0</v>
      </c>
      <c r="AF99" s="98">
        <f>[Lucro Distribuir]/[Total Ações]</f>
        <v>0.56531929347826082</v>
      </c>
      <c r="AG99" s="98">
        <f>IF([Lucro Payout]&gt;[Lucro Dist./Ação],MAX(Tabela3[[#This Row],[Lucro Atual]:[Lucro Dist./Ação]]),MAX(Tabela3[[#This Row],[Lucro Payout]:[Lucro Atual]]))</f>
        <v>0</v>
      </c>
      <c r="AH99" s="16" t="str">
        <f>IF(AND([% A.A.]&gt;=10%,[PVPA]&lt;=2,[PL]&lt;=15,[PL]&gt;0),"Sim","Não")</f>
        <v>Não</v>
      </c>
      <c r="AI99" s="22">
        <f>Tabela3[[#This Row],[Lucro]]/Tabela3[[#This Row],[Cotação]]</f>
        <v>0</v>
      </c>
      <c r="AJ99" s="18">
        <f>((1+Tabela3[[#This Row],[% Yield]])^(1/(3*Tabela3[[#This Row],[Ref]])))^(12)-1</f>
        <v>0</v>
      </c>
      <c r="AK99" s="10">
        <f>($AQ$1/Tabela3[[#This Row],[Cotação]]-MOD($AQ$1/Tabela3[[#This Row],[Cotação]],100))</f>
        <v>0</v>
      </c>
      <c r="AL99" s="7">
        <f>Tabela3[[#This Row],[Ativos]]*Tabela3[[#This Row],[Lucro Atual]]</f>
        <v>0</v>
      </c>
      <c r="AM99" s="5">
        <f>SUMPRODUCT(N(Tabela1[Código]=Tabela3[[#This Row],[PAPEL]]),Tabela1[Fechamento])</f>
        <v>19</v>
      </c>
      <c r="AN99" s="5">
        <f>SUMPRODUCT(N(Tabela17[Código]=Tabela3[[#This Row],[PAPEL]]),Tabela17[Fechamento])</f>
        <v>0</v>
      </c>
    </row>
    <row r="100" spans="1:40">
      <c r="A100" s="3" t="s">
        <v>271</v>
      </c>
      <c r="B100" s="15" t="s">
        <v>80</v>
      </c>
      <c r="C100" s="15" t="str">
        <f>LEFT([PAPEL],LEN([PAPEL])-(LEN([PAPEL])-4))</f>
        <v>FESA</v>
      </c>
      <c r="D100" s="16">
        <v>3</v>
      </c>
      <c r="E100" s="5"/>
      <c r="H100" s="16"/>
      <c r="I100" s="18"/>
      <c r="J100" s="18"/>
      <c r="L100" s="5">
        <v>1206918000</v>
      </c>
      <c r="M100" s="5">
        <v>49929000</v>
      </c>
      <c r="N100" s="5">
        <f>Tabela3[[#This Row],[Capital Social]]*20%</f>
        <v>0</v>
      </c>
      <c r="O100" s="5">
        <f>IF(([Lucro Líquido]*5%)&gt;[Teto R. Legal],[Teto R. Legal],[Lucro Líquido]*5%)</f>
        <v>0</v>
      </c>
      <c r="P100" s="5">
        <f>IF([Lucro Líquido]&lt;0,0,[Lucro Líquido]-[Reserva Legal])</f>
        <v>49929000</v>
      </c>
      <c r="Q100" s="21">
        <v>88320000</v>
      </c>
      <c r="R100" s="5">
        <f>[Capital Social]/[Total Ações]</f>
        <v>0</v>
      </c>
      <c r="S100" s="49">
        <f>Tabela3[[#This Row],[Lucro Líquido]]/Tabela3[[#This Row],[Total Ações]]</f>
        <v>0.56531929347826082</v>
      </c>
      <c r="T100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0" s="98">
        <f>[Patrimônio Líquido]*[% PNA (PL)]/[Total Ações]</f>
        <v>0</v>
      </c>
      <c r="V100" s="98">
        <f>[Capital Social]*[% PNA (CS)]/[Total Ações]</f>
        <v>0</v>
      </c>
      <c r="W100" s="98">
        <f>MAX(Tabela3[[#This Row],[Div PNA (PL)]],Tabela3[[#This Row],[Div PNA (CS)]])</f>
        <v>0</v>
      </c>
      <c r="X100" s="5">
        <f>[Div. Pref]*[Ações]</f>
        <v>0</v>
      </c>
      <c r="Y100" s="18">
        <f>IF(GETPIVOTDATA("Payout",'Tabela LL'!$A$3,"Ativo",Tabela3[[#This Row],[PAPEL]])&gt;1,1,GETPIVOTDATA("Payout",'Tabela LL'!$A$3,"Ativo",Tabela3[[#This Row],[PAPEL]]))</f>
        <v>0.24741229164584114</v>
      </c>
      <c r="Z100" s="5">
        <f>[Patrimônio Líquido]/[Total Ações]</f>
        <v>13.665285326086957</v>
      </c>
      <c r="AA100" s="56">
        <f>MAX(Tabela3[[#This Row],[Cotação 1]],Tabela3[[#This Row],[Cotação 2]])</f>
        <v>12.35</v>
      </c>
      <c r="AB100" s="57">
        <f>[Cotação]/[VPA]</f>
        <v>0.90374988193066963</v>
      </c>
      <c r="AC100" s="39">
        <f>IF(Tabela3[[#This Row],[Lucro/Ação]]&gt;0,Tabela3[[#This Row],[Cotação]]/(Tabela3[[#This Row],[Lucro/Ação]]/[Ref]*4),0)</f>
        <v>16.384546055398669</v>
      </c>
      <c r="AD100" s="39">
        <f>IF([Div. Mínimo]=0,0,[Lucro Distribuir]*[Payout]/[Total Ações])</f>
        <v>0</v>
      </c>
      <c r="AE100" s="98">
        <f>IF(AND([Div. Pref]&gt;0,[Div. Mínimo]&gt;0),[Div. Mínimo]+[Div. Pref],IF([Div. Pref]&gt;0,[Div. Pref],IF([Div. Mínimo]&gt;0,[Div. Mínimo],0)))</f>
        <v>0</v>
      </c>
      <c r="AF100" s="98">
        <f>[Lucro Distribuir]/[Total Ações]</f>
        <v>0.56531929347826082</v>
      </c>
      <c r="AG100" s="98">
        <f>IF([Lucro Payout]&gt;[Lucro Dist./Ação],MAX(Tabela3[[#This Row],[Lucro Atual]:[Lucro Dist./Ação]]),MAX(Tabela3[[#This Row],[Lucro Payout]:[Lucro Atual]]))</f>
        <v>0</v>
      </c>
      <c r="AH100" s="16" t="str">
        <f>IF(AND([% A.A.]&gt;=10%,[PVPA]&lt;=2,[PL]&lt;=15,[PL]&gt;0),"Sim","Não")</f>
        <v>Não</v>
      </c>
      <c r="AI100" s="22">
        <f>Tabela3[[#This Row],[Lucro]]/Tabela3[[#This Row],[Cotação]]</f>
        <v>0</v>
      </c>
      <c r="AJ100" s="18">
        <f>((1+Tabela3[[#This Row],[% Yield]])^(1/(3*Tabela3[[#This Row],[Ref]])))^(12)-1</f>
        <v>0</v>
      </c>
      <c r="AK100" s="10">
        <f>($AQ$1/Tabela3[[#This Row],[Cotação]]-MOD($AQ$1/Tabela3[[#This Row],[Cotação]],100))</f>
        <v>0</v>
      </c>
      <c r="AL100" s="7">
        <f>Tabela3[[#This Row],[Ativos]]*Tabela3[[#This Row],[Lucro Atual]]</f>
        <v>0</v>
      </c>
      <c r="AM100" s="5">
        <f>SUMPRODUCT(N(Tabela1[Código]=Tabela3[[#This Row],[PAPEL]]),Tabela1[Fechamento])</f>
        <v>12.35</v>
      </c>
      <c r="AN100" s="5">
        <f>SUMPRODUCT(N(Tabela17[Código]=Tabela3[[#This Row],[PAPEL]]),Tabela17[Fechamento])</f>
        <v>0</v>
      </c>
    </row>
    <row r="101" spans="1:40">
      <c r="A101" s="4" t="s">
        <v>12</v>
      </c>
      <c r="B101" s="14" t="s">
        <v>177</v>
      </c>
      <c r="C101" s="14" t="str">
        <f>LEFT([PAPEL],LEN([PAPEL])-(LEN([PAPEL])-4))</f>
        <v>GEPA</v>
      </c>
      <c r="D101" s="15">
        <v>3</v>
      </c>
      <c r="E101" s="6"/>
      <c r="F101" s="8"/>
      <c r="G101" s="19"/>
      <c r="H101" s="15"/>
      <c r="I101" s="19"/>
      <c r="J101" s="19"/>
      <c r="K101" s="19"/>
      <c r="L101" s="6">
        <v>2745488000</v>
      </c>
      <c r="M101" s="6">
        <v>276732000</v>
      </c>
      <c r="N101" s="6">
        <f>Tabela3[[#This Row],[Capital Social]]*20%</f>
        <v>0</v>
      </c>
      <c r="O101" s="6">
        <f>IF(([Lucro Líquido]*5%)&gt;[Teto R. Legal],[Teto R. Legal],[Lucro Líquido]*5%)</f>
        <v>0</v>
      </c>
      <c r="P101" s="6">
        <f>IF([Lucro Líquido]&lt;0,0,[Lucro Líquido]-[Reserva Legal])</f>
        <v>276732000</v>
      </c>
      <c r="Q101" s="40">
        <v>94433283</v>
      </c>
      <c r="R101" s="6">
        <f>[Capital Social]/[Total Ações]</f>
        <v>0</v>
      </c>
      <c r="S101" s="13">
        <f>Tabela3[[#This Row],[Lucro Líquido]]/Tabela3[[#This Row],[Total Ações]]</f>
        <v>2.9304498499750347</v>
      </c>
      <c r="T10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1" s="99">
        <f>[Patrimônio Líquido]*[% PNA (PL)]/[Total Ações]</f>
        <v>0</v>
      </c>
      <c r="V101" s="99">
        <f>[Capital Social]*[% PNA (CS)]/[Total Ações]</f>
        <v>0</v>
      </c>
      <c r="W101" s="99">
        <f>MAX(Tabela3[[#This Row],[Div PNA (PL)]],Tabela3[[#This Row],[Div PNA (CS)]])</f>
        <v>0</v>
      </c>
      <c r="X101" s="6">
        <f>[Div. Pref]*[Ações]</f>
        <v>0</v>
      </c>
      <c r="Y101" s="19">
        <f>IF(GETPIVOTDATA("Payout",'Tabela LL'!$A$3,"Ativo",Tabela3[[#This Row],[PAPEL]])&gt;1,1,GETPIVOTDATA("Payout",'Tabela LL'!$A$3,"Ativo",Tabela3[[#This Row],[PAPEL]]))</f>
        <v>1</v>
      </c>
      <c r="Z101" s="6">
        <f>[Patrimônio Líquido]/[Total Ações]</f>
        <v>29.073308824813388</v>
      </c>
      <c r="AA101" s="50">
        <f>MAX(Tabela3[[#This Row],[Cotação 1]],Tabela3[[#This Row],[Cotação 2]])</f>
        <v>62.04</v>
      </c>
      <c r="AB101" s="46">
        <f>[Cotação]/[VPA]</f>
        <v>2.1339160387224418</v>
      </c>
      <c r="AC101" s="42">
        <f>IF(Tabela3[[#This Row],[Lucro/Ação]]&gt;0,Tabela3[[#This Row],[Cotação]]/(Tabela3[[#This Row],[Lucro/Ação]]/[Ref]*4),0)</f>
        <v>15.878108270781841</v>
      </c>
      <c r="AD101" s="42">
        <f>IF([Div. Mínimo]=0,0,[Lucro Distribuir]*[Payout]/[Total Ações])</f>
        <v>0</v>
      </c>
      <c r="AE101" s="99">
        <f>IF(AND([Div. Pref]&gt;0,[Div. Mínimo]&gt;0),[Div. Mínimo]+[Div. Pref],IF([Div. Pref]&gt;0,[Div. Pref],IF([Div. Mínimo]&gt;0,[Div. Mínimo],0)))</f>
        <v>0</v>
      </c>
      <c r="AF101" s="99">
        <f>[Lucro Distribuir]/[Total Ações]</f>
        <v>2.9304498499750347</v>
      </c>
      <c r="AG101" s="99">
        <f>IF([Lucro Payout]&gt;[Lucro Dist./Ação],MAX(Tabela3[[#This Row],[Lucro Atual]:[Lucro Dist./Ação]]),MAX(Tabela3[[#This Row],[Lucro Payout]:[Lucro Atual]]))</f>
        <v>0</v>
      </c>
      <c r="AH101" s="15" t="str">
        <f>IF(AND([% A.A.]&gt;=10%,[PVPA]&lt;=2,[PL]&lt;=15,[PL]&gt;0),"Sim","Não")</f>
        <v>Não</v>
      </c>
      <c r="AI101" s="44">
        <f>Tabela3[[#This Row],[Lucro]]/Tabela3[[#This Row],[Cotação]]</f>
        <v>0</v>
      </c>
      <c r="AJ101" s="19">
        <f>((1+Tabela3[[#This Row],[% Yield]])^(1/(3*Tabela3[[#This Row],[Ref]])))^(12)-1</f>
        <v>0</v>
      </c>
      <c r="AK101" s="14">
        <f>($AQ$1/Tabela3[[#This Row],[Cotação]]-MOD($AQ$1/Tabela3[[#This Row],[Cotação]],100))</f>
        <v>0</v>
      </c>
      <c r="AL101" s="17">
        <f>Tabela3[[#This Row],[Ativos]]*Tabela3[[#This Row],[Lucro Atual]]</f>
        <v>0</v>
      </c>
      <c r="AM101" s="5">
        <f>SUMPRODUCT(N(Tabela1[Código]=Tabela3[[#This Row],[PAPEL]]),Tabela1[Fechamento])</f>
        <v>62.04</v>
      </c>
      <c r="AN101" s="5">
        <f>SUMPRODUCT(N(Tabela17[Código]=Tabela3[[#This Row],[PAPEL]]),Tabela17[Fechamento])</f>
        <v>0</v>
      </c>
    </row>
    <row r="102" spans="1:40">
      <c r="A102" s="25" t="s">
        <v>12</v>
      </c>
      <c r="B102" s="15" t="s">
        <v>38</v>
      </c>
      <c r="C102" s="15" t="str">
        <f>LEFT([PAPEL],LEN([PAPEL])-(LEN([PAPEL])-4))</f>
        <v>GEPA</v>
      </c>
      <c r="D102" s="15">
        <v>3</v>
      </c>
      <c r="E102" s="6"/>
      <c r="F102" s="8"/>
      <c r="G102" s="19"/>
      <c r="H102" s="15"/>
      <c r="I102" s="19"/>
      <c r="J102" s="19"/>
      <c r="K102" s="19"/>
      <c r="L102" s="30">
        <v>2745488000</v>
      </c>
      <c r="M102" s="30">
        <v>276732000</v>
      </c>
      <c r="N102" s="30">
        <f>Tabela3[[#This Row],[Capital Social]]*20%</f>
        <v>0</v>
      </c>
      <c r="O102" s="30">
        <f>IF(([Lucro Líquido]*5%)&gt;[Teto R. Legal],[Teto R. Legal],[Lucro Líquido]*5%)</f>
        <v>0</v>
      </c>
      <c r="P102" s="30">
        <f>IF([Lucro Líquido]&lt;0,0,[Lucro Líquido]-[Reserva Legal])</f>
        <v>276732000</v>
      </c>
      <c r="Q102" s="28">
        <v>94433283</v>
      </c>
      <c r="R102" s="30">
        <f>[Capital Social]/[Total Ações]</f>
        <v>0</v>
      </c>
      <c r="S102" s="108">
        <f>Tabela3[[#This Row],[Lucro Líquido]]/Tabela3[[#This Row],[Total Ações]]</f>
        <v>2.9304498499750347</v>
      </c>
      <c r="T102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2" s="100">
        <f>[Patrimônio Líquido]*[% PNA (PL)]/[Total Ações]</f>
        <v>0</v>
      </c>
      <c r="V102" s="100">
        <f>[Capital Social]*[% PNA (CS)]/[Total Ações]</f>
        <v>0</v>
      </c>
      <c r="W102" s="100">
        <f>MAX(Tabela3[[#This Row],[Div PNA (PL)]],Tabela3[[#This Row],[Div PNA (CS)]])</f>
        <v>0</v>
      </c>
      <c r="X102" s="30">
        <f>[Div. Pref]*[Ações]</f>
        <v>0</v>
      </c>
      <c r="Y102" s="51">
        <f>IF(GETPIVOTDATA("Payout",'Tabela LL'!$A$3,"Ativo",Tabela3[[#This Row],[PAPEL]])&gt;1,1,GETPIVOTDATA("Payout",'Tabela LL'!$A$3,"Ativo",Tabela3[[#This Row],[PAPEL]]))</f>
        <v>1</v>
      </c>
      <c r="Z102" s="30">
        <f>[Patrimônio Líquido]/[Total Ações]</f>
        <v>29.073308824813388</v>
      </c>
      <c r="AA102" s="31">
        <f>MAX(Tabela3[[#This Row],[Cotação 1]],Tabela3[[#This Row],[Cotação 2]])</f>
        <v>61.99</v>
      </c>
      <c r="AB102" s="32">
        <f>[Cotação]/[VPA]</f>
        <v>2.1321962482334653</v>
      </c>
      <c r="AC102" s="37">
        <f>IF(Tabela3[[#This Row],[Lucro/Ação]]&gt;0,Tabela3[[#This Row],[Cotação]]/(Tabela3[[#This Row],[Lucro/Ação]]/[Ref]*4),0)</f>
        <v>15.865311600673216</v>
      </c>
      <c r="AD102" s="37">
        <f>IF([Div. Mínimo]=0,0,[Lucro Distribuir]*[Payout]/[Total Ações])</f>
        <v>0</v>
      </c>
      <c r="AE102" s="99">
        <f>IF(AND([Div. Pref]&gt;0,[Div. Mínimo]&gt;0),[Div. Mínimo]+[Div. Pref],IF([Div. Pref]&gt;0,[Div. Pref],IF([Div. Mínimo]&gt;0,[Div. Mínimo],0)))</f>
        <v>0</v>
      </c>
      <c r="AF102" s="99">
        <f>[Lucro Distribuir]/[Total Ações]</f>
        <v>2.9304498499750347</v>
      </c>
      <c r="AG102" s="99">
        <f>IF([Lucro Payout]&gt;[Lucro Dist./Ação],MAX(Tabela3[[#This Row],[Lucro Atual]:[Lucro Dist./Ação]]),MAX(Tabela3[[#This Row],[Lucro Payout]:[Lucro Atual]]))</f>
        <v>0</v>
      </c>
      <c r="AH102" s="26" t="str">
        <f>IF(AND([% A.A.]&gt;=10%,[PVPA]&lt;=2,[PL]&lt;=15,[PL]&gt;0),"Sim","Não")</f>
        <v>Não</v>
      </c>
      <c r="AI102" s="29">
        <f>Tabela3[[#This Row],[Lucro]]/Tabela3[[#This Row],[Cotação]]</f>
        <v>0</v>
      </c>
      <c r="AJ102" s="52">
        <f>((1+Tabela3[[#This Row],[% Yield]])^(1/(3*Tabela3[[#This Row],[Ref]])))^(12)-1</f>
        <v>0</v>
      </c>
      <c r="AK102" s="10">
        <f>($AQ$1/Tabela3[[#This Row],[Cotação]]-MOD($AQ$1/Tabela3[[#This Row],[Cotação]],100))</f>
        <v>0</v>
      </c>
      <c r="AL102" s="7">
        <f>Tabela3[[#This Row],[Ativos]]*Tabela3[[#This Row],[Lucro Atual]]</f>
        <v>0</v>
      </c>
      <c r="AM102" s="5">
        <f>SUMPRODUCT(N(Tabela1[Código]=Tabela3[[#This Row],[PAPEL]]),Tabela1[Fechamento])</f>
        <v>61.99</v>
      </c>
      <c r="AN102" s="5">
        <f>SUMPRODUCT(N(Tabela17[Código]=Tabela3[[#This Row],[PAPEL]]),Tabela17[Fechamento])</f>
        <v>0</v>
      </c>
    </row>
    <row r="103" spans="1:40">
      <c r="A103" s="25" t="s">
        <v>12</v>
      </c>
      <c r="B103" s="15" t="s">
        <v>29</v>
      </c>
      <c r="C103" s="15" t="str">
        <f>LEFT([PAPEL],LEN([PAPEL])-(LEN([PAPEL])-4))</f>
        <v>GETI</v>
      </c>
      <c r="D103" s="16">
        <v>3</v>
      </c>
      <c r="E103" s="18"/>
      <c r="H103" s="16"/>
      <c r="I103" s="18"/>
      <c r="J103" s="18"/>
      <c r="L103" s="30">
        <v>1813045000</v>
      </c>
      <c r="M103" s="30">
        <v>650993000</v>
      </c>
      <c r="N103" s="30">
        <f>Tabela3[[#This Row],[Capital Social]]*20%</f>
        <v>0</v>
      </c>
      <c r="O103" s="30">
        <f>IF(([Lucro Líquido]*5%)&gt;[Teto R. Legal],[Teto R. Legal],[Lucro Líquido]*5%)</f>
        <v>0</v>
      </c>
      <c r="P103" s="30">
        <f>IF([Lucro Líquido]&lt;0,0,[Lucro Líquido]-[Reserva Legal])</f>
        <v>650993000</v>
      </c>
      <c r="Q103" s="28">
        <v>381253493</v>
      </c>
      <c r="R103" s="30">
        <f>[Capital Social]/[Total Ações]</f>
        <v>0</v>
      </c>
      <c r="S103" s="108">
        <f>Tabela3[[#This Row],[Lucro Líquido]]/Tabela3[[#This Row],[Total Ações]]</f>
        <v>1.7075069788278634</v>
      </c>
      <c r="T103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3" s="100">
        <f>[Patrimônio Líquido]*[% PNA (PL)]/[Total Ações]</f>
        <v>0</v>
      </c>
      <c r="V103" s="100">
        <f>[Capital Social]*[% PNA (CS)]/[Total Ações]</f>
        <v>0</v>
      </c>
      <c r="W103" s="100">
        <f>MAX(Tabela3[[#This Row],[Div PNA (PL)]],Tabela3[[#This Row],[Div PNA (CS)]])</f>
        <v>0</v>
      </c>
      <c r="X103" s="30">
        <f>[Div. Pref]*[Ações]</f>
        <v>0</v>
      </c>
      <c r="Y103" s="51">
        <f>IF(GETPIVOTDATA("Payout",'Tabela LL'!$A$3,"Ativo",Tabela3[[#This Row],[PAPEL]])&gt;1,1,GETPIVOTDATA("Payout",'Tabela LL'!$A$3,"Ativo",Tabela3[[#This Row],[PAPEL]]))</f>
        <v>1</v>
      </c>
      <c r="Z103" s="30">
        <f>[Patrimônio Líquido]/[Total Ações]</f>
        <v>4.7554842992612265</v>
      </c>
      <c r="AA103" s="31">
        <f>MAX(Tabela3[[#This Row],[Cotação 1]],Tabela3[[#This Row],[Cotação 2]])</f>
        <v>17.47</v>
      </c>
      <c r="AB103" s="32">
        <f>[Cotação]/[VPA]</f>
        <v>3.6736531761263507</v>
      </c>
      <c r="AC103" s="37">
        <f>IF(Tabela3[[#This Row],[Lucro/Ação]]&gt;0,Tabela3[[#This Row],[Cotação]]/(Tabela3[[#This Row],[Lucro/Ação]]/[Ref]*4),0)</f>
        <v>7.6734679052347721</v>
      </c>
      <c r="AD103" s="37">
        <f>IF([Div. Mínimo]=0,0,[Lucro Distribuir]*[Payout]/[Total Ações])</f>
        <v>0</v>
      </c>
      <c r="AE103" s="99">
        <f>IF(AND([Div. Pref]&gt;0,[Div. Mínimo]&gt;0),[Div. Mínimo]+[Div. Pref],IF([Div. Pref]&gt;0,[Div. Pref],IF([Div. Mínimo]&gt;0,[Div. Mínimo],0)))</f>
        <v>0</v>
      </c>
      <c r="AF103" s="99">
        <f>[Lucro Distribuir]/[Total Ações]</f>
        <v>1.7075069788278634</v>
      </c>
      <c r="AG103" s="99">
        <f>IF([Lucro Payout]&gt;[Lucro Dist./Ação],MAX(Tabela3[[#This Row],[Lucro Atual]:[Lucro Dist./Ação]]),MAX(Tabela3[[#This Row],[Lucro Payout]:[Lucro Atual]]))</f>
        <v>0</v>
      </c>
      <c r="AH103" s="26" t="str">
        <f>IF(AND([% A.A.]&gt;=10%,[PVPA]&lt;=2,[PL]&lt;=15,[PL]&gt;0),"Sim","Não")</f>
        <v>Não</v>
      </c>
      <c r="AI103" s="29">
        <f>Tabela3[[#This Row],[Lucro]]/Tabela3[[#This Row],[Cotação]]</f>
        <v>0</v>
      </c>
      <c r="AJ103" s="52">
        <f>((1+Tabela3[[#This Row],[% Yield]])^(1/(3*Tabela3[[#This Row],[Ref]])))^(12)-1</f>
        <v>0</v>
      </c>
      <c r="AK103" s="10">
        <f>($AQ$1/Tabela3[[#This Row],[Cotação]]-MOD($AQ$1/Tabela3[[#This Row],[Cotação]],100))</f>
        <v>0</v>
      </c>
      <c r="AL103" s="7">
        <f>Tabela3[[#This Row],[Ativos]]*Tabela3[[#This Row],[Lucro Atual]]</f>
        <v>0</v>
      </c>
      <c r="AM103" s="5">
        <f>SUMPRODUCT(N(Tabela1[Código]=Tabela3[[#This Row],[PAPEL]]),Tabela1[Fechamento])</f>
        <v>17.47</v>
      </c>
      <c r="AN103" s="5">
        <f>SUMPRODUCT(N(Tabela17[Código]=Tabela3[[#This Row],[PAPEL]]),Tabela17[Fechamento])</f>
        <v>0</v>
      </c>
    </row>
    <row r="104" spans="1:40">
      <c r="A104" s="25" t="s">
        <v>12</v>
      </c>
      <c r="B104" s="15" t="s">
        <v>33</v>
      </c>
      <c r="C104" s="15" t="str">
        <f>LEFT([PAPEL],LEN([PAPEL])-(LEN([PAPEL])-4))</f>
        <v>GETI</v>
      </c>
      <c r="D104" s="15">
        <v>3</v>
      </c>
      <c r="E104" s="6"/>
      <c r="F104" s="8"/>
      <c r="G104" s="19"/>
      <c r="H104" s="15"/>
      <c r="I104" s="19"/>
      <c r="J104" s="19"/>
      <c r="K104" s="19"/>
      <c r="L104" s="30">
        <v>1813045000</v>
      </c>
      <c r="M104" s="30">
        <v>650993000</v>
      </c>
      <c r="N104" s="30">
        <f>Tabela3[[#This Row],[Capital Social]]*20%</f>
        <v>0</v>
      </c>
      <c r="O104" s="30">
        <f>IF(([Lucro Líquido]*5%)&gt;[Teto R. Legal],[Teto R. Legal],[Lucro Líquido]*5%)</f>
        <v>0</v>
      </c>
      <c r="P104" s="30">
        <f>IF([Lucro Líquido]&lt;0,0,[Lucro Líquido]-[Reserva Legal])</f>
        <v>650993000</v>
      </c>
      <c r="Q104" s="28">
        <v>381253493</v>
      </c>
      <c r="R104" s="30">
        <f>[Capital Social]/[Total Ações]</f>
        <v>0</v>
      </c>
      <c r="S104" s="108">
        <f>Tabela3[[#This Row],[Lucro Líquido]]/Tabela3[[#This Row],[Total Ações]]</f>
        <v>1.7075069788278634</v>
      </c>
      <c r="T104" s="100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4" s="100">
        <f>[Patrimônio Líquido]*[% PNA (PL)]/[Total Ações]</f>
        <v>0</v>
      </c>
      <c r="V104" s="100">
        <f>[Capital Social]*[% PNA (CS)]/[Total Ações]</f>
        <v>0</v>
      </c>
      <c r="W104" s="100">
        <f>MAX(Tabela3[[#This Row],[Div PNA (PL)]],Tabela3[[#This Row],[Div PNA (CS)]])</f>
        <v>0</v>
      </c>
      <c r="X104" s="30">
        <f>[Div. Pref]*[Ações]</f>
        <v>0</v>
      </c>
      <c r="Y104" s="51">
        <f>IF(GETPIVOTDATA("Payout",'Tabela LL'!$A$3,"Ativo",Tabela3[[#This Row],[PAPEL]])&gt;1,1,GETPIVOTDATA("Payout",'Tabela LL'!$A$3,"Ativo",Tabela3[[#This Row],[PAPEL]]))</f>
        <v>1</v>
      </c>
      <c r="Z104" s="30">
        <f>[Patrimônio Líquido]/[Total Ações]</f>
        <v>4.7554842992612265</v>
      </c>
      <c r="AA104" s="31">
        <f>MAX(Tabela3[[#This Row],[Cotação 1]],Tabela3[[#This Row],[Cotação 2]])</f>
        <v>19.29</v>
      </c>
      <c r="AB104" s="32">
        <f>[Cotação]/[VPA]</f>
        <v>4.0563691910404875</v>
      </c>
      <c r="AC104" s="37">
        <f>IF(Tabela3[[#This Row],[Lucro/Ação]]&gt;0,Tabela3[[#This Row],[Cotação]]/(Tabela3[[#This Row],[Lucro/Ação]]/[Ref]*4),0)</f>
        <v>8.472878986375429</v>
      </c>
      <c r="AD104" s="37">
        <f>IF([Div. Mínimo]=0,0,[Lucro Distribuir]*[Payout]/[Total Ações])</f>
        <v>0</v>
      </c>
      <c r="AE104" s="99">
        <f>IF(AND([Div. Pref]&gt;0,[Div. Mínimo]&gt;0),[Div. Mínimo]+[Div. Pref],IF([Div. Pref]&gt;0,[Div. Pref],IF([Div. Mínimo]&gt;0,[Div. Mínimo],0)))</f>
        <v>0</v>
      </c>
      <c r="AF104" s="99">
        <f>[Lucro Distribuir]/[Total Ações]</f>
        <v>1.7075069788278634</v>
      </c>
      <c r="AG104" s="99">
        <f>IF([Lucro Payout]&gt;[Lucro Dist./Ação],MAX(Tabela3[[#This Row],[Lucro Atual]:[Lucro Dist./Ação]]),MAX(Tabela3[[#This Row],[Lucro Payout]:[Lucro Atual]]))</f>
        <v>0</v>
      </c>
      <c r="AH104" s="26" t="str">
        <f>IF(AND([% A.A.]&gt;=10%,[PVPA]&lt;=2,[PL]&lt;=15,[PL]&gt;0),"Sim","Não")</f>
        <v>Não</v>
      </c>
      <c r="AI104" s="29">
        <f>Tabela3[[#This Row],[Lucro]]/Tabela3[[#This Row],[Cotação]]</f>
        <v>0</v>
      </c>
      <c r="AJ104" s="52">
        <f>((1+Tabela3[[#This Row],[% Yield]])^(1/(3*Tabela3[[#This Row],[Ref]])))^(12)-1</f>
        <v>0</v>
      </c>
      <c r="AK104" s="10">
        <f>($AQ$1/Tabela3[[#This Row],[Cotação]]-MOD($AQ$1/Tabela3[[#This Row],[Cotação]],100))</f>
        <v>0</v>
      </c>
      <c r="AL104" s="7">
        <f>Tabela3[[#This Row],[Ativos]]*Tabela3[[#This Row],[Lucro Atual]]</f>
        <v>0</v>
      </c>
      <c r="AM104" s="5">
        <f>SUMPRODUCT(N(Tabela1[Código]=Tabela3[[#This Row],[PAPEL]]),Tabela1[Fechamento])</f>
        <v>19.29</v>
      </c>
      <c r="AN104" s="5">
        <f>SUMPRODUCT(N(Tabela17[Código]=Tabela3[[#This Row],[PAPEL]]),Tabela17[Fechamento])</f>
        <v>0</v>
      </c>
    </row>
    <row r="105" spans="1:40">
      <c r="A105" s="4" t="s">
        <v>12</v>
      </c>
      <c r="B105" s="68" t="s">
        <v>188</v>
      </c>
      <c r="C105" s="14" t="str">
        <f>LEFT([PAPEL],LEN([PAPEL])-(LEN([PAPEL])-4))</f>
        <v>GTDP</v>
      </c>
      <c r="D105" s="15">
        <v>3</v>
      </c>
      <c r="E105" s="6">
        <v>9056481.0600000005</v>
      </c>
      <c r="F105" s="8">
        <v>84761786</v>
      </c>
      <c r="G105" s="19">
        <v>0.25</v>
      </c>
      <c r="H105" s="15"/>
      <c r="I105" s="19"/>
      <c r="J105" s="19"/>
      <c r="K105" s="19"/>
      <c r="L105" s="6">
        <v>20809000</v>
      </c>
      <c r="M105" s="6">
        <v>1860000</v>
      </c>
      <c r="N105" s="6">
        <f>Tabela3[[#This Row],[Capital Social]]*20%</f>
        <v>1811296.2120000003</v>
      </c>
      <c r="O105" s="6">
        <f>IF(([Lucro Líquido]*5%)&gt;[Teto R. Legal],[Teto R. Legal],[Lucro Líquido]*5%)</f>
        <v>93000</v>
      </c>
      <c r="P105" s="6">
        <f>IF([Lucro Líquido]&lt;0,0,[Lucro Líquido]-[Reserva Legal])</f>
        <v>1767000</v>
      </c>
      <c r="Q105" s="21">
        <f>SUMPRODUCT(N([Nome]=Tabela3[[#This Row],[Nome]]),[Ações])</f>
        <v>166355563</v>
      </c>
      <c r="R105" s="6">
        <f>[Capital Social]/[Total Ações]</f>
        <v>5.4440506206576332E-2</v>
      </c>
      <c r="S105" s="13">
        <f>Tabela3[[#This Row],[Lucro Líquido]]/Tabela3[[#This Row],[Total Ações]]</f>
        <v>1.1180870458777505E-2</v>
      </c>
      <c r="T10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2.5728353773263961E-3</v>
      </c>
      <c r="U105" s="99">
        <f>[Patrimônio Líquido]*[% PNA (PL)]/[Total Ações]</f>
        <v>0</v>
      </c>
      <c r="V105" s="99">
        <f>[Capital Social]*[% PNA (CS)]/[Total Ações]</f>
        <v>0</v>
      </c>
      <c r="W105" s="99">
        <f>MAX(Tabela3[[#This Row],[Div PNA (PL)]],Tabela3[[#This Row],[Div PNA (CS)]])</f>
        <v>0</v>
      </c>
      <c r="X105" s="6">
        <f>[Div. Pref]*[Ações]</f>
        <v>0</v>
      </c>
      <c r="Y105" s="19">
        <f>IF(GETPIVOTDATA("Payout",'Tabela LL'!$A$3,"Ativo",Tabela3[[#This Row],[PAPEL]])&gt;1,1,GETPIVOTDATA("Payout",'Tabela LL'!$A$3,"Ativo",Tabela3[[#This Row],[PAPEL]]))</f>
        <v>0.74850005072085457</v>
      </c>
      <c r="Z105" s="6">
        <f>[Patrimônio Líquido]/[Total Ações]</f>
        <v>0.12508749106274253</v>
      </c>
      <c r="AA105" s="50">
        <f>MAX(Tabela3[[#This Row],[Cotação 1]],Tabela3[[#This Row],[Cotação 2]])</f>
        <v>0.12</v>
      </c>
      <c r="AB105" s="46">
        <f>[Cotação]/[VPA]</f>
        <v>0.95932853861309997</v>
      </c>
      <c r="AC105" s="42">
        <f>IF(Tabela3[[#This Row],[Lucro/Ação]]&gt;0,Tabela3[[#This Row],[Cotação]]/(Tabela3[[#This Row],[Lucro/Ação]]/[Ref]*4),0)</f>
        <v>8.0494627258064515</v>
      </c>
      <c r="AD105" s="42">
        <f>IF([Div. Mínimo]=0,0,[Lucro Distribuir]*[Payout]/[Total Ações])</f>
        <v>7.9504380002233532E-3</v>
      </c>
      <c r="AE105" s="99">
        <f>IF(AND([Div. Pref]&gt;0,[Div. Mínimo]&gt;0),[Div. Mínimo]+[Div. Pref],IF([Div. Pref]&gt;0,[Div. Pref],IF([Div. Mínimo]&gt;0,[Div. Mínimo],0)))</f>
        <v>2.5728353773263961E-3</v>
      </c>
      <c r="AF105" s="99">
        <f>[Lucro Distribuir]/[Total Ações]</f>
        <v>1.062182693583863E-2</v>
      </c>
      <c r="AG105" s="99">
        <f>IF([Lucro Payout]&gt;[Lucro Dist./Ação],MAX(Tabela3[[#This Row],[Lucro Atual]:[Lucro Dist./Ação]]),MAX(Tabela3[[#This Row],[Lucro Payout]:[Lucro Atual]]))</f>
        <v>7.9504380002233532E-3</v>
      </c>
      <c r="AH105" s="15" t="str">
        <f>IF(AND([% A.A.]&gt;=10%,[PVPA]&lt;=2,[PL]&lt;=15,[PL]&gt;0),"Sim","Não")</f>
        <v>Não</v>
      </c>
      <c r="AI105" s="44">
        <f>Tabela3[[#This Row],[Lucro]]/Tabela3[[#This Row],[Cotação]]</f>
        <v>6.6253650001861286E-2</v>
      </c>
      <c r="AJ105" s="19">
        <f>((1+Tabela3[[#This Row],[% Yield]])^(1/(3*Tabela3[[#This Row],[Ref]])))^(12)-1</f>
        <v>8.929967604532707E-2</v>
      </c>
      <c r="AK105" s="14">
        <f>($AQ$1/Tabela3[[#This Row],[Cotação]]-MOD($AQ$1/Tabela3[[#This Row],[Cotação]],100))</f>
        <v>2500</v>
      </c>
      <c r="AL105" s="17">
        <f>Tabela3[[#This Row],[Ativos]]*Tabela3[[#This Row],[Lucro Atual]]</f>
        <v>6.4320884433159904</v>
      </c>
      <c r="AM105" s="5">
        <f>SUMPRODUCT(N(Tabela1[Código]=Tabela3[[#This Row],[PAPEL]]),Tabela1[Fechamento])</f>
        <v>0.12</v>
      </c>
      <c r="AN105" s="5">
        <f>SUMPRODUCT(N(Tabela17[Código]=Tabela3[[#This Row],[PAPEL]]),Tabela17[Fechamento])</f>
        <v>0</v>
      </c>
    </row>
    <row r="106" spans="1:40">
      <c r="A106" s="4" t="s">
        <v>12</v>
      </c>
      <c r="B106" s="68" t="s">
        <v>189</v>
      </c>
      <c r="C106" s="104" t="str">
        <f>LEFT([PAPEL],LEN([PAPEL])-(LEN([PAPEL])-4))</f>
        <v>GTDP</v>
      </c>
      <c r="D106" s="15">
        <v>3</v>
      </c>
      <c r="E106" s="6">
        <v>9056481.0600000005</v>
      </c>
      <c r="F106" s="8">
        <v>81593777</v>
      </c>
      <c r="G106" s="19">
        <v>0.25</v>
      </c>
      <c r="H106" s="19"/>
      <c r="I106" s="19"/>
      <c r="J106" s="19"/>
      <c r="K106" s="19">
        <v>0.1</v>
      </c>
      <c r="L106" s="6">
        <v>20809000</v>
      </c>
      <c r="M106" s="6">
        <v>1860000</v>
      </c>
      <c r="N106" s="6">
        <f>Tabela3[[#This Row],[Capital Social]]*20%</f>
        <v>1811296.2120000003</v>
      </c>
      <c r="O106" s="6">
        <f>IF(([Lucro Líquido]*5%)&gt;[Teto R. Legal],[Teto R. Legal],[Lucro Líquido]*5%)</f>
        <v>93000</v>
      </c>
      <c r="P106" s="6">
        <f>IF([Lucro Líquido]&lt;0,0,[Lucro Líquido]-[Reserva Legal])</f>
        <v>1767000</v>
      </c>
      <c r="Q106" s="21">
        <f>SUMPRODUCT(N([Nome]=Tabela3[[#This Row],[Nome]]),[Ações])</f>
        <v>166355563</v>
      </c>
      <c r="R106" s="6">
        <f>[Capital Social]/[Total Ações]</f>
        <v>5.4440506206576332E-2</v>
      </c>
      <c r="S106" s="13">
        <f>Tabela3[[#This Row],[Lucro Líquido]]/Tabela3[[#This Row],[Total Ações]]</f>
        <v>1.1180870458777505E-2</v>
      </c>
      <c r="T10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2.8301189189360023E-3</v>
      </c>
      <c r="U106" s="99">
        <f>[Patrimônio Líquido]*[% PNA (PL)]/[Total Ações]</f>
        <v>0</v>
      </c>
      <c r="V106" s="99">
        <f>[Capital Social]*[% PNA (CS)]/[Total Ações]</f>
        <v>0</v>
      </c>
      <c r="W106" s="99">
        <f>MAX(Tabela3[[#This Row],[Div PNA (PL)]],Tabela3[[#This Row],[Div PNA (CS)]])</f>
        <v>0</v>
      </c>
      <c r="X106" s="6">
        <f>[Div. Pref]*[Ações]</f>
        <v>0</v>
      </c>
      <c r="Y106" s="19">
        <f>IF(GETPIVOTDATA("Payout",'Tabela LL'!$A$3,"Ativo",Tabela3[[#This Row],[PAPEL]])&gt;1,1,GETPIVOTDATA("Payout",'Tabela LL'!$A$3,"Ativo",Tabela3[[#This Row],[PAPEL]]))</f>
        <v>0.8237247935120684</v>
      </c>
      <c r="Z106" s="6">
        <f>[Patrimônio Líquido]/[Total Ações]</f>
        <v>0.12508749106274253</v>
      </c>
      <c r="AA106" s="50">
        <f>MAX(Tabela3[[#This Row],[Cotação 1]],Tabela3[[#This Row],[Cotação 2]])</f>
        <v>0.12</v>
      </c>
      <c r="AB106" s="46">
        <f>[Cotação]/[VPA]</f>
        <v>0.95932853861309997</v>
      </c>
      <c r="AC106" s="42">
        <f>IF(Tabela3[[#This Row],[Lucro/Ação]]&gt;0,Tabela3[[#This Row],[Cotação]]/(Tabela3[[#This Row],[Lucro/Ação]]/[Ref]*4),0)</f>
        <v>8.0494627258064515</v>
      </c>
      <c r="AD106" s="96">
        <f>IF([Div. Mínimo]=0,0,[Lucro Distribuir]*[Payout]/[Total Ações])</f>
        <v>8.749462199444601E-3</v>
      </c>
      <c r="AE106" s="99">
        <f>IF(AND([Div. Pref]&gt;0,[Div. Mínimo]&gt;0),[Div. Mínimo]+[Div. Pref],IF([Div. Pref]&gt;0,[Div. Pref],IF([Div. Mínimo]&gt;0,[Div. Mínimo],0)))</f>
        <v>2.8301189189360023E-3</v>
      </c>
      <c r="AF106" s="99">
        <f>[Lucro Distribuir]/[Total Ações]</f>
        <v>1.062182693583863E-2</v>
      </c>
      <c r="AG106" s="99">
        <f>IF([Lucro Payout]&gt;[Lucro Dist./Ação],MAX(Tabela3[[#This Row],[Lucro Atual]:[Lucro Dist./Ação]]),MAX(Tabela3[[#This Row],[Lucro Payout]:[Lucro Atual]]))</f>
        <v>8.749462199444601E-3</v>
      </c>
      <c r="AH106" s="15" t="str">
        <f>IF(AND([% A.A.]&gt;=10%,[PVPA]&lt;=2,[PL]&lt;=15,[PL]&gt;0),"Sim","Não")</f>
        <v>Não</v>
      </c>
      <c r="AI106" s="44">
        <f>Tabela3[[#This Row],[Lucro]]/Tabela3[[#This Row],[Cotação]]</f>
        <v>7.2912184995371679E-2</v>
      </c>
      <c r="AJ106" s="19">
        <f>((1+Tabela3[[#This Row],[% Yield]])^(1/(3*Tabela3[[#This Row],[Ref]])))^(12)-1</f>
        <v>9.8379039883372155E-2</v>
      </c>
      <c r="AK106" s="14">
        <f>($AQ$1/Tabela3[[#This Row],[Cotação]]-MOD($AQ$1/Tabela3[[#This Row],[Cotação]],100))</f>
        <v>2500</v>
      </c>
      <c r="AL106" s="17">
        <f>Tabela3[[#This Row],[Ativos]]*Tabela3[[#This Row],[Lucro Atual]]</f>
        <v>7.0752972973400059</v>
      </c>
      <c r="AM106" s="5">
        <f>SUMPRODUCT(N(Tabela1[Código]=Tabela3[[#This Row],[PAPEL]]),Tabela1[Fechamento])</f>
        <v>0.12</v>
      </c>
      <c r="AN106" s="5">
        <f>SUMPRODUCT(N(Tabela17[Código]=Tabela3[[#This Row],[PAPEL]]),Tabela17[Fechamento])</f>
        <v>0</v>
      </c>
    </row>
    <row r="107" spans="1:40">
      <c r="A107" s="3" t="s">
        <v>331</v>
      </c>
      <c r="B107" s="69" t="s">
        <v>338</v>
      </c>
      <c r="C107" s="105" t="str">
        <f>LEFT([PAPEL],LEN([PAPEL])-(LEN([PAPEL])-4))</f>
        <v>HBTS</v>
      </c>
      <c r="D107" s="16">
        <v>3</v>
      </c>
      <c r="E107" s="5"/>
      <c r="H107" s="16"/>
      <c r="I107" s="18"/>
      <c r="J107" s="18"/>
      <c r="L107" s="5">
        <v>500173000</v>
      </c>
      <c r="M107" s="5">
        <v>5129000</v>
      </c>
      <c r="N107" s="5">
        <f>Tabela3[[#This Row],[Capital Social]]*20%</f>
        <v>0</v>
      </c>
      <c r="O107" s="5">
        <f>IF(([Lucro Líquido]*5%)&gt;[Teto R. Legal],[Teto R. Legal],[Lucro Líquido]*5%)</f>
        <v>0</v>
      </c>
      <c r="P107" s="5">
        <f>IF([Lucro Líquido]&lt;0,0,[Lucro Líquido]-[Reserva Legal])</f>
        <v>5129000</v>
      </c>
      <c r="Q107" s="21">
        <v>9133687</v>
      </c>
      <c r="R107" s="5">
        <f>[Capital Social]/[Total Ações]</f>
        <v>0</v>
      </c>
      <c r="S107" s="49">
        <f>Tabela3[[#This Row],[Lucro Líquido]]/Tabela3[[#This Row],[Total Ações]]</f>
        <v>0.56154759846708124</v>
      </c>
      <c r="T107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7" s="98">
        <f>[Patrimônio Líquido]*[% PNA (PL)]/[Total Ações]</f>
        <v>0</v>
      </c>
      <c r="V107" s="98">
        <f>[Capital Social]*[% PNA (CS)]/[Total Ações]</f>
        <v>0</v>
      </c>
      <c r="W107" s="98">
        <f>MAX(Tabela3[[#This Row],[Div PNA (PL)]],Tabela3[[#This Row],[Div PNA (CS)]])</f>
        <v>0</v>
      </c>
      <c r="X107" s="5">
        <f>[Div. Pref]*[Ações]</f>
        <v>0</v>
      </c>
      <c r="Y107" s="18">
        <f>IF(GETPIVOTDATA("Payout",'Tabela LL'!$A$3,"Ativo",Tabela3[[#This Row],[PAPEL]])&gt;1,1,GETPIVOTDATA("Payout",'Tabela LL'!$A$3,"Ativo",Tabela3[[#This Row],[PAPEL]]))</f>
        <v>1</v>
      </c>
      <c r="Z107" s="5">
        <f>[Patrimônio Líquido]/[Total Ações]</f>
        <v>54.761346650043954</v>
      </c>
      <c r="AA107" s="56">
        <f>MAX(Tabela3[[#This Row],[Cotação 1]],Tabela3[[#This Row],[Cotação 2]])</f>
        <v>17.97</v>
      </c>
      <c r="AB107" s="57">
        <f>[Cotação]/[VPA]</f>
        <v>0.32815117047501563</v>
      </c>
      <c r="AC107" s="39">
        <f>IF(Tabela3[[#This Row],[Lucro/Ação]]&gt;0,Tabela3[[#This Row],[Cotação]]/(Tabela3[[#This Row],[Lucro/Ação]]/[Ref]*4),0)</f>
        <v>24.000636877071553</v>
      </c>
      <c r="AD107" s="39">
        <f>IF([Div. Mínimo]=0,0,[Lucro Distribuir]*[Payout]/[Total Ações])</f>
        <v>0</v>
      </c>
      <c r="AE107" s="98">
        <f>IF(AND([Div. Pref]&gt;0,[Div. Mínimo]&gt;0),[Div. Mínimo]+[Div. Pref],IF([Div. Pref]&gt;0,[Div. Pref],IF([Div. Mínimo]&gt;0,[Div. Mínimo],0)))</f>
        <v>0</v>
      </c>
      <c r="AF107" s="98">
        <f>[Lucro Distribuir]/[Total Ações]</f>
        <v>0.56154759846708124</v>
      </c>
      <c r="AG107" s="98">
        <f>IF([Lucro Payout]&gt;[Lucro Dist./Ação],MAX(Tabela3[[#This Row],[Lucro Atual]:[Lucro Dist./Ação]]),MAX(Tabela3[[#This Row],[Lucro Payout]:[Lucro Atual]]))</f>
        <v>0</v>
      </c>
      <c r="AH107" s="16" t="str">
        <f>IF(AND([% A.A.]&gt;=10%,[PVPA]&lt;=2,[PL]&lt;=15,[PL]&gt;0),"Sim","Não")</f>
        <v>Não</v>
      </c>
      <c r="AI107" s="22">
        <f>Tabela3[[#This Row],[Lucro]]/Tabela3[[#This Row],[Cotação]]</f>
        <v>0</v>
      </c>
      <c r="AJ107" s="18">
        <f>((1+Tabela3[[#This Row],[% Yield]])^(1/(3*Tabela3[[#This Row],[Ref]])))^(12)-1</f>
        <v>0</v>
      </c>
      <c r="AK107" s="10">
        <f>($AQ$1/Tabela3[[#This Row],[Cotação]]-MOD($AQ$1/Tabela3[[#This Row],[Cotação]],100))</f>
        <v>0</v>
      </c>
      <c r="AL107" s="7">
        <f>Tabela3[[#This Row],[Ativos]]*Tabela3[[#This Row],[Lucro Atual]]</f>
        <v>0</v>
      </c>
      <c r="AM107" s="49">
        <f>SUMPRODUCT(N(Tabela1[Código]=Tabela3[[#This Row],[PAPEL]]),Tabela1[Fechamento])</f>
        <v>0</v>
      </c>
      <c r="AN107" s="58">
        <f>SUMPRODUCT(N(Tabela17[Código]=Tabela3[[#This Row],[PAPEL]]),Tabela17[Fechamento])</f>
        <v>17.97</v>
      </c>
    </row>
    <row r="108" spans="1:40">
      <c r="A108" s="3" t="s">
        <v>402</v>
      </c>
      <c r="B108" s="69" t="s">
        <v>411</v>
      </c>
      <c r="C108" s="105" t="str">
        <f>LEFT([PAPEL],LEN([PAPEL])-(LEN([PAPEL])-4))</f>
        <v>IGTA</v>
      </c>
      <c r="D108" s="16">
        <v>3</v>
      </c>
      <c r="E108" s="5"/>
      <c r="H108" s="16"/>
      <c r="I108" s="18"/>
      <c r="J108" s="18"/>
      <c r="L108" s="5">
        <v>2302519000</v>
      </c>
      <c r="M108" s="5">
        <v>128087000</v>
      </c>
      <c r="N108" s="5">
        <f>Tabela3[[#This Row],[Capital Social]]*20%</f>
        <v>0</v>
      </c>
      <c r="O108" s="5">
        <f>IF(([Lucro Líquido]*5%)&gt;[Teto R. Legal],[Teto R. Legal],[Lucro Líquido]*5%)</f>
        <v>0</v>
      </c>
      <c r="P108" s="5">
        <f>IF([Lucro Líquido]&lt;0,0,[Lucro Líquido]-[Reserva Legal])</f>
        <v>128087000</v>
      </c>
      <c r="Q108" s="21">
        <v>176611578</v>
      </c>
      <c r="R108" s="5">
        <f>[Capital Social]/[Total Ações]</f>
        <v>0</v>
      </c>
      <c r="S108" s="49">
        <f>Tabela3[[#This Row],[Lucro Líquido]]/Tabela3[[#This Row],[Total Ações]]</f>
        <v>0.72524690312205919</v>
      </c>
      <c r="T10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8" s="98">
        <f>[Patrimônio Líquido]*[% PNA (PL)]/[Total Ações]</f>
        <v>0</v>
      </c>
      <c r="V108" s="98">
        <f>[Capital Social]*[% PNA (CS)]/[Total Ações]</f>
        <v>0</v>
      </c>
      <c r="W108" s="98">
        <f>MAX(Tabela3[[#This Row],[Div PNA (PL)]],Tabela3[[#This Row],[Div PNA (CS)]])</f>
        <v>0</v>
      </c>
      <c r="X108" s="5">
        <f>[Div. Pref]*[Ações]</f>
        <v>0</v>
      </c>
      <c r="Y108" s="18">
        <f>IF(GETPIVOTDATA("Payout",'Tabela LL'!$A$3,"Ativo",Tabela3[[#This Row],[PAPEL]])&gt;1,1,GETPIVOTDATA("Payout",'Tabela LL'!$A$3,"Ativo",Tabela3[[#This Row],[PAPEL]]))</f>
        <v>0.43259017108800807</v>
      </c>
      <c r="Z108" s="5">
        <f>[Patrimônio Líquido]/[Total Ações]</f>
        <v>13.037191706650173</v>
      </c>
      <c r="AA108" s="56">
        <f>MAX(Tabela3[[#This Row],[Cotação 1]],Tabela3[[#This Row],[Cotação 2]])</f>
        <v>21.61</v>
      </c>
      <c r="AB108" s="57">
        <f>[Cotação]/[VPA]</f>
        <v>1.6575655621430267</v>
      </c>
      <c r="AC108" s="39">
        <f>IF(Tabela3[[#This Row],[Lucro/Ação]]&gt;0,Tabela3[[#This Row],[Cotação]]/(Tabela3[[#This Row],[Lucro/Ação]]/[Ref]*4),0)</f>
        <v>22.347561816851044</v>
      </c>
      <c r="AD108" s="39">
        <f>IF([Div. Mínimo]=0,0,[Lucro Distribuir]*[Payout]/[Total Ações])</f>
        <v>0</v>
      </c>
      <c r="AE108" s="98">
        <f>IF(AND([Div. Pref]&gt;0,[Div. Mínimo]&gt;0),[Div. Mínimo]+[Div. Pref],IF([Div. Pref]&gt;0,[Div. Pref],IF([Div. Mínimo]&gt;0,[Div. Mínimo],0)))</f>
        <v>0</v>
      </c>
      <c r="AF108" s="98">
        <f>[Lucro Distribuir]/[Total Ações]</f>
        <v>0.72524690312205919</v>
      </c>
      <c r="AG108" s="98">
        <f>IF([Lucro Payout]&gt;[Lucro Dist./Ação],MAX(Tabela3[[#This Row],[Lucro Atual]:[Lucro Dist./Ação]]),MAX(Tabela3[[#This Row],[Lucro Payout]:[Lucro Atual]]))</f>
        <v>0</v>
      </c>
      <c r="AH108" s="16" t="str">
        <f>IF(AND([% A.A.]&gt;=10%,[PVPA]&lt;=2,[PL]&lt;=15,[PL]&gt;0),"Sim","Não")</f>
        <v>Não</v>
      </c>
      <c r="AI108" s="22">
        <f>Tabela3[[#This Row],[Lucro]]/Tabela3[[#This Row],[Cotação]]</f>
        <v>0</v>
      </c>
      <c r="AJ108" s="18">
        <f>((1+Tabela3[[#This Row],[% Yield]])^(1/(3*Tabela3[[#This Row],[Ref]])))^(12)-1</f>
        <v>0</v>
      </c>
      <c r="AK108" s="10">
        <f>($AQ$1/Tabela3[[#This Row],[Cotação]]-MOD($AQ$1/Tabela3[[#This Row],[Cotação]],100))</f>
        <v>0</v>
      </c>
      <c r="AL108" s="7">
        <f>Tabela3[[#This Row],[Ativos]]*Tabela3[[#This Row],[Lucro Atual]]</f>
        <v>0</v>
      </c>
      <c r="AM108" s="49">
        <f>SUMPRODUCT(N(Tabela1[Código]=Tabela3[[#This Row],[PAPEL]]),Tabela1[Fechamento])</f>
        <v>0</v>
      </c>
      <c r="AN108" s="58">
        <f>SUMPRODUCT(N(Tabela17[Código]=Tabela3[[#This Row],[PAPEL]]),Tabela17[Fechamento])</f>
        <v>21.61</v>
      </c>
    </row>
    <row r="109" spans="1:40">
      <c r="A109" s="4" t="s">
        <v>14</v>
      </c>
      <c r="B109" s="15" t="s">
        <v>262</v>
      </c>
      <c r="C109" s="15" t="str">
        <f>LEFT([PAPEL],LEN([PAPEL])-(LEN([PAPEL])-4))</f>
        <v>ITSA</v>
      </c>
      <c r="D109" s="16">
        <v>3</v>
      </c>
      <c r="E109" s="5"/>
      <c r="H109" s="16"/>
      <c r="I109" s="18"/>
      <c r="J109" s="18"/>
      <c r="L109" s="6">
        <v>32199000000</v>
      </c>
      <c r="M109" s="5">
        <v>3922000000</v>
      </c>
      <c r="N109" s="5">
        <f>Tabela3[[#This Row],[Capital Social]]*20%</f>
        <v>0</v>
      </c>
      <c r="O109" s="5">
        <f>IF(([Lucro Líquido]*5%)&gt;[Teto R. Legal],[Teto R. Legal],[Lucro Líquido]*5%)</f>
        <v>0</v>
      </c>
      <c r="P109" s="5">
        <f>IF([Lucro Líquido]&lt;0,0,[Lucro Líquido]-[Reserva Legal])</f>
        <v>3922000000</v>
      </c>
      <c r="Q109" s="21">
        <v>5470667261</v>
      </c>
      <c r="R109" s="5">
        <f>[Capital Social]/[Total Ações]</f>
        <v>0</v>
      </c>
      <c r="S109" s="49">
        <f>Tabela3[[#This Row],[Lucro Líquido]]/Tabela3[[#This Row],[Total Ações]]</f>
        <v>0.71691437495379418</v>
      </c>
      <c r="T109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09" s="98">
        <f>[Patrimônio Líquido]*[% PNA (PL)]/[Total Ações]</f>
        <v>0</v>
      </c>
      <c r="V109" s="98">
        <f>[Capital Social]*[% PNA (CS)]/[Total Ações]</f>
        <v>0</v>
      </c>
      <c r="W109" s="98">
        <f>MAX(Tabela3[[#This Row],[Div PNA (PL)]],Tabela3[[#This Row],[Div PNA (CS)]])</f>
        <v>0</v>
      </c>
      <c r="X109" s="5">
        <f>[Div. Pref]*[Ações]</f>
        <v>0</v>
      </c>
      <c r="Y109" s="18">
        <f>IF(GETPIVOTDATA("Payout",'Tabela LL'!$A$3,"Ativo",Tabela3[[#This Row],[PAPEL]])&gt;1,1,GETPIVOTDATA("Payout",'Tabela LL'!$A$3,"Ativo",Tabela3[[#This Row],[PAPEL]]))</f>
        <v>0.41787587719990676</v>
      </c>
      <c r="Z109" s="5">
        <f>[Patrimônio Líquido]/[Total Ações]</f>
        <v>5.8857536866744562</v>
      </c>
      <c r="AA109" s="56">
        <f>MAX(Tabela3[[#This Row],[Cotação 1]],Tabela3[[#This Row],[Cotação 2]])</f>
        <v>10.56</v>
      </c>
      <c r="AB109" s="57">
        <f>[Cotação]/[VPA]</f>
        <v>1.7941627465498931</v>
      </c>
      <c r="AC109" s="39">
        <f>IF(Tabela3[[#This Row],[Lucro/Ação]]&gt;0,Tabela3[[#This Row],[Cotação]]/(Tabela3[[#This Row],[Lucro/Ação]]/[Ref]*4),0)</f>
        <v>11.047344392432432</v>
      </c>
      <c r="AD109" s="39">
        <f>IF([Div. Mínimo]=0,0,[Lucro Distribuir]*[Payout]/[Total Ações])</f>
        <v>0</v>
      </c>
      <c r="AE109" s="98">
        <f>IF(AND([Div. Pref]&gt;0,[Div. Mínimo]&gt;0),[Div. Mínimo]+[Div. Pref],IF([Div. Pref]&gt;0,[Div. Pref],IF([Div. Mínimo]&gt;0,[Div. Mínimo],0)))</f>
        <v>0</v>
      </c>
      <c r="AF109" s="98">
        <f>[Lucro Distribuir]/[Total Ações]</f>
        <v>0.71691437495379418</v>
      </c>
      <c r="AG109" s="98">
        <f>IF([Lucro Payout]&gt;[Lucro Dist./Ação],MAX(Tabela3[[#This Row],[Lucro Atual]:[Lucro Dist./Ação]]),MAX(Tabela3[[#This Row],[Lucro Payout]:[Lucro Atual]]))</f>
        <v>0</v>
      </c>
      <c r="AH109" s="16" t="str">
        <f>IF(AND([% A.A.]&gt;=10%,[PVPA]&lt;=2,[PL]&lt;=15,[PL]&gt;0),"Sim","Não")</f>
        <v>Não</v>
      </c>
      <c r="AI109" s="22">
        <f>Tabela3[[#This Row],[Lucro]]/Tabela3[[#This Row],[Cotação]]</f>
        <v>0</v>
      </c>
      <c r="AJ109" s="18">
        <f>((1+Tabela3[[#This Row],[% Yield]])^(1/(3*Tabela3[[#This Row],[Ref]])))^(12)-1</f>
        <v>0</v>
      </c>
      <c r="AK109" s="10">
        <f>($AQ$1/Tabela3[[#This Row],[Cotação]]-MOD($AQ$1/Tabela3[[#This Row],[Cotação]],100))</f>
        <v>0</v>
      </c>
      <c r="AL109" s="7">
        <f>Tabela3[[#This Row],[Ativos]]*Tabela3[[#This Row],[Lucro Atual]]</f>
        <v>0</v>
      </c>
      <c r="AM109" s="5">
        <f>SUMPRODUCT(N(Tabela1[Código]=Tabela3[[#This Row],[PAPEL]]),Tabela1[Fechamento])</f>
        <v>10.56</v>
      </c>
      <c r="AN109" s="5">
        <f>SUMPRODUCT(N(Tabela17[Código]=Tabela3[[#This Row],[PAPEL]]),Tabela17[Fechamento])</f>
        <v>0</v>
      </c>
    </row>
    <row r="110" spans="1:40">
      <c r="A110" s="4" t="s">
        <v>14</v>
      </c>
      <c r="B110" s="15" t="s">
        <v>16</v>
      </c>
      <c r="C110" s="15" t="str">
        <f>LEFT([PAPEL],LEN([PAPEL])-(LEN([PAPEL])-4))</f>
        <v>ITSA</v>
      </c>
      <c r="D110" s="15">
        <v>3</v>
      </c>
      <c r="E110" s="6"/>
      <c r="F110" s="8"/>
      <c r="G110" s="19"/>
      <c r="H110" s="15"/>
      <c r="I110" s="19"/>
      <c r="J110" s="19"/>
      <c r="K110" s="19"/>
      <c r="L110" s="6">
        <v>32199000000</v>
      </c>
      <c r="M110" s="5">
        <v>3922000000</v>
      </c>
      <c r="N110" s="5">
        <f>Tabela3[[#This Row],[Capital Social]]*20%</f>
        <v>0</v>
      </c>
      <c r="O110" s="5">
        <f>IF(([Lucro Líquido]*5%)&gt;[Teto R. Legal],[Teto R. Legal],[Lucro Líquido]*5%)</f>
        <v>0</v>
      </c>
      <c r="P110" s="5">
        <f>IF([Lucro Líquido]&lt;0,0,[Lucro Líquido]-[Reserva Legal])</f>
        <v>3922000000</v>
      </c>
      <c r="Q110" s="21">
        <v>5470667261</v>
      </c>
      <c r="R110" s="5">
        <f>[Capital Social]/[Total Ações]</f>
        <v>0</v>
      </c>
      <c r="S110" s="13">
        <f>Tabela3[[#This Row],[Lucro Líquido]]/Tabela3[[#This Row],[Total Ações]]</f>
        <v>0.71691437495379418</v>
      </c>
      <c r="T11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0" s="98">
        <f>[Patrimônio Líquido]*[% PNA (PL)]/[Total Ações]</f>
        <v>0</v>
      </c>
      <c r="V110" s="98">
        <f>[Capital Social]*[% PNA (CS)]/[Total Ações]</f>
        <v>0</v>
      </c>
      <c r="W110" s="98">
        <f>MAX(Tabela3[[#This Row],[Div PNA (PL)]],Tabela3[[#This Row],[Div PNA (CS)]])</f>
        <v>0</v>
      </c>
      <c r="X110" s="5">
        <f>[Div. Pref]*[Ações]</f>
        <v>0</v>
      </c>
      <c r="Y110" s="19">
        <f>IF(GETPIVOTDATA("Payout",'Tabela LL'!$A$3,"Ativo",Tabela3[[#This Row],[PAPEL]])&gt;1,1,GETPIVOTDATA("Payout",'Tabela LL'!$A$3,"Ativo",Tabela3[[#This Row],[PAPEL]]))</f>
        <v>0.41787587719990676</v>
      </c>
      <c r="Z110" s="6">
        <f>[Patrimônio Líquido]/[Total Ações]</f>
        <v>5.8857536866744562</v>
      </c>
      <c r="AA110" s="50">
        <f>MAX(Tabela3[[#This Row],[Cotação 1]],Tabela3[[#This Row],[Cotação 2]])</f>
        <v>8.59</v>
      </c>
      <c r="AB110" s="46">
        <f>[Cotação]/[VPA]</f>
        <v>1.4594562493242027</v>
      </c>
      <c r="AC110" s="42">
        <f>IF(Tabela3[[#This Row],[Lucro/Ação]]&gt;0,Tabela3[[#This Row],[Cotação]]/(Tabela3[[#This Row],[Lucro/Ação]]/[Ref]*4),0)</f>
        <v>8.9864288192229722</v>
      </c>
      <c r="AD110" s="42">
        <f>IF([Div. Mínimo]=0,0,[Lucro Distribuir]*[Payout]/[Total Ações])</f>
        <v>0</v>
      </c>
      <c r="AE110" s="99">
        <f>IF(AND([Div. Pref]&gt;0,[Div. Mínimo]&gt;0),[Div. Mínimo]+[Div. Pref],IF([Div. Pref]&gt;0,[Div. Pref],IF([Div. Mínimo]&gt;0,[Div. Mínimo],0)))</f>
        <v>0</v>
      </c>
      <c r="AF110" s="99">
        <f>[Lucro Distribuir]/[Total Ações]</f>
        <v>0.71691437495379418</v>
      </c>
      <c r="AG110" s="99">
        <f>IF([Lucro Payout]&gt;[Lucro Dist./Ação],MAX(Tabela3[[#This Row],[Lucro Atual]:[Lucro Dist./Ação]]),MAX(Tabela3[[#This Row],[Lucro Payout]:[Lucro Atual]]))</f>
        <v>0</v>
      </c>
      <c r="AH110" s="15" t="str">
        <f>IF(AND([% A.A.]&gt;=10%,[PVPA]&lt;=2,[PL]&lt;=15,[PL]&gt;0),"Sim","Não")</f>
        <v>Não</v>
      </c>
      <c r="AI110" s="44">
        <f>Tabela3[[#This Row],[Lucro]]/Tabela3[[#This Row],[Cotação]]</f>
        <v>0</v>
      </c>
      <c r="AJ110" s="19">
        <f>((1+Tabela3[[#This Row],[% Yield]])^(1/(3*Tabela3[[#This Row],[Ref]])))^(12)-1</f>
        <v>0</v>
      </c>
      <c r="AK110" s="14">
        <f>($AQ$1/Tabela3[[#This Row],[Cotação]]-MOD($AQ$1/Tabela3[[#This Row],[Cotação]],100))</f>
        <v>0</v>
      </c>
      <c r="AL110" s="17">
        <f>Tabela3[[#This Row],[Ativos]]*Tabela3[[#This Row],[Lucro Atual]]</f>
        <v>0</v>
      </c>
      <c r="AM110" s="5">
        <f>SUMPRODUCT(N(Tabela1[Código]=Tabela3[[#This Row],[PAPEL]]),Tabela1[Fechamento])</f>
        <v>8.59</v>
      </c>
      <c r="AN110" s="5">
        <f>SUMPRODUCT(N(Tabela17[Código]=Tabela3[[#This Row],[PAPEL]]),Tabela17[Fechamento])</f>
        <v>0</v>
      </c>
    </row>
    <row r="111" spans="1:40">
      <c r="A111" s="4" t="s">
        <v>14</v>
      </c>
      <c r="B111" s="14" t="s">
        <v>260</v>
      </c>
      <c r="C111" s="14" t="str">
        <f>LEFT([PAPEL],LEN([PAPEL])-(LEN([PAPEL])-4))</f>
        <v>ITUB</v>
      </c>
      <c r="D111" s="15">
        <v>3</v>
      </c>
      <c r="E111" s="6"/>
      <c r="F111" s="8"/>
      <c r="G111" s="19"/>
      <c r="H111" s="15"/>
      <c r="I111" s="19"/>
      <c r="J111" s="19"/>
      <c r="K111" s="19"/>
      <c r="L111" s="6">
        <v>80340000000</v>
      </c>
      <c r="M111" s="6">
        <v>11516000000</v>
      </c>
      <c r="N111" s="6">
        <f>Tabela3[[#This Row],[Capital Social]]*20%</f>
        <v>0</v>
      </c>
      <c r="O111" s="6">
        <f>IF(([Lucro Líquido]*5%)&gt;[Teto R. Legal],[Teto R. Legal],[Lucro Líquido]*5%)</f>
        <v>0</v>
      </c>
      <c r="P111" s="6">
        <f>IF([Lucro Líquido]&lt;0,0,[Lucro Líquido]-[Reserva Legal])</f>
        <v>11516000000</v>
      </c>
      <c r="Q111" s="40">
        <v>5028029710</v>
      </c>
      <c r="R111" s="6">
        <f>[Capital Social]/[Total Ações]</f>
        <v>0</v>
      </c>
      <c r="S111" s="13">
        <f>Tabela3[[#This Row],[Lucro Líquido]]/Tabela3[[#This Row],[Total Ações]]</f>
        <v>2.2903603725921502</v>
      </c>
      <c r="T11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1" s="99">
        <f>[Patrimônio Líquido]*[% PNA (PL)]/[Total Ações]</f>
        <v>0</v>
      </c>
      <c r="V111" s="99">
        <f>[Capital Social]*[% PNA (CS)]/[Total Ações]</f>
        <v>0</v>
      </c>
      <c r="W111" s="99">
        <f>MAX(Tabela3[[#This Row],[Div PNA (PL)]],Tabela3[[#This Row],[Div PNA (CS)]])</f>
        <v>0</v>
      </c>
      <c r="X111" s="6">
        <f>[Div. Pref]*[Ações]</f>
        <v>0</v>
      </c>
      <c r="Y111" s="19">
        <f>IF(GETPIVOTDATA("Payout",'Tabela LL'!$A$3,"Ativo",Tabela3[[#This Row],[PAPEL]])&gt;1,1,GETPIVOTDATA("Payout",'Tabela LL'!$A$3,"Ativo",Tabela3[[#This Row],[PAPEL]]))</f>
        <v>0.43273605067700688</v>
      </c>
      <c r="Z111" s="6">
        <f>[Patrimônio Líquido]/[Total Ações]</f>
        <v>15.978425871314114</v>
      </c>
      <c r="AA111" s="50">
        <f>MAX(Tabela3[[#This Row],[Cotação 1]],Tabela3[[#This Row],[Cotação 2]])</f>
        <v>28.71</v>
      </c>
      <c r="AB111" s="46">
        <f>[Cotação]/[VPA]</f>
        <v>1.7967977716467514</v>
      </c>
      <c r="AC111" s="42">
        <f>IF(Tabela3[[#This Row],[Lucro/Ação]]&gt;0,Tabela3[[#This Row],[Cotação]]/(Tabela3[[#This Row],[Lucro/Ação]]/[Ref]*4),0)</f>
        <v>9.4013589554163772</v>
      </c>
      <c r="AD111" s="42">
        <f>IF([Div. Mínimo]=0,0,[Lucro Distribuir]*[Payout]/[Total Ações])</f>
        <v>0</v>
      </c>
      <c r="AE111" s="99">
        <f>IF(AND([Div. Pref]&gt;0,[Div. Mínimo]&gt;0),[Div. Mínimo]+[Div. Pref],IF([Div. Pref]&gt;0,[Div. Pref],IF([Div. Mínimo]&gt;0,[Div. Mínimo],0)))</f>
        <v>0</v>
      </c>
      <c r="AF111" s="99">
        <f>[Lucro Distribuir]/[Total Ações]</f>
        <v>2.2903603725921502</v>
      </c>
      <c r="AG111" s="99">
        <f>IF([Lucro Payout]&gt;[Lucro Dist./Ação],MAX(Tabela3[[#This Row],[Lucro Atual]:[Lucro Dist./Ação]]),MAX(Tabela3[[#This Row],[Lucro Payout]:[Lucro Atual]]))</f>
        <v>0</v>
      </c>
      <c r="AH111" s="15" t="str">
        <f>IF(AND([% A.A.]&gt;=10%,[PVPA]&lt;=2,[PL]&lt;=15,[PL]&gt;0),"Sim","Não")</f>
        <v>Não</v>
      </c>
      <c r="AI111" s="44">
        <f>Tabela3[[#This Row],[Lucro]]/Tabela3[[#This Row],[Cotação]]</f>
        <v>0</v>
      </c>
      <c r="AJ111" s="19">
        <f>((1+Tabela3[[#This Row],[% Yield]])^(1/(3*Tabela3[[#This Row],[Ref]])))^(12)-1</f>
        <v>0</v>
      </c>
      <c r="AK111" s="14">
        <f>($AQ$1/Tabela3[[#This Row],[Cotação]]-MOD($AQ$1/Tabela3[[#This Row],[Cotação]],100))</f>
        <v>0</v>
      </c>
      <c r="AL111" s="17">
        <f>Tabela3[[#This Row],[Ativos]]*Tabela3[[#This Row],[Lucro Atual]]</f>
        <v>0</v>
      </c>
      <c r="AM111" s="5">
        <f>SUMPRODUCT(N(Tabela1[Código]=Tabela3[[#This Row],[PAPEL]]),Tabela1[Fechamento])</f>
        <v>28.71</v>
      </c>
      <c r="AN111" s="5">
        <f>SUMPRODUCT(N(Tabela17[Código]=Tabela3[[#This Row],[PAPEL]]),Tabela17[Fechamento])</f>
        <v>0</v>
      </c>
    </row>
    <row r="112" spans="1:40">
      <c r="A112" s="4" t="s">
        <v>14</v>
      </c>
      <c r="B112" s="14" t="s">
        <v>81</v>
      </c>
      <c r="C112" s="14" t="str">
        <f>LEFT([PAPEL],LEN([PAPEL])-(LEN([PAPEL])-4))</f>
        <v>ITUB</v>
      </c>
      <c r="D112" s="15">
        <v>3</v>
      </c>
      <c r="E112" s="6"/>
      <c r="F112" s="8"/>
      <c r="G112" s="19"/>
      <c r="H112" s="15"/>
      <c r="I112" s="19"/>
      <c r="J112" s="19"/>
      <c r="K112" s="19"/>
      <c r="L112" s="6">
        <v>80340000000</v>
      </c>
      <c r="M112" s="6">
        <v>11516000000</v>
      </c>
      <c r="N112" s="6">
        <f>Tabela3[[#This Row],[Capital Social]]*20%</f>
        <v>0</v>
      </c>
      <c r="O112" s="6">
        <f>IF(([Lucro Líquido]*5%)&gt;[Teto R. Legal],[Teto R. Legal],[Lucro Líquido]*5%)</f>
        <v>0</v>
      </c>
      <c r="P112" s="6">
        <f>IF([Lucro Líquido]&lt;0,0,[Lucro Líquido]-[Reserva Legal])</f>
        <v>11516000000</v>
      </c>
      <c r="Q112" s="40">
        <v>5028029710</v>
      </c>
      <c r="R112" s="6">
        <f>[Capital Social]/[Total Ações]</f>
        <v>0</v>
      </c>
      <c r="S112" s="13">
        <f>Tabela3[[#This Row],[Lucro Líquido]]/Tabela3[[#This Row],[Total Ações]]</f>
        <v>2.2903603725921502</v>
      </c>
      <c r="T11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2" s="99">
        <f>[Patrimônio Líquido]*[% PNA (PL)]/[Total Ações]</f>
        <v>0</v>
      </c>
      <c r="V112" s="99">
        <f>[Capital Social]*[% PNA (CS)]/[Total Ações]</f>
        <v>0</v>
      </c>
      <c r="W112" s="99">
        <f>MAX(Tabela3[[#This Row],[Div PNA (PL)]],Tabela3[[#This Row],[Div PNA (CS)]])</f>
        <v>0</v>
      </c>
      <c r="X112" s="6">
        <f>[Div. Pref]*[Ações]</f>
        <v>0</v>
      </c>
      <c r="Y112" s="19">
        <f>IF(GETPIVOTDATA("Payout",'Tabela LL'!$A$3,"Ativo",Tabela3[[#This Row],[PAPEL]])&gt;1,1,GETPIVOTDATA("Payout",'Tabela LL'!$A$3,"Ativo",Tabela3[[#This Row],[PAPEL]]))</f>
        <v>0.43273605067700688</v>
      </c>
      <c r="Z112" s="6">
        <f>[Patrimônio Líquido]/[Total Ações]</f>
        <v>15.978425871314114</v>
      </c>
      <c r="AA112" s="50">
        <f>MAX(Tabela3[[#This Row],[Cotação 1]],Tabela3[[#This Row],[Cotação 2]])</f>
        <v>30.99</v>
      </c>
      <c r="AB112" s="46">
        <f>[Cotação]/[VPA]</f>
        <v>1.939490175664675</v>
      </c>
      <c r="AC112" s="42">
        <f>IF(Tabela3[[#This Row],[Lucro/Ação]]&gt;0,Tabela3[[#This Row],[Cotação]]/(Tabela3[[#This Row],[Lucro/Ação]]/[Ref]*4),0)</f>
        <v>10.147966354174626</v>
      </c>
      <c r="AD112" s="42">
        <f>IF([Div. Mínimo]=0,0,[Lucro Distribuir]*[Payout]/[Total Ações])</f>
        <v>0</v>
      </c>
      <c r="AE112" s="99">
        <f>IF(AND([Div. Pref]&gt;0,[Div. Mínimo]&gt;0),[Div. Mínimo]+[Div. Pref],IF([Div. Pref]&gt;0,[Div. Pref],IF([Div. Mínimo]&gt;0,[Div. Mínimo],0)))</f>
        <v>0</v>
      </c>
      <c r="AF112" s="99">
        <f>[Lucro Distribuir]/[Total Ações]</f>
        <v>2.2903603725921502</v>
      </c>
      <c r="AG112" s="99">
        <f>IF([Lucro Payout]&gt;[Lucro Dist./Ação],MAX(Tabela3[[#This Row],[Lucro Atual]:[Lucro Dist./Ação]]),MAX(Tabela3[[#This Row],[Lucro Payout]:[Lucro Atual]]))</f>
        <v>0</v>
      </c>
      <c r="AH112" s="15" t="str">
        <f>IF(AND([% A.A.]&gt;=10%,[PVPA]&lt;=2,[PL]&lt;=15,[PL]&gt;0),"Sim","Não")</f>
        <v>Não</v>
      </c>
      <c r="AI112" s="44">
        <f>Tabela3[[#This Row],[Lucro]]/Tabela3[[#This Row],[Cotação]]</f>
        <v>0</v>
      </c>
      <c r="AJ112" s="19">
        <f>((1+Tabela3[[#This Row],[% Yield]])^(1/(3*Tabela3[[#This Row],[Ref]])))^(12)-1</f>
        <v>0</v>
      </c>
      <c r="AK112" s="14">
        <f>($AQ$1/Tabela3[[#This Row],[Cotação]]-MOD($AQ$1/Tabela3[[#This Row],[Cotação]],100))</f>
        <v>0</v>
      </c>
      <c r="AL112" s="17">
        <f>Tabela3[[#This Row],[Ativos]]*Tabela3[[#This Row],[Lucro Atual]]</f>
        <v>0</v>
      </c>
      <c r="AM112" s="5">
        <f>SUMPRODUCT(N(Tabela1[Código]=Tabela3[[#This Row],[PAPEL]]),Tabela1[Fechamento])</f>
        <v>30.99</v>
      </c>
      <c r="AN112" s="5">
        <f>SUMPRODUCT(N(Tabela17[Código]=Tabela3[[#This Row],[PAPEL]]),Tabela17[Fechamento])</f>
        <v>0</v>
      </c>
    </row>
    <row r="113" spans="1:40">
      <c r="A113" s="3" t="s">
        <v>312</v>
      </c>
      <c r="B113" s="69" t="s">
        <v>314</v>
      </c>
      <c r="C113" s="105" t="str">
        <f>LEFT([PAPEL],LEN([PAPEL])-(LEN([PAPEL])-4))</f>
        <v>JBSS</v>
      </c>
      <c r="D113" s="16">
        <v>3</v>
      </c>
      <c r="E113" s="5"/>
      <c r="H113" s="16"/>
      <c r="I113" s="18"/>
      <c r="J113" s="18"/>
      <c r="L113" s="5">
        <v>21913989000</v>
      </c>
      <c r="M113" s="5">
        <v>786184000</v>
      </c>
      <c r="N113" s="5">
        <f>Tabela3[[#This Row],[Capital Social]]*20%</f>
        <v>0</v>
      </c>
      <c r="O113" s="5">
        <f>IF(([Lucro Líquido]*5%)&gt;[Teto R. Legal],[Teto R. Legal],[Lucro Líquido]*5%)</f>
        <v>0</v>
      </c>
      <c r="P113" s="5">
        <f>IF([Lucro Líquido]&lt;0,0,[Lucro Líquido]-[Reserva Legal])</f>
        <v>786184000</v>
      </c>
      <c r="Q113" s="21">
        <v>2943644008</v>
      </c>
      <c r="R113" s="5">
        <f>[Capital Social]/[Total Ações]</f>
        <v>0</v>
      </c>
      <c r="S113" s="49">
        <f>Tabela3[[#This Row],[Lucro Líquido]]/Tabela3[[#This Row],[Total Ações]]</f>
        <v>0.26707849110265103</v>
      </c>
      <c r="T113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3" s="98">
        <f>[Patrimônio Líquido]*[% PNA (PL)]/[Total Ações]</f>
        <v>0</v>
      </c>
      <c r="V113" s="98">
        <f>[Capital Social]*[% PNA (CS)]/[Total Ações]</f>
        <v>0</v>
      </c>
      <c r="W113" s="98">
        <f>MAX(Tabela3[[#This Row],[Div PNA (PL)]],Tabela3[[#This Row],[Div PNA (CS)]])</f>
        <v>0</v>
      </c>
      <c r="X113" s="5">
        <f>[Div. Pref]*[Ações]</f>
        <v>0</v>
      </c>
      <c r="Y113" s="18">
        <f>IF(GETPIVOTDATA("Payout",'Tabela LL'!$A$3,"Ativo",Tabela3[[#This Row],[PAPEL]])&gt;1,1,GETPIVOTDATA("Payout",'Tabela LL'!$A$3,"Ativo",Tabela3[[#This Row],[PAPEL]]))</f>
        <v>0.23749999886663223</v>
      </c>
      <c r="Z113" s="5">
        <f>[Patrimônio Líquido]/[Total Ações]</f>
        <v>7.4445105931437077</v>
      </c>
      <c r="AA113" s="56">
        <f>MAX(Tabela3[[#This Row],[Cotação 1]],Tabela3[[#This Row],[Cotação 2]])</f>
        <v>8.94</v>
      </c>
      <c r="AB113" s="57">
        <f>[Cotação]/[VPA]</f>
        <v>1.2008848517501765</v>
      </c>
      <c r="AC113" s="39">
        <f>IF(Tabela3[[#This Row],[Lucro/Ação]]&gt;0,Tabela3[[#This Row],[Cotação]]/(Tabela3[[#This Row],[Lucro/Ação]]/[Ref]*4),0)</f>
        <v>25.104979335168355</v>
      </c>
      <c r="AD113" s="39">
        <f>IF([Div. Mínimo]=0,0,[Lucro Distribuir]*[Payout]/[Total Ações])</f>
        <v>0</v>
      </c>
      <c r="AE113" s="98">
        <f>IF(AND([Div. Pref]&gt;0,[Div. Mínimo]&gt;0),[Div. Mínimo]+[Div. Pref],IF([Div. Pref]&gt;0,[Div. Pref],IF([Div. Mínimo]&gt;0,[Div. Mínimo],0)))</f>
        <v>0</v>
      </c>
      <c r="AF113" s="98">
        <f>[Lucro Distribuir]/[Total Ações]</f>
        <v>0.26707849110265103</v>
      </c>
      <c r="AG113" s="98">
        <f>IF([Lucro Payout]&gt;[Lucro Dist./Ação],MAX(Tabela3[[#This Row],[Lucro Atual]:[Lucro Dist./Ação]]),MAX(Tabela3[[#This Row],[Lucro Payout]:[Lucro Atual]]))</f>
        <v>0</v>
      </c>
      <c r="AH113" s="16" t="str">
        <f>IF(AND([% A.A.]&gt;=10%,[PVPA]&lt;=2,[PL]&lt;=15,[PL]&gt;0),"Sim","Não")</f>
        <v>Não</v>
      </c>
      <c r="AI113" s="22">
        <f>Tabela3[[#This Row],[Lucro]]/Tabela3[[#This Row],[Cotação]]</f>
        <v>0</v>
      </c>
      <c r="AJ113" s="18">
        <f>((1+Tabela3[[#This Row],[% Yield]])^(1/(3*Tabela3[[#This Row],[Ref]])))^(12)-1</f>
        <v>0</v>
      </c>
      <c r="AK113" s="10">
        <f>($AQ$1/Tabela3[[#This Row],[Cotação]]-MOD($AQ$1/Tabela3[[#This Row],[Cotação]],100))</f>
        <v>0</v>
      </c>
      <c r="AL113" s="7">
        <f>Tabela3[[#This Row],[Ativos]]*Tabela3[[#This Row],[Lucro Atual]]</f>
        <v>0</v>
      </c>
      <c r="AM113" s="49">
        <f>SUMPRODUCT(N(Tabela1[Código]=Tabela3[[#This Row],[PAPEL]]),Tabela1[Fechamento])</f>
        <v>0</v>
      </c>
      <c r="AN113" s="58">
        <f>SUMPRODUCT(N(Tabela17[Código]=Tabela3[[#This Row],[PAPEL]]),Tabela17[Fechamento])</f>
        <v>8.94</v>
      </c>
    </row>
    <row r="114" spans="1:40">
      <c r="A114" s="4" t="s">
        <v>19</v>
      </c>
      <c r="B114" s="14" t="s">
        <v>204</v>
      </c>
      <c r="C114" s="14" t="str">
        <f>LEFT([PAPEL],LEN([PAPEL])-(LEN([PAPEL])-4))</f>
        <v>KLBN</v>
      </c>
      <c r="D114" s="15">
        <v>3</v>
      </c>
      <c r="E114" s="6"/>
      <c r="F114" s="8"/>
      <c r="G114" s="19"/>
      <c r="H114" s="15"/>
      <c r="I114" s="19"/>
      <c r="J114" s="19"/>
      <c r="K114" s="19"/>
      <c r="L114" s="6">
        <v>5466325000</v>
      </c>
      <c r="M114" s="6">
        <v>268577000</v>
      </c>
      <c r="N114" s="6">
        <f>Tabela3[[#This Row],[Capital Social]]*20%</f>
        <v>0</v>
      </c>
      <c r="O114" s="6">
        <f>IF(([Lucro Líquido]*5%)&gt;[Teto R. Legal],[Teto R. Legal],[Lucro Líquido]*5%)</f>
        <v>0</v>
      </c>
      <c r="P114" s="6">
        <f>IF([Lucro Líquido]&lt;0,0,[Lucro Líquido]-[Reserva Legal])</f>
        <v>268577000</v>
      </c>
      <c r="Q114" s="40">
        <v>917683296</v>
      </c>
      <c r="R114" s="6">
        <f>[Capital Social]/[Total Ações]</f>
        <v>0</v>
      </c>
      <c r="S114" s="13">
        <f>Tabela3[[#This Row],[Lucro Líquido]]/Tabela3[[#This Row],[Total Ações]]</f>
        <v>0.29266850684835827</v>
      </c>
      <c r="T11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4" s="99">
        <f>[Patrimônio Líquido]*[% PNA (PL)]/[Total Ações]</f>
        <v>0</v>
      </c>
      <c r="V114" s="99">
        <f>[Capital Social]*[% PNA (CS)]/[Total Ações]</f>
        <v>0</v>
      </c>
      <c r="W114" s="99">
        <f>MAX(Tabela3[[#This Row],[Div PNA (PL)]],Tabela3[[#This Row],[Div PNA (CS)]])</f>
        <v>0</v>
      </c>
      <c r="X114" s="6">
        <f>[Div. Pref]*[Ações]</f>
        <v>0</v>
      </c>
      <c r="Y114" s="19">
        <f>IF(GETPIVOTDATA("Payout",'Tabela LL'!$A$3,"Ativo",Tabela3[[#This Row],[PAPEL]])&gt;1,1,GETPIVOTDATA("Payout",'Tabela LL'!$A$3,"Ativo",Tabela3[[#This Row],[PAPEL]]))</f>
        <v>0.39457960469026815</v>
      </c>
      <c r="Z114" s="6">
        <f>[Patrimônio Líquido]/[Total Ações]</f>
        <v>5.9566574043862728</v>
      </c>
      <c r="AA114" s="50">
        <f>MAX(Tabela3[[#This Row],[Cotação 1]],Tabela3[[#This Row],[Cotação 2]])</f>
        <v>11</v>
      </c>
      <c r="AB114" s="46">
        <f>[Cotação]/[VPA]</f>
        <v>1.8466732687866163</v>
      </c>
      <c r="AC114" s="42">
        <f>IF(Tabela3[[#This Row],[Lucro/Ação]]&gt;0,Tabela3[[#This Row],[Cotação]]/(Tabela3[[#This Row],[Lucro/Ação]]/[Ref]*4),0)</f>
        <v>28.188888817731975</v>
      </c>
      <c r="AD114" s="42">
        <f>IF([Div. Mínimo]=0,0,[Lucro Distribuir]*[Payout]/[Total Ações])</f>
        <v>0</v>
      </c>
      <c r="AE114" s="99">
        <f>IF(AND([Div. Pref]&gt;0,[Div. Mínimo]&gt;0),[Div. Mínimo]+[Div. Pref],IF([Div. Pref]&gt;0,[Div. Pref],IF([Div. Mínimo]&gt;0,[Div. Mínimo],0)))</f>
        <v>0</v>
      </c>
      <c r="AF114" s="99">
        <f>[Lucro Distribuir]/[Total Ações]</f>
        <v>0.29266850684835827</v>
      </c>
      <c r="AG114" s="99">
        <f>IF([Lucro Payout]&gt;[Lucro Dist./Ação],MAX(Tabela3[[#This Row],[Lucro Atual]:[Lucro Dist./Ação]]),MAX(Tabela3[[#This Row],[Lucro Payout]:[Lucro Atual]]))</f>
        <v>0</v>
      </c>
      <c r="AH114" s="15" t="str">
        <f>IF(AND([% A.A.]&gt;=10%,[PVPA]&lt;=2,[PL]&lt;=15,[PL]&gt;0),"Sim","Não")</f>
        <v>Não</v>
      </c>
      <c r="AI114" s="44">
        <f>Tabela3[[#This Row],[Lucro]]/Tabela3[[#This Row],[Cotação]]</f>
        <v>0</v>
      </c>
      <c r="AJ114" s="19">
        <f>((1+Tabela3[[#This Row],[% Yield]])^(1/(3*Tabela3[[#This Row],[Ref]])))^(12)-1</f>
        <v>0</v>
      </c>
      <c r="AK114" s="14">
        <f>($AQ$1/Tabela3[[#This Row],[Cotação]]-MOD($AQ$1/Tabela3[[#This Row],[Cotação]],100))</f>
        <v>0</v>
      </c>
      <c r="AL114" s="17">
        <f>Tabela3[[#This Row],[Ativos]]*Tabela3[[#This Row],[Lucro Atual]]</f>
        <v>0</v>
      </c>
      <c r="AM114" s="5">
        <f>SUMPRODUCT(N(Tabela1[Código]=Tabela3[[#This Row],[PAPEL]]),Tabela1[Fechamento])</f>
        <v>11</v>
      </c>
      <c r="AN114" s="5">
        <f>SUMPRODUCT(N(Tabela17[Código]=Tabela3[[#This Row],[PAPEL]]),Tabela17[Fechamento])</f>
        <v>0</v>
      </c>
    </row>
    <row r="115" spans="1:40">
      <c r="A115" s="4" t="s">
        <v>19</v>
      </c>
      <c r="B115" s="14" t="s">
        <v>54</v>
      </c>
      <c r="C115" s="14" t="str">
        <f>LEFT([PAPEL],LEN([PAPEL])-(LEN([PAPEL])-4))</f>
        <v>KLBN</v>
      </c>
      <c r="D115" s="15">
        <v>3</v>
      </c>
      <c r="E115" s="6"/>
      <c r="F115" s="8"/>
      <c r="G115" s="19"/>
      <c r="H115" s="15"/>
      <c r="I115" s="19"/>
      <c r="J115" s="19"/>
      <c r="K115" s="19"/>
      <c r="L115" s="6">
        <v>5466325000</v>
      </c>
      <c r="M115" s="6">
        <v>268577000</v>
      </c>
      <c r="N115" s="6">
        <f>Tabela3[[#This Row],[Capital Social]]*20%</f>
        <v>0</v>
      </c>
      <c r="O115" s="6">
        <f>IF(([Lucro Líquido]*5%)&gt;[Teto R. Legal],[Teto R. Legal],[Lucro Líquido]*5%)</f>
        <v>0</v>
      </c>
      <c r="P115" s="6">
        <f>IF([Lucro Líquido]&lt;0,0,[Lucro Líquido]-[Reserva Legal])</f>
        <v>268577000</v>
      </c>
      <c r="Q115" s="40">
        <v>917683296</v>
      </c>
      <c r="R115" s="6">
        <f>[Capital Social]/[Total Ações]</f>
        <v>0</v>
      </c>
      <c r="S115" s="13">
        <f>Tabela3[[#This Row],[Lucro Líquido]]/Tabela3[[#This Row],[Total Ações]]</f>
        <v>0.29266850684835827</v>
      </c>
      <c r="T11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5" s="99">
        <f>[Patrimônio Líquido]*[% PNA (PL)]/[Total Ações]</f>
        <v>0</v>
      </c>
      <c r="V115" s="99">
        <f>[Capital Social]*[% PNA (CS)]/[Total Ações]</f>
        <v>0</v>
      </c>
      <c r="W115" s="99">
        <f>MAX(Tabela3[[#This Row],[Div PNA (PL)]],Tabela3[[#This Row],[Div PNA (CS)]])</f>
        <v>0</v>
      </c>
      <c r="X115" s="6">
        <f>[Div. Pref]*[Ações]</f>
        <v>0</v>
      </c>
      <c r="Y115" s="19">
        <f>IF(GETPIVOTDATA("Payout",'Tabela LL'!$A$3,"Ativo",Tabela3[[#This Row],[PAPEL]])&gt;1,1,GETPIVOTDATA("Payout",'Tabela LL'!$A$3,"Ativo",Tabela3[[#This Row],[PAPEL]]))</f>
        <v>0.43406605496565737</v>
      </c>
      <c r="Z115" s="6">
        <f>[Patrimônio Líquido]/[Total Ações]</f>
        <v>5.9566574043862728</v>
      </c>
      <c r="AA115" s="50">
        <f>MAX(Tabela3[[#This Row],[Cotação 1]],Tabela3[[#This Row],[Cotação 2]])</f>
        <v>12.52</v>
      </c>
      <c r="AB115" s="46">
        <f>[Cotação]/[VPA]</f>
        <v>2.1018499386553122</v>
      </c>
      <c r="AC115" s="42">
        <f>IF(Tabela3[[#This Row],[Lucro/Ação]]&gt;0,Tabela3[[#This Row],[Cotação]]/(Tabela3[[#This Row],[Lucro/Ação]]/[Ref]*4),0)</f>
        <v>32.084080727091305</v>
      </c>
      <c r="AD115" s="42">
        <f>IF([Div. Mínimo]=0,0,[Lucro Distribuir]*[Payout]/[Total Ações])</f>
        <v>0</v>
      </c>
      <c r="AE115" s="99">
        <f>IF(AND([Div. Pref]&gt;0,[Div. Mínimo]&gt;0),[Div. Mínimo]+[Div. Pref],IF([Div. Pref]&gt;0,[Div. Pref],IF([Div. Mínimo]&gt;0,[Div. Mínimo],0)))</f>
        <v>0</v>
      </c>
      <c r="AF115" s="99">
        <f>[Lucro Distribuir]/[Total Ações]</f>
        <v>0.29266850684835827</v>
      </c>
      <c r="AG115" s="99">
        <f>IF([Lucro Payout]&gt;[Lucro Dist./Ação],MAX(Tabela3[[#This Row],[Lucro Atual]:[Lucro Dist./Ação]]),MAX(Tabela3[[#This Row],[Lucro Payout]:[Lucro Atual]]))</f>
        <v>0</v>
      </c>
      <c r="AH115" s="15" t="str">
        <f>IF(AND([% A.A.]&gt;=10%,[PVPA]&lt;=2,[PL]&lt;=15,[PL]&gt;0),"Sim","Não")</f>
        <v>Não</v>
      </c>
      <c r="AI115" s="44">
        <f>Tabela3[[#This Row],[Lucro]]/Tabela3[[#This Row],[Cotação]]</f>
        <v>0</v>
      </c>
      <c r="AJ115" s="19">
        <f>((1+Tabela3[[#This Row],[% Yield]])^(1/(3*Tabela3[[#This Row],[Ref]])))^(12)-1</f>
        <v>0</v>
      </c>
      <c r="AK115" s="14">
        <f>($AQ$1/Tabela3[[#This Row],[Cotação]]-MOD($AQ$1/Tabela3[[#This Row],[Cotação]],100))</f>
        <v>0</v>
      </c>
      <c r="AL115" s="17">
        <f>Tabela3[[#This Row],[Ativos]]*Tabela3[[#This Row],[Lucro Atual]]</f>
        <v>0</v>
      </c>
      <c r="AM115" s="5">
        <f>SUMPRODUCT(N(Tabela1[Código]=Tabela3[[#This Row],[PAPEL]]),Tabela1[Fechamento])</f>
        <v>12.52</v>
      </c>
      <c r="AN115" s="5">
        <f>SUMPRODUCT(N(Tabela17[Código]=Tabela3[[#This Row],[PAPEL]]),Tabela17[Fechamento])</f>
        <v>0</v>
      </c>
    </row>
    <row r="116" spans="1:40">
      <c r="A116" s="3" t="s">
        <v>352</v>
      </c>
      <c r="B116" s="69" t="s">
        <v>353</v>
      </c>
      <c r="C116" s="105" t="str">
        <f>LEFT([PAPEL],LEN([PAPEL])-(LEN([PAPEL])-4))</f>
        <v>LCAM</v>
      </c>
      <c r="D116" s="16">
        <v>3</v>
      </c>
      <c r="E116" s="5"/>
      <c r="H116" s="16"/>
      <c r="I116" s="18"/>
      <c r="J116" s="18"/>
      <c r="L116" s="5">
        <v>314080000</v>
      </c>
      <c r="M116" s="5">
        <v>22535000</v>
      </c>
      <c r="N116" s="5">
        <f>Tabela3[[#This Row],[Capital Social]]*20%</f>
        <v>0</v>
      </c>
      <c r="O116" s="5">
        <f>IF(([Lucro Líquido]*5%)&gt;[Teto R. Legal],[Teto R. Legal],[Lucro Líquido]*5%)</f>
        <v>0</v>
      </c>
      <c r="P116" s="5">
        <f>IF([Lucro Líquido]&lt;0,0,[Lucro Líquido]-[Reserva Legal])</f>
        <v>22535000</v>
      </c>
      <c r="Q116" s="21">
        <v>65075322</v>
      </c>
      <c r="R116" s="5">
        <f>[Capital Social]/[Total Ações]</f>
        <v>0</v>
      </c>
      <c r="S116" s="49">
        <f>Tabela3[[#This Row],[Lucro Líquido]]/Tabela3[[#This Row],[Total Ações]]</f>
        <v>0.34629102565178238</v>
      </c>
      <c r="T11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6" s="98">
        <f>[Patrimônio Líquido]*[% PNA (PL)]/[Total Ações]</f>
        <v>0</v>
      </c>
      <c r="V116" s="98">
        <f>[Capital Social]*[% PNA (CS)]/[Total Ações]</f>
        <v>0</v>
      </c>
      <c r="W116" s="98">
        <f>MAX(Tabela3[[#This Row],[Div PNA (PL)]],Tabela3[[#This Row],[Div PNA (CS)]])</f>
        <v>0</v>
      </c>
      <c r="X116" s="5">
        <f>[Div. Pref]*[Ações]</f>
        <v>0</v>
      </c>
      <c r="Y116" s="18">
        <f>IF(GETPIVOTDATA("Payout",'Tabela LL'!$A$3,"Ativo",Tabela3[[#This Row],[PAPEL]])&gt;1,1,GETPIVOTDATA("Payout",'Tabela LL'!$A$3,"Ativo",Tabela3[[#This Row],[PAPEL]]))</f>
        <v>1</v>
      </c>
      <c r="Z116" s="5">
        <f>[Patrimônio Líquido]/[Total Ações]</f>
        <v>4.8264071593837059</v>
      </c>
      <c r="AA116" s="56">
        <f>MAX(Tabela3[[#This Row],[Cotação 1]],Tabela3[[#This Row],[Cotação 2]])</f>
        <v>6.4</v>
      </c>
      <c r="AB116" s="57">
        <f>[Cotação]/[VPA]</f>
        <v>1.3260381456953645</v>
      </c>
      <c r="AC116" s="39">
        <f>IF(Tabela3[[#This Row],[Lucro/Ação]]&gt;0,Tabela3[[#This Row],[Cotação]]/(Tabela3[[#This Row],[Lucro/Ação]]/[Ref]*4),0)</f>
        <v>13.861173534501887</v>
      </c>
      <c r="AD116" s="39">
        <f>IF([Div. Mínimo]=0,0,[Lucro Distribuir]*[Payout]/[Total Ações])</f>
        <v>0</v>
      </c>
      <c r="AE116" s="98">
        <f>IF(AND([Div. Pref]&gt;0,[Div. Mínimo]&gt;0),[Div. Mínimo]+[Div. Pref],IF([Div. Pref]&gt;0,[Div. Pref],IF([Div. Mínimo]&gt;0,[Div. Mínimo],0)))</f>
        <v>0</v>
      </c>
      <c r="AF116" s="98">
        <f>[Lucro Distribuir]/[Total Ações]</f>
        <v>0.34629102565178238</v>
      </c>
      <c r="AG116" s="98">
        <f>IF([Lucro Payout]&gt;[Lucro Dist./Ação],MAX(Tabela3[[#This Row],[Lucro Atual]:[Lucro Dist./Ação]]),MAX(Tabela3[[#This Row],[Lucro Payout]:[Lucro Atual]]))</f>
        <v>0</v>
      </c>
      <c r="AH116" s="16" t="str">
        <f>IF(AND([% A.A.]&gt;=10%,[PVPA]&lt;=2,[PL]&lt;=15,[PL]&gt;0),"Sim","Não")</f>
        <v>Não</v>
      </c>
      <c r="AI116" s="22">
        <f>Tabela3[[#This Row],[Lucro]]/Tabela3[[#This Row],[Cotação]]</f>
        <v>0</v>
      </c>
      <c r="AJ116" s="18">
        <f>((1+Tabela3[[#This Row],[% Yield]])^(1/(3*Tabela3[[#This Row],[Ref]])))^(12)-1</f>
        <v>0</v>
      </c>
      <c r="AK116" s="10">
        <f>($AQ$1/Tabela3[[#This Row],[Cotação]]-MOD($AQ$1/Tabela3[[#This Row],[Cotação]],100))</f>
        <v>0</v>
      </c>
      <c r="AL116" s="7">
        <f>Tabela3[[#This Row],[Ativos]]*Tabela3[[#This Row],[Lucro Atual]]</f>
        <v>0</v>
      </c>
      <c r="AM116" s="49">
        <f>SUMPRODUCT(N(Tabela1[Código]=Tabela3[[#This Row],[PAPEL]]),Tabela1[Fechamento])</f>
        <v>0</v>
      </c>
      <c r="AN116" s="58">
        <f>SUMPRODUCT(N(Tabela17[Código]=Tabela3[[#This Row],[PAPEL]]),Tabela17[Fechamento])</f>
        <v>6.4</v>
      </c>
    </row>
    <row r="117" spans="1:40">
      <c r="A117" s="4" t="s">
        <v>12</v>
      </c>
      <c r="B117" s="68" t="s">
        <v>55</v>
      </c>
      <c r="C117" s="45" t="str">
        <f>LEFT([PAPEL],LEN([PAPEL])-(LEN([PAPEL])-4))</f>
        <v>LIGT</v>
      </c>
      <c r="D117" s="16">
        <v>3</v>
      </c>
      <c r="E117" s="5">
        <v>2225822197.8899999</v>
      </c>
      <c r="F117" s="60">
        <v>203934060</v>
      </c>
      <c r="G117" s="18">
        <v>0.25</v>
      </c>
      <c r="I117" s="18"/>
      <c r="J117" s="18"/>
      <c r="L117" s="6">
        <v>3392238000</v>
      </c>
      <c r="M117" s="6">
        <v>458325000</v>
      </c>
      <c r="N117" s="6">
        <f>Tabela3[[#This Row],[Capital Social]]*20%</f>
        <v>445164439.57800001</v>
      </c>
      <c r="O117" s="6">
        <f>IF(([Lucro Líquido]*5%)&gt;[Teto R. Legal],[Teto R. Legal],[Lucro Líquido]*5%)</f>
        <v>22916250</v>
      </c>
      <c r="P117" s="6">
        <f>IF([Lucro Líquido]&lt;0,0,[Lucro Líquido]-[Reserva Legal])</f>
        <v>435408750</v>
      </c>
      <c r="Q117" s="21">
        <f>SUMPRODUCT(N([Nome]=Tabela3[[#This Row],[Nome]]),[Ações])</f>
        <v>203934060</v>
      </c>
      <c r="R117" s="6">
        <f>[Capital Social]/[Total Ações]</f>
        <v>10.914421053010958</v>
      </c>
      <c r="S117" s="13">
        <f>Tabela3[[#This Row],[Lucro Líquido]]/Tabela3[[#This Row],[Total Ações]]</f>
        <v>2.2474176211663712</v>
      </c>
      <c r="T11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0.53376168502701316</v>
      </c>
      <c r="U117" s="99">
        <f>[Patrimônio Líquido]*[% PNA (PL)]/[Total Ações]</f>
        <v>0</v>
      </c>
      <c r="V117" s="99">
        <f>[Capital Social]*[% PNA (CS)]/[Total Ações]</f>
        <v>0</v>
      </c>
      <c r="W117" s="99">
        <f>MAX(Tabela3[[#This Row],[Div PNA (PL)]],Tabela3[[#This Row],[Div PNA (CS)]])</f>
        <v>0</v>
      </c>
      <c r="X117" s="6">
        <f>[Div. Pref]*[Ações]</f>
        <v>0</v>
      </c>
      <c r="Y117" s="19">
        <f>IF(GETPIVOTDATA("Payout",'Tabela LL'!$A$3,"Ativo",Tabela3[[#This Row],[PAPEL]])&gt;1,1,GETPIVOTDATA("Payout",'Tabela LL'!$A$3,"Ativo",Tabela3[[#This Row],[PAPEL]]))</f>
        <v>0.79479552403967901</v>
      </c>
      <c r="Z117" s="6">
        <f>[Patrimônio Líquido]/[Total Ações]</f>
        <v>16.633994341112025</v>
      </c>
      <c r="AA117" s="41">
        <f>MAX(Tabela3[[#This Row],[Cotação 1]],Tabela3[[#This Row],[Cotação 2]])</f>
        <v>20.8</v>
      </c>
      <c r="AB117" s="46">
        <f>[Cotação]/[VPA]</f>
        <v>1.2504513091357388</v>
      </c>
      <c r="AC117" s="42">
        <f>IF(Tabela3[[#This Row],[Lucro/Ação]]&gt;0,Tabela3[[#This Row],[Cotação]]/(Tabela3[[#This Row],[Lucro/Ação]]/[Ref]*4),0)</f>
        <v>6.9413000294550802</v>
      </c>
      <c r="AD117" s="96">
        <f>IF([Div. Mínimo]=0,0,[Lucro Distribuir]*[Payout]/[Total Ações])</f>
        <v>1.6969255926533879</v>
      </c>
      <c r="AE117" s="99">
        <f>IF(AND([Div. Pref]&gt;0,[Div. Mínimo]&gt;0),[Div. Mínimo]+[Div. Pref],IF([Div. Pref]&gt;0,[Div. Pref],IF([Div. Mínimo]&gt;0,[Div. Mínimo],0)))</f>
        <v>0.53376168502701316</v>
      </c>
      <c r="AF117" s="99">
        <f>[Lucro Distribuir]/[Total Ações]</f>
        <v>2.1350467401080526</v>
      </c>
      <c r="AG117" s="99">
        <f>IF([Lucro Payout]&gt;[Lucro Dist./Ação],MAX(Tabela3[[#This Row],[Lucro Atual]:[Lucro Dist./Ação]]),MAX(Tabela3[[#This Row],[Lucro Payout]:[Lucro Atual]]))</f>
        <v>1.6969255926533879</v>
      </c>
      <c r="AH117" s="14" t="str">
        <f>IF(AND([% A.A.]&gt;=10%,[PVPA]&lt;=2,[PL]&lt;=15,[PL]&gt;0),"Sim","Não")</f>
        <v>Sim</v>
      </c>
      <c r="AI117" s="43">
        <f>Tabela3[[#This Row],[Lucro]]/Tabela3[[#This Row],[Cotação]]</f>
        <v>8.1582961185259026E-2</v>
      </c>
      <c r="AJ117" s="19">
        <f>((1+Tabela3[[#This Row],[% Yield]])^(1/(3*Tabela3[[#This Row],[Ref]])))^(12)-1</f>
        <v>0.11023040270298923</v>
      </c>
      <c r="AK117" s="14">
        <f>($AQ$1/Tabela3[[#This Row],[Cotação]]-MOD($AQ$1/Tabela3[[#This Row],[Cotação]],100))</f>
        <v>0</v>
      </c>
      <c r="AL117" s="17">
        <f>Tabela3[[#This Row],[Ativos]]*Tabela3[[#This Row],[Lucro Atual]]</f>
        <v>0</v>
      </c>
      <c r="AM117" s="5">
        <f>SUMPRODUCT(N(Tabela1[Código]=Tabela3[[#This Row],[PAPEL]]),Tabela1[Fechamento])</f>
        <v>20.8</v>
      </c>
      <c r="AN117" s="5">
        <f>SUMPRODUCT(N(Tabela17[Código]=Tabela3[[#This Row],[PAPEL]]),Tabela17[Fechamento])</f>
        <v>0</v>
      </c>
    </row>
    <row r="118" spans="1:40">
      <c r="A118" s="4" t="s">
        <v>12</v>
      </c>
      <c r="B118" s="14" t="s">
        <v>179</v>
      </c>
      <c r="C118" s="14" t="str">
        <f>LEFT([PAPEL],LEN([PAPEL])-(LEN([PAPEL])-4))</f>
        <v>LIPR</v>
      </c>
      <c r="D118" s="15">
        <v>3</v>
      </c>
      <c r="E118" s="6"/>
      <c r="F118" s="8"/>
      <c r="G118" s="19"/>
      <c r="H118" s="15"/>
      <c r="I118" s="19"/>
      <c r="J118" s="19"/>
      <c r="K118" s="19"/>
      <c r="L118" s="6">
        <v>143016000</v>
      </c>
      <c r="M118" s="6">
        <v>5000000</v>
      </c>
      <c r="N118" s="6">
        <f>Tabela3[[#This Row],[Capital Social]]*20%</f>
        <v>0</v>
      </c>
      <c r="O118" s="6">
        <f>IF(([Lucro Líquido]*5%)&gt;[Teto R. Legal],[Teto R. Legal],[Lucro Líquido]*5%)</f>
        <v>0</v>
      </c>
      <c r="P118" s="6">
        <f>IF([Lucro Líquido]&lt;0,0,[Lucro Líquido]-[Reserva Legal])</f>
        <v>5000000</v>
      </c>
      <c r="Q118" s="40">
        <v>11764889</v>
      </c>
      <c r="R118" s="6">
        <f>[Capital Social]/[Total Ações]</f>
        <v>0</v>
      </c>
      <c r="S118" s="13">
        <f>Tabela3[[#This Row],[Lucro Líquido]]/Tabela3[[#This Row],[Total Ações]]</f>
        <v>0.4249933849779628</v>
      </c>
      <c r="T11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18" s="99">
        <f>[Patrimônio Líquido]*[% PNA (PL)]/[Total Ações]</f>
        <v>0</v>
      </c>
      <c r="V118" s="99">
        <f>[Capital Social]*[% PNA (CS)]/[Total Ações]</f>
        <v>0</v>
      </c>
      <c r="W118" s="99">
        <f>MAX(Tabela3[[#This Row],[Div PNA (PL)]],Tabela3[[#This Row],[Div PNA (CS)]])</f>
        <v>0</v>
      </c>
      <c r="X118" s="6">
        <f>[Div. Pref]*[Ações]</f>
        <v>0</v>
      </c>
      <c r="Y118" s="19">
        <f>IF(GETPIVOTDATA("Payout",'Tabela LL'!$A$3,"Ativo",Tabela3[[#This Row],[PAPEL]])&gt;1,1,GETPIVOTDATA("Payout",'Tabela LL'!$A$3,"Ativo",Tabela3[[#This Row],[PAPEL]]))</f>
        <v>0.43168732302801038</v>
      </c>
      <c r="Z118" s="6">
        <f>[Patrimônio Líquido]/[Total Ações]</f>
        <v>12.156170789201665</v>
      </c>
      <c r="AA118" s="50">
        <f>MAX(Tabela3[[#This Row],[Cotação 1]],Tabela3[[#This Row],[Cotação 2]])</f>
        <v>49.6</v>
      </c>
      <c r="AB118" s="46">
        <f>[Cotação]/[VPA]</f>
        <v>4.0802322425462894</v>
      </c>
      <c r="AC118" s="42">
        <f>IF(Tabela3[[#This Row],[Lucro/Ação]]&gt;0,Tabela3[[#This Row],[Cotação]]/(Tabela3[[#This Row],[Lucro/Ação]]/[Ref]*4),0)</f>
        <v>87.530774160000007</v>
      </c>
      <c r="AD118" s="42">
        <f>IF([Div. Mínimo]=0,0,[Lucro Distribuir]*[Payout]/[Total Ações])</f>
        <v>0</v>
      </c>
      <c r="AE118" s="99">
        <f>IF(AND([Div. Pref]&gt;0,[Div. Mínimo]&gt;0),[Div. Mínimo]+[Div. Pref],IF([Div. Pref]&gt;0,[Div. Pref],IF([Div. Mínimo]&gt;0,[Div. Mínimo],0)))</f>
        <v>0</v>
      </c>
      <c r="AF118" s="99">
        <f>[Lucro Distribuir]/[Total Ações]</f>
        <v>0.4249933849779628</v>
      </c>
      <c r="AG118" s="99">
        <f>IF([Lucro Payout]&gt;[Lucro Dist./Ação],MAX(Tabela3[[#This Row],[Lucro Atual]:[Lucro Dist./Ação]]),MAX(Tabela3[[#This Row],[Lucro Payout]:[Lucro Atual]]))</f>
        <v>0</v>
      </c>
      <c r="AH118" s="15" t="str">
        <f>IF(AND([% A.A.]&gt;=10%,[PVPA]&lt;=2,[PL]&lt;=15,[PL]&gt;0),"Sim","Não")</f>
        <v>Não</v>
      </c>
      <c r="AI118" s="44">
        <f>Tabela3[[#This Row],[Lucro]]/Tabela3[[#This Row],[Cotação]]</f>
        <v>0</v>
      </c>
      <c r="AJ118" s="19">
        <f>((1+Tabela3[[#This Row],[% Yield]])^(1/(3*Tabela3[[#This Row],[Ref]])))^(12)-1</f>
        <v>0</v>
      </c>
      <c r="AK118" s="14">
        <f>($AQ$1/Tabela3[[#This Row],[Cotação]]-MOD($AQ$1/Tabela3[[#This Row],[Cotação]],100))</f>
        <v>0</v>
      </c>
      <c r="AL118" s="17">
        <f>Tabela3[[#This Row],[Ativos]]*Tabela3[[#This Row],[Lucro Atual]]</f>
        <v>0</v>
      </c>
      <c r="AM118" s="5">
        <f>SUMPRODUCT(N(Tabela1[Código]=Tabela3[[#This Row],[PAPEL]]),Tabela1[Fechamento])</f>
        <v>49.6</v>
      </c>
      <c r="AN118" s="5">
        <f>SUMPRODUCT(N(Tabela17[Código]=Tabela3[[#This Row],[PAPEL]]),Tabela17[Fechamento])</f>
        <v>0</v>
      </c>
    </row>
    <row r="119" spans="1:40">
      <c r="A119" s="4" t="s">
        <v>366</v>
      </c>
      <c r="B119" s="68" t="s">
        <v>369</v>
      </c>
      <c r="C119" s="104" t="str">
        <f>LEFT([PAPEL],LEN([PAPEL])-(LEN([PAPEL])-4))</f>
        <v>MAGG</v>
      </c>
      <c r="D119" s="15">
        <v>3</v>
      </c>
      <c r="E119" s="6">
        <v>2528146113.6500001</v>
      </c>
      <c r="F119" s="8">
        <v>291981934</v>
      </c>
      <c r="G119" s="19">
        <v>0.25</v>
      </c>
      <c r="H119" s="15"/>
      <c r="I119" s="19"/>
      <c r="J119" s="19"/>
      <c r="K119" s="19"/>
      <c r="L119" s="6">
        <v>2907030000</v>
      </c>
      <c r="M119" s="6">
        <v>25088000</v>
      </c>
      <c r="N119" s="6">
        <f>Tabela3[[#This Row],[Capital Social]]*20%</f>
        <v>505629222.73000002</v>
      </c>
      <c r="O119" s="6">
        <f>IF(([Lucro Líquido]*5%)&gt;[Teto R. Legal],[Teto R. Legal],[Lucro Líquido]*5%)</f>
        <v>1254400</v>
      </c>
      <c r="P119" s="6">
        <f>IF([Lucro Líquido]&lt;0,0,[Lucro Líquido]-[Reserva Legal])</f>
        <v>23833600</v>
      </c>
      <c r="Q119" s="21">
        <f>SUMPRODUCT(N([Nome]=Tabela3[[#This Row],[Nome]]),[Ações])</f>
        <v>291981934</v>
      </c>
      <c r="R119" s="6">
        <f>[Capital Social]/[Total Ações]</f>
        <v>8.6585703403485237</v>
      </c>
      <c r="S119" s="13">
        <f>Tabela3[[#This Row],[Lucro Líquido]]/Tabela3[[#This Row],[Total Ações]]</f>
        <v>8.5923124271106446E-2</v>
      </c>
      <c r="T11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2.0406742014387781E-2</v>
      </c>
      <c r="U119" s="99">
        <f>[Patrimônio Líquido]*[% PNA (PL)]/[Total Ações]</f>
        <v>0</v>
      </c>
      <c r="V119" s="99">
        <f>[Capital Social]*[% PNA (CS)]/[Total Ações]</f>
        <v>0</v>
      </c>
      <c r="W119" s="99">
        <f>MAX(Tabela3[[#This Row],[Div PNA (PL)]],Tabela3[[#This Row],[Div PNA (CS)]])</f>
        <v>0</v>
      </c>
      <c r="X119" s="6">
        <f>[Div. Pref]*[Ações]</f>
        <v>0</v>
      </c>
      <c r="Y119" s="19">
        <f>IF(GETPIVOTDATA("Payout",'Tabela LL'!$A$3,"Ativo",Tabela3[[#This Row],[PAPEL]])&gt;1,1,GETPIVOTDATA("Payout",'Tabela LL'!$A$3,"Ativo",Tabela3[[#This Row],[PAPEL]]))</f>
        <v>0.16275155588949558</v>
      </c>
      <c r="Z119" s="6">
        <f>[Patrimônio Líquido]/[Total Ações]</f>
        <v>9.9561981803983812</v>
      </c>
      <c r="AA119" s="50">
        <f>MAX(Tabela3[[#This Row],[Cotação 1]],Tabela3[[#This Row],[Cotação 2]])</f>
        <v>5.69</v>
      </c>
      <c r="AB119" s="46">
        <f>[Cotação]/[VPA]</f>
        <v>0.57150328839399667</v>
      </c>
      <c r="AC119" s="42">
        <f>IF(Tabela3[[#This Row],[Lucro/Ação]]&gt;0,Tabela3[[#This Row],[Cotação]]/(Tabela3[[#This Row],[Lucro/Ação]]/[Ref]*4),0)</f>
        <v>49.666490088687823</v>
      </c>
      <c r="AD119" s="42">
        <f>IF([Div. Mínimo]=0,0,[Lucro Distribuir]*[Payout]/[Total Ações])</f>
        <v>1.3284916053908602E-2</v>
      </c>
      <c r="AE119" s="99">
        <f>IF(AND([Div. Pref]&gt;0,[Div. Mínimo]&gt;0),[Div. Mínimo]+[Div. Pref],IF([Div. Pref]&gt;0,[Div. Pref],IF([Div. Mínimo]&gt;0,[Div. Mínimo],0)))</f>
        <v>2.0406742014387781E-2</v>
      </c>
      <c r="AF119" s="99">
        <f>[Lucro Distribuir]/[Total Ações]</f>
        <v>8.1626968057551125E-2</v>
      </c>
      <c r="AG119" s="99">
        <f>IF([Lucro Payout]&gt;[Lucro Dist./Ação],MAX(Tabela3[[#This Row],[Lucro Atual]:[Lucro Dist./Ação]]),MAX(Tabela3[[#This Row],[Lucro Payout]:[Lucro Atual]]))</f>
        <v>2.0406742014387781E-2</v>
      </c>
      <c r="AH119" s="15" t="str">
        <f>IF(AND([% A.A.]&gt;=10%,[PVPA]&lt;=2,[PL]&lt;=15,[PL]&gt;0),"Sim","Não")</f>
        <v>Não</v>
      </c>
      <c r="AI119" s="44">
        <f>Tabela3[[#This Row],[Lucro]]/Tabela3[[#This Row],[Cotação]]</f>
        <v>3.5864221466410861E-3</v>
      </c>
      <c r="AJ119" s="19">
        <f>((1+Tabela3[[#This Row],[% Yield]])^(1/(3*Tabela3[[#This Row],[Ref]])))^(12)-1</f>
        <v>4.7847522372950202E-3</v>
      </c>
      <c r="AK119" s="14">
        <f>($AQ$1/Tabela3[[#This Row],[Cotação]]-MOD($AQ$1/Tabela3[[#This Row],[Cotação]],100))</f>
        <v>0</v>
      </c>
      <c r="AL119" s="17">
        <f>Tabela3[[#This Row],[Ativos]]*Tabela3[[#This Row],[Lucro Atual]]</f>
        <v>0</v>
      </c>
      <c r="AM119" s="13">
        <f>SUMPRODUCT(N(Tabela1[Código]=Tabela3[[#This Row],[PAPEL]]),Tabela1[Fechamento])</f>
        <v>0</v>
      </c>
      <c r="AN119" s="59">
        <f>SUMPRODUCT(N(Tabela17[Código]=Tabela3[[#This Row],[PAPEL]]),Tabela17[Fechamento])</f>
        <v>5.69</v>
      </c>
    </row>
    <row r="120" spans="1:40">
      <c r="A120" s="4" t="s">
        <v>421</v>
      </c>
      <c r="B120" s="68" t="s">
        <v>419</v>
      </c>
      <c r="C120" s="14" t="str">
        <f>LEFT([PAPEL],LEN([PAPEL])-(LEN([PAPEL])-4))</f>
        <v>MERC</v>
      </c>
      <c r="D120" s="15">
        <v>3</v>
      </c>
      <c r="E120" s="6">
        <v>126070000</v>
      </c>
      <c r="F120" s="8">
        <v>10179565</v>
      </c>
      <c r="G120" s="19">
        <v>0.25</v>
      </c>
      <c r="H120" s="15"/>
      <c r="I120" s="19"/>
      <c r="J120" s="19"/>
      <c r="K120" s="19"/>
      <c r="L120" s="5">
        <v>162348000</v>
      </c>
      <c r="M120" s="5">
        <v>18569000</v>
      </c>
      <c r="N120" s="6">
        <f>Tabela3[[#This Row],[Capital Social]]*20%</f>
        <v>25214000</v>
      </c>
      <c r="O120" s="6">
        <f>IF(([Lucro Líquido]*5%)&gt;[Teto R. Legal],[Teto R. Legal],[Lucro Líquido]*5%)</f>
        <v>928450</v>
      </c>
      <c r="P120" s="6">
        <f>IF([Lucro Líquido]&lt;0,0,[Lucro Líquido]-[Reserva Legal])</f>
        <v>17640550</v>
      </c>
      <c r="Q120" s="21">
        <f>SUMPRODUCT(N([Nome]=Tabela3[[#This Row],[Nome]]),[Ações])</f>
        <v>18010000</v>
      </c>
      <c r="R120" s="6">
        <f>[Capital Social]/[Total Ações]</f>
        <v>7</v>
      </c>
      <c r="S120" s="13">
        <f>Tabela3[[#This Row],[Lucro Líquido]]/Tabela3[[#This Row],[Total Ações]]</f>
        <v>1.0310383120488618</v>
      </c>
      <c r="T12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0.10673002118540802</v>
      </c>
      <c r="U120" s="99">
        <f>[Patrimônio Líquido]*[% PNA (PL)]/[Total Ações]</f>
        <v>0</v>
      </c>
      <c r="V120" s="99">
        <f>[Capital Social]*[% PNA (CS)]/[Total Ações]</f>
        <v>0</v>
      </c>
      <c r="W120" s="99">
        <f>MAX(Tabela3[[#This Row],[Div PNA (PL)]],Tabela3[[#This Row],[Div PNA (CS)]])</f>
        <v>0</v>
      </c>
      <c r="X120" s="6">
        <f>[Div. Pref]*[Ações]</f>
        <v>0</v>
      </c>
      <c r="Y120" s="19">
        <f>IF(GETPIVOTDATA("Payout",'Tabela LL'!$A$3,"Ativo",Tabela3[[#This Row],[PAPEL]])&gt;1,1,GETPIVOTDATA("Payout",'Tabela LL'!$A$3,"Ativo",Tabela3[[#This Row],[PAPEL]]))</f>
        <v>0.27169719418566168</v>
      </c>
      <c r="Z120" s="6">
        <f>[Patrimônio Líquido]/[Total Ações]</f>
        <v>9.0143253747917829</v>
      </c>
      <c r="AA120" s="50">
        <f>MAX(Tabela3[[#This Row],[Cotação 1]],Tabela3[[#This Row],[Cotação 2]])</f>
        <v>83.91</v>
      </c>
      <c r="AB120" s="46">
        <f>[Cotação]/[VPA]</f>
        <v>9.3085168896444657</v>
      </c>
      <c r="AC120" s="42">
        <f>IF(Tabela3[[#This Row],[Lucro/Ação]]&gt;0,Tabela3[[#This Row],[Cotação]]/(Tabela3[[#This Row],[Lucro/Ação]]/[Ref]*4),0)</f>
        <v>61.037984005600727</v>
      </c>
      <c r="AD120" s="42">
        <f>IF([Div. Mínimo]=0,0,[Lucro Distribuir]*[Payout]/[Total Ações])</f>
        <v>0.26612370565751664</v>
      </c>
      <c r="AE120" s="99">
        <f>IF(AND([Div. Pref]&gt;0,[Div. Mínimo]&gt;0),[Div. Mínimo]+[Div. Pref],IF([Div. Pref]&gt;0,[Div. Pref],IF([Div. Mínimo]&gt;0,[Div. Mínimo],0)))</f>
        <v>0.10673002118540802</v>
      </c>
      <c r="AF120" s="99">
        <f>[Lucro Distribuir]/[Total Ações]</f>
        <v>0.97948639644641866</v>
      </c>
      <c r="AG120" s="99">
        <f>IF([Lucro Payout]&gt;[Lucro Dist./Ação],MAX(Tabela3[[#This Row],[Lucro Atual]:[Lucro Dist./Ação]]),MAX(Tabela3[[#This Row],[Lucro Payout]:[Lucro Atual]]))</f>
        <v>0.26612370565751664</v>
      </c>
      <c r="AH120" s="15" t="str">
        <f>IF(AND([% A.A.]&gt;=10%,[PVPA]&lt;=2,[PL]&lt;=15,[PL]&gt;0),"Sim","Não")</f>
        <v>Não</v>
      </c>
      <c r="AI120" s="44">
        <f>Tabela3[[#This Row],[Lucro]]/Tabela3[[#This Row],[Cotação]]</f>
        <v>3.171537428882334E-3</v>
      </c>
      <c r="AJ120" s="19">
        <f>((1+Tabela3[[#This Row],[% Yield]])^(1/(3*Tabela3[[#This Row],[Ref]])))^(12)-1</f>
        <v>4.2309502540243127E-3</v>
      </c>
      <c r="AK120" s="14">
        <f>($AQ$1/Tabela3[[#This Row],[Cotação]]-MOD($AQ$1/Tabela3[[#This Row],[Cotação]],100))</f>
        <v>0</v>
      </c>
      <c r="AL120" s="17">
        <f>Tabela3[[#This Row],[Ativos]]*Tabela3[[#This Row],[Lucro Atual]]</f>
        <v>0</v>
      </c>
      <c r="AM120" s="5">
        <f>SUMPRODUCT(N(Tabela1[Código]=Tabela3[[#This Row],[PAPEL]]),Tabela1[Fechamento])</f>
        <v>0</v>
      </c>
      <c r="AN120" s="5">
        <f>SUMPRODUCT(N(Tabela17[Código]=Tabela3[[#This Row],[PAPEL]]),Tabela17[Fechamento])</f>
        <v>83.91</v>
      </c>
    </row>
    <row r="121" spans="1:40">
      <c r="A121" s="4" t="s">
        <v>421</v>
      </c>
      <c r="B121" s="68" t="s">
        <v>420</v>
      </c>
      <c r="C121" s="104" t="str">
        <f>LEFT([PAPEL],LEN([PAPEL])-(LEN([PAPEL])-4))</f>
        <v>MERC</v>
      </c>
      <c r="D121" s="15">
        <v>3</v>
      </c>
      <c r="E121" s="6">
        <v>126070000</v>
      </c>
      <c r="F121" s="8">
        <v>7830435</v>
      </c>
      <c r="G121" s="19"/>
      <c r="H121" s="19"/>
      <c r="I121" s="19">
        <v>0.06</v>
      </c>
      <c r="J121" s="19"/>
      <c r="K121" s="19">
        <v>0.1</v>
      </c>
      <c r="L121" s="5">
        <v>162348000</v>
      </c>
      <c r="M121" s="5">
        <v>18569000</v>
      </c>
      <c r="N121" s="5">
        <f>Tabela3[[#This Row],[Capital Social]]*20%</f>
        <v>25214000</v>
      </c>
      <c r="O121" s="5">
        <f>IF(([Lucro Líquido]*5%)&gt;[Teto R. Legal],[Teto R. Legal],[Lucro Líquido]*5%)</f>
        <v>928450</v>
      </c>
      <c r="P121" s="5">
        <f>IF([Lucro Líquido]&lt;0,0,[Lucro Líquido]-[Reserva Legal])</f>
        <v>17640550</v>
      </c>
      <c r="Q121" s="21">
        <f>SUMPRODUCT(N([Nome]=Tabela3[[#This Row],[Nome]]),[Ações])</f>
        <v>18010000</v>
      </c>
      <c r="R121" s="5">
        <f>[Capital Social]/[Total Ações]</f>
        <v>7</v>
      </c>
      <c r="S121" s="13">
        <f>Tabela3[[#This Row],[Lucro Líquido]]/Tabela3[[#This Row],[Total Ações]]</f>
        <v>1.0310383120488618</v>
      </c>
      <c r="T12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1" s="98">
        <f>[Patrimônio Líquido]*[% PNA (PL)]/[Total Ações]</f>
        <v>0</v>
      </c>
      <c r="V121" s="98">
        <f>[Capital Social]*[% PNA (CS)]/[Total Ações]</f>
        <v>0.42</v>
      </c>
      <c r="W121" s="98">
        <f>MAX(Tabela3[[#This Row],[Div PNA (PL)]],Tabela3[[#This Row],[Div PNA (CS)]])</f>
        <v>0.42</v>
      </c>
      <c r="X121" s="5">
        <f>[Div. Pref]*[Ações]</f>
        <v>3288782.6999999997</v>
      </c>
      <c r="Y121" s="19">
        <f>IF(GETPIVOTDATA("Payout",'Tabela LL'!$A$3,"Ativo",Tabela3[[#This Row],[PAPEL]])&gt;1,1,GETPIVOTDATA("Payout",'Tabela LL'!$A$3,"Ativo",Tabela3[[#This Row],[PAPEL]]))</f>
        <v>0.3971899422750666</v>
      </c>
      <c r="Z121" s="6">
        <f>[Patrimônio Líquido]/[Total Ações]</f>
        <v>9.0143253747917829</v>
      </c>
      <c r="AA121" s="50">
        <f>MAX(Tabela3[[#This Row],[Cotação 1]],Tabela3[[#This Row],[Cotação 2]])</f>
        <v>6.58</v>
      </c>
      <c r="AB121" s="46">
        <f>[Cotação]/[VPA]</f>
        <v>0.72994924483208901</v>
      </c>
      <c r="AC121" s="42">
        <f>IF(Tabela3[[#This Row],[Lucro/Ação]]&gt;0,Tabela3[[#This Row],[Cotação]]/(Tabela3[[#This Row],[Lucro/Ação]]/[Ref]*4),0)</f>
        <v>4.786437072540255</v>
      </c>
      <c r="AD121" s="42">
        <f>IF([Div. Mínimo]=0,0,[Lucro Distribuir]*[Payout]/[Total Ações])</f>
        <v>0</v>
      </c>
      <c r="AE121" s="99">
        <f>IF(AND([Div. Pref]&gt;0,[Div. Mínimo]&gt;0),[Div. Mínimo]+[Div. Pref],IF([Div. Pref]&gt;0,[Div. Pref],IF([Div. Mínimo]&gt;0,[Div. Mínimo],0)))</f>
        <v>0.42</v>
      </c>
      <c r="AF121" s="99">
        <f>[Lucro Distribuir]/[Total Ações]</f>
        <v>0.97948639644641866</v>
      </c>
      <c r="AG121" s="99">
        <f>IF([Lucro Payout]&gt;[Lucro Dist./Ação],MAX(Tabela3[[#This Row],[Lucro Atual]:[Lucro Dist./Ação]]),MAX(Tabela3[[#This Row],[Lucro Payout]:[Lucro Atual]]))</f>
        <v>0.42</v>
      </c>
      <c r="AH121" s="15" t="str">
        <f>IF(AND([% A.A.]&gt;=10%,[PVPA]&lt;=2,[PL]&lt;=15,[PL]&gt;0),"Sim","Não")</f>
        <v>Não</v>
      </c>
      <c r="AI121" s="44">
        <f>Tabela3[[#This Row],[Lucro]]/Tabela3[[#This Row],[Cotação]]</f>
        <v>6.3829787234042548E-2</v>
      </c>
      <c r="AJ121" s="19">
        <f>((1+Tabela3[[#This Row],[% Yield]])^(1/(3*Tabela3[[#This Row],[Ref]])))^(12)-1</f>
        <v>8.5999258022291247E-2</v>
      </c>
      <c r="AK121" s="14">
        <f>($AQ$1/Tabela3[[#This Row],[Cotação]]-MOD($AQ$1/Tabela3[[#This Row],[Cotação]],100))</f>
        <v>0</v>
      </c>
      <c r="AL121" s="17">
        <f>Tabela3[[#This Row],[Ativos]]*Tabela3[[#This Row],[Lucro Atual]]</f>
        <v>0</v>
      </c>
      <c r="AM121" s="13">
        <f>SUMPRODUCT(N(Tabela1[Código]=Tabela3[[#This Row],[PAPEL]]),Tabela1[Fechamento])</f>
        <v>0</v>
      </c>
      <c r="AN121" s="59">
        <f>SUMPRODUCT(N(Tabela17[Código]=Tabela3[[#This Row],[PAPEL]]),Tabela17[Fechamento])</f>
        <v>6.58</v>
      </c>
    </row>
    <row r="122" spans="1:40">
      <c r="A122" s="3" t="s">
        <v>331</v>
      </c>
      <c r="B122" s="69" t="s">
        <v>340</v>
      </c>
      <c r="C122" s="105" t="str">
        <f>LEFT([PAPEL],LEN([PAPEL])-(LEN([PAPEL])-4))</f>
        <v>MOAR</v>
      </c>
      <c r="D122" s="16">
        <v>3</v>
      </c>
      <c r="E122" s="5"/>
      <c r="H122" s="16"/>
      <c r="I122" s="18"/>
      <c r="J122" s="18"/>
      <c r="L122" s="5">
        <v>1185190000</v>
      </c>
      <c r="M122" s="5">
        <v>90444000</v>
      </c>
      <c r="N122" s="5">
        <f>Tabela3[[#This Row],[Capital Social]]*20%</f>
        <v>0</v>
      </c>
      <c r="O122" s="5">
        <f>IF(([Lucro Líquido]*5%)&gt;[Teto R. Legal],[Teto R. Legal],[Lucro Líquido]*5%)</f>
        <v>0</v>
      </c>
      <c r="P122" s="5">
        <f>IF([Lucro Líquido]&lt;0,0,[Lucro Líquido]-[Reserva Legal])</f>
        <v>90444000</v>
      </c>
      <c r="Q122" s="21">
        <v>12251221</v>
      </c>
      <c r="R122" s="5">
        <f>[Capital Social]/[Total Ações]</f>
        <v>0</v>
      </c>
      <c r="S122" s="49">
        <f>Tabela3[[#This Row],[Lucro Líquido]]/Tabela3[[#This Row],[Total Ações]]</f>
        <v>7.3824478392806725</v>
      </c>
      <c r="T122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2" s="98">
        <f>[Patrimônio Líquido]*[% PNA (PL)]/[Total Ações]</f>
        <v>0</v>
      </c>
      <c r="V122" s="98">
        <f>[Capital Social]*[% PNA (CS)]/[Total Ações]</f>
        <v>0</v>
      </c>
      <c r="W122" s="98">
        <f>MAX(Tabela3[[#This Row],[Div PNA (PL)]],Tabela3[[#This Row],[Div PNA (CS)]])</f>
        <v>0</v>
      </c>
      <c r="X122" s="5">
        <f>[Div. Pref]*[Ações]</f>
        <v>0</v>
      </c>
      <c r="Y122" s="18">
        <f>IF(GETPIVOTDATA("Payout",'Tabela LL'!$A$3,"Ativo",Tabela3[[#This Row],[PAPEL]])&gt;1,1,GETPIVOTDATA("Payout",'Tabela LL'!$A$3,"Ativo",Tabela3[[#This Row],[PAPEL]]))</f>
        <v>0.42680662187286622</v>
      </c>
      <c r="Z122" s="5">
        <f>[Patrimônio Líquido]/[Total Ações]</f>
        <v>96.740561614226039</v>
      </c>
      <c r="AA122" s="56">
        <f>MAX(Tabela3[[#This Row],[Cotação 1]],Tabela3[[#This Row],[Cotação 2]])</f>
        <v>158.99</v>
      </c>
      <c r="AB122" s="57">
        <f>[Cotação]/[VPA]</f>
        <v>1.6434678210160398</v>
      </c>
      <c r="AC122" s="39">
        <f>IF(Tabela3[[#This Row],[Lucro/Ação]]&gt;0,Tabela3[[#This Row],[Cotação]]/(Tabela3[[#This Row],[Lucro/Ação]]/[Ref]*4),0)</f>
        <v>16.152162886344037</v>
      </c>
      <c r="AD122" s="39">
        <f>IF([Div. Mínimo]=0,0,[Lucro Distribuir]*[Payout]/[Total Ações])</f>
        <v>0</v>
      </c>
      <c r="AE122" s="98">
        <f>IF(AND([Div. Pref]&gt;0,[Div. Mínimo]&gt;0),[Div. Mínimo]+[Div. Pref],IF([Div. Pref]&gt;0,[Div. Pref],IF([Div. Mínimo]&gt;0,[Div. Mínimo],0)))</f>
        <v>0</v>
      </c>
      <c r="AF122" s="98">
        <f>[Lucro Distribuir]/[Total Ações]</f>
        <v>7.3824478392806725</v>
      </c>
      <c r="AG122" s="98">
        <f>IF([Lucro Payout]&gt;[Lucro Dist./Ação],MAX(Tabela3[[#This Row],[Lucro Atual]:[Lucro Dist./Ação]]),MAX(Tabela3[[#This Row],[Lucro Payout]:[Lucro Atual]]))</f>
        <v>0</v>
      </c>
      <c r="AH122" s="16" t="str">
        <f>IF(AND([% A.A.]&gt;=10%,[PVPA]&lt;=2,[PL]&lt;=15,[PL]&gt;0),"Sim","Não")</f>
        <v>Não</v>
      </c>
      <c r="AI122" s="22">
        <f>Tabela3[[#This Row],[Lucro]]/Tabela3[[#This Row],[Cotação]]</f>
        <v>0</v>
      </c>
      <c r="AJ122" s="18">
        <f>((1+Tabela3[[#This Row],[% Yield]])^(1/(3*Tabela3[[#This Row],[Ref]])))^(12)-1</f>
        <v>0</v>
      </c>
      <c r="AK122" s="10">
        <f>($AQ$1/Tabela3[[#This Row],[Cotação]]-MOD($AQ$1/Tabela3[[#This Row],[Cotação]],100))</f>
        <v>0</v>
      </c>
      <c r="AL122" s="7">
        <f>Tabela3[[#This Row],[Ativos]]*Tabela3[[#This Row],[Lucro Atual]]</f>
        <v>0</v>
      </c>
      <c r="AM122" s="49">
        <f>SUMPRODUCT(N(Tabela1[Código]=Tabela3[[#This Row],[PAPEL]]),Tabela1[Fechamento])</f>
        <v>0</v>
      </c>
      <c r="AN122" s="58">
        <f>SUMPRODUCT(N(Tabela17[Código]=Tabela3[[#This Row],[PAPEL]]),Tabela17[Fechamento])</f>
        <v>158.99</v>
      </c>
    </row>
    <row r="123" spans="1:40">
      <c r="A123" s="3" t="s">
        <v>402</v>
      </c>
      <c r="B123" s="69" t="s">
        <v>413</v>
      </c>
      <c r="C123" s="105" t="str">
        <f>LEFT([PAPEL],LEN([PAPEL])-(LEN([PAPEL])-4))</f>
        <v>MULT</v>
      </c>
      <c r="D123" s="16">
        <v>3</v>
      </c>
      <c r="E123" s="5"/>
      <c r="H123" s="16"/>
      <c r="I123" s="18"/>
      <c r="J123" s="18"/>
      <c r="L123" s="5">
        <v>3824504000</v>
      </c>
      <c r="M123" s="5">
        <v>227417000</v>
      </c>
      <c r="N123" s="5">
        <f>Tabela3[[#This Row],[Capital Social]]*20%</f>
        <v>0</v>
      </c>
      <c r="O123" s="5">
        <f>IF(([Lucro Líquido]*5%)&gt;[Teto R. Legal],[Teto R. Legal],[Lucro Líquido]*5%)</f>
        <v>0</v>
      </c>
      <c r="P123" s="5">
        <f>IF([Lucro Líquido]&lt;0,0,[Lucro Líquido]-[Reserva Legal])</f>
        <v>227417000</v>
      </c>
      <c r="Q123" s="21">
        <v>189997214</v>
      </c>
      <c r="R123" s="5">
        <f>[Capital Social]/[Total Ações]</f>
        <v>0</v>
      </c>
      <c r="S123" s="49">
        <f>Tabela3[[#This Row],[Lucro Líquido]]/Tabela3[[#This Row],[Total Ações]]</f>
        <v>1.1969491300014536</v>
      </c>
      <c r="T123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3" s="98">
        <f>[Patrimônio Líquido]*[% PNA (PL)]/[Total Ações]</f>
        <v>0</v>
      </c>
      <c r="V123" s="98">
        <f>[Capital Social]*[% PNA (CS)]/[Total Ações]</f>
        <v>0</v>
      </c>
      <c r="W123" s="98">
        <f>MAX(Tabela3[[#This Row],[Div PNA (PL)]],Tabela3[[#This Row],[Div PNA (CS)]])</f>
        <v>0</v>
      </c>
      <c r="X123" s="5">
        <f>[Div. Pref]*[Ações]</f>
        <v>0</v>
      </c>
      <c r="Y123" s="18">
        <f>IF(GETPIVOTDATA("Payout",'Tabela LL'!$A$3,"Ativo",Tabela3[[#This Row],[PAPEL]])&gt;1,1,GETPIVOTDATA("Payout",'Tabela LL'!$A$3,"Ativo",Tabela3[[#This Row],[PAPEL]]))</f>
        <v>0.46005623926256656</v>
      </c>
      <c r="Z123" s="5">
        <f>[Patrimônio Líquido]/[Total Ações]</f>
        <v>20.129263579622805</v>
      </c>
      <c r="AA123" s="56">
        <f>MAX(Tabela3[[#This Row],[Cotação 1]],Tabela3[[#This Row],[Cotação 2]])</f>
        <v>47.5</v>
      </c>
      <c r="AB123" s="57">
        <f>[Cotação]/[VPA]</f>
        <v>2.3597485229457207</v>
      </c>
      <c r="AC123" s="39">
        <f>IF(Tabela3[[#This Row],[Lucro/Ação]]&gt;0,Tabela3[[#This Row],[Cotação]]/(Tabela3[[#This Row],[Lucro/Ação]]/[Ref]*4),0)</f>
        <v>29.763169634416069</v>
      </c>
      <c r="AD123" s="39">
        <f>IF([Div. Mínimo]=0,0,[Lucro Distribuir]*[Payout]/[Total Ações])</f>
        <v>0</v>
      </c>
      <c r="AE123" s="98">
        <f>IF(AND([Div. Pref]&gt;0,[Div. Mínimo]&gt;0),[Div. Mínimo]+[Div. Pref],IF([Div. Pref]&gt;0,[Div. Pref],IF([Div. Mínimo]&gt;0,[Div. Mínimo],0)))</f>
        <v>0</v>
      </c>
      <c r="AF123" s="98">
        <f>[Lucro Distribuir]/[Total Ações]</f>
        <v>1.1969491300014536</v>
      </c>
      <c r="AG123" s="98">
        <f>IF([Lucro Payout]&gt;[Lucro Dist./Ação],MAX(Tabela3[[#This Row],[Lucro Atual]:[Lucro Dist./Ação]]),MAX(Tabela3[[#This Row],[Lucro Payout]:[Lucro Atual]]))</f>
        <v>0</v>
      </c>
      <c r="AH123" s="16" t="str">
        <f>IF(AND([% A.A.]&gt;=10%,[PVPA]&lt;=2,[PL]&lt;=15,[PL]&gt;0),"Sim","Não")</f>
        <v>Não</v>
      </c>
      <c r="AI123" s="22">
        <f>Tabela3[[#This Row],[Lucro]]/Tabela3[[#This Row],[Cotação]]</f>
        <v>0</v>
      </c>
      <c r="AJ123" s="18">
        <f>((1+Tabela3[[#This Row],[% Yield]])^(1/(3*Tabela3[[#This Row],[Ref]])))^(12)-1</f>
        <v>0</v>
      </c>
      <c r="AK123" s="10">
        <f>($AQ$1/Tabela3[[#This Row],[Cotação]]-MOD($AQ$1/Tabela3[[#This Row],[Cotação]],100))</f>
        <v>0</v>
      </c>
      <c r="AL123" s="7">
        <f>Tabela3[[#This Row],[Ativos]]*Tabela3[[#This Row],[Lucro Atual]]</f>
        <v>0</v>
      </c>
      <c r="AM123" s="49">
        <f>SUMPRODUCT(N(Tabela1[Código]=Tabela3[[#This Row],[PAPEL]]),Tabela1[Fechamento])</f>
        <v>0</v>
      </c>
      <c r="AN123" s="58">
        <f>SUMPRODUCT(N(Tabela17[Código]=Tabela3[[#This Row],[PAPEL]]),Tabela17[Fechamento])</f>
        <v>47.5</v>
      </c>
    </row>
    <row r="124" spans="1:40">
      <c r="A124" s="3" t="s">
        <v>326</v>
      </c>
      <c r="B124" s="68" t="s">
        <v>322</v>
      </c>
      <c r="C124" s="104" t="str">
        <f>LEFT([PAPEL],LEN([PAPEL])-(LEN([PAPEL])-4))</f>
        <v>OIBR</v>
      </c>
      <c r="D124" s="16">
        <v>3</v>
      </c>
      <c r="E124" s="5"/>
      <c r="H124" s="16"/>
      <c r="I124" s="18"/>
      <c r="J124" s="18"/>
      <c r="L124" s="5">
        <v>10322490000</v>
      </c>
      <c r="M124" s="5">
        <v>310353000</v>
      </c>
      <c r="N124" s="5">
        <f>Tabela3[[#This Row],[Capital Social]]*20%</f>
        <v>0</v>
      </c>
      <c r="O124" s="5">
        <f>IF(([Lucro Líquido]*5%)&gt;[Teto R. Legal],[Teto R. Legal],[Lucro Líquido]*5%)</f>
        <v>0</v>
      </c>
      <c r="P124" s="5">
        <f>IF([Lucro Líquido]&lt;0,0,[Lucro Líquido]-[Reserva Legal])</f>
        <v>310353000</v>
      </c>
      <c r="Q124" s="21">
        <v>1797086404</v>
      </c>
      <c r="R124" s="5">
        <f>[Capital Social]/[Total Ações]</f>
        <v>0</v>
      </c>
      <c r="S124" s="49">
        <f>Tabela3[[#This Row],[Lucro Líquido]]/Tabela3[[#This Row],[Total Ações]]</f>
        <v>0.17269787324037872</v>
      </c>
      <c r="T124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4" s="98">
        <f>[Patrimônio Líquido]*[% PNA (PL)]/[Total Ações]</f>
        <v>0</v>
      </c>
      <c r="V124" s="98">
        <f>[Capital Social]*[% PNA (CS)]/[Total Ações]</f>
        <v>0</v>
      </c>
      <c r="W124" s="98">
        <f>MAX(Tabela3[[#This Row],[Div PNA (PL)]],Tabela3[[#This Row],[Div PNA (CS)]])</f>
        <v>0</v>
      </c>
      <c r="X124" s="5">
        <f>[Div. Pref]*[Ações]</f>
        <v>0</v>
      </c>
      <c r="Y124" s="18">
        <f>IF(GETPIVOTDATA("Payout",'Tabela LL'!$A$3,"Ativo",Tabela3[[#This Row],[PAPEL]])&gt;1,1,GETPIVOTDATA("Payout",'Tabela LL'!$A$3,"Ativo",Tabela3[[#This Row],[PAPEL]]))</f>
        <v>1</v>
      </c>
      <c r="Z124" s="5">
        <f>[Patrimônio Líquido]/[Total Ações]</f>
        <v>5.7440142983798346</v>
      </c>
      <c r="AA124" s="56">
        <f>MAX(Tabela3[[#This Row],[Cotação 1]],Tabela3[[#This Row],[Cotação 2]])</f>
        <v>4.6900000000000004</v>
      </c>
      <c r="AB124" s="57">
        <f>[Cotação]/[VPA]</f>
        <v>0.81650214577684266</v>
      </c>
      <c r="AC124" s="39">
        <f>IF(Tabela3[[#This Row],[Lucro/Ação]]&gt;0,Tabela3[[#This Row],[Cotação]]/(Tabela3[[#This Row],[Lucro/Ação]]/[Ref]*4),0)</f>
        <v>20.36794046157118</v>
      </c>
      <c r="AD124" s="39">
        <f>IF([Div. Mínimo]=0,0,[Lucro Distribuir]*[Payout]/[Total Ações])</f>
        <v>0</v>
      </c>
      <c r="AE124" s="98">
        <f>IF(AND([Div. Pref]&gt;0,[Div. Mínimo]&gt;0),[Div. Mínimo]+[Div. Pref],IF([Div. Pref]&gt;0,[Div. Pref],IF([Div. Mínimo]&gt;0,[Div. Mínimo],0)))</f>
        <v>0</v>
      </c>
      <c r="AF124" s="98">
        <f>[Lucro Distribuir]/[Total Ações]</f>
        <v>0.17269787324037872</v>
      </c>
      <c r="AG124" s="98">
        <f>IF([Lucro Payout]&gt;[Lucro Dist./Ação],MAX(Tabela3[[#This Row],[Lucro Atual]:[Lucro Dist./Ação]]),MAX(Tabela3[[#This Row],[Lucro Payout]:[Lucro Atual]]))</f>
        <v>0</v>
      </c>
      <c r="AH124" s="16" t="str">
        <f>IF(AND([% A.A.]&gt;=10%,[PVPA]&lt;=2,[PL]&lt;=15,[PL]&gt;0),"Sim","Não")</f>
        <v>Não</v>
      </c>
      <c r="AI124" s="22">
        <f>Tabela3[[#This Row],[Lucro]]/Tabela3[[#This Row],[Cotação]]</f>
        <v>0</v>
      </c>
      <c r="AJ124" s="18">
        <f>((1+Tabela3[[#This Row],[% Yield]])^(1/(3*Tabela3[[#This Row],[Ref]])))^(12)-1</f>
        <v>0</v>
      </c>
      <c r="AK124" s="10">
        <f>($AQ$1/Tabela3[[#This Row],[Cotação]]-MOD($AQ$1/Tabela3[[#This Row],[Cotação]],100))</f>
        <v>0</v>
      </c>
      <c r="AL124" s="7">
        <f>Tabela3[[#This Row],[Ativos]]*Tabela3[[#This Row],[Lucro Atual]]</f>
        <v>0</v>
      </c>
      <c r="AM124" s="49">
        <f>SUMPRODUCT(N(Tabela1[Código]=Tabela3[[#This Row],[PAPEL]]),Tabela1[Fechamento])</f>
        <v>0</v>
      </c>
      <c r="AN124" s="58">
        <f>SUMPRODUCT(N(Tabela17[Código]=Tabela3[[#This Row],[PAPEL]]),Tabela17[Fechamento])</f>
        <v>4.6900000000000004</v>
      </c>
    </row>
    <row r="125" spans="1:40">
      <c r="A125" s="3" t="s">
        <v>326</v>
      </c>
      <c r="B125" s="69" t="s">
        <v>323</v>
      </c>
      <c r="C125" s="105" t="str">
        <f>LEFT([PAPEL],LEN([PAPEL])-(LEN([PAPEL])-4))</f>
        <v>OIBR</v>
      </c>
      <c r="D125" s="16">
        <v>3</v>
      </c>
      <c r="E125" s="5"/>
      <c r="H125" s="16"/>
      <c r="I125" s="18"/>
      <c r="J125" s="18"/>
      <c r="L125" s="5">
        <v>10322490000</v>
      </c>
      <c r="M125" s="5">
        <v>310353000</v>
      </c>
      <c r="N125" s="5">
        <f>Tabela3[[#This Row],[Capital Social]]*20%</f>
        <v>0</v>
      </c>
      <c r="O125" s="5">
        <f>IF(([Lucro Líquido]*5%)&gt;[Teto R. Legal],[Teto R. Legal],[Lucro Líquido]*5%)</f>
        <v>0</v>
      </c>
      <c r="P125" s="5">
        <f>IF([Lucro Líquido]&lt;0,0,[Lucro Líquido]-[Reserva Legal])</f>
        <v>310353000</v>
      </c>
      <c r="Q125" s="21">
        <v>1797086404</v>
      </c>
      <c r="R125" s="5">
        <f>[Capital Social]/[Total Ações]</f>
        <v>0</v>
      </c>
      <c r="S125" s="49">
        <f>Tabela3[[#This Row],[Lucro Líquido]]/Tabela3[[#This Row],[Total Ações]]</f>
        <v>0.17269787324037872</v>
      </c>
      <c r="T125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5" s="98">
        <f>[Patrimônio Líquido]*[% PNA (PL)]/[Total Ações]</f>
        <v>0</v>
      </c>
      <c r="V125" s="98">
        <f>[Capital Social]*[% PNA (CS)]/[Total Ações]</f>
        <v>0</v>
      </c>
      <c r="W125" s="98">
        <f>MAX(Tabela3[[#This Row],[Div PNA (PL)]],Tabela3[[#This Row],[Div PNA (CS)]])</f>
        <v>0</v>
      </c>
      <c r="X125" s="5">
        <f>[Div. Pref]*[Ações]</f>
        <v>0</v>
      </c>
      <c r="Y125" s="18">
        <f>IF(GETPIVOTDATA("Payout",'Tabela LL'!$A$3,"Ativo",Tabela3[[#This Row],[PAPEL]])&gt;1,1,GETPIVOTDATA("Payout",'Tabela LL'!$A$3,"Ativo",Tabela3[[#This Row],[PAPEL]]))</f>
        <v>1</v>
      </c>
      <c r="Z125" s="5">
        <f>[Patrimônio Líquido]/[Total Ações]</f>
        <v>5.7440142983798346</v>
      </c>
      <c r="AA125" s="56">
        <f>MAX(Tabela3[[#This Row],[Cotação 1]],Tabela3[[#This Row],[Cotação 2]])</f>
        <v>4.3899999999999997</v>
      </c>
      <c r="AB125" s="57">
        <f>[Cotação]/[VPA]</f>
        <v>0.76427386353098903</v>
      </c>
      <c r="AC125" s="39">
        <f>IF(Tabela3[[#This Row],[Lucro/Ação]]&gt;0,Tabela3[[#This Row],[Cotação]]/(Tabela3[[#This Row],[Lucro/Ação]]/[Ref]*4),0)</f>
        <v>19.065087127142316</v>
      </c>
      <c r="AD125" s="39">
        <f>IF([Div. Mínimo]=0,0,[Lucro Distribuir]*[Payout]/[Total Ações])</f>
        <v>0</v>
      </c>
      <c r="AE125" s="98">
        <f>IF(AND([Div. Pref]&gt;0,[Div. Mínimo]&gt;0),[Div. Mínimo]+[Div. Pref],IF([Div. Pref]&gt;0,[Div. Pref],IF([Div. Mínimo]&gt;0,[Div. Mínimo],0)))</f>
        <v>0</v>
      </c>
      <c r="AF125" s="98">
        <f>[Lucro Distribuir]/[Total Ações]</f>
        <v>0.17269787324037872</v>
      </c>
      <c r="AG125" s="98">
        <f>IF([Lucro Payout]&gt;[Lucro Dist./Ação],MAX(Tabela3[[#This Row],[Lucro Atual]:[Lucro Dist./Ação]]),MAX(Tabela3[[#This Row],[Lucro Payout]:[Lucro Atual]]))</f>
        <v>0</v>
      </c>
      <c r="AH125" s="16" t="str">
        <f>IF(AND([% A.A.]&gt;=10%,[PVPA]&lt;=2,[PL]&lt;=15,[PL]&gt;0),"Sim","Não")</f>
        <v>Não</v>
      </c>
      <c r="AI125" s="22">
        <f>Tabela3[[#This Row],[Lucro]]/Tabela3[[#This Row],[Cotação]]</f>
        <v>0</v>
      </c>
      <c r="AJ125" s="18">
        <f>((1+Tabela3[[#This Row],[% Yield]])^(1/(3*Tabela3[[#This Row],[Ref]])))^(12)-1</f>
        <v>0</v>
      </c>
      <c r="AK125" s="10">
        <f>($AQ$1/Tabela3[[#This Row],[Cotação]]-MOD($AQ$1/Tabela3[[#This Row],[Cotação]],100))</f>
        <v>0</v>
      </c>
      <c r="AL125" s="7">
        <f>Tabela3[[#This Row],[Ativos]]*Tabela3[[#This Row],[Lucro Atual]]</f>
        <v>0</v>
      </c>
      <c r="AM125" s="49">
        <f>SUMPRODUCT(N(Tabela1[Código]=Tabela3[[#This Row],[PAPEL]]),Tabela1[Fechamento])</f>
        <v>0</v>
      </c>
      <c r="AN125" s="58">
        <f>SUMPRODUCT(N(Tabela17[Código]=Tabela3[[#This Row],[PAPEL]]),Tabela17[Fechamento])</f>
        <v>4.3899999999999997</v>
      </c>
    </row>
    <row r="126" spans="1:40">
      <c r="A126" s="4" t="s">
        <v>377</v>
      </c>
      <c r="B126" s="68" t="s">
        <v>585</v>
      </c>
      <c r="C126" s="104" t="str">
        <f>LEFT([PAPEL],LEN([PAPEL])-(LEN([PAPEL])-4))</f>
        <v>PATI</v>
      </c>
      <c r="D126" s="16">
        <v>3</v>
      </c>
      <c r="E126" s="5">
        <v>140000000</v>
      </c>
      <c r="F126" s="8">
        <v>11841369</v>
      </c>
      <c r="G126" s="18">
        <v>0.25</v>
      </c>
      <c r="H126" s="16"/>
      <c r="I126" s="18"/>
      <c r="J126" s="18"/>
      <c r="L126" s="6">
        <v>241884000</v>
      </c>
      <c r="M126" s="6">
        <v>56208000</v>
      </c>
      <c r="N126" s="6">
        <f>Tabela3[[#This Row],[Capital Social]]*20%</f>
        <v>28000000</v>
      </c>
      <c r="O126" s="6">
        <f>IF(([Lucro Líquido]*5%)&gt;[Teto R. Legal],[Teto R. Legal],[Lucro Líquido]*5%)</f>
        <v>2810400</v>
      </c>
      <c r="P126" s="6">
        <f>IF([Lucro Líquido]&lt;0,0,[Lucro Líquido]-[Reserva Legal])</f>
        <v>53397600</v>
      </c>
      <c r="Q126" s="21">
        <f>SUMPRODUCT(N([Nome]=Tabela3[[#This Row],[Nome]]),[Ações])</f>
        <v>12587262</v>
      </c>
      <c r="R126" s="5">
        <f>[Capital Social]/[Total Ações]</f>
        <v>11.12235528266592</v>
      </c>
      <c r="S126" s="49">
        <f>Tabela3[[#This Row],[Lucro Líquido]]/Tabela3[[#This Row],[Total Ações]]</f>
        <v>4.4654667552006151</v>
      </c>
      <c r="T12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1.0547251506065671</v>
      </c>
      <c r="U126" s="98">
        <f>[Patrimônio Líquido]*[% PNA (PL)]/[Total Ações]</f>
        <v>0</v>
      </c>
      <c r="V126" s="98">
        <f>[Capital Social]*[% PNA (CS)]/[Total Ações]</f>
        <v>0</v>
      </c>
      <c r="W126" s="98">
        <f>MAX(Tabela3[[#This Row],[Div PNA (PL)]],Tabela3[[#This Row],[Div PNA (CS)]])</f>
        <v>0</v>
      </c>
      <c r="X126" s="5">
        <f>[Div. Pref]*[Ações]</f>
        <v>0</v>
      </c>
      <c r="Y126" s="18">
        <f>IF(GETPIVOTDATA("Payout",'Tabela LL'!$A$3,"Ativo",Tabela3[[#This Row],[PAPEL]])&gt;1,1,GETPIVOTDATA("Payout",'Tabela LL'!$A$3,"Ativo",Tabela3[[#This Row],[PAPEL]]))</f>
        <v>0.30530103156422655</v>
      </c>
      <c r="Z126" s="5">
        <f>[Patrimônio Líquido]/[Total Ações]</f>
        <v>19.216569894231167</v>
      </c>
      <c r="AA126" s="102">
        <f>MAX(Tabela3[[#This Row],[Cotação 1]],Tabela3[[#This Row],[Cotação 2]])</f>
        <v>18</v>
      </c>
      <c r="AB126" s="103">
        <f>[Cotação]/[VPA]</f>
        <v>0.93669162077690138</v>
      </c>
      <c r="AC126" s="36">
        <f>IF(Tabela3[[#This Row],[Lucro/Ação]]&gt;0,Tabela3[[#This Row],[Cotação]]/(Tabela3[[#This Row],[Lucro/Ação]]/[Ref]*4),0)</f>
        <v>3.0232002028181038</v>
      </c>
      <c r="AD126" s="36">
        <f>IF([Div. Mínimo]=0,0,[Lucro Distribuir]*[Payout]/[Total Ações])</f>
        <v>1.2951460264395818</v>
      </c>
      <c r="AE126" s="98">
        <f>IF(AND([Div. Pref]&gt;0,[Div. Mínimo]&gt;0),[Div. Mínimo]+[Div. Pref],IF([Div. Pref]&gt;0,[Div. Pref],IF([Div. Mínimo]&gt;0,[Div. Mínimo],0)))</f>
        <v>1.0547251506065671</v>
      </c>
      <c r="AF126" s="98">
        <f>[Lucro Distribuir]/[Total Ações]</f>
        <v>4.2421934174405838</v>
      </c>
      <c r="AG126" s="98">
        <f>IF([Lucro Payout]&gt;[Lucro Dist./Ação],MAX(Tabela3[[#This Row],[Lucro Atual]:[Lucro Dist./Ação]]),MAX(Tabela3[[#This Row],[Lucro Payout]:[Lucro Atual]]))</f>
        <v>1.2951460264395818</v>
      </c>
      <c r="AH126" s="10" t="str">
        <f>IF(AND([% A.A.]&gt;=10%,[PVPA]&lt;=2,[PL]&lt;=15,[PL]&gt;0),"Sim","Não")</f>
        <v>Não</v>
      </c>
      <c r="AI126" s="22">
        <f>Tabela3[[#This Row],[Lucro]]/Tabela3[[#This Row],[Cotação]]</f>
        <v>7.1952557024421215E-2</v>
      </c>
      <c r="AJ126" s="18">
        <f>((1+Tabela3[[#This Row],[% Yield]])^(1/(3*Tabela3[[#This Row],[Ref]])))^(12)-1</f>
        <v>9.7069360664703952E-2</v>
      </c>
      <c r="AK126" s="10">
        <f>($AQ$1/Tabela3[[#This Row],[Cotação]]-MOD($AQ$1/Tabela3[[#This Row],[Cotação]],100))</f>
        <v>0</v>
      </c>
      <c r="AL126" s="49">
        <f>Tabela3[[#This Row],[Ativos]]*Tabela3[[#This Row],[Lucro Atual]]</f>
        <v>0</v>
      </c>
      <c r="AM126" s="49">
        <f>SUMPRODUCT(N(Tabela1[Código]=Tabela3[[#This Row],[PAPEL]]),Tabela1[Fechamento])</f>
        <v>18</v>
      </c>
      <c r="AN126" s="49">
        <f>SUMPRODUCT(N(Tabela17[Código]=Tabela3[[#This Row],[PAPEL]]),Tabela17[Fechamento])</f>
        <v>0</v>
      </c>
    </row>
    <row r="127" spans="1:40">
      <c r="A127" s="4" t="s">
        <v>377</v>
      </c>
      <c r="B127" s="68" t="s">
        <v>376</v>
      </c>
      <c r="C127" s="104" t="str">
        <f>LEFT([PAPEL],LEN([PAPEL])-(LEN([PAPEL])-4))</f>
        <v>PATI</v>
      </c>
      <c r="D127" s="15">
        <v>3</v>
      </c>
      <c r="E127" s="6">
        <v>140000000</v>
      </c>
      <c r="F127" s="8">
        <v>745893</v>
      </c>
      <c r="G127" s="19"/>
      <c r="H127" s="19">
        <v>0.06</v>
      </c>
      <c r="I127" s="19">
        <v>0.08</v>
      </c>
      <c r="J127" s="19"/>
      <c r="K127" s="19"/>
      <c r="L127" s="6">
        <v>241884000</v>
      </c>
      <c r="M127" s="6">
        <v>56208000</v>
      </c>
      <c r="N127" s="6">
        <f>Tabela3[[#This Row],[Capital Social]]*20%</f>
        <v>28000000</v>
      </c>
      <c r="O127" s="6">
        <f>IF(([Lucro Líquido]*5%)&gt;[Teto R. Legal],[Teto R. Legal],[Lucro Líquido]*5%)</f>
        <v>2810400</v>
      </c>
      <c r="P127" s="6">
        <f>IF([Lucro Líquido]&lt;0,0,[Lucro Líquido]-[Reserva Legal])</f>
        <v>53397600</v>
      </c>
      <c r="Q127" s="21">
        <f>SUMPRODUCT(N([Nome]=Tabela3[[#This Row],[Nome]]),[Ações])</f>
        <v>12587262</v>
      </c>
      <c r="R127" s="5">
        <f>[Capital Social]/[Total Ações]</f>
        <v>11.12235528266592</v>
      </c>
      <c r="S127" s="13">
        <f>Tabela3[[#This Row],[Lucro Líquido]]/Tabela3[[#This Row],[Total Ações]]</f>
        <v>4.4654667552006151</v>
      </c>
      <c r="T12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7" s="99">
        <f>[Patrimônio Líquido]*[% PNA (PL)]/[Total Ações]</f>
        <v>1.1529941936538701</v>
      </c>
      <c r="V127" s="99">
        <f>[Capital Social]*[% PNA (CS)]/[Total Ações]</f>
        <v>0.88978842261327362</v>
      </c>
      <c r="W127" s="99">
        <f>MAX(Tabela3[[#This Row],[Div PNA (PL)]],Tabela3[[#This Row],[Div PNA (CS)]])</f>
        <v>1.1529941936538701</v>
      </c>
      <c r="X127" s="6">
        <f>[Div. Pref]*[Ações]</f>
        <v>860010.29808706616</v>
      </c>
      <c r="Y127" s="19">
        <f>IF(GETPIVOTDATA("Payout",'Tabela LL'!$A$3,"Ativo",Tabela3[[#This Row],[PAPEL]])&gt;1,1,GETPIVOTDATA("Payout",'Tabela LL'!$A$3,"Ativo",Tabela3[[#This Row],[PAPEL]]))</f>
        <v>0.90821522332465576</v>
      </c>
      <c r="Z127" s="6">
        <f>[Patrimônio Líquido]/[Total Ações]</f>
        <v>19.216569894231167</v>
      </c>
      <c r="AA127" s="50">
        <f>MAX(Tabela3[[#This Row],[Cotação 1]],Tabela3[[#This Row],[Cotação 2]])</f>
        <v>20</v>
      </c>
      <c r="AB127" s="46">
        <f>[Cotação]/[VPA]</f>
        <v>1.0407684675298905</v>
      </c>
      <c r="AC127" s="42">
        <f>IF(Tabela3[[#This Row],[Lucro/Ação]]&gt;0,Tabela3[[#This Row],[Cotação]]/(Tabela3[[#This Row],[Lucro/Ação]]/[Ref]*4),0)</f>
        <v>3.3591113364645597</v>
      </c>
      <c r="AD127" s="96">
        <f>IF([Div. Mínimo]=0,0,[Lucro Distribuir]*[Payout]/[Total Ações])</f>
        <v>0</v>
      </c>
      <c r="AE127" s="99">
        <f>IF(AND([Div. Pref]&gt;0,[Div. Mínimo]&gt;0),[Div. Mínimo]+[Div. Pref],IF([Div. Pref]&gt;0,[Div. Pref],IF([Div. Mínimo]&gt;0,[Div. Mínimo],0)))</f>
        <v>1.1529941936538701</v>
      </c>
      <c r="AF127" s="99">
        <f>[Lucro Distribuir]/[Total Ações]</f>
        <v>4.2421934174405838</v>
      </c>
      <c r="AG127" s="99">
        <f>IF([Lucro Payout]&gt;[Lucro Dist./Ação],MAX(Tabela3[[#This Row],[Lucro Atual]:[Lucro Dist./Ação]]),MAX(Tabela3[[#This Row],[Lucro Payout]:[Lucro Atual]]))</f>
        <v>1.1529941936538701</v>
      </c>
      <c r="AH127" s="15" t="str">
        <f>IF(AND([% A.A.]&gt;=10%,[PVPA]&lt;=2,[PL]&lt;=15,[PL]&gt;0),"Sim","Não")</f>
        <v>Não</v>
      </c>
      <c r="AI127" s="44">
        <f>Tabela3[[#This Row],[Lucro]]/Tabela3[[#This Row],[Cotação]]</f>
        <v>5.7649709682693506E-2</v>
      </c>
      <c r="AJ127" s="19">
        <f>((1+Tabela3[[#This Row],[% Yield]])^(1/(3*Tabela3[[#This Row],[Ref]])))^(12)-1</f>
        <v>7.7595591579995737E-2</v>
      </c>
      <c r="AK127" s="14">
        <f>($AQ$1/Tabela3[[#This Row],[Cotação]]-MOD($AQ$1/Tabela3[[#This Row],[Cotação]],100))</f>
        <v>0</v>
      </c>
      <c r="AL127" s="17">
        <f>Tabela3[[#This Row],[Ativos]]*Tabela3[[#This Row],[Lucro Atual]]</f>
        <v>0</v>
      </c>
      <c r="AM127" s="13">
        <f>SUMPRODUCT(N(Tabela1[Código]=Tabela3[[#This Row],[PAPEL]]),Tabela1[Fechamento])</f>
        <v>0</v>
      </c>
      <c r="AN127" s="59">
        <f>SUMPRODUCT(N(Tabela17[Código]=Tabela3[[#This Row],[PAPEL]]),Tabela17[Fechamento])</f>
        <v>20</v>
      </c>
    </row>
    <row r="128" spans="1:40">
      <c r="A128" s="4" t="s">
        <v>276</v>
      </c>
      <c r="B128" s="14" t="s">
        <v>20</v>
      </c>
      <c r="C128" s="14" t="str">
        <f>LEFT([PAPEL],LEN([PAPEL])-(LEN([PAPEL])-4))</f>
        <v>PETR</v>
      </c>
      <c r="D128" s="15">
        <v>3</v>
      </c>
      <c r="E128" s="6"/>
      <c r="F128" s="8"/>
      <c r="G128" s="19"/>
      <c r="H128" s="15"/>
      <c r="I128" s="19"/>
      <c r="J128" s="19"/>
      <c r="K128" s="19"/>
      <c r="L128" s="6">
        <v>341312244000</v>
      </c>
      <c r="M128" s="6">
        <v>17288839000</v>
      </c>
      <c r="N128" s="6">
        <f>Tabela3[[#This Row],[Capital Social]]*20%</f>
        <v>0</v>
      </c>
      <c r="O128" s="6">
        <f>IF(([Lucro Líquido]*5%)&gt;[Teto R. Legal],[Teto R. Legal],[Lucro Líquido]*5%)</f>
        <v>0</v>
      </c>
      <c r="P128" s="6">
        <f>IF([Lucro Líquido]&lt;0,0,[Lucro Líquido]-[Reserva Legal])</f>
        <v>17288839000</v>
      </c>
      <c r="Q128" s="40">
        <v>13044496930</v>
      </c>
      <c r="R128" s="6">
        <f>[Capital Social]/[Total Ações]</f>
        <v>0</v>
      </c>
      <c r="S128" s="13">
        <f>Tabela3[[#This Row],[Lucro Líquido]]/Tabela3[[#This Row],[Total Ações]]</f>
        <v>1.3253741476406633</v>
      </c>
      <c r="T12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8" s="99">
        <f>[Patrimônio Líquido]*[% PNA (PL)]/[Total Ações]</f>
        <v>0</v>
      </c>
      <c r="V128" s="99">
        <f>[Capital Social]*[% PNA (CS)]/[Total Ações]</f>
        <v>0</v>
      </c>
      <c r="W128" s="99">
        <f>MAX(Tabela3[[#This Row],[Div PNA (PL)]],Tabela3[[#This Row],[Div PNA (CS)]])</f>
        <v>0</v>
      </c>
      <c r="X128" s="6">
        <f>[Div. Pref]*[Ações]</f>
        <v>0</v>
      </c>
      <c r="Y128" s="19">
        <f>IF(GETPIVOTDATA("Payout",'Tabela LL'!$A$3,"Ativo",Tabela3[[#This Row],[PAPEL]])&gt;1,1,GETPIVOTDATA("Payout",'Tabela LL'!$A$3,"Ativo",Tabela3[[#This Row],[PAPEL]]))</f>
        <v>0.30588500522710332</v>
      </c>
      <c r="Z128" s="6">
        <f>[Patrimônio Líquido]/[Total Ações]</f>
        <v>26.165228588849843</v>
      </c>
      <c r="AA128" s="50">
        <f>MAX(Tabela3[[#This Row],[Cotação 1]],Tabela3[[#This Row],[Cotação 2]])</f>
        <v>14.98</v>
      </c>
      <c r="AB128" s="46">
        <f>[Cotação]/[VPA]</f>
        <v>0.57251554096430246</v>
      </c>
      <c r="AC128" s="42">
        <f>IF(Tabela3[[#This Row],[Lucro/Ação]]&gt;0,Tabela3[[#This Row],[Cotação]]/(Tabela3[[#This Row],[Lucro/Ação]]/[Ref]*4),0)</f>
        <v>8.4768516271422278</v>
      </c>
      <c r="AD128" s="42">
        <f>IF([Div. Mínimo]=0,0,[Lucro Distribuir]*[Payout]/[Total Ações])</f>
        <v>0</v>
      </c>
      <c r="AE128" s="99">
        <f>IF(AND([Div. Pref]&gt;0,[Div. Mínimo]&gt;0),[Div. Mínimo]+[Div. Pref],IF([Div. Pref]&gt;0,[Div. Pref],IF([Div. Mínimo]&gt;0,[Div. Mínimo],0)))</f>
        <v>0</v>
      </c>
      <c r="AF128" s="99">
        <f>[Lucro Distribuir]/[Total Ações]</f>
        <v>1.3253741476406633</v>
      </c>
      <c r="AG128" s="99">
        <f>IF([Lucro Payout]&gt;[Lucro Dist./Ação],MAX(Tabela3[[#This Row],[Lucro Atual]:[Lucro Dist./Ação]]),MAX(Tabela3[[#This Row],[Lucro Payout]:[Lucro Atual]]))</f>
        <v>0</v>
      </c>
      <c r="AH128" s="15" t="str">
        <f>IF(AND([% A.A.]&gt;=10%,[PVPA]&lt;=2,[PL]&lt;=15,[PL]&gt;0),"Sim","Não")</f>
        <v>Não</v>
      </c>
      <c r="AI128" s="44">
        <f>Tabela3[[#This Row],[Lucro]]/Tabela3[[#This Row],[Cotação]]</f>
        <v>0</v>
      </c>
      <c r="AJ128" s="19">
        <f>((1+Tabela3[[#This Row],[% Yield]])^(1/(3*Tabela3[[#This Row],[Ref]])))^(12)-1</f>
        <v>0</v>
      </c>
      <c r="AK128" s="14">
        <f>($AQ$1/Tabela3[[#This Row],[Cotação]]-MOD($AQ$1/Tabela3[[#This Row],[Cotação]],100))</f>
        <v>0</v>
      </c>
      <c r="AL128" s="17">
        <f>Tabela3[[#This Row],[Ativos]]*Tabela3[[#This Row],[Lucro Atual]]</f>
        <v>0</v>
      </c>
      <c r="AM128" s="13">
        <f>SUMPRODUCT(N(Tabela1[Código]=Tabela3[[#This Row],[PAPEL]]),Tabela1[Fechamento])</f>
        <v>0</v>
      </c>
      <c r="AN128" s="13">
        <f>SUMPRODUCT(N(Tabela17[Código]=Tabela3[[#This Row],[PAPEL]]),Tabela17[Fechamento])</f>
        <v>14.98</v>
      </c>
    </row>
    <row r="129" spans="1:40">
      <c r="A129" s="4" t="s">
        <v>276</v>
      </c>
      <c r="B129" s="14" t="s">
        <v>21</v>
      </c>
      <c r="C129" s="14" t="str">
        <f>LEFT([PAPEL],LEN([PAPEL])-(LEN([PAPEL])-4))</f>
        <v>PETR</v>
      </c>
      <c r="D129" s="15">
        <v>3</v>
      </c>
      <c r="E129" s="6"/>
      <c r="F129" s="8"/>
      <c r="G129" s="19"/>
      <c r="H129" s="15"/>
      <c r="I129" s="19"/>
      <c r="J129" s="19"/>
      <c r="K129" s="19"/>
      <c r="L129" s="6">
        <v>341312244000</v>
      </c>
      <c r="M129" s="6">
        <v>17288839000</v>
      </c>
      <c r="N129" s="6">
        <f>Tabela3[[#This Row],[Capital Social]]*20%</f>
        <v>0</v>
      </c>
      <c r="O129" s="6">
        <f>IF(([Lucro Líquido]*5%)&gt;[Teto R. Legal],[Teto R. Legal],[Lucro Líquido]*5%)</f>
        <v>0</v>
      </c>
      <c r="P129" s="6">
        <f>IF([Lucro Líquido]&lt;0,0,[Lucro Líquido]-[Reserva Legal])</f>
        <v>17288839000</v>
      </c>
      <c r="Q129" s="40">
        <v>13044496930</v>
      </c>
      <c r="R129" s="6">
        <f>[Capital Social]/[Total Ações]</f>
        <v>0</v>
      </c>
      <c r="S129" s="13">
        <f>Tabela3[[#This Row],[Lucro Líquido]]/Tabela3[[#This Row],[Total Ações]]</f>
        <v>1.3253741476406633</v>
      </c>
      <c r="T12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29" s="99">
        <f>[Patrimônio Líquido]*[% PNA (PL)]/[Total Ações]</f>
        <v>0</v>
      </c>
      <c r="V129" s="99">
        <f>[Capital Social]*[% PNA (CS)]/[Total Ações]</f>
        <v>0</v>
      </c>
      <c r="W129" s="99">
        <f>MAX(Tabela3[[#This Row],[Div PNA (PL)]],Tabela3[[#This Row],[Div PNA (CS)]])</f>
        <v>0</v>
      </c>
      <c r="X129" s="6">
        <f>[Div. Pref]*[Ações]</f>
        <v>0</v>
      </c>
      <c r="Y129" s="19">
        <f>IF(GETPIVOTDATA("Payout",'Tabela LL'!$A$3,"Ativo",Tabela3[[#This Row],[PAPEL]])&gt;1,1,GETPIVOTDATA("Payout",'Tabela LL'!$A$3,"Ativo",Tabela3[[#This Row],[PAPEL]]))</f>
        <v>0.38236062761569822</v>
      </c>
      <c r="Z129" s="6">
        <f>[Patrimônio Líquido]/[Total Ações]</f>
        <v>26.165228588849843</v>
      </c>
      <c r="AA129" s="50">
        <f>MAX(Tabela3[[#This Row],[Cotação 1]],Tabela3[[#This Row],[Cotação 2]])</f>
        <v>16.02</v>
      </c>
      <c r="AB129" s="46">
        <f>[Cotação]/[VPA]</f>
        <v>0.61226294834767192</v>
      </c>
      <c r="AC129" s="42">
        <f>IF(Tabela3[[#This Row],[Lucro/Ação]]&gt;0,Tabela3[[#This Row],[Cotação]]/(Tabela3[[#This Row],[Lucro/Ação]]/[Ref]*4),0)</f>
        <v>9.0653646907088437</v>
      </c>
      <c r="AD129" s="42">
        <f>IF([Div. Mínimo]=0,0,[Lucro Distribuir]*[Payout]/[Total Ações])</f>
        <v>0</v>
      </c>
      <c r="AE129" s="99">
        <f>IF(AND([Div. Pref]&gt;0,[Div. Mínimo]&gt;0),[Div. Mínimo]+[Div. Pref],IF([Div. Pref]&gt;0,[Div. Pref],IF([Div. Mínimo]&gt;0,[Div. Mínimo],0)))</f>
        <v>0</v>
      </c>
      <c r="AF129" s="99">
        <f>[Lucro Distribuir]/[Total Ações]</f>
        <v>1.3253741476406633</v>
      </c>
      <c r="AG129" s="99">
        <f>IF([Lucro Payout]&gt;[Lucro Dist./Ação],MAX(Tabela3[[#This Row],[Lucro Atual]:[Lucro Dist./Ação]]),MAX(Tabela3[[#This Row],[Lucro Payout]:[Lucro Atual]]))</f>
        <v>0</v>
      </c>
      <c r="AH129" s="15" t="str">
        <f>IF(AND([% A.A.]&gt;=10%,[PVPA]&lt;=2,[PL]&lt;=15,[PL]&gt;0),"Sim","Não")</f>
        <v>Não</v>
      </c>
      <c r="AI129" s="44">
        <f>Tabela3[[#This Row],[Lucro]]/Tabela3[[#This Row],[Cotação]]</f>
        <v>0</v>
      </c>
      <c r="AJ129" s="19">
        <f>((1+Tabela3[[#This Row],[% Yield]])^(1/(3*Tabela3[[#This Row],[Ref]])))^(12)-1</f>
        <v>0</v>
      </c>
      <c r="AK129" s="14">
        <f>($AQ$1/Tabela3[[#This Row],[Cotação]]-MOD($AQ$1/Tabela3[[#This Row],[Cotação]],100))</f>
        <v>0</v>
      </c>
      <c r="AL129" s="17">
        <f>Tabela3[[#This Row],[Ativos]]*Tabela3[[#This Row],[Lucro Atual]]</f>
        <v>0</v>
      </c>
      <c r="AM129" s="13">
        <f>SUMPRODUCT(N(Tabela1[Código]=Tabela3[[#This Row],[PAPEL]]),Tabela1[Fechamento])</f>
        <v>0</v>
      </c>
      <c r="AN129" s="13">
        <f>SUMPRODUCT(N(Tabela17[Código]=Tabela3[[#This Row],[PAPEL]]),Tabela17[Fechamento])</f>
        <v>16.02</v>
      </c>
    </row>
    <row r="130" spans="1:40">
      <c r="A130" s="4" t="s">
        <v>14</v>
      </c>
      <c r="B130" s="68" t="s">
        <v>816</v>
      </c>
      <c r="C130" s="14" t="str">
        <f>LEFT([PAPEL],LEN([PAPEL])-(LEN([PAPEL])-4))</f>
        <v>PINE</v>
      </c>
      <c r="D130" s="15">
        <v>3</v>
      </c>
      <c r="E130" s="6">
        <v>1112258700.96</v>
      </c>
      <c r="F130" s="8">
        <v>65178483</v>
      </c>
      <c r="G130" s="19">
        <v>0.25</v>
      </c>
      <c r="H130" s="15"/>
      <c r="I130" s="19"/>
      <c r="J130" s="19"/>
      <c r="K130" s="19"/>
      <c r="L130" s="6">
        <v>1277111000</v>
      </c>
      <c r="M130" s="6">
        <v>116149000</v>
      </c>
      <c r="N130" s="6">
        <f>Tabela3[[#This Row],[Capital Social]]*20%</f>
        <v>222451740.19200003</v>
      </c>
      <c r="O130" s="6">
        <f>IF(([Lucro Líquido]*5%)&gt;[Teto R. Legal],[Teto R. Legal],[Lucro Líquido]*5%)</f>
        <v>5807450</v>
      </c>
      <c r="P130" s="6">
        <f>IF([Lucro Líquido]&lt;0,0,[Lucro Líquido]-[Reserva Legal])</f>
        <v>110341550</v>
      </c>
      <c r="Q130" s="21">
        <f>SUMPRODUCT(N([Nome]=Tabela3[[#This Row],[Nome]]),[Ações])</f>
        <v>123612756</v>
      </c>
      <c r="R130" s="6">
        <f>[Capital Social]/[Total Ações]</f>
        <v>8.9979281827516253</v>
      </c>
      <c r="S130" s="13">
        <f>Tabela3[[#This Row],[Lucro Líquido]]/Tabela3[[#This Row],[Total Ações]]</f>
        <v>0.93961985606080978</v>
      </c>
      <c r="T13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0.22315971581444233</v>
      </c>
      <c r="U130" s="99">
        <f>[Patrimônio Líquido]*[% PNA (PL)]/[Total Ações]</f>
        <v>0</v>
      </c>
      <c r="V130" s="99">
        <f>[Capital Social]*[% PNA (CS)]/[Total Ações]</f>
        <v>0</v>
      </c>
      <c r="W130" s="99">
        <f>MAX(Tabela3[[#This Row],[Div PNA (PL)]],Tabela3[[#This Row],[Div PNA (CS)]])</f>
        <v>0</v>
      </c>
      <c r="X130" s="6">
        <f>[Div. Pref]*[Ações]</f>
        <v>0</v>
      </c>
      <c r="Y130" s="19" t="e">
        <f>IF(GETPIVOTDATA("Payout",'Tabela LL'!$A$3,"Ativo",Tabela3[[#This Row],[PAPEL]])&gt;1,1,GETPIVOTDATA("Payout",'Tabela LL'!$A$3,"Ativo",Tabela3[[#This Row],[PAPEL]]))</f>
        <v>#REF!</v>
      </c>
      <c r="Z130" s="6">
        <f>[Patrimônio Líquido]/[Total Ações]</f>
        <v>10.331547012834177</v>
      </c>
      <c r="AA130" s="50">
        <f>MAX(Tabela3[[#This Row],[Cotação 1]],Tabela3[[#This Row],[Cotação 2]])</f>
        <v>0</v>
      </c>
      <c r="AB130" s="46">
        <f>[Cotação]/[VPA]</f>
        <v>0</v>
      </c>
      <c r="AC130" s="42">
        <f>IF(Tabela3[[#This Row],[Lucro/Ação]]&gt;0,Tabela3[[#This Row],[Cotação]]/(Tabela3[[#This Row],[Lucro/Ação]]/[Ref]*4),0)</f>
        <v>0</v>
      </c>
      <c r="AD130" s="42" t="e">
        <f>IF([Div. Mínimo]=0,0,[Lucro Distribuir]*[Payout]/[Total Ações])</f>
        <v>#REF!</v>
      </c>
      <c r="AE130" s="99">
        <f>IF(AND([Div. Pref]&gt;0,[Div. Mínimo]&gt;0),[Div. Mínimo]+[Div. Pref],IF([Div. Pref]&gt;0,[Div. Pref],IF([Div. Mínimo]&gt;0,[Div. Mínimo],0)))</f>
        <v>0.22315971581444233</v>
      </c>
      <c r="AF130" s="99">
        <f>[Lucro Distribuir]/[Total Ações]</f>
        <v>0.89263886325776931</v>
      </c>
      <c r="AG130" s="99" t="e">
        <f>IF([Lucro Payout]&gt;[Lucro Dist./Ação],MAX(Tabela3[[#This Row],[Lucro Atual]:[Lucro Dist./Ação]]),MAX(Tabela3[[#This Row],[Lucro Payout]:[Lucro Atual]]))</f>
        <v>#REF!</v>
      </c>
      <c r="AH130" s="15" t="e">
        <f>IF(AND([% A.A.]&gt;=10%,[PVPA]&lt;=2,[PL]&lt;=15,[PL]&gt;0),"Sim","Não")</f>
        <v>#REF!</v>
      </c>
      <c r="AI130" s="44" t="e">
        <f>Tabela3[[#This Row],[Lucro]]/Tabela3[[#This Row],[Cotação]]</f>
        <v>#REF!</v>
      </c>
      <c r="AJ130" s="19" t="e">
        <f>((1+Tabela3[[#This Row],[% Yield]])^(1/(3*Tabela3[[#This Row],[Ref]])))^(12)-1</f>
        <v>#REF!</v>
      </c>
      <c r="AK130" s="14" t="e">
        <f>($AQ$1/Tabela3[[#This Row],[Cotação]]-MOD($AQ$1/Tabela3[[#This Row],[Cotação]],100))</f>
        <v>#DIV/0!</v>
      </c>
      <c r="AL130" s="17" t="e">
        <f>Tabela3[[#This Row],[Ativos]]*Tabela3[[#This Row],[Lucro Atual]]</f>
        <v>#DIV/0!</v>
      </c>
      <c r="AM130" s="13">
        <f>SUMPRODUCT(N(Tabela1[Código]=Tabela3[[#This Row],[PAPEL]]),Tabela1[Fechamento])</f>
        <v>0</v>
      </c>
      <c r="AN130" s="13">
        <f>SUMPRODUCT(N(Tabela17[Código]=Tabela3[[#This Row],[PAPEL]]),Tabela17[Fechamento])</f>
        <v>0</v>
      </c>
    </row>
    <row r="131" spans="1:40">
      <c r="A131" s="4" t="s">
        <v>14</v>
      </c>
      <c r="B131" s="68" t="s">
        <v>75</v>
      </c>
      <c r="C131" s="14" t="str">
        <f>LEFT([PAPEL],LEN([PAPEL])-(LEN([PAPEL])-4))</f>
        <v>PINE</v>
      </c>
      <c r="D131" s="15">
        <v>3</v>
      </c>
      <c r="E131" s="6">
        <v>1112258700.96</v>
      </c>
      <c r="F131" s="8">
        <v>58434273</v>
      </c>
      <c r="G131" s="19">
        <v>0.25</v>
      </c>
      <c r="H131" s="19"/>
      <c r="I131" s="19"/>
      <c r="J131" s="19"/>
      <c r="K131" s="19"/>
      <c r="L131" s="6">
        <v>1277111000</v>
      </c>
      <c r="M131" s="6">
        <v>116149000</v>
      </c>
      <c r="N131" s="6">
        <f>Tabela3[[#This Row],[Capital Social]]*20%</f>
        <v>222451740.19200003</v>
      </c>
      <c r="O131" s="6">
        <f>IF(([Lucro Líquido]*5%)&gt;[Teto R. Legal],[Teto R. Legal],[Lucro Líquido]*5%)</f>
        <v>5807450</v>
      </c>
      <c r="P131" s="6">
        <f>IF([Lucro Líquido]&lt;0,0,[Lucro Líquido]-[Reserva Legal])</f>
        <v>110341550</v>
      </c>
      <c r="Q131" s="21">
        <f>SUMPRODUCT(N([Nome]=Tabela3[[#This Row],[Nome]]),[Ações])</f>
        <v>123612756</v>
      </c>
      <c r="R131" s="6">
        <f>[Capital Social]/[Total Ações]</f>
        <v>8.9979281827516253</v>
      </c>
      <c r="S131" s="13">
        <f>Tabela3[[#This Row],[Lucro Líquido]]/Tabela3[[#This Row],[Total Ações]]</f>
        <v>0.93961985606080978</v>
      </c>
      <c r="T13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0.22315971581444233</v>
      </c>
      <c r="U131" s="99">
        <f>[Patrimônio Líquido]*[% PNA (PL)]/[Total Ações]</f>
        <v>0</v>
      </c>
      <c r="V131" s="99">
        <f>[Capital Social]*[% PNA (CS)]/[Total Ações]</f>
        <v>0</v>
      </c>
      <c r="W131" s="99">
        <f>MAX(Tabela3[[#This Row],[Div PNA (PL)]],Tabela3[[#This Row],[Div PNA (CS)]])</f>
        <v>0</v>
      </c>
      <c r="X131" s="6">
        <f>[Div. Pref]*[Ações]</f>
        <v>0</v>
      </c>
      <c r="Y131" s="19">
        <f>IF(GETPIVOTDATA("Payout",'Tabela LL'!$A$3,"Ativo",Tabela3[[#This Row],[PAPEL]])&gt;1,1,GETPIVOTDATA("Payout",'Tabela LL'!$A$3,"Ativo",Tabela3[[#This Row],[PAPEL]]))</f>
        <v>0.66880124529726692</v>
      </c>
      <c r="Z131" s="6">
        <f>[Patrimônio Líquido]/[Total Ações]</f>
        <v>10.331547012834177</v>
      </c>
      <c r="AA131" s="50">
        <f>MAX(Tabela3[[#This Row],[Cotação 1]],Tabela3[[#This Row],[Cotação 2]])</f>
        <v>8.75</v>
      </c>
      <c r="AB131" s="46">
        <f>[Cotação]/[VPA]</f>
        <v>0.84692060048030282</v>
      </c>
      <c r="AC131" s="42">
        <f>IF(Tabela3[[#This Row],[Lucro/Ação]]&gt;0,Tabela3[[#This Row],[Cotação]]/(Tabela3[[#This Row],[Lucro/Ação]]/[Ref]*4),0)</f>
        <v>6.9842074512049175</v>
      </c>
      <c r="AD131" s="96">
        <f>IF([Div. Mínimo]=0,0,[Lucro Distribuir]*[Payout]/[Total Ações])</f>
        <v>0.59699798334753285</v>
      </c>
      <c r="AE131" s="99">
        <f>IF(AND([Div. Pref]&gt;0,[Div. Mínimo]&gt;0),[Div. Mínimo]+[Div. Pref],IF([Div. Pref]&gt;0,[Div. Pref],IF([Div. Mínimo]&gt;0,[Div. Mínimo],0)))</f>
        <v>0.22315971581444233</v>
      </c>
      <c r="AF131" s="99">
        <f>[Lucro Distribuir]/[Total Ações]</f>
        <v>0.89263886325776931</v>
      </c>
      <c r="AG131" s="99">
        <f>IF([Lucro Payout]&gt;[Lucro Dist./Ação],MAX(Tabela3[[#This Row],[Lucro Atual]:[Lucro Dist./Ação]]),MAX(Tabela3[[#This Row],[Lucro Payout]:[Lucro Atual]]))</f>
        <v>0.59699798334753285</v>
      </c>
      <c r="AH131" s="15" t="str">
        <f>IF(AND([% A.A.]&gt;=10%,[PVPA]&lt;=2,[PL]&lt;=15,[PL]&gt;0),"Sim","Não")</f>
        <v>Não</v>
      </c>
      <c r="AI131" s="44">
        <f>Tabela3[[#This Row],[Lucro]]/Tabela3[[#This Row],[Cotação]]</f>
        <v>6.8228340954003749E-2</v>
      </c>
      <c r="AJ131" s="19">
        <f>((1+Tabela3[[#This Row],[% Yield]])^(1/(3*Tabela3[[#This Row],[Ref]])))^(12)-1</f>
        <v>9.1990335238359089E-2</v>
      </c>
      <c r="AK131" s="14">
        <f>($AQ$1/Tabela3[[#This Row],[Cotação]]-MOD($AQ$1/Tabela3[[#This Row],[Cotação]],100))</f>
        <v>0</v>
      </c>
      <c r="AL131" s="17">
        <f>Tabela3[[#This Row],[Ativos]]*Tabela3[[#This Row],[Lucro Atual]]</f>
        <v>0</v>
      </c>
      <c r="AM131" s="5">
        <f>SUMPRODUCT(N(Tabela1[Código]=Tabela3[[#This Row],[PAPEL]]),Tabela1[Fechamento])</f>
        <v>8.75</v>
      </c>
      <c r="AN131" s="5">
        <f>SUMPRODUCT(N(Tabela17[Código]=Tabela3[[#This Row],[PAPEL]]),Tabela17[Fechamento])</f>
        <v>0</v>
      </c>
    </row>
    <row r="132" spans="1:40">
      <c r="A132" s="4" t="s">
        <v>14</v>
      </c>
      <c r="B132" s="15" t="s">
        <v>83</v>
      </c>
      <c r="C132" s="15" t="str">
        <f>LEFT([PAPEL],LEN([PAPEL])-(LEN([PAPEL])-4))</f>
        <v>PRBC</v>
      </c>
      <c r="D132" s="15">
        <v>3</v>
      </c>
      <c r="E132" s="6"/>
      <c r="F132" s="8"/>
      <c r="G132" s="19"/>
      <c r="H132" s="15"/>
      <c r="I132" s="19"/>
      <c r="J132" s="19"/>
      <c r="K132" s="19"/>
      <c r="L132" s="6">
        <v>1279731000</v>
      </c>
      <c r="M132" s="6">
        <v>103137000</v>
      </c>
      <c r="N132" s="6">
        <f>Tabela3[[#This Row],[Capital Social]]*20%</f>
        <v>0</v>
      </c>
      <c r="O132" s="6">
        <f>IF(([Lucro Líquido]*5%)&gt;[Teto R. Legal],[Teto R. Legal],[Lucro Líquido]*5%)</f>
        <v>0</v>
      </c>
      <c r="P132" s="6">
        <f>IF([Lucro Líquido]&lt;0,0,[Lucro Líquido]-[Reserva Legal])</f>
        <v>103137000</v>
      </c>
      <c r="Q132" s="40">
        <v>87289932</v>
      </c>
      <c r="R132" s="6">
        <f>[Capital Social]/[Total Ações]</f>
        <v>0</v>
      </c>
      <c r="S132" s="13">
        <f>Tabela3[[#This Row],[Lucro Líquido]]/Tabela3[[#This Row],[Total Ações]]</f>
        <v>1.181545198133503</v>
      </c>
      <c r="T13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2" s="99">
        <f>[Patrimônio Líquido]*[% PNA (PL)]/[Total Ações]</f>
        <v>0</v>
      </c>
      <c r="V132" s="99">
        <f>[Capital Social]*[% PNA (CS)]/[Total Ações]</f>
        <v>0</v>
      </c>
      <c r="W132" s="99">
        <f>MAX(Tabela3[[#This Row],[Div PNA (PL)]],Tabela3[[#This Row],[Div PNA (CS)]])</f>
        <v>0</v>
      </c>
      <c r="X132" s="6">
        <f>[Div. Pref]*[Ações]</f>
        <v>0</v>
      </c>
      <c r="Y132" s="19">
        <f>IF(GETPIVOTDATA("Payout",'Tabela LL'!$A$3,"Ativo",Tabela3[[#This Row],[PAPEL]])&gt;1,1,GETPIVOTDATA("Payout",'Tabela LL'!$A$3,"Ativo",Tabela3[[#This Row],[PAPEL]]))</f>
        <v>0.32355722757326899</v>
      </c>
      <c r="Z132" s="6">
        <f>[Patrimônio Líquido]/[Total Ações]</f>
        <v>14.660694202396675</v>
      </c>
      <c r="AA132" s="50">
        <f>MAX(Tabela3[[#This Row],[Cotação 1]],Tabela3[[#This Row],[Cotação 2]])</f>
        <v>11.33</v>
      </c>
      <c r="AB132" s="46">
        <f>[Cotação]/[VPA]</f>
        <v>0.77281470055816415</v>
      </c>
      <c r="AC132" s="42">
        <f>IF(Tabela3[[#This Row],[Lucro/Ação]]&gt;0,Tabela3[[#This Row],[Cotação]]/(Tabela3[[#This Row],[Lucro/Ação]]/[Ref]*4),0)</f>
        <v>7.1918535265714532</v>
      </c>
      <c r="AD132" s="42">
        <f>IF([Div. Mínimo]=0,0,[Lucro Distribuir]*[Payout]/[Total Ações])</f>
        <v>0</v>
      </c>
      <c r="AE132" s="99">
        <f>IF(AND([Div. Pref]&gt;0,[Div. Mínimo]&gt;0),[Div. Mínimo]+[Div. Pref],IF([Div. Pref]&gt;0,[Div. Pref],IF([Div. Mínimo]&gt;0,[Div. Mínimo],0)))</f>
        <v>0</v>
      </c>
      <c r="AF132" s="99">
        <f>[Lucro Distribuir]/[Total Ações]</f>
        <v>1.181545198133503</v>
      </c>
      <c r="AG132" s="99">
        <f>IF([Lucro Payout]&gt;[Lucro Dist./Ação],MAX(Tabela3[[#This Row],[Lucro Atual]:[Lucro Dist./Ação]]),MAX(Tabela3[[#This Row],[Lucro Payout]:[Lucro Atual]]))</f>
        <v>0</v>
      </c>
      <c r="AH132" s="15" t="str">
        <f>IF(AND([% A.A.]&gt;=10%,[PVPA]&lt;=2,[PL]&lt;=15,[PL]&gt;0),"Sim","Não")</f>
        <v>Não</v>
      </c>
      <c r="AI132" s="44">
        <f>Tabela3[[#This Row],[Lucro]]/Tabela3[[#This Row],[Cotação]]</f>
        <v>0</v>
      </c>
      <c r="AJ132" s="19">
        <f>((1+Tabela3[[#This Row],[% Yield]])^(1/(3*Tabela3[[#This Row],[Ref]])))^(12)-1</f>
        <v>0</v>
      </c>
      <c r="AK132" s="14">
        <f>($AQ$1/Tabela3[[#This Row],[Cotação]]-MOD($AQ$1/Tabela3[[#This Row],[Cotação]],100))</f>
        <v>0</v>
      </c>
      <c r="AL132" s="17">
        <f>Tabela3[[#This Row],[Ativos]]*Tabela3[[#This Row],[Lucro Atual]]</f>
        <v>0</v>
      </c>
      <c r="AM132" s="5">
        <f>SUMPRODUCT(N(Tabela1[Código]=Tabela3[[#This Row],[PAPEL]]),Tabela1[Fechamento])</f>
        <v>11.33</v>
      </c>
      <c r="AN132" s="5">
        <f>SUMPRODUCT(N(Tabela17[Código]=Tabela3[[#This Row],[PAPEL]]),Tabela17[Fechamento])</f>
        <v>0</v>
      </c>
    </row>
    <row r="133" spans="1:40">
      <c r="A133" s="4" t="s">
        <v>366</v>
      </c>
      <c r="B133" s="68" t="s">
        <v>367</v>
      </c>
      <c r="C133" s="104" t="str">
        <f>LEFT([PAPEL],LEN([PAPEL])-(LEN([PAPEL])-4))</f>
        <v>PRVI</v>
      </c>
      <c r="D133" s="15">
        <v>3</v>
      </c>
      <c r="E133" s="6"/>
      <c r="F133" s="8"/>
      <c r="G133" s="19"/>
      <c r="H133" s="15"/>
      <c r="I133" s="19"/>
      <c r="J133" s="19"/>
      <c r="K133" s="19"/>
      <c r="L133" s="6">
        <v>662099000</v>
      </c>
      <c r="M133" s="6">
        <v>23239000</v>
      </c>
      <c r="N133" s="6">
        <f>Tabela3[[#This Row],[Capital Social]]*20%</f>
        <v>0</v>
      </c>
      <c r="O133" s="6">
        <f>IF(([Lucro Líquido]*5%)&gt;[Teto R. Legal],[Teto R. Legal],[Lucro Líquido]*5%)</f>
        <v>0</v>
      </c>
      <c r="P133" s="6">
        <f>IF([Lucro Líquido]&lt;0,0,[Lucro Líquido]-[Reserva Legal])</f>
        <v>23239000</v>
      </c>
      <c r="Q133" s="40">
        <v>80041132</v>
      </c>
      <c r="R133" s="6">
        <f>[Capital Social]/[Total Ações]</f>
        <v>0</v>
      </c>
      <c r="S133" s="13">
        <f>Tabela3[[#This Row],[Lucro Líquido]]/Tabela3[[#This Row],[Total Ações]]</f>
        <v>0.29033822260284875</v>
      </c>
      <c r="T13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3" s="99">
        <f>[Patrimônio Líquido]*[% PNA (PL)]/[Total Ações]</f>
        <v>0</v>
      </c>
      <c r="V133" s="99">
        <f>[Capital Social]*[% PNA (CS)]/[Total Ações]</f>
        <v>0</v>
      </c>
      <c r="W133" s="99">
        <f>MAX(Tabela3[[#This Row],[Div PNA (PL)]],Tabela3[[#This Row],[Div PNA (CS)]])</f>
        <v>0</v>
      </c>
      <c r="X133" s="6">
        <f>[Div. Pref]*[Ações]</f>
        <v>0</v>
      </c>
      <c r="Y133" s="19">
        <f>IF(GETPIVOTDATA("Payout",'Tabela LL'!$A$3,"Ativo",Tabela3[[#This Row],[PAPEL]])&gt;1,1,GETPIVOTDATA("Payout",'Tabela LL'!$A$3,"Ativo",Tabela3[[#This Row],[PAPEL]]))</f>
        <v>1</v>
      </c>
      <c r="Z133" s="6">
        <f>[Patrimônio Líquido]/[Total Ações]</f>
        <v>8.2719844591903069</v>
      </c>
      <c r="AA133" s="50">
        <f>MAX(Tabela3[[#This Row],[Cotação 1]],Tabela3[[#This Row],[Cotação 2]])</f>
        <v>7.67</v>
      </c>
      <c r="AB133" s="46">
        <f>[Cotação]/[VPA]</f>
        <v>0.9272261133757943</v>
      </c>
      <c r="AC133" s="42">
        <f>IF(Tabela3[[#This Row],[Lucro/Ação]]&gt;0,Tabela3[[#This Row],[Cotação]]/(Tabela3[[#This Row],[Lucro/Ação]]/[Ref]*4),0)</f>
        <v>19.813099179396701</v>
      </c>
      <c r="AD133" s="42">
        <f>IF([Div. Mínimo]=0,0,[Lucro Distribuir]*[Payout]/[Total Ações])</f>
        <v>0</v>
      </c>
      <c r="AE133" s="99">
        <f>IF(AND([Div. Pref]&gt;0,[Div. Mínimo]&gt;0),[Div. Mínimo]+[Div. Pref],IF([Div. Pref]&gt;0,[Div. Pref],IF([Div. Mínimo]&gt;0,[Div. Mínimo],0)))</f>
        <v>0</v>
      </c>
      <c r="AF133" s="99">
        <f>[Lucro Distribuir]/[Total Ações]</f>
        <v>0.29033822260284875</v>
      </c>
      <c r="AG133" s="99">
        <f>IF([Lucro Payout]&gt;[Lucro Dist./Ação],MAX(Tabela3[[#This Row],[Lucro Atual]:[Lucro Dist./Ação]]),MAX(Tabela3[[#This Row],[Lucro Payout]:[Lucro Atual]]))</f>
        <v>0</v>
      </c>
      <c r="AH133" s="15" t="str">
        <f>IF(AND([% A.A.]&gt;=10%,[PVPA]&lt;=2,[PL]&lt;=15,[PL]&gt;0),"Sim","Não")</f>
        <v>Não</v>
      </c>
      <c r="AI133" s="44">
        <f>Tabela3[[#This Row],[Lucro]]/Tabela3[[#This Row],[Cotação]]</f>
        <v>0</v>
      </c>
      <c r="AJ133" s="19">
        <f>((1+Tabela3[[#This Row],[% Yield]])^(1/(3*Tabela3[[#This Row],[Ref]])))^(12)-1</f>
        <v>0</v>
      </c>
      <c r="AK133" s="14">
        <f>($AQ$1/Tabela3[[#This Row],[Cotação]]-MOD($AQ$1/Tabela3[[#This Row],[Cotação]],100))</f>
        <v>0</v>
      </c>
      <c r="AL133" s="17">
        <f>Tabela3[[#This Row],[Ativos]]*Tabela3[[#This Row],[Lucro Atual]]</f>
        <v>0</v>
      </c>
      <c r="AM133" s="13">
        <f>SUMPRODUCT(N(Tabela1[Código]=Tabela3[[#This Row],[PAPEL]]),Tabela1[Fechamento])</f>
        <v>0</v>
      </c>
      <c r="AN133" s="59">
        <f>SUMPRODUCT(N(Tabela17[Código]=Tabela3[[#This Row],[PAPEL]]),Tabela17[Fechamento])</f>
        <v>7.67</v>
      </c>
    </row>
    <row r="134" spans="1:40">
      <c r="A134" s="4" t="s">
        <v>26</v>
      </c>
      <c r="B134" s="14" t="s">
        <v>264</v>
      </c>
      <c r="C134" s="14" t="str">
        <f>LEFT([PAPEL],LEN([PAPEL])-(LEN([PAPEL])-4))</f>
        <v>PSSA</v>
      </c>
      <c r="D134" s="15">
        <v>3</v>
      </c>
      <c r="E134" s="6"/>
      <c r="F134" s="8"/>
      <c r="G134" s="19"/>
      <c r="H134" s="15"/>
      <c r="I134" s="19"/>
      <c r="J134" s="19"/>
      <c r="K134" s="19"/>
      <c r="L134" s="6">
        <v>5318159000</v>
      </c>
      <c r="M134" s="6">
        <v>472452000</v>
      </c>
      <c r="N134" s="6">
        <f>Tabela3[[#This Row],[Capital Social]]*20%</f>
        <v>0</v>
      </c>
      <c r="O134" s="6">
        <f>IF(([Lucro Líquido]*5%)&gt;[Teto R. Legal],[Teto R. Legal],[Lucro Líquido]*5%)</f>
        <v>0</v>
      </c>
      <c r="P134" s="6">
        <f>IF([Lucro Líquido]&lt;0,0,[Lucro Líquido]-[Reserva Legal])</f>
        <v>472452000</v>
      </c>
      <c r="Q134" s="40">
        <v>323293030</v>
      </c>
      <c r="R134" s="6">
        <f>[Capital Social]/[Total Ações]</f>
        <v>0</v>
      </c>
      <c r="S134" s="13">
        <f>Tabela3[[#This Row],[Lucro Líquido]]/Tabela3[[#This Row],[Total Ações]]</f>
        <v>1.4613739120821752</v>
      </c>
      <c r="T13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4" s="99">
        <f>[Patrimônio Líquido]*[% PNA (PL)]/[Total Ações]</f>
        <v>0</v>
      </c>
      <c r="V134" s="99">
        <f>[Capital Social]*[% PNA (CS)]/[Total Ações]</f>
        <v>0</v>
      </c>
      <c r="W134" s="99">
        <f>MAX(Tabela3[[#This Row],[Div PNA (PL)]],Tabela3[[#This Row],[Div PNA (CS)]])</f>
        <v>0</v>
      </c>
      <c r="X134" s="6">
        <f>[Div. Pref]*[Ações]</f>
        <v>0</v>
      </c>
      <c r="Y134" s="19">
        <f>IF(GETPIVOTDATA("Payout",'Tabela LL'!$A$3,"Ativo",Tabela3[[#This Row],[PAPEL]])&gt;1,1,GETPIVOTDATA("Payout",'Tabela LL'!$A$3,"Ativo",Tabela3[[#This Row],[PAPEL]]))</f>
        <v>0.43307716407622709</v>
      </c>
      <c r="Z134" s="6">
        <f>[Patrimônio Líquido]/[Total Ações]</f>
        <v>16.449964912636688</v>
      </c>
      <c r="AA134" s="50">
        <f>MAX(Tabela3[[#This Row],[Cotação 1]],Tabela3[[#This Row],[Cotação 2]])</f>
        <v>29.52</v>
      </c>
      <c r="AB134" s="46">
        <f>[Cotação]/[VPA]</f>
        <v>1.7945327030651019</v>
      </c>
      <c r="AC134" s="42">
        <f>IF(Tabela3[[#This Row],[Lucro/Ação]]&gt;0,Tabela3[[#This Row],[Cotação]]/(Tabela3[[#This Row],[Lucro/Ação]]/[Ref]*4),0)</f>
        <v>15.150126751924004</v>
      </c>
      <c r="AD134" s="42">
        <f>IF([Div. Mínimo]=0,0,[Lucro Distribuir]*[Payout]/[Total Ações])</f>
        <v>0</v>
      </c>
      <c r="AE134" s="99">
        <f>IF(AND([Div. Pref]&gt;0,[Div. Mínimo]&gt;0),[Div. Mínimo]+[Div. Pref],IF([Div. Pref]&gt;0,[Div. Pref],IF([Div. Mínimo]&gt;0,[Div. Mínimo],0)))</f>
        <v>0</v>
      </c>
      <c r="AF134" s="99">
        <f>[Lucro Distribuir]/[Total Ações]</f>
        <v>1.4613739120821752</v>
      </c>
      <c r="AG134" s="99">
        <f>IF([Lucro Payout]&gt;[Lucro Dist./Ação],MAX(Tabela3[[#This Row],[Lucro Atual]:[Lucro Dist./Ação]]),MAX(Tabela3[[#This Row],[Lucro Payout]:[Lucro Atual]]))</f>
        <v>0</v>
      </c>
      <c r="AH134" s="15" t="str">
        <f>IF(AND([% A.A.]&gt;=10%,[PVPA]&lt;=2,[PL]&lt;=15,[PL]&gt;0),"Sim","Não")</f>
        <v>Não</v>
      </c>
      <c r="AI134" s="44">
        <f>Tabela3[[#This Row],[Lucro]]/Tabela3[[#This Row],[Cotação]]</f>
        <v>0</v>
      </c>
      <c r="AJ134" s="19">
        <f>((1+Tabela3[[#This Row],[% Yield]])^(1/(3*Tabela3[[#This Row],[Ref]])))^(12)-1</f>
        <v>0</v>
      </c>
      <c r="AK134" s="14">
        <f>($AQ$1/Tabela3[[#This Row],[Cotação]]-MOD($AQ$1/Tabela3[[#This Row],[Cotação]],100))</f>
        <v>0</v>
      </c>
      <c r="AL134" s="17">
        <f>Tabela3[[#This Row],[Ativos]]*Tabela3[[#This Row],[Lucro Atual]]</f>
        <v>0</v>
      </c>
      <c r="AM134" s="5">
        <f>SUMPRODUCT(N(Tabela1[Código]=Tabela3[[#This Row],[PAPEL]]),Tabela1[Fechamento])</f>
        <v>29.52</v>
      </c>
      <c r="AN134" s="5">
        <f>SUMPRODUCT(N(Tabela17[Código]=Tabela3[[#This Row],[PAPEL]]),Tabela17[Fechamento])</f>
        <v>0</v>
      </c>
    </row>
    <row r="135" spans="1:40">
      <c r="A135" s="4" t="s">
        <v>358</v>
      </c>
      <c r="B135" s="68" t="s">
        <v>357</v>
      </c>
      <c r="C135" s="104" t="str">
        <f>LEFT([PAPEL],LEN([PAPEL])-(LEN([PAPEL])-4))</f>
        <v>PTPA</v>
      </c>
      <c r="D135" s="15">
        <v>3</v>
      </c>
      <c r="E135" s="6"/>
      <c r="F135" s="8"/>
      <c r="G135" s="19"/>
      <c r="H135" s="15"/>
      <c r="I135" s="19"/>
      <c r="J135" s="19"/>
      <c r="K135" s="19"/>
      <c r="L135" s="6">
        <v>719118000</v>
      </c>
      <c r="M135" s="6">
        <v>53337000</v>
      </c>
      <c r="N135" s="6">
        <f>Tabela3[[#This Row],[Capital Social]]*20%</f>
        <v>0</v>
      </c>
      <c r="O135" s="6">
        <f>IF(([Lucro Líquido]*5%)&gt;[Teto R. Legal],[Teto R. Legal],[Lucro Líquido]*5%)</f>
        <v>0</v>
      </c>
      <c r="P135" s="6">
        <f>IF([Lucro Líquido]&lt;0,0,[Lucro Líquido]-[Reserva Legal])</f>
        <v>53337000</v>
      </c>
      <c r="Q135" s="40">
        <v>17887362</v>
      </c>
      <c r="R135" s="6">
        <f>[Capital Social]/[Total Ações]</f>
        <v>0</v>
      </c>
      <c r="S135" s="13">
        <f>Tabela3[[#This Row],[Lucro Líquido]]/Tabela3[[#This Row],[Total Ações]]</f>
        <v>2.9818259394537887</v>
      </c>
      <c r="T13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5" s="99">
        <f>[Patrimônio Líquido]*[% PNA (PL)]/[Total Ações]</f>
        <v>0</v>
      </c>
      <c r="V135" s="99">
        <f>[Capital Social]*[% PNA (CS)]/[Total Ações]</f>
        <v>0</v>
      </c>
      <c r="W135" s="99">
        <f>MAX(Tabela3[[#This Row],[Div PNA (PL)]],Tabela3[[#This Row],[Div PNA (CS)]])</f>
        <v>0</v>
      </c>
      <c r="X135" s="6">
        <f>[Div. Pref]*[Ações]</f>
        <v>0</v>
      </c>
      <c r="Y135" s="19">
        <f>IF(GETPIVOTDATA("Payout",'Tabela LL'!$A$3,"Ativo",Tabela3[[#This Row],[PAPEL]])&gt;1,1,GETPIVOTDATA("Payout",'Tabela LL'!$A$3,"Ativo",Tabela3[[#This Row],[PAPEL]]))</f>
        <v>0.29704620053272746</v>
      </c>
      <c r="Z135" s="6">
        <f>[Patrimônio Líquido]/[Total Ações]</f>
        <v>40.202574309168675</v>
      </c>
      <c r="AA135" s="50">
        <f>MAX(Tabela3[[#This Row],[Cotação 1]],Tabela3[[#This Row],[Cotação 2]])</f>
        <v>58</v>
      </c>
      <c r="AB135" s="46">
        <f>[Cotação]/[VPA]</f>
        <v>1.4426936830951249</v>
      </c>
      <c r="AC135" s="42">
        <f>IF(Tabela3[[#This Row],[Lucro/Ação]]&gt;0,Tabela3[[#This Row],[Cotação]]/(Tabela3[[#This Row],[Lucro/Ação]]/[Ref]*4),0)</f>
        <v>14.588376680353226</v>
      </c>
      <c r="AD135" s="42">
        <f>IF([Div. Mínimo]=0,0,[Lucro Distribuir]*[Payout]/[Total Ações])</f>
        <v>0</v>
      </c>
      <c r="AE135" s="99">
        <f>IF(AND([Div. Pref]&gt;0,[Div. Mínimo]&gt;0),[Div. Mínimo]+[Div. Pref],IF([Div. Pref]&gt;0,[Div. Pref],IF([Div. Mínimo]&gt;0,[Div. Mínimo],0)))</f>
        <v>0</v>
      </c>
      <c r="AF135" s="99">
        <f>[Lucro Distribuir]/[Total Ações]</f>
        <v>2.9818259394537887</v>
      </c>
      <c r="AG135" s="99">
        <f>IF([Lucro Payout]&gt;[Lucro Dist./Ação],MAX(Tabela3[[#This Row],[Lucro Atual]:[Lucro Dist./Ação]]),MAX(Tabela3[[#This Row],[Lucro Payout]:[Lucro Atual]]))</f>
        <v>0</v>
      </c>
      <c r="AH135" s="15" t="str">
        <f>IF(AND([% A.A.]&gt;=10%,[PVPA]&lt;=2,[PL]&lt;=15,[PL]&gt;0),"Sim","Não")</f>
        <v>Não</v>
      </c>
      <c r="AI135" s="44">
        <f>Tabela3[[#This Row],[Lucro]]/Tabela3[[#This Row],[Cotação]]</f>
        <v>0</v>
      </c>
      <c r="AJ135" s="19">
        <f>((1+Tabela3[[#This Row],[% Yield]])^(1/(3*Tabela3[[#This Row],[Ref]])))^(12)-1</f>
        <v>0</v>
      </c>
      <c r="AK135" s="14">
        <f>($AQ$1/Tabela3[[#This Row],[Cotação]]-MOD($AQ$1/Tabela3[[#This Row],[Cotação]],100))</f>
        <v>0</v>
      </c>
      <c r="AL135" s="17">
        <f>Tabela3[[#This Row],[Ativos]]*Tabela3[[#This Row],[Lucro Atual]]</f>
        <v>0</v>
      </c>
      <c r="AM135" s="13">
        <f>SUMPRODUCT(N(Tabela1[Código]=Tabela3[[#This Row],[PAPEL]]),Tabela1[Fechamento])</f>
        <v>0</v>
      </c>
      <c r="AN135" s="59">
        <f>SUMPRODUCT(N(Tabela17[Código]=Tabela3[[#This Row],[PAPEL]]),Tabela17[Fechamento])</f>
        <v>58</v>
      </c>
    </row>
    <row r="136" spans="1:40">
      <c r="A136" s="4" t="s">
        <v>276</v>
      </c>
      <c r="B136" s="68" t="s">
        <v>277</v>
      </c>
      <c r="C136" s="104" t="str">
        <f>LEFT([PAPEL],LEN([PAPEL])-(LEN([PAPEL])-4))</f>
        <v>QGEP</v>
      </c>
      <c r="D136" s="15">
        <v>3</v>
      </c>
      <c r="E136" s="6"/>
      <c r="F136" s="8"/>
      <c r="G136" s="19"/>
      <c r="H136" s="15"/>
      <c r="I136" s="19"/>
      <c r="J136" s="19"/>
      <c r="K136" s="19"/>
      <c r="L136" s="6">
        <v>2384232000</v>
      </c>
      <c r="M136" s="6">
        <v>171061000</v>
      </c>
      <c r="N136" s="6">
        <f>Tabela3[[#This Row],[Capital Social]]*20%</f>
        <v>0</v>
      </c>
      <c r="O136" s="6">
        <f>IF(([Lucro Líquido]*5%)&gt;[Teto R. Legal],[Teto R. Legal],[Lucro Líquido]*5%)</f>
        <v>0</v>
      </c>
      <c r="P136" s="6">
        <f>IF([Lucro Líquido]&lt;0,0,[Lucro Líquido]-[Reserva Legal])</f>
        <v>171061000</v>
      </c>
      <c r="Q136" s="40">
        <v>265806905</v>
      </c>
      <c r="R136" s="6">
        <f>[Capital Social]/[Total Ações]</f>
        <v>0</v>
      </c>
      <c r="S136" s="13">
        <f>Tabela3[[#This Row],[Lucro Líquido]]/Tabela3[[#This Row],[Total Ações]]</f>
        <v>0.64355363529777376</v>
      </c>
      <c r="T136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6" s="99">
        <f>[Patrimônio Líquido]*[% PNA (PL)]/[Total Ações]</f>
        <v>0</v>
      </c>
      <c r="V136" s="99">
        <f>[Capital Social]*[% PNA (CS)]/[Total Ações]</f>
        <v>0</v>
      </c>
      <c r="W136" s="99">
        <f>MAX(Tabela3[[#This Row],[Div PNA (PL)]],Tabela3[[#This Row],[Div PNA (CS)]])</f>
        <v>0</v>
      </c>
      <c r="X136" s="6">
        <f>[Div. Pref]*[Ações]</f>
        <v>0</v>
      </c>
      <c r="Y136" s="19">
        <f>IF(GETPIVOTDATA("Payout",'Tabela LL'!$A$3,"Ativo",Tabela3[[#This Row],[PAPEL]])&gt;1,1,GETPIVOTDATA("Payout",'Tabela LL'!$A$3,"Ativo",Tabela3[[#This Row],[PAPEL]]))</f>
        <v>0.45238397622744686</v>
      </c>
      <c r="Z136" s="6">
        <f>[Patrimônio Líquido]/[Total Ações]</f>
        <v>8.9697895545640538</v>
      </c>
      <c r="AA136" s="50">
        <f>MAX(Tabela3[[#This Row],[Cotação 1]],Tabela3[[#This Row],[Cotação 2]])</f>
        <v>9.73</v>
      </c>
      <c r="AB136" s="46">
        <f>[Cotação]/[VPA]</f>
        <v>1.0847523167418274</v>
      </c>
      <c r="AC136" s="42">
        <f>IF(Tabela3[[#This Row],[Lucro/Ação]]&gt;0,Tabela3[[#This Row],[Cotação]]/(Tabela3[[#This Row],[Lucro/Ação]]/[Ref]*4),0)</f>
        <v>11.339381210430782</v>
      </c>
      <c r="AD136" s="42">
        <f>IF([Div. Mínimo]=0,0,[Lucro Distribuir]*[Payout]/[Total Ações])</f>
        <v>0</v>
      </c>
      <c r="AE136" s="99">
        <f>IF(AND([Div. Pref]&gt;0,[Div. Mínimo]&gt;0),[Div. Mínimo]+[Div. Pref],IF([Div. Pref]&gt;0,[Div. Pref],IF([Div. Mínimo]&gt;0,[Div. Mínimo],0)))</f>
        <v>0</v>
      </c>
      <c r="AF136" s="99">
        <f>[Lucro Distribuir]/[Total Ações]</f>
        <v>0.64355363529777376</v>
      </c>
      <c r="AG136" s="99">
        <f>IF([Lucro Payout]&gt;[Lucro Dist./Ação],MAX(Tabela3[[#This Row],[Lucro Atual]:[Lucro Dist./Ação]]),MAX(Tabela3[[#This Row],[Lucro Payout]:[Lucro Atual]]))</f>
        <v>0</v>
      </c>
      <c r="AH136" s="15" t="str">
        <f>IF(AND([% A.A.]&gt;=10%,[PVPA]&lt;=2,[PL]&lt;=15,[PL]&gt;0),"Sim","Não")</f>
        <v>Não</v>
      </c>
      <c r="AI136" s="44">
        <f>Tabela3[[#This Row],[Lucro]]/Tabela3[[#This Row],[Cotação]]</f>
        <v>0</v>
      </c>
      <c r="AJ136" s="19">
        <f>((1+Tabela3[[#This Row],[% Yield]])^(1/(3*Tabela3[[#This Row],[Ref]])))^(12)-1</f>
        <v>0</v>
      </c>
      <c r="AK136" s="14">
        <f>($AQ$1/Tabela3[[#This Row],[Cotação]]-MOD($AQ$1/Tabela3[[#This Row],[Cotação]],100))</f>
        <v>0</v>
      </c>
      <c r="AL136" s="17">
        <f>Tabela3[[#This Row],[Ativos]]*Tabela3[[#This Row],[Lucro Atual]]</f>
        <v>0</v>
      </c>
      <c r="AM136" s="13">
        <f>SUMPRODUCT(N(Tabela1[Código]=Tabela3[[#This Row],[PAPEL]]),Tabela1[Fechamento])</f>
        <v>0</v>
      </c>
      <c r="AN136" s="13">
        <f>SUMPRODUCT(N(Tabela17[Código]=Tabela3[[#This Row],[PAPEL]]),Tabela17[Fechamento])</f>
        <v>9.73</v>
      </c>
    </row>
    <row r="137" spans="1:40">
      <c r="A137" s="4" t="s">
        <v>19</v>
      </c>
      <c r="B137" s="14" t="s">
        <v>200</v>
      </c>
      <c r="C137" s="14" t="str">
        <f>LEFT([PAPEL],LEN([PAPEL])-(LEN([PAPEL])-4))</f>
        <v>RANI</v>
      </c>
      <c r="D137" s="15">
        <v>3</v>
      </c>
      <c r="E137" s="6"/>
      <c r="F137" s="8"/>
      <c r="G137" s="19"/>
      <c r="H137" s="15"/>
      <c r="I137" s="19"/>
      <c r="J137" s="19"/>
      <c r="K137" s="19"/>
      <c r="L137" s="6">
        <v>460223000</v>
      </c>
      <c r="M137" s="6">
        <v>24584000</v>
      </c>
      <c r="N137" s="6">
        <f>Tabela3[[#This Row],[Capital Social]]*20%</f>
        <v>0</v>
      </c>
      <c r="O137" s="6">
        <f>IF(([Lucro Líquido]*5%)&gt;[Teto R. Legal],[Teto R. Legal],[Lucro Líquido]*5%)</f>
        <v>0</v>
      </c>
      <c r="P137" s="6">
        <f>IF([Lucro Líquido]&lt;0,0,[Lucro Líquido]-[Reserva Legal])</f>
        <v>24584000</v>
      </c>
      <c r="Q137" s="40">
        <v>166720235</v>
      </c>
      <c r="R137" s="6">
        <f>[Capital Social]/[Total Ações]</f>
        <v>0</v>
      </c>
      <c r="S137" s="13">
        <f>Tabela3[[#This Row],[Lucro Líquido]]/Tabela3[[#This Row],[Total Ações]]</f>
        <v>0.14745660597227445</v>
      </c>
      <c r="T13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7" s="99">
        <f>[Patrimônio Líquido]*[% PNA (PL)]/[Total Ações]</f>
        <v>0</v>
      </c>
      <c r="V137" s="99">
        <f>[Capital Social]*[% PNA (CS)]/[Total Ações]</f>
        <v>0</v>
      </c>
      <c r="W137" s="99">
        <f>MAX(Tabela3[[#This Row],[Div PNA (PL)]],Tabela3[[#This Row],[Div PNA (CS)]])</f>
        <v>0</v>
      </c>
      <c r="X137" s="6">
        <f>[Div. Pref]*[Ações]</f>
        <v>0</v>
      </c>
      <c r="Y137" s="19">
        <f>IF(GETPIVOTDATA("Payout",'Tabela LL'!$A$3,"Ativo",Tabela3[[#This Row],[PAPEL]])&gt;1,1,GETPIVOTDATA("Payout",'Tabela LL'!$A$3,"Ativo",Tabela3[[#This Row],[PAPEL]]))</f>
        <v>0.5857126326415365</v>
      </c>
      <c r="Z137" s="6">
        <f>[Patrimônio Líquido]/[Total Ações]</f>
        <v>2.760450763520097</v>
      </c>
      <c r="AA137" s="50">
        <f>MAX(Tabela3[[#This Row],[Cotação 1]],Tabela3[[#This Row],[Cotação 2]])</f>
        <v>3.33</v>
      </c>
      <c r="AB137" s="46">
        <f>[Cotação]/[VPA]</f>
        <v>1.2063247220369255</v>
      </c>
      <c r="AC137" s="42">
        <f>IF(Tabela3[[#This Row],[Lucro/Ação]]&gt;0,Tabela3[[#This Row],[Cotação]]/(Tabela3[[#This Row],[Lucro/Ação]]/[Ref]*4),0)</f>
        <v>16.937186255796455</v>
      </c>
      <c r="AD137" s="42">
        <f>IF([Div. Mínimo]=0,0,[Lucro Distribuir]*[Payout]/[Total Ações])</f>
        <v>0</v>
      </c>
      <c r="AE137" s="99">
        <f>IF(AND([Div. Pref]&gt;0,[Div. Mínimo]&gt;0),[Div. Mínimo]+[Div. Pref],IF([Div. Pref]&gt;0,[Div. Pref],IF([Div. Mínimo]&gt;0,[Div. Mínimo],0)))</f>
        <v>0</v>
      </c>
      <c r="AF137" s="99">
        <f>[Lucro Distribuir]/[Total Ações]</f>
        <v>0.14745660597227445</v>
      </c>
      <c r="AG137" s="99">
        <f>IF([Lucro Payout]&gt;[Lucro Dist./Ação],MAX(Tabela3[[#This Row],[Lucro Atual]:[Lucro Dist./Ação]]),MAX(Tabela3[[#This Row],[Lucro Payout]:[Lucro Atual]]))</f>
        <v>0</v>
      </c>
      <c r="AH137" s="15" t="str">
        <f>IF(AND([% A.A.]&gt;=10%,[PVPA]&lt;=2,[PL]&lt;=15,[PL]&gt;0),"Sim","Não")</f>
        <v>Não</v>
      </c>
      <c r="AI137" s="44">
        <f>Tabela3[[#This Row],[Lucro]]/Tabela3[[#This Row],[Cotação]]</f>
        <v>0</v>
      </c>
      <c r="AJ137" s="19">
        <f>((1+Tabela3[[#This Row],[% Yield]])^(1/(3*Tabela3[[#This Row],[Ref]])))^(12)-1</f>
        <v>0</v>
      </c>
      <c r="AK137" s="14">
        <f>($AQ$1/Tabela3[[#This Row],[Cotação]]-MOD($AQ$1/Tabela3[[#This Row],[Cotação]],100))</f>
        <v>0</v>
      </c>
      <c r="AL137" s="17">
        <f>Tabela3[[#This Row],[Ativos]]*Tabela3[[#This Row],[Lucro Atual]]</f>
        <v>0</v>
      </c>
      <c r="AM137" s="5">
        <f>SUMPRODUCT(N(Tabela1[Código]=Tabela3[[#This Row],[PAPEL]]),Tabela1[Fechamento])</f>
        <v>3.33</v>
      </c>
      <c r="AN137" s="5">
        <f>SUMPRODUCT(N(Tabela17[Código]=Tabela3[[#This Row],[PAPEL]]),Tabela17[Fechamento])</f>
        <v>0</v>
      </c>
    </row>
    <row r="138" spans="1:40">
      <c r="A138" s="4" t="s">
        <v>19</v>
      </c>
      <c r="B138" s="14" t="s">
        <v>201</v>
      </c>
      <c r="C138" s="14" t="str">
        <f>LEFT([PAPEL],LEN([PAPEL])-(LEN([PAPEL])-4))</f>
        <v>RANI</v>
      </c>
      <c r="D138" s="15">
        <v>3</v>
      </c>
      <c r="E138" s="6"/>
      <c r="F138" s="8"/>
      <c r="G138" s="19"/>
      <c r="H138" s="15"/>
      <c r="I138" s="19"/>
      <c r="J138" s="19"/>
      <c r="K138" s="19"/>
      <c r="L138" s="6">
        <v>460223000</v>
      </c>
      <c r="M138" s="6">
        <v>24584000</v>
      </c>
      <c r="N138" s="6">
        <f>Tabela3[[#This Row],[Capital Social]]*20%</f>
        <v>0</v>
      </c>
      <c r="O138" s="6">
        <f>IF(([Lucro Líquido]*5%)&gt;[Teto R. Legal],[Teto R. Legal],[Lucro Líquido]*5%)</f>
        <v>0</v>
      </c>
      <c r="P138" s="6">
        <f>IF([Lucro Líquido]&lt;0,0,[Lucro Líquido]-[Reserva Legal])</f>
        <v>24584000</v>
      </c>
      <c r="Q138" s="40">
        <v>166720235</v>
      </c>
      <c r="R138" s="6">
        <f>[Capital Social]/[Total Ações]</f>
        <v>0</v>
      </c>
      <c r="S138" s="13">
        <f>Tabela3[[#This Row],[Lucro Líquido]]/Tabela3[[#This Row],[Total Ações]]</f>
        <v>0.14745660597227445</v>
      </c>
      <c r="T13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8" s="99">
        <f>[Patrimônio Líquido]*[% PNA (PL)]/[Total Ações]</f>
        <v>0</v>
      </c>
      <c r="V138" s="99">
        <f>[Capital Social]*[% PNA (CS)]/[Total Ações]</f>
        <v>0</v>
      </c>
      <c r="W138" s="99">
        <f>MAX(Tabela3[[#This Row],[Div PNA (PL)]],Tabela3[[#This Row],[Div PNA (CS)]])</f>
        <v>0</v>
      </c>
      <c r="X138" s="6">
        <f>[Div. Pref]*[Ações]</f>
        <v>0</v>
      </c>
      <c r="Y138" s="19">
        <f>IF(GETPIVOTDATA("Payout",'Tabela LL'!$A$3,"Ativo",Tabela3[[#This Row],[PAPEL]])&gt;1,1,GETPIVOTDATA("Payout",'Tabela LL'!$A$3,"Ativo",Tabela3[[#This Row],[PAPEL]]))</f>
        <v>0.63120967245066673</v>
      </c>
      <c r="Z138" s="6">
        <f>[Patrimônio Líquido]/[Total Ações]</f>
        <v>2.760450763520097</v>
      </c>
      <c r="AA138" s="50">
        <f>MAX(Tabela3[[#This Row],[Cotação 1]],Tabela3[[#This Row],[Cotação 2]])</f>
        <v>3.36</v>
      </c>
      <c r="AB138" s="46">
        <f>[Cotação]/[VPA]</f>
        <v>1.2171925123255465</v>
      </c>
      <c r="AC138" s="42">
        <f>IF(Tabela3[[#This Row],[Lucro/Ação]]&gt;0,Tabela3[[#This Row],[Cotação]]/(Tabela3[[#This Row],[Lucro/Ação]]/[Ref]*4),0)</f>
        <v>17.089773519362186</v>
      </c>
      <c r="AD138" s="42">
        <f>IF([Div. Mínimo]=0,0,[Lucro Distribuir]*[Payout]/[Total Ações])</f>
        <v>0</v>
      </c>
      <c r="AE138" s="99">
        <f>IF(AND([Div. Pref]&gt;0,[Div. Mínimo]&gt;0),[Div. Mínimo]+[Div. Pref],IF([Div. Pref]&gt;0,[Div. Pref],IF([Div. Mínimo]&gt;0,[Div. Mínimo],0)))</f>
        <v>0</v>
      </c>
      <c r="AF138" s="99">
        <f>[Lucro Distribuir]/[Total Ações]</f>
        <v>0.14745660597227445</v>
      </c>
      <c r="AG138" s="99">
        <f>IF([Lucro Payout]&gt;[Lucro Dist./Ação],MAX(Tabela3[[#This Row],[Lucro Atual]:[Lucro Dist./Ação]]),MAX(Tabela3[[#This Row],[Lucro Payout]:[Lucro Atual]]))</f>
        <v>0</v>
      </c>
      <c r="AH138" s="15" t="str">
        <f>IF(AND([% A.A.]&gt;=10%,[PVPA]&lt;=2,[PL]&lt;=15,[PL]&gt;0),"Sim","Não")</f>
        <v>Não</v>
      </c>
      <c r="AI138" s="44">
        <f>Tabela3[[#This Row],[Lucro]]/Tabela3[[#This Row],[Cotação]]</f>
        <v>0</v>
      </c>
      <c r="AJ138" s="19">
        <f>((1+Tabela3[[#This Row],[% Yield]])^(1/(3*Tabela3[[#This Row],[Ref]])))^(12)-1</f>
        <v>0</v>
      </c>
      <c r="AK138" s="14">
        <f>($AQ$1/Tabela3[[#This Row],[Cotação]]-MOD($AQ$1/Tabela3[[#This Row],[Cotação]],100))</f>
        <v>0</v>
      </c>
      <c r="AL138" s="17">
        <f>Tabela3[[#This Row],[Ativos]]*Tabela3[[#This Row],[Lucro Atual]]</f>
        <v>0</v>
      </c>
      <c r="AM138" s="5">
        <f>SUMPRODUCT(N(Tabela1[Código]=Tabela3[[#This Row],[PAPEL]]),Tabela1[Fechamento])</f>
        <v>3.36</v>
      </c>
      <c r="AN138" s="5">
        <f>SUMPRODUCT(N(Tabela17[Código]=Tabela3[[#This Row],[PAPEL]]),Tabela17[Fechamento])</f>
        <v>0</v>
      </c>
    </row>
    <row r="139" spans="1:40">
      <c r="A139" s="4" t="s">
        <v>12</v>
      </c>
      <c r="B139" s="14" t="s">
        <v>65</v>
      </c>
      <c r="C139" s="14" t="str">
        <f>LEFT([PAPEL],LEN([PAPEL])-(LEN([PAPEL])-4))</f>
        <v>RDTR</v>
      </c>
      <c r="D139" s="15">
        <v>3</v>
      </c>
      <c r="E139" s="6"/>
      <c r="F139" s="8"/>
      <c r="G139" s="19"/>
      <c r="H139" s="15"/>
      <c r="I139" s="19"/>
      <c r="J139" s="19"/>
      <c r="K139" s="19"/>
      <c r="L139" s="6">
        <v>463367000</v>
      </c>
      <c r="M139" s="6">
        <v>59974000</v>
      </c>
      <c r="N139" s="6">
        <f>Tabela3[[#This Row],[Capital Social]]*20%</f>
        <v>0</v>
      </c>
      <c r="O139" s="6">
        <f>IF(([Lucro Líquido]*5%)&gt;[Teto R. Legal],[Teto R. Legal],[Lucro Líquido]*5%)</f>
        <v>0</v>
      </c>
      <c r="P139" s="6">
        <f>IF([Lucro Líquido]&lt;0,0,[Lucro Líquido]-[Reserva Legal])</f>
        <v>59974000</v>
      </c>
      <c r="Q139" s="40">
        <v>108480828</v>
      </c>
      <c r="R139" s="6">
        <f>[Capital Social]/[Total Ações]</f>
        <v>0</v>
      </c>
      <c r="S139" s="13">
        <f>Tabela3[[#This Row],[Lucro Líquido]]/Tabela3[[#This Row],[Total Ações]]</f>
        <v>0.55285344982801943</v>
      </c>
      <c r="T13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39" s="99">
        <f>[Patrimônio Líquido]*[% PNA (PL)]/[Total Ações]</f>
        <v>0</v>
      </c>
      <c r="V139" s="99">
        <f>[Capital Social]*[% PNA (CS)]/[Total Ações]</f>
        <v>0</v>
      </c>
      <c r="W139" s="99">
        <f>MAX(Tabela3[[#This Row],[Div PNA (PL)]],Tabela3[[#This Row],[Div PNA (CS)]])</f>
        <v>0</v>
      </c>
      <c r="X139" s="6">
        <f>[Div. Pref]*[Ações]</f>
        <v>0</v>
      </c>
      <c r="Y139" s="19">
        <f>IF(GETPIVOTDATA("Payout",'Tabela LL'!$A$3,"Ativo",Tabela3[[#This Row],[PAPEL]])&gt;1,1,GETPIVOTDATA("Payout",'Tabela LL'!$A$3,"Ativo",Tabela3[[#This Row],[PAPEL]]))</f>
        <v>0.74003580825491566</v>
      </c>
      <c r="Z139" s="6">
        <f>[Patrimônio Líquido]/[Total Ações]</f>
        <v>4.2714183560619574</v>
      </c>
      <c r="AA139" s="50">
        <f>MAX(Tabela3[[#This Row],[Cotação 1]],Tabela3[[#This Row],[Cotação 2]])</f>
        <v>5.96</v>
      </c>
      <c r="AB139" s="46">
        <f>[Cotação]/[VPA]</f>
        <v>1.3953210627429231</v>
      </c>
      <c r="AC139" s="42">
        <f>IF(Tabela3[[#This Row],[Lucro/Ação]]&gt;0,Tabela3[[#This Row],[Cotação]]/(Tabela3[[#This Row],[Lucro/Ação]]/[Ref]*4),0)</f>
        <v>8.0853253269750223</v>
      </c>
      <c r="AD139" s="42">
        <f>IF([Div. Mínimo]=0,0,[Lucro Distribuir]*[Payout]/[Total Ações])</f>
        <v>0</v>
      </c>
      <c r="AE139" s="99">
        <f>IF(AND([Div. Pref]&gt;0,[Div. Mínimo]&gt;0),[Div. Mínimo]+[Div. Pref],IF([Div. Pref]&gt;0,[Div. Pref],IF([Div. Mínimo]&gt;0,[Div. Mínimo],0)))</f>
        <v>0</v>
      </c>
      <c r="AF139" s="99">
        <f>[Lucro Distribuir]/[Total Ações]</f>
        <v>0.55285344982801943</v>
      </c>
      <c r="AG139" s="99">
        <f>IF([Lucro Payout]&gt;[Lucro Dist./Ação],MAX(Tabela3[[#This Row],[Lucro Atual]:[Lucro Dist./Ação]]),MAX(Tabela3[[#This Row],[Lucro Payout]:[Lucro Atual]]))</f>
        <v>0</v>
      </c>
      <c r="AH139" s="14" t="str">
        <f>IF(AND([% A.A.]&gt;=10%,[PVPA]&lt;=2,[PL]&lt;=15,[PL]&gt;0),"Sim","Não")</f>
        <v>Não</v>
      </c>
      <c r="AI139" s="44">
        <f>Tabela3[[#This Row],[Lucro]]/Tabela3[[#This Row],[Cotação]]</f>
        <v>0</v>
      </c>
      <c r="AJ139" s="19">
        <f>((1+Tabela3[[#This Row],[% Yield]])^(1/(3*Tabela3[[#This Row],[Ref]])))^(12)-1</f>
        <v>0</v>
      </c>
      <c r="AK139" s="14">
        <f>($AQ$1/Tabela3[[#This Row],[Cotação]]-MOD($AQ$1/Tabela3[[#This Row],[Cotação]],100))</f>
        <v>0</v>
      </c>
      <c r="AL139" s="17">
        <f>Tabela3[[#This Row],[Ativos]]*Tabela3[[#This Row],[Lucro Atual]]</f>
        <v>0</v>
      </c>
      <c r="AM139" s="5">
        <f>SUMPRODUCT(N(Tabela1[Código]=Tabela3[[#This Row],[PAPEL]]),Tabela1[Fechamento])</f>
        <v>5.96</v>
      </c>
      <c r="AN139" s="5">
        <f>SUMPRODUCT(N(Tabela17[Código]=Tabela3[[#This Row],[PAPEL]]),Tabela17[Fechamento])</f>
        <v>0</v>
      </c>
    </row>
    <row r="140" spans="1:40">
      <c r="A140" s="4" t="s">
        <v>14</v>
      </c>
      <c r="B140" s="14" t="s">
        <v>209</v>
      </c>
      <c r="C140" s="14" t="str">
        <f>LEFT([PAPEL],LEN([PAPEL])-(LEN([PAPEL])-4))</f>
        <v>RPAD</v>
      </c>
      <c r="D140" s="15">
        <v>3</v>
      </c>
      <c r="E140" s="6">
        <v>267646990</v>
      </c>
      <c r="F140" s="8">
        <v>46011632</v>
      </c>
      <c r="G140" s="19">
        <v>0.25</v>
      </c>
      <c r="H140" s="15"/>
      <c r="I140" s="19"/>
      <c r="J140" s="19"/>
      <c r="K140" s="19"/>
      <c r="L140" s="6">
        <v>727021000</v>
      </c>
      <c r="M140" s="6">
        <v>31097000</v>
      </c>
      <c r="N140" s="6">
        <f>Tabela3[[#This Row],[Capital Social]]*20%</f>
        <v>53529398</v>
      </c>
      <c r="O140" s="6">
        <f>IF(([Lucro Líquido]*5%)&gt;[Teto R. Legal],[Teto R. Legal],[Lucro Líquido]*5%)</f>
        <v>1554850</v>
      </c>
      <c r="P140" s="6">
        <f>IF([Lucro Líquido]&lt;0,0,[Lucro Líquido]-[Reserva Legal])</f>
        <v>29542150</v>
      </c>
      <c r="Q140" s="21">
        <f>SUMPRODUCT(N([Nome]=Tabela3[[#This Row],[Nome]]),[Ações])</f>
        <v>84682269</v>
      </c>
      <c r="R140" s="6">
        <f>[Capital Social]/[Total Ações]</f>
        <v>3.1606024869267495</v>
      </c>
      <c r="S140" s="13">
        <f>Tabela3[[#This Row],[Lucro Líquido]]/Tabela3[[#This Row],[Total Ações]]</f>
        <v>0.36721973049635692</v>
      </c>
      <c r="T14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2.7806221078407752E-2</v>
      </c>
      <c r="U140" s="99">
        <f>[Patrimônio Líquido]*[% PNA (PL)]/[Total Ações]</f>
        <v>0</v>
      </c>
      <c r="V140" s="99">
        <f>[Capital Social]*[% PNA (CS)]/[Total Ações]</f>
        <v>0</v>
      </c>
      <c r="W140" s="99">
        <f>MAX(Tabela3[[#This Row],[Div PNA (PL)]],Tabela3[[#This Row],[Div PNA (CS)]])</f>
        <v>0</v>
      </c>
      <c r="X140" s="6">
        <f>[Div. Pref]*[Ações]</f>
        <v>0</v>
      </c>
      <c r="Y140" s="19">
        <f>IF(GETPIVOTDATA("Payout",'Tabela LL'!$A$3,"Ativo",Tabela3[[#This Row],[PAPEL]])&gt;1,1,GETPIVOTDATA("Payout",'Tabela LL'!$A$3,"Ativo",Tabela3[[#This Row],[PAPEL]]))</f>
        <v>2.6538214988206538E-2</v>
      </c>
      <c r="Z140" s="6">
        <f>[Patrimônio Líquido]/[Total Ações]</f>
        <v>8.5852801133611578</v>
      </c>
      <c r="AA140" s="50">
        <f>MAX(Tabela3[[#This Row],[Cotação 1]],Tabela3[[#This Row],[Cotação 2]])</f>
        <v>3.08</v>
      </c>
      <c r="AB140" s="46">
        <f>[Cotação]/[VPA]</f>
        <v>0.35875358279884623</v>
      </c>
      <c r="AC140" s="42">
        <f>IF(Tabela3[[#This Row],[Lucro/Ação]]&gt;0,Tabela3[[#This Row],[Cotação]]/(Tabela3[[#This Row],[Lucro/Ação]]/[Ref]*4),0)</f>
        <v>6.2905116696144328</v>
      </c>
      <c r="AD140" s="42">
        <f>IF([Div. Mínimo]=0,0,[Lucro Distribuir]*[Payout]/[Total Ações])</f>
        <v>9.2580883480324044E-3</v>
      </c>
      <c r="AE140" s="99">
        <f>IF(AND([Div. Pref]&gt;0,[Div. Mínimo]&gt;0),[Div. Mínimo]+[Div. Pref],IF([Div. Pref]&gt;0,[Div. Pref],IF([Div. Mínimo]&gt;0,[Div. Mínimo],0)))</f>
        <v>2.7806221078407752E-2</v>
      </c>
      <c r="AF140" s="99">
        <f>[Lucro Distribuir]/[Total Ações]</f>
        <v>0.3488587439715391</v>
      </c>
      <c r="AG140" s="99">
        <f>IF([Lucro Payout]&gt;[Lucro Dist./Ação],MAX(Tabela3[[#This Row],[Lucro Atual]:[Lucro Dist./Ação]]),MAX(Tabela3[[#This Row],[Lucro Payout]:[Lucro Atual]]))</f>
        <v>2.7806221078407752E-2</v>
      </c>
      <c r="AH140" s="15" t="str">
        <f>IF(AND([% A.A.]&gt;=10%,[PVPA]&lt;=2,[PL]&lt;=15,[PL]&gt;0),"Sim","Não")</f>
        <v>Não</v>
      </c>
      <c r="AI140" s="44">
        <f>Tabela3[[#This Row],[Lucro]]/Tabela3[[#This Row],[Cotação]]</f>
        <v>9.0279938566258933E-3</v>
      </c>
      <c r="AJ140" s="19">
        <f>((1+Tabela3[[#This Row],[% Yield]])^(1/(3*Tabela3[[#This Row],[Ref]])))^(12)-1</f>
        <v>1.2055401090800499E-2</v>
      </c>
      <c r="AK140" s="14">
        <f>($AQ$1/Tabela3[[#This Row],[Cotação]]-MOD($AQ$1/Tabela3[[#This Row],[Cotação]],100))</f>
        <v>0</v>
      </c>
      <c r="AL140" s="17">
        <f>Tabela3[[#This Row],[Ativos]]*Tabela3[[#This Row],[Lucro Atual]]</f>
        <v>0</v>
      </c>
      <c r="AM140" s="5">
        <f>SUMPRODUCT(N(Tabela1[Código]=Tabela3[[#This Row],[PAPEL]]),Tabela1[Fechamento])</f>
        <v>3.08</v>
      </c>
      <c r="AN140" s="5">
        <f>SUMPRODUCT(N(Tabela17[Código]=Tabela3[[#This Row],[PAPEL]]),Tabela17[Fechamento])</f>
        <v>0</v>
      </c>
    </row>
    <row r="141" spans="1:40">
      <c r="A141" s="4" t="s">
        <v>14</v>
      </c>
      <c r="B141" s="14" t="s">
        <v>77</v>
      </c>
      <c r="C141" s="14" t="str">
        <f>LEFT([PAPEL],LEN([PAPEL])-(LEN([PAPEL])-4))</f>
        <v>RPAD</v>
      </c>
      <c r="D141" s="15">
        <v>3</v>
      </c>
      <c r="E141" s="6">
        <v>267646990</v>
      </c>
      <c r="F141" s="8">
        <v>14313881</v>
      </c>
      <c r="G141" s="19"/>
      <c r="H141" s="15"/>
      <c r="I141" s="19">
        <v>0.12</v>
      </c>
      <c r="J141" s="19"/>
      <c r="K141" s="19"/>
      <c r="L141" s="6">
        <v>727021000</v>
      </c>
      <c r="M141" s="6">
        <v>31097000</v>
      </c>
      <c r="N141" s="6">
        <f>Tabela3[[#This Row],[Capital Social]]*20%</f>
        <v>53529398</v>
      </c>
      <c r="O141" s="6">
        <f>IF(([Lucro Líquido]*5%)&gt;[Teto R. Legal],[Teto R. Legal],[Lucro Líquido]*5%)</f>
        <v>1554850</v>
      </c>
      <c r="P141" s="6">
        <f>IF([Lucro Líquido]&lt;0,0,[Lucro Líquido]-[Reserva Legal])</f>
        <v>29542150</v>
      </c>
      <c r="Q141" s="21">
        <f>SUMPRODUCT(N([Nome]=Tabela3[[#This Row],[Nome]]),[Ações])</f>
        <v>84682269</v>
      </c>
      <c r="R141" s="6">
        <f>[Capital Social]/[Total Ações]</f>
        <v>3.1606024869267495</v>
      </c>
      <c r="S141" s="13">
        <f>Tabela3[[#This Row],[Lucro Líquido]]/Tabela3[[#This Row],[Total Ações]]</f>
        <v>0.36721973049635692</v>
      </c>
      <c r="T14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1" s="99">
        <f>[Patrimônio Líquido]*[% PNA (PL)]/[Total Ações]</f>
        <v>0</v>
      </c>
      <c r="V141" s="99">
        <f>[Capital Social]*[% PNA (CS)]/[Total Ações]</f>
        <v>0.37927229843120991</v>
      </c>
      <c r="W141" s="99">
        <f>MAX(Tabela3[[#This Row],[Div PNA (PL)]],Tabela3[[#This Row],[Div PNA (CS)]])</f>
        <v>0.37927229843120991</v>
      </c>
      <c r="X141" s="6">
        <f>[Div. Pref]*[Ações]</f>
        <v>5428858.546340825</v>
      </c>
      <c r="Y141" s="19">
        <f>IF(GETPIVOTDATA("Payout",'Tabela LL'!$A$3,"Ativo",Tabela3[[#This Row],[PAPEL]])&gt;1,1,GETPIVOTDATA("Payout",'Tabela LL'!$A$3,"Ativo",Tabela3[[#This Row],[PAPEL]]))</f>
        <v>0.63014566270033845</v>
      </c>
      <c r="Z141" s="6">
        <f>[Patrimônio Líquido]/[Total Ações]</f>
        <v>8.5852801133611578</v>
      </c>
      <c r="AA141" s="50">
        <f>MAX(Tabela3[[#This Row],[Cotação 1]],Tabela3[[#This Row],[Cotação 2]])</f>
        <v>6.8</v>
      </c>
      <c r="AB141" s="46">
        <f>[Cotação]/[VPA]</f>
        <v>0.79205336462082931</v>
      </c>
      <c r="AC141" s="42">
        <f>IF(Tabela3[[#This Row],[Lucro/Ação]]&gt;0,Tabela3[[#This Row],[Cotação]]/(Tabela3[[#This Row],[Lucro/Ação]]/[Ref]*4),0)</f>
        <v>13.888142647200693</v>
      </c>
      <c r="AD141" s="42">
        <f>IF([Div. Mínimo]=0,0,[Lucro Distribuir]*[Payout]/[Total Ações])</f>
        <v>0</v>
      </c>
      <c r="AE141" s="99">
        <f>IF(AND([Div. Pref]&gt;0,[Div. Mínimo]&gt;0),[Div. Mínimo]+[Div. Pref],IF([Div. Pref]&gt;0,[Div. Pref],IF([Div. Mínimo]&gt;0,[Div. Mínimo],0)))</f>
        <v>0.37927229843120991</v>
      </c>
      <c r="AF141" s="99">
        <f>[Lucro Distribuir]/[Total Ações]</f>
        <v>0.3488587439715391</v>
      </c>
      <c r="AG141" s="99">
        <f>IF([Lucro Payout]&gt;[Lucro Dist./Ação],MAX(Tabela3[[#This Row],[Lucro Atual]:[Lucro Dist./Ação]]),MAX(Tabela3[[#This Row],[Lucro Payout]:[Lucro Atual]]))</f>
        <v>0.37927229843120991</v>
      </c>
      <c r="AH141" s="15" t="str">
        <f>IF(AND([% A.A.]&gt;=10%,[PVPA]&lt;=2,[PL]&lt;=15,[PL]&gt;0),"Sim","Não")</f>
        <v>Não</v>
      </c>
      <c r="AI141" s="44">
        <f>Tabela3[[#This Row],[Lucro]]/Tabela3[[#This Row],[Cotação]]</f>
        <v>5.5775338004589697E-2</v>
      </c>
      <c r="AJ141" s="19">
        <f>((1+Tabela3[[#This Row],[% Yield]])^(1/(3*Tabela3[[#This Row],[Ref]])))^(12)-1</f>
        <v>7.5050050819538638E-2</v>
      </c>
      <c r="AK141" s="14">
        <f>($AQ$1/Tabela3[[#This Row],[Cotação]]-MOD($AQ$1/Tabela3[[#This Row],[Cotação]],100))</f>
        <v>0</v>
      </c>
      <c r="AL141" s="17">
        <f>Tabela3[[#This Row],[Ativos]]*Tabela3[[#This Row],[Lucro Atual]]</f>
        <v>0</v>
      </c>
      <c r="AM141" s="5">
        <f>SUMPRODUCT(N(Tabela1[Código]=Tabela3[[#This Row],[PAPEL]]),Tabela1[Fechamento])</f>
        <v>6.8</v>
      </c>
      <c r="AN141" s="5">
        <f>SUMPRODUCT(N(Tabela17[Código]=Tabela3[[#This Row],[PAPEL]]),Tabela17[Fechamento])</f>
        <v>0</v>
      </c>
    </row>
    <row r="142" spans="1:40">
      <c r="A142" s="4" t="s">
        <v>14</v>
      </c>
      <c r="B142" s="14" t="s">
        <v>210</v>
      </c>
      <c r="C142" s="14" t="str">
        <f>LEFT([PAPEL],LEN([PAPEL])-(LEN([PAPEL])-4))</f>
        <v>RPAD</v>
      </c>
      <c r="D142" s="15">
        <v>3</v>
      </c>
      <c r="E142" s="6">
        <v>267646990</v>
      </c>
      <c r="F142" s="8">
        <v>24356756</v>
      </c>
      <c r="G142" s="19">
        <v>0.25</v>
      </c>
      <c r="H142" s="15"/>
      <c r="I142" s="19"/>
      <c r="J142" s="19"/>
      <c r="K142" s="19"/>
      <c r="L142" s="6">
        <v>727021000</v>
      </c>
      <c r="M142" s="6">
        <v>31097000</v>
      </c>
      <c r="N142" s="6">
        <f>Tabela3[[#This Row],[Capital Social]]*20%</f>
        <v>53529398</v>
      </c>
      <c r="O142" s="6">
        <f>IF(([Lucro Líquido]*5%)&gt;[Teto R. Legal],[Teto R. Legal],[Lucro Líquido]*5%)</f>
        <v>1554850</v>
      </c>
      <c r="P142" s="6">
        <f>IF([Lucro Líquido]&lt;0,0,[Lucro Líquido]-[Reserva Legal])</f>
        <v>29542150</v>
      </c>
      <c r="Q142" s="21">
        <f>SUMPRODUCT(N([Nome]=Tabela3[[#This Row],[Nome]]),[Ações])</f>
        <v>84682269</v>
      </c>
      <c r="R142" s="6">
        <f>[Capital Social]/[Total Ações]</f>
        <v>3.1606024869267495</v>
      </c>
      <c r="S142" s="13">
        <f>Tabela3[[#This Row],[Lucro Líquido]]/Tabela3[[#This Row],[Total Ações]]</f>
        <v>0.36721973049635692</v>
      </c>
      <c r="T14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2.7806221078407752E-2</v>
      </c>
      <c r="U142" s="99">
        <f>[Patrimônio Líquido]*[% PNA (PL)]/[Total Ações]</f>
        <v>0</v>
      </c>
      <c r="V142" s="99">
        <f>[Capital Social]*[% PNA (CS)]/[Total Ações]</f>
        <v>0</v>
      </c>
      <c r="W142" s="99">
        <f>MAX(Tabela3[[#This Row],[Div PNA (PL)]],Tabela3[[#This Row],[Div PNA (CS)]])</f>
        <v>0</v>
      </c>
      <c r="X142" s="6">
        <f>[Div. Pref]*[Ações]</f>
        <v>0</v>
      </c>
      <c r="Y142" s="19">
        <f>IF(GETPIVOTDATA("Payout",'Tabela LL'!$A$3,"Ativo",Tabela3[[#This Row],[PAPEL]])&gt;1,1,GETPIVOTDATA("Payout",'Tabela LL'!$A$3,"Ativo",Tabela3[[#This Row],[PAPEL]]))</f>
        <v>2.9204663914363771E-2</v>
      </c>
      <c r="Z142" s="6">
        <f>[Patrimônio Líquido]/[Total Ações]</f>
        <v>8.5852801133611578</v>
      </c>
      <c r="AA142" s="50">
        <f>MAX(Tabela3[[#This Row],[Cotação 1]],Tabela3[[#This Row],[Cotação 2]])</f>
        <v>2.99</v>
      </c>
      <c r="AB142" s="46">
        <f>[Cotação]/[VPA]</f>
        <v>0.34827052356121763</v>
      </c>
      <c r="AC142" s="42">
        <f>IF(Tabela3[[#This Row],[Lucro/Ação]]&gt;0,Tabela3[[#This Row],[Cotação]]/(Tabela3[[#This Row],[Lucro/Ação]]/[Ref]*4),0)</f>
        <v>6.1066980169308938</v>
      </c>
      <c r="AD142" s="42">
        <f>IF([Div. Mínimo]=0,0,[Lucro Distribuir]*[Payout]/[Total Ações])</f>
        <v>1.0188302371275876E-2</v>
      </c>
      <c r="AE142" s="99">
        <f>IF(AND([Div. Pref]&gt;0,[Div. Mínimo]&gt;0),[Div. Mínimo]+[Div. Pref],IF([Div. Pref]&gt;0,[Div. Pref],IF([Div. Mínimo]&gt;0,[Div. Mínimo],0)))</f>
        <v>2.7806221078407752E-2</v>
      </c>
      <c r="AF142" s="99">
        <f>[Lucro Distribuir]/[Total Ações]</f>
        <v>0.3488587439715391</v>
      </c>
      <c r="AG142" s="99">
        <f>IF([Lucro Payout]&gt;[Lucro Dist./Ação],MAX(Tabela3[[#This Row],[Lucro Atual]:[Lucro Dist./Ação]]),MAX(Tabela3[[#This Row],[Lucro Payout]:[Lucro Atual]]))</f>
        <v>2.7806221078407752E-2</v>
      </c>
      <c r="AH142" s="15" t="str">
        <f>IF(AND([% A.A.]&gt;=10%,[PVPA]&lt;=2,[PL]&lt;=15,[PL]&gt;0),"Sim","Não")</f>
        <v>Não</v>
      </c>
      <c r="AI142" s="44">
        <f>Tabela3[[#This Row],[Lucro]]/Tabela3[[#This Row],[Cotação]]</f>
        <v>9.2997394911062715E-3</v>
      </c>
      <c r="AJ142" s="19">
        <f>((1+Tabela3[[#This Row],[% Yield]])^(1/(3*Tabela3[[#This Row],[Ref]])))^(12)-1</f>
        <v>1.2418832013202374E-2</v>
      </c>
      <c r="AK142" s="14">
        <f>($AQ$1/Tabela3[[#This Row],[Cotação]]-MOD($AQ$1/Tabela3[[#This Row],[Cotação]],100))</f>
        <v>100</v>
      </c>
      <c r="AL142" s="17">
        <f>Tabela3[[#This Row],[Ativos]]*Tabela3[[#This Row],[Lucro Atual]]</f>
        <v>2.7806221078407751</v>
      </c>
      <c r="AM142" s="5">
        <f>SUMPRODUCT(N(Tabela1[Código]=Tabela3[[#This Row],[PAPEL]]),Tabela1[Fechamento])</f>
        <v>2.99</v>
      </c>
      <c r="AN142" s="5">
        <f>SUMPRODUCT(N(Tabela17[Código]=Tabela3[[#This Row],[PAPEL]]),Tabela17[Fechamento])</f>
        <v>0</v>
      </c>
    </row>
    <row r="143" spans="1:40">
      <c r="A143" s="4" t="s">
        <v>37</v>
      </c>
      <c r="B143" s="14" t="s">
        <v>198</v>
      </c>
      <c r="C143" s="14" t="str">
        <f>LEFT([PAPEL],LEN([PAPEL])-(LEN([PAPEL])-4))</f>
        <v>SAPR</v>
      </c>
      <c r="D143" s="15">
        <v>3</v>
      </c>
      <c r="E143" s="6"/>
      <c r="F143" s="8"/>
      <c r="G143" s="19"/>
      <c r="H143" s="15"/>
      <c r="I143" s="19"/>
      <c r="J143" s="19"/>
      <c r="K143" s="19"/>
      <c r="L143" s="6">
        <v>3403126000</v>
      </c>
      <c r="M143" s="6">
        <v>314887000</v>
      </c>
      <c r="N143" s="6">
        <f>Tabela3[[#This Row],[Capital Social]]*20%</f>
        <v>0</v>
      </c>
      <c r="O143" s="6">
        <f>IF(([Lucro Líquido]*5%)&gt;[Teto R. Legal],[Teto R. Legal],[Lucro Líquido]*5%)</f>
        <v>0</v>
      </c>
      <c r="P143" s="6">
        <f>IF([Lucro Líquido]&lt;0,0,[Lucro Líquido]-[Reserva Legal])</f>
        <v>314887000</v>
      </c>
      <c r="Q143" s="40">
        <v>476620206</v>
      </c>
      <c r="R143" s="6">
        <f>[Capital Social]/[Total Ações]</f>
        <v>0</v>
      </c>
      <c r="S143" s="13">
        <f>Tabela3[[#This Row],[Lucro Líquido]]/Tabela3[[#This Row],[Total Ações]]</f>
        <v>0.66066649301897196</v>
      </c>
      <c r="T14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3" s="99">
        <f>[Patrimônio Líquido]*[% PNA (PL)]/[Total Ações]</f>
        <v>0</v>
      </c>
      <c r="V143" s="99">
        <f>[Capital Social]*[% PNA (CS)]/[Total Ações]</f>
        <v>0</v>
      </c>
      <c r="W143" s="99">
        <f>MAX(Tabela3[[#This Row],[Div PNA (PL)]],Tabela3[[#This Row],[Div PNA (CS)]])</f>
        <v>0</v>
      </c>
      <c r="X143" s="6">
        <f>[Div. Pref]*[Ações]</f>
        <v>0</v>
      </c>
      <c r="Y143" s="19">
        <f>IF(GETPIVOTDATA("Payout",'Tabela LL'!$A$3,"Ativo",Tabela3[[#This Row],[PAPEL]])&gt;1,1,GETPIVOTDATA("Payout",'Tabela LL'!$A$3,"Ativo",Tabela3[[#This Row],[PAPEL]]))</f>
        <v>0.42096174698699207</v>
      </c>
      <c r="Z143" s="6">
        <f>[Patrimônio Líquido]/[Total Ações]</f>
        <v>7.1401211219316201</v>
      </c>
      <c r="AA143" s="50">
        <f>MAX(Tabela3[[#This Row],[Cotação 1]],Tabela3[[#This Row],[Cotação 2]])</f>
        <v>8.19</v>
      </c>
      <c r="AB143" s="46">
        <f>[Cotação]/[VPA]</f>
        <v>1.1470393653188273</v>
      </c>
      <c r="AC143" s="42">
        <f>IF(Tabela3[[#This Row],[Lucro/Ação]]&gt;0,Tabela3[[#This Row],[Cotação]]/(Tabela3[[#This Row],[Lucro/Ação]]/[Ref]*4),0)</f>
        <v>9.2974292852832914</v>
      </c>
      <c r="AD143" s="42">
        <f>IF([Div. Mínimo]=0,0,[Lucro Distribuir]*[Payout]/[Total Ações])</f>
        <v>0</v>
      </c>
      <c r="AE143" s="99">
        <f>IF(AND([Div. Pref]&gt;0,[Div. Mínimo]&gt;0),[Div. Mínimo]+[Div. Pref],IF([Div. Pref]&gt;0,[Div. Pref],IF([Div. Mínimo]&gt;0,[Div. Mínimo],0)))</f>
        <v>0</v>
      </c>
      <c r="AF143" s="99">
        <f>[Lucro Distribuir]/[Total Ações]</f>
        <v>0.66066649301897196</v>
      </c>
      <c r="AG143" s="99">
        <f>IF([Lucro Payout]&gt;[Lucro Dist./Ação],MAX(Tabela3[[#This Row],[Lucro Atual]:[Lucro Dist./Ação]]),MAX(Tabela3[[#This Row],[Lucro Payout]:[Lucro Atual]]))</f>
        <v>0</v>
      </c>
      <c r="AH143" s="15" t="str">
        <f>IF(AND([% A.A.]&gt;=10%,[PVPA]&lt;=2,[PL]&lt;=15,[PL]&gt;0),"Sim","Não")</f>
        <v>Não</v>
      </c>
      <c r="AI143" s="44">
        <f>Tabela3[[#This Row],[Lucro]]/Tabela3[[#This Row],[Cotação]]</f>
        <v>0</v>
      </c>
      <c r="AJ143" s="19">
        <f>((1+Tabela3[[#This Row],[% Yield]])^(1/(3*Tabela3[[#This Row],[Ref]])))^(12)-1</f>
        <v>0</v>
      </c>
      <c r="AK143" s="14">
        <f>($AQ$1/Tabela3[[#This Row],[Cotação]]-MOD($AQ$1/Tabela3[[#This Row],[Cotação]],100))</f>
        <v>0</v>
      </c>
      <c r="AL143" s="17">
        <f>Tabela3[[#This Row],[Ativos]]*Tabela3[[#This Row],[Lucro Atual]]</f>
        <v>0</v>
      </c>
      <c r="AM143" s="5">
        <f>SUMPRODUCT(N(Tabela1[Código]=Tabela3[[#This Row],[PAPEL]]),Tabela1[Fechamento])</f>
        <v>8.19</v>
      </c>
      <c r="AN143" s="5">
        <f>SUMPRODUCT(N(Tabela17[Código]=Tabela3[[#This Row],[PAPEL]]),Tabela17[Fechamento])</f>
        <v>0</v>
      </c>
    </row>
    <row r="144" spans="1:40">
      <c r="A144" s="4" t="s">
        <v>37</v>
      </c>
      <c r="B144" s="14" t="s">
        <v>66</v>
      </c>
      <c r="C144" s="14" t="str">
        <f>LEFT([PAPEL],LEN([PAPEL])-(LEN([PAPEL])-4))</f>
        <v>SAPR</v>
      </c>
      <c r="D144" s="15">
        <v>3</v>
      </c>
      <c r="E144" s="6"/>
      <c r="F144" s="8"/>
      <c r="G144" s="19"/>
      <c r="H144" s="15"/>
      <c r="I144" s="19"/>
      <c r="J144" s="19"/>
      <c r="K144" s="19"/>
      <c r="L144" s="6">
        <v>3403126000</v>
      </c>
      <c r="M144" s="6">
        <v>314887000</v>
      </c>
      <c r="N144" s="6">
        <f>Tabela3[[#This Row],[Capital Social]]*20%</f>
        <v>0</v>
      </c>
      <c r="O144" s="6">
        <f>IF(([Lucro Líquido]*5%)&gt;[Teto R. Legal],[Teto R. Legal],[Lucro Líquido]*5%)</f>
        <v>0</v>
      </c>
      <c r="P144" s="6">
        <f>IF([Lucro Líquido]&lt;0,0,[Lucro Líquido]-[Reserva Legal])</f>
        <v>314887000</v>
      </c>
      <c r="Q144" s="40">
        <v>476620206</v>
      </c>
      <c r="R144" s="6">
        <f>[Capital Social]/[Total Ações]</f>
        <v>0</v>
      </c>
      <c r="S144" s="13">
        <f>Tabela3[[#This Row],[Lucro Líquido]]/Tabela3[[#This Row],[Total Ações]]</f>
        <v>0.66066649301897196</v>
      </c>
      <c r="T14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4" s="99">
        <f>[Patrimônio Líquido]*[% PNA (PL)]/[Total Ações]</f>
        <v>0</v>
      </c>
      <c r="V144" s="99">
        <f>[Capital Social]*[% PNA (CS)]/[Total Ações]</f>
        <v>0</v>
      </c>
      <c r="W144" s="99">
        <f>MAX(Tabela3[[#This Row],[Div PNA (PL)]],Tabela3[[#This Row],[Div PNA (CS)]])</f>
        <v>0</v>
      </c>
      <c r="X144" s="6">
        <f>[Div. Pref]*[Ações]</f>
        <v>0</v>
      </c>
      <c r="Y144" s="19">
        <f>IF(GETPIVOTDATA("Payout",'Tabela LL'!$A$3,"Ativo",Tabela3[[#This Row],[PAPEL]])&gt;1,1,GETPIVOTDATA("Payout",'Tabela LL'!$A$3,"Ativo",Tabela3[[#This Row],[PAPEL]]))</f>
        <v>0.46297228112835515</v>
      </c>
      <c r="Z144" s="6">
        <f>[Patrimônio Líquido]/[Total Ações]</f>
        <v>7.1401211219316201</v>
      </c>
      <c r="AA144" s="50">
        <f>MAX(Tabela3[[#This Row],[Cotação 1]],Tabela3[[#This Row],[Cotação 2]])</f>
        <v>5.8</v>
      </c>
      <c r="AB144" s="46">
        <f>[Cotação]/[VPA]</f>
        <v>0.81231115004263732</v>
      </c>
      <c r="AC144" s="42">
        <f>IF(Tabela3[[#This Row],[Lucro/Ação]]&gt;0,Tabela3[[#This Row],[Cotação]]/(Tabela3[[#This Row],[Lucro/Ação]]/[Ref]*4),0)</f>
        <v>6.5842600555119777</v>
      </c>
      <c r="AD144" s="42">
        <f>IF([Div. Mínimo]=0,0,[Lucro Distribuir]*[Payout]/[Total Ações])</f>
        <v>0</v>
      </c>
      <c r="AE144" s="99">
        <f>IF(AND([Div. Pref]&gt;0,[Div. Mínimo]&gt;0),[Div. Mínimo]+[Div. Pref],IF([Div. Pref]&gt;0,[Div. Pref],IF([Div. Mínimo]&gt;0,[Div. Mínimo],0)))</f>
        <v>0</v>
      </c>
      <c r="AF144" s="99">
        <f>[Lucro Distribuir]/[Total Ações]</f>
        <v>0.66066649301897196</v>
      </c>
      <c r="AG144" s="99">
        <f>IF([Lucro Payout]&gt;[Lucro Dist./Ação],MAX(Tabela3[[#This Row],[Lucro Atual]:[Lucro Dist./Ação]]),MAX(Tabela3[[#This Row],[Lucro Payout]:[Lucro Atual]]))</f>
        <v>0</v>
      </c>
      <c r="AH144" s="15" t="str">
        <f>IF(AND([% A.A.]&gt;=10%,[PVPA]&lt;=2,[PL]&lt;=15,[PL]&gt;0),"Sim","Não")</f>
        <v>Não</v>
      </c>
      <c r="AI144" s="44">
        <f>Tabela3[[#This Row],[Lucro]]/Tabela3[[#This Row],[Cotação]]</f>
        <v>0</v>
      </c>
      <c r="AJ144" s="19">
        <f>((1+Tabela3[[#This Row],[% Yield]])^(1/(3*Tabela3[[#This Row],[Ref]])))^(12)-1</f>
        <v>0</v>
      </c>
      <c r="AK144" s="14">
        <f>($AQ$1/Tabela3[[#This Row],[Cotação]]-MOD($AQ$1/Tabela3[[#This Row],[Cotação]],100))</f>
        <v>0</v>
      </c>
      <c r="AL144" s="17">
        <f>Tabela3[[#This Row],[Ativos]]*Tabela3[[#This Row],[Lucro Atual]]</f>
        <v>0</v>
      </c>
      <c r="AM144" s="5">
        <f>SUMPRODUCT(N(Tabela1[Código]=Tabela3[[#This Row],[PAPEL]]),Tabela1[Fechamento])</f>
        <v>5.8</v>
      </c>
      <c r="AN144" s="5">
        <f>SUMPRODUCT(N(Tabela17[Código]=Tabela3[[#This Row],[PAPEL]]),Tabela17[Fechamento])</f>
        <v>0</v>
      </c>
    </row>
    <row r="145" spans="1:40">
      <c r="A145" s="4" t="s">
        <v>37</v>
      </c>
      <c r="B145" s="68" t="s">
        <v>36</v>
      </c>
      <c r="C145" s="14" t="str">
        <f>LEFT([PAPEL],LEN([PAPEL])-(LEN([PAPEL])-4))</f>
        <v>SBSP</v>
      </c>
      <c r="D145" s="15">
        <v>3</v>
      </c>
      <c r="E145" s="6">
        <v>6203688565.2299995</v>
      </c>
      <c r="F145" s="8">
        <v>683509869</v>
      </c>
      <c r="G145" s="19">
        <v>0.25</v>
      </c>
      <c r="H145" s="19"/>
      <c r="I145" s="19"/>
      <c r="J145" s="19"/>
      <c r="K145" s="19"/>
      <c r="L145" s="6">
        <v>12509395000</v>
      </c>
      <c r="M145" s="6">
        <v>1332834000</v>
      </c>
      <c r="N145" s="6">
        <f>Tabela3[[#This Row],[Capital Social]]*20%</f>
        <v>1240737713.046</v>
      </c>
      <c r="O145" s="6">
        <f>IF(([Lucro Líquido]*5%)&gt;[Teto R. Legal],[Teto R. Legal],[Lucro Líquido]*5%)</f>
        <v>66641700</v>
      </c>
      <c r="P145" s="6">
        <f>IF([Lucro Líquido]&lt;0,0,[Lucro Líquido]-[Reserva Legal])</f>
        <v>1266192300</v>
      </c>
      <c r="Q145" s="21">
        <f>SUMPRODUCT(N([Nome]=Tabela3[[#This Row],[Nome]]),[Ações])</f>
        <v>683509869</v>
      </c>
      <c r="R145" s="6">
        <f>[Capital Social]/[Total Ações]</f>
        <v>9.0762238361038197</v>
      </c>
      <c r="S145" s="13">
        <f>Tabela3[[#This Row],[Lucro Líquido]]/Tabela3[[#This Row],[Total Ações]]</f>
        <v>1.9499850118477222</v>
      </c>
      <c r="T14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0.46312144031383401</v>
      </c>
      <c r="U145" s="99">
        <f>[Patrimônio Líquido]*[% PNA (PL)]/[Total Ações]</f>
        <v>0</v>
      </c>
      <c r="V145" s="99">
        <f>[Capital Social]*[% PNA (CS)]/[Total Ações]</f>
        <v>0</v>
      </c>
      <c r="W145" s="99">
        <f>MAX(Tabela3[[#This Row],[Div PNA (PL)]],Tabela3[[#This Row],[Div PNA (CS)]])</f>
        <v>0</v>
      </c>
      <c r="X145" s="6">
        <f>[Div. Pref]*[Ações]</f>
        <v>0</v>
      </c>
      <c r="Y145" s="19">
        <f>IF(GETPIVOTDATA("Payout",'Tabela LL'!$A$3,"Ativo",Tabela3[[#This Row],[PAPEL]])&gt;1,1,GETPIVOTDATA("Payout",'Tabela LL'!$A$3,"Ativo",Tabela3[[#This Row],[PAPEL]]))</f>
        <v>1</v>
      </c>
      <c r="Z145" s="6">
        <f>[Patrimônio Líquido]/[Total Ações]</f>
        <v>18.301703555943828</v>
      </c>
      <c r="AA145" s="50">
        <f>MAX(Tabela3[[#This Row],[Cotação 1]],Tabela3[[#This Row],[Cotação 2]])</f>
        <v>23.36</v>
      </c>
      <c r="AB145" s="46">
        <f>[Cotação]/[VPA]</f>
        <v>1.2763839130381605</v>
      </c>
      <c r="AC145" s="42">
        <f>IF(Tabela3[[#This Row],[Lucro/Ação]]&gt;0,Tabela3[[#This Row],[Cotação]]/(Tabela3[[#This Row],[Lucro/Ação]]/[Ref]*4),0)</f>
        <v>8.9846844429838981</v>
      </c>
      <c r="AD145" s="96">
        <f>IF([Div. Mínimo]=0,0,[Lucro Distribuir]*[Payout]/[Total Ações])</f>
        <v>1.852485761255336</v>
      </c>
      <c r="AE145" s="99">
        <f>IF(AND([Div. Pref]&gt;0,[Div. Mínimo]&gt;0),[Div. Mínimo]+[Div. Pref],IF([Div. Pref]&gt;0,[Div. Pref],IF([Div. Mínimo]&gt;0,[Div. Mínimo],0)))</f>
        <v>0.46312144031383401</v>
      </c>
      <c r="AF145" s="99">
        <f>[Lucro Distribuir]/[Total Ações]</f>
        <v>1.852485761255336</v>
      </c>
      <c r="AG145" s="99">
        <f>IF([Lucro Payout]&gt;[Lucro Dist./Ação],MAX(Tabela3[[#This Row],[Lucro Atual]:[Lucro Dist./Ação]]),MAX(Tabela3[[#This Row],[Lucro Payout]:[Lucro Atual]]))</f>
        <v>1.852485761255336</v>
      </c>
      <c r="AH145" s="15" t="str">
        <f>IF(AND([% A.A.]&gt;=10%,[PVPA]&lt;=2,[PL]&lt;=15,[PL]&gt;0),"Sim","Não")</f>
        <v>Sim</v>
      </c>
      <c r="AI145" s="44">
        <f>Tabela3[[#This Row],[Lucro]]/Tabela3[[#This Row],[Cotação]]</f>
        <v>7.930161649209487E-2</v>
      </c>
      <c r="AJ145" s="19">
        <f>((1+Tabela3[[#This Row],[% Yield]])^(1/(3*Tabela3[[#This Row],[Ref]])))^(12)-1</f>
        <v>0.10710914122702442</v>
      </c>
      <c r="AK145" s="14">
        <f>($AQ$1/Tabela3[[#This Row],[Cotação]]-MOD($AQ$1/Tabela3[[#This Row],[Cotação]],100))</f>
        <v>0</v>
      </c>
      <c r="AL145" s="17">
        <f>Tabela3[[#This Row],[Ativos]]*Tabela3[[#This Row],[Lucro Atual]]</f>
        <v>0</v>
      </c>
      <c r="AM145" s="5">
        <f>SUMPRODUCT(N(Tabela1[Código]=Tabela3[[#This Row],[PAPEL]]),Tabela1[Fechamento])</f>
        <v>23.36</v>
      </c>
      <c r="AN145" s="5">
        <f>SUMPRODUCT(N(Tabela17[Código]=Tabela3[[#This Row],[PAPEL]]),Tabela17[Fechamento])</f>
        <v>0</v>
      </c>
    </row>
    <row r="146" spans="1:40">
      <c r="A146" s="3" t="s">
        <v>402</v>
      </c>
      <c r="B146" s="68" t="s">
        <v>416</v>
      </c>
      <c r="C146" s="104" t="str">
        <f>LEFT([PAPEL],LEN([PAPEL])-(LEN([PAPEL])-4))</f>
        <v>SCAR</v>
      </c>
      <c r="D146" s="16">
        <v>3</v>
      </c>
      <c r="E146" s="5"/>
      <c r="H146" s="16"/>
      <c r="I146" s="18"/>
      <c r="J146" s="18"/>
      <c r="L146" s="5">
        <v>984644000</v>
      </c>
      <c r="M146" s="5">
        <v>94588000</v>
      </c>
      <c r="N146" s="5">
        <f>Tabela3[[#This Row],[Capital Social]]*20%</f>
        <v>0</v>
      </c>
      <c r="O146" s="5">
        <f>IF(([Lucro Líquido]*5%)&gt;[Teto R. Legal],[Teto R. Legal],[Lucro Líquido]*5%)</f>
        <v>0</v>
      </c>
      <c r="P146" s="5">
        <f>IF([Lucro Líquido]&lt;0,0,[Lucro Líquido]-[Reserva Legal])</f>
        <v>94588000</v>
      </c>
      <c r="Q146" s="21">
        <v>57737317</v>
      </c>
      <c r="R146" s="5">
        <f>[Capital Social]/[Total Ações]</f>
        <v>0</v>
      </c>
      <c r="S146" s="49">
        <f>Tabela3[[#This Row],[Lucro Líquido]]/Tabela3[[#This Row],[Total Ações]]</f>
        <v>1.6382472361852214</v>
      </c>
      <c r="T14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6" s="98">
        <f>[Patrimônio Líquido]*[% PNA (PL)]/[Total Ações]</f>
        <v>0</v>
      </c>
      <c r="V146" s="98">
        <f>[Capital Social]*[% PNA (CS)]/[Total Ações]</f>
        <v>0</v>
      </c>
      <c r="W146" s="98">
        <f>MAX(Tabela3[[#This Row],[Div PNA (PL)]],Tabela3[[#This Row],[Div PNA (CS)]])</f>
        <v>0</v>
      </c>
      <c r="X146" s="5">
        <f>[Div. Pref]*[Ações]</f>
        <v>0</v>
      </c>
      <c r="Y146" s="18">
        <f>IF(GETPIVOTDATA("Payout",'Tabela LL'!$A$3,"Ativo",Tabela3[[#This Row],[PAPEL]])&gt;1,1,GETPIVOTDATA("Payout",'Tabela LL'!$A$3,"Ativo",Tabela3[[#This Row],[PAPEL]]))</f>
        <v>0.36698912893465502</v>
      </c>
      <c r="Z146" s="5">
        <f>[Patrimônio Líquido]/[Total Ações]</f>
        <v>17.053857906144131</v>
      </c>
      <c r="AA146" s="56">
        <f>MAX(Tabela3[[#This Row],[Cotação 1]],Tabela3[[#This Row],[Cotação 2]])</f>
        <v>34.450000000000003</v>
      </c>
      <c r="AB146" s="57">
        <f>[Cotação]/[VPA]</f>
        <v>2.0200707775094351</v>
      </c>
      <c r="AC146" s="39">
        <f>IF(Tabela3[[#This Row],[Lucro/Ação]]&gt;0,Tabela3[[#This Row],[Cotação]]/(Tabela3[[#This Row],[Lucro/Ação]]/[Ref]*4),0)</f>
        <v>15.771429018347995</v>
      </c>
      <c r="AD146" s="39">
        <f>IF([Div. Mínimo]=0,0,[Lucro Distribuir]*[Payout]/[Total Ações])</f>
        <v>0</v>
      </c>
      <c r="AE146" s="98">
        <f>IF(AND([Div. Pref]&gt;0,[Div. Mínimo]&gt;0),[Div. Mínimo]+[Div. Pref],IF([Div. Pref]&gt;0,[Div. Pref],IF([Div. Mínimo]&gt;0,[Div. Mínimo],0)))</f>
        <v>0</v>
      </c>
      <c r="AF146" s="98">
        <f>[Lucro Distribuir]/[Total Ações]</f>
        <v>1.6382472361852214</v>
      </c>
      <c r="AG146" s="98">
        <f>IF([Lucro Payout]&gt;[Lucro Dist./Ação],MAX(Tabela3[[#This Row],[Lucro Atual]:[Lucro Dist./Ação]]),MAX(Tabela3[[#This Row],[Lucro Payout]:[Lucro Atual]]))</f>
        <v>0</v>
      </c>
      <c r="AH146" s="16" t="str">
        <f>IF(AND([% A.A.]&gt;=10%,[PVPA]&lt;=2,[PL]&lt;=15,[PL]&gt;0),"Sim","Não")</f>
        <v>Não</v>
      </c>
      <c r="AI146" s="22">
        <f>Tabela3[[#This Row],[Lucro]]/Tabela3[[#This Row],[Cotação]]</f>
        <v>0</v>
      </c>
      <c r="AJ146" s="18">
        <f>((1+Tabela3[[#This Row],[% Yield]])^(1/(3*Tabela3[[#This Row],[Ref]])))^(12)-1</f>
        <v>0</v>
      </c>
      <c r="AK146" s="10">
        <f>($AQ$1/Tabela3[[#This Row],[Cotação]]-MOD($AQ$1/Tabela3[[#This Row],[Cotação]],100))</f>
        <v>0</v>
      </c>
      <c r="AL146" s="7">
        <f>Tabela3[[#This Row],[Ativos]]*Tabela3[[#This Row],[Lucro Atual]]</f>
        <v>0</v>
      </c>
      <c r="AM146" s="49">
        <f>SUMPRODUCT(N(Tabela1[Código]=Tabela3[[#This Row],[PAPEL]]),Tabela1[Fechamento])</f>
        <v>0</v>
      </c>
      <c r="AN146" s="58">
        <f>SUMPRODUCT(N(Tabela17[Código]=Tabela3[[#This Row],[PAPEL]]),Tabela17[Fechamento])</f>
        <v>34.450000000000003</v>
      </c>
    </row>
    <row r="147" spans="1:40">
      <c r="A147" s="4" t="s">
        <v>14</v>
      </c>
      <c r="B147" s="14" t="s">
        <v>76</v>
      </c>
      <c r="C147" s="14" t="str">
        <f>LEFT([PAPEL],LEN([PAPEL])-(LEN([PAPEL])-4))</f>
        <v>SFSA</v>
      </c>
      <c r="D147" s="15">
        <v>3</v>
      </c>
      <c r="E147" s="6"/>
      <c r="F147" s="8"/>
      <c r="G147" s="19"/>
      <c r="H147" s="15"/>
      <c r="I147" s="19"/>
      <c r="J147" s="19"/>
      <c r="K147" s="19"/>
      <c r="L147" s="6">
        <v>699911000</v>
      </c>
      <c r="M147" s="6">
        <v>6746000</v>
      </c>
      <c r="N147" s="6">
        <f>Tabela3[[#This Row],[Capital Social]]*20%</f>
        <v>0</v>
      </c>
      <c r="O147" s="6">
        <f>IF(([Lucro Líquido]*5%)&gt;[Teto R. Legal],[Teto R. Legal],[Lucro Líquido]*5%)</f>
        <v>0</v>
      </c>
      <c r="P147" s="6">
        <f>IF([Lucro Líquido]&lt;0,0,[Lucro Líquido]-[Reserva Legal])</f>
        <v>6746000</v>
      </c>
      <c r="Q147" s="40">
        <v>137747421</v>
      </c>
      <c r="R147" s="6">
        <f>[Capital Social]/[Total Ações]</f>
        <v>0</v>
      </c>
      <c r="S147" s="13">
        <f>Tabela3[[#This Row],[Lucro Líquido]]/Tabela3[[#This Row],[Total Ações]]</f>
        <v>4.8973693670823791E-2</v>
      </c>
      <c r="T14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7" s="99">
        <f>[Patrimônio Líquido]*[% PNA (PL)]/[Total Ações]</f>
        <v>0</v>
      </c>
      <c r="V147" s="99">
        <f>[Capital Social]*[% PNA (CS)]/[Total Ações]</f>
        <v>0</v>
      </c>
      <c r="W147" s="99">
        <f>MAX(Tabela3[[#This Row],[Div PNA (PL)]],Tabela3[[#This Row],[Div PNA (CS)]])</f>
        <v>0</v>
      </c>
      <c r="X147" s="6">
        <f>[Div. Pref]*[Ações]</f>
        <v>0</v>
      </c>
      <c r="Y147" s="19">
        <f>IF(GETPIVOTDATA("Payout",'Tabela LL'!$A$3,"Ativo",Tabela3[[#This Row],[PAPEL]])&gt;1,1,GETPIVOTDATA("Payout",'Tabela LL'!$A$3,"Ativo",Tabela3[[#This Row],[PAPEL]]))</f>
        <v>1</v>
      </c>
      <c r="Z147" s="6">
        <f>[Patrimônio Líquido]/[Total Ações]</f>
        <v>5.0811187238126223</v>
      </c>
      <c r="AA147" s="50">
        <f>MAX(Tabela3[[#This Row],[Cotação 1]],Tabela3[[#This Row],[Cotação 2]])</f>
        <v>2.75</v>
      </c>
      <c r="AB147" s="46">
        <f>[Cotação]/[VPA]</f>
        <v>0.54121939468018077</v>
      </c>
      <c r="AC147" s="42">
        <f>IF(Tabela3[[#This Row],[Lucro/Ação]]&gt;0,Tabela3[[#This Row],[Cotação]]/(Tabela3[[#This Row],[Lucro/Ação]]/[Ref]*4),0)</f>
        <v>42.114446459012747</v>
      </c>
      <c r="AD147" s="42">
        <f>IF([Div. Mínimo]=0,0,[Lucro Distribuir]*[Payout]/[Total Ações])</f>
        <v>0</v>
      </c>
      <c r="AE147" s="99">
        <f>IF(AND([Div. Pref]&gt;0,[Div. Mínimo]&gt;0),[Div. Mínimo]+[Div. Pref],IF([Div. Pref]&gt;0,[Div. Pref],IF([Div. Mínimo]&gt;0,[Div. Mínimo],0)))</f>
        <v>0</v>
      </c>
      <c r="AF147" s="99">
        <f>[Lucro Distribuir]/[Total Ações]</f>
        <v>4.8973693670823791E-2</v>
      </c>
      <c r="AG147" s="99">
        <f>IF([Lucro Payout]&gt;[Lucro Dist./Ação],MAX(Tabela3[[#This Row],[Lucro Atual]:[Lucro Dist./Ação]]),MAX(Tabela3[[#This Row],[Lucro Payout]:[Lucro Atual]]))</f>
        <v>0</v>
      </c>
      <c r="AH147" s="15" t="str">
        <f>IF(AND([% A.A.]&gt;=10%,[PVPA]&lt;=2,[PL]&lt;=15,[PL]&gt;0),"Sim","Não")</f>
        <v>Não</v>
      </c>
      <c r="AI147" s="44">
        <f>Tabela3[[#This Row],[Lucro]]/Tabela3[[#This Row],[Cotação]]</f>
        <v>0</v>
      </c>
      <c r="AJ147" s="19">
        <f>((1+Tabela3[[#This Row],[% Yield]])^(1/(3*Tabela3[[#This Row],[Ref]])))^(12)-1</f>
        <v>0</v>
      </c>
      <c r="AK147" s="14">
        <f>($AQ$1/Tabela3[[#This Row],[Cotação]]-MOD($AQ$1/Tabela3[[#This Row],[Cotação]],100))</f>
        <v>100</v>
      </c>
      <c r="AL147" s="17">
        <f>Tabela3[[#This Row],[Ativos]]*Tabela3[[#This Row],[Lucro Atual]]</f>
        <v>0</v>
      </c>
      <c r="AM147" s="5">
        <f>SUMPRODUCT(N(Tabela1[Código]=Tabela3[[#This Row],[PAPEL]]),Tabela1[Fechamento])</f>
        <v>2.75</v>
      </c>
      <c r="AN147" s="5">
        <f>SUMPRODUCT(N(Tabela17[Código]=Tabela3[[#This Row],[PAPEL]]),Tabela17[Fechamento])</f>
        <v>0</v>
      </c>
    </row>
    <row r="148" spans="1:40">
      <c r="A148" s="3" t="s">
        <v>302</v>
      </c>
      <c r="B148" s="69" t="s">
        <v>305</v>
      </c>
      <c r="C148" s="105" t="str">
        <f>LEFT([PAPEL],LEN([PAPEL])-(LEN([PAPEL])-4))</f>
        <v>SMTO</v>
      </c>
      <c r="D148" s="16">
        <v>3</v>
      </c>
      <c r="E148" s="5"/>
      <c r="H148" s="16"/>
      <c r="I148" s="18"/>
      <c r="J148" s="18"/>
      <c r="L148" s="5">
        <v>2075419000</v>
      </c>
      <c r="M148" s="5">
        <v>95615000</v>
      </c>
      <c r="N148" s="5">
        <f>Tabela3[[#This Row],[Capital Social]]*20%</f>
        <v>0</v>
      </c>
      <c r="O148" s="5">
        <f>IF(([Lucro Líquido]*5%)&gt;[Teto R. Legal],[Teto R. Legal],[Lucro Líquido]*5%)</f>
        <v>0</v>
      </c>
      <c r="P148" s="5">
        <f>IF([Lucro Líquido]&lt;0,0,[Lucro Líquido]-[Reserva Legal])</f>
        <v>95615000</v>
      </c>
      <c r="Q148" s="21">
        <v>113000000</v>
      </c>
      <c r="R148" s="5">
        <f>[Capital Social]/[Total Ações]</f>
        <v>0</v>
      </c>
      <c r="S148" s="49">
        <f>Tabela3[[#This Row],[Lucro Líquido]]/Tabela3[[#This Row],[Total Ações]]</f>
        <v>0.84615044247787607</v>
      </c>
      <c r="T14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48" s="98">
        <f>[Patrimônio Líquido]*[% PNA (PL)]/[Total Ações]</f>
        <v>0</v>
      </c>
      <c r="V148" s="98">
        <f>[Capital Social]*[% PNA (CS)]/[Total Ações]</f>
        <v>0</v>
      </c>
      <c r="W148" s="98">
        <f>MAX(Tabela3[[#This Row],[Div PNA (PL)]],Tabela3[[#This Row],[Div PNA (CS)]])</f>
        <v>0</v>
      </c>
      <c r="X148" s="5">
        <f>[Div. Pref]*[Ações]</f>
        <v>0</v>
      </c>
      <c r="Y148" s="18">
        <f>IF(GETPIVOTDATA("Payout",'Tabela LL'!$A$3,"Ativo",Tabela3[[#This Row],[PAPEL]])&gt;1,1,GETPIVOTDATA("Payout",'Tabela LL'!$A$3,"Ativo",Tabela3[[#This Row],[PAPEL]]))</f>
        <v>0.3337402763144719</v>
      </c>
      <c r="Z148" s="5">
        <f>[Patrimônio Líquido]/[Total Ações]</f>
        <v>18.36653982300885</v>
      </c>
      <c r="AA148" s="56">
        <f>MAX(Tabela3[[#This Row],[Cotação 1]],Tabela3[[#This Row],[Cotação 2]])</f>
        <v>26.79</v>
      </c>
      <c r="AB148" s="57">
        <f>[Cotação]/[VPA]</f>
        <v>1.4586307632338338</v>
      </c>
      <c r="AC148" s="39">
        <f>IF(Tabela3[[#This Row],[Lucro/Ação]]&gt;0,Tabela3[[#This Row],[Cotação]]/(Tabela3[[#This Row],[Lucro/Ação]]/[Ref]*4),0)</f>
        <v>23.74577733619202</v>
      </c>
      <c r="AD148" s="39">
        <f>IF([Div. Mínimo]=0,0,[Lucro Distribuir]*[Payout]/[Total Ações])</f>
        <v>0</v>
      </c>
      <c r="AE148" s="98">
        <f>IF(AND([Div. Pref]&gt;0,[Div. Mínimo]&gt;0),[Div. Mínimo]+[Div. Pref],IF([Div. Pref]&gt;0,[Div. Pref],IF([Div. Mínimo]&gt;0,[Div. Mínimo],0)))</f>
        <v>0</v>
      </c>
      <c r="AF148" s="98">
        <f>[Lucro Distribuir]/[Total Ações]</f>
        <v>0.84615044247787607</v>
      </c>
      <c r="AG148" s="98">
        <f>IF([Lucro Payout]&gt;[Lucro Dist./Ação],MAX(Tabela3[[#This Row],[Lucro Atual]:[Lucro Dist./Ação]]),MAX(Tabela3[[#This Row],[Lucro Payout]:[Lucro Atual]]))</f>
        <v>0</v>
      </c>
      <c r="AH148" s="16" t="str">
        <f>IF(AND([% A.A.]&gt;=10%,[PVPA]&lt;=2,[PL]&lt;=15,[PL]&gt;0),"Sim","Não")</f>
        <v>Não</v>
      </c>
      <c r="AI148" s="22">
        <f>Tabela3[[#This Row],[Lucro]]/Tabela3[[#This Row],[Cotação]]</f>
        <v>0</v>
      </c>
      <c r="AJ148" s="18">
        <f>((1+Tabela3[[#This Row],[% Yield]])^(1/(3*Tabela3[[#This Row],[Ref]])))^(12)-1</f>
        <v>0</v>
      </c>
      <c r="AK148" s="10">
        <f>($AQ$1/Tabela3[[#This Row],[Cotação]]-MOD($AQ$1/Tabela3[[#This Row],[Cotação]],100))</f>
        <v>0</v>
      </c>
      <c r="AL148" s="7">
        <f>Tabela3[[#This Row],[Ativos]]*Tabela3[[#This Row],[Lucro Atual]]</f>
        <v>0</v>
      </c>
      <c r="AM148" s="49">
        <f>SUMPRODUCT(N(Tabela1[Código]=Tabela3[[#This Row],[PAPEL]]),Tabela1[Fechamento])</f>
        <v>0</v>
      </c>
      <c r="AN148" s="58">
        <f>SUMPRODUCT(N(Tabela17[Código]=Tabela3[[#This Row],[PAPEL]]),Tabela17[Fechamento])</f>
        <v>26.79</v>
      </c>
    </row>
    <row r="149" spans="1:40">
      <c r="A149" s="3" t="s">
        <v>402</v>
      </c>
      <c r="B149" s="68" t="s">
        <v>415</v>
      </c>
      <c r="C149" s="104" t="str">
        <f>LEFT([PAPEL],LEN([PAPEL])-(LEN([PAPEL])-4))</f>
        <v>SSBR</v>
      </c>
      <c r="D149" s="16">
        <v>3</v>
      </c>
      <c r="E149" s="5">
        <v>997865823</v>
      </c>
      <c r="F149" s="60">
        <v>76423831</v>
      </c>
      <c r="G149" s="18">
        <v>0.25</v>
      </c>
      <c r="H149" s="16"/>
      <c r="I149" s="18"/>
      <c r="J149" s="18"/>
      <c r="L149" s="5">
        <v>2243051000</v>
      </c>
      <c r="M149" s="5">
        <v>151349000</v>
      </c>
      <c r="N149" s="5">
        <f>Tabela3[[#This Row],[Capital Social]]*20%</f>
        <v>199573164.60000002</v>
      </c>
      <c r="O149" s="5">
        <f>IF(([Lucro Líquido]*5%)&gt;[Teto R. Legal],[Teto R. Legal],[Lucro Líquido]*5%)</f>
        <v>7567450</v>
      </c>
      <c r="P149" s="5">
        <f>IF([Lucro Líquido]&lt;0,0,[Lucro Líquido]-[Reserva Legal])</f>
        <v>143781550</v>
      </c>
      <c r="Q149" s="21">
        <f>SUMPRODUCT(N([Nome]=Tabela3[[#This Row],[Nome]]),[Ações])</f>
        <v>76423831</v>
      </c>
      <c r="R149" s="5">
        <f>[Capital Social]/[Total Ações]</f>
        <v>13.056998189478358</v>
      </c>
      <c r="S149" s="49">
        <f>Tabela3[[#This Row],[Lucro Líquido]]/Tabela3[[#This Row],[Total Ações]]</f>
        <v>1.9803901220288211</v>
      </c>
      <c r="T149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0.47034265398184499</v>
      </c>
      <c r="U149" s="98">
        <f>[Patrimônio Líquido]*[% PNA (PL)]/[Total Ações]</f>
        <v>0</v>
      </c>
      <c r="V149" s="98">
        <f>[Capital Social]*[% PNA (CS)]/[Total Ações]</f>
        <v>0</v>
      </c>
      <c r="W149" s="98">
        <f>MAX(Tabela3[[#This Row],[Div PNA (PL)]],Tabela3[[#This Row],[Div PNA (CS)]])</f>
        <v>0</v>
      </c>
      <c r="X149" s="5">
        <f>[Div. Pref]*[Ações]</f>
        <v>0</v>
      </c>
      <c r="Y149" s="18">
        <f>IF(GETPIVOTDATA("Payout",'Tabela LL'!$A$3,"Ativo",Tabela3[[#This Row],[PAPEL]])&gt;1,1,GETPIVOTDATA("Payout",'Tabela LL'!$A$3,"Ativo",Tabela3[[#This Row],[PAPEL]]))</f>
        <v>0.11521495903029355</v>
      </c>
      <c r="Z149" s="5">
        <f>[Patrimônio Líquido]/[Total Ações]</f>
        <v>29.350151263681088</v>
      </c>
      <c r="AA149" s="56">
        <f>MAX(Tabela3[[#This Row],[Cotação 1]],Tabela3[[#This Row],[Cotação 2]])</f>
        <v>17.260000000000002</v>
      </c>
      <c r="AB149" s="57">
        <f>[Cotação]/[VPA]</f>
        <v>0.58807192661245788</v>
      </c>
      <c r="AC149" s="39">
        <f>IF(Tabela3[[#This Row],[Lucro/Ação]]&gt;0,Tabela3[[#This Row],[Cotação]]/(Tabela3[[#This Row],[Lucro/Ação]]/[Ref]*4),0)</f>
        <v>6.5365908747001971</v>
      </c>
      <c r="AD149" s="39">
        <f>IF([Div. Mínimo]=0,0,[Lucro Distribuir]*[Payout]/[Total Ações])</f>
        <v>0.21676203843487124</v>
      </c>
      <c r="AE149" s="98">
        <f>IF(AND([Div. Pref]&gt;0,[Div. Mínimo]&gt;0),[Div. Mínimo]+[Div. Pref],IF([Div. Pref]&gt;0,[Div. Pref],IF([Div. Mínimo]&gt;0,[Div. Mínimo],0)))</f>
        <v>0.47034265398184499</v>
      </c>
      <c r="AF149" s="98">
        <f>[Lucro Distribuir]/[Total Ações]</f>
        <v>1.88137061592738</v>
      </c>
      <c r="AG149" s="98">
        <f>IF([Lucro Payout]&gt;[Lucro Dist./Ação],MAX(Tabela3[[#This Row],[Lucro Atual]:[Lucro Dist./Ação]]),MAX(Tabela3[[#This Row],[Lucro Payout]:[Lucro Atual]]))</f>
        <v>0.47034265398184499</v>
      </c>
      <c r="AH149" s="16" t="str">
        <f>IF(AND([% A.A.]&gt;=10%,[PVPA]&lt;=2,[PL]&lt;=15,[PL]&gt;0),"Sim","Não")</f>
        <v>Não</v>
      </c>
      <c r="AI149" s="22">
        <f>Tabela3[[#This Row],[Lucro]]/Tabela3[[#This Row],[Cotação]]</f>
        <v>2.7250443452018828E-2</v>
      </c>
      <c r="AJ149" s="18">
        <f>((1+Tabela3[[#This Row],[% Yield]])^(1/(3*Tabela3[[#This Row],[Ref]])))^(12)-1</f>
        <v>3.649795574695669E-2</v>
      </c>
      <c r="AK149" s="10">
        <f>($AQ$1/Tabela3[[#This Row],[Cotação]]-MOD($AQ$1/Tabela3[[#This Row],[Cotação]],100))</f>
        <v>0</v>
      </c>
      <c r="AL149" s="7">
        <f>Tabela3[[#This Row],[Ativos]]*Tabela3[[#This Row],[Lucro Atual]]</f>
        <v>0</v>
      </c>
      <c r="AM149" s="49">
        <f>SUMPRODUCT(N(Tabela1[Código]=Tabela3[[#This Row],[PAPEL]]),Tabela1[Fechamento])</f>
        <v>0</v>
      </c>
      <c r="AN149" s="58">
        <f>SUMPRODUCT(N(Tabela17[Código]=Tabela3[[#This Row],[PAPEL]]),Tabela17[Fechamento])</f>
        <v>17.260000000000002</v>
      </c>
    </row>
    <row r="150" spans="1:40">
      <c r="A150" s="4" t="s">
        <v>26</v>
      </c>
      <c r="B150" s="68" t="s">
        <v>57</v>
      </c>
      <c r="C150" s="104" t="str">
        <f>LEFT([PAPEL],LEN([PAPEL])-(LEN([PAPEL])-4))</f>
        <v>SULA</v>
      </c>
      <c r="D150" s="15">
        <v>3</v>
      </c>
      <c r="E150" s="6"/>
      <c r="F150" s="8"/>
      <c r="G150" s="19"/>
      <c r="H150" s="15"/>
      <c r="I150" s="19"/>
      <c r="J150" s="19"/>
      <c r="K150" s="19"/>
      <c r="L150" s="6">
        <v>3411209000</v>
      </c>
      <c r="M150" s="6">
        <v>191254000</v>
      </c>
      <c r="N150" s="6">
        <f>Tabela3[[#This Row],[Capital Social]]*20%</f>
        <v>0</v>
      </c>
      <c r="O150" s="6">
        <f>IF(([Lucro Líquido]*5%)&gt;[Teto R. Legal],[Teto R. Legal],[Lucro Líquido]*5%)</f>
        <v>0</v>
      </c>
      <c r="P150" s="6">
        <f>IF([Lucro Líquido]&lt;0,0,[Lucro Líquido]-[Reserva Legal])</f>
        <v>191254000</v>
      </c>
      <c r="Q150" s="40">
        <v>1022205493</v>
      </c>
      <c r="R150" s="6">
        <f>[Capital Social]/[Total Ações]</f>
        <v>0</v>
      </c>
      <c r="S150" s="13">
        <f>Tabela3[[#This Row],[Lucro Líquido]]/Tabela3[[#This Row],[Total Ações]]</f>
        <v>0.18709936633064053</v>
      </c>
      <c r="T15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0" s="99">
        <f>[Patrimônio Líquido]*[% PNA (PL)]/[Total Ações]</f>
        <v>0</v>
      </c>
      <c r="V150" s="99">
        <f>[Capital Social]*[% PNA (CS)]/[Total Ações]</f>
        <v>0</v>
      </c>
      <c r="W150" s="99">
        <f>MAX(Tabela3[[#This Row],[Div PNA (PL)]],Tabela3[[#This Row],[Div PNA (CS)]])</f>
        <v>0</v>
      </c>
      <c r="X150" s="6">
        <f>[Div. Pref]*[Ações]</f>
        <v>0</v>
      </c>
      <c r="Y150" s="19">
        <f>IF(GETPIVOTDATA("Payout",'Tabela LL'!$A$3,"Ativo",Tabela3[[#This Row],[PAPEL]])&gt;1,1,GETPIVOTDATA("Payout",'Tabela LL'!$A$3,"Ativo",Tabela3[[#This Row],[PAPEL]]))</f>
        <v>1</v>
      </c>
      <c r="Z150" s="6">
        <f>[Patrimônio Líquido]/[Total Ações]</f>
        <v>3.3371068961766968</v>
      </c>
      <c r="AA150" s="50">
        <f>MAX(Tabela3[[#This Row],[Cotação 1]],Tabela3[[#This Row],[Cotação 2]])</f>
        <v>14.04</v>
      </c>
      <c r="AB150" s="46">
        <f>[Cotação]/[VPA]</f>
        <v>4.2072371179015997</v>
      </c>
      <c r="AC150" s="42">
        <f>IF(Tabela3[[#This Row],[Lucro/Ação]]&gt;0,Tabela3[[#This Row],[Cotação]]/(Tabela3[[#This Row],[Lucro/Ação]]/[Ref]*4),0)</f>
        <v>56.280254746515098</v>
      </c>
      <c r="AD150" s="42">
        <f>IF([Div. Mínimo]=0,0,[Lucro Distribuir]*[Payout]/[Total Ações])</f>
        <v>0</v>
      </c>
      <c r="AE150" s="99">
        <f>IF(AND([Div. Pref]&gt;0,[Div. Mínimo]&gt;0),[Div. Mínimo]+[Div. Pref],IF([Div. Pref]&gt;0,[Div. Pref],IF([Div. Mínimo]&gt;0,[Div. Mínimo],0)))</f>
        <v>0</v>
      </c>
      <c r="AF150" s="99">
        <f>[Lucro Distribuir]/[Total Ações]</f>
        <v>0.18709936633064053</v>
      </c>
      <c r="AG150" s="99">
        <f>IF([Lucro Payout]&gt;[Lucro Dist./Ação],MAX(Tabela3[[#This Row],[Lucro Atual]:[Lucro Dist./Ação]]),MAX(Tabela3[[#This Row],[Lucro Payout]:[Lucro Atual]]))</f>
        <v>0</v>
      </c>
      <c r="AH150" s="15" t="str">
        <f>IF(AND([% A.A.]&gt;=10%,[PVPA]&lt;=2,[PL]&lt;=15,[PL]&gt;0),"Sim","Não")</f>
        <v>Não</v>
      </c>
      <c r="AI150" s="44">
        <f>Tabela3[[#This Row],[Lucro]]/Tabela3[[#This Row],[Cotação]]</f>
        <v>0</v>
      </c>
      <c r="AJ150" s="19">
        <f>((1+Tabela3[[#This Row],[% Yield]])^(1/(3*Tabela3[[#This Row],[Ref]])))^(12)-1</f>
        <v>0</v>
      </c>
      <c r="AK150" s="14">
        <f>($AQ$1/Tabela3[[#This Row],[Cotação]]-MOD($AQ$1/Tabela3[[#This Row],[Cotação]],100))</f>
        <v>0</v>
      </c>
      <c r="AL150" s="17">
        <f>Tabela3[[#This Row],[Ativos]]*Tabela3[[#This Row],[Lucro Atual]]</f>
        <v>0</v>
      </c>
      <c r="AM150" s="13">
        <f>SUMPRODUCT(N(Tabela1[Código]=Tabela3[[#This Row],[PAPEL]]),Tabela1[Fechamento])</f>
        <v>0</v>
      </c>
      <c r="AN150" s="13">
        <f>SUMPRODUCT(N(Tabela17[Código]=Tabela3[[#This Row],[PAPEL]]),Tabela17[Fechamento])</f>
        <v>14.04</v>
      </c>
    </row>
    <row r="151" spans="1:40">
      <c r="A151" s="4" t="s">
        <v>19</v>
      </c>
      <c r="B151" s="14" t="s">
        <v>18</v>
      </c>
      <c r="C151" s="14" t="str">
        <f>LEFT([PAPEL],LEN([PAPEL])-(LEN([PAPEL])-4))</f>
        <v>SUZB</v>
      </c>
      <c r="D151" s="15">
        <v>3</v>
      </c>
      <c r="E151" s="6"/>
      <c r="F151" s="8"/>
      <c r="G151" s="19"/>
      <c r="H151" s="15"/>
      <c r="I151" s="19"/>
      <c r="J151" s="19"/>
      <c r="K151" s="19"/>
      <c r="L151" s="6">
        <v>10702169000</v>
      </c>
      <c r="M151" s="6">
        <v>-162427000</v>
      </c>
      <c r="N151" s="6">
        <f>Tabela3[[#This Row],[Capital Social]]*20%</f>
        <v>0</v>
      </c>
      <c r="O151" s="6">
        <f>IF(([Lucro Líquido]*5%)&gt;[Teto R. Legal],[Teto R. Legal],[Lucro Líquido]*5%)</f>
        <v>-8121350</v>
      </c>
      <c r="P151" s="6">
        <f>IF([Lucro Líquido]&lt;0,0,[Lucro Líquido]-[Reserva Legal])</f>
        <v>0</v>
      </c>
      <c r="Q151" s="40">
        <v>1107677313</v>
      </c>
      <c r="R151" s="6">
        <f>[Capital Social]/[Total Ações]</f>
        <v>0</v>
      </c>
      <c r="S151" s="13">
        <f>Tabela3[[#This Row],[Lucro Líquido]]/Tabela3[[#This Row],[Total Ações]]</f>
        <v>-0.14663747112422804</v>
      </c>
      <c r="T151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1" s="99">
        <f>[Patrimônio Líquido]*[% PNA (PL)]/[Total Ações]</f>
        <v>0</v>
      </c>
      <c r="V151" s="99">
        <f>[Capital Social]*[% PNA (CS)]/[Total Ações]</f>
        <v>0</v>
      </c>
      <c r="W151" s="99">
        <f>MAX(Tabela3[[#This Row],[Div PNA (PL)]],Tabela3[[#This Row],[Div PNA (CS)]])</f>
        <v>0</v>
      </c>
      <c r="X151" s="6">
        <f>[Div. Pref]*[Ações]</f>
        <v>0</v>
      </c>
      <c r="Y151" s="19">
        <f>IF(GETPIVOTDATA("Payout",'Tabela LL'!$A$3,"Ativo",Tabela3[[#This Row],[PAPEL]])&gt;1,1,GETPIVOTDATA("Payout",'Tabela LL'!$A$3,"Ativo",Tabela3[[#This Row],[PAPEL]]))</f>
        <v>1</v>
      </c>
      <c r="Z151" s="6">
        <f>[Patrimônio Líquido]/[Total Ações]</f>
        <v>9.6618111379518705</v>
      </c>
      <c r="AA151" s="50">
        <f>MAX(Tabela3[[#This Row],[Cotação 1]],Tabela3[[#This Row],[Cotação 2]])</f>
        <v>9.4499999999999993</v>
      </c>
      <c r="AB151" s="46">
        <f>[Cotação]/[VPA]</f>
        <v>0.9780774913804855</v>
      </c>
      <c r="AC151" s="42">
        <f>IF(Tabela3[[#This Row],[Lucro/Ação]]&gt;0,Tabela3[[#This Row],[Cotação]]/(Tabela3[[#This Row],[Lucro/Ação]]/[Ref]*4),0)</f>
        <v>0</v>
      </c>
      <c r="AD151" s="42">
        <f>IF([Div. Mínimo]=0,0,[Lucro Distribuir]*[Payout]/[Total Ações])</f>
        <v>0</v>
      </c>
      <c r="AE151" s="99">
        <f>IF(AND([Div. Pref]&gt;0,[Div. Mínimo]&gt;0),[Div. Mínimo]+[Div. Pref],IF([Div. Pref]&gt;0,[Div. Pref],IF([Div. Mínimo]&gt;0,[Div. Mínimo],0)))</f>
        <v>0</v>
      </c>
      <c r="AF151" s="99">
        <f>[Lucro Distribuir]/[Total Ações]</f>
        <v>0</v>
      </c>
      <c r="AG151" s="99">
        <f>IF([Lucro Payout]&gt;[Lucro Dist./Ação],MAX(Tabela3[[#This Row],[Lucro Atual]:[Lucro Dist./Ação]]),MAX(Tabela3[[#This Row],[Lucro Payout]:[Lucro Atual]]))</f>
        <v>0</v>
      </c>
      <c r="AH151" s="15" t="str">
        <f>IF(AND([% A.A.]&gt;=10%,[PVPA]&lt;=2,[PL]&lt;=15,[PL]&gt;0),"Sim","Não")</f>
        <v>Não</v>
      </c>
      <c r="AI151" s="44">
        <f>Tabela3[[#This Row],[Lucro]]/Tabela3[[#This Row],[Cotação]]</f>
        <v>0</v>
      </c>
      <c r="AJ151" s="19">
        <f>((1+Tabela3[[#This Row],[% Yield]])^(1/(3*Tabela3[[#This Row],[Ref]])))^(12)-1</f>
        <v>0</v>
      </c>
      <c r="AK151" s="14">
        <f>($AQ$1/Tabela3[[#This Row],[Cotação]]-MOD($AQ$1/Tabela3[[#This Row],[Cotação]],100))</f>
        <v>0</v>
      </c>
      <c r="AL151" s="17">
        <f>Tabela3[[#This Row],[Ativos]]*Tabela3[[#This Row],[Lucro Atual]]</f>
        <v>0</v>
      </c>
      <c r="AM151" s="5">
        <f>SUMPRODUCT(N(Tabela1[Código]=Tabela3[[#This Row],[PAPEL]]),Tabela1[Fechamento])</f>
        <v>9.4499999999999993</v>
      </c>
      <c r="AN151" s="5">
        <f>SUMPRODUCT(N(Tabela17[Código]=Tabela3[[#This Row],[PAPEL]]),Tabela17[Fechamento])</f>
        <v>0</v>
      </c>
    </row>
    <row r="152" spans="1:40">
      <c r="A152" s="4" t="s">
        <v>19</v>
      </c>
      <c r="B152" s="14" t="s">
        <v>206</v>
      </c>
      <c r="C152" s="14" t="str">
        <f>LEFT([PAPEL],LEN([PAPEL])-(LEN([PAPEL])-4))</f>
        <v>SUZB</v>
      </c>
      <c r="D152" s="15">
        <v>3</v>
      </c>
      <c r="E152" s="6"/>
      <c r="F152" s="8"/>
      <c r="G152" s="19"/>
      <c r="H152" s="15"/>
      <c r="I152" s="19"/>
      <c r="J152" s="19"/>
      <c r="K152" s="19"/>
      <c r="L152" s="6">
        <v>10702169000</v>
      </c>
      <c r="M152" s="6">
        <v>-162427000</v>
      </c>
      <c r="N152" s="6">
        <f>Tabela3[[#This Row],[Capital Social]]*20%</f>
        <v>0</v>
      </c>
      <c r="O152" s="6">
        <f>IF(([Lucro Líquido]*5%)&gt;[Teto R. Legal],[Teto R. Legal],[Lucro Líquido]*5%)</f>
        <v>-8121350</v>
      </c>
      <c r="P152" s="6">
        <f>IF([Lucro Líquido]&lt;0,0,[Lucro Líquido]-[Reserva Legal])</f>
        <v>0</v>
      </c>
      <c r="Q152" s="40">
        <v>1107677313</v>
      </c>
      <c r="R152" s="6">
        <f>[Capital Social]/[Total Ações]</f>
        <v>0</v>
      </c>
      <c r="S152" s="13">
        <f>Tabela3[[#This Row],[Lucro Líquido]]/Tabela3[[#This Row],[Total Ações]]</f>
        <v>-0.14663747112422804</v>
      </c>
      <c r="T15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2" s="99">
        <f>[Patrimônio Líquido]*[% PNA (PL)]/[Total Ações]</f>
        <v>0</v>
      </c>
      <c r="V152" s="99">
        <f>[Capital Social]*[% PNA (CS)]/[Total Ações]</f>
        <v>0</v>
      </c>
      <c r="W152" s="99">
        <f>MAX(Tabela3[[#This Row],[Div PNA (PL)]],Tabela3[[#This Row],[Div PNA (CS)]])</f>
        <v>0</v>
      </c>
      <c r="X152" s="6">
        <f>[Div. Pref]*[Ações]</f>
        <v>0</v>
      </c>
      <c r="Y152" s="19">
        <f>IF(GETPIVOTDATA("Payout",'Tabela LL'!$A$3,"Ativo",Tabela3[[#This Row],[PAPEL]])&gt;1,1,GETPIVOTDATA("Payout",'Tabela LL'!$A$3,"Ativo",Tabela3[[#This Row],[PAPEL]]))</f>
        <v>1</v>
      </c>
      <c r="Z152" s="6">
        <f>[Patrimônio Líquido]/[Total Ações]</f>
        <v>9.6618111379518705</v>
      </c>
      <c r="AA152" s="50">
        <f>MAX(Tabela3[[#This Row],[Cotação 1]],Tabela3[[#This Row],[Cotação 2]])</f>
        <v>5.7</v>
      </c>
      <c r="AB152" s="46">
        <f>[Cotação]/[VPA]</f>
        <v>0.5899515027374358</v>
      </c>
      <c r="AC152" s="42">
        <f>IF(Tabela3[[#This Row],[Lucro/Ação]]&gt;0,Tabela3[[#This Row],[Cotação]]/(Tabela3[[#This Row],[Lucro/Ação]]/[Ref]*4),0)</f>
        <v>0</v>
      </c>
      <c r="AD152" s="42">
        <f>IF([Div. Mínimo]=0,0,[Lucro Distribuir]*[Payout]/[Total Ações])</f>
        <v>0</v>
      </c>
      <c r="AE152" s="99">
        <f>IF(AND([Div. Pref]&gt;0,[Div. Mínimo]&gt;0),[Div. Mínimo]+[Div. Pref],IF([Div. Pref]&gt;0,[Div. Pref],IF([Div. Mínimo]&gt;0,[Div. Mínimo],0)))</f>
        <v>0</v>
      </c>
      <c r="AF152" s="99">
        <f>[Lucro Distribuir]/[Total Ações]</f>
        <v>0</v>
      </c>
      <c r="AG152" s="99">
        <f>IF([Lucro Payout]&gt;[Lucro Dist./Ação],MAX(Tabela3[[#This Row],[Lucro Atual]:[Lucro Dist./Ação]]),MAX(Tabela3[[#This Row],[Lucro Payout]:[Lucro Atual]]))</f>
        <v>0</v>
      </c>
      <c r="AH152" s="15" t="str">
        <f>IF(AND([% A.A.]&gt;=10%,[PVPA]&lt;=2,[PL]&lt;=15,[PL]&gt;0),"Sim","Não")</f>
        <v>Não</v>
      </c>
      <c r="AI152" s="44">
        <f>Tabela3[[#This Row],[Lucro]]/Tabela3[[#This Row],[Cotação]]</f>
        <v>0</v>
      </c>
      <c r="AJ152" s="19">
        <f>((1+Tabela3[[#This Row],[% Yield]])^(1/(3*Tabela3[[#This Row],[Ref]])))^(12)-1</f>
        <v>0</v>
      </c>
      <c r="AK152" s="14">
        <f>($AQ$1/Tabela3[[#This Row],[Cotação]]-MOD($AQ$1/Tabela3[[#This Row],[Cotação]],100))</f>
        <v>0</v>
      </c>
      <c r="AL152" s="17">
        <f>Tabela3[[#This Row],[Ativos]]*Tabela3[[#This Row],[Lucro Atual]]</f>
        <v>0</v>
      </c>
      <c r="AM152" s="5">
        <f>SUMPRODUCT(N(Tabela1[Código]=Tabela3[[#This Row],[PAPEL]]),Tabela1[Fechamento])</f>
        <v>5.7</v>
      </c>
      <c r="AN152" s="5">
        <f>SUMPRODUCT(N(Tabela17[Código]=Tabela3[[#This Row],[PAPEL]]),Tabela17[Fechamento])</f>
        <v>0</v>
      </c>
    </row>
    <row r="153" spans="1:40">
      <c r="A153" s="4" t="s">
        <v>12</v>
      </c>
      <c r="B153" s="14" t="s">
        <v>56</v>
      </c>
      <c r="C153" s="14" t="str">
        <f>LEFT([PAPEL],LEN([PAPEL])-(LEN([PAPEL])-4))</f>
        <v>TAEE</v>
      </c>
      <c r="D153" s="15">
        <v>3</v>
      </c>
      <c r="E153" s="6"/>
      <c r="F153" s="8"/>
      <c r="G153" s="19"/>
      <c r="H153" s="15"/>
      <c r="I153" s="19"/>
      <c r="J153" s="19"/>
      <c r="K153" s="19"/>
      <c r="L153" s="6">
        <v>4589097000</v>
      </c>
      <c r="M153" s="6">
        <v>751496000</v>
      </c>
      <c r="N153" s="6">
        <f>Tabela3[[#This Row],[Capital Social]]*20%</f>
        <v>0</v>
      </c>
      <c r="O153" s="6">
        <f>IF(([Lucro Líquido]*5%)&gt;[Teto R. Legal],[Teto R. Legal],[Lucro Líquido]*5%)</f>
        <v>0</v>
      </c>
      <c r="P153" s="6">
        <f>IF([Lucro Líquido]&lt;0,0,[Lucro Líquido]-[Reserva Legal])</f>
        <v>751496000</v>
      </c>
      <c r="Q153" s="40">
        <v>1033496721</v>
      </c>
      <c r="R153" s="6">
        <f>[Capital Social]/[Total Ações]</f>
        <v>0</v>
      </c>
      <c r="S153" s="13">
        <f>Tabela3[[#This Row],[Lucro Líquido]]/Tabela3[[#This Row],[Total Ações]]</f>
        <v>0.72713922040590584</v>
      </c>
      <c r="T15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3" s="99">
        <f>[Patrimônio Líquido]*[% PNA (PL)]/[Total Ações]</f>
        <v>0</v>
      </c>
      <c r="V153" s="99">
        <f>[Capital Social]*[% PNA (CS)]/[Total Ações]</f>
        <v>0</v>
      </c>
      <c r="W153" s="99">
        <f>MAX(Tabela3[[#This Row],[Div PNA (PL)]],Tabela3[[#This Row],[Div PNA (CS)]])</f>
        <v>0</v>
      </c>
      <c r="X153" s="6">
        <f>[Div. Pref]*[Ações]</f>
        <v>0</v>
      </c>
      <c r="Y153" s="19">
        <f>IF(GETPIVOTDATA("Payout",'Tabela LL'!$A$3,"Ativo",Tabela3[[#This Row],[PAPEL]])&gt;1,1,GETPIVOTDATA("Payout",'Tabela LL'!$A$3,"Ativo",Tabela3[[#This Row],[PAPEL]]))</f>
        <v>1</v>
      </c>
      <c r="Z153" s="6">
        <f>[Patrimônio Líquido]/[Total Ações]</f>
        <v>4.4403595161478986</v>
      </c>
      <c r="AA153" s="50">
        <f>MAX(Tabela3[[#This Row],[Cotação 1]],Tabela3[[#This Row],[Cotação 2]])</f>
        <v>17.96</v>
      </c>
      <c r="AB153" s="46">
        <f>[Cotação]/[VPA]</f>
        <v>4.0447175357504976</v>
      </c>
      <c r="AC153" s="42">
        <f>IF(Tabela3[[#This Row],[Lucro/Ação]]&gt;0,Tabela3[[#This Row],[Cotação]]/(Tabela3[[#This Row],[Lucro/Ação]]/[Ref]*4),0)</f>
        <v>18.5246506060844</v>
      </c>
      <c r="AD153" s="42">
        <f>IF([Div. Mínimo]=0,0,[Lucro Distribuir]*[Payout]/[Total Ações])</f>
        <v>0</v>
      </c>
      <c r="AE153" s="99">
        <f>IF(AND([Div. Pref]&gt;0,[Div. Mínimo]&gt;0),[Div. Mínimo]+[Div. Pref],IF([Div. Pref]&gt;0,[Div. Pref],IF([Div. Mínimo]&gt;0,[Div. Mínimo],0)))</f>
        <v>0</v>
      </c>
      <c r="AF153" s="99">
        <f>[Lucro Distribuir]/[Total Ações]</f>
        <v>0.72713922040590584</v>
      </c>
      <c r="AG153" s="99">
        <f>IF([Lucro Payout]&gt;[Lucro Dist./Ação],MAX(Tabela3[[#This Row],[Lucro Atual]:[Lucro Dist./Ação]]),MAX(Tabela3[[#This Row],[Lucro Payout]:[Lucro Atual]]))</f>
        <v>0</v>
      </c>
      <c r="AH153" s="15" t="str">
        <f>IF(AND([% A.A.]&gt;=10%,[PVPA]&lt;=2,[PL]&lt;=15,[PL]&gt;0),"Sim","Não")</f>
        <v>Não</v>
      </c>
      <c r="AI153" s="44">
        <f>Tabela3[[#This Row],[Lucro]]/Tabela3[[#This Row],[Cotação]]</f>
        <v>0</v>
      </c>
      <c r="AJ153" s="19">
        <f>((1+Tabela3[[#This Row],[% Yield]])^(1/(3*Tabela3[[#This Row],[Ref]])))^(12)-1</f>
        <v>0</v>
      </c>
      <c r="AK153" s="14">
        <f>($AQ$1/Tabela3[[#This Row],[Cotação]]-MOD($AQ$1/Tabela3[[#This Row],[Cotação]],100))</f>
        <v>0</v>
      </c>
      <c r="AL153" s="17">
        <f>Tabela3[[#This Row],[Ativos]]*Tabela3[[#This Row],[Lucro Atual]]</f>
        <v>0</v>
      </c>
      <c r="AM153" s="5">
        <f>SUMPRODUCT(N(Tabela1[Código]=Tabela3[[#This Row],[PAPEL]]),Tabela1[Fechamento])</f>
        <v>17.96</v>
      </c>
      <c r="AN153" s="5">
        <f>SUMPRODUCT(N(Tabela17[Código]=Tabela3[[#This Row],[PAPEL]]),Tabela17[Fechamento])</f>
        <v>0</v>
      </c>
    </row>
    <row r="154" spans="1:40">
      <c r="A154" s="4" t="s">
        <v>12</v>
      </c>
      <c r="B154" s="14" t="s">
        <v>192</v>
      </c>
      <c r="C154" s="14" t="str">
        <f>LEFT([PAPEL],LEN([PAPEL])-(LEN([PAPEL])-4))</f>
        <v>TBLE</v>
      </c>
      <c r="D154" s="15">
        <v>3</v>
      </c>
      <c r="E154" s="6"/>
      <c r="F154" s="8"/>
      <c r="G154" s="19"/>
      <c r="H154" s="15"/>
      <c r="I154" s="19"/>
      <c r="J154" s="19"/>
      <c r="K154" s="19"/>
      <c r="L154" s="6">
        <v>5308688000</v>
      </c>
      <c r="M154" s="6">
        <v>1150434000</v>
      </c>
      <c r="N154" s="6">
        <f>Tabela3[[#This Row],[Capital Social]]*20%</f>
        <v>0</v>
      </c>
      <c r="O154" s="6">
        <f>IF(([Lucro Líquido]*5%)&gt;[Teto R. Legal],[Teto R. Legal],[Lucro Líquido]*5%)</f>
        <v>0</v>
      </c>
      <c r="P154" s="6">
        <f>IF([Lucro Líquido]&lt;0,0,[Lucro Líquido]-[Reserva Legal])</f>
        <v>1150434000</v>
      </c>
      <c r="Q154" s="40">
        <v>652742192</v>
      </c>
      <c r="R154" s="6">
        <f>[Capital Social]/[Total Ações]</f>
        <v>0</v>
      </c>
      <c r="S154" s="13">
        <f>Tabela3[[#This Row],[Lucro Líquido]]/Tabela3[[#This Row],[Total Ações]]</f>
        <v>1.7624630583095509</v>
      </c>
      <c r="T15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4" s="99">
        <f>[Patrimônio Líquido]*[% PNA (PL)]/[Total Ações]</f>
        <v>0</v>
      </c>
      <c r="V154" s="99">
        <f>[Capital Social]*[% PNA (CS)]/[Total Ações]</f>
        <v>0</v>
      </c>
      <c r="W154" s="99">
        <f>MAX(Tabela3[[#This Row],[Div PNA (PL)]],Tabela3[[#This Row],[Div PNA (CS)]])</f>
        <v>0</v>
      </c>
      <c r="X154" s="6">
        <f>[Div. Pref]*[Ações]</f>
        <v>0</v>
      </c>
      <c r="Y154" s="19">
        <f>IF(GETPIVOTDATA("Payout",'Tabela LL'!$A$3,"Ativo",Tabela3[[#This Row],[PAPEL]])&gt;1,1,GETPIVOTDATA("Payout",'Tabela LL'!$A$3,"Ativo",Tabela3[[#This Row],[PAPEL]]))</f>
        <v>0.85565136305393408</v>
      </c>
      <c r="Z154" s="6">
        <f>[Patrimônio Líquido]/[Total Ações]</f>
        <v>8.1329015728770297</v>
      </c>
      <c r="AA154" s="50">
        <f>MAX(Tabela3[[#This Row],[Cotação 1]],Tabela3[[#This Row],[Cotação 2]])</f>
        <v>35.25</v>
      </c>
      <c r="AB154" s="46">
        <f>[Cotação]/[VPA]</f>
        <v>4.3342464782258814</v>
      </c>
      <c r="AC154" s="42">
        <f>IF(Tabela3[[#This Row],[Lucro/Ação]]&gt;0,Tabela3[[#This Row],[Cotação]]/(Tabela3[[#This Row],[Lucro/Ação]]/[Ref]*4),0)</f>
        <v>15.000314403955377</v>
      </c>
      <c r="AD154" s="42">
        <f>IF([Div. Mínimo]=0,0,[Lucro Distribuir]*[Payout]/[Total Ações])</f>
        <v>0</v>
      </c>
      <c r="AE154" s="99">
        <f>IF(AND([Div. Pref]&gt;0,[Div. Mínimo]&gt;0),[Div. Mínimo]+[Div. Pref],IF([Div. Pref]&gt;0,[Div. Pref],IF([Div. Mínimo]&gt;0,[Div. Mínimo],0)))</f>
        <v>0</v>
      </c>
      <c r="AF154" s="99">
        <f>[Lucro Distribuir]/[Total Ações]</f>
        <v>1.7624630583095509</v>
      </c>
      <c r="AG154" s="99">
        <f>IF([Lucro Payout]&gt;[Lucro Dist./Ação],MAX(Tabela3[[#This Row],[Lucro Atual]:[Lucro Dist./Ação]]),MAX(Tabela3[[#This Row],[Lucro Payout]:[Lucro Atual]]))</f>
        <v>0</v>
      </c>
      <c r="AH154" s="15" t="str">
        <f>IF(AND([% A.A.]&gt;=10%,[PVPA]&lt;=2,[PL]&lt;=15,[PL]&gt;0),"Sim","Não")</f>
        <v>Não</v>
      </c>
      <c r="AI154" s="44">
        <f>Tabela3[[#This Row],[Lucro]]/Tabela3[[#This Row],[Cotação]]</f>
        <v>0</v>
      </c>
      <c r="AJ154" s="19">
        <f>((1+Tabela3[[#This Row],[% Yield]])^(1/(3*Tabela3[[#This Row],[Ref]])))^(12)-1</f>
        <v>0</v>
      </c>
      <c r="AK154" s="14">
        <f>($AQ$1/Tabela3[[#This Row],[Cotação]]-MOD($AQ$1/Tabela3[[#This Row],[Cotação]],100))</f>
        <v>0</v>
      </c>
      <c r="AL154" s="17">
        <f>Tabela3[[#This Row],[Ativos]]*Tabela3[[#This Row],[Lucro Atual]]</f>
        <v>0</v>
      </c>
      <c r="AM154" s="5">
        <f>SUMPRODUCT(N(Tabela1[Código]=Tabela3[[#This Row],[PAPEL]]),Tabela1[Fechamento])</f>
        <v>35.25</v>
      </c>
      <c r="AN154" s="5">
        <f>SUMPRODUCT(N(Tabela17[Código]=Tabela3[[#This Row],[PAPEL]]),Tabela17[Fechamento])</f>
        <v>0</v>
      </c>
    </row>
    <row r="155" spans="1:40">
      <c r="A155" s="4" t="s">
        <v>292</v>
      </c>
      <c r="B155" s="15" t="s">
        <v>79</v>
      </c>
      <c r="C155" s="15" t="str">
        <f>LEFT([PAPEL],LEN([PAPEL])-(LEN([PAPEL])-4))</f>
        <v>TERI</v>
      </c>
      <c r="D155" s="15">
        <v>3</v>
      </c>
      <c r="E155" s="6"/>
      <c r="F155" s="8"/>
      <c r="G155" s="19"/>
      <c r="H155" s="15"/>
      <c r="I155" s="19"/>
      <c r="J155" s="19"/>
      <c r="K155" s="19"/>
      <c r="L155" s="6">
        <v>3566000000</v>
      </c>
      <c r="M155" s="6">
        <v>22000000</v>
      </c>
      <c r="N155" s="6">
        <f>Tabela3[[#This Row],[Capital Social]]*20%</f>
        <v>0</v>
      </c>
      <c r="O155" s="6">
        <f>IF(([Lucro Líquido]*5%)&gt;[Teto R. Legal],[Teto R. Legal],[Lucro Líquido]*5%)</f>
        <v>0</v>
      </c>
      <c r="P155" s="6">
        <f>IF([Lucro Líquido]&lt;0,0,[Lucro Líquido]-[Reserva Legal])</f>
        <v>22000000</v>
      </c>
      <c r="Q155" s="40">
        <v>817720079</v>
      </c>
      <c r="R155" s="6">
        <f>[Capital Social]/[Total Ações]</f>
        <v>0</v>
      </c>
      <c r="S155" s="13">
        <f>Tabela3[[#This Row],[Lucro Líquido]]/Tabela3[[#This Row],[Total Ações]]</f>
        <v>2.6904072145206549E-2</v>
      </c>
      <c r="T15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5" s="99">
        <f>[Patrimônio Líquido]*[% PNA (PL)]/[Total Ações]</f>
        <v>0</v>
      </c>
      <c r="V155" s="99">
        <f>[Capital Social]*[% PNA (CS)]/[Total Ações]</f>
        <v>0</v>
      </c>
      <c r="W155" s="99">
        <f>MAX(Tabela3[[#This Row],[Div PNA (PL)]],Tabela3[[#This Row],[Div PNA (CS)]])</f>
        <v>0</v>
      </c>
      <c r="X155" s="6">
        <f>[Div. Pref]*[Ações]</f>
        <v>0</v>
      </c>
      <c r="Y155" s="19">
        <f>IF(GETPIVOTDATA("Payout",'Tabela LL'!$A$3,"Ativo",Tabela3[[#This Row],[PAPEL]])&gt;1,1,GETPIVOTDATA("Payout",'Tabela LL'!$A$3,"Ativo",Tabela3[[#This Row],[PAPEL]]))</f>
        <v>0.27744555988769093</v>
      </c>
      <c r="Z155" s="6">
        <f>[Patrimônio Líquido]/[Total Ações]</f>
        <v>4.3609055122639342</v>
      </c>
      <c r="AA155" s="50">
        <f>MAX(Tabela3[[#This Row],[Cotação 1]],Tabela3[[#This Row],[Cotação 2]])</f>
        <v>2.44</v>
      </c>
      <c r="AB155" s="46">
        <f>[Cotação]/[VPA]</f>
        <v>0.55951682354458776</v>
      </c>
      <c r="AC155" s="42">
        <f>IF(Tabela3[[#This Row],[Lucro/Ação]]&gt;0,Tabela3[[#This Row],[Cotação]]/(Tabela3[[#This Row],[Lucro/Ação]]/[Ref]*4),0)</f>
        <v>68.019442935000001</v>
      </c>
      <c r="AD155" s="42">
        <f>IF([Div. Mínimo]=0,0,[Lucro Distribuir]*[Payout]/[Total Ações])</f>
        <v>0</v>
      </c>
      <c r="AE155" s="99">
        <f>IF(AND([Div. Pref]&gt;0,[Div. Mínimo]&gt;0),[Div. Mínimo]+[Div. Pref],IF([Div. Pref]&gt;0,[Div. Pref],IF([Div. Mínimo]&gt;0,[Div. Mínimo],0)))</f>
        <v>0</v>
      </c>
      <c r="AF155" s="99">
        <f>[Lucro Distribuir]/[Total Ações]</f>
        <v>2.6904072145206549E-2</v>
      </c>
      <c r="AG155" s="99">
        <f>IF([Lucro Payout]&gt;[Lucro Dist./Ação],MAX(Tabela3[[#This Row],[Lucro Atual]:[Lucro Dist./Ação]]),MAX(Tabela3[[#This Row],[Lucro Payout]:[Lucro Atual]]))</f>
        <v>0</v>
      </c>
      <c r="AH155" s="15" t="str">
        <f>IF(AND([% A.A.]&gt;=10%,[PVPA]&lt;=2,[PL]&lt;=15,[PL]&gt;0),"Sim","Não")</f>
        <v>Não</v>
      </c>
      <c r="AI155" s="44">
        <f>Tabela3[[#This Row],[Lucro]]/Tabela3[[#This Row],[Cotação]]</f>
        <v>0</v>
      </c>
      <c r="AJ155" s="19">
        <f>((1+Tabela3[[#This Row],[% Yield]])^(1/(3*Tabela3[[#This Row],[Ref]])))^(12)-1</f>
        <v>0</v>
      </c>
      <c r="AK155" s="14">
        <f>($AQ$1/Tabela3[[#This Row],[Cotação]]-MOD($AQ$1/Tabela3[[#This Row],[Cotação]],100))</f>
        <v>100</v>
      </c>
      <c r="AL155" s="17">
        <f>Tabela3[[#This Row],[Ativos]]*Tabela3[[#This Row],[Lucro Atual]]</f>
        <v>0</v>
      </c>
      <c r="AM155" s="13">
        <f>SUMPRODUCT(N(Tabela1[Código]=Tabela3[[#This Row],[PAPEL]]),Tabela1[Fechamento])</f>
        <v>0</v>
      </c>
      <c r="AN155" s="13">
        <f>SUMPRODUCT(N(Tabela17[Código]=Tabela3[[#This Row],[PAPEL]]),Tabela17[Fechamento])</f>
        <v>2.44</v>
      </c>
    </row>
    <row r="156" spans="1:40">
      <c r="A156" s="3" t="s">
        <v>320</v>
      </c>
      <c r="B156" s="69" t="s">
        <v>319</v>
      </c>
      <c r="C156" s="105" t="str">
        <f>LEFT([PAPEL],LEN([PAPEL])-(LEN([PAPEL])-4))</f>
        <v>TIMP</v>
      </c>
      <c r="D156" s="16">
        <v>3</v>
      </c>
      <c r="E156" s="5"/>
      <c r="H156" s="16"/>
      <c r="I156" s="18"/>
      <c r="J156" s="18"/>
      <c r="L156" s="5">
        <v>14444342000</v>
      </c>
      <c r="M156" s="5">
        <v>1006640000</v>
      </c>
      <c r="N156" s="5">
        <f>Tabela3[[#This Row],[Capital Social]]*20%</f>
        <v>0</v>
      </c>
      <c r="O156" s="5">
        <f>IF(([Lucro Líquido]*5%)&gt;[Teto R. Legal],[Teto R. Legal],[Lucro Líquido]*5%)</f>
        <v>0</v>
      </c>
      <c r="P156" s="5">
        <f>IF([Lucro Líquido]&lt;0,0,[Lucro Líquido]-[Reserva Legal])</f>
        <v>1006640000</v>
      </c>
      <c r="Q156" s="21">
        <v>2417632647</v>
      </c>
      <c r="R156" s="5">
        <f>[Capital Social]/[Total Ações]</f>
        <v>0</v>
      </c>
      <c r="S156" s="49">
        <f>Tabela3[[#This Row],[Lucro Líquido]]/Tabela3[[#This Row],[Total Ações]]</f>
        <v>0.41637425820218088</v>
      </c>
      <c r="T15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6" s="98">
        <f>[Patrimônio Líquido]*[% PNA (PL)]/[Total Ações]</f>
        <v>0</v>
      </c>
      <c r="V156" s="98">
        <f>[Capital Social]*[% PNA (CS)]/[Total Ações]</f>
        <v>0</v>
      </c>
      <c r="W156" s="98">
        <f>MAX(Tabela3[[#This Row],[Div PNA (PL)]],Tabela3[[#This Row],[Div PNA (CS)]])</f>
        <v>0</v>
      </c>
      <c r="X156" s="5">
        <f>[Div. Pref]*[Ações]</f>
        <v>0</v>
      </c>
      <c r="Y156" s="18">
        <f>IF(GETPIVOTDATA("Payout",'Tabela LL'!$A$3,"Ativo",Tabela3[[#This Row],[PAPEL]])&gt;1,1,GETPIVOTDATA("Payout",'Tabela LL'!$A$3,"Ativo",Tabela3[[#This Row],[PAPEL]]))</f>
        <v>0.31662042253674527</v>
      </c>
      <c r="Z156" s="5">
        <f>[Patrimônio Líquido]/[Total Ações]</f>
        <v>5.974580967842134</v>
      </c>
      <c r="AA156" s="56">
        <f>MAX(Tabela3[[#This Row],[Cotação 1]],Tabela3[[#This Row],[Cotação 2]])</f>
        <v>13.26</v>
      </c>
      <c r="AB156" s="57">
        <f>[Cotação]/[VPA]</f>
        <v>2.2194025106314985</v>
      </c>
      <c r="AC156" s="39">
        <f>IF(Tabela3[[#This Row],[Lucro/Ação]]&gt;0,Tabela3[[#This Row],[Cotação]]/(Tabela3[[#This Row],[Lucro/Ação]]/[Ref]*4),0)</f>
        <v>23.884761855693199</v>
      </c>
      <c r="AD156" s="39">
        <f>IF([Div. Mínimo]=0,0,[Lucro Distribuir]*[Payout]/[Total Ações])</f>
        <v>0</v>
      </c>
      <c r="AE156" s="98">
        <f>IF(AND([Div. Pref]&gt;0,[Div. Mínimo]&gt;0),[Div. Mínimo]+[Div. Pref],IF([Div. Pref]&gt;0,[Div. Pref],IF([Div. Mínimo]&gt;0,[Div. Mínimo],0)))</f>
        <v>0</v>
      </c>
      <c r="AF156" s="98">
        <f>[Lucro Distribuir]/[Total Ações]</f>
        <v>0.41637425820218088</v>
      </c>
      <c r="AG156" s="98">
        <f>IF([Lucro Payout]&gt;[Lucro Dist./Ação],MAX(Tabela3[[#This Row],[Lucro Atual]:[Lucro Dist./Ação]]),MAX(Tabela3[[#This Row],[Lucro Payout]:[Lucro Atual]]))</f>
        <v>0</v>
      </c>
      <c r="AH156" s="16" t="str">
        <f>IF(AND([% A.A.]&gt;=10%,[PVPA]&lt;=2,[PL]&lt;=15,[PL]&gt;0),"Sim","Não")</f>
        <v>Não</v>
      </c>
      <c r="AI156" s="22">
        <f>Tabela3[[#This Row],[Lucro]]/Tabela3[[#This Row],[Cotação]]</f>
        <v>0</v>
      </c>
      <c r="AJ156" s="18">
        <f>((1+Tabela3[[#This Row],[% Yield]])^(1/(3*Tabela3[[#This Row],[Ref]])))^(12)-1</f>
        <v>0</v>
      </c>
      <c r="AK156" s="10">
        <f>($AQ$1/Tabela3[[#This Row],[Cotação]]-MOD($AQ$1/Tabela3[[#This Row],[Cotação]],100))</f>
        <v>0</v>
      </c>
      <c r="AL156" s="7">
        <f>Tabela3[[#This Row],[Ativos]]*Tabela3[[#This Row],[Lucro Atual]]</f>
        <v>0</v>
      </c>
      <c r="AM156" s="49">
        <f>SUMPRODUCT(N(Tabela1[Código]=Tabela3[[#This Row],[PAPEL]]),Tabela1[Fechamento])</f>
        <v>0</v>
      </c>
      <c r="AN156" s="58">
        <f>SUMPRODUCT(N(Tabela17[Código]=Tabela3[[#This Row],[PAPEL]]),Tabela17[Fechamento])</f>
        <v>13.26</v>
      </c>
    </row>
    <row r="157" spans="1:40">
      <c r="A157" s="4" t="s">
        <v>377</v>
      </c>
      <c r="B157" s="68" t="s">
        <v>379</v>
      </c>
      <c r="C157" s="104" t="str">
        <f>LEFT([PAPEL],LEN([PAPEL])-(LEN([PAPEL])-4))</f>
        <v>TKNO</v>
      </c>
      <c r="D157" s="15">
        <v>3</v>
      </c>
      <c r="E157" s="6"/>
      <c r="F157" s="8"/>
      <c r="G157" s="19"/>
      <c r="H157" s="15"/>
      <c r="I157" s="19"/>
      <c r="J157" s="19"/>
      <c r="K157" s="19"/>
      <c r="L157" s="6">
        <v>222307000</v>
      </c>
      <c r="M157" s="6">
        <v>18125000</v>
      </c>
      <c r="N157" s="6">
        <f>Tabela3[[#This Row],[Capital Social]]*20%</f>
        <v>0</v>
      </c>
      <c r="O157" s="6">
        <f>IF(([Lucro Líquido]*5%)&gt;[Teto R. Legal],[Teto R. Legal],[Lucro Líquido]*5%)</f>
        <v>0</v>
      </c>
      <c r="P157" s="6">
        <f>IF([Lucro Líquido]&lt;0,0,[Lucro Líquido]-[Reserva Legal])</f>
        <v>18125000</v>
      </c>
      <c r="Q157" s="40">
        <v>2857301</v>
      </c>
      <c r="R157" s="6">
        <f>[Capital Social]/[Total Ações]</f>
        <v>0</v>
      </c>
      <c r="S157" s="13">
        <f>Tabela3[[#This Row],[Lucro Líquido]]/Tabela3[[#This Row],[Total Ações]]</f>
        <v>6.3433988928712797</v>
      </c>
      <c r="T157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7" s="99">
        <f>[Patrimônio Líquido]*[% PNA (PL)]/[Total Ações]</f>
        <v>0</v>
      </c>
      <c r="V157" s="99">
        <f>[Capital Social]*[% PNA (CS)]/[Total Ações]</f>
        <v>0</v>
      </c>
      <c r="W157" s="99">
        <f>MAX(Tabela3[[#This Row],[Div PNA (PL)]],Tabela3[[#This Row],[Div PNA (CS)]])</f>
        <v>0</v>
      </c>
      <c r="X157" s="6">
        <f>[Div. Pref]*[Ações]</f>
        <v>0</v>
      </c>
      <c r="Y157" s="19">
        <f>IF(GETPIVOTDATA("Payout",'Tabela LL'!$A$3,"Ativo",Tabela3[[#This Row],[PAPEL]])&gt;1,1,GETPIVOTDATA("Payout",'Tabela LL'!$A$3,"Ativo",Tabela3[[#This Row],[PAPEL]]))</f>
        <v>0.72745804302911377</v>
      </c>
      <c r="Z157" s="6">
        <f>[Patrimônio Líquido]/[Total Ações]</f>
        <v>77.803143596001959</v>
      </c>
      <c r="AA157" s="50">
        <f>MAX(Tabela3[[#This Row],[Cotação 1]],Tabela3[[#This Row],[Cotação 2]])</f>
        <v>88</v>
      </c>
      <c r="AB157" s="46">
        <f>[Cotação]/[VPA]</f>
        <v>1.1310596967256992</v>
      </c>
      <c r="AC157" s="42">
        <f>IF(Tabela3[[#This Row],[Lucro/Ação]]&gt;0,Tabela3[[#This Row],[Cotação]]/(Tabela3[[#This Row],[Lucro/Ação]]/[Ref]*4),0)</f>
        <v>10.404516744827585</v>
      </c>
      <c r="AD157" s="42">
        <f>IF([Div. Mínimo]=0,0,[Lucro Distribuir]*[Payout]/[Total Ações])</f>
        <v>0</v>
      </c>
      <c r="AE157" s="99">
        <f>IF(AND([Div. Pref]&gt;0,[Div. Mínimo]&gt;0),[Div. Mínimo]+[Div. Pref],IF([Div. Pref]&gt;0,[Div. Pref],IF([Div. Mínimo]&gt;0,[Div. Mínimo],0)))</f>
        <v>0</v>
      </c>
      <c r="AF157" s="99">
        <f>[Lucro Distribuir]/[Total Ações]</f>
        <v>6.3433988928712797</v>
      </c>
      <c r="AG157" s="99">
        <f>IF([Lucro Payout]&gt;[Lucro Dist./Ação],MAX(Tabela3[[#This Row],[Lucro Atual]:[Lucro Dist./Ação]]),MAX(Tabela3[[#This Row],[Lucro Payout]:[Lucro Atual]]))</f>
        <v>0</v>
      </c>
      <c r="AH157" s="15" t="str">
        <f>IF(AND([% A.A.]&gt;=10%,[PVPA]&lt;=2,[PL]&lt;=15,[PL]&gt;0),"Sim","Não")</f>
        <v>Não</v>
      </c>
      <c r="AI157" s="44">
        <f>Tabela3[[#This Row],[Lucro]]/Tabela3[[#This Row],[Cotação]]</f>
        <v>0</v>
      </c>
      <c r="AJ157" s="19">
        <f>((1+Tabela3[[#This Row],[% Yield]])^(1/(3*Tabela3[[#This Row],[Ref]])))^(12)-1</f>
        <v>0</v>
      </c>
      <c r="AK157" s="14">
        <f>($AQ$1/Tabela3[[#This Row],[Cotação]]-MOD($AQ$1/Tabela3[[#This Row],[Cotação]],100))</f>
        <v>0</v>
      </c>
      <c r="AL157" s="17">
        <f>Tabela3[[#This Row],[Ativos]]*Tabela3[[#This Row],[Lucro Atual]]</f>
        <v>0</v>
      </c>
      <c r="AM157" s="13">
        <f>SUMPRODUCT(N(Tabela1[Código]=Tabela3[[#This Row],[PAPEL]]),Tabela1[Fechamento])</f>
        <v>0</v>
      </c>
      <c r="AN157" s="59">
        <f>SUMPRODUCT(N(Tabela17[Código]=Tabela3[[#This Row],[PAPEL]]),Tabela17[Fechamento])</f>
        <v>88</v>
      </c>
    </row>
    <row r="158" spans="1:40">
      <c r="A158" s="4" t="s">
        <v>12</v>
      </c>
      <c r="B158" s="14" t="s">
        <v>169</v>
      </c>
      <c r="C158" s="14" t="str">
        <f>LEFT([PAPEL],LEN([PAPEL])-(LEN([PAPEL])-4))</f>
        <v>TRPL</v>
      </c>
      <c r="D158" s="15">
        <v>3</v>
      </c>
      <c r="E158" s="6"/>
      <c r="F158" s="8"/>
      <c r="G158" s="19"/>
      <c r="H158" s="15"/>
      <c r="I158" s="19"/>
      <c r="J158" s="19"/>
      <c r="K158" s="19"/>
      <c r="L158" s="6">
        <v>4953037000</v>
      </c>
      <c r="M158" s="6">
        <v>-126863000</v>
      </c>
      <c r="N158" s="6">
        <f>Tabela3[[#This Row],[Capital Social]]*20%</f>
        <v>0</v>
      </c>
      <c r="O158" s="6">
        <f>IF(([Lucro Líquido]*5%)&gt;[Teto R. Legal],[Teto R. Legal],[Lucro Líquido]*5%)</f>
        <v>-6343150</v>
      </c>
      <c r="P158" s="6">
        <f>IF([Lucro Líquido]&lt;0,0,[Lucro Líquido]-[Reserva Legal])</f>
        <v>0</v>
      </c>
      <c r="Q158" s="40">
        <v>152661565</v>
      </c>
      <c r="R158" s="6">
        <f>[Capital Social]/[Total Ações]</f>
        <v>0</v>
      </c>
      <c r="S158" s="13">
        <f>Tabela3[[#This Row],[Lucro Líquido]]/Tabela3[[#This Row],[Total Ações]]</f>
        <v>-0.83100811916869843</v>
      </c>
      <c r="T158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8" s="99">
        <f>[Patrimônio Líquido]*[% PNA (PL)]/[Total Ações]</f>
        <v>0</v>
      </c>
      <c r="V158" s="99">
        <f>[Capital Social]*[% PNA (CS)]/[Total Ações]</f>
        <v>0</v>
      </c>
      <c r="W158" s="99">
        <f>MAX(Tabela3[[#This Row],[Div PNA (PL)]],Tabela3[[#This Row],[Div PNA (CS)]])</f>
        <v>0</v>
      </c>
      <c r="X158" s="6">
        <f>[Div. Pref]*[Ações]</f>
        <v>0</v>
      </c>
      <c r="Y158" s="19">
        <f>IF(GETPIVOTDATA("Payout",'Tabela LL'!$A$3,"Ativo",Tabela3[[#This Row],[PAPEL]])&gt;1,1,GETPIVOTDATA("Payout",'Tabela LL'!$A$3,"Ativo",Tabela3[[#This Row],[PAPEL]]))</f>
        <v>0.70044394399833187</v>
      </c>
      <c r="Z158" s="6">
        <f>[Patrimônio Líquido]/[Total Ações]</f>
        <v>32.444557999913073</v>
      </c>
      <c r="AA158" s="50">
        <f>MAX(Tabela3[[#This Row],[Cotação 1]],Tabela3[[#This Row],[Cotação 2]])</f>
        <v>42</v>
      </c>
      <c r="AB158" s="46">
        <f>[Cotação]/[VPA]</f>
        <v>1.2945160171426138</v>
      </c>
      <c r="AC158" s="42">
        <f>IF(Tabela3[[#This Row],[Lucro/Ação]]&gt;0,Tabela3[[#This Row],[Cotação]]/(Tabela3[[#This Row],[Lucro/Ação]]/[Ref]*4),0)</f>
        <v>0</v>
      </c>
      <c r="AD158" s="42">
        <f>IF([Div. Mínimo]=0,0,[Lucro Distribuir]*[Payout]/[Total Ações])</f>
        <v>0</v>
      </c>
      <c r="AE158" s="99">
        <f>IF(AND([Div. Pref]&gt;0,[Div. Mínimo]&gt;0),[Div. Mínimo]+[Div. Pref],IF([Div. Pref]&gt;0,[Div. Pref],IF([Div. Mínimo]&gt;0,[Div. Mínimo],0)))</f>
        <v>0</v>
      </c>
      <c r="AF158" s="99">
        <f>[Lucro Distribuir]/[Total Ações]</f>
        <v>0</v>
      </c>
      <c r="AG158" s="99">
        <f>IF([Lucro Payout]&gt;[Lucro Dist./Ação],MAX(Tabela3[[#This Row],[Lucro Atual]:[Lucro Dist./Ação]]),MAX(Tabela3[[#This Row],[Lucro Payout]:[Lucro Atual]]))</f>
        <v>0</v>
      </c>
      <c r="AH158" s="15" t="str">
        <f>IF(AND([% A.A.]&gt;=10%,[PVPA]&lt;=2,[PL]&lt;=15,[PL]&gt;0),"Sim","Não")</f>
        <v>Não</v>
      </c>
      <c r="AI158" s="44">
        <f>Tabela3[[#This Row],[Lucro]]/Tabela3[[#This Row],[Cotação]]</f>
        <v>0</v>
      </c>
      <c r="AJ158" s="19">
        <f>((1+Tabela3[[#This Row],[% Yield]])^(1/(3*Tabela3[[#This Row],[Ref]])))^(12)-1</f>
        <v>0</v>
      </c>
      <c r="AK158" s="14">
        <f>($AQ$1/Tabela3[[#This Row],[Cotação]]-MOD($AQ$1/Tabela3[[#This Row],[Cotação]],100))</f>
        <v>0</v>
      </c>
      <c r="AL158" s="17">
        <f>Tabela3[[#This Row],[Ativos]]*Tabela3[[#This Row],[Lucro Atual]]</f>
        <v>0</v>
      </c>
      <c r="AM158" s="5">
        <f>SUMPRODUCT(N(Tabela1[Código]=Tabela3[[#This Row],[PAPEL]]),Tabela1[Fechamento])</f>
        <v>42</v>
      </c>
      <c r="AN158" s="5">
        <f>SUMPRODUCT(N(Tabela17[Código]=Tabela3[[#This Row],[PAPEL]]),Tabela17[Fechamento])</f>
        <v>0</v>
      </c>
    </row>
    <row r="159" spans="1:40">
      <c r="A159" s="4" t="s">
        <v>12</v>
      </c>
      <c r="B159" s="14" t="s">
        <v>170</v>
      </c>
      <c r="C159" s="14" t="str">
        <f>LEFT([PAPEL],LEN([PAPEL])-(LEN([PAPEL])-4))</f>
        <v>TRPL</v>
      </c>
      <c r="D159" s="15">
        <v>3</v>
      </c>
      <c r="E159" s="6"/>
      <c r="F159" s="8"/>
      <c r="G159" s="19"/>
      <c r="H159" s="15"/>
      <c r="I159" s="19"/>
      <c r="J159" s="19"/>
      <c r="K159" s="19"/>
      <c r="L159" s="6">
        <v>4953037000</v>
      </c>
      <c r="M159" s="6">
        <v>-126863000</v>
      </c>
      <c r="N159" s="6">
        <f>Tabela3[[#This Row],[Capital Social]]*20%</f>
        <v>0</v>
      </c>
      <c r="O159" s="6">
        <f>IF(([Lucro Líquido]*5%)&gt;[Teto R. Legal],[Teto R. Legal],[Lucro Líquido]*5%)</f>
        <v>-6343150</v>
      </c>
      <c r="P159" s="6">
        <f>IF([Lucro Líquido]&lt;0,0,[Lucro Líquido]-[Reserva Legal])</f>
        <v>0</v>
      </c>
      <c r="Q159" s="40">
        <v>152661565</v>
      </c>
      <c r="R159" s="6">
        <f>[Capital Social]/[Total Ações]</f>
        <v>0</v>
      </c>
      <c r="S159" s="13">
        <f>Tabela3[[#This Row],[Lucro Líquido]]/Tabela3[[#This Row],[Total Ações]]</f>
        <v>-0.83100811916869843</v>
      </c>
      <c r="T159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59" s="99">
        <f>[Patrimônio Líquido]*[% PNA (PL)]/[Total Ações]</f>
        <v>0</v>
      </c>
      <c r="V159" s="99">
        <f>[Capital Social]*[% PNA (CS)]/[Total Ações]</f>
        <v>0</v>
      </c>
      <c r="W159" s="99">
        <f>MAX(Tabela3[[#This Row],[Div PNA (PL)]],Tabela3[[#This Row],[Div PNA (CS)]])</f>
        <v>0</v>
      </c>
      <c r="X159" s="6">
        <f>[Div. Pref]*[Ações]</f>
        <v>0</v>
      </c>
      <c r="Y159" s="19">
        <f>IF(GETPIVOTDATA("Payout",'Tabela LL'!$A$3,"Ativo",Tabela3[[#This Row],[PAPEL]])&gt;1,1,GETPIVOTDATA("Payout",'Tabela LL'!$A$3,"Ativo",Tabela3[[#This Row],[PAPEL]]))</f>
        <v>0.70044394399833187</v>
      </c>
      <c r="Z159" s="6">
        <f>[Patrimônio Líquido]/[Total Ações]</f>
        <v>32.444557999913073</v>
      </c>
      <c r="AA159" s="50">
        <f>MAX(Tabela3[[#This Row],[Cotação 1]],Tabela3[[#This Row],[Cotação 2]])</f>
        <v>26.71</v>
      </c>
      <c r="AB159" s="46">
        <f>[Cotação]/[VPA]</f>
        <v>0.82325054328283853</v>
      </c>
      <c r="AC159" s="42">
        <f>IF(Tabela3[[#This Row],[Lucro/Ação]]&gt;0,Tabela3[[#This Row],[Cotação]]/(Tabela3[[#This Row],[Lucro/Ação]]/[Ref]*4),0)</f>
        <v>0</v>
      </c>
      <c r="AD159" s="42">
        <f>IF([Div. Mínimo]=0,0,[Lucro Distribuir]*[Payout]/[Total Ações])</f>
        <v>0</v>
      </c>
      <c r="AE159" s="99">
        <f>IF(AND([Div. Pref]&gt;0,[Div. Mínimo]&gt;0),[Div. Mínimo]+[Div. Pref],IF([Div. Pref]&gt;0,[Div. Pref],IF([Div. Mínimo]&gt;0,[Div. Mínimo],0)))</f>
        <v>0</v>
      </c>
      <c r="AF159" s="99">
        <f>[Lucro Distribuir]/[Total Ações]</f>
        <v>0</v>
      </c>
      <c r="AG159" s="99">
        <f>IF([Lucro Payout]&gt;[Lucro Dist./Ação],MAX(Tabela3[[#This Row],[Lucro Atual]:[Lucro Dist./Ação]]),MAX(Tabela3[[#This Row],[Lucro Payout]:[Lucro Atual]]))</f>
        <v>0</v>
      </c>
      <c r="AH159" s="15" t="str">
        <f>IF(AND([% A.A.]&gt;=10%,[PVPA]&lt;=2,[PL]&lt;=15,[PL]&gt;0),"Sim","Não")</f>
        <v>Não</v>
      </c>
      <c r="AI159" s="44">
        <f>Tabela3[[#This Row],[Lucro]]/Tabela3[[#This Row],[Cotação]]</f>
        <v>0</v>
      </c>
      <c r="AJ159" s="19">
        <f>((1+Tabela3[[#This Row],[% Yield]])^(1/(3*Tabela3[[#This Row],[Ref]])))^(12)-1</f>
        <v>0</v>
      </c>
      <c r="AK159" s="14">
        <f>($AQ$1/Tabela3[[#This Row],[Cotação]]-MOD($AQ$1/Tabela3[[#This Row],[Cotação]],100))</f>
        <v>0</v>
      </c>
      <c r="AL159" s="17">
        <f>Tabela3[[#This Row],[Ativos]]*Tabela3[[#This Row],[Lucro Atual]]</f>
        <v>0</v>
      </c>
      <c r="AM159" s="5">
        <f>SUMPRODUCT(N(Tabela1[Código]=Tabela3[[#This Row],[PAPEL]]),Tabela1[Fechamento])</f>
        <v>26.71</v>
      </c>
      <c r="AN159" s="5">
        <f>SUMPRODUCT(N(Tabela17[Código]=Tabela3[[#This Row],[PAPEL]]),Tabela17[Fechamento])</f>
        <v>0</v>
      </c>
    </row>
    <row r="160" spans="1:40">
      <c r="A160" s="4" t="s">
        <v>433</v>
      </c>
      <c r="B160" s="68" t="s">
        <v>432</v>
      </c>
      <c r="C160" s="104" t="str">
        <f>LEFT([PAPEL],LEN([PAPEL])-(LEN([PAPEL])-4))</f>
        <v>TRPN</v>
      </c>
      <c r="D160" s="15">
        <v>3</v>
      </c>
      <c r="E160" s="6"/>
      <c r="F160" s="8"/>
      <c r="G160" s="19"/>
      <c r="H160" s="15"/>
      <c r="I160" s="19"/>
      <c r="J160" s="19"/>
      <c r="K160" s="19"/>
      <c r="L160" s="6">
        <v>39041000</v>
      </c>
      <c r="M160" s="6">
        <v>38084000</v>
      </c>
      <c r="N160" s="6">
        <f>Tabela3[[#This Row],[Capital Social]]*20%</f>
        <v>0</v>
      </c>
      <c r="O160" s="6">
        <f>IF(([Lucro Líquido]*5%)&gt;[Teto R. Legal],[Teto R. Legal],[Lucro Líquido]*5%)</f>
        <v>0</v>
      </c>
      <c r="P160" s="6">
        <f>IF([Lucro Líquido]&lt;0,0,[Lucro Líquido]-[Reserva Legal])</f>
        <v>38084000</v>
      </c>
      <c r="Q160" s="40">
        <v>46288258</v>
      </c>
      <c r="R160" s="6">
        <f>[Capital Social]/[Total Ações]</f>
        <v>0</v>
      </c>
      <c r="S160" s="13">
        <f>Tabela3[[#This Row],[Lucro Líquido]]/Tabela3[[#This Row],[Total Ações]]</f>
        <v>0.82275725303812475</v>
      </c>
      <c r="T160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0" s="99">
        <f>[Patrimônio Líquido]*[% PNA (PL)]/[Total Ações]</f>
        <v>0</v>
      </c>
      <c r="V160" s="99">
        <f>[Capital Social]*[% PNA (CS)]/[Total Ações]</f>
        <v>0</v>
      </c>
      <c r="W160" s="99">
        <f>MAX(Tabela3[[#This Row],[Div PNA (PL)]],Tabela3[[#This Row],[Div PNA (CS)]])</f>
        <v>0</v>
      </c>
      <c r="X160" s="6">
        <f>[Div. Pref]*[Ações]</f>
        <v>0</v>
      </c>
      <c r="Y160" s="19">
        <f>IF(GETPIVOTDATA("Payout",'Tabela LL'!$A$3,"Ativo",Tabela3[[#This Row],[PAPEL]])&gt;1,1,GETPIVOTDATA("Payout",'Tabela LL'!$A$3,"Ativo",Tabela3[[#This Row],[PAPEL]]))</f>
        <v>0.88025940606631048</v>
      </c>
      <c r="Z160" s="6">
        <f>[Patrimônio Líquido]/[Total Ações]</f>
        <v>0.84343204274397188</v>
      </c>
      <c r="AA160" s="50">
        <f>MAX(Tabela3[[#This Row],[Cotação 1]],Tabela3[[#This Row],[Cotação 2]])</f>
        <v>15.1</v>
      </c>
      <c r="AB160" s="46">
        <f>[Cotação]/[VPA]</f>
        <v>17.903042847263134</v>
      </c>
      <c r="AC160" s="42">
        <f>IF(Tabela3[[#This Row],[Lucro/Ação]]&gt;0,Tabela3[[#This Row],[Cotação]]/(Tabela3[[#This Row],[Lucro/Ação]]/[Ref]*4),0)</f>
        <v>13.764691782638376</v>
      </c>
      <c r="AD160" s="42">
        <f>IF([Div. Mínimo]=0,0,[Lucro Distribuir]*[Payout]/[Total Ações])</f>
        <v>0</v>
      </c>
      <c r="AE160" s="99">
        <f>IF(AND([Div. Pref]&gt;0,[Div. Mínimo]&gt;0),[Div. Mínimo]+[Div. Pref],IF([Div. Pref]&gt;0,[Div. Pref],IF([Div. Mínimo]&gt;0,[Div. Mínimo],0)))</f>
        <v>0</v>
      </c>
      <c r="AF160" s="99">
        <f>[Lucro Distribuir]/[Total Ações]</f>
        <v>0.82275725303812475</v>
      </c>
      <c r="AG160" s="99">
        <f>IF([Lucro Payout]&gt;[Lucro Dist./Ação],MAX(Tabela3[[#This Row],[Lucro Atual]:[Lucro Dist./Ação]]),MAX(Tabela3[[#This Row],[Lucro Payout]:[Lucro Atual]]))</f>
        <v>0</v>
      </c>
      <c r="AH160" s="15" t="str">
        <f>IF(AND([% A.A.]&gt;=10%,[PVPA]&lt;=2,[PL]&lt;=15,[PL]&gt;0),"Sim","Não")</f>
        <v>Não</v>
      </c>
      <c r="AI160" s="44">
        <f>Tabela3[[#This Row],[Lucro]]/Tabela3[[#This Row],[Cotação]]</f>
        <v>0</v>
      </c>
      <c r="AJ160" s="19">
        <f>((1+Tabela3[[#This Row],[% Yield]])^(1/(3*Tabela3[[#This Row],[Ref]])))^(12)-1</f>
        <v>0</v>
      </c>
      <c r="AK160" s="14">
        <f>($AQ$1/Tabela3[[#This Row],[Cotação]]-MOD($AQ$1/Tabela3[[#This Row],[Cotação]],100))</f>
        <v>0</v>
      </c>
      <c r="AL160" s="17">
        <f>Tabela3[[#This Row],[Ativos]]*Tabela3[[#This Row],[Lucro Atual]]</f>
        <v>0</v>
      </c>
      <c r="AM160" s="13">
        <f>SUMPRODUCT(N(Tabela1[Código]=Tabela3[[#This Row],[PAPEL]]),Tabela1[Fechamento])</f>
        <v>0</v>
      </c>
      <c r="AN160" s="59">
        <f>SUMPRODUCT(N(Tabela17[Código]=Tabela3[[#This Row],[PAPEL]]),Tabela17[Fechamento])</f>
        <v>15.1</v>
      </c>
    </row>
    <row r="161" spans="1:40">
      <c r="A161" s="3" t="s">
        <v>331</v>
      </c>
      <c r="B161" s="69" t="s">
        <v>343</v>
      </c>
      <c r="C161" s="105" t="str">
        <f>LEFT([PAPEL],LEN([PAPEL])-(LEN([PAPEL])-4))</f>
        <v>UGPA</v>
      </c>
      <c r="D161" s="16">
        <v>3</v>
      </c>
      <c r="E161" s="5"/>
      <c r="H161" s="16"/>
      <c r="I161" s="18"/>
      <c r="J161" s="18"/>
      <c r="L161" s="5">
        <v>6332530000</v>
      </c>
      <c r="M161" s="5">
        <v>852330000</v>
      </c>
      <c r="N161" s="5">
        <f>Tabela3[[#This Row],[Capital Social]]*20%</f>
        <v>0</v>
      </c>
      <c r="O161" s="5">
        <f>IF(([Lucro Líquido]*5%)&gt;[Teto R. Legal],[Teto R. Legal],[Lucro Líquido]*5%)</f>
        <v>0</v>
      </c>
      <c r="P161" s="5">
        <f>IF([Lucro Líquido]&lt;0,0,[Lucro Líquido]-[Reserva Legal])</f>
        <v>852330000</v>
      </c>
      <c r="Q161" s="21">
        <v>544383996</v>
      </c>
      <c r="R161" s="5">
        <f>[Capital Social]/[Total Ações]</f>
        <v>0</v>
      </c>
      <c r="S161" s="49">
        <f>Tabela3[[#This Row],[Lucro Líquido]]/Tabela3[[#This Row],[Total Ações]]</f>
        <v>1.5656779153368057</v>
      </c>
      <c r="T161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1" s="98">
        <f>[Patrimônio Líquido]*[% PNA (PL)]/[Total Ações]</f>
        <v>0</v>
      </c>
      <c r="V161" s="98">
        <f>[Capital Social]*[% PNA (CS)]/[Total Ações]</f>
        <v>0</v>
      </c>
      <c r="W161" s="98">
        <f>MAX(Tabela3[[#This Row],[Div PNA (PL)]],Tabela3[[#This Row],[Div PNA (CS)]])</f>
        <v>0</v>
      </c>
      <c r="X161" s="5">
        <f>[Div. Pref]*[Ações]</f>
        <v>0</v>
      </c>
      <c r="Y161" s="18">
        <f>IF(GETPIVOTDATA("Payout",'Tabela LL'!$A$3,"Ativo",Tabela3[[#This Row],[PAPEL]])&gt;1,1,GETPIVOTDATA("Payout",'Tabela LL'!$A$3,"Ativo",Tabela3[[#This Row],[PAPEL]]))</f>
        <v>0.60454237373323505</v>
      </c>
      <c r="Z161" s="5">
        <f>[Patrimônio Líquido]/[Total Ações]</f>
        <v>11.632469077948427</v>
      </c>
      <c r="AA161" s="56">
        <f>MAX(Tabela3[[#This Row],[Cotação 1]],Tabela3[[#This Row],[Cotação 2]])</f>
        <v>54.58</v>
      </c>
      <c r="AB161" s="57">
        <f>[Cotação]/[VPA]</f>
        <v>4.6920391220696942</v>
      </c>
      <c r="AC161" s="39">
        <f>IF(Tabela3[[#This Row],[Lucro/Ação]]&gt;0,Tabela3[[#This Row],[Cotação]]/(Tabela3[[#This Row],[Lucro/Ação]]/[Ref]*4),0)</f>
        <v>26.145224122417375</v>
      </c>
      <c r="AD161" s="39">
        <f>IF([Div. Mínimo]=0,0,[Lucro Distribuir]*[Payout]/[Total Ações])</f>
        <v>0</v>
      </c>
      <c r="AE161" s="98">
        <f>IF(AND([Div. Pref]&gt;0,[Div. Mínimo]&gt;0),[Div. Mínimo]+[Div. Pref],IF([Div. Pref]&gt;0,[Div. Pref],IF([Div. Mínimo]&gt;0,[Div. Mínimo],0)))</f>
        <v>0</v>
      </c>
      <c r="AF161" s="98">
        <f>[Lucro Distribuir]/[Total Ações]</f>
        <v>1.5656779153368057</v>
      </c>
      <c r="AG161" s="98">
        <f>IF([Lucro Payout]&gt;[Lucro Dist./Ação],MAX(Tabela3[[#This Row],[Lucro Atual]:[Lucro Dist./Ação]]),MAX(Tabela3[[#This Row],[Lucro Payout]:[Lucro Atual]]))</f>
        <v>0</v>
      </c>
      <c r="AH161" s="16" t="str">
        <f>IF(AND([% A.A.]&gt;=10%,[PVPA]&lt;=2,[PL]&lt;=15,[PL]&gt;0),"Sim","Não")</f>
        <v>Não</v>
      </c>
      <c r="AI161" s="22">
        <f>Tabela3[[#This Row],[Lucro]]/Tabela3[[#This Row],[Cotação]]</f>
        <v>0</v>
      </c>
      <c r="AJ161" s="18">
        <f>((1+Tabela3[[#This Row],[% Yield]])^(1/(3*Tabela3[[#This Row],[Ref]])))^(12)-1</f>
        <v>0</v>
      </c>
      <c r="AK161" s="10">
        <f>($AQ$1/Tabela3[[#This Row],[Cotação]]-MOD($AQ$1/Tabela3[[#This Row],[Cotação]],100))</f>
        <v>0</v>
      </c>
      <c r="AL161" s="7">
        <f>Tabela3[[#This Row],[Ativos]]*Tabela3[[#This Row],[Lucro Atual]]</f>
        <v>0</v>
      </c>
      <c r="AM161" s="49">
        <f>SUMPRODUCT(N(Tabela1[Código]=Tabela3[[#This Row],[PAPEL]]),Tabela1[Fechamento])</f>
        <v>0</v>
      </c>
      <c r="AN161" s="58">
        <f>SUMPRODUCT(N(Tabela17[Código]=Tabela3[[#This Row],[PAPEL]]),Tabela17[Fechamento])</f>
        <v>54.58</v>
      </c>
    </row>
    <row r="162" spans="1:40">
      <c r="A162" s="25" t="s">
        <v>40</v>
      </c>
      <c r="B162" s="68" t="s">
        <v>596</v>
      </c>
      <c r="C162" s="106" t="str">
        <f>LEFT([PAPEL],LEN([PAPEL])-(LEN([PAPEL])-4))</f>
        <v>UNIP</v>
      </c>
      <c r="D162" s="15">
        <v>3</v>
      </c>
      <c r="E162" s="6">
        <v>384330953.12</v>
      </c>
      <c r="F162" s="8">
        <v>278500690</v>
      </c>
      <c r="G162" s="19">
        <v>0.25</v>
      </c>
      <c r="H162" s="15"/>
      <c r="I162" s="19"/>
      <c r="J162" s="19"/>
      <c r="K162" s="19"/>
      <c r="L162" s="30">
        <v>740932000</v>
      </c>
      <c r="M162" s="30">
        <v>342727000</v>
      </c>
      <c r="N162" s="13">
        <f>Tabela3[[#This Row],[Capital Social]]*20%</f>
        <v>76866190.623999998</v>
      </c>
      <c r="O162" s="13">
        <f>IF(([Lucro Líquido]*5%)&gt;[Teto R. Legal],[Teto R. Legal],[Lucro Líquido]*5%)</f>
        <v>17136350</v>
      </c>
      <c r="P162" s="13">
        <f>IF([Lucro Líquido]&lt;0,0,[Lucro Líquido]-[Reserva Legal])</f>
        <v>325590650</v>
      </c>
      <c r="Q162" s="21">
        <f>SUMPRODUCT(N([Nome]=Tabela3[[#This Row],[Nome]]),[Ações])</f>
        <v>835502072</v>
      </c>
      <c r="R162" s="5">
        <f>[Capital Social]/[Total Ações]</f>
        <v>0.46</v>
      </c>
      <c r="S162" s="13">
        <f>Tabela3[[#This Row],[Lucro Líquido]]/Tabela3[[#This Row],[Total Ações]]</f>
        <v>0.4102048474632628</v>
      </c>
      <c r="T162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6.6756984569153771E-2</v>
      </c>
      <c r="U162" s="99">
        <f>[Patrimônio Líquido]*[% PNA (PL)]/[Total Ações]</f>
        <v>0</v>
      </c>
      <c r="V162" s="99">
        <f>[Capital Social]*[% PNA (CS)]/[Total Ações]</f>
        <v>0</v>
      </c>
      <c r="W162" s="99">
        <f>MAX(Tabela3[[#This Row],[Div PNA (PL)]],Tabela3[[#This Row],[Div PNA (CS)]])</f>
        <v>0</v>
      </c>
      <c r="X162" s="13">
        <f>[Div. Pref]*[Ações]</f>
        <v>0</v>
      </c>
      <c r="Y162" s="19" t="e">
        <f>IF(GETPIVOTDATA("Payout",'Tabela LL'!$A$3,"Ativo",Tabela3[[#This Row],[PAPEL]])&gt;1,1,GETPIVOTDATA("Payout",'Tabela LL'!$A$3,"Ativo",Tabela3[[#This Row],[PAPEL]]))</f>
        <v>#REF!</v>
      </c>
      <c r="Z162" s="6">
        <f>[Patrimônio Líquido]/[Total Ações]</f>
        <v>0.88681048776621108</v>
      </c>
      <c r="AA162" s="50">
        <f>MAX(Tabela3[[#This Row],[Cotação 1]],Tabela3[[#This Row],[Cotação 2]])</f>
        <v>0.56999999999999995</v>
      </c>
      <c r="AB162" s="46">
        <f>[Cotação]/[VPA]</f>
        <v>0.64275288560893573</v>
      </c>
      <c r="AC162" s="42">
        <f>IF(Tabela3[[#This Row],[Lucro/Ação]]&gt;0,Tabela3[[#This Row],[Cotação]]/(Tabela3[[#This Row],[Lucro/Ação]]/[Ref]*4),0)</f>
        <v>1.0421622334394429</v>
      </c>
      <c r="AD162" s="96" t="e">
        <f>IF([Div. Mínimo]=0,0,[Lucro Distribuir]*[Payout]/[Total Ações])</f>
        <v>#REF!</v>
      </c>
      <c r="AE162" s="99">
        <f>IF(AND([Div. Pref]&gt;0,[Div. Mínimo]&gt;0),[Div. Mínimo]+[Div. Pref],IF([Div. Pref]&gt;0,[Div. Pref],IF([Div. Mínimo]&gt;0,[Div. Mínimo],0)))</f>
        <v>6.6756984569153771E-2</v>
      </c>
      <c r="AF162" s="99">
        <f>[Lucro Distribuir]/[Total Ações]</f>
        <v>0.38969460509009962</v>
      </c>
      <c r="AG162" s="99" t="e">
        <f>IF([Lucro Payout]&gt;[Lucro Dist./Ação],MAX(Tabela3[[#This Row],[Lucro Atual]:[Lucro Dist./Ação]]),MAX(Tabela3[[#This Row],[Lucro Payout]:[Lucro Atual]]))</f>
        <v>#REF!</v>
      </c>
      <c r="AH162" s="15" t="e">
        <f>IF(AND([% A.A.]&gt;=10%,[PVPA]&lt;=2,[PL]&lt;=15,[PL]&gt;0),"Sim","Não")</f>
        <v>#REF!</v>
      </c>
      <c r="AI162" s="44" t="e">
        <f>Tabela3[[#This Row],[Lucro]]/Tabela3[[#This Row],[Cotação]]</f>
        <v>#REF!</v>
      </c>
      <c r="AJ162" s="19" t="e">
        <f>((1+Tabela3[[#This Row],[% Yield]])^(1/(3*Tabela3[[#This Row],[Ref]])))^(12)-1</f>
        <v>#REF!</v>
      </c>
      <c r="AK162" s="14">
        <f>($AQ$1/Tabela3[[#This Row],[Cotação]]-MOD($AQ$1/Tabela3[[#This Row],[Cotação]],100))</f>
        <v>500</v>
      </c>
      <c r="AL162" s="17">
        <f>Tabela3[[#This Row],[Ativos]]*Tabela3[[#This Row],[Lucro Atual]]</f>
        <v>33.378492284576886</v>
      </c>
      <c r="AM162" s="13">
        <f>SUMPRODUCT(N(Tabela1[Código]=Tabela3[[#This Row],[PAPEL]]),Tabela1[Fechamento])</f>
        <v>0</v>
      </c>
      <c r="AN162" s="59">
        <f>SUMPRODUCT(N(Tabela17[Código]=Tabela3[[#This Row],[PAPEL]]),Tabela17[Fechamento])</f>
        <v>0.56999999999999995</v>
      </c>
    </row>
    <row r="163" spans="1:40">
      <c r="A163" s="25" t="s">
        <v>40</v>
      </c>
      <c r="B163" s="68" t="s">
        <v>74</v>
      </c>
      <c r="C163" s="106" t="str">
        <f>LEFT([PAPEL],LEN([PAPEL])-(LEN([PAPEL])-4))</f>
        <v>UNIP</v>
      </c>
      <c r="D163" s="15">
        <v>3</v>
      </c>
      <c r="E163" s="6">
        <v>384330953.12</v>
      </c>
      <c r="F163" s="8">
        <v>25907109</v>
      </c>
      <c r="G163" s="19">
        <v>0.25</v>
      </c>
      <c r="H163" s="15"/>
      <c r="I163" s="19">
        <v>0.1</v>
      </c>
      <c r="J163" s="19"/>
      <c r="K163" s="19"/>
      <c r="L163" s="30">
        <v>740932000</v>
      </c>
      <c r="M163" s="30">
        <v>342727000</v>
      </c>
      <c r="N163" s="13">
        <f>Tabela3[[#This Row],[Capital Social]]*20%</f>
        <v>76866190.623999998</v>
      </c>
      <c r="O163" s="13">
        <f>IF(([Lucro Líquido]*5%)&gt;[Teto R. Legal],[Teto R. Legal],[Lucro Líquido]*5%)</f>
        <v>17136350</v>
      </c>
      <c r="P163" s="13">
        <f>IF([Lucro Líquido]&lt;0,0,[Lucro Líquido]-[Reserva Legal])</f>
        <v>325590650</v>
      </c>
      <c r="Q163" s="21">
        <f>SUMPRODUCT(N([Nome]=Tabela3[[#This Row],[Nome]]),[Ações])</f>
        <v>835502072</v>
      </c>
      <c r="R163" s="5">
        <f>[Capital Social]/[Total Ações]</f>
        <v>0.46</v>
      </c>
      <c r="S163" s="13">
        <f>Tabela3[[#This Row],[Lucro Líquido]]/Tabela3[[#This Row],[Total Ações]]</f>
        <v>0.4102048474632628</v>
      </c>
      <c r="T163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6.6756984569153771E-2</v>
      </c>
      <c r="U163" s="99">
        <f>[Patrimônio Líquido]*[% PNA (PL)]/[Total Ações]</f>
        <v>0</v>
      </c>
      <c r="V163" s="99">
        <f>[Capital Social]*[% PNA (CS)]/[Total Ações]</f>
        <v>4.5999999999999999E-2</v>
      </c>
      <c r="W163" s="99">
        <f>MAX(Tabela3[[#This Row],[Div PNA (PL)]],Tabela3[[#This Row],[Div PNA (CS)]])</f>
        <v>4.5999999999999999E-2</v>
      </c>
      <c r="X163" s="13">
        <f>[Div. Pref]*[Ações]</f>
        <v>1191727.014</v>
      </c>
      <c r="Y163" s="19" t="e">
        <f>IF(GETPIVOTDATA("Payout",'Tabela LL'!$A$3,"Ativo",Tabela3[[#This Row],[PAPEL]])&gt;1,1,GETPIVOTDATA("Payout",'Tabela LL'!$A$3,"Ativo",Tabela3[[#This Row],[PAPEL]]))</f>
        <v>#REF!</v>
      </c>
      <c r="Z163" s="6">
        <f>[Patrimônio Líquido]/[Total Ações]</f>
        <v>0.88681048776621108</v>
      </c>
      <c r="AA163" s="50">
        <f>MAX(Tabela3[[#This Row],[Cotação 1]],Tabela3[[#This Row],[Cotação 2]])</f>
        <v>0.66</v>
      </c>
      <c r="AB163" s="46">
        <f>[Cotação]/[VPA]</f>
        <v>0.74424018333666253</v>
      </c>
      <c r="AC163" s="42">
        <f>IF(Tabela3[[#This Row],[Lucro/Ação]]&gt;0,Tabela3[[#This Row],[Cotação]]/(Tabela3[[#This Row],[Lucro/Ação]]/[Ref]*4),0)</f>
        <v>1.2067141650351445</v>
      </c>
      <c r="AD163" s="96" t="e">
        <f>IF([Div. Mínimo]=0,0,[Lucro Distribuir]*[Payout]/[Total Ações])</f>
        <v>#REF!</v>
      </c>
      <c r="AE163" s="99">
        <f>IF(AND([Div. Pref]&gt;0,[Div. Mínimo]&gt;0),[Div. Mínimo]+[Div. Pref],IF([Div. Pref]&gt;0,[Div. Pref],IF([Div. Mínimo]&gt;0,[Div. Mínimo],0)))</f>
        <v>0.11275698456915377</v>
      </c>
      <c r="AF163" s="99">
        <f>[Lucro Distribuir]/[Total Ações]</f>
        <v>0.38969460509009962</v>
      </c>
      <c r="AG163" s="99" t="e">
        <f>IF([Lucro Payout]&gt;[Lucro Dist./Ação],MAX(Tabela3[[#This Row],[Lucro Atual]:[Lucro Dist./Ação]]),MAX(Tabela3[[#This Row],[Lucro Payout]:[Lucro Atual]]))</f>
        <v>#REF!</v>
      </c>
      <c r="AH163" s="15" t="e">
        <f>IF(AND([% A.A.]&gt;=10%,[PVPA]&lt;=2,[PL]&lt;=15,[PL]&gt;0),"Sim","Não")</f>
        <v>#REF!</v>
      </c>
      <c r="AI163" s="44" t="e">
        <f>Tabela3[[#This Row],[Lucro]]/Tabela3[[#This Row],[Cotação]]</f>
        <v>#REF!</v>
      </c>
      <c r="AJ163" s="19" t="e">
        <f>((1+Tabela3[[#This Row],[% Yield]])^(1/(3*Tabela3[[#This Row],[Ref]])))^(12)-1</f>
        <v>#REF!</v>
      </c>
      <c r="AK163" s="14">
        <f>($AQ$1/Tabela3[[#This Row],[Cotação]]-MOD($AQ$1/Tabela3[[#This Row],[Cotação]],100))</f>
        <v>400</v>
      </c>
      <c r="AL163" s="17">
        <f>Tabela3[[#This Row],[Ativos]]*Tabela3[[#This Row],[Lucro Atual]]</f>
        <v>45.102793827661507</v>
      </c>
      <c r="AM163" s="13">
        <f>SUMPRODUCT(N(Tabela1[Código]=Tabela3[[#This Row],[PAPEL]]),Tabela1[Fechamento])</f>
        <v>0.66</v>
      </c>
      <c r="AN163" s="59">
        <f>SUMPRODUCT(N(Tabela17[Código]=Tabela3[[#This Row],[PAPEL]]),Tabela17[Fechamento])</f>
        <v>0.66</v>
      </c>
    </row>
    <row r="164" spans="1:40">
      <c r="A164" s="25" t="s">
        <v>40</v>
      </c>
      <c r="B164" s="68" t="s">
        <v>39</v>
      </c>
      <c r="C164" s="104" t="str">
        <f>LEFT([PAPEL],LEN([PAPEL])-(LEN([PAPEL])-4))</f>
        <v>UNIP</v>
      </c>
      <c r="D164" s="15">
        <v>3</v>
      </c>
      <c r="E164" s="6">
        <v>384330953.12</v>
      </c>
      <c r="F164" s="8">
        <v>531094273</v>
      </c>
      <c r="G164" s="19">
        <v>0.25</v>
      </c>
      <c r="H164" s="19"/>
      <c r="I164" s="19">
        <v>0.1</v>
      </c>
      <c r="J164" s="19"/>
      <c r="K164" s="19"/>
      <c r="L164" s="30">
        <v>740932000</v>
      </c>
      <c r="M164" s="30">
        <v>342727000</v>
      </c>
      <c r="N164" s="30">
        <f>Tabela3[[#This Row],[Capital Social]]*20%</f>
        <v>76866190.623999998</v>
      </c>
      <c r="O164" s="30">
        <f>IF(([Lucro Líquido]*5%)&gt;[Teto R. Legal],[Teto R. Legal],[Lucro Líquido]*5%)</f>
        <v>17136350</v>
      </c>
      <c r="P164" s="30">
        <f>IF([Lucro Líquido]&lt;0,0,[Lucro Líquido]-[Reserva Legal])</f>
        <v>325590650</v>
      </c>
      <c r="Q164" s="21">
        <f>SUMPRODUCT(N([Nome]=Tabela3[[#This Row],[Nome]]),[Ações])</f>
        <v>835502072</v>
      </c>
      <c r="R164" s="5">
        <f>[Capital Social]/[Total Ações]</f>
        <v>0.46</v>
      </c>
      <c r="S164" s="13">
        <f>Tabela3[[#This Row],[Lucro Líquido]]/Tabela3[[#This Row],[Total Ações]]</f>
        <v>0.4102048474632628</v>
      </c>
      <c r="T164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6.6756984569153771E-2</v>
      </c>
      <c r="U164" s="100">
        <f>[Patrimônio Líquido]*[% PNA (PL)]/[Total Ações]</f>
        <v>0</v>
      </c>
      <c r="V164" s="100">
        <f>[Capital Social]*[% PNA (CS)]/[Total Ações]</f>
        <v>4.5999999999999999E-2</v>
      </c>
      <c r="W164" s="100">
        <f>MAX(Tabela3[[#This Row],[Div PNA (PL)]],Tabela3[[#This Row],[Div PNA (CS)]])</f>
        <v>4.5999999999999999E-2</v>
      </c>
      <c r="X164" s="30">
        <f>[Div. Pref]*[Ações]</f>
        <v>24430336.557999998</v>
      </c>
      <c r="Y164" s="19">
        <f>IF(GETPIVOTDATA("Payout",'Tabela LL'!$A$3,"Ativo",Tabela3[[#This Row],[PAPEL]])&gt;1,1,GETPIVOTDATA("Payout",'Tabela LL'!$A$3,"Ativo",Tabela3[[#This Row],[PAPEL]]))</f>
        <v>0.20588880617740807</v>
      </c>
      <c r="Z164" s="6">
        <f>[Patrimônio Líquido]/[Total Ações]</f>
        <v>0.88681048776621108</v>
      </c>
      <c r="AA164" s="50">
        <f>MAX(Tabela3[[#This Row],[Cotação 1]],Tabela3[[#This Row],[Cotação 2]])</f>
        <v>0.5</v>
      </c>
      <c r="AB164" s="46">
        <f>[Cotação]/[VPA]</f>
        <v>0.56381832070959281</v>
      </c>
      <c r="AC164" s="42">
        <f>IF(Tabela3[[#This Row],[Lucro/Ação]]&gt;0,Tabela3[[#This Row],[Cotação]]/(Tabela3[[#This Row],[Lucro/Ação]]/[Ref]*4),0)</f>
        <v>0.91417739775389728</v>
      </c>
      <c r="AD164" s="96">
        <f>IF([Div. Mínimo]=0,0,[Lucro Distribuir]*[Payout]/[Total Ações])</f>
        <v>8.0233757015777105E-2</v>
      </c>
      <c r="AE164" s="99">
        <f>IF(AND([Div. Pref]&gt;0,[Div. Mínimo]&gt;0),[Div. Mínimo]+[Div. Pref],IF([Div. Pref]&gt;0,[Div. Pref],IF([Div. Mínimo]&gt;0,[Div. Mínimo],0)))</f>
        <v>0.11275698456915377</v>
      </c>
      <c r="AF164" s="99">
        <f>[Lucro Distribuir]/[Total Ações]</f>
        <v>0.38969460509009962</v>
      </c>
      <c r="AG164" s="99">
        <f>IF([Lucro Payout]&gt;[Lucro Dist./Ação],MAX(Tabela3[[#This Row],[Lucro Atual]:[Lucro Dist./Ação]]),MAX(Tabela3[[#This Row],[Lucro Payout]:[Lucro Atual]]))</f>
        <v>0.11275698456915377</v>
      </c>
      <c r="AH164" s="14" t="str">
        <f>IF(AND([% A.A.]&gt;=10%,[PVPA]&lt;=2,[PL]&lt;=15,[PL]&gt;0),"Sim","Não")</f>
        <v>Sim</v>
      </c>
      <c r="AI164" s="44">
        <f>Tabela3[[#This Row],[Lucro]]/Tabela3[[#This Row],[Cotação]]</f>
        <v>0.22551396913830754</v>
      </c>
      <c r="AJ164" s="19">
        <f>((1+Tabela3[[#This Row],[% Yield]])^(1/(3*Tabela3[[#This Row],[Ref]])))^(12)-1</f>
        <v>0.31146796902011475</v>
      </c>
      <c r="AK164" s="14">
        <f>($AQ$1/Tabela3[[#This Row],[Cotação]]-MOD($AQ$1/Tabela3[[#This Row],[Cotação]],100))</f>
        <v>600</v>
      </c>
      <c r="AL164" s="17">
        <f>Tabela3[[#This Row],[Ativos]]*Tabela3[[#This Row],[Lucro Atual]]</f>
        <v>67.654190741492258</v>
      </c>
      <c r="AM164" s="17">
        <f>SUMPRODUCT(N(Tabela1[Código]=Tabela3[[#This Row],[PAPEL]]),Tabela1[Fechamento])</f>
        <v>0.5</v>
      </c>
      <c r="AN164" s="17">
        <f>SUMPRODUCT(N(Tabela17[Código]=Tabela3[[#This Row],[PAPEL]]),Tabela17[Fechamento])</f>
        <v>0</v>
      </c>
    </row>
    <row r="165" spans="1:40">
      <c r="A165" s="4" t="s">
        <v>371</v>
      </c>
      <c r="B165" s="68" t="s">
        <v>372</v>
      </c>
      <c r="C165" s="104" t="str">
        <f>LEFT([PAPEL],LEN([PAPEL])-(LEN([PAPEL])-4))</f>
        <v>VALE</v>
      </c>
      <c r="D165" s="15">
        <v>3</v>
      </c>
      <c r="E165" s="6"/>
      <c r="F165" s="8"/>
      <c r="G165" s="19"/>
      <c r="H165" s="15"/>
      <c r="I165" s="19"/>
      <c r="J165" s="19"/>
      <c r="K165" s="19"/>
      <c r="L165" s="6">
        <v>165456334000</v>
      </c>
      <c r="M165" s="5">
        <v>14982201000</v>
      </c>
      <c r="N165" s="6">
        <f>Tabela3[[#This Row],[Capital Social]]*20%</f>
        <v>0</v>
      </c>
      <c r="O165" s="6">
        <f>IF(([Lucro Líquido]*5%)&gt;[Teto R. Legal],[Teto R. Legal],[Lucro Líquido]*5%)</f>
        <v>0</v>
      </c>
      <c r="P165" s="6">
        <f>IF([Lucro Líquido]&lt;0,0,[Lucro Líquido]-[Reserva Legal])</f>
        <v>14982201000</v>
      </c>
      <c r="Q165" s="40">
        <v>5365304100</v>
      </c>
      <c r="R165" s="6">
        <f>[Capital Social]/[Total Ações]</f>
        <v>0</v>
      </c>
      <c r="S165" s="13">
        <f>Tabela3[[#This Row],[Lucro Líquido]]/Tabela3[[#This Row],[Total Ações]]</f>
        <v>2.7924234527545231</v>
      </c>
      <c r="T165" s="99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5" s="99">
        <f>[Patrimônio Líquido]*[% PNA (PL)]/[Total Ações]</f>
        <v>0</v>
      </c>
      <c r="V165" s="99">
        <f>[Capital Social]*[% PNA (CS)]/[Total Ações]</f>
        <v>0</v>
      </c>
      <c r="W165" s="99">
        <f>MAX(Tabela3[[#This Row],[Div PNA (PL)]],Tabela3[[#This Row],[Div PNA (CS)]])</f>
        <v>0</v>
      </c>
      <c r="X165" s="6">
        <f>[Div. Pref]*[Ações]</f>
        <v>0</v>
      </c>
      <c r="Y165" s="19">
        <f>IF(GETPIVOTDATA("Payout",'Tabela LL'!$A$3,"Ativo",Tabela3[[#This Row],[PAPEL]])&gt;1,1,GETPIVOTDATA("Payout",'Tabela LL'!$A$3,"Ativo",Tabela3[[#This Row],[PAPEL]]))</f>
        <v>0.50530256504079152</v>
      </c>
      <c r="Z165" s="6">
        <f>[Patrimônio Líquido]/[Total Ações]</f>
        <v>30.838202442243674</v>
      </c>
      <c r="AA165" s="50">
        <f>MAX(Tabela3[[#This Row],[Cotação 1]],Tabela3[[#This Row],[Cotação 2]])</f>
        <v>30.76</v>
      </c>
      <c r="AB165" s="46">
        <f>[Cotação]/[VPA]</f>
        <v>0.99746410503692173</v>
      </c>
      <c r="AC165" s="42">
        <f>IF(Tabela3[[#This Row],[Lucro/Ação]]&gt;0,Tabela3[[#This Row],[Cotação]]/(Tabela3[[#This Row],[Lucro/Ação]]/[Ref]*4),0)</f>
        <v>8.2616409689737864</v>
      </c>
      <c r="AD165" s="42">
        <f>IF([Div. Mínimo]=0,0,[Lucro Distribuir]*[Payout]/[Total Ações])</f>
        <v>0</v>
      </c>
      <c r="AE165" s="99">
        <f>IF(AND([Div. Pref]&gt;0,[Div. Mínimo]&gt;0),[Div. Mínimo]+[Div. Pref],IF([Div. Pref]&gt;0,[Div. Pref],IF([Div. Mínimo]&gt;0,[Div. Mínimo],0)))</f>
        <v>0</v>
      </c>
      <c r="AF165" s="99">
        <f>[Lucro Distribuir]/[Total Ações]</f>
        <v>2.7924234527545231</v>
      </c>
      <c r="AG165" s="99">
        <f>IF([Lucro Payout]&gt;[Lucro Dist./Ação],MAX(Tabela3[[#This Row],[Lucro Atual]:[Lucro Dist./Ação]]),MAX(Tabela3[[#This Row],[Lucro Payout]:[Lucro Atual]]))</f>
        <v>0</v>
      </c>
      <c r="AH165" s="15" t="str">
        <f>IF(AND([% A.A.]&gt;=10%,[PVPA]&lt;=2,[PL]&lt;=15,[PL]&gt;0),"Sim","Não")</f>
        <v>Não</v>
      </c>
      <c r="AI165" s="44">
        <f>Tabela3[[#This Row],[Lucro]]/Tabela3[[#This Row],[Cotação]]</f>
        <v>0</v>
      </c>
      <c r="AJ165" s="19">
        <f>((1+Tabela3[[#This Row],[% Yield]])^(1/(3*Tabela3[[#This Row],[Ref]])))^(12)-1</f>
        <v>0</v>
      </c>
      <c r="AK165" s="14">
        <f>($AQ$1/Tabela3[[#This Row],[Cotação]]-MOD($AQ$1/Tabela3[[#This Row],[Cotação]],100))</f>
        <v>0</v>
      </c>
      <c r="AL165" s="17">
        <f>Tabela3[[#This Row],[Ativos]]*Tabela3[[#This Row],[Lucro Atual]]</f>
        <v>0</v>
      </c>
      <c r="AM165" s="13">
        <f>SUMPRODUCT(N(Tabela1[Código]=Tabela3[[#This Row],[PAPEL]]),Tabela1[Fechamento])</f>
        <v>0</v>
      </c>
      <c r="AN165" s="59">
        <f>SUMPRODUCT(N(Tabela17[Código]=Tabela3[[#This Row],[PAPEL]]),Tabela17[Fechamento])</f>
        <v>30.76</v>
      </c>
    </row>
    <row r="166" spans="1:40">
      <c r="A166" s="3" t="s">
        <v>318</v>
      </c>
      <c r="B166" s="69" t="s">
        <v>316</v>
      </c>
      <c r="C166" s="105" t="str">
        <f>LEFT([PAPEL],LEN([PAPEL])-(LEN([PAPEL])-4))</f>
        <v>VIGR</v>
      </c>
      <c r="D166" s="16">
        <v>3</v>
      </c>
      <c r="E166" s="5"/>
      <c r="H166" s="16"/>
      <c r="I166" s="18"/>
      <c r="J166" s="18"/>
      <c r="L166" s="5">
        <v>1326579000</v>
      </c>
      <c r="M166" s="5">
        <v>106731000</v>
      </c>
      <c r="N166" s="5">
        <f>Tabela3[[#This Row],[Capital Social]]*20%</f>
        <v>0</v>
      </c>
      <c r="O166" s="5">
        <f>IF(([Lucro Líquido]*5%)&gt;[Teto R. Legal],[Teto R. Legal],[Lucro Líquido]*5%)</f>
        <v>0</v>
      </c>
      <c r="P166" s="5">
        <f>IF([Lucro Líquido]&lt;0,0,[Lucro Líquido]-[Reserva Legal])</f>
        <v>106731000</v>
      </c>
      <c r="Q166" s="21">
        <v>149714346</v>
      </c>
      <c r="R166" s="5">
        <f>[Capital Social]/[Total Ações]</f>
        <v>0</v>
      </c>
      <c r="S166" s="49">
        <f>Tabela3[[#This Row],[Lucro Líquido]]/Tabela3[[#This Row],[Total Ações]]</f>
        <v>0.71289761369962501</v>
      </c>
      <c r="T166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6" s="98">
        <f>[Patrimônio Líquido]*[% PNA (PL)]/[Total Ações]</f>
        <v>0</v>
      </c>
      <c r="V166" s="98">
        <f>[Capital Social]*[% PNA (CS)]/[Total Ações]</f>
        <v>0</v>
      </c>
      <c r="W166" s="98">
        <f>MAX(Tabela3[[#This Row],[Div PNA (PL)]],Tabela3[[#This Row],[Div PNA (CS)]])</f>
        <v>0</v>
      </c>
      <c r="X166" s="5">
        <f>[Div. Pref]*[Ações]</f>
        <v>0</v>
      </c>
      <c r="Y166" s="18">
        <f>IF(GETPIVOTDATA("Payout",'Tabela LL'!$A$3,"Ativo",Tabela3[[#This Row],[PAPEL]])&gt;1,1,GETPIVOTDATA("Payout",'Tabela LL'!$A$3,"Ativo",Tabela3[[#This Row],[PAPEL]]))</f>
        <v>0.23785571475872622</v>
      </c>
      <c r="Z166" s="5">
        <f>[Patrimônio Líquido]/[Total Ações]</f>
        <v>8.8607340274525193</v>
      </c>
      <c r="AA166" s="56">
        <f>MAX(Tabela3[[#This Row],[Cotação 1]],Tabela3[[#This Row],[Cotação 2]])</f>
        <v>9.15</v>
      </c>
      <c r="AB166" s="57">
        <f>[Cotação]/[VPA]</f>
        <v>1.0326458250130599</v>
      </c>
      <c r="AC166" s="39">
        <f>IF(Tabela3[[#This Row],[Lucro/Ação]]&gt;0,Tabela3[[#This Row],[Cotação]]/(Tabela3[[#This Row],[Lucro/Ação]]/[Ref]*4),0)</f>
        <v>9.6262070010118901</v>
      </c>
      <c r="AD166" s="39">
        <f>IF([Div. Mínimo]=0,0,[Lucro Distribuir]*[Payout]/[Total Ações])</f>
        <v>0</v>
      </c>
      <c r="AE166" s="98">
        <f>IF(AND([Div. Pref]&gt;0,[Div. Mínimo]&gt;0),[Div. Mínimo]+[Div. Pref],IF([Div. Pref]&gt;0,[Div. Pref],IF([Div. Mínimo]&gt;0,[Div. Mínimo],0)))</f>
        <v>0</v>
      </c>
      <c r="AF166" s="98">
        <f>[Lucro Distribuir]/[Total Ações]</f>
        <v>0.71289761369962501</v>
      </c>
      <c r="AG166" s="98">
        <f>IF([Lucro Payout]&gt;[Lucro Dist./Ação],MAX(Tabela3[[#This Row],[Lucro Atual]:[Lucro Dist./Ação]]),MAX(Tabela3[[#This Row],[Lucro Payout]:[Lucro Atual]]))</f>
        <v>0</v>
      </c>
      <c r="AH166" s="16" t="str">
        <f>IF(AND([% A.A.]&gt;=10%,[PVPA]&lt;=2,[PL]&lt;=15,[PL]&gt;0),"Sim","Não")</f>
        <v>Não</v>
      </c>
      <c r="AI166" s="22">
        <f>Tabela3[[#This Row],[Lucro]]/Tabela3[[#This Row],[Cotação]]</f>
        <v>0</v>
      </c>
      <c r="AJ166" s="18">
        <f>((1+Tabela3[[#This Row],[% Yield]])^(1/(3*Tabela3[[#This Row],[Ref]])))^(12)-1</f>
        <v>0</v>
      </c>
      <c r="AK166" s="10">
        <f>($AQ$1/Tabela3[[#This Row],[Cotação]]-MOD($AQ$1/Tabela3[[#This Row],[Cotação]],100))</f>
        <v>0</v>
      </c>
      <c r="AL166" s="7">
        <f>Tabela3[[#This Row],[Ativos]]*Tabela3[[#This Row],[Lucro Atual]]</f>
        <v>0</v>
      </c>
      <c r="AM166" s="49">
        <f>SUMPRODUCT(N(Tabela1[Código]=Tabela3[[#This Row],[PAPEL]]),Tabela1[Fechamento])</f>
        <v>0</v>
      </c>
      <c r="AN166" s="58">
        <f>SUMPRODUCT(N(Tabela17[Código]=Tabela3[[#This Row],[PAPEL]]),Tabela17[Fechamento])</f>
        <v>9.15</v>
      </c>
    </row>
    <row r="167" spans="1:40">
      <c r="A167" s="3" t="s">
        <v>326</v>
      </c>
      <c r="B167" s="69" t="s">
        <v>327</v>
      </c>
      <c r="C167" s="105" t="str">
        <f>LEFT([PAPEL],LEN([PAPEL])-(LEN([PAPEL])-4))</f>
        <v>VIVT</v>
      </c>
      <c r="D167" s="16">
        <v>3</v>
      </c>
      <c r="E167" s="5"/>
      <c r="H167" s="16"/>
      <c r="I167" s="18"/>
      <c r="J167" s="18"/>
      <c r="L167" s="5">
        <v>43631075000</v>
      </c>
      <c r="M167" s="5">
        <v>2484629000</v>
      </c>
      <c r="N167" s="5">
        <f>Tabela3[[#This Row],[Capital Social]]*20%</f>
        <v>0</v>
      </c>
      <c r="O167" s="5">
        <f>IF(([Lucro Líquido]*5%)&gt;[Teto R. Legal],[Teto R. Legal],[Lucro Líquido]*5%)</f>
        <v>0</v>
      </c>
      <c r="P167" s="5">
        <f>IF([Lucro Líquido]&lt;0,0,[Lucro Líquido]-[Reserva Legal])</f>
        <v>2484629000</v>
      </c>
      <c r="Q167" s="21">
        <v>1125601930</v>
      </c>
      <c r="R167" s="5">
        <f>[Capital Social]/[Total Ações]</f>
        <v>0</v>
      </c>
      <c r="S167" s="49">
        <f>Tabela3[[#This Row],[Lucro Líquido]]/Tabela3[[#This Row],[Total Ações]]</f>
        <v>2.2073780559349254</v>
      </c>
      <c r="T167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7" s="98">
        <f>[Patrimônio Líquido]*[% PNA (PL)]/[Total Ações]</f>
        <v>0</v>
      </c>
      <c r="V167" s="98">
        <f>[Capital Social]*[% PNA (CS)]/[Total Ações]</f>
        <v>0</v>
      </c>
      <c r="W167" s="98">
        <f>MAX(Tabela3[[#This Row],[Div PNA (PL)]],Tabela3[[#This Row],[Div PNA (CS)]])</f>
        <v>0</v>
      </c>
      <c r="X167" s="5">
        <f>[Div. Pref]*[Ações]</f>
        <v>0</v>
      </c>
      <c r="Y167" s="18">
        <f>IF(GETPIVOTDATA("Payout",'Tabela LL'!$A$3,"Ativo",Tabela3[[#This Row],[PAPEL]])&gt;1,1,GETPIVOTDATA("Payout",'Tabela LL'!$A$3,"Ativo",Tabela3[[#This Row],[PAPEL]]))</f>
        <v>0.96704817187555625</v>
      </c>
      <c r="Z167" s="5">
        <f>[Patrimônio Líquido]/[Total Ações]</f>
        <v>38.762437978406808</v>
      </c>
      <c r="AA167" s="56">
        <f>MAX(Tabela3[[#This Row],[Cotação 1]],Tabela3[[#This Row],[Cotação 2]])</f>
        <v>41.45</v>
      </c>
      <c r="AB167" s="57">
        <f>[Cotação]/[VPA]</f>
        <v>1.0693341843743249</v>
      </c>
      <c r="AC167" s="39">
        <f>IF(Tabela3[[#This Row],[Lucro/Ação]]&gt;0,Tabela3[[#This Row],[Cotação]]/(Tabela3[[#This Row],[Lucro/Ação]]/[Ref]*4),0)</f>
        <v>14.083450687758617</v>
      </c>
      <c r="AD167" s="39">
        <f>IF([Div. Mínimo]=0,0,[Lucro Distribuir]*[Payout]/[Total Ações])</f>
        <v>0</v>
      </c>
      <c r="AE167" s="98">
        <f>IF(AND([Div. Pref]&gt;0,[Div. Mínimo]&gt;0),[Div. Mínimo]+[Div. Pref],IF([Div. Pref]&gt;0,[Div. Pref],IF([Div. Mínimo]&gt;0,[Div. Mínimo],0)))</f>
        <v>0</v>
      </c>
      <c r="AF167" s="98">
        <f>[Lucro Distribuir]/[Total Ações]</f>
        <v>2.2073780559349254</v>
      </c>
      <c r="AG167" s="98">
        <f>IF([Lucro Payout]&gt;[Lucro Dist./Ação],MAX(Tabela3[[#This Row],[Lucro Atual]:[Lucro Dist./Ação]]),MAX(Tabela3[[#This Row],[Lucro Payout]:[Lucro Atual]]))</f>
        <v>0</v>
      </c>
      <c r="AH167" s="16" t="str">
        <f>IF(AND([% A.A.]&gt;=10%,[PVPA]&lt;=2,[PL]&lt;=15,[PL]&gt;0),"Sim","Não")</f>
        <v>Não</v>
      </c>
      <c r="AI167" s="22">
        <f>Tabela3[[#This Row],[Lucro]]/Tabela3[[#This Row],[Cotação]]</f>
        <v>0</v>
      </c>
      <c r="AJ167" s="18">
        <f>((1+Tabela3[[#This Row],[% Yield]])^(1/(3*Tabela3[[#This Row],[Ref]])))^(12)-1</f>
        <v>0</v>
      </c>
      <c r="AK167" s="10">
        <f>($AQ$1/Tabela3[[#This Row],[Cotação]]-MOD($AQ$1/Tabela3[[#This Row],[Cotação]],100))</f>
        <v>0</v>
      </c>
      <c r="AL167" s="7">
        <f>Tabela3[[#This Row],[Ativos]]*Tabela3[[#This Row],[Lucro Atual]]</f>
        <v>0</v>
      </c>
      <c r="AM167" s="49">
        <f>SUMPRODUCT(N(Tabela1[Código]=Tabela3[[#This Row],[PAPEL]]),Tabela1[Fechamento])</f>
        <v>0</v>
      </c>
      <c r="AN167" s="58">
        <f>SUMPRODUCT(N(Tabela17[Código]=Tabela3[[#This Row],[PAPEL]]),Tabela17[Fechamento])</f>
        <v>41.45</v>
      </c>
    </row>
    <row r="168" spans="1:40">
      <c r="A168" s="3" t="s">
        <v>326</v>
      </c>
      <c r="B168" s="69" t="s">
        <v>328</v>
      </c>
      <c r="C168" s="105" t="str">
        <f>LEFT([PAPEL],LEN([PAPEL])-(LEN([PAPEL])-4))</f>
        <v>VIVT</v>
      </c>
      <c r="D168" s="16">
        <v>3</v>
      </c>
      <c r="E168" s="5"/>
      <c r="H168" s="16"/>
      <c r="I168" s="18"/>
      <c r="J168" s="18"/>
      <c r="L168" s="5">
        <v>43631075000</v>
      </c>
      <c r="M168" s="5">
        <v>2484629000</v>
      </c>
      <c r="N168" s="5">
        <f>Tabela3[[#This Row],[Capital Social]]*20%</f>
        <v>0</v>
      </c>
      <c r="O168" s="5">
        <f>IF(([Lucro Líquido]*5%)&gt;[Teto R. Legal],[Teto R. Legal],[Lucro Líquido]*5%)</f>
        <v>0</v>
      </c>
      <c r="P168" s="5">
        <f>IF([Lucro Líquido]&lt;0,0,[Lucro Líquido]-[Reserva Legal])</f>
        <v>2484629000</v>
      </c>
      <c r="Q168" s="21">
        <v>1125601930</v>
      </c>
      <c r="R168" s="5">
        <f>[Capital Social]/[Total Ações]</f>
        <v>0</v>
      </c>
      <c r="S168" s="49">
        <f>Tabela3[[#This Row],[Lucro Líquido]]/Tabela3[[#This Row],[Total Ações]]</f>
        <v>2.2073780559349254</v>
      </c>
      <c r="T168" s="98">
        <f>IF([% Div Mínimo]&gt;0,([Lucro Distribuir]*[% Div Mínimo]-SUMPRODUCT(N([Nome]=Tabela3[[#This Row],[Nome]]),[Total Div. Pref.]))/SUMPRODUCT(N([Nome]=Tabela3[[#This Row],[Nome]]),N([% Div Mínimo]&gt;0),[Ações]),0)*IF(SUMPRODUCT(N([Nome]=Tabela3[[#This Row],[Nome]]),[% Pref. / ON])&gt;0,IF(Tabela3[[#This Row],[% Pref. / ON]]=0,0.9688861974,1.0657748186),1)</f>
        <v>0</v>
      </c>
      <c r="U168" s="98">
        <f>[Patrimônio Líquido]*[% PNA (PL)]/[Total Ações]</f>
        <v>0</v>
      </c>
      <c r="V168" s="98">
        <f>[Capital Social]*[% PNA (CS)]/[Total Ações]</f>
        <v>0</v>
      </c>
      <c r="W168" s="98">
        <f>MAX(Tabela3[[#This Row],[Div PNA (PL)]],Tabela3[[#This Row],[Div PNA (CS)]])</f>
        <v>0</v>
      </c>
      <c r="X168" s="5">
        <f>[Div. Pref]*[Ações]</f>
        <v>0</v>
      </c>
      <c r="Y168" s="18">
        <f>IF(GETPIVOTDATA("Payout",'Tabela LL'!$A$3,"Ativo",Tabela3[[#This Row],[PAPEL]])&gt;1,1,GETPIVOTDATA("Payout",'Tabela LL'!$A$3,"Ativo",Tabela3[[#This Row],[PAPEL]]))</f>
        <v>1</v>
      </c>
      <c r="Z168" s="5">
        <f>[Patrimônio Líquido]/[Total Ações]</f>
        <v>38.762437978406808</v>
      </c>
      <c r="AA168" s="56">
        <f>MAX(Tabela3[[#This Row],[Cotação 1]],Tabela3[[#This Row],[Cotação 2]])</f>
        <v>47.3</v>
      </c>
      <c r="AB168" s="57">
        <f>[Cotação]/[VPA]</f>
        <v>1.2202534842196759</v>
      </c>
      <c r="AC168" s="39">
        <f>IF(Tabela3[[#This Row],[Lucro/Ação]]&gt;0,Tabela3[[#This Row],[Cotação]]/(Tabela3[[#This Row],[Lucro/Ação]]/[Ref]*4),0)</f>
        <v>16.071102956115379</v>
      </c>
      <c r="AD168" s="39">
        <f>IF([Div. Mínimo]=0,0,[Lucro Distribuir]*[Payout]/[Total Ações])</f>
        <v>0</v>
      </c>
      <c r="AE168" s="98">
        <f>IF(AND([Div. Pref]&gt;0,[Div. Mínimo]&gt;0),[Div. Mínimo]+[Div. Pref],IF([Div. Pref]&gt;0,[Div. Pref],IF([Div. Mínimo]&gt;0,[Div. Mínimo],0)))</f>
        <v>0</v>
      </c>
      <c r="AF168" s="98">
        <f>[Lucro Distribuir]/[Total Ações]</f>
        <v>2.2073780559349254</v>
      </c>
      <c r="AG168" s="98">
        <f>IF([Lucro Payout]&gt;[Lucro Dist./Ação],MAX(Tabela3[[#This Row],[Lucro Atual]:[Lucro Dist./Ação]]),MAX(Tabela3[[#This Row],[Lucro Payout]:[Lucro Atual]]))</f>
        <v>0</v>
      </c>
      <c r="AH168" s="16" t="str">
        <f>IF(AND([% A.A.]&gt;=10%,[PVPA]&lt;=2,[PL]&lt;=15,[PL]&gt;0),"Sim","Não")</f>
        <v>Não</v>
      </c>
      <c r="AI168" s="22">
        <f>Tabela3[[#This Row],[Lucro]]/Tabela3[[#This Row],[Cotação]]</f>
        <v>0</v>
      </c>
      <c r="AJ168" s="18">
        <f>((1+Tabela3[[#This Row],[% Yield]])^(1/(3*Tabela3[[#This Row],[Ref]])))^(12)-1</f>
        <v>0</v>
      </c>
      <c r="AK168" s="10">
        <f>($AQ$1/Tabela3[[#This Row],[Cotação]]-MOD($AQ$1/Tabela3[[#This Row],[Cotação]],100))</f>
        <v>0</v>
      </c>
      <c r="AL168" s="7">
        <f>Tabela3[[#This Row],[Ativos]]*Tabela3[[#This Row],[Lucro Atual]]</f>
        <v>0</v>
      </c>
      <c r="AM168" s="49">
        <f>SUMPRODUCT(N(Tabela1[Código]=Tabela3[[#This Row],[PAPEL]]),Tabela1[Fechamento])</f>
        <v>0</v>
      </c>
      <c r="AN168" s="58">
        <f>SUMPRODUCT(N(Tabela17[Código]=Tabela3[[#This Row],[PAPEL]]),Tabela17[Fechamento])</f>
        <v>47.3</v>
      </c>
    </row>
    <row r="172" spans="1:40">
      <c r="W172" s="111"/>
    </row>
    <row r="173" spans="1:40">
      <c r="P173" s="111"/>
    </row>
    <row r="179" spans="6:14">
      <c r="F179" s="93" t="e">
        <f>54318145.9/E8</f>
        <v>#DIV/0!</v>
      </c>
    </row>
    <row r="183" spans="6:14">
      <c r="N183" s="109"/>
    </row>
  </sheetData>
  <hyperlinks>
    <hyperlink ref="B164" r:id="rId1"/>
    <hyperlink ref="B136" r:id="rId2"/>
    <hyperlink ref="B150" r:id="rId3"/>
    <hyperlink ref="B71" r:id="rId4"/>
    <hyperlink ref="B72" r:id="rId5"/>
    <hyperlink ref="B10" r:id="rId6"/>
    <hyperlink ref="B34" r:id="rId7"/>
    <hyperlink ref="B73" r:id="rId8"/>
    <hyperlink ref="B148" r:id="rId9"/>
    <hyperlink ref="B58" r:id="rId10"/>
    <hyperlink ref="B59" r:id="rId11"/>
    <hyperlink ref="B23" r:id="rId12"/>
    <hyperlink ref="B113" r:id="rId13"/>
    <hyperlink ref="B166" r:id="rId14"/>
    <hyperlink ref="B156" r:id="rId15"/>
    <hyperlink ref="B124" r:id="rId16"/>
    <hyperlink ref="B125" r:id="rId17"/>
    <hyperlink ref="B167" r:id="rId18"/>
    <hyperlink ref="B168" r:id="rId19"/>
    <hyperlink ref="B21" r:id="rId20"/>
    <hyperlink ref="B22" r:id="rId21"/>
    <hyperlink ref="B107" r:id="rId22"/>
    <hyperlink ref="B122" r:id="rId23"/>
    <hyperlink ref="B161" r:id="rId24"/>
    <hyperlink ref="B5" r:id="rId25"/>
    <hyperlink ref="B116" r:id="rId26"/>
    <hyperlink ref="B89" r:id="rId27"/>
    <hyperlink ref="B54" r:id="rId28"/>
    <hyperlink ref="B62" r:id="rId29"/>
    <hyperlink ref="B106" r:id="rId30"/>
    <hyperlink ref="B3" r:id="rId31"/>
    <hyperlink ref="B135" r:id="rId32"/>
    <hyperlink ref="B80" r:id="rId33"/>
    <hyperlink ref="B98" r:id="rId34"/>
    <hyperlink ref="B133" r:id="rId35"/>
    <hyperlink ref="B119" r:id="rId36"/>
    <hyperlink ref="B165" r:id="rId37"/>
    <hyperlink ref="B127" r:id="rId38"/>
    <hyperlink ref="B157" r:id="rId39"/>
    <hyperlink ref="B97" r:id="rId40"/>
    <hyperlink ref="B4" r:id="rId41"/>
    <hyperlink ref="B37" r:id="rId42"/>
    <hyperlink ref="B38" r:id="rId43"/>
    <hyperlink ref="B46" r:id="rId44"/>
    <hyperlink ref="B108" r:id="rId45"/>
    <hyperlink ref="B123" r:id="rId46"/>
    <hyperlink ref="B149" r:id="rId47"/>
    <hyperlink ref="B146" r:id="rId48"/>
    <hyperlink ref="B121" r:id="rId49"/>
    <hyperlink ref="B69" r:id="rId50"/>
    <hyperlink ref="B70" r:id="rId51"/>
    <hyperlink ref="B31" r:id="rId52"/>
    <hyperlink ref="B160" r:id="rId53"/>
    <hyperlink ref="B44" r:id="rId54"/>
    <hyperlink ref="B57" r:id="rId55"/>
    <hyperlink ref="B78" r:id="rId56"/>
    <hyperlink ref="B81" r:id="rId57"/>
    <hyperlink ref="B126" r:id="rId58" display="PATI4"/>
    <hyperlink ref="B163" r:id="rId59" display="UNIP6"/>
    <hyperlink ref="B162" r:id="rId60" display="UNIP6"/>
    <hyperlink ref="B88" r:id="rId61" display="ELPL4"/>
    <hyperlink ref="B55" r:id="rId62" display="CESP3"/>
    <hyperlink ref="B56" r:id="rId63" display="CESP3"/>
    <hyperlink ref="B61" r:id="rId64" display="CMIG4"/>
    <hyperlink ref="B120" r:id="rId65" display="MERC4"/>
    <hyperlink ref="B145" r:id="rId66"/>
    <hyperlink ref="B47" r:id="rId67"/>
    <hyperlink ref="B48" r:id="rId68" display="CEBR3"/>
    <hyperlink ref="B49" r:id="rId69" display="CEBR3"/>
    <hyperlink ref="B105" r:id="rId70" display="GTDP4B"/>
    <hyperlink ref="B7" r:id="rId71"/>
    <hyperlink ref="B91" r:id="rId72"/>
    <hyperlink ref="B117" r:id="rId73"/>
    <hyperlink ref="B20" r:id="rId74"/>
    <hyperlink ref="B19" r:id="rId75" display="BNBR4"/>
    <hyperlink ref="B131" r:id="rId76"/>
    <hyperlink ref="B130" r:id="rId77" display="PINE4"/>
    <hyperlink ref="B66" r:id="rId78"/>
    <hyperlink ref="B67" r:id="rId79" display="CPLE3"/>
    <hyperlink ref="B68" r:id="rId80" display="CPLE3"/>
    <hyperlink ref="B24" r:id="rId81"/>
    <hyperlink ref="B25" r:id="rId82"/>
    <hyperlink ref="B26" r:id="rId83"/>
    <hyperlink ref="B27" r:id="rId84" display="BRGE3"/>
    <hyperlink ref="B28" r:id="rId85" display="BRGE3"/>
    <hyperlink ref="B29" r:id="rId86" display="BRGE3"/>
    <hyperlink ref="B30" r:id="rId87" display="BRGE3"/>
    <hyperlink ref="B42" r:id="rId88"/>
    <hyperlink ref="B43" r:id="rId89"/>
    <hyperlink ref="B32" r:id="rId90"/>
    <hyperlink ref="B33" r:id="rId91"/>
    <hyperlink ref="B35" r:id="rId92" display="BRKM3"/>
    <hyperlink ref="B36" r:id="rId93" display="BRKM3"/>
    <hyperlink ref="B39" r:id="rId94"/>
    <hyperlink ref="B40" r:id="rId95"/>
    <hyperlink ref="B41" r:id="rId96"/>
  </hyperlinks>
  <pageMargins left="0.7" right="0.7" top="0.75" bottom="0.75" header="0.3" footer="0.3"/>
  <pageSetup paperSize="9" orientation="portrait" r:id="rId97"/>
  <tableParts count="1">
    <tablePart r:id="rId98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587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3" t="s">
        <v>45</v>
      </c>
      <c r="Q6" s="33" t="s">
        <v>0</v>
      </c>
      <c r="R6" s="34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5" t="str">
        <f>IF(Tabela1[[#This Row],[Código]]="IBOV","^BVSP",IF(Tabela1[[#This Row],[Código]]="","",CONCATENATE(LEFT(Tabela1[[#This Row],[Código]],6),".SA")))</f>
        <v>ABCB4.SA</v>
      </c>
      <c r="C7" s="3" t="s">
        <v>106</v>
      </c>
      <c r="D7" s="3" t="s">
        <v>603</v>
      </c>
      <c r="E7" s="3" t="s">
        <v>537</v>
      </c>
      <c r="F7" s="3" t="s">
        <v>548</v>
      </c>
      <c r="G7" s="3" t="s">
        <v>604</v>
      </c>
      <c r="H7" s="20">
        <v>41655</v>
      </c>
      <c r="J7" s="3">
        <f>IF($A7="",0,VALUE(CONCATENATE(LEFT(D7,LEN(D7)-3),",",RIGHT(D7,2))))</f>
        <v>12.09</v>
      </c>
      <c r="K7" s="3">
        <f t="shared" ref="K7:M22" si="0">IF($A7="",0,VALUE(CONCATENATE(LEFT(E7,LEN(E7)-3),",",RIGHT(E7,2))))</f>
        <v>12.15</v>
      </c>
      <c r="L7" s="3">
        <f t="shared" si="0"/>
        <v>12.23</v>
      </c>
      <c r="M7" s="3">
        <f t="shared" si="0"/>
        <v>12.04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41655</v>
      </c>
      <c r="S7" s="5">
        <f t="shared" ref="S7:S38" si="3">J7</f>
        <v>12.09</v>
      </c>
      <c r="T7" s="5">
        <f t="shared" ref="T7:T38" si="4">K7</f>
        <v>12.15</v>
      </c>
      <c r="U7" s="5">
        <f t="shared" ref="U7:U38" si="5">L7</f>
        <v>12.23</v>
      </c>
      <c r="V7" s="5">
        <f t="shared" ref="V7:V38" si="6">M7</f>
        <v>12.04</v>
      </c>
    </row>
    <row r="8" spans="1:22">
      <c r="A8" s="35" t="str">
        <f>IF(Tabela1[[#This Row],[Código]]="IBOV","^BVSP",IF(Tabela1[[#This Row],[Código]]="","",CONCATENATE(LEFT(Tabela1[[#This Row],[Código]],6),".SA")))</f>
        <v>AELP3.SA</v>
      </c>
      <c r="C8" s="3" t="s">
        <v>107</v>
      </c>
      <c r="D8" s="3" t="s">
        <v>558</v>
      </c>
      <c r="E8" s="3" t="s">
        <v>559</v>
      </c>
      <c r="F8" s="3" t="s">
        <v>558</v>
      </c>
      <c r="G8" s="3" t="s">
        <v>559</v>
      </c>
      <c r="H8" s="20">
        <v>41655</v>
      </c>
      <c r="J8" s="3">
        <f t="shared" ref="J8:M71" si="7">IF($A8="",0,VALUE(CONCATENATE(LEFT(D8,LEN(D8)-3),",",RIGHT(D8,2))))</f>
        <v>8.34</v>
      </c>
      <c r="K8" s="3">
        <f t="shared" si="0"/>
        <v>8.3000000000000007</v>
      </c>
      <c r="L8" s="3">
        <f t="shared" si="0"/>
        <v>8.34</v>
      </c>
      <c r="M8" s="3">
        <f t="shared" si="0"/>
        <v>8.3000000000000007</v>
      </c>
      <c r="P8" s="14" t="s">
        <v>67</v>
      </c>
      <c r="Q8" s="10" t="str">
        <f t="shared" si="1"/>
        <v>AES ELPA    -ON</v>
      </c>
      <c r="R8" s="20">
        <f t="shared" si="2"/>
        <v>41655</v>
      </c>
      <c r="S8" s="5">
        <f t="shared" si="3"/>
        <v>8.34</v>
      </c>
      <c r="T8" s="5">
        <f t="shared" si="4"/>
        <v>8.3000000000000007</v>
      </c>
      <c r="U8" s="5">
        <f t="shared" si="5"/>
        <v>8.34</v>
      </c>
      <c r="V8" s="5">
        <f t="shared" si="6"/>
        <v>8.3000000000000007</v>
      </c>
    </row>
    <row r="9" spans="1:22">
      <c r="A9" s="35" t="str">
        <f>IF(Tabela1[[#This Row],[Código]]="IBOV","^BVSP",IF(Tabela1[[#This Row],[Código]]="","",CONCATENATE(LEFT(Tabela1[[#This Row],[Código]],6),".SA")))</f>
        <v>BAZA3.SA</v>
      </c>
      <c r="C9" s="3" t="s">
        <v>108</v>
      </c>
      <c r="D9" s="3" t="s">
        <v>478</v>
      </c>
      <c r="E9" s="3" t="s">
        <v>501</v>
      </c>
      <c r="F9" s="3" t="s">
        <v>501</v>
      </c>
      <c r="G9" s="3" t="s">
        <v>478</v>
      </c>
      <c r="H9" s="20">
        <v>41655</v>
      </c>
      <c r="J9" s="3">
        <f t="shared" si="7"/>
        <v>0.31</v>
      </c>
      <c r="K9" s="3">
        <f t="shared" si="0"/>
        <v>0.33</v>
      </c>
      <c r="L9" s="3">
        <f t="shared" si="0"/>
        <v>0.33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41655</v>
      </c>
      <c r="S9" s="5">
        <f t="shared" si="3"/>
        <v>0.31</v>
      </c>
      <c r="T9" s="5">
        <f t="shared" si="4"/>
        <v>0.33</v>
      </c>
      <c r="U9" s="5">
        <f t="shared" si="5"/>
        <v>0.33</v>
      </c>
      <c r="V9" s="5">
        <f t="shared" si="6"/>
        <v>0.31</v>
      </c>
    </row>
    <row r="10" spans="1:22">
      <c r="A10" s="35" t="str">
        <f>IF(Tabela1[[#This Row],[Código]]="IBOV","^BVSP",IF(Tabela1[[#This Row],[Código]]="","",CONCATENATE(LEFT(Tabela1[[#This Row],[Código]],6),".SA")))</f>
        <v>BBAS3.SA</v>
      </c>
      <c r="C10" s="3" t="s">
        <v>109</v>
      </c>
      <c r="D10" s="3" t="s">
        <v>605</v>
      </c>
      <c r="E10" s="3" t="s">
        <v>606</v>
      </c>
      <c r="F10" s="3" t="s">
        <v>508</v>
      </c>
      <c r="G10" s="3" t="s">
        <v>607</v>
      </c>
      <c r="H10" s="20">
        <v>41655</v>
      </c>
      <c r="J10" s="3">
        <f t="shared" si="7"/>
        <v>23.3</v>
      </c>
      <c r="K10" s="3">
        <f t="shared" si="0"/>
        <v>23.22</v>
      </c>
      <c r="L10" s="3">
        <f t="shared" si="0"/>
        <v>23.55</v>
      </c>
      <c r="M10" s="3">
        <f t="shared" si="0"/>
        <v>23.07</v>
      </c>
      <c r="P10" s="15" t="s">
        <v>24</v>
      </c>
      <c r="Q10" s="10" t="str">
        <f t="shared" si="1"/>
        <v xml:space="preserve">BRASIL      -ON  </v>
      </c>
      <c r="R10" s="20">
        <f t="shared" si="2"/>
        <v>41655</v>
      </c>
      <c r="S10" s="5">
        <f t="shared" si="3"/>
        <v>23.3</v>
      </c>
      <c r="T10" s="5">
        <f t="shared" si="4"/>
        <v>23.22</v>
      </c>
      <c r="U10" s="5">
        <f t="shared" si="5"/>
        <v>23.55</v>
      </c>
      <c r="V10" s="5">
        <f t="shared" si="6"/>
        <v>23.07</v>
      </c>
    </row>
    <row r="11" spans="1:22">
      <c r="A11" s="35" t="str">
        <f>IF(Tabela1[[#This Row],[Código]]="IBOV","^BVSP",IF(Tabela1[[#This Row],[Código]]="","",CONCATENATE(LEFT(Tabela1[[#This Row],[Código]],6),".SA")))</f>
        <v>BBDC3.SA</v>
      </c>
      <c r="C11" s="3" t="s">
        <v>220</v>
      </c>
      <c r="D11" s="3" t="s">
        <v>608</v>
      </c>
      <c r="E11" s="3" t="s">
        <v>609</v>
      </c>
      <c r="F11" s="3" t="s">
        <v>610</v>
      </c>
      <c r="G11" s="3" t="s">
        <v>611</v>
      </c>
      <c r="H11" s="20">
        <v>41655</v>
      </c>
      <c r="J11" s="3">
        <f t="shared" si="7"/>
        <v>30.35</v>
      </c>
      <c r="K11" s="3">
        <f t="shared" si="0"/>
        <v>30.09</v>
      </c>
      <c r="L11" s="3">
        <f t="shared" si="0"/>
        <v>30.41</v>
      </c>
      <c r="M11" s="3">
        <f t="shared" si="0"/>
        <v>29.95</v>
      </c>
      <c r="P11" s="14" t="s">
        <v>218</v>
      </c>
      <c r="Q11" s="10" t="str">
        <f t="shared" si="1"/>
        <v xml:space="preserve">BRADESCO    -ON  </v>
      </c>
      <c r="R11" s="20">
        <f t="shared" si="2"/>
        <v>41655</v>
      </c>
      <c r="S11" s="5">
        <f t="shared" si="3"/>
        <v>30.35</v>
      </c>
      <c r="T11" s="5">
        <f t="shared" si="4"/>
        <v>30.09</v>
      </c>
      <c r="U11" s="5">
        <f t="shared" si="5"/>
        <v>30.41</v>
      </c>
      <c r="V11" s="5">
        <f t="shared" si="6"/>
        <v>29.95</v>
      </c>
    </row>
    <row r="12" spans="1:22">
      <c r="A12" s="35" t="str">
        <f>IF(Tabela1[[#This Row],[Código]]="IBOV","^BVSP",IF(Tabela1[[#This Row],[Código]]="","",CONCATENATE(LEFT(Tabela1[[#This Row],[Código]],6),".SA")))</f>
        <v>BBDC4.SA</v>
      </c>
      <c r="C12" s="3" t="s">
        <v>221</v>
      </c>
      <c r="D12" s="3" t="s">
        <v>612</v>
      </c>
      <c r="E12" s="3" t="s">
        <v>613</v>
      </c>
      <c r="F12" s="3" t="s">
        <v>614</v>
      </c>
      <c r="G12" s="3" t="s">
        <v>615</v>
      </c>
      <c r="H12" s="20">
        <v>41655</v>
      </c>
      <c r="J12" s="3">
        <f t="shared" si="7"/>
        <v>28</v>
      </c>
      <c r="K12" s="3">
        <f t="shared" si="0"/>
        <v>27.85</v>
      </c>
      <c r="L12" s="3">
        <f t="shared" si="0"/>
        <v>28.09</v>
      </c>
      <c r="M12" s="3">
        <f t="shared" si="0"/>
        <v>27.7</v>
      </c>
      <c r="P12" s="14" t="s">
        <v>219</v>
      </c>
      <c r="Q12" s="10" t="str">
        <f t="shared" si="1"/>
        <v xml:space="preserve">BRADESCO    -PN  </v>
      </c>
      <c r="R12" s="55">
        <f t="shared" si="2"/>
        <v>41655</v>
      </c>
      <c r="S12" s="5">
        <f t="shared" si="3"/>
        <v>28</v>
      </c>
      <c r="T12" s="5">
        <f t="shared" si="4"/>
        <v>27.85</v>
      </c>
      <c r="U12" s="5">
        <f t="shared" si="5"/>
        <v>28.09</v>
      </c>
      <c r="V12" s="5">
        <f t="shared" si="6"/>
        <v>27.7</v>
      </c>
    </row>
    <row r="13" spans="1:22">
      <c r="A13" s="35" t="str">
        <f>IF(Tabela1[[#This Row],[Código]]="IBOV","^BVSP",IF(Tabela1[[#This Row],[Código]]="","",CONCATENATE(LEFT(Tabela1[[#This Row],[Código]],6),".SA")))</f>
        <v>BEES3.SA</v>
      </c>
      <c r="C13" s="3" t="s">
        <v>391</v>
      </c>
      <c r="D13" s="3" t="s">
        <v>467</v>
      </c>
      <c r="E13" s="3" t="s">
        <v>443</v>
      </c>
      <c r="F13" s="3" t="s">
        <v>467</v>
      </c>
      <c r="G13" s="3" t="s">
        <v>443</v>
      </c>
      <c r="H13" s="20">
        <v>41655</v>
      </c>
      <c r="J13" s="3">
        <f t="shared" si="7"/>
        <v>0.47</v>
      </c>
      <c r="K13" s="3">
        <f t="shared" si="0"/>
        <v>0.46</v>
      </c>
      <c r="L13" s="3">
        <f t="shared" si="0"/>
        <v>0.47</v>
      </c>
      <c r="M13" s="3">
        <f t="shared" si="0"/>
        <v>0.46</v>
      </c>
      <c r="P13" s="15" t="s">
        <v>58</v>
      </c>
      <c r="Q13" s="10" t="str">
        <f t="shared" si="1"/>
        <v xml:space="preserve">BANESTES    -ON  </v>
      </c>
      <c r="R13" s="55">
        <f t="shared" si="2"/>
        <v>41655</v>
      </c>
      <c r="S13" s="5">
        <f t="shared" si="3"/>
        <v>0.47</v>
      </c>
      <c r="T13" s="5">
        <f t="shared" si="4"/>
        <v>0.46</v>
      </c>
      <c r="U13" s="5">
        <f t="shared" si="5"/>
        <v>0.47</v>
      </c>
      <c r="V13" s="5">
        <f t="shared" si="6"/>
        <v>0.46</v>
      </c>
    </row>
    <row r="14" spans="1:22">
      <c r="A14" s="35" t="str">
        <f>IF(Tabela1[[#This Row],[Código]]="IBOV","^BVSP",IF(Tabela1[[#This Row],[Código]]="","",CONCATENATE(LEFT(Tabela1[[#This Row],[Código]],6),".SA")))</f>
        <v>BEES4.SA</v>
      </c>
      <c r="C14" s="3" t="s">
        <v>392</v>
      </c>
      <c r="D14" s="3" t="s">
        <v>443</v>
      </c>
      <c r="E14" s="3" t="s">
        <v>443</v>
      </c>
      <c r="F14" s="3" t="s">
        <v>443</v>
      </c>
      <c r="G14" s="3" t="s">
        <v>443</v>
      </c>
      <c r="H14" s="20">
        <v>41655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59</v>
      </c>
      <c r="Q14" s="10" t="str">
        <f t="shared" si="1"/>
        <v xml:space="preserve">BANESTES    -PN  </v>
      </c>
      <c r="R14" s="20">
        <f t="shared" si="2"/>
        <v>41655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5" t="str">
        <f>IF(Tabela1[[#This Row],[Código]]="IBOV","^BVSP",IF(Tabela1[[#This Row],[Código]]="","",CONCATENATE(LEFT(Tabela1[[#This Row],[Código]],6),".SA")))</f>
        <v>BGIP3.SA</v>
      </c>
      <c r="C15" s="3" t="s">
        <v>479</v>
      </c>
      <c r="D15" s="3" t="s">
        <v>468</v>
      </c>
      <c r="E15" s="3" t="s">
        <v>470</v>
      </c>
      <c r="F15" s="3" t="s">
        <v>470</v>
      </c>
      <c r="G15" s="3" t="s">
        <v>468</v>
      </c>
      <c r="H15" s="20">
        <v>41655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223</v>
      </c>
      <c r="Q15" s="10" t="str">
        <f t="shared" si="1"/>
        <v>BANESE      -ON</v>
      </c>
      <c r="R15" s="55">
        <f t="shared" si="2"/>
        <v>41655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5" t="str">
        <f>IF(Tabela1[[#This Row],[Código]]="IBOV","^BVSP",IF(Tabela1[[#This Row],[Código]]="","",CONCATENATE(LEFT(Tabela1[[#This Row],[Código]],6),".SA")))</f>
        <v>BGIP4.SA</v>
      </c>
      <c r="C16" s="3" t="s">
        <v>480</v>
      </c>
      <c r="D16" s="3" t="s">
        <v>509</v>
      </c>
      <c r="E16" s="3" t="s">
        <v>543</v>
      </c>
      <c r="F16" s="3" t="s">
        <v>509</v>
      </c>
      <c r="G16" s="3" t="s">
        <v>543</v>
      </c>
      <c r="H16" s="20">
        <v>41655</v>
      </c>
      <c r="J16" s="3">
        <f t="shared" si="7"/>
        <v>45.05</v>
      </c>
      <c r="K16" s="3">
        <f t="shared" si="0"/>
        <v>45</v>
      </c>
      <c r="L16" s="3">
        <f t="shared" si="0"/>
        <v>45.05</v>
      </c>
      <c r="M16" s="3">
        <f t="shared" si="0"/>
        <v>45</v>
      </c>
      <c r="P16" s="15" t="s">
        <v>224</v>
      </c>
      <c r="Q16" s="10" t="str">
        <f t="shared" si="1"/>
        <v>BANESE      -PN</v>
      </c>
      <c r="R16" s="55">
        <f t="shared" si="2"/>
        <v>41655</v>
      </c>
      <c r="S16" s="5">
        <f t="shared" si="3"/>
        <v>45.05</v>
      </c>
      <c r="T16" s="5">
        <f t="shared" si="4"/>
        <v>45</v>
      </c>
      <c r="U16" s="5">
        <f t="shared" si="5"/>
        <v>45.05</v>
      </c>
      <c r="V16" s="5">
        <f t="shared" si="6"/>
        <v>45</v>
      </c>
    </row>
    <row r="17" spans="1:22">
      <c r="A17" s="35" t="str">
        <f>IF(Tabela1[[#This Row],[Código]]="IBOV","^BVSP",IF(Tabela1[[#This Row],[Código]]="","",CONCATENATE(LEFT(Tabela1[[#This Row],[Código]],6),".SA")))</f>
        <v>BICB3.SA</v>
      </c>
      <c r="C17" s="3" t="s">
        <v>231</v>
      </c>
      <c r="D17" s="3" t="s">
        <v>232</v>
      </c>
      <c r="E17" s="3" t="s">
        <v>233</v>
      </c>
      <c r="F17" s="3" t="s">
        <v>232</v>
      </c>
      <c r="G17" s="3" t="s">
        <v>233</v>
      </c>
      <c r="H17" s="20">
        <v>41655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230</v>
      </c>
      <c r="Q17" s="10" t="str">
        <f t="shared" si="1"/>
        <v xml:space="preserve">BICBANCO    -ON  </v>
      </c>
      <c r="R17" s="55">
        <f t="shared" si="2"/>
        <v>41655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5" t="str">
        <f>IF(Tabela1[[#This Row],[Código]]="IBOV","^BVSP",IF(Tabela1[[#This Row],[Código]]="","",CONCATENATE(LEFT(Tabela1[[#This Row],[Código]],6),".SA")))</f>
        <v>BICB4.SA</v>
      </c>
      <c r="C18" s="3" t="s">
        <v>111</v>
      </c>
      <c r="D18" s="3" t="s">
        <v>502</v>
      </c>
      <c r="E18" s="3" t="s">
        <v>502</v>
      </c>
      <c r="F18" s="3" t="s">
        <v>502</v>
      </c>
      <c r="G18" s="3" t="s">
        <v>502</v>
      </c>
      <c r="H18" s="20">
        <v>41655</v>
      </c>
      <c r="J18" s="3">
        <f t="shared" si="7"/>
        <v>7.4</v>
      </c>
      <c r="K18" s="3">
        <f t="shared" si="0"/>
        <v>7.4</v>
      </c>
      <c r="L18" s="3">
        <f t="shared" si="0"/>
        <v>7.4</v>
      </c>
      <c r="M18" s="3">
        <f t="shared" si="0"/>
        <v>7.4</v>
      </c>
      <c r="P18" s="14" t="s">
        <v>10</v>
      </c>
      <c r="Q18" s="10" t="str">
        <f t="shared" si="1"/>
        <v xml:space="preserve">BICBANCO    -PN  </v>
      </c>
      <c r="R18" s="55">
        <f t="shared" si="2"/>
        <v>41655</v>
      </c>
      <c r="S18" s="5">
        <f t="shared" si="3"/>
        <v>7.4</v>
      </c>
      <c r="T18" s="5">
        <f t="shared" si="4"/>
        <v>7.4</v>
      </c>
      <c r="U18" s="5">
        <f t="shared" si="5"/>
        <v>7.4</v>
      </c>
      <c r="V18" s="5">
        <f t="shared" si="6"/>
        <v>7.4</v>
      </c>
    </row>
    <row r="19" spans="1:22">
      <c r="A19" s="35" t="str">
        <f>IF(Tabela1[[#This Row],[Código]]="IBOV","^BVSP",IF(Tabela1[[#This Row],[Código]]="","",CONCATENATE(LEFT(Tabela1[[#This Row],[Código]],6),".SA")))</f>
        <v>BMIN3.SA</v>
      </c>
      <c r="C19" s="3" t="s">
        <v>235</v>
      </c>
      <c r="D19" s="3" t="s">
        <v>171</v>
      </c>
      <c r="E19" s="3" t="s">
        <v>171</v>
      </c>
      <c r="F19" s="3" t="s">
        <v>171</v>
      </c>
      <c r="G19" s="3" t="s">
        <v>171</v>
      </c>
      <c r="H19" s="20">
        <v>41655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234</v>
      </c>
      <c r="Q19" s="10" t="str">
        <f t="shared" si="1"/>
        <v>MERC INVEST -ON</v>
      </c>
      <c r="R19" s="55">
        <f t="shared" si="2"/>
        <v>41655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5" t="str">
        <f>IF(Tabela1[[#This Row],[Código]]="IBOV","^BVSP",IF(Tabela1[[#This Row],[Código]]="","",CONCATENATE(LEFT(Tabela1[[#This Row],[Código]],6),".SA")))</f>
        <v>BMIN4.SA</v>
      </c>
      <c r="C20" s="3" t="s">
        <v>112</v>
      </c>
      <c r="D20" s="3" t="s">
        <v>113</v>
      </c>
      <c r="E20" s="3" t="s">
        <v>113</v>
      </c>
      <c r="F20" s="3" t="s">
        <v>113</v>
      </c>
      <c r="G20" s="3" t="s">
        <v>113</v>
      </c>
      <c r="H20" s="20">
        <v>41655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61</v>
      </c>
      <c r="Q20" s="10" t="str">
        <f t="shared" si="1"/>
        <v>MERC INVEST -PN</v>
      </c>
      <c r="R20" s="20">
        <f t="shared" si="2"/>
        <v>41655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5" t="str">
        <f>IF(Tabela1[[#This Row],[Código]]="IBOV","^BVSP",IF(Tabela1[[#This Row],[Código]]="","",CONCATENATE(LEFT(Tabela1[[#This Row],[Código]],6),".SA")))</f>
        <v>BNBR3.SA</v>
      </c>
      <c r="C21" s="3" t="s">
        <v>238</v>
      </c>
      <c r="D21" s="3" t="s">
        <v>222</v>
      </c>
      <c r="E21" s="3" t="s">
        <v>222</v>
      </c>
      <c r="F21" s="3" t="s">
        <v>222</v>
      </c>
      <c r="G21" s="3" t="s">
        <v>222</v>
      </c>
      <c r="H21" s="20">
        <v>41655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236</v>
      </c>
      <c r="Q21" s="10" t="str">
        <f t="shared" si="1"/>
        <v>NORD BRASIL -ON</v>
      </c>
      <c r="R21" s="55">
        <f t="shared" si="2"/>
        <v>41655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5" t="str">
        <f>IF(Tabela1[[#This Row],[Código]]="IBOV","^BVSP",IF(Tabela1[[#This Row],[Código]]="","",CONCATENATE(LEFT(Tabela1[[#This Row],[Código]],6),".SA")))</f>
        <v>BNBR4.SA</v>
      </c>
      <c r="C22" s="3" t="s">
        <v>239</v>
      </c>
      <c r="D22" s="3" t="s">
        <v>472</v>
      </c>
      <c r="E22" s="3" t="s">
        <v>472</v>
      </c>
      <c r="F22" s="3" t="s">
        <v>472</v>
      </c>
      <c r="G22" s="3" t="s">
        <v>472</v>
      </c>
      <c r="H22" s="20">
        <v>41655</v>
      </c>
      <c r="J22" s="3">
        <f t="shared" si="7"/>
        <v>23.54</v>
      </c>
      <c r="K22" s="3">
        <f t="shared" si="0"/>
        <v>23.54</v>
      </c>
      <c r="L22" s="3">
        <f t="shared" si="0"/>
        <v>23.54</v>
      </c>
      <c r="M22" s="3">
        <f t="shared" si="0"/>
        <v>23.54</v>
      </c>
      <c r="P22" s="14" t="s">
        <v>237</v>
      </c>
      <c r="Q22" s="10" t="str">
        <f t="shared" si="1"/>
        <v>NORD BRASIL -PN</v>
      </c>
      <c r="R22" s="55">
        <f t="shared" si="2"/>
        <v>41655</v>
      </c>
      <c r="S22" s="5">
        <f t="shared" si="3"/>
        <v>23.54</v>
      </c>
      <c r="T22" s="5">
        <f t="shared" si="4"/>
        <v>23.54</v>
      </c>
      <c r="U22" s="5">
        <f t="shared" si="5"/>
        <v>23.54</v>
      </c>
      <c r="V22" s="5">
        <f t="shared" si="6"/>
        <v>23.54</v>
      </c>
    </row>
    <row r="23" spans="1:22">
      <c r="A23" s="35" t="str">
        <f>IF(Tabela1[[#This Row],[Código]]="IBOV","^BVSP",IF(Tabela1[[#This Row],[Código]]="","",CONCATENATE(LEFT(Tabela1[[#This Row],[Código]],6),".SA")))</f>
        <v>BRGE11.SA</v>
      </c>
      <c r="C23" s="3" t="s">
        <v>258</v>
      </c>
      <c r="D23" s="3" t="s">
        <v>173</v>
      </c>
      <c r="E23" s="3" t="s">
        <v>173</v>
      </c>
      <c r="F23" s="3" t="s">
        <v>173</v>
      </c>
      <c r="G23" s="3" t="s">
        <v>173</v>
      </c>
      <c r="H23" s="20">
        <v>41655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5" t="s">
        <v>249</v>
      </c>
      <c r="Q23" s="10" t="str">
        <f t="shared" si="1"/>
        <v>ALFA CONSORC-PNE</v>
      </c>
      <c r="R23" s="55">
        <f t="shared" si="2"/>
        <v>41655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5" t="str">
        <f>IF(Tabela1[[#This Row],[Código]]="IBOV","^BVSP",IF(Tabela1[[#This Row],[Código]]="","",CONCATENATE(LEFT(Tabela1[[#This Row],[Código]],6),".SA")))</f>
        <v>BRGE12.SA</v>
      </c>
      <c r="C24" s="3" t="s">
        <v>259</v>
      </c>
      <c r="D24" s="3" t="s">
        <v>207</v>
      </c>
      <c r="E24" s="3" t="s">
        <v>207</v>
      </c>
      <c r="F24" s="3" t="s">
        <v>207</v>
      </c>
      <c r="G24" s="3" t="s">
        <v>207</v>
      </c>
      <c r="H24" s="20">
        <v>41655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250</v>
      </c>
      <c r="Q24" s="10" t="str">
        <f t="shared" si="1"/>
        <v>ALFA CONSORC-PNF</v>
      </c>
      <c r="R24" s="55">
        <f t="shared" si="2"/>
        <v>41655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5" t="str">
        <f>IF(Tabela1[[#This Row],[Código]]="IBOV","^BVSP",IF(Tabela1[[#This Row],[Código]]="","",CONCATENATE(LEFT(Tabela1[[#This Row],[Código]],6),".SA")))</f>
        <v>BRGE3.SA</v>
      </c>
      <c r="C25" s="3" t="s">
        <v>251</v>
      </c>
      <c r="D25" s="3" t="s">
        <v>252</v>
      </c>
      <c r="E25" s="3" t="s">
        <v>252</v>
      </c>
      <c r="F25" s="3" t="s">
        <v>252</v>
      </c>
      <c r="G25" s="3" t="s">
        <v>252</v>
      </c>
      <c r="H25" s="20">
        <v>41655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245</v>
      </c>
      <c r="Q25" s="10" t="str">
        <f t="shared" si="1"/>
        <v>ALFA CONSORC-ON</v>
      </c>
      <c r="R25" s="20">
        <f t="shared" si="2"/>
        <v>41655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5" t="str">
        <f>IF(Tabela1[[#This Row],[Código]]="IBOV","^BVSP",IF(Tabela1[[#This Row],[Código]]="","",CONCATENATE(LEFT(Tabela1[[#This Row],[Código]],6),".SA")))</f>
        <v>BRGE5.SA</v>
      </c>
      <c r="C26" s="3" t="s">
        <v>253</v>
      </c>
      <c r="D26" s="3" t="s">
        <v>254</v>
      </c>
      <c r="E26" s="3" t="s">
        <v>254</v>
      </c>
      <c r="F26" s="3" t="s">
        <v>254</v>
      </c>
      <c r="G26" s="3" t="s">
        <v>254</v>
      </c>
      <c r="H26" s="20">
        <v>41655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246</v>
      </c>
      <c r="Q26" s="10" t="str">
        <f t="shared" si="1"/>
        <v>ALFA CONSORC-PNA</v>
      </c>
      <c r="R26" s="20">
        <f t="shared" si="2"/>
        <v>41655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5" t="str">
        <f>IF(Tabela1[[#This Row],[Código]]="IBOV","^BVSP",IF(Tabela1[[#This Row],[Código]]="","",CONCATENATE(LEFT(Tabela1[[#This Row],[Código]],6),".SA")))</f>
        <v>BRGE6.SA</v>
      </c>
      <c r="C27" s="3" t="s">
        <v>114</v>
      </c>
      <c r="D27" s="3" t="s">
        <v>471</v>
      </c>
      <c r="E27" s="3" t="s">
        <v>471</v>
      </c>
      <c r="F27" s="3" t="s">
        <v>471</v>
      </c>
      <c r="G27" s="3" t="s">
        <v>471</v>
      </c>
      <c r="H27" s="20">
        <v>41655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78</v>
      </c>
      <c r="Q27" s="10" t="str">
        <f t="shared" si="1"/>
        <v>ALFA CONSORC-PNB</v>
      </c>
      <c r="R27" s="20">
        <f t="shared" si="2"/>
        <v>41655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5" t="str">
        <f>IF(Tabela1[[#This Row],[Código]]="IBOV","^BVSP",IF(Tabela1[[#This Row],[Código]]="","",CONCATENATE(LEFT(Tabela1[[#This Row],[Código]],6),".SA")))</f>
        <v>BRGE7.SA</v>
      </c>
      <c r="C28" s="3" t="s">
        <v>255</v>
      </c>
      <c r="D28" s="3" t="s">
        <v>256</v>
      </c>
      <c r="E28" s="3" t="s">
        <v>256</v>
      </c>
      <c r="F28" s="3" t="s">
        <v>256</v>
      </c>
      <c r="G28" s="3" t="s">
        <v>256</v>
      </c>
      <c r="H28" s="20">
        <v>41655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5" t="s">
        <v>247</v>
      </c>
      <c r="Q28" s="10" t="str">
        <f t="shared" si="1"/>
        <v>ALFA CONSORC-PNC</v>
      </c>
      <c r="R28" s="20">
        <f t="shared" si="2"/>
        <v>41655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5" t="str">
        <f>IF(Tabela1[[#This Row],[Código]]="IBOV","^BVSP",IF(Tabela1[[#This Row],[Código]]="","",CONCATENATE(LEFT(Tabela1[[#This Row],[Código]],6),".SA")))</f>
        <v>BRGE8.SA</v>
      </c>
      <c r="C29" s="3" t="s">
        <v>257</v>
      </c>
      <c r="D29" s="3" t="s">
        <v>473</v>
      </c>
      <c r="E29" s="3" t="s">
        <v>473</v>
      </c>
      <c r="F29" s="3" t="s">
        <v>473</v>
      </c>
      <c r="G29" s="3" t="s">
        <v>473</v>
      </c>
      <c r="H29" s="20">
        <v>41655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248</v>
      </c>
      <c r="Q29" s="10" t="str">
        <f t="shared" si="1"/>
        <v>ALFA CONSORC-PND</v>
      </c>
      <c r="R29" s="20">
        <f t="shared" si="2"/>
        <v>41655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5" t="str">
        <f>IF(Tabela1[[#This Row],[Código]]="IBOV","^BVSP",IF(Tabela1[[#This Row],[Código]]="","",CONCATENATE(LEFT(Tabela1[[#This Row],[Código]],6),".SA")))</f>
        <v>BRIV3.SA</v>
      </c>
      <c r="C30" s="3" t="s">
        <v>216</v>
      </c>
      <c r="D30" s="3" t="s">
        <v>355</v>
      </c>
      <c r="E30" s="3" t="s">
        <v>355</v>
      </c>
      <c r="F30" s="3" t="s">
        <v>355</v>
      </c>
      <c r="G30" s="3" t="s">
        <v>355</v>
      </c>
      <c r="H30" s="20">
        <v>41655</v>
      </c>
      <c r="J30" s="3">
        <f t="shared" si="7"/>
        <v>6.61</v>
      </c>
      <c r="K30" s="3">
        <f t="shared" si="7"/>
        <v>6.61</v>
      </c>
      <c r="L30" s="3">
        <f t="shared" si="7"/>
        <v>6.61</v>
      </c>
      <c r="M30" s="3">
        <f t="shared" si="7"/>
        <v>6.61</v>
      </c>
      <c r="P30" s="14" t="s">
        <v>214</v>
      </c>
      <c r="Q30" s="10" t="str">
        <f t="shared" si="1"/>
        <v>ALFA INVEST -ON</v>
      </c>
      <c r="R30" s="20">
        <f t="shared" si="2"/>
        <v>41655</v>
      </c>
      <c r="S30" s="5">
        <f t="shared" si="3"/>
        <v>6.61</v>
      </c>
      <c r="T30" s="5">
        <f t="shared" si="4"/>
        <v>6.61</v>
      </c>
      <c r="U30" s="5">
        <f t="shared" si="5"/>
        <v>6.61</v>
      </c>
      <c r="V30" s="5">
        <f t="shared" si="6"/>
        <v>6.61</v>
      </c>
    </row>
    <row r="31" spans="1:22">
      <c r="A31" s="35" t="str">
        <f>IF(Tabela1[[#This Row],[Código]]="IBOV","^BVSP",IF(Tabela1[[#This Row],[Código]]="","",CONCATENATE(LEFT(Tabela1[[#This Row],[Código]],6),".SA")))</f>
        <v>BRIV4.SA</v>
      </c>
      <c r="C31" s="3" t="s">
        <v>217</v>
      </c>
      <c r="D31" s="3" t="s">
        <v>510</v>
      </c>
      <c r="E31" s="3" t="s">
        <v>474</v>
      </c>
      <c r="F31" s="3" t="s">
        <v>474</v>
      </c>
      <c r="G31" s="3" t="s">
        <v>510</v>
      </c>
      <c r="H31" s="20">
        <v>41655</v>
      </c>
      <c r="J31" s="3">
        <f t="shared" si="7"/>
        <v>5.5</v>
      </c>
      <c r="K31" s="3">
        <f t="shared" si="7"/>
        <v>5.64</v>
      </c>
      <c r="L31" s="3">
        <f t="shared" si="7"/>
        <v>5.64</v>
      </c>
      <c r="M31" s="3">
        <f t="shared" si="7"/>
        <v>5.5</v>
      </c>
      <c r="P31" s="10" t="s">
        <v>215</v>
      </c>
      <c r="Q31" s="10" t="str">
        <f t="shared" si="1"/>
        <v>ALFA INVEST -PN</v>
      </c>
      <c r="R31" s="20">
        <f t="shared" si="2"/>
        <v>41655</v>
      </c>
      <c r="S31" s="5">
        <f t="shared" si="3"/>
        <v>5.5</v>
      </c>
      <c r="T31" s="5">
        <f t="shared" si="4"/>
        <v>5.64</v>
      </c>
      <c r="U31" s="5">
        <f t="shared" si="5"/>
        <v>5.64</v>
      </c>
      <c r="V31" s="5">
        <f t="shared" si="6"/>
        <v>5.5</v>
      </c>
    </row>
    <row r="32" spans="1:22">
      <c r="A32" s="35" t="str">
        <f>IF(Tabela1[[#This Row],[Código]]="IBOV","^BVSP",IF(Tabela1[[#This Row],[Código]]="","",CONCATENATE(LEFT(Tabela1[[#This Row],[Código]],6),".SA")))</f>
        <v>BRSR3.SA</v>
      </c>
      <c r="C32" s="3" t="s">
        <v>227</v>
      </c>
      <c r="D32" s="3" t="s">
        <v>495</v>
      </c>
      <c r="E32" s="3" t="s">
        <v>495</v>
      </c>
      <c r="F32" s="3" t="s">
        <v>495</v>
      </c>
      <c r="G32" s="3" t="s">
        <v>495</v>
      </c>
      <c r="H32" s="20">
        <v>41655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225</v>
      </c>
      <c r="Q32" s="10" t="str">
        <f t="shared" si="1"/>
        <v xml:space="preserve">BANRISUL    -ON  </v>
      </c>
      <c r="R32" s="20">
        <f t="shared" si="2"/>
        <v>41655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5" t="str">
        <f>IF(Tabela1[[#This Row],[Código]]="IBOV","^BVSP",IF(Tabela1[[#This Row],[Código]]="","",CONCATENATE(LEFT(Tabela1[[#This Row],[Código]],6),".SA")))</f>
        <v>BRSR5.SA</v>
      </c>
      <c r="C33" s="3" t="s">
        <v>228</v>
      </c>
      <c r="D33" s="3" t="s">
        <v>229</v>
      </c>
      <c r="E33" s="3" t="s">
        <v>229</v>
      </c>
      <c r="F33" s="3" t="s">
        <v>229</v>
      </c>
      <c r="G33" s="3" t="s">
        <v>229</v>
      </c>
      <c r="H33" s="20">
        <v>41655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226</v>
      </c>
      <c r="Q33" s="10" t="str">
        <f t="shared" si="1"/>
        <v xml:space="preserve">BANRISUL    -PNA </v>
      </c>
      <c r="R33" s="55">
        <f t="shared" si="2"/>
        <v>41655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5" t="str">
        <f>IF(Tabela1[[#This Row],[Código]]="IBOV","^BVSP",IF(Tabela1[[#This Row],[Código]]="","",CONCATENATE(LEFT(Tabela1[[#This Row],[Código]],6),".SA")))</f>
        <v>BRSR6.SA</v>
      </c>
      <c r="C34" s="3" t="s">
        <v>116</v>
      </c>
      <c r="D34" s="3" t="s">
        <v>560</v>
      </c>
      <c r="E34" s="3" t="s">
        <v>616</v>
      </c>
      <c r="F34" s="3" t="s">
        <v>617</v>
      </c>
      <c r="G34" s="3" t="s">
        <v>618</v>
      </c>
      <c r="H34" s="20">
        <v>41655</v>
      </c>
      <c r="J34" s="3">
        <f t="shared" si="7"/>
        <v>11.85</v>
      </c>
      <c r="K34" s="3">
        <f t="shared" si="7"/>
        <v>11.92</v>
      </c>
      <c r="L34" s="3">
        <f t="shared" si="7"/>
        <v>11.99</v>
      </c>
      <c r="M34" s="3">
        <f t="shared" si="7"/>
        <v>11.84</v>
      </c>
      <c r="P34" s="10" t="s">
        <v>23</v>
      </c>
      <c r="Q34" s="10" t="str">
        <f t="shared" si="1"/>
        <v xml:space="preserve">BANRISUL    -PNB </v>
      </c>
      <c r="R34" s="20">
        <f t="shared" si="2"/>
        <v>41655</v>
      </c>
      <c r="S34" s="5">
        <f t="shared" si="3"/>
        <v>11.85</v>
      </c>
      <c r="T34" s="5">
        <f t="shared" si="4"/>
        <v>11.92</v>
      </c>
      <c r="U34" s="5">
        <f t="shared" si="5"/>
        <v>11.99</v>
      </c>
      <c r="V34" s="5">
        <f t="shared" si="6"/>
        <v>11.84</v>
      </c>
    </row>
    <row r="35" spans="1:22">
      <c r="A35" s="35" t="str">
        <f>IF(Tabela1[[#This Row],[Código]]="IBOV","^BVSP",IF(Tabela1[[#This Row],[Código]]="","",CONCATENATE(LEFT(Tabela1[[#This Row],[Código]],6),".SA")))</f>
        <v>BSLI3.SA</v>
      </c>
      <c r="C35" s="3" t="s">
        <v>242</v>
      </c>
      <c r="D35" s="3" t="s">
        <v>561</v>
      </c>
      <c r="E35" s="3" t="s">
        <v>561</v>
      </c>
      <c r="F35" s="3" t="s">
        <v>561</v>
      </c>
      <c r="G35" s="3" t="s">
        <v>561</v>
      </c>
      <c r="H35" s="20">
        <v>41655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240</v>
      </c>
      <c r="Q35" s="10" t="str">
        <f t="shared" si="1"/>
        <v>BRB BANCO   -ON</v>
      </c>
      <c r="R35" s="20">
        <f t="shared" si="2"/>
        <v>41655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>
      <c r="A36" s="35" t="str">
        <f>IF(Tabela1[[#This Row],[Código]]="IBOV","^BVSP",IF(Tabela1[[#This Row],[Código]]="","",CONCATENATE(LEFT(Tabela1[[#This Row],[Código]],6),".SA")))</f>
        <v>BSLI4.SA</v>
      </c>
      <c r="C36" s="3" t="s">
        <v>243</v>
      </c>
      <c r="D36" s="3" t="s">
        <v>244</v>
      </c>
      <c r="E36" s="3" t="s">
        <v>244</v>
      </c>
      <c r="F36" s="3" t="s">
        <v>244</v>
      </c>
      <c r="G36" s="3" t="s">
        <v>244</v>
      </c>
      <c r="H36" s="20">
        <v>41655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241</v>
      </c>
      <c r="Q36" s="10" t="str">
        <f t="shared" si="1"/>
        <v>BRB BANCO   -PN</v>
      </c>
      <c r="R36" s="55">
        <f t="shared" si="2"/>
        <v>41655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5" t="str">
        <f>IF(Tabela1[[#This Row],[Código]]="IBOV","^BVSP",IF(Tabela1[[#This Row],[Código]]="","",CONCATENATE(LEFT(Tabela1[[#This Row],[Código]],6),".SA")))</f>
        <v>CASN3.SA</v>
      </c>
      <c r="C37" s="3" t="s">
        <v>195</v>
      </c>
      <c r="D37" s="3" t="s">
        <v>172</v>
      </c>
      <c r="E37" s="3" t="s">
        <v>172</v>
      </c>
      <c r="F37" s="3" t="s">
        <v>172</v>
      </c>
      <c r="G37" s="3" t="s">
        <v>172</v>
      </c>
      <c r="H37" s="20">
        <v>41655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194</v>
      </c>
      <c r="Q37" s="10" t="str">
        <f t="shared" si="1"/>
        <v>CASAN       -ON</v>
      </c>
      <c r="R37" s="55">
        <f t="shared" si="2"/>
        <v>41655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5" t="str">
        <f>IF(Tabela1[[#This Row],[Código]]="IBOV","^BVSP",IF(Tabela1[[#This Row],[Código]]="","",CONCATENATE(LEFT(Tabela1[[#This Row],[Código]],6),".SA")))</f>
        <v>CEBR3.SA</v>
      </c>
      <c r="C38" s="3" t="s">
        <v>117</v>
      </c>
      <c r="D38" s="3" t="s">
        <v>356</v>
      </c>
      <c r="E38" s="3" t="s">
        <v>356</v>
      </c>
      <c r="F38" s="3" t="s">
        <v>356</v>
      </c>
      <c r="G38" s="3" t="s">
        <v>356</v>
      </c>
      <c r="H38" s="20">
        <v>41655</v>
      </c>
      <c r="J38" s="3">
        <f t="shared" si="7"/>
        <v>16.510000000000002</v>
      </c>
      <c r="K38" s="3">
        <f t="shared" si="7"/>
        <v>16.510000000000002</v>
      </c>
      <c r="L38" s="3">
        <f t="shared" si="7"/>
        <v>16.510000000000002</v>
      </c>
      <c r="M38" s="3">
        <f t="shared" si="7"/>
        <v>16.510000000000002</v>
      </c>
      <c r="P38" s="14" t="s">
        <v>94</v>
      </c>
      <c r="Q38" s="10" t="str">
        <f t="shared" si="1"/>
        <v>CEB         -ON</v>
      </c>
      <c r="R38" s="55">
        <f t="shared" si="2"/>
        <v>41655</v>
      </c>
      <c r="S38" s="5">
        <f t="shared" si="3"/>
        <v>16.510000000000002</v>
      </c>
      <c r="T38" s="5">
        <f t="shared" si="4"/>
        <v>16.510000000000002</v>
      </c>
      <c r="U38" s="5">
        <f t="shared" si="5"/>
        <v>16.510000000000002</v>
      </c>
      <c r="V38" s="5">
        <f t="shared" si="6"/>
        <v>16.510000000000002</v>
      </c>
    </row>
    <row r="39" spans="1:22">
      <c r="A39" s="35" t="str">
        <f>IF(Tabela1[[#This Row],[Código]]="IBOV","^BVSP",IF(Tabela1[[#This Row],[Código]]="","",CONCATENATE(LEFT(Tabela1[[#This Row],[Código]],6),".SA")))</f>
        <v>CEBR5.SA</v>
      </c>
      <c r="C39" s="3" t="s">
        <v>118</v>
      </c>
      <c r="D39" s="3" t="s">
        <v>491</v>
      </c>
      <c r="E39" s="3" t="s">
        <v>491</v>
      </c>
      <c r="F39" s="3" t="s">
        <v>491</v>
      </c>
      <c r="G39" s="3" t="s">
        <v>491</v>
      </c>
      <c r="H39" s="20">
        <v>41655</v>
      </c>
      <c r="J39" s="3">
        <f t="shared" si="7"/>
        <v>24</v>
      </c>
      <c r="K39" s="3">
        <f t="shared" si="7"/>
        <v>24</v>
      </c>
      <c r="L39" s="3">
        <f t="shared" si="7"/>
        <v>24</v>
      </c>
      <c r="M39" s="3">
        <f t="shared" si="7"/>
        <v>24</v>
      </c>
      <c r="P39" s="14" t="s">
        <v>95</v>
      </c>
      <c r="Q39" s="10" t="str">
        <f t="shared" ref="Q39:Q70" si="8">IF(A39="","",C39)</f>
        <v>CEB         -PNA</v>
      </c>
      <c r="R39" s="55">
        <f t="shared" ref="R39:R70" si="9">IF(A39="","",H39)</f>
        <v>41655</v>
      </c>
      <c r="S39" s="5">
        <f t="shared" ref="S39:S70" si="10">J39</f>
        <v>24</v>
      </c>
      <c r="T39" s="5">
        <f t="shared" ref="T39:T70" si="11">K39</f>
        <v>24</v>
      </c>
      <c r="U39" s="5">
        <f t="shared" ref="U39:U70" si="12">L39</f>
        <v>24</v>
      </c>
      <c r="V39" s="5">
        <f t="shared" ref="V39:V70" si="13">M39</f>
        <v>24</v>
      </c>
    </row>
    <row r="40" spans="1:22">
      <c r="A40" s="35" t="str">
        <f>IF(Tabela1[[#This Row],[Código]]="IBOV","^BVSP",IF(Tabela1[[#This Row],[Código]]="","",CONCATENATE(LEFT(Tabela1[[#This Row],[Código]],6),".SA")))</f>
        <v>CEBR6.SA</v>
      </c>
      <c r="C40" s="3" t="s">
        <v>119</v>
      </c>
      <c r="D40" s="3" t="s">
        <v>120</v>
      </c>
      <c r="E40" s="3" t="s">
        <v>120</v>
      </c>
      <c r="F40" s="3" t="s">
        <v>120</v>
      </c>
      <c r="G40" s="3" t="s">
        <v>120</v>
      </c>
      <c r="H40" s="20">
        <v>41655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69</v>
      </c>
      <c r="Q40" s="10" t="str">
        <f t="shared" si="8"/>
        <v>CEB         -PNB</v>
      </c>
      <c r="R40" s="20">
        <f t="shared" si="9"/>
        <v>41655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5" t="str">
        <f>IF(Tabela1[[#This Row],[Código]]="IBOV","^BVSP",IF(Tabela1[[#This Row],[Código]]="","",CONCATENATE(LEFT(Tabela1[[#This Row],[Código]],6),".SA")))</f>
        <v>CEEB3.SA</v>
      </c>
      <c r="C41" s="3" t="s">
        <v>393</v>
      </c>
      <c r="D41" s="3" t="s">
        <v>511</v>
      </c>
      <c r="E41" s="3" t="s">
        <v>511</v>
      </c>
      <c r="F41" s="3" t="s">
        <v>511</v>
      </c>
      <c r="G41" s="3" t="s">
        <v>511</v>
      </c>
      <c r="H41" s="20">
        <v>41655</v>
      </c>
      <c r="J41" s="3">
        <f t="shared" si="7"/>
        <v>31.98</v>
      </c>
      <c r="K41" s="3">
        <f t="shared" si="7"/>
        <v>31.98</v>
      </c>
      <c r="L41" s="3">
        <f t="shared" si="7"/>
        <v>31.98</v>
      </c>
      <c r="M41" s="3">
        <f t="shared" si="7"/>
        <v>31.98</v>
      </c>
      <c r="P41" s="14" t="s">
        <v>92</v>
      </c>
      <c r="Q41" s="10" t="str">
        <f t="shared" si="8"/>
        <v xml:space="preserve">COELBA      -ON  </v>
      </c>
      <c r="R41" s="48">
        <f t="shared" si="9"/>
        <v>41655</v>
      </c>
      <c r="S41" s="6">
        <f t="shared" si="10"/>
        <v>31.98</v>
      </c>
      <c r="T41" s="6">
        <f t="shared" si="11"/>
        <v>31.98</v>
      </c>
      <c r="U41" s="6">
        <f t="shared" si="12"/>
        <v>31.98</v>
      </c>
      <c r="V41" s="6">
        <f t="shared" si="13"/>
        <v>31.98</v>
      </c>
    </row>
    <row r="42" spans="1:22">
      <c r="A42" s="35" t="str">
        <f>IF(Tabela1[[#This Row],[Código]]="IBOV","^BVSP",IF(Tabela1[[#This Row],[Código]]="","",CONCATENATE(LEFT(Tabela1[[#This Row],[Código]],6),".SA")))</f>
        <v>CEEB5.SA</v>
      </c>
      <c r="C42" s="3" t="s">
        <v>394</v>
      </c>
      <c r="D42" s="3" t="s">
        <v>121</v>
      </c>
      <c r="E42" s="3" t="s">
        <v>121</v>
      </c>
      <c r="F42" s="3" t="s">
        <v>121</v>
      </c>
      <c r="G42" s="3" t="s">
        <v>121</v>
      </c>
      <c r="H42" s="20">
        <v>41655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93</v>
      </c>
      <c r="Q42" s="10" t="str">
        <f t="shared" si="8"/>
        <v xml:space="preserve">COELBA      -PNA </v>
      </c>
      <c r="R42" s="55">
        <f t="shared" si="9"/>
        <v>41655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5" t="str">
        <f>IF(Tabela1[[#This Row],[Código]]="IBOV","^BVSP",IF(Tabela1[[#This Row],[Código]]="","",CONCATENATE(LEFT(Tabela1[[#This Row],[Código]],6),".SA")))</f>
        <v>CEPE5.SA</v>
      </c>
      <c r="C43" s="3" t="s">
        <v>122</v>
      </c>
      <c r="D43" s="3" t="s">
        <v>123</v>
      </c>
      <c r="E43" s="3" t="s">
        <v>124</v>
      </c>
      <c r="F43" s="3" t="s">
        <v>124</v>
      </c>
      <c r="G43" s="3" t="s">
        <v>123</v>
      </c>
      <c r="H43" s="20">
        <v>41655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70</v>
      </c>
      <c r="Q43" s="10" t="str">
        <f t="shared" si="8"/>
        <v>CELPE       -PNA</v>
      </c>
      <c r="R43" s="55">
        <f t="shared" si="9"/>
        <v>41655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5" t="str">
        <f>IF(Tabela1[[#This Row],[Código]]="IBOV","^BVSP",IF(Tabela1[[#This Row],[Código]]="","",CONCATENATE(LEFT(Tabela1[[#This Row],[Código]],6),".SA")))</f>
        <v>CEPE6.SA</v>
      </c>
      <c r="C44" s="3" t="s">
        <v>125</v>
      </c>
      <c r="D44" s="3" t="s">
        <v>126</v>
      </c>
      <c r="E44" s="3" t="s">
        <v>126</v>
      </c>
      <c r="F44" s="3" t="s">
        <v>126</v>
      </c>
      <c r="G44" s="3" t="s">
        <v>126</v>
      </c>
      <c r="H44" s="20">
        <v>41655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96</v>
      </c>
      <c r="Q44" s="10" t="str">
        <f t="shared" si="8"/>
        <v>CELPE       -PNB</v>
      </c>
      <c r="R44" s="20">
        <f t="shared" si="9"/>
        <v>41655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5" t="str">
        <f>IF(Tabela1[[#This Row],[Código]]="IBOV","^BVSP",IF(Tabela1[[#This Row],[Código]]="","",CONCATENATE(LEFT(Tabela1[[#This Row],[Código]],6),".SA")))</f>
        <v>CESP3.SA</v>
      </c>
      <c r="C45" s="3" t="s">
        <v>127</v>
      </c>
      <c r="D45" s="3" t="s">
        <v>619</v>
      </c>
      <c r="E45" s="3" t="s">
        <v>619</v>
      </c>
      <c r="F45" s="3" t="s">
        <v>619</v>
      </c>
      <c r="G45" s="3" t="s">
        <v>619</v>
      </c>
      <c r="H45" s="20">
        <v>41655</v>
      </c>
      <c r="J45" s="3">
        <f t="shared" si="7"/>
        <v>19.79</v>
      </c>
      <c r="K45" s="3">
        <f t="shared" si="7"/>
        <v>19.79</v>
      </c>
      <c r="L45" s="3">
        <f t="shared" si="7"/>
        <v>19.79</v>
      </c>
      <c r="M45" s="3">
        <f t="shared" si="7"/>
        <v>19.79</v>
      </c>
      <c r="P45" s="14" t="s">
        <v>72</v>
      </c>
      <c r="Q45" s="10" t="str">
        <f t="shared" si="8"/>
        <v xml:space="preserve">CESP        -ON  </v>
      </c>
      <c r="R45" s="48">
        <f t="shared" si="9"/>
        <v>41655</v>
      </c>
      <c r="S45" s="6">
        <f t="shared" si="10"/>
        <v>19.79</v>
      </c>
      <c r="T45" s="6">
        <f t="shared" si="11"/>
        <v>19.79</v>
      </c>
      <c r="U45" s="6">
        <f t="shared" si="12"/>
        <v>19.79</v>
      </c>
      <c r="V45" s="6">
        <f t="shared" si="13"/>
        <v>19.79</v>
      </c>
    </row>
    <row r="46" spans="1:22">
      <c r="A46" s="35" t="str">
        <f>IF(Tabela1[[#This Row],[Código]]="IBOV","^BVSP",IF(Tabela1[[#This Row],[Código]]="","",CONCATENATE(LEFT(Tabela1[[#This Row],[Código]],6),".SA")))</f>
        <v>CESP5.SA</v>
      </c>
      <c r="C46" s="3" t="s">
        <v>128</v>
      </c>
      <c r="D46" s="3" t="s">
        <v>512</v>
      </c>
      <c r="E46" s="3" t="s">
        <v>512</v>
      </c>
      <c r="F46" s="3" t="s">
        <v>512</v>
      </c>
      <c r="G46" s="3" t="s">
        <v>512</v>
      </c>
      <c r="H46" s="20">
        <v>41655</v>
      </c>
      <c r="J46" s="3">
        <f t="shared" si="7"/>
        <v>21.64</v>
      </c>
      <c r="K46" s="3">
        <f t="shared" si="7"/>
        <v>21.64</v>
      </c>
      <c r="L46" s="3">
        <f t="shared" si="7"/>
        <v>21.64</v>
      </c>
      <c r="M46" s="3">
        <f t="shared" si="7"/>
        <v>21.64</v>
      </c>
      <c r="P46" s="14" t="s">
        <v>90</v>
      </c>
      <c r="Q46" s="10" t="str">
        <f t="shared" si="8"/>
        <v xml:space="preserve">CESP        -PNA </v>
      </c>
      <c r="R46" s="48">
        <f t="shared" si="9"/>
        <v>41655</v>
      </c>
      <c r="S46" s="6">
        <f t="shared" si="10"/>
        <v>21.64</v>
      </c>
      <c r="T46" s="6">
        <f t="shared" si="11"/>
        <v>21.64</v>
      </c>
      <c r="U46" s="6">
        <f t="shared" si="12"/>
        <v>21.64</v>
      </c>
      <c r="V46" s="6">
        <f t="shared" si="13"/>
        <v>21.64</v>
      </c>
    </row>
    <row r="47" spans="1:22">
      <c r="A47" s="35" t="str">
        <f>IF(Tabela1[[#This Row],[Código]]="IBOV","^BVSP",IF(Tabela1[[#This Row],[Código]]="","",CONCATENATE(LEFT(Tabela1[[#This Row],[Código]],6),".SA")))</f>
        <v>CESP6.SA</v>
      </c>
      <c r="C47" s="3" t="s">
        <v>129</v>
      </c>
      <c r="D47" s="3" t="s">
        <v>620</v>
      </c>
      <c r="E47" s="3" t="s">
        <v>621</v>
      </c>
      <c r="F47" s="3" t="s">
        <v>622</v>
      </c>
      <c r="G47" s="3" t="s">
        <v>620</v>
      </c>
      <c r="H47" s="20">
        <v>41655</v>
      </c>
      <c r="J47" s="3">
        <f t="shared" si="7"/>
        <v>21.3</v>
      </c>
      <c r="K47" s="3">
        <f t="shared" si="7"/>
        <v>21.88</v>
      </c>
      <c r="L47" s="3">
        <f t="shared" si="7"/>
        <v>21.97</v>
      </c>
      <c r="M47" s="3">
        <f t="shared" si="7"/>
        <v>21.3</v>
      </c>
      <c r="P47" s="14" t="s">
        <v>91</v>
      </c>
      <c r="Q47" s="10" t="str">
        <f t="shared" si="8"/>
        <v xml:space="preserve">CESP        -PNB </v>
      </c>
      <c r="R47" s="20">
        <f t="shared" si="9"/>
        <v>41655</v>
      </c>
      <c r="S47" s="5">
        <f t="shared" si="10"/>
        <v>21.3</v>
      </c>
      <c r="T47" s="5">
        <f t="shared" si="11"/>
        <v>21.88</v>
      </c>
      <c r="U47" s="5">
        <f t="shared" si="12"/>
        <v>21.97</v>
      </c>
      <c r="V47" s="5">
        <f t="shared" si="13"/>
        <v>21.3</v>
      </c>
    </row>
    <row r="48" spans="1:22">
      <c r="A48" s="35" t="str">
        <f>IF(Tabela1[[#This Row],[Código]]="IBOV","^BVSP",IF(Tabela1[[#This Row],[Código]]="","",CONCATENATE(LEFT(Tabela1[[#This Row],[Código]],6),".SA")))</f>
        <v>CLSC4.SA</v>
      </c>
      <c r="C48" s="3" t="s">
        <v>130</v>
      </c>
      <c r="D48" s="3" t="s">
        <v>460</v>
      </c>
      <c r="E48" s="3" t="s">
        <v>460</v>
      </c>
      <c r="F48" s="3" t="s">
        <v>460</v>
      </c>
      <c r="G48" s="3" t="s">
        <v>460</v>
      </c>
      <c r="H48" s="20">
        <v>41655</v>
      </c>
      <c r="J48" s="3">
        <f t="shared" si="7"/>
        <v>16</v>
      </c>
      <c r="K48" s="3">
        <f t="shared" si="7"/>
        <v>16</v>
      </c>
      <c r="L48" s="3">
        <f t="shared" si="7"/>
        <v>16</v>
      </c>
      <c r="M48" s="3">
        <f t="shared" si="7"/>
        <v>16</v>
      </c>
      <c r="P48" s="14" t="s">
        <v>71</v>
      </c>
      <c r="Q48" s="10" t="str">
        <f t="shared" si="8"/>
        <v xml:space="preserve">CELESC      -PN  </v>
      </c>
      <c r="R48" s="20">
        <f t="shared" si="9"/>
        <v>41655</v>
      </c>
      <c r="S48" s="5">
        <f t="shared" si="10"/>
        <v>16</v>
      </c>
      <c r="T48" s="5">
        <f t="shared" si="11"/>
        <v>16</v>
      </c>
      <c r="U48" s="5">
        <f t="shared" si="12"/>
        <v>16</v>
      </c>
      <c r="V48" s="5">
        <f t="shared" si="13"/>
        <v>16</v>
      </c>
    </row>
    <row r="49" spans="1:22">
      <c r="A49" s="35" t="str">
        <f>IF(Tabela1[[#This Row],[Código]]="IBOV","^BVSP",IF(Tabela1[[#This Row],[Código]]="","",CONCATENATE(LEFT(Tabela1[[#This Row],[Código]],6),".SA")))</f>
        <v>CMIG3.SA</v>
      </c>
      <c r="C49" s="3" t="s">
        <v>131</v>
      </c>
      <c r="D49" s="3" t="s">
        <v>623</v>
      </c>
      <c r="E49" s="3" t="s">
        <v>624</v>
      </c>
      <c r="F49" s="3" t="s">
        <v>625</v>
      </c>
      <c r="G49" s="3" t="s">
        <v>626</v>
      </c>
      <c r="H49" s="20">
        <v>41655</v>
      </c>
      <c r="J49" s="3">
        <f t="shared" si="7"/>
        <v>13.88</v>
      </c>
      <c r="K49" s="3">
        <f t="shared" si="7"/>
        <v>13.9</v>
      </c>
      <c r="L49" s="3">
        <f t="shared" si="7"/>
        <v>13.98</v>
      </c>
      <c r="M49" s="3">
        <f t="shared" si="7"/>
        <v>13.85</v>
      </c>
      <c r="P49" s="27" t="s">
        <v>31</v>
      </c>
      <c r="Q49" s="10" t="str">
        <f t="shared" si="8"/>
        <v xml:space="preserve">CEMIG       -ON  </v>
      </c>
      <c r="R49" s="20">
        <f t="shared" si="9"/>
        <v>41655</v>
      </c>
      <c r="S49" s="5">
        <f t="shared" si="10"/>
        <v>13.88</v>
      </c>
      <c r="T49" s="5">
        <f t="shared" si="11"/>
        <v>13.9</v>
      </c>
      <c r="U49" s="5">
        <f t="shared" si="12"/>
        <v>13.98</v>
      </c>
      <c r="V49" s="5">
        <f t="shared" si="13"/>
        <v>13.85</v>
      </c>
    </row>
    <row r="50" spans="1:22">
      <c r="A50" s="35" t="str">
        <f>IF(Tabela1[[#This Row],[Código]]="IBOV","^BVSP",IF(Tabela1[[#This Row],[Código]]="","",CONCATENATE(LEFT(Tabela1[[#This Row],[Código]],6),".SA")))</f>
        <v>CMIG4.SA</v>
      </c>
      <c r="C50" s="3" t="s">
        <v>132</v>
      </c>
      <c r="D50" s="3" t="s">
        <v>627</v>
      </c>
      <c r="E50" s="3" t="s">
        <v>628</v>
      </c>
      <c r="F50" s="3" t="s">
        <v>532</v>
      </c>
      <c r="G50" s="3" t="s">
        <v>629</v>
      </c>
      <c r="H50" s="20">
        <v>41655</v>
      </c>
      <c r="J50" s="3">
        <f t="shared" si="7"/>
        <v>13.44</v>
      </c>
      <c r="K50" s="3">
        <f t="shared" si="7"/>
        <v>13.39</v>
      </c>
      <c r="L50" s="3">
        <f t="shared" si="7"/>
        <v>13.47</v>
      </c>
      <c r="M50" s="3">
        <f t="shared" si="7"/>
        <v>13.33</v>
      </c>
      <c r="P50" s="27" t="s">
        <v>30</v>
      </c>
      <c r="Q50" s="10" t="str">
        <f t="shared" si="8"/>
        <v xml:space="preserve">CEMIG       -PN  </v>
      </c>
      <c r="R50" s="48">
        <f t="shared" si="9"/>
        <v>41655</v>
      </c>
      <c r="S50" s="6">
        <f t="shared" si="10"/>
        <v>13.44</v>
      </c>
      <c r="T50" s="6">
        <f t="shared" si="11"/>
        <v>13.39</v>
      </c>
      <c r="U50" s="6">
        <f t="shared" si="12"/>
        <v>13.47</v>
      </c>
      <c r="V50" s="6">
        <f t="shared" si="13"/>
        <v>13.33</v>
      </c>
    </row>
    <row r="51" spans="1:22">
      <c r="A51" s="35" t="str">
        <f>IF(Tabela1[[#This Row],[Código]]="IBOV","^BVSP",IF(Tabela1[[#This Row],[Código]]="","",CONCATENATE(LEFT(Tabela1[[#This Row],[Código]],6),".SA")))</f>
        <v>COCE3.SA</v>
      </c>
      <c r="C51" s="3" t="s">
        <v>133</v>
      </c>
      <c r="D51" s="3" t="s">
        <v>515</v>
      </c>
      <c r="E51" s="3" t="s">
        <v>514</v>
      </c>
      <c r="F51" s="3" t="s">
        <v>515</v>
      </c>
      <c r="G51" s="3" t="s">
        <v>514</v>
      </c>
      <c r="H51" s="20">
        <v>41655</v>
      </c>
      <c r="J51" s="3">
        <f t="shared" si="7"/>
        <v>48.35</v>
      </c>
      <c r="K51" s="3">
        <f t="shared" si="7"/>
        <v>48.01</v>
      </c>
      <c r="L51" s="3">
        <f t="shared" si="7"/>
        <v>48.35</v>
      </c>
      <c r="M51" s="3">
        <f t="shared" si="7"/>
        <v>48.01</v>
      </c>
      <c r="P51" s="14" t="s">
        <v>97</v>
      </c>
      <c r="Q51" s="10" t="str">
        <f t="shared" si="8"/>
        <v>COELCE      -ON</v>
      </c>
      <c r="R51" s="48">
        <f t="shared" si="9"/>
        <v>41655</v>
      </c>
      <c r="S51" s="6">
        <f t="shared" si="10"/>
        <v>48.35</v>
      </c>
      <c r="T51" s="6">
        <f t="shared" si="11"/>
        <v>48.01</v>
      </c>
      <c r="U51" s="6">
        <f t="shared" si="12"/>
        <v>48.35</v>
      </c>
      <c r="V51" s="6">
        <f t="shared" si="13"/>
        <v>48.01</v>
      </c>
    </row>
    <row r="52" spans="1:22">
      <c r="A52" s="35" t="str">
        <f>IF(Tabela1[[#This Row],[Código]]="IBOV","^BVSP",IF(Tabela1[[#This Row],[Código]]="","",CONCATENATE(LEFT(Tabela1[[#This Row],[Código]],6),".SA")))</f>
        <v>COCE5.SA</v>
      </c>
      <c r="C52" s="3" t="s">
        <v>134</v>
      </c>
      <c r="D52" s="3" t="s">
        <v>630</v>
      </c>
      <c r="E52" s="3" t="s">
        <v>631</v>
      </c>
      <c r="F52" s="3" t="s">
        <v>632</v>
      </c>
      <c r="G52" s="3" t="s">
        <v>630</v>
      </c>
      <c r="H52" s="20">
        <v>41655</v>
      </c>
      <c r="J52" s="3">
        <f t="shared" si="7"/>
        <v>47.63</v>
      </c>
      <c r="K52" s="3">
        <f t="shared" si="7"/>
        <v>48.24</v>
      </c>
      <c r="L52" s="3">
        <f t="shared" si="7"/>
        <v>48.29</v>
      </c>
      <c r="M52" s="3">
        <f t="shared" si="7"/>
        <v>47.63</v>
      </c>
      <c r="P52" s="10" t="s">
        <v>82</v>
      </c>
      <c r="Q52" s="10" t="str">
        <f t="shared" si="8"/>
        <v>COELCE      -PNA</v>
      </c>
      <c r="R52" s="55">
        <f t="shared" si="9"/>
        <v>41655</v>
      </c>
      <c r="S52" s="5">
        <f t="shared" si="10"/>
        <v>47.63</v>
      </c>
      <c r="T52" s="5">
        <f t="shared" si="11"/>
        <v>48.24</v>
      </c>
      <c r="U52" s="5">
        <f t="shared" si="12"/>
        <v>48.29</v>
      </c>
      <c r="V52" s="5">
        <f t="shared" si="13"/>
        <v>47.63</v>
      </c>
    </row>
    <row r="53" spans="1:22">
      <c r="A53" s="35" t="str">
        <f>IF(Tabela1[[#This Row],[Código]]="IBOV","^BVSP",IF(Tabela1[[#This Row],[Código]]="","",CONCATENATE(LEFT(Tabela1[[#This Row],[Código]],6),".SA")))</f>
        <v>CPFE3.SA</v>
      </c>
      <c r="C53" s="3" t="s">
        <v>135</v>
      </c>
      <c r="D53" s="3" t="s">
        <v>633</v>
      </c>
      <c r="E53" s="3" t="s">
        <v>634</v>
      </c>
      <c r="F53" s="3" t="s">
        <v>635</v>
      </c>
      <c r="G53" s="3" t="s">
        <v>636</v>
      </c>
      <c r="H53" s="20">
        <v>41655</v>
      </c>
      <c r="J53" s="3">
        <f t="shared" si="7"/>
        <v>18.64</v>
      </c>
      <c r="K53" s="3">
        <f t="shared" si="7"/>
        <v>18.8</v>
      </c>
      <c r="L53" s="3">
        <f t="shared" si="7"/>
        <v>18.87</v>
      </c>
      <c r="M53" s="3">
        <f t="shared" si="7"/>
        <v>18.59</v>
      </c>
      <c r="P53" s="27" t="s">
        <v>32</v>
      </c>
      <c r="Q53" s="10" t="str">
        <f t="shared" si="8"/>
        <v xml:space="preserve">CPFL ENERGIA-ON  </v>
      </c>
      <c r="R53" s="55">
        <f t="shared" si="9"/>
        <v>41655</v>
      </c>
      <c r="S53" s="5">
        <f t="shared" si="10"/>
        <v>18.64</v>
      </c>
      <c r="T53" s="5">
        <f t="shared" si="11"/>
        <v>18.8</v>
      </c>
      <c r="U53" s="5">
        <f t="shared" si="12"/>
        <v>18.87</v>
      </c>
      <c r="V53" s="5">
        <f t="shared" si="13"/>
        <v>18.59</v>
      </c>
    </row>
    <row r="54" spans="1:22">
      <c r="A54" s="35" t="str">
        <f>IF(Tabela1[[#This Row],[Código]]="IBOV","^BVSP",IF(Tabela1[[#This Row],[Código]]="","",CONCATENATE(LEFT(Tabela1[[#This Row],[Código]],6),".SA")))</f>
        <v>CPLE3.SA</v>
      </c>
      <c r="C54" s="3" t="s">
        <v>136</v>
      </c>
      <c r="D54" s="3" t="s">
        <v>516</v>
      </c>
      <c r="E54" s="3" t="s">
        <v>516</v>
      </c>
      <c r="F54" s="3" t="s">
        <v>637</v>
      </c>
      <c r="G54" s="3" t="s">
        <v>516</v>
      </c>
      <c r="H54" s="20">
        <v>41655</v>
      </c>
      <c r="J54" s="3">
        <f t="shared" si="7"/>
        <v>22.2</v>
      </c>
      <c r="K54" s="3">
        <f t="shared" si="7"/>
        <v>22.2</v>
      </c>
      <c r="L54" s="3">
        <f t="shared" si="7"/>
        <v>22.21</v>
      </c>
      <c r="M54" s="3">
        <f t="shared" si="7"/>
        <v>22.2</v>
      </c>
      <c r="P54" s="27" t="s">
        <v>34</v>
      </c>
      <c r="Q54" s="10" t="str">
        <f t="shared" si="8"/>
        <v xml:space="preserve">COPEL       -ON  </v>
      </c>
      <c r="R54" s="55">
        <f t="shared" si="9"/>
        <v>41655</v>
      </c>
      <c r="S54" s="5">
        <f t="shared" si="10"/>
        <v>22.2</v>
      </c>
      <c r="T54" s="5">
        <f t="shared" si="11"/>
        <v>22.2</v>
      </c>
      <c r="U54" s="5">
        <f t="shared" si="12"/>
        <v>22.21</v>
      </c>
      <c r="V54" s="5">
        <f t="shared" si="13"/>
        <v>22.2</v>
      </c>
    </row>
    <row r="55" spans="1:22">
      <c r="A55" s="35" t="str">
        <f>IF(Tabela1[[#This Row],[Código]]="IBOV","^BVSP",IF(Tabela1[[#This Row],[Código]]="","",CONCATENATE(LEFT(Tabela1[[#This Row],[Código]],6),".SA")))</f>
        <v>CPLE5.SA</v>
      </c>
      <c r="C55" s="3" t="s">
        <v>137</v>
      </c>
      <c r="D55" s="3" t="s">
        <v>138</v>
      </c>
      <c r="E55" s="3" t="s">
        <v>138</v>
      </c>
      <c r="F55" s="3" t="s">
        <v>138</v>
      </c>
      <c r="G55" s="3" t="s">
        <v>138</v>
      </c>
      <c r="H55" s="20">
        <v>41655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103</v>
      </c>
      <c r="Q55" s="10" t="str">
        <f t="shared" si="8"/>
        <v xml:space="preserve">COPEL       -PNA </v>
      </c>
      <c r="R55" s="20">
        <f t="shared" si="9"/>
        <v>41655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5" t="str">
        <f>IF(Tabela1[[#This Row],[Código]]="IBOV","^BVSP",IF(Tabela1[[#This Row],[Código]]="","",CONCATENATE(LEFT(Tabela1[[#This Row],[Código]],6),".SA")))</f>
        <v>CPLE6.SA</v>
      </c>
      <c r="C56" s="3" t="s">
        <v>139</v>
      </c>
      <c r="D56" s="3" t="s">
        <v>517</v>
      </c>
      <c r="E56" s="3" t="s">
        <v>638</v>
      </c>
      <c r="F56" s="3" t="s">
        <v>517</v>
      </c>
      <c r="G56" s="3" t="s">
        <v>639</v>
      </c>
      <c r="H56" s="20">
        <v>41655</v>
      </c>
      <c r="J56" s="3">
        <f t="shared" si="7"/>
        <v>31.18</v>
      </c>
      <c r="K56" s="3">
        <f t="shared" si="7"/>
        <v>30.89</v>
      </c>
      <c r="L56" s="3">
        <f t="shared" si="7"/>
        <v>31.18</v>
      </c>
      <c r="M56" s="3">
        <f t="shared" si="7"/>
        <v>30.69</v>
      </c>
      <c r="P56" s="14" t="s">
        <v>104</v>
      </c>
      <c r="Q56" s="10" t="str">
        <f t="shared" si="8"/>
        <v xml:space="preserve">COPEL       -PNB </v>
      </c>
      <c r="R56" s="55">
        <f t="shared" si="9"/>
        <v>41655</v>
      </c>
      <c r="S56" s="5">
        <f t="shared" si="10"/>
        <v>31.18</v>
      </c>
      <c r="T56" s="5">
        <f t="shared" si="11"/>
        <v>30.89</v>
      </c>
      <c r="U56" s="5">
        <f t="shared" si="12"/>
        <v>31.18</v>
      </c>
      <c r="V56" s="5">
        <f t="shared" si="13"/>
        <v>30.69</v>
      </c>
    </row>
    <row r="57" spans="1:22">
      <c r="A57" s="35" t="str">
        <f>IF(Tabela1[[#This Row],[Código]]="IBOV","^BVSP",IF(Tabela1[[#This Row],[Código]]="","",CONCATENATE(LEFT(Tabela1[[#This Row],[Código]],6),".SA")))</f>
        <v>CSMG3.SA</v>
      </c>
      <c r="C57" s="3" t="s">
        <v>197</v>
      </c>
      <c r="D57" s="3" t="s">
        <v>640</v>
      </c>
      <c r="E57" s="3" t="s">
        <v>562</v>
      </c>
      <c r="F57" s="3" t="s">
        <v>641</v>
      </c>
      <c r="G57" s="3" t="s">
        <v>642</v>
      </c>
      <c r="H57" s="20">
        <v>41655</v>
      </c>
      <c r="J57" s="3">
        <f t="shared" si="7"/>
        <v>33</v>
      </c>
      <c r="K57" s="3">
        <f t="shared" si="7"/>
        <v>32.880000000000003</v>
      </c>
      <c r="L57" s="3">
        <f t="shared" si="7"/>
        <v>33.11</v>
      </c>
      <c r="M57" s="3">
        <f t="shared" si="7"/>
        <v>32.71</v>
      </c>
      <c r="P57" s="14" t="s">
        <v>196</v>
      </c>
      <c r="Q57" s="10" t="str">
        <f t="shared" si="8"/>
        <v xml:space="preserve">COPASA      -ON  </v>
      </c>
      <c r="R57" s="20">
        <f t="shared" si="9"/>
        <v>41655</v>
      </c>
      <c r="S57" s="5">
        <f t="shared" si="10"/>
        <v>33</v>
      </c>
      <c r="T57" s="5">
        <f t="shared" si="11"/>
        <v>32.880000000000003</v>
      </c>
      <c r="U57" s="5">
        <f t="shared" si="12"/>
        <v>33.11</v>
      </c>
      <c r="V57" s="5">
        <f t="shared" si="13"/>
        <v>32.71</v>
      </c>
    </row>
    <row r="58" spans="1:22">
      <c r="A58" s="35" t="str">
        <f>IF(Tabela1[[#This Row],[Código]]="IBOV","^BVSP",IF(Tabela1[[#This Row],[Código]]="","",CONCATENATE(LEFT(Tabela1[[#This Row],[Código]],6),".SA")))</f>
        <v>CSRN3.SA</v>
      </c>
      <c r="C58" s="3" t="s">
        <v>395</v>
      </c>
      <c r="D58" s="3" t="s">
        <v>385</v>
      </c>
      <c r="E58" s="3" t="s">
        <v>385</v>
      </c>
      <c r="F58" s="3" t="s">
        <v>385</v>
      </c>
      <c r="G58" s="3" t="s">
        <v>385</v>
      </c>
      <c r="H58" s="20">
        <v>41655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99</v>
      </c>
      <c r="Q58" s="10" t="str">
        <f t="shared" si="8"/>
        <v xml:space="preserve">COSERN      -ON  </v>
      </c>
      <c r="R58" s="55">
        <f t="shared" si="9"/>
        <v>41655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5" t="str">
        <f>IF(Tabela1[[#This Row],[Código]]="IBOV","^BVSP",IF(Tabela1[[#This Row],[Código]]="","",CONCATENATE(LEFT(Tabela1[[#This Row],[Código]],6),".SA")))</f>
        <v>CSRN5.SA</v>
      </c>
      <c r="C59" s="3" t="s">
        <v>396</v>
      </c>
      <c r="D59" s="3" t="s">
        <v>140</v>
      </c>
      <c r="E59" s="3" t="s">
        <v>140</v>
      </c>
      <c r="F59" s="3" t="s">
        <v>140</v>
      </c>
      <c r="G59" s="3" t="s">
        <v>140</v>
      </c>
      <c r="H59" s="20">
        <v>41655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100</v>
      </c>
      <c r="Q59" s="10" t="str">
        <f t="shared" si="8"/>
        <v xml:space="preserve">COSERN      -PNA </v>
      </c>
      <c r="R59" s="55">
        <f t="shared" si="9"/>
        <v>41655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5" t="str">
        <f>IF(Tabela1[[#This Row],[Código]]="IBOV","^BVSP",IF(Tabela1[[#This Row],[Código]]="","",CONCATENATE(LEFT(Tabela1[[#This Row],[Código]],6),".SA")))</f>
        <v>CSRN6.SA</v>
      </c>
      <c r="C60" s="3" t="s">
        <v>397</v>
      </c>
      <c r="D60" s="3" t="s">
        <v>110</v>
      </c>
      <c r="E60" s="3" t="s">
        <v>110</v>
      </c>
      <c r="F60" s="3" t="s">
        <v>110</v>
      </c>
      <c r="G60" s="3" t="s">
        <v>110</v>
      </c>
      <c r="H60" s="20">
        <v>41655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 xml:space="preserve">COSERN      -PNB </v>
      </c>
      <c r="R60" s="55">
        <f t="shared" si="9"/>
        <v>41655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5" t="str">
        <f>IF(Tabela1[[#This Row],[Código]]="IBOV","^BVSP",IF(Tabela1[[#This Row],[Código]]="","",CONCATENATE(LEFT(Tabela1[[#This Row],[Código]],6),".SA")))</f>
        <v>DAYC4.SA</v>
      </c>
      <c r="C61" s="3" t="s">
        <v>141</v>
      </c>
      <c r="D61" s="3" t="s">
        <v>518</v>
      </c>
      <c r="E61" s="3" t="s">
        <v>643</v>
      </c>
      <c r="F61" s="3" t="s">
        <v>643</v>
      </c>
      <c r="G61" s="3" t="s">
        <v>518</v>
      </c>
      <c r="H61" s="20">
        <v>41655</v>
      </c>
      <c r="J61" s="3">
        <f t="shared" si="7"/>
        <v>7.78</v>
      </c>
      <c r="K61" s="3">
        <f t="shared" si="7"/>
        <v>7.82</v>
      </c>
      <c r="L61" s="3">
        <f t="shared" si="7"/>
        <v>7.82</v>
      </c>
      <c r="M61" s="3">
        <f t="shared" si="7"/>
        <v>7.78</v>
      </c>
      <c r="P61" s="10" t="s">
        <v>15</v>
      </c>
      <c r="Q61" s="10" t="str">
        <f t="shared" si="8"/>
        <v xml:space="preserve">DAYCOVAL    -PN  </v>
      </c>
      <c r="R61" s="55">
        <f t="shared" si="9"/>
        <v>41655</v>
      </c>
      <c r="S61" s="5">
        <f t="shared" si="10"/>
        <v>7.78</v>
      </c>
      <c r="T61" s="5">
        <f t="shared" si="11"/>
        <v>7.82</v>
      </c>
      <c r="U61" s="5">
        <f t="shared" si="12"/>
        <v>7.82</v>
      </c>
      <c r="V61" s="5">
        <f t="shared" si="13"/>
        <v>7.78</v>
      </c>
    </row>
    <row r="62" spans="1:22">
      <c r="A62" s="35" t="str">
        <f>IF(Tabela1[[#This Row],[Código]]="IBOV","^BVSP",IF(Tabela1[[#This Row],[Código]]="","",CONCATENATE(LEFT(Tabela1[[#This Row],[Código]],6),".SA")))</f>
        <v>EEEL3.SA</v>
      </c>
      <c r="C62" s="3" t="s">
        <v>142</v>
      </c>
      <c r="D62" s="3" t="s">
        <v>442</v>
      </c>
      <c r="E62" s="3" t="s">
        <v>442</v>
      </c>
      <c r="F62" s="3" t="s">
        <v>442</v>
      </c>
      <c r="G62" s="3" t="s">
        <v>442</v>
      </c>
      <c r="H62" s="20">
        <v>41655</v>
      </c>
      <c r="J62" s="3">
        <f t="shared" si="7"/>
        <v>1.4</v>
      </c>
      <c r="K62" s="3">
        <f t="shared" si="7"/>
        <v>1.4</v>
      </c>
      <c r="L62" s="3">
        <f t="shared" si="7"/>
        <v>1.4</v>
      </c>
      <c r="M62" s="3">
        <f t="shared" si="7"/>
        <v>1.4</v>
      </c>
      <c r="P62" s="14" t="s">
        <v>101</v>
      </c>
      <c r="Q62" s="10" t="str">
        <f t="shared" si="8"/>
        <v xml:space="preserve">CEEE-GT     -ON  </v>
      </c>
      <c r="R62" s="55">
        <f t="shared" si="9"/>
        <v>41655</v>
      </c>
      <c r="S62" s="5">
        <f t="shared" si="10"/>
        <v>1.4</v>
      </c>
      <c r="T62" s="5">
        <f t="shared" si="11"/>
        <v>1.4</v>
      </c>
      <c r="U62" s="5">
        <f t="shared" si="12"/>
        <v>1.4</v>
      </c>
      <c r="V62" s="5">
        <f t="shared" si="13"/>
        <v>1.4</v>
      </c>
    </row>
    <row r="63" spans="1:22">
      <c r="A63" s="35" t="str">
        <f>IF(Tabela1[[#This Row],[Código]]="IBOV","^BVSP",IF(Tabela1[[#This Row],[Código]]="","",CONCATENATE(LEFT(Tabela1[[#This Row],[Código]],6),".SA")))</f>
        <v>EEEL4.SA</v>
      </c>
      <c r="C63" s="3" t="s">
        <v>143</v>
      </c>
      <c r="D63" s="3" t="s">
        <v>489</v>
      </c>
      <c r="E63" s="3" t="s">
        <v>489</v>
      </c>
      <c r="F63" s="3" t="s">
        <v>489</v>
      </c>
      <c r="G63" s="3" t="s">
        <v>489</v>
      </c>
      <c r="H63" s="20">
        <v>41655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102</v>
      </c>
      <c r="Q63" s="10" t="str">
        <f t="shared" si="8"/>
        <v xml:space="preserve">CEEE-GT     -PN  </v>
      </c>
      <c r="R63" s="55">
        <f t="shared" si="9"/>
        <v>41655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5" t="str">
        <f>IF(Tabela1[[#This Row],[Código]]="IBOV","^BVSP",IF(Tabela1[[#This Row],[Código]]="","",CONCATENATE(LEFT(Tabela1[[#This Row],[Código]],6),".SA")))</f>
        <v>ELET3.SA</v>
      </c>
      <c r="C64" s="3" t="s">
        <v>144</v>
      </c>
      <c r="D64" s="3" t="s">
        <v>481</v>
      </c>
      <c r="E64" s="3" t="s">
        <v>481</v>
      </c>
      <c r="F64" s="3" t="s">
        <v>176</v>
      </c>
      <c r="G64" s="3" t="s">
        <v>644</v>
      </c>
      <c r="H64" s="20">
        <v>41655</v>
      </c>
      <c r="J64" s="3">
        <f t="shared" si="7"/>
        <v>5.67</v>
      </c>
      <c r="K64" s="3">
        <f t="shared" si="7"/>
        <v>5.67</v>
      </c>
      <c r="L64" s="3">
        <f t="shared" si="7"/>
        <v>5.7</v>
      </c>
      <c r="M64" s="3">
        <f t="shared" si="7"/>
        <v>5.63</v>
      </c>
      <c r="P64" s="15" t="s">
        <v>2</v>
      </c>
      <c r="Q64" s="10" t="str">
        <f t="shared" si="8"/>
        <v xml:space="preserve">ELETROBRAS  -ON  </v>
      </c>
      <c r="R64" s="55">
        <f t="shared" si="9"/>
        <v>41655</v>
      </c>
      <c r="S64" s="5">
        <f t="shared" si="10"/>
        <v>5.67</v>
      </c>
      <c r="T64" s="5">
        <f t="shared" si="11"/>
        <v>5.67</v>
      </c>
      <c r="U64" s="5">
        <f t="shared" si="12"/>
        <v>5.7</v>
      </c>
      <c r="V64" s="5">
        <f t="shared" si="13"/>
        <v>5.63</v>
      </c>
    </row>
    <row r="65" spans="1:22">
      <c r="A65" s="35" t="str">
        <f>IF(Tabela1[[#This Row],[Código]]="IBOV","^BVSP",IF(Tabela1[[#This Row],[Código]]="","",CONCATENATE(LEFT(Tabela1[[#This Row],[Código]],6),".SA")))</f>
        <v>ELET6.SA</v>
      </c>
      <c r="C65" s="3" t="s">
        <v>145</v>
      </c>
      <c r="D65" s="3" t="s">
        <v>233</v>
      </c>
      <c r="E65" s="3" t="s">
        <v>645</v>
      </c>
      <c r="F65" s="3" t="s">
        <v>528</v>
      </c>
      <c r="G65" s="3" t="s">
        <v>646</v>
      </c>
      <c r="H65" s="20">
        <v>41655</v>
      </c>
      <c r="J65" s="3">
        <f t="shared" si="7"/>
        <v>9.65</v>
      </c>
      <c r="K65" s="3">
        <f t="shared" si="7"/>
        <v>9.73</v>
      </c>
      <c r="L65" s="3">
        <f t="shared" si="7"/>
        <v>9.74</v>
      </c>
      <c r="M65" s="3">
        <f t="shared" si="7"/>
        <v>9.61</v>
      </c>
      <c r="P65" s="27" t="s">
        <v>27</v>
      </c>
      <c r="Q65" s="10" t="str">
        <f t="shared" si="8"/>
        <v xml:space="preserve">ELETROBRAS  -PNB </v>
      </c>
      <c r="R65" s="55">
        <f t="shared" si="9"/>
        <v>41655</v>
      </c>
      <c r="S65" s="5">
        <f t="shared" si="10"/>
        <v>9.65</v>
      </c>
      <c r="T65" s="5">
        <f t="shared" si="11"/>
        <v>9.73</v>
      </c>
      <c r="U65" s="5">
        <f t="shared" si="12"/>
        <v>9.74</v>
      </c>
      <c r="V65" s="5">
        <f t="shared" si="13"/>
        <v>9.61</v>
      </c>
    </row>
    <row r="66" spans="1:22">
      <c r="A66" s="35" t="str">
        <f>IF(Tabela1[[#This Row],[Código]]="IBOV","^BVSP",IF(Tabela1[[#This Row],[Código]]="","",CONCATENATE(LEFT(Tabela1[[#This Row],[Código]],6),".SA")))</f>
        <v>ELPL3.SA</v>
      </c>
      <c r="C66" s="3" t="s">
        <v>183</v>
      </c>
      <c r="D66" s="3" t="s">
        <v>147</v>
      </c>
      <c r="E66" s="3" t="s">
        <v>147</v>
      </c>
      <c r="F66" s="3" t="s">
        <v>147</v>
      </c>
      <c r="G66" s="3" t="s">
        <v>147</v>
      </c>
      <c r="H66" s="20">
        <v>41655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182</v>
      </c>
      <c r="Q66" s="10" t="str">
        <f t="shared" si="8"/>
        <v xml:space="preserve">ELETROPAULO -ON  </v>
      </c>
      <c r="R66" s="55">
        <f t="shared" si="9"/>
        <v>41655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5" t="str">
        <f>IF(Tabela1[[#This Row],[Código]]="IBOV","^BVSP",IF(Tabela1[[#This Row],[Código]]="","",CONCATENATE(LEFT(Tabela1[[#This Row],[Código]],6),".SA")))</f>
        <v>ELPL4.SA</v>
      </c>
      <c r="C67" s="3" t="s">
        <v>146</v>
      </c>
      <c r="D67" s="3" t="s">
        <v>647</v>
      </c>
      <c r="E67" s="3" t="s">
        <v>648</v>
      </c>
      <c r="F67" s="3" t="s">
        <v>649</v>
      </c>
      <c r="G67" s="3" t="s">
        <v>650</v>
      </c>
      <c r="H67" s="20">
        <v>41655</v>
      </c>
      <c r="J67" s="3">
        <f t="shared" si="7"/>
        <v>9.1999999999999993</v>
      </c>
      <c r="K67" s="3">
        <f t="shared" si="7"/>
        <v>9.26</v>
      </c>
      <c r="L67" s="3">
        <f t="shared" si="7"/>
        <v>9.32</v>
      </c>
      <c r="M67" s="3">
        <f t="shared" si="7"/>
        <v>9.1300000000000008</v>
      </c>
      <c r="P67" s="45" t="s">
        <v>1</v>
      </c>
      <c r="Q67" s="10" t="str">
        <f t="shared" si="8"/>
        <v xml:space="preserve">ELETROPAULO -PN  </v>
      </c>
      <c r="R67" s="55">
        <f t="shared" si="9"/>
        <v>41655</v>
      </c>
      <c r="S67" s="5">
        <f t="shared" si="10"/>
        <v>9.1999999999999993</v>
      </c>
      <c r="T67" s="5">
        <f t="shared" si="11"/>
        <v>9.26</v>
      </c>
      <c r="U67" s="5">
        <f t="shared" si="12"/>
        <v>9.32</v>
      </c>
      <c r="V67" s="5">
        <f t="shared" si="13"/>
        <v>9.1300000000000008</v>
      </c>
    </row>
    <row r="68" spans="1:22">
      <c r="A68" s="35" t="str">
        <f>IF(Tabela1[[#This Row],[Código]]="IBOV","^BVSP",IF(Tabela1[[#This Row],[Código]]="","",CONCATENATE(LEFT(Tabela1[[#This Row],[Código]],6),".SA")))</f>
        <v>EMAE4.SA</v>
      </c>
      <c r="C68" s="3" t="s">
        <v>185</v>
      </c>
      <c r="D68" s="3" t="s">
        <v>481</v>
      </c>
      <c r="E68" s="3" t="s">
        <v>481</v>
      </c>
      <c r="F68" s="3" t="s">
        <v>481</v>
      </c>
      <c r="G68" s="3" t="s">
        <v>481</v>
      </c>
      <c r="H68" s="20">
        <v>41655</v>
      </c>
      <c r="J68" s="3">
        <f t="shared" si="7"/>
        <v>5.67</v>
      </c>
      <c r="K68" s="3">
        <f t="shared" si="7"/>
        <v>5.67</v>
      </c>
      <c r="L68" s="3">
        <f t="shared" si="7"/>
        <v>5.67</v>
      </c>
      <c r="M68" s="3">
        <f t="shared" si="7"/>
        <v>5.67</v>
      </c>
      <c r="P68" s="14" t="s">
        <v>184</v>
      </c>
      <c r="Q68" s="10" t="str">
        <f t="shared" si="8"/>
        <v>EMAE        -PN</v>
      </c>
      <c r="R68" s="48">
        <f t="shared" si="9"/>
        <v>41655</v>
      </c>
      <c r="S68" s="6">
        <f t="shared" si="10"/>
        <v>5.67</v>
      </c>
      <c r="T68" s="6">
        <f t="shared" si="11"/>
        <v>5.67</v>
      </c>
      <c r="U68" s="6">
        <f t="shared" si="12"/>
        <v>5.67</v>
      </c>
      <c r="V68" s="6">
        <f t="shared" si="13"/>
        <v>5.67</v>
      </c>
    </row>
    <row r="69" spans="1:22">
      <c r="A69" s="35" t="str">
        <f>IF(Tabela1[[#This Row],[Código]]="IBOV","^BVSP",IF(Tabela1[[#This Row],[Código]]="","",CONCATENATE(LEFT(Tabela1[[#This Row],[Código]],6),".SA")))</f>
        <v>ENBR3.SA</v>
      </c>
      <c r="C69" s="3" t="s">
        <v>148</v>
      </c>
      <c r="D69" s="3" t="s">
        <v>563</v>
      </c>
      <c r="E69" s="3" t="s">
        <v>651</v>
      </c>
      <c r="F69" s="3" t="s">
        <v>652</v>
      </c>
      <c r="G69" s="3" t="s">
        <v>653</v>
      </c>
      <c r="H69" s="20">
        <v>41655</v>
      </c>
      <c r="J69" s="3">
        <f t="shared" si="7"/>
        <v>10.25</v>
      </c>
      <c r="K69" s="3">
        <f t="shared" si="7"/>
        <v>10.210000000000001</v>
      </c>
      <c r="L69" s="3">
        <f t="shared" si="7"/>
        <v>10.41</v>
      </c>
      <c r="M69" s="3">
        <f t="shared" si="7"/>
        <v>10.16</v>
      </c>
      <c r="P69" s="14" t="s">
        <v>28</v>
      </c>
      <c r="Q69" s="10" t="str">
        <f t="shared" si="8"/>
        <v xml:space="preserve">ENERGIAS BR -ON  </v>
      </c>
      <c r="R69" s="55">
        <f t="shared" si="9"/>
        <v>41655</v>
      </c>
      <c r="S69" s="5">
        <f t="shared" si="10"/>
        <v>10.25</v>
      </c>
      <c r="T69" s="5">
        <f t="shared" si="11"/>
        <v>10.210000000000001</v>
      </c>
      <c r="U69" s="5">
        <f t="shared" si="12"/>
        <v>10.41</v>
      </c>
      <c r="V69" s="5">
        <f t="shared" si="13"/>
        <v>10.16</v>
      </c>
    </row>
    <row r="70" spans="1:22">
      <c r="A70" s="35" t="str">
        <f>IF(Tabela1[[#This Row],[Código]]="IBOV","^BVSP",IF(Tabela1[[#This Row],[Código]]="","",CONCATENATE(LEFT(Tabela1[[#This Row],[Código]],6),".SA")))</f>
        <v>ENGI11.SA</v>
      </c>
      <c r="C70" s="3" t="s">
        <v>149</v>
      </c>
      <c r="D70" s="3" t="s">
        <v>492</v>
      </c>
      <c r="E70" s="3" t="s">
        <v>492</v>
      </c>
      <c r="F70" s="3" t="s">
        <v>536</v>
      </c>
      <c r="G70" s="3" t="s">
        <v>492</v>
      </c>
      <c r="H70" s="20">
        <v>41655</v>
      </c>
      <c r="J70" s="3">
        <f t="shared" si="7"/>
        <v>12.4</v>
      </c>
      <c r="K70" s="3">
        <f t="shared" si="7"/>
        <v>12.4</v>
      </c>
      <c r="L70" s="3">
        <f t="shared" si="7"/>
        <v>12.49</v>
      </c>
      <c r="M70" s="3">
        <f t="shared" si="7"/>
        <v>12.4</v>
      </c>
      <c r="P70" s="14" t="s">
        <v>88</v>
      </c>
      <c r="Q70" s="10" t="str">
        <f t="shared" si="8"/>
        <v>ENERGISA    -UNT</v>
      </c>
      <c r="R70" s="55">
        <f t="shared" si="9"/>
        <v>41655</v>
      </c>
      <c r="S70" s="5">
        <f t="shared" si="10"/>
        <v>12.4</v>
      </c>
      <c r="T70" s="5">
        <f t="shared" si="11"/>
        <v>12.4</v>
      </c>
      <c r="U70" s="5">
        <f t="shared" si="12"/>
        <v>12.49</v>
      </c>
      <c r="V70" s="5">
        <f t="shared" si="13"/>
        <v>12.4</v>
      </c>
    </row>
    <row r="71" spans="1:22">
      <c r="A71" s="35" t="str">
        <f>IF(Tabela1[[#This Row],[Código]]="IBOV","^BVSP",IF(Tabela1[[#This Row],[Código]]="","",CONCATENATE(LEFT(Tabela1[[#This Row],[Código]],6),".SA")))</f>
        <v>ENGI3.SA</v>
      </c>
      <c r="C71" s="3" t="s">
        <v>187</v>
      </c>
      <c r="D71" s="3" t="s">
        <v>545</v>
      </c>
      <c r="E71" s="3" t="s">
        <v>546</v>
      </c>
      <c r="F71" s="3" t="s">
        <v>546</v>
      </c>
      <c r="G71" s="3" t="s">
        <v>545</v>
      </c>
      <c r="H71" s="20">
        <v>41655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186</v>
      </c>
      <c r="Q71" s="10" t="str">
        <f t="shared" ref="Q71:Q102" si="14">IF(A71="","",C71)</f>
        <v>ENERGISA    -ON</v>
      </c>
      <c r="R71" s="55">
        <f t="shared" ref="R71:R102" si="15">IF(A71="","",H71)</f>
        <v>41655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>
      <c r="A72" s="35" t="str">
        <f>IF(Tabela1[[#This Row],[Código]]="IBOV","^BVSP",IF(Tabela1[[#This Row],[Código]]="","",CONCATENATE(LEFT(Tabela1[[#This Row],[Código]],6),".SA")))</f>
        <v>ENGI4.SA</v>
      </c>
      <c r="C72" s="3" t="s">
        <v>150</v>
      </c>
      <c r="D72" s="3" t="s">
        <v>547</v>
      </c>
      <c r="E72" s="3" t="s">
        <v>503</v>
      </c>
      <c r="F72" s="3" t="s">
        <v>547</v>
      </c>
      <c r="G72" s="3" t="s">
        <v>503</v>
      </c>
      <c r="H72" s="20">
        <v>41655</v>
      </c>
      <c r="J72" s="3">
        <f t="shared" ref="J72:M135" si="20">IF($A72="",0,VALUE(CONCATENATE(LEFT(D72,LEN(D72)-3),",",RIGHT(D72,2))))</f>
        <v>2.21</v>
      </c>
      <c r="K72" s="3">
        <f t="shared" si="20"/>
        <v>2.1</v>
      </c>
      <c r="L72" s="3">
        <f t="shared" si="20"/>
        <v>2.21</v>
      </c>
      <c r="M72" s="3">
        <f t="shared" si="20"/>
        <v>2.1</v>
      </c>
      <c r="P72" s="14" t="s">
        <v>64</v>
      </c>
      <c r="Q72" s="10" t="str">
        <f t="shared" si="14"/>
        <v>ENERGISA    -PN</v>
      </c>
      <c r="R72" s="48">
        <f t="shared" si="15"/>
        <v>41655</v>
      </c>
      <c r="S72" s="6">
        <f t="shared" si="16"/>
        <v>2.21</v>
      </c>
      <c r="T72" s="6">
        <f t="shared" si="17"/>
        <v>2.1</v>
      </c>
      <c r="U72" s="5">
        <f t="shared" si="18"/>
        <v>2.21</v>
      </c>
      <c r="V72" s="5">
        <f t="shared" si="19"/>
        <v>2.1</v>
      </c>
    </row>
    <row r="73" spans="1:22">
      <c r="A73" s="35" t="str">
        <f>IF(Tabela1[[#This Row],[Código]]="IBOV","^BVSP",IF(Tabela1[[#This Row],[Código]]="","",CONCATENATE(LEFT(Tabela1[[#This Row],[Código]],6),".SA")))</f>
        <v>ENMA3B.SA</v>
      </c>
      <c r="C73" s="3" t="s">
        <v>151</v>
      </c>
      <c r="D73" s="3" t="s">
        <v>654</v>
      </c>
      <c r="E73" s="3" t="s">
        <v>520</v>
      </c>
      <c r="F73" s="3" t="s">
        <v>654</v>
      </c>
      <c r="G73" s="3" t="s">
        <v>520</v>
      </c>
      <c r="H73" s="20">
        <v>41655</v>
      </c>
      <c r="J73" s="3">
        <f t="shared" si="20"/>
        <v>15.55</v>
      </c>
      <c r="K73" s="3">
        <f t="shared" si="20"/>
        <v>15</v>
      </c>
      <c r="L73" s="3">
        <f t="shared" si="20"/>
        <v>15.55</v>
      </c>
      <c r="M73" s="3">
        <f t="shared" si="20"/>
        <v>15</v>
      </c>
      <c r="P73" s="14" t="s">
        <v>98</v>
      </c>
      <c r="Q73" s="10" t="str">
        <f t="shared" si="14"/>
        <v xml:space="preserve">CEMAR       -ON  </v>
      </c>
      <c r="R73" s="55">
        <f t="shared" si="15"/>
        <v>41655</v>
      </c>
      <c r="S73" s="5">
        <f t="shared" si="16"/>
        <v>15.55</v>
      </c>
      <c r="T73" s="5">
        <f t="shared" si="17"/>
        <v>15</v>
      </c>
      <c r="U73" s="5">
        <f t="shared" si="18"/>
        <v>15.55</v>
      </c>
      <c r="V73" s="5">
        <f t="shared" si="19"/>
        <v>15</v>
      </c>
    </row>
    <row r="74" spans="1:22">
      <c r="A74" s="35" t="str">
        <f>IF(Tabela1[[#This Row],[Código]]="IBOV","^BVSP",IF(Tabela1[[#This Row],[Código]]="","",CONCATENATE(LEFT(Tabela1[[#This Row],[Código]],6),".SA")))</f>
        <v>EQTL3.SA</v>
      </c>
      <c r="C74" s="3" t="s">
        <v>152</v>
      </c>
      <c r="D74" s="3" t="s">
        <v>564</v>
      </c>
      <c r="E74" s="3" t="s">
        <v>655</v>
      </c>
      <c r="F74" s="3" t="s">
        <v>491</v>
      </c>
      <c r="G74" s="3" t="s">
        <v>656</v>
      </c>
      <c r="H74" s="20">
        <v>41655</v>
      </c>
      <c r="J74" s="3">
        <f t="shared" si="20"/>
        <v>23.65</v>
      </c>
      <c r="K74" s="3">
        <f t="shared" si="20"/>
        <v>23.71</v>
      </c>
      <c r="L74" s="3">
        <f t="shared" si="20"/>
        <v>24</v>
      </c>
      <c r="M74" s="3">
        <f t="shared" si="20"/>
        <v>23.48</v>
      </c>
      <c r="P74" s="27" t="s">
        <v>35</v>
      </c>
      <c r="Q74" s="10" t="str">
        <f t="shared" si="14"/>
        <v xml:space="preserve">EQUATORIAL  -ON  </v>
      </c>
      <c r="R74" s="55">
        <f t="shared" si="15"/>
        <v>41655</v>
      </c>
      <c r="S74" s="5">
        <f t="shared" si="16"/>
        <v>23.65</v>
      </c>
      <c r="T74" s="5">
        <f t="shared" si="17"/>
        <v>23.71</v>
      </c>
      <c r="U74" s="5">
        <f t="shared" si="18"/>
        <v>24</v>
      </c>
      <c r="V74" s="5">
        <f t="shared" si="19"/>
        <v>23.48</v>
      </c>
    </row>
    <row r="75" spans="1:22">
      <c r="A75" s="35" t="str">
        <f>IF(Tabela1[[#This Row],[Código]]="IBOV","^BVSP",IF(Tabela1[[#This Row],[Código]]="","",CONCATENATE(LEFT(Tabela1[[#This Row],[Código]],6),".SA")))</f>
        <v>FESA3.SA</v>
      </c>
      <c r="C75" s="3" t="s">
        <v>270</v>
      </c>
      <c r="D75" s="3" t="s">
        <v>267</v>
      </c>
      <c r="E75" s="3" t="s">
        <v>267</v>
      </c>
      <c r="F75" s="3" t="s">
        <v>267</v>
      </c>
      <c r="G75" s="3" t="s">
        <v>267</v>
      </c>
      <c r="H75" s="20">
        <v>41655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268</v>
      </c>
      <c r="Q75" s="10" t="str">
        <f t="shared" si="14"/>
        <v xml:space="preserve">FERBASA     -ON  </v>
      </c>
      <c r="R75" s="55">
        <f t="shared" si="15"/>
        <v>41655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5" t="str">
        <f>IF(Tabela1[[#This Row],[Código]]="IBOV","^BVSP",IF(Tabela1[[#This Row],[Código]]="","",CONCATENATE(LEFT(Tabela1[[#This Row],[Código]],6),".SA")))</f>
        <v>FESA4.SA</v>
      </c>
      <c r="C76" s="3" t="s">
        <v>269</v>
      </c>
      <c r="D76" s="3" t="s">
        <v>548</v>
      </c>
      <c r="E76" s="3" t="s">
        <v>549</v>
      </c>
      <c r="F76" s="3" t="s">
        <v>565</v>
      </c>
      <c r="G76" s="3" t="s">
        <v>550</v>
      </c>
      <c r="H76" s="20">
        <v>41655</v>
      </c>
      <c r="J76" s="3">
        <f t="shared" si="20"/>
        <v>12.23</v>
      </c>
      <c r="K76" s="3">
        <f t="shared" si="20"/>
        <v>12.35</v>
      </c>
      <c r="L76" s="3">
        <f t="shared" si="20"/>
        <v>12.38</v>
      </c>
      <c r="M76" s="3">
        <f t="shared" si="20"/>
        <v>12.22</v>
      </c>
      <c r="P76" s="15" t="s">
        <v>80</v>
      </c>
      <c r="Q76" s="10" t="str">
        <f t="shared" si="14"/>
        <v xml:space="preserve">FERBASA     -PN  </v>
      </c>
      <c r="R76" s="55">
        <f t="shared" si="15"/>
        <v>41655</v>
      </c>
      <c r="S76" s="5">
        <f t="shared" si="16"/>
        <v>12.23</v>
      </c>
      <c r="T76" s="5">
        <f t="shared" si="17"/>
        <v>12.35</v>
      </c>
      <c r="U76" s="5">
        <f t="shared" si="18"/>
        <v>12.38</v>
      </c>
      <c r="V76" s="5">
        <f t="shared" si="19"/>
        <v>12.22</v>
      </c>
    </row>
    <row r="77" spans="1:22">
      <c r="A77" s="35" t="str">
        <f>IF(Tabela1[[#This Row],[Código]]="IBOV","^BVSP",IF(Tabela1[[#This Row],[Código]]="","",CONCATENATE(LEFT(Tabela1[[#This Row],[Código]],6),".SA")))</f>
        <v>GEPA3.SA</v>
      </c>
      <c r="C77" s="3" t="s">
        <v>398</v>
      </c>
      <c r="D77" s="3" t="s">
        <v>178</v>
      </c>
      <c r="E77" s="3" t="s">
        <v>178</v>
      </c>
      <c r="F77" s="3" t="s">
        <v>178</v>
      </c>
      <c r="G77" s="3" t="s">
        <v>178</v>
      </c>
      <c r="H77" s="20">
        <v>41655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177</v>
      </c>
      <c r="Q77" s="10" t="str">
        <f t="shared" si="14"/>
        <v>GER PARANAP -ON</v>
      </c>
      <c r="R77" s="55">
        <f t="shared" si="15"/>
        <v>41655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5" t="str">
        <f>IF(Tabela1[[#This Row],[Código]]="IBOV","^BVSP",IF(Tabela1[[#This Row],[Código]]="","",CONCATENATE(LEFT(Tabela1[[#This Row],[Código]],6),".SA")))</f>
        <v>GEPA4.SA</v>
      </c>
      <c r="C78" s="3" t="s">
        <v>399</v>
      </c>
      <c r="D78" s="3" t="s">
        <v>493</v>
      </c>
      <c r="E78" s="3" t="s">
        <v>494</v>
      </c>
      <c r="F78" s="3" t="s">
        <v>494</v>
      </c>
      <c r="G78" s="3" t="s">
        <v>493</v>
      </c>
      <c r="H78" s="20">
        <v>41655</v>
      </c>
      <c r="J78" s="3">
        <f t="shared" si="20"/>
        <v>59.5</v>
      </c>
      <c r="K78" s="3">
        <f t="shared" si="20"/>
        <v>61.99</v>
      </c>
      <c r="L78" s="3">
        <f t="shared" si="20"/>
        <v>61.99</v>
      </c>
      <c r="M78" s="3">
        <f t="shared" si="20"/>
        <v>59.5</v>
      </c>
      <c r="P78" s="27" t="s">
        <v>38</v>
      </c>
      <c r="Q78" s="10" t="str">
        <f t="shared" si="14"/>
        <v>GER PARANAP -PN</v>
      </c>
      <c r="R78" s="55">
        <f t="shared" si="15"/>
        <v>41655</v>
      </c>
      <c r="S78" s="5">
        <f t="shared" si="16"/>
        <v>59.5</v>
      </c>
      <c r="T78" s="5">
        <f t="shared" si="17"/>
        <v>61.99</v>
      </c>
      <c r="U78" s="5">
        <f t="shared" si="18"/>
        <v>61.99</v>
      </c>
      <c r="V78" s="5">
        <f t="shared" si="19"/>
        <v>59.5</v>
      </c>
    </row>
    <row r="79" spans="1:22">
      <c r="A79" s="35" t="str">
        <f>IF(Tabela1[[#This Row],[Código]]="IBOV","^BVSP",IF(Tabela1[[#This Row],[Código]]="","",CONCATENATE(LEFT(Tabela1[[#This Row],[Código]],6),".SA")))</f>
        <v>GETI3.SA</v>
      </c>
      <c r="C79" s="3" t="s">
        <v>153</v>
      </c>
      <c r="D79" s="3" t="s">
        <v>657</v>
      </c>
      <c r="E79" s="3" t="s">
        <v>658</v>
      </c>
      <c r="F79" s="3" t="s">
        <v>659</v>
      </c>
      <c r="G79" s="3" t="s">
        <v>660</v>
      </c>
      <c r="H79" s="20">
        <v>41655</v>
      </c>
      <c r="J79" s="3">
        <f t="shared" si="20"/>
        <v>17.3</v>
      </c>
      <c r="K79" s="3">
        <f t="shared" si="20"/>
        <v>17.47</v>
      </c>
      <c r="L79" s="3">
        <f t="shared" si="20"/>
        <v>17.52</v>
      </c>
      <c r="M79" s="3">
        <f t="shared" si="20"/>
        <v>17.260000000000002</v>
      </c>
      <c r="P79" s="27" t="s">
        <v>29</v>
      </c>
      <c r="Q79" s="10" t="str">
        <f t="shared" si="14"/>
        <v>AES TIETE   -ON</v>
      </c>
      <c r="R79" s="55">
        <f t="shared" si="15"/>
        <v>41655</v>
      </c>
      <c r="S79" s="5">
        <f t="shared" si="16"/>
        <v>17.3</v>
      </c>
      <c r="T79" s="5">
        <f t="shared" si="17"/>
        <v>17.47</v>
      </c>
      <c r="U79" s="5">
        <f t="shared" si="18"/>
        <v>17.52</v>
      </c>
      <c r="V79" s="5">
        <f t="shared" si="19"/>
        <v>17.260000000000002</v>
      </c>
    </row>
    <row r="80" spans="1:22">
      <c r="A80" s="35" t="str">
        <f>IF(Tabela1[[#This Row],[Código]]="IBOV","^BVSP",IF(Tabela1[[#This Row],[Código]]="","",CONCATENATE(LEFT(Tabela1[[#This Row],[Código]],6),".SA")))</f>
        <v>GETI4.SA</v>
      </c>
      <c r="C80" s="3" t="s">
        <v>154</v>
      </c>
      <c r="D80" s="3" t="s">
        <v>661</v>
      </c>
      <c r="E80" s="3" t="s">
        <v>662</v>
      </c>
      <c r="F80" s="3" t="s">
        <v>663</v>
      </c>
      <c r="G80" s="3" t="s">
        <v>664</v>
      </c>
      <c r="H80" s="20">
        <v>41655</v>
      </c>
      <c r="J80" s="3">
        <f t="shared" si="20"/>
        <v>18.86</v>
      </c>
      <c r="K80" s="3">
        <f t="shared" si="20"/>
        <v>19.29</v>
      </c>
      <c r="L80" s="3">
        <f t="shared" si="20"/>
        <v>19.34</v>
      </c>
      <c r="M80" s="3">
        <f t="shared" si="20"/>
        <v>18.77</v>
      </c>
      <c r="P80" s="27" t="s">
        <v>33</v>
      </c>
      <c r="Q80" s="10" t="str">
        <f t="shared" si="14"/>
        <v>AES TIETE   -PN</v>
      </c>
      <c r="R80" s="55">
        <f t="shared" si="15"/>
        <v>41655</v>
      </c>
      <c r="S80" s="5">
        <f t="shared" si="16"/>
        <v>18.86</v>
      </c>
      <c r="T80" s="5">
        <f t="shared" si="17"/>
        <v>19.29</v>
      </c>
      <c r="U80" s="5">
        <f t="shared" si="18"/>
        <v>19.34</v>
      </c>
      <c r="V80" s="5">
        <f t="shared" si="19"/>
        <v>18.77</v>
      </c>
    </row>
    <row r="81" spans="1:22">
      <c r="A81" s="35" t="str">
        <f>IF(Tabela1[[#This Row],[Código]]="IBOV","^BVSP",IF(Tabela1[[#This Row],[Código]]="","",CONCATENATE(LEFT(Tabela1[[#This Row],[Código]],6),".SA")))</f>
        <v>GTDP3B.SA</v>
      </c>
      <c r="C81" s="3" t="s">
        <v>190</v>
      </c>
      <c r="D81" s="3" t="s">
        <v>521</v>
      </c>
      <c r="E81" s="3" t="s">
        <v>521</v>
      </c>
      <c r="F81" s="3" t="s">
        <v>521</v>
      </c>
      <c r="G81" s="3" t="s">
        <v>521</v>
      </c>
      <c r="H81" s="20">
        <v>41655</v>
      </c>
      <c r="J81" s="3">
        <f t="shared" si="20"/>
        <v>0.12</v>
      </c>
      <c r="K81" s="3">
        <f t="shared" si="20"/>
        <v>0.12</v>
      </c>
      <c r="L81" s="3">
        <f t="shared" si="20"/>
        <v>0.12</v>
      </c>
      <c r="M81" s="3">
        <f t="shared" si="20"/>
        <v>0.12</v>
      </c>
      <c r="P81" s="14" t="s">
        <v>188</v>
      </c>
      <c r="Q81" s="10" t="str">
        <f t="shared" si="14"/>
        <v xml:space="preserve">GTD PART    -ON  </v>
      </c>
      <c r="R81" s="55">
        <f t="shared" si="15"/>
        <v>41655</v>
      </c>
      <c r="S81" s="5">
        <f t="shared" si="16"/>
        <v>0.12</v>
      </c>
      <c r="T81" s="5">
        <f t="shared" si="17"/>
        <v>0.12</v>
      </c>
      <c r="U81" s="5">
        <f t="shared" si="18"/>
        <v>0.12</v>
      </c>
      <c r="V81" s="5">
        <f t="shared" si="19"/>
        <v>0.12</v>
      </c>
    </row>
    <row r="82" spans="1:22">
      <c r="A82" s="35" t="str">
        <f>IF(Tabela1[[#This Row],[Código]]="IBOV","^BVSP",IF(Tabela1[[#This Row],[Código]]="","",CONCATENATE(LEFT(Tabela1[[#This Row],[Código]],6),".SA")))</f>
        <v>GTDP4B.SA</v>
      </c>
      <c r="C82" s="3" t="s">
        <v>191</v>
      </c>
      <c r="D82" s="3" t="s">
        <v>521</v>
      </c>
      <c r="E82" s="3" t="s">
        <v>521</v>
      </c>
      <c r="F82" s="3" t="s">
        <v>521</v>
      </c>
      <c r="G82" s="3" t="s">
        <v>521</v>
      </c>
      <c r="H82" s="20">
        <v>41655</v>
      </c>
      <c r="J82" s="3">
        <f t="shared" si="20"/>
        <v>0.12</v>
      </c>
      <c r="K82" s="3">
        <f t="shared" si="20"/>
        <v>0.12</v>
      </c>
      <c r="L82" s="3">
        <f t="shared" si="20"/>
        <v>0.12</v>
      </c>
      <c r="M82" s="3">
        <f t="shared" si="20"/>
        <v>0.12</v>
      </c>
      <c r="P82" s="14" t="s">
        <v>189</v>
      </c>
      <c r="Q82" s="10" t="str">
        <f t="shared" si="14"/>
        <v xml:space="preserve">GTD PART    -PN  </v>
      </c>
      <c r="R82" s="55">
        <f t="shared" si="15"/>
        <v>41655</v>
      </c>
      <c r="S82" s="5">
        <f t="shared" si="16"/>
        <v>0.12</v>
      </c>
      <c r="T82" s="5">
        <f t="shared" si="17"/>
        <v>0.12</v>
      </c>
      <c r="U82" s="5">
        <f t="shared" si="18"/>
        <v>0.12</v>
      </c>
      <c r="V82" s="5">
        <f t="shared" si="19"/>
        <v>0.12</v>
      </c>
    </row>
    <row r="83" spans="1:22">
      <c r="A83" s="35" t="str">
        <f>IF(Tabela1[[#This Row],[Código]]="IBOV","^BVSP",IF(Tabela1[[#This Row],[Código]]="","",CONCATENATE(LEFT(Tabela1[[#This Row],[Código]],6),".SA")))</f>
        <v>ITSA3.SA</v>
      </c>
      <c r="C83" s="3" t="s">
        <v>263</v>
      </c>
      <c r="D83" s="3" t="s">
        <v>544</v>
      </c>
      <c r="E83" s="3" t="s">
        <v>566</v>
      </c>
      <c r="F83" s="3" t="s">
        <v>566</v>
      </c>
      <c r="G83" s="3" t="s">
        <v>551</v>
      </c>
      <c r="H83" s="20">
        <v>41655</v>
      </c>
      <c r="J83" s="3">
        <f t="shared" si="20"/>
        <v>10.33</v>
      </c>
      <c r="K83" s="3">
        <f t="shared" si="20"/>
        <v>10.56</v>
      </c>
      <c r="L83" s="3">
        <f t="shared" si="20"/>
        <v>10.56</v>
      </c>
      <c r="M83" s="3">
        <f t="shared" si="20"/>
        <v>10.14</v>
      </c>
      <c r="P83" s="15" t="s">
        <v>262</v>
      </c>
      <c r="Q83" s="10" t="str">
        <f t="shared" si="14"/>
        <v xml:space="preserve">ITAUSA      -ON  </v>
      </c>
      <c r="R83" s="55">
        <f t="shared" si="15"/>
        <v>41655</v>
      </c>
      <c r="S83" s="5">
        <f t="shared" si="16"/>
        <v>10.33</v>
      </c>
      <c r="T83" s="5">
        <f t="shared" si="17"/>
        <v>10.56</v>
      </c>
      <c r="U83" s="5">
        <f t="shared" si="18"/>
        <v>10.56</v>
      </c>
      <c r="V83" s="5">
        <f t="shared" si="19"/>
        <v>10.14</v>
      </c>
    </row>
    <row r="84" spans="1:22">
      <c r="A84" s="35" t="str">
        <f>IF(Tabela1[[#This Row],[Código]]="IBOV","^BVSP",IF(Tabela1[[#This Row],[Código]]="","",CONCATENATE(LEFT(Tabela1[[#This Row],[Código]],6),".SA")))</f>
        <v>ITSA4.SA</v>
      </c>
      <c r="C84" s="3" t="s">
        <v>155</v>
      </c>
      <c r="D84" s="3" t="s">
        <v>665</v>
      </c>
      <c r="E84" s="3" t="s">
        <v>666</v>
      </c>
      <c r="F84" s="3" t="s">
        <v>667</v>
      </c>
      <c r="G84" s="3" t="s">
        <v>666</v>
      </c>
      <c r="H84" s="47">
        <v>41655</v>
      </c>
      <c r="J84" s="3">
        <f t="shared" si="20"/>
        <v>8.66</v>
      </c>
      <c r="K84" s="3">
        <f t="shared" si="20"/>
        <v>8.59</v>
      </c>
      <c r="L84" s="3">
        <f t="shared" si="20"/>
        <v>8.68</v>
      </c>
      <c r="M84" s="3">
        <f t="shared" si="20"/>
        <v>8.59</v>
      </c>
      <c r="P84" s="15" t="s">
        <v>16</v>
      </c>
      <c r="Q84" s="10" t="str">
        <f t="shared" si="14"/>
        <v xml:space="preserve">ITAUSA      -PN  </v>
      </c>
      <c r="R84" s="55">
        <f t="shared" si="15"/>
        <v>41655</v>
      </c>
      <c r="S84" s="5">
        <f t="shared" si="16"/>
        <v>8.66</v>
      </c>
      <c r="T84" s="5">
        <f t="shared" si="17"/>
        <v>8.59</v>
      </c>
      <c r="U84" s="5">
        <f t="shared" si="18"/>
        <v>8.68</v>
      </c>
      <c r="V84" s="5">
        <f t="shared" si="19"/>
        <v>8.59</v>
      </c>
    </row>
    <row r="85" spans="1:22">
      <c r="A85" s="35" t="str">
        <f>IF(Tabela1[[#This Row],[Código]]="IBOV","^BVSP",IF(Tabela1[[#This Row],[Código]]="","",CONCATENATE(LEFT(Tabela1[[#This Row],[Código]],6),".SA")))</f>
        <v>ITUB3.SA</v>
      </c>
      <c r="C85" s="3" t="s">
        <v>261</v>
      </c>
      <c r="D85" s="3" t="s">
        <v>668</v>
      </c>
      <c r="E85" s="3" t="s">
        <v>669</v>
      </c>
      <c r="F85" s="3" t="s">
        <v>670</v>
      </c>
      <c r="G85" s="3" t="s">
        <v>671</v>
      </c>
      <c r="H85" s="47">
        <v>41655</v>
      </c>
      <c r="J85" s="3">
        <f t="shared" si="20"/>
        <v>29.06</v>
      </c>
      <c r="K85" s="3">
        <f t="shared" si="20"/>
        <v>28.71</v>
      </c>
      <c r="L85" s="3">
        <f t="shared" si="20"/>
        <v>29.17</v>
      </c>
      <c r="M85" s="3">
        <f t="shared" si="20"/>
        <v>28.66</v>
      </c>
      <c r="P85" s="10" t="s">
        <v>260</v>
      </c>
      <c r="Q85" s="10" t="str">
        <f t="shared" si="14"/>
        <v xml:space="preserve">ITAUUNIBANCO-ON  </v>
      </c>
      <c r="R85" s="55">
        <f t="shared" si="15"/>
        <v>41655</v>
      </c>
      <c r="S85" s="5">
        <f t="shared" si="16"/>
        <v>29.06</v>
      </c>
      <c r="T85" s="5">
        <f t="shared" si="17"/>
        <v>28.71</v>
      </c>
      <c r="U85" s="5">
        <f t="shared" si="18"/>
        <v>29.17</v>
      </c>
      <c r="V85" s="5">
        <f t="shared" si="19"/>
        <v>28.66</v>
      </c>
    </row>
    <row r="86" spans="1:22">
      <c r="A86" s="35" t="str">
        <f>IF(Tabela1[[#This Row],[Código]]="IBOV","^BVSP",IF(Tabela1[[#This Row],[Código]]="","",CONCATENATE(LEFT(Tabela1[[#This Row],[Código]],6),".SA")))</f>
        <v>ITUB4.SA</v>
      </c>
      <c r="C86" s="3" t="s">
        <v>156</v>
      </c>
      <c r="D86" s="3" t="s">
        <v>672</v>
      </c>
      <c r="E86" s="3" t="s">
        <v>673</v>
      </c>
      <c r="F86" s="3" t="s">
        <v>674</v>
      </c>
      <c r="G86" s="3" t="s">
        <v>675</v>
      </c>
      <c r="H86" s="47">
        <v>41655</v>
      </c>
      <c r="J86" s="3">
        <f t="shared" si="20"/>
        <v>31.39</v>
      </c>
      <c r="K86" s="3">
        <f t="shared" si="20"/>
        <v>30.99</v>
      </c>
      <c r="L86" s="3">
        <f t="shared" si="20"/>
        <v>31.43</v>
      </c>
      <c r="M86" s="3">
        <f t="shared" si="20"/>
        <v>30.95</v>
      </c>
      <c r="P86" s="10" t="s">
        <v>81</v>
      </c>
      <c r="Q86" s="10" t="str">
        <f t="shared" si="14"/>
        <v xml:space="preserve">ITAUUNIBANCO-PN  </v>
      </c>
      <c r="R86" s="55">
        <f t="shared" si="15"/>
        <v>41655</v>
      </c>
      <c r="S86" s="5">
        <f t="shared" si="16"/>
        <v>31.39</v>
      </c>
      <c r="T86" s="5">
        <f t="shared" si="17"/>
        <v>30.99</v>
      </c>
      <c r="U86" s="5">
        <f t="shared" si="18"/>
        <v>31.43</v>
      </c>
      <c r="V86" s="5">
        <f t="shared" si="19"/>
        <v>30.95</v>
      </c>
    </row>
    <row r="87" spans="1:22">
      <c r="A87" s="35" t="str">
        <f>IF(Tabela1[[#This Row],[Código]]="IBOV","^BVSP",IF(Tabela1[[#This Row],[Código]]="","",CONCATENATE(LEFT(Tabela1[[#This Row],[Código]],6),".SA")))</f>
        <v>KLBN3.SA</v>
      </c>
      <c r="C87" s="3" t="s">
        <v>205</v>
      </c>
      <c r="D87" s="3" t="s">
        <v>147</v>
      </c>
      <c r="E87" s="3" t="s">
        <v>147</v>
      </c>
      <c r="F87" s="3" t="s">
        <v>147</v>
      </c>
      <c r="G87" s="3" t="s">
        <v>147</v>
      </c>
      <c r="H87" s="47">
        <v>41655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204</v>
      </c>
      <c r="Q87" s="10" t="str">
        <f t="shared" si="14"/>
        <v xml:space="preserve">KLABIN S/A  -ON  </v>
      </c>
      <c r="R87" s="55">
        <f t="shared" si="15"/>
        <v>41655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5" t="str">
        <f>IF(Tabela1[[#This Row],[Código]]="IBOV","^BVSP",IF(Tabela1[[#This Row],[Código]]="","",CONCATENATE(LEFT(Tabela1[[#This Row],[Código]],6),".SA")))</f>
        <v>KLBN4.SA</v>
      </c>
      <c r="C88" s="3" t="s">
        <v>157</v>
      </c>
      <c r="D88" s="3" t="s">
        <v>676</v>
      </c>
      <c r="E88" s="3" t="s">
        <v>677</v>
      </c>
      <c r="F88" s="3" t="s">
        <v>678</v>
      </c>
      <c r="G88" s="3" t="s">
        <v>679</v>
      </c>
      <c r="H88" s="47">
        <v>41655</v>
      </c>
      <c r="J88" s="3">
        <f t="shared" si="20"/>
        <v>12.66</v>
      </c>
      <c r="K88" s="3">
        <f t="shared" si="20"/>
        <v>12.52</v>
      </c>
      <c r="L88" s="3">
        <f t="shared" si="20"/>
        <v>12.78</v>
      </c>
      <c r="M88" s="3">
        <f t="shared" si="20"/>
        <v>12.47</v>
      </c>
      <c r="P88" s="15" t="s">
        <v>54</v>
      </c>
      <c r="Q88" s="10" t="str">
        <f t="shared" si="14"/>
        <v xml:space="preserve">KLABIN S/A  -PN  </v>
      </c>
      <c r="R88" s="55">
        <f t="shared" si="15"/>
        <v>41655</v>
      </c>
      <c r="S88" s="5">
        <f t="shared" si="16"/>
        <v>12.66</v>
      </c>
      <c r="T88" s="5">
        <f t="shared" si="17"/>
        <v>12.52</v>
      </c>
      <c r="U88" s="5">
        <f t="shared" si="18"/>
        <v>12.78</v>
      </c>
      <c r="V88" s="5">
        <f t="shared" si="19"/>
        <v>12.47</v>
      </c>
    </row>
    <row r="89" spans="1:22">
      <c r="A89" s="35" t="str">
        <f>IF(Tabela1[[#This Row],[Código]]="IBOV","^BVSP",IF(Tabela1[[#This Row],[Código]]="","",CONCATENATE(LEFT(Tabela1[[#This Row],[Código]],6),".SA")))</f>
        <v>LIGT3.SA</v>
      </c>
      <c r="C89" s="3" t="s">
        <v>158</v>
      </c>
      <c r="D89" s="3" t="s">
        <v>680</v>
      </c>
      <c r="E89" s="3" t="s">
        <v>476</v>
      </c>
      <c r="F89" s="3" t="s">
        <v>681</v>
      </c>
      <c r="G89" s="3" t="s">
        <v>682</v>
      </c>
      <c r="H89" s="47">
        <v>41655</v>
      </c>
      <c r="J89" s="3">
        <f t="shared" si="20"/>
        <v>20.51</v>
      </c>
      <c r="K89" s="3">
        <f t="shared" si="20"/>
        <v>20.8</v>
      </c>
      <c r="L89" s="3">
        <f t="shared" si="20"/>
        <v>20.89</v>
      </c>
      <c r="M89" s="3">
        <f t="shared" si="20"/>
        <v>20.27</v>
      </c>
      <c r="P89" s="45" t="s">
        <v>55</v>
      </c>
      <c r="Q89" s="10" t="str">
        <f t="shared" si="14"/>
        <v xml:space="preserve">LIGHT S/A   -ON  </v>
      </c>
      <c r="R89" s="55">
        <f t="shared" si="15"/>
        <v>41655</v>
      </c>
      <c r="S89" s="5">
        <f t="shared" si="16"/>
        <v>20.51</v>
      </c>
      <c r="T89" s="5">
        <f t="shared" si="17"/>
        <v>20.8</v>
      </c>
      <c r="U89" s="5">
        <f t="shared" si="18"/>
        <v>20.89</v>
      </c>
      <c r="V89" s="5">
        <f t="shared" si="19"/>
        <v>20.27</v>
      </c>
    </row>
    <row r="90" spans="1:22">
      <c r="A90" s="35" t="str">
        <f>IF(Tabela1[[#This Row],[Código]]="IBOV","^BVSP",IF(Tabela1[[#This Row],[Código]]="","",CONCATENATE(LEFT(Tabela1[[#This Row],[Código]],6),".SA")))</f>
        <v>LIPR3.SA</v>
      </c>
      <c r="C90" s="3" t="s">
        <v>180</v>
      </c>
      <c r="D90" s="3" t="s">
        <v>181</v>
      </c>
      <c r="E90" s="3" t="s">
        <v>386</v>
      </c>
      <c r="F90" s="3" t="s">
        <v>386</v>
      </c>
      <c r="G90" s="3" t="s">
        <v>181</v>
      </c>
      <c r="H90" s="47">
        <v>41655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179</v>
      </c>
      <c r="Q90" s="10" t="str">
        <f t="shared" si="14"/>
        <v>ELETROPAR   -ON</v>
      </c>
      <c r="R90" s="55">
        <f t="shared" si="15"/>
        <v>41655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5" t="str">
        <f>IF(Tabela1[[#This Row],[Código]]="IBOV","^BVSP",IF(Tabela1[[#This Row],[Código]]="","",CONCATENATE(LEFT(Tabela1[[#This Row],[Código]],6),".SA")))</f>
        <v>PINE4.SA</v>
      </c>
      <c r="C91" s="3" t="s">
        <v>159</v>
      </c>
      <c r="D91" s="3" t="s">
        <v>683</v>
      </c>
      <c r="E91" s="76" t="s">
        <v>684</v>
      </c>
      <c r="F91" s="76" t="s">
        <v>504</v>
      </c>
      <c r="G91" s="3" t="s">
        <v>665</v>
      </c>
      <c r="H91" s="47">
        <v>41655</v>
      </c>
      <c r="J91" s="3">
        <f t="shared" si="20"/>
        <v>8.69</v>
      </c>
      <c r="K91" s="3">
        <f t="shared" si="20"/>
        <v>8.75</v>
      </c>
      <c r="L91" s="3">
        <f t="shared" si="20"/>
        <v>8.76</v>
      </c>
      <c r="M91" s="3">
        <f t="shared" si="20"/>
        <v>8.66</v>
      </c>
      <c r="P91" s="10" t="s">
        <v>75</v>
      </c>
      <c r="Q91" s="10" t="str">
        <f t="shared" si="14"/>
        <v xml:space="preserve">PINE        -PN  </v>
      </c>
      <c r="R91" s="55">
        <f t="shared" si="15"/>
        <v>41655</v>
      </c>
      <c r="S91" s="5">
        <f t="shared" si="16"/>
        <v>8.69</v>
      </c>
      <c r="T91" s="5">
        <f t="shared" si="17"/>
        <v>8.75</v>
      </c>
      <c r="U91" s="5">
        <f t="shared" si="18"/>
        <v>8.76</v>
      </c>
      <c r="V91" s="5">
        <f t="shared" si="19"/>
        <v>8.66</v>
      </c>
    </row>
    <row r="92" spans="1:22">
      <c r="A92" s="35" t="str">
        <f>IF(Tabela1[[#This Row],[Código]]="IBOV","^BVSP",IF(Tabela1[[#This Row],[Código]]="","",CONCATENATE(LEFT(Tabela1[[#This Row],[Código]],6),".SA")))</f>
        <v>PRBC4.SA</v>
      </c>
      <c r="C92" s="3" t="s">
        <v>160</v>
      </c>
      <c r="D92" s="3" t="s">
        <v>685</v>
      </c>
      <c r="E92" s="3" t="s">
        <v>685</v>
      </c>
      <c r="F92" s="3" t="s">
        <v>685</v>
      </c>
      <c r="G92" s="3" t="s">
        <v>685</v>
      </c>
      <c r="H92" s="47">
        <v>41655</v>
      </c>
      <c r="J92" s="3">
        <f t="shared" si="20"/>
        <v>11.33</v>
      </c>
      <c r="K92" s="3">
        <f t="shared" si="20"/>
        <v>11.33</v>
      </c>
      <c r="L92" s="3">
        <f t="shared" si="20"/>
        <v>11.33</v>
      </c>
      <c r="M92" s="3">
        <f t="shared" si="20"/>
        <v>11.33</v>
      </c>
      <c r="P92" s="16" t="s">
        <v>83</v>
      </c>
      <c r="Q92" s="10" t="str">
        <f t="shared" si="14"/>
        <v xml:space="preserve">PARANA      -PN  </v>
      </c>
      <c r="R92" s="55">
        <f t="shared" si="15"/>
        <v>41655</v>
      </c>
      <c r="S92" s="5">
        <f t="shared" si="16"/>
        <v>11.33</v>
      </c>
      <c r="T92" s="5">
        <f t="shared" si="17"/>
        <v>11.33</v>
      </c>
      <c r="U92" s="5">
        <f t="shared" si="18"/>
        <v>11.33</v>
      </c>
      <c r="V92" s="5">
        <f t="shared" si="19"/>
        <v>11.33</v>
      </c>
    </row>
    <row r="93" spans="1:22">
      <c r="A93" s="35" t="str">
        <f>IF(Tabela1[[#This Row],[Código]]="IBOV","^BVSP",IF(Tabela1[[#This Row],[Código]]="","",CONCATENATE(LEFT(Tabela1[[#This Row],[Código]],6),".SA")))</f>
        <v>PSSA3.SA</v>
      </c>
      <c r="C93" s="3" t="s">
        <v>265</v>
      </c>
      <c r="D93" s="3" t="s">
        <v>686</v>
      </c>
      <c r="E93" s="3" t="s">
        <v>687</v>
      </c>
      <c r="F93" s="3" t="s">
        <v>688</v>
      </c>
      <c r="G93" s="3" t="s">
        <v>686</v>
      </c>
      <c r="H93" s="47">
        <v>41655</v>
      </c>
      <c r="J93" s="3">
        <f t="shared" si="20"/>
        <v>28.95</v>
      </c>
      <c r="K93" s="3">
        <f t="shared" si="20"/>
        <v>29.52</v>
      </c>
      <c r="L93" s="3">
        <f t="shared" si="20"/>
        <v>29.61</v>
      </c>
      <c r="M93" s="3">
        <f t="shared" si="20"/>
        <v>28.95</v>
      </c>
      <c r="P93" s="16" t="s">
        <v>264</v>
      </c>
      <c r="Q93" s="10" t="str">
        <f t="shared" si="14"/>
        <v xml:space="preserve">PORTO SEGURO-ON  </v>
      </c>
      <c r="R93" s="55">
        <f t="shared" si="15"/>
        <v>41655</v>
      </c>
      <c r="S93" s="5">
        <f t="shared" si="16"/>
        <v>28.95</v>
      </c>
      <c r="T93" s="5">
        <f t="shared" si="17"/>
        <v>29.52</v>
      </c>
      <c r="U93" s="5">
        <f t="shared" si="18"/>
        <v>29.61</v>
      </c>
      <c r="V93" s="5">
        <f t="shared" si="19"/>
        <v>28.95</v>
      </c>
    </row>
    <row r="94" spans="1:22">
      <c r="A94" s="35" t="str">
        <f>IF(Tabela1[[#This Row],[Código]]="IBOV","^BVSP",IF(Tabela1[[#This Row],[Código]]="","",CONCATENATE(LEFT(Tabela1[[#This Row],[Código]],6),".SA")))</f>
        <v>RANI3.SA</v>
      </c>
      <c r="C94" s="3" t="s">
        <v>202</v>
      </c>
      <c r="D94" s="3" t="s">
        <v>689</v>
      </c>
      <c r="E94" s="3" t="s">
        <v>689</v>
      </c>
      <c r="F94" s="3" t="s">
        <v>689</v>
      </c>
      <c r="G94" s="3" t="s">
        <v>689</v>
      </c>
      <c r="H94" s="47">
        <v>41655</v>
      </c>
      <c r="J94" s="3">
        <f t="shared" si="20"/>
        <v>3.33</v>
      </c>
      <c r="K94" s="3">
        <f t="shared" si="20"/>
        <v>3.33</v>
      </c>
      <c r="L94" s="3">
        <f t="shared" si="20"/>
        <v>3.33</v>
      </c>
      <c r="M94" s="3">
        <f t="shared" si="20"/>
        <v>3.33</v>
      </c>
      <c r="P94" s="14" t="s">
        <v>200</v>
      </c>
      <c r="Q94" s="10" t="str">
        <f t="shared" si="14"/>
        <v>CELUL IRANI -ON</v>
      </c>
      <c r="R94" s="55">
        <f t="shared" si="15"/>
        <v>41655</v>
      </c>
      <c r="S94" s="5">
        <f t="shared" si="16"/>
        <v>3.33</v>
      </c>
      <c r="T94" s="5">
        <f t="shared" si="17"/>
        <v>3.33</v>
      </c>
      <c r="U94" s="5">
        <f t="shared" si="18"/>
        <v>3.33</v>
      </c>
      <c r="V94" s="5">
        <f t="shared" si="19"/>
        <v>3.33</v>
      </c>
    </row>
    <row r="95" spans="1:22">
      <c r="A95" s="35" t="str">
        <f>IF(Tabela1[[#This Row],[Código]]="IBOV","^BVSP",IF(Tabela1[[#This Row],[Código]]="","",CONCATENATE(LEFT(Tabela1[[#This Row],[Código]],6),".SA")))</f>
        <v>RANI4.SA</v>
      </c>
      <c r="C95" s="3" t="s">
        <v>203</v>
      </c>
      <c r="D95" s="3" t="s">
        <v>552</v>
      </c>
      <c r="E95" s="3" t="s">
        <v>552</v>
      </c>
      <c r="F95" s="3" t="s">
        <v>552</v>
      </c>
      <c r="G95" s="3" t="s">
        <v>552</v>
      </c>
      <c r="H95" s="47">
        <v>41655</v>
      </c>
      <c r="J95" s="3">
        <f t="shared" si="20"/>
        <v>3.36</v>
      </c>
      <c r="K95" s="3">
        <f t="shared" si="20"/>
        <v>3.36</v>
      </c>
      <c r="L95" s="3">
        <f t="shared" si="20"/>
        <v>3.36</v>
      </c>
      <c r="M95" s="3">
        <f t="shared" si="20"/>
        <v>3.36</v>
      </c>
      <c r="P95" s="14" t="s">
        <v>201</v>
      </c>
      <c r="Q95" s="10" t="str">
        <f t="shared" si="14"/>
        <v>CELUL IRANI -PN</v>
      </c>
      <c r="R95" s="55">
        <f t="shared" si="15"/>
        <v>41655</v>
      </c>
      <c r="S95" s="5">
        <f t="shared" si="16"/>
        <v>3.36</v>
      </c>
      <c r="T95" s="5">
        <f t="shared" si="17"/>
        <v>3.36</v>
      </c>
      <c r="U95" s="5">
        <f t="shared" si="18"/>
        <v>3.36</v>
      </c>
      <c r="V95" s="5">
        <f t="shared" si="19"/>
        <v>3.36</v>
      </c>
    </row>
    <row r="96" spans="1:22">
      <c r="A96" s="35" t="str">
        <f>IF(Tabela1[[#This Row],[Código]]="IBOV","^BVSP",IF(Tabela1[[#This Row],[Código]]="","",CONCATENATE(LEFT(Tabela1[[#This Row],[Código]],6),".SA")))</f>
        <v>RDTR3.SA</v>
      </c>
      <c r="C96" s="3" t="s">
        <v>161</v>
      </c>
      <c r="D96" s="3" t="s">
        <v>444</v>
      </c>
      <c r="E96" s="3" t="s">
        <v>115</v>
      </c>
      <c r="F96" s="3" t="s">
        <v>115</v>
      </c>
      <c r="G96" s="3" t="s">
        <v>444</v>
      </c>
      <c r="H96" s="55">
        <v>41655</v>
      </c>
      <c r="J96" s="3">
        <f t="shared" si="20"/>
        <v>5.95</v>
      </c>
      <c r="K96" s="3">
        <f t="shared" si="20"/>
        <v>5.96</v>
      </c>
      <c r="L96" s="3">
        <f t="shared" si="20"/>
        <v>5.96</v>
      </c>
      <c r="M96" s="3">
        <f t="shared" si="20"/>
        <v>5.95</v>
      </c>
      <c r="P96" s="14" t="s">
        <v>65</v>
      </c>
      <c r="Q96" s="10" t="str">
        <f t="shared" si="14"/>
        <v>REDENTOR    -ON</v>
      </c>
      <c r="R96" s="55">
        <f t="shared" si="15"/>
        <v>41655</v>
      </c>
      <c r="S96" s="5">
        <f t="shared" si="16"/>
        <v>5.95</v>
      </c>
      <c r="T96" s="5">
        <f t="shared" si="17"/>
        <v>5.96</v>
      </c>
      <c r="U96" s="5">
        <f t="shared" si="18"/>
        <v>5.96</v>
      </c>
      <c r="V96" s="5">
        <f t="shared" si="19"/>
        <v>5.95</v>
      </c>
    </row>
    <row r="97" spans="1:22">
      <c r="A97" s="35" t="str">
        <f>IF(Tabela1[[#This Row],[Código]]="IBOV","^BVSP",IF(Tabela1[[#This Row],[Código]]="","",CONCATENATE(LEFT(Tabela1[[#This Row],[Código]],6),".SA")))</f>
        <v>RPAD3.SA</v>
      </c>
      <c r="C97" s="3" t="s">
        <v>211</v>
      </c>
      <c r="D97" s="3" t="s">
        <v>212</v>
      </c>
      <c r="E97" s="3" t="s">
        <v>212</v>
      </c>
      <c r="F97" s="3" t="s">
        <v>212</v>
      </c>
      <c r="G97" s="3" t="s">
        <v>212</v>
      </c>
      <c r="H97" s="55">
        <v>41655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209</v>
      </c>
      <c r="Q97" s="10" t="str">
        <f t="shared" si="14"/>
        <v>ALFA HOLDING-ON</v>
      </c>
      <c r="R97" s="55">
        <f t="shared" si="15"/>
        <v>41655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5" t="str">
        <f>IF(Tabela1[[#This Row],[Código]]="IBOV","^BVSP",IF(Tabela1[[#This Row],[Código]]="","",CONCATENATE(LEFT(Tabela1[[#This Row],[Código]],6),".SA")))</f>
        <v>RPAD5.SA</v>
      </c>
      <c r="C98" s="3" t="s">
        <v>162</v>
      </c>
      <c r="D98" s="3" t="s">
        <v>490</v>
      </c>
      <c r="E98" s="3" t="s">
        <v>496</v>
      </c>
      <c r="F98" s="3" t="s">
        <v>496</v>
      </c>
      <c r="G98" s="3" t="s">
        <v>490</v>
      </c>
      <c r="H98" s="55">
        <v>41655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77</v>
      </c>
      <c r="Q98" s="10" t="str">
        <f t="shared" si="14"/>
        <v>ALFA HOLDING-PNA</v>
      </c>
      <c r="R98" s="55">
        <f t="shared" si="15"/>
        <v>41655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>
      <c r="A99" s="35" t="str">
        <f>IF(Tabela1[[#This Row],[Código]]="IBOV","^BVSP",IF(Tabela1[[#This Row],[Código]]="","",CONCATENATE(LEFT(Tabela1[[#This Row],[Código]],6),".SA")))</f>
        <v>RPAD6.SA</v>
      </c>
      <c r="C99" s="3" t="s">
        <v>213</v>
      </c>
      <c r="D99" s="3" t="s">
        <v>477</v>
      </c>
      <c r="E99" s="3" t="s">
        <v>477</v>
      </c>
      <c r="F99" s="3" t="s">
        <v>477</v>
      </c>
      <c r="G99" s="3" t="s">
        <v>477</v>
      </c>
      <c r="H99" s="55">
        <v>41655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210</v>
      </c>
      <c r="Q99" s="10" t="str">
        <f t="shared" si="14"/>
        <v>ALFA HOLDING-PNB</v>
      </c>
      <c r="R99" s="55">
        <f t="shared" si="15"/>
        <v>41655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>
      <c r="A100" s="35" t="str">
        <f>IF(Tabela1[[#This Row],[Código]]="IBOV","^BVSP",IF(Tabela1[[#This Row],[Código]]="","",CONCATENATE(LEFT(Tabela1[[#This Row],[Código]],6),".SA")))</f>
        <v>SAPR3.SA</v>
      </c>
      <c r="C100" s="3" t="s">
        <v>400</v>
      </c>
      <c r="D100" s="3" t="s">
        <v>199</v>
      </c>
      <c r="E100" s="3" t="s">
        <v>199</v>
      </c>
      <c r="F100" s="3" t="s">
        <v>199</v>
      </c>
      <c r="G100" s="3" t="s">
        <v>199</v>
      </c>
      <c r="H100" s="55">
        <v>41655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198</v>
      </c>
      <c r="Q100" s="10" t="str">
        <f t="shared" si="14"/>
        <v xml:space="preserve">SANEPAR     -ON  </v>
      </c>
      <c r="R100" s="55">
        <f t="shared" si="15"/>
        <v>41655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5" t="str">
        <f>IF(Tabela1[[#This Row],[Código]]="IBOV","^BVSP",IF(Tabela1[[#This Row],[Código]]="","",CONCATENATE(LEFT(Tabela1[[#This Row],[Código]],6),".SA")))</f>
        <v>SAPR4.SA</v>
      </c>
      <c r="C101" s="3" t="s">
        <v>401</v>
      </c>
      <c r="D101" s="3" t="s">
        <v>497</v>
      </c>
      <c r="E101" s="3" t="s">
        <v>497</v>
      </c>
      <c r="F101" s="3" t="s">
        <v>497</v>
      </c>
      <c r="G101" s="3" t="s">
        <v>497</v>
      </c>
      <c r="H101" s="55">
        <v>41655</v>
      </c>
      <c r="J101" s="3">
        <f t="shared" si="20"/>
        <v>5.8</v>
      </c>
      <c r="K101" s="3">
        <f t="shared" si="20"/>
        <v>5.8</v>
      </c>
      <c r="L101" s="3">
        <f t="shared" si="20"/>
        <v>5.8</v>
      </c>
      <c r="M101" s="3">
        <f t="shared" si="20"/>
        <v>5.8</v>
      </c>
      <c r="P101" s="14" t="s">
        <v>66</v>
      </c>
      <c r="Q101" s="10" t="str">
        <f t="shared" si="14"/>
        <v xml:space="preserve">SANEPAR     -PN  </v>
      </c>
      <c r="R101" s="55">
        <f t="shared" si="15"/>
        <v>41655</v>
      </c>
      <c r="S101" s="5">
        <f t="shared" si="16"/>
        <v>5.8</v>
      </c>
      <c r="T101" s="5">
        <f t="shared" si="17"/>
        <v>5.8</v>
      </c>
      <c r="U101" s="5">
        <f t="shared" si="18"/>
        <v>5.8</v>
      </c>
      <c r="V101" s="5">
        <f t="shared" si="19"/>
        <v>5.8</v>
      </c>
    </row>
    <row r="102" spans="1:22">
      <c r="A102" s="35" t="str">
        <f>IF(Tabela1[[#This Row],[Código]]="IBOV","^BVSP",IF(Tabela1[[#This Row],[Código]]="","",CONCATENATE(LEFT(Tabela1[[#This Row],[Código]],6),".SA")))</f>
        <v>SBSP3.SA</v>
      </c>
      <c r="C102" s="3" t="s">
        <v>163</v>
      </c>
      <c r="D102" s="3" t="s">
        <v>522</v>
      </c>
      <c r="E102" s="3" t="s">
        <v>690</v>
      </c>
      <c r="F102" s="3" t="s">
        <v>691</v>
      </c>
      <c r="G102" s="3" t="s">
        <v>692</v>
      </c>
      <c r="H102" s="55">
        <v>41655</v>
      </c>
      <c r="J102" s="3">
        <f t="shared" si="20"/>
        <v>23.5</v>
      </c>
      <c r="K102" s="3">
        <f t="shared" si="20"/>
        <v>23.36</v>
      </c>
      <c r="L102" s="3">
        <f t="shared" si="20"/>
        <v>23.82</v>
      </c>
      <c r="M102" s="3">
        <f t="shared" si="20"/>
        <v>23.29</v>
      </c>
      <c r="P102" s="14" t="s">
        <v>36</v>
      </c>
      <c r="Q102" s="10" t="str">
        <f t="shared" si="14"/>
        <v xml:space="preserve">SABESP      -ON  </v>
      </c>
      <c r="R102" s="55">
        <f t="shared" si="15"/>
        <v>41655</v>
      </c>
      <c r="S102" s="5">
        <f t="shared" si="16"/>
        <v>23.5</v>
      </c>
      <c r="T102" s="5">
        <f t="shared" si="17"/>
        <v>23.36</v>
      </c>
      <c r="U102" s="5">
        <f t="shared" si="18"/>
        <v>23.82</v>
      </c>
      <c r="V102" s="5">
        <f t="shared" si="19"/>
        <v>23.29</v>
      </c>
    </row>
    <row r="103" spans="1:22">
      <c r="A103" s="35" t="str">
        <f>IF(Tabela1[[#This Row],[Código]]="IBOV","^BVSP",IF(Tabela1[[#This Row],[Código]]="","",CONCATENATE(LEFT(Tabela1[[#This Row],[Código]],6),".SA")))</f>
        <v>SFSA4.SA</v>
      </c>
      <c r="C103" s="3" t="s">
        <v>164</v>
      </c>
      <c r="D103" s="3" t="s">
        <v>693</v>
      </c>
      <c r="E103" s="3" t="s">
        <v>694</v>
      </c>
      <c r="F103" s="3" t="s">
        <v>694</v>
      </c>
      <c r="G103" s="3" t="s">
        <v>693</v>
      </c>
      <c r="H103" s="55">
        <v>41655</v>
      </c>
      <c r="J103" s="3">
        <f t="shared" si="20"/>
        <v>2.73</v>
      </c>
      <c r="K103" s="3">
        <f t="shared" si="20"/>
        <v>2.75</v>
      </c>
      <c r="L103" s="3">
        <f t="shared" si="20"/>
        <v>2.75</v>
      </c>
      <c r="M103" s="3">
        <f t="shared" si="20"/>
        <v>2.73</v>
      </c>
      <c r="P103" s="15" t="s">
        <v>76</v>
      </c>
      <c r="Q103" s="10" t="str">
        <f t="shared" ref="Q103:Q112" si="21">IF(A103="","",C103)</f>
        <v xml:space="preserve">SOFISA      -PN  </v>
      </c>
      <c r="R103" s="55">
        <f t="shared" ref="R103:R112" si="22">IF(A103="","",H103)</f>
        <v>41655</v>
      </c>
      <c r="S103" s="5">
        <f t="shared" ref="S103:S112" si="23">J103</f>
        <v>2.73</v>
      </c>
      <c r="T103" s="5">
        <f t="shared" ref="T103:T112" si="24">K103</f>
        <v>2.75</v>
      </c>
      <c r="U103" s="5">
        <f t="shared" ref="U103:U112" si="25">L103</f>
        <v>2.75</v>
      </c>
      <c r="V103" s="5">
        <f t="shared" ref="V103:V112" si="26">M103</f>
        <v>2.73</v>
      </c>
    </row>
    <row r="104" spans="1:22">
      <c r="A104" s="35" t="str">
        <f>IF(Tabela1[[#This Row],[Código]]="IBOV","^BVSP",IF(Tabela1[[#This Row],[Código]]="","",CONCATENATE(LEFT(Tabela1[[#This Row],[Código]],6),".SA")))</f>
        <v>SUZB5.SA</v>
      </c>
      <c r="C104" s="3" t="s">
        <v>165</v>
      </c>
      <c r="D104" s="3" t="s">
        <v>695</v>
      </c>
      <c r="E104" s="3" t="s">
        <v>696</v>
      </c>
      <c r="F104" s="3" t="s">
        <v>385</v>
      </c>
      <c r="G104" s="3" t="s">
        <v>697</v>
      </c>
      <c r="H104" s="55">
        <v>41655</v>
      </c>
      <c r="J104" s="3">
        <f t="shared" si="20"/>
        <v>9.44</v>
      </c>
      <c r="K104" s="3">
        <f t="shared" si="20"/>
        <v>9.4499999999999993</v>
      </c>
      <c r="L104" s="3">
        <f t="shared" si="20"/>
        <v>9.5</v>
      </c>
      <c r="M104" s="3">
        <f t="shared" si="20"/>
        <v>9.41</v>
      </c>
      <c r="P104" s="15" t="s">
        <v>18</v>
      </c>
      <c r="Q104" s="10" t="str">
        <f t="shared" si="21"/>
        <v xml:space="preserve">SUZANO PAPEL-PNA </v>
      </c>
      <c r="R104" s="55">
        <f t="shared" si="22"/>
        <v>41655</v>
      </c>
      <c r="S104" s="5">
        <f t="shared" si="23"/>
        <v>9.44</v>
      </c>
      <c r="T104" s="5">
        <f t="shared" si="24"/>
        <v>9.4499999999999993</v>
      </c>
      <c r="U104" s="5">
        <f t="shared" si="25"/>
        <v>9.5</v>
      </c>
      <c r="V104" s="5">
        <f t="shared" si="26"/>
        <v>9.41</v>
      </c>
    </row>
    <row r="105" spans="1:22">
      <c r="A105" s="35" t="str">
        <f>IF(Tabela1[[#This Row],[Código]]="IBOV","^BVSP",IF(Tabela1[[#This Row],[Código]]="","",CONCATENATE(LEFT(Tabela1[[#This Row],[Código]],6),".SA")))</f>
        <v>SUZB6.SA</v>
      </c>
      <c r="C105" s="3" t="s">
        <v>208</v>
      </c>
      <c r="D105" s="3" t="s">
        <v>176</v>
      </c>
      <c r="E105" s="3" t="s">
        <v>176</v>
      </c>
      <c r="F105" s="3" t="s">
        <v>176</v>
      </c>
      <c r="G105" s="3" t="s">
        <v>176</v>
      </c>
      <c r="H105" s="55">
        <v>41655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206</v>
      </c>
      <c r="Q105" s="10" t="str">
        <f t="shared" si="21"/>
        <v xml:space="preserve">SUZANO PAPEL-PNB </v>
      </c>
      <c r="R105" s="55">
        <f t="shared" si="22"/>
        <v>41655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5" t="str">
        <f>IF(Tabela1[[#This Row],[Código]]="IBOV","^BVSP",IF(Tabela1[[#This Row],[Código]]="","",CONCATENATE(LEFT(Tabela1[[#This Row],[Código]],6),".SA")))</f>
        <v>TAEE11.SA</v>
      </c>
      <c r="C106" s="3" t="s">
        <v>166</v>
      </c>
      <c r="D106" s="3" t="s">
        <v>539</v>
      </c>
      <c r="E106" s="3" t="s">
        <v>524</v>
      </c>
      <c r="F106" s="3" t="s">
        <v>698</v>
      </c>
      <c r="G106" s="3" t="s">
        <v>699</v>
      </c>
      <c r="H106" s="55">
        <v>41655</v>
      </c>
      <c r="J106" s="3">
        <f t="shared" si="20"/>
        <v>17.95</v>
      </c>
      <c r="K106" s="3">
        <f t="shared" si="20"/>
        <v>17.96</v>
      </c>
      <c r="L106" s="3">
        <f t="shared" si="20"/>
        <v>18.079999999999998</v>
      </c>
      <c r="M106" s="3">
        <f t="shared" si="20"/>
        <v>17.91</v>
      </c>
      <c r="P106" s="14" t="s">
        <v>56</v>
      </c>
      <c r="Q106" s="10" t="str">
        <f t="shared" si="21"/>
        <v xml:space="preserve">TAESA       -UNT </v>
      </c>
      <c r="R106" s="55">
        <f t="shared" si="22"/>
        <v>41655</v>
      </c>
      <c r="S106" s="5">
        <f t="shared" si="23"/>
        <v>17.95</v>
      </c>
      <c r="T106" s="5">
        <f t="shared" si="24"/>
        <v>17.96</v>
      </c>
      <c r="U106" s="5">
        <f t="shared" si="25"/>
        <v>18.079999999999998</v>
      </c>
      <c r="V106" s="5">
        <f t="shared" si="26"/>
        <v>17.91</v>
      </c>
    </row>
    <row r="107" spans="1:22">
      <c r="A107" s="35" t="str">
        <f>IF(Tabela1[[#This Row],[Código]]="IBOV","^BVSP",IF(Tabela1[[#This Row],[Código]]="","",CONCATENATE(LEFT(Tabela1[[#This Row],[Código]],6),".SA")))</f>
        <v>TBLE3.SA</v>
      </c>
      <c r="C107" s="3" t="s">
        <v>193</v>
      </c>
      <c r="D107" s="3" t="s">
        <v>700</v>
      </c>
      <c r="E107" s="3" t="s">
        <v>701</v>
      </c>
      <c r="F107" s="3" t="s">
        <v>702</v>
      </c>
      <c r="G107" s="3" t="s">
        <v>700</v>
      </c>
      <c r="H107" s="55">
        <v>41655</v>
      </c>
      <c r="J107" s="3">
        <f t="shared" si="20"/>
        <v>35.06</v>
      </c>
      <c r="K107" s="3">
        <f t="shared" si="20"/>
        <v>35.25</v>
      </c>
      <c r="L107" s="3">
        <f t="shared" si="20"/>
        <v>35.43</v>
      </c>
      <c r="M107" s="3">
        <f t="shared" si="20"/>
        <v>35.06</v>
      </c>
      <c r="P107" s="14" t="s">
        <v>192</v>
      </c>
      <c r="Q107" s="10" t="str">
        <f t="shared" si="21"/>
        <v xml:space="preserve">TRACTEBEL   -ON  </v>
      </c>
      <c r="R107" s="55">
        <f t="shared" si="22"/>
        <v>41655</v>
      </c>
      <c r="S107" s="5">
        <f t="shared" si="23"/>
        <v>35.06</v>
      </c>
      <c r="T107" s="5">
        <f t="shared" si="24"/>
        <v>35.25</v>
      </c>
      <c r="U107" s="5">
        <f t="shared" si="25"/>
        <v>35.43</v>
      </c>
      <c r="V107" s="5">
        <f t="shared" si="26"/>
        <v>35.06</v>
      </c>
    </row>
    <row r="108" spans="1:22">
      <c r="A108" s="35" t="str">
        <f>IF(Tabela1[[#This Row],[Código]]="IBOV","^BVSP",IF(Tabela1[[#This Row],[Código]]="","",CONCATENATE(LEFT(Tabela1[[#This Row],[Código]],6),".SA")))</f>
        <v>TRPL3.SA</v>
      </c>
      <c r="C108" s="3" t="s">
        <v>174</v>
      </c>
      <c r="D108" s="3" t="s">
        <v>567</v>
      </c>
      <c r="E108" s="3" t="s">
        <v>568</v>
      </c>
      <c r="F108" s="3" t="s">
        <v>568</v>
      </c>
      <c r="G108" s="3" t="s">
        <v>567</v>
      </c>
      <c r="H108" s="55">
        <v>41655</v>
      </c>
      <c r="J108" s="3">
        <f t="shared" si="20"/>
        <v>41.5</v>
      </c>
      <c r="K108" s="3">
        <f t="shared" si="20"/>
        <v>42</v>
      </c>
      <c r="L108" s="3">
        <f t="shared" si="20"/>
        <v>42</v>
      </c>
      <c r="M108" s="3">
        <f t="shared" si="20"/>
        <v>41.5</v>
      </c>
      <c r="P108" s="14" t="s">
        <v>169</v>
      </c>
      <c r="Q108" s="10" t="str">
        <f t="shared" si="21"/>
        <v xml:space="preserve">TRAN PAULIST-ON  </v>
      </c>
      <c r="R108" s="55">
        <f t="shared" si="22"/>
        <v>41655</v>
      </c>
      <c r="S108" s="5">
        <f t="shared" si="23"/>
        <v>41.5</v>
      </c>
      <c r="T108" s="5">
        <f t="shared" si="24"/>
        <v>42</v>
      </c>
      <c r="U108" s="5">
        <f t="shared" si="25"/>
        <v>42</v>
      </c>
      <c r="V108" s="5">
        <f t="shared" si="26"/>
        <v>41.5</v>
      </c>
    </row>
    <row r="109" spans="1:22">
      <c r="A109" s="35" t="str">
        <f>IF(Tabela1[[#This Row],[Código]]="IBOV","^BVSP",IF(Tabela1[[#This Row],[Código]]="","",CONCATENATE(LEFT(Tabela1[[#This Row],[Código]],6),".SA")))</f>
        <v>TRPL4.SA</v>
      </c>
      <c r="C109" s="3" t="s">
        <v>175</v>
      </c>
      <c r="D109" s="3" t="s">
        <v>703</v>
      </c>
      <c r="E109" s="3" t="s">
        <v>704</v>
      </c>
      <c r="F109" s="3" t="s">
        <v>705</v>
      </c>
      <c r="G109" s="3" t="s">
        <v>706</v>
      </c>
      <c r="H109" s="55">
        <v>41655</v>
      </c>
      <c r="J109" s="3">
        <f t="shared" si="20"/>
        <v>26.96</v>
      </c>
      <c r="K109" s="3">
        <f t="shared" si="20"/>
        <v>26.71</v>
      </c>
      <c r="L109" s="3">
        <f t="shared" si="20"/>
        <v>27.14</v>
      </c>
      <c r="M109" s="3">
        <f t="shared" si="20"/>
        <v>26.49</v>
      </c>
      <c r="P109" s="14" t="s">
        <v>170</v>
      </c>
      <c r="Q109" s="10" t="str">
        <f t="shared" si="21"/>
        <v xml:space="preserve">TRAN PAULIST-PN  </v>
      </c>
      <c r="R109" s="55">
        <f t="shared" si="22"/>
        <v>41655</v>
      </c>
      <c r="S109" s="5">
        <f t="shared" si="23"/>
        <v>26.96</v>
      </c>
      <c r="T109" s="5">
        <f t="shared" si="24"/>
        <v>26.71</v>
      </c>
      <c r="U109" s="5">
        <f t="shared" si="25"/>
        <v>27.14</v>
      </c>
      <c r="V109" s="5">
        <f t="shared" si="26"/>
        <v>26.49</v>
      </c>
    </row>
    <row r="110" spans="1:22">
      <c r="A110" s="35" t="str">
        <f>IF(Tabela1[[#This Row],[Código]]="IBOV","^BVSP",IF(Tabela1[[#This Row],[Código]]="","",CONCATENATE(LEFT(Tabela1[[#This Row],[Código]],6),".SA")))</f>
        <v>UNIP5.SA</v>
      </c>
      <c r="C110" s="3" t="s">
        <v>167</v>
      </c>
      <c r="D110" s="3" t="s">
        <v>526</v>
      </c>
      <c r="E110" s="3" t="s">
        <v>526</v>
      </c>
      <c r="F110" s="3" t="s">
        <v>526</v>
      </c>
      <c r="G110" s="3" t="s">
        <v>526</v>
      </c>
      <c r="H110" s="55">
        <v>41655</v>
      </c>
      <c r="J110" s="3">
        <f t="shared" si="20"/>
        <v>0.66</v>
      </c>
      <c r="K110" s="3">
        <f t="shared" si="20"/>
        <v>0.66</v>
      </c>
      <c r="L110" s="3">
        <f t="shared" si="20"/>
        <v>0.66</v>
      </c>
      <c r="M110" s="3">
        <f t="shared" si="20"/>
        <v>0.66</v>
      </c>
      <c r="P110" s="15" t="s">
        <v>74</v>
      </c>
      <c r="Q110" s="10" t="str">
        <f t="shared" si="21"/>
        <v>UNIPAR      -PNA</v>
      </c>
      <c r="R110" s="55">
        <f t="shared" si="22"/>
        <v>41655</v>
      </c>
      <c r="S110" s="5">
        <f t="shared" si="23"/>
        <v>0.66</v>
      </c>
      <c r="T110" s="5">
        <f t="shared" si="24"/>
        <v>0.66</v>
      </c>
      <c r="U110" s="5">
        <f t="shared" si="25"/>
        <v>0.66</v>
      </c>
      <c r="V110" s="5">
        <f t="shared" si="26"/>
        <v>0.66</v>
      </c>
    </row>
    <row r="111" spans="1:22">
      <c r="A111" s="35" t="str">
        <f>IF(Tabela1[[#This Row],[Código]]="IBOV","^BVSP",IF(Tabela1[[#This Row],[Código]]="","",CONCATENATE(LEFT(Tabela1[[#This Row],[Código]],6),".SA")))</f>
        <v>UNIP6.SA</v>
      </c>
      <c r="C111" s="3" t="s">
        <v>168</v>
      </c>
      <c r="D111" s="3" t="s">
        <v>482</v>
      </c>
      <c r="E111" s="3" t="s">
        <v>482</v>
      </c>
      <c r="F111" s="3" t="s">
        <v>482</v>
      </c>
      <c r="G111" s="3" t="s">
        <v>482</v>
      </c>
      <c r="H111" s="55">
        <v>41655</v>
      </c>
      <c r="J111" s="3">
        <f t="shared" si="20"/>
        <v>0.5</v>
      </c>
      <c r="K111" s="3">
        <f t="shared" si="20"/>
        <v>0.5</v>
      </c>
      <c r="L111" s="3">
        <f t="shared" si="20"/>
        <v>0.5</v>
      </c>
      <c r="M111" s="3">
        <f t="shared" si="20"/>
        <v>0.5</v>
      </c>
      <c r="P111" s="14" t="s">
        <v>39</v>
      </c>
      <c r="Q111" s="10" t="str">
        <f t="shared" si="21"/>
        <v>UNIPAR      -PNB</v>
      </c>
      <c r="R111" s="55">
        <f t="shared" si="22"/>
        <v>41655</v>
      </c>
      <c r="S111" s="5">
        <f t="shared" si="23"/>
        <v>0.5</v>
      </c>
      <c r="T111" s="5">
        <f t="shared" si="24"/>
        <v>0.5</v>
      </c>
      <c r="U111" s="5">
        <f t="shared" si="25"/>
        <v>0.5</v>
      </c>
      <c r="V111" s="5">
        <f t="shared" si="26"/>
        <v>0.5</v>
      </c>
    </row>
    <row r="112" spans="1:22">
      <c r="A112" s="35" t="str">
        <f>IF(Tabela1[[#This Row],[Código]]="IBOV","^BVSP",IF(Tabela1[[#This Row],[Código]]="","",CONCATENATE(LEFT(Tabela1[[#This Row],[Código]],6),".SA")))</f>
        <v>PATI3.SA</v>
      </c>
      <c r="C112" s="3" t="s">
        <v>588</v>
      </c>
      <c r="D112" s="3" t="s">
        <v>124</v>
      </c>
      <c r="E112" s="3" t="s">
        <v>124</v>
      </c>
      <c r="F112" s="3" t="s">
        <v>124</v>
      </c>
      <c r="G112" s="3" t="s">
        <v>124</v>
      </c>
      <c r="H112" s="55">
        <v>41655</v>
      </c>
      <c r="J112" s="3">
        <f t="shared" ref="J112:J121" si="27">IF($A112="",0,VALUE(CONCATENATE(LEFT(D112,LEN(D112)-3),",",RIGHT(D112,2))))</f>
        <v>18</v>
      </c>
      <c r="K112" s="3">
        <f t="shared" si="20"/>
        <v>18</v>
      </c>
      <c r="L112" s="3">
        <f t="shared" si="20"/>
        <v>18</v>
      </c>
      <c r="M112" s="3">
        <f t="shared" si="20"/>
        <v>18</v>
      </c>
      <c r="P112" s="3" t="s">
        <v>585</v>
      </c>
      <c r="Q112" s="10" t="str">
        <f t="shared" si="21"/>
        <v>PANATLANTICA-ON</v>
      </c>
      <c r="R112" s="55">
        <f t="shared" si="22"/>
        <v>41655</v>
      </c>
      <c r="S112" s="5">
        <f t="shared" si="23"/>
        <v>18</v>
      </c>
      <c r="T112" s="5">
        <f t="shared" si="24"/>
        <v>18</v>
      </c>
      <c r="U112" s="5">
        <f t="shared" si="25"/>
        <v>18</v>
      </c>
      <c r="V112" s="5">
        <f t="shared" si="26"/>
        <v>18</v>
      </c>
    </row>
    <row r="113" spans="1:22">
      <c r="A113" s="35"/>
      <c r="C113" s="3" t="s">
        <v>105</v>
      </c>
      <c r="H113" s="55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5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5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5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5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5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5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5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5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5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5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5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5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5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5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5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5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5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5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5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5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5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5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5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5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5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5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5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5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5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5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5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5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5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5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5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5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5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5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5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5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5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5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5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5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5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5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5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5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5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5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5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5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5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5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5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5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5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5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5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5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5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5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5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5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5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5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5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5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5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5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5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5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5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5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5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5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5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5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5"/>
    </row>
    <row r="174" spans="1:13">
      <c r="A174" s="35"/>
    </row>
    <row r="175" spans="1:13">
      <c r="A175" s="35"/>
    </row>
    <row r="176" spans="1:13">
      <c r="A176" s="35"/>
    </row>
    <row r="177" spans="1:1">
      <c r="A177" s="35"/>
    </row>
    <row r="178" spans="1:1">
      <c r="A178" s="35"/>
    </row>
    <row r="179" spans="1:1">
      <c r="A179" s="35"/>
    </row>
    <row r="180" spans="1:1">
      <c r="A180" s="35"/>
    </row>
    <row r="181" spans="1:1">
      <c r="A181" s="35"/>
    </row>
    <row r="182" spans="1:1">
      <c r="A182" s="35"/>
    </row>
    <row r="183" spans="1:1">
      <c r="A183" s="35"/>
    </row>
    <row r="184" spans="1:1">
      <c r="A184" s="35"/>
    </row>
    <row r="185" spans="1:1">
      <c r="A185" s="35"/>
    </row>
    <row r="186" spans="1:1">
      <c r="A186" s="35"/>
    </row>
    <row r="187" spans="1:1">
      <c r="A187" s="35"/>
    </row>
    <row r="188" spans="1:1">
      <c r="A188" s="35"/>
    </row>
    <row r="189" spans="1:1">
      <c r="A189" s="35"/>
    </row>
    <row r="190" spans="1:1">
      <c r="A190" s="35"/>
    </row>
    <row r="191" spans="1:1">
      <c r="A191" s="35"/>
    </row>
    <row r="192" spans="1:1">
      <c r="A192" s="35"/>
    </row>
    <row r="193" spans="1:1">
      <c r="A193" s="35"/>
    </row>
    <row r="194" spans="1:1">
      <c r="A194" s="35"/>
    </row>
    <row r="195" spans="1:1">
      <c r="A195" s="35"/>
    </row>
    <row r="196" spans="1:1">
      <c r="A196" s="35"/>
    </row>
    <row r="197" spans="1:1">
      <c r="A197" s="35"/>
    </row>
    <row r="198" spans="1:1">
      <c r="A198" s="35"/>
    </row>
    <row r="199" spans="1:1">
      <c r="A199" s="35"/>
    </row>
    <row r="200" spans="1:1">
      <c r="A200" s="35"/>
    </row>
    <row r="201" spans="1:1">
      <c r="A201" s="35"/>
    </row>
    <row r="202" spans="1:1">
      <c r="A202" s="35"/>
    </row>
    <row r="203" spans="1:1">
      <c r="A203" s="35"/>
    </row>
    <row r="204" spans="1:1">
      <c r="A204" s="35"/>
    </row>
    <row r="205" spans="1:1">
      <c r="A205" s="35"/>
    </row>
    <row r="206" spans="1:1">
      <c r="A206" s="35"/>
    </row>
    <row r="207" spans="1:1">
      <c r="A207" s="35"/>
    </row>
    <row r="208" spans="1:1">
      <c r="A208" s="35"/>
    </row>
    <row r="209" spans="1:1">
      <c r="A209" s="35"/>
    </row>
    <row r="210" spans="1:1">
      <c r="A210" s="35"/>
    </row>
    <row r="211" spans="1:1">
      <c r="A211" s="35"/>
    </row>
    <row r="212" spans="1:1">
      <c r="A212" s="35"/>
    </row>
    <row r="213" spans="1:1">
      <c r="A213" s="35"/>
    </row>
    <row r="214" spans="1:1">
      <c r="A214" s="35"/>
    </row>
    <row r="215" spans="1:1">
      <c r="A215" s="35"/>
    </row>
    <row r="216" spans="1:1">
      <c r="A216" s="35"/>
    </row>
    <row r="217" spans="1:1">
      <c r="A217" s="35"/>
    </row>
    <row r="218" spans="1:1">
      <c r="A218" s="35"/>
    </row>
    <row r="219" spans="1:1">
      <c r="A219" s="35"/>
    </row>
    <row r="220" spans="1:1">
      <c r="A220" s="35"/>
    </row>
    <row r="221" spans="1:1">
      <c r="A221" s="35"/>
    </row>
    <row r="222" spans="1:1">
      <c r="A222" s="35"/>
    </row>
    <row r="223" spans="1:1">
      <c r="A223" s="35"/>
    </row>
    <row r="224" spans="1:1">
      <c r="A224" s="35"/>
    </row>
    <row r="225" spans="1:1">
      <c r="A225" s="35"/>
    </row>
    <row r="226" spans="1:1">
      <c r="A226" s="35"/>
    </row>
    <row r="227" spans="1:1">
      <c r="A227" s="35"/>
    </row>
    <row r="228" spans="1:1">
      <c r="A228" s="35"/>
    </row>
    <row r="229" spans="1:1">
      <c r="A229" s="35"/>
    </row>
    <row r="230" spans="1:1">
      <c r="A230" s="35"/>
    </row>
    <row r="231" spans="1:1">
      <c r="A231" s="35"/>
    </row>
    <row r="232" spans="1:1">
      <c r="A232" s="35"/>
    </row>
    <row r="233" spans="1:1">
      <c r="A233" s="35"/>
    </row>
    <row r="234" spans="1:1">
      <c r="A234" s="35"/>
    </row>
    <row r="235" spans="1:1">
      <c r="A235" s="35"/>
    </row>
    <row r="236" spans="1:1">
      <c r="A236" s="35"/>
    </row>
    <row r="237" spans="1:1">
      <c r="A237" s="35"/>
    </row>
    <row r="238" spans="1:1">
      <c r="A238" s="35"/>
    </row>
    <row r="239" spans="1:1">
      <c r="A239" s="35"/>
    </row>
    <row r="240" spans="1:1">
      <c r="A240" s="35"/>
    </row>
    <row r="241" spans="1:1">
      <c r="A241" s="35"/>
    </row>
    <row r="242" spans="1:1">
      <c r="A242" s="35"/>
    </row>
    <row r="243" spans="1:1">
      <c r="A243" s="35"/>
    </row>
    <row r="244" spans="1:1">
      <c r="A244" s="35"/>
    </row>
    <row r="245" spans="1:1">
      <c r="A245" s="35"/>
    </row>
    <row r="246" spans="1:1">
      <c r="A246" s="35"/>
    </row>
    <row r="247" spans="1:1">
      <c r="A247" s="35"/>
    </row>
    <row r="248" spans="1:1">
      <c r="A248" s="35"/>
    </row>
    <row r="249" spans="1:1">
      <c r="A249" s="35"/>
    </row>
    <row r="250" spans="1:1">
      <c r="A250" s="35"/>
    </row>
    <row r="251" spans="1:1">
      <c r="A251" s="35"/>
    </row>
    <row r="252" spans="1:1">
      <c r="A252" s="35"/>
    </row>
    <row r="253" spans="1:1">
      <c r="A253" s="35"/>
    </row>
    <row r="254" spans="1:1">
      <c r="A254" s="35"/>
    </row>
    <row r="255" spans="1:1">
      <c r="A255" s="35"/>
    </row>
    <row r="256" spans="1:1">
      <c r="A256" s="35"/>
    </row>
    <row r="257" spans="1:1">
      <c r="A257" s="35"/>
    </row>
    <row r="258" spans="1:1">
      <c r="A258" s="35"/>
    </row>
    <row r="259" spans="1:1">
      <c r="A259" s="35"/>
    </row>
    <row r="260" spans="1:1">
      <c r="A260" s="35"/>
    </row>
    <row r="261" spans="1:1">
      <c r="A261" s="35"/>
    </row>
    <row r="262" spans="1:1">
      <c r="A262" s="35"/>
    </row>
    <row r="263" spans="1:1">
      <c r="A263" s="35"/>
    </row>
    <row r="264" spans="1:1">
      <c r="A264" s="35"/>
    </row>
    <row r="265" spans="1:1">
      <c r="A265" s="35"/>
    </row>
    <row r="266" spans="1:1">
      <c r="A266" s="35"/>
    </row>
    <row r="267" spans="1:1">
      <c r="A267" s="35"/>
    </row>
    <row r="268" spans="1:1">
      <c r="A268" s="35"/>
    </row>
    <row r="269" spans="1:1">
      <c r="A269" s="35"/>
    </row>
    <row r="270" spans="1:1">
      <c r="A270" s="35"/>
    </row>
    <row r="271" spans="1:1">
      <c r="A271" s="35"/>
    </row>
    <row r="272" spans="1:1">
      <c r="A272" s="35"/>
    </row>
    <row r="273" spans="1:1">
      <c r="A273" s="35"/>
    </row>
    <row r="274" spans="1:1">
      <c r="A274" s="35"/>
    </row>
    <row r="275" spans="1:1">
      <c r="A275" s="35"/>
    </row>
    <row r="276" spans="1:1">
      <c r="A276" s="35"/>
    </row>
    <row r="277" spans="1:1">
      <c r="A277" s="35"/>
    </row>
    <row r="278" spans="1:1">
      <c r="A278" s="35"/>
    </row>
    <row r="279" spans="1:1">
      <c r="A279" s="35"/>
    </row>
    <row r="280" spans="1:1">
      <c r="A280" s="35"/>
    </row>
    <row r="281" spans="1:1">
      <c r="A281" s="35"/>
    </row>
    <row r="282" spans="1:1">
      <c r="A282" s="35"/>
    </row>
    <row r="283" spans="1:1">
      <c r="A283" s="35"/>
    </row>
    <row r="284" spans="1:1">
      <c r="A284" s="35"/>
    </row>
    <row r="285" spans="1:1">
      <c r="A285" s="35"/>
    </row>
    <row r="286" spans="1:1">
      <c r="A286" s="35"/>
    </row>
    <row r="287" spans="1:1">
      <c r="A287" s="35"/>
    </row>
    <row r="288" spans="1:1">
      <c r="A288" s="35"/>
    </row>
    <row r="289" spans="1:1">
      <c r="A289" s="35"/>
    </row>
    <row r="290" spans="1:1">
      <c r="A290" s="35"/>
    </row>
    <row r="291" spans="1:1">
      <c r="A291" s="35"/>
    </row>
    <row r="292" spans="1:1">
      <c r="A292" s="35"/>
    </row>
    <row r="293" spans="1:1">
      <c r="A293" s="35"/>
    </row>
    <row r="294" spans="1:1">
      <c r="A294" s="35"/>
    </row>
    <row r="295" spans="1:1">
      <c r="A295" s="35"/>
    </row>
    <row r="296" spans="1:1">
      <c r="A296" s="35"/>
    </row>
    <row r="297" spans="1:1">
      <c r="A297" s="35"/>
    </row>
    <row r="298" spans="1:1">
      <c r="A298" s="35"/>
    </row>
    <row r="299" spans="1:1">
      <c r="A299" s="35"/>
    </row>
    <row r="300" spans="1:1">
      <c r="A300" s="35"/>
    </row>
    <row r="301" spans="1:1">
      <c r="A301" s="35"/>
    </row>
    <row r="302" spans="1:1">
      <c r="A302" s="35"/>
    </row>
    <row r="303" spans="1:1">
      <c r="A303" s="35"/>
    </row>
    <row r="304" spans="1:1">
      <c r="A304" s="35"/>
    </row>
    <row r="305" spans="1:1">
      <c r="A305" s="35"/>
    </row>
    <row r="306" spans="1:1">
      <c r="A306" s="35"/>
    </row>
    <row r="307" spans="1:1">
      <c r="A307" s="35"/>
    </row>
    <row r="308" spans="1:1">
      <c r="A308" s="35"/>
    </row>
    <row r="309" spans="1:1">
      <c r="A309" s="35"/>
    </row>
    <row r="310" spans="1:1">
      <c r="A310" s="35"/>
    </row>
    <row r="311" spans="1:1">
      <c r="A311" s="35"/>
    </row>
    <row r="312" spans="1:1">
      <c r="A312" s="35"/>
    </row>
    <row r="313" spans="1:1">
      <c r="A313" s="35"/>
    </row>
    <row r="314" spans="1:1">
      <c r="A314" s="35"/>
    </row>
    <row r="315" spans="1:1">
      <c r="A315" s="35"/>
    </row>
    <row r="316" spans="1:1">
      <c r="A316" s="35"/>
    </row>
    <row r="317" spans="1:1">
      <c r="A317" s="35"/>
    </row>
    <row r="318" spans="1:1">
      <c r="A318" s="35"/>
    </row>
    <row r="319" spans="1:1">
      <c r="A319" s="35"/>
    </row>
    <row r="320" spans="1:1">
      <c r="A320" s="35"/>
    </row>
    <row r="321" spans="1:1">
      <c r="A321" s="35"/>
    </row>
    <row r="322" spans="1:1">
      <c r="A322" s="35"/>
    </row>
    <row r="323" spans="1:1">
      <c r="A323" s="35"/>
    </row>
    <row r="324" spans="1:1">
      <c r="A324" s="35"/>
    </row>
    <row r="325" spans="1:1">
      <c r="A325" s="35"/>
    </row>
    <row r="326" spans="1:1">
      <c r="A326" s="35"/>
    </row>
    <row r="327" spans="1:1">
      <c r="A327" s="35"/>
    </row>
    <row r="328" spans="1:1">
      <c r="A328" s="35"/>
    </row>
    <row r="329" spans="1:1">
      <c r="A329" s="35"/>
    </row>
    <row r="330" spans="1:1">
      <c r="A330" s="35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599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3" t="s">
        <v>45</v>
      </c>
      <c r="Q6" s="33" t="s">
        <v>0</v>
      </c>
      <c r="R6" s="34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5" t="str">
        <f>IF(Tabela17[[#This Row],[Código]]="IBOV","^BVSP",IF(Tabela17[[#This Row],[Código]]="","",CONCATENATE(LEFT(Tabela17[[#This Row],[Código]],6),".SA")))</f>
        <v>PETR3.SA</v>
      </c>
      <c r="C7" s="3" t="s">
        <v>275</v>
      </c>
      <c r="D7" s="3" t="s">
        <v>707</v>
      </c>
      <c r="E7" s="3" t="s">
        <v>708</v>
      </c>
      <c r="F7" s="3" t="s">
        <v>709</v>
      </c>
      <c r="G7" s="3" t="s">
        <v>710</v>
      </c>
      <c r="H7" s="55">
        <v>41655</v>
      </c>
      <c r="J7" s="3">
        <f>IF($A7="",0,VALUE(CONCATENATE(LEFT(D7,LEN(D7)-3),",",RIGHT(D7,2))))</f>
        <v>15.14</v>
      </c>
      <c r="K7" s="3">
        <f t="shared" ref="K7:M22" si="0">IF($A7="",0,VALUE(CONCATENATE(LEFT(E7,LEN(E7)-3),",",RIGHT(E7,2))))</f>
        <v>14.98</v>
      </c>
      <c r="L7" s="3">
        <f t="shared" si="0"/>
        <v>15.23</v>
      </c>
      <c r="M7" s="3">
        <f t="shared" si="0"/>
        <v>14.8</v>
      </c>
      <c r="P7" s="14" t="s">
        <v>20</v>
      </c>
      <c r="Q7" s="10" t="str">
        <f t="shared" ref="Q7:Q70" si="1">IF(A7="","",C7)</f>
        <v>PETROBRAS   -ON</v>
      </c>
      <c r="R7" s="55">
        <f t="shared" ref="R7:R70" si="2">IF(A7="","",H7)</f>
        <v>41655</v>
      </c>
      <c r="S7" s="5">
        <f t="shared" ref="S7:V38" si="3">J7</f>
        <v>15.14</v>
      </c>
      <c r="T7" s="5">
        <f t="shared" si="3"/>
        <v>14.98</v>
      </c>
      <c r="U7" s="5">
        <f t="shared" si="3"/>
        <v>15.23</v>
      </c>
      <c r="V7" s="5">
        <f t="shared" si="3"/>
        <v>14.8</v>
      </c>
    </row>
    <row r="8" spans="1:22">
      <c r="A8" s="35" t="str">
        <f>IF(Tabela17[[#This Row],[Código]]="IBOV","^BVSP",IF(Tabela17[[#This Row],[Código]]="","",CONCATENATE(LEFT(Tabela17[[#This Row],[Código]],6),".SA")))</f>
        <v>PETR4.SA</v>
      </c>
      <c r="C8" s="3" t="s">
        <v>272</v>
      </c>
      <c r="D8" s="3" t="s">
        <v>569</v>
      </c>
      <c r="E8" s="3" t="s">
        <v>711</v>
      </c>
      <c r="F8" s="3" t="s">
        <v>712</v>
      </c>
      <c r="G8" s="3" t="s">
        <v>713</v>
      </c>
      <c r="H8" s="55">
        <v>41655</v>
      </c>
      <c r="J8" s="3">
        <f t="shared" ref="J8:M71" si="4">IF($A8="",0,VALUE(CONCATENATE(LEFT(D8,LEN(D8)-3),",",RIGHT(D8,2))))</f>
        <v>16.04</v>
      </c>
      <c r="K8" s="3">
        <f t="shared" si="0"/>
        <v>16.02</v>
      </c>
      <c r="L8" s="3">
        <f t="shared" si="0"/>
        <v>16.190000000000001</v>
      </c>
      <c r="M8" s="3">
        <f t="shared" si="0"/>
        <v>15.83</v>
      </c>
      <c r="P8" s="14" t="s">
        <v>21</v>
      </c>
      <c r="Q8" s="10" t="str">
        <f t="shared" si="1"/>
        <v>PETROBRAS   -PN</v>
      </c>
      <c r="R8" s="55">
        <f t="shared" si="2"/>
        <v>41655</v>
      </c>
      <c r="S8" s="5">
        <f t="shared" si="3"/>
        <v>16.04</v>
      </c>
      <c r="T8" s="5">
        <f t="shared" si="3"/>
        <v>16.02</v>
      </c>
      <c r="U8" s="5">
        <f t="shared" si="3"/>
        <v>16.190000000000001</v>
      </c>
      <c r="V8" s="5">
        <f t="shared" si="3"/>
        <v>15.83</v>
      </c>
    </row>
    <row r="9" spans="1:22">
      <c r="A9" s="35" t="str">
        <f>IF(Tabela17[[#This Row],[Código]]="IBOV","^BVSP",IF(Tabela17[[#This Row],[Código]]="","",CONCATENATE(LEFT(Tabela17[[#This Row],[Código]],6),".SA")))</f>
        <v>QGEP3.SA</v>
      </c>
      <c r="C9" s="3" t="s">
        <v>278</v>
      </c>
      <c r="D9" s="3" t="s">
        <v>232</v>
      </c>
      <c r="E9" s="3" t="s">
        <v>645</v>
      </c>
      <c r="F9" s="3" t="s">
        <v>714</v>
      </c>
      <c r="G9" s="3" t="s">
        <v>715</v>
      </c>
      <c r="H9" s="55">
        <v>41655</v>
      </c>
      <c r="J9" s="3">
        <f t="shared" si="4"/>
        <v>9.69</v>
      </c>
      <c r="K9" s="3">
        <f t="shared" si="0"/>
        <v>9.73</v>
      </c>
      <c r="L9" s="3">
        <f t="shared" si="0"/>
        <v>9.92</v>
      </c>
      <c r="M9" s="3">
        <f t="shared" si="0"/>
        <v>9.66</v>
      </c>
      <c r="P9" s="15" t="s">
        <v>277</v>
      </c>
      <c r="Q9" s="10" t="str">
        <f t="shared" si="1"/>
        <v xml:space="preserve">QGEP PART   -ON  </v>
      </c>
      <c r="R9" s="55">
        <f t="shared" si="2"/>
        <v>41655</v>
      </c>
      <c r="S9" s="5">
        <f t="shared" si="3"/>
        <v>9.69</v>
      </c>
      <c r="T9" s="5">
        <f t="shared" si="3"/>
        <v>9.73</v>
      </c>
      <c r="U9" s="5">
        <f t="shared" si="3"/>
        <v>9.92</v>
      </c>
      <c r="V9" s="5">
        <f t="shared" si="3"/>
        <v>9.66</v>
      </c>
    </row>
    <row r="10" spans="1:22">
      <c r="A10" s="35" t="str">
        <f>IF(Tabela17[[#This Row],[Código]]="IBOV","^BVSP",IF(Tabela17[[#This Row],[Código]]="","",CONCATENATE(LEFT(Tabela17[[#This Row],[Código]],6),".SA")))</f>
        <v>SULA11.SA</v>
      </c>
      <c r="C10" s="3" t="s">
        <v>279</v>
      </c>
      <c r="D10" s="3" t="s">
        <v>716</v>
      </c>
      <c r="E10" s="3" t="s">
        <v>717</v>
      </c>
      <c r="F10" s="3" t="s">
        <v>718</v>
      </c>
      <c r="G10" s="3" t="s">
        <v>719</v>
      </c>
      <c r="H10" s="55">
        <v>41655</v>
      </c>
      <c r="J10" s="3">
        <f t="shared" si="4"/>
        <v>14.14</v>
      </c>
      <c r="K10" s="3">
        <f t="shared" si="0"/>
        <v>14.04</v>
      </c>
      <c r="L10" s="3">
        <f t="shared" si="0"/>
        <v>14.18</v>
      </c>
      <c r="M10" s="3">
        <f t="shared" si="0"/>
        <v>13.95</v>
      </c>
      <c r="P10" s="14" t="s">
        <v>57</v>
      </c>
      <c r="Q10" s="10" t="str">
        <f t="shared" si="1"/>
        <v xml:space="preserve">SUL AMERICA -UNT </v>
      </c>
      <c r="R10" s="55">
        <f t="shared" si="2"/>
        <v>41655</v>
      </c>
      <c r="S10" s="5">
        <f t="shared" si="3"/>
        <v>14.14</v>
      </c>
      <c r="T10" s="5">
        <f t="shared" si="3"/>
        <v>14.04</v>
      </c>
      <c r="U10" s="5">
        <f t="shared" si="3"/>
        <v>14.18</v>
      </c>
      <c r="V10" s="5">
        <f t="shared" si="3"/>
        <v>13.95</v>
      </c>
    </row>
    <row r="11" spans="1:22">
      <c r="A11" s="35" t="str">
        <f>IF(Tabela17[[#This Row],[Código]]="IBOV","^BVSP",IF(Tabela17[[#This Row],[Código]]="","",CONCATENATE(LEFT(Tabela17[[#This Row],[Código]],6),".SA")))</f>
        <v>CSAB3.SA</v>
      </c>
      <c r="C11" s="3" t="s">
        <v>282</v>
      </c>
      <c r="D11" s="3" t="s">
        <v>283</v>
      </c>
      <c r="E11" s="3" t="s">
        <v>283</v>
      </c>
      <c r="F11" s="3" t="s">
        <v>283</v>
      </c>
      <c r="G11" s="3" t="s">
        <v>283</v>
      </c>
      <c r="H11" s="55">
        <v>41655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280</v>
      </c>
      <c r="Q11" s="10" t="str">
        <f t="shared" si="1"/>
        <v>SEG AL BAHIA-ON</v>
      </c>
      <c r="R11" s="55">
        <f t="shared" si="2"/>
        <v>41655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5" t="str">
        <f>IF(Tabela17[[#This Row],[Código]]="IBOV","^BVSP",IF(Tabela17[[#This Row],[Código]]="","",CONCATENATE(LEFT(Tabela17[[#This Row],[Código]],6),".SA")))</f>
        <v>CSAB4.SA</v>
      </c>
      <c r="C12" s="3" t="s">
        <v>284</v>
      </c>
      <c r="D12" s="3" t="s">
        <v>465</v>
      </c>
      <c r="E12" s="3" t="s">
        <v>465</v>
      </c>
      <c r="F12" s="3" t="s">
        <v>465</v>
      </c>
      <c r="G12" s="3" t="s">
        <v>465</v>
      </c>
      <c r="H12" s="55">
        <v>41655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281</v>
      </c>
      <c r="Q12" s="10" t="str">
        <f t="shared" si="1"/>
        <v>SEG AL BAHIA-PN</v>
      </c>
      <c r="R12" s="55">
        <f t="shared" si="2"/>
        <v>41655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5" t="str">
        <f>IF(Tabela17[[#This Row],[Código]]="IBOV","^BVSP",IF(Tabela17[[#This Row],[Código]]="","",CONCATENATE(LEFT(Tabela17[[#This Row],[Código]],6),".SA")))</f>
        <v>BBSE3.SA</v>
      </c>
      <c r="C13" s="3" t="s">
        <v>285</v>
      </c>
      <c r="D13" s="3" t="s">
        <v>720</v>
      </c>
      <c r="E13" s="3" t="s">
        <v>721</v>
      </c>
      <c r="F13" s="3" t="s">
        <v>523</v>
      </c>
      <c r="G13" s="3" t="s">
        <v>722</v>
      </c>
      <c r="H13" s="55">
        <v>41655</v>
      </c>
      <c r="J13" s="3">
        <f t="shared" si="4"/>
        <v>23.95</v>
      </c>
      <c r="K13" s="3">
        <f t="shared" si="0"/>
        <v>23.92</v>
      </c>
      <c r="L13" s="3">
        <f t="shared" si="0"/>
        <v>24.06</v>
      </c>
      <c r="M13" s="3">
        <f t="shared" si="0"/>
        <v>23.77</v>
      </c>
      <c r="P13" s="15" t="s">
        <v>25</v>
      </c>
      <c r="Q13" s="10" t="str">
        <f t="shared" si="1"/>
        <v xml:space="preserve">BBSEGURIDADE-ON  </v>
      </c>
      <c r="R13" s="55">
        <f t="shared" si="2"/>
        <v>41655</v>
      </c>
      <c r="S13" s="5">
        <f t="shared" si="3"/>
        <v>23.95</v>
      </c>
      <c r="T13" s="5">
        <f t="shared" si="3"/>
        <v>23.92</v>
      </c>
      <c r="U13" s="5">
        <f t="shared" si="3"/>
        <v>24.06</v>
      </c>
      <c r="V13" s="5">
        <f t="shared" si="3"/>
        <v>23.77</v>
      </c>
    </row>
    <row r="14" spans="1:22">
      <c r="A14" s="35" t="str">
        <f>IF(Tabela17[[#This Row],[Código]]="IBOV","^BVSP",IF(Tabela17[[#This Row],[Código]]="","",CONCATENATE(LEFT(Tabela17[[#This Row],[Código]],6),".SA")))</f>
        <v>JOPA3.SA</v>
      </c>
      <c r="C14" s="3" t="s">
        <v>288</v>
      </c>
      <c r="D14" s="3" t="s">
        <v>289</v>
      </c>
      <c r="E14" s="3" t="s">
        <v>289</v>
      </c>
      <c r="F14" s="3" t="s">
        <v>289</v>
      </c>
      <c r="G14" s="3" t="s">
        <v>289</v>
      </c>
      <c r="H14" s="55">
        <v>41655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286</v>
      </c>
      <c r="Q14" s="10" t="str">
        <f t="shared" si="1"/>
        <v>JOSAPAR     -ON</v>
      </c>
      <c r="R14" s="55">
        <f t="shared" si="2"/>
        <v>41655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5" t="str">
        <f>IF(Tabela17[[#This Row],[Código]]="IBOV","^BVSP",IF(Tabela17[[#This Row],[Código]]="","",CONCATENATE(LEFT(Tabela17[[#This Row],[Código]],6),".SA")))</f>
        <v>JOPA4.SA</v>
      </c>
      <c r="C15" s="3" t="s">
        <v>290</v>
      </c>
      <c r="D15" s="3" t="s">
        <v>475</v>
      </c>
      <c r="E15" s="3" t="s">
        <v>475</v>
      </c>
      <c r="F15" s="3" t="s">
        <v>475</v>
      </c>
      <c r="G15" s="3" t="s">
        <v>475</v>
      </c>
      <c r="H15" s="55">
        <v>41655</v>
      </c>
      <c r="J15" s="3">
        <f t="shared" si="4"/>
        <v>19.5</v>
      </c>
      <c r="K15" s="3">
        <f t="shared" si="0"/>
        <v>19.5</v>
      </c>
      <c r="L15" s="3">
        <f t="shared" si="0"/>
        <v>19.5</v>
      </c>
      <c r="M15" s="3">
        <f t="shared" si="0"/>
        <v>19.5</v>
      </c>
      <c r="P15" s="10" t="s">
        <v>287</v>
      </c>
      <c r="Q15" s="10" t="str">
        <f t="shared" si="1"/>
        <v>JOSAPAR     -PN</v>
      </c>
      <c r="R15" s="55">
        <f t="shared" si="2"/>
        <v>41655</v>
      </c>
      <c r="S15" s="5">
        <f t="shared" si="3"/>
        <v>19.5</v>
      </c>
      <c r="T15" s="5">
        <f t="shared" si="3"/>
        <v>19.5</v>
      </c>
      <c r="U15" s="5">
        <f t="shared" si="3"/>
        <v>19.5</v>
      </c>
      <c r="V15" s="5">
        <f t="shared" si="3"/>
        <v>19.5</v>
      </c>
    </row>
    <row r="16" spans="1:22">
      <c r="A16" s="35" t="str">
        <f>IF(Tabela17[[#This Row],[Código]]="IBOV","^BVSP",IF(Tabela17[[#This Row],[Código]]="","",CONCATENATE(LEFT(Tabela17[[#This Row],[Código]],6),".SA")))</f>
        <v>TERI3.SA</v>
      </c>
      <c r="C16" s="3" t="s">
        <v>291</v>
      </c>
      <c r="D16" s="3" t="s">
        <v>723</v>
      </c>
      <c r="E16" s="3" t="s">
        <v>724</v>
      </c>
      <c r="F16" s="3" t="s">
        <v>725</v>
      </c>
      <c r="G16" s="3" t="s">
        <v>553</v>
      </c>
      <c r="H16" s="55">
        <v>41655</v>
      </c>
      <c r="J16" s="3">
        <f t="shared" si="4"/>
        <v>2.4300000000000002</v>
      </c>
      <c r="K16" s="3">
        <f t="shared" si="0"/>
        <v>2.44</v>
      </c>
      <c r="L16" s="3">
        <f t="shared" si="0"/>
        <v>2.48</v>
      </c>
      <c r="M16" s="3">
        <f t="shared" si="0"/>
        <v>2.41</v>
      </c>
      <c r="P16" s="15" t="s">
        <v>79</v>
      </c>
      <c r="Q16" s="10" t="str">
        <f t="shared" si="1"/>
        <v xml:space="preserve">TEREOS      -ON  </v>
      </c>
      <c r="R16" s="55">
        <f t="shared" si="2"/>
        <v>41655</v>
      </c>
      <c r="S16" s="5">
        <f t="shared" si="3"/>
        <v>2.4300000000000002</v>
      </c>
      <c r="T16" s="5">
        <f t="shared" si="3"/>
        <v>2.44</v>
      </c>
      <c r="U16" s="5">
        <f t="shared" si="3"/>
        <v>2.48</v>
      </c>
      <c r="V16" s="5">
        <f t="shared" si="3"/>
        <v>2.41</v>
      </c>
    </row>
    <row r="17" spans="1:22">
      <c r="A17" s="35" t="str">
        <f>IF(Tabela17[[#This Row],[Código]]="IBOV","^BVSP",IF(Tabela17[[#This Row],[Código]]="","",CONCATENATE(LEFT(Tabela17[[#This Row],[Código]],6),".SA")))</f>
        <v>ELEK3.SA</v>
      </c>
      <c r="C17" s="3" t="s">
        <v>483</v>
      </c>
      <c r="D17" s="3" t="s">
        <v>295</v>
      </c>
      <c r="E17" s="3" t="s">
        <v>295</v>
      </c>
      <c r="F17" s="3" t="s">
        <v>295</v>
      </c>
      <c r="G17" s="3" t="s">
        <v>295</v>
      </c>
      <c r="H17" s="55">
        <v>41655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293</v>
      </c>
      <c r="Q17" s="10" t="str">
        <f t="shared" si="1"/>
        <v>ELEKEIROZ   -ON</v>
      </c>
      <c r="R17" s="55">
        <f t="shared" si="2"/>
        <v>41655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5" t="str">
        <f>IF(Tabela17[[#This Row],[Código]]="IBOV","^BVSP",IF(Tabela17[[#This Row],[Código]]="","",CONCATENATE(LEFT(Tabela17[[#This Row],[Código]],6),".SA")))</f>
        <v>ELEK4.SA</v>
      </c>
      <c r="C18" s="3" t="s">
        <v>484</v>
      </c>
      <c r="D18" s="3" t="s">
        <v>110</v>
      </c>
      <c r="E18" s="3" t="s">
        <v>385</v>
      </c>
      <c r="F18" s="3" t="s">
        <v>448</v>
      </c>
      <c r="G18" s="3" t="s">
        <v>110</v>
      </c>
      <c r="H18" s="55">
        <v>41655</v>
      </c>
      <c r="J18" s="3">
        <f t="shared" si="4"/>
        <v>9</v>
      </c>
      <c r="K18" s="3">
        <f t="shared" si="0"/>
        <v>9.5</v>
      </c>
      <c r="L18" s="3">
        <f t="shared" si="0"/>
        <v>9.89</v>
      </c>
      <c r="M18" s="3">
        <f t="shared" si="0"/>
        <v>9</v>
      </c>
      <c r="P18" s="14" t="s">
        <v>294</v>
      </c>
      <c r="Q18" s="10" t="str">
        <f t="shared" si="1"/>
        <v>ELEKEIROZ   -PN</v>
      </c>
      <c r="R18" s="55">
        <f t="shared" si="2"/>
        <v>41655</v>
      </c>
      <c r="S18" s="5">
        <f t="shared" si="3"/>
        <v>9</v>
      </c>
      <c r="T18" s="5">
        <f t="shared" si="3"/>
        <v>9.5</v>
      </c>
      <c r="U18" s="5">
        <f t="shared" si="3"/>
        <v>9.89</v>
      </c>
      <c r="V18" s="5">
        <f t="shared" si="3"/>
        <v>9</v>
      </c>
    </row>
    <row r="19" spans="1:22">
      <c r="A19" s="35" t="str">
        <f>IF(Tabela17[[#This Row],[Código]]="IBOV","^BVSP",IF(Tabela17[[#This Row],[Código]]="","",CONCATENATE(LEFT(Tabela17[[#This Row],[Código]],6),".SA")))</f>
        <v>BRKM3.SA</v>
      </c>
      <c r="C19" s="3" t="s">
        <v>299</v>
      </c>
      <c r="D19" s="3" t="s">
        <v>513</v>
      </c>
      <c r="E19" s="3" t="s">
        <v>513</v>
      </c>
      <c r="F19" s="3" t="s">
        <v>513</v>
      </c>
      <c r="G19" s="3" t="s">
        <v>513</v>
      </c>
      <c r="H19" s="55">
        <v>41655</v>
      </c>
      <c r="J19" s="3">
        <f t="shared" si="4"/>
        <v>15.9</v>
      </c>
      <c r="K19" s="3">
        <f t="shared" si="0"/>
        <v>15.9</v>
      </c>
      <c r="L19" s="3">
        <f t="shared" si="0"/>
        <v>15.9</v>
      </c>
      <c r="M19" s="3">
        <f t="shared" si="0"/>
        <v>15.9</v>
      </c>
      <c r="P19" s="14" t="s">
        <v>296</v>
      </c>
      <c r="Q19" s="10" t="str">
        <f t="shared" si="1"/>
        <v xml:space="preserve">BRASKEM     -ON  </v>
      </c>
      <c r="R19" s="55">
        <f t="shared" si="2"/>
        <v>41655</v>
      </c>
      <c r="S19" s="5">
        <f t="shared" si="3"/>
        <v>15.9</v>
      </c>
      <c r="T19" s="5">
        <f t="shared" si="3"/>
        <v>15.9</v>
      </c>
      <c r="U19" s="5">
        <f t="shared" si="3"/>
        <v>15.9</v>
      </c>
      <c r="V19" s="5">
        <f t="shared" si="3"/>
        <v>15.9</v>
      </c>
    </row>
    <row r="20" spans="1:22">
      <c r="A20" s="35" t="str">
        <f>IF(Tabela17[[#This Row],[Código]]="IBOV","^BVSP",IF(Tabela17[[#This Row],[Código]]="","",CONCATENATE(LEFT(Tabela17[[#This Row],[Código]],6),".SA")))</f>
        <v>BRKM5.SA</v>
      </c>
      <c r="C20" s="3" t="s">
        <v>300</v>
      </c>
      <c r="D20" s="3" t="s">
        <v>726</v>
      </c>
      <c r="E20" s="3" t="s">
        <v>727</v>
      </c>
      <c r="F20" s="3" t="s">
        <v>728</v>
      </c>
      <c r="G20" s="3" t="s">
        <v>529</v>
      </c>
      <c r="H20" s="55">
        <v>41655</v>
      </c>
      <c r="J20" s="3">
        <f t="shared" si="4"/>
        <v>20.22</v>
      </c>
      <c r="K20" s="3">
        <f t="shared" si="0"/>
        <v>20.18</v>
      </c>
      <c r="L20" s="3">
        <f t="shared" si="0"/>
        <v>20.28</v>
      </c>
      <c r="M20" s="3">
        <f t="shared" si="0"/>
        <v>20</v>
      </c>
      <c r="P20" s="14" t="s">
        <v>297</v>
      </c>
      <c r="Q20" s="10" t="str">
        <f t="shared" si="1"/>
        <v xml:space="preserve">BRASKEM     -PNA </v>
      </c>
      <c r="R20" s="55">
        <f t="shared" si="2"/>
        <v>41655</v>
      </c>
      <c r="S20" s="5">
        <f t="shared" si="3"/>
        <v>20.22</v>
      </c>
      <c r="T20" s="5">
        <f t="shared" si="3"/>
        <v>20.18</v>
      </c>
      <c r="U20" s="5">
        <f t="shared" si="3"/>
        <v>20.28</v>
      </c>
      <c r="V20" s="5">
        <f t="shared" si="3"/>
        <v>20</v>
      </c>
    </row>
    <row r="21" spans="1:22">
      <c r="A21" s="35" t="str">
        <f>IF(Tabela17[[#This Row],[Código]]="IBOV","^BVSP",IF(Tabela17[[#This Row],[Código]]="","",CONCATENATE(LEFT(Tabela17[[#This Row],[Código]],6),".SA")))</f>
        <v>BRKM6.SA</v>
      </c>
      <c r="C21" s="3" t="s">
        <v>301</v>
      </c>
      <c r="D21" s="3" t="s">
        <v>466</v>
      </c>
      <c r="E21" s="3" t="s">
        <v>466</v>
      </c>
      <c r="F21" s="3" t="s">
        <v>466</v>
      </c>
      <c r="G21" s="3" t="s">
        <v>466</v>
      </c>
      <c r="H21" s="55">
        <v>41655</v>
      </c>
      <c r="J21" s="3">
        <f t="shared" si="4"/>
        <v>10.5</v>
      </c>
      <c r="K21" s="3">
        <f t="shared" si="0"/>
        <v>10.5</v>
      </c>
      <c r="L21" s="3">
        <f t="shared" si="0"/>
        <v>10.5</v>
      </c>
      <c r="M21" s="3">
        <f t="shared" si="0"/>
        <v>10.5</v>
      </c>
      <c r="P21" s="15" t="s">
        <v>298</v>
      </c>
      <c r="Q21" s="10" t="str">
        <f t="shared" si="1"/>
        <v xml:space="preserve">BRASKEM     -PNB </v>
      </c>
      <c r="R21" s="55">
        <f t="shared" si="2"/>
        <v>41655</v>
      </c>
      <c r="S21" s="5">
        <f t="shared" si="3"/>
        <v>10.5</v>
      </c>
      <c r="T21" s="5">
        <f t="shared" si="3"/>
        <v>10.5</v>
      </c>
      <c r="U21" s="5">
        <f t="shared" si="3"/>
        <v>10.5</v>
      </c>
      <c r="V21" s="5">
        <f t="shared" si="3"/>
        <v>10.5</v>
      </c>
    </row>
    <row r="22" spans="1:22">
      <c r="A22" s="35" t="str">
        <f>IF(Tabela17[[#This Row],[Código]]="IBOV","^BVSP",IF(Tabela17[[#This Row],[Código]]="","",CONCATENATE(LEFT(Tabela17[[#This Row],[Código]],6),".SA")))</f>
        <v>CSAN3.SA</v>
      </c>
      <c r="C22" s="3" t="s">
        <v>304</v>
      </c>
      <c r="D22" s="3" t="s">
        <v>729</v>
      </c>
      <c r="E22" s="3" t="s">
        <v>730</v>
      </c>
      <c r="F22" s="3" t="s">
        <v>731</v>
      </c>
      <c r="G22" s="3" t="s">
        <v>732</v>
      </c>
      <c r="H22" s="55">
        <v>41655</v>
      </c>
      <c r="J22" s="3">
        <f t="shared" si="4"/>
        <v>38.57</v>
      </c>
      <c r="K22" s="3">
        <f t="shared" si="0"/>
        <v>38.380000000000003</v>
      </c>
      <c r="L22" s="3">
        <f t="shared" si="0"/>
        <v>38.700000000000003</v>
      </c>
      <c r="M22" s="3">
        <f t="shared" si="0"/>
        <v>38.21</v>
      </c>
      <c r="P22" s="14" t="s">
        <v>303</v>
      </c>
      <c r="Q22" s="10" t="str">
        <f t="shared" si="1"/>
        <v xml:space="preserve">COSAN       -ON  </v>
      </c>
      <c r="R22" s="55">
        <f t="shared" si="2"/>
        <v>41655</v>
      </c>
      <c r="S22" s="5">
        <f t="shared" si="3"/>
        <v>38.57</v>
      </c>
      <c r="T22" s="5">
        <f t="shared" si="3"/>
        <v>38.380000000000003</v>
      </c>
      <c r="U22" s="5">
        <f t="shared" si="3"/>
        <v>38.700000000000003</v>
      </c>
      <c r="V22" s="5">
        <f t="shared" si="3"/>
        <v>38.21</v>
      </c>
    </row>
    <row r="23" spans="1:22">
      <c r="A23" s="35" t="str">
        <f>IF(Tabela17[[#This Row],[Código]]="IBOV","^BVSP",IF(Tabela17[[#This Row],[Código]]="","",CONCATENATE(LEFT(Tabela17[[#This Row],[Código]],6),".SA")))</f>
        <v>SMTO3.SA</v>
      </c>
      <c r="C23" s="3" t="s">
        <v>306</v>
      </c>
      <c r="D23" s="3" t="s">
        <v>733</v>
      </c>
      <c r="E23" s="3" t="s">
        <v>734</v>
      </c>
      <c r="F23" s="3" t="s">
        <v>733</v>
      </c>
      <c r="G23" s="3" t="s">
        <v>735</v>
      </c>
      <c r="H23" s="55">
        <v>41655</v>
      </c>
      <c r="J23" s="3">
        <f t="shared" si="4"/>
        <v>27</v>
      </c>
      <c r="K23" s="3">
        <f t="shared" si="4"/>
        <v>26.79</v>
      </c>
      <c r="L23" s="3">
        <f t="shared" si="4"/>
        <v>27</v>
      </c>
      <c r="M23" s="3">
        <f t="shared" si="4"/>
        <v>26.75</v>
      </c>
      <c r="P23" s="15" t="s">
        <v>305</v>
      </c>
      <c r="Q23" s="10" t="str">
        <f t="shared" si="1"/>
        <v xml:space="preserve">SAO MARTINHO-ON  </v>
      </c>
      <c r="R23" s="55">
        <f t="shared" si="2"/>
        <v>41655</v>
      </c>
      <c r="S23" s="5">
        <f t="shared" si="3"/>
        <v>27</v>
      </c>
      <c r="T23" s="5">
        <f t="shared" si="3"/>
        <v>26.79</v>
      </c>
      <c r="U23" s="5">
        <f t="shared" si="3"/>
        <v>27</v>
      </c>
      <c r="V23" s="5">
        <f t="shared" si="3"/>
        <v>26.75</v>
      </c>
    </row>
    <row r="24" spans="1:22">
      <c r="A24" s="35" t="str">
        <f>IF(Tabela17[[#This Row],[Código]]="IBOV","^BVSP",IF(Tabela17[[#This Row],[Código]]="","",CONCATENATE(LEFT(Tabela17[[#This Row],[Código]],6),".SA")))</f>
        <v>CIQU3.SA</v>
      </c>
      <c r="C24" s="3" t="s">
        <v>387</v>
      </c>
      <c r="D24" s="3" t="s">
        <v>309</v>
      </c>
      <c r="E24" s="3" t="s">
        <v>309</v>
      </c>
      <c r="F24" s="3" t="s">
        <v>309</v>
      </c>
      <c r="G24" s="3" t="s">
        <v>309</v>
      </c>
      <c r="H24" s="55">
        <v>41655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307</v>
      </c>
      <c r="Q24" s="10" t="str">
        <f t="shared" si="1"/>
        <v xml:space="preserve">CACIQUE     -ON  </v>
      </c>
      <c r="R24" s="55">
        <f t="shared" si="2"/>
        <v>41655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>
      <c r="A25" s="35" t="str">
        <f>IF(Tabela17[[#This Row],[Código]]="IBOV","^BVSP",IF(Tabela17[[#This Row],[Código]]="","",CONCATENATE(LEFT(Tabela17[[#This Row],[Código]],6),".SA")))</f>
        <v>CIQU4.SA</v>
      </c>
      <c r="C25" s="3" t="s">
        <v>388</v>
      </c>
      <c r="D25" s="3" t="s">
        <v>736</v>
      </c>
      <c r="E25" s="3" t="s">
        <v>736</v>
      </c>
      <c r="F25" s="3" t="s">
        <v>736</v>
      </c>
      <c r="G25" s="3" t="s">
        <v>736</v>
      </c>
      <c r="H25" s="55">
        <v>41655</v>
      </c>
      <c r="J25" s="3">
        <f t="shared" si="4"/>
        <v>14</v>
      </c>
      <c r="K25" s="3">
        <f t="shared" si="4"/>
        <v>14</v>
      </c>
      <c r="L25" s="3">
        <f t="shared" si="4"/>
        <v>14</v>
      </c>
      <c r="M25" s="3">
        <f t="shared" si="4"/>
        <v>14</v>
      </c>
      <c r="P25" s="15" t="s">
        <v>308</v>
      </c>
      <c r="Q25" s="10" t="str">
        <f t="shared" si="1"/>
        <v xml:space="preserve">CACIQUE     -PN  </v>
      </c>
      <c r="R25" s="55">
        <f t="shared" si="2"/>
        <v>41655</v>
      </c>
      <c r="S25" s="5">
        <f t="shared" si="3"/>
        <v>14</v>
      </c>
      <c r="T25" s="5">
        <f t="shared" si="3"/>
        <v>14</v>
      </c>
      <c r="U25" s="5">
        <f t="shared" si="3"/>
        <v>14</v>
      </c>
      <c r="V25" s="5">
        <f t="shared" si="3"/>
        <v>14</v>
      </c>
    </row>
    <row r="26" spans="1:22">
      <c r="A26" s="35" t="str">
        <f>IF(Tabela17[[#This Row],[Código]]="IBOV","^BVSP",IF(Tabela17[[#This Row],[Código]]="","",CONCATENATE(LEFT(Tabela17[[#This Row],[Código]],6),".SA")))</f>
        <v>BRFS3.SA</v>
      </c>
      <c r="C26" s="3" t="s">
        <v>313</v>
      </c>
      <c r="D26" s="3" t="s">
        <v>737</v>
      </c>
      <c r="E26" s="3" t="s">
        <v>738</v>
      </c>
      <c r="F26" s="3" t="s">
        <v>739</v>
      </c>
      <c r="G26" s="3" t="s">
        <v>740</v>
      </c>
      <c r="H26" s="55">
        <v>41655</v>
      </c>
      <c r="J26" s="3">
        <f t="shared" si="4"/>
        <v>44.8</v>
      </c>
      <c r="K26" s="3">
        <f t="shared" si="4"/>
        <v>43.98</v>
      </c>
      <c r="L26" s="3">
        <f t="shared" si="4"/>
        <v>44.92</v>
      </c>
      <c r="M26" s="3">
        <f t="shared" si="4"/>
        <v>43.77</v>
      </c>
      <c r="P26" s="10" t="s">
        <v>311</v>
      </c>
      <c r="Q26" s="10" t="str">
        <f t="shared" si="1"/>
        <v xml:space="preserve">BRF SA      -ON  </v>
      </c>
      <c r="R26" s="55">
        <f t="shared" si="2"/>
        <v>41655</v>
      </c>
      <c r="S26" s="5">
        <f t="shared" si="3"/>
        <v>44.8</v>
      </c>
      <c r="T26" s="5">
        <f t="shared" si="3"/>
        <v>43.98</v>
      </c>
      <c r="U26" s="5">
        <f t="shared" si="3"/>
        <v>44.92</v>
      </c>
      <c r="V26" s="5">
        <f t="shared" si="3"/>
        <v>43.77</v>
      </c>
    </row>
    <row r="27" spans="1:22">
      <c r="A27" s="35" t="str">
        <f>IF(Tabela17[[#This Row],[Código]]="IBOV","^BVSP",IF(Tabela17[[#This Row],[Código]]="","",CONCATENATE(LEFT(Tabela17[[#This Row],[Código]],6),".SA")))</f>
        <v>JBSS3.SA</v>
      </c>
      <c r="C27" s="3" t="s">
        <v>315</v>
      </c>
      <c r="D27" s="3" t="s">
        <v>741</v>
      </c>
      <c r="E27" s="3" t="s">
        <v>742</v>
      </c>
      <c r="F27" s="3" t="s">
        <v>743</v>
      </c>
      <c r="G27" s="3" t="s">
        <v>744</v>
      </c>
      <c r="H27" s="55">
        <v>41655</v>
      </c>
      <c r="J27" s="3">
        <f t="shared" si="4"/>
        <v>8.9700000000000006</v>
      </c>
      <c r="K27" s="3">
        <f t="shared" si="4"/>
        <v>8.94</v>
      </c>
      <c r="L27" s="3">
        <f t="shared" si="4"/>
        <v>9.06</v>
      </c>
      <c r="M27" s="3">
        <f t="shared" si="4"/>
        <v>8.92</v>
      </c>
      <c r="P27" s="45" t="s">
        <v>314</v>
      </c>
      <c r="Q27" s="10" t="str">
        <f t="shared" si="1"/>
        <v xml:space="preserve">JBS         -ON  </v>
      </c>
      <c r="R27" s="55">
        <f t="shared" si="2"/>
        <v>41655</v>
      </c>
      <c r="S27" s="5">
        <f t="shared" si="3"/>
        <v>8.9700000000000006</v>
      </c>
      <c r="T27" s="5">
        <f t="shared" si="3"/>
        <v>8.94</v>
      </c>
      <c r="U27" s="5">
        <f t="shared" si="3"/>
        <v>9.06</v>
      </c>
      <c r="V27" s="5">
        <f t="shared" si="3"/>
        <v>8.92</v>
      </c>
    </row>
    <row r="28" spans="1:22">
      <c r="A28" s="35" t="str">
        <f>IF(Tabela17[[#This Row],[Código]]="IBOV","^BVSP",IF(Tabela17[[#This Row],[Código]]="","",CONCATENATE(LEFT(Tabela17[[#This Row],[Código]],6),".SA")))</f>
        <v>VIGR3.SA</v>
      </c>
      <c r="C28" s="3" t="s">
        <v>317</v>
      </c>
      <c r="D28" s="3" t="s">
        <v>531</v>
      </c>
      <c r="E28" s="3" t="s">
        <v>554</v>
      </c>
      <c r="F28" s="3" t="s">
        <v>554</v>
      </c>
      <c r="G28" s="3" t="s">
        <v>531</v>
      </c>
      <c r="H28" s="55">
        <v>41655</v>
      </c>
      <c r="J28" s="3">
        <f t="shared" si="4"/>
        <v>9.01</v>
      </c>
      <c r="K28" s="3">
        <f t="shared" si="4"/>
        <v>9.15</v>
      </c>
      <c r="L28" s="3">
        <f t="shared" si="4"/>
        <v>9.15</v>
      </c>
      <c r="M28" s="3">
        <f t="shared" si="4"/>
        <v>9.01</v>
      </c>
      <c r="P28" s="45" t="s">
        <v>316</v>
      </c>
      <c r="Q28" s="10" t="str">
        <f t="shared" si="1"/>
        <v xml:space="preserve">VIGOR FOOD  -ON  </v>
      </c>
      <c r="R28" s="55">
        <f t="shared" si="2"/>
        <v>41655</v>
      </c>
      <c r="S28" s="5">
        <f t="shared" si="3"/>
        <v>9.01</v>
      </c>
      <c r="T28" s="5">
        <f t="shared" si="3"/>
        <v>9.15</v>
      </c>
      <c r="U28" s="5">
        <f t="shared" si="3"/>
        <v>9.15</v>
      </c>
      <c r="V28" s="5">
        <f t="shared" si="3"/>
        <v>9.01</v>
      </c>
    </row>
    <row r="29" spans="1:22">
      <c r="A29" s="35" t="str">
        <f>IF(Tabela17[[#This Row],[Código]]="IBOV","^BVSP",IF(Tabela17[[#This Row],[Código]]="","",CONCATENATE(LEFT(Tabela17[[#This Row],[Código]],6),".SA")))</f>
        <v>TIMP3.SA</v>
      </c>
      <c r="C29" s="3" t="s">
        <v>321</v>
      </c>
      <c r="D29" s="3" t="s">
        <v>745</v>
      </c>
      <c r="E29" s="3" t="s">
        <v>746</v>
      </c>
      <c r="F29" s="3" t="s">
        <v>747</v>
      </c>
      <c r="G29" s="3" t="s">
        <v>748</v>
      </c>
      <c r="H29" s="55">
        <v>41655</v>
      </c>
      <c r="J29" s="3">
        <f>IF($A29="",0,VALUE(CONCATENATE(LEFT(D29,LEN(D29)-3),",",RIGHT(D29,2))))</f>
        <v>13.55</v>
      </c>
      <c r="K29" s="3">
        <f t="shared" si="4"/>
        <v>13.26</v>
      </c>
      <c r="L29" s="3">
        <f t="shared" si="4"/>
        <v>13.75</v>
      </c>
      <c r="M29" s="3">
        <f t="shared" si="4"/>
        <v>13.22</v>
      </c>
      <c r="P29" s="15" t="s">
        <v>319</v>
      </c>
      <c r="Q29" s="10" t="str">
        <f t="shared" si="1"/>
        <v xml:space="preserve">TIM PART S/A-ON  </v>
      </c>
      <c r="R29" s="55">
        <f t="shared" si="2"/>
        <v>41655</v>
      </c>
      <c r="S29" s="5">
        <f t="shared" si="3"/>
        <v>13.55</v>
      </c>
      <c r="T29" s="5">
        <f t="shared" si="3"/>
        <v>13.26</v>
      </c>
      <c r="U29" s="5">
        <f t="shared" si="3"/>
        <v>13.75</v>
      </c>
      <c r="V29" s="5">
        <f t="shared" si="3"/>
        <v>13.22</v>
      </c>
    </row>
    <row r="30" spans="1:22">
      <c r="A30" s="35" t="str">
        <f>IF(Tabela17[[#This Row],[Código]]="IBOV","^BVSP",IF(Tabela17[[#This Row],[Código]]="","",CONCATENATE(LEFT(Tabela17[[#This Row],[Código]],6),".SA")))</f>
        <v>OIBR3.SA</v>
      </c>
      <c r="C30" s="3" t="s">
        <v>324</v>
      </c>
      <c r="D30" s="3" t="s">
        <v>749</v>
      </c>
      <c r="E30" s="3" t="s">
        <v>570</v>
      </c>
      <c r="F30" s="3" t="s">
        <v>750</v>
      </c>
      <c r="G30" s="3" t="s">
        <v>751</v>
      </c>
      <c r="H30" s="55">
        <v>41655</v>
      </c>
      <c r="J30" s="3">
        <f t="shared" si="4"/>
        <v>4.6500000000000004</v>
      </c>
      <c r="K30" s="3">
        <f t="shared" si="4"/>
        <v>4.6900000000000004</v>
      </c>
      <c r="L30" s="3">
        <f t="shared" si="4"/>
        <v>4.76</v>
      </c>
      <c r="M30" s="3">
        <f t="shared" si="4"/>
        <v>4.5999999999999996</v>
      </c>
      <c r="P30" s="14" t="s">
        <v>322</v>
      </c>
      <c r="Q30" s="10" t="str">
        <f t="shared" si="1"/>
        <v xml:space="preserve">OI          -ON  </v>
      </c>
      <c r="R30" s="55">
        <f t="shared" si="2"/>
        <v>41655</v>
      </c>
      <c r="S30" s="5">
        <f t="shared" si="3"/>
        <v>4.6500000000000004</v>
      </c>
      <c r="T30" s="5">
        <f t="shared" si="3"/>
        <v>4.6900000000000004</v>
      </c>
      <c r="U30" s="5">
        <f t="shared" si="3"/>
        <v>4.76</v>
      </c>
      <c r="V30" s="5">
        <f t="shared" si="3"/>
        <v>4.5999999999999996</v>
      </c>
    </row>
    <row r="31" spans="1:22">
      <c r="A31" s="35" t="str">
        <f>IF(Tabela17[[#This Row],[Código]]="IBOV","^BVSP",IF(Tabela17[[#This Row],[Código]]="","",CONCATENATE(LEFT(Tabela17[[#This Row],[Código]],6),".SA")))</f>
        <v>OIBR4.SA</v>
      </c>
      <c r="C31" s="3" t="s">
        <v>325</v>
      </c>
      <c r="D31" s="3" t="s">
        <v>533</v>
      </c>
      <c r="E31" s="3" t="s">
        <v>752</v>
      </c>
      <c r="F31" s="3" t="s">
        <v>753</v>
      </c>
      <c r="G31" s="3" t="s">
        <v>754</v>
      </c>
      <c r="H31" s="55">
        <v>41655</v>
      </c>
      <c r="J31" s="3">
        <f t="shared" si="4"/>
        <v>4.37</v>
      </c>
      <c r="K31" s="3">
        <f t="shared" si="4"/>
        <v>4.3899999999999997</v>
      </c>
      <c r="L31" s="3">
        <f t="shared" si="4"/>
        <v>4.49</v>
      </c>
      <c r="M31" s="3">
        <f t="shared" si="4"/>
        <v>4.26</v>
      </c>
      <c r="P31" s="10" t="s">
        <v>323</v>
      </c>
      <c r="Q31" s="10" t="str">
        <f t="shared" si="1"/>
        <v xml:space="preserve">OI          -PN  </v>
      </c>
      <c r="R31" s="55">
        <f t="shared" si="2"/>
        <v>41655</v>
      </c>
      <c r="S31" s="5">
        <f t="shared" si="3"/>
        <v>4.37</v>
      </c>
      <c r="T31" s="5">
        <f t="shared" si="3"/>
        <v>4.3899999999999997</v>
      </c>
      <c r="U31" s="5">
        <f t="shared" si="3"/>
        <v>4.49</v>
      </c>
      <c r="V31" s="5">
        <f t="shared" si="3"/>
        <v>4.26</v>
      </c>
    </row>
    <row r="32" spans="1:22">
      <c r="A32" s="35" t="str">
        <f>IF(Tabela17[[#This Row],[Código]]="IBOV","^BVSP",IF(Tabela17[[#This Row],[Código]]="","",CONCATENATE(LEFT(Tabela17[[#This Row],[Código]],6),".SA")))</f>
        <v>VIVT3.SA</v>
      </c>
      <c r="C32" s="3" t="s">
        <v>389</v>
      </c>
      <c r="D32" s="3" t="s">
        <v>755</v>
      </c>
      <c r="E32" s="3" t="s">
        <v>756</v>
      </c>
      <c r="F32" s="3" t="s">
        <v>756</v>
      </c>
      <c r="G32" s="3" t="s">
        <v>755</v>
      </c>
      <c r="H32" s="55">
        <v>41655</v>
      </c>
      <c r="J32" s="3">
        <f t="shared" si="4"/>
        <v>40.869999999999997</v>
      </c>
      <c r="K32" s="3">
        <f t="shared" si="4"/>
        <v>41.45</v>
      </c>
      <c r="L32" s="3">
        <f t="shared" si="4"/>
        <v>41.45</v>
      </c>
      <c r="M32" s="3">
        <f t="shared" si="4"/>
        <v>40.869999999999997</v>
      </c>
      <c r="P32" s="15" t="s">
        <v>327</v>
      </c>
      <c r="Q32" s="10" t="str">
        <f t="shared" si="1"/>
        <v xml:space="preserve">TELEF BRASIL-ON  </v>
      </c>
      <c r="R32" s="55">
        <f t="shared" si="2"/>
        <v>41655</v>
      </c>
      <c r="S32" s="5">
        <f t="shared" si="3"/>
        <v>40.869999999999997</v>
      </c>
      <c r="T32" s="5">
        <f t="shared" si="3"/>
        <v>41.45</v>
      </c>
      <c r="U32" s="5">
        <f t="shared" si="3"/>
        <v>41.45</v>
      </c>
      <c r="V32" s="5">
        <f t="shared" si="3"/>
        <v>40.869999999999997</v>
      </c>
    </row>
    <row r="33" spans="1:22">
      <c r="A33" s="35" t="str">
        <f>IF(Tabela17[[#This Row],[Código]]="IBOV","^BVSP",IF(Tabela17[[#This Row],[Código]]="","",CONCATENATE(LEFT(Tabela17[[#This Row],[Código]],6),".SA")))</f>
        <v>VIVT4.SA</v>
      </c>
      <c r="C33" s="3" t="s">
        <v>390</v>
      </c>
      <c r="D33" s="3" t="s">
        <v>757</v>
      </c>
      <c r="E33" s="3" t="s">
        <v>758</v>
      </c>
      <c r="F33" s="3" t="s">
        <v>759</v>
      </c>
      <c r="G33" s="3" t="s">
        <v>571</v>
      </c>
      <c r="H33" s="55">
        <v>41655</v>
      </c>
      <c r="J33" s="3">
        <f t="shared" si="4"/>
        <v>47.12</v>
      </c>
      <c r="K33" s="3">
        <f t="shared" si="4"/>
        <v>47.3</v>
      </c>
      <c r="L33" s="3">
        <f t="shared" si="4"/>
        <v>47.35</v>
      </c>
      <c r="M33" s="3">
        <f t="shared" si="4"/>
        <v>46.9</v>
      </c>
      <c r="P33" s="15" t="s">
        <v>328</v>
      </c>
      <c r="Q33" s="10" t="str">
        <f t="shared" si="1"/>
        <v xml:space="preserve">TELEF BRASIL-PN  </v>
      </c>
      <c r="R33" s="55">
        <f t="shared" si="2"/>
        <v>41655</v>
      </c>
      <c r="S33" s="5">
        <f t="shared" si="3"/>
        <v>47.12</v>
      </c>
      <c r="T33" s="5">
        <f t="shared" si="3"/>
        <v>47.3</v>
      </c>
      <c r="U33" s="5">
        <f t="shared" si="3"/>
        <v>47.35</v>
      </c>
      <c r="V33" s="5">
        <f t="shared" si="3"/>
        <v>46.9</v>
      </c>
    </row>
    <row r="34" spans="1:22">
      <c r="A34" s="35" t="str">
        <f>IF(Tabela17[[#This Row],[Código]]="IBOV","^BVSP",IF(Tabela17[[#This Row],[Código]]="","",CONCATENATE(LEFT(Tabela17[[#This Row],[Código]],6),".SA")))</f>
        <v>BRAP3.SA</v>
      </c>
      <c r="C34" s="3" t="s">
        <v>332</v>
      </c>
      <c r="D34" s="3" t="s">
        <v>636</v>
      </c>
      <c r="E34" s="3" t="s">
        <v>760</v>
      </c>
      <c r="F34" s="3" t="s">
        <v>761</v>
      </c>
      <c r="G34" s="3" t="s">
        <v>760</v>
      </c>
      <c r="H34" s="55">
        <v>41655</v>
      </c>
      <c r="J34" s="3">
        <f t="shared" si="4"/>
        <v>18.59</v>
      </c>
      <c r="K34" s="3">
        <f t="shared" si="4"/>
        <v>18.5</v>
      </c>
      <c r="L34" s="3">
        <f t="shared" si="4"/>
        <v>18.600000000000001</v>
      </c>
      <c r="M34" s="3">
        <f t="shared" si="4"/>
        <v>18.5</v>
      </c>
      <c r="P34" s="10" t="s">
        <v>329</v>
      </c>
      <c r="Q34" s="10" t="str">
        <f t="shared" si="1"/>
        <v xml:space="preserve">BRADESPAR   -ON  </v>
      </c>
      <c r="R34" s="55">
        <f t="shared" si="2"/>
        <v>41655</v>
      </c>
      <c r="S34" s="5">
        <f t="shared" si="3"/>
        <v>18.59</v>
      </c>
      <c r="T34" s="5">
        <f t="shared" si="3"/>
        <v>18.5</v>
      </c>
      <c r="U34" s="5">
        <f t="shared" si="3"/>
        <v>18.600000000000001</v>
      </c>
      <c r="V34" s="5">
        <f t="shared" si="3"/>
        <v>18.5</v>
      </c>
    </row>
    <row r="35" spans="1:22">
      <c r="A35" s="35" t="str">
        <f>IF(Tabela17[[#This Row],[Código]]="IBOV","^BVSP",IF(Tabela17[[#This Row],[Código]]="","",CONCATENATE(LEFT(Tabela17[[#This Row],[Código]],6),".SA")))</f>
        <v>BRAP4.SA</v>
      </c>
      <c r="C35" s="3" t="s">
        <v>333</v>
      </c>
      <c r="D35" s="3" t="s">
        <v>762</v>
      </c>
      <c r="E35" s="3" t="s">
        <v>763</v>
      </c>
      <c r="F35" s="3" t="s">
        <v>764</v>
      </c>
      <c r="G35" s="3" t="s">
        <v>762</v>
      </c>
      <c r="H35" s="55">
        <v>41655</v>
      </c>
      <c r="J35" s="3">
        <f t="shared" si="4"/>
        <v>22.55</v>
      </c>
      <c r="K35" s="3">
        <f t="shared" si="4"/>
        <v>22.83</v>
      </c>
      <c r="L35" s="3">
        <f t="shared" si="4"/>
        <v>22.98</v>
      </c>
      <c r="M35" s="3">
        <f t="shared" si="4"/>
        <v>22.55</v>
      </c>
      <c r="P35" s="10" t="s">
        <v>330</v>
      </c>
      <c r="Q35" s="10" t="str">
        <f t="shared" si="1"/>
        <v xml:space="preserve">BRADESPAR   -PN  </v>
      </c>
      <c r="R35" s="55">
        <f t="shared" si="2"/>
        <v>41655</v>
      </c>
      <c r="S35" s="5">
        <f t="shared" si="3"/>
        <v>22.55</v>
      </c>
      <c r="T35" s="5">
        <f t="shared" si="3"/>
        <v>22.83</v>
      </c>
      <c r="U35" s="5">
        <f t="shared" si="3"/>
        <v>22.98</v>
      </c>
      <c r="V35" s="5">
        <f t="shared" si="3"/>
        <v>22.55</v>
      </c>
    </row>
    <row r="36" spans="1:22">
      <c r="A36" s="35" t="str">
        <f>IF(Tabela17[[#This Row],[Código]]="IBOV","^BVSP",IF(Tabela17[[#This Row],[Código]]="","",CONCATENATE(LEFT(Tabela17[[#This Row],[Código]],6),".SA")))</f>
        <v>HBTS5.SA</v>
      </c>
      <c r="C36" s="3" t="s">
        <v>339</v>
      </c>
      <c r="D36" s="3" t="s">
        <v>535</v>
      </c>
      <c r="E36" s="3" t="s">
        <v>499</v>
      </c>
      <c r="F36" s="3" t="s">
        <v>499</v>
      </c>
      <c r="G36" s="3" t="s">
        <v>535</v>
      </c>
      <c r="H36" s="55">
        <v>41655</v>
      </c>
      <c r="J36" s="3">
        <f t="shared" si="4"/>
        <v>15.95</v>
      </c>
      <c r="K36" s="3">
        <f t="shared" si="4"/>
        <v>17.97</v>
      </c>
      <c r="L36" s="3">
        <f t="shared" si="4"/>
        <v>17.97</v>
      </c>
      <c r="M36" s="3">
        <f t="shared" si="4"/>
        <v>15.95</v>
      </c>
      <c r="P36" s="14" t="s">
        <v>338</v>
      </c>
      <c r="Q36" s="10" t="str">
        <f t="shared" si="1"/>
        <v>HABITASUL   -PNA</v>
      </c>
      <c r="R36" s="55">
        <f t="shared" si="2"/>
        <v>41655</v>
      </c>
      <c r="S36" s="5">
        <f t="shared" si="3"/>
        <v>15.95</v>
      </c>
      <c r="T36" s="5">
        <f t="shared" si="3"/>
        <v>17.97</v>
      </c>
      <c r="U36" s="5">
        <f t="shared" si="3"/>
        <v>17.97</v>
      </c>
      <c r="V36" s="5">
        <f t="shared" si="3"/>
        <v>15.95</v>
      </c>
    </row>
    <row r="37" spans="1:22">
      <c r="A37" s="35" t="str">
        <f>IF(Tabela17[[#This Row],[Código]]="IBOV","^BVSP",IF(Tabela17[[#This Row],[Código]]="","",CONCATENATE(LEFT(Tabela17[[#This Row],[Código]],6),".SA")))</f>
        <v>MOAR3.SA</v>
      </c>
      <c r="C37" s="3" t="s">
        <v>485</v>
      </c>
      <c r="D37" s="3" t="s">
        <v>341</v>
      </c>
      <c r="E37" s="3" t="s">
        <v>342</v>
      </c>
      <c r="F37" s="3" t="s">
        <v>341</v>
      </c>
      <c r="G37" s="3" t="s">
        <v>342</v>
      </c>
      <c r="H37" s="55">
        <v>41655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340</v>
      </c>
      <c r="Q37" s="10" t="str">
        <f t="shared" si="1"/>
        <v>MONT ARANHA -ON</v>
      </c>
      <c r="R37" s="55">
        <f t="shared" si="2"/>
        <v>41655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>
      <c r="A38" s="35" t="str">
        <f>IF(Tabela17[[#This Row],[Código]]="IBOV","^BVSP",IF(Tabela17[[#This Row],[Código]]="","",CONCATENATE(LEFT(Tabela17[[#This Row],[Código]],6),".SA")))</f>
        <v>UGPA3.SA</v>
      </c>
      <c r="C38" s="3" t="s">
        <v>344</v>
      </c>
      <c r="D38" s="3" t="s">
        <v>572</v>
      </c>
      <c r="E38" s="3" t="s">
        <v>765</v>
      </c>
      <c r="F38" s="3" t="s">
        <v>766</v>
      </c>
      <c r="G38" s="3" t="s">
        <v>572</v>
      </c>
      <c r="H38" s="55">
        <v>41655</v>
      </c>
      <c r="J38" s="3">
        <f t="shared" si="4"/>
        <v>53.92</v>
      </c>
      <c r="K38" s="3">
        <f t="shared" si="4"/>
        <v>54.58</v>
      </c>
      <c r="L38" s="3">
        <f t="shared" si="4"/>
        <v>55.13</v>
      </c>
      <c r="M38" s="3">
        <f t="shared" si="4"/>
        <v>53.92</v>
      </c>
      <c r="P38" s="14" t="s">
        <v>343</v>
      </c>
      <c r="Q38" s="10" t="str">
        <f t="shared" si="1"/>
        <v xml:space="preserve">ULTRAPAR    -ON  </v>
      </c>
      <c r="R38" s="55">
        <f t="shared" si="2"/>
        <v>41655</v>
      </c>
      <c r="S38" s="5">
        <f t="shared" si="3"/>
        <v>53.92</v>
      </c>
      <c r="T38" s="5">
        <f t="shared" si="3"/>
        <v>54.58</v>
      </c>
      <c r="U38" s="5">
        <f t="shared" si="3"/>
        <v>55.13</v>
      </c>
      <c r="V38" s="5">
        <f t="shared" si="3"/>
        <v>53.92</v>
      </c>
    </row>
    <row r="39" spans="1:22">
      <c r="A39" s="35" t="str">
        <f>IF(Tabela17[[#This Row],[Código]]="IBOV","^BVSP",IF(Tabela17[[#This Row],[Código]]="","",CONCATENATE(LEFT(Tabela17[[#This Row],[Código]],6),".SA")))</f>
        <v>BAHI3.SA</v>
      </c>
      <c r="C39" s="3" t="s">
        <v>346</v>
      </c>
      <c r="D39" s="3" t="s">
        <v>767</v>
      </c>
      <c r="E39" s="3" t="s">
        <v>768</v>
      </c>
      <c r="F39" s="3" t="s">
        <v>767</v>
      </c>
      <c r="G39" s="3" t="s">
        <v>768</v>
      </c>
      <c r="H39" s="55">
        <v>41655</v>
      </c>
      <c r="J39" s="3">
        <f t="shared" si="4"/>
        <v>4.8499999999999996</v>
      </c>
      <c r="K39" s="3">
        <f t="shared" si="4"/>
        <v>4.82</v>
      </c>
      <c r="L39" s="3">
        <f t="shared" si="4"/>
        <v>4.8499999999999996</v>
      </c>
      <c r="M39" s="3">
        <f t="shared" si="4"/>
        <v>4.82</v>
      </c>
      <c r="P39" s="14" t="s">
        <v>345</v>
      </c>
      <c r="Q39" s="10" t="str">
        <f t="shared" si="1"/>
        <v>BAHEMA      -ON</v>
      </c>
      <c r="R39" s="55">
        <f t="shared" si="2"/>
        <v>41655</v>
      </c>
      <c r="S39" s="5">
        <f t="shared" ref="S39:V70" si="5">J39</f>
        <v>4.8499999999999996</v>
      </c>
      <c r="T39" s="5">
        <f t="shared" si="5"/>
        <v>4.82</v>
      </c>
      <c r="U39" s="5">
        <f t="shared" si="5"/>
        <v>4.8499999999999996</v>
      </c>
      <c r="V39" s="5">
        <f t="shared" si="5"/>
        <v>4.82</v>
      </c>
    </row>
    <row r="40" spans="1:22">
      <c r="A40" s="35" t="str">
        <f>IF(Tabela17[[#This Row],[Código]]="IBOV","^BVSP",IF(Tabela17[[#This Row],[Código]]="","",CONCATENATE(LEFT(Tabela17[[#This Row],[Código]],6),".SA")))</f>
        <v>LCAM3.SA</v>
      </c>
      <c r="C40" s="3" t="s">
        <v>354</v>
      </c>
      <c r="D40" s="3" t="s">
        <v>769</v>
      </c>
      <c r="E40" s="3" t="s">
        <v>770</v>
      </c>
      <c r="F40" s="3" t="s">
        <v>769</v>
      </c>
      <c r="G40" s="3" t="s">
        <v>770</v>
      </c>
      <c r="H40" s="55">
        <v>41655</v>
      </c>
      <c r="J40" s="3">
        <f t="shared" si="4"/>
        <v>6.49</v>
      </c>
      <c r="K40" s="3">
        <f t="shared" si="4"/>
        <v>6.4</v>
      </c>
      <c r="L40" s="3">
        <f t="shared" si="4"/>
        <v>6.49</v>
      </c>
      <c r="M40" s="3">
        <f t="shared" si="4"/>
        <v>6.4</v>
      </c>
      <c r="P40" s="14" t="s">
        <v>353</v>
      </c>
      <c r="Q40" s="10" t="str">
        <f t="shared" si="1"/>
        <v xml:space="preserve">LOCAMERICA  -ON  </v>
      </c>
      <c r="R40" s="55">
        <f t="shared" si="2"/>
        <v>41655</v>
      </c>
      <c r="S40" s="5">
        <f t="shared" si="5"/>
        <v>6.49</v>
      </c>
      <c r="T40" s="5">
        <f t="shared" si="5"/>
        <v>6.4</v>
      </c>
      <c r="U40" s="5">
        <f t="shared" si="5"/>
        <v>6.49</v>
      </c>
      <c r="V40" s="5">
        <f t="shared" si="5"/>
        <v>6.4</v>
      </c>
    </row>
    <row r="41" spans="1:22">
      <c r="A41" s="35" t="str">
        <f>IF(Tabela17[[#This Row],[Código]]="IBOV","^BVSP",IF(Tabela17[[#This Row],[Código]]="","",CONCATENATE(LEFT(Tabela17[[#This Row],[Código]],6),".SA")))</f>
        <v>PTPA4.SA</v>
      </c>
      <c r="C41" s="3" t="s">
        <v>486</v>
      </c>
      <c r="D41" s="3" t="s">
        <v>266</v>
      </c>
      <c r="E41" s="3" t="s">
        <v>266</v>
      </c>
      <c r="F41" s="3" t="s">
        <v>266</v>
      </c>
      <c r="G41" s="3" t="s">
        <v>266</v>
      </c>
      <c r="H41" s="55">
        <v>41655</v>
      </c>
      <c r="J41" s="3">
        <f t="shared" si="4"/>
        <v>58</v>
      </c>
      <c r="K41" s="3">
        <f t="shared" si="4"/>
        <v>58</v>
      </c>
      <c r="L41" s="3">
        <f t="shared" si="4"/>
        <v>58</v>
      </c>
      <c r="M41" s="3">
        <f t="shared" si="4"/>
        <v>58</v>
      </c>
      <c r="P41" s="14" t="s">
        <v>357</v>
      </c>
      <c r="Q41" s="10" t="str">
        <f t="shared" si="1"/>
        <v>EVORA       -PN</v>
      </c>
      <c r="R41" s="48">
        <f t="shared" si="2"/>
        <v>41655</v>
      </c>
      <c r="S41" s="6">
        <f t="shared" si="5"/>
        <v>58</v>
      </c>
      <c r="T41" s="6">
        <f t="shared" si="5"/>
        <v>58</v>
      </c>
      <c r="U41" s="6">
        <f t="shared" si="5"/>
        <v>58</v>
      </c>
      <c r="V41" s="6">
        <f t="shared" si="5"/>
        <v>58</v>
      </c>
    </row>
    <row r="42" spans="1:22">
      <c r="A42" s="35" t="str">
        <f>IF(Tabela17[[#This Row],[Código]]="IBOV","^BVSP",IF(Tabela17[[#This Row],[Código]]="","",CONCATENATE(LEFT(Tabela17[[#This Row],[Código]],6),".SA")))</f>
        <v>DTEX3.SA</v>
      </c>
      <c r="C42" s="3" t="s">
        <v>363</v>
      </c>
      <c r="D42" s="3" t="s">
        <v>771</v>
      </c>
      <c r="E42" s="3" t="s">
        <v>771</v>
      </c>
      <c r="F42" s="3" t="s">
        <v>772</v>
      </c>
      <c r="G42" s="3" t="s">
        <v>773</v>
      </c>
      <c r="H42" s="55">
        <v>41655</v>
      </c>
      <c r="J42" s="3">
        <f t="shared" si="4"/>
        <v>12.55</v>
      </c>
      <c r="K42" s="3">
        <f t="shared" si="4"/>
        <v>12.55</v>
      </c>
      <c r="L42" s="3">
        <f t="shared" si="4"/>
        <v>12.64</v>
      </c>
      <c r="M42" s="3">
        <f t="shared" si="4"/>
        <v>12.46</v>
      </c>
      <c r="P42" s="14" t="s">
        <v>361</v>
      </c>
      <c r="Q42" s="10" t="str">
        <f t="shared" si="1"/>
        <v xml:space="preserve">DURATEX     -ON  </v>
      </c>
      <c r="R42" s="55">
        <f t="shared" si="2"/>
        <v>41655</v>
      </c>
      <c r="S42" s="5">
        <f t="shared" si="5"/>
        <v>12.55</v>
      </c>
      <c r="T42" s="5">
        <f t="shared" si="5"/>
        <v>12.55</v>
      </c>
      <c r="U42" s="5">
        <f t="shared" si="5"/>
        <v>12.64</v>
      </c>
      <c r="V42" s="5">
        <f t="shared" si="5"/>
        <v>12.46</v>
      </c>
    </row>
    <row r="43" spans="1:22">
      <c r="A43" s="35" t="str">
        <f>IF(Tabela17[[#This Row],[Código]]="IBOV","^BVSP",IF(Tabela17[[#This Row],[Código]]="","",CONCATENATE(LEFT(Tabela17[[#This Row],[Código]],6),".SA")))</f>
        <v>EUCA4.SA</v>
      </c>
      <c r="C43" s="3" t="s">
        <v>365</v>
      </c>
      <c r="D43" s="3" t="s">
        <v>774</v>
      </c>
      <c r="E43" s="3" t="s">
        <v>505</v>
      </c>
      <c r="F43" s="3" t="s">
        <v>469</v>
      </c>
      <c r="G43" s="3" t="s">
        <v>775</v>
      </c>
      <c r="H43" s="55">
        <v>41655</v>
      </c>
      <c r="J43" s="3">
        <f t="shared" si="4"/>
        <v>6.56</v>
      </c>
      <c r="K43" s="3">
        <f t="shared" si="4"/>
        <v>6.55</v>
      </c>
      <c r="L43" s="3">
        <f t="shared" si="4"/>
        <v>6.58</v>
      </c>
      <c r="M43" s="3">
        <f t="shared" si="4"/>
        <v>6.54</v>
      </c>
      <c r="P43" s="14" t="s">
        <v>364</v>
      </c>
      <c r="Q43" s="10" t="str">
        <f t="shared" si="1"/>
        <v xml:space="preserve">EUCATEX     -PN  </v>
      </c>
      <c r="R43" s="55">
        <f t="shared" si="2"/>
        <v>41655</v>
      </c>
      <c r="S43" s="5">
        <f t="shared" si="5"/>
        <v>6.56</v>
      </c>
      <c r="T43" s="5">
        <f t="shared" si="5"/>
        <v>6.55</v>
      </c>
      <c r="U43" s="5">
        <f t="shared" si="5"/>
        <v>6.58</v>
      </c>
      <c r="V43" s="5">
        <f t="shared" si="5"/>
        <v>6.54</v>
      </c>
    </row>
    <row r="44" spans="1:22">
      <c r="A44" s="35" t="str">
        <f>IF(Tabela17[[#This Row],[Código]]="IBOV","^BVSP",IF(Tabela17[[#This Row],[Código]]="","",CONCATENATE(LEFT(Tabela17[[#This Row],[Código]],6),".SA")))</f>
        <v>PRVI3.SA</v>
      </c>
      <c r="C44" s="3" t="s">
        <v>368</v>
      </c>
      <c r="D44" s="3" t="s">
        <v>538</v>
      </c>
      <c r="E44" s="3" t="s">
        <v>538</v>
      </c>
      <c r="F44" s="3" t="s">
        <v>538</v>
      </c>
      <c r="G44" s="3" t="s">
        <v>538</v>
      </c>
      <c r="H44" s="55">
        <v>41655</v>
      </c>
      <c r="J44" s="3">
        <f t="shared" si="4"/>
        <v>7.67</v>
      </c>
      <c r="K44" s="3">
        <f t="shared" si="4"/>
        <v>7.67</v>
      </c>
      <c r="L44" s="3">
        <f t="shared" si="4"/>
        <v>7.67</v>
      </c>
      <c r="M44" s="3">
        <f t="shared" si="4"/>
        <v>7.67</v>
      </c>
      <c r="P44" s="14" t="s">
        <v>367</v>
      </c>
      <c r="Q44" s="10" t="str">
        <f t="shared" si="1"/>
        <v xml:space="preserve">PROVIDENCIA -ON  </v>
      </c>
      <c r="R44" s="55">
        <f t="shared" si="2"/>
        <v>41655</v>
      </c>
      <c r="S44" s="5">
        <f t="shared" si="5"/>
        <v>7.67</v>
      </c>
      <c r="T44" s="5">
        <f t="shared" si="5"/>
        <v>7.67</v>
      </c>
      <c r="U44" s="5">
        <f t="shared" si="5"/>
        <v>7.67</v>
      </c>
      <c r="V44" s="5">
        <f t="shared" si="5"/>
        <v>7.67</v>
      </c>
    </row>
    <row r="45" spans="1:22">
      <c r="A45" s="35" t="str">
        <f>IF(Tabela17[[#This Row],[Código]]="IBOV","^BVSP",IF(Tabela17[[#This Row],[Código]]="","",CONCATENATE(LEFT(Tabela17[[#This Row],[Código]],6),".SA")))</f>
        <v>MAGG3.SA</v>
      </c>
      <c r="C45" s="3" t="s">
        <v>370</v>
      </c>
      <c r="D45" s="3" t="s">
        <v>481</v>
      </c>
      <c r="E45" s="3" t="s">
        <v>776</v>
      </c>
      <c r="F45" s="3" t="s">
        <v>776</v>
      </c>
      <c r="G45" s="3" t="s">
        <v>481</v>
      </c>
      <c r="H45" s="55">
        <v>41655</v>
      </c>
      <c r="J45" s="3">
        <f t="shared" si="4"/>
        <v>5.67</v>
      </c>
      <c r="K45" s="3">
        <f t="shared" si="4"/>
        <v>5.69</v>
      </c>
      <c r="L45" s="3">
        <f t="shared" si="4"/>
        <v>5.69</v>
      </c>
      <c r="M45" s="3">
        <f t="shared" si="4"/>
        <v>5.67</v>
      </c>
      <c r="P45" s="14" t="s">
        <v>369</v>
      </c>
      <c r="Q45" s="10" t="str">
        <f t="shared" si="1"/>
        <v xml:space="preserve">MAGNESITA SA-ON  </v>
      </c>
      <c r="R45" s="48">
        <f t="shared" si="2"/>
        <v>41655</v>
      </c>
      <c r="S45" s="6">
        <f t="shared" si="5"/>
        <v>5.67</v>
      </c>
      <c r="T45" s="6">
        <f t="shared" si="5"/>
        <v>5.69</v>
      </c>
      <c r="U45" s="6">
        <f t="shared" si="5"/>
        <v>5.69</v>
      </c>
      <c r="V45" s="6">
        <f t="shared" si="5"/>
        <v>5.67</v>
      </c>
    </row>
    <row r="46" spans="1:22">
      <c r="A46" s="35" t="str">
        <f>IF(Tabela17[[#This Row],[Código]]="IBOV","^BVSP",IF(Tabela17[[#This Row],[Código]]="","",CONCATENATE(LEFT(Tabela17[[#This Row],[Código]],6),".SA")))</f>
        <v>VALE5.SA</v>
      </c>
      <c r="C46" s="3" t="s">
        <v>373</v>
      </c>
      <c r="D46" s="3" t="s">
        <v>777</v>
      </c>
      <c r="E46" s="3" t="s">
        <v>778</v>
      </c>
      <c r="F46" s="3" t="s">
        <v>779</v>
      </c>
      <c r="G46" s="3" t="s">
        <v>780</v>
      </c>
      <c r="H46" s="55">
        <v>41655</v>
      </c>
      <c r="J46" s="3">
        <f t="shared" si="4"/>
        <v>30.6</v>
      </c>
      <c r="K46" s="3">
        <f t="shared" si="4"/>
        <v>30.76</v>
      </c>
      <c r="L46" s="3">
        <f t="shared" si="4"/>
        <v>30.85</v>
      </c>
      <c r="M46" s="3">
        <f t="shared" si="4"/>
        <v>30.55</v>
      </c>
      <c r="P46" s="14" t="s">
        <v>372</v>
      </c>
      <c r="Q46" s="10" t="str">
        <f t="shared" si="1"/>
        <v xml:space="preserve">VALE        -PNA </v>
      </c>
      <c r="R46" s="48">
        <f t="shared" si="2"/>
        <v>41655</v>
      </c>
      <c r="S46" s="6">
        <f t="shared" si="5"/>
        <v>30.6</v>
      </c>
      <c r="T46" s="6">
        <f t="shared" si="5"/>
        <v>30.76</v>
      </c>
      <c r="U46" s="6">
        <f t="shared" si="5"/>
        <v>30.85</v>
      </c>
      <c r="V46" s="6">
        <f t="shared" si="5"/>
        <v>30.55</v>
      </c>
    </row>
    <row r="47" spans="1:22">
      <c r="A47" s="35" t="str">
        <f>IF(Tabela17[[#This Row],[Código]]="IBOV","^BVSP",IF(Tabela17[[#This Row],[Código]]="","",CONCATENATE(LEFT(Tabela17[[#This Row],[Código]],6),".SA")))</f>
        <v>NUTR3M.SA</v>
      </c>
      <c r="C47" s="3" t="s">
        <v>375</v>
      </c>
      <c r="D47" s="3" t="s">
        <v>555</v>
      </c>
      <c r="E47" s="3" t="s">
        <v>557</v>
      </c>
      <c r="F47" s="3" t="s">
        <v>555</v>
      </c>
      <c r="G47" s="3" t="s">
        <v>557</v>
      </c>
      <c r="H47" s="55">
        <v>41655</v>
      </c>
      <c r="J47" s="3">
        <f t="shared" si="4"/>
        <v>1.52</v>
      </c>
      <c r="K47" s="3">
        <f t="shared" si="4"/>
        <v>1.51</v>
      </c>
      <c r="L47" s="3">
        <f t="shared" si="4"/>
        <v>1.52</v>
      </c>
      <c r="M47" s="3">
        <f t="shared" si="4"/>
        <v>1.51</v>
      </c>
      <c r="P47" s="14" t="s">
        <v>374</v>
      </c>
      <c r="Q47" s="10" t="str">
        <f t="shared" si="1"/>
        <v xml:space="preserve">NUTRIPLANT  -ON  </v>
      </c>
      <c r="R47" s="55">
        <f t="shared" si="2"/>
        <v>41655</v>
      </c>
      <c r="S47" s="5">
        <f t="shared" si="5"/>
        <v>1.52</v>
      </c>
      <c r="T47" s="5">
        <f t="shared" si="5"/>
        <v>1.51</v>
      </c>
      <c r="U47" s="5">
        <f t="shared" si="5"/>
        <v>1.52</v>
      </c>
      <c r="V47" s="5">
        <f t="shared" si="5"/>
        <v>1.51</v>
      </c>
    </row>
    <row r="48" spans="1:22">
      <c r="A48" s="35" t="str">
        <f>IF(Tabela17[[#This Row],[Código]]="IBOV","^BVSP",IF(Tabela17[[#This Row],[Código]]="","",CONCATENATE(LEFT(Tabela17[[#This Row],[Código]],6),".SA")))</f>
        <v>PATI4.SA</v>
      </c>
      <c r="C48" s="3" t="s">
        <v>378</v>
      </c>
      <c r="D48" s="3" t="s">
        <v>529</v>
      </c>
      <c r="E48" s="3" t="s">
        <v>529</v>
      </c>
      <c r="F48" s="3" t="s">
        <v>529</v>
      </c>
      <c r="G48" s="3" t="s">
        <v>529</v>
      </c>
      <c r="H48" s="55">
        <v>41655</v>
      </c>
      <c r="J48" s="3">
        <f t="shared" si="4"/>
        <v>20</v>
      </c>
      <c r="K48" s="3">
        <f t="shared" si="4"/>
        <v>20</v>
      </c>
      <c r="L48" s="3">
        <f t="shared" si="4"/>
        <v>20</v>
      </c>
      <c r="M48" s="3">
        <f t="shared" si="4"/>
        <v>20</v>
      </c>
      <c r="P48" s="14" t="s">
        <v>376</v>
      </c>
      <c r="Q48" s="10" t="str">
        <f t="shared" si="1"/>
        <v>PANATLANTICA-PN</v>
      </c>
      <c r="R48" s="55">
        <f t="shared" si="2"/>
        <v>41655</v>
      </c>
      <c r="S48" s="5">
        <f t="shared" si="5"/>
        <v>20</v>
      </c>
      <c r="T48" s="5">
        <f t="shared" si="5"/>
        <v>20</v>
      </c>
      <c r="U48" s="5">
        <f t="shared" si="5"/>
        <v>20</v>
      </c>
      <c r="V48" s="5">
        <f t="shared" si="5"/>
        <v>20</v>
      </c>
    </row>
    <row r="49" spans="1:22">
      <c r="A49" s="35" t="str">
        <f>IF(Tabela17[[#This Row],[Código]]="IBOV","^BVSP",IF(Tabela17[[#This Row],[Código]]="","",CONCATENATE(LEFT(Tabela17[[#This Row],[Código]],6),".SA")))</f>
        <v>TKNO4.SA</v>
      </c>
      <c r="C49" s="3" t="s">
        <v>380</v>
      </c>
      <c r="D49" s="3" t="s">
        <v>381</v>
      </c>
      <c r="E49" s="3" t="s">
        <v>381</v>
      </c>
      <c r="F49" s="3" t="s">
        <v>381</v>
      </c>
      <c r="G49" s="3" t="s">
        <v>381</v>
      </c>
      <c r="H49" s="55">
        <v>41655</v>
      </c>
      <c r="J49" s="3">
        <f t="shared" si="4"/>
        <v>88</v>
      </c>
      <c r="K49" s="3">
        <f t="shared" si="4"/>
        <v>88</v>
      </c>
      <c r="L49" s="3">
        <f t="shared" si="4"/>
        <v>88</v>
      </c>
      <c r="M49" s="3">
        <f t="shared" si="4"/>
        <v>88</v>
      </c>
      <c r="P49" s="15" t="s">
        <v>379</v>
      </c>
      <c r="Q49" s="10" t="str">
        <f t="shared" si="1"/>
        <v>TEKNO       -PN</v>
      </c>
      <c r="R49" s="55">
        <f t="shared" si="2"/>
        <v>41655</v>
      </c>
      <c r="S49" s="5">
        <f t="shared" si="5"/>
        <v>88</v>
      </c>
      <c r="T49" s="5">
        <f t="shared" si="5"/>
        <v>88</v>
      </c>
      <c r="U49" s="5">
        <f t="shared" si="5"/>
        <v>88</v>
      </c>
      <c r="V49" s="5">
        <f t="shared" si="5"/>
        <v>88</v>
      </c>
    </row>
    <row r="50" spans="1:22">
      <c r="A50" s="35" t="str">
        <f>IF(Tabela17[[#This Row],[Código]]="IBOV","^BVSP",IF(Tabela17[[#This Row],[Código]]="","",CONCATENATE(LEFT(Tabela17[[#This Row],[Código]],6),".SA")))</f>
        <v>ETER3.SA</v>
      </c>
      <c r="C50" s="3" t="s">
        <v>384</v>
      </c>
      <c r="D50" s="3" t="s">
        <v>781</v>
      </c>
      <c r="E50" s="3" t="s">
        <v>781</v>
      </c>
      <c r="F50" s="3" t="s">
        <v>782</v>
      </c>
      <c r="G50" s="3" t="s">
        <v>783</v>
      </c>
      <c r="H50" s="55">
        <v>41655</v>
      </c>
      <c r="J50" s="3">
        <f t="shared" si="4"/>
        <v>8.35</v>
      </c>
      <c r="K50" s="3">
        <f t="shared" si="4"/>
        <v>8.35</v>
      </c>
      <c r="L50" s="3">
        <f t="shared" si="4"/>
        <v>8.39</v>
      </c>
      <c r="M50" s="3">
        <f t="shared" si="4"/>
        <v>8.2899999999999991</v>
      </c>
      <c r="P50" s="15" t="s">
        <v>382</v>
      </c>
      <c r="Q50" s="10" t="str">
        <f t="shared" si="1"/>
        <v xml:space="preserve">ETERNIT     -ON  </v>
      </c>
      <c r="R50" s="48">
        <f t="shared" si="2"/>
        <v>41655</v>
      </c>
      <c r="S50" s="6">
        <f t="shared" si="5"/>
        <v>8.35</v>
      </c>
      <c r="T50" s="6">
        <f t="shared" si="5"/>
        <v>8.35</v>
      </c>
      <c r="U50" s="6">
        <f t="shared" si="5"/>
        <v>8.39</v>
      </c>
      <c r="V50" s="6">
        <f t="shared" si="5"/>
        <v>8.2899999999999991</v>
      </c>
    </row>
    <row r="51" spans="1:22">
      <c r="A51" s="35" t="str">
        <f>IF(Tabela17[[#This Row],[Código]]="IBOV","^BVSP",IF(Tabela17[[#This Row],[Código]]="","",CONCATENATE(LEFT(Tabela17[[#This Row],[Código]],6),".SA")))</f>
        <v>ALSC3.SA</v>
      </c>
      <c r="C51" s="3" t="s">
        <v>404</v>
      </c>
      <c r="D51" s="3" t="s">
        <v>534</v>
      </c>
      <c r="E51" s="3" t="s">
        <v>784</v>
      </c>
      <c r="F51" s="3" t="s">
        <v>785</v>
      </c>
      <c r="G51" s="3" t="s">
        <v>786</v>
      </c>
      <c r="H51" s="55">
        <v>41655</v>
      </c>
      <c r="J51" s="3">
        <f t="shared" si="4"/>
        <v>18.100000000000001</v>
      </c>
      <c r="K51" s="3">
        <f t="shared" si="4"/>
        <v>17.8</v>
      </c>
      <c r="L51" s="3">
        <f t="shared" si="4"/>
        <v>18.11</v>
      </c>
      <c r="M51" s="3">
        <f t="shared" si="4"/>
        <v>17.760000000000002</v>
      </c>
      <c r="P51" s="14" t="s">
        <v>403</v>
      </c>
      <c r="Q51" s="10" t="str">
        <f t="shared" si="1"/>
        <v xml:space="preserve">ALIANSCE    -ON  </v>
      </c>
      <c r="R51" s="48">
        <f t="shared" si="2"/>
        <v>41655</v>
      </c>
      <c r="S51" s="6">
        <f t="shared" si="5"/>
        <v>18.100000000000001</v>
      </c>
      <c r="T51" s="6">
        <f t="shared" si="5"/>
        <v>17.8</v>
      </c>
      <c r="U51" s="6">
        <f t="shared" si="5"/>
        <v>18.11</v>
      </c>
      <c r="V51" s="6">
        <f t="shared" si="5"/>
        <v>17.760000000000002</v>
      </c>
    </row>
    <row r="52" spans="1:22">
      <c r="A52" s="35" t="str">
        <f>IF(Tabela17[[#This Row],[Código]]="IBOV","^BVSP",IF(Tabela17[[#This Row],[Código]]="","",CONCATENATE(LEFT(Tabela17[[#This Row],[Código]],6),".SA")))</f>
        <v>BRML3.SA</v>
      </c>
      <c r="C52" s="3" t="s">
        <v>406</v>
      </c>
      <c r="D52" s="3" t="s">
        <v>541</v>
      </c>
      <c r="E52" s="3" t="s">
        <v>556</v>
      </c>
      <c r="F52" s="3" t="s">
        <v>500</v>
      </c>
      <c r="G52" s="3" t="s">
        <v>787</v>
      </c>
      <c r="H52" s="55">
        <v>41655</v>
      </c>
      <c r="J52" s="3">
        <f t="shared" si="4"/>
        <v>17.149999999999999</v>
      </c>
      <c r="K52" s="3">
        <f t="shared" si="4"/>
        <v>17.14</v>
      </c>
      <c r="L52" s="3">
        <f t="shared" si="4"/>
        <v>17.23</v>
      </c>
      <c r="M52" s="3">
        <f t="shared" si="4"/>
        <v>17.059999999999999</v>
      </c>
      <c r="P52" s="10" t="s">
        <v>405</v>
      </c>
      <c r="Q52" s="10" t="str">
        <f t="shared" si="1"/>
        <v xml:space="preserve">BR MALLS PAR-ON  </v>
      </c>
      <c r="R52" s="55">
        <f t="shared" si="2"/>
        <v>41655</v>
      </c>
      <c r="S52" s="5">
        <f t="shared" si="5"/>
        <v>17.149999999999999</v>
      </c>
      <c r="T52" s="5">
        <f t="shared" si="5"/>
        <v>17.14</v>
      </c>
      <c r="U52" s="5">
        <f t="shared" si="5"/>
        <v>17.23</v>
      </c>
      <c r="V52" s="5">
        <f t="shared" si="5"/>
        <v>17.059999999999999</v>
      </c>
    </row>
    <row r="53" spans="1:22">
      <c r="A53" s="35" t="str">
        <f>IF(Tabela17[[#This Row],[Código]]="IBOV","^BVSP",IF(Tabela17[[#This Row],[Código]]="","",CONCATENATE(LEFT(Tabela17[[#This Row],[Código]],6),".SA")))</f>
        <v>BRPR3.SA</v>
      </c>
      <c r="C53" s="3" t="s">
        <v>408</v>
      </c>
      <c r="D53" s="3" t="s">
        <v>525</v>
      </c>
      <c r="E53" s="3" t="s">
        <v>124</v>
      </c>
      <c r="F53" s="3" t="s">
        <v>525</v>
      </c>
      <c r="G53" s="3" t="s">
        <v>524</v>
      </c>
      <c r="H53" s="55">
        <v>41655</v>
      </c>
      <c r="J53" s="3">
        <f t="shared" si="4"/>
        <v>18.16</v>
      </c>
      <c r="K53" s="3">
        <f t="shared" si="4"/>
        <v>18</v>
      </c>
      <c r="L53" s="3">
        <f t="shared" si="4"/>
        <v>18.16</v>
      </c>
      <c r="M53" s="3">
        <f t="shared" si="4"/>
        <v>17.96</v>
      </c>
      <c r="P53" s="15" t="s">
        <v>407</v>
      </c>
      <c r="Q53" s="10" t="str">
        <f t="shared" si="1"/>
        <v xml:space="preserve">BR PROPERT  -ON  </v>
      </c>
      <c r="R53" s="55">
        <f t="shared" si="2"/>
        <v>41655</v>
      </c>
      <c r="S53" s="5">
        <f t="shared" si="5"/>
        <v>18.16</v>
      </c>
      <c r="T53" s="5">
        <f t="shared" si="5"/>
        <v>18</v>
      </c>
      <c r="U53" s="5">
        <f t="shared" si="5"/>
        <v>18.16</v>
      </c>
      <c r="V53" s="5">
        <f t="shared" si="5"/>
        <v>17.96</v>
      </c>
    </row>
    <row r="54" spans="1:22">
      <c r="A54" s="35" t="str">
        <f>IF(Tabela17[[#This Row],[Código]]="IBOV","^BVSP",IF(Tabela17[[#This Row],[Código]]="","",CONCATENATE(LEFT(Tabela17[[#This Row],[Código]],6),".SA")))</f>
        <v>CCPR3.SA</v>
      </c>
      <c r="C54" s="3" t="s">
        <v>410</v>
      </c>
      <c r="D54" s="3" t="s">
        <v>540</v>
      </c>
      <c r="E54" s="3" t="s">
        <v>540</v>
      </c>
      <c r="F54" s="3" t="s">
        <v>540</v>
      </c>
      <c r="G54" s="3" t="s">
        <v>540</v>
      </c>
      <c r="H54" s="55">
        <v>41655</v>
      </c>
      <c r="J54" s="3">
        <f t="shared" si="4"/>
        <v>20.6</v>
      </c>
      <c r="K54" s="3">
        <f t="shared" si="4"/>
        <v>20.6</v>
      </c>
      <c r="L54" s="3">
        <f t="shared" si="4"/>
        <v>20.6</v>
      </c>
      <c r="M54" s="3">
        <f t="shared" si="4"/>
        <v>20.6</v>
      </c>
      <c r="P54" s="15" t="s">
        <v>409</v>
      </c>
      <c r="Q54" s="10" t="str">
        <f t="shared" si="1"/>
        <v xml:space="preserve">CYRE COM-CCP-ON  </v>
      </c>
      <c r="R54" s="55">
        <f t="shared" si="2"/>
        <v>41655</v>
      </c>
      <c r="S54" s="5">
        <f t="shared" si="5"/>
        <v>20.6</v>
      </c>
      <c r="T54" s="5">
        <f t="shared" si="5"/>
        <v>20.6</v>
      </c>
      <c r="U54" s="5">
        <f t="shared" si="5"/>
        <v>20.6</v>
      </c>
      <c r="V54" s="5">
        <f t="shared" si="5"/>
        <v>20.6</v>
      </c>
    </row>
    <row r="55" spans="1:22">
      <c r="A55" s="35" t="str">
        <f>IF(Tabela17[[#This Row],[Código]]="IBOV","^BVSP",IF(Tabela17[[#This Row],[Código]]="","",CONCATENATE(LEFT(Tabela17[[#This Row],[Código]],6),".SA")))</f>
        <v>IGTA3.SA</v>
      </c>
      <c r="C55" s="3" t="s">
        <v>412</v>
      </c>
      <c r="D55" s="3" t="s">
        <v>788</v>
      </c>
      <c r="E55" s="3" t="s">
        <v>789</v>
      </c>
      <c r="F55" s="3" t="s">
        <v>790</v>
      </c>
      <c r="G55" s="3" t="s">
        <v>791</v>
      </c>
      <c r="H55" s="55">
        <v>41655</v>
      </c>
      <c r="J55" s="3">
        <f t="shared" si="4"/>
        <v>21.48</v>
      </c>
      <c r="K55" s="3">
        <f t="shared" si="4"/>
        <v>21.61</v>
      </c>
      <c r="L55" s="3">
        <f t="shared" si="4"/>
        <v>21.62</v>
      </c>
      <c r="M55" s="3">
        <f t="shared" si="4"/>
        <v>21.41</v>
      </c>
      <c r="P55" s="14" t="s">
        <v>411</v>
      </c>
      <c r="Q55" s="10" t="str">
        <f t="shared" si="1"/>
        <v xml:space="preserve">IGUATEMI    -ON  </v>
      </c>
      <c r="R55" s="55">
        <f t="shared" si="2"/>
        <v>41655</v>
      </c>
      <c r="S55" s="5">
        <f t="shared" si="5"/>
        <v>21.48</v>
      </c>
      <c r="T55" s="5">
        <f t="shared" si="5"/>
        <v>21.61</v>
      </c>
      <c r="U55" s="5">
        <f t="shared" si="5"/>
        <v>21.62</v>
      </c>
      <c r="V55" s="5">
        <f t="shared" si="5"/>
        <v>21.41</v>
      </c>
    </row>
    <row r="56" spans="1:22">
      <c r="A56" s="35" t="str">
        <f>IF(Tabela17[[#This Row],[Código]]="IBOV","^BVSP",IF(Tabela17[[#This Row],[Código]]="","",CONCATENATE(LEFT(Tabela17[[#This Row],[Código]],6),".SA")))</f>
        <v>MULT3.SA</v>
      </c>
      <c r="C56" s="3" t="s">
        <v>414</v>
      </c>
      <c r="D56" s="3" t="s">
        <v>792</v>
      </c>
      <c r="E56" s="3" t="s">
        <v>793</v>
      </c>
      <c r="F56" s="3" t="s">
        <v>794</v>
      </c>
      <c r="G56" s="3" t="s">
        <v>795</v>
      </c>
      <c r="H56" s="55">
        <v>41655</v>
      </c>
      <c r="J56" s="3">
        <f t="shared" si="4"/>
        <v>47.23</v>
      </c>
      <c r="K56" s="3">
        <f t="shared" si="4"/>
        <v>47.5</v>
      </c>
      <c r="L56" s="3">
        <f t="shared" si="4"/>
        <v>47.64</v>
      </c>
      <c r="M56" s="3">
        <f t="shared" si="4"/>
        <v>47.2</v>
      </c>
      <c r="P56" s="14" t="s">
        <v>413</v>
      </c>
      <c r="Q56" s="10" t="str">
        <f t="shared" si="1"/>
        <v xml:space="preserve">MULTIPLAN   -ON  </v>
      </c>
      <c r="R56" s="55">
        <f t="shared" si="2"/>
        <v>41655</v>
      </c>
      <c r="S56" s="5">
        <f t="shared" si="5"/>
        <v>47.23</v>
      </c>
      <c r="T56" s="5">
        <f t="shared" si="5"/>
        <v>47.5</v>
      </c>
      <c r="U56" s="5">
        <f t="shared" si="5"/>
        <v>47.64</v>
      </c>
      <c r="V56" s="5">
        <f t="shared" si="5"/>
        <v>47.2</v>
      </c>
    </row>
    <row r="57" spans="1:22">
      <c r="A57" s="35" t="str">
        <f>IF(Tabela17[[#This Row],[Código]]="IBOV","^BVSP",IF(Tabela17[[#This Row],[Código]]="","",CONCATENATE(LEFT(Tabela17[[#This Row],[Código]],6),".SA")))</f>
        <v>SSBR3.SA</v>
      </c>
      <c r="C57" s="3" t="s">
        <v>417</v>
      </c>
      <c r="D57" s="3" t="s">
        <v>796</v>
      </c>
      <c r="E57" s="3" t="s">
        <v>660</v>
      </c>
      <c r="F57" s="3" t="s">
        <v>124</v>
      </c>
      <c r="G57" s="3" t="s">
        <v>660</v>
      </c>
      <c r="H57" s="55">
        <v>41655</v>
      </c>
      <c r="J57" s="3">
        <f t="shared" si="4"/>
        <v>17.46</v>
      </c>
      <c r="K57" s="3">
        <f t="shared" si="4"/>
        <v>17.260000000000002</v>
      </c>
      <c r="L57" s="3">
        <f t="shared" si="4"/>
        <v>18</v>
      </c>
      <c r="M57" s="3">
        <f t="shared" si="4"/>
        <v>17.260000000000002</v>
      </c>
      <c r="P57" s="14" t="s">
        <v>415</v>
      </c>
      <c r="Q57" s="10" t="str">
        <f t="shared" si="1"/>
        <v xml:space="preserve">SIERRABRASIL-ON  </v>
      </c>
      <c r="R57" s="55">
        <f t="shared" si="2"/>
        <v>41655</v>
      </c>
      <c r="S57" s="5">
        <f t="shared" si="5"/>
        <v>17.46</v>
      </c>
      <c r="T57" s="5">
        <f t="shared" si="5"/>
        <v>17.260000000000002</v>
      </c>
      <c r="U57" s="5">
        <f t="shared" si="5"/>
        <v>18</v>
      </c>
      <c r="V57" s="5">
        <f t="shared" si="5"/>
        <v>17.260000000000002</v>
      </c>
    </row>
    <row r="58" spans="1:22">
      <c r="A58" s="35" t="str">
        <f>IF(Tabela17[[#This Row],[Código]]="IBOV","^BVSP",IF(Tabela17[[#This Row],[Código]]="","",CONCATENATE(LEFT(Tabela17[[#This Row],[Código]],6),".SA")))</f>
        <v>SCAR3.SA</v>
      </c>
      <c r="C58" s="3" t="s">
        <v>418</v>
      </c>
      <c r="D58" s="3" t="s">
        <v>797</v>
      </c>
      <c r="E58" s="3" t="s">
        <v>798</v>
      </c>
      <c r="F58" s="3" t="s">
        <v>799</v>
      </c>
      <c r="G58" s="3" t="s">
        <v>797</v>
      </c>
      <c r="H58" s="55">
        <v>41655</v>
      </c>
      <c r="J58" s="3">
        <f t="shared" si="4"/>
        <v>34.130000000000003</v>
      </c>
      <c r="K58" s="3">
        <f t="shared" si="4"/>
        <v>34.450000000000003</v>
      </c>
      <c r="L58" s="3">
        <f t="shared" si="4"/>
        <v>34.56</v>
      </c>
      <c r="M58" s="3">
        <f t="shared" si="4"/>
        <v>34.130000000000003</v>
      </c>
      <c r="P58" s="14" t="s">
        <v>416</v>
      </c>
      <c r="Q58" s="10" t="str">
        <f t="shared" si="1"/>
        <v xml:space="preserve">SAO CARLOS  -ON  </v>
      </c>
      <c r="R58" s="55">
        <f t="shared" si="2"/>
        <v>41655</v>
      </c>
      <c r="S58" s="5">
        <f t="shared" si="5"/>
        <v>34.130000000000003</v>
      </c>
      <c r="T58" s="5">
        <f t="shared" si="5"/>
        <v>34.450000000000003</v>
      </c>
      <c r="U58" s="5">
        <f t="shared" si="5"/>
        <v>34.56</v>
      </c>
      <c r="V58" s="5">
        <f t="shared" si="5"/>
        <v>34.130000000000003</v>
      </c>
    </row>
    <row r="59" spans="1:22">
      <c r="A59" s="35" t="str">
        <f>IF(Tabela17[[#This Row],[Código]]="IBOV","^BVSP",IF(Tabela17[[#This Row],[Código]]="","",CONCATENATE(LEFT(Tabela17[[#This Row],[Código]],6),".SA")))</f>
        <v>MERC3.SA</v>
      </c>
      <c r="C59" s="3" t="s">
        <v>422</v>
      </c>
      <c r="D59" s="3" t="s">
        <v>423</v>
      </c>
      <c r="E59" s="76">
        <v>83591</v>
      </c>
      <c r="F59" s="76">
        <v>83591</v>
      </c>
      <c r="G59" s="76">
        <v>83591</v>
      </c>
      <c r="H59" s="55">
        <v>41655</v>
      </c>
      <c r="J59" s="3">
        <f t="shared" si="4"/>
        <v>8.5500000000000007</v>
      </c>
      <c r="K59" s="3">
        <f t="shared" si="4"/>
        <v>83.91</v>
      </c>
      <c r="L59" s="3">
        <f t="shared" si="4"/>
        <v>83.91</v>
      </c>
      <c r="M59" s="3">
        <f t="shared" si="4"/>
        <v>83.91</v>
      </c>
      <c r="P59" s="14" t="s">
        <v>419</v>
      </c>
      <c r="Q59" s="10" t="str">
        <f t="shared" si="1"/>
        <v>MERC FINANC -ON</v>
      </c>
      <c r="R59" s="55">
        <f t="shared" si="2"/>
        <v>41655</v>
      </c>
      <c r="S59" s="5">
        <f t="shared" si="5"/>
        <v>8.5500000000000007</v>
      </c>
      <c r="T59" s="5">
        <f t="shared" si="5"/>
        <v>83.91</v>
      </c>
      <c r="U59" s="5">
        <f t="shared" si="5"/>
        <v>83.91</v>
      </c>
      <c r="V59" s="5">
        <f t="shared" si="5"/>
        <v>83.91</v>
      </c>
    </row>
    <row r="60" spans="1:22">
      <c r="A60" s="35" t="str">
        <f>IF(Tabela17[[#This Row],[Código]]="IBOV","^BVSP",IF(Tabela17[[#This Row],[Código]]="","",CONCATENATE(LEFT(Tabela17[[#This Row],[Código]],6),".SA")))</f>
        <v>MERC4.SA</v>
      </c>
      <c r="C60" s="3" t="s">
        <v>424</v>
      </c>
      <c r="D60" s="3" t="s">
        <v>469</v>
      </c>
      <c r="E60" s="3" t="s">
        <v>469</v>
      </c>
      <c r="F60" s="3" t="s">
        <v>469</v>
      </c>
      <c r="G60" s="3" t="s">
        <v>469</v>
      </c>
      <c r="H60" s="55">
        <v>41655</v>
      </c>
      <c r="J60" s="3">
        <f t="shared" si="4"/>
        <v>6.58</v>
      </c>
      <c r="K60" s="3">
        <f t="shared" si="4"/>
        <v>6.58</v>
      </c>
      <c r="L60" s="3">
        <f t="shared" si="4"/>
        <v>6.58</v>
      </c>
      <c r="M60" s="3">
        <f t="shared" si="4"/>
        <v>6.58</v>
      </c>
      <c r="P60" s="14" t="s">
        <v>420</v>
      </c>
      <c r="Q60" s="10" t="str">
        <f t="shared" si="1"/>
        <v>MERC FINANC -PN</v>
      </c>
      <c r="R60" s="55">
        <f t="shared" si="2"/>
        <v>41655</v>
      </c>
      <c r="S60" s="5">
        <f t="shared" si="5"/>
        <v>6.58</v>
      </c>
      <c r="T60" s="5">
        <f t="shared" si="5"/>
        <v>6.58</v>
      </c>
      <c r="U60" s="5">
        <f t="shared" si="5"/>
        <v>6.58</v>
      </c>
      <c r="V60" s="5">
        <f t="shared" si="5"/>
        <v>6.58</v>
      </c>
    </row>
    <row r="61" spans="1:22">
      <c r="A61" s="35" t="str">
        <f>IF(Tabela17[[#This Row],[Código]]="IBOV","^BVSP",IF(Tabela17[[#This Row],[Código]]="","",CONCATENATE(LEFT(Tabela17[[#This Row],[Código]],6),".SA")))</f>
        <v>CRIV3.SA</v>
      </c>
      <c r="C61" s="3" t="s">
        <v>427</v>
      </c>
      <c r="D61" s="3" t="s">
        <v>487</v>
      </c>
      <c r="E61" s="3" t="s">
        <v>487</v>
      </c>
      <c r="F61" s="3" t="s">
        <v>487</v>
      </c>
      <c r="G61" s="3" t="s">
        <v>487</v>
      </c>
      <c r="H61" s="55">
        <v>41655</v>
      </c>
      <c r="J61" s="3">
        <f t="shared" si="4"/>
        <v>3.85</v>
      </c>
      <c r="K61" s="3">
        <f t="shared" si="4"/>
        <v>3.85</v>
      </c>
      <c r="L61" s="3">
        <f t="shared" si="4"/>
        <v>3.85</v>
      </c>
      <c r="M61" s="3">
        <f t="shared" si="4"/>
        <v>3.85</v>
      </c>
      <c r="P61" s="10" t="s">
        <v>425</v>
      </c>
      <c r="Q61" s="10" t="str">
        <f t="shared" si="1"/>
        <v>ALFA FINANC -ON</v>
      </c>
      <c r="R61" s="55">
        <f t="shared" si="2"/>
        <v>41655</v>
      </c>
      <c r="S61" s="5">
        <f t="shared" si="5"/>
        <v>3.85</v>
      </c>
      <c r="T61" s="5">
        <f t="shared" si="5"/>
        <v>3.85</v>
      </c>
      <c r="U61" s="5">
        <f t="shared" si="5"/>
        <v>3.85</v>
      </c>
      <c r="V61" s="5">
        <f t="shared" si="5"/>
        <v>3.85</v>
      </c>
    </row>
    <row r="62" spans="1:22">
      <c r="A62" s="35" t="str">
        <f>IF(Tabela17[[#This Row],[Código]]="IBOV","^BVSP",IF(Tabela17[[#This Row],[Código]]="","",CONCATENATE(LEFT(Tabela17[[#This Row],[Código]],6),".SA")))</f>
        <v>CRIV4.SA</v>
      </c>
      <c r="C62" s="3" t="s">
        <v>428</v>
      </c>
      <c r="D62" s="3" t="s">
        <v>506</v>
      </c>
      <c r="E62" s="3" t="s">
        <v>542</v>
      </c>
      <c r="F62" s="3" t="s">
        <v>542</v>
      </c>
      <c r="G62" s="3" t="s">
        <v>507</v>
      </c>
      <c r="H62" s="55">
        <v>41655</v>
      </c>
      <c r="J62" s="3">
        <f t="shared" si="4"/>
        <v>3.88</v>
      </c>
      <c r="K62" s="3">
        <f t="shared" si="4"/>
        <v>4.01</v>
      </c>
      <c r="L62" s="3">
        <f t="shared" si="4"/>
        <v>4.01</v>
      </c>
      <c r="M62" s="3">
        <f t="shared" si="4"/>
        <v>3.84</v>
      </c>
      <c r="P62" s="14" t="s">
        <v>426</v>
      </c>
      <c r="Q62" s="10" t="str">
        <f t="shared" si="1"/>
        <v>ALFA FINANC -PN</v>
      </c>
      <c r="R62" s="55">
        <f t="shared" si="2"/>
        <v>41655</v>
      </c>
      <c r="S62" s="5">
        <f t="shared" si="5"/>
        <v>3.88</v>
      </c>
      <c r="T62" s="5">
        <f t="shared" si="5"/>
        <v>4.01</v>
      </c>
      <c r="U62" s="5">
        <f t="shared" si="5"/>
        <v>4.01</v>
      </c>
      <c r="V62" s="5">
        <f t="shared" si="5"/>
        <v>3.84</v>
      </c>
    </row>
    <row r="63" spans="1:22">
      <c r="A63" s="35" t="str">
        <f>IF(Tabela17[[#This Row],[Código]]="IBOV","^BVSP",IF(Tabela17[[#This Row],[Código]]="","",CONCATENATE(LEFT(Tabela17[[#This Row],[Código]],6),".SA")))</f>
        <v>BRIN3.SA</v>
      </c>
      <c r="C63" s="3" t="s">
        <v>431</v>
      </c>
      <c r="D63" s="3" t="s">
        <v>800</v>
      </c>
      <c r="E63" s="3" t="s">
        <v>801</v>
      </c>
      <c r="F63" s="3" t="s">
        <v>802</v>
      </c>
      <c r="G63" s="3" t="s">
        <v>573</v>
      </c>
      <c r="H63" s="55">
        <v>41655</v>
      </c>
      <c r="J63" s="3">
        <f t="shared" si="4"/>
        <v>18.25</v>
      </c>
      <c r="K63" s="3">
        <f t="shared" si="4"/>
        <v>18.260000000000002</v>
      </c>
      <c r="L63" s="3">
        <f t="shared" si="4"/>
        <v>18.7</v>
      </c>
      <c r="M63" s="3">
        <f t="shared" si="4"/>
        <v>18.18</v>
      </c>
      <c r="P63" s="14" t="s">
        <v>429</v>
      </c>
      <c r="Q63" s="10" t="str">
        <f t="shared" si="1"/>
        <v xml:space="preserve">BR INSURANCE-ON  </v>
      </c>
      <c r="R63" s="55">
        <f t="shared" si="2"/>
        <v>41655</v>
      </c>
      <c r="S63" s="5">
        <f t="shared" si="5"/>
        <v>18.25</v>
      </c>
      <c r="T63" s="5">
        <f t="shared" si="5"/>
        <v>18.260000000000002</v>
      </c>
      <c r="U63" s="5">
        <f t="shared" si="5"/>
        <v>18.7</v>
      </c>
      <c r="V63" s="5">
        <f t="shared" si="5"/>
        <v>18.18</v>
      </c>
    </row>
    <row r="64" spans="1:22">
      <c r="A64" s="35" t="str">
        <f>IF(Tabela17[[#This Row],[Código]]="IBOV","^BVSP",IF(Tabela17[[#This Row],[Código]]="","",CONCATENATE(LEFT(Tabela17[[#This Row],[Código]],6),".SA")))</f>
        <v>TRPN3.SA</v>
      </c>
      <c r="C64" s="3" t="s">
        <v>434</v>
      </c>
      <c r="D64" s="3" t="s">
        <v>527</v>
      </c>
      <c r="E64" s="3" t="s">
        <v>574</v>
      </c>
      <c r="F64" s="3" t="s">
        <v>488</v>
      </c>
      <c r="G64" s="3" t="s">
        <v>527</v>
      </c>
      <c r="H64" s="55">
        <v>41655</v>
      </c>
      <c r="J64" s="3">
        <f t="shared" si="4"/>
        <v>14.95</v>
      </c>
      <c r="K64" s="3">
        <f t="shared" si="4"/>
        <v>15.1</v>
      </c>
      <c r="L64" s="3">
        <f t="shared" si="4"/>
        <v>15.5</v>
      </c>
      <c r="M64" s="3">
        <f t="shared" si="4"/>
        <v>14.95</v>
      </c>
      <c r="P64" s="15" t="s">
        <v>432</v>
      </c>
      <c r="Q64" s="10" t="str">
        <f t="shared" si="1"/>
        <v xml:space="preserve">TARPON INV  -ON  </v>
      </c>
      <c r="R64" s="55">
        <f t="shared" si="2"/>
        <v>41655</v>
      </c>
      <c r="S64" s="5">
        <f t="shared" si="5"/>
        <v>14.95</v>
      </c>
      <c r="T64" s="5">
        <f t="shared" si="5"/>
        <v>15.1</v>
      </c>
      <c r="U64" s="5">
        <f t="shared" si="5"/>
        <v>15.5</v>
      </c>
      <c r="V64" s="5">
        <f t="shared" si="5"/>
        <v>14.95</v>
      </c>
    </row>
    <row r="65" spans="1:22">
      <c r="A65" s="35" t="str">
        <f>IF(Tabela17[[#This Row],[Código]]="IBOV","^BVSP",IF(Tabela17[[#This Row],[Código]]="","",CONCATENATE(LEFT(Tabela17[[#This Row],[Código]],6),".SA")))</f>
        <v>BVMF3.SA</v>
      </c>
      <c r="C65" s="3" t="s">
        <v>437</v>
      </c>
      <c r="D65" s="3" t="s">
        <v>803</v>
      </c>
      <c r="E65" s="3" t="s">
        <v>563</v>
      </c>
      <c r="F65" s="3" t="s">
        <v>804</v>
      </c>
      <c r="G65" s="3" t="s">
        <v>519</v>
      </c>
      <c r="H65" s="55">
        <v>41655</v>
      </c>
      <c r="J65" s="3">
        <f t="shared" si="4"/>
        <v>10.3</v>
      </c>
      <c r="K65" s="3">
        <f t="shared" si="4"/>
        <v>10.25</v>
      </c>
      <c r="L65" s="3">
        <f t="shared" si="4"/>
        <v>10.38</v>
      </c>
      <c r="M65" s="3">
        <f t="shared" si="4"/>
        <v>10.220000000000001</v>
      </c>
      <c r="P65" s="15" t="s">
        <v>435</v>
      </c>
      <c r="Q65" s="10" t="str">
        <f t="shared" si="1"/>
        <v xml:space="preserve">BMFBOVESPA  -ON  </v>
      </c>
      <c r="R65" s="55">
        <f t="shared" si="2"/>
        <v>41655</v>
      </c>
      <c r="S65" s="5">
        <f t="shared" si="5"/>
        <v>10.3</v>
      </c>
      <c r="T65" s="5">
        <f t="shared" si="5"/>
        <v>10.25</v>
      </c>
      <c r="U65" s="5">
        <f t="shared" si="5"/>
        <v>10.38</v>
      </c>
      <c r="V65" s="5">
        <f t="shared" si="5"/>
        <v>10.220000000000001</v>
      </c>
    </row>
    <row r="66" spans="1:22">
      <c r="A66" s="35" t="str">
        <f>IF(Tabela17[[#This Row],[Código]]="IBOV","^BVSP",IF(Tabela17[[#This Row],[Código]]="","",CONCATENATE(LEFT(Tabela17[[#This Row],[Código]],6),".SA")))</f>
        <v>CTIP3.SA</v>
      </c>
      <c r="C66" s="3" t="s">
        <v>440</v>
      </c>
      <c r="D66" s="3" t="s">
        <v>805</v>
      </c>
      <c r="E66" s="3" t="s">
        <v>472</v>
      </c>
      <c r="F66" s="3" t="s">
        <v>806</v>
      </c>
      <c r="G66" s="3" t="s">
        <v>807</v>
      </c>
      <c r="H66" s="55">
        <v>41655</v>
      </c>
      <c r="J66" s="3">
        <f t="shared" si="4"/>
        <v>23.32</v>
      </c>
      <c r="K66" s="3">
        <f t="shared" si="4"/>
        <v>23.54</v>
      </c>
      <c r="L66" s="3">
        <f t="shared" si="4"/>
        <v>23.57</v>
      </c>
      <c r="M66" s="3">
        <f t="shared" si="4"/>
        <v>23.31</v>
      </c>
      <c r="P66" s="14" t="s">
        <v>438</v>
      </c>
      <c r="Q66" s="10" t="str">
        <f t="shared" si="1"/>
        <v xml:space="preserve">CETIP       -ON  </v>
      </c>
      <c r="R66" s="55">
        <f t="shared" si="2"/>
        <v>41655</v>
      </c>
      <c r="S66" s="5">
        <f t="shared" si="5"/>
        <v>23.32</v>
      </c>
      <c r="T66" s="5">
        <f t="shared" si="5"/>
        <v>23.54</v>
      </c>
      <c r="U66" s="5">
        <f t="shared" si="5"/>
        <v>23.57</v>
      </c>
      <c r="V66" s="5">
        <f t="shared" si="5"/>
        <v>23.31</v>
      </c>
    </row>
    <row r="67" spans="1:22">
      <c r="A67" s="35" t="str">
        <f>IF(Tabela17[[#This Row],[Código]]="IBOV","^BVSP",IF(Tabela17[[#This Row],[Código]]="","",CONCATENATE(LEFT(Tabela17[[#This Row],[Código]],6),".SA")))</f>
        <v>CIEL3.SA</v>
      </c>
      <c r="C67" s="3" t="s">
        <v>441</v>
      </c>
      <c r="D67" s="3" t="s">
        <v>808</v>
      </c>
      <c r="E67" s="3" t="s">
        <v>809</v>
      </c>
      <c r="F67" s="3" t="s">
        <v>810</v>
      </c>
      <c r="G67" s="3" t="s">
        <v>811</v>
      </c>
      <c r="H67" s="55">
        <v>41655</v>
      </c>
      <c r="J67" s="3">
        <f t="shared" si="4"/>
        <v>66.61</v>
      </c>
      <c r="K67" s="3">
        <f t="shared" si="4"/>
        <v>66.5</v>
      </c>
      <c r="L67" s="3">
        <f t="shared" si="4"/>
        <v>67.099999999999994</v>
      </c>
      <c r="M67" s="3">
        <f t="shared" si="4"/>
        <v>66.42</v>
      </c>
      <c r="P67" s="45" t="s">
        <v>439</v>
      </c>
      <c r="Q67" s="10" t="str">
        <f t="shared" si="1"/>
        <v xml:space="preserve">CIELO       -ON  </v>
      </c>
      <c r="R67" s="55">
        <f t="shared" si="2"/>
        <v>41655</v>
      </c>
      <c r="S67" s="5">
        <f t="shared" si="5"/>
        <v>66.61</v>
      </c>
      <c r="T67" s="5">
        <f t="shared" si="5"/>
        <v>66.5</v>
      </c>
      <c r="U67" s="5">
        <f t="shared" si="5"/>
        <v>67.099999999999994</v>
      </c>
      <c r="V67" s="5">
        <f t="shared" si="5"/>
        <v>66.42</v>
      </c>
    </row>
    <row r="68" spans="1:22">
      <c r="A68" s="35" t="str">
        <f>IF(Tabela17[[#This Row],[Código]]="IBOV","^BVSP",IF(Tabela17[[#This Row],[Código]]="","",CONCATENATE(LEFT(Tabela17[[#This Row],[Código]],6),".SA")))</f>
        <v>EBTP4.SA</v>
      </c>
      <c r="C68" s="3" t="s">
        <v>447</v>
      </c>
      <c r="D68" s="3" t="s">
        <v>530</v>
      </c>
      <c r="E68" s="3" t="s">
        <v>498</v>
      </c>
      <c r="F68" s="3" t="s">
        <v>530</v>
      </c>
      <c r="G68" s="3" t="s">
        <v>498</v>
      </c>
      <c r="H68" s="55">
        <v>41655</v>
      </c>
      <c r="J68" s="3">
        <f t="shared" si="4"/>
        <v>8.99</v>
      </c>
      <c r="K68" s="3">
        <f t="shared" si="4"/>
        <v>8.9600000000000009</v>
      </c>
      <c r="L68" s="3">
        <f t="shared" si="4"/>
        <v>8.99</v>
      </c>
      <c r="M68" s="3">
        <f t="shared" si="4"/>
        <v>8.9600000000000009</v>
      </c>
      <c r="P68" s="14" t="s">
        <v>446</v>
      </c>
      <c r="Q68" s="10" t="str">
        <f t="shared" si="1"/>
        <v>EMBRATEL PAR-PN *</v>
      </c>
      <c r="R68" s="48">
        <f t="shared" si="2"/>
        <v>41655</v>
      </c>
      <c r="S68" s="6">
        <f t="shared" si="5"/>
        <v>8.99</v>
      </c>
      <c r="T68" s="6">
        <f t="shared" si="5"/>
        <v>8.9600000000000009</v>
      </c>
      <c r="U68" s="6">
        <f t="shared" si="5"/>
        <v>8.99</v>
      </c>
      <c r="V68" s="6">
        <f t="shared" si="5"/>
        <v>8.9600000000000009</v>
      </c>
    </row>
    <row r="69" spans="1:22">
      <c r="A69" s="35" t="str">
        <f>IF(Tabela17[[#This Row],[Código]]="IBOV","^BVSP",IF(Tabela17[[#This Row],[Código]]="","",CONCATENATE(LEFT(Tabela17[[#This Row],[Código]],6),".SA")))</f>
        <v>UNIP3.SA</v>
      </c>
      <c r="C69" s="3" t="s">
        <v>600</v>
      </c>
      <c r="D69" s="3" t="s">
        <v>601</v>
      </c>
      <c r="E69" s="3" t="s">
        <v>601</v>
      </c>
      <c r="F69" s="3" t="s">
        <v>601</v>
      </c>
      <c r="G69" s="3" t="s">
        <v>601</v>
      </c>
      <c r="H69" s="55">
        <v>41655</v>
      </c>
      <c r="J69" s="3">
        <f t="shared" si="4"/>
        <v>0.56999999999999995</v>
      </c>
      <c r="K69" s="3">
        <f t="shared" si="4"/>
        <v>0.56999999999999995</v>
      </c>
      <c r="L69" s="3">
        <f t="shared" si="4"/>
        <v>0.56999999999999995</v>
      </c>
      <c r="M69" s="3">
        <f t="shared" si="4"/>
        <v>0.56999999999999995</v>
      </c>
      <c r="P69" s="14" t="s">
        <v>596</v>
      </c>
      <c r="Q69" s="10" t="str">
        <f t="shared" si="1"/>
        <v>UNIPAR      -ON</v>
      </c>
      <c r="R69" s="55">
        <f t="shared" si="2"/>
        <v>41655</v>
      </c>
      <c r="S69" s="5">
        <f t="shared" si="5"/>
        <v>0.56999999999999995</v>
      </c>
      <c r="T69" s="5">
        <f t="shared" si="5"/>
        <v>0.56999999999999995</v>
      </c>
      <c r="U69" s="5">
        <f t="shared" si="5"/>
        <v>0.56999999999999995</v>
      </c>
      <c r="V69" s="5">
        <f t="shared" si="5"/>
        <v>0.56999999999999995</v>
      </c>
    </row>
    <row r="70" spans="1:22">
      <c r="A70" s="35" t="str">
        <f>IF(Tabela17[[#This Row],[Código]]="IBOV","^BVSP",IF(Tabela17[[#This Row],[Código]]="","",CONCATENATE(LEFT(Tabela17[[#This Row],[Código]],6),".SA")))</f>
        <v>UNIP5.SA</v>
      </c>
      <c r="C70" s="3" t="s">
        <v>167</v>
      </c>
      <c r="D70" s="3" t="s">
        <v>526</v>
      </c>
      <c r="E70" s="3" t="s">
        <v>526</v>
      </c>
      <c r="F70" s="3" t="s">
        <v>526</v>
      </c>
      <c r="G70" s="3" t="s">
        <v>526</v>
      </c>
      <c r="H70" s="55">
        <v>41655</v>
      </c>
      <c r="J70" s="3">
        <f t="shared" si="4"/>
        <v>0.66</v>
      </c>
      <c r="K70" s="3">
        <f t="shared" si="4"/>
        <v>0.66</v>
      </c>
      <c r="L70" s="3">
        <f t="shared" si="4"/>
        <v>0.66</v>
      </c>
      <c r="M70" s="3">
        <f t="shared" si="4"/>
        <v>0.66</v>
      </c>
      <c r="P70" s="14" t="s">
        <v>74</v>
      </c>
      <c r="Q70" s="10" t="str">
        <f t="shared" si="1"/>
        <v>UNIPAR      -PNA</v>
      </c>
      <c r="R70" s="55">
        <f t="shared" si="2"/>
        <v>41655</v>
      </c>
      <c r="S70" s="5">
        <f t="shared" si="5"/>
        <v>0.66</v>
      </c>
      <c r="T70" s="5">
        <f t="shared" si="5"/>
        <v>0.66</v>
      </c>
      <c r="U70" s="5">
        <f t="shared" si="5"/>
        <v>0.66</v>
      </c>
      <c r="V70" s="5">
        <f t="shared" si="5"/>
        <v>0.66</v>
      </c>
    </row>
    <row r="71" spans="1:22">
      <c r="A71" s="35" t="str">
        <f>IF(Tabela17[[#This Row],[Código]]="IBOV","^BVSP",IF(Tabela17[[#This Row],[Código]]="","",CONCATENATE(LEFT(Tabela17[[#This Row],[Código]],6),".SA")))</f>
        <v/>
      </c>
      <c r="C71" s="3" t="s">
        <v>105</v>
      </c>
      <c r="H71" s="55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5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5" t="str">
        <f>IF(Tabela17[[#This Row],[Código]]="IBOV","^BVSP",IF(Tabela17[[#This Row],[Código]]="","",CONCATENATE(LEFT(Tabela17[[#This Row],[Código]],6),".SA")))</f>
        <v/>
      </c>
      <c r="H72" s="55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48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5" t="str">
        <f>IF(Tabela17[[#This Row],[Código]]="IBOV","^BVSP",IF(Tabela17[[#This Row],[Código]]="","",CONCATENATE(LEFT(Tabela17[[#This Row],[Código]],6),".SA")))</f>
        <v/>
      </c>
      <c r="H73" s="55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5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5" t="str">
        <f>IF(Tabela17[[#This Row],[Código]]="IBOV","^BVSP",IF(Tabela17[[#This Row],[Código]]="","",CONCATENATE(LEFT(Tabela17[[#This Row],[Código]],6),".SA")))</f>
        <v/>
      </c>
      <c r="H74" s="55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5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5" t="str">
        <f>IF(Tabela17[[#This Row],[Código]]="IBOV","^BVSP",IF(Tabela17[[#This Row],[Código]]="","",CONCATENATE(LEFT(Tabela17[[#This Row],[Código]],6),".SA")))</f>
        <v/>
      </c>
      <c r="H75" s="55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5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5" t="str">
        <f>IF(Tabela17[[#This Row],[Código]]="IBOV","^BVSP",IF(Tabela17[[#This Row],[Código]]="","",CONCATENATE(LEFT(Tabela17[[#This Row],[Código]],6),".SA")))</f>
        <v/>
      </c>
      <c r="H76" s="55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5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5" t="str">
        <f>IF(Tabela17[[#This Row],[Código]]="IBOV","^BVSP",IF(Tabela17[[#This Row],[Código]]="","",CONCATENATE(LEFT(Tabela17[[#This Row],[Código]],6),".SA")))</f>
        <v/>
      </c>
      <c r="H77" s="55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5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5" t="str">
        <f>IF(Tabela17[[#This Row],[Código]]="IBOV","^BVSP",IF(Tabela17[[#This Row],[Código]]="","",CONCATENATE(LEFT(Tabela17[[#This Row],[Código]],6),".SA")))</f>
        <v/>
      </c>
      <c r="H78" s="55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5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5" t="str">
        <f>IF(Tabela17[[#This Row],[Código]]="IBOV","^BVSP",IF(Tabela17[[#This Row],[Código]]="","",CONCATENATE(LEFT(Tabela17[[#This Row],[Código]],6),".SA")))</f>
        <v/>
      </c>
      <c r="H79" s="55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5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5" t="str">
        <f>IF(Tabela17[[#This Row],[Código]]="IBOV","^BVSP",IF(Tabela17[[#This Row],[Código]]="","",CONCATENATE(LEFT(Tabela17[[#This Row],[Código]],6),".SA")))</f>
        <v/>
      </c>
      <c r="H80" s="55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5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5" t="str">
        <f>IF(Tabela17[[#This Row],[Código]]="IBOV","^BVSP",IF(Tabela17[[#This Row],[Código]]="","",CONCATENATE(LEFT(Tabela17[[#This Row],[Código]],6),".SA")))</f>
        <v/>
      </c>
      <c r="H81" s="55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5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5" t="str">
        <f>IF(Tabela17[[#This Row],[Código]]="IBOV","^BVSP",IF(Tabela17[[#This Row],[Código]]="","",CONCATENATE(LEFT(Tabela17[[#This Row],[Código]],6),".SA")))</f>
        <v/>
      </c>
      <c r="H82" s="55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5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5" t="str">
        <f>IF(Tabela17[[#This Row],[Código]]="IBOV","^BVSP",IF(Tabela17[[#This Row],[Código]]="","",CONCATENATE(LEFT(Tabela17[[#This Row],[Código]],6),".SA")))</f>
        <v/>
      </c>
      <c r="H83" s="55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5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5" t="str">
        <f>IF(Tabela17[[#This Row],[Código]]="IBOV","^BVSP",IF(Tabela17[[#This Row],[Código]]="","",CONCATENATE(LEFT(Tabela17[[#This Row],[Código]],6),".SA")))</f>
        <v/>
      </c>
      <c r="H84" s="55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5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5" t="str">
        <f>IF(Tabela17[[#This Row],[Código]]="IBOV","^BVSP",IF(Tabela17[[#This Row],[Código]]="","",CONCATENATE(LEFT(Tabela17[[#This Row],[Código]],6),".SA")))</f>
        <v/>
      </c>
      <c r="H85" s="55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5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5" t="str">
        <f>IF(Tabela17[[#This Row],[Código]]="IBOV","^BVSP",IF(Tabela17[[#This Row],[Código]]="","",CONCATENATE(LEFT(Tabela17[[#This Row],[Código]],6),".SA")))</f>
        <v/>
      </c>
      <c r="H86" s="55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5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5" t="str">
        <f>IF(Tabela17[[#This Row],[Código]]="IBOV","^BVSP",IF(Tabela17[[#This Row],[Código]]="","",CONCATENATE(LEFT(Tabela17[[#This Row],[Código]],6),".SA")))</f>
        <v/>
      </c>
      <c r="H87" s="55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5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5" t="str">
        <f>IF(Tabela17[[#This Row],[Código]]="IBOV","^BVSP",IF(Tabela17[[#This Row],[Código]]="","",CONCATENATE(LEFT(Tabela17[[#This Row],[Código]],6),".SA")))</f>
        <v/>
      </c>
      <c r="H88" s="55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5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5" t="str">
        <f>IF(Tabela17[[#This Row],[Código]]="IBOV","^BVSP",IF(Tabela17[[#This Row],[Código]]="","",CONCATENATE(LEFT(Tabela17[[#This Row],[Código]],6),".SA")))</f>
        <v/>
      </c>
      <c r="H89" s="55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5"/>
      <c r="Q89" s="10" t="str">
        <f t="shared" si="6"/>
        <v/>
      </c>
      <c r="R89" s="55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5" t="str">
        <f>IF(Tabela17[[#This Row],[Código]]="IBOV","^BVSP",IF(Tabela17[[#This Row],[Código]]="","",CONCATENATE(LEFT(Tabela17[[#This Row],[Código]],6),".SA")))</f>
        <v/>
      </c>
      <c r="H90" s="55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5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5" t="str">
        <f>IF(Tabela17[[#This Row],[Código]]="IBOV","^BVSP",IF(Tabela17[[#This Row],[Código]]="","",CONCATENATE(LEFT(Tabela17[[#This Row],[Código]],6),".SA")))</f>
        <v/>
      </c>
      <c r="H91" s="55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5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5" t="str">
        <f>IF(Tabela17[[#This Row],[Código]]="IBOV","^BVSP",IF(Tabela17[[#This Row],[Código]]="","",CONCATENATE(LEFT(Tabela17[[#This Row],[Código]],6),".SA")))</f>
        <v/>
      </c>
      <c r="H92" s="55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5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5" t="str">
        <f>IF(Tabela17[[#This Row],[Código]]="IBOV","^BVSP",IF(Tabela17[[#This Row],[Código]]="","",CONCATENATE(LEFT(Tabela17[[#This Row],[Código]],6),".SA")))</f>
        <v/>
      </c>
      <c r="H93" s="55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5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5" t="str">
        <f>IF(Tabela17[[#This Row],[Código]]="IBOV","^BVSP",IF(Tabela17[[#This Row],[Código]]="","",CONCATENATE(LEFT(Tabela17[[#This Row],[Código]],6),".SA")))</f>
        <v/>
      </c>
      <c r="H94" s="55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5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5" t="str">
        <f>IF(Tabela17[[#This Row],[Código]]="IBOV","^BVSP",IF(Tabela17[[#This Row],[Código]]="","",CONCATENATE(LEFT(Tabela17[[#This Row],[Código]],6),".SA")))</f>
        <v/>
      </c>
      <c r="H95" s="55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5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5" t="str">
        <f>IF(Tabela17[[#This Row],[Código]]="IBOV","^BVSP",IF(Tabela17[[#This Row],[Código]]="","",CONCATENATE(LEFT(Tabela17[[#This Row],[Código]],6),".SA")))</f>
        <v/>
      </c>
      <c r="H96" s="55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5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5" t="str">
        <f>IF(Tabela17[[#This Row],[Código]]="IBOV","^BVSP",IF(Tabela17[[#This Row],[Código]]="","",CONCATENATE(LEFT(Tabela17[[#This Row],[Código]],6),".SA")))</f>
        <v/>
      </c>
      <c r="H97" s="55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5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5" t="str">
        <f>IF(Tabela17[[#This Row],[Código]]="IBOV","^BVSP",IF(Tabela17[[#This Row],[Código]]="","",CONCATENATE(LEFT(Tabela17[[#This Row],[Código]],6),".SA")))</f>
        <v/>
      </c>
      <c r="H98" s="55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5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5" t="str">
        <f>IF(Tabela17[[#This Row],[Código]]="IBOV","^BVSP",IF(Tabela17[[#This Row],[Código]]="","",CONCATENATE(LEFT(Tabela17[[#This Row],[Código]],6),".SA")))</f>
        <v/>
      </c>
      <c r="H99" s="55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5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5" t="str">
        <f>IF(Tabela17[[#This Row],[Código]]="IBOV","^BVSP",IF(Tabela17[[#This Row],[Código]]="","",CONCATENATE(LEFT(Tabela17[[#This Row],[Código]],6),".SA")))</f>
        <v/>
      </c>
      <c r="H100" s="55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5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5" t="str">
        <f>IF(Tabela17[[#This Row],[Código]]="IBOV","^BVSP",IF(Tabela17[[#This Row],[Código]]="","",CONCATENATE(LEFT(Tabela17[[#This Row],[Código]],6),".SA")))</f>
        <v/>
      </c>
      <c r="H101" s="55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5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5" t="str">
        <f>IF(Tabela17[[#This Row],[Código]]="IBOV","^BVSP",IF(Tabela17[[#This Row],[Código]]="","",CONCATENATE(LEFT(Tabela17[[#This Row],[Código]],6),".SA")))</f>
        <v/>
      </c>
      <c r="H102" s="55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5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5" t="str">
        <f>IF(Tabela17[[#This Row],[Código]]="IBOV","^BVSP",IF(Tabela17[[#This Row],[Código]]="","",CONCATENATE(LEFT(Tabela17[[#This Row],[Código]],6),".SA")))</f>
        <v/>
      </c>
      <c r="H103" s="55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5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5" t="str">
        <f>IF(Tabela17[[#This Row],[Código]]="IBOV","^BVSP",IF(Tabela17[[#This Row],[Código]]="","",CONCATENATE(LEFT(Tabela17[[#This Row],[Código]],6),".SA")))</f>
        <v/>
      </c>
      <c r="H104" s="55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5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5" t="str">
        <f>IF(Tabela17[[#This Row],[Código]]="IBOV","^BVSP",IF(Tabela17[[#This Row],[Código]]="","",CONCATENATE(LEFT(Tabela17[[#This Row],[Código]],6),".SA")))</f>
        <v/>
      </c>
      <c r="H105" s="55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5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5" t="str">
        <f>IF(Tabela17[[#This Row],[Código]]="IBOV","^BVSP",IF(Tabela17[[#This Row],[Código]]="","",CONCATENATE(LEFT(Tabela17[[#This Row],[Código]],6),".SA")))</f>
        <v/>
      </c>
      <c r="H106" s="55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5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5" t="str">
        <f>IF(Tabela17[[#This Row],[Código]]="IBOV","^BVSP",IF(Tabela17[[#This Row],[Código]]="","",CONCATENATE(LEFT(Tabela17[[#This Row],[Código]],6),".SA")))</f>
        <v/>
      </c>
      <c r="H107" s="55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5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5" t="str">
        <f>IF(Tabela17[[#This Row],[Código]]="IBOV","^BVSP",IF(Tabela17[[#This Row],[Código]]="","",CONCATENATE(LEFT(Tabela17[[#This Row],[Código]],6),".SA")))</f>
        <v/>
      </c>
      <c r="H108" s="55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5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5" t="str">
        <f>IF(Tabela17[[#This Row],[Código]]="IBOV","^BVSP",IF(Tabela17[[#This Row],[Código]]="","",CONCATENATE(LEFT(Tabela17[[#This Row],[Código]],6),".SA")))</f>
        <v/>
      </c>
      <c r="H109" s="55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5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5" t="str">
        <f>IF(Tabela17[[#This Row],[Código]]="IBOV","^BVSP",IF(Tabela17[[#This Row],[Código]]="","",CONCATENATE(LEFT(Tabela17[[#This Row],[Código]],6),".SA")))</f>
        <v/>
      </c>
      <c r="H110" s="55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5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5" t="str">
        <f>IF(Tabela17[[#This Row],[Código]]="IBOV","^BVSP",IF(Tabela17[[#This Row],[Código]]="","",CONCATENATE(LEFT(Tabela17[[#This Row],[Código]],6),".SA")))</f>
        <v/>
      </c>
      <c r="H111" s="55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5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5" t="str">
        <f>IF(Tabela17[[#This Row],[Código]]="IBOV","^BVSP",IF(Tabela17[[#This Row],[Código]]="","",CONCATENATE(LEFT(Tabela17[[#This Row],[Código]],6),".SA")))</f>
        <v/>
      </c>
      <c r="H112" s="55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5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5"/>
      <c r="H113" s="55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5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5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5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5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5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5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5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5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5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5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5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5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5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5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5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5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5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5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5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5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5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5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5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5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5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5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5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5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5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5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5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5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5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5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5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5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5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5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5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5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5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5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5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5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5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5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5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5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5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5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5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5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5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5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5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5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5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5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5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5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5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5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5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5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5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5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5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5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5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5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5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5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5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5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5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5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5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5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5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5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5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5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5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5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5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5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5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5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5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5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5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5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5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5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5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5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5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5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5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5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5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5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5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5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5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5"/>
    </row>
    <row r="174" spans="1:13">
      <c r="A174" s="35"/>
    </row>
    <row r="175" spans="1:13">
      <c r="A175" s="35"/>
    </row>
    <row r="176" spans="1:13">
      <c r="A176" s="35"/>
    </row>
    <row r="177" spans="1:1">
      <c r="A177" s="35"/>
    </row>
    <row r="178" spans="1:1">
      <c r="A178" s="35"/>
    </row>
    <row r="179" spans="1:1">
      <c r="A179" s="35"/>
    </row>
    <row r="180" spans="1:1">
      <c r="A180" s="35"/>
    </row>
    <row r="181" spans="1:1">
      <c r="A181" s="35"/>
    </row>
    <row r="182" spans="1:1">
      <c r="A182" s="35"/>
    </row>
    <row r="183" spans="1:1">
      <c r="A183" s="35"/>
    </row>
    <row r="184" spans="1:1">
      <c r="A184" s="35"/>
    </row>
    <row r="185" spans="1:1">
      <c r="A185" s="35"/>
    </row>
    <row r="186" spans="1:1">
      <c r="A186" s="35"/>
    </row>
    <row r="187" spans="1:1">
      <c r="A187" s="35"/>
    </row>
    <row r="188" spans="1:1">
      <c r="A188" s="35"/>
    </row>
    <row r="189" spans="1:1">
      <c r="A189" s="35"/>
    </row>
    <row r="190" spans="1:1">
      <c r="A190" s="35"/>
    </row>
    <row r="191" spans="1:1">
      <c r="A191" s="35"/>
    </row>
    <row r="192" spans="1:1">
      <c r="A192" s="35"/>
    </row>
    <row r="193" spans="1:1">
      <c r="A193" s="35"/>
    </row>
    <row r="194" spans="1:1">
      <c r="A194" s="35"/>
    </row>
    <row r="195" spans="1:1">
      <c r="A195" s="35"/>
    </row>
    <row r="196" spans="1:1">
      <c r="A196" s="35"/>
    </row>
    <row r="197" spans="1:1">
      <c r="A197" s="35"/>
    </row>
    <row r="198" spans="1:1">
      <c r="A198" s="35"/>
    </row>
    <row r="199" spans="1:1">
      <c r="A199" s="35"/>
    </row>
    <row r="200" spans="1:1">
      <c r="A200" s="35"/>
    </row>
    <row r="201" spans="1:1">
      <c r="A201" s="35"/>
    </row>
    <row r="202" spans="1:1">
      <c r="A202" s="35"/>
    </row>
    <row r="203" spans="1:1">
      <c r="A203" s="35"/>
    </row>
    <row r="204" spans="1:1">
      <c r="A204" s="35"/>
    </row>
    <row r="205" spans="1:1">
      <c r="A205" s="35"/>
    </row>
    <row r="206" spans="1:1">
      <c r="A206" s="35"/>
    </row>
    <row r="207" spans="1:1">
      <c r="A207" s="35"/>
    </row>
    <row r="208" spans="1:1">
      <c r="A208" s="35"/>
    </row>
    <row r="209" spans="1:1">
      <c r="A209" s="35"/>
    </row>
    <row r="210" spans="1:1">
      <c r="A210" s="35"/>
    </row>
    <row r="211" spans="1:1">
      <c r="A211" s="35"/>
    </row>
    <row r="212" spans="1:1">
      <c r="A212" s="35"/>
    </row>
    <row r="213" spans="1:1">
      <c r="A213" s="35"/>
    </row>
    <row r="214" spans="1:1">
      <c r="A214" s="35"/>
    </row>
    <row r="215" spans="1:1">
      <c r="A215" s="35"/>
    </row>
    <row r="216" spans="1:1">
      <c r="A216" s="35"/>
    </row>
    <row r="217" spans="1:1">
      <c r="A217" s="35"/>
    </row>
    <row r="218" spans="1:1">
      <c r="A218" s="35"/>
    </row>
    <row r="219" spans="1:1">
      <c r="A219" s="35"/>
    </row>
    <row r="220" spans="1:1">
      <c r="A220" s="35"/>
    </row>
    <row r="221" spans="1:1">
      <c r="A221" s="35"/>
    </row>
    <row r="222" spans="1:1">
      <c r="A222" s="35"/>
    </row>
    <row r="223" spans="1:1">
      <c r="A223" s="35"/>
    </row>
    <row r="224" spans="1:1">
      <c r="A224" s="35"/>
    </row>
    <row r="225" spans="1:1">
      <c r="A225" s="35"/>
    </row>
    <row r="226" spans="1:1">
      <c r="A226" s="35"/>
    </row>
    <row r="227" spans="1:1">
      <c r="A227" s="35"/>
    </row>
    <row r="228" spans="1:1">
      <c r="A228" s="35"/>
    </row>
    <row r="229" spans="1:1">
      <c r="A229" s="35"/>
    </row>
    <row r="230" spans="1:1">
      <c r="A230" s="35"/>
    </row>
    <row r="231" spans="1:1">
      <c r="A231" s="35"/>
    </row>
    <row r="232" spans="1:1">
      <c r="A232" s="35"/>
    </row>
    <row r="233" spans="1:1">
      <c r="A233" s="35"/>
    </row>
    <row r="234" spans="1:1">
      <c r="A234" s="35"/>
    </row>
    <row r="235" spans="1:1">
      <c r="A235" s="35"/>
    </row>
    <row r="236" spans="1:1">
      <c r="A236" s="35"/>
    </row>
    <row r="237" spans="1:1">
      <c r="A237" s="35"/>
    </row>
    <row r="238" spans="1:1">
      <c r="A238" s="35"/>
    </row>
    <row r="239" spans="1:1">
      <c r="A239" s="35"/>
    </row>
    <row r="240" spans="1:1">
      <c r="A240" s="35"/>
    </row>
    <row r="241" spans="1:1">
      <c r="A241" s="35"/>
    </row>
    <row r="242" spans="1:1">
      <c r="A242" s="35"/>
    </row>
    <row r="243" spans="1:1">
      <c r="A243" s="35"/>
    </row>
    <row r="244" spans="1:1">
      <c r="A244" s="35"/>
    </row>
    <row r="245" spans="1:1">
      <c r="A245" s="35"/>
    </row>
    <row r="246" spans="1:1">
      <c r="A246" s="35"/>
    </row>
    <row r="247" spans="1:1">
      <c r="A247" s="35"/>
    </row>
    <row r="248" spans="1:1">
      <c r="A248" s="35"/>
    </row>
    <row r="249" spans="1:1">
      <c r="A249" s="35"/>
    </row>
    <row r="250" spans="1:1">
      <c r="A250" s="35"/>
    </row>
    <row r="251" spans="1:1">
      <c r="A251" s="35"/>
    </row>
    <row r="252" spans="1:1">
      <c r="A252" s="35"/>
    </row>
    <row r="253" spans="1:1">
      <c r="A253" s="35"/>
    </row>
    <row r="254" spans="1:1">
      <c r="A254" s="35"/>
    </row>
    <row r="255" spans="1:1">
      <c r="A255" s="35"/>
    </row>
    <row r="256" spans="1:1">
      <c r="A256" s="35"/>
    </row>
    <row r="257" spans="1:1">
      <c r="A257" s="35"/>
    </row>
    <row r="258" spans="1:1">
      <c r="A258" s="35"/>
    </row>
    <row r="259" spans="1:1">
      <c r="A259" s="35"/>
    </row>
    <row r="260" spans="1:1">
      <c r="A260" s="35"/>
    </row>
    <row r="261" spans="1:1">
      <c r="A261" s="35"/>
    </row>
    <row r="262" spans="1:1">
      <c r="A262" s="35"/>
    </row>
    <row r="263" spans="1:1">
      <c r="A263" s="35"/>
    </row>
    <row r="264" spans="1:1">
      <c r="A264" s="35"/>
    </row>
    <row r="265" spans="1:1">
      <c r="A265" s="35"/>
    </row>
    <row r="266" spans="1:1">
      <c r="A266" s="35"/>
    </row>
    <row r="267" spans="1:1">
      <c r="A267" s="35"/>
    </row>
    <row r="268" spans="1:1">
      <c r="A268" s="35"/>
    </row>
    <row r="269" spans="1:1">
      <c r="A269" s="35"/>
    </row>
    <row r="270" spans="1:1">
      <c r="A270" s="35"/>
    </row>
    <row r="271" spans="1:1">
      <c r="A271" s="35"/>
    </row>
    <row r="272" spans="1:1">
      <c r="A272" s="35"/>
    </row>
    <row r="273" spans="1:1">
      <c r="A273" s="35"/>
    </row>
    <row r="274" spans="1:1">
      <c r="A274" s="35"/>
    </row>
    <row r="275" spans="1:1">
      <c r="A275" s="35"/>
    </row>
    <row r="276" spans="1:1">
      <c r="A276" s="35"/>
    </row>
    <row r="277" spans="1:1">
      <c r="A277" s="35"/>
    </row>
    <row r="278" spans="1:1">
      <c r="A278" s="35"/>
    </row>
    <row r="279" spans="1:1">
      <c r="A279" s="35"/>
    </row>
    <row r="280" spans="1:1">
      <c r="A280" s="35"/>
    </row>
    <row r="281" spans="1:1">
      <c r="A281" s="35"/>
    </row>
    <row r="282" spans="1:1">
      <c r="A282" s="35"/>
    </row>
    <row r="283" spans="1:1">
      <c r="A283" s="35"/>
    </row>
    <row r="284" spans="1:1">
      <c r="A284" s="35"/>
    </row>
    <row r="285" spans="1:1">
      <c r="A285" s="35"/>
    </row>
    <row r="286" spans="1:1">
      <c r="A286" s="35"/>
    </row>
    <row r="287" spans="1:1">
      <c r="A287" s="35"/>
    </row>
    <row r="288" spans="1:1">
      <c r="A288" s="35"/>
    </row>
    <row r="289" spans="1:1">
      <c r="A289" s="35"/>
    </row>
    <row r="290" spans="1:1">
      <c r="A290" s="35"/>
    </row>
    <row r="291" spans="1:1">
      <c r="A291" s="35"/>
    </row>
    <row r="292" spans="1:1">
      <c r="A292" s="35"/>
    </row>
    <row r="293" spans="1:1">
      <c r="A293" s="35"/>
    </row>
    <row r="294" spans="1:1">
      <c r="A294" s="35"/>
    </row>
    <row r="295" spans="1:1">
      <c r="A295" s="35"/>
    </row>
    <row r="296" spans="1:1">
      <c r="A296" s="35"/>
    </row>
    <row r="297" spans="1:1">
      <c r="A297" s="35"/>
    </row>
    <row r="298" spans="1:1">
      <c r="A298" s="35"/>
    </row>
    <row r="299" spans="1:1">
      <c r="A299" s="35"/>
    </row>
    <row r="300" spans="1:1">
      <c r="A300" s="35"/>
    </row>
    <row r="301" spans="1:1">
      <c r="A301" s="35"/>
    </row>
    <row r="302" spans="1:1">
      <c r="A302" s="35"/>
    </row>
    <row r="303" spans="1:1">
      <c r="A303" s="35"/>
    </row>
    <row r="304" spans="1:1">
      <c r="A304" s="35"/>
    </row>
    <row r="305" spans="1:1">
      <c r="A305" s="35"/>
    </row>
    <row r="306" spans="1:1">
      <c r="A306" s="35"/>
    </row>
    <row r="307" spans="1:1">
      <c r="A307" s="35"/>
    </row>
    <row r="308" spans="1:1">
      <c r="A308" s="35"/>
    </row>
    <row r="309" spans="1:1">
      <c r="A309" s="35"/>
    </row>
    <row r="310" spans="1:1">
      <c r="A310" s="35"/>
    </row>
    <row r="311" spans="1:1">
      <c r="A311" s="35"/>
    </row>
    <row r="312" spans="1:1">
      <c r="A312" s="35"/>
    </row>
    <row r="313" spans="1:1">
      <c r="A313" s="35"/>
    </row>
    <row r="314" spans="1:1">
      <c r="A314" s="35"/>
    </row>
    <row r="315" spans="1:1">
      <c r="A315" s="35"/>
    </row>
    <row r="316" spans="1:1">
      <c r="A316" s="35"/>
    </row>
    <row r="317" spans="1:1">
      <c r="A317" s="35"/>
    </row>
    <row r="318" spans="1:1">
      <c r="A318" s="35"/>
    </row>
    <row r="319" spans="1:1">
      <c r="A319" s="35"/>
    </row>
    <row r="320" spans="1:1">
      <c r="A320" s="35"/>
    </row>
    <row r="321" spans="1:1">
      <c r="A321" s="35"/>
    </row>
    <row r="322" spans="1:1">
      <c r="A322" s="35"/>
    </row>
    <row r="323" spans="1:1">
      <c r="A323" s="35"/>
    </row>
    <row r="324" spans="1:1">
      <c r="A324" s="35"/>
    </row>
    <row r="325" spans="1:1">
      <c r="A325" s="35"/>
    </row>
    <row r="326" spans="1:1">
      <c r="A326" s="35"/>
    </row>
    <row r="327" spans="1:1">
      <c r="A327" s="35"/>
    </row>
    <row r="328" spans="1:1">
      <c r="A328" s="35"/>
    </row>
    <row r="329" spans="1:1">
      <c r="A329" s="35"/>
    </row>
    <row r="330" spans="1:1">
      <c r="A330" s="35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6"/>
  <dimension ref="A1:O586"/>
  <sheetViews>
    <sheetView topLeftCell="A426" workbookViewId="0">
      <selection activeCell="D435" sqref="D435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customWidth="1"/>
    <col min="12" max="12" width="16.85546875" style="3" bestFit="1" customWidth="1"/>
    <col min="13" max="13" width="11.7109375" style="18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84</v>
      </c>
      <c r="C1" s="5" t="s">
        <v>53</v>
      </c>
      <c r="D1" s="60" t="s">
        <v>4</v>
      </c>
      <c r="E1" s="61" t="s">
        <v>86</v>
      </c>
      <c r="F1" s="61" t="s">
        <v>87</v>
      </c>
      <c r="G1" s="18" t="s">
        <v>73</v>
      </c>
      <c r="H1" s="5" t="s">
        <v>6</v>
      </c>
      <c r="I1" s="18" t="s">
        <v>89</v>
      </c>
      <c r="J1" s="18" t="s">
        <v>273</v>
      </c>
      <c r="K1" s="18" t="s">
        <v>274</v>
      </c>
      <c r="L1" s="18" t="s">
        <v>576</v>
      </c>
      <c r="M1" s="18" t="s">
        <v>577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4">
        <f>(Tabela2[[#This Row],[Lucro Líquido]])/Tabela2[[#This Row],[Total Ações]]</f>
        <v>1.5391887372073296</v>
      </c>
      <c r="F2" s="64">
        <v>0.62</v>
      </c>
      <c r="G2" s="44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12.15</v>
      </c>
      <c r="I2" s="19">
        <f>IF(Tabela2[[#This Row],[Dividendo / Ação]]&gt;0,Tabela2[[#This Row],[Dividendo / Ação]]/Tabela2[[#This Row],[Cotação]],"")</f>
        <v>5.1028806584362138E-2</v>
      </c>
      <c r="J2" s="6">
        <f>SUMPRODUCT(N(Tabela1[Código]=Tabela2[[#This Row],[Ativo]]),Tabela1[Fechamento])</f>
        <v>12.15</v>
      </c>
      <c r="K2" s="6">
        <f>SUMPRODUCT(N(Tabela17[Código]=Tabela2[[#This Row],[Ativo]]),Tabela17[Fechamento])</f>
        <v>0</v>
      </c>
      <c r="L2" s="13">
        <f>SUMPRODUCT(N([Ativo]=Tabela2[[#This Row],[Ativo]]),N([Exercício]=Tabela2[[#This Row],[Exercício]]-1),[Lucro Líquido])</f>
        <v>259319392</v>
      </c>
      <c r="M2" s="19">
        <f>IF(Tabela2[[#This Row],[Lucro Anterior]]=0,"",IF(Tabela2[[#This Row],[Lucro Líquido]]&gt;0,Tabela2[[#This Row],[Lucro Líquido]]/Tabela2[[#This Row],[Lucro Anterior]]-1,0))</f>
        <v>-0.12610147146265094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4">
        <f>(Tabela2[[#This Row],[Lucro Líquido]])/Tabela2[[#This Row],[Total Ações]]</f>
        <v>1.7612899975738399</v>
      </c>
      <c r="F3" s="64">
        <v>0.6</v>
      </c>
      <c r="G3" s="44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12.15</v>
      </c>
      <c r="I3" s="19">
        <f>IF(Tabela2[[#This Row],[Dividendo / Ação]]&gt;0,Tabela2[[#This Row],[Dividendo / Ação]]/Tabela2[[#This Row],[Cotação]],"")</f>
        <v>4.9382716049382713E-2</v>
      </c>
      <c r="J3" s="59">
        <f>SUMPRODUCT(N(Tabela1[Código]=Tabela2[[#This Row],[Ativo]]),Tabela1[Fechamento])</f>
        <v>12.15</v>
      </c>
      <c r="K3" s="59">
        <f>SUMPRODUCT(N(Tabela17[Código]=Tabela2[[#This Row],[Ativo]]),Tabela17[Fechamento])</f>
        <v>0</v>
      </c>
      <c r="L3" s="59">
        <f>SUMPRODUCT(N([Ativo]=Tabela2[[#This Row],[Ativo]]),N([Exercício]=Tabela2[[#This Row],[Exercício]]-1),[Lucro Líquido])</f>
        <v>221437904</v>
      </c>
      <c r="M3" s="19">
        <f>IF(Tabela2[[#This Row],[Lucro Anterior]]=0,"",IF(Tabela2[[#This Row],[Lucro Líquido]]&gt;0,Tabela2[[#This Row],[Lucro Líquido]]/Tabela2[[#This Row],[Lucro Anterior]]-1,0))</f>
        <v>0.17107047761796013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4">
        <f>(Tabela2[[#This Row],[Lucro Líquido]])/Tabela2[[#This Row],[Total Ações]]</f>
        <v>1.5039999993479707</v>
      </c>
      <c r="F4" s="64">
        <v>0.54</v>
      </c>
      <c r="G4" s="44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12.15</v>
      </c>
      <c r="I4" s="19">
        <f>IF(Tabela2[[#This Row],[Dividendo / Ação]]&gt;0,Tabela2[[#This Row],[Dividendo / Ação]]/Tabela2[[#This Row],[Cotação]],"")</f>
        <v>4.4444444444444446E-2</v>
      </c>
      <c r="J4" s="59">
        <f>SUMPRODUCT(N(Tabela1[Código]=Tabela2[[#This Row],[Ativo]]),Tabela1[Fechamento])</f>
        <v>12.15</v>
      </c>
      <c r="K4" s="59">
        <f>SUMPRODUCT(N(Tabela17[Código]=Tabela2[[#This Row],[Ativo]]),Tabela17[Fechamento])</f>
        <v>0</v>
      </c>
      <c r="L4" s="59">
        <f>SUMPRODUCT(N([Ativo]=Tabela2[[#This Row],[Ativo]]),N([Exercício]=Tabela2[[#This Row],[Exercício]]-1),[Lucro Líquido])</f>
        <v>165523361</v>
      </c>
      <c r="M4" s="19">
        <f>IF(Tabela2[[#This Row],[Lucro Anterior]]=0,"",IF(Tabela2[[#This Row],[Lucro Líquido]]&gt;0,Tabela2[[#This Row],[Lucro Líquido]]/Tabela2[[#This Row],[Lucro Anterior]]-1,0))</f>
        <v>0.33780454107622915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4">
        <f>(Tabela2[[#This Row],[Lucro Líquido]])/Tabela2[[#This Row],[Total Ações]]</f>
        <v>1.1242300001000458</v>
      </c>
      <c r="F5" s="64">
        <v>0.51</v>
      </c>
      <c r="G5" s="44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12.15</v>
      </c>
      <c r="I5" s="19">
        <f>IF(Tabela2[[#This Row],[Dividendo / Ação]]&gt;0,Tabela2[[#This Row],[Dividendo / Ação]]/Tabela2[[#This Row],[Cotação]],"")</f>
        <v>4.1975308641975309E-2</v>
      </c>
      <c r="J5" s="59">
        <f>SUMPRODUCT(N(Tabela1[Código]=Tabela2[[#This Row],[Ativo]]),Tabela1[Fechamento])</f>
        <v>12.15</v>
      </c>
      <c r="K5" s="59">
        <f>SUMPRODUCT(N(Tabela17[Código]=Tabela2[[#This Row],[Ativo]]),Tabela17[Fechamento])</f>
        <v>0</v>
      </c>
      <c r="L5" s="59">
        <f>SUMPRODUCT(N([Ativo]=Tabela2[[#This Row],[Ativo]]),N([Exercício]=Tabela2[[#This Row],[Exercício]]-1),[Lucro Líquido])</f>
        <v>0</v>
      </c>
      <c r="M5" s="19" t="str">
        <f>IF(Tabela2[[#This Row],[Lucro Anterior]]=0,"",IF(Tabela2[[#This Row],[Lucro Líquido]]&gt;0,Tabela2[[#This Row],[Lucro Líquido]]/Tabela2[[#This Row],[Lucro Anterior]]-1,0))</f>
        <v/>
      </c>
    </row>
    <row r="6" spans="1:13">
      <c r="A6" s="4" t="s">
        <v>67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4">
        <f>(Tabela2[[#This Row],[Lucro Líquido]])/Tabela2[[#This Row],[Total Ações]]</f>
        <v>-0.32269153572283699</v>
      </c>
      <c r="F6" s="64">
        <v>0</v>
      </c>
      <c r="G6" s="44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8.3000000000000007</v>
      </c>
      <c r="I6" s="19" t="str">
        <f>IF(Tabela2[[#This Row],[Dividendo / Ação]]&gt;0,Tabela2[[#This Row],[Dividendo / Ação]]/Tabela2[[#This Row],[Cotação]],"")</f>
        <v/>
      </c>
      <c r="J6" s="59">
        <f>SUMPRODUCT(N(Tabela1[Código]=Tabela2[[#This Row],[Ativo]]),Tabela1[Fechamento])</f>
        <v>8.3000000000000007</v>
      </c>
      <c r="K6" s="59">
        <f>SUMPRODUCT(N(Tabela17[Código]=Tabela2[[#This Row],[Ativo]]),Tabela17[Fechamento])</f>
        <v>0</v>
      </c>
      <c r="L6" s="59">
        <f>SUMPRODUCT(N([Ativo]=Tabela2[[#This Row],[Ativo]]),N([Exercício]=Tabela2[[#This Row],[Exercício]]-1),[Lucro Líquido])</f>
        <v>436885000</v>
      </c>
      <c r="M6" s="19">
        <f>IF(Tabela2[[#This Row],[Lucro Anterior]]=0,"",IF(Tabela2[[#This Row],[Lucro Líquido]]&gt;0,Tabela2[[#This Row],[Lucro Líquido]]/Tabela2[[#This Row],[Lucro Anterior]]-1,0))</f>
        <v>0</v>
      </c>
    </row>
    <row r="7" spans="1:13">
      <c r="A7" s="4" t="s">
        <v>67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2">
        <f>(Tabela2[[#This Row],[Lucro Líquido]])/Tabela2[[#This Row],[Total Ações]]</f>
        <v>4.5958358992720187</v>
      </c>
      <c r="F7" s="62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8.3000000000000007</v>
      </c>
      <c r="I7" s="18">
        <f>IF(Tabela2[[#This Row],[Dividendo / Ação]]&gt;0,Tabela2[[#This Row],[Dividendo / Ação]]/Tabela2[[#This Row],[Cotação]],"")</f>
        <v>0.38829565879518069</v>
      </c>
      <c r="J7" s="58">
        <f>SUMPRODUCT(N(Tabela1[Código]=Tabela2[[#This Row],[Ativo]]),Tabela1[Fechamento])</f>
        <v>8.3000000000000007</v>
      </c>
      <c r="K7" s="58">
        <f>SUMPRODUCT(N(Tabela17[Código]=Tabela2[[#This Row],[Ativo]]),Tabela17[Fechamento])</f>
        <v>0</v>
      </c>
      <c r="L7" s="58">
        <f>SUMPRODUCT(N([Ativo]=Tabela2[[#This Row],[Ativo]]),N([Exercício]=Tabela2[[#This Row],[Exercício]]-1),[Lucro Líquido])</f>
        <v>376137000</v>
      </c>
      <c r="M7" s="18">
        <f>IF(Tabela2[[#This Row],[Lucro Anterior]]=0,"",IF(Tabela2[[#This Row],[Lucro Líquido]]&gt;0,Tabela2[[#This Row],[Lucro Líquido]]/Tabela2[[#This Row],[Lucro Anterior]]-1,0))</f>
        <v>0.16150498355652321</v>
      </c>
    </row>
    <row r="8" spans="1:13">
      <c r="A8" s="4" t="s">
        <v>67</v>
      </c>
      <c r="B8" s="4">
        <v>2010</v>
      </c>
      <c r="C8" s="5">
        <v>376137000</v>
      </c>
      <c r="D8" s="60">
        <f>SUMPRODUCT(N(Tabela3[PAPEL]=Tabela2[[#This Row],[Ativo]]),Tabela3[Total Ações])</f>
        <v>95061053</v>
      </c>
      <c r="E8" s="61">
        <f>(Tabela2[[#This Row],[Lucro Líquido]])/Tabela2[[#This Row],[Total Ações]]</f>
        <v>3.9567939564061003</v>
      </c>
      <c r="F8" s="61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8.3000000000000007</v>
      </c>
      <c r="I8" s="18">
        <f>IF(Tabela2[[#This Row],[Dividendo / Ação]]&gt;0,Tabela2[[#This Row],[Dividendo / Ação]]/Tabela2[[#This Row],[Cotação]],"")</f>
        <v>0.42324954722891561</v>
      </c>
      <c r="J8" s="58">
        <f>SUMPRODUCT(N(Tabela1[Código]=Tabela2[[#This Row],[Ativo]]),Tabela1[Fechamento])</f>
        <v>8.3000000000000007</v>
      </c>
      <c r="K8" s="58">
        <f>SUMPRODUCT(N(Tabela17[Código]=Tabela2[[#This Row],[Ativo]]),Tabela17[Fechamento])</f>
        <v>0</v>
      </c>
      <c r="L8" s="58">
        <f>SUMPRODUCT(N([Ativo]=Tabela2[[#This Row],[Ativo]]),N([Exercício]=Tabela2[[#This Row],[Exercício]]-1),[Lucro Líquido])</f>
        <v>335010000</v>
      </c>
      <c r="M8" s="18">
        <f>IF(Tabela2[[#This Row],[Lucro Anterior]]=0,"",IF(Tabela2[[#This Row],[Lucro Líquido]]&gt;0,Tabela2[[#This Row],[Lucro Líquido]]/Tabela2[[#This Row],[Lucro Anterior]]-1,0))</f>
        <v>0.12276349959702704</v>
      </c>
    </row>
    <row r="9" spans="1:13">
      <c r="A9" s="4" t="s">
        <v>67</v>
      </c>
      <c r="B9" s="4">
        <v>2009</v>
      </c>
      <c r="C9" s="5">
        <v>335010000</v>
      </c>
      <c r="D9" s="60">
        <f>SUMPRODUCT(N(Tabela3[PAPEL]=Tabela2[[#This Row],[Ativo]]),Tabela3[Total Ações])</f>
        <v>95061053</v>
      </c>
      <c r="E9" s="61">
        <f>(Tabela2[[#This Row],[Lucro Líquido]])/Tabela2[[#This Row],[Total Ações]]</f>
        <v>3.5241562072744976</v>
      </c>
      <c r="F9" s="61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8.3000000000000007</v>
      </c>
      <c r="I9" s="18">
        <f>IF(Tabela2[[#This Row],[Dividendo / Ação]]&gt;0,Tabela2[[#This Row],[Dividendo / Ação]]/Tabela2[[#This Row],[Cotação]],"")</f>
        <v>0.38541123192771082</v>
      </c>
      <c r="J9" s="58">
        <f>SUMPRODUCT(N(Tabela1[Código]=Tabela2[[#This Row],[Ativo]]),Tabela1[Fechamento])</f>
        <v>8.3000000000000007</v>
      </c>
      <c r="K9" s="58">
        <f>SUMPRODUCT(N(Tabela17[Código]=Tabela2[[#This Row],[Ativo]]),Tabela17[Fechamento])</f>
        <v>0</v>
      </c>
      <c r="L9" s="58">
        <f>SUMPRODUCT(N([Ativo]=Tabela2[[#This Row],[Ativo]]),N([Exercício]=Tabela2[[#This Row],[Exercício]]-1),[Lucro Líquido])</f>
        <v>0</v>
      </c>
      <c r="M9" s="18" t="str">
        <f>IF(Tabela2[[#This Row],[Lucro Anterior]]=0,"",IF(Tabela2[[#This Row],[Lucro Líquido]]&gt;0,Tabela2[[#This Row],[Lucro Líquido]]/Tabela2[[#This Row],[Lucro Anterior]]-1,0))</f>
        <v/>
      </c>
    </row>
    <row r="10" spans="1:13">
      <c r="A10" s="4" t="s">
        <v>403</v>
      </c>
      <c r="B10" s="4">
        <v>2012</v>
      </c>
      <c r="C10" s="6">
        <v>127417790.75</v>
      </c>
      <c r="D10" s="74">
        <f>SUMPRODUCT(N(Tabela3[PAPEL]=Tabela2[[#This Row],[Ativo]]),Tabela3[Total Ações])</f>
        <v>159025920</v>
      </c>
      <c r="E10" s="64">
        <f>(Tabela2[[#This Row],[Lucro Líquido]])/Tabela2[[#This Row],[Total Ações]]</f>
        <v>0.80123913604775876</v>
      </c>
      <c r="F10" s="64">
        <v>0.346085953</v>
      </c>
      <c r="G10" s="43">
        <f>IF(AND(Tabela2[[#This Row],[Dividendo / Ação]]&gt;0,Tabela2[[#This Row],[Lucro por ação]]&gt;0),Tabela2[[#This Row],[Dividendo / Ação]]/Tabela2[[#This Row],[Lucro por ação]],"")</f>
        <v>0.43193840319274063</v>
      </c>
      <c r="H10" s="59">
        <f>MAX(Tabela2[[#This Row],[Cotação 1]],Tabela2[[#This Row],[Cotação 2]])</f>
        <v>17.8</v>
      </c>
      <c r="I10" s="44">
        <f>IF(Tabela2[[#This Row],[Dividendo / Ação]]&gt;0,Tabela2[[#This Row],[Dividendo / Ação]]/Tabela2[[#This Row],[Cotação]],"")</f>
        <v>1.9443031067415729E-2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17.8</v>
      </c>
      <c r="L10" s="17">
        <f>SUMPRODUCT(N([Ativo]=Tabela2[[#This Row],[Ativo]]),N([Exercício]=Tabela2[[#This Row],[Exercício]]-1),[Lucro Líquido])</f>
        <v>101417617.86</v>
      </c>
      <c r="M10" s="19">
        <f>IF(Tabela2[[#This Row],[Lucro Anterior]]=0,"",IF(Tabela2[[#This Row],[Lucro Líquido]]&gt;0,Tabela2[[#This Row],[Lucro Líquido]]/Tabela2[[#This Row],[Lucro Anterior]]-1,0))</f>
        <v>0.25636741858689138</v>
      </c>
    </row>
    <row r="11" spans="1:13">
      <c r="A11" s="4" t="s">
        <v>403</v>
      </c>
      <c r="B11" s="4">
        <v>2011</v>
      </c>
      <c r="C11" s="6">
        <v>101417617.86</v>
      </c>
      <c r="D11" s="74">
        <f>SUMPRODUCT(N(Tabela3[PAPEL]=Tabela2[[#This Row],[Ativo]]),Tabela3[Total Ações])</f>
        <v>159025920</v>
      </c>
      <c r="E11" s="64">
        <f>(Tabela2[[#This Row],[Lucro Líquido]])/Tabela2[[#This Row],[Total Ações]]</f>
        <v>0.63774268911634024</v>
      </c>
      <c r="F11" s="64">
        <v>0.18179478700000001</v>
      </c>
      <c r="G11" s="43">
        <f>IF(AND(Tabela2[[#This Row],[Dividendo / Ação]]&gt;0,Tabela2[[#This Row],[Lucro por ação]]&gt;0),Tabela2[[#This Row],[Dividendo / Ação]]/Tabela2[[#This Row],[Lucro por ação]],"")</f>
        <v>0.28505977426710427</v>
      </c>
      <c r="H11" s="59">
        <f>MAX(Tabela2[[#This Row],[Cotação 1]],Tabela2[[#This Row],[Cotação 2]])</f>
        <v>17.8</v>
      </c>
      <c r="I11" s="44">
        <f>IF(Tabela2[[#This Row],[Dividendo / Ação]]&gt;0,Tabela2[[#This Row],[Dividendo / Ação]]/Tabela2[[#This Row],[Cotação]],"")</f>
        <v>1.0213190280898878E-2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17.8</v>
      </c>
      <c r="L11" s="17">
        <f>SUMPRODUCT(N([Ativo]=Tabela2[[#This Row],[Ativo]]),N([Exercício]=Tabela2[[#This Row],[Exercício]]-1),[Lucro Líquido])</f>
        <v>54564689.799999997</v>
      </c>
      <c r="M11" s="19">
        <f>IF(Tabela2[[#This Row],[Lucro Anterior]]=0,"",IF(Tabela2[[#This Row],[Lucro Líquido]]&gt;0,Tabela2[[#This Row],[Lucro Líquido]]/Tabela2[[#This Row],[Lucro Anterior]]-1,0))</f>
        <v>0.8586675418064964</v>
      </c>
    </row>
    <row r="12" spans="1:13">
      <c r="A12" s="4" t="s">
        <v>403</v>
      </c>
      <c r="B12" s="4">
        <v>2010</v>
      </c>
      <c r="C12" s="6">
        <v>54564689.799999997</v>
      </c>
      <c r="D12" s="74">
        <f>SUMPRODUCT(N(Tabela3[PAPEL]=Tabela2[[#This Row],[Ativo]]),Tabela3[Total Ações])</f>
        <v>159025920</v>
      </c>
      <c r="E12" s="64">
        <f>(Tabela2[[#This Row],[Lucro Líquido]])/Tabela2[[#This Row],[Total Ações]]</f>
        <v>0.34311821494257033</v>
      </c>
      <c r="F12" s="64">
        <v>9.2918793E-2</v>
      </c>
      <c r="G12" s="43">
        <f>IF(AND(Tabela2[[#This Row],[Dividendo / Ação]]&gt;0,Tabela2[[#This Row],[Lucro por ação]]&gt;0),Tabela2[[#This Row],[Dividendo / Ação]]/Tabela2[[#This Row],[Lucro por ação]],"")</f>
        <v>0.27080693753187179</v>
      </c>
      <c r="H12" s="59">
        <f>MAX(Tabela2[[#This Row],[Cotação 1]],Tabela2[[#This Row],[Cotação 2]])</f>
        <v>17.8</v>
      </c>
      <c r="I12" s="44">
        <f>IF(Tabela2[[#This Row],[Dividendo / Ação]]&gt;0,Tabela2[[#This Row],[Dividendo / Ação]]/Tabela2[[#This Row],[Cotação]],"")</f>
        <v>5.2201569101123597E-3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17.8</v>
      </c>
      <c r="L12" s="17">
        <f>SUMPRODUCT(N([Ativo]=Tabela2[[#This Row],[Ativo]]),N([Exercício]=Tabela2[[#This Row],[Exercício]]-1),[Lucro Líquido])</f>
        <v>47715454.25</v>
      </c>
      <c r="M12" s="19">
        <f>IF(Tabela2[[#This Row],[Lucro Anterior]]=0,"",IF(Tabela2[[#This Row],[Lucro Líquido]]&gt;0,Tabela2[[#This Row],[Lucro Líquido]]/Tabela2[[#This Row],[Lucro Anterior]]-1,0))</f>
        <v>0.14354333742929826</v>
      </c>
    </row>
    <row r="13" spans="1:13">
      <c r="A13" s="4" t="s">
        <v>403</v>
      </c>
      <c r="B13" s="4">
        <v>2009</v>
      </c>
      <c r="C13" s="6">
        <v>47715454.25</v>
      </c>
      <c r="D13" s="74">
        <f>SUMPRODUCT(N(Tabela3[PAPEL]=Tabela2[[#This Row],[Ativo]]),Tabela3[Total Ações])</f>
        <v>159025920</v>
      </c>
      <c r="E13" s="64">
        <f>(Tabela2[[#This Row],[Lucro Líquido]])/Tabela2[[#This Row],[Total Ações]]</f>
        <v>0.30004828300946162</v>
      </c>
      <c r="F13" s="64">
        <v>8.036008E-2</v>
      </c>
      <c r="G13" s="43">
        <f>IF(AND(Tabela2[[#This Row],[Dividendo / Ação]]&gt;0,Tabela2[[#This Row],[Lucro por ação]]&gt;0),Tabela2[[#This Row],[Dividendo / Ação]]/Tabela2[[#This Row],[Lucro por ação]],"")</f>
        <v>0.26782382886512285</v>
      </c>
      <c r="H13" s="59">
        <f>MAX(Tabela2[[#This Row],[Cotação 1]],Tabela2[[#This Row],[Cotação 2]])</f>
        <v>17.8</v>
      </c>
      <c r="I13" s="44">
        <f>IF(Tabela2[[#This Row],[Dividendo / Ação]]&gt;0,Tabela2[[#This Row],[Dividendo / Ação]]/Tabela2[[#This Row],[Cotação]],"")</f>
        <v>4.5146112359550558E-3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17.8</v>
      </c>
      <c r="L13" s="17">
        <f>SUMPRODUCT(N([Ativo]=Tabela2[[#This Row],[Ativo]]),N([Exercício]=Tabela2[[#This Row],[Exercício]]-1),[Lucro Líquido])</f>
        <v>0</v>
      </c>
      <c r="M13" s="19" t="str">
        <f>IF(Tabela2[[#This Row],[Lucro Anterior]]=0,"",IF(Tabela2[[#This Row],[Lucro Líquido]]&gt;0,Tabela2[[#This Row],[Lucro Líquido]]/Tabela2[[#This Row],[Lucro Anterior]]-1,0))</f>
        <v/>
      </c>
    </row>
    <row r="14" spans="1:13">
      <c r="A14" s="3" t="s">
        <v>345</v>
      </c>
      <c r="B14" s="3">
        <v>2012</v>
      </c>
      <c r="C14" s="5">
        <v>-2048000</v>
      </c>
      <c r="D14" s="60">
        <f>SUMPRODUCT(N(Tabela3[PAPEL]=Tabela2[[#This Row],[Ativo]]),Tabela3[Total Ações])</f>
        <v>5996334</v>
      </c>
      <c r="E14" s="63">
        <f>(Tabela2[[#This Row],[Lucro Líquido]])/Tabela2[[#This Row],[Total Ações]]</f>
        <v>-0.34154201550480678</v>
      </c>
      <c r="F14" s="63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49">
        <f>MAX(Tabela2[[#This Row],[Cotação 1]],Tabela2[[#This Row],[Cotação 2]])</f>
        <v>4.82</v>
      </c>
      <c r="I14" s="18">
        <f>IF(Tabela2[[#This Row],[Dividendo / Ação]]&gt;0,Tabela2[[#This Row],[Dividendo / Ação]]/Tabela2[[#This Row],[Cotação]],"")</f>
        <v>0.20746887966804978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4.82</v>
      </c>
      <c r="L14" s="7">
        <f>SUMPRODUCT(N([Ativo]=Tabela2[[#This Row],[Ativo]]),N([Exercício]=Tabela2[[#This Row],[Exercício]]-1),[Lucro Líquido])</f>
        <v>-2767000</v>
      </c>
      <c r="M14" s="18">
        <f>IF(Tabela2[[#This Row],[Lucro Anterior]]=0,"",IF(Tabela2[[#This Row],[Lucro Líquido]]&gt;0,Tabela2[[#This Row],[Lucro Líquido]]/Tabela2[[#This Row],[Lucro Anterior]]-1,0))</f>
        <v>0</v>
      </c>
    </row>
    <row r="15" spans="1:13">
      <c r="A15" s="3" t="s">
        <v>345</v>
      </c>
      <c r="B15" s="3">
        <v>2011</v>
      </c>
      <c r="C15" s="5">
        <v>-2767000</v>
      </c>
      <c r="D15" s="60">
        <f>SUMPRODUCT(N(Tabela3[PAPEL]=Tabela2[[#This Row],[Ativo]]),Tabela3[Total Ações])</f>
        <v>5996334</v>
      </c>
      <c r="E15" s="63">
        <f>(Tabela2[[#This Row],[Lucro Líquido]])/Tabela2[[#This Row],[Total Ações]]</f>
        <v>-0.4614486117684572</v>
      </c>
      <c r="F15" s="63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49">
        <f>MAX(Tabela2[[#This Row],[Cotação 1]],Tabela2[[#This Row],[Cotação 2]])</f>
        <v>4.82</v>
      </c>
      <c r="I15" s="18">
        <f>IF(Tabela2[[#This Row],[Dividendo / Ação]]&gt;0,Tabela2[[#This Row],[Dividendo / Ação]]/Tabela2[[#This Row],[Cotação]],"")</f>
        <v>0.20746887966804978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4.82</v>
      </c>
      <c r="L15" s="7">
        <f>SUMPRODUCT(N([Ativo]=Tabela2[[#This Row],[Ativo]]),N([Exercício]=Tabela2[[#This Row],[Exercício]]-1),[Lucro Líquido])</f>
        <v>47518888.590000004</v>
      </c>
      <c r="M15" s="18">
        <f>IF(Tabela2[[#This Row],[Lucro Anterior]]=0,"",IF(Tabela2[[#This Row],[Lucro Líquido]]&gt;0,Tabela2[[#This Row],[Lucro Líquido]]/Tabela2[[#This Row],[Lucro Anterior]]-1,0))</f>
        <v>0</v>
      </c>
    </row>
    <row r="16" spans="1:13">
      <c r="A16" s="3" t="s">
        <v>345</v>
      </c>
      <c r="B16" s="3">
        <v>2010</v>
      </c>
      <c r="C16" s="5">
        <v>47518888.590000004</v>
      </c>
      <c r="D16" s="60">
        <f>SUMPRODUCT(N(Tabela3[PAPEL]=Tabela2[[#This Row],[Ativo]]),Tabela3[Total Ações])</f>
        <v>5996334</v>
      </c>
      <c r="E16" s="63">
        <f>(Tabela2[[#This Row],[Lucro Líquido]])/Tabela2[[#This Row],[Total Ações]]</f>
        <v>7.9246567302621909</v>
      </c>
      <c r="F16" s="63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49">
        <f>MAX(Tabela2[[#This Row],[Cotação 1]],Tabela2[[#This Row],[Cotação 2]])</f>
        <v>4.82</v>
      </c>
      <c r="I16" s="18">
        <f>IF(Tabela2[[#This Row],[Dividendo / Ação]]&gt;0,Tabela2[[#This Row],[Dividendo / Ação]]/Tabela2[[#This Row],[Cotação]],"")</f>
        <v>0.31408713692946055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4.82</v>
      </c>
      <c r="L16" s="7">
        <f>SUMPRODUCT(N([Ativo]=Tabela2[[#This Row],[Ativo]]),N([Exercício]=Tabela2[[#This Row],[Exercício]]-1),[Lucro Líquido])</f>
        <v>0</v>
      </c>
      <c r="M16" s="18" t="str">
        <f>IF(Tabela2[[#This Row],[Lucro Anterior]]=0,"",IF(Tabela2[[#This Row],[Lucro Líquido]]&gt;0,Tabela2[[#This Row],[Lucro Líquido]]/Tabela2[[#This Row],[Lucro Anterior]]-1,0))</f>
        <v/>
      </c>
    </row>
    <row r="17" spans="1:13">
      <c r="A17" s="4" t="s">
        <v>62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4">
        <f>(Tabela2[[#This Row],[Lucro Líquido]])/Tabela2[[#This Row],[Total Ações]]</f>
        <v>5.5976738697524085E-2</v>
      </c>
      <c r="F17" s="64">
        <v>2.6766000000000002E-2</v>
      </c>
      <c r="G17" s="44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0.33</v>
      </c>
      <c r="I17" s="19">
        <f>IF(Tabela2[[#This Row],[Dividendo / Ação]]&gt;0,Tabela2[[#This Row],[Dividendo / Ação]]/Tabela2[[#This Row],[Cotação]],"")</f>
        <v>8.1109090909090908E-2</v>
      </c>
      <c r="J17" s="59">
        <f>SUMPRODUCT(N(Tabela1[Código]=Tabela2[[#This Row],[Ativo]]),Tabela1[Fechamento])</f>
        <v>0.33</v>
      </c>
      <c r="K17" s="59">
        <f>SUMPRODUCT(N(Tabela17[Código]=Tabela2[[#This Row],[Ativo]]),Tabela17[Fechamento])</f>
        <v>0</v>
      </c>
      <c r="L17" s="59">
        <f>SUMPRODUCT(N([Ativo]=Tabela2[[#This Row],[Ativo]]),N([Exercício]=Tabela2[[#This Row],[Exercício]]-1),[Lucro Líquido])</f>
        <v>78567508.840000004</v>
      </c>
      <c r="M17" s="19">
        <f>IF(Tabela2[[#This Row],[Lucro Anterior]]=0,"",IF(Tabela2[[#This Row],[Lucro Líquido]]&gt;0,Tabela2[[#This Row],[Lucro Líquido]]/Tabela2[[#This Row],[Lucro Anterior]]-1,0))</f>
        <v>1.1121766585211228</v>
      </c>
    </row>
    <row r="18" spans="1:13">
      <c r="A18" s="4" t="s">
        <v>62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4">
        <f>(Tabela2[[#This Row],[Lucro Líquido]])/Tabela2[[#This Row],[Total Ações]]</f>
        <v>2.6501920884173184E-2</v>
      </c>
      <c r="F18" s="64">
        <v>2.648E-2</v>
      </c>
      <c r="G18" s="44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0.33</v>
      </c>
      <c r="I18" s="19">
        <f>IF(Tabela2[[#This Row],[Dividendo / Ação]]&gt;0,Tabela2[[#This Row],[Dividendo / Ação]]/Tabela2[[#This Row],[Cotação]],"")</f>
        <v>8.024242424242424E-2</v>
      </c>
      <c r="J18" s="59">
        <f>SUMPRODUCT(N(Tabela1[Código]=Tabela2[[#This Row],[Ativo]]),Tabela1[Fechamento])</f>
        <v>0.33</v>
      </c>
      <c r="K18" s="59">
        <f>SUMPRODUCT(N(Tabela17[Código]=Tabela2[[#This Row],[Ativo]]),Tabela17[Fechamento])</f>
        <v>0</v>
      </c>
      <c r="L18" s="59">
        <f>SUMPRODUCT(N([Ativo]=Tabela2[[#This Row],[Ativo]]),N([Exercício]=Tabela2[[#This Row],[Exercício]]-1),[Lucro Líquido])</f>
        <v>142163159.71000001</v>
      </c>
      <c r="M18" s="19">
        <f>IF(Tabela2[[#This Row],[Lucro Anterior]]=0,"",IF(Tabela2[[#This Row],[Lucro Líquido]]&gt;0,Tabela2[[#This Row],[Lucro Líquido]]/Tabela2[[#This Row],[Lucro Anterior]]-1,0))</f>
        <v>-0.4473426941250418</v>
      </c>
    </row>
    <row r="19" spans="1:13">
      <c r="A19" s="4" t="s">
        <v>62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4">
        <f>(Tabela2[[#This Row],[Lucro Líquido]])/Tabela2[[#This Row],[Total Ações]]</f>
        <v>4.7953624429547294E-2</v>
      </c>
      <c r="F19" s="64">
        <v>3.7429999999999998E-2</v>
      </c>
      <c r="G19" s="44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0.33</v>
      </c>
      <c r="I19" s="19">
        <f>IF(Tabela2[[#This Row],[Dividendo / Ação]]&gt;0,Tabela2[[#This Row],[Dividendo / Ação]]/Tabela2[[#This Row],[Cotação]],"")</f>
        <v>0.11342424242424241</v>
      </c>
      <c r="J19" s="59">
        <f>SUMPRODUCT(N(Tabela1[Código]=Tabela2[[#This Row],[Ativo]]),Tabela1[Fechamento])</f>
        <v>0.33</v>
      </c>
      <c r="K19" s="59">
        <f>SUMPRODUCT(N(Tabela17[Código]=Tabela2[[#This Row],[Ativo]]),Tabela17[Fechamento])</f>
        <v>0</v>
      </c>
      <c r="L19" s="59">
        <f>SUMPRODUCT(N([Ativo]=Tabela2[[#This Row],[Ativo]]),N([Exercício]=Tabela2[[#This Row],[Exercício]]-1),[Lucro Líquido])</f>
        <v>0</v>
      </c>
      <c r="M19" s="19" t="str">
        <f>IF(Tabela2[[#This Row],[Lucro Anterior]]=0,"",IF(Tabela2[[#This Row],[Lucro Líquido]]&gt;0,Tabela2[[#This Row],[Lucro Líquido]]/Tabela2[[#This Row],[Lucro Anterior]]-1,0))</f>
        <v/>
      </c>
    </row>
    <row r="20" spans="1:13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4">
        <f>(Tabela2[[#This Row],[Lucro Líquido]])/Tabela2[[#This Row],[Total Ações]]</f>
        <v>4.2960135843682536</v>
      </c>
      <c r="F20" s="64">
        <v>1.722</v>
      </c>
      <c r="G20" s="44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23.22</v>
      </c>
      <c r="I20" s="19">
        <f>IF(Tabela2[[#This Row],[Dividendo / Ação]]&gt;0,Tabela2[[#This Row],[Dividendo / Ação]]/Tabela2[[#This Row],[Cotação]],"")</f>
        <v>7.416020671834625E-2</v>
      </c>
      <c r="J20" s="59">
        <f>SUMPRODUCT(N(Tabela1[Código]=Tabela2[[#This Row],[Ativo]]),Tabela1[Fechamento])</f>
        <v>23.22</v>
      </c>
      <c r="K20" s="59">
        <f>SUMPRODUCT(N(Tabela17[Código]=Tabela2[[#This Row],[Ativo]]),Tabela17[Fechamento])</f>
        <v>0</v>
      </c>
      <c r="L20" s="59">
        <f>SUMPRODUCT(N([Ativo]=Tabela2[[#This Row],[Ativo]]),N([Exercício]=Tabela2[[#This Row],[Exercício]]-1),[Lucro Líquido])</f>
        <v>12247330314.43</v>
      </c>
      <c r="M20" s="19">
        <f>IF(Tabela2[[#This Row],[Lucro Anterior]]=0,"",IF(Tabela2[[#This Row],[Lucro Líquido]]&gt;0,Tabela2[[#This Row],[Lucro Líquido]]/Tabela2[[#This Row],[Lucro Anterior]]-1,0))</f>
        <v>5.1064294637594987E-3</v>
      </c>
    </row>
    <row r="21" spans="1:13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4">
        <f>(Tabela2[[#This Row],[Lucro Líquido]])/Tabela2[[#This Row],[Total Ações]]</f>
        <v>4.2741877461277875</v>
      </c>
      <c r="F21" s="64">
        <v>1.7096750979999999</v>
      </c>
      <c r="G21" s="44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23.22</v>
      </c>
      <c r="I21" s="19">
        <f>IF(Tabela2[[#This Row],[Dividendo / Ação]]&gt;0,Tabela2[[#This Row],[Dividendo / Ação]]/Tabela2[[#This Row],[Cotação]],"")</f>
        <v>7.3629418518518522E-2</v>
      </c>
      <c r="J21" s="59">
        <f>SUMPRODUCT(N(Tabela1[Código]=Tabela2[[#This Row],[Ativo]]),Tabela1[Fechamento])</f>
        <v>23.22</v>
      </c>
      <c r="K21" s="59">
        <f>SUMPRODUCT(N(Tabela17[Código]=Tabela2[[#This Row],[Ativo]]),Tabela17[Fechamento])</f>
        <v>0</v>
      </c>
      <c r="L21" s="59">
        <f>SUMPRODUCT(N([Ativo]=Tabela2[[#This Row],[Ativo]]),N([Exercício]=Tabela2[[#This Row],[Exercício]]-1),[Lucro Líquido])</f>
        <v>11758093384.549999</v>
      </c>
      <c r="M21" s="19">
        <f>IF(Tabela2[[#This Row],[Lucro Anterior]]=0,"",IF(Tabela2[[#This Row],[Lucro Líquido]]&gt;0,Tabela2[[#This Row],[Lucro Líquido]]/Tabela2[[#This Row],[Lucro Anterior]]-1,0))</f>
        <v>4.1608525623963111E-2</v>
      </c>
    </row>
    <row r="22" spans="1:13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4">
        <f>(Tabela2[[#This Row],[Lucro Líquido]])/Tabela2[[#This Row],[Total Ações]]</f>
        <v>4.1034492719492537</v>
      </c>
      <c r="F22" s="64">
        <v>1.6421960419999999</v>
      </c>
      <c r="G22" s="44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23.22</v>
      </c>
      <c r="I22" s="19">
        <f>IF(Tabela2[[#This Row],[Dividendo / Ação]]&gt;0,Tabela2[[#This Row],[Dividendo / Ação]]/Tabela2[[#This Row],[Cotação]],"")</f>
        <v>7.0723343755383292E-2</v>
      </c>
      <c r="J22" s="59">
        <f>SUMPRODUCT(N(Tabela1[Código]=Tabela2[[#This Row],[Ativo]]),Tabela1[Fechamento])</f>
        <v>23.22</v>
      </c>
      <c r="K22" s="59">
        <f>SUMPRODUCT(N(Tabela17[Código]=Tabela2[[#This Row],[Ativo]]),Tabela17[Fechamento])</f>
        <v>0</v>
      </c>
      <c r="L22" s="59">
        <f>SUMPRODUCT(N([Ativo]=Tabela2[[#This Row],[Ativo]]),N([Exercício]=Tabela2[[#This Row],[Exercício]]-1),[Lucro Líquido])</f>
        <v>10147521914.51</v>
      </c>
      <c r="M22" s="19">
        <f>IF(Tabela2[[#This Row],[Lucro Anterior]]=0,"",IF(Tabela2[[#This Row],[Lucro Líquido]]&gt;0,Tabela2[[#This Row],[Lucro Líquido]]/Tabela2[[#This Row],[Lucro Anterior]]-1,0))</f>
        <v>0.15871574199184857</v>
      </c>
    </row>
    <row r="23" spans="1:13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4">
        <f>(Tabela2[[#This Row],[Lucro Líquido]])/Tabela2[[#This Row],[Total Ações]]</f>
        <v>3.5413769945814031</v>
      </c>
      <c r="F23" s="64">
        <v>1.4165507980000001</v>
      </c>
      <c r="G23" s="44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23.22</v>
      </c>
      <c r="I23" s="19">
        <f>IF(Tabela2[[#This Row],[Dividendo / Ação]]&gt;0,Tabela2[[#This Row],[Dividendo / Ação]]/Tabela2[[#This Row],[Cotação]],"")</f>
        <v>6.1005632988802759E-2</v>
      </c>
      <c r="J23" s="59">
        <f>SUMPRODUCT(N(Tabela1[Código]=Tabela2[[#This Row],[Ativo]]),Tabela1[Fechamento])</f>
        <v>23.22</v>
      </c>
      <c r="K23" s="59">
        <f>SUMPRODUCT(N(Tabela17[Código]=Tabela2[[#This Row],[Ativo]]),Tabela17[Fechamento])</f>
        <v>0</v>
      </c>
      <c r="L23" s="59">
        <f>SUMPRODUCT(N([Ativo]=Tabela2[[#This Row],[Ativo]]),N([Exercício]=Tabela2[[#This Row],[Exercício]]-1),[Lucro Líquido])</f>
        <v>0</v>
      </c>
      <c r="M23" s="19" t="str">
        <f>IF(Tabela2[[#This Row],[Lucro Anterior]]=0,"",IF(Tabela2[[#This Row],[Lucro Líquido]]&gt;0,Tabela2[[#This Row],[Lucro Líquido]]/Tabela2[[#This Row],[Lucro Anterior]]-1,0))</f>
        <v/>
      </c>
    </row>
    <row r="24" spans="1:13">
      <c r="A24" s="4" t="s">
        <v>218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4">
        <f>(Tabela2[[#This Row],[Lucro Líquido]])/Tabela2[[#This Row],[Total Ações]]</f>
        <v>2.705135047959732</v>
      </c>
      <c r="F24" s="64">
        <v>0.97174542699999999</v>
      </c>
      <c r="G24" s="44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30.09</v>
      </c>
      <c r="I24" s="19">
        <f>IF(Tabela2[[#This Row],[Dividendo / Ação]]&gt;0,Tabela2[[#This Row],[Dividendo / Ação]]/Tabela2[[#This Row],[Cotação]],"")</f>
        <v>3.2294630342306417E-2</v>
      </c>
      <c r="J24" s="59">
        <f>SUMPRODUCT(N(Tabela1[Código]=Tabela2[[#This Row],[Ativo]]),Tabela1[Fechamento])</f>
        <v>30.09</v>
      </c>
      <c r="K24" s="59">
        <f>SUMPRODUCT(N(Tabela17[Código]=Tabela2[[#This Row],[Ativo]]),Tabela17[Fechamento])</f>
        <v>0</v>
      </c>
      <c r="L24" s="59">
        <f>SUMPRODUCT(N([Ativo]=Tabela2[[#This Row],[Ativo]]),N([Exercício]=Tabela2[[#This Row],[Exercício]]-1),[Lucro Líquido])</f>
        <v>11037515599</v>
      </c>
      <c r="M24" s="19">
        <f>IF(Tabela2[[#This Row],[Lucro Anterior]]=0,"",IF(Tabela2[[#This Row],[Lucro Líquido]]&gt;0,Tabela2[[#This Row],[Lucro Líquido]]/Tabela2[[#This Row],[Lucro Anterior]]-1,0))</f>
        <v>3.1141868583283605E-2</v>
      </c>
    </row>
    <row r="25" spans="1:13">
      <c r="A25" s="4" t="s">
        <v>218</v>
      </c>
      <c r="B25" s="3">
        <v>2011</v>
      </c>
      <c r="C25" s="5">
        <v>11037515599</v>
      </c>
      <c r="D25" s="60">
        <f>SUMPRODUCT(N(Tabela3[PAPEL]=Tabela2[[#This Row],[Ativo]]),Tabela3[Total Ações])</f>
        <v>4207274039</v>
      </c>
      <c r="E25" s="63">
        <f>(Tabela2[[#This Row],[Lucro Líquido]])/Tabela2[[#This Row],[Total Ações]]</f>
        <v>2.6234363382765142</v>
      </c>
      <c r="F25" s="63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30.09</v>
      </c>
      <c r="I25" s="18">
        <f>IF(Tabela2[[#This Row],[Dividendo / Ação]]&gt;0,Tabela2[[#This Row],[Dividendo / Ação]]/Tabela2[[#This Row],[Cotação]],"")</f>
        <v>3.1019873712196742E-2</v>
      </c>
      <c r="J25" s="58">
        <f>SUMPRODUCT(N(Tabela1[Código]=Tabela2[[#This Row],[Ativo]]),Tabela1[Fechamento])</f>
        <v>30.09</v>
      </c>
      <c r="K25" s="58">
        <f>SUMPRODUCT(N(Tabela17[Código]=Tabela2[[#This Row],[Ativo]]),Tabela17[Fechamento])</f>
        <v>0</v>
      </c>
      <c r="L25" s="58">
        <f>SUMPRODUCT(N([Ativo]=Tabela2[[#This Row],[Ativo]]),N([Exercício]=Tabela2[[#This Row],[Exercício]]-1),[Lucro Líquido])</f>
        <v>10159097403</v>
      </c>
      <c r="M25" s="18">
        <f>IF(Tabela2[[#This Row],[Lucro Anterior]]=0,"",IF(Tabela2[[#This Row],[Lucro Líquido]]&gt;0,Tabela2[[#This Row],[Lucro Líquido]]/Tabela2[[#This Row],[Lucro Anterior]]-1,0))</f>
        <v>8.6466165364316838E-2</v>
      </c>
    </row>
    <row r="26" spans="1:13">
      <c r="A26" s="4" t="s">
        <v>218</v>
      </c>
      <c r="B26" s="3">
        <v>2010</v>
      </c>
      <c r="C26" s="5">
        <v>10159097403</v>
      </c>
      <c r="D26" s="60">
        <f>SUMPRODUCT(N(Tabela3[PAPEL]=Tabela2[[#This Row],[Ativo]]),Tabela3[Total Ações])</f>
        <v>4207274039</v>
      </c>
      <c r="E26" s="63">
        <f>(Tabela2[[#This Row],[Lucro Líquido]])/Tabela2[[#This Row],[Total Ações]]</f>
        <v>2.4146507474503967</v>
      </c>
      <c r="F26" s="63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30.09</v>
      </c>
      <c r="I26" s="18">
        <f>IF(Tabela2[[#This Row],[Dividendo / Ação]]&gt;0,Tabela2[[#This Row],[Dividendo / Ação]]/Tabela2[[#This Row],[Cotação]],"")</f>
        <v>2.9125423728813563E-2</v>
      </c>
      <c r="J26" s="58">
        <f>SUMPRODUCT(N(Tabela1[Código]=Tabela2[[#This Row],[Ativo]]),Tabela1[Fechamento])</f>
        <v>30.09</v>
      </c>
      <c r="K26" s="58">
        <f>SUMPRODUCT(N(Tabela17[Código]=Tabela2[[#This Row],[Ativo]]),Tabela17[Fechamento])</f>
        <v>0</v>
      </c>
      <c r="L26" s="58">
        <f>SUMPRODUCT(N([Ativo]=Tabela2[[#This Row],[Ativo]]),N([Exercício]=Tabela2[[#This Row],[Exercício]]-1),[Lucro Líquido])</f>
        <v>8134916341</v>
      </c>
      <c r="M26" s="18">
        <f>IF(Tabela2[[#This Row],[Lucro Anterior]]=0,"",IF(Tabela2[[#This Row],[Lucro Líquido]]&gt;0,Tabela2[[#This Row],[Lucro Líquido]]/Tabela2[[#This Row],[Lucro Anterior]]-1,0))</f>
        <v>0.24882629115656929</v>
      </c>
    </row>
    <row r="27" spans="1:13">
      <c r="A27" s="4" t="s">
        <v>218</v>
      </c>
      <c r="B27" s="3">
        <v>2009</v>
      </c>
      <c r="C27" s="5">
        <v>8134916341</v>
      </c>
      <c r="D27" s="60">
        <f>SUMPRODUCT(N(Tabela3[PAPEL]=Tabela2[[#This Row],[Ativo]]),Tabela3[Total Ações])</f>
        <v>4207274039</v>
      </c>
      <c r="E27" s="63">
        <f>(Tabela2[[#This Row],[Lucro Líquido]])/Tabela2[[#This Row],[Total Ações]]</f>
        <v>1.933536124719258</v>
      </c>
      <c r="F27" s="63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30.09</v>
      </c>
      <c r="I27" s="18">
        <f>IF(Tabela2[[#This Row],[Dividendo / Ação]]&gt;0,Tabela2[[#This Row],[Dividendo / Ação]]/Tabela2[[#This Row],[Cotação]],"")</f>
        <v>2.7721635094715851E-2</v>
      </c>
      <c r="J27" s="58">
        <f>SUMPRODUCT(N(Tabela1[Código]=Tabela2[[#This Row],[Ativo]]),Tabela1[Fechamento])</f>
        <v>30.09</v>
      </c>
      <c r="K27" s="58">
        <f>SUMPRODUCT(N(Tabela17[Código]=Tabela2[[#This Row],[Ativo]]),Tabela17[Fechamento])</f>
        <v>0</v>
      </c>
      <c r="L27" s="58">
        <f>SUMPRODUCT(N([Ativo]=Tabela2[[#This Row],[Ativo]]),N([Exercício]=Tabela2[[#This Row],[Exercício]]-1),[Lucro Líquido])</f>
        <v>0</v>
      </c>
      <c r="M27" s="18" t="str">
        <f>IF(Tabela2[[#This Row],[Lucro Anterior]]=0,"",IF(Tabela2[[#This Row],[Lucro Líquido]]&gt;0,Tabela2[[#This Row],[Lucro Líquido]]/Tabela2[[#This Row],[Lucro Anterior]]-1,0))</f>
        <v/>
      </c>
    </row>
    <row r="28" spans="1:13">
      <c r="A28" s="4" t="s">
        <v>219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4">
        <f>(Tabela2[[#This Row],[Lucro Líquido]])/Tabela2[[#This Row],[Total Ações]]</f>
        <v>2.705135047959732</v>
      </c>
      <c r="F28" s="64">
        <v>1.0689199700000001</v>
      </c>
      <c r="G28" s="44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27.85</v>
      </c>
      <c r="I28" s="19">
        <f>IF(Tabela2[[#This Row],[Dividendo / Ação]]&gt;0,Tabela2[[#This Row],[Dividendo / Ação]]/Tabela2[[#This Row],[Cotação]],"")</f>
        <v>3.8381327468581687E-2</v>
      </c>
      <c r="J28" s="59">
        <f>SUMPRODUCT(N(Tabela1[Código]=Tabela2[[#This Row],[Ativo]]),Tabela1[Fechamento])</f>
        <v>27.85</v>
      </c>
      <c r="K28" s="59">
        <f>SUMPRODUCT(N(Tabela17[Código]=Tabela2[[#This Row],[Ativo]]),Tabela17[Fechamento])</f>
        <v>0</v>
      </c>
      <c r="L28" s="59">
        <f>SUMPRODUCT(N([Ativo]=Tabela2[[#This Row],[Ativo]]),N([Exercício]=Tabela2[[#This Row],[Exercício]]-1),[Lucro Líquido])</f>
        <v>11037515599</v>
      </c>
      <c r="M28" s="19">
        <f>IF(Tabela2[[#This Row],[Lucro Anterior]]=0,"",IF(Tabela2[[#This Row],[Lucro Líquido]]&gt;0,Tabela2[[#This Row],[Lucro Líquido]]/Tabela2[[#This Row],[Lucro Anterior]]-1,0))</f>
        <v>3.1141868583283605E-2</v>
      </c>
    </row>
    <row r="29" spans="1:13">
      <c r="A29" s="4" t="s">
        <v>219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4">
        <f>(Tabela2[[#This Row],[Lucro Líquido]])/Tabela2[[#This Row],[Total Ações]]</f>
        <v>2.6234363382765142</v>
      </c>
      <c r="F29" s="64">
        <v>1.0267269999999999</v>
      </c>
      <c r="G29" s="44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27.85</v>
      </c>
      <c r="I29" s="19">
        <f>IF(Tabela2[[#This Row],[Dividendo / Ação]]&gt;0,Tabela2[[#This Row],[Dividendo / Ação]]/Tabela2[[#This Row],[Cotação]],"")</f>
        <v>3.686631956912028E-2</v>
      </c>
      <c r="J29" s="59">
        <f>SUMPRODUCT(N(Tabela1[Código]=Tabela2[[#This Row],[Ativo]]),Tabela1[Fechamento])</f>
        <v>27.85</v>
      </c>
      <c r="K29" s="59">
        <f>SUMPRODUCT(N(Tabela17[Código]=Tabela2[[#This Row],[Ativo]]),Tabela17[Fechamento])</f>
        <v>0</v>
      </c>
      <c r="L29" s="59">
        <f>SUMPRODUCT(N([Ativo]=Tabela2[[#This Row],[Ativo]]),N([Exercício]=Tabela2[[#This Row],[Exercício]]-1),[Lucro Líquido])</f>
        <v>10159097403</v>
      </c>
      <c r="M29" s="19">
        <f>IF(Tabela2[[#This Row],[Lucro Anterior]]=0,"",IF(Tabela2[[#This Row],[Lucro Líquido]]&gt;0,Tabela2[[#This Row],[Lucro Líquido]]/Tabela2[[#This Row],[Lucro Anterior]]-1,0))</f>
        <v>8.6466165364316838E-2</v>
      </c>
    </row>
    <row r="30" spans="1:13">
      <c r="A30" s="4" t="s">
        <v>219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4">
        <f>(Tabela2[[#This Row],[Lucro Líquido]])/Tabela2[[#This Row],[Total Ações]]</f>
        <v>2.4146507474503967</v>
      </c>
      <c r="F30" s="64">
        <v>0.96402200000000005</v>
      </c>
      <c r="G30" s="44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27.85</v>
      </c>
      <c r="I30" s="19">
        <f>IF(Tabela2[[#This Row],[Dividendo / Ação]]&gt;0,Tabela2[[#This Row],[Dividendo / Ação]]/Tabela2[[#This Row],[Cotação]],"")</f>
        <v>3.4614793536804307E-2</v>
      </c>
      <c r="J30" s="59">
        <f>SUMPRODUCT(N(Tabela1[Código]=Tabela2[[#This Row],[Ativo]]),Tabela1[Fechamento])</f>
        <v>27.85</v>
      </c>
      <c r="K30" s="59">
        <f>SUMPRODUCT(N(Tabela17[Código]=Tabela2[[#This Row],[Ativo]]),Tabela17[Fechamento])</f>
        <v>0</v>
      </c>
      <c r="L30" s="59">
        <f>SUMPRODUCT(N([Ativo]=Tabela2[[#This Row],[Ativo]]),N([Exercício]=Tabela2[[#This Row],[Exercício]]-1),[Lucro Líquido])</f>
        <v>8134916341</v>
      </c>
      <c r="M30" s="19">
        <f>IF(Tabela2[[#This Row],[Lucro Anterior]]=0,"",IF(Tabela2[[#This Row],[Lucro Líquido]]&gt;0,Tabela2[[#This Row],[Lucro Líquido]]/Tabela2[[#This Row],[Lucro Anterior]]-1,0))</f>
        <v>0.24882629115656929</v>
      </c>
    </row>
    <row r="31" spans="1:13">
      <c r="A31" s="4" t="s">
        <v>219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4">
        <f>(Tabela2[[#This Row],[Lucro Líquido]])/Tabela2[[#This Row],[Total Ações]]</f>
        <v>1.933536124719258</v>
      </c>
      <c r="F31" s="64">
        <v>0.91755799999999998</v>
      </c>
      <c r="G31" s="44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27.85</v>
      </c>
      <c r="I31" s="19">
        <f>IF(Tabela2[[#This Row],[Dividendo / Ação]]&gt;0,Tabela2[[#This Row],[Dividendo / Ação]]/Tabela2[[#This Row],[Cotação]],"")</f>
        <v>3.2946427289048473E-2</v>
      </c>
      <c r="J31" s="59">
        <f>SUMPRODUCT(N(Tabela1[Código]=Tabela2[[#This Row],[Ativo]]),Tabela1[Fechamento])</f>
        <v>27.85</v>
      </c>
      <c r="K31" s="59">
        <f>SUMPRODUCT(N(Tabela17[Código]=Tabela2[[#This Row],[Ativo]]),Tabela17[Fechamento])</f>
        <v>0</v>
      </c>
      <c r="L31" s="59">
        <f>SUMPRODUCT(N([Ativo]=Tabela2[[#This Row],[Ativo]]),N([Exercício]=Tabela2[[#This Row],[Exercício]]-1),[Lucro Líquido])</f>
        <v>0</v>
      </c>
      <c r="M31" s="19" t="str">
        <f>IF(Tabela2[[#This Row],[Lucro Anterior]]=0,"",IF(Tabela2[[#This Row],[Lucro Líquido]]&gt;0,Tabela2[[#This Row],[Lucro Líquido]]/Tabela2[[#This Row],[Lucro Anterior]]-1,0))</f>
        <v/>
      </c>
    </row>
    <row r="32" spans="1:13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4">
        <f>(Tabela2[[#This Row],[Lucro Líquido]])/Tabela2[[#This Row],[Total Ações]]</f>
        <v>1</v>
      </c>
      <c r="F32" s="64">
        <v>0.25</v>
      </c>
      <c r="G32" s="44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23.92</v>
      </c>
      <c r="I32" s="19">
        <f>IF(Tabela2[[#This Row],[Dividendo / Ação]]&gt;0,Tabela2[[#This Row],[Dividendo / Ação]]/Tabela2[[#This Row],[Cotação]],"")</f>
        <v>1.0451505016722408E-2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23.92</v>
      </c>
      <c r="L32" s="17">
        <f>SUMPRODUCT(N([Ativo]=Tabela2[[#This Row],[Ativo]]),N([Exercício]=Tabela2[[#This Row],[Exercício]]-1),[Lucro Líquido])</f>
        <v>0</v>
      </c>
      <c r="M32" s="19" t="str">
        <f>IF(Tabela2[[#This Row],[Lucro Anterior]]=0,"",IF(Tabela2[[#This Row],[Lucro Líquido]]&gt;0,Tabela2[[#This Row],[Lucro Líquido]]/Tabela2[[#This Row],[Lucro Anterior]]-1,0))</f>
        <v/>
      </c>
    </row>
    <row r="33" spans="1:13">
      <c r="A33" s="4" t="s">
        <v>58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4">
        <f>(Tabela2[[#This Row],[Lucro Líquido]])/Tabela2[[#This Row],[Total Ações]]</f>
        <v>5.153003258266213E-2</v>
      </c>
      <c r="F33" s="64">
        <v>2.0200094799999999E-2</v>
      </c>
      <c r="G33" s="44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0.46</v>
      </c>
      <c r="I33" s="19">
        <f>IF(Tabela2[[#This Row],[Dividendo / Ação]]&gt;0,Tabela2[[#This Row],[Dividendo / Ação]]/Tabela2[[#This Row],[Cotação]],"")</f>
        <v>4.3913249565217388E-2</v>
      </c>
      <c r="J33" s="59">
        <f>SUMPRODUCT(N(Tabela1[Código]=Tabela2[[#This Row],[Ativo]]),Tabela1[Fechamento])</f>
        <v>0.46</v>
      </c>
      <c r="K33" s="59">
        <f>SUMPRODUCT(N(Tabela17[Código]=Tabela2[[#This Row],[Ativo]]),Tabela17[Fechamento])</f>
        <v>0</v>
      </c>
      <c r="L33" s="59">
        <f>SUMPRODUCT(N([Ativo]=Tabela2[[#This Row],[Ativo]]),N([Exercício]=Tabela2[[#This Row],[Exercício]]-1),[Lucro Líquido])</f>
        <v>87892000</v>
      </c>
      <c r="M33" s="19">
        <f>IF(Tabela2[[#This Row],[Lucro Anterior]]=0,"",IF(Tabela2[[#This Row],[Lucro Líquido]]&gt;0,Tabela2[[#This Row],[Lucro Líquido]]/Tabela2[[#This Row],[Lucro Anterior]]-1,0))</f>
        <v>-7.3920265780730854E-2</v>
      </c>
    </row>
    <row r="34" spans="1:13">
      <c r="A34" s="4" t="s">
        <v>58</v>
      </c>
      <c r="B34" s="3">
        <v>2011</v>
      </c>
      <c r="C34" s="5">
        <v>87892000</v>
      </c>
      <c r="D34" s="60">
        <f>SUMPRODUCT(N(Tabela3[PAPEL]=Tabela2[[#This Row],[Ativo]]),Tabela3[Total Ações])</f>
        <v>1579564303</v>
      </c>
      <c r="E34" s="63">
        <f>(Tabela2[[#This Row],[Lucro Líquido]])/Tabela2[[#This Row],[Total Ações]]</f>
        <v>5.5643192134103327E-2</v>
      </c>
      <c r="F34" s="63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0.46</v>
      </c>
      <c r="I34" s="18">
        <f>IF(Tabela2[[#This Row],[Dividendo / Ação]]&gt;0,Tabela2[[#This Row],[Dividendo / Ação]]/Tabela2[[#This Row],[Cotação]],"")</f>
        <v>6.7679773913043473E-2</v>
      </c>
      <c r="J34" s="58">
        <f>SUMPRODUCT(N(Tabela1[Código]=Tabela2[[#This Row],[Ativo]]),Tabela1[Fechamento])</f>
        <v>0.46</v>
      </c>
      <c r="K34" s="58">
        <f>SUMPRODUCT(N(Tabela17[Código]=Tabela2[[#This Row],[Ativo]]),Tabela17[Fechamento])</f>
        <v>0</v>
      </c>
      <c r="L34" s="58">
        <f>SUMPRODUCT(N([Ativo]=Tabela2[[#This Row],[Ativo]]),N([Exercício]=Tabela2[[#This Row],[Exercício]]-1),[Lucro Líquido])</f>
        <v>167023000</v>
      </c>
      <c r="M34" s="18">
        <f>IF(Tabela2[[#This Row],[Lucro Anterior]]=0,"",IF(Tabela2[[#This Row],[Lucro Líquido]]&gt;0,Tabela2[[#This Row],[Lucro Líquido]]/Tabela2[[#This Row],[Lucro Anterior]]-1,0))</f>
        <v>-0.47377307316956352</v>
      </c>
    </row>
    <row r="35" spans="1:13">
      <c r="A35" s="4" t="s">
        <v>58</v>
      </c>
      <c r="B35" s="3">
        <v>2010</v>
      </c>
      <c r="C35" s="5">
        <v>167023000</v>
      </c>
      <c r="D35" s="60">
        <f>SUMPRODUCT(N(Tabela3[PAPEL]=Tabela2[[#This Row],[Ativo]]),Tabela3[Total Ações])</f>
        <v>1579564303</v>
      </c>
      <c r="E35" s="63">
        <f>(Tabela2[[#This Row],[Lucro Líquido]])/Tabela2[[#This Row],[Total Ações]]</f>
        <v>0.1057399180791692</v>
      </c>
      <c r="F35" s="63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0.46</v>
      </c>
      <c r="I35" s="18">
        <f>IF(Tabela2[[#This Row],[Dividendo / Ação]]&gt;0,Tabela2[[#This Row],[Dividendo / Ação]]/Tabela2[[#This Row],[Cotação]],"")</f>
        <v>5.7492802173913039E-2</v>
      </c>
      <c r="J35" s="58">
        <f>SUMPRODUCT(N(Tabela1[Código]=Tabela2[[#This Row],[Ativo]]),Tabela1[Fechamento])</f>
        <v>0.46</v>
      </c>
      <c r="K35" s="58">
        <f>SUMPRODUCT(N(Tabela17[Código]=Tabela2[[#This Row],[Ativo]]),Tabela17[Fechamento])</f>
        <v>0</v>
      </c>
      <c r="L35" s="58">
        <f>SUMPRODUCT(N([Ativo]=Tabela2[[#This Row],[Ativo]]),N([Exercício]=Tabela2[[#This Row],[Exercício]]-1),[Lucro Líquido])</f>
        <v>132496000</v>
      </c>
      <c r="M35" s="18">
        <f>IF(Tabela2[[#This Row],[Lucro Anterior]]=0,"",IF(Tabela2[[#This Row],[Lucro Líquido]]&gt;0,Tabela2[[#This Row],[Lucro Líquido]]/Tabela2[[#This Row],[Lucro Anterior]]-1,0))</f>
        <v>0.26058899891317466</v>
      </c>
    </row>
    <row r="36" spans="1:13">
      <c r="A36" s="4" t="s">
        <v>58</v>
      </c>
      <c r="B36" s="3">
        <v>2009</v>
      </c>
      <c r="C36" s="5">
        <v>132496000</v>
      </c>
      <c r="D36" s="60">
        <f>SUMPRODUCT(N(Tabela3[PAPEL]=Tabela2[[#This Row],[Ativo]]),Tabela3[Total Ações])</f>
        <v>1579564303</v>
      </c>
      <c r="E36" s="63">
        <f>(Tabela2[[#This Row],[Lucro Líquido]])/Tabela2[[#This Row],[Total Ações]]</f>
        <v>8.3881358769855668E-2</v>
      </c>
      <c r="F36" s="63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0.46</v>
      </c>
      <c r="I36" s="18">
        <f>IF(Tabela2[[#This Row],[Dividendo / Ação]]&gt;0,Tabela2[[#This Row],[Dividendo / Ação]]/Tabela2[[#This Row],[Cotação]],"")</f>
        <v>4.6032593217391303E-2</v>
      </c>
      <c r="J36" s="58">
        <f>SUMPRODUCT(N(Tabela1[Código]=Tabela2[[#This Row],[Ativo]]),Tabela1[Fechamento])</f>
        <v>0.46</v>
      </c>
      <c r="K36" s="58">
        <f>SUMPRODUCT(N(Tabela17[Código]=Tabela2[[#This Row],[Ativo]]),Tabela17[Fechamento])</f>
        <v>0</v>
      </c>
      <c r="L36" s="58">
        <f>SUMPRODUCT(N([Ativo]=Tabela2[[#This Row],[Ativo]]),N([Exercício]=Tabela2[[#This Row],[Exercício]]-1),[Lucro Líquido])</f>
        <v>0</v>
      </c>
      <c r="M36" s="18" t="str">
        <f>IF(Tabela2[[#This Row],[Lucro Anterior]]=0,"",IF(Tabela2[[#This Row],[Lucro Líquido]]&gt;0,Tabela2[[#This Row],[Lucro Líquido]]/Tabela2[[#This Row],[Lucro Anterior]]-1,0))</f>
        <v/>
      </c>
    </row>
    <row r="37" spans="1:13">
      <c r="A37" s="4" t="s">
        <v>59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4">
        <f>(Tabela2[[#This Row],[Lucro Líquido]])/Tabela2[[#This Row],[Total Ações]]</f>
        <v>5.153003258266213E-2</v>
      </c>
      <c r="F37" s="64">
        <v>2.0200094799999999E-2</v>
      </c>
      <c r="G37" s="44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59">
        <f>SUMPRODUCT(N(Tabela1[Código]=Tabela2[[#This Row],[Ativo]]),Tabela1[Fechamento])</f>
        <v>0.46</v>
      </c>
      <c r="K37" s="59">
        <f>SUMPRODUCT(N(Tabela17[Código]=Tabela2[[#This Row],[Ativo]]),Tabela17[Fechamento])</f>
        <v>0</v>
      </c>
      <c r="L37" s="59">
        <f>SUMPRODUCT(N([Ativo]=Tabela2[[#This Row],[Ativo]]),N([Exercício]=Tabela2[[#This Row],[Exercício]]-1),[Lucro Líquido])</f>
        <v>87892000</v>
      </c>
      <c r="M37" s="19">
        <f>IF(Tabela2[[#This Row],[Lucro Anterior]]=0,"",IF(Tabela2[[#This Row],[Lucro Líquido]]&gt;0,Tabela2[[#This Row],[Lucro Líquido]]/Tabela2[[#This Row],[Lucro Anterior]]-1,0))</f>
        <v>-7.3920265780730854E-2</v>
      </c>
    </row>
    <row r="38" spans="1:13">
      <c r="A38" s="4" t="s">
        <v>59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4">
        <f>(Tabela2[[#This Row],[Lucro Líquido]])/Tabela2[[#This Row],[Total Ações]]</f>
        <v>5.5643192134103327E-2</v>
      </c>
      <c r="F38" s="63">
        <v>3.1132696000000001E-2</v>
      </c>
      <c r="G38" s="44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59">
        <f>SUMPRODUCT(N(Tabela1[Código]=Tabela2[[#This Row],[Ativo]]),Tabela1[Fechamento])</f>
        <v>0.46</v>
      </c>
      <c r="K38" s="59">
        <f>SUMPRODUCT(N(Tabela17[Código]=Tabela2[[#This Row],[Ativo]]),Tabela17[Fechamento])</f>
        <v>0</v>
      </c>
      <c r="L38" s="59">
        <f>SUMPRODUCT(N([Ativo]=Tabela2[[#This Row],[Ativo]]),N([Exercício]=Tabela2[[#This Row],[Exercício]]-1),[Lucro Líquido])</f>
        <v>167023000</v>
      </c>
      <c r="M38" s="19">
        <f>IF(Tabela2[[#This Row],[Lucro Anterior]]=0,"",IF(Tabela2[[#This Row],[Lucro Líquido]]&gt;0,Tabela2[[#This Row],[Lucro Líquido]]/Tabela2[[#This Row],[Lucro Anterior]]-1,0))</f>
        <v>-0.47377307316956352</v>
      </c>
    </row>
    <row r="39" spans="1:13">
      <c r="A39" s="4" t="s">
        <v>59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4">
        <f>(Tabela2[[#This Row],[Lucro Líquido]])/Tabela2[[#This Row],[Total Ações]]</f>
        <v>0.1057399180791692</v>
      </c>
      <c r="F39" s="63">
        <v>2.6446688999999999E-2</v>
      </c>
      <c r="G39" s="44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59">
        <f>SUMPRODUCT(N(Tabela1[Código]=Tabela2[[#This Row],[Ativo]]),Tabela1[Fechamento])</f>
        <v>0.46</v>
      </c>
      <c r="K39" s="59">
        <f>SUMPRODUCT(N(Tabela17[Código]=Tabela2[[#This Row],[Ativo]]),Tabela17[Fechamento])</f>
        <v>0</v>
      </c>
      <c r="L39" s="59">
        <f>SUMPRODUCT(N([Ativo]=Tabela2[[#This Row],[Ativo]]),N([Exercício]=Tabela2[[#This Row],[Exercício]]-1),[Lucro Líquido])</f>
        <v>132496000</v>
      </c>
      <c r="M39" s="19">
        <f>IF(Tabela2[[#This Row],[Lucro Anterior]]=0,"",IF(Tabela2[[#This Row],[Lucro Líquido]]&gt;0,Tabela2[[#This Row],[Lucro Líquido]]/Tabela2[[#This Row],[Lucro Anterior]]-1,0))</f>
        <v>0.26058899891317466</v>
      </c>
    </row>
    <row r="40" spans="1:13">
      <c r="A40" s="4" t="s">
        <v>59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4">
        <f>(Tabela2[[#This Row],[Lucro Líquido]])/Tabela2[[#This Row],[Total Ações]]</f>
        <v>8.3881358769855668E-2</v>
      </c>
      <c r="F40" s="63">
        <v>2.117499288E-2</v>
      </c>
      <c r="G40" s="44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59">
        <f>SUMPRODUCT(N(Tabela1[Código]=Tabela2[[#This Row],[Ativo]]),Tabela1[Fechamento])</f>
        <v>0.46</v>
      </c>
      <c r="K40" s="59">
        <f>SUMPRODUCT(N(Tabela17[Código]=Tabela2[[#This Row],[Ativo]]),Tabela17[Fechamento])</f>
        <v>0</v>
      </c>
      <c r="L40" s="59">
        <f>SUMPRODUCT(N([Ativo]=Tabela2[[#This Row],[Ativo]]),N([Exercício]=Tabela2[[#This Row],[Exercício]]-1),[Lucro Líquido])</f>
        <v>0</v>
      </c>
      <c r="M40" s="19" t="str">
        <f>IF(Tabela2[[#This Row],[Lucro Anterior]]=0,"",IF(Tabela2[[#This Row],[Lucro Líquido]]&gt;0,Tabela2[[#This Row],[Lucro Líquido]]/Tabela2[[#This Row],[Lucro Anterior]]-1,0))</f>
        <v/>
      </c>
    </row>
    <row r="41" spans="1:13">
      <c r="A41" s="14" t="s">
        <v>223</v>
      </c>
      <c r="B41" s="3">
        <v>2012</v>
      </c>
      <c r="C41" s="5">
        <v>87990976.469999999</v>
      </c>
      <c r="D41" s="60">
        <f>SUMPRODUCT(N(Tabela3[PAPEL]=Tabela2[[#This Row],[Ativo]]),Tabela3[Total Ações])</f>
        <v>10541442</v>
      </c>
      <c r="E41" s="63">
        <f>(Tabela2[[#This Row],[Lucro Líquido]])/Tabela2[[#This Row],[Total Ações]]</f>
        <v>8.3471479964505804</v>
      </c>
      <c r="F41" s="63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58">
        <f>SUMPRODUCT(N(Tabela1[Código]=Tabela2[[#This Row],[Ativo]]),Tabela1[Fechamento])</f>
        <v>43.25</v>
      </c>
      <c r="K41" s="58">
        <f>SUMPRODUCT(N(Tabela17[Código]=Tabela2[[#This Row],[Ativo]]),Tabela17[Fechamento])</f>
        <v>0</v>
      </c>
      <c r="L41" s="58">
        <f>SUMPRODUCT(N([Ativo]=Tabela2[[#This Row],[Ativo]]),N([Exercício]=Tabela2[[#This Row],[Exercício]]-1),[Lucro Líquido])</f>
        <v>90962523.890000001</v>
      </c>
      <c r="M41" s="18">
        <f>IF(Tabela2[[#This Row],[Lucro Anterior]]=0,"",IF(Tabela2[[#This Row],[Lucro Líquido]]&gt;0,Tabela2[[#This Row],[Lucro Líquido]]/Tabela2[[#This Row],[Lucro Anterior]]-1,0))</f>
        <v>-3.2667820690567728E-2</v>
      </c>
    </row>
    <row r="42" spans="1:13">
      <c r="A42" s="14" t="s">
        <v>223</v>
      </c>
      <c r="B42" s="3">
        <v>2011</v>
      </c>
      <c r="C42" s="5">
        <v>90962523.890000001</v>
      </c>
      <c r="D42" s="60">
        <f>SUMPRODUCT(N(Tabela3[PAPEL]=Tabela2[[#This Row],[Ativo]]),Tabela3[Total Ações])</f>
        <v>10541442</v>
      </c>
      <c r="E42" s="63">
        <f>(Tabela2[[#This Row],[Lucro Líquido]])/Tabela2[[#This Row],[Total Ações]]</f>
        <v>8.6290399254675023</v>
      </c>
      <c r="F42" s="63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58">
        <f>SUMPRODUCT(N(Tabela1[Código]=Tabela2[[#This Row],[Ativo]]),Tabela1[Fechamento])</f>
        <v>43.25</v>
      </c>
      <c r="K42" s="58">
        <f>SUMPRODUCT(N(Tabela17[Código]=Tabela2[[#This Row],[Ativo]]),Tabela17[Fechamento])</f>
        <v>0</v>
      </c>
      <c r="L42" s="58">
        <f>SUMPRODUCT(N([Ativo]=Tabela2[[#This Row],[Ativo]]),N([Exercício]=Tabela2[[#This Row],[Exercício]]-1),[Lucro Líquido])</f>
        <v>54465018.079999998</v>
      </c>
      <c r="M42" s="18">
        <f>IF(Tabela2[[#This Row],[Lucro Anterior]]=0,"",IF(Tabela2[[#This Row],[Lucro Líquido]]&gt;0,Tabela2[[#This Row],[Lucro Líquido]]/Tabela2[[#This Row],[Lucro Anterior]]-1,0))</f>
        <v>0.67010912869598749</v>
      </c>
    </row>
    <row r="43" spans="1:13">
      <c r="A43" s="14" t="s">
        <v>223</v>
      </c>
      <c r="B43" s="3">
        <v>2010</v>
      </c>
      <c r="C43" s="5">
        <v>54465018.079999998</v>
      </c>
      <c r="D43" s="60">
        <f>SUMPRODUCT(N(Tabela3[PAPEL]=Tabela2[[#This Row],[Ativo]]),Tabela3[Total Ações])</f>
        <v>10541442</v>
      </c>
      <c r="E43" s="63">
        <f>(Tabela2[[#This Row],[Lucro Líquido]])/Tabela2[[#This Row],[Total Ações]]</f>
        <v>5.1667521464330965</v>
      </c>
      <c r="F43" s="63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58">
        <f>SUMPRODUCT(N(Tabela1[Código]=Tabela2[[#This Row],[Ativo]]),Tabela1[Fechamento])</f>
        <v>43.25</v>
      </c>
      <c r="K43" s="58">
        <f>SUMPRODUCT(N(Tabela17[Código]=Tabela2[[#This Row],[Ativo]]),Tabela17[Fechamento])</f>
        <v>0</v>
      </c>
      <c r="L43" s="58">
        <f>SUMPRODUCT(N([Ativo]=Tabela2[[#This Row],[Ativo]]),N([Exercício]=Tabela2[[#This Row],[Exercício]]-1),[Lucro Líquido])</f>
        <v>39114199.380000003</v>
      </c>
      <c r="M43" s="18">
        <f>IF(Tabela2[[#This Row],[Lucro Anterior]]=0,"",IF(Tabela2[[#This Row],[Lucro Líquido]]&gt;0,Tabela2[[#This Row],[Lucro Líquido]]/Tabela2[[#This Row],[Lucro Anterior]]-1,0))</f>
        <v>0.39246153425932651</v>
      </c>
    </row>
    <row r="44" spans="1:13">
      <c r="A44" s="14" t="s">
        <v>223</v>
      </c>
      <c r="B44" s="3">
        <v>2009</v>
      </c>
      <c r="C44" s="5">
        <v>39114199.380000003</v>
      </c>
      <c r="D44" s="60">
        <f>SUMPRODUCT(N(Tabela3[PAPEL]=Tabela2[[#This Row],[Ativo]]),Tabela3[Total Ações])</f>
        <v>10541442</v>
      </c>
      <c r="E44" s="63">
        <f>(Tabela2[[#This Row],[Lucro Líquido]])/Tabela2[[#This Row],[Total Ações]]</f>
        <v>3.7105169653259966</v>
      </c>
      <c r="F44" s="63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58">
        <f>SUMPRODUCT(N(Tabela1[Código]=Tabela2[[#This Row],[Ativo]]),Tabela1[Fechamento])</f>
        <v>43.25</v>
      </c>
      <c r="K44" s="58">
        <f>SUMPRODUCT(N(Tabela17[Código]=Tabela2[[#This Row],[Ativo]]),Tabela17[Fechamento])</f>
        <v>0</v>
      </c>
      <c r="L44" s="58">
        <f>SUMPRODUCT(N([Ativo]=Tabela2[[#This Row],[Ativo]]),N([Exercício]=Tabela2[[#This Row],[Exercício]]-1),[Lucro Líquido])</f>
        <v>0</v>
      </c>
      <c r="M44" s="18" t="str">
        <f>IF(Tabela2[[#This Row],[Lucro Anterior]]=0,"",IF(Tabela2[[#This Row],[Lucro Líquido]]&gt;0,Tabela2[[#This Row],[Lucro Líquido]]/Tabela2[[#This Row],[Lucro Anterior]]-1,0))</f>
        <v/>
      </c>
    </row>
    <row r="45" spans="1:13">
      <c r="A45" s="14" t="s">
        <v>224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4">
        <f>(Tabela2[[#This Row],[Lucro Líquido]])/Tabela2[[#This Row],[Total Ações]]</f>
        <v>8.3471479964505804</v>
      </c>
      <c r="F45" s="64">
        <v>5.4410348859999997</v>
      </c>
      <c r="G45" s="44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45</v>
      </c>
      <c r="I45" s="19">
        <f>IF(Tabela2[[#This Row],[Dividendo / Ação]]&gt;0,Tabela2[[#This Row],[Dividendo / Ação]]/Tabela2[[#This Row],[Cotação]],"")</f>
        <v>0.12091188635555555</v>
      </c>
      <c r="J45" s="59">
        <f>SUMPRODUCT(N(Tabela1[Código]=Tabela2[[#This Row],[Ativo]]),Tabela1[Fechamento])</f>
        <v>45</v>
      </c>
      <c r="K45" s="59">
        <f>SUMPRODUCT(N(Tabela17[Código]=Tabela2[[#This Row],[Ativo]]),Tabela17[Fechamento])</f>
        <v>0</v>
      </c>
      <c r="L45" s="59">
        <f>SUMPRODUCT(N([Ativo]=Tabela2[[#This Row],[Ativo]]),N([Exercício]=Tabela2[[#This Row],[Exercício]]-1),[Lucro Líquido])</f>
        <v>90962523.890000001</v>
      </c>
      <c r="M45" s="19">
        <f>IF(Tabela2[[#This Row],[Lucro Anterior]]=0,"",IF(Tabela2[[#This Row],[Lucro Líquido]]&gt;0,Tabela2[[#This Row],[Lucro Líquido]]/Tabela2[[#This Row],[Lucro Anterior]]-1,0))</f>
        <v>-3.2667820690567728E-2</v>
      </c>
    </row>
    <row r="46" spans="1:13">
      <c r="A46" s="14" t="s">
        <v>224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4">
        <f>(Tabela2[[#This Row],[Lucro Líquido]])/Tabela2[[#This Row],[Total Ações]]</f>
        <v>8.6290399254675023</v>
      </c>
      <c r="F46" s="64">
        <v>6.0982784810000004</v>
      </c>
      <c r="G46" s="44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45</v>
      </c>
      <c r="I46" s="19">
        <f>IF(Tabela2[[#This Row],[Dividendo / Ação]]&gt;0,Tabela2[[#This Row],[Dividendo / Ação]]/Tabela2[[#This Row],[Cotação]],"")</f>
        <v>0.13551729957777778</v>
      </c>
      <c r="J46" s="59">
        <f>SUMPRODUCT(N(Tabela1[Código]=Tabela2[[#This Row],[Ativo]]),Tabela1[Fechamento])</f>
        <v>45</v>
      </c>
      <c r="K46" s="59">
        <f>SUMPRODUCT(N(Tabela17[Código]=Tabela2[[#This Row],[Ativo]]),Tabela17[Fechamento])</f>
        <v>0</v>
      </c>
      <c r="L46" s="59">
        <f>SUMPRODUCT(N([Ativo]=Tabela2[[#This Row],[Ativo]]),N([Exercício]=Tabela2[[#This Row],[Exercício]]-1),[Lucro Líquido])</f>
        <v>54465018.079999998</v>
      </c>
      <c r="M46" s="19">
        <f>IF(Tabela2[[#This Row],[Lucro Anterior]]=0,"",IF(Tabela2[[#This Row],[Lucro Líquido]]&gt;0,Tabela2[[#This Row],[Lucro Líquido]]/Tabela2[[#This Row],[Lucro Anterior]]-1,0))</f>
        <v>0.67010912869598749</v>
      </c>
    </row>
    <row r="47" spans="1:13">
      <c r="A47" s="14" t="s">
        <v>224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4">
        <f>(Tabela2[[#This Row],[Lucro Líquido]])/Tabela2[[#This Row],[Total Ações]]</f>
        <v>5.1667521464330965</v>
      </c>
      <c r="F47" s="64">
        <v>2.4995539089999999</v>
      </c>
      <c r="G47" s="44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45</v>
      </c>
      <c r="I47" s="19">
        <f>IF(Tabela2[[#This Row],[Dividendo / Ação]]&gt;0,Tabela2[[#This Row],[Dividendo / Ação]]/Tabela2[[#This Row],[Cotação]],"")</f>
        <v>5.5545642422222222E-2</v>
      </c>
      <c r="J47" s="59">
        <f>SUMPRODUCT(N(Tabela1[Código]=Tabela2[[#This Row],[Ativo]]),Tabela1[Fechamento])</f>
        <v>45</v>
      </c>
      <c r="K47" s="59">
        <f>SUMPRODUCT(N(Tabela17[Código]=Tabela2[[#This Row],[Ativo]]),Tabela17[Fechamento])</f>
        <v>0</v>
      </c>
      <c r="L47" s="59">
        <f>SUMPRODUCT(N([Ativo]=Tabela2[[#This Row],[Ativo]]),N([Exercício]=Tabela2[[#This Row],[Exercício]]-1),[Lucro Líquido])</f>
        <v>39114199.380000003</v>
      </c>
      <c r="M47" s="19">
        <f>IF(Tabela2[[#This Row],[Lucro Anterior]]=0,"",IF(Tabela2[[#This Row],[Lucro Líquido]]&gt;0,Tabela2[[#This Row],[Lucro Líquido]]/Tabela2[[#This Row],[Lucro Anterior]]-1,0))</f>
        <v>0.39246153425932651</v>
      </c>
    </row>
    <row r="48" spans="1:13">
      <c r="A48" s="14" t="s">
        <v>224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4">
        <f>(Tabela2[[#This Row],[Lucro Líquido]])/Tabela2[[#This Row],[Total Ações]]</f>
        <v>3.7105169653259966</v>
      </c>
      <c r="F48" s="64">
        <v>2.1790691309999999</v>
      </c>
      <c r="G48" s="44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45</v>
      </c>
      <c r="I48" s="19">
        <f>IF(Tabela2[[#This Row],[Dividendo / Ação]]&gt;0,Tabela2[[#This Row],[Dividendo / Ação]]/Tabela2[[#This Row],[Cotação]],"")</f>
        <v>4.8423758466666661E-2</v>
      </c>
      <c r="J48" s="59">
        <f>SUMPRODUCT(N(Tabela1[Código]=Tabela2[[#This Row],[Ativo]]),Tabela1[Fechamento])</f>
        <v>45</v>
      </c>
      <c r="K48" s="59">
        <f>SUMPRODUCT(N(Tabela17[Código]=Tabela2[[#This Row],[Ativo]]),Tabela17[Fechamento])</f>
        <v>0</v>
      </c>
      <c r="L48" s="59">
        <f>SUMPRODUCT(N([Ativo]=Tabela2[[#This Row],[Ativo]]),N([Exercício]=Tabela2[[#This Row],[Exercício]]-1),[Lucro Líquido])</f>
        <v>0</v>
      </c>
      <c r="M48" s="19" t="str">
        <f>IF(Tabela2[[#This Row],[Lucro Anterior]]=0,"",IF(Tabela2[[#This Row],[Lucro Líquido]]&gt;0,Tabela2[[#This Row],[Lucro Líquido]]/Tabela2[[#This Row],[Lucro Anterior]]-1,0))</f>
        <v/>
      </c>
    </row>
    <row r="49" spans="1:13">
      <c r="A49" s="4" t="s">
        <v>230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4">
        <f>(Tabela2[[#This Row],[Lucro Líquido]])/Tabela2[[#This Row],[Total Ações]]</f>
        <v>0.43028064835257424</v>
      </c>
      <c r="F49" s="64">
        <v>0.48572491200000001</v>
      </c>
      <c r="G49" s="44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59">
        <f>SUMPRODUCT(N(Tabela1[Código]=Tabela2[[#This Row],[Ativo]]),Tabela1[Fechamento])</f>
        <v>9.65</v>
      </c>
      <c r="K49" s="59">
        <f>SUMPRODUCT(N(Tabela17[Código]=Tabela2[[#This Row],[Ativo]]),Tabela17[Fechamento])</f>
        <v>0</v>
      </c>
      <c r="L49" s="59">
        <f>SUMPRODUCT(N([Ativo]=Tabela2[[#This Row],[Ativo]]),N([Exercício]=Tabela2[[#This Row],[Exercício]]-1),[Lucro Líquido])</f>
        <v>232542541</v>
      </c>
      <c r="M49" s="19">
        <f>IF(Tabela2[[#This Row],[Lucro Anterior]]=0,"",IF(Tabela2[[#This Row],[Lucro Líquido]]&gt;0,Tabela2[[#This Row],[Lucro Líquido]]/Tabela2[[#This Row],[Lucro Anterior]]-1,0))</f>
        <v>-0.53204471245542984</v>
      </c>
    </row>
    <row r="50" spans="1:13">
      <c r="A50" s="4" t="s">
        <v>230</v>
      </c>
      <c r="B50" s="3">
        <v>2011</v>
      </c>
      <c r="C50" s="5">
        <v>232542541</v>
      </c>
      <c r="D50" s="60">
        <f>SUMPRODUCT(N(Tabela3[PAPEL]=Tabela2[[#This Row],[Ativo]]),Tabela3[Total Ações])</f>
        <v>252903569</v>
      </c>
      <c r="E50" s="64">
        <f>(Tabela2[[#This Row],[Lucro Líquido]])/Tabela2[[#This Row],[Total Ações]]</f>
        <v>0.91949094241528873</v>
      </c>
      <c r="F50" s="63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58">
        <f>SUMPRODUCT(N(Tabela1[Código]=Tabela2[[#This Row],[Ativo]]),Tabela1[Fechamento])</f>
        <v>9.65</v>
      </c>
      <c r="K50" s="58">
        <f>SUMPRODUCT(N(Tabela17[Código]=Tabela2[[#This Row],[Ativo]]),Tabela17[Fechamento])</f>
        <v>0</v>
      </c>
      <c r="L50" s="58">
        <f>SUMPRODUCT(N([Ativo]=Tabela2[[#This Row],[Ativo]]),N([Exercício]=Tabela2[[#This Row],[Exercício]]-1),[Lucro Líquido])</f>
        <v>348395895.98000002</v>
      </c>
      <c r="M50" s="18">
        <f>IF(Tabela2[[#This Row],[Lucro Anterior]]=0,"",IF(Tabela2[[#This Row],[Lucro Líquido]]&gt;0,Tabela2[[#This Row],[Lucro Líquido]]/Tabela2[[#This Row],[Lucro Anterior]]-1,0))</f>
        <v>-0.33253363864725516</v>
      </c>
    </row>
    <row r="51" spans="1:13">
      <c r="A51" s="4" t="s">
        <v>230</v>
      </c>
      <c r="B51" s="3">
        <v>2010</v>
      </c>
      <c r="C51" s="5">
        <v>348395895.98000002</v>
      </c>
      <c r="D51" s="60">
        <f>SUMPRODUCT(N(Tabela3[PAPEL]=Tabela2[[#This Row],[Ativo]]),Tabela3[Total Ações])</f>
        <v>252903569</v>
      </c>
      <c r="E51" s="64">
        <f>(Tabela2[[#This Row],[Lucro Líquido]])/Tabela2[[#This Row],[Total Ações]]</f>
        <v>1.3775839437837274</v>
      </c>
      <c r="F51" s="63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58">
        <f>SUMPRODUCT(N(Tabela1[Código]=Tabela2[[#This Row],[Ativo]]),Tabela1[Fechamento])</f>
        <v>9.65</v>
      </c>
      <c r="K51" s="58">
        <f>SUMPRODUCT(N(Tabela17[Código]=Tabela2[[#This Row],[Ativo]]),Tabela17[Fechamento])</f>
        <v>0</v>
      </c>
      <c r="L51" s="58">
        <f>SUMPRODUCT(N([Ativo]=Tabela2[[#This Row],[Ativo]]),N([Exercício]=Tabela2[[#This Row],[Exercício]]-1),[Lucro Líquido])</f>
        <v>0</v>
      </c>
      <c r="M51" s="18" t="str">
        <f>IF(Tabela2[[#This Row],[Lucro Anterior]]=0,"",IF(Tabela2[[#This Row],[Lucro Líquido]]&gt;0,Tabela2[[#This Row],[Lucro Líquido]]/Tabela2[[#This Row],[Lucro Anterior]]-1,0))</f>
        <v/>
      </c>
    </row>
    <row r="52" spans="1:13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4">
        <f>(Tabela2[[#This Row],[Lucro Líquido]])/Tabela2[[#This Row],[Total Ações]]</f>
        <v>0.43028064835257424</v>
      </c>
      <c r="F52" s="64">
        <v>0.48572491200000001</v>
      </c>
      <c r="G52" s="44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</v>
      </c>
      <c r="I52" s="19">
        <f>IF(Tabela2[[#This Row],[Dividendo / Ação]]&gt;0,Tabela2[[#This Row],[Dividendo / Ação]]/Tabela2[[#This Row],[Cotação]],"")</f>
        <v>6.5638501621621617E-2</v>
      </c>
      <c r="J52" s="59">
        <f>SUMPRODUCT(N(Tabela1[Código]=Tabela2[[#This Row],[Ativo]]),Tabela1[Fechamento])</f>
        <v>7.4</v>
      </c>
      <c r="K52" s="59">
        <f>SUMPRODUCT(N(Tabela17[Código]=Tabela2[[#This Row],[Ativo]]),Tabela17[Fechamento])</f>
        <v>0</v>
      </c>
      <c r="L52" s="59">
        <f>SUMPRODUCT(N([Ativo]=Tabela2[[#This Row],[Ativo]]),N([Exercício]=Tabela2[[#This Row],[Exercício]]-1),[Lucro Líquido])</f>
        <v>232542541</v>
      </c>
      <c r="M52" s="19">
        <f>IF(Tabela2[[#This Row],[Lucro Anterior]]=0,"",IF(Tabela2[[#This Row],[Lucro Líquido]]&gt;0,Tabela2[[#This Row],[Lucro Líquido]]/Tabela2[[#This Row],[Lucro Anterior]]-1,0))</f>
        <v>-0.53204471245542984</v>
      </c>
    </row>
    <row r="53" spans="1:13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4">
        <f>(Tabela2[[#This Row],[Lucro Líquido]])/Tabela2[[#This Row],[Total Ações]]</f>
        <v>0.91949094241528873</v>
      </c>
      <c r="F53" s="63">
        <v>0.46371743599999998</v>
      </c>
      <c r="G53" s="44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</v>
      </c>
      <c r="I53" s="19">
        <f>IF(Tabela2[[#This Row],[Dividendo / Ação]]&gt;0,Tabela2[[#This Row],[Dividendo / Ação]]/Tabela2[[#This Row],[Cotação]],"")</f>
        <v>6.2664518378378373E-2</v>
      </c>
      <c r="J53" s="59">
        <f>SUMPRODUCT(N(Tabela1[Código]=Tabela2[[#This Row],[Ativo]]),Tabela1[Fechamento])</f>
        <v>7.4</v>
      </c>
      <c r="K53" s="59">
        <f>SUMPRODUCT(N(Tabela17[Código]=Tabela2[[#This Row],[Ativo]]),Tabela17[Fechamento])</f>
        <v>0</v>
      </c>
      <c r="L53" s="59">
        <f>SUMPRODUCT(N([Ativo]=Tabela2[[#This Row],[Ativo]]),N([Exercício]=Tabela2[[#This Row],[Exercício]]-1),[Lucro Líquido])</f>
        <v>348395895.98000002</v>
      </c>
      <c r="M53" s="19">
        <f>IF(Tabela2[[#This Row],[Lucro Anterior]]=0,"",IF(Tabela2[[#This Row],[Lucro Líquido]]&gt;0,Tabela2[[#This Row],[Lucro Líquido]]/Tabela2[[#This Row],[Lucro Anterior]]-1,0))</f>
        <v>-0.33253363864725516</v>
      </c>
    </row>
    <row r="54" spans="1:13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4">
        <f>(Tabela2[[#This Row],[Lucro Líquido]])/Tabela2[[#This Row],[Total Ações]]</f>
        <v>1.3775839437837274</v>
      </c>
      <c r="F54" s="63">
        <v>0.60299663000000003</v>
      </c>
      <c r="G54" s="44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</v>
      </c>
      <c r="I54" s="19">
        <f>IF(Tabela2[[#This Row],[Dividendo / Ação]]&gt;0,Tabela2[[#This Row],[Dividendo / Ação]]/Tabela2[[#This Row],[Cotação]],"")</f>
        <v>8.1486031081081087E-2</v>
      </c>
      <c r="J54" s="59">
        <f>SUMPRODUCT(N(Tabela1[Código]=Tabela2[[#This Row],[Ativo]]),Tabela1[Fechamento])</f>
        <v>7.4</v>
      </c>
      <c r="K54" s="59">
        <f>SUMPRODUCT(N(Tabela17[Código]=Tabela2[[#This Row],[Ativo]]),Tabela17[Fechamento])</f>
        <v>0</v>
      </c>
      <c r="L54" s="59">
        <f>SUMPRODUCT(N([Ativo]=Tabela2[[#This Row],[Ativo]]),N([Exercício]=Tabela2[[#This Row],[Exercício]]-1),[Lucro Líquido])</f>
        <v>0</v>
      </c>
      <c r="M54" s="19" t="str">
        <f>IF(Tabela2[[#This Row],[Lucro Anterior]]=0,"",IF(Tabela2[[#This Row],[Lucro Líquido]]&gt;0,Tabela2[[#This Row],[Lucro Líquido]]/Tabela2[[#This Row],[Lucro Anterior]]-1,0))</f>
        <v/>
      </c>
    </row>
    <row r="55" spans="1:13">
      <c r="A55" s="4" t="s">
        <v>234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4">
        <f>(Tabela2[[#This Row],[Lucro Líquido]])/Tabela2[[#This Row],[Total Ações]]</f>
        <v>2.9755643217181677E-2</v>
      </c>
      <c r="F55" s="64">
        <v>8.9999999999999993E-3</v>
      </c>
      <c r="G55" s="44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59">
        <f>SUMPRODUCT(N(Tabela1[Código]=Tabela2[[#This Row],[Ativo]]),Tabela1[Fechamento])</f>
        <v>1.1000000000000001</v>
      </c>
      <c r="K55" s="59">
        <f>SUMPRODUCT(N(Tabela17[Código]=Tabela2[[#This Row],[Ativo]]),Tabela17[Fechamento])</f>
        <v>0</v>
      </c>
      <c r="L55" s="59">
        <f>SUMPRODUCT(N([Ativo]=Tabela2[[#This Row],[Ativo]]),N([Exercício]=Tabela2[[#This Row],[Exercício]]-1),[Lucro Líquido])</f>
        <v>5361000</v>
      </c>
      <c r="M55" s="19">
        <f>IF(Tabela2[[#This Row],[Lucro Anterior]]=0,"",IF(Tabela2[[#This Row],[Lucro Líquido]]&gt;0,Tabela2[[#This Row],[Lucro Líquido]]/Tabela2[[#This Row],[Lucro Anterior]]-1,0))</f>
        <v>1.3057265435552967E-2</v>
      </c>
    </row>
    <row r="56" spans="1:13">
      <c r="A56" s="4" t="s">
        <v>234</v>
      </c>
      <c r="B56" s="3">
        <v>2011</v>
      </c>
      <c r="C56" s="5">
        <v>5361000</v>
      </c>
      <c r="D56" s="60">
        <f>SUMPRODUCT(N(Tabela3[PAPEL]=Tabela2[[#This Row],[Ativo]]),Tabela3[Total Ações])</f>
        <v>182520000</v>
      </c>
      <c r="E56" s="63">
        <f>(Tabela2[[#This Row],[Lucro Líquido]])/Tabela2[[#This Row],[Total Ações]]</f>
        <v>2.9372123602892833E-2</v>
      </c>
      <c r="F56" s="63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58">
        <f>SUMPRODUCT(N(Tabela1[Código]=Tabela2[[#This Row],[Ativo]]),Tabela1[Fechamento])</f>
        <v>1.1000000000000001</v>
      </c>
      <c r="K56" s="58">
        <f>SUMPRODUCT(N(Tabela17[Código]=Tabela2[[#This Row],[Ativo]]),Tabela17[Fechamento])</f>
        <v>0</v>
      </c>
      <c r="L56" s="58">
        <f>SUMPRODUCT(N([Ativo]=Tabela2[[#This Row],[Ativo]]),N([Exercício]=Tabela2[[#This Row],[Exercício]]-1),[Lucro Líquido])</f>
        <v>2644000</v>
      </c>
      <c r="M56" s="18">
        <f>IF(Tabela2[[#This Row],[Lucro Anterior]]=0,"",IF(Tabela2[[#This Row],[Lucro Líquido]]&gt;0,Tabela2[[#This Row],[Lucro Líquido]]/Tabela2[[#This Row],[Lucro Anterior]]-1,0))</f>
        <v>1.0276096822995462</v>
      </c>
    </row>
    <row r="57" spans="1:13">
      <c r="A57" s="4" t="s">
        <v>234</v>
      </c>
      <c r="B57" s="3">
        <v>2010</v>
      </c>
      <c r="C57" s="5">
        <v>2644000</v>
      </c>
      <c r="D57" s="60">
        <f>SUMPRODUCT(N(Tabela3[PAPEL]=Tabela2[[#This Row],[Ativo]]),Tabela3[Total Ações])</f>
        <v>182520000</v>
      </c>
      <c r="E57" s="63">
        <f>(Tabela2[[#This Row],[Lucro Líquido]])/Tabela2[[#This Row],[Total Ações]]</f>
        <v>1.4486083716852947E-2</v>
      </c>
      <c r="F57" s="63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58">
        <f>SUMPRODUCT(N(Tabela1[Código]=Tabela2[[#This Row],[Ativo]]),Tabela1[Fechamento])</f>
        <v>1.1000000000000001</v>
      </c>
      <c r="K57" s="58">
        <f>SUMPRODUCT(N(Tabela17[Código]=Tabela2[[#This Row],[Ativo]]),Tabela17[Fechamento])</f>
        <v>0</v>
      </c>
      <c r="L57" s="58">
        <f>SUMPRODUCT(N([Ativo]=Tabela2[[#This Row],[Ativo]]),N([Exercício]=Tabela2[[#This Row],[Exercício]]-1),[Lucro Líquido])</f>
        <v>0</v>
      </c>
      <c r="M57" s="18" t="str">
        <f>IF(Tabela2[[#This Row],[Lucro Anterior]]=0,"",IF(Tabela2[[#This Row],[Lucro Líquido]]&gt;0,Tabela2[[#This Row],[Lucro Líquido]]/Tabela2[[#This Row],[Lucro Anterior]]-1,0))</f>
        <v/>
      </c>
    </row>
    <row r="58" spans="1:13">
      <c r="A58" s="4" t="s">
        <v>61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4">
        <f>(Tabela2[[#This Row],[Lucro Líquido]])/Tabela2[[#This Row],[Total Ações]]</f>
        <v>2.9755643217181677E-2</v>
      </c>
      <c r="F58" s="64">
        <v>1.2352500000000001E-2</v>
      </c>
      <c r="G58" s="44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59">
        <f>SUMPRODUCT(N(Tabela1[Código]=Tabela2[[#This Row],[Ativo]]),Tabela1[Fechamento])</f>
        <v>0.26</v>
      </c>
      <c r="K58" s="59">
        <f>SUMPRODUCT(N(Tabela17[Código]=Tabela2[[#This Row],[Ativo]]),Tabela17[Fechamento])</f>
        <v>0</v>
      </c>
      <c r="L58" s="59">
        <f>SUMPRODUCT(N([Ativo]=Tabela2[[#This Row],[Ativo]]),N([Exercício]=Tabela2[[#This Row],[Exercício]]-1),[Lucro Líquido])</f>
        <v>5361000</v>
      </c>
      <c r="M58" s="19">
        <f>IF(Tabela2[[#This Row],[Lucro Anterior]]=0,"",IF(Tabela2[[#This Row],[Lucro Líquido]]&gt;0,Tabela2[[#This Row],[Lucro Líquido]]/Tabela2[[#This Row],[Lucro Anterior]]-1,0))</f>
        <v>1.3057265435552967E-2</v>
      </c>
    </row>
    <row r="59" spans="1:13">
      <c r="A59" s="4" t="s">
        <v>61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4">
        <f>(Tabela2[[#This Row],[Lucro Líquido]])/Tabela2[[#This Row],[Total Ações]]</f>
        <v>2.9372123602892833E-2</v>
      </c>
      <c r="F59" s="64">
        <v>1.1599999999999999E-2</v>
      </c>
      <c r="G59" s="44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59">
        <f>SUMPRODUCT(N(Tabela1[Código]=Tabela2[[#This Row],[Ativo]]),Tabela1[Fechamento])</f>
        <v>0.26</v>
      </c>
      <c r="K59" s="59">
        <f>SUMPRODUCT(N(Tabela17[Código]=Tabela2[[#This Row],[Ativo]]),Tabela17[Fechamento])</f>
        <v>0</v>
      </c>
      <c r="L59" s="59">
        <f>SUMPRODUCT(N([Ativo]=Tabela2[[#This Row],[Ativo]]),N([Exercício]=Tabela2[[#This Row],[Exercício]]-1),[Lucro Líquido])</f>
        <v>2644000</v>
      </c>
      <c r="M59" s="19">
        <f>IF(Tabela2[[#This Row],[Lucro Anterior]]=0,"",IF(Tabela2[[#This Row],[Lucro Líquido]]&gt;0,Tabela2[[#This Row],[Lucro Líquido]]/Tabela2[[#This Row],[Lucro Anterior]]-1,0))</f>
        <v>1.0276096822995462</v>
      </c>
    </row>
    <row r="60" spans="1:13">
      <c r="A60" s="4" t="s">
        <v>61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4">
        <f>(Tabela2[[#This Row],[Lucro Líquido]])/Tabela2[[#This Row],[Total Ações]]</f>
        <v>1.4486083716852947E-2</v>
      </c>
      <c r="F60" s="64">
        <v>9.8600000000000007E-3</v>
      </c>
      <c r="G60" s="44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59">
        <f>SUMPRODUCT(N(Tabela1[Código]=Tabela2[[#This Row],[Ativo]]),Tabela1[Fechamento])</f>
        <v>0.26</v>
      </c>
      <c r="K60" s="59">
        <f>SUMPRODUCT(N(Tabela17[Código]=Tabela2[[#This Row],[Ativo]]),Tabela17[Fechamento])</f>
        <v>0</v>
      </c>
      <c r="L60" s="59">
        <f>SUMPRODUCT(N([Ativo]=Tabela2[[#This Row],[Ativo]]),N([Exercício]=Tabela2[[#This Row],[Exercício]]-1),[Lucro Líquido])</f>
        <v>0</v>
      </c>
      <c r="M60" s="19" t="str">
        <f>IF(Tabela2[[#This Row],[Lucro Anterior]]=0,"",IF(Tabela2[[#This Row],[Lucro Líquido]]&gt;0,Tabela2[[#This Row],[Lucro Líquido]]/Tabela2[[#This Row],[Lucro Anterior]]-1,0))</f>
        <v/>
      </c>
    </row>
    <row r="61" spans="1:13">
      <c r="A61" s="14" t="s">
        <v>236</v>
      </c>
      <c r="B61" s="3">
        <v>2012</v>
      </c>
      <c r="C61" s="5">
        <v>508363303.81999999</v>
      </c>
      <c r="D61" s="60">
        <f>SUMPRODUCT(N(Tabela3[PAPEL]=Tabela2[[#This Row],[Ativo]]),Tabela3[Total Ações])</f>
        <v>87001901</v>
      </c>
      <c r="E61" s="63">
        <f>(Tabela2[[#This Row],[Lucro Líquido]])/Tabela2[[#This Row],[Total Ações]]</f>
        <v>5.8431286900271298</v>
      </c>
      <c r="F61" s="63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58">
        <f>SUMPRODUCT(N(Tabela1[Código]=Tabela2[[#This Row],[Ativo]]),Tabela1[Fechamento])</f>
        <v>28.74</v>
      </c>
      <c r="K61" s="58">
        <f>SUMPRODUCT(N(Tabela17[Código]=Tabela2[[#This Row],[Ativo]]),Tabela17[Fechamento])</f>
        <v>0</v>
      </c>
      <c r="L61" s="58">
        <f>SUMPRODUCT(N([Ativo]=Tabela2[[#This Row],[Ativo]]),N([Exercício]=Tabela2[[#This Row],[Exercício]]-1),[Lucro Líquido])</f>
        <v>314799260.60000002</v>
      </c>
      <c r="M61" s="18">
        <f>IF(Tabela2[[#This Row],[Lucro Anterior]]=0,"",IF(Tabela2[[#This Row],[Lucro Líquido]]&gt;0,Tabela2[[#This Row],[Lucro Líquido]]/Tabela2[[#This Row],[Lucro Anterior]]-1,0))</f>
        <v>0.6148808699584345</v>
      </c>
    </row>
    <row r="62" spans="1:13">
      <c r="A62" s="14" t="s">
        <v>236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4">
        <f>(Tabela2[[#This Row],[Lucro Líquido]])/Tabela2[[#This Row],[Total Ações]]</f>
        <v>3.6183032437417664</v>
      </c>
      <c r="F62" s="64">
        <v>1.8628371749999999</v>
      </c>
      <c r="G62" s="44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59">
        <f>SUMPRODUCT(N(Tabela1[Código]=Tabela2[[#This Row],[Ativo]]),Tabela1[Fechamento])</f>
        <v>28.74</v>
      </c>
      <c r="K62" s="59">
        <f>SUMPRODUCT(N(Tabela17[Código]=Tabela2[[#This Row],[Ativo]]),Tabela17[Fechamento])</f>
        <v>0</v>
      </c>
      <c r="L62" s="59">
        <f>SUMPRODUCT(N([Ativo]=Tabela2[[#This Row],[Ativo]]),N([Exercício]=Tabela2[[#This Row],[Exercício]]-1),[Lucro Líquido])</f>
        <v>313589945.75999999</v>
      </c>
      <c r="M62" s="19">
        <f>IF(Tabela2[[#This Row],[Lucro Anterior]]=0,"",IF(Tabela2[[#This Row],[Lucro Líquido]]&gt;0,Tabela2[[#This Row],[Lucro Líquido]]/Tabela2[[#This Row],[Lucro Anterior]]-1,0))</f>
        <v>3.8563571834844268E-3</v>
      </c>
    </row>
    <row r="63" spans="1:13">
      <c r="A63" s="14" t="s">
        <v>236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4">
        <f>(Tabela2[[#This Row],[Lucro Líquido]])/Tabela2[[#This Row],[Total Ações]]</f>
        <v>3.6044033768871326</v>
      </c>
      <c r="F63" s="64">
        <v>2.2732746009999998</v>
      </c>
      <c r="G63" s="44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59">
        <f>SUMPRODUCT(N(Tabela1[Código]=Tabela2[[#This Row],[Ativo]]),Tabela1[Fechamento])</f>
        <v>28.74</v>
      </c>
      <c r="K63" s="59">
        <f>SUMPRODUCT(N(Tabela17[Código]=Tabela2[[#This Row],[Ativo]]),Tabela17[Fechamento])</f>
        <v>0</v>
      </c>
      <c r="L63" s="59">
        <f>SUMPRODUCT(N([Ativo]=Tabela2[[#This Row],[Ativo]]),N([Exercício]=Tabela2[[#This Row],[Exercício]]-1),[Lucro Líquido])</f>
        <v>459012514.60000002</v>
      </c>
      <c r="M63" s="19">
        <f>IF(Tabela2[[#This Row],[Lucro Anterior]]=0,"",IF(Tabela2[[#This Row],[Lucro Líquido]]&gt;0,Tabela2[[#This Row],[Lucro Líquido]]/Tabela2[[#This Row],[Lucro Anterior]]-1,0))</f>
        <v>-0.31681613074695025</v>
      </c>
    </row>
    <row r="64" spans="1:13">
      <c r="A64" s="14" t="s">
        <v>236</v>
      </c>
      <c r="B64" s="3">
        <v>2009</v>
      </c>
      <c r="C64" s="5">
        <v>459012514.60000002</v>
      </c>
      <c r="D64" s="60">
        <f>SUMPRODUCT(N(Tabela3[PAPEL]=Tabela2[[#This Row],[Ativo]]),Tabela3[Total Ações])</f>
        <v>87001901</v>
      </c>
      <c r="E64" s="63">
        <f>(Tabela2[[#This Row],[Lucro Líquido]])/Tabela2[[#This Row],[Total Ações]]</f>
        <v>5.2758906337000617</v>
      </c>
      <c r="F64" s="63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58">
        <f>SUMPRODUCT(N(Tabela1[Código]=Tabela2[[#This Row],[Ativo]]),Tabela1[Fechamento])</f>
        <v>28.74</v>
      </c>
      <c r="K64" s="58">
        <f>SUMPRODUCT(N(Tabela17[Código]=Tabela2[[#This Row],[Ativo]]),Tabela17[Fechamento])</f>
        <v>0</v>
      </c>
      <c r="L64" s="58">
        <f>SUMPRODUCT(N([Ativo]=Tabela2[[#This Row],[Ativo]]),N([Exercício]=Tabela2[[#This Row],[Exercício]]-1),[Lucro Líquido])</f>
        <v>0</v>
      </c>
      <c r="M64" s="18" t="str">
        <f>IF(Tabela2[[#This Row],[Lucro Anterior]]=0,"",IF(Tabela2[[#This Row],[Lucro Líquido]]&gt;0,Tabela2[[#This Row],[Lucro Líquido]]/Tabela2[[#This Row],[Lucro Anterior]]-1,0))</f>
        <v/>
      </c>
    </row>
    <row r="65" spans="1:14">
      <c r="A65" s="14" t="s">
        <v>237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4">
        <f>(Tabela2[[#This Row],[Lucro Líquido]])/Tabela2[[#This Row],[Total Ações]]</f>
        <v>5.8431286900271298</v>
      </c>
      <c r="F65" s="64">
        <v>2.308672948101</v>
      </c>
      <c r="G65" s="44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23.54</v>
      </c>
      <c r="I65" s="19">
        <f>IF(Tabela2[[#This Row],[Dividendo / Ação]]&gt;0,Tabela2[[#This Row],[Dividendo / Ação]]/Tabela2[[#This Row],[Cotação]],"")</f>
        <v>9.8074466784239589E-2</v>
      </c>
      <c r="J65" s="59">
        <f>SUMPRODUCT(N(Tabela1[Código]=Tabela2[[#This Row],[Ativo]]),Tabela1[Fechamento])</f>
        <v>23.54</v>
      </c>
      <c r="K65" s="59">
        <f>SUMPRODUCT(N(Tabela17[Código]=Tabela2[[#This Row],[Ativo]]),Tabela17[Fechamento])</f>
        <v>0</v>
      </c>
      <c r="L65" s="59">
        <f>SUMPRODUCT(N([Ativo]=Tabela2[[#This Row],[Ativo]]),N([Exercício]=Tabela2[[#This Row],[Exercício]]-1),[Lucro Líquido])</f>
        <v>314799260.60000002</v>
      </c>
      <c r="M65" s="19">
        <f>IF(Tabela2[[#This Row],[Lucro Anterior]]=0,"",IF(Tabela2[[#This Row],[Lucro Líquido]]&gt;0,Tabela2[[#This Row],[Lucro Líquido]]/Tabela2[[#This Row],[Lucro Anterior]]-1,0))</f>
        <v>0.6148808699584345</v>
      </c>
    </row>
    <row r="66" spans="1:14">
      <c r="A66" s="14" t="s">
        <v>237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4">
        <f>(Tabela2[[#This Row],[Lucro Líquido]])/Tabela2[[#This Row],[Total Ações]]</f>
        <v>3.6183032437417664</v>
      </c>
      <c r="F66" s="64">
        <v>2.0491208919999999</v>
      </c>
      <c r="G66" s="44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23.54</v>
      </c>
      <c r="I66" s="19">
        <f>IF(Tabela2[[#This Row],[Dividendo / Ação]]&gt;0,Tabela2[[#This Row],[Dividendo / Ação]]/Tabela2[[#This Row],[Cotação]],"")</f>
        <v>8.7048466100254879E-2</v>
      </c>
      <c r="J66" s="59">
        <f>SUMPRODUCT(N(Tabela1[Código]=Tabela2[[#This Row],[Ativo]]),Tabela1[Fechamento])</f>
        <v>23.54</v>
      </c>
      <c r="K66" s="59">
        <f>SUMPRODUCT(N(Tabela17[Código]=Tabela2[[#This Row],[Ativo]]),Tabela17[Fechamento])</f>
        <v>0</v>
      </c>
      <c r="L66" s="59">
        <f>SUMPRODUCT(N([Ativo]=Tabela2[[#This Row],[Ativo]]),N([Exercício]=Tabela2[[#This Row],[Exercício]]-1),[Lucro Líquido])</f>
        <v>313589945.75999999</v>
      </c>
      <c r="M66" s="19">
        <f>IF(Tabela2[[#This Row],[Lucro Anterior]]=0,"",IF(Tabela2[[#This Row],[Lucro Líquido]]&gt;0,Tabela2[[#This Row],[Lucro Líquido]]/Tabela2[[#This Row],[Lucro Anterior]]-1,0))</f>
        <v>3.8563571834844268E-3</v>
      </c>
    </row>
    <row r="67" spans="1:14">
      <c r="A67" s="14" t="s">
        <v>237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4">
        <f>(Tabela2[[#This Row],[Lucro Líquido]])/Tabela2[[#This Row],[Total Ações]]</f>
        <v>3.6044033768871326</v>
      </c>
      <c r="F67" s="64">
        <v>2.5006020599999998</v>
      </c>
      <c r="G67" s="44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23.54</v>
      </c>
      <c r="I67" s="19">
        <f>IF(Tabela2[[#This Row],[Dividendo / Ação]]&gt;0,Tabela2[[#This Row],[Dividendo / Ação]]/Tabela2[[#This Row],[Cotação]],"")</f>
        <v>0.10622778504672897</v>
      </c>
      <c r="J67" s="59">
        <f>SUMPRODUCT(N(Tabela1[Código]=Tabela2[[#This Row],[Ativo]]),Tabela1[Fechamento])</f>
        <v>23.54</v>
      </c>
      <c r="K67" s="59">
        <f>SUMPRODUCT(N(Tabela17[Código]=Tabela2[[#This Row],[Ativo]]),Tabela17[Fechamento])</f>
        <v>0</v>
      </c>
      <c r="L67" s="59">
        <f>SUMPRODUCT(N([Ativo]=Tabela2[[#This Row],[Ativo]]),N([Exercício]=Tabela2[[#This Row],[Exercício]]-1),[Lucro Líquido])</f>
        <v>459012514.60000002</v>
      </c>
      <c r="M67" s="19">
        <f>IF(Tabela2[[#This Row],[Lucro Anterior]]=0,"",IF(Tabela2[[#This Row],[Lucro Líquido]]&gt;0,Tabela2[[#This Row],[Lucro Líquido]]/Tabela2[[#This Row],[Lucro Anterior]]-1,0))</f>
        <v>-0.31681613074695025</v>
      </c>
    </row>
    <row r="68" spans="1:14">
      <c r="A68" s="14" t="s">
        <v>237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4">
        <f>(Tabela2[[#This Row],[Lucro Líquido]])/Tabela2[[#This Row],[Total Ações]]</f>
        <v>5.2758906337000617</v>
      </c>
      <c r="F68" s="64">
        <v>2.911501565</v>
      </c>
      <c r="G68" s="44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23.54</v>
      </c>
      <c r="I68" s="19">
        <f>IF(Tabela2[[#This Row],[Dividendo / Ação]]&gt;0,Tabela2[[#This Row],[Dividendo / Ação]]/Tabela2[[#This Row],[Cotação]],"")</f>
        <v>0.1236831590909091</v>
      </c>
      <c r="J68" s="59">
        <f>SUMPRODUCT(N(Tabela1[Código]=Tabela2[[#This Row],[Ativo]]),Tabela1[Fechamento])</f>
        <v>23.54</v>
      </c>
      <c r="K68" s="59">
        <f>SUMPRODUCT(N(Tabela17[Código]=Tabela2[[#This Row],[Ativo]]),Tabela17[Fechamento])</f>
        <v>0</v>
      </c>
      <c r="L68" s="59">
        <f>SUMPRODUCT(N([Ativo]=Tabela2[[#This Row],[Ativo]]),N([Exercício]=Tabela2[[#This Row],[Exercício]]-1),[Lucro Líquido])</f>
        <v>0</v>
      </c>
      <c r="M68" s="19" t="str">
        <f>IF(Tabela2[[#This Row],[Lucro Anterior]]=0,"",IF(Tabela2[[#This Row],[Lucro Líquido]]&gt;0,Tabela2[[#This Row],[Lucro Líquido]]/Tabela2[[#This Row],[Lucro Anterior]]-1,0))</f>
        <v/>
      </c>
      <c r="N68" s="3">
        <v>0.51486764249999994</v>
      </c>
    </row>
    <row r="69" spans="1:14">
      <c r="A69" s="10" t="s">
        <v>329</v>
      </c>
      <c r="B69" s="3">
        <v>2012</v>
      </c>
      <c r="C69" s="5">
        <v>476737173.38</v>
      </c>
      <c r="D69" s="60">
        <f>SUMPRODUCT(N(Tabela3[PAPEL]=Tabela2[[#This Row],[Ativo]]),Tabela3[Total Ações])</f>
        <v>349547945</v>
      </c>
      <c r="E69" s="63">
        <f>(Tabela2[[#This Row],[Lucro Líquido]])/Tabela2[[#This Row],[Total Ações]]</f>
        <v>1.3638677617744255</v>
      </c>
      <c r="F69" s="63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49">
        <f>MAX(Tabela2[[#This Row],[Cotação 1]],Tabela2[[#This Row],[Cotação 2]])</f>
        <v>18.5</v>
      </c>
      <c r="I69" s="18">
        <f>IF(Tabela2[[#This Row],[Dividendo / Ação]]&gt;0,Tabela2[[#This Row],[Dividendo / Ação]]/Tabela2[[#This Row],[Cotação]],"")</f>
        <v>3.1950882054054053E-2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18.5</v>
      </c>
      <c r="L69" s="7">
        <f>SUMPRODUCT(N([Ativo]=Tabela2[[#This Row],[Ativo]]),N([Exercício]=Tabela2[[#This Row],[Exercício]]-1),[Lucro Líquido])</f>
        <v>2023882601.55</v>
      </c>
      <c r="M69" s="18">
        <f>IF(Tabela2[[#This Row],[Lucro Anterior]]=0,"",IF(Tabela2[[#This Row],[Lucro Líquido]]&gt;0,Tabela2[[#This Row],[Lucro Líquido]]/Tabela2[[#This Row],[Lucro Anterior]]-1,0))</f>
        <v>-0.76444425530666227</v>
      </c>
      <c r="N69" s="3">
        <v>3.1891227100000002E-2</v>
      </c>
    </row>
    <row r="70" spans="1:14">
      <c r="A70" s="10" t="s">
        <v>329</v>
      </c>
      <c r="B70" s="3">
        <v>2011</v>
      </c>
      <c r="C70" s="5">
        <v>2023882601.55</v>
      </c>
      <c r="D70" s="60">
        <f>SUMPRODUCT(N(Tabela3[PAPEL]=Tabela2[[#This Row],[Ativo]]),Tabela3[Total Ações])</f>
        <v>349547945</v>
      </c>
      <c r="E70" s="63">
        <f>(Tabela2[[#This Row],[Lucro Líquido]])/Tabela2[[#This Row],[Total Ações]]</f>
        <v>5.79</v>
      </c>
      <c r="F70" s="63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49">
        <f>MAX(Tabela2[[#This Row],[Cotação 1]],Tabela2[[#This Row],[Cotação 2]])</f>
        <v>18.5</v>
      </c>
      <c r="I70" s="18">
        <f>IF(Tabela2[[#This Row],[Dividendo / Ação]]&gt;0,Tabela2[[#This Row],[Dividendo / Ação]]/Tabela2[[#This Row],[Cotação]],"")</f>
        <v>9.6109375405405414E-2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18.5</v>
      </c>
      <c r="L70" s="7">
        <f>SUMPRODUCT(N([Ativo]=Tabela2[[#This Row],[Ativo]]),N([Exercício]=Tabela2[[#This Row],[Exercício]]-1),[Lucro Líquido])</f>
        <v>1758226163.3499999</v>
      </c>
      <c r="M70" s="18">
        <f>IF(Tabela2[[#This Row],[Lucro Anterior]]=0,"",IF(Tabela2[[#This Row],[Lucro Líquido]]&gt;0,Tabela2[[#This Row],[Lucro Líquido]]/Tabela2[[#This Row],[Lucro Anterior]]-1,0))</f>
        <v>0.15109343936381703</v>
      </c>
      <c r="N70" s="3">
        <v>7.8275895100000006E-2</v>
      </c>
    </row>
    <row r="71" spans="1:14">
      <c r="A71" s="10" t="s">
        <v>329</v>
      </c>
      <c r="B71" s="3">
        <v>2010</v>
      </c>
      <c r="C71" s="5">
        <v>1758226163.3499999</v>
      </c>
      <c r="D71" s="60">
        <f>SUMPRODUCT(N(Tabela3[PAPEL]=Tabela2[[#This Row],[Ativo]]),Tabela3[Total Ações])</f>
        <v>349547945</v>
      </c>
      <c r="E71" s="63">
        <f>(Tabela2[[#This Row],[Lucro Líquido]])/Tabela2[[#This Row],[Total Ações]]</f>
        <v>5.0299999999999994</v>
      </c>
      <c r="F71" s="63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49">
        <f>MAX(Tabela2[[#This Row],[Cotação 1]],Tabela2[[#This Row],[Cotação 2]])</f>
        <v>18.5</v>
      </c>
      <c r="I71" s="18">
        <f>IF(Tabela2[[#This Row],[Dividendo / Ação]]&gt;0,Tabela2[[#This Row],[Dividendo / Ação]]/Tabela2[[#This Row],[Cotação]],"")</f>
        <v>8.2700791027027029E-2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18.5</v>
      </c>
      <c r="L71" s="7">
        <f>SUMPRODUCT(N([Ativo]=Tabela2[[#This Row],[Ativo]]),N([Exercício]=Tabela2[[#This Row],[Exercício]]-1),[Lucro Líquido])</f>
        <v>961256848.75</v>
      </c>
      <c r="M71" s="18">
        <f>IF(Tabela2[[#This Row],[Lucro Anterior]]=0,"",IF(Tabela2[[#This Row],[Lucro Líquido]]&gt;0,Tabela2[[#This Row],[Lucro Líquido]]/Tabela2[[#This Row],[Lucro Anterior]]-1,0))</f>
        <v>0.8290909090909091</v>
      </c>
      <c r="N71" s="3">
        <v>7.8275895100000006E-2</v>
      </c>
    </row>
    <row r="72" spans="1:14">
      <c r="A72" s="10" t="s">
        <v>329</v>
      </c>
      <c r="B72" s="3">
        <v>2009</v>
      </c>
      <c r="C72" s="5">
        <v>961256848.75</v>
      </c>
      <c r="D72" s="65">
        <f>SUMPRODUCT(N(Tabela3[PAPEL]=Tabela2[[#This Row],[Ativo]]),Tabela3[Total Ações])</f>
        <v>349547945</v>
      </c>
      <c r="E72" s="63">
        <f>(Tabela2[[#This Row],[Lucro Líquido]])/Tabela2[[#This Row],[Total Ações]]</f>
        <v>2.75</v>
      </c>
      <c r="F72" s="63">
        <v>0.86687395199999995</v>
      </c>
      <c r="G72" s="71">
        <f>IF(AND(Tabela2[[#This Row],[Dividendo / Ação]]&gt;0,Tabela2[[#This Row],[Lucro por ação]]&gt;0),Tabela2[[#This Row],[Dividendo / Ação]]/Tabela2[[#This Row],[Lucro por ação]],"")</f>
        <v>0.31522689163636364</v>
      </c>
      <c r="H72" s="58">
        <f>MAX(Tabela2[[#This Row],[Cotação 1]],Tabela2[[#This Row],[Cotação 2]])</f>
        <v>18.5</v>
      </c>
      <c r="I72" s="22">
        <f>IF(Tabela2[[#This Row],[Dividendo / Ação]]&gt;0,Tabela2[[#This Row],[Dividendo / Ação]]/Tabela2[[#This Row],[Cotação]],"")</f>
        <v>4.6858051459459454E-2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18.5</v>
      </c>
      <c r="L72" s="7">
        <f>SUMPRODUCT(N([Ativo]=Tabela2[[#This Row],[Ativo]]),N([Exercício]=Tabela2[[#This Row],[Exercício]]-1),[Lucro Líquido])</f>
        <v>0</v>
      </c>
      <c r="M72" s="18" t="str">
        <f>IF(Tabela2[[#This Row],[Lucro Anterior]]=0,"",IF(Tabela2[[#This Row],[Lucro Líquido]]&gt;0,Tabela2[[#This Row],[Lucro Líquido]]/Tabela2[[#This Row],[Lucro Anterior]]-1,0))</f>
        <v/>
      </c>
      <c r="N72" s="3">
        <f>SUM(N68:N71)</f>
        <v>0.70331065979999996</v>
      </c>
    </row>
    <row r="73" spans="1:14">
      <c r="A73" s="10" t="s">
        <v>330</v>
      </c>
      <c r="B73" s="3">
        <v>2012</v>
      </c>
      <c r="C73" s="5">
        <v>476737173.38</v>
      </c>
      <c r="D73" s="60">
        <f>SUMPRODUCT(N(Tabela3[PAPEL]=Tabela2[[#This Row],[Ativo]]),Tabela3[Total Ações])</f>
        <v>349547945</v>
      </c>
      <c r="E73" s="63">
        <f>(Tabela2[[#This Row],[Lucro Líquido]])/Tabela2[[#This Row],[Total Ações]]</f>
        <v>1.3638677617744255</v>
      </c>
      <c r="F73" s="63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49">
        <f>MAX(Tabela2[[#This Row],[Cotação 1]],Tabela2[[#This Row],[Cotação 2]])</f>
        <v>22.83</v>
      </c>
      <c r="I73" s="18">
        <f>IF(Tabela2[[#This Row],[Dividendo / Ação]]&gt;0,Tabela2[[#This Row],[Dividendo / Ação]]/Tabela2[[#This Row],[Cotação]],"")</f>
        <v>2.8480089794130532E-2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22.83</v>
      </c>
      <c r="L73" s="7">
        <f>SUMPRODUCT(N([Ativo]=Tabela2[[#This Row],[Ativo]]),N([Exercício]=Tabela2[[#This Row],[Exercício]]-1),[Lucro Líquido])</f>
        <v>2023882601.55</v>
      </c>
      <c r="M73" s="18">
        <f>IF(Tabela2[[#This Row],[Lucro Anterior]]=0,"",IF(Tabela2[[#This Row],[Lucro Líquido]]&gt;0,Tabela2[[#This Row],[Lucro Líquido]]/Tabela2[[#This Row],[Lucro Anterior]]-1,0))</f>
        <v>-0.76444425530666227</v>
      </c>
    </row>
    <row r="74" spans="1:14">
      <c r="A74" s="10" t="s">
        <v>330</v>
      </c>
      <c r="B74" s="3">
        <v>2011</v>
      </c>
      <c r="C74" s="5">
        <v>2023882601.55</v>
      </c>
      <c r="D74" s="60">
        <f>SUMPRODUCT(N(Tabela3[PAPEL]=Tabela2[[#This Row],[Ativo]]),Tabela3[Total Ações])</f>
        <v>349547945</v>
      </c>
      <c r="E74" s="63">
        <f>(Tabela2[[#This Row],[Lucro Líquido]])/Tabela2[[#This Row],[Total Ações]]</f>
        <v>5.79</v>
      </c>
      <c r="F74" s="63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49">
        <f>MAX(Tabela2[[#This Row],[Cotação 1]],Tabela2[[#This Row],[Cotação 2]])</f>
        <v>22.83</v>
      </c>
      <c r="I74" s="18">
        <f>IF(Tabela2[[#This Row],[Dividendo / Ação]]&gt;0,Tabela2[[#This Row],[Dividendo / Ação]]/Tabela2[[#This Row],[Cotação]],"")</f>
        <v>8.5669110468681559E-2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22.83</v>
      </c>
      <c r="L74" s="7">
        <f>SUMPRODUCT(N([Ativo]=Tabela2[[#This Row],[Ativo]]),N([Exercício]=Tabela2[[#This Row],[Exercício]]-1),[Lucro Líquido])</f>
        <v>1758226163.3499999</v>
      </c>
      <c r="M74" s="18">
        <f>IF(Tabela2[[#This Row],[Lucro Anterior]]=0,"",IF(Tabela2[[#This Row],[Lucro Líquido]]&gt;0,Tabela2[[#This Row],[Lucro Líquido]]/Tabela2[[#This Row],[Lucro Anterior]]-1,0))</f>
        <v>0.15109343936381703</v>
      </c>
    </row>
    <row r="75" spans="1:14">
      <c r="A75" s="10" t="s">
        <v>330</v>
      </c>
      <c r="B75" s="3">
        <v>2010</v>
      </c>
      <c r="C75" s="5">
        <v>1758226163.3499999</v>
      </c>
      <c r="D75" s="60">
        <f>SUMPRODUCT(N(Tabela3[PAPEL]=Tabela2[[#This Row],[Ativo]]),Tabela3[Total Ações])</f>
        <v>349547945</v>
      </c>
      <c r="E75" s="63">
        <f>(Tabela2[[#This Row],[Lucro Líquido]])/Tabela2[[#This Row],[Total Ações]]</f>
        <v>5.0299999999999994</v>
      </c>
      <c r="F75" s="63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49">
        <f>MAX(Tabela2[[#This Row],[Cotação 1]],Tabela2[[#This Row],[Cotação 2]])</f>
        <v>22.83</v>
      </c>
      <c r="I75" s="18">
        <f>IF(Tabela2[[#This Row],[Dividendo / Ação]]&gt;0,Tabela2[[#This Row],[Dividendo / Ação]]/Tabela2[[#This Row],[Cotação]],"")</f>
        <v>7.3717087166009637E-2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22.83</v>
      </c>
      <c r="L75" s="7">
        <f>SUMPRODUCT(N([Ativo]=Tabela2[[#This Row],[Ativo]]),N([Exercício]=Tabela2[[#This Row],[Exercício]]-1),[Lucro Líquido])</f>
        <v>961256848.75</v>
      </c>
      <c r="M75" s="18">
        <f>IF(Tabela2[[#This Row],[Lucro Anterior]]=0,"",IF(Tabela2[[#This Row],[Lucro Líquido]]&gt;0,Tabela2[[#This Row],[Lucro Líquido]]/Tabela2[[#This Row],[Lucro Anterior]]-1,0))</f>
        <v>0.8290909090909091</v>
      </c>
    </row>
    <row r="76" spans="1:14">
      <c r="A76" s="10" t="s">
        <v>330</v>
      </c>
      <c r="B76" s="3">
        <v>2009</v>
      </c>
      <c r="C76" s="5">
        <v>961256848.75</v>
      </c>
      <c r="D76" s="65">
        <f>SUMPRODUCT(N(Tabela3[PAPEL]=Tabela2[[#This Row],[Ativo]]),Tabela3[Total Ações])</f>
        <v>349547945</v>
      </c>
      <c r="E76" s="63">
        <f>(Tabela2[[#This Row],[Lucro Líquido]])/Tabela2[[#This Row],[Total Ações]]</f>
        <v>2.75</v>
      </c>
      <c r="F76" s="63">
        <v>0.953561349</v>
      </c>
      <c r="G76" s="71">
        <f>IF(AND(Tabela2[[#This Row],[Dividendo / Ação]]&gt;0,Tabela2[[#This Row],[Lucro por ação]]&gt;0),Tabela2[[#This Row],[Dividendo / Ação]]/Tabela2[[#This Row],[Lucro por ação]],"")</f>
        <v>0.34674958145454543</v>
      </c>
      <c r="H76" s="58">
        <f>MAX(Tabela2[[#This Row],[Cotação 1]],Tabela2[[#This Row],[Cotação 2]])</f>
        <v>22.83</v>
      </c>
      <c r="I76" s="22">
        <f>IF(Tabela2[[#This Row],[Dividendo / Ação]]&gt;0,Tabela2[[#This Row],[Dividendo / Ação]]/Tabela2[[#This Row],[Cotação]],"")</f>
        <v>4.1767908409986863E-2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22.83</v>
      </c>
      <c r="L76" s="7">
        <f>SUMPRODUCT(N([Ativo]=Tabela2[[#This Row],[Ativo]]),N([Exercício]=Tabela2[[#This Row],[Exercício]]-1),[Lucro Líquido])</f>
        <v>0</v>
      </c>
      <c r="M76" s="18" t="str">
        <f>IF(Tabela2[[#This Row],[Lucro Anterior]]=0,"",IF(Tabela2[[#This Row],[Lucro Líquido]]&gt;0,Tabela2[[#This Row],[Lucro Líquido]]/Tabela2[[#This Row],[Lucro Anterior]]-1,0))</f>
        <v/>
      </c>
    </row>
    <row r="77" spans="1:14">
      <c r="A77" s="10" t="s">
        <v>311</v>
      </c>
      <c r="B77" s="3">
        <v>2012</v>
      </c>
      <c r="C77" s="5">
        <v>813227000</v>
      </c>
      <c r="D77" s="60">
        <f>SUMPRODUCT(N(Tabela3[PAPEL]=Tabela2[[#This Row],[Ativo]]),Tabela3[Total Ações])</f>
        <v>872473246</v>
      </c>
      <c r="E77" s="63">
        <f>(Tabela2[[#This Row],[Lucro Líquido]])/Tabela2[[#This Row],[Total Ações]]</f>
        <v>0.93209391087735427</v>
      </c>
      <c r="F77" s="63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49">
        <f>MAX(Tabela2[[#This Row],[Cotação 1]],Tabela2[[#This Row],[Cotação 2]])</f>
        <v>43.98</v>
      </c>
      <c r="I77" s="18">
        <f>IF(Tabela2[[#This Row],[Dividendo / Ação]]&gt;0,Tabela2[[#This Row],[Dividendo / Ação]]/Tabela2[[#This Row],[Cotação]],"")</f>
        <v>7.2760345611641662E-3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43.98</v>
      </c>
      <c r="L77" s="7">
        <f>SUMPRODUCT(N([Ativo]=Tabela2[[#This Row],[Ativo]]),N([Exercício]=Tabela2[[#This Row],[Exercício]]-1),[Lucro Líquido])</f>
        <v>1367409000</v>
      </c>
      <c r="M77" s="18">
        <f>IF(Tabela2[[#This Row],[Lucro Anterior]]=0,"",IF(Tabela2[[#This Row],[Lucro Líquido]]&gt;0,Tabela2[[#This Row],[Lucro Líquido]]/Tabela2[[#This Row],[Lucro Anterior]]-1,0))</f>
        <v>-0.40527888875969076</v>
      </c>
    </row>
    <row r="78" spans="1:14">
      <c r="A78" s="3" t="s">
        <v>311</v>
      </c>
      <c r="B78" s="3">
        <v>2011</v>
      </c>
      <c r="C78" s="5">
        <v>1367409000</v>
      </c>
      <c r="D78" s="60">
        <f>SUMPRODUCT(N(Tabela3[PAPEL]=Tabela2[[#This Row],[Ativo]]),Tabela3[Total Ações])</f>
        <v>872473246</v>
      </c>
      <c r="E78" s="63">
        <f>(Tabela2[[#This Row],[Lucro Líquido]])/Tabela2[[#This Row],[Total Ações]]</f>
        <v>1.5672790039913729</v>
      </c>
      <c r="F78" s="63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49">
        <f>MAX(Tabela2[[#This Row],[Cotação 1]],Tabela2[[#This Row],[Cotação 2]])</f>
        <v>43.98</v>
      </c>
      <c r="I78" s="18">
        <f>IF(Tabela2[[#This Row],[Dividendo / Ação]]&gt;0,Tabela2[[#This Row],[Dividendo / Ação]]/Tabela2[[#This Row],[Cotação]],"")</f>
        <v>1.6474104115507052E-2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43.98</v>
      </c>
      <c r="L78" s="7">
        <f>SUMPRODUCT(N([Ativo]=Tabela2[[#This Row],[Ativo]]),N([Exercício]=Tabela2[[#This Row],[Exercício]]-1),[Lucro Líquido])</f>
        <v>804106000</v>
      </c>
      <c r="M78" s="18">
        <f>IF(Tabela2[[#This Row],[Lucro Anterior]]=0,"",IF(Tabela2[[#This Row],[Lucro Líquido]]&gt;0,Tabela2[[#This Row],[Lucro Líquido]]/Tabela2[[#This Row],[Lucro Anterior]]-1,0))</f>
        <v>0.7005332630275114</v>
      </c>
    </row>
    <row r="79" spans="1:14">
      <c r="A79" s="10" t="s">
        <v>311</v>
      </c>
      <c r="B79" s="3">
        <v>2010</v>
      </c>
      <c r="C79" s="5">
        <v>804106000</v>
      </c>
      <c r="D79" s="60">
        <f>SUMPRODUCT(N(Tabela3[PAPEL]=Tabela2[[#This Row],[Ativo]]),Tabela3[Total Ações])</f>
        <v>872473246</v>
      </c>
      <c r="E79" s="63">
        <f>(Tabela2[[#This Row],[Lucro Líquido]])/Tabela2[[#This Row],[Total Ações]]</f>
        <v>0.92163972211934164</v>
      </c>
      <c r="F79" s="63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49">
        <f>MAX(Tabela2[[#This Row],[Cotação 1]],Tabela2[[#This Row],[Cotação 2]])</f>
        <v>43.98</v>
      </c>
      <c r="I79" s="18">
        <f>IF(Tabela2[[#This Row],[Dividendo / Ação]]&gt;0,Tabela2[[#This Row],[Dividendo / Ação]]/Tabela2[[#This Row],[Cotação]],"")</f>
        <v>6.8410374033651663E-3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43.98</v>
      </c>
      <c r="L79" s="7">
        <f>SUMPRODUCT(N([Ativo]=Tabela2[[#This Row],[Ativo]]),N([Exercício]=Tabela2[[#This Row],[Exercício]]-1),[Lucro Líquido])</f>
        <v>0</v>
      </c>
      <c r="M79" s="18" t="str">
        <f>IF(Tabela2[[#This Row],[Lucro Anterior]]=0,"",IF(Tabela2[[#This Row],[Lucro Líquido]]&gt;0,Tabela2[[#This Row],[Lucro Líquido]]/Tabela2[[#This Row],[Lucro Anterior]]-1,0))</f>
        <v/>
      </c>
    </row>
    <row r="80" spans="1:14">
      <c r="A80" s="15" t="s">
        <v>249</v>
      </c>
      <c r="B80" s="3">
        <v>2012</v>
      </c>
      <c r="C80" s="5">
        <v>63154000</v>
      </c>
      <c r="D80" s="60">
        <f>SUMPRODUCT(N(Tabela3[PAPEL]=Tabela2[[#This Row],[Ativo]]),Tabela3[Total Ações])</f>
        <v>73646388</v>
      </c>
      <c r="E80" s="63">
        <f>(Tabela2[[#This Row],[Lucro Líquido]])/Tabela2[[#This Row],[Total Ações]]</f>
        <v>0.85753017513907126</v>
      </c>
      <c r="F80" s="63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58">
        <f>SUMPRODUCT(N(Tabela1[Código]=Tabela2[[#This Row],[Ativo]]),Tabela1[Fechamento])</f>
        <v>3.82</v>
      </c>
      <c r="K80" s="58">
        <f>SUMPRODUCT(N(Tabela17[Código]=Tabela2[[#This Row],[Ativo]]),Tabela17[Fechamento])</f>
        <v>0</v>
      </c>
      <c r="L80" s="58">
        <f>SUMPRODUCT(N([Ativo]=Tabela2[[#This Row],[Ativo]]),N([Exercício]=Tabela2[[#This Row],[Exercício]]-1),[Lucro Líquido])</f>
        <v>56638000</v>
      </c>
      <c r="M80" s="18">
        <f>IF(Tabela2[[#This Row],[Lucro Anterior]]=0,"",IF(Tabela2[[#This Row],[Lucro Líquido]]&gt;0,Tabela2[[#This Row],[Lucro Líquido]]/Tabela2[[#This Row],[Lucro Anterior]]-1,0))</f>
        <v>0.11504643525548208</v>
      </c>
    </row>
    <row r="81" spans="1:13">
      <c r="A81" s="15" t="s">
        <v>249</v>
      </c>
      <c r="B81" s="3">
        <v>2011</v>
      </c>
      <c r="C81" s="5">
        <v>56638000</v>
      </c>
      <c r="D81" s="60">
        <f>SUMPRODUCT(N(Tabela3[PAPEL]=Tabela2[[#This Row],[Ativo]]),Tabela3[Total Ações])</f>
        <v>73646388</v>
      </c>
      <c r="E81" s="63">
        <f>(Tabela2[[#This Row],[Lucro Líquido]])/Tabela2[[#This Row],[Total Ações]]</f>
        <v>0.76905333089791184</v>
      </c>
      <c r="F81" s="63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58">
        <f>SUMPRODUCT(N(Tabela1[Código]=Tabela2[[#This Row],[Ativo]]),Tabela1[Fechamento])</f>
        <v>3.82</v>
      </c>
      <c r="K81" s="58">
        <f>SUMPRODUCT(N(Tabela17[Código]=Tabela2[[#This Row],[Ativo]]),Tabela17[Fechamento])</f>
        <v>0</v>
      </c>
      <c r="L81" s="58">
        <f>SUMPRODUCT(N([Ativo]=Tabela2[[#This Row],[Ativo]]),N([Exercício]=Tabela2[[#This Row],[Exercício]]-1),[Lucro Líquido])</f>
        <v>50724000</v>
      </c>
      <c r="M81" s="18">
        <f>IF(Tabela2[[#This Row],[Lucro Anterior]]=0,"",IF(Tabela2[[#This Row],[Lucro Líquido]]&gt;0,Tabela2[[#This Row],[Lucro Líquido]]/Tabela2[[#This Row],[Lucro Anterior]]-1,0))</f>
        <v>0.11659175143916101</v>
      </c>
    </row>
    <row r="82" spans="1:13">
      <c r="A82" s="15" t="s">
        <v>249</v>
      </c>
      <c r="B82" s="3">
        <v>2010</v>
      </c>
      <c r="C82" s="5">
        <v>50724000</v>
      </c>
      <c r="D82" s="60">
        <f>SUMPRODUCT(N(Tabela3[PAPEL]=Tabela2[[#This Row],[Ativo]]),Tabela3[Total Ações])</f>
        <v>73646388</v>
      </c>
      <c r="E82" s="63">
        <f>(Tabela2[[#This Row],[Lucro Líquido]])/Tabela2[[#This Row],[Total Ações]]</f>
        <v>0.6887506825181976</v>
      </c>
      <c r="F82" s="63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58">
        <f>SUMPRODUCT(N(Tabela1[Código]=Tabela2[[#This Row],[Ativo]]),Tabela1[Fechamento])</f>
        <v>3.82</v>
      </c>
      <c r="K82" s="58">
        <f>SUMPRODUCT(N(Tabela17[Código]=Tabela2[[#This Row],[Ativo]]),Tabela17[Fechamento])</f>
        <v>0</v>
      </c>
      <c r="L82" s="58">
        <f>SUMPRODUCT(N([Ativo]=Tabela2[[#This Row],[Ativo]]),N([Exercício]=Tabela2[[#This Row],[Exercício]]-1),[Lucro Líquido])</f>
        <v>46296000</v>
      </c>
      <c r="M82" s="18">
        <f>IF(Tabela2[[#This Row],[Lucro Anterior]]=0,"",IF(Tabela2[[#This Row],[Lucro Líquido]]&gt;0,Tabela2[[#This Row],[Lucro Líquido]]/Tabela2[[#This Row],[Lucro Anterior]]-1,0))</f>
        <v>9.5645412130637597E-2</v>
      </c>
    </row>
    <row r="83" spans="1:13">
      <c r="A83" s="15" t="s">
        <v>249</v>
      </c>
      <c r="B83" s="3">
        <v>2009</v>
      </c>
      <c r="C83" s="5">
        <v>46296000</v>
      </c>
      <c r="D83" s="60">
        <f>SUMPRODUCT(N(Tabela3[PAPEL]=Tabela2[[#This Row],[Ativo]]),Tabela3[Total Ações])</f>
        <v>73646388</v>
      </c>
      <c r="E83" s="63">
        <f>(Tabela2[[#This Row],[Lucro Líquido]])/Tabela2[[#This Row],[Total Ações]]</f>
        <v>0.62862553422171907</v>
      </c>
      <c r="F83" s="63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58">
        <f>SUMPRODUCT(N(Tabela1[Código]=Tabela2[[#This Row],[Ativo]]),Tabela1[Fechamento])</f>
        <v>3.82</v>
      </c>
      <c r="K83" s="58">
        <f>SUMPRODUCT(N(Tabela17[Código]=Tabela2[[#This Row],[Ativo]]),Tabela17[Fechamento])</f>
        <v>0</v>
      </c>
      <c r="L83" s="58">
        <f>SUMPRODUCT(N([Ativo]=Tabela2[[#This Row],[Ativo]]),N([Exercício]=Tabela2[[#This Row],[Exercício]]-1),[Lucro Líquido])</f>
        <v>0</v>
      </c>
      <c r="M83" s="18" t="str">
        <f>IF(Tabela2[[#This Row],[Lucro Anterior]]=0,"",IF(Tabela2[[#This Row],[Lucro Líquido]]&gt;0,Tabela2[[#This Row],[Lucro Líquido]]/Tabela2[[#This Row],[Lucro Anterior]]-1,0))</f>
        <v/>
      </c>
    </row>
    <row r="84" spans="1:13">
      <c r="A84" s="14" t="s">
        <v>250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4">
        <f>(Tabela2[[#This Row],[Lucro Líquido]])/Tabela2[[#This Row],[Total Ações]]</f>
        <v>0.85753017513907126</v>
      </c>
      <c r="F84" s="64">
        <v>3.3640000000000003E-2</v>
      </c>
      <c r="G84" s="44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59">
        <f>SUMPRODUCT(N(Tabela1[Código]=Tabela2[[#This Row],[Ativo]]),Tabela1[Fechamento])</f>
        <v>4</v>
      </c>
      <c r="K84" s="59">
        <f>SUMPRODUCT(N(Tabela17[Código]=Tabela2[[#This Row],[Ativo]]),Tabela17[Fechamento])</f>
        <v>0</v>
      </c>
      <c r="L84" s="59">
        <f>SUMPRODUCT(N([Ativo]=Tabela2[[#This Row],[Ativo]]),N([Exercício]=Tabela2[[#This Row],[Exercício]]-1),[Lucro Líquido])</f>
        <v>56638000</v>
      </c>
      <c r="M84" s="19">
        <f>IF(Tabela2[[#This Row],[Lucro Anterior]]=0,"",IF(Tabela2[[#This Row],[Lucro Líquido]]&gt;0,Tabela2[[#This Row],[Lucro Líquido]]/Tabela2[[#This Row],[Lucro Anterior]]-1,0))</f>
        <v>0.11504643525548208</v>
      </c>
    </row>
    <row r="85" spans="1:13">
      <c r="A85" s="14" t="s">
        <v>250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4">
        <f>(Tabela2[[#This Row],[Lucro Líquido]])/Tabela2[[#This Row],[Total Ações]]</f>
        <v>0.76905333089791184</v>
      </c>
      <c r="F85" s="64">
        <v>1.0189999999999999E-2</v>
      </c>
      <c r="G85" s="44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59">
        <f>SUMPRODUCT(N(Tabela1[Código]=Tabela2[[#This Row],[Ativo]]),Tabela1[Fechamento])</f>
        <v>4</v>
      </c>
      <c r="K85" s="59">
        <f>SUMPRODUCT(N(Tabela17[Código]=Tabela2[[#This Row],[Ativo]]),Tabela17[Fechamento])</f>
        <v>0</v>
      </c>
      <c r="L85" s="59">
        <f>SUMPRODUCT(N([Ativo]=Tabela2[[#This Row],[Ativo]]),N([Exercício]=Tabela2[[#This Row],[Exercício]]-1),[Lucro Líquido])</f>
        <v>50724000</v>
      </c>
      <c r="M85" s="19">
        <f>IF(Tabela2[[#This Row],[Lucro Anterior]]=0,"",IF(Tabela2[[#This Row],[Lucro Líquido]]&gt;0,Tabela2[[#This Row],[Lucro Líquido]]/Tabela2[[#This Row],[Lucro Anterior]]-1,0))</f>
        <v>0.11659175143916101</v>
      </c>
    </row>
    <row r="86" spans="1:13">
      <c r="A86" s="14" t="s">
        <v>250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4">
        <f>(Tabela2[[#This Row],[Lucro Líquido]])/Tabela2[[#This Row],[Total Ações]]</f>
        <v>0.6887506825181976</v>
      </c>
      <c r="F86" s="64">
        <v>3.8589999999999999E-2</v>
      </c>
      <c r="G86" s="44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59">
        <f>SUMPRODUCT(N(Tabela1[Código]=Tabela2[[#This Row],[Ativo]]),Tabela1[Fechamento])</f>
        <v>4</v>
      </c>
      <c r="K86" s="59">
        <f>SUMPRODUCT(N(Tabela17[Código]=Tabela2[[#This Row],[Ativo]]),Tabela17[Fechamento])</f>
        <v>0</v>
      </c>
      <c r="L86" s="59">
        <f>SUMPRODUCT(N([Ativo]=Tabela2[[#This Row],[Ativo]]),N([Exercício]=Tabela2[[#This Row],[Exercício]]-1),[Lucro Líquido])</f>
        <v>46296000</v>
      </c>
      <c r="M86" s="19">
        <f>IF(Tabela2[[#This Row],[Lucro Anterior]]=0,"",IF(Tabela2[[#This Row],[Lucro Líquido]]&gt;0,Tabela2[[#This Row],[Lucro Líquido]]/Tabela2[[#This Row],[Lucro Anterior]]-1,0))</f>
        <v>9.5645412130637597E-2</v>
      </c>
    </row>
    <row r="87" spans="1:13">
      <c r="A87" s="14" t="s">
        <v>250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4">
        <f>(Tabela2[[#This Row],[Lucro Líquido]])/Tabela2[[#This Row],[Total Ações]]</f>
        <v>0.62862553422171907</v>
      </c>
      <c r="F87" s="63">
        <v>6.8790000000000004E-2</v>
      </c>
      <c r="G87" s="44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59">
        <f>SUMPRODUCT(N(Tabela1[Código]=Tabela2[[#This Row],[Ativo]]),Tabela1[Fechamento])</f>
        <v>4</v>
      </c>
      <c r="K87" s="59">
        <f>SUMPRODUCT(N(Tabela17[Código]=Tabela2[[#This Row],[Ativo]]),Tabela17[Fechamento])</f>
        <v>0</v>
      </c>
      <c r="L87" s="59">
        <f>SUMPRODUCT(N([Ativo]=Tabela2[[#This Row],[Ativo]]),N([Exercício]=Tabela2[[#This Row],[Exercício]]-1),[Lucro Líquido])</f>
        <v>0</v>
      </c>
      <c r="M87" s="19" t="str">
        <f>IF(Tabela2[[#This Row],[Lucro Anterior]]=0,"",IF(Tabela2[[#This Row],[Lucro Líquido]]&gt;0,Tabela2[[#This Row],[Lucro Líquido]]/Tabela2[[#This Row],[Lucro Anterior]]-1,0))</f>
        <v/>
      </c>
    </row>
    <row r="88" spans="1:13">
      <c r="A88" s="15" t="s">
        <v>245</v>
      </c>
      <c r="B88" s="3">
        <v>2012</v>
      </c>
      <c r="C88" s="5">
        <v>63154000</v>
      </c>
      <c r="D88" s="60">
        <f>SUMPRODUCT(N(Tabela3[PAPEL]=Tabela2[[#This Row],[Ativo]]),Tabela3[Total Ações])</f>
        <v>73646388</v>
      </c>
      <c r="E88" s="63">
        <f>(Tabela2[[#This Row],[Lucro Líquido]])/Tabela2[[#This Row],[Total Ações]]</f>
        <v>0.85753017513907126</v>
      </c>
      <c r="F88" s="63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58">
        <f>SUMPRODUCT(N(Tabela1[Código]=Tabela2[[#This Row],[Ativo]]),Tabela1[Fechamento])</f>
        <v>4.2</v>
      </c>
      <c r="K88" s="58">
        <f>SUMPRODUCT(N(Tabela17[Código]=Tabela2[[#This Row],[Ativo]]),Tabela17[Fechamento])</f>
        <v>0</v>
      </c>
      <c r="L88" s="58">
        <f>SUMPRODUCT(N([Ativo]=Tabela2[[#This Row],[Ativo]]),N([Exercício]=Tabela2[[#This Row],[Exercício]]-1),[Lucro Líquido])</f>
        <v>56638000</v>
      </c>
      <c r="M88" s="18">
        <f>IF(Tabela2[[#This Row],[Lucro Anterior]]=0,"",IF(Tabela2[[#This Row],[Lucro Líquido]]&gt;0,Tabela2[[#This Row],[Lucro Líquido]]/Tabela2[[#This Row],[Lucro Anterior]]-1,0))</f>
        <v>0.11504643525548208</v>
      </c>
    </row>
    <row r="89" spans="1:13">
      <c r="A89" s="15" t="s">
        <v>245</v>
      </c>
      <c r="B89" s="3">
        <v>2011</v>
      </c>
      <c r="C89" s="5">
        <v>56638000</v>
      </c>
      <c r="D89" s="60">
        <f>SUMPRODUCT(N(Tabela3[PAPEL]=Tabela2[[#This Row],[Ativo]]),Tabela3[Total Ações])</f>
        <v>73646388</v>
      </c>
      <c r="E89" s="63">
        <f>(Tabela2[[#This Row],[Lucro Líquido]])/Tabela2[[#This Row],[Total Ações]]</f>
        <v>0.76905333089791184</v>
      </c>
      <c r="F89" s="63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58">
        <f>SUMPRODUCT(N(Tabela1[Código]=Tabela2[[#This Row],[Ativo]]),Tabela1[Fechamento])</f>
        <v>4.2</v>
      </c>
      <c r="K89" s="58">
        <f>SUMPRODUCT(N(Tabela17[Código]=Tabela2[[#This Row],[Ativo]]),Tabela17[Fechamento])</f>
        <v>0</v>
      </c>
      <c r="L89" s="58">
        <f>SUMPRODUCT(N([Ativo]=Tabela2[[#This Row],[Ativo]]),N([Exercício]=Tabela2[[#This Row],[Exercício]]-1),[Lucro Líquido])</f>
        <v>50724000</v>
      </c>
      <c r="M89" s="18">
        <f>IF(Tabela2[[#This Row],[Lucro Anterior]]=0,"",IF(Tabela2[[#This Row],[Lucro Líquido]]&gt;0,Tabela2[[#This Row],[Lucro Líquido]]/Tabela2[[#This Row],[Lucro Anterior]]-1,0))</f>
        <v>0.11659175143916101</v>
      </c>
    </row>
    <row r="90" spans="1:13">
      <c r="A90" s="15" t="s">
        <v>245</v>
      </c>
      <c r="B90" s="3">
        <v>2010</v>
      </c>
      <c r="C90" s="5">
        <v>50724000</v>
      </c>
      <c r="D90" s="60">
        <f>SUMPRODUCT(N(Tabela3[PAPEL]=Tabela2[[#This Row],[Ativo]]),Tabela3[Total Ações])</f>
        <v>73646388</v>
      </c>
      <c r="E90" s="63">
        <f>(Tabela2[[#This Row],[Lucro Líquido]])/Tabela2[[#This Row],[Total Ações]]</f>
        <v>0.6887506825181976</v>
      </c>
      <c r="F90" s="63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58">
        <f>SUMPRODUCT(N(Tabela1[Código]=Tabela2[[#This Row],[Ativo]]),Tabela1[Fechamento])</f>
        <v>4.2</v>
      </c>
      <c r="K90" s="58">
        <f>SUMPRODUCT(N(Tabela17[Código]=Tabela2[[#This Row],[Ativo]]),Tabela17[Fechamento])</f>
        <v>0</v>
      </c>
      <c r="L90" s="58">
        <f>SUMPRODUCT(N([Ativo]=Tabela2[[#This Row],[Ativo]]),N([Exercício]=Tabela2[[#This Row],[Exercício]]-1),[Lucro Líquido])</f>
        <v>46296000</v>
      </c>
      <c r="M90" s="18">
        <f>IF(Tabela2[[#This Row],[Lucro Anterior]]=0,"",IF(Tabela2[[#This Row],[Lucro Líquido]]&gt;0,Tabela2[[#This Row],[Lucro Líquido]]/Tabela2[[#This Row],[Lucro Anterior]]-1,0))</f>
        <v>9.5645412130637597E-2</v>
      </c>
    </row>
    <row r="91" spans="1:13">
      <c r="A91" s="15" t="s">
        <v>245</v>
      </c>
      <c r="B91" s="3">
        <v>2009</v>
      </c>
      <c r="C91" s="5">
        <v>46296000</v>
      </c>
      <c r="D91" s="60">
        <f>SUMPRODUCT(N(Tabela3[PAPEL]=Tabela2[[#This Row],[Ativo]]),Tabela3[Total Ações])</f>
        <v>73646388</v>
      </c>
      <c r="E91" s="63">
        <f>(Tabela2[[#This Row],[Lucro Líquido]])/Tabela2[[#This Row],[Total Ações]]</f>
        <v>0.62862553422171907</v>
      </c>
      <c r="F91" s="63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58">
        <f>SUMPRODUCT(N(Tabela1[Código]=Tabela2[[#This Row],[Ativo]]),Tabela1[Fechamento])</f>
        <v>4.2</v>
      </c>
      <c r="K91" s="58">
        <f>SUMPRODUCT(N(Tabela17[Código]=Tabela2[[#This Row],[Ativo]]),Tabela17[Fechamento])</f>
        <v>0</v>
      </c>
      <c r="L91" s="58">
        <f>SUMPRODUCT(N([Ativo]=Tabela2[[#This Row],[Ativo]]),N([Exercício]=Tabela2[[#This Row],[Exercício]]-1),[Lucro Líquido])</f>
        <v>0</v>
      </c>
      <c r="M91" s="18" t="str">
        <f>IF(Tabela2[[#This Row],[Lucro Anterior]]=0,"",IF(Tabela2[[#This Row],[Lucro Líquido]]&gt;0,Tabela2[[#This Row],[Lucro Líquido]]/Tabela2[[#This Row],[Lucro Anterior]]-1,0))</f>
        <v/>
      </c>
    </row>
    <row r="92" spans="1:13">
      <c r="A92" s="10" t="s">
        <v>246</v>
      </c>
      <c r="B92" s="3">
        <v>2012</v>
      </c>
      <c r="C92" s="5">
        <v>63154000</v>
      </c>
      <c r="D92" s="60">
        <f>SUMPRODUCT(N(Tabela3[PAPEL]=Tabela2[[#This Row],[Ativo]]),Tabela3[Total Ações])</f>
        <v>73646388</v>
      </c>
      <c r="E92" s="63">
        <f>(Tabela2[[#This Row],[Lucro Líquido]])/Tabela2[[#This Row],[Total Ações]]</f>
        <v>0.85753017513907126</v>
      </c>
      <c r="F92" s="63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58">
        <f>SUMPRODUCT(N(Tabela1[Código]=Tabela2[[#This Row],[Ativo]]),Tabela1[Fechamento])</f>
        <v>3.27</v>
      </c>
      <c r="K92" s="58">
        <f>SUMPRODUCT(N(Tabela17[Código]=Tabela2[[#This Row],[Ativo]]),Tabela17[Fechamento])</f>
        <v>0</v>
      </c>
      <c r="L92" s="58">
        <f>SUMPRODUCT(N([Ativo]=Tabela2[[#This Row],[Ativo]]),N([Exercício]=Tabela2[[#This Row],[Exercício]]-1),[Lucro Líquido])</f>
        <v>56638000</v>
      </c>
      <c r="M92" s="18">
        <f>IF(Tabela2[[#This Row],[Lucro Anterior]]=0,"",IF(Tabela2[[#This Row],[Lucro Líquido]]&gt;0,Tabela2[[#This Row],[Lucro Líquido]]/Tabela2[[#This Row],[Lucro Anterior]]-1,0))</f>
        <v>0.11504643525548208</v>
      </c>
    </row>
    <row r="93" spans="1:13">
      <c r="A93" s="10" t="s">
        <v>246</v>
      </c>
      <c r="B93" s="3">
        <v>2011</v>
      </c>
      <c r="C93" s="5">
        <v>56638000</v>
      </c>
      <c r="D93" s="60">
        <f>SUMPRODUCT(N(Tabela3[PAPEL]=Tabela2[[#This Row],[Ativo]]),Tabela3[Total Ações])</f>
        <v>73646388</v>
      </c>
      <c r="E93" s="63">
        <f>(Tabela2[[#This Row],[Lucro Líquido]])/Tabela2[[#This Row],[Total Ações]]</f>
        <v>0.76905333089791184</v>
      </c>
      <c r="F93" s="63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58">
        <f>SUMPRODUCT(N(Tabela1[Código]=Tabela2[[#This Row],[Ativo]]),Tabela1[Fechamento])</f>
        <v>3.27</v>
      </c>
      <c r="K93" s="58">
        <f>SUMPRODUCT(N(Tabela17[Código]=Tabela2[[#This Row],[Ativo]]),Tabela17[Fechamento])</f>
        <v>0</v>
      </c>
      <c r="L93" s="58">
        <f>SUMPRODUCT(N([Ativo]=Tabela2[[#This Row],[Ativo]]),N([Exercício]=Tabela2[[#This Row],[Exercício]]-1),[Lucro Líquido])</f>
        <v>50724000</v>
      </c>
      <c r="M93" s="18">
        <f>IF(Tabela2[[#This Row],[Lucro Anterior]]=0,"",IF(Tabela2[[#This Row],[Lucro Líquido]]&gt;0,Tabela2[[#This Row],[Lucro Líquido]]/Tabela2[[#This Row],[Lucro Anterior]]-1,0))</f>
        <v>0.11659175143916101</v>
      </c>
    </row>
    <row r="94" spans="1:13">
      <c r="A94" s="10" t="s">
        <v>246</v>
      </c>
      <c r="B94" s="3">
        <v>2010</v>
      </c>
      <c r="C94" s="5">
        <v>50724000</v>
      </c>
      <c r="D94" s="60">
        <f>SUMPRODUCT(N(Tabela3[PAPEL]=Tabela2[[#This Row],[Ativo]]),Tabela3[Total Ações])</f>
        <v>73646388</v>
      </c>
      <c r="E94" s="63">
        <f>(Tabela2[[#This Row],[Lucro Líquido]])/Tabela2[[#This Row],[Total Ações]]</f>
        <v>0.6887506825181976</v>
      </c>
      <c r="F94" s="63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58">
        <f>SUMPRODUCT(N(Tabela1[Código]=Tabela2[[#This Row],[Ativo]]),Tabela1[Fechamento])</f>
        <v>3.27</v>
      </c>
      <c r="K94" s="58">
        <f>SUMPRODUCT(N(Tabela17[Código]=Tabela2[[#This Row],[Ativo]]),Tabela17[Fechamento])</f>
        <v>0</v>
      </c>
      <c r="L94" s="58">
        <f>SUMPRODUCT(N([Ativo]=Tabela2[[#This Row],[Ativo]]),N([Exercício]=Tabela2[[#This Row],[Exercício]]-1),[Lucro Líquido])</f>
        <v>46296000</v>
      </c>
      <c r="M94" s="18">
        <f>IF(Tabela2[[#This Row],[Lucro Anterior]]=0,"",IF(Tabela2[[#This Row],[Lucro Líquido]]&gt;0,Tabela2[[#This Row],[Lucro Líquido]]/Tabela2[[#This Row],[Lucro Anterior]]-1,0))</f>
        <v>9.5645412130637597E-2</v>
      </c>
    </row>
    <row r="95" spans="1:13">
      <c r="A95" s="10" t="s">
        <v>246</v>
      </c>
      <c r="B95" s="3">
        <v>2009</v>
      </c>
      <c r="C95" s="5">
        <v>46296000</v>
      </c>
      <c r="D95" s="60">
        <f>SUMPRODUCT(N(Tabela3[PAPEL]=Tabela2[[#This Row],[Ativo]]),Tabela3[Total Ações])</f>
        <v>73646388</v>
      </c>
      <c r="E95" s="63">
        <f>(Tabela2[[#This Row],[Lucro Líquido]])/Tabela2[[#This Row],[Total Ações]]</f>
        <v>0.62862553422171907</v>
      </c>
      <c r="F95" s="63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58">
        <f>SUMPRODUCT(N(Tabela1[Código]=Tabela2[[#This Row],[Ativo]]),Tabela1[Fechamento])</f>
        <v>3.27</v>
      </c>
      <c r="K95" s="58">
        <f>SUMPRODUCT(N(Tabela17[Código]=Tabela2[[#This Row],[Ativo]]),Tabela17[Fechamento])</f>
        <v>0</v>
      </c>
      <c r="L95" s="58">
        <f>SUMPRODUCT(N([Ativo]=Tabela2[[#This Row],[Ativo]]),N([Exercício]=Tabela2[[#This Row],[Exercício]]-1),[Lucro Líquido])</f>
        <v>0</v>
      </c>
      <c r="M95" s="18" t="str">
        <f>IF(Tabela2[[#This Row],[Lucro Anterior]]=0,"",IF(Tabela2[[#This Row],[Lucro Líquido]]&gt;0,Tabela2[[#This Row],[Lucro Líquido]]/Tabela2[[#This Row],[Lucro Anterior]]-1,0))</f>
        <v/>
      </c>
    </row>
    <row r="96" spans="1:13">
      <c r="A96" s="15" t="s">
        <v>78</v>
      </c>
      <c r="B96" s="3">
        <v>2012</v>
      </c>
      <c r="C96" s="5">
        <v>63154000</v>
      </c>
      <c r="D96" s="60">
        <f>SUMPRODUCT(N(Tabela3[PAPEL]=Tabela2[[#This Row],[Ativo]]),Tabela3[Total Ações])</f>
        <v>73646388</v>
      </c>
      <c r="E96" s="63">
        <f>(Tabela2[[#This Row],[Lucro Líquido]])/Tabela2[[#This Row],[Total Ações]]</f>
        <v>0.85753017513907126</v>
      </c>
      <c r="F96" s="63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58">
        <f>SUMPRODUCT(N(Tabela1[Código]=Tabela2[[#This Row],[Ativo]]),Tabela1[Fechamento])</f>
        <v>5.97</v>
      </c>
      <c r="K96" s="58">
        <f>SUMPRODUCT(N(Tabela17[Código]=Tabela2[[#This Row],[Ativo]]),Tabela17[Fechamento])</f>
        <v>0</v>
      </c>
      <c r="L96" s="58">
        <f>SUMPRODUCT(N([Ativo]=Tabela2[[#This Row],[Ativo]]),N([Exercício]=Tabela2[[#This Row],[Exercício]]-1),[Lucro Líquido])</f>
        <v>56638000</v>
      </c>
      <c r="M96" s="18">
        <f>IF(Tabela2[[#This Row],[Lucro Anterior]]=0,"",IF(Tabela2[[#This Row],[Lucro Líquido]]&gt;0,Tabela2[[#This Row],[Lucro Líquido]]/Tabela2[[#This Row],[Lucro Anterior]]-1,0))</f>
        <v>0.11504643525548208</v>
      </c>
    </row>
    <row r="97" spans="1:13">
      <c r="A97" s="15" t="s">
        <v>78</v>
      </c>
      <c r="B97" s="3">
        <v>2011</v>
      </c>
      <c r="C97" s="5">
        <v>56638000</v>
      </c>
      <c r="D97" s="60">
        <f>SUMPRODUCT(N(Tabela3[PAPEL]=Tabela2[[#This Row],[Ativo]]),Tabela3[Total Ações])</f>
        <v>73646388</v>
      </c>
      <c r="E97" s="63">
        <f>(Tabela2[[#This Row],[Lucro Líquido]])/Tabela2[[#This Row],[Total Ações]]</f>
        <v>0.76905333089791184</v>
      </c>
      <c r="F97" s="63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58">
        <f>SUMPRODUCT(N(Tabela1[Código]=Tabela2[[#This Row],[Ativo]]),Tabela1[Fechamento])</f>
        <v>5.97</v>
      </c>
      <c r="K97" s="58">
        <f>SUMPRODUCT(N(Tabela17[Código]=Tabela2[[#This Row],[Ativo]]),Tabela17[Fechamento])</f>
        <v>0</v>
      </c>
      <c r="L97" s="58">
        <f>SUMPRODUCT(N([Ativo]=Tabela2[[#This Row],[Ativo]]),N([Exercício]=Tabela2[[#This Row],[Exercício]]-1),[Lucro Líquido])</f>
        <v>50724000</v>
      </c>
      <c r="M97" s="18">
        <f>IF(Tabela2[[#This Row],[Lucro Anterior]]=0,"",IF(Tabela2[[#This Row],[Lucro Líquido]]&gt;0,Tabela2[[#This Row],[Lucro Líquido]]/Tabela2[[#This Row],[Lucro Anterior]]-1,0))</f>
        <v>0.11659175143916101</v>
      </c>
    </row>
    <row r="98" spans="1:13">
      <c r="A98" s="15" t="s">
        <v>78</v>
      </c>
      <c r="B98" s="3">
        <v>2010</v>
      </c>
      <c r="C98" s="5">
        <v>50724000</v>
      </c>
      <c r="D98" s="60">
        <f>SUMPRODUCT(N(Tabela3[PAPEL]=Tabela2[[#This Row],[Ativo]]),Tabela3[Total Ações])</f>
        <v>73646388</v>
      </c>
      <c r="E98" s="63">
        <f>(Tabela2[[#This Row],[Lucro Líquido]])/Tabela2[[#This Row],[Total Ações]]</f>
        <v>0.6887506825181976</v>
      </c>
      <c r="F98" s="63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58">
        <f>SUMPRODUCT(N(Tabela1[Código]=Tabela2[[#This Row],[Ativo]]),Tabela1[Fechamento])</f>
        <v>5.97</v>
      </c>
      <c r="K98" s="58">
        <f>SUMPRODUCT(N(Tabela17[Código]=Tabela2[[#This Row],[Ativo]]),Tabela17[Fechamento])</f>
        <v>0</v>
      </c>
      <c r="L98" s="58">
        <f>SUMPRODUCT(N([Ativo]=Tabela2[[#This Row],[Ativo]]),N([Exercício]=Tabela2[[#This Row],[Exercício]]-1),[Lucro Líquido])</f>
        <v>46296000</v>
      </c>
      <c r="M98" s="18">
        <f>IF(Tabela2[[#This Row],[Lucro Anterior]]=0,"",IF(Tabela2[[#This Row],[Lucro Líquido]]&gt;0,Tabela2[[#This Row],[Lucro Líquido]]/Tabela2[[#This Row],[Lucro Anterior]]-1,0))</f>
        <v>9.5645412130637597E-2</v>
      </c>
    </row>
    <row r="99" spans="1:13">
      <c r="A99" s="15" t="s">
        <v>78</v>
      </c>
      <c r="B99" s="3">
        <v>2009</v>
      </c>
      <c r="C99" s="5">
        <v>46296000</v>
      </c>
      <c r="D99" s="60">
        <f>SUMPRODUCT(N(Tabela3[PAPEL]=Tabela2[[#This Row],[Ativo]]),Tabela3[Total Ações])</f>
        <v>73646388</v>
      </c>
      <c r="E99" s="63">
        <f>(Tabela2[[#This Row],[Lucro Líquido]])/Tabela2[[#This Row],[Total Ações]]</f>
        <v>0.62862553422171907</v>
      </c>
      <c r="F99" s="63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58">
        <f>SUMPRODUCT(N(Tabela1[Código]=Tabela2[[#This Row],[Ativo]]),Tabela1[Fechamento])</f>
        <v>5.97</v>
      </c>
      <c r="K99" s="58">
        <f>SUMPRODUCT(N(Tabela17[Código]=Tabela2[[#This Row],[Ativo]]),Tabela17[Fechamento])</f>
        <v>0</v>
      </c>
      <c r="L99" s="58">
        <f>SUMPRODUCT(N([Ativo]=Tabela2[[#This Row],[Ativo]]),N([Exercício]=Tabela2[[#This Row],[Exercício]]-1),[Lucro Líquido])</f>
        <v>0</v>
      </c>
      <c r="M99" s="18" t="str">
        <f>IF(Tabela2[[#This Row],[Lucro Anterior]]=0,"",IF(Tabela2[[#This Row],[Lucro Líquido]]&gt;0,Tabela2[[#This Row],[Lucro Líquido]]/Tabela2[[#This Row],[Lucro Anterior]]-1,0))</f>
        <v/>
      </c>
    </row>
    <row r="100" spans="1:13">
      <c r="A100" s="15" t="s">
        <v>247</v>
      </c>
      <c r="B100" s="3">
        <v>2012</v>
      </c>
      <c r="C100" s="5">
        <v>63154000</v>
      </c>
      <c r="D100" s="60">
        <f>SUMPRODUCT(N(Tabela3[PAPEL]=Tabela2[[#This Row],[Ativo]]),Tabela3[Total Ações])</f>
        <v>73646388</v>
      </c>
      <c r="E100" s="63">
        <f>(Tabela2[[#This Row],[Lucro Líquido]])/Tabela2[[#This Row],[Total Ações]]</f>
        <v>0.85753017513907126</v>
      </c>
      <c r="F100" s="63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58">
        <f>SUMPRODUCT(N(Tabela1[Código]=Tabela2[[#This Row],[Ativo]]),Tabela1[Fechamento])</f>
        <v>3.6</v>
      </c>
      <c r="K100" s="58">
        <f>SUMPRODUCT(N(Tabela17[Código]=Tabela2[[#This Row],[Ativo]]),Tabela17[Fechamento])</f>
        <v>0</v>
      </c>
      <c r="L100" s="58">
        <f>SUMPRODUCT(N([Ativo]=Tabela2[[#This Row],[Ativo]]),N([Exercício]=Tabela2[[#This Row],[Exercício]]-1),[Lucro Líquido])</f>
        <v>56638000</v>
      </c>
      <c r="M100" s="18">
        <f>IF(Tabela2[[#This Row],[Lucro Anterior]]=0,"",IF(Tabela2[[#This Row],[Lucro Líquido]]&gt;0,Tabela2[[#This Row],[Lucro Líquido]]/Tabela2[[#This Row],[Lucro Anterior]]-1,0))</f>
        <v>0.11504643525548208</v>
      </c>
    </row>
    <row r="101" spans="1:13">
      <c r="A101" s="15" t="s">
        <v>247</v>
      </c>
      <c r="B101" s="3">
        <v>2011</v>
      </c>
      <c r="C101" s="5">
        <v>56638000</v>
      </c>
      <c r="D101" s="60">
        <f>SUMPRODUCT(N(Tabela3[PAPEL]=Tabela2[[#This Row],[Ativo]]),Tabela3[Total Ações])</f>
        <v>73646388</v>
      </c>
      <c r="E101" s="63">
        <f>(Tabela2[[#This Row],[Lucro Líquido]])/Tabela2[[#This Row],[Total Ações]]</f>
        <v>0.76905333089791184</v>
      </c>
      <c r="F101" s="63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58">
        <f>SUMPRODUCT(N(Tabela1[Código]=Tabela2[[#This Row],[Ativo]]),Tabela1[Fechamento])</f>
        <v>3.6</v>
      </c>
      <c r="K101" s="58">
        <f>SUMPRODUCT(N(Tabela17[Código]=Tabela2[[#This Row],[Ativo]]),Tabela17[Fechamento])</f>
        <v>0</v>
      </c>
      <c r="L101" s="58">
        <f>SUMPRODUCT(N([Ativo]=Tabela2[[#This Row],[Ativo]]),N([Exercício]=Tabela2[[#This Row],[Exercício]]-1),[Lucro Líquido])</f>
        <v>50724000</v>
      </c>
      <c r="M101" s="18">
        <f>IF(Tabela2[[#This Row],[Lucro Anterior]]=0,"",IF(Tabela2[[#This Row],[Lucro Líquido]]&gt;0,Tabela2[[#This Row],[Lucro Líquido]]/Tabela2[[#This Row],[Lucro Anterior]]-1,0))</f>
        <v>0.11659175143916101</v>
      </c>
    </row>
    <row r="102" spans="1:13">
      <c r="A102" s="15" t="s">
        <v>247</v>
      </c>
      <c r="B102" s="3">
        <v>2010</v>
      </c>
      <c r="C102" s="5">
        <v>50724000</v>
      </c>
      <c r="D102" s="60">
        <f>SUMPRODUCT(N(Tabela3[PAPEL]=Tabela2[[#This Row],[Ativo]]),Tabela3[Total Ações])</f>
        <v>73646388</v>
      </c>
      <c r="E102" s="63">
        <f>(Tabela2[[#This Row],[Lucro Líquido]])/Tabela2[[#This Row],[Total Ações]]</f>
        <v>0.6887506825181976</v>
      </c>
      <c r="F102" s="63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58">
        <f>SUMPRODUCT(N(Tabela1[Código]=Tabela2[[#This Row],[Ativo]]),Tabela1[Fechamento])</f>
        <v>3.6</v>
      </c>
      <c r="K102" s="58">
        <f>SUMPRODUCT(N(Tabela17[Código]=Tabela2[[#This Row],[Ativo]]),Tabela17[Fechamento])</f>
        <v>0</v>
      </c>
      <c r="L102" s="58">
        <f>SUMPRODUCT(N([Ativo]=Tabela2[[#This Row],[Ativo]]),N([Exercício]=Tabela2[[#This Row],[Exercício]]-1),[Lucro Líquido])</f>
        <v>46296000</v>
      </c>
      <c r="M102" s="18">
        <f>IF(Tabela2[[#This Row],[Lucro Anterior]]=0,"",IF(Tabela2[[#This Row],[Lucro Líquido]]&gt;0,Tabela2[[#This Row],[Lucro Líquido]]/Tabela2[[#This Row],[Lucro Anterior]]-1,0))</f>
        <v>9.5645412130637597E-2</v>
      </c>
    </row>
    <row r="103" spans="1:13">
      <c r="A103" s="15" t="s">
        <v>247</v>
      </c>
      <c r="B103" s="3">
        <v>2009</v>
      </c>
      <c r="C103" s="5">
        <v>46296000</v>
      </c>
      <c r="D103" s="60">
        <f>SUMPRODUCT(N(Tabela3[PAPEL]=Tabela2[[#This Row],[Ativo]]),Tabela3[Total Ações])</f>
        <v>73646388</v>
      </c>
      <c r="E103" s="63">
        <f>(Tabela2[[#This Row],[Lucro Líquido]])/Tabela2[[#This Row],[Total Ações]]</f>
        <v>0.62862553422171907</v>
      </c>
      <c r="F103" s="63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58">
        <f>SUMPRODUCT(N(Tabela1[Código]=Tabela2[[#This Row],[Ativo]]),Tabela1[Fechamento])</f>
        <v>3.6</v>
      </c>
      <c r="K103" s="58">
        <f>SUMPRODUCT(N(Tabela17[Código]=Tabela2[[#This Row],[Ativo]]),Tabela17[Fechamento])</f>
        <v>0</v>
      </c>
      <c r="L103" s="58">
        <f>SUMPRODUCT(N([Ativo]=Tabela2[[#This Row],[Ativo]]),N([Exercício]=Tabela2[[#This Row],[Exercício]]-1),[Lucro Líquido])</f>
        <v>0</v>
      </c>
      <c r="M103" s="18" t="str">
        <f>IF(Tabela2[[#This Row],[Lucro Anterior]]=0,"",IF(Tabela2[[#This Row],[Lucro Líquido]]&gt;0,Tabela2[[#This Row],[Lucro Líquido]]/Tabela2[[#This Row],[Lucro Anterior]]-1,0))</f>
        <v/>
      </c>
    </row>
    <row r="104" spans="1:13">
      <c r="A104" s="15" t="s">
        <v>248</v>
      </c>
      <c r="B104" s="3">
        <v>2012</v>
      </c>
      <c r="C104" s="5">
        <v>63154000</v>
      </c>
      <c r="D104" s="60">
        <f>SUMPRODUCT(N(Tabela3[PAPEL]=Tabela2[[#This Row],[Ativo]]),Tabela3[Total Ações])</f>
        <v>73646388</v>
      </c>
      <c r="E104" s="63">
        <f>(Tabela2[[#This Row],[Lucro Líquido]])/Tabela2[[#This Row],[Total Ações]]</f>
        <v>0.85753017513907126</v>
      </c>
      <c r="F104" s="63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58">
        <f>SUMPRODUCT(N(Tabela1[Código]=Tabela2[[#This Row],[Ativo]]),Tabela1[Fechamento])</f>
        <v>3.81</v>
      </c>
      <c r="K104" s="58">
        <f>SUMPRODUCT(N(Tabela17[Código]=Tabela2[[#This Row],[Ativo]]),Tabela17[Fechamento])</f>
        <v>0</v>
      </c>
      <c r="L104" s="58">
        <f>SUMPRODUCT(N([Ativo]=Tabela2[[#This Row],[Ativo]]),N([Exercício]=Tabela2[[#This Row],[Exercício]]-1),[Lucro Líquido])</f>
        <v>56638000</v>
      </c>
      <c r="M104" s="18">
        <f>IF(Tabela2[[#This Row],[Lucro Anterior]]=0,"",IF(Tabela2[[#This Row],[Lucro Líquido]]&gt;0,Tabela2[[#This Row],[Lucro Líquido]]/Tabela2[[#This Row],[Lucro Anterior]]-1,0))</f>
        <v>0.11504643525548208</v>
      </c>
    </row>
    <row r="105" spans="1:13">
      <c r="A105" s="15" t="s">
        <v>248</v>
      </c>
      <c r="B105" s="3">
        <v>2011</v>
      </c>
      <c r="C105" s="5">
        <v>56638000</v>
      </c>
      <c r="D105" s="60">
        <f>SUMPRODUCT(N(Tabela3[PAPEL]=Tabela2[[#This Row],[Ativo]]),Tabela3[Total Ações])</f>
        <v>73646388</v>
      </c>
      <c r="E105" s="63">
        <f>(Tabela2[[#This Row],[Lucro Líquido]])/Tabela2[[#This Row],[Total Ações]]</f>
        <v>0.76905333089791184</v>
      </c>
      <c r="F105" s="63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58">
        <f>SUMPRODUCT(N(Tabela1[Código]=Tabela2[[#This Row],[Ativo]]),Tabela1[Fechamento])</f>
        <v>3.81</v>
      </c>
      <c r="K105" s="58">
        <f>SUMPRODUCT(N(Tabela17[Código]=Tabela2[[#This Row],[Ativo]]),Tabela17[Fechamento])</f>
        <v>0</v>
      </c>
      <c r="L105" s="58">
        <f>SUMPRODUCT(N([Ativo]=Tabela2[[#This Row],[Ativo]]),N([Exercício]=Tabela2[[#This Row],[Exercício]]-1),[Lucro Líquido])</f>
        <v>50724000</v>
      </c>
      <c r="M105" s="18">
        <f>IF(Tabela2[[#This Row],[Lucro Anterior]]=0,"",IF(Tabela2[[#This Row],[Lucro Líquido]]&gt;0,Tabela2[[#This Row],[Lucro Líquido]]/Tabela2[[#This Row],[Lucro Anterior]]-1,0))</f>
        <v>0.11659175143916101</v>
      </c>
    </row>
    <row r="106" spans="1:13">
      <c r="A106" s="15" t="s">
        <v>248</v>
      </c>
      <c r="B106" s="3">
        <v>2010</v>
      </c>
      <c r="C106" s="5">
        <v>50724000</v>
      </c>
      <c r="D106" s="60">
        <f>SUMPRODUCT(N(Tabela3[PAPEL]=Tabela2[[#This Row],[Ativo]]),Tabela3[Total Ações])</f>
        <v>73646388</v>
      </c>
      <c r="E106" s="63">
        <f>(Tabela2[[#This Row],[Lucro Líquido]])/Tabela2[[#This Row],[Total Ações]]</f>
        <v>0.6887506825181976</v>
      </c>
      <c r="F106" s="63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58">
        <f>SUMPRODUCT(N(Tabela1[Código]=Tabela2[[#This Row],[Ativo]]),Tabela1[Fechamento])</f>
        <v>3.81</v>
      </c>
      <c r="K106" s="58">
        <f>SUMPRODUCT(N(Tabela17[Código]=Tabela2[[#This Row],[Ativo]]),Tabela17[Fechamento])</f>
        <v>0</v>
      </c>
      <c r="L106" s="58">
        <f>SUMPRODUCT(N([Ativo]=Tabela2[[#This Row],[Ativo]]),N([Exercício]=Tabela2[[#This Row],[Exercício]]-1),[Lucro Líquido])</f>
        <v>46296000</v>
      </c>
      <c r="M106" s="18">
        <f>IF(Tabela2[[#This Row],[Lucro Anterior]]=0,"",IF(Tabela2[[#This Row],[Lucro Líquido]]&gt;0,Tabela2[[#This Row],[Lucro Líquido]]/Tabela2[[#This Row],[Lucro Anterior]]-1,0))</f>
        <v>9.5645412130637597E-2</v>
      </c>
    </row>
    <row r="107" spans="1:13">
      <c r="A107" s="15" t="s">
        <v>248</v>
      </c>
      <c r="B107" s="3">
        <v>2009</v>
      </c>
      <c r="C107" s="5">
        <v>46296000</v>
      </c>
      <c r="D107" s="60">
        <f>SUMPRODUCT(N(Tabela3[PAPEL]=Tabela2[[#This Row],[Ativo]]),Tabela3[Total Ações])</f>
        <v>73646388</v>
      </c>
      <c r="E107" s="63">
        <f>(Tabela2[[#This Row],[Lucro Líquido]])/Tabela2[[#This Row],[Total Ações]]</f>
        <v>0.62862553422171907</v>
      </c>
      <c r="F107" s="63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58">
        <f>SUMPRODUCT(N(Tabela1[Código]=Tabela2[[#This Row],[Ativo]]),Tabela1[Fechamento])</f>
        <v>3.81</v>
      </c>
      <c r="K107" s="58">
        <f>SUMPRODUCT(N(Tabela17[Código]=Tabela2[[#This Row],[Ativo]]),Tabela17[Fechamento])</f>
        <v>0</v>
      </c>
      <c r="L107" s="58">
        <f>SUMPRODUCT(N([Ativo]=Tabela2[[#This Row],[Ativo]]),N([Exercício]=Tabela2[[#This Row],[Exercício]]-1),[Lucro Líquido])</f>
        <v>0</v>
      </c>
      <c r="M107" s="18" t="str">
        <f>IF(Tabela2[[#This Row],[Lucro Anterior]]=0,"",IF(Tabela2[[#This Row],[Lucro Líquido]]&gt;0,Tabela2[[#This Row],[Lucro Líquido]]/Tabela2[[#This Row],[Lucro Anterior]]-1,0))</f>
        <v/>
      </c>
    </row>
    <row r="108" spans="1:13">
      <c r="A108" s="4" t="s">
        <v>214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4">
        <f>(Tabela2[[#This Row],[Lucro Líquido]])/Tabela2[[#This Row],[Total Ações]]</f>
        <v>0.73358129852368692</v>
      </c>
      <c r="F108" s="64">
        <v>7.9699999999999993E-2</v>
      </c>
      <c r="G108" s="44">
        <f>IF(AND(Tabela2[[#This Row],[Dividendo / Ação]]&gt;0,Tabela2[[#This Row],[Lucro por ação]]&gt;0),Tabela2[[#This Row],[Dividendo / Ação]]/Tabela2[[#This Row],[Lucro por ação]],"")</f>
        <v>0.10864508154773594</v>
      </c>
      <c r="H108" s="6">
        <f>MAX(Tabela2[[#This Row],[Cotação 1]],Tabela2[[#This Row],[Cotação 2]])</f>
        <v>6.61</v>
      </c>
      <c r="I108" s="19">
        <f>IF(Tabela2[[#This Row],[Dividendo / Ação]]&gt;0,Tabela2[[#This Row],[Dividendo / Ação]]/Tabela2[[#This Row],[Cotação]],"")</f>
        <v>1.2057488653555219E-2</v>
      </c>
      <c r="J108" s="59">
        <f>SUMPRODUCT(N(Tabela1[Código]=Tabela2[[#This Row],[Ativo]]),Tabela1[Fechamento])</f>
        <v>6.61</v>
      </c>
      <c r="K108" s="59">
        <f>SUMPRODUCT(N(Tabela17[Código]=Tabela2[[#This Row],[Ativo]]),Tabela17[Fechamento])</f>
        <v>0</v>
      </c>
      <c r="L108" s="59">
        <f>SUMPRODUCT(N([Ativo]=Tabela2[[#This Row],[Ativo]]),N([Exercício]=Tabela2[[#This Row],[Exercício]]-1),[Lucro Líquido])</f>
        <v>67513447</v>
      </c>
      <c r="M108" s="19">
        <f>IF(Tabela2[[#This Row],[Lucro Anterior]]=0,"",IF(Tabela2[[#This Row],[Lucro Líquido]]&gt;0,Tabela2[[#This Row],[Lucro Líquido]]/Tabela2[[#This Row],[Lucro Anterior]]-1,0))</f>
        <v>-1.9647152662787271E-2</v>
      </c>
    </row>
    <row r="109" spans="1:13">
      <c r="A109" s="4" t="s">
        <v>214</v>
      </c>
      <c r="B109" s="3">
        <v>2011</v>
      </c>
      <c r="C109" s="5">
        <v>67513447</v>
      </c>
      <c r="D109" s="60">
        <f>SUMPRODUCT(N(Tabela3[PAPEL]=Tabela2[[#This Row],[Ativo]]),Tabela3[Total Ações])</f>
        <v>90224492</v>
      </c>
      <c r="E109" s="63">
        <f>(Tabela2[[#This Row],[Lucro Líquido]])/Tabela2[[#This Row],[Total Ações]]</f>
        <v>0.74828292743393887</v>
      </c>
      <c r="F109" s="63">
        <v>9.9199999999999997E-2</v>
      </c>
      <c r="G109" s="22">
        <f>IF(AND(Tabela2[[#This Row],[Dividendo / Ação]]&gt;0,Tabela2[[#This Row],[Lucro por ação]]&gt;0),Tabela2[[#This Row],[Dividendo / Ação]]/Tabela2[[#This Row],[Lucro por ação]],"")</f>
        <v>0.13257017681825667</v>
      </c>
      <c r="H109" s="5">
        <f>MAX(Tabela2[[#This Row],[Cotação 1]],Tabela2[[#This Row],[Cotação 2]])</f>
        <v>6.61</v>
      </c>
      <c r="I109" s="18">
        <f>IF(Tabela2[[#This Row],[Dividendo / Ação]]&gt;0,Tabela2[[#This Row],[Dividendo / Ação]]/Tabela2[[#This Row],[Cotação]],"")</f>
        <v>1.5007564296520422E-2</v>
      </c>
      <c r="J109" s="58">
        <f>SUMPRODUCT(N(Tabela1[Código]=Tabela2[[#This Row],[Ativo]]),Tabela1[Fechamento])</f>
        <v>6.61</v>
      </c>
      <c r="K109" s="58">
        <f>SUMPRODUCT(N(Tabela17[Código]=Tabela2[[#This Row],[Ativo]]),Tabela17[Fechamento])</f>
        <v>0</v>
      </c>
      <c r="L109" s="58">
        <f>SUMPRODUCT(N([Ativo]=Tabela2[[#This Row],[Ativo]]),N([Exercício]=Tabela2[[#This Row],[Exercício]]-1),[Lucro Líquido])</f>
        <v>82086317</v>
      </c>
      <c r="M109" s="18">
        <f>IF(Tabela2[[#This Row],[Lucro Anterior]]=0,"",IF(Tabela2[[#This Row],[Lucro Líquido]]&gt;0,Tabela2[[#This Row],[Lucro Líquido]]/Tabela2[[#This Row],[Lucro Anterior]]-1,0))</f>
        <v>-0.17753104941960063</v>
      </c>
    </row>
    <row r="110" spans="1:13">
      <c r="A110" s="4" t="s">
        <v>214</v>
      </c>
      <c r="B110" s="3">
        <v>2010</v>
      </c>
      <c r="C110" s="5">
        <v>82086317</v>
      </c>
      <c r="D110" s="60">
        <f>SUMPRODUCT(N(Tabela3[PAPEL]=Tabela2[[#This Row],[Ativo]]),Tabela3[Total Ações])</f>
        <v>90224492</v>
      </c>
      <c r="E110" s="63">
        <f>(Tabela2[[#This Row],[Lucro Líquido]])/Tabela2[[#This Row],[Total Ações]]</f>
        <v>0.90980082215370084</v>
      </c>
      <c r="F110" s="63">
        <v>0.1905</v>
      </c>
      <c r="G110" s="22">
        <f>IF(AND(Tabela2[[#This Row],[Dividendo / Ação]]&gt;0,Tabela2[[#This Row],[Lucro por ação]]&gt;0),Tabela2[[#This Row],[Dividendo / Ação]]/Tabela2[[#This Row],[Lucro por ação]],"")</f>
        <v>0.20938648917577821</v>
      </c>
      <c r="H110" s="5">
        <f>MAX(Tabela2[[#This Row],[Cotação 1]],Tabela2[[#This Row],[Cotação 2]])</f>
        <v>6.61</v>
      </c>
      <c r="I110" s="18">
        <f>IF(Tabela2[[#This Row],[Dividendo / Ação]]&gt;0,Tabela2[[#This Row],[Dividendo / Ação]]/Tabela2[[#This Row],[Cotação]],"")</f>
        <v>2.8819969742813919E-2</v>
      </c>
      <c r="J110" s="58">
        <f>SUMPRODUCT(N(Tabela1[Código]=Tabela2[[#This Row],[Ativo]]),Tabela1[Fechamento])</f>
        <v>6.61</v>
      </c>
      <c r="K110" s="58">
        <f>SUMPRODUCT(N(Tabela17[Código]=Tabela2[[#This Row],[Ativo]]),Tabela17[Fechamento])</f>
        <v>0</v>
      </c>
      <c r="L110" s="58">
        <f>SUMPRODUCT(N([Ativo]=Tabela2[[#This Row],[Ativo]]),N([Exercício]=Tabela2[[#This Row],[Exercício]]-1),[Lucro Líquido])</f>
        <v>76789552</v>
      </c>
      <c r="M110" s="18">
        <f>IF(Tabela2[[#This Row],[Lucro Anterior]]=0,"",IF(Tabela2[[#This Row],[Lucro Líquido]]&gt;0,Tabela2[[#This Row],[Lucro Líquido]]/Tabela2[[#This Row],[Lucro Anterior]]-1,0))</f>
        <v>6.8977678109126028E-2</v>
      </c>
    </row>
    <row r="111" spans="1:13">
      <c r="A111" s="4" t="s">
        <v>214</v>
      </c>
      <c r="B111" s="3">
        <v>2009</v>
      </c>
      <c r="C111" s="5">
        <v>76789552</v>
      </c>
      <c r="D111" s="60">
        <f>SUMPRODUCT(N(Tabela3[PAPEL]=Tabela2[[#This Row],[Ativo]]),Tabela3[Total Ações])</f>
        <v>90224492</v>
      </c>
      <c r="E111" s="63">
        <f>(Tabela2[[#This Row],[Lucro Líquido]])/Tabela2[[#This Row],[Total Ações]]</f>
        <v>0.85109431261746538</v>
      </c>
      <c r="F111" s="63">
        <v>0.1767</v>
      </c>
      <c r="G111" s="22">
        <f>IF(AND(Tabela2[[#This Row],[Dividendo / Ação]]&gt;0,Tabela2[[#This Row],[Lucro por ação]]&gt;0),Tabela2[[#This Row],[Dividendo / Ação]]/Tabela2[[#This Row],[Lucro por ação]],"")</f>
        <v>0.20761506378367722</v>
      </c>
      <c r="H111" s="5">
        <f>MAX(Tabela2[[#This Row],[Cotação 1]],Tabela2[[#This Row],[Cotação 2]])</f>
        <v>6.61</v>
      </c>
      <c r="I111" s="18">
        <f>IF(Tabela2[[#This Row],[Dividendo / Ação]]&gt;0,Tabela2[[#This Row],[Dividendo / Ação]]/Tabela2[[#This Row],[Cotação]],"")</f>
        <v>2.6732223903177001E-2</v>
      </c>
      <c r="J111" s="58">
        <f>SUMPRODUCT(N(Tabela1[Código]=Tabela2[[#This Row],[Ativo]]),Tabela1[Fechamento])</f>
        <v>6.61</v>
      </c>
      <c r="K111" s="58">
        <f>SUMPRODUCT(N(Tabela17[Código]=Tabela2[[#This Row],[Ativo]]),Tabela17[Fechamento])</f>
        <v>0</v>
      </c>
      <c r="L111" s="58">
        <f>SUMPRODUCT(N([Ativo]=Tabela2[[#This Row],[Ativo]]),N([Exercício]=Tabela2[[#This Row],[Exercício]]-1),[Lucro Líquido])</f>
        <v>0</v>
      </c>
      <c r="M111" s="18" t="str">
        <f>IF(Tabela2[[#This Row],[Lucro Anterior]]=0,"",IF(Tabela2[[#This Row],[Lucro Líquido]]&gt;0,Tabela2[[#This Row],[Lucro Líquido]]/Tabela2[[#This Row],[Lucro Anterior]]-1,0))</f>
        <v/>
      </c>
    </row>
    <row r="112" spans="1:13">
      <c r="A112" s="4" t="s">
        <v>215</v>
      </c>
      <c r="B112" s="4">
        <v>2012</v>
      </c>
      <c r="C112" s="6">
        <v>66187000</v>
      </c>
      <c r="D112" s="8">
        <f>SUMPRODUCT(N(Tabela3[PAPEL]=Tabela2[[#This Row],[Ativo]]),Tabela3[Total Ações])</f>
        <v>90224492</v>
      </c>
      <c r="E112" s="64">
        <f>(Tabela2[[#This Row],[Lucro Líquido]])/Tabela2[[#This Row],[Total Ações]]</f>
        <v>0.73358129852368692</v>
      </c>
      <c r="F112" s="64">
        <v>0.39119999999999999</v>
      </c>
      <c r="G112" s="44">
        <f>IF(AND(Tabela2[[#This Row],[Dividendo / Ação]]&gt;0,Tabela2[[#This Row],[Lucro por ação]]&gt;0),Tabela2[[#This Row],[Dividendo / Ação]]/Tabela2[[#This Row],[Lucro por ação]],"")</f>
        <v>0.53327422712012928</v>
      </c>
      <c r="H112" s="6">
        <f>MAX(Tabela2[[#This Row],[Cotação 1]],Tabela2[[#This Row],[Cotação 2]])</f>
        <v>5.64</v>
      </c>
      <c r="I112" s="19">
        <f>IF(Tabela2[[#This Row],[Dividendo / Ação]]&gt;0,Tabela2[[#This Row],[Dividendo / Ação]]/Tabela2[[#This Row],[Cotação]],"")</f>
        <v>6.9361702127659575E-2</v>
      </c>
      <c r="J112" s="59">
        <f>SUMPRODUCT(N(Tabela1[Código]=Tabela2[[#This Row],[Ativo]]),Tabela1[Fechamento])</f>
        <v>5.64</v>
      </c>
      <c r="K112" s="59">
        <f>SUMPRODUCT(N(Tabela17[Código]=Tabela2[[#This Row],[Ativo]]),Tabela17[Fechamento])</f>
        <v>0</v>
      </c>
      <c r="L112" s="59">
        <f>SUMPRODUCT(N([Ativo]=Tabela2[[#This Row],[Ativo]]),N([Exercício]=Tabela2[[#This Row],[Exercício]]-1),[Lucro Líquido])</f>
        <v>67513447</v>
      </c>
      <c r="M112" s="19">
        <f>IF(Tabela2[[#This Row],[Lucro Anterior]]=0,"",IF(Tabela2[[#This Row],[Lucro Líquido]]&gt;0,Tabela2[[#This Row],[Lucro Líquido]]/Tabela2[[#This Row],[Lucro Anterior]]-1,0))</f>
        <v>-1.9647152662787271E-2</v>
      </c>
    </row>
    <row r="113" spans="1:13">
      <c r="A113" s="4" t="s">
        <v>215</v>
      </c>
      <c r="B113" s="4">
        <v>2011</v>
      </c>
      <c r="C113" s="5">
        <v>67513447</v>
      </c>
      <c r="D113" s="8">
        <f>SUMPRODUCT(N(Tabela3[PAPEL]=Tabela2[[#This Row],[Ativo]]),Tabela3[Total Ações])</f>
        <v>90224492</v>
      </c>
      <c r="E113" s="64">
        <f>(Tabela2[[#This Row],[Lucro Líquido]])/Tabela2[[#This Row],[Total Ações]]</f>
        <v>0.74828292743393887</v>
      </c>
      <c r="F113" s="64">
        <v>0.37240000000000001</v>
      </c>
      <c r="G113" s="44">
        <f>IF(AND(Tabela2[[#This Row],[Dividendo / Ação]]&gt;0,Tabela2[[#This Row],[Lucro por ação]]&gt;0),Tabela2[[#This Row],[Dividendo / Ação]]/Tabela2[[#This Row],[Lucro por ação]],"")</f>
        <v>0.49767272023305226</v>
      </c>
      <c r="H113" s="6">
        <f>MAX(Tabela2[[#This Row],[Cotação 1]],Tabela2[[#This Row],[Cotação 2]])</f>
        <v>5.64</v>
      </c>
      <c r="I113" s="19">
        <f>IF(Tabela2[[#This Row],[Dividendo / Ação]]&gt;0,Tabela2[[#This Row],[Dividendo / Ação]]/Tabela2[[#This Row],[Cotação]],"")</f>
        <v>6.6028368794326248E-2</v>
      </c>
      <c r="J113" s="59">
        <f>SUMPRODUCT(N(Tabela1[Código]=Tabela2[[#This Row],[Ativo]]),Tabela1[Fechamento])</f>
        <v>5.64</v>
      </c>
      <c r="K113" s="59">
        <f>SUMPRODUCT(N(Tabela17[Código]=Tabela2[[#This Row],[Ativo]]),Tabela17[Fechamento])</f>
        <v>0</v>
      </c>
      <c r="L113" s="59">
        <f>SUMPRODUCT(N([Ativo]=Tabela2[[#This Row],[Ativo]]),N([Exercício]=Tabela2[[#This Row],[Exercício]]-1),[Lucro Líquido])</f>
        <v>82086317</v>
      </c>
      <c r="M113" s="19">
        <f>IF(Tabela2[[#This Row],[Lucro Anterior]]=0,"",IF(Tabela2[[#This Row],[Lucro Líquido]]&gt;0,Tabela2[[#This Row],[Lucro Líquido]]/Tabela2[[#This Row],[Lucro Anterior]]-1,0))</f>
        <v>-0.17753104941960063</v>
      </c>
    </row>
    <row r="114" spans="1:13">
      <c r="A114" s="4" t="s">
        <v>215</v>
      </c>
      <c r="B114" s="4">
        <v>2010</v>
      </c>
      <c r="C114" s="5">
        <v>82086317</v>
      </c>
      <c r="D114" s="8">
        <f>SUMPRODUCT(N(Tabela3[PAPEL]=Tabela2[[#This Row],[Ativo]]),Tabela3[Total Ações])</f>
        <v>90224492</v>
      </c>
      <c r="E114" s="64">
        <f>(Tabela2[[#This Row],[Lucro Líquido]])/Tabela2[[#This Row],[Total Ações]]</f>
        <v>0.90980082215370084</v>
      </c>
      <c r="F114" s="64">
        <v>0.34889999999999999</v>
      </c>
      <c r="G114" s="44">
        <f>IF(AND(Tabela2[[#This Row],[Dividendo / Ação]]&gt;0,Tabela2[[#This Row],[Lucro por ação]]&gt;0),Tabela2[[#This Row],[Dividendo / Ação]]/Tabela2[[#This Row],[Lucro por ação]],"")</f>
        <v>0.3834905305691812</v>
      </c>
      <c r="H114" s="6">
        <f>MAX(Tabela2[[#This Row],[Cotação 1]],Tabela2[[#This Row],[Cotação 2]])</f>
        <v>5.64</v>
      </c>
      <c r="I114" s="19">
        <f>IF(Tabela2[[#This Row],[Dividendo / Ação]]&gt;0,Tabela2[[#This Row],[Dividendo / Ação]]/Tabela2[[#This Row],[Cotação]],"")</f>
        <v>6.1861702127659575E-2</v>
      </c>
      <c r="J114" s="59">
        <f>SUMPRODUCT(N(Tabela1[Código]=Tabela2[[#This Row],[Ativo]]),Tabela1[Fechamento])</f>
        <v>5.64</v>
      </c>
      <c r="K114" s="59">
        <f>SUMPRODUCT(N(Tabela17[Código]=Tabela2[[#This Row],[Ativo]]),Tabela17[Fechamento])</f>
        <v>0</v>
      </c>
      <c r="L114" s="59">
        <f>SUMPRODUCT(N([Ativo]=Tabela2[[#This Row],[Ativo]]),N([Exercício]=Tabela2[[#This Row],[Exercício]]-1),[Lucro Líquido])</f>
        <v>76789552</v>
      </c>
      <c r="M114" s="19">
        <f>IF(Tabela2[[#This Row],[Lucro Anterior]]=0,"",IF(Tabela2[[#This Row],[Lucro Líquido]]&gt;0,Tabela2[[#This Row],[Lucro Líquido]]/Tabela2[[#This Row],[Lucro Anterior]]-1,0))</f>
        <v>6.8977678109126028E-2</v>
      </c>
    </row>
    <row r="115" spans="1:13">
      <c r="A115" s="4" t="s">
        <v>215</v>
      </c>
      <c r="B115" s="4">
        <v>2009</v>
      </c>
      <c r="C115" s="5">
        <v>76789552</v>
      </c>
      <c r="D115" s="8">
        <f>SUMPRODUCT(N(Tabela3[PAPEL]=Tabela2[[#This Row],[Ativo]]),Tabela3[Total Ações])</f>
        <v>90224492</v>
      </c>
      <c r="E115" s="64">
        <f>(Tabela2[[#This Row],[Lucro Líquido]])/Tabela2[[#This Row],[Total Ações]]</f>
        <v>0.85109431261746538</v>
      </c>
      <c r="F115" s="64">
        <v>0.3286</v>
      </c>
      <c r="G115" s="44">
        <f>IF(AND(Tabela2[[#This Row],[Dividendo / Ação]]&gt;0,Tabela2[[#This Row],[Lucro por ação]]&gt;0),Tabela2[[#This Row],[Dividendo / Ação]]/Tabela2[[#This Row],[Lucro por ação]],"")</f>
        <v>0.38609117124683834</v>
      </c>
      <c r="H115" s="6">
        <f>MAX(Tabela2[[#This Row],[Cotação 1]],Tabela2[[#This Row],[Cotação 2]])</f>
        <v>5.64</v>
      </c>
      <c r="I115" s="19">
        <f>IF(Tabela2[[#This Row],[Dividendo / Ação]]&gt;0,Tabela2[[#This Row],[Dividendo / Ação]]/Tabela2[[#This Row],[Cotação]],"")</f>
        <v>5.8262411347517737E-2</v>
      </c>
      <c r="J115" s="59">
        <f>SUMPRODUCT(N(Tabela1[Código]=Tabela2[[#This Row],[Ativo]]),Tabela1[Fechamento])</f>
        <v>5.64</v>
      </c>
      <c r="K115" s="59">
        <f>SUMPRODUCT(N(Tabela17[Código]=Tabela2[[#This Row],[Ativo]]),Tabela17[Fechamento])</f>
        <v>0</v>
      </c>
      <c r="L115" s="59">
        <f>SUMPRODUCT(N([Ativo]=Tabela2[[#This Row],[Ativo]]),N([Exercício]=Tabela2[[#This Row],[Exercício]]-1),[Lucro Líquido])</f>
        <v>0</v>
      </c>
      <c r="M115" s="19" t="str">
        <f>IF(Tabela2[[#This Row],[Lucro Anterior]]=0,"",IF(Tabela2[[#This Row],[Lucro Líquido]]&gt;0,Tabela2[[#This Row],[Lucro Líquido]]/Tabela2[[#This Row],[Lucro Anterior]]-1,0))</f>
        <v/>
      </c>
    </row>
    <row r="116" spans="1:13">
      <c r="A116" s="14" t="s">
        <v>296</v>
      </c>
      <c r="B116" s="3">
        <v>2012</v>
      </c>
      <c r="C116" s="5">
        <v>-731143033.12</v>
      </c>
      <c r="D116" s="60">
        <f>SUMPRODUCT(N(Tabela3[PAPEL]=Tabela2[[#This Row],[Ativo]]),Tabela3[Total Ações])</f>
        <v>797265348</v>
      </c>
      <c r="E116" s="63">
        <f>(Tabela2[[#This Row],[Lucro Líquido]])/Tabela2[[#This Row],[Total Ações]]</f>
        <v>-0.91706360367238737</v>
      </c>
      <c r="F116" s="63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49">
        <f>MAX(Tabela2[[#This Row],[Cotação 1]],Tabela2[[#This Row],[Cotação 2]])</f>
        <v>15.9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15.9</v>
      </c>
      <c r="L116" s="7">
        <f>SUMPRODUCT(N([Ativo]=Tabela2[[#This Row],[Ativo]]),N([Exercício]=Tabela2[[#This Row],[Exercício]]-1),[Lucro Líquido])</f>
        <v>-525142000</v>
      </c>
      <c r="M116" s="18">
        <f>IF(Tabela2[[#This Row],[Lucro Anterior]]=0,"",IF(Tabela2[[#This Row],[Lucro Líquido]]&gt;0,Tabela2[[#This Row],[Lucro Líquido]]/Tabela2[[#This Row],[Lucro Anterior]]-1,0))</f>
        <v>0</v>
      </c>
    </row>
    <row r="117" spans="1:13">
      <c r="A117" s="14" t="s">
        <v>296</v>
      </c>
      <c r="B117" s="3">
        <v>2011</v>
      </c>
      <c r="C117" s="5">
        <v>-525142000</v>
      </c>
      <c r="D117" s="60">
        <f>SUMPRODUCT(N(Tabela3[PAPEL]=Tabela2[[#This Row],[Ativo]]),Tabela3[Total Ações])</f>
        <v>797265348</v>
      </c>
      <c r="E117" s="63">
        <f>(Tabela2[[#This Row],[Lucro Líquido]])/Tabela2[[#This Row],[Total Ações]]</f>
        <v>-0.65867907255389713</v>
      </c>
      <c r="F117" s="63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49">
        <f>MAX(Tabela2[[#This Row],[Cotação 1]],Tabela2[[#This Row],[Cotação 2]])</f>
        <v>15.9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15.9</v>
      </c>
      <c r="L117" s="7">
        <f>SUMPRODUCT(N([Ativo]=Tabela2[[#This Row],[Ativo]]),N([Exercício]=Tabela2[[#This Row],[Exercício]]-1),[Lucro Líquido])</f>
        <v>1895309000</v>
      </c>
      <c r="M117" s="18">
        <f>IF(Tabela2[[#This Row],[Lucro Anterior]]=0,"",IF(Tabela2[[#This Row],[Lucro Líquido]]&gt;0,Tabela2[[#This Row],[Lucro Líquido]]/Tabela2[[#This Row],[Lucro Anterior]]-1,0))</f>
        <v>0</v>
      </c>
    </row>
    <row r="118" spans="1:13">
      <c r="A118" s="14" t="s">
        <v>296</v>
      </c>
      <c r="B118" s="3">
        <v>2010</v>
      </c>
      <c r="C118" s="5">
        <v>1895309000</v>
      </c>
      <c r="D118" s="60">
        <f>SUMPRODUCT(N(Tabela3[PAPEL]=Tabela2[[#This Row],[Ativo]]),Tabela3[Total Ações])</f>
        <v>797265348</v>
      </c>
      <c r="E118" s="63">
        <f>(Tabela2[[#This Row],[Lucro Líquido]])/Tabela2[[#This Row],[Total Ações]]</f>
        <v>2.3772624820011616</v>
      </c>
      <c r="F118" s="63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49">
        <f>MAX(Tabela2[[#This Row],[Cotação 1]],Tabela2[[#This Row],[Cotação 2]])</f>
        <v>15.9</v>
      </c>
      <c r="I118" s="18">
        <f>IF(Tabela2[[#This Row],[Dividendo / Ação]]&gt;0,Tabela2[[#This Row],[Dividendo / Ação]]/Tabela2[[#This Row],[Cotação]],"")</f>
        <v>5.2405480503144655E-2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15.9</v>
      </c>
      <c r="L118" s="7">
        <f>SUMPRODUCT(N([Ativo]=Tabela2[[#This Row],[Ativo]]),N([Exercício]=Tabela2[[#This Row],[Exercício]]-1),[Lucro Líquido])</f>
        <v>398491000</v>
      </c>
      <c r="M118" s="18">
        <f>IF(Tabela2[[#This Row],[Lucro Anterior]]=0,"",IF(Tabela2[[#This Row],[Lucro Líquido]]&gt;0,Tabela2[[#This Row],[Lucro Líquido]]/Tabela2[[#This Row],[Lucro Anterior]]-1,0))</f>
        <v>3.7562153223033894</v>
      </c>
    </row>
    <row r="119" spans="1:13">
      <c r="A119" s="14" t="s">
        <v>296</v>
      </c>
      <c r="B119" s="3">
        <v>2009</v>
      </c>
      <c r="C119" s="5">
        <v>398491000</v>
      </c>
      <c r="D119" s="60">
        <f>SUMPRODUCT(N(Tabela3[PAPEL]=Tabela2[[#This Row],[Ativo]]),Tabela3[Total Ações])</f>
        <v>797265348</v>
      </c>
      <c r="E119" s="63">
        <f>(Tabela2[[#This Row],[Lucro Líquido]])/Tabela2[[#This Row],[Total Ações]]</f>
        <v>0.49982230006564893</v>
      </c>
      <c r="F119" s="63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49">
        <f>MAX(Tabela2[[#This Row],[Cotação 1]],Tabela2[[#This Row],[Cotação 2]])</f>
        <v>15.9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15.9</v>
      </c>
      <c r="L119" s="7">
        <f>SUMPRODUCT(N([Ativo]=Tabela2[[#This Row],[Ativo]]),N([Exercício]=Tabela2[[#This Row],[Exercício]]-1),[Lucro Líquido])</f>
        <v>0</v>
      </c>
      <c r="M119" s="18" t="str">
        <f>IF(Tabela2[[#This Row],[Lucro Anterior]]=0,"",IF(Tabela2[[#This Row],[Lucro Líquido]]&gt;0,Tabela2[[#This Row],[Lucro Líquido]]/Tabela2[[#This Row],[Lucro Anterior]]-1,0))</f>
        <v/>
      </c>
    </row>
    <row r="120" spans="1:13">
      <c r="A120" s="14" t="s">
        <v>297</v>
      </c>
      <c r="B120" s="3">
        <v>2012</v>
      </c>
      <c r="C120" s="5">
        <v>-731143033.12</v>
      </c>
      <c r="D120" s="60">
        <f>SUMPRODUCT(N(Tabela3[PAPEL]=Tabela2[[#This Row],[Ativo]]),Tabela3[Total Ações])</f>
        <v>797265348</v>
      </c>
      <c r="E120" s="63">
        <f>(Tabela2[[#This Row],[Lucro Líquido]])/Tabela2[[#This Row],[Total Ações]]</f>
        <v>-0.91706360367238737</v>
      </c>
      <c r="F120" s="63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49">
        <f>MAX(Tabela2[[#This Row],[Cotação 1]],Tabela2[[#This Row],[Cotação 2]])</f>
        <v>20.18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20.18</v>
      </c>
      <c r="L120" s="7">
        <f>SUMPRODUCT(N([Ativo]=Tabela2[[#This Row],[Ativo]]),N([Exercício]=Tabela2[[#This Row],[Exercício]]-1),[Lucro Líquido])</f>
        <v>-525142000</v>
      </c>
      <c r="M120" s="18">
        <f>IF(Tabela2[[#This Row],[Lucro Anterior]]=0,"",IF(Tabela2[[#This Row],[Lucro Líquido]]&gt;0,Tabela2[[#This Row],[Lucro Líquido]]/Tabela2[[#This Row],[Lucro Anterior]]-1,0))</f>
        <v>0</v>
      </c>
    </row>
    <row r="121" spans="1:13">
      <c r="A121" s="14" t="s">
        <v>297</v>
      </c>
      <c r="B121" s="3">
        <v>2011</v>
      </c>
      <c r="C121" s="5">
        <v>-525142000</v>
      </c>
      <c r="D121" s="60">
        <f>SUMPRODUCT(N(Tabela3[PAPEL]=Tabela2[[#This Row],[Ativo]]),Tabela3[Total Ações])</f>
        <v>797265348</v>
      </c>
      <c r="E121" s="63">
        <f>(Tabela2[[#This Row],[Lucro Líquido]])/Tabela2[[#This Row],[Total Ações]]</f>
        <v>-0.65867907255389713</v>
      </c>
      <c r="F121" s="63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49">
        <f>MAX(Tabela2[[#This Row],[Cotação 1]],Tabela2[[#This Row],[Cotação 2]])</f>
        <v>20.18</v>
      </c>
      <c r="I121" s="18" t="str">
        <f>IF(Tabela2[[#This Row],[Dividendo / Ação]]&gt;0,Tabela2[[#This Row],[Dividendo / Ação]]/Tabela2[[#This Row],[Cotação]],"")</f>
        <v/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20.18</v>
      </c>
      <c r="L121" s="7">
        <f>SUMPRODUCT(N([Ativo]=Tabela2[[#This Row],[Ativo]]),N([Exercício]=Tabela2[[#This Row],[Exercício]]-1),[Lucro Líquido])</f>
        <v>1895309000</v>
      </c>
      <c r="M121" s="18">
        <f>IF(Tabela2[[#This Row],[Lucro Anterior]]=0,"",IF(Tabela2[[#This Row],[Lucro Líquido]]&gt;0,Tabela2[[#This Row],[Lucro Líquido]]/Tabela2[[#This Row],[Lucro Anterior]]-1,0))</f>
        <v>0</v>
      </c>
    </row>
    <row r="122" spans="1:13">
      <c r="A122" s="14" t="s">
        <v>297</v>
      </c>
      <c r="B122" s="3">
        <v>2010</v>
      </c>
      <c r="C122" s="5">
        <v>1895309000</v>
      </c>
      <c r="D122" s="60">
        <f>SUMPRODUCT(N(Tabela3[PAPEL]=Tabela2[[#This Row],[Ativo]]),Tabela3[Total Ações])</f>
        <v>797265348</v>
      </c>
      <c r="E122" s="63">
        <f>(Tabela2[[#This Row],[Lucro Líquido]])/Tabela2[[#This Row],[Total Ações]]</f>
        <v>2.3772624820011616</v>
      </c>
      <c r="F122" s="63">
        <v>0.83324714</v>
      </c>
      <c r="G122" s="22">
        <f>IF(AND(Tabela2[[#This Row],[Dividendo / Ação]]&gt;0,Tabela2[[#This Row],[Lucro por ação]]&gt;0),Tabela2[[#This Row],[Dividendo / Ação]]/Tabela2[[#This Row],[Lucro por ação]],"")</f>
        <v>0.35050699967240423</v>
      </c>
      <c r="H122" s="49">
        <f>MAX(Tabela2[[#This Row],[Cotação 1]],Tabela2[[#This Row],[Cotação 2]])</f>
        <v>20.18</v>
      </c>
      <c r="I122" s="18">
        <f>IF(Tabela2[[#This Row],[Dividendo / Ação]]&gt;0,Tabela2[[#This Row],[Dividendo / Ação]]/Tabela2[[#This Row],[Cotação]],"")</f>
        <v>4.1290740336967294E-2</v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20.18</v>
      </c>
      <c r="L122" s="7">
        <f>SUMPRODUCT(N([Ativo]=Tabela2[[#This Row],[Ativo]]),N([Exercício]=Tabela2[[#This Row],[Exercício]]-1),[Lucro Líquido])</f>
        <v>398491000</v>
      </c>
      <c r="M122" s="18">
        <f>IF(Tabela2[[#This Row],[Lucro Anterior]]=0,"",IF(Tabela2[[#This Row],[Lucro Líquido]]&gt;0,Tabela2[[#This Row],[Lucro Líquido]]/Tabela2[[#This Row],[Lucro Anterior]]-1,0))</f>
        <v>3.7562153223033894</v>
      </c>
    </row>
    <row r="123" spans="1:13">
      <c r="A123" s="14" t="s">
        <v>297</v>
      </c>
      <c r="B123" s="3">
        <v>2009</v>
      </c>
      <c r="C123" s="5">
        <v>398491000</v>
      </c>
      <c r="D123" s="60">
        <f>SUMPRODUCT(N(Tabela3[PAPEL]=Tabela2[[#This Row],[Ativo]]),Tabela3[Total Ações])</f>
        <v>797265348</v>
      </c>
      <c r="E123" s="63">
        <f>(Tabela2[[#This Row],[Lucro Líquido]])/Tabela2[[#This Row],[Total Ações]]</f>
        <v>0.49982230006564893</v>
      </c>
      <c r="F123" s="63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49">
        <f>MAX(Tabela2[[#This Row],[Cotação 1]],Tabela2[[#This Row],[Cotação 2]])</f>
        <v>20.18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20.18</v>
      </c>
      <c r="L123" s="7">
        <f>SUMPRODUCT(N([Ativo]=Tabela2[[#This Row],[Ativo]]),N([Exercício]=Tabela2[[#This Row],[Exercício]]-1),[Lucro Líquido])</f>
        <v>0</v>
      </c>
      <c r="M123" s="18" t="str">
        <f>IF(Tabela2[[#This Row],[Lucro Anterior]]=0,"",IF(Tabela2[[#This Row],[Lucro Líquido]]&gt;0,Tabela2[[#This Row],[Lucro Líquido]]/Tabela2[[#This Row],[Lucro Anterior]]-1,0))</f>
        <v/>
      </c>
    </row>
    <row r="124" spans="1:13">
      <c r="A124" s="15" t="s">
        <v>298</v>
      </c>
      <c r="B124" s="4">
        <v>2012</v>
      </c>
      <c r="C124" s="5">
        <v>-731143033.12</v>
      </c>
      <c r="D124" s="8">
        <f>SUMPRODUCT(N(Tabela3[PAPEL]=Tabela2[[#This Row],[Ativo]]),Tabela3[Total Ações])</f>
        <v>797265348</v>
      </c>
      <c r="E124" s="64">
        <f>(Tabela2[[#This Row],[Lucro Líquido]])/Tabela2[[#This Row],[Total Ações]]</f>
        <v>-0.91706360367238737</v>
      </c>
      <c r="F124" s="64">
        <v>0</v>
      </c>
      <c r="G124" s="44" t="str">
        <f>IF(AND(Tabela2[[#This Row],[Dividendo / Ação]]&gt;0,Tabela2[[#This Row],[Lucro por ação]]&gt;0),Tabela2[[#This Row],[Dividendo / Ação]]/Tabela2[[#This Row],[Lucro por ação]],"")</f>
        <v/>
      </c>
      <c r="H124" s="13">
        <f>MAX(Tabela2[[#This Row],[Cotação 1]],Tabela2[[#This Row],[Cotação 2]])</f>
        <v>10.5</v>
      </c>
      <c r="I124" s="19" t="str">
        <f>IF(Tabela2[[#This Row],[Dividendo / Ação]]&gt;0,Tabela2[[#This Row],[Dividendo / Ação]]/Tabela2[[#This Row],[Cotação]],"")</f>
        <v/>
      </c>
      <c r="J124" s="17">
        <f>SUMPRODUCT(N(Tabela1[Código]=Tabela2[[#This Row],[Ativo]]),Tabela1[Fechamento])</f>
        <v>0</v>
      </c>
      <c r="K124" s="17">
        <f>SUMPRODUCT(N(Tabela17[Código]=Tabela2[[#This Row],[Ativo]]),Tabela17[Fechamento])</f>
        <v>10.5</v>
      </c>
      <c r="L124" s="17">
        <f>SUMPRODUCT(N([Ativo]=Tabela2[[#This Row],[Ativo]]),N([Exercício]=Tabela2[[#This Row],[Exercício]]-1),[Lucro Líquido])</f>
        <v>-525142000</v>
      </c>
      <c r="M124" s="19">
        <f>IF(Tabela2[[#This Row],[Lucro Anterior]]=0,"",IF(Tabela2[[#This Row],[Lucro Líquido]]&gt;0,Tabela2[[#This Row],[Lucro Líquido]]/Tabela2[[#This Row],[Lucro Anterior]]-1,0))</f>
        <v>0</v>
      </c>
    </row>
    <row r="125" spans="1:13">
      <c r="A125" s="15" t="s">
        <v>298</v>
      </c>
      <c r="B125" s="4">
        <v>2011</v>
      </c>
      <c r="C125" s="5">
        <v>-525142000</v>
      </c>
      <c r="D125" s="8">
        <f>SUMPRODUCT(N(Tabela3[PAPEL]=Tabela2[[#This Row],[Ativo]]),Tabela3[Total Ações])</f>
        <v>797265348</v>
      </c>
      <c r="E125" s="64">
        <f>(Tabela2[[#This Row],[Lucro Líquido]])/Tabela2[[#This Row],[Total Ações]]</f>
        <v>-0.65867907255389713</v>
      </c>
      <c r="F125" s="64">
        <v>0</v>
      </c>
      <c r="G125" s="44" t="str">
        <f>IF(AND(Tabela2[[#This Row],[Dividendo / Ação]]&gt;0,Tabela2[[#This Row],[Lucro por ação]]&gt;0),Tabela2[[#This Row],[Dividendo / Ação]]/Tabela2[[#This Row],[Lucro por ação]],"")</f>
        <v/>
      </c>
      <c r="H125" s="13">
        <f>MAX(Tabela2[[#This Row],[Cotação 1]],Tabela2[[#This Row],[Cotação 2]])</f>
        <v>10.5</v>
      </c>
      <c r="I125" s="19" t="str">
        <f>IF(Tabela2[[#This Row],[Dividendo / Ação]]&gt;0,Tabela2[[#This Row],[Dividendo / Ação]]/Tabela2[[#This Row],[Cotação]],"")</f>
        <v/>
      </c>
      <c r="J125" s="17">
        <f>SUMPRODUCT(N(Tabela1[Código]=Tabela2[[#This Row],[Ativo]]),Tabela1[Fechamento])</f>
        <v>0</v>
      </c>
      <c r="K125" s="17">
        <f>SUMPRODUCT(N(Tabela17[Código]=Tabela2[[#This Row],[Ativo]]),Tabela17[Fechamento])</f>
        <v>10.5</v>
      </c>
      <c r="L125" s="17">
        <f>SUMPRODUCT(N([Ativo]=Tabela2[[#This Row],[Ativo]]),N([Exercício]=Tabela2[[#This Row],[Exercício]]-1),[Lucro Líquido])</f>
        <v>1895309000</v>
      </c>
      <c r="M125" s="19">
        <f>IF(Tabela2[[#This Row],[Lucro Anterior]]=0,"",IF(Tabela2[[#This Row],[Lucro Líquido]]&gt;0,Tabela2[[#This Row],[Lucro Líquido]]/Tabela2[[#This Row],[Lucro Anterior]]-1,0))</f>
        <v>0</v>
      </c>
    </row>
    <row r="126" spans="1:13">
      <c r="A126" s="15" t="s">
        <v>298</v>
      </c>
      <c r="B126" s="4">
        <v>2010</v>
      </c>
      <c r="C126" s="5">
        <v>1895309000</v>
      </c>
      <c r="D126" s="8">
        <f>SUMPRODUCT(N(Tabela3[PAPEL]=Tabela2[[#This Row],[Ativo]]),Tabela3[Total Ações])</f>
        <v>797265348</v>
      </c>
      <c r="E126" s="64">
        <f>(Tabela2[[#This Row],[Lucro Líquido]])/Tabela2[[#This Row],[Total Ações]]</f>
        <v>2.3772624820011616</v>
      </c>
      <c r="F126" s="64">
        <v>0.60198830400000003</v>
      </c>
      <c r="G126" s="44">
        <f>IF(AND(Tabela2[[#This Row],[Dividendo / Ação]]&gt;0,Tabela2[[#This Row],[Lucro por ação]]&gt;0),Tabela2[[#This Row],[Dividendo / Ação]]/Tabela2[[#This Row],[Lucro por ação]],"")</f>
        <v>0.25322752895727813</v>
      </c>
      <c r="H126" s="13">
        <f>MAX(Tabela2[[#This Row],[Cotação 1]],Tabela2[[#This Row],[Cotação 2]])</f>
        <v>10.5</v>
      </c>
      <c r="I126" s="19">
        <f>IF(Tabela2[[#This Row],[Dividendo / Ação]]&gt;0,Tabela2[[#This Row],[Dividendo / Ação]]/Tabela2[[#This Row],[Cotação]],"")</f>
        <v>5.7332219428571432E-2</v>
      </c>
      <c r="J126" s="17">
        <f>SUMPRODUCT(N(Tabela1[Código]=Tabela2[[#This Row],[Ativo]]),Tabela1[Fechamento])</f>
        <v>0</v>
      </c>
      <c r="K126" s="17">
        <f>SUMPRODUCT(N(Tabela17[Código]=Tabela2[[#This Row],[Ativo]]),Tabela17[Fechamento])</f>
        <v>10.5</v>
      </c>
      <c r="L126" s="17">
        <f>SUMPRODUCT(N([Ativo]=Tabela2[[#This Row],[Ativo]]),N([Exercício]=Tabela2[[#This Row],[Exercício]]-1),[Lucro Líquido])</f>
        <v>398491000</v>
      </c>
      <c r="M126" s="19">
        <f>IF(Tabela2[[#This Row],[Lucro Anterior]]=0,"",IF(Tabela2[[#This Row],[Lucro Líquido]]&gt;0,Tabela2[[#This Row],[Lucro Líquido]]/Tabela2[[#This Row],[Lucro Anterior]]-1,0))</f>
        <v>3.7562153223033894</v>
      </c>
    </row>
    <row r="127" spans="1:13">
      <c r="A127" s="15" t="s">
        <v>298</v>
      </c>
      <c r="B127" s="4">
        <v>2009</v>
      </c>
      <c r="C127" s="5">
        <v>398491000</v>
      </c>
      <c r="D127" s="8">
        <f>SUMPRODUCT(N(Tabela3[PAPEL]=Tabela2[[#This Row],[Ativo]]),Tabela3[Total Ações])</f>
        <v>797265348</v>
      </c>
      <c r="E127" s="64">
        <f>(Tabela2[[#This Row],[Lucro Líquido]])/Tabela2[[#This Row],[Total Ações]]</f>
        <v>0.49982230006564893</v>
      </c>
      <c r="F127" s="64">
        <v>0</v>
      </c>
      <c r="G127" s="44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  <c r="L127" s="17">
        <f>SUMPRODUCT(N([Ativo]=Tabela2[[#This Row],[Ativo]]),N([Exercício]=Tabela2[[#This Row],[Exercício]]-1),[Lucro Líquido])</f>
        <v>0</v>
      </c>
      <c r="M127" s="19" t="str">
        <f>IF(Tabela2[[#This Row],[Lucro Anterior]]=0,"",IF(Tabela2[[#This Row],[Lucro Líquido]]&gt;0,Tabela2[[#This Row],[Lucro Líquido]]/Tabela2[[#This Row],[Lucro Anterior]]-1,0))</f>
        <v/>
      </c>
    </row>
    <row r="128" spans="1:13">
      <c r="A128" s="4" t="s">
        <v>405</v>
      </c>
      <c r="B128" s="4">
        <v>2012</v>
      </c>
      <c r="C128" s="6">
        <v>1741995406.21</v>
      </c>
      <c r="D128" s="74">
        <f>SUMPRODUCT(N(Tabela3[PAPEL]=Tabela2[[#This Row],[Ativo]]),Tabela3[Total Ações])</f>
        <v>457057334</v>
      </c>
      <c r="E128" s="64">
        <f>(Tabela2[[#This Row],[Lucro Líquido]])/Tabela2[[#This Row],[Total Ações]]</f>
        <v>3.8113279814693883</v>
      </c>
      <c r="F128" s="64">
        <v>0.47533848406620999</v>
      </c>
      <c r="G128" s="43">
        <f>IF(AND(Tabela2[[#This Row],[Dividendo / Ação]]&gt;0,Tabela2[[#This Row],[Lucro por ação]]&gt;0),Tabela2[[#This Row],[Dividendo / Ação]]/Tabela2[[#This Row],[Lucro por ação]],"")</f>
        <v>0.12471728656712243</v>
      </c>
      <c r="H128" s="59">
        <f>MAX(Tabela2[[#This Row],[Cotação 1]],Tabela2[[#This Row],[Cotação 2]])</f>
        <v>17.14</v>
      </c>
      <c r="I128" s="44">
        <f>IF(Tabela2[[#This Row],[Dividendo / Ação]]&gt;0,Tabela2[[#This Row],[Dividendo / Ação]]/Tabela2[[#This Row],[Cotação]],"")</f>
        <v>2.7732700353921235E-2</v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17.14</v>
      </c>
      <c r="L128" s="17">
        <f>SUMPRODUCT(N([Ativo]=Tabela2[[#This Row],[Ativo]]),N([Exercício]=Tabela2[[#This Row],[Exercício]]-1),[Lucro Líquido])</f>
        <v>478868368.80000001</v>
      </c>
      <c r="M128" s="19">
        <f>IF(Tabela2[[#This Row],[Lucro Anterior]]=0,"",IF(Tabela2[[#This Row],[Lucro Líquido]]&gt;0,Tabela2[[#This Row],[Lucro Líquido]]/Tabela2[[#This Row],[Lucro Anterior]]-1,0))</f>
        <v>2.637733288952202</v>
      </c>
    </row>
    <row r="129" spans="1:13">
      <c r="A129" s="4" t="s">
        <v>405</v>
      </c>
      <c r="B129" s="4">
        <v>2011</v>
      </c>
      <c r="C129" s="6">
        <v>478868368.80000001</v>
      </c>
      <c r="D129" s="74">
        <f>SUMPRODUCT(N(Tabela3[PAPEL]=Tabela2[[#This Row],[Ativo]]),Tabela3[Total Ações])</f>
        <v>457057334</v>
      </c>
      <c r="E129" s="64">
        <f>(Tabela2[[#This Row],[Lucro Líquido]])/Tabela2[[#This Row],[Total Ações]]</f>
        <v>1.0477205662780154</v>
      </c>
      <c r="F129" s="64">
        <v>0.15065705026321699</v>
      </c>
      <c r="G129" s="43">
        <f>IF(AND(Tabela2[[#This Row],[Dividendo / Ação]]&gt;0,Tabela2[[#This Row],[Lucro por ação]]&gt;0),Tabela2[[#This Row],[Dividendo / Ação]]/Tabela2[[#This Row],[Lucro por ação]],"")</f>
        <v>0.14379506818160498</v>
      </c>
      <c r="H129" s="59">
        <f>MAX(Tabela2[[#This Row],[Cotação 1]],Tabela2[[#This Row],[Cotação 2]])</f>
        <v>17.14</v>
      </c>
      <c r="I129" s="44">
        <f>IF(Tabela2[[#This Row],[Dividendo / Ação]]&gt;0,Tabela2[[#This Row],[Dividendo / Ação]]/Tabela2[[#This Row],[Cotação]],"")</f>
        <v>8.7897928975039074E-3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17.14</v>
      </c>
      <c r="L129" s="17">
        <f>SUMPRODUCT(N([Ativo]=Tabela2[[#This Row],[Ativo]]),N([Exercício]=Tabela2[[#This Row],[Exercício]]-1),[Lucro Líquido])</f>
        <v>562602916.05999994</v>
      </c>
      <c r="M129" s="19">
        <f>IF(Tabela2[[#This Row],[Lucro Anterior]]=0,"",IF(Tabela2[[#This Row],[Lucro Líquido]]&gt;0,Tabela2[[#This Row],[Lucro Líquido]]/Tabela2[[#This Row],[Lucro Anterior]]-1,0))</f>
        <v>-0.14883418636790335</v>
      </c>
    </row>
    <row r="130" spans="1:13">
      <c r="A130" s="4" t="s">
        <v>405</v>
      </c>
      <c r="B130" s="4">
        <v>2010</v>
      </c>
      <c r="C130" s="6">
        <v>562602916.05999994</v>
      </c>
      <c r="D130" s="74">
        <f>SUMPRODUCT(N(Tabela3[PAPEL]=Tabela2[[#This Row],[Ativo]]),Tabela3[Total Ações])</f>
        <v>457057334</v>
      </c>
      <c r="E130" s="64">
        <f>(Tabela2[[#This Row],[Lucro Líquido]])/Tabela2[[#This Row],[Total Ações]]</f>
        <v>1.2309241624815497</v>
      </c>
      <c r="F130" s="64">
        <v>0.16521896199328401</v>
      </c>
      <c r="G130" s="43">
        <f>IF(AND(Tabela2[[#This Row],[Dividendo / Ação]]&gt;0,Tabela2[[#This Row],[Lucro por ação]]&gt;0),Tabela2[[#This Row],[Dividendo / Ação]]/Tabela2[[#This Row],[Lucro por ação]],"")</f>
        <v>0.13422351029343815</v>
      </c>
      <c r="H130" s="59">
        <f>MAX(Tabela2[[#This Row],[Cotação 1]],Tabela2[[#This Row],[Cotação 2]])</f>
        <v>17.14</v>
      </c>
      <c r="I130" s="44">
        <f>IF(Tabela2[[#This Row],[Dividendo / Ação]]&gt;0,Tabela2[[#This Row],[Dividendo / Ação]]/Tabela2[[#This Row],[Cotação]],"")</f>
        <v>9.6393793461659275E-3</v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17.14</v>
      </c>
      <c r="L130" s="17">
        <f>SUMPRODUCT(N([Ativo]=Tabela2[[#This Row],[Ativo]]),N([Exercício]=Tabela2[[#This Row],[Exercício]]-1),[Lucro Líquido])</f>
        <v>2228426774.9000001</v>
      </c>
      <c r="M130" s="19">
        <f>IF(Tabela2[[#This Row],[Lucro Anterior]]=0,"",IF(Tabela2[[#This Row],[Lucro Líquido]]&gt;0,Tabela2[[#This Row],[Lucro Líquido]]/Tabela2[[#This Row],[Lucro Anterior]]-1,0))</f>
        <v>-0.74753358629643707</v>
      </c>
    </row>
    <row r="131" spans="1:13">
      <c r="A131" s="4" t="s">
        <v>405</v>
      </c>
      <c r="B131" s="4">
        <v>2009</v>
      </c>
      <c r="C131" s="6">
        <v>2228426774.9000001</v>
      </c>
      <c r="D131" s="74">
        <f>SUMPRODUCT(N(Tabela3[PAPEL]=Tabela2[[#This Row],[Ativo]]),Tabela3[Total Ações])</f>
        <v>457057334</v>
      </c>
      <c r="E131" s="64">
        <f>(Tabela2[[#This Row],[Lucro Líquido]])/Tabela2[[#This Row],[Total Ações]]</f>
        <v>4.8755957056801105</v>
      </c>
      <c r="F131" s="64">
        <v>0.24224801190112999</v>
      </c>
      <c r="G131" s="43">
        <f>IF(AND(Tabela2[[#This Row],[Dividendo / Ação]]&gt;0,Tabela2[[#This Row],[Lucro por ação]]&gt;0),Tabela2[[#This Row],[Dividendo / Ação]]/Tabela2[[#This Row],[Lucro por ação]],"")</f>
        <v>4.9685828465823978E-2</v>
      </c>
      <c r="H131" s="59">
        <f>MAX(Tabela2[[#This Row],[Cotação 1]],Tabela2[[#This Row],[Cotação 2]])</f>
        <v>17.14</v>
      </c>
      <c r="I131" s="44">
        <f>IF(Tabela2[[#This Row],[Dividendo / Ação]]&gt;0,Tabela2[[#This Row],[Dividendo / Ação]]/Tabela2[[#This Row],[Cotação]],"")</f>
        <v>1.4133489609167443E-2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17.14</v>
      </c>
      <c r="L131" s="17">
        <f>SUMPRODUCT(N([Ativo]=Tabela2[[#This Row],[Ativo]]),N([Exercício]=Tabela2[[#This Row],[Exercício]]-1),[Lucro Líquido])</f>
        <v>0</v>
      </c>
      <c r="M131" s="19" t="str">
        <f>IF(Tabela2[[#This Row],[Lucro Anterior]]=0,"",IF(Tabela2[[#This Row],[Lucro Líquido]]&gt;0,Tabela2[[#This Row],[Lucro Líquido]]/Tabela2[[#This Row],[Lucro Anterior]]-1,0))</f>
        <v/>
      </c>
    </row>
    <row r="132" spans="1:13">
      <c r="A132" s="4" t="s">
        <v>407</v>
      </c>
      <c r="B132" s="4">
        <v>2012</v>
      </c>
      <c r="C132" s="6">
        <v>1216399447.4000001</v>
      </c>
      <c r="D132" s="74">
        <f>SUMPRODUCT(N(Tabela3[PAPEL]=Tabela2[[#This Row],[Ativo]]),Tabela3[Total Ações])</f>
        <v>311612886</v>
      </c>
      <c r="E132" s="64">
        <f>(Tabela2[[#This Row],[Lucro Líquido]])/Tabela2[[#This Row],[Total Ações]]</f>
        <v>3.9035595190373487</v>
      </c>
      <c r="F132" s="64">
        <v>0.51</v>
      </c>
      <c r="G132" s="43">
        <f>IF(AND(Tabela2[[#This Row],[Dividendo / Ação]]&gt;0,Tabela2[[#This Row],[Lucro por ação]]&gt;0),Tabela2[[#This Row],[Dividendo / Ação]]/Tabela2[[#This Row],[Lucro por ação]],"")</f>
        <v>0.1306499868934419</v>
      </c>
      <c r="H132" s="59">
        <f>MAX(Tabela2[[#This Row],[Cotação 1]],Tabela2[[#This Row],[Cotação 2]])</f>
        <v>18</v>
      </c>
      <c r="I132" s="44">
        <f>IF(Tabela2[[#This Row],[Dividendo / Ação]]&gt;0,Tabela2[[#This Row],[Dividendo / Ação]]/Tabela2[[#This Row],[Cotação]],"")</f>
        <v>2.8333333333333335E-2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18</v>
      </c>
      <c r="L132" s="17">
        <f>SUMPRODUCT(N([Ativo]=Tabela2[[#This Row],[Ativo]]),N([Exercício]=Tabela2[[#This Row],[Exercício]]-1),[Lucro Líquido])</f>
        <v>335408130.56999999</v>
      </c>
      <c r="M132" s="19">
        <f>IF(Tabela2[[#This Row],[Lucro Anterior]]=0,"",IF(Tabela2[[#This Row],[Lucro Líquido]]&gt;0,Tabela2[[#This Row],[Lucro Líquido]]/Tabela2[[#This Row],[Lucro Anterior]]-1,0))</f>
        <v>2.6266248088047957</v>
      </c>
    </row>
    <row r="133" spans="1:13">
      <c r="A133" s="4" t="s">
        <v>407</v>
      </c>
      <c r="B133" s="4">
        <v>2011</v>
      </c>
      <c r="C133" s="13">
        <v>335408130.56999999</v>
      </c>
      <c r="D133" s="74">
        <f>SUMPRODUCT(N(Tabela3[PAPEL]=Tabela2[[#This Row],[Ativo]]),Tabela3[Total Ações])</f>
        <v>311612886</v>
      </c>
      <c r="E133" s="64">
        <f>(Tabela2[[#This Row],[Lucro Líquido]])/Tabela2[[#This Row],[Total Ações]]</f>
        <v>1.0763615551187444</v>
      </c>
      <c r="F133" s="64">
        <v>0.19</v>
      </c>
      <c r="G133" s="43">
        <f>IF(AND(Tabela2[[#This Row],[Dividendo / Ação]]&gt;0,Tabela2[[#This Row],[Lucro por ação]]&gt;0),Tabela2[[#This Row],[Dividendo / Ação]]/Tabela2[[#This Row],[Lucro por ação]],"")</f>
        <v>0.17652061158858387</v>
      </c>
      <c r="H133" s="59">
        <f>MAX(Tabela2[[#This Row],[Cotação 1]],Tabela2[[#This Row],[Cotação 2]])</f>
        <v>18</v>
      </c>
      <c r="I133" s="44">
        <f>IF(Tabela2[[#This Row],[Dividendo / Ação]]&gt;0,Tabela2[[#This Row],[Dividendo / Ação]]/Tabela2[[#This Row],[Cotação]],"")</f>
        <v>1.0555555555555556E-2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18</v>
      </c>
      <c r="L133" s="17">
        <f>SUMPRODUCT(N([Ativo]=Tabela2[[#This Row],[Ativo]]),N([Exercício]=Tabela2[[#This Row],[Exercício]]-1),[Lucro Líquido])</f>
        <v>813367859.21000004</v>
      </c>
      <c r="M133" s="19">
        <f>IF(Tabela2[[#This Row],[Lucro Anterior]]=0,"",IF(Tabela2[[#This Row],[Lucro Líquido]]&gt;0,Tabela2[[#This Row],[Lucro Líquido]]/Tabela2[[#This Row],[Lucro Anterior]]-1,0))</f>
        <v>-0.58763045924168689</v>
      </c>
    </row>
    <row r="134" spans="1:13">
      <c r="A134" s="4" t="s">
        <v>407</v>
      </c>
      <c r="B134" s="4">
        <v>2010</v>
      </c>
      <c r="C134" s="6">
        <v>813367859.21000004</v>
      </c>
      <c r="D134" s="74">
        <f>SUMPRODUCT(N(Tabela3[PAPEL]=Tabela2[[#This Row],[Ativo]]),Tabela3[Total Ações])</f>
        <v>311612886</v>
      </c>
      <c r="E134" s="64">
        <f>(Tabela2[[#This Row],[Lucro Líquido]])/Tabela2[[#This Row],[Total Ações]]</f>
        <v>2.6101868560403503</v>
      </c>
      <c r="F134" s="64">
        <v>0.11</v>
      </c>
      <c r="G134" s="43">
        <f>IF(AND(Tabela2[[#This Row],[Dividendo / Ação]]&gt;0,Tabela2[[#This Row],[Lucro por ação]]&gt;0),Tabela2[[#This Row],[Dividendo / Ação]]/Tabela2[[#This Row],[Lucro por ação]],"")</f>
        <v>4.2142576783514206E-2</v>
      </c>
      <c r="H134" s="59">
        <f>MAX(Tabela2[[#This Row],[Cotação 1]],Tabela2[[#This Row],[Cotação 2]])</f>
        <v>18</v>
      </c>
      <c r="I134" s="44">
        <f>IF(Tabela2[[#This Row],[Dividendo / Ação]]&gt;0,Tabela2[[#This Row],[Dividendo / Ação]]/Tabela2[[#This Row],[Cotação]],"")</f>
        <v>6.1111111111111114E-3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18</v>
      </c>
      <c r="L134" s="17">
        <f>SUMPRODUCT(N([Ativo]=Tabela2[[#This Row],[Ativo]]),N([Exercício]=Tabela2[[#This Row],[Exercício]]-1),[Lucro Líquido])</f>
        <v>0</v>
      </c>
      <c r="M134" s="19" t="str">
        <f>IF(Tabela2[[#This Row],[Lucro Anterior]]=0,"",IF(Tabela2[[#This Row],[Lucro Líquido]]&gt;0,Tabela2[[#This Row],[Lucro Líquido]]/Tabela2[[#This Row],[Lucro Anterior]]-1,0))</f>
        <v/>
      </c>
    </row>
    <row r="135" spans="1:13">
      <c r="A135" s="14" t="s">
        <v>225</v>
      </c>
      <c r="B135" s="3">
        <v>2012</v>
      </c>
      <c r="C135" s="5">
        <v>818590368.54999995</v>
      </c>
      <c r="D135" s="60">
        <f>SUMPRODUCT(N(Tabela3[PAPEL]=Tabela2[[#This Row],[Ativo]]),Tabela3[Total Ações])</f>
        <v>408974477</v>
      </c>
      <c r="E135" s="63">
        <f>(Tabela2[[#This Row],[Lucro Líquido]])/Tabela2[[#This Row],[Total Ações]]</f>
        <v>2.0015683486038176</v>
      </c>
      <c r="F135" s="63">
        <v>0.79800700000000002</v>
      </c>
      <c r="G135" s="22">
        <f>IF(AND(Tabela2[[#This Row],[Dividendo / Ação]]&gt;0,Tabela2[[#This Row],[Lucro por ação]]&gt;0),Tabela2[[#This Row],[Dividendo / Ação]]/Tabela2[[#This Row],[Lucro por ação]],"")</f>
        <v>0.39869085687563216</v>
      </c>
      <c r="H135" s="5">
        <f>MAX(Tabela2[[#This Row],[Cotação 1]],Tabela2[[#This Row],[Cotação 2]])</f>
        <v>12.2</v>
      </c>
      <c r="I135" s="18">
        <f>IF(Tabela2[[#This Row],[Dividendo / Ação]]&gt;0,Tabela2[[#This Row],[Dividendo / Ação]]/Tabela2[[#This Row],[Cotação]],"")</f>
        <v>6.5410409836065581E-2</v>
      </c>
      <c r="J135" s="58">
        <f>SUMPRODUCT(N(Tabela1[Código]=Tabela2[[#This Row],[Ativo]]),Tabela1[Fechamento])</f>
        <v>12.2</v>
      </c>
      <c r="K135" s="58">
        <f>SUMPRODUCT(N(Tabela17[Código]=Tabela2[[#This Row],[Ativo]]),Tabela17[Fechamento])</f>
        <v>0</v>
      </c>
      <c r="L135" s="58">
        <f>SUMPRODUCT(N([Ativo]=Tabela2[[#This Row],[Ativo]]),N([Exercício]=Tabela2[[#This Row],[Exercício]]-1),[Lucro Líquido])</f>
        <v>904348943.24000001</v>
      </c>
      <c r="M135" s="18">
        <f>IF(Tabela2[[#This Row],[Lucro Anterior]]=0,"",IF(Tabela2[[#This Row],[Lucro Líquido]]&gt;0,Tabela2[[#This Row],[Lucro Líquido]]/Tabela2[[#This Row],[Lucro Anterior]]-1,0))</f>
        <v>-9.4829076023192793E-2</v>
      </c>
    </row>
    <row r="136" spans="1:13">
      <c r="A136" s="14" t="s">
        <v>225</v>
      </c>
      <c r="B136" s="3">
        <v>2011</v>
      </c>
      <c r="C136" s="5">
        <v>904348943.24000001</v>
      </c>
      <c r="D136" s="60">
        <f>SUMPRODUCT(N(Tabela3[PAPEL]=Tabela2[[#This Row],[Ativo]]),Tabela3[Total Ações])</f>
        <v>408974477</v>
      </c>
      <c r="E136" s="63">
        <f>(Tabela2[[#This Row],[Lucro Líquido]])/Tabela2[[#This Row],[Total Ações]]</f>
        <v>2.2112601008106432</v>
      </c>
      <c r="F136" s="63">
        <v>0.840279</v>
      </c>
      <c r="G136" s="22">
        <f>IF(AND(Tabela2[[#This Row],[Dividendo / Ação]]&gt;0,Tabela2[[#This Row],[Lucro por ação]]&gt;0),Tabela2[[#This Row],[Dividendo / Ação]]/Tabela2[[#This Row],[Lucro por ação]],"")</f>
        <v>0.38000007312208794</v>
      </c>
      <c r="H136" s="5">
        <f>MAX(Tabela2[[#This Row],[Cotação 1]],Tabela2[[#This Row],[Cotação 2]])</f>
        <v>12.2</v>
      </c>
      <c r="I136" s="18">
        <f>IF(Tabela2[[#This Row],[Dividendo / Ação]]&gt;0,Tabela2[[#This Row],[Dividendo / Ação]]/Tabela2[[#This Row],[Cotação]],"")</f>
        <v>6.8875327868852462E-2</v>
      </c>
      <c r="J136" s="58">
        <f>SUMPRODUCT(N(Tabela1[Código]=Tabela2[[#This Row],[Ativo]]),Tabela1[Fechamento])</f>
        <v>12.2</v>
      </c>
      <c r="K136" s="58">
        <f>SUMPRODUCT(N(Tabela17[Código]=Tabela2[[#This Row],[Ativo]]),Tabela17[Fechamento])</f>
        <v>0</v>
      </c>
      <c r="L136" s="58">
        <f>SUMPRODUCT(N([Ativo]=Tabela2[[#This Row],[Ativo]]),N([Exercício]=Tabela2[[#This Row],[Exercício]]-1),[Lucro Líquido])</f>
        <v>0</v>
      </c>
      <c r="M136" s="18" t="str">
        <f>IF(Tabela2[[#This Row],[Lucro Anterior]]=0,"",IF(Tabela2[[#This Row],[Lucro Líquido]]&gt;0,Tabela2[[#This Row],[Lucro Líquido]]/Tabela2[[#This Row],[Lucro Anterior]]-1,0))</f>
        <v/>
      </c>
    </row>
    <row r="137" spans="1:13">
      <c r="A137" s="14" t="s">
        <v>226</v>
      </c>
      <c r="B137" s="3">
        <v>2012</v>
      </c>
      <c r="C137" s="5">
        <v>818590368.54999995</v>
      </c>
      <c r="D137" s="60">
        <f>SUMPRODUCT(N(Tabela3[PAPEL]=Tabela2[[#This Row],[Ativo]]),Tabela3[Total Ações])</f>
        <v>408974477</v>
      </c>
      <c r="E137" s="63">
        <f>(Tabela2[[#This Row],[Lucro Líquido]])/Tabela2[[#This Row],[Total Ações]]</f>
        <v>2.0015683486038176</v>
      </c>
      <c r="F137" s="63">
        <v>0.82645999999999997</v>
      </c>
      <c r="G137" s="22">
        <f>IF(AND(Tabela2[[#This Row],[Dividendo / Ação]]&gt;0,Tabela2[[#This Row],[Lucro por ação]]&gt;0),Tabela2[[#This Row],[Dividendo / Ação]]/Tabela2[[#This Row],[Lucro por ação]],"")</f>
        <v>0.41290620956136337</v>
      </c>
      <c r="H137" s="5">
        <f>MAX(Tabela2[[#This Row],[Cotação 1]],Tabela2[[#This Row],[Cotação 2]])</f>
        <v>15.72</v>
      </c>
      <c r="I137" s="18">
        <f>IF(Tabela2[[#This Row],[Dividendo / Ação]]&gt;0,Tabela2[[#This Row],[Dividendo / Ação]]/Tabela2[[#This Row],[Cotação]],"")</f>
        <v>5.2573791348600504E-2</v>
      </c>
      <c r="J137" s="58">
        <f>SUMPRODUCT(N(Tabela1[Código]=Tabela2[[#This Row],[Ativo]]),Tabela1[Fechamento])</f>
        <v>15.72</v>
      </c>
      <c r="K137" s="58">
        <f>SUMPRODUCT(N(Tabela17[Código]=Tabela2[[#This Row],[Ativo]]),Tabela17[Fechamento])</f>
        <v>0</v>
      </c>
      <c r="L137" s="58">
        <f>SUMPRODUCT(N([Ativo]=Tabela2[[#This Row],[Ativo]]),N([Exercício]=Tabela2[[#This Row],[Exercício]]-1),[Lucro Líquido])</f>
        <v>904348943.24000001</v>
      </c>
      <c r="M137" s="18">
        <f>IF(Tabela2[[#This Row],[Lucro Anterior]]=0,"",IF(Tabela2[[#This Row],[Lucro Líquido]]&gt;0,Tabela2[[#This Row],[Lucro Líquido]]/Tabela2[[#This Row],[Lucro Anterior]]-1,0))</f>
        <v>-9.4829076023192793E-2</v>
      </c>
    </row>
    <row r="138" spans="1:13">
      <c r="A138" s="14" t="s">
        <v>226</v>
      </c>
      <c r="B138" s="3">
        <v>2011</v>
      </c>
      <c r="C138" s="5">
        <v>904348943.24000001</v>
      </c>
      <c r="D138" s="60">
        <f>SUMPRODUCT(N(Tabela3[PAPEL]=Tabela2[[#This Row],[Ativo]]),Tabela3[Total Ações])</f>
        <v>408974477</v>
      </c>
      <c r="E138" s="63">
        <f>(Tabela2[[#This Row],[Lucro Líquido]])/Tabela2[[#This Row],[Total Ações]]</f>
        <v>2.2112601008106432</v>
      </c>
      <c r="F138" s="63">
        <v>0.82327300000000003</v>
      </c>
      <c r="G138" s="22">
        <f>IF(AND(Tabela2[[#This Row],[Dividendo / Ação]]&gt;0,Tabela2[[#This Row],[Lucro por ação]]&gt;0),Tabela2[[#This Row],[Dividendo / Ação]]/Tabela2[[#This Row],[Lucro por ação]],"")</f>
        <v>0.37230943555585794</v>
      </c>
      <c r="H138" s="5">
        <f>MAX(Tabela2[[#This Row],[Cotação 1]],Tabela2[[#This Row],[Cotação 2]])</f>
        <v>15.72</v>
      </c>
      <c r="I138" s="18">
        <f>IF(Tabela2[[#This Row],[Dividendo / Ação]]&gt;0,Tabela2[[#This Row],[Dividendo / Ação]]/Tabela2[[#This Row],[Cotação]],"")</f>
        <v>5.2371055979643769E-2</v>
      </c>
      <c r="J138" s="58">
        <f>SUMPRODUCT(N(Tabela1[Código]=Tabela2[[#This Row],[Ativo]]),Tabela1[Fechamento])</f>
        <v>15.72</v>
      </c>
      <c r="K138" s="58">
        <f>SUMPRODUCT(N(Tabela17[Código]=Tabela2[[#This Row],[Ativo]]),Tabela17[Fechamento])</f>
        <v>0</v>
      </c>
      <c r="L138" s="58">
        <f>SUMPRODUCT(N([Ativo]=Tabela2[[#This Row],[Ativo]]),N([Exercício]=Tabela2[[#This Row],[Exercício]]-1),[Lucro Líquido])</f>
        <v>0</v>
      </c>
      <c r="M138" s="18" t="str">
        <f>IF(Tabela2[[#This Row],[Lucro Anterior]]=0,"",IF(Tabela2[[#This Row],[Lucro Líquido]]&gt;0,Tabela2[[#This Row],[Lucro Líquido]]/Tabela2[[#This Row],[Lucro Anterior]]-1,0))</f>
        <v/>
      </c>
    </row>
    <row r="139" spans="1:13">
      <c r="A139" s="14" t="s">
        <v>23</v>
      </c>
      <c r="B139" s="4">
        <v>2012</v>
      </c>
      <c r="C139" s="5">
        <v>818590368.54999995</v>
      </c>
      <c r="D139" s="8">
        <f>SUMPRODUCT(N(Tabela3[PAPEL]=Tabela2[[#This Row],[Ativo]]),Tabela3[Total Ações])</f>
        <v>408974477</v>
      </c>
      <c r="E139" s="64">
        <f>(Tabela2[[#This Row],[Lucro Líquido]])/Tabela2[[#This Row],[Total Ações]]</f>
        <v>2.0015683486038176</v>
      </c>
      <c r="F139" s="64">
        <v>0.79800700000000002</v>
      </c>
      <c r="G139" s="44">
        <f>IF(AND(Tabela2[[#This Row],[Dividendo / Ação]]&gt;0,Tabela2[[#This Row],[Lucro por ação]]&gt;0),Tabela2[[#This Row],[Dividendo / Ação]]/Tabela2[[#This Row],[Lucro por ação]],"")</f>
        <v>0.39869085687563216</v>
      </c>
      <c r="H139" s="6">
        <f>MAX(Tabela2[[#This Row],[Cotação 1]],Tabela2[[#This Row],[Cotação 2]])</f>
        <v>11.92</v>
      </c>
      <c r="I139" s="19">
        <f>IF(Tabela2[[#This Row],[Dividendo / Ação]]&gt;0,Tabela2[[#This Row],[Dividendo / Ação]]/Tabela2[[#This Row],[Cotação]],"")</f>
        <v>6.6946895973154369E-2</v>
      </c>
      <c r="J139" s="59">
        <f>SUMPRODUCT(N(Tabela1[Código]=Tabela2[[#This Row],[Ativo]]),Tabela1[Fechamento])</f>
        <v>11.92</v>
      </c>
      <c r="K139" s="59">
        <f>SUMPRODUCT(N(Tabela17[Código]=Tabela2[[#This Row],[Ativo]]),Tabela17[Fechamento])</f>
        <v>0</v>
      </c>
      <c r="L139" s="59">
        <f>SUMPRODUCT(N([Ativo]=Tabela2[[#This Row],[Ativo]]),N([Exercício]=Tabela2[[#This Row],[Exercício]]-1),[Lucro Líquido])</f>
        <v>904348943.24000001</v>
      </c>
      <c r="M139" s="19">
        <f>IF(Tabela2[[#This Row],[Lucro Anterior]]=0,"",IF(Tabela2[[#This Row],[Lucro Líquido]]&gt;0,Tabela2[[#This Row],[Lucro Líquido]]/Tabela2[[#This Row],[Lucro Anterior]]-1,0))</f>
        <v>-9.4829076023192793E-2</v>
      </c>
    </row>
    <row r="140" spans="1:13">
      <c r="A140" s="14" t="s">
        <v>23</v>
      </c>
      <c r="B140" s="4">
        <v>2011</v>
      </c>
      <c r="C140" s="5">
        <v>904348943.24000001</v>
      </c>
      <c r="D140" s="8">
        <f>SUMPRODUCT(N(Tabela3[PAPEL]=Tabela2[[#This Row],[Ativo]]),Tabela3[Total Ações])</f>
        <v>408974477</v>
      </c>
      <c r="E140" s="64">
        <f>(Tabela2[[#This Row],[Lucro Líquido]])/Tabela2[[#This Row],[Total Ações]]</f>
        <v>2.2112601008106432</v>
      </c>
      <c r="F140" s="64">
        <v>0.84058699999999997</v>
      </c>
      <c r="G140" s="44">
        <f>IF(AND(Tabela2[[#This Row],[Dividendo / Ação]]&gt;0,Tabela2[[#This Row],[Lucro por ação]]&gt;0),Tabela2[[#This Row],[Dividendo / Ação]]/Tabela2[[#This Row],[Lucro por ação]],"")</f>
        <v>0.3801393602190184</v>
      </c>
      <c r="H140" s="6">
        <f>MAX(Tabela2[[#This Row],[Cotação 1]],Tabela2[[#This Row],[Cotação 2]])</f>
        <v>11.92</v>
      </c>
      <c r="I140" s="19">
        <f>IF(Tabela2[[#This Row],[Dividendo / Ação]]&gt;0,Tabela2[[#This Row],[Dividendo / Ação]]/Tabela2[[#This Row],[Cotação]],"")</f>
        <v>7.0519043624161074E-2</v>
      </c>
      <c r="J140" s="59">
        <f>SUMPRODUCT(N(Tabela1[Código]=Tabela2[[#This Row],[Ativo]]),Tabela1[Fechamento])</f>
        <v>11.92</v>
      </c>
      <c r="K140" s="59">
        <f>SUMPRODUCT(N(Tabela17[Código]=Tabela2[[#This Row],[Ativo]]),Tabela17[Fechamento])</f>
        <v>0</v>
      </c>
      <c r="L140" s="59">
        <f>SUMPRODUCT(N([Ativo]=Tabela2[[#This Row],[Ativo]]),N([Exercício]=Tabela2[[#This Row],[Exercício]]-1),[Lucro Líquido])</f>
        <v>0</v>
      </c>
      <c r="M140" s="19" t="str">
        <f>IF(Tabela2[[#This Row],[Lucro Anterior]]=0,"",IF(Tabela2[[#This Row],[Lucro Líquido]]&gt;0,Tabela2[[#This Row],[Lucro Líquido]]/Tabela2[[#This Row],[Lucro Anterior]]-1,0))</f>
        <v/>
      </c>
    </row>
    <row r="141" spans="1:13">
      <c r="A141" s="15" t="s">
        <v>240</v>
      </c>
      <c r="B141" s="3">
        <v>2012</v>
      </c>
      <c r="C141" s="5">
        <v>215388793.88999999</v>
      </c>
      <c r="D141" s="60">
        <f>SUMPRODUCT(N(Tabela3[PAPEL]=Tabela2[[#This Row],[Ativo]]),Tabela3[Total Ações])</f>
        <v>36304650</v>
      </c>
      <c r="E141" s="63">
        <f>(Tabela2[[#This Row],[Lucro Líquido]])/Tabela2[[#This Row],[Total Ações]]</f>
        <v>5.9328156004809296</v>
      </c>
      <c r="F141" s="63">
        <v>1.375</v>
      </c>
      <c r="G141" s="22">
        <f>IF(AND(Tabela2[[#This Row],[Dividendo / Ação]]&gt;0,Tabela2[[#This Row],[Lucro por ação]]&gt;0),Tabela2[[#This Row],[Dividendo / Ação]]/Tabela2[[#This Row],[Lucro por ação]],"")</f>
        <v>0.23176179618468826</v>
      </c>
      <c r="H141" s="5">
        <f>MAX(Tabela2[[#This Row],[Cotação 1]],Tabela2[[#This Row],[Cotação 2]])</f>
        <v>27.5</v>
      </c>
      <c r="I141" s="18">
        <f>IF(Tabela2[[#This Row],[Dividendo / Ação]]&gt;0,Tabela2[[#This Row],[Dividendo / Ação]]/Tabela2[[#This Row],[Cotação]],"")</f>
        <v>0.05</v>
      </c>
      <c r="J141" s="58">
        <f>SUMPRODUCT(N(Tabela1[Código]=Tabela2[[#This Row],[Ativo]]),Tabela1[Fechamento])</f>
        <v>27.5</v>
      </c>
      <c r="K141" s="58">
        <f>SUMPRODUCT(N(Tabela17[Código]=Tabela2[[#This Row],[Ativo]]),Tabela17[Fechamento])</f>
        <v>0</v>
      </c>
      <c r="L141" s="58">
        <f>SUMPRODUCT(N([Ativo]=Tabela2[[#This Row],[Ativo]]),N([Exercício]=Tabela2[[#This Row],[Exercício]]-1),[Lucro Líquido])</f>
        <v>96039575.989999995</v>
      </c>
      <c r="M141" s="18">
        <f>IF(Tabela2[[#This Row],[Lucro Anterior]]=0,"",IF(Tabela2[[#This Row],[Lucro Líquido]]&gt;0,Tabela2[[#This Row],[Lucro Líquido]]/Tabela2[[#This Row],[Lucro Anterior]]-1,0))</f>
        <v>1.2427087132540766</v>
      </c>
    </row>
    <row r="142" spans="1:13">
      <c r="A142" s="15" t="s">
        <v>240</v>
      </c>
      <c r="B142" s="3">
        <v>2011</v>
      </c>
      <c r="C142" s="5">
        <v>96039575.989999995</v>
      </c>
      <c r="D142" s="60">
        <f>SUMPRODUCT(N(Tabela3[PAPEL]=Tabela2[[#This Row],[Ativo]]),Tabela3[Total Ações])</f>
        <v>36304650</v>
      </c>
      <c r="E142" s="63">
        <f>(Tabela2[[#This Row],[Lucro Líquido]])/Tabela2[[#This Row],[Total Ações]]</f>
        <v>2.6453794759073559</v>
      </c>
      <c r="F142" s="63">
        <v>0.59060447900000002</v>
      </c>
      <c r="G142" s="22">
        <f>IF(AND(Tabela2[[#This Row],[Dividendo / Ação]]&gt;0,Tabela2[[#This Row],[Lucro por ação]]&gt;0),Tabela2[[#This Row],[Dividendo / Ação]]/Tabela2[[#This Row],[Lucro por ação]],"")</f>
        <v>0.22325888757318069</v>
      </c>
      <c r="H142" s="5">
        <f>MAX(Tabela2[[#This Row],[Cotação 1]],Tabela2[[#This Row],[Cotação 2]])</f>
        <v>27.5</v>
      </c>
      <c r="I142" s="18">
        <f>IF(Tabela2[[#This Row],[Dividendo / Ação]]&gt;0,Tabela2[[#This Row],[Dividendo / Ação]]/Tabela2[[#This Row],[Cotação]],"")</f>
        <v>2.1476526509090911E-2</v>
      </c>
      <c r="J142" s="58">
        <f>SUMPRODUCT(N(Tabela1[Código]=Tabela2[[#This Row],[Ativo]]),Tabela1[Fechamento])</f>
        <v>27.5</v>
      </c>
      <c r="K142" s="58">
        <f>SUMPRODUCT(N(Tabela17[Código]=Tabela2[[#This Row],[Ativo]]),Tabela17[Fechamento])</f>
        <v>0</v>
      </c>
      <c r="L142" s="58">
        <f>SUMPRODUCT(N([Ativo]=Tabela2[[#This Row],[Ativo]]),N([Exercício]=Tabela2[[#This Row],[Exercício]]-1),[Lucro Líquido])</f>
        <v>196040834.49000001</v>
      </c>
      <c r="M142" s="18">
        <f>IF(Tabela2[[#This Row],[Lucro Anterior]]=0,"",IF(Tabela2[[#This Row],[Lucro Líquido]]&gt;0,Tabela2[[#This Row],[Lucro Líquido]]/Tabela2[[#This Row],[Lucro Anterior]]-1,0))</f>
        <v>-0.51010422782658094</v>
      </c>
    </row>
    <row r="143" spans="1:13">
      <c r="A143" s="15" t="s">
        <v>240</v>
      </c>
      <c r="B143" s="3">
        <v>2010</v>
      </c>
      <c r="C143" s="6">
        <v>196040834.49000001</v>
      </c>
      <c r="D143" s="60">
        <f>SUMPRODUCT(N(Tabela3[PAPEL]=Tabela2[[#This Row],[Ativo]]),Tabela3[Total Ações])</f>
        <v>36304650</v>
      </c>
      <c r="E143" s="63">
        <f>(Tabela2[[#This Row],[Lucro Líquido]])/Tabela2[[#This Row],[Total Ações]]</f>
        <v>5.3998822324412989</v>
      </c>
      <c r="F143" s="63">
        <v>0.52209249599999996</v>
      </c>
      <c r="G143" s="22">
        <f>IF(AND(Tabela2[[#This Row],[Dividendo / Ação]]&gt;0,Tabela2[[#This Row],[Lucro por ação]]&gt;0),Tabela2[[#This Row],[Dividendo / Ação]]/Tabela2[[#This Row],[Lucro por ação]],"")</f>
        <v>9.6685904159795125E-2</v>
      </c>
      <c r="H143" s="5">
        <f>MAX(Tabela2[[#This Row],[Cotação 1]],Tabela2[[#This Row],[Cotação 2]])</f>
        <v>27.5</v>
      </c>
      <c r="I143" s="18">
        <f>IF(Tabela2[[#This Row],[Dividendo / Ação]]&gt;0,Tabela2[[#This Row],[Dividendo / Ação]]/Tabela2[[#This Row],[Cotação]],"")</f>
        <v>1.898518167272727E-2</v>
      </c>
      <c r="J143" s="58">
        <f>SUMPRODUCT(N(Tabela1[Código]=Tabela2[[#This Row],[Ativo]]),Tabela1[Fechamento])</f>
        <v>27.5</v>
      </c>
      <c r="K143" s="58">
        <f>SUMPRODUCT(N(Tabela17[Código]=Tabela2[[#This Row],[Ativo]]),Tabela17[Fechamento])</f>
        <v>0</v>
      </c>
      <c r="L143" s="58">
        <f>SUMPRODUCT(N([Ativo]=Tabela2[[#This Row],[Ativo]]),N([Exercício]=Tabela2[[#This Row],[Exercício]]-1),[Lucro Líquido])</f>
        <v>190454809.5</v>
      </c>
      <c r="M143" s="18">
        <f>IF(Tabela2[[#This Row],[Lucro Anterior]]=0,"",IF(Tabela2[[#This Row],[Lucro Líquido]]&gt;0,Tabela2[[#This Row],[Lucro Líquido]]/Tabela2[[#This Row],[Lucro Anterior]]-1,0))</f>
        <v>2.9329923485077458E-2</v>
      </c>
    </row>
    <row r="144" spans="1:13">
      <c r="A144" s="15" t="s">
        <v>240</v>
      </c>
      <c r="B144" s="3">
        <v>2009</v>
      </c>
      <c r="C144" s="5">
        <v>190454809.5</v>
      </c>
      <c r="D144" s="60">
        <f>SUMPRODUCT(N(Tabela3[PAPEL]=Tabela2[[#This Row],[Ativo]]),Tabela3[Total Ações])</f>
        <v>36304650</v>
      </c>
      <c r="E144" s="63">
        <f>(Tabela2[[#This Row],[Lucro Líquido]])/Tabela2[[#This Row],[Total Ações]]</f>
        <v>5.2460169565055716</v>
      </c>
      <c r="F144" s="63">
        <v>0.18859646699999999</v>
      </c>
      <c r="G144" s="22">
        <f>IF(AND(Tabela2[[#This Row],[Dividendo / Ação]]&gt;0,Tabela2[[#This Row],[Lucro por ação]]&gt;0),Tabela2[[#This Row],[Dividendo / Ação]]/Tabela2[[#This Row],[Lucro por ação]],"")</f>
        <v>3.5950411247932017E-2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6.8580533454545454E-3</v>
      </c>
      <c r="J144" s="58">
        <f>SUMPRODUCT(N(Tabela1[Código]=Tabela2[[#This Row],[Ativo]]),Tabela1[Fechamento])</f>
        <v>27.5</v>
      </c>
      <c r="K144" s="58">
        <f>SUMPRODUCT(N(Tabela17[Código]=Tabela2[[#This Row],[Ativo]]),Tabela17[Fechamento])</f>
        <v>0</v>
      </c>
      <c r="L144" s="58">
        <f>SUMPRODUCT(N([Ativo]=Tabela2[[#This Row],[Ativo]]),N([Exercício]=Tabela2[[#This Row],[Exercício]]-1),[Lucro Líquido])</f>
        <v>0</v>
      </c>
      <c r="M144" s="18" t="str">
        <f>IF(Tabela2[[#This Row],[Lucro Anterior]]=0,"",IF(Tabela2[[#This Row],[Lucro Líquido]]&gt;0,Tabela2[[#This Row],[Lucro Líquido]]/Tabela2[[#This Row],[Lucro Anterior]]-1,0))</f>
        <v/>
      </c>
    </row>
    <row r="145" spans="1:14">
      <c r="A145" s="14" t="s">
        <v>241</v>
      </c>
      <c r="B145" s="4">
        <v>2012</v>
      </c>
      <c r="C145" s="5">
        <v>215388793.88999999</v>
      </c>
      <c r="D145" s="8">
        <f>SUMPRODUCT(N(Tabela3[PAPEL]=Tabela2[[#This Row],[Ativo]]),Tabela3[Total Ações])</f>
        <v>36304650</v>
      </c>
      <c r="E145" s="64">
        <f>(Tabela2[[#This Row],[Lucro Líquido]])/Tabela2[[#This Row],[Total Ações]]</f>
        <v>5.9328156004809296</v>
      </c>
      <c r="F145" s="64">
        <v>1.5129999999999999</v>
      </c>
      <c r="G145" s="44">
        <f>IF(AND(Tabela2[[#This Row],[Dividendo / Ação]]&gt;0,Tabela2[[#This Row],[Lucro por ação]]&gt;0),Tabela2[[#This Row],[Dividendo / Ação]]/Tabela2[[#This Row],[Lucro por ação]],"")</f>
        <v>0.2550222528199515</v>
      </c>
      <c r="H145" s="6">
        <f>MAX(Tabela2[[#This Row],[Cotação 1]],Tabela2[[#This Row],[Cotação 2]])</f>
        <v>29.99</v>
      </c>
      <c r="I145" s="19">
        <f>IF(Tabela2[[#This Row],[Dividendo / Ação]]&gt;0,Tabela2[[#This Row],[Dividendo / Ação]]/Tabela2[[#This Row],[Cotação]],"")</f>
        <v>5.0450150050016671E-2</v>
      </c>
      <c r="J145" s="59">
        <f>SUMPRODUCT(N(Tabela1[Código]=Tabela2[[#This Row],[Ativo]]),Tabela1[Fechamento])</f>
        <v>29.99</v>
      </c>
      <c r="K145" s="59">
        <f>SUMPRODUCT(N(Tabela17[Código]=Tabela2[[#This Row],[Ativo]]),Tabela17[Fechamento])</f>
        <v>0</v>
      </c>
      <c r="L145" s="59">
        <f>SUMPRODUCT(N([Ativo]=Tabela2[[#This Row],[Ativo]]),N([Exercício]=Tabela2[[#This Row],[Exercício]]-1),[Lucro Líquido])</f>
        <v>96039575.989999995</v>
      </c>
      <c r="M145" s="19">
        <f>IF(Tabela2[[#This Row],[Lucro Anterior]]=0,"",IF(Tabela2[[#This Row],[Lucro Líquido]]&gt;0,Tabela2[[#This Row],[Lucro Líquido]]/Tabela2[[#This Row],[Lucro Anterior]]-1,0))</f>
        <v>1.2427087132540766</v>
      </c>
    </row>
    <row r="146" spans="1:14">
      <c r="A146" s="14" t="s">
        <v>241</v>
      </c>
      <c r="B146" s="4">
        <v>2011</v>
      </c>
      <c r="C146" s="5">
        <v>96039575.989999995</v>
      </c>
      <c r="D146" s="8">
        <f>SUMPRODUCT(N(Tabela3[PAPEL]=Tabela2[[#This Row],[Ativo]]),Tabela3[Total Ações])</f>
        <v>36304650</v>
      </c>
      <c r="E146" s="64">
        <f>(Tabela2[[#This Row],[Lucro Líquido]])/Tabela2[[#This Row],[Total Ações]]</f>
        <v>2.6453794759073559</v>
      </c>
      <c r="F146" s="64">
        <v>0.649664927</v>
      </c>
      <c r="G146" s="44">
        <f>IF(AND(Tabela2[[#This Row],[Dividendo / Ação]]&gt;0,Tabela2[[#This Row],[Lucro por ação]]&gt;0),Tabela2[[#This Row],[Dividendo / Ação]]/Tabela2[[#This Row],[Lucro por ação]],"")</f>
        <v>0.24558477636830051</v>
      </c>
      <c r="H146" s="6">
        <f>MAX(Tabela2[[#This Row],[Cotação 1]],Tabela2[[#This Row],[Cotação 2]])</f>
        <v>29.99</v>
      </c>
      <c r="I146" s="19">
        <f>IF(Tabela2[[#This Row],[Dividendo / Ação]]&gt;0,Tabela2[[#This Row],[Dividendo / Ação]]/Tabela2[[#This Row],[Cotação]],"")</f>
        <v>2.1662718472824277E-2</v>
      </c>
      <c r="J146" s="59">
        <f>SUMPRODUCT(N(Tabela1[Código]=Tabela2[[#This Row],[Ativo]]),Tabela1[Fechamento])</f>
        <v>29.99</v>
      </c>
      <c r="K146" s="59">
        <f>SUMPRODUCT(N(Tabela17[Código]=Tabela2[[#This Row],[Ativo]]),Tabela17[Fechamento])</f>
        <v>0</v>
      </c>
      <c r="L146" s="59">
        <f>SUMPRODUCT(N([Ativo]=Tabela2[[#This Row],[Ativo]]),N([Exercício]=Tabela2[[#This Row],[Exercício]]-1),[Lucro Líquido])</f>
        <v>196040834.49000001</v>
      </c>
      <c r="M146" s="19">
        <f>IF(Tabela2[[#This Row],[Lucro Anterior]]=0,"",IF(Tabela2[[#This Row],[Lucro Líquido]]&gt;0,Tabela2[[#This Row],[Lucro Líquido]]/Tabela2[[#This Row],[Lucro Anterior]]-1,0))</f>
        <v>-0.51010422782658094</v>
      </c>
    </row>
    <row r="147" spans="1:14">
      <c r="A147" s="14" t="s">
        <v>241</v>
      </c>
      <c r="B147" s="4">
        <v>2010</v>
      </c>
      <c r="C147" s="6">
        <v>196040834.49000001</v>
      </c>
      <c r="D147" s="8">
        <f>SUMPRODUCT(N(Tabela3[PAPEL]=Tabela2[[#This Row],[Ativo]]),Tabela3[Total Ações])</f>
        <v>36304650</v>
      </c>
      <c r="E147" s="64">
        <f>(Tabela2[[#This Row],[Lucro Líquido]])/Tabela2[[#This Row],[Total Ações]]</f>
        <v>5.3998822324412989</v>
      </c>
      <c r="F147" s="64">
        <v>1.954906128</v>
      </c>
      <c r="G147" s="44">
        <f>IF(AND(Tabela2[[#This Row],[Dividendo / Ação]]&gt;0,Tabela2[[#This Row],[Lucro por ação]]&gt;0),Tabela2[[#This Row],[Dividendo / Ação]]/Tabela2[[#This Row],[Lucro por ação]],"")</f>
        <v>0.3620275487223325</v>
      </c>
      <c r="H147" s="6">
        <f>MAX(Tabela2[[#This Row],[Cotação 1]],Tabela2[[#This Row],[Cotação 2]])</f>
        <v>29.99</v>
      </c>
      <c r="I147" s="19">
        <f>IF(Tabela2[[#This Row],[Dividendo / Ação]]&gt;0,Tabela2[[#This Row],[Dividendo / Ação]]/Tabela2[[#This Row],[Cotação]],"")</f>
        <v>6.5185266022007332E-2</v>
      </c>
      <c r="J147" s="59">
        <f>SUMPRODUCT(N(Tabela1[Código]=Tabela2[[#This Row],[Ativo]]),Tabela1[Fechamento])</f>
        <v>29.99</v>
      </c>
      <c r="K147" s="59">
        <f>SUMPRODUCT(N(Tabela17[Código]=Tabela2[[#This Row],[Ativo]]),Tabela17[Fechamento])</f>
        <v>0</v>
      </c>
      <c r="L147" s="59">
        <f>SUMPRODUCT(N([Ativo]=Tabela2[[#This Row],[Ativo]]),N([Exercício]=Tabela2[[#This Row],[Exercício]]-1),[Lucro Líquido])</f>
        <v>190454809.5</v>
      </c>
      <c r="M147" s="19">
        <f>IF(Tabela2[[#This Row],[Lucro Anterior]]=0,"",IF(Tabela2[[#This Row],[Lucro Líquido]]&gt;0,Tabela2[[#This Row],[Lucro Líquido]]/Tabela2[[#This Row],[Lucro Anterior]]-1,0))</f>
        <v>2.9329923485077458E-2</v>
      </c>
    </row>
    <row r="148" spans="1:14">
      <c r="A148" s="14" t="s">
        <v>241</v>
      </c>
      <c r="B148" s="4">
        <v>2009</v>
      </c>
      <c r="C148" s="5">
        <v>190454809.5</v>
      </c>
      <c r="D148" s="8">
        <f>SUMPRODUCT(N(Tabela3[PAPEL]=Tabela2[[#This Row],[Ativo]]),Tabela3[Total Ações])</f>
        <v>36304650</v>
      </c>
      <c r="E148" s="64">
        <f>(Tabela2[[#This Row],[Lucro Líquido]])/Tabela2[[#This Row],[Total Ações]]</f>
        <v>5.2460169565055716</v>
      </c>
      <c r="F148" s="64">
        <v>1.4895923250000001</v>
      </c>
      <c r="G148" s="44">
        <f>IF(AND(Tabela2[[#This Row],[Dividendo / Ação]]&gt;0,Tabela2[[#This Row],[Lucro por ação]]&gt;0),Tabela2[[#This Row],[Dividendo / Ação]]/Tabela2[[#This Row],[Lucro por ação]],"")</f>
        <v>0.28394729512888067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4.9669634044681568E-2</v>
      </c>
      <c r="J148" s="59">
        <f>SUMPRODUCT(N(Tabela1[Código]=Tabela2[[#This Row],[Ativo]]),Tabela1[Fechamento])</f>
        <v>29.99</v>
      </c>
      <c r="K148" s="59">
        <f>SUMPRODUCT(N(Tabela17[Código]=Tabela2[[#This Row],[Ativo]]),Tabela17[Fechamento])</f>
        <v>0</v>
      </c>
      <c r="L148" s="59">
        <f>SUMPRODUCT(N([Ativo]=Tabela2[[#This Row],[Ativo]]),N([Exercício]=Tabela2[[#This Row],[Exercício]]-1),[Lucro Líquido])</f>
        <v>0</v>
      </c>
      <c r="M148" s="19" t="str">
        <f>IF(Tabela2[[#This Row],[Lucro Anterior]]=0,"",IF(Tabela2[[#This Row],[Lucro Líquido]]&gt;0,Tabela2[[#This Row],[Lucro Líquido]]/Tabela2[[#This Row],[Lucro Anterior]]-1,0))</f>
        <v/>
      </c>
    </row>
    <row r="149" spans="1:14">
      <c r="A149" s="4" t="s">
        <v>194</v>
      </c>
      <c r="B149" s="4">
        <v>2012</v>
      </c>
      <c r="C149" s="6">
        <v>21418024.760000002</v>
      </c>
      <c r="D149" s="8">
        <f>SUMPRODUCT(N(Tabela3[PAPEL]=Tabela2[[#This Row],[Ativo]]),Tabela3[Total Ações])</f>
        <v>715094432</v>
      </c>
      <c r="E149" s="64">
        <f>(Tabela2[[#This Row],[Lucro Líquido]])/Tabela2[[#This Row],[Total Ações]]</f>
        <v>2.995132363161793E-2</v>
      </c>
      <c r="F149" s="64">
        <v>7.6962999999999997E-3</v>
      </c>
      <c r="G149" s="44">
        <f>IF(AND(Tabela2[[#This Row],[Dividendo / Ação]]&gt;0,Tabela2[[#This Row],[Lucro por ação]]&gt;0),Tabela2[[#This Row],[Dividendo / Ação]]/Tabela2[[#This Row],[Lucro por ação]],"")</f>
        <v>0.25696026308084252</v>
      </c>
      <c r="H149" s="6">
        <f>MAX(Tabela2[[#This Row],[Cotação 1]],Tabela2[[#This Row],[Cotação 2]])</f>
        <v>4.12</v>
      </c>
      <c r="I149" s="19">
        <f>IF(Tabela2[[#This Row],[Dividendo / Ação]]&gt;0,Tabela2[[#This Row],[Dividendo / Ação]]/Tabela2[[#This Row],[Cotação]],"")</f>
        <v>1.8680339805825241E-3</v>
      </c>
      <c r="J149" s="59">
        <f>SUMPRODUCT(N(Tabela1[Código]=Tabela2[[#This Row],[Ativo]]),Tabela1[Fechamento])</f>
        <v>4.12</v>
      </c>
      <c r="K149" s="59">
        <f>SUMPRODUCT(N(Tabela17[Código]=Tabela2[[#This Row],[Ativo]]),Tabela17[Fechamento])</f>
        <v>0</v>
      </c>
      <c r="L149" s="59">
        <f>SUMPRODUCT(N([Ativo]=Tabela2[[#This Row],[Ativo]]),N([Exercício]=Tabela2[[#This Row],[Exercício]]-1),[Lucro Líquido])</f>
        <v>7903625</v>
      </c>
      <c r="M149" s="19">
        <f>IF(Tabela2[[#This Row],[Lucro Anterior]]=0,"",IF(Tabela2[[#This Row],[Lucro Líquido]]&gt;0,Tabela2[[#This Row],[Lucro Líquido]]/Tabela2[[#This Row],[Lucro Anterior]]-1,0))</f>
        <v>1.7098989084122795</v>
      </c>
    </row>
    <row r="150" spans="1:14">
      <c r="A150" s="4" t="s">
        <v>194</v>
      </c>
      <c r="B150" s="4">
        <v>2011</v>
      </c>
      <c r="C150" s="6">
        <v>7903625</v>
      </c>
      <c r="D150" s="8">
        <f>SUMPRODUCT(N(Tabela3[PAPEL]=Tabela2[[#This Row],[Ativo]]),Tabela3[Total Ações])</f>
        <v>715094432</v>
      </c>
      <c r="E150" s="64">
        <f>(Tabela2[[#This Row],[Lucro Líquido]])/Tabela2[[#This Row],[Total Ações]]</f>
        <v>1.1052561237115044E-2</v>
      </c>
      <c r="F150" s="64">
        <v>3.2377399999999998E-3</v>
      </c>
      <c r="G150" s="44">
        <f>IF(AND(Tabela2[[#This Row],[Dividendo / Ação]]&gt;0,Tabela2[[#This Row],[Lucro por ação]]&gt;0),Tabela2[[#This Row],[Dividendo / Ação]]/Tabela2[[#This Row],[Lucro por ação]],"")</f>
        <v>0.29294024530056523</v>
      </c>
      <c r="H150" s="6">
        <f>MAX(Tabela2[[#This Row],[Cotação 1]],Tabela2[[#This Row],[Cotação 2]])</f>
        <v>4.12</v>
      </c>
      <c r="I150" s="19">
        <f>IF(Tabela2[[#This Row],[Dividendo / Ação]]&gt;0,Tabela2[[#This Row],[Dividendo / Ação]]/Tabela2[[#This Row],[Cotação]],"")</f>
        <v>7.8585922330097078E-4</v>
      </c>
      <c r="J150" s="59">
        <f>SUMPRODUCT(N(Tabela1[Código]=Tabela2[[#This Row],[Ativo]]),Tabela1[Fechamento])</f>
        <v>4.12</v>
      </c>
      <c r="K150" s="59">
        <f>SUMPRODUCT(N(Tabela17[Código]=Tabela2[[#This Row],[Ativo]]),Tabela17[Fechamento])</f>
        <v>0</v>
      </c>
      <c r="L150" s="59">
        <f>SUMPRODUCT(N([Ativo]=Tabela2[[#This Row],[Ativo]]),N([Exercício]=Tabela2[[#This Row],[Exercício]]-1),[Lucro Líquido])</f>
        <v>-11477601</v>
      </c>
      <c r="M150" s="19">
        <f>IF(Tabela2[[#This Row],[Lucro Anterior]]=0,"",IF(Tabela2[[#This Row],[Lucro Líquido]]&gt;0,Tabela2[[#This Row],[Lucro Líquido]]/Tabela2[[#This Row],[Lucro Anterior]]-1,0))</f>
        <v>-1.688612977572578</v>
      </c>
    </row>
    <row r="151" spans="1:14">
      <c r="A151" s="4" t="s">
        <v>194</v>
      </c>
      <c r="B151" s="4">
        <v>2010</v>
      </c>
      <c r="C151" s="6">
        <v>-11477601</v>
      </c>
      <c r="D151" s="8">
        <f>SUMPRODUCT(N(Tabela3[PAPEL]=Tabela2[[#This Row],[Ativo]]),Tabela3[Total Ações])</f>
        <v>715094432</v>
      </c>
      <c r="E151" s="64">
        <f>(Tabela2[[#This Row],[Lucro Líquido]])/Tabela2[[#This Row],[Total Ações]]</f>
        <v>-1.6050468981976356E-2</v>
      </c>
      <c r="F151" s="64">
        <v>0</v>
      </c>
      <c r="G151" s="44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4.12</v>
      </c>
      <c r="I151" s="19" t="str">
        <f>IF(Tabela2[[#This Row],[Dividendo / Ação]]&gt;0,Tabela2[[#This Row],[Dividendo / Ação]]/Tabela2[[#This Row],[Cotação]],"")</f>
        <v/>
      </c>
      <c r="J151" s="59">
        <f>SUMPRODUCT(N(Tabela1[Código]=Tabela2[[#This Row],[Ativo]]),Tabela1[Fechamento])</f>
        <v>4.12</v>
      </c>
      <c r="K151" s="59">
        <f>SUMPRODUCT(N(Tabela17[Código]=Tabela2[[#This Row],[Ativo]]),Tabela17[Fechamento])</f>
        <v>0</v>
      </c>
      <c r="L151" s="59">
        <f>SUMPRODUCT(N([Ativo]=Tabela2[[#This Row],[Ativo]]),N([Exercício]=Tabela2[[#This Row],[Exercício]]-1),[Lucro Líquido])</f>
        <v>32515448</v>
      </c>
      <c r="M151" s="19">
        <f>IF(Tabela2[[#This Row],[Lucro Anterior]]=0,"",IF(Tabela2[[#This Row],[Lucro Líquido]]&gt;0,Tabela2[[#This Row],[Lucro Líquido]]/Tabela2[[#This Row],[Lucro Anterior]]-1,0))</f>
        <v>0</v>
      </c>
    </row>
    <row r="152" spans="1:14">
      <c r="A152" s="4" t="s">
        <v>194</v>
      </c>
      <c r="B152" s="4">
        <v>2009</v>
      </c>
      <c r="C152" s="6">
        <v>32515448</v>
      </c>
      <c r="D152" s="8">
        <f>SUMPRODUCT(N(Tabela3[PAPEL]=Tabela2[[#This Row],[Ativo]]),Tabela3[Total Ações])</f>
        <v>715094432</v>
      </c>
      <c r="E152" s="64">
        <f>(Tabela2[[#This Row],[Lucro Líquido]])/Tabela2[[#This Row],[Total Ações]]</f>
        <v>4.5470145682801236E-2</v>
      </c>
      <c r="F152" s="64">
        <v>1.1338000000000001E-2</v>
      </c>
      <c r="G152" s="44">
        <f>IF(AND(Tabela2[[#This Row],[Dividendo / Ação]]&gt;0,Tabela2[[#This Row],[Lucro por ação]]&gt;0),Tabela2[[#This Row],[Dividendo / Ação]]/Tabela2[[#This Row],[Lucro por ação]],"")</f>
        <v>0.24935042168313351</v>
      </c>
      <c r="H152" s="6">
        <f>MAX(Tabela2[[#This Row],[Cotação 1]],Tabela2[[#This Row],[Cotação 2]])</f>
        <v>4.12</v>
      </c>
      <c r="I152" s="19">
        <f>IF(Tabela2[[#This Row],[Dividendo / Ação]]&gt;0,Tabela2[[#This Row],[Dividendo / Ação]]/Tabela2[[#This Row],[Cotação]],"")</f>
        <v>2.7519417475728157E-3</v>
      </c>
      <c r="J152" s="59">
        <f>SUMPRODUCT(N(Tabela1[Código]=Tabela2[[#This Row],[Ativo]]),Tabela1[Fechamento])</f>
        <v>4.12</v>
      </c>
      <c r="K152" s="59">
        <f>SUMPRODUCT(N(Tabela17[Código]=Tabela2[[#This Row],[Ativo]]),Tabela17[Fechamento])</f>
        <v>0</v>
      </c>
      <c r="L152" s="59">
        <f>SUMPRODUCT(N([Ativo]=Tabela2[[#This Row],[Ativo]]),N([Exercício]=Tabela2[[#This Row],[Exercício]]-1),[Lucro Líquido])</f>
        <v>0</v>
      </c>
      <c r="M152" s="19" t="str">
        <f>IF(Tabela2[[#This Row],[Lucro Anterior]]=0,"",IF(Tabela2[[#This Row],[Lucro Líquido]]&gt;0,Tabela2[[#This Row],[Lucro Líquido]]/Tabela2[[#This Row],[Lucro Anterior]]-1,0))</f>
        <v/>
      </c>
    </row>
    <row r="153" spans="1:14">
      <c r="A153" s="4" t="s">
        <v>409</v>
      </c>
      <c r="B153" s="4">
        <v>2012</v>
      </c>
      <c r="C153" s="78">
        <v>153035960.99000001</v>
      </c>
      <c r="D153" s="74">
        <f>SUMPRODUCT(N(Tabela3[PAPEL]=Tabela2[[#This Row],[Ativo]]),Tabela3[Total Ações])</f>
        <v>83000000</v>
      </c>
      <c r="E153" s="64">
        <f>(Tabela2[[#This Row],[Lucro Líquido]])/Tabela2[[#This Row],[Total Ações]]</f>
        <v>1.8438067589156628</v>
      </c>
      <c r="F153" s="64">
        <v>0.87951522900000001</v>
      </c>
      <c r="G153" s="43">
        <f>IF(AND(Tabela2[[#This Row],[Dividendo / Ação]]&gt;0,Tabela2[[#This Row],[Lucro por ação]]&gt;0),Tabela2[[#This Row],[Dividendo / Ação]]/Tabela2[[#This Row],[Lucro por ação]],"")</f>
        <v>0.47701052442027075</v>
      </c>
      <c r="H153" s="59">
        <f>MAX(Tabela2[[#This Row],[Cotação 1]],Tabela2[[#This Row],[Cotação 2]])</f>
        <v>20.6</v>
      </c>
      <c r="I153" s="44">
        <f>IF(Tabela2[[#This Row],[Dividendo / Ação]]&gt;0,Tabela2[[#This Row],[Dividendo / Ação]]/Tabela2[[#This Row],[Cotação]],"")</f>
        <v>4.2694914029126209E-2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20.6</v>
      </c>
      <c r="L153" s="17">
        <f>SUMPRODUCT(N([Ativo]=Tabela2[[#This Row],[Ativo]]),N([Exercício]=Tabela2[[#This Row],[Exercício]]-1),[Lucro Líquido])</f>
        <v>113733898.18000001</v>
      </c>
      <c r="M153" s="19">
        <f>IF(Tabela2[[#This Row],[Lucro Anterior]]=0,"",IF(Tabela2[[#This Row],[Lucro Líquido]]&gt;0,Tabela2[[#This Row],[Lucro Líquido]]/Tabela2[[#This Row],[Lucro Anterior]]-1,0))</f>
        <v>0.34556155586788129</v>
      </c>
    </row>
    <row r="154" spans="1:14">
      <c r="A154" s="4" t="s">
        <v>409</v>
      </c>
      <c r="B154" s="4">
        <v>2011</v>
      </c>
      <c r="C154" s="6">
        <v>113733898.18000001</v>
      </c>
      <c r="D154" s="74">
        <f>SUMPRODUCT(N(Tabela3[PAPEL]=Tabela2[[#This Row],[Ativo]]),Tabela3[Total Ações])</f>
        <v>83000000</v>
      </c>
      <c r="E154" s="64">
        <f>(Tabela2[[#This Row],[Lucro Líquido]])/Tabela2[[#This Row],[Total Ações]]</f>
        <v>1.3702879298795181</v>
      </c>
      <c r="F154" s="64">
        <v>0</v>
      </c>
      <c r="G154" s="43" t="str">
        <f>IF(AND(Tabela2[[#This Row],[Dividendo / Ação]]&gt;0,Tabela2[[#This Row],[Lucro por ação]]&gt;0),Tabela2[[#This Row],[Dividendo / Ação]]/Tabela2[[#This Row],[Lucro por ação]],"")</f>
        <v/>
      </c>
      <c r="H154" s="59">
        <f>MAX(Tabela2[[#This Row],[Cotação 1]],Tabela2[[#This Row],[Cotação 2]])</f>
        <v>20.6</v>
      </c>
      <c r="I154" s="44" t="str">
        <f>IF(Tabela2[[#This Row],[Dividendo / Ação]]&gt;0,Tabela2[[#This Row],[Dividendo / Ação]]/Tabela2[[#This Row],[Cotação]],"")</f>
        <v/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20.6</v>
      </c>
      <c r="L154" s="17">
        <f>SUMPRODUCT(N([Ativo]=Tabela2[[#This Row],[Ativo]]),N([Exercício]=Tabela2[[#This Row],[Exercício]]-1),[Lucro Líquido])</f>
        <v>93892304.709999993</v>
      </c>
      <c r="M154" s="19">
        <f>IF(Tabela2[[#This Row],[Lucro Anterior]]=0,"",IF(Tabela2[[#This Row],[Lucro Líquido]]&gt;0,Tabela2[[#This Row],[Lucro Líquido]]/Tabela2[[#This Row],[Lucro Anterior]]-1,0))</f>
        <v>0.21132289308781638</v>
      </c>
    </row>
    <row r="155" spans="1:14">
      <c r="A155" s="4" t="s">
        <v>409</v>
      </c>
      <c r="B155" s="4">
        <v>2010</v>
      </c>
      <c r="C155" s="6">
        <v>93892304.709999993</v>
      </c>
      <c r="D155" s="74">
        <f>SUMPRODUCT(N(Tabela3[PAPEL]=Tabela2[[#This Row],[Ativo]]),Tabela3[Total Ações])</f>
        <v>83000000</v>
      </c>
      <c r="E155" s="64">
        <f>(Tabela2[[#This Row],[Lucro Líquido]])/Tabela2[[#This Row],[Total Ações]]</f>
        <v>1.1312325868674697</v>
      </c>
      <c r="F155" s="64">
        <v>0</v>
      </c>
      <c r="G155" s="43" t="str">
        <f>IF(AND(Tabela2[[#This Row],[Dividendo / Ação]]&gt;0,Tabela2[[#This Row],[Lucro por ação]]&gt;0),Tabela2[[#This Row],[Dividendo / Ação]]/Tabela2[[#This Row],[Lucro por ação]],"")</f>
        <v/>
      </c>
      <c r="H155" s="59">
        <f>MAX(Tabela2[[#This Row],[Cotação 1]],Tabela2[[#This Row],[Cotação 2]])</f>
        <v>20.6</v>
      </c>
      <c r="I155" s="44" t="str">
        <f>IF(Tabela2[[#This Row],[Dividendo / Ação]]&gt;0,Tabela2[[#This Row],[Dividendo / Ação]]/Tabela2[[#This Row],[Cotação]],"")</f>
        <v/>
      </c>
      <c r="J155" s="17">
        <f>SUMPRODUCT(N(Tabela1[Código]=Tabela2[[#This Row],[Ativo]]),Tabela1[Fechamento])</f>
        <v>0</v>
      </c>
      <c r="K155" s="17">
        <f>SUMPRODUCT(N(Tabela17[Código]=Tabela2[[#This Row],[Ativo]]),Tabela17[Fechamento])</f>
        <v>20.6</v>
      </c>
      <c r="L155" s="17">
        <f>SUMPRODUCT(N([Ativo]=Tabela2[[#This Row],[Ativo]]),N([Exercício]=Tabela2[[#This Row],[Exercício]]-1),[Lucro Líquido])</f>
        <v>0</v>
      </c>
      <c r="M155" s="19" t="str">
        <f>IF(Tabela2[[#This Row],[Lucro Anterior]]=0,"",IF(Tabela2[[#This Row],[Lucro Líquido]]&gt;0,Tabela2[[#This Row],[Lucro Líquido]]/Tabela2[[#This Row],[Lucro Anterior]]-1,0))</f>
        <v/>
      </c>
    </row>
    <row r="156" spans="1:14">
      <c r="A156" s="4" t="s">
        <v>94</v>
      </c>
      <c r="B156" s="4">
        <v>2012</v>
      </c>
      <c r="C156" s="6">
        <v>55498182.030000001</v>
      </c>
      <c r="D156" s="8">
        <f>SUMPRODUCT(N(Tabela3[PAPEL]=Tabela2[[#This Row],[Ativo]]),Tabela3[Total Ações])</f>
        <v>9183458</v>
      </c>
      <c r="E156" s="64">
        <f>(Tabela2[[#This Row],[Lucro Líquido]])/Tabela2[[#This Row],[Total Ações]]</f>
        <v>6.0432771653118031</v>
      </c>
      <c r="F156" s="64">
        <v>2.4664000000000001</v>
      </c>
      <c r="G156" s="44">
        <f>IF(AND(Tabela2[[#This Row],[Dividendo / Ação]]&gt;0,Tabela2[[#This Row],[Lucro por ação]]&gt;0),Tabela2[[#This Row],[Dividendo / Ação]]/Tabela2[[#This Row],[Lucro por ação]],"")</f>
        <v>0.40812293272879302</v>
      </c>
      <c r="H156" s="6">
        <f>MAX(Tabela2[[#This Row],[Cotação 1]],Tabela2[[#This Row],[Cotação 2]])</f>
        <v>16.510000000000002</v>
      </c>
      <c r="I156" s="19">
        <f>IF(Tabela2[[#This Row],[Dividendo / Ação]]&gt;0,Tabela2[[#This Row],[Dividendo / Ação]]/Tabela2[[#This Row],[Cotação]],"")</f>
        <v>0.14938824954572985</v>
      </c>
      <c r="J156" s="59">
        <f>SUMPRODUCT(N(Tabela1[Código]=Tabela2[[#This Row],[Ativo]]),Tabela1[Fechamento])</f>
        <v>16.510000000000002</v>
      </c>
      <c r="K156" s="59">
        <f>SUMPRODUCT(N(Tabela17[Código]=Tabela2[[#This Row],[Ativo]]),Tabela17[Fechamento])</f>
        <v>0</v>
      </c>
      <c r="L156" s="59">
        <f>SUMPRODUCT(N([Ativo]=Tabela2[[#This Row],[Ativo]]),N([Exercício]=Tabela2[[#This Row],[Exercício]]-1),[Lucro Líquido])</f>
        <v>26190000</v>
      </c>
      <c r="M156" s="19">
        <f>IF(Tabela2[[#This Row],[Lucro Anterior]]=0,"",IF(Tabela2[[#This Row],[Lucro Líquido]]&gt;0,Tabela2[[#This Row],[Lucro Líquido]]/Tabela2[[#This Row],[Lucro Anterior]]-1,0))</f>
        <v>1.1190600240549831</v>
      </c>
    </row>
    <row r="157" spans="1:14">
      <c r="A157" s="4" t="s">
        <v>94</v>
      </c>
      <c r="B157" s="3">
        <v>2011</v>
      </c>
      <c r="C157" s="5">
        <v>26190000</v>
      </c>
      <c r="D157" s="60">
        <f>SUMPRODUCT(N(Tabela3[PAPEL]=Tabela2[[#This Row],[Ativo]]),Tabela3[Total Ações])</f>
        <v>9183458</v>
      </c>
      <c r="E157" s="63">
        <f>(Tabela2[[#This Row],[Lucro Líquido]])/Tabela2[[#This Row],[Total Ações]]</f>
        <v>2.8518669111352173</v>
      </c>
      <c r="F157" s="63">
        <v>0</v>
      </c>
      <c r="G157" s="22" t="str">
        <f>IF(AND(Tabela2[[#This Row],[Dividendo / Ação]]&gt;0,Tabela2[[#This Row],[Lucro por ação]]&gt;0),Tabela2[[#This Row],[Dividendo / Ação]]/Tabela2[[#This Row],[Lucro por ação]],"")</f>
        <v/>
      </c>
      <c r="H157" s="5">
        <f>MAX(Tabela2[[#This Row],[Cotação 1]],Tabela2[[#This Row],[Cotação 2]])</f>
        <v>16.510000000000002</v>
      </c>
      <c r="I157" s="18" t="str">
        <f>IF(Tabela2[[#This Row],[Dividendo / Ação]]&gt;0,Tabela2[[#This Row],[Dividendo / Ação]]/Tabela2[[#This Row],[Cotação]],"")</f>
        <v/>
      </c>
      <c r="J157" s="58">
        <f>SUMPRODUCT(N(Tabela1[Código]=Tabela2[[#This Row],[Ativo]]),Tabela1[Fechamento])</f>
        <v>16.510000000000002</v>
      </c>
      <c r="K157" s="58">
        <f>SUMPRODUCT(N(Tabela17[Código]=Tabela2[[#This Row],[Ativo]]),Tabela17[Fechamento])</f>
        <v>0</v>
      </c>
      <c r="L157" s="58">
        <f>SUMPRODUCT(N([Ativo]=Tabela2[[#This Row],[Ativo]]),N([Exercício]=Tabela2[[#This Row],[Exercício]]-1),[Lucro Líquido])</f>
        <v>2049000</v>
      </c>
      <c r="M157" s="18">
        <f>IF(Tabela2[[#This Row],[Lucro Anterior]]=0,"",IF(Tabela2[[#This Row],[Lucro Líquido]]&gt;0,Tabela2[[#This Row],[Lucro Líquido]]/Tabela2[[#This Row],[Lucro Anterior]]-1,0))</f>
        <v>11.781844802342606</v>
      </c>
    </row>
    <row r="158" spans="1:14">
      <c r="A158" s="4" t="s">
        <v>94</v>
      </c>
      <c r="B158" s="3">
        <v>2010</v>
      </c>
      <c r="C158" s="5">
        <v>2049000</v>
      </c>
      <c r="D158" s="60">
        <f>SUMPRODUCT(N(Tabela3[PAPEL]=Tabela2[[#This Row],[Ativo]]),Tabela3[Total Ações])</f>
        <v>9183458</v>
      </c>
      <c r="E158" s="63">
        <f>(Tabela2[[#This Row],[Lucro Líquido]])/Tabela2[[#This Row],[Total Ações]]</f>
        <v>0.22311856819076212</v>
      </c>
      <c r="F158" s="63">
        <v>0</v>
      </c>
      <c r="G158" s="22" t="str">
        <f>IF(AND(Tabela2[[#This Row],[Dividendo / Ação]]&gt;0,Tabela2[[#This Row],[Lucro por ação]]&gt;0),Tabela2[[#This Row],[Dividendo / Ação]]/Tabela2[[#This Row],[Lucro por ação]],"")</f>
        <v/>
      </c>
      <c r="H158" s="5">
        <f>MAX(Tabela2[[#This Row],[Cotação 1]],Tabela2[[#This Row],[Cotação 2]])</f>
        <v>16.510000000000002</v>
      </c>
      <c r="I158" s="18" t="str">
        <f>IF(Tabela2[[#This Row],[Dividendo / Ação]]&gt;0,Tabela2[[#This Row],[Dividendo / Ação]]/Tabela2[[#This Row],[Cotação]],"")</f>
        <v/>
      </c>
      <c r="J158" s="58">
        <f>SUMPRODUCT(N(Tabela1[Código]=Tabela2[[#This Row],[Ativo]]),Tabela1[Fechamento])</f>
        <v>16.510000000000002</v>
      </c>
      <c r="K158" s="58">
        <f>SUMPRODUCT(N(Tabela17[Código]=Tabela2[[#This Row],[Ativo]]),Tabela17[Fechamento])</f>
        <v>0</v>
      </c>
      <c r="L158" s="58">
        <f>SUMPRODUCT(N([Ativo]=Tabela2[[#This Row],[Ativo]]),N([Exercício]=Tabela2[[#This Row],[Exercício]]-1),[Lucro Líquido])</f>
        <v>48919970.259999998</v>
      </c>
      <c r="M158" s="18">
        <f>IF(Tabela2[[#This Row],[Lucro Anterior]]=0,"",IF(Tabela2[[#This Row],[Lucro Líquido]]&gt;0,Tabela2[[#This Row],[Lucro Líquido]]/Tabela2[[#This Row],[Lucro Anterior]]-1,0))</f>
        <v>-0.9581152648067861</v>
      </c>
      <c r="N158" s="65"/>
    </row>
    <row r="159" spans="1:14">
      <c r="A159" s="4" t="s">
        <v>94</v>
      </c>
      <c r="B159" s="3">
        <v>2009</v>
      </c>
      <c r="C159" s="5">
        <v>48919970.259999998</v>
      </c>
      <c r="D159" s="60">
        <f>SUMPRODUCT(N(Tabela3[PAPEL]=Tabela2[[#This Row],[Ativo]]),Tabela3[Total Ações])</f>
        <v>9183458</v>
      </c>
      <c r="E159" s="63">
        <f>(Tabela2[[#This Row],[Lucro Líquido]])/Tabela2[[#This Row],[Total Ações]]</f>
        <v>5.3269661885533743</v>
      </c>
      <c r="F159" s="63">
        <v>2.8779460000000001</v>
      </c>
      <c r="G159" s="22">
        <f>IF(AND(Tabela2[[#This Row],[Dividendo / Ação]]&gt;0,Tabela2[[#This Row],[Lucro por ação]]&gt;0),Tabela2[[#This Row],[Dividendo / Ação]]/Tabela2[[#This Row],[Lucro por ação]],"")</f>
        <v>0.540259858638516</v>
      </c>
      <c r="H159" s="5">
        <f>MAX(Tabela2[[#This Row],[Cotação 1]],Tabela2[[#This Row],[Cotação 2]])</f>
        <v>16.510000000000002</v>
      </c>
      <c r="I159" s="18">
        <f>IF(Tabela2[[#This Row],[Dividendo / Ação]]&gt;0,Tabela2[[#This Row],[Dividendo / Ação]]/Tabela2[[#This Row],[Cotação]],"")</f>
        <v>0.1743153240460327</v>
      </c>
      <c r="J159" s="58">
        <f>SUMPRODUCT(N(Tabela1[Código]=Tabela2[[#This Row],[Ativo]]),Tabela1[Fechamento])</f>
        <v>16.510000000000002</v>
      </c>
      <c r="K159" s="58">
        <f>SUMPRODUCT(N(Tabela17[Código]=Tabela2[[#This Row],[Ativo]]),Tabela17[Fechamento])</f>
        <v>0</v>
      </c>
      <c r="L159" s="58">
        <f>SUMPRODUCT(N([Ativo]=Tabela2[[#This Row],[Ativo]]),N([Exercício]=Tabela2[[#This Row],[Exercício]]-1),[Lucro Líquido])</f>
        <v>0</v>
      </c>
      <c r="M159" s="18" t="str">
        <f>IF(Tabela2[[#This Row],[Lucro Anterior]]=0,"",IF(Tabela2[[#This Row],[Lucro Líquido]]&gt;0,Tabela2[[#This Row],[Lucro Líquido]]/Tabela2[[#This Row],[Lucro Anterior]]-1,0))</f>
        <v/>
      </c>
    </row>
    <row r="160" spans="1:14">
      <c r="A160" s="4" t="s">
        <v>95</v>
      </c>
      <c r="B160" s="4">
        <v>2012</v>
      </c>
      <c r="C160" s="6">
        <v>55498182.030000001</v>
      </c>
      <c r="D160" s="8">
        <f>SUMPRODUCT(N(Tabela3[PAPEL]=Tabela2[[#This Row],[Ativo]]),Tabela3[Total Ações])</f>
        <v>9183458</v>
      </c>
      <c r="E160" s="64">
        <f>(Tabela2[[#This Row],[Lucro Líquido]])/Tabela2[[#This Row],[Total Ações]]</f>
        <v>6.0432771653118031</v>
      </c>
      <c r="F160" s="64">
        <v>4.5993199999999996</v>
      </c>
      <c r="G160" s="44">
        <f>IF(AND(Tabela2[[#This Row],[Dividendo / Ação]]&gt;0,Tabela2[[#This Row],[Lucro por ação]]&gt;0),Tabela2[[#This Row],[Dividendo / Ação]]/Tabela2[[#This Row],[Lucro por ação]],"")</f>
        <v>0.76106388540309444</v>
      </c>
      <c r="H160" s="6">
        <f>MAX(Tabela2[[#This Row],[Cotação 1]],Tabela2[[#This Row],[Cotação 2]])</f>
        <v>24</v>
      </c>
      <c r="I160" s="19">
        <f>IF(Tabela2[[#This Row],[Dividendo / Ação]]&gt;0,Tabela2[[#This Row],[Dividendo / Ação]]/Tabela2[[#This Row],[Cotação]],"")</f>
        <v>0.19163833333333333</v>
      </c>
      <c r="J160" s="59">
        <f>SUMPRODUCT(N(Tabela1[Código]=Tabela2[[#This Row],[Ativo]]),Tabela1[Fechamento])</f>
        <v>24</v>
      </c>
      <c r="K160" s="59">
        <f>SUMPRODUCT(N(Tabela17[Código]=Tabela2[[#This Row],[Ativo]]),Tabela17[Fechamento])</f>
        <v>0</v>
      </c>
      <c r="L160" s="59">
        <f>SUMPRODUCT(N([Ativo]=Tabela2[[#This Row],[Ativo]]),N([Exercício]=Tabela2[[#This Row],[Exercício]]-1),[Lucro Líquido])</f>
        <v>26190000</v>
      </c>
      <c r="M160" s="19">
        <f>IF(Tabela2[[#This Row],[Lucro Anterior]]=0,"",IF(Tabela2[[#This Row],[Lucro Líquido]]&gt;0,Tabela2[[#This Row],[Lucro Líquido]]/Tabela2[[#This Row],[Lucro Anterior]]-1,0))</f>
        <v>1.1190600240549831</v>
      </c>
    </row>
    <row r="161" spans="1:13">
      <c r="A161" s="4" t="s">
        <v>95</v>
      </c>
      <c r="B161" s="3">
        <v>2011</v>
      </c>
      <c r="C161" s="5">
        <v>26190000</v>
      </c>
      <c r="D161" s="60">
        <f>SUMPRODUCT(N(Tabela3[PAPEL]=Tabela2[[#This Row],[Ativo]]),Tabela3[Total Ações])</f>
        <v>9183458</v>
      </c>
      <c r="E161" s="63">
        <f>(Tabela2[[#This Row],[Lucro Líquido]])/Tabela2[[#This Row],[Total Ações]]</f>
        <v>2.8518669111352173</v>
      </c>
      <c r="F161" s="63">
        <v>0</v>
      </c>
      <c r="G161" s="22" t="str">
        <f>IF(AND(Tabela2[[#This Row],[Dividendo / Ação]]&gt;0,Tabela2[[#This Row],[Lucro por ação]]&gt;0),Tabela2[[#This Row],[Dividendo / Ação]]/Tabela2[[#This Row],[Lucro por ação]],"")</f>
        <v/>
      </c>
      <c r="H161" s="5">
        <f>MAX(Tabela2[[#This Row],[Cotação 1]],Tabela2[[#This Row],[Cotação 2]])</f>
        <v>24</v>
      </c>
      <c r="I161" s="18" t="str">
        <f>IF(Tabela2[[#This Row],[Dividendo / Ação]]&gt;0,Tabela2[[#This Row],[Dividendo / Ação]]/Tabela2[[#This Row],[Cotação]],"")</f>
        <v/>
      </c>
      <c r="J161" s="58">
        <f>SUMPRODUCT(N(Tabela1[Código]=Tabela2[[#This Row],[Ativo]]),Tabela1[Fechamento])</f>
        <v>24</v>
      </c>
      <c r="K161" s="58">
        <f>SUMPRODUCT(N(Tabela17[Código]=Tabela2[[#This Row],[Ativo]]),Tabela17[Fechamento])</f>
        <v>0</v>
      </c>
      <c r="L161" s="58">
        <f>SUMPRODUCT(N([Ativo]=Tabela2[[#This Row],[Ativo]]),N([Exercício]=Tabela2[[#This Row],[Exercício]]-1),[Lucro Líquido])</f>
        <v>2049000</v>
      </c>
      <c r="M161" s="18">
        <f>IF(Tabela2[[#This Row],[Lucro Anterior]]=0,"",IF(Tabela2[[#This Row],[Lucro Líquido]]&gt;0,Tabela2[[#This Row],[Lucro Líquido]]/Tabela2[[#This Row],[Lucro Anterior]]-1,0))</f>
        <v>11.781844802342606</v>
      </c>
    </row>
    <row r="162" spans="1:13">
      <c r="A162" s="4" t="s">
        <v>95</v>
      </c>
      <c r="B162" s="3">
        <v>2010</v>
      </c>
      <c r="C162" s="5">
        <v>2049000</v>
      </c>
      <c r="D162" s="60">
        <f>SUMPRODUCT(N(Tabela3[PAPEL]=Tabela2[[#This Row],[Ativo]]),Tabela3[Total Ações])</f>
        <v>9183458</v>
      </c>
      <c r="E162" s="63">
        <f>(Tabela2[[#This Row],[Lucro Líquido]])/Tabela2[[#This Row],[Total Ações]]</f>
        <v>0.22311856819076212</v>
      </c>
      <c r="F162" s="63">
        <v>0</v>
      </c>
      <c r="G162" s="22" t="str">
        <f>IF(AND(Tabela2[[#This Row],[Dividendo / Ação]]&gt;0,Tabela2[[#This Row],[Lucro por ação]]&gt;0),Tabela2[[#This Row],[Dividendo / Ação]]/Tabela2[[#This Row],[Lucro por ação]],"")</f>
        <v/>
      </c>
      <c r="H162" s="5">
        <f>MAX(Tabela2[[#This Row],[Cotação 1]],Tabela2[[#This Row],[Cotação 2]])</f>
        <v>24</v>
      </c>
      <c r="I162" s="18" t="str">
        <f>IF(Tabela2[[#This Row],[Dividendo / Ação]]&gt;0,Tabela2[[#This Row],[Dividendo / Ação]]/Tabela2[[#This Row],[Cotação]],"")</f>
        <v/>
      </c>
      <c r="J162" s="58">
        <f>SUMPRODUCT(N(Tabela1[Código]=Tabela2[[#This Row],[Ativo]]),Tabela1[Fechamento])</f>
        <v>24</v>
      </c>
      <c r="K162" s="58">
        <f>SUMPRODUCT(N(Tabela17[Código]=Tabela2[[#This Row],[Ativo]]),Tabela17[Fechamento])</f>
        <v>0</v>
      </c>
      <c r="L162" s="58">
        <f>SUMPRODUCT(N([Ativo]=Tabela2[[#This Row],[Ativo]]),N([Exercício]=Tabela2[[#This Row],[Exercício]]-1),[Lucro Líquido])</f>
        <v>48919970.259999998</v>
      </c>
      <c r="M162" s="18">
        <f>IF(Tabela2[[#This Row],[Lucro Anterior]]=0,"",IF(Tabela2[[#This Row],[Lucro Líquido]]&gt;0,Tabela2[[#This Row],[Lucro Líquido]]/Tabela2[[#This Row],[Lucro Anterior]]-1,0))</f>
        <v>-0.9581152648067861</v>
      </c>
    </row>
    <row r="163" spans="1:13">
      <c r="A163" s="4" t="s">
        <v>95</v>
      </c>
      <c r="B163" s="3">
        <v>2009</v>
      </c>
      <c r="C163" s="5">
        <v>48919970.259999998</v>
      </c>
      <c r="D163" s="60">
        <f>SUMPRODUCT(N(Tabela3[PAPEL]=Tabela2[[#This Row],[Ativo]]),Tabela3[Total Ações])</f>
        <v>9183458</v>
      </c>
      <c r="E163" s="63">
        <f>(Tabela2[[#This Row],[Lucro Líquido]])/Tabela2[[#This Row],[Total Ações]]</f>
        <v>5.3269661885533743</v>
      </c>
      <c r="F163" s="63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24</v>
      </c>
      <c r="I163" s="18" t="str">
        <f>IF(Tabela2[[#This Row],[Dividendo / Ação]]&gt;0,Tabela2[[#This Row],[Dividendo / Ação]]/Tabela2[[#This Row],[Cotação]],"")</f>
        <v/>
      </c>
      <c r="J163" s="58">
        <f>SUMPRODUCT(N(Tabela1[Código]=Tabela2[[#This Row],[Ativo]]),Tabela1[Fechamento])</f>
        <v>24</v>
      </c>
      <c r="K163" s="58">
        <f>SUMPRODUCT(N(Tabela17[Código]=Tabela2[[#This Row],[Ativo]]),Tabela17[Fechamento])</f>
        <v>0</v>
      </c>
      <c r="L163" s="58">
        <f>SUMPRODUCT(N([Ativo]=Tabela2[[#This Row],[Ativo]]),N([Exercício]=Tabela2[[#This Row],[Exercício]]-1),[Lucro Líquido])</f>
        <v>0</v>
      </c>
      <c r="M163" s="18" t="str">
        <f>IF(Tabela2[[#This Row],[Lucro Anterior]]=0,"",IF(Tabela2[[#This Row],[Lucro Líquido]]&gt;0,Tabela2[[#This Row],[Lucro Líquido]]/Tabela2[[#This Row],[Lucro Anterior]]-1,0))</f>
        <v/>
      </c>
    </row>
    <row r="164" spans="1:13">
      <c r="A164" s="4" t="s">
        <v>69</v>
      </c>
      <c r="B164" s="4">
        <v>2012</v>
      </c>
      <c r="C164" s="6">
        <v>55498182.030000001</v>
      </c>
      <c r="D164" s="8">
        <f>SUMPRODUCT(N(Tabela3[PAPEL]=Tabela2[[#This Row],[Ativo]]),Tabela3[Total Ações])</f>
        <v>9183458</v>
      </c>
      <c r="E164" s="64">
        <f>(Tabela2[[#This Row],[Lucro Líquido]])/Tabela2[[#This Row],[Total Ações]]</f>
        <v>6.0432771653118031</v>
      </c>
      <c r="F164" s="64">
        <v>3.7692600000000001</v>
      </c>
      <c r="G164" s="44">
        <f>IF(AND(Tabela2[[#This Row],[Dividendo / Ação]]&gt;0,Tabela2[[#This Row],[Lucro por ação]]&gt;0),Tabela2[[#This Row],[Dividendo / Ação]]/Tabela2[[#This Row],[Lucro por ação]],"")</f>
        <v>0.62371125746729261</v>
      </c>
      <c r="H164" s="6">
        <f>MAX(Tabela2[[#This Row],[Cotação 1]],Tabela2[[#This Row],[Cotação 2]])</f>
        <v>17.079999999999998</v>
      </c>
      <c r="I164" s="19">
        <f>IF(Tabela2[[#This Row],[Dividendo / Ação]]&gt;0,Tabela2[[#This Row],[Dividendo / Ação]]/Tabela2[[#This Row],[Cotação]],"")</f>
        <v>0.22068266978922718</v>
      </c>
      <c r="J164" s="59">
        <f>SUMPRODUCT(N(Tabela1[Código]=Tabela2[[#This Row],[Ativo]]),Tabela1[Fechamento])</f>
        <v>17.079999999999998</v>
      </c>
      <c r="K164" s="59">
        <f>SUMPRODUCT(N(Tabela17[Código]=Tabela2[[#This Row],[Ativo]]),Tabela17[Fechamento])</f>
        <v>0</v>
      </c>
      <c r="L164" s="59">
        <f>SUMPRODUCT(N([Ativo]=Tabela2[[#This Row],[Ativo]]),N([Exercício]=Tabela2[[#This Row],[Exercício]]-1),[Lucro Líquido])</f>
        <v>26190000</v>
      </c>
      <c r="M164" s="19">
        <f>IF(Tabela2[[#This Row],[Lucro Anterior]]=0,"",IF(Tabela2[[#This Row],[Lucro Líquido]]&gt;0,Tabela2[[#This Row],[Lucro Líquido]]/Tabela2[[#This Row],[Lucro Anterior]]-1,0))</f>
        <v>1.1190600240549831</v>
      </c>
    </row>
    <row r="165" spans="1:13">
      <c r="A165" s="4" t="s">
        <v>69</v>
      </c>
      <c r="B165" s="4">
        <v>2011</v>
      </c>
      <c r="C165" s="5">
        <v>26190000</v>
      </c>
      <c r="D165" s="8">
        <f>SUMPRODUCT(N(Tabela3[PAPEL]=Tabela2[[#This Row],[Ativo]]),Tabela3[Total Ações])</f>
        <v>9183458</v>
      </c>
      <c r="E165" s="64">
        <f>(Tabela2[[#This Row],[Lucro Líquido]])/Tabela2[[#This Row],[Total Ações]]</f>
        <v>2.8518669111352173</v>
      </c>
      <c r="F165" s="64">
        <v>0</v>
      </c>
      <c r="G165" s="44" t="str">
        <f>IF(AND(Tabela2[[#This Row],[Dividendo / Ação]]&gt;0,Tabela2[[#This Row],[Lucro por ação]]&gt;0),Tabela2[[#This Row],[Dividendo / Ação]]/Tabela2[[#This Row],[Lucro por ação]],"")</f>
        <v/>
      </c>
      <c r="H165" s="6">
        <f>MAX(Tabela2[[#This Row],[Cotação 1]],Tabela2[[#This Row],[Cotação 2]])</f>
        <v>17.079999999999998</v>
      </c>
      <c r="I165" s="19" t="str">
        <f>IF(Tabela2[[#This Row],[Dividendo / Ação]]&gt;0,Tabela2[[#This Row],[Dividendo / Ação]]/Tabela2[[#This Row],[Cotação]],"")</f>
        <v/>
      </c>
      <c r="J165" s="59">
        <f>SUMPRODUCT(N(Tabela1[Código]=Tabela2[[#This Row],[Ativo]]),Tabela1[Fechamento])</f>
        <v>17.079999999999998</v>
      </c>
      <c r="K165" s="59">
        <f>SUMPRODUCT(N(Tabela17[Código]=Tabela2[[#This Row],[Ativo]]),Tabela17[Fechamento])</f>
        <v>0</v>
      </c>
      <c r="L165" s="59">
        <f>SUMPRODUCT(N([Ativo]=Tabela2[[#This Row],[Ativo]]),N([Exercício]=Tabela2[[#This Row],[Exercício]]-1),[Lucro Líquido])</f>
        <v>2049000</v>
      </c>
      <c r="M165" s="19">
        <f>IF(Tabela2[[#This Row],[Lucro Anterior]]=0,"",IF(Tabela2[[#This Row],[Lucro Líquido]]&gt;0,Tabela2[[#This Row],[Lucro Líquido]]/Tabela2[[#This Row],[Lucro Anterior]]-1,0))</f>
        <v>11.781844802342606</v>
      </c>
    </row>
    <row r="166" spans="1:13">
      <c r="A166" s="4" t="s">
        <v>69</v>
      </c>
      <c r="B166" s="4">
        <v>2010</v>
      </c>
      <c r="C166" s="5">
        <v>2049000</v>
      </c>
      <c r="D166" s="8">
        <f>SUMPRODUCT(N(Tabela3[PAPEL]=Tabela2[[#This Row],[Ativo]]),Tabela3[Total Ações])</f>
        <v>9183458</v>
      </c>
      <c r="E166" s="64">
        <f>(Tabela2[[#This Row],[Lucro Líquido]])/Tabela2[[#This Row],[Total Ações]]</f>
        <v>0.22311856819076212</v>
      </c>
      <c r="F166" s="64">
        <v>0</v>
      </c>
      <c r="G166" s="44" t="str">
        <f>IF(AND(Tabela2[[#This Row],[Dividendo / Ação]]&gt;0,Tabela2[[#This Row],[Lucro por ação]]&gt;0),Tabela2[[#This Row],[Dividendo / Ação]]/Tabela2[[#This Row],[Lucro por ação]],"")</f>
        <v/>
      </c>
      <c r="H166" s="6">
        <f>MAX(Tabela2[[#This Row],[Cotação 1]],Tabela2[[#This Row],[Cotação 2]])</f>
        <v>17.079999999999998</v>
      </c>
      <c r="I166" s="19" t="str">
        <f>IF(Tabela2[[#This Row],[Dividendo / Ação]]&gt;0,Tabela2[[#This Row],[Dividendo / Ação]]/Tabela2[[#This Row],[Cotação]],"")</f>
        <v/>
      </c>
      <c r="J166" s="59">
        <f>SUMPRODUCT(N(Tabela1[Código]=Tabela2[[#This Row],[Ativo]]),Tabela1[Fechamento])</f>
        <v>17.079999999999998</v>
      </c>
      <c r="K166" s="59">
        <f>SUMPRODUCT(N(Tabela17[Código]=Tabela2[[#This Row],[Ativo]]),Tabela17[Fechamento])</f>
        <v>0</v>
      </c>
      <c r="L166" s="59">
        <f>SUMPRODUCT(N([Ativo]=Tabela2[[#This Row],[Ativo]]),N([Exercício]=Tabela2[[#This Row],[Exercício]]-1),[Lucro Líquido])</f>
        <v>48919970.259999998</v>
      </c>
      <c r="M166" s="19">
        <f>IF(Tabela2[[#This Row],[Lucro Anterior]]=0,"",IF(Tabela2[[#This Row],[Lucro Líquido]]&gt;0,Tabela2[[#This Row],[Lucro Líquido]]/Tabela2[[#This Row],[Lucro Anterior]]-1,0))</f>
        <v>-0.9581152648067861</v>
      </c>
    </row>
    <row r="167" spans="1:13">
      <c r="A167" s="4" t="s">
        <v>69</v>
      </c>
      <c r="B167" s="4">
        <v>2009</v>
      </c>
      <c r="C167" s="5">
        <v>48919970.259999998</v>
      </c>
      <c r="D167" s="8">
        <f>SUMPRODUCT(N(Tabela3[PAPEL]=Tabela2[[#This Row],[Ativo]]),Tabela3[Total Ações])</f>
        <v>9183458</v>
      </c>
      <c r="E167" s="64">
        <f>(Tabela2[[#This Row],[Lucro Líquido]])/Tabela2[[#This Row],[Total Ações]]</f>
        <v>5.3269661885533743</v>
      </c>
      <c r="F167" s="64">
        <v>4.3982070000000002</v>
      </c>
      <c r="G167" s="44">
        <f>IF(AND(Tabela2[[#This Row],[Dividendo / Ação]]&gt;0,Tabela2[[#This Row],[Lucro por ação]]&gt;0),Tabela2[[#This Row],[Dividendo / Ação]]/Tabela2[[#This Row],[Lucro por ação]],"")</f>
        <v>0.82564950561370198</v>
      </c>
      <c r="H167" s="6">
        <f>MAX(Tabela2[[#This Row],[Cotação 1]],Tabela2[[#This Row],[Cotação 2]])</f>
        <v>17.079999999999998</v>
      </c>
      <c r="I167" s="19">
        <f>IF(Tabela2[[#This Row],[Dividendo / Ação]]&gt;0,Tabela2[[#This Row],[Dividendo / Ação]]/Tabela2[[#This Row],[Cotação]],"")</f>
        <v>0.25750626463700238</v>
      </c>
      <c r="J167" s="59">
        <f>SUMPRODUCT(N(Tabela1[Código]=Tabela2[[#This Row],[Ativo]]),Tabela1[Fechamento])</f>
        <v>17.079999999999998</v>
      </c>
      <c r="K167" s="59">
        <f>SUMPRODUCT(N(Tabela17[Código]=Tabela2[[#This Row],[Ativo]]),Tabela17[Fechamento])</f>
        <v>0</v>
      </c>
      <c r="L167" s="59">
        <f>SUMPRODUCT(N([Ativo]=Tabela2[[#This Row],[Ativo]]),N([Exercício]=Tabela2[[#This Row],[Exercício]]-1),[Lucro Líquido])</f>
        <v>0</v>
      </c>
      <c r="M167" s="19" t="str">
        <f>IF(Tabela2[[#This Row],[Lucro Anterior]]=0,"",IF(Tabela2[[#This Row],[Lucro Líquido]]&gt;0,Tabela2[[#This Row],[Lucro Líquido]]/Tabela2[[#This Row],[Lucro Anterior]]-1,0))</f>
        <v/>
      </c>
    </row>
    <row r="168" spans="1:13">
      <c r="A168" s="4" t="s">
        <v>92</v>
      </c>
      <c r="B168" s="4">
        <v>2012</v>
      </c>
      <c r="C168" s="6">
        <v>805497405.55999994</v>
      </c>
      <c r="D168" s="8">
        <f>SUMPRODUCT(N(Tabela3[PAPEL]=Tabela2[[#This Row],[Ativo]]),Tabela3[Total Ações])</f>
        <v>188177338</v>
      </c>
      <c r="E168" s="64">
        <f>(Tabela2[[#This Row],[Lucro Líquido]])/Tabela2[[#This Row],[Total Ações]]</f>
        <v>4.2805229052607805</v>
      </c>
      <c r="F168" s="64">
        <v>2.3192654978</v>
      </c>
      <c r="G168" s="44">
        <f>IF(AND(Tabela2[[#This Row],[Dividendo / Ação]]&gt;0,Tabela2[[#This Row],[Lucro por ação]]&gt;0),Tabela2[[#This Row],[Dividendo / Ação]]/Tabela2[[#This Row],[Lucro por ação]],"")</f>
        <v>0.54181826592952298</v>
      </c>
      <c r="H168" s="6">
        <f>MAX(Tabela2[[#This Row],[Cotação 1]],Tabela2[[#This Row],[Cotação 2]])</f>
        <v>31.98</v>
      </c>
      <c r="I168" s="19">
        <f>IF(Tabela2[[#This Row],[Dividendo / Ação]]&gt;0,Tabela2[[#This Row],[Dividendo / Ação]]/Tabela2[[#This Row],[Cotação]],"")</f>
        <v>7.2522373289555978E-2</v>
      </c>
      <c r="J168" s="59">
        <f>SUMPRODUCT(N(Tabela1[Código]=Tabela2[[#This Row],[Ativo]]),Tabela1[Fechamento])</f>
        <v>31.98</v>
      </c>
      <c r="K168" s="59">
        <f>SUMPRODUCT(N(Tabela17[Código]=Tabela2[[#This Row],[Ativo]]),Tabela17[Fechamento])</f>
        <v>0</v>
      </c>
      <c r="L168" s="59">
        <f>SUMPRODUCT(N([Ativo]=Tabela2[[#This Row],[Ativo]]),N([Exercício]=Tabela2[[#This Row],[Exercício]]-1),[Lucro Líquido])</f>
        <v>750490000</v>
      </c>
      <c r="M168" s="19">
        <f>IF(Tabela2[[#This Row],[Lucro Anterior]]=0,"",IF(Tabela2[[#This Row],[Lucro Líquido]]&gt;0,Tabela2[[#This Row],[Lucro Líquido]]/Tabela2[[#This Row],[Lucro Anterior]]-1,0))</f>
        <v>7.3295321136857217E-2</v>
      </c>
    </row>
    <row r="169" spans="1:13">
      <c r="A169" s="4" t="s">
        <v>92</v>
      </c>
      <c r="B169" s="3">
        <v>2011</v>
      </c>
      <c r="C169" s="5">
        <v>750490000</v>
      </c>
      <c r="D169" s="60">
        <f>SUMPRODUCT(N(Tabela3[PAPEL]=Tabela2[[#This Row],[Ativo]]),Tabela3[Total Ações])</f>
        <v>188177338</v>
      </c>
      <c r="E169" s="63">
        <f>(Tabela2[[#This Row],[Lucro Líquido]])/Tabela2[[#This Row],[Total Ações]]</f>
        <v>3.988206061242082</v>
      </c>
      <c r="F169" s="63">
        <v>4.4176596381</v>
      </c>
      <c r="G169" s="22">
        <f>IF(AND(Tabela2[[#This Row],[Dividendo / Ação]]&gt;0,Tabela2[[#This Row],[Lucro por ação]]&gt;0),Tabela2[[#This Row],[Dividendo / Ação]]/Tabela2[[#This Row],[Lucro por ação]],"")</f>
        <v>1.1076808896690182</v>
      </c>
      <c r="H169" s="5">
        <f>MAX(Tabela2[[#This Row],[Cotação 1]],Tabela2[[#This Row],[Cotação 2]])</f>
        <v>31.98</v>
      </c>
      <c r="I169" s="18">
        <f>IF(Tabela2[[#This Row],[Dividendo / Ação]]&gt;0,Tabela2[[#This Row],[Dividendo / Ação]]/Tabela2[[#This Row],[Cotação]],"")</f>
        <v>0.13813820006566604</v>
      </c>
      <c r="J169" s="58">
        <f>SUMPRODUCT(N(Tabela1[Código]=Tabela2[[#This Row],[Ativo]]),Tabela1[Fechamento])</f>
        <v>31.98</v>
      </c>
      <c r="K169" s="58">
        <f>SUMPRODUCT(N(Tabela17[Código]=Tabela2[[#This Row],[Ativo]]),Tabela17[Fechamento])</f>
        <v>0</v>
      </c>
      <c r="L169" s="58">
        <f>SUMPRODUCT(N([Ativo]=Tabela2[[#This Row],[Ativo]]),N([Exercício]=Tabela2[[#This Row],[Exercício]]-1),[Lucro Líquido])</f>
        <v>945719000</v>
      </c>
      <c r="M169" s="18">
        <f>IF(Tabela2[[#This Row],[Lucro Anterior]]=0,"",IF(Tabela2[[#This Row],[Lucro Líquido]]&gt;0,Tabela2[[#This Row],[Lucro Líquido]]/Tabela2[[#This Row],[Lucro Anterior]]-1,0))</f>
        <v>-0.20643446943542432</v>
      </c>
    </row>
    <row r="170" spans="1:13">
      <c r="A170" s="4" t="s">
        <v>92</v>
      </c>
      <c r="B170" s="3">
        <v>2010</v>
      </c>
      <c r="C170" s="5">
        <v>945719000</v>
      </c>
      <c r="D170" s="60">
        <f>SUMPRODUCT(N(Tabela3[PAPEL]=Tabela2[[#This Row],[Ativo]]),Tabela3[Total Ações])</f>
        <v>188177338</v>
      </c>
      <c r="E170" s="63">
        <f>(Tabela2[[#This Row],[Lucro Líquido]])/Tabela2[[#This Row],[Total Ações]]</f>
        <v>5.0256795534008454</v>
      </c>
      <c r="F170" s="63">
        <v>3.6718683019</v>
      </c>
      <c r="G170" s="22">
        <f>IF(AND(Tabela2[[#This Row],[Dividendo / Ação]]&gt;0,Tabela2[[#This Row],[Lucro por ação]]&gt;0),Tabela2[[#This Row],[Dividendo / Ação]]/Tabela2[[#This Row],[Lucro por ação]],"")</f>
        <v>0.73062125487393448</v>
      </c>
      <c r="H170" s="5">
        <f>MAX(Tabela2[[#This Row],[Cotação 1]],Tabela2[[#This Row],[Cotação 2]])</f>
        <v>31.98</v>
      </c>
      <c r="I170" s="18">
        <f>IF(Tabela2[[#This Row],[Dividendo / Ação]]&gt;0,Tabela2[[#This Row],[Dividendo / Ação]]/Tabela2[[#This Row],[Cotação]],"")</f>
        <v>0.11481764546278925</v>
      </c>
      <c r="J170" s="58">
        <f>SUMPRODUCT(N(Tabela1[Código]=Tabela2[[#This Row],[Ativo]]),Tabela1[Fechamento])</f>
        <v>31.98</v>
      </c>
      <c r="K170" s="58">
        <f>SUMPRODUCT(N(Tabela17[Código]=Tabela2[[#This Row],[Ativo]]),Tabela17[Fechamento])</f>
        <v>0</v>
      </c>
      <c r="L170" s="58">
        <f>SUMPRODUCT(N([Ativo]=Tabela2[[#This Row],[Ativo]]),N([Exercício]=Tabela2[[#This Row],[Exercício]]-1),[Lucro Líquido])</f>
        <v>887625000</v>
      </c>
      <c r="M170" s="18">
        <f>IF(Tabela2[[#This Row],[Lucro Anterior]]=0,"",IF(Tabela2[[#This Row],[Lucro Líquido]]&gt;0,Tabela2[[#This Row],[Lucro Líquido]]/Tabela2[[#This Row],[Lucro Anterior]]-1,0))</f>
        <v>6.5448810026756732E-2</v>
      </c>
    </row>
    <row r="171" spans="1:13">
      <c r="A171" s="4" t="s">
        <v>92</v>
      </c>
      <c r="B171" s="3">
        <v>2009</v>
      </c>
      <c r="C171" s="5">
        <v>887625000</v>
      </c>
      <c r="D171" s="60">
        <f>SUMPRODUCT(N(Tabela3[PAPEL]=Tabela2[[#This Row],[Ativo]]),Tabela3[Total Ações])</f>
        <v>188177338</v>
      </c>
      <c r="E171" s="63">
        <f>(Tabela2[[#This Row],[Lucro Líquido]])/Tabela2[[#This Row],[Total Ações]]</f>
        <v>4.7169601261975549</v>
      </c>
      <c r="F171" s="63">
        <v>3.24332932</v>
      </c>
      <c r="G171" s="22">
        <f>IF(AND(Tabela2[[#This Row],[Dividendo / Ação]]&gt;0,Tabela2[[#This Row],[Lucro por ação]]&gt;0),Tabela2[[#This Row],[Dividendo / Ação]]/Tabela2[[#This Row],[Lucro por ação]],"")</f>
        <v>0.68758887784250122</v>
      </c>
      <c r="H171" s="5">
        <f>MAX(Tabela2[[#This Row],[Cotação 1]],Tabela2[[#This Row],[Cotação 2]])</f>
        <v>31.98</v>
      </c>
      <c r="I171" s="18">
        <f>IF(Tabela2[[#This Row],[Dividendo / Ação]]&gt;0,Tabela2[[#This Row],[Dividendo / Ação]]/Tabela2[[#This Row],[Cotação]],"")</f>
        <v>0.10141742714196372</v>
      </c>
      <c r="J171" s="58">
        <f>SUMPRODUCT(N(Tabela1[Código]=Tabela2[[#This Row],[Ativo]]),Tabela1[Fechamento])</f>
        <v>31.98</v>
      </c>
      <c r="K171" s="58">
        <f>SUMPRODUCT(N(Tabela17[Código]=Tabela2[[#This Row],[Ativo]]),Tabela17[Fechamento])</f>
        <v>0</v>
      </c>
      <c r="L171" s="58">
        <f>SUMPRODUCT(N([Ativo]=Tabela2[[#This Row],[Ativo]]),N([Exercício]=Tabela2[[#This Row],[Exercício]]-1),[Lucro Líquido])</f>
        <v>0</v>
      </c>
      <c r="M171" s="18" t="str">
        <f>IF(Tabela2[[#This Row],[Lucro Anterior]]=0,"",IF(Tabela2[[#This Row],[Lucro Líquido]]&gt;0,Tabela2[[#This Row],[Lucro Líquido]]/Tabela2[[#This Row],[Lucro Anterior]]-1,0))</f>
        <v/>
      </c>
    </row>
    <row r="172" spans="1:13">
      <c r="A172" s="4" t="s">
        <v>93</v>
      </c>
      <c r="B172" s="4">
        <v>2012</v>
      </c>
      <c r="C172" s="6">
        <v>805497405.55999994</v>
      </c>
      <c r="D172" s="8">
        <f>SUMPRODUCT(N(Tabela3[PAPEL]=Tabela2[[#This Row],[Ativo]]),Tabela3[Total Ações])</f>
        <v>188177338</v>
      </c>
      <c r="E172" s="64">
        <f>(Tabela2[[#This Row],[Lucro Líquido]])/Tabela2[[#This Row],[Total Ações]]</f>
        <v>4.2805229052607805</v>
      </c>
      <c r="F172" s="64">
        <v>2.3192654978</v>
      </c>
      <c r="G172" s="44">
        <f>IF(AND(Tabela2[[#This Row],[Dividendo / Ação]]&gt;0,Tabela2[[#This Row],[Lucro por ação]]&gt;0),Tabela2[[#This Row],[Dividendo / Ação]]/Tabela2[[#This Row],[Lucro por ação]],"")</f>
        <v>0.54181826592952298</v>
      </c>
      <c r="H172" s="6">
        <f>MAX(Tabela2[[#This Row],[Cotação 1]],Tabela2[[#This Row],[Cotação 2]])</f>
        <v>32.01</v>
      </c>
      <c r="I172" s="19">
        <f>IF(Tabela2[[#This Row],[Dividendo / Ação]]&gt;0,Tabela2[[#This Row],[Dividendo / Ação]]/Tabela2[[#This Row],[Cotação]],"")</f>
        <v>7.2454404804748518E-2</v>
      </c>
      <c r="J172" s="59">
        <f>SUMPRODUCT(N(Tabela1[Código]=Tabela2[[#This Row],[Ativo]]),Tabela1[Fechamento])</f>
        <v>32.01</v>
      </c>
      <c r="K172" s="59">
        <f>SUMPRODUCT(N(Tabela17[Código]=Tabela2[[#This Row],[Ativo]]),Tabela17[Fechamento])</f>
        <v>0</v>
      </c>
      <c r="L172" s="59">
        <f>SUMPRODUCT(N([Ativo]=Tabela2[[#This Row],[Ativo]]),N([Exercício]=Tabela2[[#This Row],[Exercício]]-1),[Lucro Líquido])</f>
        <v>750490000</v>
      </c>
      <c r="M172" s="19">
        <f>IF(Tabela2[[#This Row],[Lucro Anterior]]=0,"",IF(Tabela2[[#This Row],[Lucro Líquido]]&gt;0,Tabela2[[#This Row],[Lucro Líquido]]/Tabela2[[#This Row],[Lucro Anterior]]-1,0))</f>
        <v>7.3295321136857217E-2</v>
      </c>
    </row>
    <row r="173" spans="1:13">
      <c r="A173" s="4" t="s">
        <v>93</v>
      </c>
      <c r="B173" s="3">
        <v>2011</v>
      </c>
      <c r="C173" s="5">
        <v>750490000</v>
      </c>
      <c r="D173" s="60">
        <f>SUMPRODUCT(N(Tabela3[PAPEL]=Tabela2[[#This Row],[Ativo]]),Tabela3[Total Ações])</f>
        <v>188177338</v>
      </c>
      <c r="E173" s="63">
        <f>(Tabela2[[#This Row],[Lucro Líquido]])/Tabela2[[#This Row],[Total Ações]]</f>
        <v>3.988206061242082</v>
      </c>
      <c r="F173" s="63">
        <v>4.4176596381</v>
      </c>
      <c r="G173" s="22">
        <f>IF(AND(Tabela2[[#This Row],[Dividendo / Ação]]&gt;0,Tabela2[[#This Row],[Lucro por ação]]&gt;0),Tabela2[[#This Row],[Dividendo / Ação]]/Tabela2[[#This Row],[Lucro por ação]],"")</f>
        <v>1.1076808896690182</v>
      </c>
      <c r="H173" s="5">
        <f>MAX(Tabela2[[#This Row],[Cotação 1]],Tabela2[[#This Row],[Cotação 2]])</f>
        <v>32.01</v>
      </c>
      <c r="I173" s="18">
        <f>IF(Tabela2[[#This Row],[Dividendo / Ação]]&gt;0,Tabela2[[#This Row],[Dividendo / Ação]]/Tabela2[[#This Row],[Cotação]],"")</f>
        <v>0.13800873596063731</v>
      </c>
      <c r="J173" s="58">
        <f>SUMPRODUCT(N(Tabela1[Código]=Tabela2[[#This Row],[Ativo]]),Tabela1[Fechamento])</f>
        <v>32.01</v>
      </c>
      <c r="K173" s="58">
        <f>SUMPRODUCT(N(Tabela17[Código]=Tabela2[[#This Row],[Ativo]]),Tabela17[Fechamento])</f>
        <v>0</v>
      </c>
      <c r="L173" s="58">
        <f>SUMPRODUCT(N([Ativo]=Tabela2[[#This Row],[Ativo]]),N([Exercício]=Tabela2[[#This Row],[Exercício]]-1),[Lucro Líquido])</f>
        <v>945719000</v>
      </c>
      <c r="M173" s="18">
        <f>IF(Tabela2[[#This Row],[Lucro Anterior]]=0,"",IF(Tabela2[[#This Row],[Lucro Líquido]]&gt;0,Tabela2[[#This Row],[Lucro Líquido]]/Tabela2[[#This Row],[Lucro Anterior]]-1,0))</f>
        <v>-0.20643446943542432</v>
      </c>
    </row>
    <row r="174" spans="1:13">
      <c r="A174" s="4" t="s">
        <v>93</v>
      </c>
      <c r="B174" s="3">
        <v>2010</v>
      </c>
      <c r="C174" s="5">
        <v>945719000</v>
      </c>
      <c r="D174" s="60">
        <f>SUMPRODUCT(N(Tabela3[PAPEL]=Tabela2[[#This Row],[Ativo]]),Tabela3[Total Ações])</f>
        <v>188177338</v>
      </c>
      <c r="E174" s="63">
        <f>(Tabela2[[#This Row],[Lucro Líquido]])/Tabela2[[#This Row],[Total Ações]]</f>
        <v>5.0256795534008454</v>
      </c>
      <c r="F174" s="63">
        <v>3.6718683019</v>
      </c>
      <c r="G174" s="22">
        <f>IF(AND(Tabela2[[#This Row],[Dividendo / Ação]]&gt;0,Tabela2[[#This Row],[Lucro por ação]]&gt;0),Tabela2[[#This Row],[Dividendo / Ação]]/Tabela2[[#This Row],[Lucro por ação]],"")</f>
        <v>0.73062125487393448</v>
      </c>
      <c r="H174" s="5">
        <f>MAX(Tabela2[[#This Row],[Cotação 1]],Tabela2[[#This Row],[Cotação 2]])</f>
        <v>32.01</v>
      </c>
      <c r="I174" s="18">
        <f>IF(Tabela2[[#This Row],[Dividendo / Ação]]&gt;0,Tabela2[[#This Row],[Dividendo / Ação]]/Tabela2[[#This Row],[Cotação]],"")</f>
        <v>0.11471003754764136</v>
      </c>
      <c r="J174" s="58">
        <f>SUMPRODUCT(N(Tabela1[Código]=Tabela2[[#This Row],[Ativo]]),Tabela1[Fechamento])</f>
        <v>32.01</v>
      </c>
      <c r="K174" s="58">
        <f>SUMPRODUCT(N(Tabela17[Código]=Tabela2[[#This Row],[Ativo]]),Tabela17[Fechamento])</f>
        <v>0</v>
      </c>
      <c r="L174" s="58">
        <f>SUMPRODUCT(N([Ativo]=Tabela2[[#This Row],[Ativo]]),N([Exercício]=Tabela2[[#This Row],[Exercício]]-1),[Lucro Líquido])</f>
        <v>887625000</v>
      </c>
      <c r="M174" s="18">
        <f>IF(Tabela2[[#This Row],[Lucro Anterior]]=0,"",IF(Tabela2[[#This Row],[Lucro Líquido]]&gt;0,Tabela2[[#This Row],[Lucro Líquido]]/Tabela2[[#This Row],[Lucro Anterior]]-1,0))</f>
        <v>6.5448810026756732E-2</v>
      </c>
    </row>
    <row r="175" spans="1:13">
      <c r="A175" s="4" t="s">
        <v>93</v>
      </c>
      <c r="B175" s="3">
        <v>2009</v>
      </c>
      <c r="C175" s="5">
        <v>887625000</v>
      </c>
      <c r="D175" s="60">
        <f>SUMPRODUCT(N(Tabela3[PAPEL]=Tabela2[[#This Row],[Ativo]]),Tabela3[Total Ações])</f>
        <v>188177338</v>
      </c>
      <c r="E175" s="63">
        <f>(Tabela2[[#This Row],[Lucro Líquido]])/Tabela2[[#This Row],[Total Ações]]</f>
        <v>4.7169601261975549</v>
      </c>
      <c r="F175" s="63">
        <v>3.24332932</v>
      </c>
      <c r="G175" s="22">
        <f>IF(AND(Tabela2[[#This Row],[Dividendo / Ação]]&gt;0,Tabela2[[#This Row],[Lucro por ação]]&gt;0),Tabela2[[#This Row],[Dividendo / Ação]]/Tabela2[[#This Row],[Lucro por ação]],"")</f>
        <v>0.68758887784250122</v>
      </c>
      <c r="H175" s="5">
        <f>MAX(Tabela2[[#This Row],[Cotação 1]],Tabela2[[#This Row],[Cotação 2]])</f>
        <v>32.01</v>
      </c>
      <c r="I175" s="18">
        <f>IF(Tabela2[[#This Row],[Dividendo / Ação]]&gt;0,Tabela2[[#This Row],[Dividendo / Ação]]/Tabela2[[#This Row],[Cotação]],"")</f>
        <v>0.10132237800687285</v>
      </c>
      <c r="J175" s="58">
        <f>SUMPRODUCT(N(Tabela1[Código]=Tabela2[[#This Row],[Ativo]]),Tabela1[Fechamento])</f>
        <v>32.01</v>
      </c>
      <c r="K175" s="58">
        <f>SUMPRODUCT(N(Tabela17[Código]=Tabela2[[#This Row],[Ativo]]),Tabela17[Fechamento])</f>
        <v>0</v>
      </c>
      <c r="L175" s="58">
        <f>SUMPRODUCT(N([Ativo]=Tabela2[[#This Row],[Ativo]]),N([Exercício]=Tabela2[[#This Row],[Exercício]]-1),[Lucro Líquido])</f>
        <v>0</v>
      </c>
      <c r="M175" s="18" t="str">
        <f>IF(Tabela2[[#This Row],[Lucro Anterior]]=0,"",IF(Tabela2[[#This Row],[Lucro Líquido]]&gt;0,Tabela2[[#This Row],[Lucro Líquido]]/Tabela2[[#This Row],[Lucro Anterior]]-1,0))</f>
        <v/>
      </c>
    </row>
    <row r="176" spans="1:13">
      <c r="A176" s="4" t="s">
        <v>70</v>
      </c>
      <c r="B176" s="4">
        <v>2012</v>
      </c>
      <c r="C176" s="6">
        <v>15128479.970000001</v>
      </c>
      <c r="D176" s="8">
        <f>SUMPRODUCT(N(Tabela3[PAPEL]=Tabela2[[#This Row],[Ativo]]),Tabela3[Total Ações])</f>
        <v>74612388</v>
      </c>
      <c r="E176" s="64">
        <f>(Tabela2[[#This Row],[Lucro Líquido]])/Tabela2[[#This Row],[Total Ações]]</f>
        <v>0.20276096738788202</v>
      </c>
      <c r="F176" s="64">
        <v>0.20233950000000001</v>
      </c>
      <c r="G176" s="44">
        <f>IF(AND(Tabela2[[#This Row],[Dividendo / Ação]]&gt;0,Tabela2[[#This Row],[Lucro por ação]]&gt;0),Tabela2[[#This Row],[Dividendo / Ação]]/Tabela2[[#This Row],[Lucro por ação]],"")</f>
        <v>0.99792135836935647</v>
      </c>
      <c r="H176" s="6">
        <f>MAX(Tabela2[[#This Row],[Cotação 1]],Tabela2[[#This Row],[Cotação 2]])</f>
        <v>18</v>
      </c>
      <c r="I176" s="19">
        <f>IF(Tabela2[[#This Row],[Dividendo / Ação]]&gt;0,Tabela2[[#This Row],[Dividendo / Ação]]/Tabela2[[#This Row],[Cotação]],"")</f>
        <v>1.1241083333333334E-2</v>
      </c>
      <c r="J176" s="59">
        <f>SUMPRODUCT(N(Tabela1[Código]=Tabela2[[#This Row],[Ativo]]),Tabela1[Fechamento])</f>
        <v>18</v>
      </c>
      <c r="K176" s="59">
        <f>SUMPRODUCT(N(Tabela17[Código]=Tabela2[[#This Row],[Ativo]]),Tabela17[Fechamento])</f>
        <v>0</v>
      </c>
      <c r="L176" s="59">
        <f>SUMPRODUCT(N([Ativo]=Tabela2[[#This Row],[Ativo]]),N([Exercício]=Tabela2[[#This Row],[Exercício]]-1),[Lucro Líquido])</f>
        <v>283416000</v>
      </c>
      <c r="M176" s="19">
        <f>IF(Tabela2[[#This Row],[Lucro Anterior]]=0,"",IF(Tabela2[[#This Row],[Lucro Líquido]]&gt;0,Tabela2[[#This Row],[Lucro Líquido]]/Tabela2[[#This Row],[Lucro Anterior]]-1,0))</f>
        <v>-0.94662093893781574</v>
      </c>
    </row>
    <row r="177" spans="1:13">
      <c r="A177" s="4" t="s">
        <v>70</v>
      </c>
      <c r="B177" s="3">
        <v>2011</v>
      </c>
      <c r="C177" s="5">
        <v>283416000</v>
      </c>
      <c r="D177" s="60">
        <f>SUMPRODUCT(N(Tabela3[PAPEL]=Tabela2[[#This Row],[Ativo]]),Tabela3[Total Ações])</f>
        <v>74612388</v>
      </c>
      <c r="E177" s="63">
        <f>(Tabela2[[#This Row],[Lucro Líquido]])/Tabela2[[#This Row],[Total Ações]]</f>
        <v>3.7985113142337705</v>
      </c>
      <c r="F177" s="63">
        <v>3.2507519999999999</v>
      </c>
      <c r="G177" s="22">
        <f>IF(AND(Tabela2[[#This Row],[Dividendo / Ação]]&gt;0,Tabela2[[#This Row],[Lucro por ação]]&gt;0),Tabela2[[#This Row],[Dividendo / Ação]]/Tabela2[[#This Row],[Lucro por ação]],"")</f>
        <v>0.85579631889440255</v>
      </c>
      <c r="H177" s="5">
        <f>MAX(Tabela2[[#This Row],[Cotação 1]],Tabela2[[#This Row],[Cotação 2]])</f>
        <v>18</v>
      </c>
      <c r="I177" s="18">
        <f>IF(Tabela2[[#This Row],[Dividendo / Ação]]&gt;0,Tabela2[[#This Row],[Dividendo / Ação]]/Tabela2[[#This Row],[Cotação]],"")</f>
        <v>0.18059733333333333</v>
      </c>
      <c r="J177" s="58">
        <f>SUMPRODUCT(N(Tabela1[Código]=Tabela2[[#This Row],[Ativo]]),Tabela1[Fechamento])</f>
        <v>18</v>
      </c>
      <c r="K177" s="58">
        <f>SUMPRODUCT(N(Tabela17[Código]=Tabela2[[#This Row],[Ativo]]),Tabela17[Fechamento])</f>
        <v>0</v>
      </c>
      <c r="L177" s="58">
        <f>SUMPRODUCT(N([Ativo]=Tabela2[[#This Row],[Ativo]]),N([Exercício]=Tabela2[[#This Row],[Exercício]]-1),[Lucro Líquido])</f>
        <v>1035240000</v>
      </c>
      <c r="M177" s="18">
        <f>IF(Tabela2[[#This Row],[Lucro Anterior]]=0,"",IF(Tabela2[[#This Row],[Lucro Líquido]]&gt;0,Tabela2[[#This Row],[Lucro Líquido]]/Tabela2[[#This Row],[Lucro Anterior]]-1,0))</f>
        <v>-0.72623159846992003</v>
      </c>
    </row>
    <row r="178" spans="1:13">
      <c r="A178" s="4" t="s">
        <v>70</v>
      </c>
      <c r="B178" s="3">
        <v>2010</v>
      </c>
      <c r="C178" s="5">
        <v>448291000</v>
      </c>
      <c r="D178" s="60">
        <f>SUMPRODUCT(N(Tabela3[PAPEL]=Tabela2[[#This Row],[Ativo]]),Tabela3[Total Ações])</f>
        <v>74612388</v>
      </c>
      <c r="E178" s="63">
        <f>(Tabela2[[#This Row],[Lucro Líquido]])/Tabela2[[#This Row],[Total Ações]]</f>
        <v>6.0082650082182063</v>
      </c>
      <c r="F178" s="63">
        <v>3.3315596300000001</v>
      </c>
      <c r="G178" s="22">
        <f>IF(AND(Tabela2[[#This Row],[Dividendo / Ação]]&gt;0,Tabela2[[#This Row],[Lucro por ação]]&gt;0),Tabela2[[#This Row],[Dividendo / Ação]]/Tabela2[[#This Row],[Lucro por ação]],"")</f>
        <v>0.55449611916968322</v>
      </c>
      <c r="H178" s="5">
        <f>MAX(Tabela2[[#This Row],[Cotação 1]],Tabela2[[#This Row],[Cotação 2]])</f>
        <v>18</v>
      </c>
      <c r="I178" s="18">
        <f>IF(Tabela2[[#This Row],[Dividendo / Ação]]&gt;0,Tabela2[[#This Row],[Dividendo / Ação]]/Tabela2[[#This Row],[Cotação]],"")</f>
        <v>0.18508664611111111</v>
      </c>
      <c r="J178" s="58">
        <f>SUMPRODUCT(N(Tabela1[Código]=Tabela2[[#This Row],[Ativo]]),Tabela1[Fechamento])</f>
        <v>18</v>
      </c>
      <c r="K178" s="58">
        <f>SUMPRODUCT(N(Tabela17[Código]=Tabela2[[#This Row],[Ativo]]),Tabela17[Fechamento])</f>
        <v>0</v>
      </c>
      <c r="L178" s="58">
        <f>SUMPRODUCT(N([Ativo]=Tabela2[[#This Row],[Ativo]]),N([Exercício]=Tabela2[[#This Row],[Exercício]]-1),[Lucro Líquido])</f>
        <v>0</v>
      </c>
      <c r="M178" s="18" t="str">
        <f>IF(Tabela2[[#This Row],[Lucro Anterior]]=0,"",IF(Tabela2[[#This Row],[Lucro Líquido]]&gt;0,Tabela2[[#This Row],[Lucro Líquido]]/Tabela2[[#This Row],[Lucro Anterior]]-1,0))</f>
        <v/>
      </c>
    </row>
    <row r="179" spans="1:13">
      <c r="A179" s="4" t="s">
        <v>70</v>
      </c>
      <c r="B179" s="3">
        <v>2010</v>
      </c>
      <c r="C179" s="5">
        <v>586949000</v>
      </c>
      <c r="D179" s="60">
        <f>SUMPRODUCT(N(Tabela3[PAPEL]=Tabela2[[#This Row],[Ativo]]),Tabela3[Total Ações])</f>
        <v>74612388</v>
      </c>
      <c r="E179" s="63">
        <f>(Tabela2[[#This Row],[Lucro Líquido]])/Tabela2[[#This Row],[Total Ações]]</f>
        <v>7.866642734983901</v>
      </c>
      <c r="F179" s="63">
        <v>4.429843</v>
      </c>
      <c r="G179" s="22">
        <f>IF(AND(Tabela2[[#This Row],[Dividendo / Ação]]&gt;0,Tabela2[[#This Row],[Lucro por ação]]&gt;0),Tabela2[[#This Row],[Dividendo / Ação]]/Tabela2[[#This Row],[Lucro por ação]],"")</f>
        <v>0.56311734868801888</v>
      </c>
      <c r="H179" s="5">
        <f>MAX(Tabela2[[#This Row],[Cotação 1]],Tabela2[[#This Row],[Cotação 2]])</f>
        <v>18</v>
      </c>
      <c r="I179" s="18">
        <f>IF(Tabela2[[#This Row],[Dividendo / Ação]]&gt;0,Tabela2[[#This Row],[Dividendo / Ação]]/Tabela2[[#This Row],[Cotação]],"")</f>
        <v>0.24610238888888888</v>
      </c>
      <c r="J179" s="58">
        <f>SUMPRODUCT(N(Tabela1[Código]=Tabela2[[#This Row],[Ativo]]),Tabela1[Fechamento])</f>
        <v>18</v>
      </c>
      <c r="K179" s="58">
        <f>SUMPRODUCT(N(Tabela17[Código]=Tabela2[[#This Row],[Ativo]]),Tabela17[Fechamento])</f>
        <v>0</v>
      </c>
      <c r="L179" s="58">
        <f>SUMPRODUCT(N([Ativo]=Tabela2[[#This Row],[Ativo]]),N([Exercício]=Tabela2[[#This Row],[Exercício]]-1),[Lucro Líquido])</f>
        <v>0</v>
      </c>
      <c r="M179" s="18" t="str">
        <f>IF(Tabela2[[#This Row],[Lucro Anterior]]=0,"",IF(Tabela2[[#This Row],[Lucro Líquido]]&gt;0,Tabela2[[#This Row],[Lucro Líquido]]/Tabela2[[#This Row],[Lucro Anterior]]-1,0))</f>
        <v/>
      </c>
    </row>
    <row r="180" spans="1:13">
      <c r="A180" s="4" t="s">
        <v>96</v>
      </c>
      <c r="B180" s="4">
        <v>2012</v>
      </c>
      <c r="C180" s="6">
        <v>15128479.970000001</v>
      </c>
      <c r="D180" s="8">
        <f>SUMPRODUCT(N(Tabela3[PAPEL]=Tabela2[[#This Row],[Ativo]]),Tabela3[Total Ações])</f>
        <v>74612388</v>
      </c>
      <c r="E180" s="64">
        <f>(Tabela2[[#This Row],[Lucro Líquido]])/Tabela2[[#This Row],[Total Ações]]</f>
        <v>0.20276096738788202</v>
      </c>
      <c r="F180" s="64">
        <v>0.22263450000000001</v>
      </c>
      <c r="G180" s="44">
        <f>IF(AND(Tabela2[[#This Row],[Dividendo / Ação]]&gt;0,Tabela2[[#This Row],[Lucro por ação]]&gt;0),Tabela2[[#This Row],[Dividendo / Ação]]/Tabela2[[#This Row],[Lucro por ação]],"")</f>
        <v>1.0980145876602565</v>
      </c>
      <c r="H180" s="6">
        <f>MAX(Tabela2[[#This Row],[Cotação 1]],Tabela2[[#This Row],[Cotação 2]])</f>
        <v>21.51</v>
      </c>
      <c r="I180" s="19">
        <f>IF(Tabela2[[#This Row],[Dividendo / Ação]]&gt;0,Tabela2[[#This Row],[Dividendo / Ação]]/Tabela2[[#This Row],[Cotação]],"")</f>
        <v>1.0350278940027893E-2</v>
      </c>
      <c r="J180" s="59">
        <f>SUMPRODUCT(N(Tabela1[Código]=Tabela2[[#This Row],[Ativo]]),Tabela1[Fechamento])</f>
        <v>21.51</v>
      </c>
      <c r="K180" s="59">
        <f>SUMPRODUCT(N(Tabela17[Código]=Tabela2[[#This Row],[Ativo]]),Tabela17[Fechamento])</f>
        <v>0</v>
      </c>
      <c r="L180" s="59">
        <f>SUMPRODUCT(N([Ativo]=Tabela2[[#This Row],[Ativo]]),N([Exercício]=Tabela2[[#This Row],[Exercício]]-1),[Lucro Líquido])</f>
        <v>283416000</v>
      </c>
      <c r="M180" s="19">
        <f>IF(Tabela2[[#This Row],[Lucro Anterior]]=0,"",IF(Tabela2[[#This Row],[Lucro Líquido]]&gt;0,Tabela2[[#This Row],[Lucro Líquido]]/Tabela2[[#This Row],[Lucro Anterior]]-1,0))</f>
        <v>-0.94662093893781574</v>
      </c>
    </row>
    <row r="181" spans="1:13">
      <c r="A181" s="4" t="s">
        <v>96</v>
      </c>
      <c r="B181" s="4">
        <v>2011</v>
      </c>
      <c r="C181" s="5">
        <v>283416000</v>
      </c>
      <c r="D181" s="8">
        <f>SUMPRODUCT(N(Tabela3[PAPEL]=Tabela2[[#This Row],[Ativo]]),Tabela3[Total Ações])</f>
        <v>74612388</v>
      </c>
      <c r="E181" s="64">
        <f>(Tabela2[[#This Row],[Lucro Líquido]])/Tabela2[[#This Row],[Total Ações]]</f>
        <v>3.7985113142337705</v>
      </c>
      <c r="F181" s="64">
        <v>3.5758272</v>
      </c>
      <c r="G181" s="44">
        <f>IF(AND(Tabela2[[#This Row],[Dividendo / Ação]]&gt;0,Tabela2[[#This Row],[Lucro por ação]]&gt;0),Tabela2[[#This Row],[Dividendo / Ação]]/Tabela2[[#This Row],[Lucro por ação]],"")</f>
        <v>0.94137595078384284</v>
      </c>
      <c r="H181" s="6">
        <f>MAX(Tabela2[[#This Row],[Cotação 1]],Tabela2[[#This Row],[Cotação 2]])</f>
        <v>21.51</v>
      </c>
      <c r="I181" s="19">
        <f>IF(Tabela2[[#This Row],[Dividendo / Ação]]&gt;0,Tabela2[[#This Row],[Dividendo / Ação]]/Tabela2[[#This Row],[Cotação]],"")</f>
        <v>0.1662402231520223</v>
      </c>
      <c r="J181" s="59">
        <f>SUMPRODUCT(N(Tabela1[Código]=Tabela2[[#This Row],[Ativo]]),Tabela1[Fechamento])</f>
        <v>21.51</v>
      </c>
      <c r="K181" s="59">
        <f>SUMPRODUCT(N(Tabela17[Código]=Tabela2[[#This Row],[Ativo]]),Tabela17[Fechamento])</f>
        <v>0</v>
      </c>
      <c r="L181" s="59">
        <f>SUMPRODUCT(N([Ativo]=Tabela2[[#This Row],[Ativo]]),N([Exercício]=Tabela2[[#This Row],[Exercício]]-1),[Lucro Líquido])</f>
        <v>1035240000</v>
      </c>
      <c r="M181" s="19">
        <f>IF(Tabela2[[#This Row],[Lucro Anterior]]=0,"",IF(Tabela2[[#This Row],[Lucro Líquido]]&gt;0,Tabela2[[#This Row],[Lucro Líquido]]/Tabela2[[#This Row],[Lucro Anterior]]-1,0))</f>
        <v>-0.72623159846992003</v>
      </c>
    </row>
    <row r="182" spans="1:13">
      <c r="A182" s="4" t="s">
        <v>96</v>
      </c>
      <c r="B182" s="4">
        <v>2010</v>
      </c>
      <c r="C182" s="5">
        <v>448291000</v>
      </c>
      <c r="D182" s="8">
        <f>SUMPRODUCT(N(Tabela3[PAPEL]=Tabela2[[#This Row],[Ativo]]),Tabela3[Total Ações])</f>
        <v>74612388</v>
      </c>
      <c r="E182" s="64">
        <f>(Tabela2[[#This Row],[Lucro Líquido]])/Tabela2[[#This Row],[Total Ações]]</f>
        <v>6.0082650082182063</v>
      </c>
      <c r="F182" s="64">
        <v>3.6647560000000001</v>
      </c>
      <c r="G182" s="44">
        <f>IF(AND(Tabela2[[#This Row],[Dividendo / Ação]]&gt;0,Tabela2[[#This Row],[Lucro por ação]]&gt;0),Tabela2[[#This Row],[Dividendo / Ação]]/Tabela2[[#This Row],[Lucro por ação]],"")</f>
        <v>0.60995245632262973</v>
      </c>
      <c r="H182" s="6">
        <f>MAX(Tabela2[[#This Row],[Cotação 1]],Tabela2[[#This Row],[Cotação 2]])</f>
        <v>21.51</v>
      </c>
      <c r="I182" s="19">
        <f>IF(Tabela2[[#This Row],[Dividendo / Ação]]&gt;0,Tabela2[[#This Row],[Dividendo / Ação]]/Tabela2[[#This Row],[Cotação]],"")</f>
        <v>0.17037452347745233</v>
      </c>
      <c r="J182" s="59">
        <f>SUMPRODUCT(N(Tabela1[Código]=Tabela2[[#This Row],[Ativo]]),Tabela1[Fechamento])</f>
        <v>21.51</v>
      </c>
      <c r="K182" s="59">
        <f>SUMPRODUCT(N(Tabela17[Código]=Tabela2[[#This Row],[Ativo]]),Tabela17[Fechamento])</f>
        <v>0</v>
      </c>
      <c r="L182" s="59">
        <f>SUMPRODUCT(N([Ativo]=Tabela2[[#This Row],[Ativo]]),N([Exercício]=Tabela2[[#This Row],[Exercício]]-1),[Lucro Líquido])</f>
        <v>0</v>
      </c>
      <c r="M182" s="19" t="str">
        <f>IF(Tabela2[[#This Row],[Lucro Anterior]]=0,"",IF(Tabela2[[#This Row],[Lucro Líquido]]&gt;0,Tabela2[[#This Row],[Lucro Líquido]]/Tabela2[[#This Row],[Lucro Anterior]]-1,0))</f>
        <v/>
      </c>
    </row>
    <row r="183" spans="1:13">
      <c r="A183" s="4" t="s">
        <v>96</v>
      </c>
      <c r="B183" s="4">
        <v>2010</v>
      </c>
      <c r="C183" s="5">
        <v>586949000</v>
      </c>
      <c r="D183" s="8">
        <f>SUMPRODUCT(N(Tabela3[PAPEL]=Tabela2[[#This Row],[Ativo]]),Tabela3[Total Ações])</f>
        <v>74612388</v>
      </c>
      <c r="E183" s="64">
        <f>(Tabela2[[#This Row],[Lucro Líquido]])/Tabela2[[#This Row],[Total Ações]]</f>
        <v>7.866642734983901</v>
      </c>
      <c r="F183" s="64">
        <v>4.8728273</v>
      </c>
      <c r="G183" s="44">
        <f>IF(AND(Tabela2[[#This Row],[Dividendo / Ação]]&gt;0,Tabela2[[#This Row],[Lucro por ação]]&gt;0),Tabela2[[#This Row],[Dividendo / Ação]]/Tabela2[[#This Row],[Lucro por ação]],"")</f>
        <v>0.6194290835568208</v>
      </c>
      <c r="H183" s="6">
        <f>MAX(Tabela2[[#This Row],[Cotação 1]],Tabela2[[#This Row],[Cotação 2]])</f>
        <v>21.51</v>
      </c>
      <c r="I183" s="19">
        <f>IF(Tabela2[[#This Row],[Dividendo / Ação]]&gt;0,Tabela2[[#This Row],[Dividendo / Ação]]/Tabela2[[#This Row],[Cotação]],"")</f>
        <v>0.22653776383077637</v>
      </c>
      <c r="J183" s="59">
        <f>SUMPRODUCT(N(Tabela1[Código]=Tabela2[[#This Row],[Ativo]]),Tabela1[Fechamento])</f>
        <v>21.51</v>
      </c>
      <c r="K183" s="59">
        <f>SUMPRODUCT(N(Tabela17[Código]=Tabela2[[#This Row],[Ativo]]),Tabela17[Fechamento])</f>
        <v>0</v>
      </c>
      <c r="L183" s="59">
        <f>SUMPRODUCT(N([Ativo]=Tabela2[[#This Row],[Ativo]]),N([Exercício]=Tabela2[[#This Row],[Exercício]]-1),[Lucro Líquido])</f>
        <v>0</v>
      </c>
      <c r="M183" s="19" t="str">
        <f>IF(Tabela2[[#This Row],[Lucro Anterior]]=0,"",IF(Tabela2[[#This Row],[Lucro Líquido]]&gt;0,Tabela2[[#This Row],[Lucro Líquido]]/Tabela2[[#This Row],[Lucro Anterior]]-1,0))</f>
        <v/>
      </c>
    </row>
    <row r="184" spans="1:13">
      <c r="A184" s="4" t="s">
        <v>72</v>
      </c>
      <c r="B184" s="4">
        <v>2012</v>
      </c>
      <c r="C184" s="6">
        <v>147982000</v>
      </c>
      <c r="D184" s="8">
        <f>SUMPRODUCT(N(Tabela3[PAPEL]=Tabela2[[#This Row],[Ativo]]),Tabela3[Total Ações])</f>
        <v>327502673</v>
      </c>
      <c r="E184" s="64">
        <f>(Tabela2[[#This Row],[Lucro Líquido]])/Tabela2[[#This Row],[Total Ações]]</f>
        <v>0.4518497471927504</v>
      </c>
      <c r="F184" s="64">
        <v>1.1599999999999999</v>
      </c>
      <c r="G184" s="44">
        <f>IF(AND(Tabela2[[#This Row],[Dividendo / Ação]]&gt;0,Tabela2[[#This Row],[Lucro por ação]]&gt;0),Tabela2[[#This Row],[Dividendo / Ação]]/Tabela2[[#This Row],[Lucro por ação]],"")</f>
        <v>2.5672250725088186</v>
      </c>
      <c r="H184" s="6">
        <f>MAX(Tabela2[[#This Row],[Cotação 1]],Tabela2[[#This Row],[Cotação 2]])</f>
        <v>19.79</v>
      </c>
      <c r="I184" s="19">
        <f>IF(Tabela2[[#This Row],[Dividendo / Ação]]&gt;0,Tabela2[[#This Row],[Dividendo / Ação]]/Tabela2[[#This Row],[Cotação]],"")</f>
        <v>5.8615462354724604E-2</v>
      </c>
      <c r="J184" s="59">
        <f>SUMPRODUCT(N(Tabela1[Código]=Tabela2[[#This Row],[Ativo]]),Tabela1[Fechamento])</f>
        <v>19.79</v>
      </c>
      <c r="K184" s="59">
        <f>SUMPRODUCT(N(Tabela17[Código]=Tabela2[[#This Row],[Ativo]]),Tabela17[Fechamento])</f>
        <v>0</v>
      </c>
      <c r="L184" s="59">
        <f>SUMPRODUCT(N([Ativo]=Tabela2[[#This Row],[Ativo]]),N([Exercício]=Tabela2[[#This Row],[Exercício]]-1),[Lucro Líquido])</f>
        <v>108581000</v>
      </c>
      <c r="M184" s="19">
        <f>IF(Tabela2[[#This Row],[Lucro Anterior]]=0,"",IF(Tabela2[[#This Row],[Lucro Líquido]]&gt;0,Tabela2[[#This Row],[Lucro Líquido]]/Tabela2[[#This Row],[Lucro Anterior]]-1,0))</f>
        <v>0.36287195734060296</v>
      </c>
    </row>
    <row r="185" spans="1:13">
      <c r="A185" s="4" t="s">
        <v>72</v>
      </c>
      <c r="B185" s="3">
        <v>2011</v>
      </c>
      <c r="C185" s="5">
        <v>108581000</v>
      </c>
      <c r="D185" s="60">
        <f>SUMPRODUCT(N(Tabela3[PAPEL]=Tabela2[[#This Row],[Ativo]]),Tabela3[Total Ações])</f>
        <v>327502673</v>
      </c>
      <c r="E185" s="63">
        <f>(Tabela2[[#This Row],[Lucro Líquido]])/Tabela2[[#This Row],[Total Ações]]</f>
        <v>0.33154233217510259</v>
      </c>
      <c r="F185" s="63">
        <v>1.6978355000000001</v>
      </c>
      <c r="G185" s="22">
        <f>IF(AND(Tabela2[[#This Row],[Dividendo / Ação]]&gt;0,Tabela2[[#This Row],[Lucro por ação]]&gt;0),Tabela2[[#This Row],[Dividendo / Ação]]/Tabela2[[#This Row],[Lucro por ação]],"")</f>
        <v>5.121021767752107</v>
      </c>
      <c r="H185" s="5">
        <f>MAX(Tabela2[[#This Row],[Cotação 1]],Tabela2[[#This Row],[Cotação 2]])</f>
        <v>19.79</v>
      </c>
      <c r="I185" s="18">
        <f>IF(Tabela2[[#This Row],[Dividendo / Ação]]&gt;0,Tabela2[[#This Row],[Dividendo / Ação]]/Tabela2[[#This Row],[Cotação]],"")</f>
        <v>8.5792597271349177E-2</v>
      </c>
      <c r="J185" s="58">
        <f>SUMPRODUCT(N(Tabela1[Código]=Tabela2[[#This Row],[Ativo]]),Tabela1[Fechamento])</f>
        <v>19.79</v>
      </c>
      <c r="K185" s="58">
        <f>SUMPRODUCT(N(Tabela17[Código]=Tabela2[[#This Row],[Ativo]]),Tabela17[Fechamento])</f>
        <v>0</v>
      </c>
      <c r="L185" s="58">
        <f>SUMPRODUCT(N([Ativo]=Tabela2[[#This Row],[Ativo]]),N([Exercício]=Tabela2[[#This Row],[Exercício]]-1),[Lucro Líquido])</f>
        <v>93042000</v>
      </c>
      <c r="M185" s="18">
        <f>IF(Tabela2[[#This Row],[Lucro Anterior]]=0,"",IF(Tabela2[[#This Row],[Lucro Líquido]]&gt;0,Tabela2[[#This Row],[Lucro Líquido]]/Tabela2[[#This Row],[Lucro Anterior]]-1,0))</f>
        <v>0.16701059736463097</v>
      </c>
    </row>
    <row r="186" spans="1:13">
      <c r="A186" s="4" t="s">
        <v>72</v>
      </c>
      <c r="B186" s="3">
        <v>2010</v>
      </c>
      <c r="C186" s="5">
        <v>93042000</v>
      </c>
      <c r="D186" s="60">
        <f>SUMPRODUCT(N(Tabela3[PAPEL]=Tabela2[[#This Row],[Ativo]]),Tabela3[Total Ações])</f>
        <v>327502673</v>
      </c>
      <c r="E186" s="63">
        <f>(Tabela2[[#This Row],[Lucro Líquido]])/Tabela2[[#This Row],[Total Ações]]</f>
        <v>0.28409539118479193</v>
      </c>
      <c r="F186" s="63">
        <v>0.70331069999999996</v>
      </c>
      <c r="G186" s="22">
        <f>IF(AND(Tabela2[[#This Row],[Dividendo / Ação]]&gt;0,Tabela2[[#This Row],[Lucro por ação]]&gt;0),Tabela2[[#This Row],[Dividendo / Ação]]/Tabela2[[#This Row],[Lucro por ação]],"")</f>
        <v>2.475614606301467</v>
      </c>
      <c r="H186" s="5">
        <f>MAX(Tabela2[[#This Row],[Cotação 1]],Tabela2[[#This Row],[Cotação 2]])</f>
        <v>19.79</v>
      </c>
      <c r="I186" s="18">
        <f>IF(Tabela2[[#This Row],[Dividendo / Ação]]&gt;0,Tabela2[[#This Row],[Dividendo / Ação]]/Tabela2[[#This Row],[Cotação]],"")</f>
        <v>3.553869125821122E-2</v>
      </c>
      <c r="J186" s="58">
        <f>SUMPRODUCT(N(Tabela1[Código]=Tabela2[[#This Row],[Ativo]]),Tabela1[Fechamento])</f>
        <v>19.79</v>
      </c>
      <c r="K186" s="58">
        <f>SUMPRODUCT(N(Tabela17[Código]=Tabela2[[#This Row],[Ativo]]),Tabela17[Fechamento])</f>
        <v>0</v>
      </c>
      <c r="L186" s="58">
        <f>SUMPRODUCT(N([Ativo]=Tabela2[[#This Row],[Ativo]]),N([Exercício]=Tabela2[[#This Row],[Exercício]]-1),[Lucro Líquido])</f>
        <v>0</v>
      </c>
      <c r="M186" s="18" t="str">
        <f>IF(Tabela2[[#This Row],[Lucro Anterior]]=0,"",IF(Tabela2[[#This Row],[Lucro Líquido]]&gt;0,Tabela2[[#This Row],[Lucro Líquido]]/Tabela2[[#This Row],[Lucro Anterior]]-1,0))</f>
        <v/>
      </c>
    </row>
    <row r="187" spans="1:13">
      <c r="A187" s="4" t="s">
        <v>90</v>
      </c>
      <c r="B187" s="4">
        <v>2012</v>
      </c>
      <c r="C187" s="6">
        <v>147982000</v>
      </c>
      <c r="D187" s="8">
        <f>SUMPRODUCT(N(Tabela3[PAPEL]=Tabela2[[#This Row],[Ativo]]),Tabela3[Total Ações])</f>
        <v>327502673</v>
      </c>
      <c r="E187" s="64">
        <f>(Tabela2[[#This Row],[Lucro Líquido]])/Tabela2[[#This Row],[Total Ações]]</f>
        <v>0.4518497471927504</v>
      </c>
      <c r="F187" s="64">
        <v>1.82</v>
      </c>
      <c r="G187" s="44">
        <f>IF(AND(Tabela2[[#This Row],[Dividendo / Ação]]&gt;0,Tabela2[[#This Row],[Lucro por ação]]&gt;0),Tabela2[[#This Row],[Dividendo / Ação]]/Tabela2[[#This Row],[Lucro por ação]],"")</f>
        <v>4.027887613763836</v>
      </c>
      <c r="H187" s="6">
        <f>MAX(Tabela2[[#This Row],[Cotação 1]],Tabela2[[#This Row],[Cotação 2]])</f>
        <v>21.64</v>
      </c>
      <c r="I187" s="19">
        <f>IF(Tabela2[[#This Row],[Dividendo / Ação]]&gt;0,Tabela2[[#This Row],[Dividendo / Ação]]/Tabela2[[#This Row],[Cotação]],"")</f>
        <v>8.4103512014787427E-2</v>
      </c>
      <c r="J187" s="59">
        <f>SUMPRODUCT(N(Tabela1[Código]=Tabela2[[#This Row],[Ativo]]),Tabela1[Fechamento])</f>
        <v>21.64</v>
      </c>
      <c r="K187" s="59">
        <f>SUMPRODUCT(N(Tabela17[Código]=Tabela2[[#This Row],[Ativo]]),Tabela17[Fechamento])</f>
        <v>0</v>
      </c>
      <c r="L187" s="59">
        <f>SUMPRODUCT(N([Ativo]=Tabela2[[#This Row],[Ativo]]),N([Exercício]=Tabela2[[#This Row],[Exercício]]-1),[Lucro Líquido])</f>
        <v>108581000</v>
      </c>
      <c r="M187" s="19">
        <f>IF(Tabela2[[#This Row],[Lucro Anterior]]=0,"",IF(Tabela2[[#This Row],[Lucro Líquido]]&gt;0,Tabela2[[#This Row],[Lucro Líquido]]/Tabela2[[#This Row],[Lucro Anterior]]-1,0))</f>
        <v>0.36287195734060296</v>
      </c>
    </row>
    <row r="188" spans="1:13">
      <c r="A188" s="4" t="s">
        <v>90</v>
      </c>
      <c r="B188" s="3">
        <v>2011</v>
      </c>
      <c r="C188" s="5">
        <v>108581000</v>
      </c>
      <c r="D188" s="60">
        <f>SUMPRODUCT(N(Tabela3[PAPEL]=Tabela2[[#This Row],[Ativo]]),Tabela3[Total Ações])</f>
        <v>327502673</v>
      </c>
      <c r="E188" s="63">
        <f>(Tabela2[[#This Row],[Lucro Líquido]])/Tabela2[[#This Row],[Total Ações]]</f>
        <v>0.33154233217510259</v>
      </c>
      <c r="F188" s="63">
        <v>1.8245449413999999</v>
      </c>
      <c r="G188" s="22">
        <f>IF(AND(Tabela2[[#This Row],[Dividendo / Ação]]&gt;0,Tabela2[[#This Row],[Lucro por ação]]&gt;0),Tabela2[[#This Row],[Dividendo / Ação]]/Tabela2[[#This Row],[Lucro por ação]],"")</f>
        <v>5.5032035560284793</v>
      </c>
      <c r="H188" s="5">
        <f>MAX(Tabela2[[#This Row],[Cotação 1]],Tabela2[[#This Row],[Cotação 2]])</f>
        <v>21.64</v>
      </c>
      <c r="I188" s="18">
        <f>IF(Tabela2[[#This Row],[Dividendo / Ação]]&gt;0,Tabela2[[#This Row],[Dividendo / Ação]]/Tabela2[[#This Row],[Cotação]],"")</f>
        <v>8.4313537033271713E-2</v>
      </c>
      <c r="J188" s="58">
        <f>SUMPRODUCT(N(Tabela1[Código]=Tabela2[[#This Row],[Ativo]]),Tabela1[Fechamento])</f>
        <v>21.64</v>
      </c>
      <c r="K188" s="58">
        <f>SUMPRODUCT(N(Tabela17[Código]=Tabela2[[#This Row],[Ativo]]),Tabela17[Fechamento])</f>
        <v>0</v>
      </c>
      <c r="L188" s="58">
        <f>SUMPRODUCT(N([Ativo]=Tabela2[[#This Row],[Ativo]]),N([Exercício]=Tabela2[[#This Row],[Exercício]]-1),[Lucro Líquido])</f>
        <v>93042000</v>
      </c>
      <c r="M188" s="18">
        <f>IF(Tabela2[[#This Row],[Lucro Anterior]]=0,"",IF(Tabela2[[#This Row],[Lucro Líquido]]&gt;0,Tabela2[[#This Row],[Lucro Líquido]]/Tabela2[[#This Row],[Lucro Anterior]]-1,0))</f>
        <v>0.16701059736463097</v>
      </c>
    </row>
    <row r="189" spans="1:13">
      <c r="A189" s="4" t="s">
        <v>90</v>
      </c>
      <c r="B189" s="3">
        <v>2010</v>
      </c>
      <c r="C189" s="5">
        <v>93042000</v>
      </c>
      <c r="D189" s="60">
        <f>SUMPRODUCT(N(Tabela3[PAPEL]=Tabela2[[#This Row],[Ativo]]),Tabela3[Total Ações])</f>
        <v>327502673</v>
      </c>
      <c r="E189" s="63">
        <f>(Tabela2[[#This Row],[Lucro Líquido]])/Tabela2[[#This Row],[Total Ações]]</f>
        <v>0.28409539118479193</v>
      </c>
      <c r="F189" s="63">
        <v>1.8245449413999999</v>
      </c>
      <c r="G189" s="22">
        <f>IF(AND(Tabela2[[#This Row],[Dividendo / Ação]]&gt;0,Tabela2[[#This Row],[Lucro por ação]]&gt;0),Tabela2[[#This Row],[Dividendo / Ação]]/Tabela2[[#This Row],[Lucro por ação]],"")</f>
        <v>6.4222968693399576</v>
      </c>
      <c r="H189" s="5">
        <f>MAX(Tabela2[[#This Row],[Cotação 1]],Tabela2[[#This Row],[Cotação 2]])</f>
        <v>21.64</v>
      </c>
      <c r="I189" s="18">
        <f>IF(Tabela2[[#This Row],[Dividendo / Ação]]&gt;0,Tabela2[[#This Row],[Dividendo / Ação]]/Tabela2[[#This Row],[Cotação]],"")</f>
        <v>8.4313537033271713E-2</v>
      </c>
      <c r="J189" s="58">
        <f>SUMPRODUCT(N(Tabela1[Código]=Tabela2[[#This Row],[Ativo]]),Tabela1[Fechamento])</f>
        <v>21.64</v>
      </c>
      <c r="K189" s="58">
        <f>SUMPRODUCT(N(Tabela17[Código]=Tabela2[[#This Row],[Ativo]]),Tabela17[Fechamento])</f>
        <v>0</v>
      </c>
      <c r="L189" s="58">
        <f>SUMPRODUCT(N([Ativo]=Tabela2[[#This Row],[Ativo]]),N([Exercício]=Tabela2[[#This Row],[Exercício]]-1),[Lucro Líquido])</f>
        <v>0</v>
      </c>
      <c r="M189" s="18" t="str">
        <f>IF(Tabela2[[#This Row],[Lucro Anterior]]=0,"",IF(Tabela2[[#This Row],[Lucro Líquido]]&gt;0,Tabela2[[#This Row],[Lucro Líquido]]/Tabela2[[#This Row],[Lucro Anterior]]-1,0))</f>
        <v/>
      </c>
    </row>
    <row r="190" spans="1:13">
      <c r="A190" s="4" t="s">
        <v>91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4">
        <f>(Tabela2[[#This Row],[Lucro Líquido]])/Tabela2[[#This Row],[Total Ações]]</f>
        <v>0.4518497471927504</v>
      </c>
      <c r="F190" s="64">
        <v>1.1599999999999999</v>
      </c>
      <c r="G190" s="44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21.88</v>
      </c>
      <c r="I190" s="19">
        <f>IF(Tabela2[[#This Row],[Dividendo / Ação]]&gt;0,Tabela2[[#This Row],[Dividendo / Ação]]/Tabela2[[#This Row],[Cotação]],"")</f>
        <v>5.3016453382084092E-2</v>
      </c>
      <c r="J190" s="59">
        <f>SUMPRODUCT(N(Tabela1[Código]=Tabela2[[#This Row],[Ativo]]),Tabela1[Fechamento])</f>
        <v>21.88</v>
      </c>
      <c r="K190" s="59">
        <f>SUMPRODUCT(N(Tabela17[Código]=Tabela2[[#This Row],[Ativo]]),Tabela17[Fechamento])</f>
        <v>0</v>
      </c>
      <c r="L190" s="59">
        <f>SUMPRODUCT(N([Ativo]=Tabela2[[#This Row],[Ativo]]),N([Exercício]=Tabela2[[#This Row],[Exercício]]-1),[Lucro Líquido])</f>
        <v>108581000</v>
      </c>
      <c r="M190" s="19">
        <f>IF(Tabela2[[#This Row],[Lucro Anterior]]=0,"",IF(Tabela2[[#This Row],[Lucro Líquido]]&gt;0,Tabela2[[#This Row],[Lucro Líquido]]/Tabela2[[#This Row],[Lucro Anterior]]-1,0))</f>
        <v>0.36287195734060296</v>
      </c>
    </row>
    <row r="191" spans="1:13">
      <c r="A191" s="4" t="s">
        <v>91</v>
      </c>
      <c r="B191" s="4">
        <v>2011</v>
      </c>
      <c r="C191" s="5">
        <v>108581000</v>
      </c>
      <c r="D191" s="8">
        <f>SUMPRODUCT(N(Tabela3[PAPEL]=Tabela2[[#This Row],[Ativo]]),Tabela3[Total Ações])</f>
        <v>327502673</v>
      </c>
      <c r="E191" s="64">
        <f>(Tabela2[[#This Row],[Lucro Líquido]])/Tabela2[[#This Row],[Total Ações]]</f>
        <v>0.33154233217510259</v>
      </c>
      <c r="F191" s="64">
        <v>1.4108145000000001</v>
      </c>
      <c r="G191" s="44">
        <f>IF(AND(Tabela2[[#This Row],[Dividendo / Ação]]&gt;0,Tabela2[[#This Row],[Lucro por ação]]&gt;0),Tabela2[[#This Row],[Dividendo / Ação]]/Tabela2[[#This Row],[Lucro por ação]],"")</f>
        <v>4.2553072808056518</v>
      </c>
      <c r="H191" s="6">
        <f>MAX(Tabela2[[#This Row],[Cotação 1]],Tabela2[[#This Row],[Cotação 2]])</f>
        <v>21.88</v>
      </c>
      <c r="I191" s="19">
        <f>IF(Tabela2[[#This Row],[Dividendo / Ação]]&gt;0,Tabela2[[#This Row],[Dividendo / Ação]]/Tabela2[[#This Row],[Cotação]],"")</f>
        <v>6.4479638939670944E-2</v>
      </c>
      <c r="J191" s="59">
        <f>SUMPRODUCT(N(Tabela1[Código]=Tabela2[[#This Row],[Ativo]]),Tabela1[Fechamento])</f>
        <v>21.88</v>
      </c>
      <c r="K191" s="59">
        <f>SUMPRODUCT(N(Tabela17[Código]=Tabela2[[#This Row],[Ativo]]),Tabela17[Fechamento])</f>
        <v>0</v>
      </c>
      <c r="L191" s="59">
        <f>SUMPRODUCT(N([Ativo]=Tabela2[[#This Row],[Ativo]]),N([Exercício]=Tabela2[[#This Row],[Exercício]]-1),[Lucro Líquido])</f>
        <v>93042000</v>
      </c>
      <c r="M191" s="19">
        <f>IF(Tabela2[[#This Row],[Lucro Anterior]]=0,"",IF(Tabela2[[#This Row],[Lucro Líquido]]&gt;0,Tabela2[[#This Row],[Lucro Líquido]]/Tabela2[[#This Row],[Lucro Anterior]]-1,0))</f>
        <v>0.16701059736463097</v>
      </c>
    </row>
    <row r="192" spans="1:13">
      <c r="A192" s="4" t="s">
        <v>91</v>
      </c>
      <c r="B192" s="4">
        <v>2010</v>
      </c>
      <c r="C192" s="5">
        <v>93042000</v>
      </c>
      <c r="D192" s="8">
        <f>SUMPRODUCT(N(Tabela3[PAPEL]=Tabela2[[#This Row],[Ativo]]),Tabela3[Total Ações])</f>
        <v>327502673</v>
      </c>
      <c r="E192" s="64">
        <f>(Tabela2[[#This Row],[Lucro Líquido]])/Tabela2[[#This Row],[Total Ações]]</f>
        <v>0.28409539118479193</v>
      </c>
      <c r="F192" s="64">
        <v>0.70331069999999996</v>
      </c>
      <c r="G192" s="44">
        <f>IF(AND(Tabela2[[#This Row],[Dividendo / Ação]]&gt;0,Tabela2[[#This Row],[Lucro por ação]]&gt;0),Tabela2[[#This Row],[Dividendo / Ação]]/Tabela2[[#This Row],[Lucro por ação]],"")</f>
        <v>2.475614606301467</v>
      </c>
      <c r="H192" s="6">
        <f>MAX(Tabela2[[#This Row],[Cotação 1]],Tabela2[[#This Row],[Cotação 2]])</f>
        <v>21.88</v>
      </c>
      <c r="I192" s="19">
        <f>IF(Tabela2[[#This Row],[Dividendo / Ação]]&gt;0,Tabela2[[#This Row],[Dividendo / Ação]]/Tabela2[[#This Row],[Cotação]],"")</f>
        <v>3.2143999085923219E-2</v>
      </c>
      <c r="J192" s="59">
        <f>SUMPRODUCT(N(Tabela1[Código]=Tabela2[[#This Row],[Ativo]]),Tabela1[Fechamento])</f>
        <v>21.88</v>
      </c>
      <c r="K192" s="59">
        <f>SUMPRODUCT(N(Tabela17[Código]=Tabela2[[#This Row],[Ativo]]),Tabela17[Fechamento])</f>
        <v>0</v>
      </c>
      <c r="L192" s="59">
        <f>SUMPRODUCT(N([Ativo]=Tabela2[[#This Row],[Ativo]]),N([Exercício]=Tabela2[[#This Row],[Exercício]]-1),[Lucro Líquido])</f>
        <v>0</v>
      </c>
      <c r="M192" s="19" t="str">
        <f>IF(Tabela2[[#This Row],[Lucro Anterior]]=0,"",IF(Tabela2[[#This Row],[Lucro Líquido]]&gt;0,Tabela2[[#This Row],[Lucro Líquido]]/Tabela2[[#This Row],[Lucro Anterior]]-1,0))</f>
        <v/>
      </c>
    </row>
    <row r="193" spans="1:13">
      <c r="A193" s="10" t="s">
        <v>307</v>
      </c>
      <c r="B193" s="3">
        <v>2012</v>
      </c>
      <c r="C193" s="5">
        <v>11833190.779999999</v>
      </c>
      <c r="D193" s="60">
        <f>SUMPRODUCT(N(Tabela3[PAPEL]=Tabela2[[#This Row],[Ativo]]),Tabela3[Total Ações])</f>
        <v>24948000</v>
      </c>
      <c r="E193" s="63">
        <f>(Tabela2[[#This Row],[Lucro Líquido]])/Tabela2[[#This Row],[Total Ações]]</f>
        <v>0.47431420474587138</v>
      </c>
      <c r="F193" s="63">
        <v>5.0590000000000003E-2</v>
      </c>
      <c r="G193" s="22">
        <f>IF(AND(Tabela2[[#This Row],[Dividendo / Ação]]&gt;0,Tabela2[[#This Row],[Lucro por ação]]&gt;0),Tabela2[[#This Row],[Dividendo / Ação]]/Tabela2[[#This Row],[Lucro por ação]],"")</f>
        <v>0.10665925560273948</v>
      </c>
      <c r="H193" s="49">
        <f>MAX(Tabela2[[#This Row],[Cotação 1]],Tabela2[[#This Row],[Cotação 2]])</f>
        <v>7.08</v>
      </c>
      <c r="I193" s="18">
        <f>IF(Tabela2[[#This Row],[Dividendo / Ação]]&gt;0,Tabela2[[#This Row],[Dividendo / Ação]]/Tabela2[[#This Row],[Cotação]],"")</f>
        <v>7.1454802259887009E-3</v>
      </c>
      <c r="J193" s="7">
        <f>SUMPRODUCT(N(Tabela1[Código]=Tabela2[[#This Row],[Ativo]]),Tabela1[Fechamento])</f>
        <v>0</v>
      </c>
      <c r="K193" s="7">
        <f>SUMPRODUCT(N(Tabela17[Código]=Tabela2[[#This Row],[Ativo]]),Tabela17[Fechamento])</f>
        <v>7.08</v>
      </c>
      <c r="L193" s="7">
        <f>SUMPRODUCT(N([Ativo]=Tabela2[[#This Row],[Ativo]]),N([Exercício]=Tabela2[[#This Row],[Exercício]]-1),[Lucro Líquido])</f>
        <v>-9978849.7799999993</v>
      </c>
      <c r="M193" s="18">
        <f>IF(Tabela2[[#This Row],[Lucro Anterior]]=0,"",IF(Tabela2[[#This Row],[Lucro Líquido]]&gt;0,Tabela2[[#This Row],[Lucro Líquido]]/Tabela2[[#This Row],[Lucro Anterior]]-1,0))</f>
        <v>-2.1858271284648998</v>
      </c>
    </row>
    <row r="194" spans="1:13">
      <c r="A194" s="10" t="s">
        <v>307</v>
      </c>
      <c r="B194" s="3">
        <v>2011</v>
      </c>
      <c r="C194" s="5">
        <v>-9978849.7799999993</v>
      </c>
      <c r="D194" s="60">
        <f>SUMPRODUCT(N(Tabela3[PAPEL]=Tabela2[[#This Row],[Ativo]]),Tabela3[Total Ações])</f>
        <v>24948000</v>
      </c>
      <c r="E194" s="63">
        <f>(Tabela2[[#This Row],[Lucro Líquido]])/Tabela2[[#This Row],[Total Ações]]</f>
        <v>-0.39998596200096198</v>
      </c>
      <c r="F194" s="63">
        <v>0</v>
      </c>
      <c r="G194" s="22" t="str">
        <f>IF(AND(Tabela2[[#This Row],[Dividendo / Ação]]&gt;0,Tabela2[[#This Row],[Lucro por ação]]&gt;0),Tabela2[[#This Row],[Dividendo / Ação]]/Tabela2[[#This Row],[Lucro por ação]],"")</f>
        <v/>
      </c>
      <c r="H194" s="49">
        <f>MAX(Tabela2[[#This Row],[Cotação 1]],Tabela2[[#This Row],[Cotação 2]])</f>
        <v>7.08</v>
      </c>
      <c r="I194" s="18" t="str">
        <f>IF(Tabela2[[#This Row],[Dividendo / Ação]]&gt;0,Tabela2[[#This Row],[Dividendo / Ação]]/Tabela2[[#This Row],[Cotação]],"")</f>
        <v/>
      </c>
      <c r="J194" s="7">
        <f>SUMPRODUCT(N(Tabela1[Código]=Tabela2[[#This Row],[Ativo]]),Tabela1[Fechamento])</f>
        <v>0</v>
      </c>
      <c r="K194" s="7">
        <f>SUMPRODUCT(N(Tabela17[Código]=Tabela2[[#This Row],[Ativo]]),Tabela17[Fechamento])</f>
        <v>7.08</v>
      </c>
      <c r="L194" s="7">
        <f>SUMPRODUCT(N([Ativo]=Tabela2[[#This Row],[Ativo]]),N([Exercício]=Tabela2[[#This Row],[Exercício]]-1),[Lucro Líquido])</f>
        <v>9148149.2799999993</v>
      </c>
      <c r="M194" s="18">
        <f>IF(Tabela2[[#This Row],[Lucro Anterior]]=0,"",IF(Tabela2[[#This Row],[Lucro Líquido]]&gt;0,Tabela2[[#This Row],[Lucro Líquido]]/Tabela2[[#This Row],[Lucro Anterior]]-1,0))</f>
        <v>0</v>
      </c>
    </row>
    <row r="195" spans="1:13">
      <c r="A195" s="10" t="s">
        <v>307</v>
      </c>
      <c r="B195" s="3">
        <v>2010</v>
      </c>
      <c r="C195" s="5">
        <v>9148149.2799999993</v>
      </c>
      <c r="D195" s="60">
        <f>SUMPRODUCT(N(Tabela3[PAPEL]=Tabela2[[#This Row],[Ativo]]),Tabela3[Total Ações])</f>
        <v>24948000</v>
      </c>
      <c r="E195" s="63">
        <f>(Tabela2[[#This Row],[Lucro Líquido]])/Tabela2[[#This Row],[Total Ações]]</f>
        <v>0.36668868366201696</v>
      </c>
      <c r="F195" s="63">
        <v>9.9110000000000004E-2</v>
      </c>
      <c r="G195" s="22">
        <f>IF(AND(Tabela2[[#This Row],[Dividendo / Ação]]&gt;0,Tabela2[[#This Row],[Lucro por ação]]&gt;0),Tabela2[[#This Row],[Dividendo / Ação]]/Tabela2[[#This Row],[Lucro por ação]],"")</f>
        <v>0.27028377044586227</v>
      </c>
      <c r="H195" s="49">
        <f>MAX(Tabela2[[#This Row],[Cotação 1]],Tabela2[[#This Row],[Cotação 2]])</f>
        <v>7.08</v>
      </c>
      <c r="I195" s="18">
        <f>IF(Tabela2[[#This Row],[Dividendo / Ação]]&gt;0,Tabela2[[#This Row],[Dividendo / Ação]]/Tabela2[[#This Row],[Cotação]],"")</f>
        <v>1.399858757062147E-2</v>
      </c>
      <c r="J195" s="7">
        <f>SUMPRODUCT(N(Tabela1[Código]=Tabela2[[#This Row],[Ativo]]),Tabela1[Fechamento])</f>
        <v>0</v>
      </c>
      <c r="K195" s="7">
        <f>SUMPRODUCT(N(Tabela17[Código]=Tabela2[[#This Row],[Ativo]]),Tabela17[Fechamento])</f>
        <v>7.08</v>
      </c>
      <c r="L195" s="7">
        <f>SUMPRODUCT(N([Ativo]=Tabela2[[#This Row],[Ativo]]),N([Exercício]=Tabela2[[#This Row],[Exercício]]-1),[Lucro Líquido])</f>
        <v>8891946.6600000001</v>
      </c>
      <c r="M195" s="18">
        <f>IF(Tabela2[[#This Row],[Lucro Anterior]]=0,"",IF(Tabela2[[#This Row],[Lucro Líquido]]&gt;0,Tabela2[[#This Row],[Lucro Líquido]]/Tabela2[[#This Row],[Lucro Anterior]]-1,0))</f>
        <v>2.8812883139809564E-2</v>
      </c>
    </row>
    <row r="196" spans="1:13">
      <c r="A196" s="10" t="s">
        <v>307</v>
      </c>
      <c r="B196" s="3">
        <v>2009</v>
      </c>
      <c r="C196" s="5">
        <v>8891946.6600000001</v>
      </c>
      <c r="D196" s="60">
        <f>SUMPRODUCT(N(Tabela3[PAPEL]=Tabela2[[#This Row],[Ativo]]),Tabela3[Total Ações])</f>
        <v>24948000</v>
      </c>
      <c r="E196" s="63">
        <f>(Tabela2[[#This Row],[Lucro Líquido]])/Tabela2[[#This Row],[Total Ações]]</f>
        <v>0.35641921837421836</v>
      </c>
      <c r="F196" s="63">
        <v>8.3030000000000007E-2</v>
      </c>
      <c r="G196" s="22">
        <f>IF(AND(Tabela2[[#This Row],[Dividendo / Ação]]&gt;0,Tabela2[[#This Row],[Lucro por ação]]&gt;0),Tabela2[[#This Row],[Dividendo / Ação]]/Tabela2[[#This Row],[Lucro por ação]],"")</f>
        <v>0.23295601280631167</v>
      </c>
      <c r="H196" s="49">
        <f>MAX(Tabela2[[#This Row],[Cotação 1]],Tabela2[[#This Row],[Cotação 2]])</f>
        <v>7.08</v>
      </c>
      <c r="I196" s="18">
        <f>IF(Tabela2[[#This Row],[Dividendo / Ação]]&gt;0,Tabela2[[#This Row],[Dividendo / Ação]]/Tabela2[[#This Row],[Cotação]],"")</f>
        <v>1.1727401129943504E-2</v>
      </c>
      <c r="J196" s="7">
        <f>SUMPRODUCT(N(Tabela1[Código]=Tabela2[[#This Row],[Ativo]]),Tabela1[Fechamento])</f>
        <v>0</v>
      </c>
      <c r="K196" s="7">
        <f>SUMPRODUCT(N(Tabela17[Código]=Tabela2[[#This Row],[Ativo]]),Tabela17[Fechamento])</f>
        <v>7.08</v>
      </c>
      <c r="L196" s="7">
        <f>SUMPRODUCT(N([Ativo]=Tabela2[[#This Row],[Ativo]]),N([Exercício]=Tabela2[[#This Row],[Exercício]]-1),[Lucro Líquido])</f>
        <v>0</v>
      </c>
      <c r="M196" s="18" t="str">
        <f>IF(Tabela2[[#This Row],[Lucro Anterior]]=0,"",IF(Tabela2[[#This Row],[Lucro Líquido]]&gt;0,Tabela2[[#This Row],[Lucro Líquido]]/Tabela2[[#This Row],[Lucro Anterior]]-1,0))</f>
        <v/>
      </c>
    </row>
    <row r="197" spans="1:13">
      <c r="A197" s="10" t="s">
        <v>308</v>
      </c>
      <c r="B197" s="3">
        <v>2012</v>
      </c>
      <c r="C197" s="5">
        <v>11833190.779999999</v>
      </c>
      <c r="D197" s="60">
        <f>SUMPRODUCT(N(Tabela3[PAPEL]=Tabela2[[#This Row],[Ativo]]),Tabela3[Total Ações])</f>
        <v>24948000</v>
      </c>
      <c r="E197" s="63">
        <f>(Tabela2[[#This Row],[Lucro Líquido]])/Tabela2[[#This Row],[Total Ações]]</f>
        <v>0.47431420474587138</v>
      </c>
      <c r="F197" s="63">
        <v>5.5649999999999998E-2</v>
      </c>
      <c r="G197" s="22">
        <f>IF(AND(Tabela2[[#This Row],[Dividendo / Ação]]&gt;0,Tabela2[[#This Row],[Lucro por ação]]&gt;0),Tabela2[[#This Row],[Dividendo / Ação]]/Tabela2[[#This Row],[Lucro por ação]],"")</f>
        <v>0.11732728947010183</v>
      </c>
      <c r="H197" s="49">
        <f>MAX(Tabela2[[#This Row],[Cotação 1]],Tabela2[[#This Row],[Cotação 2]])</f>
        <v>14</v>
      </c>
      <c r="I197" s="18">
        <f>IF(Tabela2[[#This Row],[Dividendo / Ação]]&gt;0,Tabela2[[#This Row],[Dividendo / Ação]]/Tabela2[[#This Row],[Cotação]],"")</f>
        <v>3.9750000000000002E-3</v>
      </c>
      <c r="J197" s="7">
        <f>SUMPRODUCT(N(Tabela1[Código]=Tabela2[[#This Row],[Ativo]]),Tabela1[Fechamento])</f>
        <v>0</v>
      </c>
      <c r="K197" s="7">
        <f>SUMPRODUCT(N(Tabela17[Código]=Tabela2[[#This Row],[Ativo]]),Tabela17[Fechamento])</f>
        <v>14</v>
      </c>
      <c r="L197" s="7">
        <f>SUMPRODUCT(N([Ativo]=Tabela2[[#This Row],[Ativo]]),N([Exercício]=Tabela2[[#This Row],[Exercício]]-1),[Lucro Líquido])</f>
        <v>-9978849.7799999993</v>
      </c>
      <c r="M197" s="18">
        <f>IF(Tabela2[[#This Row],[Lucro Anterior]]=0,"",IF(Tabela2[[#This Row],[Lucro Líquido]]&gt;0,Tabela2[[#This Row],[Lucro Líquido]]/Tabela2[[#This Row],[Lucro Anterior]]-1,0))</f>
        <v>-2.1858271284648998</v>
      </c>
    </row>
    <row r="198" spans="1:13">
      <c r="A198" s="10" t="s">
        <v>308</v>
      </c>
      <c r="B198" s="3">
        <v>2011</v>
      </c>
      <c r="C198" s="5">
        <v>-9978849.7799999993</v>
      </c>
      <c r="D198" s="60">
        <f>SUMPRODUCT(N(Tabela3[PAPEL]=Tabela2[[#This Row],[Ativo]]),Tabela3[Total Ações])</f>
        <v>24948000</v>
      </c>
      <c r="E198" s="63">
        <f>(Tabela2[[#This Row],[Lucro Líquido]])/Tabela2[[#This Row],[Total Ações]]</f>
        <v>-0.39998596200096198</v>
      </c>
      <c r="F198" s="63">
        <v>0</v>
      </c>
      <c r="G198" s="22" t="str">
        <f>IF(AND(Tabela2[[#This Row],[Dividendo / Ação]]&gt;0,Tabela2[[#This Row],[Lucro por ação]]&gt;0),Tabela2[[#This Row],[Dividendo / Ação]]/Tabela2[[#This Row],[Lucro por ação]],"")</f>
        <v/>
      </c>
      <c r="H198" s="49">
        <f>MAX(Tabela2[[#This Row],[Cotação 1]],Tabela2[[#This Row],[Cotação 2]])</f>
        <v>14</v>
      </c>
      <c r="I198" s="18" t="str">
        <f>IF(Tabela2[[#This Row],[Dividendo / Ação]]&gt;0,Tabela2[[#This Row],[Dividendo / Ação]]/Tabela2[[#This Row],[Cotação]],"")</f>
        <v/>
      </c>
      <c r="J198" s="7">
        <f>SUMPRODUCT(N(Tabela1[Código]=Tabela2[[#This Row],[Ativo]]),Tabela1[Fechamento])</f>
        <v>0</v>
      </c>
      <c r="K198" s="7">
        <f>SUMPRODUCT(N(Tabela17[Código]=Tabela2[[#This Row],[Ativo]]),Tabela17[Fechamento])</f>
        <v>14</v>
      </c>
      <c r="L198" s="7">
        <f>SUMPRODUCT(N([Ativo]=Tabela2[[#This Row],[Ativo]]),N([Exercício]=Tabela2[[#This Row],[Exercício]]-1),[Lucro Líquido])</f>
        <v>9148149.2799999993</v>
      </c>
      <c r="M198" s="18">
        <f>IF(Tabela2[[#This Row],[Lucro Anterior]]=0,"",IF(Tabela2[[#This Row],[Lucro Líquido]]&gt;0,Tabela2[[#This Row],[Lucro Líquido]]/Tabela2[[#This Row],[Lucro Anterior]]-1,0))</f>
        <v>0</v>
      </c>
    </row>
    <row r="199" spans="1:13">
      <c r="A199" s="10" t="s">
        <v>308</v>
      </c>
      <c r="B199" s="3">
        <v>2010</v>
      </c>
      <c r="C199" s="5">
        <v>9148149.2799999993</v>
      </c>
      <c r="D199" s="60">
        <f>SUMPRODUCT(N(Tabela3[PAPEL]=Tabela2[[#This Row],[Ativo]]),Tabela3[Total Ações])</f>
        <v>24948000</v>
      </c>
      <c r="E199" s="63">
        <f>(Tabela2[[#This Row],[Lucro Líquido]])/Tabela2[[#This Row],[Total Ações]]</f>
        <v>0.36668868366201696</v>
      </c>
      <c r="F199" s="63">
        <v>0.10902000000000001</v>
      </c>
      <c r="G199" s="22">
        <f>IF(AND(Tabela2[[#This Row],[Dividendo / Ação]]&gt;0,Tabela2[[#This Row],[Lucro por ação]]&gt;0),Tabela2[[#This Row],[Dividendo / Ação]]/Tabela2[[#This Row],[Lucro por ação]],"")</f>
        <v>0.29730942038147418</v>
      </c>
      <c r="H199" s="49">
        <f>MAX(Tabela2[[#This Row],[Cotação 1]],Tabela2[[#This Row],[Cotação 2]])</f>
        <v>14</v>
      </c>
      <c r="I199" s="18">
        <f>IF(Tabela2[[#This Row],[Dividendo / Ação]]&gt;0,Tabela2[[#This Row],[Dividendo / Ação]]/Tabela2[[#This Row],[Cotação]],"")</f>
        <v>7.7871428571428579E-3</v>
      </c>
      <c r="J199" s="7">
        <f>SUMPRODUCT(N(Tabela1[Código]=Tabela2[[#This Row],[Ativo]]),Tabela1[Fechamento])</f>
        <v>0</v>
      </c>
      <c r="K199" s="7">
        <f>SUMPRODUCT(N(Tabela17[Código]=Tabela2[[#This Row],[Ativo]]),Tabela17[Fechamento])</f>
        <v>14</v>
      </c>
      <c r="L199" s="7">
        <f>SUMPRODUCT(N([Ativo]=Tabela2[[#This Row],[Ativo]]),N([Exercício]=Tabela2[[#This Row],[Exercício]]-1),[Lucro Líquido])</f>
        <v>8891946.6600000001</v>
      </c>
      <c r="M199" s="18">
        <f>IF(Tabela2[[#This Row],[Lucro Anterior]]=0,"",IF(Tabela2[[#This Row],[Lucro Líquido]]&gt;0,Tabela2[[#This Row],[Lucro Líquido]]/Tabela2[[#This Row],[Lucro Anterior]]-1,0))</f>
        <v>2.8812883139809564E-2</v>
      </c>
    </row>
    <row r="200" spans="1:13">
      <c r="A200" s="10" t="s">
        <v>308</v>
      </c>
      <c r="B200" s="3">
        <v>2009</v>
      </c>
      <c r="C200" s="5">
        <v>8891946.6600000001</v>
      </c>
      <c r="D200" s="60">
        <f>SUMPRODUCT(N(Tabela3[PAPEL]=Tabela2[[#This Row],[Ativo]]),Tabela3[Total Ações])</f>
        <v>24948000</v>
      </c>
      <c r="E200" s="63">
        <f>(Tabela2[[#This Row],[Lucro Líquido]])/Tabela2[[#This Row],[Total Ações]]</f>
        <v>0.35641921837421836</v>
      </c>
      <c r="F200" s="63">
        <v>9.1329999999999995E-2</v>
      </c>
      <c r="G200" s="22">
        <f>IF(AND(Tabela2[[#This Row],[Dividendo / Ação]]&gt;0,Tabela2[[#This Row],[Lucro por ação]]&gt;0),Tabela2[[#This Row],[Dividendo / Ação]]/Tabela2[[#This Row],[Lucro por ação]],"")</f>
        <v>0.25624319703240322</v>
      </c>
      <c r="H200" s="49">
        <f>MAX(Tabela2[[#This Row],[Cotação 1]],Tabela2[[#This Row],[Cotação 2]])</f>
        <v>14</v>
      </c>
      <c r="I200" s="18">
        <f>IF(Tabela2[[#This Row],[Dividendo / Ação]]&gt;0,Tabela2[[#This Row],[Dividendo / Ação]]/Tabela2[[#This Row],[Cotação]],"")</f>
        <v>6.5235714285714281E-3</v>
      </c>
      <c r="J200" s="7">
        <f>SUMPRODUCT(N(Tabela1[Código]=Tabela2[[#This Row],[Ativo]]),Tabela1[Fechamento])</f>
        <v>0</v>
      </c>
      <c r="K200" s="7">
        <f>SUMPRODUCT(N(Tabela17[Código]=Tabela2[[#This Row],[Ativo]]),Tabela17[Fechamento])</f>
        <v>14</v>
      </c>
      <c r="L200" s="7">
        <f>SUMPRODUCT(N([Ativo]=Tabela2[[#This Row],[Ativo]]),N([Exercício]=Tabela2[[#This Row],[Exercício]]-1),[Lucro Líquido])</f>
        <v>0</v>
      </c>
      <c r="M200" s="18" t="str">
        <f>IF(Tabela2[[#This Row],[Lucro Anterior]]=0,"",IF(Tabela2[[#This Row],[Lucro Líquido]]&gt;0,Tabela2[[#This Row],[Lucro Líquido]]/Tabela2[[#This Row],[Lucro Anterior]]-1,0))</f>
        <v/>
      </c>
    </row>
    <row r="201" spans="1:13">
      <c r="A201" s="4" t="s">
        <v>71</v>
      </c>
      <c r="B201" s="4">
        <v>2012</v>
      </c>
      <c r="C201" s="6">
        <v>-258366398.66</v>
      </c>
      <c r="D201" s="8">
        <f>SUMPRODUCT(N(Tabela3[PAPEL]=Tabela2[[#This Row],[Ativo]]),Tabela3[Total Ações])</f>
        <v>38571591</v>
      </c>
      <c r="E201" s="64">
        <f>(Tabela2[[#This Row],[Lucro Líquido]])/Tabela2[[#This Row],[Total Ações]]</f>
        <v>-6.6983599058695811</v>
      </c>
      <c r="F201" s="64">
        <v>0</v>
      </c>
      <c r="G201" s="44" t="str">
        <f>IF(AND(Tabela2[[#This Row],[Dividendo / Ação]]&gt;0,Tabela2[[#This Row],[Lucro por ação]]&gt;0),Tabela2[[#This Row],[Dividendo / Ação]]/Tabela2[[#This Row],[Lucro por ação]],"")</f>
        <v/>
      </c>
      <c r="H201" s="6">
        <f>MAX(Tabela2[[#This Row],[Cotação 1]],Tabela2[[#This Row],[Cotação 2]])</f>
        <v>16</v>
      </c>
      <c r="I201" s="19" t="str">
        <f>IF(Tabela2[[#This Row],[Dividendo / Ação]]&gt;0,Tabela2[[#This Row],[Dividendo / Ação]]/Tabela2[[#This Row],[Cotação]],"")</f>
        <v/>
      </c>
      <c r="J201" s="59">
        <f>SUMPRODUCT(N(Tabela1[Código]=Tabela2[[#This Row],[Ativo]]),Tabela1[Fechamento])</f>
        <v>16</v>
      </c>
      <c r="K201" s="59">
        <f>SUMPRODUCT(N(Tabela17[Código]=Tabela2[[#This Row],[Ativo]]),Tabela17[Fechamento])</f>
        <v>0</v>
      </c>
      <c r="L201" s="59">
        <f>SUMPRODUCT(N([Ativo]=Tabela2[[#This Row],[Ativo]]),N([Exercício]=Tabela2[[#This Row],[Exercício]]-1),[Lucro Líquido])</f>
        <v>323886563.73000002</v>
      </c>
      <c r="M201" s="19">
        <f>IF(Tabela2[[#This Row],[Lucro Anterior]]=0,"",IF(Tabela2[[#This Row],[Lucro Líquido]]&gt;0,Tabela2[[#This Row],[Lucro Líquido]]/Tabela2[[#This Row],[Lucro Anterior]]-1,0))</f>
        <v>0</v>
      </c>
    </row>
    <row r="202" spans="1:13">
      <c r="A202" s="4" t="s">
        <v>71</v>
      </c>
      <c r="B202" s="4">
        <v>2011</v>
      </c>
      <c r="C202" s="6">
        <v>323886563.73000002</v>
      </c>
      <c r="D202" s="8">
        <f>SUMPRODUCT(N(Tabela3[PAPEL]=Tabela2[[#This Row],[Ativo]]),Tabela3[Total Ações])</f>
        <v>38571591</v>
      </c>
      <c r="E202" s="64">
        <f>(Tabela2[[#This Row],[Lucro Líquido]])/Tabela2[[#This Row],[Total Ações]]</f>
        <v>8.3970236988668692</v>
      </c>
      <c r="F202" s="64">
        <v>2.2201449599999998</v>
      </c>
      <c r="G202" s="44">
        <f>IF(AND(Tabela2[[#This Row],[Dividendo / Ação]]&gt;0,Tabela2[[#This Row],[Lucro por ação]]&gt;0),Tabela2[[#This Row],[Dividendo / Ação]]/Tabela2[[#This Row],[Lucro por ação]],"")</f>
        <v>0.26439665286398989</v>
      </c>
      <c r="H202" s="6">
        <f>MAX(Tabela2[[#This Row],[Cotação 1]],Tabela2[[#This Row],[Cotação 2]])</f>
        <v>16</v>
      </c>
      <c r="I202" s="19">
        <f>IF(Tabela2[[#This Row],[Dividendo / Ação]]&gt;0,Tabela2[[#This Row],[Dividendo / Ação]]/Tabela2[[#This Row],[Cotação]],"")</f>
        <v>0.13875905999999999</v>
      </c>
      <c r="J202" s="59">
        <f>SUMPRODUCT(N(Tabela1[Código]=Tabela2[[#This Row],[Ativo]]),Tabela1[Fechamento])</f>
        <v>16</v>
      </c>
      <c r="K202" s="59">
        <f>SUMPRODUCT(N(Tabela17[Código]=Tabela2[[#This Row],[Ativo]]),Tabela17[Fechamento])</f>
        <v>0</v>
      </c>
      <c r="L202" s="59">
        <f>SUMPRODUCT(N([Ativo]=Tabela2[[#This Row],[Ativo]]),N([Exercício]=Tabela2[[#This Row],[Exercício]]-1),[Lucro Líquido])</f>
        <v>259841000</v>
      </c>
      <c r="M202" s="19">
        <f>IF(Tabela2[[#This Row],[Lucro Anterior]]=0,"",IF(Tabela2[[#This Row],[Lucro Líquido]]&gt;0,Tabela2[[#This Row],[Lucro Líquido]]/Tabela2[[#This Row],[Lucro Anterior]]-1,0))</f>
        <v>0.24647982316108696</v>
      </c>
    </row>
    <row r="203" spans="1:13">
      <c r="A203" s="4" t="s">
        <v>71</v>
      </c>
      <c r="B203" s="4">
        <v>2010</v>
      </c>
      <c r="C203" s="6">
        <v>259841000</v>
      </c>
      <c r="D203" s="8">
        <f>SUMPRODUCT(N(Tabela3[PAPEL]=Tabela2[[#This Row],[Ativo]]),Tabela3[Total Ações])</f>
        <v>38571591</v>
      </c>
      <c r="E203" s="64">
        <f>(Tabela2[[#This Row],[Lucro Líquido]])/Tabela2[[#This Row],[Total Ações]]</f>
        <v>6.7365901499888867</v>
      </c>
      <c r="F203" s="64">
        <v>2.09736089</v>
      </c>
      <c r="G203" s="44">
        <f>IF(AND(Tabela2[[#This Row],[Dividendo / Ação]]&gt;0,Tabela2[[#This Row],[Lucro por ação]]&gt;0),Tabela2[[#This Row],[Dividendo / Ação]]/Tabela2[[#This Row],[Lucro por ação]],"")</f>
        <v>0.31133865105382136</v>
      </c>
      <c r="H203" s="6">
        <f>MAX(Tabela2[[#This Row],[Cotação 1]],Tabela2[[#This Row],[Cotação 2]])</f>
        <v>16</v>
      </c>
      <c r="I203" s="19">
        <f>IF(Tabela2[[#This Row],[Dividendo / Ação]]&gt;0,Tabela2[[#This Row],[Dividendo / Ação]]/Tabela2[[#This Row],[Cotação]],"")</f>
        <v>0.131085055625</v>
      </c>
      <c r="J203" s="59">
        <f>SUMPRODUCT(N(Tabela1[Código]=Tabela2[[#This Row],[Ativo]]),Tabela1[Fechamento])</f>
        <v>16</v>
      </c>
      <c r="K203" s="59">
        <f>SUMPRODUCT(N(Tabela17[Código]=Tabela2[[#This Row],[Ativo]]),Tabela17[Fechamento])</f>
        <v>0</v>
      </c>
      <c r="L203" s="59">
        <f>SUMPRODUCT(N([Ativo]=Tabela2[[#This Row],[Ativo]]),N([Exercício]=Tabela2[[#This Row],[Exercício]]-1),[Lucro Líquido])</f>
        <v>120919000</v>
      </c>
      <c r="M203" s="19">
        <f>IF(Tabela2[[#This Row],[Lucro Anterior]]=0,"",IF(Tabela2[[#This Row],[Lucro Líquido]]&gt;0,Tabela2[[#This Row],[Lucro Líquido]]/Tabela2[[#This Row],[Lucro Anterior]]-1,0))</f>
        <v>1.1488847906449773</v>
      </c>
    </row>
    <row r="204" spans="1:13">
      <c r="A204" s="4" t="s">
        <v>71</v>
      </c>
      <c r="B204" s="4">
        <v>2009</v>
      </c>
      <c r="C204" s="6">
        <v>120919000</v>
      </c>
      <c r="D204" s="8">
        <f>SUMPRODUCT(N(Tabela3[PAPEL]=Tabela2[[#This Row],[Ativo]]),Tabela3[Total Ações])</f>
        <v>38571591</v>
      </c>
      <c r="E204" s="64">
        <f>(Tabela2[[#This Row],[Lucro Líquido]])/Tabela2[[#This Row],[Total Ações]]</f>
        <v>3.1349238355244409</v>
      </c>
      <c r="F204" s="64">
        <v>0.97620123000000003</v>
      </c>
      <c r="G204" s="44">
        <f>IF(AND(Tabela2[[#This Row],[Dividendo / Ação]]&gt;0,Tabela2[[#This Row],[Lucro por ação]]&gt;0),Tabela2[[#This Row],[Dividendo / Ação]]/Tabela2[[#This Row],[Lucro por ação]],"")</f>
        <v>0.31139551747249755</v>
      </c>
      <c r="H204" s="6">
        <f>MAX(Tabela2[[#This Row],[Cotação 1]],Tabela2[[#This Row],[Cotação 2]])</f>
        <v>16</v>
      </c>
      <c r="I204" s="19">
        <f>IF(Tabela2[[#This Row],[Dividendo / Ação]]&gt;0,Tabela2[[#This Row],[Dividendo / Ação]]/Tabela2[[#This Row],[Cotação]],"")</f>
        <v>6.1012576875000002E-2</v>
      </c>
      <c r="J204" s="59">
        <f>SUMPRODUCT(N(Tabela1[Código]=Tabela2[[#This Row],[Ativo]]),Tabela1[Fechamento])</f>
        <v>16</v>
      </c>
      <c r="K204" s="59">
        <f>SUMPRODUCT(N(Tabela17[Código]=Tabela2[[#This Row],[Ativo]]),Tabela17[Fechamento])</f>
        <v>0</v>
      </c>
      <c r="L204" s="59">
        <f>SUMPRODUCT(N([Ativo]=Tabela2[[#This Row],[Ativo]]),N([Exercício]=Tabela2[[#This Row],[Exercício]]-1),[Lucro Líquido])</f>
        <v>245522000</v>
      </c>
      <c r="M204" s="19">
        <f>IF(Tabela2[[#This Row],[Lucro Anterior]]=0,"",IF(Tabela2[[#This Row],[Lucro Líquido]]&gt;0,Tabela2[[#This Row],[Lucro Líquido]]/Tabela2[[#This Row],[Lucro Anterior]]-1,0))</f>
        <v>-0.50750238267853798</v>
      </c>
    </row>
    <row r="205" spans="1:13">
      <c r="A205" s="4" t="s">
        <v>71</v>
      </c>
      <c r="B205" s="4">
        <v>2008</v>
      </c>
      <c r="C205" s="6">
        <v>245522000</v>
      </c>
      <c r="D205" s="8">
        <f>SUMPRODUCT(N(Tabela3[PAPEL]=Tabela2[[#This Row],[Ativo]]),Tabela3[Total Ações])</f>
        <v>38571591</v>
      </c>
      <c r="E205" s="64">
        <f>(Tabela2[[#This Row],[Lucro Líquido]])/Tabela2[[#This Row],[Total Ações]]</f>
        <v>6.3653583799537854</v>
      </c>
      <c r="F205" s="64">
        <v>1.9821435199999999</v>
      </c>
      <c r="G205" s="44">
        <f>IF(AND(Tabela2[[#This Row],[Dividendo / Ação]]&gt;0,Tabela2[[#This Row],[Lucro por ação]]&gt;0),Tabela2[[#This Row],[Dividendo / Ação]]/Tabela2[[#This Row],[Lucro por ação]],"")</f>
        <v>0.31139543159773997</v>
      </c>
      <c r="H205" s="6">
        <f>MAX(Tabela2[[#This Row],[Cotação 1]],Tabela2[[#This Row],[Cotação 2]])</f>
        <v>16</v>
      </c>
      <c r="I205" s="19">
        <f>IF(Tabela2[[#This Row],[Dividendo / Ação]]&gt;0,Tabela2[[#This Row],[Dividendo / Ação]]/Tabela2[[#This Row],[Cotação]],"")</f>
        <v>0.12388397</v>
      </c>
      <c r="J205" s="59">
        <f>SUMPRODUCT(N(Tabela1[Código]=Tabela2[[#This Row],[Ativo]]),Tabela1[Fechamento])</f>
        <v>16</v>
      </c>
      <c r="K205" s="59">
        <f>SUMPRODUCT(N(Tabela17[Código]=Tabela2[[#This Row],[Ativo]]),Tabela17[Fechamento])</f>
        <v>0</v>
      </c>
      <c r="L205" s="59">
        <f>SUMPRODUCT(N([Ativo]=Tabela2[[#This Row],[Ativo]]),N([Exercício]=Tabela2[[#This Row],[Exercício]]-1),[Lucro Líquido])</f>
        <v>0</v>
      </c>
      <c r="M205" s="19" t="str">
        <f>IF(Tabela2[[#This Row],[Lucro Anterior]]=0,"",IF(Tabela2[[#This Row],[Lucro Líquido]]&gt;0,Tabela2[[#This Row],[Lucro Líquido]]/Tabela2[[#This Row],[Lucro Anterior]]-1,0))</f>
        <v/>
      </c>
    </row>
    <row r="206" spans="1:13">
      <c r="A206" s="4" t="s">
        <v>31</v>
      </c>
      <c r="B206" s="4">
        <v>2012</v>
      </c>
      <c r="C206" s="6">
        <v>4271685000</v>
      </c>
      <c r="D206" s="8">
        <f>SUMPRODUCT(N(Tabela3[PAPEL]=Tabela2[[#This Row],[Ativo]]),Tabela3[Total Ações])</f>
        <v>1258841654</v>
      </c>
      <c r="E206" s="64">
        <f>(Tabela2[[#This Row],[Lucro Líquido]])/Tabela2[[#This Row],[Total Ações]]</f>
        <v>3.3933457686489934</v>
      </c>
      <c r="F206" s="64">
        <v>1.4286055</v>
      </c>
      <c r="G206" s="44">
        <f>IF(AND(Tabela2[[#This Row],[Dividendo / Ação]]&gt;0,Tabela2[[#This Row],[Lucro por ação]]&gt;0),Tabela2[[#This Row],[Dividendo / Ação]]/Tabela2[[#This Row],[Lucro por ação]],"")</f>
        <v>0.42100204264441243</v>
      </c>
      <c r="H206" s="6">
        <f>MAX(Tabela2[[#This Row],[Cotação 1]],Tabela2[[#This Row],[Cotação 2]])</f>
        <v>13.9</v>
      </c>
      <c r="I206" s="19">
        <f>IF(Tabela2[[#This Row],[Dividendo / Ação]]&gt;0,Tabela2[[#This Row],[Dividendo / Ação]]/Tabela2[[#This Row],[Cotação]],"")</f>
        <v>0.10277737410071942</v>
      </c>
      <c r="J206" s="59">
        <f>SUMPRODUCT(N(Tabela1[Código]=Tabela2[[#This Row],[Ativo]]),Tabela1[Fechamento])</f>
        <v>13.9</v>
      </c>
      <c r="K206" s="59">
        <f>SUMPRODUCT(N(Tabela17[Código]=Tabela2[[#This Row],[Ativo]]),Tabela17[Fechamento])</f>
        <v>0</v>
      </c>
      <c r="L206" s="59">
        <f>SUMPRODUCT(N([Ativo]=Tabela2[[#This Row],[Ativo]]),N([Exercício]=Tabela2[[#This Row],[Exercício]]-1),[Lucro Líquido])</f>
        <v>2415450000</v>
      </c>
      <c r="M206" s="19">
        <f>IF(Tabela2[[#This Row],[Lucro Anterior]]=0,"",IF(Tabela2[[#This Row],[Lucro Líquido]]&gt;0,Tabela2[[#This Row],[Lucro Líquido]]/Tabela2[[#This Row],[Lucro Anterior]]-1,0))</f>
        <v>0.76848413339129351</v>
      </c>
    </row>
    <row r="207" spans="1:13">
      <c r="A207" s="4" t="s">
        <v>31</v>
      </c>
      <c r="B207" s="3">
        <v>2011</v>
      </c>
      <c r="C207" s="5">
        <v>2415450000</v>
      </c>
      <c r="D207" s="60">
        <f>SUMPRODUCT(N(Tabela3[PAPEL]=Tabela2[[#This Row],[Ativo]]),Tabela3[Total Ações])</f>
        <v>1258841654</v>
      </c>
      <c r="E207" s="63">
        <f>(Tabela2[[#This Row],[Lucro Líquido]])/Tabela2[[#This Row],[Total Ações]]</f>
        <v>1.9187877937823623</v>
      </c>
      <c r="F207" s="63">
        <v>1.9</v>
      </c>
      <c r="G207" s="22">
        <f>IF(AND(Tabela2[[#This Row],[Dividendo / Ação]]&gt;0,Tabela2[[#This Row],[Lucro por ação]]&gt;0),Tabela2[[#This Row],[Dividendo / Ação]]/Tabela2[[#This Row],[Lucro por ação]],"")</f>
        <v>0.99020850880788258</v>
      </c>
      <c r="H207" s="5">
        <f>MAX(Tabela2[[#This Row],[Cotação 1]],Tabela2[[#This Row],[Cotação 2]])</f>
        <v>13.9</v>
      </c>
      <c r="I207" s="18">
        <f>IF(Tabela2[[#This Row],[Dividendo / Ação]]&gt;0,Tabela2[[#This Row],[Dividendo / Ação]]/Tabela2[[#This Row],[Cotação]],"")</f>
        <v>0.13669064748201437</v>
      </c>
      <c r="J207" s="58">
        <f>SUMPRODUCT(N(Tabela1[Código]=Tabela2[[#This Row],[Ativo]]),Tabela1[Fechamento])</f>
        <v>13.9</v>
      </c>
      <c r="K207" s="58">
        <f>SUMPRODUCT(N(Tabela17[Código]=Tabela2[[#This Row],[Ativo]]),Tabela17[Fechamento])</f>
        <v>0</v>
      </c>
      <c r="L207" s="58">
        <f>SUMPRODUCT(N([Ativo]=Tabela2[[#This Row],[Ativo]]),N([Exercício]=Tabela2[[#This Row],[Exercício]]-1),[Lucro Líquido])</f>
        <v>2257976000</v>
      </c>
      <c r="M207" s="18">
        <f>IF(Tabela2[[#This Row],[Lucro Anterior]]=0,"",IF(Tabela2[[#This Row],[Lucro Líquido]]&gt;0,Tabela2[[#This Row],[Lucro Líquido]]/Tabela2[[#This Row],[Lucro Anterior]]-1,0))</f>
        <v>6.9741219570092827E-2</v>
      </c>
    </row>
    <row r="208" spans="1:13">
      <c r="A208" s="4" t="s">
        <v>31</v>
      </c>
      <c r="B208" s="3">
        <v>2010</v>
      </c>
      <c r="C208" s="5">
        <v>2257976000</v>
      </c>
      <c r="D208" s="60">
        <f>SUMPRODUCT(N(Tabela3[PAPEL]=Tabela2[[#This Row],[Ativo]]),Tabela3[Total Ações])</f>
        <v>1258841654</v>
      </c>
      <c r="E208" s="63">
        <f>(Tabela2[[#This Row],[Lucro Líquido]])/Tabela2[[#This Row],[Total Ações]]</f>
        <v>1.7936934266714375</v>
      </c>
      <c r="F208" s="63">
        <v>1.75</v>
      </c>
      <c r="G208" s="22">
        <f>IF(AND(Tabela2[[#This Row],[Dividendo / Ação]]&gt;0,Tabela2[[#This Row],[Lucro por ação]]&gt;0),Tabela2[[#This Row],[Dividendo / Ação]]/Tabela2[[#This Row],[Lucro por ação]],"")</f>
        <v>0.97564052695865677</v>
      </c>
      <c r="H208" s="5">
        <f>MAX(Tabela2[[#This Row],[Cotação 1]],Tabela2[[#This Row],[Cotação 2]])</f>
        <v>13.9</v>
      </c>
      <c r="I208" s="18">
        <f>IF(Tabela2[[#This Row],[Dividendo / Ação]]&gt;0,Tabela2[[#This Row],[Dividendo / Ação]]/Tabela2[[#This Row],[Cotação]],"")</f>
        <v>0.12589928057553956</v>
      </c>
      <c r="J208" s="58">
        <f>SUMPRODUCT(N(Tabela1[Código]=Tabela2[[#This Row],[Ativo]]),Tabela1[Fechamento])</f>
        <v>13.9</v>
      </c>
      <c r="K208" s="58">
        <f>SUMPRODUCT(N(Tabela17[Código]=Tabela2[[#This Row],[Ativo]]),Tabela17[Fechamento])</f>
        <v>0</v>
      </c>
      <c r="L208" s="58">
        <f>SUMPRODUCT(N([Ativo]=Tabela2[[#This Row],[Ativo]]),N([Exercício]=Tabela2[[#This Row],[Exercício]]-1),[Lucro Líquido])</f>
        <v>1861403000</v>
      </c>
      <c r="M208" s="18">
        <f>IF(Tabela2[[#This Row],[Lucro Anterior]]=0,"",IF(Tabela2[[#This Row],[Lucro Líquido]]&gt;0,Tabela2[[#This Row],[Lucro Líquido]]/Tabela2[[#This Row],[Lucro Anterior]]-1,0))</f>
        <v>0.21305058603644667</v>
      </c>
    </row>
    <row r="209" spans="1:14">
      <c r="A209" s="4" t="s">
        <v>31</v>
      </c>
      <c r="B209" s="3">
        <v>2009</v>
      </c>
      <c r="C209" s="5">
        <v>1861403000</v>
      </c>
      <c r="D209" s="60">
        <f>SUMPRODUCT(N(Tabela3[PAPEL]=Tabela2[[#This Row],[Ativo]]),Tabela3[Total Ações])</f>
        <v>1258841654</v>
      </c>
      <c r="E209" s="63">
        <f>(Tabela2[[#This Row],[Lucro Líquido]])/Tabela2[[#This Row],[Total Ações]]</f>
        <v>1.4786633363182309</v>
      </c>
      <c r="F209" s="63">
        <v>1.5</v>
      </c>
      <c r="G209" s="22">
        <f>IF(AND(Tabela2[[#This Row],[Dividendo / Ação]]&gt;0,Tabela2[[#This Row],[Lucro por ação]]&gt;0),Tabela2[[#This Row],[Dividendo / Ação]]/Tabela2[[#This Row],[Lucro por ação]],"")</f>
        <v>1.0144296968469482</v>
      </c>
      <c r="H209" s="5">
        <f>MAX(Tabela2[[#This Row],[Cotação 1]],Tabela2[[#This Row],[Cotação 2]])</f>
        <v>13.9</v>
      </c>
      <c r="I209" s="18">
        <f>IF(Tabela2[[#This Row],[Dividendo / Ação]]&gt;0,Tabela2[[#This Row],[Dividendo / Ação]]/Tabela2[[#This Row],[Cotação]],"")</f>
        <v>0.1079136690647482</v>
      </c>
      <c r="J209" s="58">
        <f>SUMPRODUCT(N(Tabela1[Código]=Tabela2[[#This Row],[Ativo]]),Tabela1[Fechamento])</f>
        <v>13.9</v>
      </c>
      <c r="K209" s="58">
        <f>SUMPRODUCT(N(Tabela17[Código]=Tabela2[[#This Row],[Ativo]]),Tabela17[Fechamento])</f>
        <v>0</v>
      </c>
      <c r="L209" s="58">
        <f>SUMPRODUCT(N([Ativo]=Tabela2[[#This Row],[Ativo]]),N([Exercício]=Tabela2[[#This Row],[Exercício]]-1),[Lucro Líquido])</f>
        <v>0</v>
      </c>
      <c r="M209" s="18" t="str">
        <f>IF(Tabela2[[#This Row],[Lucro Anterior]]=0,"",IF(Tabela2[[#This Row],[Lucro Líquido]]&gt;0,Tabela2[[#This Row],[Lucro Líquido]]/Tabela2[[#This Row],[Lucro Anterior]]-1,0))</f>
        <v/>
      </c>
    </row>
    <row r="210" spans="1:14">
      <c r="A210" s="4" t="s">
        <v>30</v>
      </c>
      <c r="B210" s="4">
        <v>2012</v>
      </c>
      <c r="C210" s="6">
        <v>4271685000</v>
      </c>
      <c r="D210" s="8">
        <f>SUMPRODUCT(N(Tabela3[PAPEL]=Tabela2[[#This Row],[Ativo]]),Tabela3[Total Ações])</f>
        <v>1258841654</v>
      </c>
      <c r="E210" s="64">
        <f>(Tabela2[[#This Row],[Lucro Líquido]])/Tabela2[[#This Row],[Total Ações]]</f>
        <v>3.3933457686489934</v>
      </c>
      <c r="F210" s="64">
        <v>1.4286055</v>
      </c>
      <c r="G210" s="44">
        <f>IF(AND(Tabela2[[#This Row],[Dividendo / Ação]]&gt;0,Tabela2[[#This Row],[Lucro por ação]]&gt;0),Tabela2[[#This Row],[Dividendo / Ação]]/Tabela2[[#This Row],[Lucro por ação]],"")</f>
        <v>0.42100204264441243</v>
      </c>
      <c r="H210" s="6">
        <f>MAX(Tabela2[[#This Row],[Cotação 1]],Tabela2[[#This Row],[Cotação 2]])</f>
        <v>13.39</v>
      </c>
      <c r="I210" s="19">
        <f>IF(Tabela2[[#This Row],[Dividendo / Ação]]&gt;0,Tabela2[[#This Row],[Dividendo / Ação]]/Tabela2[[#This Row],[Cotação]],"")</f>
        <v>0.10669197162061239</v>
      </c>
      <c r="J210" s="59">
        <f>SUMPRODUCT(N(Tabela1[Código]=Tabela2[[#This Row],[Ativo]]),Tabela1[Fechamento])</f>
        <v>13.39</v>
      </c>
      <c r="K210" s="59">
        <f>SUMPRODUCT(N(Tabela17[Código]=Tabela2[[#This Row],[Ativo]]),Tabela17[Fechamento])</f>
        <v>0</v>
      </c>
      <c r="L210" s="59">
        <f>SUMPRODUCT(N([Ativo]=Tabela2[[#This Row],[Ativo]]),N([Exercício]=Tabela2[[#This Row],[Exercício]]-1),[Lucro Líquido])</f>
        <v>2415450000</v>
      </c>
      <c r="M210" s="19">
        <f>IF(Tabela2[[#This Row],[Lucro Anterior]]=0,"",IF(Tabela2[[#This Row],[Lucro Líquido]]&gt;0,Tabela2[[#This Row],[Lucro Líquido]]/Tabela2[[#This Row],[Lucro Anterior]]-1,0))</f>
        <v>0.76848413339129351</v>
      </c>
    </row>
    <row r="211" spans="1:14">
      <c r="A211" s="4" t="s">
        <v>30</v>
      </c>
      <c r="B211" s="4">
        <v>2011</v>
      </c>
      <c r="C211" s="5">
        <v>2415450000</v>
      </c>
      <c r="D211" s="8">
        <f>SUMPRODUCT(N(Tabela3[PAPEL]=Tabela2[[#This Row],[Ativo]]),Tabela3[Total Ações])</f>
        <v>1258841654</v>
      </c>
      <c r="E211" s="64">
        <f>(Tabela2[[#This Row],[Lucro Líquido]])/Tabela2[[#This Row],[Total Ações]]</f>
        <v>1.9187877937823623</v>
      </c>
      <c r="F211" s="64">
        <v>1.9</v>
      </c>
      <c r="G211" s="44">
        <f>IF(AND(Tabela2[[#This Row],[Dividendo / Ação]]&gt;0,Tabela2[[#This Row],[Lucro por ação]]&gt;0),Tabela2[[#This Row],[Dividendo / Ação]]/Tabela2[[#This Row],[Lucro por ação]],"")</f>
        <v>0.99020850880788258</v>
      </c>
      <c r="H211" s="6">
        <f>MAX(Tabela2[[#This Row],[Cotação 1]],Tabela2[[#This Row],[Cotação 2]])</f>
        <v>13.39</v>
      </c>
      <c r="I211" s="19">
        <f>IF(Tabela2[[#This Row],[Dividendo / Ação]]&gt;0,Tabela2[[#This Row],[Dividendo / Ação]]/Tabela2[[#This Row],[Cotação]],"")</f>
        <v>0.14189693801344286</v>
      </c>
      <c r="J211" s="59">
        <f>SUMPRODUCT(N(Tabela1[Código]=Tabela2[[#This Row],[Ativo]]),Tabela1[Fechamento])</f>
        <v>13.39</v>
      </c>
      <c r="K211" s="59">
        <f>SUMPRODUCT(N(Tabela17[Código]=Tabela2[[#This Row],[Ativo]]),Tabela17[Fechamento])</f>
        <v>0</v>
      </c>
      <c r="L211" s="59">
        <f>SUMPRODUCT(N([Ativo]=Tabela2[[#This Row],[Ativo]]),N([Exercício]=Tabela2[[#This Row],[Exercício]]-1),[Lucro Líquido])</f>
        <v>2257976000</v>
      </c>
      <c r="M211" s="19">
        <f>IF(Tabela2[[#This Row],[Lucro Anterior]]=0,"",IF(Tabela2[[#This Row],[Lucro Líquido]]&gt;0,Tabela2[[#This Row],[Lucro Líquido]]/Tabela2[[#This Row],[Lucro Anterior]]-1,0))</f>
        <v>6.9741219570092827E-2</v>
      </c>
    </row>
    <row r="212" spans="1:14">
      <c r="A212" s="4" t="s">
        <v>30</v>
      </c>
      <c r="B212" s="4">
        <v>2010</v>
      </c>
      <c r="C212" s="5">
        <v>2257976000</v>
      </c>
      <c r="D212" s="8">
        <f>SUMPRODUCT(N(Tabela3[PAPEL]=Tabela2[[#This Row],[Ativo]]),Tabela3[Total Ações])</f>
        <v>1258841654</v>
      </c>
      <c r="E212" s="64">
        <f>(Tabela2[[#This Row],[Lucro Líquido]])/Tabela2[[#This Row],[Total Ações]]</f>
        <v>1.7936934266714375</v>
      </c>
      <c r="F212" s="64">
        <v>1.75</v>
      </c>
      <c r="G212" s="44">
        <f>IF(AND(Tabela2[[#This Row],[Dividendo / Ação]]&gt;0,Tabela2[[#This Row],[Lucro por ação]]&gt;0),Tabela2[[#This Row],[Dividendo / Ação]]/Tabela2[[#This Row],[Lucro por ação]],"")</f>
        <v>0.97564052695865677</v>
      </c>
      <c r="H212" s="6">
        <f>MAX(Tabela2[[#This Row],[Cotação 1]],Tabela2[[#This Row],[Cotação 2]])</f>
        <v>13.39</v>
      </c>
      <c r="I212" s="19">
        <f>IF(Tabela2[[#This Row],[Dividendo / Ação]]&gt;0,Tabela2[[#This Row],[Dividendo / Ação]]/Tabela2[[#This Row],[Cotação]],"")</f>
        <v>0.13069454817027631</v>
      </c>
      <c r="J212" s="59">
        <f>SUMPRODUCT(N(Tabela1[Código]=Tabela2[[#This Row],[Ativo]]),Tabela1[Fechamento])</f>
        <v>13.39</v>
      </c>
      <c r="K212" s="59">
        <f>SUMPRODUCT(N(Tabela17[Código]=Tabela2[[#This Row],[Ativo]]),Tabela17[Fechamento])</f>
        <v>0</v>
      </c>
      <c r="L212" s="59">
        <f>SUMPRODUCT(N([Ativo]=Tabela2[[#This Row],[Ativo]]),N([Exercício]=Tabela2[[#This Row],[Exercício]]-1),[Lucro Líquido])</f>
        <v>1861403000</v>
      </c>
      <c r="M212" s="19">
        <f>IF(Tabela2[[#This Row],[Lucro Anterior]]=0,"",IF(Tabela2[[#This Row],[Lucro Líquido]]&gt;0,Tabela2[[#This Row],[Lucro Líquido]]/Tabela2[[#This Row],[Lucro Anterior]]-1,0))</f>
        <v>0.21305058603644667</v>
      </c>
    </row>
    <row r="213" spans="1:14">
      <c r="A213" s="4" t="s">
        <v>30</v>
      </c>
      <c r="B213" s="4">
        <v>2009</v>
      </c>
      <c r="C213" s="5">
        <v>1861403000</v>
      </c>
      <c r="D213" s="8">
        <f>SUMPRODUCT(N(Tabela3[PAPEL]=Tabela2[[#This Row],[Ativo]]),Tabela3[Total Ações])</f>
        <v>1258841654</v>
      </c>
      <c r="E213" s="64">
        <f>(Tabela2[[#This Row],[Lucro Líquido]])/Tabela2[[#This Row],[Total Ações]]</f>
        <v>1.4786633363182309</v>
      </c>
      <c r="F213" s="64">
        <v>1.5</v>
      </c>
      <c r="G213" s="44">
        <f>IF(AND(Tabela2[[#This Row],[Dividendo / Ação]]&gt;0,Tabela2[[#This Row],[Lucro por ação]]&gt;0),Tabela2[[#This Row],[Dividendo / Ação]]/Tabela2[[#This Row],[Lucro por ação]],"")</f>
        <v>1.0144296968469482</v>
      </c>
      <c r="H213" s="6">
        <f>MAX(Tabela2[[#This Row],[Cotação 1]],Tabela2[[#This Row],[Cotação 2]])</f>
        <v>13.39</v>
      </c>
      <c r="I213" s="19">
        <f>IF(Tabela2[[#This Row],[Dividendo / Ação]]&gt;0,Tabela2[[#This Row],[Dividendo / Ação]]/Tabela2[[#This Row],[Cotação]],"")</f>
        <v>0.11202389843166542</v>
      </c>
      <c r="J213" s="59">
        <f>SUMPRODUCT(N(Tabela1[Código]=Tabela2[[#This Row],[Ativo]]),Tabela1[Fechamento])</f>
        <v>13.39</v>
      </c>
      <c r="K213" s="59">
        <f>SUMPRODUCT(N(Tabela17[Código]=Tabela2[[#This Row],[Ativo]]),Tabela17[Fechamento])</f>
        <v>0</v>
      </c>
      <c r="L213" s="59">
        <f>SUMPRODUCT(N([Ativo]=Tabela2[[#This Row],[Ativo]]),N([Exercício]=Tabela2[[#This Row],[Exercício]]-1),[Lucro Líquido])</f>
        <v>0</v>
      </c>
      <c r="M213" s="19" t="str">
        <f>IF(Tabela2[[#This Row],[Lucro Anterior]]=0,"",IF(Tabela2[[#This Row],[Lucro Líquido]]&gt;0,Tabela2[[#This Row],[Lucro Líquido]]/Tabela2[[#This Row],[Lucro Anterior]]-1,0))</f>
        <v/>
      </c>
    </row>
    <row r="214" spans="1:14">
      <c r="A214" s="4" t="s">
        <v>97</v>
      </c>
      <c r="B214" s="4">
        <v>2012</v>
      </c>
      <c r="C214" s="6">
        <v>400000153.68000001</v>
      </c>
      <c r="D214" s="8">
        <f>SUMPRODUCT(N(Tabela3[PAPEL]=Tabela2[[#This Row],[Ativo]]),Tabela3[Total Ações])</f>
        <v>77855299</v>
      </c>
      <c r="E214" s="64">
        <f>(Tabela2[[#This Row],[Lucro Líquido]])/Tabela2[[#This Row],[Total Ações]]</f>
        <v>5.1377383276120998</v>
      </c>
      <c r="F214" s="64">
        <v>2.7486247275000002</v>
      </c>
      <c r="G214" s="44">
        <f>IF(AND(Tabela2[[#This Row],[Dividendo / Ação]]&gt;0,Tabela2[[#This Row],[Lucro por ação]]&gt;0),Tabela2[[#This Row],[Dividendo / Ação]]/Tabela2[[#This Row],[Lucro por ação]],"")</f>
        <v>0.53498729445364657</v>
      </c>
      <c r="H214" s="6">
        <f>MAX(Tabela2[[#This Row],[Cotação 1]],Tabela2[[#This Row],[Cotação 2]])</f>
        <v>48.01</v>
      </c>
      <c r="I214" s="19">
        <f>IF(Tabela2[[#This Row],[Dividendo / Ação]]&gt;0,Tabela2[[#This Row],[Dividendo / Ação]]/Tabela2[[#This Row],[Cotação]],"")</f>
        <v>5.725108784628203E-2</v>
      </c>
      <c r="J214" s="59">
        <f>SUMPRODUCT(N(Tabela1[Código]=Tabela2[[#This Row],[Ativo]]),Tabela1[Fechamento])</f>
        <v>48.01</v>
      </c>
      <c r="K214" s="59">
        <f>SUMPRODUCT(N(Tabela17[Código]=Tabela2[[#This Row],[Ativo]]),Tabela17[Fechamento])</f>
        <v>0</v>
      </c>
      <c r="L214" s="59">
        <f>SUMPRODUCT(N([Ativo]=Tabela2[[#This Row],[Ativo]]),N([Exercício]=Tabela2[[#This Row],[Exercício]]-1),[Lucro Líquido])</f>
        <v>471181647.69999999</v>
      </c>
      <c r="M214" s="19">
        <f>IF(Tabela2[[#This Row],[Lucro Anterior]]=0,"",IF(Tabela2[[#This Row],[Lucro Líquido]]&gt;0,Tabela2[[#This Row],[Lucro Líquido]]/Tabela2[[#This Row],[Lucro Anterior]]-1,0))</f>
        <v>-0.15107017509587095</v>
      </c>
    </row>
    <row r="215" spans="1:14">
      <c r="A215" s="4" t="s">
        <v>97</v>
      </c>
      <c r="B215" s="3">
        <v>2011</v>
      </c>
      <c r="C215" s="5">
        <v>471181647.69999999</v>
      </c>
      <c r="D215" s="60">
        <f>SUMPRODUCT(N(Tabela3[PAPEL]=Tabela2[[#This Row],[Ativo]]),Tabela3[Total Ações])</f>
        <v>77855299</v>
      </c>
      <c r="E215" s="63">
        <f>(Tabela2[[#This Row],[Lucro Líquido]])/Tabela2[[#This Row],[Total Ações]]</f>
        <v>6.0520177014540781</v>
      </c>
      <c r="F215" s="63">
        <v>3.5452297189999999</v>
      </c>
      <c r="G215" s="22">
        <f>IF(AND(Tabela2[[#This Row],[Dividendo / Ação]]&gt;0,Tabela2[[#This Row],[Lucro por ação]]&gt;0),Tabela2[[#This Row],[Dividendo / Ação]]/Tabela2[[#This Row],[Lucro por ação]],"")</f>
        <v>0.58579301877260059</v>
      </c>
      <c r="H215" s="5">
        <f>MAX(Tabela2[[#This Row],[Cotação 1]],Tabela2[[#This Row],[Cotação 2]])</f>
        <v>48.01</v>
      </c>
      <c r="I215" s="18">
        <f>IF(Tabela2[[#This Row],[Dividendo / Ação]]&gt;0,Tabela2[[#This Row],[Dividendo / Ação]]/Tabela2[[#This Row],[Cotação]],"")</f>
        <v>7.3843568402416168E-2</v>
      </c>
      <c r="J215" s="58">
        <f>SUMPRODUCT(N(Tabela1[Código]=Tabela2[[#This Row],[Ativo]]),Tabela1[Fechamento])</f>
        <v>48.01</v>
      </c>
      <c r="K215" s="58">
        <f>SUMPRODUCT(N(Tabela17[Código]=Tabela2[[#This Row],[Ativo]]),Tabela17[Fechamento])</f>
        <v>0</v>
      </c>
      <c r="L215" s="58">
        <f>SUMPRODUCT(N([Ativo]=Tabela2[[#This Row],[Ativo]]),N([Exercício]=Tabela2[[#This Row],[Exercício]]-1),[Lucro Líquido])</f>
        <v>458054165.95999998</v>
      </c>
      <c r="M215" s="18">
        <f>IF(Tabela2[[#This Row],[Lucro Anterior]]=0,"",IF(Tabela2[[#This Row],[Lucro Líquido]]&gt;0,Tabela2[[#This Row],[Lucro Líquido]]/Tabela2[[#This Row],[Lucro Anterior]]-1,0))</f>
        <v>2.8659234465179706E-2</v>
      </c>
      <c r="N215" s="66"/>
    </row>
    <row r="216" spans="1:14">
      <c r="A216" s="4" t="s">
        <v>97</v>
      </c>
      <c r="B216" s="3">
        <v>2010</v>
      </c>
      <c r="C216" s="5">
        <v>458054165.95999998</v>
      </c>
      <c r="D216" s="60">
        <f>SUMPRODUCT(N(Tabela3[PAPEL]=Tabela2[[#This Row],[Ativo]]),Tabela3[Total Ações])</f>
        <v>77855299</v>
      </c>
      <c r="E216" s="63">
        <f>(Tabela2[[#This Row],[Lucro Líquido]])/Tabela2[[#This Row],[Total Ações]]</f>
        <v>5.8834038510339548</v>
      </c>
      <c r="F216" s="63">
        <v>4.272592929</v>
      </c>
      <c r="G216" s="22">
        <f>IF(AND(Tabela2[[#This Row],[Dividendo / Ação]]&gt;0,Tabela2[[#This Row],[Lucro por ação]]&gt;0),Tabela2[[#This Row],[Dividendo / Ação]]/Tabela2[[#This Row],[Lucro por ação]],"")</f>
        <v>0.72621105692908205</v>
      </c>
      <c r="H216" s="5">
        <f>MAX(Tabela2[[#This Row],[Cotação 1]],Tabela2[[#This Row],[Cotação 2]])</f>
        <v>48.01</v>
      </c>
      <c r="I216" s="18">
        <f>IF(Tabela2[[#This Row],[Dividendo / Ação]]&gt;0,Tabela2[[#This Row],[Dividendo / Ação]]/Tabela2[[#This Row],[Cotação]],"")</f>
        <v>8.899381230993543E-2</v>
      </c>
      <c r="J216" s="58">
        <f>SUMPRODUCT(N(Tabela1[Código]=Tabela2[[#This Row],[Ativo]]),Tabela1[Fechamento])</f>
        <v>48.01</v>
      </c>
      <c r="K216" s="58">
        <f>SUMPRODUCT(N(Tabela17[Código]=Tabela2[[#This Row],[Ativo]]),Tabela17[Fechamento])</f>
        <v>0</v>
      </c>
      <c r="L216" s="58">
        <f>SUMPRODUCT(N([Ativo]=Tabela2[[#This Row],[Ativo]]),N([Exercício]=Tabela2[[#This Row],[Exercício]]-1),[Lucro Líquido])</f>
        <v>0</v>
      </c>
      <c r="M216" s="18" t="str">
        <f>IF(Tabela2[[#This Row],[Lucro Anterior]]=0,"",IF(Tabela2[[#This Row],[Lucro Líquido]]&gt;0,Tabela2[[#This Row],[Lucro Líquido]]/Tabela2[[#This Row],[Lucro Anterior]]-1,0))</f>
        <v/>
      </c>
    </row>
    <row r="217" spans="1:14">
      <c r="A217" s="4" t="s">
        <v>82</v>
      </c>
      <c r="B217" s="4">
        <v>2012</v>
      </c>
      <c r="C217" s="6">
        <v>400000153.68000001</v>
      </c>
      <c r="D217" s="8">
        <f>SUMPRODUCT(N(Tabela3[PAPEL]=Tabela2[[#This Row],[Ativo]]),Tabela3[Total Ações])</f>
        <v>77855299</v>
      </c>
      <c r="E217" s="64">
        <f>(Tabela2[[#This Row],[Lucro Líquido]])/Tabela2[[#This Row],[Total Ações]]</f>
        <v>5.1377383276120998</v>
      </c>
      <c r="F217" s="64">
        <v>2.7486247275000002</v>
      </c>
      <c r="G217" s="44">
        <f>IF(AND(Tabela2[[#This Row],[Dividendo / Ação]]&gt;0,Tabela2[[#This Row],[Lucro por ação]]&gt;0),Tabela2[[#This Row],[Dividendo / Ação]]/Tabela2[[#This Row],[Lucro por ação]],"")</f>
        <v>0.53498729445364657</v>
      </c>
      <c r="H217" s="6">
        <f>MAX(Tabela2[[#This Row],[Cotação 1]],Tabela2[[#This Row],[Cotação 2]])</f>
        <v>48.24</v>
      </c>
      <c r="I217" s="19">
        <f>IF(Tabela2[[#This Row],[Dividendo / Ação]]&gt;0,Tabela2[[#This Row],[Dividendo / Ação]]/Tabela2[[#This Row],[Cotação]],"")</f>
        <v>5.6978124533582093E-2</v>
      </c>
      <c r="J217" s="59">
        <f>SUMPRODUCT(N(Tabela1[Código]=Tabela2[[#This Row],[Ativo]]),Tabela1[Fechamento])</f>
        <v>48.24</v>
      </c>
      <c r="K217" s="59">
        <f>SUMPRODUCT(N(Tabela17[Código]=Tabela2[[#This Row],[Ativo]]),Tabela17[Fechamento])</f>
        <v>0</v>
      </c>
      <c r="L217" s="59">
        <f>SUMPRODUCT(N([Ativo]=Tabela2[[#This Row],[Ativo]]),N([Exercício]=Tabela2[[#This Row],[Exercício]]-1),[Lucro Líquido])</f>
        <v>471181647.69999999</v>
      </c>
      <c r="M217" s="19">
        <f>IF(Tabela2[[#This Row],[Lucro Anterior]]=0,"",IF(Tabela2[[#This Row],[Lucro Líquido]]&gt;0,Tabela2[[#This Row],[Lucro Líquido]]/Tabela2[[#This Row],[Lucro Anterior]]-1,0))</f>
        <v>-0.15107017509587095</v>
      </c>
    </row>
    <row r="218" spans="1:14">
      <c r="A218" s="4" t="s">
        <v>82</v>
      </c>
      <c r="B218" s="4">
        <v>2011</v>
      </c>
      <c r="C218" s="5">
        <v>471181647.69999999</v>
      </c>
      <c r="D218" s="8">
        <f>SUMPRODUCT(N(Tabela3[PAPEL]=Tabela2[[#This Row],[Ativo]]),Tabela3[Total Ações])</f>
        <v>77855299</v>
      </c>
      <c r="E218" s="64">
        <f>(Tabela2[[#This Row],[Lucro Líquido]])/Tabela2[[#This Row],[Total Ações]]</f>
        <v>6.0520177014540781</v>
      </c>
      <c r="F218" s="63">
        <v>3.5452297189999999</v>
      </c>
      <c r="G218" s="44">
        <f>IF(AND(Tabela2[[#This Row],[Dividendo / Ação]]&gt;0,Tabela2[[#This Row],[Lucro por ação]]&gt;0),Tabela2[[#This Row],[Dividendo / Ação]]/Tabela2[[#This Row],[Lucro por ação]],"")</f>
        <v>0.58579301877260059</v>
      </c>
      <c r="H218" s="6">
        <f>MAX(Tabela2[[#This Row],[Cotação 1]],Tabela2[[#This Row],[Cotação 2]])</f>
        <v>48.24</v>
      </c>
      <c r="I218" s="19">
        <f>IF(Tabela2[[#This Row],[Dividendo / Ação]]&gt;0,Tabela2[[#This Row],[Dividendo / Ação]]/Tabela2[[#This Row],[Cotação]],"")</f>
        <v>7.3491495004145937E-2</v>
      </c>
      <c r="J218" s="59">
        <f>SUMPRODUCT(N(Tabela1[Código]=Tabela2[[#This Row],[Ativo]]),Tabela1[Fechamento])</f>
        <v>48.24</v>
      </c>
      <c r="K218" s="59">
        <f>SUMPRODUCT(N(Tabela17[Código]=Tabela2[[#This Row],[Ativo]]),Tabela17[Fechamento])</f>
        <v>0</v>
      </c>
      <c r="L218" s="59">
        <f>SUMPRODUCT(N([Ativo]=Tabela2[[#This Row],[Ativo]]),N([Exercício]=Tabela2[[#This Row],[Exercício]]-1),[Lucro Líquido])</f>
        <v>458054165.95999998</v>
      </c>
      <c r="M218" s="19">
        <f>IF(Tabela2[[#This Row],[Lucro Anterior]]=0,"",IF(Tabela2[[#This Row],[Lucro Líquido]]&gt;0,Tabela2[[#This Row],[Lucro Líquido]]/Tabela2[[#This Row],[Lucro Anterior]]-1,0))</f>
        <v>2.8659234465179706E-2</v>
      </c>
    </row>
    <row r="219" spans="1:14">
      <c r="A219" s="4" t="s">
        <v>82</v>
      </c>
      <c r="B219" s="4">
        <v>2010</v>
      </c>
      <c r="C219" s="5">
        <v>458054165.95999998</v>
      </c>
      <c r="D219" s="8">
        <f>SUMPRODUCT(N(Tabela3[PAPEL]=Tabela2[[#This Row],[Ativo]]),Tabela3[Total Ações])</f>
        <v>77855299</v>
      </c>
      <c r="E219" s="64">
        <f>(Tabela2[[#This Row],[Lucro Líquido]])/Tabela2[[#This Row],[Total Ações]]</f>
        <v>5.8834038510339548</v>
      </c>
      <c r="F219" s="63">
        <v>4.272592929</v>
      </c>
      <c r="G219" s="44">
        <f>IF(AND(Tabela2[[#This Row],[Dividendo / Ação]]&gt;0,Tabela2[[#This Row],[Lucro por ação]]&gt;0),Tabela2[[#This Row],[Dividendo / Ação]]/Tabela2[[#This Row],[Lucro por ação]],"")</f>
        <v>0.72621105692908205</v>
      </c>
      <c r="H219" s="6">
        <f>MAX(Tabela2[[#This Row],[Cotação 1]],Tabela2[[#This Row],[Cotação 2]])</f>
        <v>48.24</v>
      </c>
      <c r="I219" s="19">
        <f>IF(Tabela2[[#This Row],[Dividendo / Ação]]&gt;0,Tabela2[[#This Row],[Dividendo / Ação]]/Tabela2[[#This Row],[Cotação]],"")</f>
        <v>8.8569505161691542E-2</v>
      </c>
      <c r="J219" s="59">
        <f>SUMPRODUCT(N(Tabela1[Código]=Tabela2[[#This Row],[Ativo]]),Tabela1[Fechamento])</f>
        <v>48.24</v>
      </c>
      <c r="K219" s="59">
        <f>SUMPRODUCT(N(Tabela17[Código]=Tabela2[[#This Row],[Ativo]]),Tabela17[Fechamento])</f>
        <v>0</v>
      </c>
      <c r="L219" s="59">
        <f>SUMPRODUCT(N([Ativo]=Tabela2[[#This Row],[Ativo]]),N([Exercício]=Tabela2[[#This Row],[Exercício]]-1),[Lucro Líquido])</f>
        <v>0</v>
      </c>
      <c r="M219" s="19" t="str">
        <f>IF(Tabela2[[#This Row],[Lucro Anterior]]=0,"",IF(Tabela2[[#This Row],[Lucro Líquido]]&gt;0,Tabela2[[#This Row],[Lucro Líquido]]/Tabela2[[#This Row],[Lucro Anterior]]-1,0))</f>
        <v/>
      </c>
    </row>
    <row r="220" spans="1:14">
      <c r="A220" s="4" t="s">
        <v>32</v>
      </c>
      <c r="B220" s="4">
        <v>2012</v>
      </c>
      <c r="C220" s="6">
        <v>1225923257.8099999</v>
      </c>
      <c r="D220" s="8">
        <f>SUMPRODUCT(N(Tabela3[PAPEL]=Tabela2[[#This Row],[Ativo]]),Tabela3[Total Ações])</f>
        <v>962274260</v>
      </c>
      <c r="E220" s="64">
        <f>(Tabela2[[#This Row],[Lucro Líquido]])/Tabela2[[#This Row],[Total Ações]]</f>
        <v>1.2739852958448665</v>
      </c>
      <c r="F220" s="64">
        <v>1.139118233</v>
      </c>
      <c r="G220" s="44">
        <f>IF(AND(Tabela2[[#This Row],[Dividendo / Ação]]&gt;0,Tabela2[[#This Row],[Lucro por ação]]&gt;0),Tabela2[[#This Row],[Dividendo / Ação]]/Tabela2[[#This Row],[Lucro por ação]],"")</f>
        <v>0.89413766133350314</v>
      </c>
      <c r="H220" s="6">
        <f>MAX(Tabela2[[#This Row],[Cotação 1]],Tabela2[[#This Row],[Cotação 2]])</f>
        <v>18.8</v>
      </c>
      <c r="I220" s="19">
        <f>IF(Tabela2[[#This Row],[Dividendo / Ação]]&gt;0,Tabela2[[#This Row],[Dividendo / Ação]]/Tabela2[[#This Row],[Cotação]],"")</f>
        <v>6.0591395372340429E-2</v>
      </c>
      <c r="J220" s="59">
        <f>SUMPRODUCT(N(Tabela1[Código]=Tabela2[[#This Row],[Ativo]]),Tabela1[Fechamento])</f>
        <v>18.8</v>
      </c>
      <c r="K220" s="59">
        <f>SUMPRODUCT(N(Tabela17[Código]=Tabela2[[#This Row],[Ativo]]),Tabela17[Fechamento])</f>
        <v>0</v>
      </c>
      <c r="L220" s="59">
        <f>SUMPRODUCT(N([Ativo]=Tabela2[[#This Row],[Ativo]]),N([Exercício]=Tabela2[[#This Row],[Exercício]]-1),[Lucro Líquido])</f>
        <v>1572292596.6700001</v>
      </c>
      <c r="M220" s="19">
        <f>IF(Tabela2[[#This Row],[Lucro Anterior]]=0,"",IF(Tabela2[[#This Row],[Lucro Líquido]]&gt;0,Tabela2[[#This Row],[Lucro Líquido]]/Tabela2[[#This Row],[Lucro Anterior]]-1,0))</f>
        <v>-0.2202957258678091</v>
      </c>
    </row>
    <row r="221" spans="1:14">
      <c r="A221" s="4" t="s">
        <v>32</v>
      </c>
      <c r="B221" s="4">
        <v>2011</v>
      </c>
      <c r="C221" s="6">
        <v>1572292596.6700001</v>
      </c>
      <c r="D221" s="8">
        <f>SUMPRODUCT(N(Tabela3[PAPEL]=Tabela2[[#This Row],[Ativo]]),Tabela3[Total Ações])</f>
        <v>962274260</v>
      </c>
      <c r="E221" s="64">
        <f>(Tabela2[[#This Row],[Lucro Líquido]])/Tabela2[[#This Row],[Total Ações]]</f>
        <v>1.6339339645954991</v>
      </c>
      <c r="F221" s="64">
        <v>1.5653283019999999</v>
      </c>
      <c r="G221" s="44">
        <f>IF(AND(Tabela2[[#This Row],[Dividendo / Ação]]&gt;0,Tabela2[[#This Row],[Lucro por ação]]&gt;0),Tabela2[[#This Row],[Dividendo / Ação]]/Tabela2[[#This Row],[Lucro por ação]],"")</f>
        <v>0.9580119735056225</v>
      </c>
      <c r="H221" s="6">
        <f>MAX(Tabela2[[#This Row],[Cotação 1]],Tabela2[[#This Row],[Cotação 2]])</f>
        <v>18.8</v>
      </c>
      <c r="I221" s="19">
        <f>IF(Tabela2[[#This Row],[Dividendo / Ação]]&gt;0,Tabela2[[#This Row],[Dividendo / Ação]]/Tabela2[[#This Row],[Cotação]],"")</f>
        <v>8.326214372340425E-2</v>
      </c>
      <c r="J221" s="59">
        <f>SUMPRODUCT(N(Tabela1[Código]=Tabela2[[#This Row],[Ativo]]),Tabela1[Fechamento])</f>
        <v>18.8</v>
      </c>
      <c r="K221" s="59">
        <f>SUMPRODUCT(N(Tabela17[Código]=Tabela2[[#This Row],[Ativo]]),Tabela17[Fechamento])</f>
        <v>0</v>
      </c>
      <c r="L221" s="59">
        <f>SUMPRODUCT(N([Ativo]=Tabela2[[#This Row],[Ativo]]),N([Exercício]=Tabela2[[#This Row],[Exercício]]-1),[Lucro Líquido])</f>
        <v>1595150826.9300001</v>
      </c>
      <c r="M221" s="19">
        <f>IF(Tabela2[[#This Row],[Lucro Anterior]]=0,"",IF(Tabela2[[#This Row],[Lucro Líquido]]&gt;0,Tabela2[[#This Row],[Lucro Líquido]]/Tabela2[[#This Row],[Lucro Anterior]]-1,0))</f>
        <v>-1.4329823784746787E-2</v>
      </c>
    </row>
    <row r="222" spans="1:14">
      <c r="A222" s="4" t="s">
        <v>32</v>
      </c>
      <c r="B222" s="4">
        <v>2010</v>
      </c>
      <c r="C222" s="6">
        <v>1595150826.9300001</v>
      </c>
      <c r="D222" s="8">
        <f>SUMPRODUCT(N(Tabela3[PAPEL]=Tabela2[[#This Row],[Ativo]]),Tabela3[Total Ações])</f>
        <v>962274260</v>
      </c>
      <c r="E222" s="64">
        <f>(Tabela2[[#This Row],[Lucro Líquido]])/Tabela2[[#This Row],[Total Ações]]</f>
        <v>1.6576883464907397</v>
      </c>
      <c r="F222" s="64">
        <v>2.6197703689999998</v>
      </c>
      <c r="G222" s="44">
        <f>IF(AND(Tabela2[[#This Row],[Dividendo / Ação]]&gt;0,Tabela2[[#This Row],[Lucro por ação]]&gt;0),Tabela2[[#This Row],[Dividendo / Ação]]/Tabela2[[#This Row],[Lucro por ação]],"")</f>
        <v>1.580375692780823</v>
      </c>
      <c r="H222" s="6">
        <f>MAX(Tabela2[[#This Row],[Cotação 1]],Tabela2[[#This Row],[Cotação 2]])</f>
        <v>18.8</v>
      </c>
      <c r="I222" s="19">
        <f>IF(Tabela2[[#This Row],[Dividendo / Ação]]&gt;0,Tabela2[[#This Row],[Dividendo / Ação]]/Tabela2[[#This Row],[Cotação]],"")</f>
        <v>0.13934948771276595</v>
      </c>
      <c r="J222" s="59">
        <f>SUMPRODUCT(N(Tabela1[Código]=Tabela2[[#This Row],[Ativo]]),Tabela1[Fechamento])</f>
        <v>18.8</v>
      </c>
      <c r="K222" s="59">
        <f>SUMPRODUCT(N(Tabela17[Código]=Tabela2[[#This Row],[Ativo]]),Tabela17[Fechamento])</f>
        <v>0</v>
      </c>
      <c r="L222" s="59">
        <f>SUMPRODUCT(N([Ativo]=Tabela2[[#This Row],[Ativo]]),N([Exercício]=Tabela2[[#This Row],[Exercício]]-1),[Lucro Líquido])</f>
        <v>1649898817.26</v>
      </c>
      <c r="M222" s="19">
        <f>IF(Tabela2[[#This Row],[Lucro Anterior]]=0,"",IF(Tabela2[[#This Row],[Lucro Líquido]]&gt;0,Tabela2[[#This Row],[Lucro Líquido]]/Tabela2[[#This Row],[Lucro Anterior]]-1,0))</f>
        <v>-3.3182635054506138E-2</v>
      </c>
    </row>
    <row r="223" spans="1:14">
      <c r="A223" s="4" t="s">
        <v>32</v>
      </c>
      <c r="B223" s="4">
        <v>2009</v>
      </c>
      <c r="C223" s="6">
        <v>1649898817.26</v>
      </c>
      <c r="D223" s="8">
        <f>SUMPRODUCT(N(Tabela3[PAPEL]=Tabela2[[#This Row],[Ativo]]),Tabela3[Total Ações])</f>
        <v>962274260</v>
      </c>
      <c r="E223" s="64">
        <f>(Tabela2[[#This Row],[Lucro Líquido]])/Tabela2[[#This Row],[Total Ações]]</f>
        <v>1.7145827191304068</v>
      </c>
      <c r="F223" s="64">
        <v>2.5560733889999998</v>
      </c>
      <c r="G223" s="44">
        <f>IF(AND(Tabela2[[#This Row],[Dividendo / Ação]]&gt;0,Tabela2[[#This Row],[Lucro por ação]]&gt;0),Tabela2[[#This Row],[Dividendo / Ação]]/Tabela2[[#This Row],[Lucro por ação]],"")</f>
        <v>1.4907845276175278</v>
      </c>
      <c r="H223" s="6">
        <f>MAX(Tabela2[[#This Row],[Cotação 1]],Tabela2[[#This Row],[Cotação 2]])</f>
        <v>18.8</v>
      </c>
      <c r="I223" s="19">
        <f>IF(Tabela2[[#This Row],[Dividendo / Ação]]&gt;0,Tabela2[[#This Row],[Dividendo / Ação]]/Tabela2[[#This Row],[Cotação]],"")</f>
        <v>0.13596135047872338</v>
      </c>
      <c r="J223" s="59">
        <f>SUMPRODUCT(N(Tabela1[Código]=Tabela2[[#This Row],[Ativo]]),Tabela1[Fechamento])</f>
        <v>18.8</v>
      </c>
      <c r="K223" s="59">
        <f>SUMPRODUCT(N(Tabela17[Código]=Tabela2[[#This Row],[Ativo]]),Tabela17[Fechamento])</f>
        <v>0</v>
      </c>
      <c r="L223" s="59">
        <f>SUMPRODUCT(N([Ativo]=Tabela2[[#This Row],[Ativo]]),N([Exercício]=Tabela2[[#This Row],[Exercício]]-1),[Lucro Líquido])</f>
        <v>0</v>
      </c>
      <c r="M223" s="19" t="str">
        <f>IF(Tabela2[[#This Row],[Lucro Anterior]]=0,"",IF(Tabela2[[#This Row],[Lucro Líquido]]&gt;0,Tabela2[[#This Row],[Lucro Líquido]]/Tabela2[[#This Row],[Lucro Anterior]]-1,0))</f>
        <v/>
      </c>
    </row>
    <row r="224" spans="1:14">
      <c r="A224" s="4" t="s">
        <v>34</v>
      </c>
      <c r="B224" s="4">
        <v>2012</v>
      </c>
      <c r="C224" s="6">
        <v>700688167.34000003</v>
      </c>
      <c r="D224" s="8">
        <f>SUMPRODUCT(N(Tabela3[PAPEL]=Tabela2[[#This Row],[Ativo]]),Tabela3[Total Ações])</f>
        <v>273655375</v>
      </c>
      <c r="E224" s="64">
        <f>(Tabela2[[#This Row],[Lucro Líquido]])/Tabela2[[#This Row],[Total Ações]]</f>
        <v>2.5604765385660708</v>
      </c>
      <c r="F224" s="64">
        <v>0.93527000000000005</v>
      </c>
      <c r="G224" s="44">
        <f>IF(AND(Tabela2[[#This Row],[Dividendo / Ação]]&gt;0,Tabela2[[#This Row],[Lucro por ação]]&gt;0),Tabela2[[#This Row],[Dividendo / Ação]]/Tabela2[[#This Row],[Lucro por ação]],"")</f>
        <v>0.36527184917061339</v>
      </c>
      <c r="H224" s="6">
        <f>MAX(Tabela2[[#This Row],[Cotação 1]],Tabela2[[#This Row],[Cotação 2]])</f>
        <v>22.2</v>
      </c>
      <c r="I224" s="19">
        <f>IF(Tabela2[[#This Row],[Dividendo / Ação]]&gt;0,Tabela2[[#This Row],[Dividendo / Ação]]/Tabela2[[#This Row],[Cotação]],"")</f>
        <v>4.2129279279279286E-2</v>
      </c>
      <c r="J224" s="59">
        <f>SUMPRODUCT(N(Tabela1[Código]=Tabela2[[#This Row],[Ativo]]),Tabela1[Fechamento])</f>
        <v>22.2</v>
      </c>
      <c r="K224" s="59">
        <f>SUMPRODUCT(N(Tabela17[Código]=Tabela2[[#This Row],[Ativo]]),Tabela17[Fechamento])</f>
        <v>0</v>
      </c>
      <c r="L224" s="59">
        <f>SUMPRODUCT(N([Ativo]=Tabela2[[#This Row],[Ativo]]),N([Exercício]=Tabela2[[#This Row],[Exercício]]-1),[Lucro Líquido])</f>
        <v>1203117000</v>
      </c>
      <c r="M224" s="19">
        <f>IF(Tabela2[[#This Row],[Lucro Anterior]]=0,"",IF(Tabela2[[#This Row],[Lucro Líquido]]&gt;0,Tabela2[[#This Row],[Lucro Líquido]]/Tabela2[[#This Row],[Lucro Anterior]]-1,0))</f>
        <v>-0.41760596239600967</v>
      </c>
    </row>
    <row r="225" spans="1:13">
      <c r="A225" s="4" t="s">
        <v>34</v>
      </c>
      <c r="B225" s="3">
        <v>2011</v>
      </c>
      <c r="C225" s="5">
        <v>1203117000</v>
      </c>
      <c r="D225" s="60">
        <f>SUMPRODUCT(N(Tabela3[PAPEL]=Tabela2[[#This Row],[Ativo]]),Tabela3[Total Ações])</f>
        <v>273655375</v>
      </c>
      <c r="E225" s="63">
        <f>(Tabela2[[#This Row],[Lucro Líquido]])/Tabela2[[#This Row],[Total Ações]]</f>
        <v>4.396467637443628</v>
      </c>
      <c r="F225" s="63">
        <v>1.4683299999999999</v>
      </c>
      <c r="G225" s="22">
        <f>IF(AND(Tabela2[[#This Row],[Dividendo / Ação]]&gt;0,Tabela2[[#This Row],[Lucro por ação]]&gt;0),Tabela2[[#This Row],[Dividendo / Ação]]/Tabela2[[#This Row],[Lucro por ação]],"")</f>
        <v>0.33397948559761848</v>
      </c>
      <c r="H225" s="5">
        <f>MAX(Tabela2[[#This Row],[Cotação 1]],Tabela2[[#This Row],[Cotação 2]])</f>
        <v>22.2</v>
      </c>
      <c r="I225" s="18">
        <f>IF(Tabela2[[#This Row],[Dividendo / Ação]]&gt;0,Tabela2[[#This Row],[Dividendo / Ação]]/Tabela2[[#This Row],[Cotação]],"")</f>
        <v>6.6140990990990994E-2</v>
      </c>
      <c r="J225" s="58">
        <f>SUMPRODUCT(N(Tabela1[Código]=Tabela2[[#This Row],[Ativo]]),Tabela1[Fechamento])</f>
        <v>22.2</v>
      </c>
      <c r="K225" s="58">
        <f>SUMPRODUCT(N(Tabela17[Código]=Tabela2[[#This Row],[Ativo]]),Tabela17[Fechamento])</f>
        <v>0</v>
      </c>
      <c r="L225" s="58">
        <f>SUMPRODUCT(N([Ativo]=Tabela2[[#This Row],[Ativo]]),N([Exercício]=Tabela2[[#This Row],[Exercício]]-1),[Lucro Líquido])</f>
        <v>1041534000</v>
      </c>
      <c r="M225" s="18">
        <f>IF(Tabela2[[#This Row],[Lucro Anterior]]=0,"",IF(Tabela2[[#This Row],[Lucro Líquido]]&gt;0,Tabela2[[#This Row],[Lucro Líquido]]/Tabela2[[#This Row],[Lucro Anterior]]-1,0))</f>
        <v>0.15513943855889489</v>
      </c>
    </row>
    <row r="226" spans="1:13">
      <c r="A226" s="4" t="s">
        <v>34</v>
      </c>
      <c r="B226" s="3">
        <v>2010</v>
      </c>
      <c r="C226" s="5">
        <v>1041534000</v>
      </c>
      <c r="D226" s="60">
        <f>SUMPRODUCT(N(Tabela3[PAPEL]=Tabela2[[#This Row],[Ativo]]),Tabela3[Total Ações])</f>
        <v>273655375</v>
      </c>
      <c r="E226" s="63">
        <f>(Tabela2[[#This Row],[Lucro Líquido]])/Tabela2[[#This Row],[Total Ações]]</f>
        <v>3.8060060029882474</v>
      </c>
      <c r="F226" s="63">
        <v>0.98026999999999997</v>
      </c>
      <c r="G226" s="22">
        <f>IF(AND(Tabela2[[#This Row],[Dividendo / Ação]]&gt;0,Tabela2[[#This Row],[Lucro por ação]]&gt;0),Tabela2[[#This Row],[Dividendo / Ação]]/Tabela2[[#This Row],[Lucro por ação]],"")</f>
        <v>0.25755871095062666</v>
      </c>
      <c r="H226" s="5">
        <f>MAX(Tabela2[[#This Row],[Cotação 1]],Tabela2[[#This Row],[Cotação 2]])</f>
        <v>22.2</v>
      </c>
      <c r="I226" s="18">
        <f>IF(Tabela2[[#This Row],[Dividendo / Ação]]&gt;0,Tabela2[[#This Row],[Dividendo / Ação]]/Tabela2[[#This Row],[Cotação]],"")</f>
        <v>4.4156306306306306E-2</v>
      </c>
      <c r="J226" s="58">
        <f>SUMPRODUCT(N(Tabela1[Código]=Tabela2[[#This Row],[Ativo]]),Tabela1[Fechamento])</f>
        <v>22.2</v>
      </c>
      <c r="K226" s="58">
        <f>SUMPRODUCT(N(Tabela17[Código]=Tabela2[[#This Row],[Ativo]]),Tabela17[Fechamento])</f>
        <v>0</v>
      </c>
      <c r="L226" s="58">
        <f>SUMPRODUCT(N([Ativo]=Tabela2[[#This Row],[Ativo]]),N([Exercício]=Tabela2[[#This Row],[Exercício]]-1),[Lucro Líquido])</f>
        <v>900821000</v>
      </c>
      <c r="M226" s="18">
        <f>IF(Tabela2[[#This Row],[Lucro Anterior]]=0,"",IF(Tabela2[[#This Row],[Lucro Líquido]]&gt;0,Tabela2[[#This Row],[Lucro Líquido]]/Tabela2[[#This Row],[Lucro Anterior]]-1,0))</f>
        <v>0.15620528384662435</v>
      </c>
    </row>
    <row r="227" spans="1:13">
      <c r="A227" s="4" t="s">
        <v>34</v>
      </c>
      <c r="B227" s="3">
        <v>2009</v>
      </c>
      <c r="C227" s="5">
        <v>900821000</v>
      </c>
      <c r="D227" s="60">
        <f>SUMPRODUCT(N(Tabela3[PAPEL]=Tabela2[[#This Row],[Ativo]]),Tabela3[Total Ações])</f>
        <v>273655375</v>
      </c>
      <c r="E227" s="63">
        <f>(Tabela2[[#This Row],[Lucro Líquido]])/Tabela2[[#This Row],[Total Ações]]</f>
        <v>3.2918081729620696</v>
      </c>
      <c r="F227" s="63">
        <v>0.86965000000000003</v>
      </c>
      <c r="G227" s="22">
        <f>IF(AND(Tabela2[[#This Row],[Dividendo / Ação]]&gt;0,Tabela2[[#This Row],[Lucro por ação]]&gt;0),Tabela2[[#This Row],[Dividendo / Ação]]/Tabela2[[#This Row],[Lucro por ação]],"")</f>
        <v>0.26418611119051399</v>
      </c>
      <c r="H227" s="5">
        <f>MAX(Tabela2[[#This Row],[Cotação 1]],Tabela2[[#This Row],[Cotação 2]])</f>
        <v>22.2</v>
      </c>
      <c r="I227" s="18">
        <f>IF(Tabela2[[#This Row],[Dividendo / Ação]]&gt;0,Tabela2[[#This Row],[Dividendo / Ação]]/Tabela2[[#This Row],[Cotação]],"")</f>
        <v>3.9173423423423427E-2</v>
      </c>
      <c r="J227" s="58">
        <f>SUMPRODUCT(N(Tabela1[Código]=Tabela2[[#This Row],[Ativo]]),Tabela1[Fechamento])</f>
        <v>22.2</v>
      </c>
      <c r="K227" s="58">
        <f>SUMPRODUCT(N(Tabela17[Código]=Tabela2[[#This Row],[Ativo]]),Tabela17[Fechamento])</f>
        <v>0</v>
      </c>
      <c r="L227" s="58">
        <f>SUMPRODUCT(N([Ativo]=Tabela2[[#This Row],[Ativo]]),N([Exercício]=Tabela2[[#This Row],[Exercício]]-1),[Lucro Líquido])</f>
        <v>0</v>
      </c>
      <c r="M227" s="18" t="str">
        <f>IF(Tabela2[[#This Row],[Lucro Anterior]]=0,"",IF(Tabela2[[#This Row],[Lucro Líquido]]&gt;0,Tabela2[[#This Row],[Lucro Líquido]]/Tabela2[[#This Row],[Lucro Anterior]]-1,0))</f>
        <v/>
      </c>
    </row>
    <row r="228" spans="1:13">
      <c r="A228" s="4" t="s">
        <v>103</v>
      </c>
      <c r="B228" s="4">
        <v>2012</v>
      </c>
      <c r="C228" s="6">
        <v>700688167.34000003</v>
      </c>
      <c r="D228" s="8">
        <f>SUMPRODUCT(N(Tabela3[PAPEL]=Tabela2[[#This Row],[Ativo]]),Tabela3[Total Ações])</f>
        <v>273655375</v>
      </c>
      <c r="E228" s="64">
        <f>(Tabela2[[#This Row],[Lucro Líquido]])/Tabela2[[#This Row],[Total Ações]]</f>
        <v>2.5604765385660708</v>
      </c>
      <c r="F228" s="64">
        <v>2.5250699999999999</v>
      </c>
      <c r="G228" s="44">
        <f>IF(AND(Tabela2[[#This Row],[Dividendo / Ação]]&gt;0,Tabela2[[#This Row],[Lucro por ação]]&gt;0),Tabela2[[#This Row],[Dividendo / Ação]]/Tabela2[[#This Row],[Lucro por ação]],"")</f>
        <v>0.98617189494503266</v>
      </c>
      <c r="H228" s="6">
        <f>MAX(Tabela2[[#This Row],[Cotação 1]],Tabela2[[#This Row],[Cotação 2]])</f>
        <v>30</v>
      </c>
      <c r="I228" s="19">
        <f>IF(Tabela2[[#This Row],[Dividendo / Ação]]&gt;0,Tabela2[[#This Row],[Dividendo / Ação]]/Tabela2[[#This Row],[Cotação]],"")</f>
        <v>8.4168999999999994E-2</v>
      </c>
      <c r="J228" s="59">
        <f>SUMPRODUCT(N(Tabela1[Código]=Tabela2[[#This Row],[Ativo]]),Tabela1[Fechamento])</f>
        <v>30</v>
      </c>
      <c r="K228" s="59">
        <f>SUMPRODUCT(N(Tabela17[Código]=Tabela2[[#This Row],[Ativo]]),Tabela17[Fechamento])</f>
        <v>0</v>
      </c>
      <c r="L228" s="59">
        <f>SUMPRODUCT(N([Ativo]=Tabela2[[#This Row],[Ativo]]),N([Exercício]=Tabela2[[#This Row],[Exercício]]-1),[Lucro Líquido])</f>
        <v>1203117000</v>
      </c>
      <c r="M228" s="19">
        <f>IF(Tabela2[[#This Row],[Lucro Anterior]]=0,"",IF(Tabela2[[#This Row],[Lucro Líquido]]&gt;0,Tabela2[[#This Row],[Lucro Líquido]]/Tabela2[[#This Row],[Lucro Anterior]]-1,0))</f>
        <v>-0.41760596239600967</v>
      </c>
    </row>
    <row r="229" spans="1:13">
      <c r="A229" s="4" t="s">
        <v>103</v>
      </c>
      <c r="B229" s="3">
        <v>2011</v>
      </c>
      <c r="C229" s="5">
        <v>1203117000</v>
      </c>
      <c r="D229" s="60">
        <f>SUMPRODUCT(N(Tabela3[PAPEL]=Tabela2[[#This Row],[Ativo]]),Tabela3[Total Ações])</f>
        <v>273655375</v>
      </c>
      <c r="E229" s="63">
        <f>(Tabela2[[#This Row],[Lucro Líquido]])/Tabela2[[#This Row],[Total Ações]]</f>
        <v>4.396467637443628</v>
      </c>
      <c r="F229" s="63">
        <v>2.5250699999999999</v>
      </c>
      <c r="G229" s="22">
        <f>IF(AND(Tabela2[[#This Row],[Dividendo / Ação]]&gt;0,Tabela2[[#This Row],[Lucro por ação]]&gt;0),Tabela2[[#This Row],[Dividendo / Ação]]/Tabela2[[#This Row],[Lucro por ação]],"")</f>
        <v>0.57434063166861571</v>
      </c>
      <c r="H229" s="5">
        <f>MAX(Tabela2[[#This Row],[Cotação 1]],Tabela2[[#This Row],[Cotação 2]])</f>
        <v>30</v>
      </c>
      <c r="I229" s="18">
        <f>IF(Tabela2[[#This Row],[Dividendo / Ação]]&gt;0,Tabela2[[#This Row],[Dividendo / Ação]]/Tabela2[[#This Row],[Cotação]],"")</f>
        <v>8.4168999999999994E-2</v>
      </c>
      <c r="J229" s="58">
        <f>SUMPRODUCT(N(Tabela1[Código]=Tabela2[[#This Row],[Ativo]]),Tabela1[Fechamento])</f>
        <v>30</v>
      </c>
      <c r="K229" s="58">
        <f>SUMPRODUCT(N(Tabela17[Código]=Tabela2[[#This Row],[Ativo]]),Tabela17[Fechamento])</f>
        <v>0</v>
      </c>
      <c r="L229" s="58">
        <f>SUMPRODUCT(N([Ativo]=Tabela2[[#This Row],[Ativo]]),N([Exercício]=Tabela2[[#This Row],[Exercício]]-1),[Lucro Líquido])</f>
        <v>1041534000</v>
      </c>
      <c r="M229" s="18">
        <f>IF(Tabela2[[#This Row],[Lucro Anterior]]=0,"",IF(Tabela2[[#This Row],[Lucro Líquido]]&gt;0,Tabela2[[#This Row],[Lucro Líquido]]/Tabela2[[#This Row],[Lucro Anterior]]-1,0))</f>
        <v>0.15513943855889489</v>
      </c>
    </row>
    <row r="230" spans="1:13">
      <c r="A230" s="4" t="s">
        <v>103</v>
      </c>
      <c r="B230" s="3">
        <v>2010</v>
      </c>
      <c r="C230" s="5">
        <v>1041534000</v>
      </c>
      <c r="D230" s="60">
        <f>SUMPRODUCT(N(Tabela3[PAPEL]=Tabela2[[#This Row],[Ativo]]),Tabela3[Total Ações])</f>
        <v>273655375</v>
      </c>
      <c r="E230" s="63">
        <f>(Tabela2[[#This Row],[Lucro Líquido]])/Tabela2[[#This Row],[Total Ações]]</f>
        <v>3.8060060029882474</v>
      </c>
      <c r="F230" s="63">
        <v>2.5250699999999999</v>
      </c>
      <c r="G230" s="22">
        <f>IF(AND(Tabela2[[#This Row],[Dividendo / Ação]]&gt;0,Tabela2[[#This Row],[Lucro por ação]]&gt;0),Tabela2[[#This Row],[Dividendo / Ação]]/Tabela2[[#This Row],[Lucro por ação]],"")</f>
        <v>0.66344351480724584</v>
      </c>
      <c r="H230" s="5">
        <f>MAX(Tabela2[[#This Row],[Cotação 1]],Tabela2[[#This Row],[Cotação 2]])</f>
        <v>30</v>
      </c>
      <c r="I230" s="18">
        <f>IF(Tabela2[[#This Row],[Dividendo / Ação]]&gt;0,Tabela2[[#This Row],[Dividendo / Ação]]/Tabela2[[#This Row],[Cotação]],"")</f>
        <v>8.4168999999999994E-2</v>
      </c>
      <c r="J230" s="58">
        <f>SUMPRODUCT(N(Tabela1[Código]=Tabela2[[#This Row],[Ativo]]),Tabela1[Fechamento])</f>
        <v>30</v>
      </c>
      <c r="K230" s="58">
        <f>SUMPRODUCT(N(Tabela17[Código]=Tabela2[[#This Row],[Ativo]]),Tabela17[Fechamento])</f>
        <v>0</v>
      </c>
      <c r="L230" s="58">
        <f>SUMPRODUCT(N([Ativo]=Tabela2[[#This Row],[Ativo]]),N([Exercício]=Tabela2[[#This Row],[Exercício]]-1),[Lucro Líquido])</f>
        <v>900821000</v>
      </c>
      <c r="M230" s="18">
        <f>IF(Tabela2[[#This Row],[Lucro Anterior]]=0,"",IF(Tabela2[[#This Row],[Lucro Líquido]]&gt;0,Tabela2[[#This Row],[Lucro Líquido]]/Tabela2[[#This Row],[Lucro Anterior]]-1,0))</f>
        <v>0.15620528384662435</v>
      </c>
    </row>
    <row r="231" spans="1:13">
      <c r="A231" s="4" t="s">
        <v>103</v>
      </c>
      <c r="B231" s="3">
        <v>2009</v>
      </c>
      <c r="C231" s="5">
        <v>900821000</v>
      </c>
      <c r="D231" s="60">
        <f>SUMPRODUCT(N(Tabela3[PAPEL]=Tabela2[[#This Row],[Ativo]]),Tabela3[Total Ações])</f>
        <v>273655375</v>
      </c>
      <c r="E231" s="63">
        <f>(Tabela2[[#This Row],[Lucro Líquido]])/Tabela2[[#This Row],[Total Ações]]</f>
        <v>3.2918081729620696</v>
      </c>
      <c r="F231" s="63">
        <v>1.6297900000000001</v>
      </c>
      <c r="G231" s="22">
        <f>IF(AND(Tabela2[[#This Row],[Dividendo / Ação]]&gt;0,Tabela2[[#This Row],[Lucro por ação]]&gt;0),Tabela2[[#This Row],[Dividendo / Ação]]/Tabela2[[#This Row],[Lucro por ação]],"")</f>
        <v>0.49510479176356903</v>
      </c>
      <c r="H231" s="5">
        <f>MAX(Tabela2[[#This Row],[Cotação 1]],Tabela2[[#This Row],[Cotação 2]])</f>
        <v>30</v>
      </c>
      <c r="I231" s="18">
        <f>IF(Tabela2[[#This Row],[Dividendo / Ação]]&gt;0,Tabela2[[#This Row],[Dividendo / Ação]]/Tabela2[[#This Row],[Cotação]],"")</f>
        <v>5.4326333333333338E-2</v>
      </c>
      <c r="J231" s="58">
        <f>SUMPRODUCT(N(Tabela1[Código]=Tabela2[[#This Row],[Ativo]]),Tabela1[Fechamento])</f>
        <v>30</v>
      </c>
      <c r="K231" s="58">
        <f>SUMPRODUCT(N(Tabela17[Código]=Tabela2[[#This Row],[Ativo]]),Tabela17[Fechamento])</f>
        <v>0</v>
      </c>
      <c r="L231" s="58">
        <f>SUMPRODUCT(N([Ativo]=Tabela2[[#This Row],[Ativo]]),N([Exercício]=Tabela2[[#This Row],[Exercício]]-1),[Lucro Líquido])</f>
        <v>0</v>
      </c>
      <c r="M231" s="18" t="str">
        <f>IF(Tabela2[[#This Row],[Lucro Anterior]]=0,"",IF(Tabela2[[#This Row],[Lucro Líquido]]&gt;0,Tabela2[[#This Row],[Lucro Líquido]]/Tabela2[[#This Row],[Lucro Anterior]]-1,0))</f>
        <v/>
      </c>
    </row>
    <row r="232" spans="1:13">
      <c r="A232" s="4" t="s">
        <v>104</v>
      </c>
      <c r="B232" s="4">
        <v>2012</v>
      </c>
      <c r="C232" s="6">
        <v>700688167.34000003</v>
      </c>
      <c r="D232" s="8">
        <f>SUMPRODUCT(N(Tabela3[PAPEL]=Tabela2[[#This Row],[Ativo]]),Tabela3[Total Ações])</f>
        <v>273655375</v>
      </c>
      <c r="E232" s="64">
        <f>(Tabela2[[#This Row],[Lucro Líquido]])/Tabela2[[#This Row],[Total Ações]]</f>
        <v>2.5604765385660708</v>
      </c>
      <c r="F232" s="64">
        <v>1.0288900000000001</v>
      </c>
      <c r="G232" s="44">
        <f>IF(AND(Tabela2[[#This Row],[Dividendo / Ação]]&gt;0,Tabela2[[#This Row],[Lucro por ação]]&gt;0),Tabela2[[#This Row],[Dividendo / Ação]]/Tabela2[[#This Row],[Lucro por ação]],"")</f>
        <v>0.40183535545152993</v>
      </c>
      <c r="H232" s="6">
        <f>MAX(Tabela2[[#This Row],[Cotação 1]],Tabela2[[#This Row],[Cotação 2]])</f>
        <v>30.89</v>
      </c>
      <c r="I232" s="19">
        <f>IF(Tabela2[[#This Row],[Dividendo / Ação]]&gt;0,Tabela2[[#This Row],[Dividendo / Ação]]/Tabela2[[#This Row],[Cotação]],"")</f>
        <v>3.3308190352865009E-2</v>
      </c>
      <c r="J232" s="59">
        <f>SUMPRODUCT(N(Tabela1[Código]=Tabela2[[#This Row],[Ativo]]),Tabela1[Fechamento])</f>
        <v>30.89</v>
      </c>
      <c r="K232" s="59">
        <f>SUMPRODUCT(N(Tabela17[Código]=Tabela2[[#This Row],[Ativo]]),Tabela17[Fechamento])</f>
        <v>0</v>
      </c>
      <c r="L232" s="59">
        <f>SUMPRODUCT(N([Ativo]=Tabela2[[#This Row],[Ativo]]),N([Exercício]=Tabela2[[#This Row],[Exercício]]-1),[Lucro Líquido])</f>
        <v>1203117000</v>
      </c>
      <c r="M232" s="19">
        <f>IF(Tabela2[[#This Row],[Lucro Anterior]]=0,"",IF(Tabela2[[#This Row],[Lucro Líquido]]&gt;0,Tabela2[[#This Row],[Lucro Líquido]]/Tabela2[[#This Row],[Lucro Anterior]]-1,0))</f>
        <v>-0.41760596239600967</v>
      </c>
    </row>
    <row r="233" spans="1:13">
      <c r="A233" s="4" t="s">
        <v>104</v>
      </c>
      <c r="B233" s="4">
        <v>2011</v>
      </c>
      <c r="C233" s="5">
        <v>1203117000</v>
      </c>
      <c r="D233" s="8">
        <f>SUMPRODUCT(N(Tabela3[PAPEL]=Tabela2[[#This Row],[Ativo]]),Tabela3[Total Ações])</f>
        <v>273655375</v>
      </c>
      <c r="E233" s="64">
        <f>(Tabela2[[#This Row],[Lucro Líquido]])/Tabela2[[#This Row],[Total Ações]]</f>
        <v>4.396467637443628</v>
      </c>
      <c r="F233" s="64">
        <v>1.6154599999999999</v>
      </c>
      <c r="G233" s="44">
        <f>IF(AND(Tabela2[[#This Row],[Dividendo / Ação]]&gt;0,Tabela2[[#This Row],[Lucro por ação]]&gt;0),Tabela2[[#This Row],[Dividendo / Ação]]/Tabela2[[#This Row],[Lucro por ação]],"")</f>
        <v>0.3674449883905721</v>
      </c>
      <c r="H233" s="6">
        <f>MAX(Tabela2[[#This Row],[Cotação 1]],Tabela2[[#This Row],[Cotação 2]])</f>
        <v>30.89</v>
      </c>
      <c r="I233" s="19">
        <f>IF(Tabela2[[#This Row],[Dividendo / Ação]]&gt;0,Tabela2[[#This Row],[Dividendo / Ação]]/Tabela2[[#This Row],[Cotação]],"")</f>
        <v>5.229718355454839E-2</v>
      </c>
      <c r="J233" s="59">
        <f>SUMPRODUCT(N(Tabela1[Código]=Tabela2[[#This Row],[Ativo]]),Tabela1[Fechamento])</f>
        <v>30.89</v>
      </c>
      <c r="K233" s="59">
        <f>SUMPRODUCT(N(Tabela17[Código]=Tabela2[[#This Row],[Ativo]]),Tabela17[Fechamento])</f>
        <v>0</v>
      </c>
      <c r="L233" s="59">
        <f>SUMPRODUCT(N([Ativo]=Tabela2[[#This Row],[Ativo]]),N([Exercício]=Tabela2[[#This Row],[Exercício]]-1),[Lucro Líquido])</f>
        <v>1041534000</v>
      </c>
      <c r="M233" s="19">
        <f>IF(Tabela2[[#This Row],[Lucro Anterior]]=0,"",IF(Tabela2[[#This Row],[Lucro Líquido]]&gt;0,Tabela2[[#This Row],[Lucro Líquido]]/Tabela2[[#This Row],[Lucro Anterior]]-1,0))</f>
        <v>0.15513943855889489</v>
      </c>
    </row>
    <row r="234" spans="1:13">
      <c r="A234" s="4" t="s">
        <v>104</v>
      </c>
      <c r="B234" s="4">
        <v>2010</v>
      </c>
      <c r="C234" s="5">
        <v>1041534000</v>
      </c>
      <c r="D234" s="8">
        <f>SUMPRODUCT(N(Tabela3[PAPEL]=Tabela2[[#This Row],[Ativo]]),Tabela3[Total Ações])</f>
        <v>273655375</v>
      </c>
      <c r="E234" s="64">
        <f>(Tabela2[[#This Row],[Lucro Líquido]])/Tabela2[[#This Row],[Total Ações]]</f>
        <v>3.8060060029882474</v>
      </c>
      <c r="F234" s="64">
        <v>1.0785400000000001</v>
      </c>
      <c r="G234" s="44">
        <f>IF(AND(Tabela2[[#This Row],[Dividendo / Ação]]&gt;0,Tabela2[[#This Row],[Lucro por ação]]&gt;0),Tabela2[[#This Row],[Dividendo / Ação]]/Tabela2[[#This Row],[Lucro por ação]],"")</f>
        <v>0.28337842850305417</v>
      </c>
      <c r="H234" s="6">
        <f>MAX(Tabela2[[#This Row],[Cotação 1]],Tabela2[[#This Row],[Cotação 2]])</f>
        <v>30.89</v>
      </c>
      <c r="I234" s="19">
        <f>IF(Tabela2[[#This Row],[Dividendo / Ação]]&gt;0,Tabela2[[#This Row],[Dividendo / Ação]]/Tabela2[[#This Row],[Cotação]],"")</f>
        <v>3.4915506636451925E-2</v>
      </c>
      <c r="J234" s="59">
        <f>SUMPRODUCT(N(Tabela1[Código]=Tabela2[[#This Row],[Ativo]]),Tabela1[Fechamento])</f>
        <v>30.89</v>
      </c>
      <c r="K234" s="59">
        <f>SUMPRODUCT(N(Tabela17[Código]=Tabela2[[#This Row],[Ativo]]),Tabela17[Fechamento])</f>
        <v>0</v>
      </c>
      <c r="L234" s="59">
        <f>SUMPRODUCT(N([Ativo]=Tabela2[[#This Row],[Ativo]]),N([Exercício]=Tabela2[[#This Row],[Exercício]]-1),[Lucro Líquido])</f>
        <v>900821000</v>
      </c>
      <c r="M234" s="19">
        <f>IF(Tabela2[[#This Row],[Lucro Anterior]]=0,"",IF(Tabela2[[#This Row],[Lucro Líquido]]&gt;0,Tabela2[[#This Row],[Lucro Líquido]]/Tabela2[[#This Row],[Lucro Anterior]]-1,0))</f>
        <v>0.15620528384662435</v>
      </c>
    </row>
    <row r="235" spans="1:13">
      <c r="A235" s="4" t="s">
        <v>104</v>
      </c>
      <c r="B235" s="4">
        <v>2009</v>
      </c>
      <c r="C235" s="5">
        <v>900821000</v>
      </c>
      <c r="D235" s="8">
        <f>SUMPRODUCT(N(Tabela3[PAPEL]=Tabela2[[#This Row],[Ativo]]),Tabela3[Total Ações])</f>
        <v>273655375</v>
      </c>
      <c r="E235" s="64">
        <f>(Tabela2[[#This Row],[Lucro Líquido]])/Tabela2[[#This Row],[Total Ações]]</f>
        <v>3.2918081729620696</v>
      </c>
      <c r="F235" s="64">
        <v>0.95679000000000003</v>
      </c>
      <c r="G235" s="44">
        <f>IF(AND(Tabela2[[#This Row],[Dividendo / Ação]]&gt;0,Tabela2[[#This Row],[Lucro por ação]]&gt;0),Tabela2[[#This Row],[Dividendo / Ação]]/Tabela2[[#This Row],[Lucro por ação]],"")</f>
        <v>0.29065788458112102</v>
      </c>
      <c r="H235" s="6">
        <f>MAX(Tabela2[[#This Row],[Cotação 1]],Tabela2[[#This Row],[Cotação 2]])</f>
        <v>30.89</v>
      </c>
      <c r="I235" s="19">
        <f>IF(Tabela2[[#This Row],[Dividendo / Ação]]&gt;0,Tabela2[[#This Row],[Dividendo / Ação]]/Tabela2[[#This Row],[Cotação]],"")</f>
        <v>3.0974101651019749E-2</v>
      </c>
      <c r="J235" s="59">
        <f>SUMPRODUCT(N(Tabela1[Código]=Tabela2[[#This Row],[Ativo]]),Tabela1[Fechamento])</f>
        <v>30.89</v>
      </c>
      <c r="K235" s="59">
        <f>SUMPRODUCT(N(Tabela17[Código]=Tabela2[[#This Row],[Ativo]]),Tabela17[Fechamento])</f>
        <v>0</v>
      </c>
      <c r="L235" s="59">
        <f>SUMPRODUCT(N([Ativo]=Tabela2[[#This Row],[Ativo]]),N([Exercício]=Tabela2[[#This Row],[Exercício]]-1),[Lucro Líquido])</f>
        <v>0</v>
      </c>
      <c r="M235" s="19" t="str">
        <f>IF(Tabela2[[#This Row],[Lucro Anterior]]=0,"",IF(Tabela2[[#This Row],[Lucro Líquido]]&gt;0,Tabela2[[#This Row],[Lucro Líquido]]/Tabela2[[#This Row],[Lucro Anterior]]-1,0))</f>
        <v/>
      </c>
    </row>
    <row r="236" spans="1:13">
      <c r="A236" s="4" t="s">
        <v>425</v>
      </c>
      <c r="B236" s="4">
        <v>2012</v>
      </c>
      <c r="C236" s="6">
        <v>94365000</v>
      </c>
      <c r="D236" s="74">
        <f>SUMPRODUCT(N(Tabela3[PAPEL]=Tabela2[[#This Row],[Ativo]]),Tabela3[Total Ações])</f>
        <v>105765903</v>
      </c>
      <c r="E236" s="64">
        <f>(Tabela2[[#This Row],[Lucro Líquido]])/Tabela2[[#This Row],[Total Ações]]</f>
        <v>0.8922062528979684</v>
      </c>
      <c r="F236" s="64">
        <v>0.23760000000000001</v>
      </c>
      <c r="G236" s="43">
        <f>IF(AND(Tabela2[[#This Row],[Dividendo / Ação]]&gt;0,Tabela2[[#This Row],[Lucro por ação]]&gt;0),Tabela2[[#This Row],[Dividendo / Ação]]/Tabela2[[#This Row],[Lucro por ação]],"")</f>
        <v>0.2663061363090129</v>
      </c>
      <c r="H236" s="59">
        <f>MAX(Tabela2[[#This Row],[Cotação 1]],Tabela2[[#This Row],[Cotação 2]])</f>
        <v>3.85</v>
      </c>
      <c r="I236" s="44">
        <f>IF(Tabela2[[#This Row],[Dividendo / Ação]]&gt;0,Tabela2[[#This Row],[Dividendo / Ação]]/Tabela2[[#This Row],[Cotação]],"")</f>
        <v>6.1714285714285715E-2</v>
      </c>
      <c r="J236" s="17">
        <f>SUMPRODUCT(N(Tabela1[Código]=Tabela2[[#This Row],[Ativo]]),Tabela1[Fechamento])</f>
        <v>0</v>
      </c>
      <c r="K236" s="17">
        <f>SUMPRODUCT(N(Tabela17[Código]=Tabela2[[#This Row],[Ativo]]),Tabela17[Fechamento])</f>
        <v>3.85</v>
      </c>
      <c r="L236" s="17">
        <f>SUMPRODUCT(N([Ativo]=Tabela2[[#This Row],[Ativo]]),N([Exercício]=Tabela2[[#This Row],[Exercício]]-1),[Lucro Líquido])</f>
        <v>76912864.659999996</v>
      </c>
      <c r="M236" s="19">
        <f>IF(Tabela2[[#This Row],[Lucro Anterior]]=0,"",IF(Tabela2[[#This Row],[Lucro Líquido]]&gt;0,Tabela2[[#This Row],[Lucro Líquido]]/Tabela2[[#This Row],[Lucro Anterior]]-1,0))</f>
        <v>0.22690788357901748</v>
      </c>
    </row>
    <row r="237" spans="1:13">
      <c r="A237" s="4" t="s">
        <v>425</v>
      </c>
      <c r="B237" s="3">
        <v>2011</v>
      </c>
      <c r="C237" s="5">
        <v>76912864.659999996</v>
      </c>
      <c r="D237" s="65">
        <f>SUMPRODUCT(N(Tabela3[PAPEL]=Tabela2[[#This Row],[Ativo]]),Tabela3[Total Ações])</f>
        <v>105765903</v>
      </c>
      <c r="E237" s="63">
        <f>(Tabela2[[#This Row],[Lucro Líquido]])/Tabela2[[#This Row],[Total Ações]]</f>
        <v>0.72719905450057942</v>
      </c>
      <c r="F237" s="63">
        <v>0.17430000000000001</v>
      </c>
      <c r="G237" s="71">
        <f>IF(AND(Tabela2[[#This Row],[Dividendo / Ação]]&gt;0,Tabela2[[#This Row],[Lucro por ação]]&gt;0),Tabela2[[#This Row],[Dividendo / Ação]]/Tabela2[[#This Row],[Lucro por ação]],"")</f>
        <v>0.23968678028563242</v>
      </c>
      <c r="H237" s="58">
        <f>MAX(Tabela2[[#This Row],[Cotação 1]],Tabela2[[#This Row],[Cotação 2]])</f>
        <v>3.85</v>
      </c>
      <c r="I237" s="22">
        <f>IF(Tabela2[[#This Row],[Dividendo / Ação]]&gt;0,Tabela2[[#This Row],[Dividendo / Ação]]/Tabela2[[#This Row],[Cotação]],"")</f>
        <v>4.5272727272727277E-2</v>
      </c>
      <c r="J237" s="7">
        <f>SUMPRODUCT(N(Tabela1[Código]=Tabela2[[#This Row],[Ativo]]),Tabela1[Fechamento])</f>
        <v>0</v>
      </c>
      <c r="K237" s="7">
        <f>SUMPRODUCT(N(Tabela17[Código]=Tabela2[[#This Row],[Ativo]]),Tabela17[Fechamento])</f>
        <v>3.85</v>
      </c>
      <c r="L237" s="7">
        <f>SUMPRODUCT(N([Ativo]=Tabela2[[#This Row],[Ativo]]),N([Exercício]=Tabela2[[#This Row],[Exercício]]-1),[Lucro Líquido])</f>
        <v>61174998.299999997</v>
      </c>
      <c r="M237" s="18">
        <f>IF(Tabela2[[#This Row],[Lucro Anterior]]=0,"",IF(Tabela2[[#This Row],[Lucro Líquido]]&gt;0,Tabela2[[#This Row],[Lucro Líquido]]/Tabela2[[#This Row],[Lucro Anterior]]-1,0))</f>
        <v>0.25725977600885352</v>
      </c>
    </row>
    <row r="238" spans="1:13">
      <c r="A238" s="4" t="s">
        <v>425</v>
      </c>
      <c r="B238" s="3">
        <v>2010</v>
      </c>
      <c r="C238" s="5">
        <v>61174998.299999997</v>
      </c>
      <c r="D238" s="65">
        <f>SUMPRODUCT(N(Tabela3[PAPEL]=Tabela2[[#This Row],[Ativo]]),Tabela3[Total Ações])</f>
        <v>105765903</v>
      </c>
      <c r="E238" s="63">
        <f>(Tabela2[[#This Row],[Lucro Líquido]])/Tabela2[[#This Row],[Total Ações]]</f>
        <v>0.57840000004538317</v>
      </c>
      <c r="F238" s="63">
        <v>0.1163</v>
      </c>
      <c r="G238" s="71">
        <f>IF(AND(Tabela2[[#This Row],[Dividendo / Ação]]&gt;0,Tabela2[[#This Row],[Lucro por ação]]&gt;0),Tabela2[[#This Row],[Dividendo / Ação]]/Tabela2[[#This Row],[Lucro por ação]],"")</f>
        <v>0.20107192252917483</v>
      </c>
      <c r="H238" s="58">
        <f>MAX(Tabela2[[#This Row],[Cotação 1]],Tabela2[[#This Row],[Cotação 2]])</f>
        <v>3.85</v>
      </c>
      <c r="I238" s="22">
        <f>IF(Tabela2[[#This Row],[Dividendo / Ação]]&gt;0,Tabela2[[#This Row],[Dividendo / Ação]]/Tabela2[[#This Row],[Cotação]],"")</f>
        <v>3.0207792207792208E-2</v>
      </c>
      <c r="J238" s="7">
        <f>SUMPRODUCT(N(Tabela1[Código]=Tabela2[[#This Row],[Ativo]]),Tabela1[Fechamento])</f>
        <v>0</v>
      </c>
      <c r="K238" s="7">
        <f>SUMPRODUCT(N(Tabela17[Código]=Tabela2[[#This Row],[Ativo]]),Tabela17[Fechamento])</f>
        <v>3.85</v>
      </c>
      <c r="L238" s="7">
        <f>SUMPRODUCT(N([Ativo]=Tabela2[[#This Row],[Ativo]]),N([Exercício]=Tabela2[[#This Row],[Exercício]]-1),[Lucro Líquido])</f>
        <v>67848826.769999996</v>
      </c>
      <c r="M238" s="18">
        <f>IF(Tabela2[[#This Row],[Lucro Anterior]]=0,"",IF(Tabela2[[#This Row],[Lucro Líquido]]&gt;0,Tabela2[[#This Row],[Lucro Líquido]]/Tabela2[[#This Row],[Lucro Anterior]]-1,0))</f>
        <v>-9.8363211093148828E-2</v>
      </c>
    </row>
    <row r="239" spans="1:13">
      <c r="A239" s="4" t="s">
        <v>425</v>
      </c>
      <c r="B239" s="4">
        <v>2009</v>
      </c>
      <c r="C239" s="6">
        <v>67848826.769999996</v>
      </c>
      <c r="D239" s="74">
        <f>SUMPRODUCT(N(Tabela3[PAPEL]=Tabela2[[#This Row],[Ativo]]),Tabela3[Total Ações])</f>
        <v>105765903</v>
      </c>
      <c r="E239" s="64">
        <f>(Tabela2[[#This Row],[Lucro Líquido]])/Tabela2[[#This Row],[Total Ações]]</f>
        <v>0.64149999995745322</v>
      </c>
      <c r="F239" s="64">
        <v>0.16420000000000001</v>
      </c>
      <c r="G239" s="43">
        <f>IF(AND(Tabela2[[#This Row],[Dividendo / Ação]]&gt;0,Tabela2[[#This Row],[Lucro por ação]]&gt;0),Tabela2[[#This Row],[Dividendo / Ação]]/Tabela2[[#This Row],[Lucro por ação]],"")</f>
        <v>0.25596258770208946</v>
      </c>
      <c r="H239" s="59">
        <f>MAX(Tabela2[[#This Row],[Cotação 1]],Tabela2[[#This Row],[Cotação 2]])</f>
        <v>3.85</v>
      </c>
      <c r="I239" s="44">
        <f>IF(Tabela2[[#This Row],[Dividendo / Ação]]&gt;0,Tabela2[[#This Row],[Dividendo / Ação]]/Tabela2[[#This Row],[Cotação]],"")</f>
        <v>4.2649350649350652E-2</v>
      </c>
      <c r="J239" s="17">
        <f>SUMPRODUCT(N(Tabela1[Código]=Tabela2[[#This Row],[Ativo]]),Tabela1[Fechamento])</f>
        <v>0</v>
      </c>
      <c r="K239" s="17">
        <f>SUMPRODUCT(N(Tabela17[Código]=Tabela2[[#This Row],[Ativo]]),Tabela17[Fechamento])</f>
        <v>3.85</v>
      </c>
      <c r="L239" s="17">
        <f>SUMPRODUCT(N([Ativo]=Tabela2[[#This Row],[Ativo]]),N([Exercício]=Tabela2[[#This Row],[Exercício]]-1),[Lucro Líquido])</f>
        <v>0</v>
      </c>
      <c r="M239" s="19" t="str">
        <f>IF(Tabela2[[#This Row],[Lucro Anterior]]=0,"",IF(Tabela2[[#This Row],[Lucro Líquido]]&gt;0,Tabela2[[#This Row],[Lucro Líquido]]/Tabela2[[#This Row],[Lucro Anterior]]-1,0))</f>
        <v/>
      </c>
    </row>
    <row r="240" spans="1:13">
      <c r="A240" s="4" t="s">
        <v>426</v>
      </c>
      <c r="B240" s="4">
        <v>2012</v>
      </c>
      <c r="C240" s="6">
        <v>94365000</v>
      </c>
      <c r="D240" s="74">
        <f>SUMPRODUCT(N(Tabela3[PAPEL]=Tabela2[[#This Row],[Ativo]]),Tabela3[Total Ações])</f>
        <v>105765903</v>
      </c>
      <c r="E240" s="64">
        <f>(Tabela2[[#This Row],[Lucro Líquido]])/Tabela2[[#This Row],[Total Ações]]</f>
        <v>0.8922062528979684</v>
      </c>
      <c r="F240" s="64">
        <v>0.26429999999999998</v>
      </c>
      <c r="G240" s="43">
        <f>IF(AND(Tabela2[[#This Row],[Dividendo / Ação]]&gt;0,Tabela2[[#This Row],[Lucro por ação]]&gt;0),Tabela2[[#This Row],[Dividendo / Ação]]/Tabela2[[#This Row],[Lucro por ação]],"")</f>
        <v>0.29623195213161657</v>
      </c>
      <c r="H240" s="59">
        <f>MAX(Tabela2[[#This Row],[Cotação 1]],Tabela2[[#This Row],[Cotação 2]])</f>
        <v>4.01</v>
      </c>
      <c r="I240" s="44">
        <f>IF(Tabela2[[#This Row],[Dividendo / Ação]]&gt;0,Tabela2[[#This Row],[Dividendo / Ação]]/Tabela2[[#This Row],[Cotação]],"")</f>
        <v>6.5910224438902737E-2</v>
      </c>
      <c r="J240" s="17">
        <f>SUMPRODUCT(N(Tabela1[Código]=Tabela2[[#This Row],[Ativo]]),Tabela1[Fechamento])</f>
        <v>0</v>
      </c>
      <c r="K240" s="17">
        <f>SUMPRODUCT(N(Tabela17[Código]=Tabela2[[#This Row],[Ativo]]),Tabela17[Fechamento])</f>
        <v>4.01</v>
      </c>
      <c r="L240" s="17">
        <f>SUMPRODUCT(N([Ativo]=Tabela2[[#This Row],[Ativo]]),N([Exercício]=Tabela2[[#This Row],[Exercício]]-1),[Lucro Líquido])</f>
        <v>76912864.659999996</v>
      </c>
      <c r="M240" s="19">
        <f>IF(Tabela2[[#This Row],[Lucro Anterior]]=0,"",IF(Tabela2[[#This Row],[Lucro Líquido]]&gt;0,Tabela2[[#This Row],[Lucro Líquido]]/Tabela2[[#This Row],[Lucro Anterior]]-1,0))</f>
        <v>0.22690788357901748</v>
      </c>
    </row>
    <row r="241" spans="1:13">
      <c r="A241" s="4" t="s">
        <v>426</v>
      </c>
      <c r="B241" s="4">
        <v>2011</v>
      </c>
      <c r="C241" s="5">
        <v>76912864.659999996</v>
      </c>
      <c r="D241" s="74">
        <f>SUMPRODUCT(N(Tabela3[PAPEL]=Tabela2[[#This Row],[Ativo]]),Tabela3[Total Ações])</f>
        <v>105765903</v>
      </c>
      <c r="E241" s="64">
        <f>(Tabela2[[#This Row],[Lucro Líquido]])/Tabela2[[#This Row],[Total Ações]]</f>
        <v>0.72719905450057942</v>
      </c>
      <c r="F241" s="64">
        <v>0.2402</v>
      </c>
      <c r="G241" s="43">
        <f>IF(AND(Tabela2[[#This Row],[Dividendo / Ação]]&gt;0,Tabela2[[#This Row],[Lucro por ação]]&gt;0),Tabela2[[#This Row],[Dividendo / Ação]]/Tabela2[[#This Row],[Lucro por ação]],"")</f>
        <v>0.33030846026740618</v>
      </c>
      <c r="H241" s="59">
        <f>MAX(Tabela2[[#This Row],[Cotação 1]],Tabela2[[#This Row],[Cotação 2]])</f>
        <v>4.01</v>
      </c>
      <c r="I241" s="44">
        <f>IF(Tabela2[[#This Row],[Dividendo / Ação]]&gt;0,Tabela2[[#This Row],[Dividendo / Ação]]/Tabela2[[#This Row],[Cotação]],"")</f>
        <v>5.9900249376558606E-2</v>
      </c>
      <c r="J241" s="17">
        <f>SUMPRODUCT(N(Tabela1[Código]=Tabela2[[#This Row],[Ativo]]),Tabela1[Fechamento])</f>
        <v>0</v>
      </c>
      <c r="K241" s="17">
        <f>SUMPRODUCT(N(Tabela17[Código]=Tabela2[[#This Row],[Ativo]]),Tabela17[Fechamento])</f>
        <v>4.01</v>
      </c>
      <c r="L241" s="17">
        <f>SUMPRODUCT(N([Ativo]=Tabela2[[#This Row],[Ativo]]),N([Exercício]=Tabela2[[#This Row],[Exercício]]-1),[Lucro Líquido])</f>
        <v>61174998.299999997</v>
      </c>
      <c r="M241" s="19">
        <f>IF(Tabela2[[#This Row],[Lucro Anterior]]=0,"",IF(Tabela2[[#This Row],[Lucro Líquido]]&gt;0,Tabela2[[#This Row],[Lucro Líquido]]/Tabela2[[#This Row],[Lucro Anterior]]-1,0))</f>
        <v>0.25725977600885352</v>
      </c>
    </row>
    <row r="242" spans="1:13">
      <c r="A242" s="4" t="s">
        <v>426</v>
      </c>
      <c r="B242" s="4">
        <v>2010</v>
      </c>
      <c r="C242" s="5">
        <v>61174998.299999997</v>
      </c>
      <c r="D242" s="74">
        <f>SUMPRODUCT(N(Tabela3[PAPEL]=Tabela2[[#This Row],[Ativo]]),Tabela3[Total Ações])</f>
        <v>105765903</v>
      </c>
      <c r="E242" s="64">
        <f>(Tabela2[[#This Row],[Lucro Líquido]])/Tabela2[[#This Row],[Total Ações]]</f>
        <v>0.57840000004538317</v>
      </c>
      <c r="F242" s="64">
        <v>0.2198</v>
      </c>
      <c r="G242" s="43">
        <f>IF(AND(Tabela2[[#This Row],[Dividendo / Ação]]&gt;0,Tabela2[[#This Row],[Lucro por ação]]&gt;0),Tabela2[[#This Row],[Dividendo / Ação]]/Tabela2[[#This Row],[Lucro por ação]],"")</f>
        <v>0.38001383122882737</v>
      </c>
      <c r="H242" s="59">
        <f>MAX(Tabela2[[#This Row],[Cotação 1]],Tabela2[[#This Row],[Cotação 2]])</f>
        <v>4.01</v>
      </c>
      <c r="I242" s="44">
        <f>IF(Tabela2[[#This Row],[Dividendo / Ação]]&gt;0,Tabela2[[#This Row],[Dividendo / Ação]]/Tabela2[[#This Row],[Cotação]],"")</f>
        <v>5.4812967581047381E-2</v>
      </c>
      <c r="J242" s="17">
        <f>SUMPRODUCT(N(Tabela1[Código]=Tabela2[[#This Row],[Ativo]]),Tabela1[Fechamento])</f>
        <v>0</v>
      </c>
      <c r="K242" s="17">
        <f>SUMPRODUCT(N(Tabela17[Código]=Tabela2[[#This Row],[Ativo]]),Tabela17[Fechamento])</f>
        <v>4.01</v>
      </c>
      <c r="L242" s="17">
        <f>SUMPRODUCT(N([Ativo]=Tabela2[[#This Row],[Ativo]]),N([Exercício]=Tabela2[[#This Row],[Exercício]]-1),[Lucro Líquido])</f>
        <v>67848826.769999996</v>
      </c>
      <c r="M242" s="19">
        <f>IF(Tabela2[[#This Row],[Lucro Anterior]]=0,"",IF(Tabela2[[#This Row],[Lucro Líquido]]&gt;0,Tabela2[[#This Row],[Lucro Líquido]]/Tabela2[[#This Row],[Lucro Anterior]]-1,0))</f>
        <v>-9.8363211093148828E-2</v>
      </c>
    </row>
    <row r="243" spans="1:13">
      <c r="A243" s="4" t="s">
        <v>426</v>
      </c>
      <c r="B243" s="4">
        <v>2009</v>
      </c>
      <c r="C243" s="6">
        <v>67848826.769999996</v>
      </c>
      <c r="D243" s="74">
        <f>SUMPRODUCT(N(Tabela3[PAPEL]=Tabela2[[#This Row],[Ativo]]),Tabela3[Total Ações])</f>
        <v>105765903</v>
      </c>
      <c r="E243" s="64">
        <f>(Tabela2[[#This Row],[Lucro Líquido]])/Tabela2[[#This Row],[Total Ações]]</f>
        <v>0.64149999995745322</v>
      </c>
      <c r="F243" s="64">
        <v>0.19839999999999999</v>
      </c>
      <c r="G243" s="43">
        <f>IF(AND(Tabela2[[#This Row],[Dividendo / Ação]]&gt;0,Tabela2[[#This Row],[Lucro por ação]]&gt;0),Tabela2[[#This Row],[Dividendo / Ação]]/Tabela2[[#This Row],[Lucro por ação]],"")</f>
        <v>0.30927513641957699</v>
      </c>
      <c r="H243" s="59">
        <f>MAX(Tabela2[[#This Row],[Cotação 1]],Tabela2[[#This Row],[Cotação 2]])</f>
        <v>4.01</v>
      </c>
      <c r="I243" s="44">
        <f>IF(Tabela2[[#This Row],[Dividendo / Ação]]&gt;0,Tabela2[[#This Row],[Dividendo / Ação]]/Tabela2[[#This Row],[Cotação]],"")</f>
        <v>4.947630922693267E-2</v>
      </c>
      <c r="J243" s="17">
        <f>SUMPRODUCT(N(Tabela1[Código]=Tabela2[[#This Row],[Ativo]]),Tabela1[Fechamento])</f>
        <v>0</v>
      </c>
      <c r="K243" s="17">
        <f>SUMPRODUCT(N(Tabela17[Código]=Tabela2[[#This Row],[Ativo]]),Tabela17[Fechamento])</f>
        <v>4.01</v>
      </c>
      <c r="L243" s="17">
        <f>SUMPRODUCT(N([Ativo]=Tabela2[[#This Row],[Ativo]]),N([Exercício]=Tabela2[[#This Row],[Exercício]]-1),[Lucro Líquido])</f>
        <v>0</v>
      </c>
      <c r="M243" s="19" t="str">
        <f>IF(Tabela2[[#This Row],[Lucro Anterior]]=0,"",IF(Tabela2[[#This Row],[Lucro Líquido]]&gt;0,Tabela2[[#This Row],[Lucro Líquido]]/Tabela2[[#This Row],[Lucro Anterior]]-1,0))</f>
        <v/>
      </c>
    </row>
    <row r="244" spans="1:13">
      <c r="A244" s="14" t="s">
        <v>280</v>
      </c>
      <c r="B244" s="3">
        <v>2012</v>
      </c>
      <c r="C244" s="5">
        <v>13717907.74</v>
      </c>
      <c r="D244" s="60">
        <f>SUMPRODUCT(N(Tabela3[PAPEL]=Tabela2[[#This Row],[Ativo]]),Tabela3[Total Ações])</f>
        <v>7680000</v>
      </c>
      <c r="E244" s="63">
        <f>(Tabela2[[#This Row],[Lucro Líquido]])/Tabela2[[#This Row],[Total Ações]]</f>
        <v>1.7861859036458334</v>
      </c>
      <c r="F244" s="63">
        <v>1.24</v>
      </c>
      <c r="G244" s="22">
        <f>IF(AND(Tabela2[[#This Row],[Dividendo / Ação]]&gt;0,Tabela2[[#This Row],[Lucro por ação]]&gt;0),Tabela2[[#This Row],[Dividendo / Ação]]/Tabela2[[#This Row],[Lucro por ação]],"")</f>
        <v>0.69421665318766745</v>
      </c>
      <c r="H244" s="49">
        <f>MAX(Tabela2[[#This Row],[Cotação 1]],Tabela2[[#This Row],[Cotação 2]])</f>
        <v>30.01</v>
      </c>
      <c r="I244" s="18">
        <f>IF(Tabela2[[#This Row],[Dividendo / Ação]]&gt;0,Tabela2[[#This Row],[Dividendo / Ação]]/Tabela2[[#This Row],[Cotação]],"")</f>
        <v>4.1319560146617793E-2</v>
      </c>
      <c r="J244" s="7">
        <f>SUMPRODUCT(N(Tabela1[Código]=Tabela2[[#This Row],[Ativo]]),Tabela1[Fechamento])</f>
        <v>0</v>
      </c>
      <c r="K244" s="7">
        <f>SUMPRODUCT(N(Tabela17[Código]=Tabela2[[#This Row],[Ativo]]),Tabela17[Fechamento])</f>
        <v>30.01</v>
      </c>
      <c r="L244" s="7">
        <f>SUMPRODUCT(N([Ativo]=Tabela2[[#This Row],[Ativo]]),N([Exercício]=Tabela2[[#This Row],[Exercício]]-1),[Lucro Líquido])</f>
        <v>28253000</v>
      </c>
      <c r="M244" s="18">
        <f>IF(Tabela2[[#This Row],[Lucro Anterior]]=0,"",IF(Tabela2[[#This Row],[Lucro Líquido]]&gt;0,Tabela2[[#This Row],[Lucro Líquido]]/Tabela2[[#This Row],[Lucro Anterior]]-1,0))</f>
        <v>-0.51446190705411809</v>
      </c>
    </row>
    <row r="245" spans="1:13">
      <c r="A245" s="14" t="s">
        <v>280</v>
      </c>
      <c r="B245" s="3">
        <v>2011</v>
      </c>
      <c r="C245" s="5">
        <v>28253000</v>
      </c>
      <c r="D245" s="60">
        <f>SUMPRODUCT(N(Tabela3[PAPEL]=Tabela2[[#This Row],[Ativo]]),Tabela3[Total Ações])</f>
        <v>7680000</v>
      </c>
      <c r="E245" s="63">
        <f>(Tabela2[[#This Row],[Lucro Líquido]])/Tabela2[[#This Row],[Total Ações]]</f>
        <v>3.6787760416666666</v>
      </c>
      <c r="F245" s="63">
        <v>2.48</v>
      </c>
      <c r="G245" s="22">
        <f>IF(AND(Tabela2[[#This Row],[Dividendo / Ação]]&gt;0,Tabela2[[#This Row],[Lucro por ação]]&gt;0),Tabela2[[#This Row],[Dividendo / Ação]]/Tabela2[[#This Row],[Lucro por ação]],"")</f>
        <v>0.67413725976002548</v>
      </c>
      <c r="H245" s="49">
        <f>MAX(Tabela2[[#This Row],[Cotação 1]],Tabela2[[#This Row],[Cotação 2]])</f>
        <v>30.01</v>
      </c>
      <c r="I245" s="18">
        <f>IF(Tabela2[[#This Row],[Dividendo / Ação]]&gt;0,Tabela2[[#This Row],[Dividendo / Ação]]/Tabela2[[#This Row],[Cotação]],"")</f>
        <v>8.2639120293235585E-2</v>
      </c>
      <c r="J245" s="7">
        <f>SUMPRODUCT(N(Tabela1[Código]=Tabela2[[#This Row],[Ativo]]),Tabela1[Fechamento])</f>
        <v>0</v>
      </c>
      <c r="K245" s="7">
        <f>SUMPRODUCT(N(Tabela17[Código]=Tabela2[[#This Row],[Ativo]]),Tabela17[Fechamento])</f>
        <v>30.01</v>
      </c>
      <c r="L245" s="7">
        <f>SUMPRODUCT(N([Ativo]=Tabela2[[#This Row],[Ativo]]),N([Exercício]=Tabela2[[#This Row],[Exercício]]-1),[Lucro Líquido])</f>
        <v>23457000</v>
      </c>
      <c r="M245" s="18">
        <f>IF(Tabela2[[#This Row],[Lucro Anterior]]=0,"",IF(Tabela2[[#This Row],[Lucro Líquido]]&gt;0,Tabela2[[#This Row],[Lucro Líquido]]/Tabela2[[#This Row],[Lucro Anterior]]-1,0))</f>
        <v>0.20445922325958144</v>
      </c>
    </row>
    <row r="246" spans="1:13">
      <c r="A246" s="14" t="s">
        <v>280</v>
      </c>
      <c r="B246" s="3">
        <v>2010</v>
      </c>
      <c r="C246" s="5">
        <v>23457000</v>
      </c>
      <c r="D246" s="60">
        <f>SUMPRODUCT(N(Tabela3[PAPEL]=Tabela2[[#This Row],[Ativo]]),Tabela3[Total Ações])</f>
        <v>7680000</v>
      </c>
      <c r="E246" s="63">
        <f>(Tabela2[[#This Row],[Lucro Líquido]])/Tabela2[[#This Row],[Total Ações]]</f>
        <v>3.0542968749999999</v>
      </c>
      <c r="F246" s="63">
        <v>2.5</v>
      </c>
      <c r="G246" s="22">
        <f>IF(AND(Tabela2[[#This Row],[Dividendo / Ação]]&gt;0,Tabela2[[#This Row],[Lucro por ação]]&gt;0),Tabela2[[#This Row],[Dividendo / Ação]]/Tabela2[[#This Row],[Lucro por ação]],"")</f>
        <v>0.81851899219849089</v>
      </c>
      <c r="H246" s="49">
        <f>MAX(Tabela2[[#This Row],[Cotação 1]],Tabela2[[#This Row],[Cotação 2]])</f>
        <v>30.01</v>
      </c>
      <c r="I246" s="18">
        <f>IF(Tabela2[[#This Row],[Dividendo / Ação]]&gt;0,Tabela2[[#This Row],[Dividendo / Ação]]/Tabela2[[#This Row],[Cotação]],"")</f>
        <v>8.3305564811729418E-2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30.01</v>
      </c>
      <c r="L246" s="7">
        <f>SUMPRODUCT(N([Ativo]=Tabela2[[#This Row],[Ativo]]),N([Exercício]=Tabela2[[#This Row],[Exercício]]-1),[Lucro Líquido])</f>
        <v>0</v>
      </c>
      <c r="M246" s="18" t="str">
        <f>IF(Tabela2[[#This Row],[Lucro Anterior]]=0,"",IF(Tabela2[[#This Row],[Lucro Líquido]]&gt;0,Tabela2[[#This Row],[Lucro Líquido]]/Tabela2[[#This Row],[Lucro Anterior]]-1,0))</f>
        <v/>
      </c>
    </row>
    <row r="247" spans="1:13">
      <c r="A247" s="14" t="s">
        <v>281</v>
      </c>
      <c r="B247" s="4">
        <v>2012</v>
      </c>
      <c r="C247" s="5">
        <v>13717907.74</v>
      </c>
      <c r="D247" s="8">
        <f>SUMPRODUCT(N(Tabela3[PAPEL]=Tabela2[[#This Row],[Ativo]]),Tabela3[Total Ações])</f>
        <v>7680000</v>
      </c>
      <c r="E247" s="64">
        <f>(Tabela2[[#This Row],[Lucro Líquido]])/Tabela2[[#This Row],[Total Ações]]</f>
        <v>1.7861859036458334</v>
      </c>
      <c r="F247" s="64">
        <v>1.37</v>
      </c>
      <c r="G247" s="44">
        <f>IF(AND(Tabela2[[#This Row],[Dividendo / Ação]]&gt;0,Tabela2[[#This Row],[Lucro por ação]]&gt;0),Tabela2[[#This Row],[Dividendo / Ação]]/Tabela2[[#This Row],[Lucro por ação]],"")</f>
        <v>0.7669974313444391</v>
      </c>
      <c r="H247" s="13">
        <f>MAX(Tabela2[[#This Row],[Cotação 1]],Tabela2[[#This Row],[Cotação 2]])</f>
        <v>30.05</v>
      </c>
      <c r="I247" s="19">
        <f>IF(Tabela2[[#This Row],[Dividendo / Ação]]&gt;0,Tabela2[[#This Row],[Dividendo / Ação]]/Tabela2[[#This Row],[Cotação]],"")</f>
        <v>4.5590682196339438E-2</v>
      </c>
      <c r="J247" s="17">
        <f>SUMPRODUCT(N(Tabela1[Código]=Tabela2[[#This Row],[Ativo]]),Tabela1[Fechamento])</f>
        <v>0</v>
      </c>
      <c r="K247" s="17">
        <f>SUMPRODUCT(N(Tabela17[Código]=Tabela2[[#This Row],[Ativo]]),Tabela17[Fechamento])</f>
        <v>30.05</v>
      </c>
      <c r="L247" s="17">
        <f>SUMPRODUCT(N([Ativo]=Tabela2[[#This Row],[Ativo]]),N([Exercício]=Tabela2[[#This Row],[Exercício]]-1),[Lucro Líquido])</f>
        <v>28253000</v>
      </c>
      <c r="M247" s="19">
        <f>IF(Tabela2[[#This Row],[Lucro Anterior]]=0,"",IF(Tabela2[[#This Row],[Lucro Líquido]]&gt;0,Tabela2[[#This Row],[Lucro Líquido]]/Tabela2[[#This Row],[Lucro Anterior]]-1,0))</f>
        <v>-0.51446190705411809</v>
      </c>
    </row>
    <row r="248" spans="1:13">
      <c r="A248" s="14" t="s">
        <v>281</v>
      </c>
      <c r="B248" s="4">
        <v>2011</v>
      </c>
      <c r="C248" s="5">
        <v>28253000</v>
      </c>
      <c r="D248" s="8">
        <f>SUMPRODUCT(N(Tabela3[PAPEL]=Tabela2[[#This Row],[Ativo]]),Tabela3[Total Ações])</f>
        <v>7680000</v>
      </c>
      <c r="E248" s="64">
        <f>(Tabela2[[#This Row],[Lucro Líquido]])/Tabela2[[#This Row],[Total Ações]]</f>
        <v>3.6787760416666666</v>
      </c>
      <c r="F248" s="64">
        <v>2.74</v>
      </c>
      <c r="G248" s="44">
        <f>IF(AND(Tabela2[[#This Row],[Dividendo / Ação]]&gt;0,Tabela2[[#This Row],[Lucro por ação]]&gt;0),Tabela2[[#This Row],[Dividendo / Ação]]/Tabela2[[#This Row],[Lucro por ação]],"")</f>
        <v>0.7448129402187379</v>
      </c>
      <c r="H248" s="13">
        <f>MAX(Tabela2[[#This Row],[Cotação 1]],Tabela2[[#This Row],[Cotação 2]])</f>
        <v>30.05</v>
      </c>
      <c r="I248" s="19">
        <f>IF(Tabela2[[#This Row],[Dividendo / Ação]]&gt;0,Tabela2[[#This Row],[Dividendo / Ação]]/Tabela2[[#This Row],[Cotação]],"")</f>
        <v>9.1181364392678876E-2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30.05</v>
      </c>
      <c r="L248" s="17">
        <f>SUMPRODUCT(N([Ativo]=Tabela2[[#This Row],[Ativo]]),N([Exercício]=Tabela2[[#This Row],[Exercício]]-1),[Lucro Líquido])</f>
        <v>23457000</v>
      </c>
      <c r="M248" s="19">
        <f>IF(Tabela2[[#This Row],[Lucro Anterior]]=0,"",IF(Tabela2[[#This Row],[Lucro Líquido]]&gt;0,Tabela2[[#This Row],[Lucro Líquido]]/Tabela2[[#This Row],[Lucro Anterior]]-1,0))</f>
        <v>0.20445922325958144</v>
      </c>
    </row>
    <row r="249" spans="1:13">
      <c r="A249" s="14" t="s">
        <v>281</v>
      </c>
      <c r="B249" s="4">
        <v>2010</v>
      </c>
      <c r="C249" s="5">
        <v>23457000</v>
      </c>
      <c r="D249" s="8">
        <f>SUMPRODUCT(N(Tabela3[PAPEL]=Tabela2[[#This Row],[Ativo]]),Tabela3[Total Ações])</f>
        <v>7680000</v>
      </c>
      <c r="E249" s="64">
        <f>(Tabela2[[#This Row],[Lucro Líquido]])/Tabela2[[#This Row],[Total Ações]]</f>
        <v>3.0542968749999999</v>
      </c>
      <c r="F249" s="64">
        <v>2.75</v>
      </c>
      <c r="G249" s="44">
        <f>IF(AND(Tabela2[[#This Row],[Dividendo / Ação]]&gt;0,Tabela2[[#This Row],[Lucro por ação]]&gt;0),Tabela2[[#This Row],[Dividendo / Ação]]/Tabela2[[#This Row],[Lucro por ação]],"")</f>
        <v>0.90037089141833992</v>
      </c>
      <c r="H249" s="13">
        <f>MAX(Tabela2[[#This Row],[Cotação 1]],Tabela2[[#This Row],[Cotação 2]])</f>
        <v>30.05</v>
      </c>
      <c r="I249" s="19">
        <f>IF(Tabela2[[#This Row],[Dividendo / Ação]]&gt;0,Tabela2[[#This Row],[Dividendo / Ação]]/Tabela2[[#This Row],[Cotação]],"")</f>
        <v>9.1514143094841932E-2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30.05</v>
      </c>
      <c r="L249" s="17">
        <f>SUMPRODUCT(N([Ativo]=Tabela2[[#This Row],[Ativo]]),N([Exercício]=Tabela2[[#This Row],[Exercício]]-1),[Lucro Líquido])</f>
        <v>0</v>
      </c>
      <c r="M249" s="19" t="str">
        <f>IF(Tabela2[[#This Row],[Lucro Anterior]]=0,"",IF(Tabela2[[#This Row],[Lucro Líquido]]&gt;0,Tabela2[[#This Row],[Lucro Líquido]]/Tabela2[[#This Row],[Lucro Anterior]]-1,0))</f>
        <v/>
      </c>
    </row>
    <row r="250" spans="1:13">
      <c r="A250" s="3" t="s">
        <v>303</v>
      </c>
      <c r="B250" s="3">
        <v>2012</v>
      </c>
      <c r="C250" s="5">
        <v>638200000</v>
      </c>
      <c r="D250" s="60">
        <f>SUMPRODUCT(N(Tabela3[PAPEL]=Tabela2[[#This Row],[Ativo]]),Tabela3[Total Ações])</f>
        <v>407214353</v>
      </c>
      <c r="E250" s="63">
        <f>(Tabela2[[#This Row],[Lucro Líquido]])/Tabela2[[#This Row],[Total Ações]]</f>
        <v>1.5672335596677753</v>
      </c>
      <c r="F250" s="63">
        <v>0.74068530099999996</v>
      </c>
      <c r="G250" s="22">
        <f>IF(AND(Tabela2[[#This Row],[Dividendo / Ação]]&gt;0,Tabela2[[#This Row],[Lucro por ação]]&gt;0),Tabela2[[#This Row],[Dividendo / Ação]]/Tabela2[[#This Row],[Lucro por ação]],"")</f>
        <v>0.4726068405254234</v>
      </c>
      <c r="H250" s="49">
        <f>MAX(Tabela2[[#This Row],[Cotação 1]],Tabela2[[#This Row],[Cotação 2]])</f>
        <v>38.380000000000003</v>
      </c>
      <c r="I250" s="18">
        <f>IF(Tabela2[[#This Row],[Dividendo / Ação]]&gt;0,Tabela2[[#This Row],[Dividendo / Ação]]/Tabela2[[#This Row],[Cotação]],"")</f>
        <v>1.9298731136008336E-2</v>
      </c>
      <c r="J250" s="7">
        <f>SUMPRODUCT(N(Tabela1[Código]=Tabela2[[#This Row],[Ativo]]),Tabela1[Fechamento])</f>
        <v>0</v>
      </c>
      <c r="K250" s="7">
        <f>SUMPRODUCT(N(Tabela17[Código]=Tabela2[[#This Row],[Ativo]]),Tabela17[Fechamento])</f>
        <v>38.380000000000003</v>
      </c>
      <c r="L250" s="7">
        <f>SUMPRODUCT(N([Ativo]=Tabela2[[#This Row],[Ativo]]),N([Exercício]=Tabela2[[#This Row],[Exercício]]-1),[Lucro Líquido])</f>
        <v>2605800000</v>
      </c>
      <c r="M250" s="18">
        <f>IF(Tabela2[[#This Row],[Lucro Anterior]]=0,"",IF(Tabela2[[#This Row],[Lucro Líquido]]&gt;0,Tabela2[[#This Row],[Lucro Líquido]]/Tabela2[[#This Row],[Lucro Anterior]]-1,0))</f>
        <v>-0.75508481080666212</v>
      </c>
    </row>
    <row r="251" spans="1:13">
      <c r="A251" s="3" t="s">
        <v>303</v>
      </c>
      <c r="B251" s="3">
        <v>2011</v>
      </c>
      <c r="C251" s="5">
        <v>2605800000</v>
      </c>
      <c r="D251" s="60">
        <f>SUMPRODUCT(N(Tabela3[PAPEL]=Tabela2[[#This Row],[Ativo]]),Tabela3[Total Ações])</f>
        <v>407214353</v>
      </c>
      <c r="E251" s="63">
        <f>(Tabela2[[#This Row],[Lucro Líquido]])/Tabela2[[#This Row],[Total Ações]]</f>
        <v>6.399086821971621</v>
      </c>
      <c r="F251" s="63">
        <v>0.61834152200000003</v>
      </c>
      <c r="G251" s="22">
        <f>IF(AND(Tabela2[[#This Row],[Dividendo / Ação]]&gt;0,Tabela2[[#This Row],[Lucro por ação]]&gt;0),Tabela2[[#This Row],[Dividendo / Ação]]/Tabela2[[#This Row],[Lucro por ação]],"")</f>
        <v>9.6629650323994662E-2</v>
      </c>
      <c r="H251" s="49">
        <f>MAX(Tabela2[[#This Row],[Cotação 1]],Tabela2[[#This Row],[Cotação 2]])</f>
        <v>38.380000000000003</v>
      </c>
      <c r="I251" s="18">
        <f>IF(Tabela2[[#This Row],[Dividendo / Ação]]&gt;0,Tabela2[[#This Row],[Dividendo / Ação]]/Tabela2[[#This Row],[Cotação]],"")</f>
        <v>1.6111034966128191E-2</v>
      </c>
      <c r="J251" s="7">
        <f>SUMPRODUCT(N(Tabela1[Código]=Tabela2[[#This Row],[Ativo]]),Tabela1[Fechamento])</f>
        <v>0</v>
      </c>
      <c r="K251" s="7">
        <f>SUMPRODUCT(N(Tabela17[Código]=Tabela2[[#This Row],[Ativo]]),Tabela17[Fechamento])</f>
        <v>38.380000000000003</v>
      </c>
      <c r="L251" s="7">
        <f>SUMPRODUCT(N([Ativo]=Tabela2[[#This Row],[Ativo]]),N([Exercício]=Tabela2[[#This Row],[Exercício]]-1),[Lucro Líquido])</f>
        <v>771500000</v>
      </c>
      <c r="M251" s="18">
        <f>IF(Tabela2[[#This Row],[Lucro Anterior]]=0,"",IF(Tabela2[[#This Row],[Lucro Líquido]]&gt;0,Tabela2[[#This Row],[Lucro Líquido]]/Tabela2[[#This Row],[Lucro Anterior]]-1,0))</f>
        <v>2.3775761503564485</v>
      </c>
    </row>
    <row r="252" spans="1:13">
      <c r="A252" s="3" t="s">
        <v>303</v>
      </c>
      <c r="B252" s="3">
        <v>2010</v>
      </c>
      <c r="C252" s="5">
        <v>771500000</v>
      </c>
      <c r="D252" s="60">
        <f>SUMPRODUCT(N(Tabela3[PAPEL]=Tabela2[[#This Row],[Ativo]]),Tabela3[Total Ações])</f>
        <v>407214353</v>
      </c>
      <c r="E252" s="63">
        <f>(Tabela2[[#This Row],[Lucro Líquido]])/Tabela2[[#This Row],[Total Ações]]</f>
        <v>1.8945795852141782</v>
      </c>
      <c r="F252" s="63">
        <v>0.49227156500000002</v>
      </c>
      <c r="G252" s="22">
        <f>IF(AND(Tabela2[[#This Row],[Dividendo / Ação]]&gt;0,Tabela2[[#This Row],[Lucro por ação]]&gt;0),Tabela2[[#This Row],[Dividendo / Ação]]/Tabela2[[#This Row],[Lucro por ação]],"")</f>
        <v>0.25983155779879774</v>
      </c>
      <c r="H252" s="49">
        <f>MAX(Tabela2[[#This Row],[Cotação 1]],Tabela2[[#This Row],[Cotação 2]])</f>
        <v>38.380000000000003</v>
      </c>
      <c r="I252" s="18">
        <f>IF(Tabela2[[#This Row],[Dividendo / Ação]]&gt;0,Tabela2[[#This Row],[Dividendo / Ação]]/Tabela2[[#This Row],[Cotação]],"")</f>
        <v>1.2826252344971339E-2</v>
      </c>
      <c r="J252" s="7">
        <f>SUMPRODUCT(N(Tabela1[Código]=Tabela2[[#This Row],[Ativo]]),Tabela1[Fechamento])</f>
        <v>0</v>
      </c>
      <c r="K252" s="7">
        <f>SUMPRODUCT(N(Tabela17[Código]=Tabela2[[#This Row],[Ativo]]),Tabela17[Fechamento])</f>
        <v>38.380000000000003</v>
      </c>
      <c r="L252" s="7">
        <f>SUMPRODUCT(N([Ativo]=Tabela2[[#This Row],[Ativo]]),N([Exercício]=Tabela2[[#This Row],[Exercício]]-1),[Lucro Líquido])</f>
        <v>0</v>
      </c>
      <c r="M252" s="18" t="str">
        <f>IF(Tabela2[[#This Row],[Lucro Anterior]]=0,"",IF(Tabela2[[#This Row],[Lucro Líquido]]&gt;0,Tabela2[[#This Row],[Lucro Líquido]]/Tabela2[[#This Row],[Lucro Anterior]]-1,0))</f>
        <v/>
      </c>
    </row>
    <row r="253" spans="1:13">
      <c r="A253" s="15" t="s">
        <v>196</v>
      </c>
      <c r="B253" s="4">
        <v>2012</v>
      </c>
      <c r="C253" s="6">
        <v>486927674.55000001</v>
      </c>
      <c r="D253" s="8">
        <f>SUMPRODUCT(N(Tabela3[PAPEL]=Tabela2[[#This Row],[Ativo]]),Tabela3[Total Ações])</f>
        <v>119684430</v>
      </c>
      <c r="E253" s="64">
        <f>(Tabela2[[#This Row],[Lucro Líquido]])/Tabela2[[#This Row],[Total Ações]]</f>
        <v>4.0684295739220211</v>
      </c>
      <c r="F253" s="64">
        <v>1.3564000000000001</v>
      </c>
      <c r="G253" s="44">
        <f>IF(AND(Tabela2[[#This Row],[Dividendo / Ação]]&gt;0,Tabela2[[#This Row],[Lucro por ação]]&gt;0),Tabela2[[#This Row],[Dividendo / Ação]]/Tabela2[[#This Row],[Lucro por ação]],"")</f>
        <v>0.33339645564822007</v>
      </c>
      <c r="H253" s="6">
        <f>MAX(Tabela2[[#This Row],[Cotação 1]],Tabela2[[#This Row],[Cotação 2]])</f>
        <v>32.880000000000003</v>
      </c>
      <c r="I253" s="19">
        <f>IF(Tabela2[[#This Row],[Dividendo / Ação]]&gt;0,Tabela2[[#This Row],[Dividendo / Ação]]/Tabela2[[#This Row],[Cotação]],"")</f>
        <v>4.1253041362530413E-2</v>
      </c>
      <c r="J253" s="59">
        <f>SUMPRODUCT(N(Tabela1[Código]=Tabela2[[#This Row],[Ativo]]),Tabela1[Fechamento])</f>
        <v>32.880000000000003</v>
      </c>
      <c r="K253" s="59">
        <f>SUMPRODUCT(N(Tabela17[Código]=Tabela2[[#This Row],[Ativo]]),Tabela17[Fechamento])</f>
        <v>0</v>
      </c>
      <c r="L253" s="59">
        <f>SUMPRODUCT(N([Ativo]=Tabela2[[#This Row],[Ativo]]),N([Exercício]=Tabela2[[#This Row],[Exercício]]-1),[Lucro Líquido])</f>
        <v>470437900</v>
      </c>
      <c r="M253" s="19">
        <f>IF(Tabela2[[#This Row],[Lucro Anterior]]=0,"",IF(Tabela2[[#This Row],[Lucro Líquido]]&gt;0,Tabela2[[#This Row],[Lucro Líquido]]/Tabela2[[#This Row],[Lucro Anterior]]-1,0))</f>
        <v>3.5051968708303516E-2</v>
      </c>
    </row>
    <row r="254" spans="1:13">
      <c r="A254" s="15" t="s">
        <v>196</v>
      </c>
      <c r="B254" s="4">
        <v>2011</v>
      </c>
      <c r="C254" s="6">
        <v>470437900</v>
      </c>
      <c r="D254" s="8">
        <f>SUMPRODUCT(N(Tabela3[PAPEL]=Tabela2[[#This Row],[Ativo]]),Tabela3[Total Ações])</f>
        <v>119684430</v>
      </c>
      <c r="E254" s="64">
        <f>(Tabela2[[#This Row],[Lucro Líquido]])/Tabela2[[#This Row],[Total Ações]]</f>
        <v>3.9306524666575258</v>
      </c>
      <c r="F254" s="64">
        <v>1.33</v>
      </c>
      <c r="G254" s="44">
        <f>IF(AND(Tabela2[[#This Row],[Dividendo / Ação]]&gt;0,Tabela2[[#This Row],[Lucro por ação]]&gt;0),Tabela2[[#This Row],[Dividendo / Ação]]/Tabela2[[#This Row],[Lucro por ação]],"")</f>
        <v>0.33836621560465263</v>
      </c>
      <c r="H254" s="6">
        <f>MAX(Tabela2[[#This Row],[Cotação 1]],Tabela2[[#This Row],[Cotação 2]])</f>
        <v>32.880000000000003</v>
      </c>
      <c r="I254" s="19">
        <f>IF(Tabela2[[#This Row],[Dividendo / Ação]]&gt;0,Tabela2[[#This Row],[Dividendo / Ação]]/Tabela2[[#This Row],[Cotação]],"")</f>
        <v>4.0450121654501216E-2</v>
      </c>
      <c r="J254" s="59">
        <f>SUMPRODUCT(N(Tabela1[Código]=Tabela2[[#This Row],[Ativo]]),Tabela1[Fechamento])</f>
        <v>32.880000000000003</v>
      </c>
      <c r="K254" s="59">
        <f>SUMPRODUCT(N(Tabela17[Código]=Tabela2[[#This Row],[Ativo]]),Tabela17[Fechamento])</f>
        <v>0</v>
      </c>
      <c r="L254" s="59">
        <f>SUMPRODUCT(N([Ativo]=Tabela2[[#This Row],[Ativo]]),N([Exercício]=Tabela2[[#This Row],[Exercício]]-1),[Lucro Líquido])</f>
        <v>677124500</v>
      </c>
      <c r="M254" s="19">
        <f>IF(Tabela2[[#This Row],[Lucro Anterior]]=0,"",IF(Tabela2[[#This Row],[Lucro Líquido]]&gt;0,Tabela2[[#This Row],[Lucro Líquido]]/Tabela2[[#This Row],[Lucro Anterior]]-1,0))</f>
        <v>-0.30524165053841645</v>
      </c>
    </row>
    <row r="255" spans="1:13">
      <c r="A255" s="15" t="s">
        <v>196</v>
      </c>
      <c r="B255" s="4">
        <v>2010</v>
      </c>
      <c r="C255" s="6">
        <v>677124500</v>
      </c>
      <c r="D255" s="8">
        <f>SUMPRODUCT(N(Tabela3[PAPEL]=Tabela2[[#This Row],[Ativo]]),Tabela3[Total Ações])</f>
        <v>119684430</v>
      </c>
      <c r="E255" s="64">
        <f>(Tabela2[[#This Row],[Lucro Líquido]])/Tabela2[[#This Row],[Total Ações]]</f>
        <v>5.6575821934398656</v>
      </c>
      <c r="F255" s="64">
        <v>1.95</v>
      </c>
      <c r="G255" s="44">
        <f>IF(AND(Tabela2[[#This Row],[Dividendo / Ação]]&gt;0,Tabela2[[#This Row],[Lucro por ação]]&gt;0),Tabela2[[#This Row],[Dividendo / Ação]]/Tabela2[[#This Row],[Lucro por ação]],"")</f>
        <v>0.34467020245169089</v>
      </c>
      <c r="H255" s="6">
        <f>MAX(Tabela2[[#This Row],[Cotação 1]],Tabela2[[#This Row],[Cotação 2]])</f>
        <v>32.880000000000003</v>
      </c>
      <c r="I255" s="19">
        <f>IF(Tabela2[[#This Row],[Dividendo / Ação]]&gt;0,Tabela2[[#This Row],[Dividendo / Ação]]/Tabela2[[#This Row],[Cotação]],"")</f>
        <v>5.930656934306569E-2</v>
      </c>
      <c r="J255" s="59">
        <f>SUMPRODUCT(N(Tabela1[Código]=Tabela2[[#This Row],[Ativo]]),Tabela1[Fechamento])</f>
        <v>32.880000000000003</v>
      </c>
      <c r="K255" s="59">
        <f>SUMPRODUCT(N(Tabela17[Código]=Tabela2[[#This Row],[Ativo]]),Tabela17[Fechamento])</f>
        <v>0</v>
      </c>
      <c r="L255" s="59">
        <f>SUMPRODUCT(N([Ativo]=Tabela2[[#This Row],[Ativo]]),N([Exercício]=Tabela2[[#This Row],[Exercício]]-1),[Lucro Líquido])</f>
        <v>525306600</v>
      </c>
      <c r="M255" s="19">
        <f>IF(Tabela2[[#This Row],[Lucro Anterior]]=0,"",IF(Tabela2[[#This Row],[Lucro Líquido]]&gt;0,Tabela2[[#This Row],[Lucro Líquido]]/Tabela2[[#This Row],[Lucro Anterior]]-1,0))</f>
        <v>0.28900817160873293</v>
      </c>
    </row>
    <row r="256" spans="1:13">
      <c r="A256" s="15" t="s">
        <v>196</v>
      </c>
      <c r="B256" s="4">
        <v>2009</v>
      </c>
      <c r="C256" s="6">
        <v>525306600</v>
      </c>
      <c r="D256" s="8">
        <f>SUMPRODUCT(N(Tabela3[PAPEL]=Tabela2[[#This Row],[Ativo]]),Tabela3[Total Ações])</f>
        <v>119684430</v>
      </c>
      <c r="E256" s="64">
        <f>(Tabela2[[#This Row],[Lucro Líquido]])/Tabela2[[#This Row],[Total Ações]]</f>
        <v>4.3890972284364809</v>
      </c>
      <c r="F256" s="64">
        <v>1.5</v>
      </c>
      <c r="G256" s="44">
        <f>IF(AND(Tabela2[[#This Row],[Dividendo / Ação]]&gt;0,Tabela2[[#This Row],[Lucro por ação]]&gt;0),Tabela2[[#This Row],[Dividendo / Ação]]/Tabela2[[#This Row],[Lucro por ação]],"")</f>
        <v>0.34175592882328149</v>
      </c>
      <c r="H256" s="6">
        <f>MAX(Tabela2[[#This Row],[Cotação 1]],Tabela2[[#This Row],[Cotação 2]])</f>
        <v>32.880000000000003</v>
      </c>
      <c r="I256" s="19">
        <f>IF(Tabela2[[#This Row],[Dividendo / Ação]]&gt;0,Tabela2[[#This Row],[Dividendo / Ação]]/Tabela2[[#This Row],[Cotação]],"")</f>
        <v>4.5620437956204379E-2</v>
      </c>
      <c r="J256" s="59">
        <f>SUMPRODUCT(N(Tabela1[Código]=Tabela2[[#This Row],[Ativo]]),Tabela1[Fechamento])</f>
        <v>32.880000000000003</v>
      </c>
      <c r="K256" s="59">
        <f>SUMPRODUCT(N(Tabela17[Código]=Tabela2[[#This Row],[Ativo]]),Tabela17[Fechamento])</f>
        <v>0</v>
      </c>
      <c r="L256" s="59">
        <f>SUMPRODUCT(N([Ativo]=Tabela2[[#This Row],[Ativo]]),N([Exercício]=Tabela2[[#This Row],[Exercício]]-1),[Lucro Líquido])</f>
        <v>0</v>
      </c>
      <c r="M256" s="19" t="str">
        <f>IF(Tabela2[[#This Row],[Lucro Anterior]]=0,"",IF(Tabela2[[#This Row],[Lucro Líquido]]&gt;0,Tabela2[[#This Row],[Lucro Líquido]]/Tabela2[[#This Row],[Lucro Anterior]]-1,0))</f>
        <v/>
      </c>
    </row>
    <row r="257" spans="1:13">
      <c r="A257" s="4" t="s">
        <v>99</v>
      </c>
      <c r="B257" s="4">
        <v>2012</v>
      </c>
      <c r="C257" s="6">
        <v>245872000</v>
      </c>
      <c r="D257" s="8">
        <f>SUMPRODUCT(N(Tabela3[PAPEL]=Tabela2[[#This Row],[Ativo]]),Tabela3[Total Ações])</f>
        <v>168074028</v>
      </c>
      <c r="E257" s="64">
        <f>(Tabela2[[#This Row],[Lucro Líquido]])/Tabela2[[#This Row],[Total Ações]]</f>
        <v>1.4628792022524741</v>
      </c>
      <c r="F257" s="64">
        <v>0.210547822</v>
      </c>
      <c r="G257" s="44">
        <f>IF(AND(Tabela2[[#This Row],[Dividendo / Ação]]&gt;0,Tabela2[[#This Row],[Lucro por ação]]&gt;0),Tabela2[[#This Row],[Dividendo / Ação]]/Tabela2[[#This Row],[Lucro por ação]],"")</f>
        <v>0.14392700482432735</v>
      </c>
      <c r="H257" s="6">
        <f>MAX(Tabela2[[#This Row],[Cotação 1]],Tabela2[[#This Row],[Cotação 2]])</f>
        <v>9.5</v>
      </c>
      <c r="I257" s="19">
        <f>IF(Tabela2[[#This Row],[Dividendo / Ação]]&gt;0,Tabela2[[#This Row],[Dividendo / Ação]]/Tabela2[[#This Row],[Cotação]],"")</f>
        <v>2.2162928631578947E-2</v>
      </c>
      <c r="J257" s="59">
        <f>SUMPRODUCT(N(Tabela1[Código]=Tabela2[[#This Row],[Ativo]]),Tabela1[Fechamento])</f>
        <v>9.5</v>
      </c>
      <c r="K257" s="59">
        <f>SUMPRODUCT(N(Tabela17[Código]=Tabela2[[#This Row],[Ativo]]),Tabela17[Fechamento])</f>
        <v>0</v>
      </c>
      <c r="L257" s="59">
        <f>SUMPRODUCT(N([Ativo]=Tabela2[[#This Row],[Ativo]]),N([Exercício]=Tabela2[[#This Row],[Exercício]]-1),[Lucro Líquido])</f>
        <v>232128000</v>
      </c>
      <c r="M257" s="19">
        <f>IF(Tabela2[[#This Row],[Lucro Anterior]]=0,"",IF(Tabela2[[#This Row],[Lucro Líquido]]&gt;0,Tabela2[[#This Row],[Lucro Líquido]]/Tabela2[[#This Row],[Lucro Anterior]]-1,0))</f>
        <v>5.9208712434518862E-2</v>
      </c>
    </row>
    <row r="258" spans="1:13">
      <c r="A258" s="4" t="s">
        <v>99</v>
      </c>
      <c r="B258" s="3">
        <v>2011</v>
      </c>
      <c r="C258" s="5">
        <v>232128000</v>
      </c>
      <c r="D258" s="60">
        <f>SUMPRODUCT(N(Tabela3[PAPEL]=Tabela2[[#This Row],[Ativo]]),Tabela3[Total Ações])</f>
        <v>168074028</v>
      </c>
      <c r="E258" s="63">
        <f>(Tabela2[[#This Row],[Lucro Líquido]])/Tabela2[[#This Row],[Total Ações]]</f>
        <v>1.3811057113476213</v>
      </c>
      <c r="F258" s="63">
        <v>1.158632954</v>
      </c>
      <c r="G258" s="22">
        <f>IF(AND(Tabela2[[#This Row],[Dividendo / Ação]]&gt;0,Tabela2[[#This Row],[Lucro por ação]]&gt;0),Tabela2[[#This Row],[Dividendo / Ação]]/Tabela2[[#This Row],[Lucro por ação]],"")</f>
        <v>0.83891692321615097</v>
      </c>
      <c r="H258" s="5">
        <f>MAX(Tabela2[[#This Row],[Cotação 1]],Tabela2[[#This Row],[Cotação 2]])</f>
        <v>9.5</v>
      </c>
      <c r="I258" s="18">
        <f>IF(Tabela2[[#This Row],[Dividendo / Ação]]&gt;0,Tabela2[[#This Row],[Dividendo / Ação]]/Tabela2[[#This Row],[Cotação]],"")</f>
        <v>0.12196136357894737</v>
      </c>
      <c r="J258" s="58">
        <f>SUMPRODUCT(N(Tabela1[Código]=Tabela2[[#This Row],[Ativo]]),Tabela1[Fechamento])</f>
        <v>9.5</v>
      </c>
      <c r="K258" s="58">
        <f>SUMPRODUCT(N(Tabela17[Código]=Tabela2[[#This Row],[Ativo]]),Tabela17[Fechamento])</f>
        <v>0</v>
      </c>
      <c r="L258" s="58">
        <f>SUMPRODUCT(N([Ativo]=Tabela2[[#This Row],[Ativo]]),N([Exercício]=Tabela2[[#This Row],[Exercício]]-1),[Lucro Líquido])</f>
        <v>253664000</v>
      </c>
      <c r="M258" s="18">
        <f>IF(Tabela2[[#This Row],[Lucro Anterior]]=0,"",IF(Tabela2[[#This Row],[Lucro Líquido]]&gt;0,Tabela2[[#This Row],[Lucro Líquido]]/Tabela2[[#This Row],[Lucro Anterior]]-1,0))</f>
        <v>-8.4899709852403138E-2</v>
      </c>
    </row>
    <row r="259" spans="1:13">
      <c r="A259" s="4" t="s">
        <v>99</v>
      </c>
      <c r="B259" s="3">
        <v>2010</v>
      </c>
      <c r="C259" s="5">
        <v>253664000</v>
      </c>
      <c r="D259" s="60">
        <f>SUMPRODUCT(N(Tabela3[PAPEL]=Tabela2[[#This Row],[Ativo]]),Tabela3[Total Ações])</f>
        <v>168074028</v>
      </c>
      <c r="E259" s="63">
        <f>(Tabela2[[#This Row],[Lucro Líquido]])/Tabela2[[#This Row],[Total Ações]]</f>
        <v>1.5092397261996957</v>
      </c>
      <c r="F259" s="63">
        <v>1.1372260759999999</v>
      </c>
      <c r="G259" s="22">
        <f>IF(AND(Tabela2[[#This Row],[Dividendo / Ação]]&gt;0,Tabela2[[#This Row],[Lucro por ação]]&gt;0),Tabela2[[#This Row],[Dividendo / Ação]]/Tabela2[[#This Row],[Lucro por ação]],"")</f>
        <v>0.75350923796815517</v>
      </c>
      <c r="H259" s="5">
        <f>MAX(Tabela2[[#This Row],[Cotação 1]],Tabela2[[#This Row],[Cotação 2]])</f>
        <v>9.5</v>
      </c>
      <c r="I259" s="18">
        <f>IF(Tabela2[[#This Row],[Dividendo / Ação]]&gt;0,Tabela2[[#This Row],[Dividendo / Ação]]/Tabela2[[#This Row],[Cotação]],"")</f>
        <v>0.11970800799999999</v>
      </c>
      <c r="J259" s="58">
        <f>SUMPRODUCT(N(Tabela1[Código]=Tabela2[[#This Row],[Ativo]]),Tabela1[Fechamento])</f>
        <v>9.5</v>
      </c>
      <c r="K259" s="58">
        <f>SUMPRODUCT(N(Tabela17[Código]=Tabela2[[#This Row],[Ativo]]),Tabela17[Fechamento])</f>
        <v>0</v>
      </c>
      <c r="L259" s="58">
        <f>SUMPRODUCT(N([Ativo]=Tabela2[[#This Row],[Ativo]]),N([Exercício]=Tabela2[[#This Row],[Exercício]]-1),[Lucro Líquido])</f>
        <v>244788000</v>
      </c>
      <c r="M259" s="18">
        <f>IF(Tabela2[[#This Row],[Lucro Anterior]]=0,"",IF(Tabela2[[#This Row],[Lucro Líquido]]&gt;0,Tabela2[[#This Row],[Lucro Líquido]]/Tabela2[[#This Row],[Lucro Anterior]]-1,0))</f>
        <v>3.6259947383041613E-2</v>
      </c>
    </row>
    <row r="260" spans="1:13">
      <c r="A260" s="4" t="s">
        <v>99</v>
      </c>
      <c r="B260" s="3">
        <v>2009</v>
      </c>
      <c r="C260" s="5">
        <v>244788000</v>
      </c>
      <c r="D260" s="60">
        <f>SUMPRODUCT(N(Tabela3[PAPEL]=Tabela2[[#This Row],[Ativo]]),Tabela3[Total Ações])</f>
        <v>168074028</v>
      </c>
      <c r="E260" s="63">
        <f>(Tabela2[[#This Row],[Lucro Líquido]])/Tabela2[[#This Row],[Total Ações]]</f>
        <v>1.4564296632433893</v>
      </c>
      <c r="F260" s="63">
        <v>0.9505576</v>
      </c>
      <c r="G260" s="22">
        <f>IF(AND(Tabela2[[#This Row],[Dividendo / Ação]]&gt;0,Tabela2[[#This Row],[Lucro por ação]]&gt;0),Tabela2[[#This Row],[Dividendo / Ação]]/Tabela2[[#This Row],[Lucro por ação]],"")</f>
        <v>0.65266289474162464</v>
      </c>
      <c r="H260" s="5">
        <f>MAX(Tabela2[[#This Row],[Cotação 1]],Tabela2[[#This Row],[Cotação 2]])</f>
        <v>9.5</v>
      </c>
      <c r="I260" s="18">
        <f>IF(Tabela2[[#This Row],[Dividendo / Ação]]&gt;0,Tabela2[[#This Row],[Dividendo / Ação]]/Tabela2[[#This Row],[Cotação]],"")</f>
        <v>0.1000586947368421</v>
      </c>
      <c r="J260" s="58">
        <f>SUMPRODUCT(N(Tabela1[Código]=Tabela2[[#This Row],[Ativo]]),Tabela1[Fechamento])</f>
        <v>9.5</v>
      </c>
      <c r="K260" s="58">
        <f>SUMPRODUCT(N(Tabela17[Código]=Tabela2[[#This Row],[Ativo]]),Tabela17[Fechamento])</f>
        <v>0</v>
      </c>
      <c r="L260" s="58">
        <f>SUMPRODUCT(N([Ativo]=Tabela2[[#This Row],[Ativo]]),N([Exercício]=Tabela2[[#This Row],[Exercício]]-1),[Lucro Líquido])</f>
        <v>0</v>
      </c>
      <c r="M260" s="18" t="str">
        <f>IF(Tabela2[[#This Row],[Lucro Anterior]]=0,"",IF(Tabela2[[#This Row],[Lucro Líquido]]&gt;0,Tabela2[[#This Row],[Lucro Líquido]]/Tabela2[[#This Row],[Lucro Anterior]]-1,0))</f>
        <v/>
      </c>
    </row>
    <row r="261" spans="1:13">
      <c r="A261" s="4" t="s">
        <v>100</v>
      </c>
      <c r="B261" s="4">
        <v>2012</v>
      </c>
      <c r="C261" s="6">
        <v>245872000</v>
      </c>
      <c r="D261" s="8">
        <f>SUMPRODUCT(N(Tabela3[PAPEL]=Tabela2[[#This Row],[Ativo]]),Tabela3[Total Ações])</f>
        <v>168074028</v>
      </c>
      <c r="E261" s="64">
        <f>(Tabela2[[#This Row],[Lucro Líquido]])/Tabela2[[#This Row],[Total Ações]]</f>
        <v>1.4628792022524741</v>
      </c>
      <c r="F261" s="64">
        <v>0.23160260399999999</v>
      </c>
      <c r="G261" s="44">
        <f>IF(AND(Tabela2[[#This Row],[Dividendo / Ação]]&gt;0,Tabela2[[#This Row],[Lucro por ação]]&gt;0),Tabela2[[#This Row],[Dividendo / Ação]]/Tabela2[[#This Row],[Lucro por ação]],"")</f>
        <v>0.1583197051700434</v>
      </c>
      <c r="H261" s="6">
        <f>MAX(Tabela2[[#This Row],[Cotação 1]],Tabela2[[#This Row],[Cotação 2]])</f>
        <v>10.119999999999999</v>
      </c>
      <c r="I261" s="19">
        <f>IF(Tabela2[[#This Row],[Dividendo / Ação]]&gt;0,Tabela2[[#This Row],[Dividendo / Ação]]/Tabela2[[#This Row],[Cotação]],"")</f>
        <v>2.2885632806324111E-2</v>
      </c>
      <c r="J261" s="59">
        <f>SUMPRODUCT(N(Tabela1[Código]=Tabela2[[#This Row],[Ativo]]),Tabela1[Fechamento])</f>
        <v>10.119999999999999</v>
      </c>
      <c r="K261" s="59">
        <f>SUMPRODUCT(N(Tabela17[Código]=Tabela2[[#This Row],[Ativo]]),Tabela17[Fechamento])</f>
        <v>0</v>
      </c>
      <c r="L261" s="59">
        <f>SUMPRODUCT(N([Ativo]=Tabela2[[#This Row],[Ativo]]),N([Exercício]=Tabela2[[#This Row],[Exercício]]-1),[Lucro Líquido])</f>
        <v>232128000</v>
      </c>
      <c r="M261" s="19">
        <f>IF(Tabela2[[#This Row],[Lucro Anterior]]=0,"",IF(Tabela2[[#This Row],[Lucro Líquido]]&gt;0,Tabela2[[#This Row],[Lucro Líquido]]/Tabela2[[#This Row],[Lucro Anterior]]-1,0))</f>
        <v>5.9208712434518862E-2</v>
      </c>
    </row>
    <row r="262" spans="1:13">
      <c r="A262" s="4" t="s">
        <v>100</v>
      </c>
      <c r="B262" s="3">
        <v>2011</v>
      </c>
      <c r="C262" s="5">
        <v>232128000</v>
      </c>
      <c r="D262" s="60">
        <f>SUMPRODUCT(N(Tabela3[PAPEL]=Tabela2[[#This Row],[Ativo]]),Tabela3[Total Ações])</f>
        <v>168074028</v>
      </c>
      <c r="E262" s="63">
        <f>(Tabela2[[#This Row],[Lucro Líquido]])/Tabela2[[#This Row],[Total Ações]]</f>
        <v>1.3811057113476213</v>
      </c>
      <c r="F262" s="63">
        <v>1.2744962500000001</v>
      </c>
      <c r="G262" s="22">
        <f>IF(AND(Tabela2[[#This Row],[Dividendo / Ação]]&gt;0,Tabela2[[#This Row],[Lucro por ação]]&gt;0),Tabela2[[#This Row],[Dividendo / Ação]]/Tabela2[[#This Row],[Lucro por ação]],"")</f>
        <v>0.92280861597220065</v>
      </c>
      <c r="H262" s="5">
        <f>MAX(Tabela2[[#This Row],[Cotação 1]],Tabela2[[#This Row],[Cotação 2]])</f>
        <v>10.119999999999999</v>
      </c>
      <c r="I262" s="18">
        <f>IF(Tabela2[[#This Row],[Dividendo / Ação]]&gt;0,Tabela2[[#This Row],[Dividendo / Ação]]/Tabela2[[#This Row],[Cotação]],"")</f>
        <v>0.12593836462450594</v>
      </c>
      <c r="J262" s="58">
        <f>SUMPRODUCT(N(Tabela1[Código]=Tabela2[[#This Row],[Ativo]]),Tabela1[Fechamento])</f>
        <v>10.119999999999999</v>
      </c>
      <c r="K262" s="58">
        <f>SUMPRODUCT(N(Tabela17[Código]=Tabela2[[#This Row],[Ativo]]),Tabela17[Fechamento])</f>
        <v>0</v>
      </c>
      <c r="L262" s="58">
        <f>SUMPRODUCT(N([Ativo]=Tabela2[[#This Row],[Ativo]]),N([Exercício]=Tabela2[[#This Row],[Exercício]]-1),[Lucro Líquido])</f>
        <v>253664000</v>
      </c>
      <c r="M262" s="18">
        <f>IF(Tabela2[[#This Row],[Lucro Anterior]]=0,"",IF(Tabela2[[#This Row],[Lucro Líquido]]&gt;0,Tabela2[[#This Row],[Lucro Líquido]]/Tabela2[[#This Row],[Lucro Anterior]]-1,0))</f>
        <v>-8.4899709852403138E-2</v>
      </c>
    </row>
    <row r="263" spans="1:13">
      <c r="A263" s="4" t="s">
        <v>100</v>
      </c>
      <c r="B263" s="3">
        <v>2010</v>
      </c>
      <c r="C263" s="5">
        <v>253664000</v>
      </c>
      <c r="D263" s="60">
        <f>SUMPRODUCT(N(Tabela3[PAPEL]=Tabela2[[#This Row],[Ativo]]),Tabela3[Total Ações])</f>
        <v>168074028</v>
      </c>
      <c r="E263" s="63">
        <f>(Tabela2[[#This Row],[Lucro Líquido]])/Tabela2[[#This Row],[Total Ações]]</f>
        <v>1.5092397261996957</v>
      </c>
      <c r="F263" s="63">
        <v>1.250948685</v>
      </c>
      <c r="G263" s="22">
        <f>IF(AND(Tabela2[[#This Row],[Dividendo / Ação]]&gt;0,Tabela2[[#This Row],[Lucro por ação]]&gt;0),Tabela2[[#This Row],[Dividendo / Ação]]/Tabela2[[#This Row],[Lucro por ação]],"")</f>
        <v>0.82886016269259011</v>
      </c>
      <c r="H263" s="5">
        <f>MAX(Tabela2[[#This Row],[Cotação 1]],Tabela2[[#This Row],[Cotação 2]])</f>
        <v>10.119999999999999</v>
      </c>
      <c r="I263" s="18">
        <f>IF(Tabela2[[#This Row],[Dividendo / Ação]]&gt;0,Tabela2[[#This Row],[Dividendo / Ação]]/Tabela2[[#This Row],[Cotação]],"")</f>
        <v>0.12361153013833993</v>
      </c>
      <c r="J263" s="58">
        <f>SUMPRODUCT(N(Tabela1[Código]=Tabela2[[#This Row],[Ativo]]),Tabela1[Fechamento])</f>
        <v>10.119999999999999</v>
      </c>
      <c r="K263" s="58">
        <f>SUMPRODUCT(N(Tabela17[Código]=Tabela2[[#This Row],[Ativo]]),Tabela17[Fechamento])</f>
        <v>0</v>
      </c>
      <c r="L263" s="58">
        <f>SUMPRODUCT(N([Ativo]=Tabela2[[#This Row],[Ativo]]),N([Exercício]=Tabela2[[#This Row],[Exercício]]-1),[Lucro Líquido])</f>
        <v>244788000</v>
      </c>
      <c r="M263" s="18">
        <f>IF(Tabela2[[#This Row],[Lucro Anterior]]=0,"",IF(Tabela2[[#This Row],[Lucro Líquido]]&gt;0,Tabela2[[#This Row],[Lucro Líquido]]/Tabela2[[#This Row],[Lucro Anterior]]-1,0))</f>
        <v>3.6259947383041613E-2</v>
      </c>
    </row>
    <row r="264" spans="1:13">
      <c r="A264" s="4" t="s">
        <v>100</v>
      </c>
      <c r="B264" s="3">
        <v>2009</v>
      </c>
      <c r="C264" s="5">
        <v>244788000</v>
      </c>
      <c r="D264" s="60">
        <f>SUMPRODUCT(N(Tabela3[PAPEL]=Tabela2[[#This Row],[Ativo]]),Tabela3[Total Ações])</f>
        <v>168074028</v>
      </c>
      <c r="E264" s="63">
        <f>(Tabela2[[#This Row],[Lucro Líquido]])/Tabela2[[#This Row],[Total Ações]]</f>
        <v>1.4564296632433893</v>
      </c>
      <c r="F264" s="63">
        <v>1.0456133000000001</v>
      </c>
      <c r="G264" s="22">
        <f>IF(AND(Tabela2[[#This Row],[Dividendo / Ação]]&gt;0,Tabela2[[#This Row],[Lucro por ação]]&gt;0),Tabela2[[#This Row],[Dividendo / Ação]]/Tabela2[[#This Row],[Lucro por ação]],"")</f>
        <v>0.717929143019153</v>
      </c>
      <c r="H264" s="5">
        <f>MAX(Tabela2[[#This Row],[Cotação 1]],Tabela2[[#This Row],[Cotação 2]])</f>
        <v>10.119999999999999</v>
      </c>
      <c r="I264" s="18">
        <f>IF(Tabela2[[#This Row],[Dividendo / Ação]]&gt;0,Tabela2[[#This Row],[Dividendo / Ação]]/Tabela2[[#This Row],[Cotação]],"")</f>
        <v>0.10332147233201583</v>
      </c>
      <c r="J264" s="58">
        <f>SUMPRODUCT(N(Tabela1[Código]=Tabela2[[#This Row],[Ativo]]),Tabela1[Fechamento])</f>
        <v>10.119999999999999</v>
      </c>
      <c r="K264" s="58">
        <f>SUMPRODUCT(N(Tabela17[Código]=Tabela2[[#This Row],[Ativo]]),Tabela17[Fechamento])</f>
        <v>0</v>
      </c>
      <c r="L264" s="58">
        <f>SUMPRODUCT(N([Ativo]=Tabela2[[#This Row],[Ativo]]),N([Exercício]=Tabela2[[#This Row],[Exercício]]-1),[Lucro Líquido])</f>
        <v>0</v>
      </c>
      <c r="M264" s="18" t="str">
        <f>IF(Tabela2[[#This Row],[Lucro Anterior]]=0,"",IF(Tabela2[[#This Row],[Lucro Líquido]]&gt;0,Tabela2[[#This Row],[Lucro Líquido]]/Tabela2[[#This Row],[Lucro Anterior]]-1,0))</f>
        <v/>
      </c>
    </row>
    <row r="265" spans="1:13">
      <c r="A265" s="4" t="s">
        <v>68</v>
      </c>
      <c r="B265" s="4">
        <v>2012</v>
      </c>
      <c r="C265" s="6">
        <v>245872000</v>
      </c>
      <c r="D265" s="8">
        <f>SUMPRODUCT(N(Tabela3[PAPEL]=Tabela2[[#This Row],[Ativo]]),Tabela3[Total Ações])</f>
        <v>168074028</v>
      </c>
      <c r="E265" s="64">
        <f>(Tabela2[[#This Row],[Lucro Líquido]])/Tabela2[[#This Row],[Total Ações]]</f>
        <v>1.4628792022524741</v>
      </c>
      <c r="F265" s="64">
        <v>0.23160260399999999</v>
      </c>
      <c r="G265" s="44">
        <f>IF(AND(Tabela2[[#This Row],[Dividendo / Ação]]&gt;0,Tabela2[[#This Row],[Lucro por ação]]&gt;0),Tabela2[[#This Row],[Dividendo / Ação]]/Tabela2[[#This Row],[Lucro por ação]],"")</f>
        <v>0.1583197051700434</v>
      </c>
      <c r="H265" s="6">
        <f>MAX(Tabela2[[#This Row],[Cotação 1]],Tabela2[[#This Row],[Cotação 2]])</f>
        <v>9</v>
      </c>
      <c r="I265" s="19">
        <f>IF(Tabela2[[#This Row],[Dividendo / Ação]]&gt;0,Tabela2[[#This Row],[Dividendo / Ação]]/Tabela2[[#This Row],[Cotação]],"")</f>
        <v>2.5733622666666664E-2</v>
      </c>
      <c r="J265" s="59">
        <f>SUMPRODUCT(N(Tabela1[Código]=Tabela2[[#This Row],[Ativo]]),Tabela1[Fechamento])</f>
        <v>9</v>
      </c>
      <c r="K265" s="59">
        <f>SUMPRODUCT(N(Tabela17[Código]=Tabela2[[#This Row],[Ativo]]),Tabela17[Fechamento])</f>
        <v>0</v>
      </c>
      <c r="L265" s="59">
        <f>SUMPRODUCT(N([Ativo]=Tabela2[[#This Row],[Ativo]]),N([Exercício]=Tabela2[[#This Row],[Exercício]]-1),[Lucro Líquido])</f>
        <v>232128000</v>
      </c>
      <c r="M265" s="19">
        <f>IF(Tabela2[[#This Row],[Lucro Anterior]]=0,"",IF(Tabela2[[#This Row],[Lucro Líquido]]&gt;0,Tabela2[[#This Row],[Lucro Líquido]]/Tabela2[[#This Row],[Lucro Anterior]]-1,0))</f>
        <v>5.9208712434518862E-2</v>
      </c>
    </row>
    <row r="266" spans="1:13">
      <c r="A266" s="4" t="s">
        <v>68</v>
      </c>
      <c r="B266" s="4">
        <v>2011</v>
      </c>
      <c r="C266" s="5">
        <v>232128000</v>
      </c>
      <c r="D266" s="8">
        <f>SUMPRODUCT(N(Tabela3[PAPEL]=Tabela2[[#This Row],[Ativo]]),Tabela3[Total Ações])</f>
        <v>168074028</v>
      </c>
      <c r="E266" s="64">
        <f>(Tabela2[[#This Row],[Lucro Líquido]])/Tabela2[[#This Row],[Total Ações]]</f>
        <v>1.3811057113476213</v>
      </c>
      <c r="F266" s="63">
        <v>1.2744962500000001</v>
      </c>
      <c r="G266" s="44">
        <f>IF(AND(Tabela2[[#This Row],[Dividendo / Ação]]&gt;0,Tabela2[[#This Row],[Lucro por ação]]&gt;0),Tabela2[[#This Row],[Dividendo / Ação]]/Tabela2[[#This Row],[Lucro por ação]],"")</f>
        <v>0.92280861597220065</v>
      </c>
      <c r="H266" s="6">
        <f>MAX(Tabela2[[#This Row],[Cotação 1]],Tabela2[[#This Row],[Cotação 2]])</f>
        <v>9</v>
      </c>
      <c r="I266" s="19">
        <f>IF(Tabela2[[#This Row],[Dividendo / Ação]]&gt;0,Tabela2[[#This Row],[Dividendo / Ação]]/Tabela2[[#This Row],[Cotação]],"")</f>
        <v>0.14161069444444446</v>
      </c>
      <c r="J266" s="59">
        <f>SUMPRODUCT(N(Tabela1[Código]=Tabela2[[#This Row],[Ativo]]),Tabela1[Fechamento])</f>
        <v>9</v>
      </c>
      <c r="K266" s="59">
        <f>SUMPRODUCT(N(Tabela17[Código]=Tabela2[[#This Row],[Ativo]]),Tabela17[Fechamento])</f>
        <v>0</v>
      </c>
      <c r="L266" s="59">
        <f>SUMPRODUCT(N([Ativo]=Tabela2[[#This Row],[Ativo]]),N([Exercício]=Tabela2[[#This Row],[Exercício]]-1),[Lucro Líquido])</f>
        <v>253664000</v>
      </c>
      <c r="M266" s="19">
        <f>IF(Tabela2[[#This Row],[Lucro Anterior]]=0,"",IF(Tabela2[[#This Row],[Lucro Líquido]]&gt;0,Tabela2[[#This Row],[Lucro Líquido]]/Tabela2[[#This Row],[Lucro Anterior]]-1,0))</f>
        <v>-8.4899709852403138E-2</v>
      </c>
    </row>
    <row r="267" spans="1:13">
      <c r="A267" s="4" t="s">
        <v>68</v>
      </c>
      <c r="B267" s="4">
        <v>2010</v>
      </c>
      <c r="C267" s="5">
        <v>253664000</v>
      </c>
      <c r="D267" s="8">
        <f>SUMPRODUCT(N(Tabela3[PAPEL]=Tabela2[[#This Row],[Ativo]]),Tabela3[Total Ações])</f>
        <v>168074028</v>
      </c>
      <c r="E267" s="64">
        <f>(Tabela2[[#This Row],[Lucro Líquido]])/Tabela2[[#This Row],[Total Ações]]</f>
        <v>1.5092397261996957</v>
      </c>
      <c r="F267" s="63">
        <v>1.250948685</v>
      </c>
      <c r="G267" s="44">
        <f>IF(AND(Tabela2[[#This Row],[Dividendo / Ação]]&gt;0,Tabela2[[#This Row],[Lucro por ação]]&gt;0),Tabela2[[#This Row],[Dividendo / Ação]]/Tabela2[[#This Row],[Lucro por ação]],"")</f>
        <v>0.82886016269259011</v>
      </c>
      <c r="H267" s="6">
        <f>MAX(Tabela2[[#This Row],[Cotação 1]],Tabela2[[#This Row],[Cotação 2]])</f>
        <v>9</v>
      </c>
      <c r="I267" s="19">
        <f>IF(Tabela2[[#This Row],[Dividendo / Ação]]&gt;0,Tabela2[[#This Row],[Dividendo / Ação]]/Tabela2[[#This Row],[Cotação]],"")</f>
        <v>0.13899429833333332</v>
      </c>
      <c r="J267" s="59">
        <f>SUMPRODUCT(N(Tabela1[Código]=Tabela2[[#This Row],[Ativo]]),Tabela1[Fechamento])</f>
        <v>9</v>
      </c>
      <c r="K267" s="59">
        <f>SUMPRODUCT(N(Tabela17[Código]=Tabela2[[#This Row],[Ativo]]),Tabela17[Fechamento])</f>
        <v>0</v>
      </c>
      <c r="L267" s="59">
        <f>SUMPRODUCT(N([Ativo]=Tabela2[[#This Row],[Ativo]]),N([Exercício]=Tabela2[[#This Row],[Exercício]]-1),[Lucro Líquido])</f>
        <v>244788000</v>
      </c>
      <c r="M267" s="19">
        <f>IF(Tabela2[[#This Row],[Lucro Anterior]]=0,"",IF(Tabela2[[#This Row],[Lucro Líquido]]&gt;0,Tabela2[[#This Row],[Lucro Líquido]]/Tabela2[[#This Row],[Lucro Anterior]]-1,0))</f>
        <v>3.6259947383041613E-2</v>
      </c>
    </row>
    <row r="268" spans="1:13">
      <c r="A268" s="4" t="s">
        <v>68</v>
      </c>
      <c r="B268" s="4">
        <v>2009</v>
      </c>
      <c r="C268" s="5">
        <v>244788000</v>
      </c>
      <c r="D268" s="8">
        <f>SUMPRODUCT(N(Tabela3[PAPEL]=Tabela2[[#This Row],[Ativo]]),Tabela3[Total Ações])</f>
        <v>168074028</v>
      </c>
      <c r="E268" s="64">
        <f>(Tabela2[[#This Row],[Lucro Líquido]])/Tabela2[[#This Row],[Total Ações]]</f>
        <v>1.4564296632433893</v>
      </c>
      <c r="F268" s="63">
        <v>1.0456133000000001</v>
      </c>
      <c r="G268" s="44">
        <f>IF(AND(Tabela2[[#This Row],[Dividendo / Ação]]&gt;0,Tabela2[[#This Row],[Lucro por ação]]&gt;0),Tabela2[[#This Row],[Dividendo / Ação]]/Tabela2[[#This Row],[Lucro por ação]],"")</f>
        <v>0.717929143019153</v>
      </c>
      <c r="H268" s="6">
        <f>MAX(Tabela2[[#This Row],[Cotação 1]],Tabela2[[#This Row],[Cotação 2]])</f>
        <v>9</v>
      </c>
      <c r="I268" s="19">
        <f>IF(Tabela2[[#This Row],[Dividendo / Ação]]&gt;0,Tabela2[[#This Row],[Dividendo / Ação]]/Tabela2[[#This Row],[Cotação]],"")</f>
        <v>0.11617925555555557</v>
      </c>
      <c r="J268" s="59">
        <f>SUMPRODUCT(N(Tabela1[Código]=Tabela2[[#This Row],[Ativo]]),Tabela1[Fechamento])</f>
        <v>9</v>
      </c>
      <c r="K268" s="59">
        <f>SUMPRODUCT(N(Tabela17[Código]=Tabela2[[#This Row],[Ativo]]),Tabela17[Fechamento])</f>
        <v>0</v>
      </c>
      <c r="L268" s="59">
        <f>SUMPRODUCT(N([Ativo]=Tabela2[[#This Row],[Ativo]]),N([Exercício]=Tabela2[[#This Row],[Exercício]]-1),[Lucro Líquido])</f>
        <v>0</v>
      </c>
      <c r="M268" s="19" t="str">
        <f>IF(Tabela2[[#This Row],[Lucro Anterior]]=0,"",IF(Tabela2[[#This Row],[Lucro Líquido]]&gt;0,Tabela2[[#This Row],[Lucro Líquido]]/Tabela2[[#This Row],[Lucro Anterior]]-1,0))</f>
        <v/>
      </c>
    </row>
    <row r="269" spans="1:13">
      <c r="A269" s="4" t="s">
        <v>15</v>
      </c>
      <c r="B269" s="4">
        <v>2012</v>
      </c>
      <c r="C269" s="6">
        <v>357464258.91000003</v>
      </c>
      <c r="D269" s="8">
        <f>SUMPRODUCT(N(Tabela3[PAPEL]=Tabela2[[#This Row],[Ativo]]),Tabela3[Total Ações])</f>
        <v>243051520</v>
      </c>
      <c r="E269" s="64">
        <f>(Tabela2[[#This Row],[Lucro Líquido]])/Tabela2[[#This Row],[Total Ações]]</f>
        <v>1.4707345130365777</v>
      </c>
      <c r="F269" s="64">
        <v>0.74467047200000003</v>
      </c>
      <c r="G269" s="44">
        <f>IF(AND(Tabela2[[#This Row],[Dividendo / Ação]]&gt;0,Tabela2[[#This Row],[Lucro por ação]]&gt;0),Tabela2[[#This Row],[Dividendo / Ação]]/Tabela2[[#This Row],[Lucro por ação]],"")</f>
        <v>0.50632555733155615</v>
      </c>
      <c r="H269" s="6">
        <f>MAX(Tabela2[[#This Row],[Cotação 1]],Tabela2[[#This Row],[Cotação 2]])</f>
        <v>7.82</v>
      </c>
      <c r="I269" s="19">
        <f>IF(Tabela2[[#This Row],[Dividendo / Ação]]&gt;0,Tabela2[[#This Row],[Dividendo / Ação]]/Tabela2[[#This Row],[Cotação]],"")</f>
        <v>9.5226403069053708E-2</v>
      </c>
      <c r="J269" s="59">
        <f>SUMPRODUCT(N(Tabela1[Código]=Tabela2[[#This Row],[Ativo]]),Tabela1[Fechamento])</f>
        <v>7.82</v>
      </c>
      <c r="K269" s="59">
        <f>SUMPRODUCT(N(Tabela17[Código]=Tabela2[[#This Row],[Ativo]]),Tabela17[Fechamento])</f>
        <v>0</v>
      </c>
      <c r="L269" s="59">
        <f>SUMPRODUCT(N([Ativo]=Tabela2[[#This Row],[Ativo]]),N([Exercício]=Tabela2[[#This Row],[Exercício]]-1),[Lucro Líquido])</f>
        <v>305060417.76999998</v>
      </c>
      <c r="M269" s="19">
        <f>IF(Tabela2[[#This Row],[Lucro Anterior]]=0,"",IF(Tabela2[[#This Row],[Lucro Líquido]]&gt;0,Tabela2[[#This Row],[Lucro Líquido]]/Tabela2[[#This Row],[Lucro Anterior]]-1,0))</f>
        <v>0.17178184414442743</v>
      </c>
    </row>
    <row r="270" spans="1:13">
      <c r="A270" s="4" t="s">
        <v>15</v>
      </c>
      <c r="B270" s="4">
        <v>2011</v>
      </c>
      <c r="C270" s="6">
        <v>305060417.76999998</v>
      </c>
      <c r="D270" s="8">
        <f>SUMPRODUCT(N(Tabela3[PAPEL]=Tabela2[[#This Row],[Ativo]]),Tabela3[Total Ações])</f>
        <v>243051520</v>
      </c>
      <c r="E270" s="64">
        <f>(Tabela2[[#This Row],[Lucro Líquido]])/Tabela2[[#This Row],[Total Ações]]</f>
        <v>1.2551265582293005</v>
      </c>
      <c r="F270" s="64">
        <v>0.63549999999999995</v>
      </c>
      <c r="G270" s="44">
        <f>IF(AND(Tabela2[[#This Row],[Dividendo / Ação]]&gt;0,Tabela2[[#This Row],[Lucro por ação]]&gt;0),Tabela2[[#This Row],[Dividendo / Ação]]/Tabela2[[#This Row],[Lucro por ação]],"")</f>
        <v>0.50632344271046792</v>
      </c>
      <c r="H270" s="6">
        <f>MAX(Tabela2[[#This Row],[Cotação 1]],Tabela2[[#This Row],[Cotação 2]])</f>
        <v>7.82</v>
      </c>
      <c r="I270" s="19">
        <f>IF(Tabela2[[#This Row],[Dividendo / Ação]]&gt;0,Tabela2[[#This Row],[Dividendo / Ação]]/Tabela2[[#This Row],[Cotação]],"")</f>
        <v>8.1265984654731449E-2</v>
      </c>
      <c r="J270" s="59">
        <f>SUMPRODUCT(N(Tabela1[Código]=Tabela2[[#This Row],[Ativo]]),Tabela1[Fechamento])</f>
        <v>7.82</v>
      </c>
      <c r="K270" s="59">
        <f>SUMPRODUCT(N(Tabela17[Código]=Tabela2[[#This Row],[Ativo]]),Tabela17[Fechamento])</f>
        <v>0</v>
      </c>
      <c r="L270" s="59">
        <f>SUMPRODUCT(N([Ativo]=Tabela2[[#This Row],[Ativo]]),N([Exercício]=Tabela2[[#This Row],[Exercício]]-1),[Lucro Líquido])</f>
        <v>276916946.19</v>
      </c>
      <c r="M270" s="19">
        <f>IF(Tabela2[[#This Row],[Lucro Anterior]]=0,"",IF(Tabela2[[#This Row],[Lucro Líquido]]&gt;0,Tabela2[[#This Row],[Lucro Líquido]]/Tabela2[[#This Row],[Lucro Anterior]]-1,0))</f>
        <v>0.10163145292195308</v>
      </c>
    </row>
    <row r="271" spans="1:13">
      <c r="A271" s="4" t="s">
        <v>15</v>
      </c>
      <c r="B271" s="4">
        <v>2010</v>
      </c>
      <c r="C271" s="6">
        <v>276916946.19</v>
      </c>
      <c r="D271" s="8">
        <f>SUMPRODUCT(N(Tabela3[PAPEL]=Tabela2[[#This Row],[Ativo]]),Tabela3[Total Ações])</f>
        <v>243051520</v>
      </c>
      <c r="E271" s="64">
        <f>(Tabela2[[#This Row],[Lucro Líquido]])/Tabela2[[#This Row],[Total Ações]]</f>
        <v>1.1393343526096853</v>
      </c>
      <c r="F271" s="64">
        <v>0.57389999999999997</v>
      </c>
      <c r="G271" s="44">
        <f>IF(AND(Tabela2[[#This Row],[Dividendo / Ação]]&gt;0,Tabela2[[#This Row],[Lucro por ação]]&gt;0),Tabela2[[#This Row],[Dividendo / Ação]]/Tabela2[[#This Row],[Lucro por ação]],"")</f>
        <v>0.50371517253514031</v>
      </c>
      <c r="H271" s="6">
        <f>MAX(Tabela2[[#This Row],[Cotação 1]],Tabela2[[#This Row],[Cotação 2]])</f>
        <v>7.82</v>
      </c>
      <c r="I271" s="19">
        <f>IF(Tabela2[[#This Row],[Dividendo / Ação]]&gt;0,Tabela2[[#This Row],[Dividendo / Ação]]/Tabela2[[#This Row],[Cotação]],"")</f>
        <v>7.3388746803069047E-2</v>
      </c>
      <c r="J271" s="59">
        <f>SUMPRODUCT(N(Tabela1[Código]=Tabela2[[#This Row],[Ativo]]),Tabela1[Fechamento])</f>
        <v>7.82</v>
      </c>
      <c r="K271" s="59">
        <f>SUMPRODUCT(N(Tabela17[Código]=Tabela2[[#This Row],[Ativo]]),Tabela17[Fechamento])</f>
        <v>0</v>
      </c>
      <c r="L271" s="59">
        <f>SUMPRODUCT(N([Ativo]=Tabela2[[#This Row],[Ativo]]),N([Exercício]=Tabela2[[#This Row],[Exercício]]-1),[Lucro Líquido])</f>
        <v>211087826.47999999</v>
      </c>
      <c r="M271" s="19">
        <f>IF(Tabela2[[#This Row],[Lucro Anterior]]=0,"",IF(Tabela2[[#This Row],[Lucro Líquido]]&gt;0,Tabela2[[#This Row],[Lucro Líquido]]/Tabela2[[#This Row],[Lucro Anterior]]-1,0))</f>
        <v>0.31185654240576088</v>
      </c>
    </row>
    <row r="272" spans="1:13">
      <c r="A272" s="4" t="s">
        <v>15</v>
      </c>
      <c r="B272" s="4">
        <v>2009</v>
      </c>
      <c r="C272" s="6">
        <v>211087826.47999999</v>
      </c>
      <c r="D272" s="8">
        <f>SUMPRODUCT(N(Tabela3[PAPEL]=Tabela2[[#This Row],[Ativo]]),Tabela3[Total Ações])</f>
        <v>243051520</v>
      </c>
      <c r="E272" s="64">
        <f>(Tabela2[[#This Row],[Lucro Líquido]])/Tabela2[[#This Row],[Total Ações]]</f>
        <v>0.8684900488587769</v>
      </c>
      <c r="F272" s="64">
        <v>0.43609999999999999</v>
      </c>
      <c r="G272" s="44">
        <f>IF(AND(Tabela2[[#This Row],[Dividendo / Ação]]&gt;0,Tabela2[[#This Row],[Lucro por ação]]&gt;0),Tabela2[[#This Row],[Dividendo / Ação]]/Tabela2[[#This Row],[Lucro por ação]],"")</f>
        <v>0.50213586278052236</v>
      </c>
      <c r="H272" s="6">
        <f>MAX(Tabela2[[#This Row],[Cotação 1]],Tabela2[[#This Row],[Cotação 2]])</f>
        <v>7.82</v>
      </c>
      <c r="I272" s="19">
        <f>IF(Tabela2[[#This Row],[Dividendo / Ação]]&gt;0,Tabela2[[#This Row],[Dividendo / Ação]]/Tabela2[[#This Row],[Cotação]],"")</f>
        <v>5.576726342710997E-2</v>
      </c>
      <c r="J272" s="59">
        <f>SUMPRODUCT(N(Tabela1[Código]=Tabela2[[#This Row],[Ativo]]),Tabela1[Fechamento])</f>
        <v>7.82</v>
      </c>
      <c r="K272" s="59">
        <f>SUMPRODUCT(N(Tabela17[Código]=Tabela2[[#This Row],[Ativo]]),Tabela17[Fechamento])</f>
        <v>0</v>
      </c>
      <c r="L272" s="59">
        <f>SUMPRODUCT(N([Ativo]=Tabela2[[#This Row],[Ativo]]),N([Exercício]=Tabela2[[#This Row],[Exercício]]-1),[Lucro Líquido])</f>
        <v>0</v>
      </c>
      <c r="M272" s="19" t="str">
        <f>IF(Tabela2[[#This Row],[Lucro Anterior]]=0,"",IF(Tabela2[[#This Row],[Lucro Líquido]]&gt;0,Tabela2[[#This Row],[Lucro Líquido]]/Tabela2[[#This Row],[Lucro Anterior]]-1,0))</f>
        <v/>
      </c>
    </row>
    <row r="273" spans="1:14">
      <c r="A273" s="4" t="s">
        <v>361</v>
      </c>
      <c r="B273" s="4">
        <v>2012</v>
      </c>
      <c r="C273" s="6">
        <v>459255478.19</v>
      </c>
      <c r="D273" s="74">
        <f>SUMPRODUCT(N(Tabela3[PAPEL]=Tabela2[[#This Row],[Ativo]]),Tabela3[Total Ações])</f>
        <v>605059489</v>
      </c>
      <c r="E273" s="64">
        <f>(Tabela2[[#This Row],[Lucro Líquido]])/Tabela2[[#This Row],[Total Ações]]</f>
        <v>0.7590253298052152</v>
      </c>
      <c r="F273" s="64">
        <v>0.28884578700000002</v>
      </c>
      <c r="G273" s="43">
        <f>IF(AND(Tabela2[[#This Row],[Dividendo / Ação]]&gt;0,Tabela2[[#This Row],[Lucro por ação]]&gt;0),Tabela2[[#This Row],[Dividendo / Ação]]/Tabela2[[#This Row],[Lucro por ação]],"")</f>
        <v>0.38054828430314053</v>
      </c>
      <c r="H273" s="59">
        <f>MAX(Tabela2[[#This Row],[Cotação 1]],Tabela2[[#This Row],[Cotação 2]])</f>
        <v>12.55</v>
      </c>
      <c r="I273" s="44">
        <f>IF(Tabela2[[#This Row],[Dividendo / Ação]]&gt;0,Tabela2[[#This Row],[Dividendo / Ação]]/Tabela2[[#This Row],[Cotação]],"")</f>
        <v>2.3015600557768925E-2</v>
      </c>
      <c r="J273" s="17">
        <f>SUMPRODUCT(N(Tabela1[Código]=Tabela2[[#This Row],[Ativo]]),Tabela1[Fechamento])</f>
        <v>0</v>
      </c>
      <c r="K273" s="17">
        <f>SUMPRODUCT(N(Tabela17[Código]=Tabela2[[#This Row],[Ativo]]),Tabela17[Fechamento])</f>
        <v>12.55</v>
      </c>
      <c r="L273" s="17">
        <f>SUMPRODUCT(N([Ativo]=Tabela2[[#This Row],[Ativo]]),N([Exercício]=Tabela2[[#This Row],[Exercício]]-1),[Lucro Líquido])</f>
        <v>374211888.35000002</v>
      </c>
      <c r="M273" s="19">
        <f>IF(Tabela2[[#This Row],[Lucro Anterior]]=0,"",IF(Tabela2[[#This Row],[Lucro Líquido]]&gt;0,Tabela2[[#This Row],[Lucro Líquido]]/Tabela2[[#This Row],[Lucro Anterior]]-1,0))</f>
        <v>0.22726052401750207</v>
      </c>
    </row>
    <row r="274" spans="1:14">
      <c r="A274" s="4" t="s">
        <v>361</v>
      </c>
      <c r="B274" s="4">
        <v>2011</v>
      </c>
      <c r="C274" s="6">
        <v>374211888.35000002</v>
      </c>
      <c r="D274" s="74">
        <f>SUMPRODUCT(N(Tabela3[PAPEL]=Tabela2[[#This Row],[Ativo]]),Tabela3[Total Ações])</f>
        <v>605059489</v>
      </c>
      <c r="E274" s="64">
        <f>(Tabela2[[#This Row],[Lucro Líquido]])/Tabela2[[#This Row],[Total Ações]]</f>
        <v>0.61847123324761211</v>
      </c>
      <c r="F274" s="64">
        <v>0.23499071399999999</v>
      </c>
      <c r="G274" s="43">
        <f>IF(AND(Tabela2[[#This Row],[Dividendo / Ação]]&gt;0,Tabela2[[#This Row],[Lucro por ação]]&gt;0),Tabela2[[#This Row],[Dividendo / Ação]]/Tabela2[[#This Row],[Lucro por ação]],"")</f>
        <v>0.37995415367349633</v>
      </c>
      <c r="H274" s="59">
        <f>MAX(Tabela2[[#This Row],[Cotação 1]],Tabela2[[#This Row],[Cotação 2]])</f>
        <v>12.55</v>
      </c>
      <c r="I274" s="44">
        <f>IF(Tabela2[[#This Row],[Dividendo / Ação]]&gt;0,Tabela2[[#This Row],[Dividendo / Ação]]/Tabela2[[#This Row],[Cotação]],"")</f>
        <v>1.8724359681274897E-2</v>
      </c>
      <c r="J274" s="17">
        <f>SUMPRODUCT(N(Tabela1[Código]=Tabela2[[#This Row],[Ativo]]),Tabela1[Fechamento])</f>
        <v>0</v>
      </c>
      <c r="K274" s="17">
        <f>SUMPRODUCT(N(Tabela17[Código]=Tabela2[[#This Row],[Ativo]]),Tabela17[Fechamento])</f>
        <v>12.55</v>
      </c>
      <c r="L274" s="17">
        <f>SUMPRODUCT(N([Ativo]=Tabela2[[#This Row],[Ativo]]),N([Exercício]=Tabela2[[#This Row],[Exercício]]-1),[Lucro Líquido])</f>
        <v>466895395.82999998</v>
      </c>
      <c r="M274" s="19">
        <f>IF(Tabela2[[#This Row],[Lucro Anterior]]=0,"",IF(Tabela2[[#This Row],[Lucro Líquido]]&gt;0,Tabela2[[#This Row],[Lucro Líquido]]/Tabela2[[#This Row],[Lucro Anterior]]-1,0))</f>
        <v>-0.19851021943627545</v>
      </c>
    </row>
    <row r="275" spans="1:14">
      <c r="A275" s="4" t="s">
        <v>361</v>
      </c>
      <c r="B275" s="4">
        <v>2010</v>
      </c>
      <c r="C275" s="6">
        <v>466895395.82999998</v>
      </c>
      <c r="D275" s="74">
        <f>SUMPRODUCT(N(Tabela3[PAPEL]=Tabela2[[#This Row],[Ativo]]),Tabela3[Total Ações])</f>
        <v>605059489</v>
      </c>
      <c r="E275" s="64">
        <f>(Tabela2[[#This Row],[Lucro Líquido]])/Tabela2[[#This Row],[Total Ações]]</f>
        <v>0.77165205127458136</v>
      </c>
      <c r="F275" s="64">
        <v>0.34668314900000002</v>
      </c>
      <c r="G275" s="43">
        <f>IF(AND(Tabela2[[#This Row],[Dividendo / Ação]]&gt;0,Tabela2[[#This Row],[Lucro por ação]]&gt;0),Tabela2[[#This Row],[Dividendo / Ação]]/Tabela2[[#This Row],[Lucro por ação]],"")</f>
        <v>0.44927392913342723</v>
      </c>
      <c r="H275" s="59">
        <f>MAX(Tabela2[[#This Row],[Cotação 1]],Tabela2[[#This Row],[Cotação 2]])</f>
        <v>12.55</v>
      </c>
      <c r="I275" s="44">
        <f>IF(Tabela2[[#This Row],[Dividendo / Ação]]&gt;0,Tabela2[[#This Row],[Dividendo / Ação]]/Tabela2[[#This Row],[Cotação]],"")</f>
        <v>2.762415529880478E-2</v>
      </c>
      <c r="J275" s="17">
        <f>SUMPRODUCT(N(Tabela1[Código]=Tabela2[[#This Row],[Ativo]]),Tabela1[Fechamento])</f>
        <v>0</v>
      </c>
      <c r="K275" s="17">
        <f>SUMPRODUCT(N(Tabela17[Código]=Tabela2[[#This Row],[Ativo]]),Tabela17[Fechamento])</f>
        <v>12.55</v>
      </c>
      <c r="L275" s="17">
        <f>SUMPRODUCT(N([Ativo]=Tabela2[[#This Row],[Ativo]]),N([Exercício]=Tabela2[[#This Row],[Exercício]]-1),[Lucro Líquido])</f>
        <v>179469272.13999999</v>
      </c>
      <c r="M275" s="19">
        <f>IF(Tabela2[[#This Row],[Lucro Anterior]]=0,"",IF(Tabela2[[#This Row],[Lucro Líquido]]&gt;0,Tabela2[[#This Row],[Lucro Líquido]]/Tabela2[[#This Row],[Lucro Anterior]]-1,0))</f>
        <v>1.6015339019472106</v>
      </c>
    </row>
    <row r="276" spans="1:14">
      <c r="A276" s="4" t="s">
        <v>361</v>
      </c>
      <c r="B276" s="4">
        <v>2009</v>
      </c>
      <c r="C276" s="6">
        <v>179469272.13999999</v>
      </c>
      <c r="D276" s="74">
        <f>SUMPRODUCT(N(Tabela3[PAPEL]=Tabela2[[#This Row],[Ativo]]),Tabela3[Total Ações])</f>
        <v>605059489</v>
      </c>
      <c r="E276" s="64">
        <f>(Tabela2[[#This Row],[Lucro Líquido]])/Tabela2[[#This Row],[Total Ações]]</f>
        <v>0.29661425926335649</v>
      </c>
      <c r="F276" s="64">
        <v>7.8760800000000006E-2</v>
      </c>
      <c r="G276" s="43">
        <f>IF(AND(Tabela2[[#This Row],[Dividendo / Ação]]&gt;0,Tabela2[[#This Row],[Lucro por ação]]&gt;0),Tabela2[[#This Row],[Dividendo / Ação]]/Tabela2[[#This Row],[Lucro por ação]],"")</f>
        <v>0.26553275016380867</v>
      </c>
      <c r="H276" s="59">
        <f>MAX(Tabela2[[#This Row],[Cotação 1]],Tabela2[[#This Row],[Cotação 2]])</f>
        <v>12.55</v>
      </c>
      <c r="I276" s="44">
        <f>IF(Tabela2[[#This Row],[Dividendo / Ação]]&gt;0,Tabela2[[#This Row],[Dividendo / Ação]]/Tabela2[[#This Row],[Cotação]],"")</f>
        <v>6.2757609561752987E-3</v>
      </c>
      <c r="J276" s="17">
        <f>SUMPRODUCT(N(Tabela1[Código]=Tabela2[[#This Row],[Ativo]]),Tabela1[Fechamento])</f>
        <v>0</v>
      </c>
      <c r="K276" s="17">
        <f>SUMPRODUCT(N(Tabela17[Código]=Tabela2[[#This Row],[Ativo]]),Tabela17[Fechamento])</f>
        <v>12.55</v>
      </c>
      <c r="L276" s="17">
        <f>SUMPRODUCT(N([Ativo]=Tabela2[[#This Row],[Ativo]]),N([Exercício]=Tabela2[[#This Row],[Exercício]]-1),[Lucro Líquido])</f>
        <v>0</v>
      </c>
      <c r="M276" s="19" t="str">
        <f>IF(Tabela2[[#This Row],[Lucro Anterior]]=0,"",IF(Tabela2[[#This Row],[Lucro Líquido]]&gt;0,Tabela2[[#This Row],[Lucro Líquido]]/Tabela2[[#This Row],[Lucro Anterior]]-1,0))</f>
        <v/>
      </c>
    </row>
    <row r="277" spans="1:14">
      <c r="A277" s="4" t="s">
        <v>101</v>
      </c>
      <c r="B277" s="4">
        <v>2012</v>
      </c>
      <c r="C277" s="6">
        <v>-130200000</v>
      </c>
      <c r="D277" s="8">
        <f>SUMPRODUCT(N(Tabela3[PAPEL]=Tabela2[[#This Row],[Ativo]]),Tabela3[Total Ações])</f>
        <v>387229828</v>
      </c>
      <c r="E277" s="64">
        <f>(Tabela2[[#This Row],[Lucro Líquido]])/Tabela2[[#This Row],[Total Ações]]</f>
        <v>-0.33623442871761416</v>
      </c>
      <c r="F277" s="64">
        <v>0</v>
      </c>
      <c r="G277" s="44" t="str">
        <f>IF(AND(Tabela2[[#This Row],[Dividendo / Ação]]&gt;0,Tabela2[[#This Row],[Lucro por ação]]&gt;0),Tabela2[[#This Row],[Dividendo / Ação]]/Tabela2[[#This Row],[Lucro por ação]],"")</f>
        <v/>
      </c>
      <c r="H277" s="6">
        <f>MAX(Tabela2[[#This Row],[Cotação 1]],Tabela2[[#This Row],[Cotação 2]])</f>
        <v>1.4</v>
      </c>
      <c r="I277" s="19" t="str">
        <f>IF(Tabela2[[#This Row],[Dividendo / Ação]]&gt;0,Tabela2[[#This Row],[Dividendo / Ação]]/Tabela2[[#This Row],[Cotação]],"")</f>
        <v/>
      </c>
      <c r="J277" s="59">
        <f>SUMPRODUCT(N(Tabela1[Código]=Tabela2[[#This Row],[Ativo]]),Tabela1[Fechamento])</f>
        <v>1.4</v>
      </c>
      <c r="K277" s="59">
        <f>SUMPRODUCT(N(Tabela17[Código]=Tabela2[[#This Row],[Ativo]]),Tabela17[Fechamento])</f>
        <v>0</v>
      </c>
      <c r="L277" s="59">
        <f>SUMPRODUCT(N([Ativo]=Tabela2[[#This Row],[Ativo]]),N([Exercício]=Tabela2[[#This Row],[Exercício]]-1),[Lucro Líquido])</f>
        <v>88173075.810000002</v>
      </c>
      <c r="M277" s="19">
        <f>IF(Tabela2[[#This Row],[Lucro Anterior]]=0,"",IF(Tabela2[[#This Row],[Lucro Líquido]]&gt;0,Tabela2[[#This Row],[Lucro Líquido]]/Tabela2[[#This Row],[Lucro Anterior]]-1,0))</f>
        <v>0</v>
      </c>
    </row>
    <row r="278" spans="1:14">
      <c r="A278" s="4" t="s">
        <v>101</v>
      </c>
      <c r="B278" s="3">
        <v>2011</v>
      </c>
      <c r="C278" s="5">
        <v>88173075.810000002</v>
      </c>
      <c r="D278" s="60">
        <f>SUMPRODUCT(N(Tabela3[PAPEL]=Tabela2[[#This Row],[Ativo]]),Tabela3[Total Ações])</f>
        <v>387229828</v>
      </c>
      <c r="E278" s="63">
        <f>(Tabela2[[#This Row],[Lucro Líquido]])/Tabela2[[#This Row],[Total Ações]]</f>
        <v>0.22770217951805097</v>
      </c>
      <c r="F278" s="63">
        <v>0.1</v>
      </c>
      <c r="G278" s="22">
        <f>IF(AND(Tabela2[[#This Row],[Dividendo / Ação]]&gt;0,Tabela2[[#This Row],[Lucro por ação]]&gt;0),Tabela2[[#This Row],[Dividendo / Ação]]/Tabela2[[#This Row],[Lucro por ação]],"")</f>
        <v>0.43917014853198871</v>
      </c>
      <c r="H278" s="5">
        <f>MAX(Tabela2[[#This Row],[Cotação 1]],Tabela2[[#This Row],[Cotação 2]])</f>
        <v>1.4</v>
      </c>
      <c r="I278" s="18">
        <f>IF(Tabela2[[#This Row],[Dividendo / Ação]]&gt;0,Tabela2[[#This Row],[Dividendo / Ação]]/Tabela2[[#This Row],[Cotação]],"")</f>
        <v>7.1428571428571438E-2</v>
      </c>
      <c r="J278" s="58">
        <f>SUMPRODUCT(N(Tabela1[Código]=Tabela2[[#This Row],[Ativo]]),Tabela1[Fechamento])</f>
        <v>1.4</v>
      </c>
      <c r="K278" s="58">
        <f>SUMPRODUCT(N(Tabela17[Código]=Tabela2[[#This Row],[Ativo]]),Tabela17[Fechamento])</f>
        <v>0</v>
      </c>
      <c r="L278" s="58">
        <f>SUMPRODUCT(N([Ativo]=Tabela2[[#This Row],[Ativo]]),N([Exercício]=Tabela2[[#This Row],[Exercício]]-1),[Lucro Líquido])</f>
        <v>0</v>
      </c>
      <c r="M278" s="18" t="str">
        <f>IF(Tabela2[[#This Row],[Lucro Anterior]]=0,"",IF(Tabela2[[#This Row],[Lucro Líquido]]&gt;0,Tabela2[[#This Row],[Lucro Líquido]]/Tabela2[[#This Row],[Lucro Anterior]]-1,0))</f>
        <v/>
      </c>
    </row>
    <row r="279" spans="1:14">
      <c r="A279" s="4" t="s">
        <v>102</v>
      </c>
      <c r="B279" s="4">
        <v>2012</v>
      </c>
      <c r="C279" s="6">
        <v>-130200000</v>
      </c>
      <c r="D279" s="8">
        <f>SUMPRODUCT(N(Tabela3[PAPEL]=Tabela2[[#This Row],[Ativo]]),Tabela3[Total Ações])</f>
        <v>387229828</v>
      </c>
      <c r="E279" s="64">
        <f>(Tabela2[[#This Row],[Lucro Líquido]])/Tabela2[[#This Row],[Total Ações]]</f>
        <v>-0.33623442871761416</v>
      </c>
      <c r="F279" s="64">
        <v>0</v>
      </c>
      <c r="G279" s="44" t="str">
        <f>IF(AND(Tabela2[[#This Row],[Dividendo / Ação]]&gt;0,Tabela2[[#This Row],[Lucro por ação]]&gt;0),Tabela2[[#This Row],[Dividendo / Ação]]/Tabela2[[#This Row],[Lucro por ação]],"")</f>
        <v/>
      </c>
      <c r="H279" s="6">
        <f>MAX(Tabela2[[#This Row],[Cotação 1]],Tabela2[[#This Row],[Cotação 2]])</f>
        <v>1.85</v>
      </c>
      <c r="I279" s="19" t="str">
        <f>IF(Tabela2[[#This Row],[Dividendo / Ação]]&gt;0,Tabela2[[#This Row],[Dividendo / Ação]]/Tabela2[[#This Row],[Cotação]],"")</f>
        <v/>
      </c>
      <c r="J279" s="59">
        <f>SUMPRODUCT(N(Tabela1[Código]=Tabela2[[#This Row],[Ativo]]),Tabela1[Fechamento])</f>
        <v>1.85</v>
      </c>
      <c r="K279" s="59">
        <f>SUMPRODUCT(N(Tabela17[Código]=Tabela2[[#This Row],[Ativo]]),Tabela17[Fechamento])</f>
        <v>0</v>
      </c>
      <c r="L279" s="59">
        <f>SUMPRODUCT(N([Ativo]=Tabela2[[#This Row],[Ativo]]),N([Exercício]=Tabela2[[#This Row],[Exercício]]-1),[Lucro Líquido])</f>
        <v>88173075.810000002</v>
      </c>
      <c r="M279" s="19">
        <f>IF(Tabela2[[#This Row],[Lucro Anterior]]=0,"",IF(Tabela2[[#This Row],[Lucro Líquido]]&gt;0,Tabela2[[#This Row],[Lucro Líquido]]/Tabela2[[#This Row],[Lucro Anterior]]-1,0))</f>
        <v>0</v>
      </c>
    </row>
    <row r="280" spans="1:14">
      <c r="A280" s="4" t="s">
        <v>102</v>
      </c>
      <c r="B280" s="4">
        <v>2011</v>
      </c>
      <c r="C280" s="5">
        <v>88173075.810000002</v>
      </c>
      <c r="D280" s="8">
        <f>SUMPRODUCT(N(Tabela3[PAPEL]=Tabela2[[#This Row],[Ativo]]),Tabela3[Total Ações])</f>
        <v>387229828</v>
      </c>
      <c r="E280" s="64">
        <f>(Tabela2[[#This Row],[Lucro Líquido]])/Tabela2[[#This Row],[Total Ações]]</f>
        <v>0.22770217951805097</v>
      </c>
      <c r="F280" s="64">
        <v>0.1</v>
      </c>
      <c r="G280" s="44">
        <f>IF(AND(Tabela2[[#This Row],[Dividendo / Ação]]&gt;0,Tabela2[[#This Row],[Lucro por ação]]&gt;0),Tabela2[[#This Row],[Dividendo / Ação]]/Tabela2[[#This Row],[Lucro por ação]],"")</f>
        <v>0.43917014853198871</v>
      </c>
      <c r="H280" s="6">
        <f>MAX(Tabela2[[#This Row],[Cotação 1]],Tabela2[[#This Row],[Cotação 2]])</f>
        <v>1.85</v>
      </c>
      <c r="I280" s="19">
        <f>IF(Tabela2[[#This Row],[Dividendo / Ação]]&gt;0,Tabela2[[#This Row],[Dividendo / Ação]]/Tabela2[[#This Row],[Cotação]],"")</f>
        <v>5.4054054054054057E-2</v>
      </c>
      <c r="J280" s="59">
        <f>SUMPRODUCT(N(Tabela1[Código]=Tabela2[[#This Row],[Ativo]]),Tabela1[Fechamento])</f>
        <v>1.85</v>
      </c>
      <c r="K280" s="59">
        <f>SUMPRODUCT(N(Tabela17[Código]=Tabela2[[#This Row],[Ativo]]),Tabela17[Fechamento])</f>
        <v>0</v>
      </c>
      <c r="L280" s="59">
        <f>SUMPRODUCT(N([Ativo]=Tabela2[[#This Row],[Ativo]]),N([Exercício]=Tabela2[[#This Row],[Exercício]]-1),[Lucro Líquido])</f>
        <v>0</v>
      </c>
      <c r="M280" s="19" t="str">
        <f>IF(Tabela2[[#This Row],[Lucro Anterior]]=0,"",IF(Tabela2[[#This Row],[Lucro Líquido]]&gt;0,Tabela2[[#This Row],[Lucro Líquido]]/Tabela2[[#This Row],[Lucro Anterior]]-1,0))</f>
        <v/>
      </c>
    </row>
    <row r="281" spans="1:14">
      <c r="A281" s="14" t="s">
        <v>293</v>
      </c>
      <c r="B281" s="3">
        <v>2012</v>
      </c>
      <c r="C281" s="5">
        <v>459346.49</v>
      </c>
      <c r="D281" s="60">
        <f>SUMPRODUCT(N(Tabela3[PAPEL]=Tabela2[[#This Row],[Ativo]]),Tabela3[Total Ações])</f>
        <v>31485170</v>
      </c>
      <c r="E281" s="63">
        <f>(Tabela2[[#This Row],[Lucro Líquido]])/Tabela2[[#This Row],[Total Ações]]</f>
        <v>1.4589296802272307E-2</v>
      </c>
      <c r="F281" s="63">
        <v>0</v>
      </c>
      <c r="G281" s="22" t="str">
        <f>IF(AND(Tabela2[[#This Row],[Dividendo / Ação]]&gt;0,Tabela2[[#This Row],[Lucro por ação]]&gt;0),Tabela2[[#This Row],[Dividendo / Ação]]/Tabela2[[#This Row],[Lucro por ação]],"")</f>
        <v/>
      </c>
      <c r="H281" s="49">
        <f>MAX(Tabela2[[#This Row],[Cotação 1]],Tabela2[[#This Row],[Cotação 2]])</f>
        <v>10</v>
      </c>
      <c r="I281" s="18" t="str">
        <f>IF(Tabela2[[#This Row],[Dividendo / Ação]]&gt;0,Tabela2[[#This Row],[Dividendo / Ação]]/Tabela2[[#This Row],[Cotação]],"")</f>
        <v/>
      </c>
      <c r="J281" s="7">
        <f>SUMPRODUCT(N(Tabela1[Código]=Tabela2[[#This Row],[Ativo]]),Tabela1[Fechamento])</f>
        <v>0</v>
      </c>
      <c r="K281" s="7">
        <f>SUMPRODUCT(N(Tabela17[Código]=Tabela2[[#This Row],[Ativo]]),Tabela17[Fechamento])</f>
        <v>10</v>
      </c>
      <c r="L281" s="7">
        <f>SUMPRODUCT(N([Ativo]=Tabela2[[#This Row],[Ativo]]),N([Exercício]=Tabela2[[#This Row],[Exercício]]-1),[Lucro Líquido])</f>
        <v>14826895.1</v>
      </c>
      <c r="M281" s="18">
        <f>IF(Tabela2[[#This Row],[Lucro Anterior]]=0,"",IF(Tabela2[[#This Row],[Lucro Líquido]]&gt;0,Tabela2[[#This Row],[Lucro Líquido]]/Tabela2[[#This Row],[Lucro Anterior]]-1,0))</f>
        <v>-0.96901937412371653</v>
      </c>
    </row>
    <row r="282" spans="1:14">
      <c r="A282" s="14" t="s">
        <v>293</v>
      </c>
      <c r="B282" s="3">
        <v>2011</v>
      </c>
      <c r="C282" s="5">
        <v>14826895.1</v>
      </c>
      <c r="D282" s="60">
        <f>SUMPRODUCT(N(Tabela3[PAPEL]=Tabela2[[#This Row],[Ativo]]),Tabela3[Total Ações])</f>
        <v>31485170</v>
      </c>
      <c r="E282" s="63">
        <f>(Tabela2[[#This Row],[Lucro Líquido]])/Tabela2[[#This Row],[Total Ações]]</f>
        <v>0.47091678717313579</v>
      </c>
      <c r="F282" s="63">
        <v>0.11279</v>
      </c>
      <c r="G282" s="22">
        <f>IF(AND(Tabela2[[#This Row],[Dividendo / Ação]]&gt;0,Tabela2[[#This Row],[Lucro por ação]]&gt;0),Tabela2[[#This Row],[Dividendo / Ação]]/Tabela2[[#This Row],[Lucro por ação]],"")</f>
        <v>0.2395115295784348</v>
      </c>
      <c r="H282" s="49">
        <f>MAX(Tabela2[[#This Row],[Cotação 1]],Tabela2[[#This Row],[Cotação 2]])</f>
        <v>10</v>
      </c>
      <c r="I282" s="18">
        <f>IF(Tabela2[[#This Row],[Dividendo / Ação]]&gt;0,Tabela2[[#This Row],[Dividendo / Ação]]/Tabela2[[#This Row],[Cotação]],"")</f>
        <v>1.1279000000000001E-2</v>
      </c>
      <c r="J282" s="7">
        <f>SUMPRODUCT(N(Tabela1[Código]=Tabela2[[#This Row],[Ativo]]),Tabela1[Fechamento])</f>
        <v>0</v>
      </c>
      <c r="K282" s="7">
        <f>SUMPRODUCT(N(Tabela17[Código]=Tabela2[[#This Row],[Ativo]]),Tabela17[Fechamento])</f>
        <v>10</v>
      </c>
      <c r="L282" s="7">
        <f>SUMPRODUCT(N([Ativo]=Tabela2[[#This Row],[Ativo]]),N([Exercício]=Tabela2[[#This Row],[Exercício]]-1),[Lucro Líquido])</f>
        <v>45200803.640000001</v>
      </c>
      <c r="M282" s="18">
        <f>IF(Tabela2[[#This Row],[Lucro Anterior]]=0,"",IF(Tabela2[[#This Row],[Lucro Líquido]]&gt;0,Tabela2[[#This Row],[Lucro Líquido]]/Tabela2[[#This Row],[Lucro Anterior]]-1,0))</f>
        <v>-0.67197717947476743</v>
      </c>
      <c r="N282" s="3">
        <v>0.39897712400000002</v>
      </c>
    </row>
    <row r="283" spans="1:14">
      <c r="A283" s="14" t="s">
        <v>293</v>
      </c>
      <c r="B283" s="3">
        <v>2010</v>
      </c>
      <c r="C283" s="5">
        <v>45200803.640000001</v>
      </c>
      <c r="D283" s="60">
        <f>SUMPRODUCT(N(Tabela3[PAPEL]=Tabela2[[#This Row],[Ativo]]),Tabela3[Total Ações])</f>
        <v>31485170</v>
      </c>
      <c r="E283" s="63">
        <f>(Tabela2[[#This Row],[Lucro Líquido]])/Tabela2[[#This Row],[Total Ações]]</f>
        <v>1.4356220290377979</v>
      </c>
      <c r="F283" s="63">
        <v>0.31025000000000003</v>
      </c>
      <c r="G283" s="22">
        <f>IF(AND(Tabela2[[#This Row],[Dividendo / Ação]]&gt;0,Tabela2[[#This Row],[Lucro por ação]]&gt;0),Tabela2[[#This Row],[Dividendo / Ação]]/Tabela2[[#This Row],[Lucro por ação]],"")</f>
        <v>0.21610841414013407</v>
      </c>
      <c r="H283" s="49">
        <f>MAX(Tabela2[[#This Row],[Cotação 1]],Tabela2[[#This Row],[Cotação 2]])</f>
        <v>10</v>
      </c>
      <c r="I283" s="18">
        <f>IF(Tabela2[[#This Row],[Dividendo / Ação]]&gt;0,Tabela2[[#This Row],[Dividendo / Ação]]/Tabela2[[#This Row],[Cotação]],"")</f>
        <v>3.1025000000000004E-2</v>
      </c>
      <c r="J283" s="7">
        <f>SUMPRODUCT(N(Tabela1[Código]=Tabela2[[#This Row],[Ativo]]),Tabela1[Fechamento])</f>
        <v>0</v>
      </c>
      <c r="K283" s="7">
        <f>SUMPRODUCT(N(Tabela17[Código]=Tabela2[[#This Row],[Ativo]]),Tabela17[Fechamento])</f>
        <v>10</v>
      </c>
      <c r="L283" s="7">
        <f>SUMPRODUCT(N([Ativo]=Tabela2[[#This Row],[Ativo]]),N([Exercício]=Tabela2[[#This Row],[Exercício]]-1),[Lucro Líquido])</f>
        <v>3829778.75</v>
      </c>
      <c r="M283" s="18">
        <f>IF(Tabela2[[#This Row],[Lucro Anterior]]=0,"",IF(Tabela2[[#This Row],[Lucro Líquido]]&gt;0,Tabela2[[#This Row],[Lucro Líquido]]/Tabela2[[#This Row],[Lucro Anterior]]-1,0))</f>
        <v>10.802458207278946</v>
      </c>
      <c r="N283" s="3">
        <v>0.385525487</v>
      </c>
    </row>
    <row r="284" spans="1:14">
      <c r="A284" s="14" t="s">
        <v>293</v>
      </c>
      <c r="B284" s="3">
        <v>2009</v>
      </c>
      <c r="C284" s="6">
        <v>3829778.75</v>
      </c>
      <c r="D284" s="60">
        <f>SUMPRODUCT(N(Tabela3[PAPEL]=Tabela2[[#This Row],[Ativo]]),Tabela3[Total Ações])</f>
        <v>31485170</v>
      </c>
      <c r="E284" s="63">
        <f>(Tabela2[[#This Row],[Lucro Líquido]])/Tabela2[[#This Row],[Total Ações]]</f>
        <v>0.12163754396117284</v>
      </c>
      <c r="F284" s="63">
        <v>4.3194999999999997E-2</v>
      </c>
      <c r="G284" s="22">
        <f>IF(AND(Tabela2[[#This Row],[Dividendo / Ação]]&gt;0,Tabela2[[#This Row],[Lucro por ação]]&gt;0),Tabela2[[#This Row],[Dividendo / Ação]]/Tabela2[[#This Row],[Lucro por ação]],"")</f>
        <v>0.35511239863399419</v>
      </c>
      <c r="H284" s="49">
        <f>MAX(Tabela2[[#This Row],[Cotação 1]],Tabela2[[#This Row],[Cotação 2]])</f>
        <v>10</v>
      </c>
      <c r="I284" s="18">
        <f>IF(Tabela2[[#This Row],[Dividendo / Ação]]&gt;0,Tabela2[[#This Row],[Dividendo / Ação]]/Tabela2[[#This Row],[Cotação]],"")</f>
        <v>4.3194999999999996E-3</v>
      </c>
      <c r="J284" s="7">
        <f>SUMPRODUCT(N(Tabela1[Código]=Tabela2[[#This Row],[Ativo]]),Tabela1[Fechamento])</f>
        <v>0</v>
      </c>
      <c r="K284" s="7">
        <f>SUMPRODUCT(N(Tabela17[Código]=Tabela2[[#This Row],[Ativo]]),Tabela17[Fechamento])</f>
        <v>10</v>
      </c>
      <c r="L284" s="7">
        <f>SUMPRODUCT(N([Ativo]=Tabela2[[#This Row],[Ativo]]),N([Exercício]=Tabela2[[#This Row],[Exercício]]-1),[Lucro Líquido])</f>
        <v>0</v>
      </c>
      <c r="M284" s="18" t="str">
        <f>IF(Tabela2[[#This Row],[Lucro Anterior]]=0,"",IF(Tabela2[[#This Row],[Lucro Líquido]]&gt;0,Tabela2[[#This Row],[Lucro Líquido]]/Tabela2[[#This Row],[Lucro Anterior]]-1,0))</f>
        <v/>
      </c>
      <c r="N284" s="3">
        <v>0.33254521399999998</v>
      </c>
    </row>
    <row r="285" spans="1:14">
      <c r="A285" s="14" t="s">
        <v>294</v>
      </c>
      <c r="B285" s="4">
        <v>2012</v>
      </c>
      <c r="C285" s="5">
        <v>459346.49</v>
      </c>
      <c r="D285" s="8">
        <f>SUMPRODUCT(N(Tabela3[PAPEL]=Tabela2[[#This Row],[Ativo]]),Tabela3[Total Ações])</f>
        <v>31485170</v>
      </c>
      <c r="E285" s="64">
        <f>(Tabela2[[#This Row],[Lucro Líquido]])/Tabela2[[#This Row],[Total Ações]]</f>
        <v>1.4589296802272307E-2</v>
      </c>
      <c r="F285" s="63">
        <v>2E-3</v>
      </c>
      <c r="G285" s="44">
        <f>IF(AND(Tabela2[[#This Row],[Dividendo / Ação]]&gt;0,Tabela2[[#This Row],[Lucro por ação]]&gt;0),Tabela2[[#This Row],[Dividendo / Ação]]/Tabela2[[#This Row],[Lucro por ação]],"")</f>
        <v>0.13708679911758986</v>
      </c>
      <c r="H285" s="13">
        <f>MAX(Tabela2[[#This Row],[Cotação 1]],Tabela2[[#This Row],[Cotação 2]])</f>
        <v>9.5</v>
      </c>
      <c r="I285" s="19">
        <f>IF(Tabela2[[#This Row],[Dividendo / Ação]]&gt;0,Tabela2[[#This Row],[Dividendo / Ação]]/Tabela2[[#This Row],[Cotação]],"")</f>
        <v>2.105263157894737E-4</v>
      </c>
      <c r="J285" s="17">
        <f>SUMPRODUCT(N(Tabela1[Código]=Tabela2[[#This Row],[Ativo]]),Tabela1[Fechamento])</f>
        <v>0</v>
      </c>
      <c r="K285" s="17">
        <f>SUMPRODUCT(N(Tabela17[Código]=Tabela2[[#This Row],[Ativo]]),Tabela17[Fechamento])</f>
        <v>9.5</v>
      </c>
      <c r="L285" s="17">
        <f>SUMPRODUCT(N([Ativo]=Tabela2[[#This Row],[Ativo]]),N([Exercício]=Tabela2[[#This Row],[Exercício]]-1),[Lucro Líquido])</f>
        <v>14826895.1</v>
      </c>
      <c r="M285" s="19">
        <f>IF(Tabela2[[#This Row],[Lucro Anterior]]=0,"",IF(Tabela2[[#This Row],[Lucro Líquido]]&gt;0,Tabela2[[#This Row],[Lucro Líquido]]/Tabela2[[#This Row],[Lucro Anterior]]-1,0))</f>
        <v>-0.96901937412371653</v>
      </c>
      <c r="N285" s="3">
        <v>1.0620213060000001</v>
      </c>
    </row>
    <row r="286" spans="1:14">
      <c r="A286" s="14" t="s">
        <v>294</v>
      </c>
      <c r="B286" s="4">
        <v>2011</v>
      </c>
      <c r="C286" s="5">
        <v>14826895.1</v>
      </c>
      <c r="D286" s="8">
        <f>SUMPRODUCT(N(Tabela3[PAPEL]=Tabela2[[#This Row],[Ativo]]),Tabela3[Total Ações])</f>
        <v>31485170</v>
      </c>
      <c r="E286" s="64">
        <f>(Tabela2[[#This Row],[Lucro Líquido]])/Tabela2[[#This Row],[Total Ações]]</f>
        <v>0.47091678717313579</v>
      </c>
      <c r="F286" s="63">
        <v>0.11279</v>
      </c>
      <c r="G286" s="44">
        <f>IF(AND(Tabela2[[#This Row],[Dividendo / Ação]]&gt;0,Tabela2[[#This Row],[Lucro por ação]]&gt;0),Tabela2[[#This Row],[Dividendo / Ação]]/Tabela2[[#This Row],[Lucro por ação]],"")</f>
        <v>0.2395115295784348</v>
      </c>
      <c r="H286" s="13">
        <f>MAX(Tabela2[[#This Row],[Cotação 1]],Tabela2[[#This Row],[Cotação 2]])</f>
        <v>9.5</v>
      </c>
      <c r="I286" s="19">
        <f>IF(Tabela2[[#This Row],[Dividendo / Ação]]&gt;0,Tabela2[[#This Row],[Dividendo / Ação]]/Tabela2[[#This Row],[Cotação]],"")</f>
        <v>1.1872631578947369E-2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9.5</v>
      </c>
      <c r="L286" s="17">
        <f>SUMPRODUCT(N([Ativo]=Tabela2[[#This Row],[Ativo]]),N([Exercício]=Tabela2[[#This Row],[Exercício]]-1),[Lucro Líquido])</f>
        <v>45200803.640000001</v>
      </c>
      <c r="M286" s="19">
        <f>IF(Tabela2[[#This Row],[Lucro Anterior]]=0,"",IF(Tabela2[[#This Row],[Lucro Líquido]]&gt;0,Tabela2[[#This Row],[Lucro Líquido]]/Tabela2[[#This Row],[Lucro Anterior]]-1,0))</f>
        <v>-0.67197717947476743</v>
      </c>
      <c r="N286" s="3">
        <f>SUM(N282:N285)</f>
        <v>2.1790691310000003</v>
      </c>
    </row>
    <row r="287" spans="1:14">
      <c r="A287" s="14" t="s">
        <v>294</v>
      </c>
      <c r="B287" s="4">
        <v>2010</v>
      </c>
      <c r="C287" s="5">
        <v>45200803.640000001</v>
      </c>
      <c r="D287" s="8">
        <f>SUMPRODUCT(N(Tabela3[PAPEL]=Tabela2[[#This Row],[Ativo]]),Tabela3[Total Ações])</f>
        <v>31485170</v>
      </c>
      <c r="E287" s="64">
        <f>(Tabela2[[#This Row],[Lucro Líquido]])/Tabela2[[#This Row],[Total Ações]]</f>
        <v>1.4356220290377979</v>
      </c>
      <c r="F287" s="63">
        <v>0.31025000000000003</v>
      </c>
      <c r="G287" s="44">
        <f>IF(AND(Tabela2[[#This Row],[Dividendo / Ação]]&gt;0,Tabela2[[#This Row],[Lucro por ação]]&gt;0),Tabela2[[#This Row],[Dividendo / Ação]]/Tabela2[[#This Row],[Lucro por ação]],"")</f>
        <v>0.21610841414013407</v>
      </c>
      <c r="H287" s="13">
        <f>MAX(Tabela2[[#This Row],[Cotação 1]],Tabela2[[#This Row],[Cotação 2]])</f>
        <v>9.5</v>
      </c>
      <c r="I287" s="19">
        <f>IF(Tabela2[[#This Row],[Dividendo / Ação]]&gt;0,Tabela2[[#This Row],[Dividendo / Ação]]/Tabela2[[#This Row],[Cotação]],"")</f>
        <v>3.2657894736842108E-2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9.5</v>
      </c>
      <c r="L287" s="17">
        <f>SUMPRODUCT(N([Ativo]=Tabela2[[#This Row],[Ativo]]),N([Exercício]=Tabela2[[#This Row],[Exercício]]-1),[Lucro Líquido])</f>
        <v>3829778.75</v>
      </c>
      <c r="M287" s="19">
        <f>IF(Tabela2[[#This Row],[Lucro Anterior]]=0,"",IF(Tabela2[[#This Row],[Lucro Líquido]]&gt;0,Tabela2[[#This Row],[Lucro Líquido]]/Tabela2[[#This Row],[Lucro Anterior]]-1,0))</f>
        <v>10.802458207278946</v>
      </c>
    </row>
    <row r="288" spans="1:14">
      <c r="A288" s="14" t="s">
        <v>294</v>
      </c>
      <c r="B288" s="4">
        <v>2009</v>
      </c>
      <c r="C288" s="6">
        <v>3829778.75</v>
      </c>
      <c r="D288" s="8">
        <f>SUMPRODUCT(N(Tabela3[PAPEL]=Tabela2[[#This Row],[Ativo]]),Tabela3[Total Ações])</f>
        <v>31485170</v>
      </c>
      <c r="E288" s="64">
        <f>(Tabela2[[#This Row],[Lucro Líquido]])/Tabela2[[#This Row],[Total Ações]]</f>
        <v>0.12163754396117284</v>
      </c>
      <c r="F288" s="63">
        <v>4.3194999999999997E-2</v>
      </c>
      <c r="G288" s="44">
        <f>IF(AND(Tabela2[[#This Row],[Dividendo / Ação]]&gt;0,Tabela2[[#This Row],[Lucro por ação]]&gt;0),Tabela2[[#This Row],[Dividendo / Ação]]/Tabela2[[#This Row],[Lucro por ação]],"")</f>
        <v>0.35511239863399419</v>
      </c>
      <c r="H288" s="13">
        <f>MAX(Tabela2[[#This Row],[Cotação 1]],Tabela2[[#This Row],[Cotação 2]])</f>
        <v>9.5</v>
      </c>
      <c r="I288" s="19">
        <f>IF(Tabela2[[#This Row],[Dividendo / Ação]]&gt;0,Tabela2[[#This Row],[Dividendo / Ação]]/Tabela2[[#This Row],[Cotação]],"")</f>
        <v>4.5468421052631573E-3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9.5</v>
      </c>
      <c r="L288" s="17">
        <f>SUMPRODUCT(N([Ativo]=Tabela2[[#This Row],[Ativo]]),N([Exercício]=Tabela2[[#This Row],[Exercício]]-1),[Lucro Líquido])</f>
        <v>0</v>
      </c>
      <c r="M288" s="19" t="str">
        <f>IF(Tabela2[[#This Row],[Lucro Anterior]]=0,"",IF(Tabela2[[#This Row],[Lucro Líquido]]&gt;0,Tabela2[[#This Row],[Lucro Líquido]]/Tabela2[[#This Row],[Lucro Anterior]]-1,0))</f>
        <v/>
      </c>
    </row>
    <row r="289" spans="1:13">
      <c r="A289" s="4" t="s">
        <v>2</v>
      </c>
      <c r="B289" s="4">
        <v>2012</v>
      </c>
      <c r="C289" s="6">
        <v>-6878916000</v>
      </c>
      <c r="D289" s="8">
        <f>SUMPRODUCT(N(Tabela3[PAPEL]=Tabela2[[#This Row],[Ativo]]),Tabela3[Total Ações])</f>
        <v>1352634100</v>
      </c>
      <c r="E289" s="64">
        <f>(Tabela2[[#This Row],[Lucro Líquido]])/Tabela2[[#This Row],[Total Ações]]</f>
        <v>-5.0855704436255156</v>
      </c>
      <c r="F289" s="64">
        <v>0.40852810099999998</v>
      </c>
      <c r="G289" s="44" t="str">
        <f>IF(AND(Tabela2[[#This Row],[Dividendo / Ação]]&gt;0,Tabela2[[#This Row],[Lucro por ação]]&gt;0),Tabela2[[#This Row],[Dividendo / Ação]]/Tabela2[[#This Row],[Lucro por ação]],"")</f>
        <v/>
      </c>
      <c r="H289" s="6">
        <f>MAX(Tabela2[[#This Row],[Cotação 1]],Tabela2[[#This Row],[Cotação 2]])</f>
        <v>5.67</v>
      </c>
      <c r="I289" s="19">
        <f>IF(Tabela2[[#This Row],[Dividendo / Ação]]&gt;0,Tabela2[[#This Row],[Dividendo / Ação]]/Tabela2[[#This Row],[Cotação]],"")</f>
        <v>7.2050811463844788E-2</v>
      </c>
      <c r="J289" s="59">
        <f>SUMPRODUCT(N(Tabela1[Código]=Tabela2[[#This Row],[Ativo]]),Tabela1[Fechamento])</f>
        <v>5.67</v>
      </c>
      <c r="K289" s="59">
        <f>SUMPRODUCT(N(Tabela17[Código]=Tabela2[[#This Row],[Ativo]]),Tabela17[Fechamento])</f>
        <v>0</v>
      </c>
      <c r="L289" s="59">
        <f>SUMPRODUCT(N([Ativo]=Tabela2[[#This Row],[Ativo]]),N([Exercício]=Tabela2[[#This Row],[Exercício]]-1),[Lucro Líquido])</f>
        <v>3732565000</v>
      </c>
      <c r="M289" s="19">
        <f>IF(Tabela2[[#This Row],[Lucro Anterior]]=0,"",IF(Tabela2[[#This Row],[Lucro Líquido]]&gt;0,Tabela2[[#This Row],[Lucro Líquido]]/Tabela2[[#This Row],[Lucro Anterior]]-1,0))</f>
        <v>0</v>
      </c>
    </row>
    <row r="290" spans="1:13">
      <c r="A290" s="4" t="s">
        <v>2</v>
      </c>
      <c r="B290" s="3">
        <v>2011</v>
      </c>
      <c r="C290" s="5">
        <v>3732565000</v>
      </c>
      <c r="D290" s="60">
        <f>SUMPRODUCT(N(Tabela3[PAPEL]=Tabela2[[#This Row],[Ativo]]),Tabela3[Total Ações])</f>
        <v>1352634100</v>
      </c>
      <c r="E290" s="63">
        <f>(Tabela2[[#This Row],[Lucro Líquido]])/Tabela2[[#This Row],[Total Ações]]</f>
        <v>2.7594787089871531</v>
      </c>
      <c r="F290" s="63">
        <v>1.2317791624600001</v>
      </c>
      <c r="G290" s="22">
        <f>IF(AND(Tabela2[[#This Row],[Dividendo / Ação]]&gt;0,Tabela2[[#This Row],[Lucro por ação]]&gt;0),Tabela2[[#This Row],[Dividendo / Ação]]/Tabela2[[#This Row],[Lucro por ação]],"")</f>
        <v>0.44638110757959637</v>
      </c>
      <c r="H290" s="5">
        <f>MAX(Tabela2[[#This Row],[Cotação 1]],Tabela2[[#This Row],[Cotação 2]])</f>
        <v>5.67</v>
      </c>
      <c r="I290" s="18">
        <f>IF(Tabela2[[#This Row],[Dividendo / Ação]]&gt;0,Tabela2[[#This Row],[Dividendo / Ação]]/Tabela2[[#This Row],[Cotação]],"")</f>
        <v>0.21724500219753087</v>
      </c>
      <c r="J290" s="58">
        <f>SUMPRODUCT(N(Tabela1[Código]=Tabela2[[#This Row],[Ativo]]),Tabela1[Fechamento])</f>
        <v>5.67</v>
      </c>
      <c r="K290" s="58">
        <f>SUMPRODUCT(N(Tabela17[Código]=Tabela2[[#This Row],[Ativo]]),Tabela17[Fechamento])</f>
        <v>0</v>
      </c>
      <c r="L290" s="58">
        <f>SUMPRODUCT(N([Ativo]=Tabela2[[#This Row],[Ativo]]),N([Exercício]=Tabela2[[#This Row],[Exercício]]-1),[Lucro Líquido])</f>
        <v>2247913000</v>
      </c>
      <c r="M290" s="18">
        <f>IF(Tabela2[[#This Row],[Lucro Anterior]]=0,"",IF(Tabela2[[#This Row],[Lucro Líquido]]&gt;0,Tabela2[[#This Row],[Lucro Líquido]]/Tabela2[[#This Row],[Lucro Anterior]]-1,0))</f>
        <v>0.66045794476921493</v>
      </c>
    </row>
    <row r="291" spans="1:13">
      <c r="A291" s="4" t="s">
        <v>2</v>
      </c>
      <c r="B291" s="3">
        <v>2010</v>
      </c>
      <c r="C291" s="5">
        <v>2247913000</v>
      </c>
      <c r="D291" s="60">
        <f>SUMPRODUCT(N(Tabela3[PAPEL]=Tabela2[[#This Row],[Ativo]]),Tabela3[Total Ações])</f>
        <v>1352634100</v>
      </c>
      <c r="E291" s="63">
        <f>(Tabela2[[#This Row],[Lucro Líquido]])/Tabela2[[#This Row],[Total Ações]]</f>
        <v>1.6618781087952759</v>
      </c>
      <c r="F291" s="63">
        <v>0.83224516954000005</v>
      </c>
      <c r="G291" s="22">
        <f>IF(AND(Tabela2[[#This Row],[Dividendo / Ação]]&gt;0,Tabela2[[#This Row],[Lucro por ação]]&gt;0),Tabela2[[#This Row],[Dividendo / Ação]]/Tabela2[[#This Row],[Lucro por ação]],"")</f>
        <v>0.50078592716003034</v>
      </c>
      <c r="H291" s="5">
        <f>MAX(Tabela2[[#This Row],[Cotação 1]],Tabela2[[#This Row],[Cotação 2]])</f>
        <v>5.67</v>
      </c>
      <c r="I291" s="18">
        <f>IF(Tabela2[[#This Row],[Dividendo / Ação]]&gt;0,Tabela2[[#This Row],[Dividendo / Ação]]/Tabela2[[#This Row],[Cotação]],"")</f>
        <v>0.14678045318165786</v>
      </c>
      <c r="J291" s="58">
        <f>SUMPRODUCT(N(Tabela1[Código]=Tabela2[[#This Row],[Ativo]]),Tabela1[Fechamento])</f>
        <v>5.67</v>
      </c>
      <c r="K291" s="58">
        <f>SUMPRODUCT(N(Tabela17[Código]=Tabela2[[#This Row],[Ativo]]),Tabela17[Fechamento])</f>
        <v>0</v>
      </c>
      <c r="L291" s="58">
        <f>SUMPRODUCT(N([Ativo]=Tabela2[[#This Row],[Ativo]]),N([Exercício]=Tabela2[[#This Row],[Exercício]]-1),[Lucro Líquido])</f>
        <v>170526000</v>
      </c>
      <c r="M291" s="18">
        <f>IF(Tabela2[[#This Row],[Lucro Anterior]]=0,"",IF(Tabela2[[#This Row],[Lucro Líquido]]&gt;0,Tabela2[[#This Row],[Lucro Líquido]]/Tabela2[[#This Row],[Lucro Anterior]]-1,0))</f>
        <v>12.182230275735078</v>
      </c>
    </row>
    <row r="292" spans="1:13">
      <c r="A292" s="4" t="s">
        <v>2</v>
      </c>
      <c r="B292" s="3">
        <v>2009</v>
      </c>
      <c r="C292" s="5">
        <v>170526000</v>
      </c>
      <c r="D292" s="60">
        <f>SUMPRODUCT(N(Tabela3[PAPEL]=Tabela2[[#This Row],[Ativo]]),Tabela3[Total Ações])</f>
        <v>1352634100</v>
      </c>
      <c r="E292" s="63">
        <f>(Tabela2[[#This Row],[Lucro Líquido]])/Tabela2[[#This Row],[Total Ações]]</f>
        <v>0.12606957047733752</v>
      </c>
      <c r="F292" s="63">
        <v>0.41</v>
      </c>
      <c r="G292" s="22">
        <f>IF(AND(Tabela2[[#This Row],[Dividendo / Ação]]&gt;0,Tabela2[[#This Row],[Lucro por ação]]&gt;0),Tabela2[[#This Row],[Dividendo / Ação]]/Tabela2[[#This Row],[Lucro por ação]],"")</f>
        <v>3.2521725777887238</v>
      </c>
      <c r="H292" s="5">
        <f>MAX(Tabela2[[#This Row],[Cotação 1]],Tabela2[[#This Row],[Cotação 2]])</f>
        <v>5.67</v>
      </c>
      <c r="I292" s="18">
        <f>IF(Tabela2[[#This Row],[Dividendo / Ação]]&gt;0,Tabela2[[#This Row],[Dividendo / Ação]]/Tabela2[[#This Row],[Cotação]],"")</f>
        <v>7.2310405643738973E-2</v>
      </c>
      <c r="J292" s="58">
        <f>SUMPRODUCT(N(Tabela1[Código]=Tabela2[[#This Row],[Ativo]]),Tabela1[Fechamento])</f>
        <v>5.67</v>
      </c>
      <c r="K292" s="58">
        <f>SUMPRODUCT(N(Tabela17[Código]=Tabela2[[#This Row],[Ativo]]),Tabela17[Fechamento])</f>
        <v>0</v>
      </c>
      <c r="L292" s="58">
        <f>SUMPRODUCT(N([Ativo]=Tabela2[[#This Row],[Ativo]]),N([Exercício]=Tabela2[[#This Row],[Exercício]]-1),[Lucro Líquido])</f>
        <v>6136497000</v>
      </c>
      <c r="M292" s="18">
        <f>IF(Tabela2[[#This Row],[Lucro Anterior]]=0,"",IF(Tabela2[[#This Row],[Lucro Líquido]]&gt;0,Tabela2[[#This Row],[Lucro Líquido]]/Tabela2[[#This Row],[Lucro Anterior]]-1,0))</f>
        <v>-0.9722111817214284</v>
      </c>
    </row>
    <row r="293" spans="1:13">
      <c r="A293" s="4" t="s">
        <v>2</v>
      </c>
      <c r="B293" s="3">
        <v>2008</v>
      </c>
      <c r="C293" s="5">
        <v>6136497000</v>
      </c>
      <c r="D293" s="60">
        <f>SUMPRODUCT(N(Tabela3[PAPEL]=Tabela2[[#This Row],[Ativo]]),Tabela3[Total Ações])</f>
        <v>1352634100</v>
      </c>
      <c r="E293" s="63">
        <f>(Tabela2[[#This Row],[Lucro Líquido]])/Tabela2[[#This Row],[Total Ações]]</f>
        <v>4.5367013887939098</v>
      </c>
      <c r="F293" s="63">
        <v>1.54227975422</v>
      </c>
      <c r="G293" s="22">
        <f>IF(AND(Tabela2[[#This Row],[Dividendo / Ação]]&gt;0,Tabela2[[#This Row],[Lucro por ação]]&gt;0),Tabela2[[#This Row],[Dividendo / Ação]]/Tabela2[[#This Row],[Lucro por ação]],"")</f>
        <v>0.33995619769676261</v>
      </c>
      <c r="H293" s="5">
        <f>MAX(Tabela2[[#This Row],[Cotação 1]],Tabela2[[#This Row],[Cotação 2]])</f>
        <v>5.67</v>
      </c>
      <c r="I293" s="18">
        <f>IF(Tabela2[[#This Row],[Dividendo / Ação]]&gt;0,Tabela2[[#This Row],[Dividendo / Ação]]/Tabela2[[#This Row],[Cotação]],"")</f>
        <v>0.27200701132627864</v>
      </c>
      <c r="J293" s="58">
        <f>SUMPRODUCT(N(Tabela1[Código]=Tabela2[[#This Row],[Ativo]]),Tabela1[Fechamento])</f>
        <v>5.67</v>
      </c>
      <c r="K293" s="58">
        <f>SUMPRODUCT(N(Tabela17[Código]=Tabela2[[#This Row],[Ativo]]),Tabela17[Fechamento])</f>
        <v>0</v>
      </c>
      <c r="L293" s="58">
        <f>SUMPRODUCT(N([Ativo]=Tabela2[[#This Row],[Ativo]]),N([Exercício]=Tabela2[[#This Row],[Exercício]]-1),[Lucro Líquido])</f>
        <v>0</v>
      </c>
      <c r="M293" s="18" t="str">
        <f>IF(Tabela2[[#This Row],[Lucro Anterior]]=0,"",IF(Tabela2[[#This Row],[Lucro Líquido]]&gt;0,Tabela2[[#This Row],[Lucro Líquido]]/Tabela2[[#This Row],[Lucro Anterior]]-1,0))</f>
        <v/>
      </c>
    </row>
    <row r="294" spans="1:13">
      <c r="A294" s="4" t="s">
        <v>27</v>
      </c>
      <c r="B294" s="4">
        <v>2012</v>
      </c>
      <c r="C294" s="6">
        <v>-6878916000</v>
      </c>
      <c r="D294" s="8">
        <f>SUMPRODUCT(N(Tabela3[PAPEL]=Tabela2[[#This Row],[Ativo]]),Tabela3[Total Ações])</f>
        <v>1352634100</v>
      </c>
      <c r="E294" s="64">
        <f>(Tabela2[[#This Row],[Lucro Líquido]])/Tabela2[[#This Row],[Total Ações]]</f>
        <v>-5.0855704436255156</v>
      </c>
      <c r="F294" s="64">
        <v>1.671821523</v>
      </c>
      <c r="G294" s="44" t="str">
        <f>IF(AND(Tabela2[[#This Row],[Dividendo / Ação]]&gt;0,Tabela2[[#This Row],[Lucro por ação]]&gt;0),Tabela2[[#This Row],[Dividendo / Ação]]/Tabela2[[#This Row],[Lucro por ação]],"")</f>
        <v/>
      </c>
      <c r="H294" s="6">
        <f>MAX(Tabela2[[#This Row],[Cotação 1]],Tabela2[[#This Row],[Cotação 2]])</f>
        <v>9.73</v>
      </c>
      <c r="I294" s="19">
        <f>IF(Tabela2[[#This Row],[Dividendo / Ação]]&gt;0,Tabela2[[#This Row],[Dividendo / Ação]]/Tabela2[[#This Row],[Cotação]],"")</f>
        <v>0.17182132816032886</v>
      </c>
      <c r="J294" s="59">
        <f>SUMPRODUCT(N(Tabela1[Código]=Tabela2[[#This Row],[Ativo]]),Tabela1[Fechamento])</f>
        <v>9.73</v>
      </c>
      <c r="K294" s="59">
        <f>SUMPRODUCT(N(Tabela17[Código]=Tabela2[[#This Row],[Ativo]]),Tabela17[Fechamento])</f>
        <v>0</v>
      </c>
      <c r="L294" s="59">
        <f>SUMPRODUCT(N([Ativo]=Tabela2[[#This Row],[Ativo]]),N([Exercício]=Tabela2[[#This Row],[Exercício]]-1),[Lucro Líquido])</f>
        <v>3732565000</v>
      </c>
      <c r="M294" s="19">
        <f>IF(Tabela2[[#This Row],[Lucro Anterior]]=0,"",IF(Tabela2[[#This Row],[Lucro Líquido]]&gt;0,Tabela2[[#This Row],[Lucro Líquido]]/Tabela2[[#This Row],[Lucro Anterior]]-1,0))</f>
        <v>0</v>
      </c>
    </row>
    <row r="295" spans="1:13">
      <c r="A295" s="4" t="s">
        <v>27</v>
      </c>
      <c r="B295" s="4">
        <v>2011</v>
      </c>
      <c r="C295" s="5">
        <v>3732565000</v>
      </c>
      <c r="D295" s="8">
        <f>SUMPRODUCT(N(Tabela3[PAPEL]=Tabela2[[#This Row],[Ativo]]),Tabela3[Total Ações])</f>
        <v>1352634100</v>
      </c>
      <c r="E295" s="64">
        <f>(Tabela2[[#This Row],[Lucro Líquido]])/Tabela2[[#This Row],[Total Ações]]</f>
        <v>2.7594787089871531</v>
      </c>
      <c r="F295" s="64">
        <v>1.6336924400499999</v>
      </c>
      <c r="G295" s="44">
        <f>IF(AND(Tabela2[[#This Row],[Dividendo / Ação]]&gt;0,Tabela2[[#This Row],[Lucro por ação]]&gt;0),Tabela2[[#This Row],[Dividendo / Ação]]/Tabela2[[#This Row],[Lucro por ação]],"")</f>
        <v>0.59202936943464768</v>
      </c>
      <c r="H295" s="6">
        <f>MAX(Tabela2[[#This Row],[Cotação 1]],Tabela2[[#This Row],[Cotação 2]])</f>
        <v>9.73</v>
      </c>
      <c r="I295" s="19">
        <f>IF(Tabela2[[#This Row],[Dividendo / Ação]]&gt;0,Tabela2[[#This Row],[Dividendo / Ação]]/Tabela2[[#This Row],[Cotação]],"")</f>
        <v>0.1679026145991778</v>
      </c>
      <c r="J295" s="59">
        <f>SUMPRODUCT(N(Tabela1[Código]=Tabela2[[#This Row],[Ativo]]),Tabela1[Fechamento])</f>
        <v>9.73</v>
      </c>
      <c r="K295" s="59">
        <f>SUMPRODUCT(N(Tabela17[Código]=Tabela2[[#This Row],[Ativo]]),Tabela17[Fechamento])</f>
        <v>0</v>
      </c>
      <c r="L295" s="59">
        <f>SUMPRODUCT(N([Ativo]=Tabela2[[#This Row],[Ativo]]),N([Exercício]=Tabela2[[#This Row],[Exercício]]-1),[Lucro Líquido])</f>
        <v>2247913000</v>
      </c>
      <c r="M295" s="19">
        <f>IF(Tabela2[[#This Row],[Lucro Anterior]]=0,"",IF(Tabela2[[#This Row],[Lucro Líquido]]&gt;0,Tabela2[[#This Row],[Lucro Líquido]]/Tabela2[[#This Row],[Lucro Anterior]]-1,0))</f>
        <v>0.66045794476921493</v>
      </c>
    </row>
    <row r="296" spans="1:13">
      <c r="A296" s="4" t="s">
        <v>27</v>
      </c>
      <c r="B296" s="4">
        <v>2010</v>
      </c>
      <c r="C296" s="5">
        <v>2247913000</v>
      </c>
      <c r="D296" s="8">
        <f>SUMPRODUCT(N(Tabela3[PAPEL]=Tabela2[[#This Row],[Ativo]]),Tabela3[Total Ações])</f>
        <v>1352634100</v>
      </c>
      <c r="E296" s="64">
        <f>(Tabela2[[#This Row],[Lucro Líquido]])/Tabela2[[#This Row],[Total Ações]]</f>
        <v>1.6618781087952759</v>
      </c>
      <c r="F296" s="64">
        <v>1.6305332803199999</v>
      </c>
      <c r="G296" s="44">
        <f>IF(AND(Tabela2[[#This Row],[Dividendo / Ação]]&gt;0,Tabela2[[#This Row],[Lucro por ação]]&gt;0),Tabela2[[#This Row],[Dividendo / Ação]]/Tabela2[[#This Row],[Lucro por ação]],"")</f>
        <v>0.98113891246933971</v>
      </c>
      <c r="H296" s="6">
        <f>MAX(Tabela2[[#This Row],[Cotação 1]],Tabela2[[#This Row],[Cotação 2]])</f>
        <v>9.73</v>
      </c>
      <c r="I296" s="19">
        <f>IF(Tabela2[[#This Row],[Dividendo / Ação]]&gt;0,Tabela2[[#This Row],[Dividendo / Ação]]/Tabela2[[#This Row],[Cotação]],"")</f>
        <v>0.16757793220143882</v>
      </c>
      <c r="J296" s="59">
        <f>SUMPRODUCT(N(Tabela1[Código]=Tabela2[[#This Row],[Ativo]]),Tabela1[Fechamento])</f>
        <v>9.73</v>
      </c>
      <c r="K296" s="59">
        <f>SUMPRODUCT(N(Tabela17[Código]=Tabela2[[#This Row],[Ativo]]),Tabela17[Fechamento])</f>
        <v>0</v>
      </c>
      <c r="L296" s="59">
        <f>SUMPRODUCT(N([Ativo]=Tabela2[[#This Row],[Ativo]]),N([Exercício]=Tabela2[[#This Row],[Exercício]]-1),[Lucro Líquido])</f>
        <v>170526000</v>
      </c>
      <c r="M296" s="19">
        <f>IF(Tabela2[[#This Row],[Lucro Anterior]]=0,"",IF(Tabela2[[#This Row],[Lucro Líquido]]&gt;0,Tabela2[[#This Row],[Lucro Líquido]]/Tabela2[[#This Row],[Lucro Anterior]]-1,0))</f>
        <v>12.182230275735078</v>
      </c>
    </row>
    <row r="297" spans="1:13">
      <c r="A297" s="4" t="s">
        <v>27</v>
      </c>
      <c r="B297" s="4">
        <v>2009</v>
      </c>
      <c r="C297" s="5">
        <v>170526000</v>
      </c>
      <c r="D297" s="8">
        <f>SUMPRODUCT(N(Tabela3[PAPEL]=Tabela2[[#This Row],[Ativo]]),Tabela3[Total Ações])</f>
        <v>1352634100</v>
      </c>
      <c r="E297" s="64">
        <f>(Tabela2[[#This Row],[Lucro Líquido]])/Tabela2[[#This Row],[Total Ações]]</f>
        <v>0.12606957047733752</v>
      </c>
      <c r="F297" s="64">
        <v>1.63</v>
      </c>
      <c r="G297" s="44">
        <f>IF(AND(Tabela2[[#This Row],[Dividendo / Ação]]&gt;0,Tabela2[[#This Row],[Lucro por ação]]&gt;0),Tabela2[[#This Row],[Dividendo / Ação]]/Tabela2[[#This Row],[Lucro por ação]],"")</f>
        <v>12.929369028769806</v>
      </c>
      <c r="H297" s="6">
        <f>MAX(Tabela2[[#This Row],[Cotação 1]],Tabela2[[#This Row],[Cotação 2]])</f>
        <v>9.73</v>
      </c>
      <c r="I297" s="19">
        <f>IF(Tabela2[[#This Row],[Dividendo / Ação]]&gt;0,Tabela2[[#This Row],[Dividendo / Ação]]/Tabela2[[#This Row],[Cotação]],"")</f>
        <v>0.16752312435765671</v>
      </c>
      <c r="J297" s="59">
        <f>SUMPRODUCT(N(Tabela1[Código]=Tabela2[[#This Row],[Ativo]]),Tabela1[Fechamento])</f>
        <v>9.73</v>
      </c>
      <c r="K297" s="59">
        <f>SUMPRODUCT(N(Tabela17[Código]=Tabela2[[#This Row],[Ativo]]),Tabela17[Fechamento])</f>
        <v>0</v>
      </c>
      <c r="L297" s="59">
        <f>SUMPRODUCT(N([Ativo]=Tabela2[[#This Row],[Ativo]]),N([Exercício]=Tabela2[[#This Row],[Exercício]]-1),[Lucro Líquido])</f>
        <v>6136497000</v>
      </c>
      <c r="M297" s="19">
        <f>IF(Tabela2[[#This Row],[Lucro Anterior]]=0,"",IF(Tabela2[[#This Row],[Lucro Líquido]]&gt;0,Tabela2[[#This Row],[Lucro Líquido]]/Tabela2[[#This Row],[Lucro Anterior]]-1,0))</f>
        <v>-0.9722111817214284</v>
      </c>
    </row>
    <row r="298" spans="1:13">
      <c r="A298" s="4" t="s">
        <v>27</v>
      </c>
      <c r="B298" s="4">
        <v>2008</v>
      </c>
      <c r="C298" s="5">
        <v>6136497000</v>
      </c>
      <c r="D298" s="8">
        <f>SUMPRODUCT(N(Tabela3[PAPEL]=Tabela2[[#This Row],[Ativo]]),Tabela3[Total Ações])</f>
        <v>1352634100</v>
      </c>
      <c r="E298" s="64">
        <f>(Tabela2[[#This Row],[Lucro Líquido]])/Tabela2[[#This Row],[Total Ações]]</f>
        <v>4.5367013887939098</v>
      </c>
      <c r="F298" s="64">
        <v>1.69650772972</v>
      </c>
      <c r="G298" s="44">
        <f>IF(AND(Tabela2[[#This Row],[Dividendo / Ação]]&gt;0,Tabela2[[#This Row],[Lucro por ação]]&gt;0),Tabela2[[#This Row],[Dividendo / Ação]]/Tabela2[[#This Row],[Lucro por ação]],"")</f>
        <v>0.37395181748363199</v>
      </c>
      <c r="H298" s="6">
        <f>MAX(Tabela2[[#This Row],[Cotação 1]],Tabela2[[#This Row],[Cotação 2]])</f>
        <v>9.73</v>
      </c>
      <c r="I298" s="19">
        <f>IF(Tabela2[[#This Row],[Dividendo / Ação]]&gt;0,Tabela2[[#This Row],[Dividendo / Ação]]/Tabela2[[#This Row],[Cotação]],"")</f>
        <v>0.17435845115313461</v>
      </c>
      <c r="J298" s="59">
        <f>SUMPRODUCT(N(Tabela1[Código]=Tabela2[[#This Row],[Ativo]]),Tabela1[Fechamento])</f>
        <v>9.73</v>
      </c>
      <c r="K298" s="59">
        <f>SUMPRODUCT(N(Tabela17[Código]=Tabela2[[#This Row],[Ativo]]),Tabela17[Fechamento])</f>
        <v>0</v>
      </c>
      <c r="L298" s="59">
        <f>SUMPRODUCT(N([Ativo]=Tabela2[[#This Row],[Ativo]]),N([Exercício]=Tabela2[[#This Row],[Exercício]]-1),[Lucro Líquido])</f>
        <v>0</v>
      </c>
      <c r="M298" s="19" t="str">
        <f>IF(Tabela2[[#This Row],[Lucro Anterior]]=0,"",IF(Tabela2[[#This Row],[Lucro Líquido]]&gt;0,Tabela2[[#This Row],[Lucro Líquido]]/Tabela2[[#This Row],[Lucro Anterior]]-1,0))</f>
        <v/>
      </c>
    </row>
    <row r="299" spans="1:13">
      <c r="A299" s="4" t="s">
        <v>182</v>
      </c>
      <c r="B299" s="4">
        <v>2012</v>
      </c>
      <c r="C299" s="6">
        <v>107945984.63</v>
      </c>
      <c r="D299" s="8">
        <f>SUMPRODUCT(N(Tabela3[PAPEL]=Tabela2[[#This Row],[Ativo]]),Tabela3[Total Ações])</f>
        <v>167343887</v>
      </c>
      <c r="E299" s="64">
        <f>(Tabela2[[#This Row],[Lucro Líquido]])/Tabela2[[#This Row],[Total Ações]]</f>
        <v>0.64505484224828602</v>
      </c>
      <c r="F299" s="64">
        <v>0.30919236900000002</v>
      </c>
      <c r="G299" s="44">
        <f>IF(AND(Tabela2[[#This Row],[Dividendo / Ação]]&gt;0,Tabela2[[#This Row],[Lucro por ação]]&gt;0),Tabela2[[#This Row],[Dividendo / Ação]]/Tabela2[[#This Row],[Lucro por ação]],"")</f>
        <v>0.47932725831858769</v>
      </c>
      <c r="H299" s="6">
        <f>MAX(Tabela2[[#This Row],[Cotação 1]],Tabela2[[#This Row],[Cotação 2]])</f>
        <v>11</v>
      </c>
      <c r="I299" s="19">
        <f>IF(Tabela2[[#This Row],[Dividendo / Ação]]&gt;0,Tabela2[[#This Row],[Dividendo / Ação]]/Tabela2[[#This Row],[Cotação]],"")</f>
        <v>2.8108397181818182E-2</v>
      </c>
      <c r="J299" s="59">
        <f>SUMPRODUCT(N(Tabela1[Código]=Tabela2[[#This Row],[Ativo]]),Tabela1[Fechamento])</f>
        <v>11</v>
      </c>
      <c r="K299" s="59">
        <f>SUMPRODUCT(N(Tabela17[Código]=Tabela2[[#This Row],[Ativo]]),Tabela17[Fechamento])</f>
        <v>0</v>
      </c>
      <c r="L299" s="59">
        <f>SUMPRODUCT(N([Ativo]=Tabela2[[#This Row],[Ativo]]),N([Exercício]=Tabela2[[#This Row],[Exercício]]-1),[Lucro Líquido])</f>
        <v>1573104991</v>
      </c>
      <c r="M299" s="19">
        <f>IF(Tabela2[[#This Row],[Lucro Anterior]]=0,"",IF(Tabela2[[#This Row],[Lucro Líquido]]&gt;0,Tabela2[[#This Row],[Lucro Líquido]]/Tabela2[[#This Row],[Lucro Anterior]]-1,0))</f>
        <v>-0.93138030503521552</v>
      </c>
    </row>
    <row r="300" spans="1:13">
      <c r="A300" s="4" t="s">
        <v>182</v>
      </c>
      <c r="B300" s="3">
        <v>2011</v>
      </c>
      <c r="C300" s="5">
        <v>1573104991</v>
      </c>
      <c r="D300" s="60">
        <f>SUMPRODUCT(N(Tabela3[PAPEL]=Tabela2[[#This Row],[Ativo]]),Tabela3[Total Ações])</f>
        <v>167343887</v>
      </c>
      <c r="E300" s="63">
        <f>(Tabela2[[#This Row],[Lucro Líquido]])/Tabela2[[#This Row],[Total Ações]]</f>
        <v>9.4004329599443324</v>
      </c>
      <c r="F300" s="63">
        <v>5.1351776620000003</v>
      </c>
      <c r="G300" s="22">
        <f>IF(AND(Tabela2[[#This Row],[Dividendo / Ação]]&gt;0,Tabela2[[#This Row],[Lucro por ação]]&gt;0),Tabela2[[#This Row],[Dividendo / Ação]]/Tabela2[[#This Row],[Lucro por ação]],"")</f>
        <v>0.54627033498150812</v>
      </c>
      <c r="H300" s="5">
        <f>MAX(Tabela2[[#This Row],[Cotação 1]],Tabela2[[#This Row],[Cotação 2]])</f>
        <v>11</v>
      </c>
      <c r="I300" s="18">
        <f>IF(Tabela2[[#This Row],[Dividendo / Ação]]&gt;0,Tabela2[[#This Row],[Dividendo / Ação]]/Tabela2[[#This Row],[Cotação]],"")</f>
        <v>0.46683433290909093</v>
      </c>
      <c r="J300" s="58">
        <f>SUMPRODUCT(N(Tabela1[Código]=Tabela2[[#This Row],[Ativo]]),Tabela1[Fechamento])</f>
        <v>11</v>
      </c>
      <c r="K300" s="58">
        <f>SUMPRODUCT(N(Tabela17[Código]=Tabela2[[#This Row],[Ativo]]),Tabela17[Fechamento])</f>
        <v>0</v>
      </c>
      <c r="L300" s="58">
        <f>SUMPRODUCT(N([Ativo]=Tabela2[[#This Row],[Ativo]]),N([Exercício]=Tabela2[[#This Row],[Exercício]]-1),[Lucro Líquido])</f>
        <v>1347688144.1600001</v>
      </c>
      <c r="M300" s="18">
        <f>IF(Tabela2[[#This Row],[Lucro Anterior]]=0,"",IF(Tabela2[[#This Row],[Lucro Líquido]]&gt;0,Tabela2[[#This Row],[Lucro Líquido]]/Tabela2[[#This Row],[Lucro Anterior]]-1,0))</f>
        <v>0.16726187569194639</v>
      </c>
    </row>
    <row r="301" spans="1:13">
      <c r="A301" s="4" t="s">
        <v>182</v>
      </c>
      <c r="B301" s="3">
        <v>2010</v>
      </c>
      <c r="C301" s="5">
        <v>1347688144.1600001</v>
      </c>
      <c r="D301" s="60">
        <f>SUMPRODUCT(N(Tabela3[PAPEL]=Tabela2[[#This Row],[Ativo]]),Tabela3[Total Ações])</f>
        <v>167343887</v>
      </c>
      <c r="E301" s="63">
        <f>(Tabela2[[#This Row],[Lucro Líquido]])/Tabela2[[#This Row],[Total Ações]]</f>
        <v>8.0534052860861305</v>
      </c>
      <c r="F301" s="63">
        <v>8.6908053330000001</v>
      </c>
      <c r="G301" s="22">
        <f>IF(AND(Tabela2[[#This Row],[Dividendo / Ação]]&gt;0,Tabela2[[#This Row],[Lucro por ação]]&gt;0),Tabela2[[#This Row],[Dividendo / Ação]]/Tabela2[[#This Row],[Lucro por ação]],"")</f>
        <v>1.0791466496806148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0.79007321209090908</v>
      </c>
      <c r="J301" s="58">
        <f>SUMPRODUCT(N(Tabela1[Código]=Tabela2[[#This Row],[Ativo]]),Tabela1[Fechamento])</f>
        <v>11</v>
      </c>
      <c r="K301" s="58">
        <f>SUMPRODUCT(N(Tabela17[Código]=Tabela2[[#This Row],[Ativo]]),Tabela17[Fechamento])</f>
        <v>0</v>
      </c>
      <c r="L301" s="58">
        <f>SUMPRODUCT(N([Ativo]=Tabela2[[#This Row],[Ativo]]),N([Exercício]=Tabela2[[#This Row],[Exercício]]-1),[Lucro Líquido])</f>
        <v>1063193672.4299999</v>
      </c>
      <c r="M301" s="18">
        <f>IF(Tabela2[[#This Row],[Lucro Anterior]]=0,"",IF(Tabela2[[#This Row],[Lucro Líquido]]&gt;0,Tabela2[[#This Row],[Lucro Líquido]]/Tabela2[[#This Row],[Lucro Anterior]]-1,0))</f>
        <v>0.26758480520277095</v>
      </c>
    </row>
    <row r="302" spans="1:13">
      <c r="A302" s="4" t="s">
        <v>182</v>
      </c>
      <c r="B302" s="3">
        <v>2009</v>
      </c>
      <c r="C302" s="5">
        <v>1063193672.4299999</v>
      </c>
      <c r="D302" s="60">
        <f>SUMPRODUCT(N(Tabela3[PAPEL]=Tabela2[[#This Row],[Ativo]]),Tabela3[Total Ações])</f>
        <v>167343887</v>
      </c>
      <c r="E302" s="63">
        <f>(Tabela2[[#This Row],[Lucro Líquido]])/Tabela2[[#This Row],[Total Ações]]</f>
        <v>6.3533463426124426</v>
      </c>
      <c r="F302" s="63">
        <v>6.086401306</v>
      </c>
      <c r="G302" s="22">
        <f>IF(AND(Tabela2[[#This Row],[Dividendo / Ação]]&gt;0,Tabela2[[#This Row],[Lucro por ação]]&gt;0),Tabela2[[#This Row],[Dividendo / Ação]]/Tabela2[[#This Row],[Lucro por ação]],"")</f>
        <v>0.95798355351383579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0.55330920963636365</v>
      </c>
      <c r="J302" s="58">
        <f>SUMPRODUCT(N(Tabela1[Código]=Tabela2[[#This Row],[Ativo]]),Tabela1[Fechamento])</f>
        <v>11</v>
      </c>
      <c r="K302" s="58">
        <f>SUMPRODUCT(N(Tabela17[Código]=Tabela2[[#This Row],[Ativo]]),Tabela17[Fechamento])</f>
        <v>0</v>
      </c>
      <c r="L302" s="58">
        <f>SUMPRODUCT(N([Ativo]=Tabela2[[#This Row],[Ativo]]),N([Exercício]=Tabela2[[#This Row],[Exercício]]-1),[Lucro Líquido])</f>
        <v>0</v>
      </c>
      <c r="M302" s="18" t="str">
        <f>IF(Tabela2[[#This Row],[Lucro Anterior]]=0,"",IF(Tabela2[[#This Row],[Lucro Líquido]]&gt;0,Tabela2[[#This Row],[Lucro Líquido]]/Tabela2[[#This Row],[Lucro Anterior]]-1,0))</f>
        <v/>
      </c>
    </row>
    <row r="303" spans="1:13">
      <c r="A303" s="4" t="s">
        <v>1</v>
      </c>
      <c r="B303" s="4">
        <v>2012</v>
      </c>
      <c r="C303" s="6">
        <v>107945984.63</v>
      </c>
      <c r="D303" s="8">
        <f>SUMPRODUCT(N(Tabela3[PAPEL]=Tabela2[[#This Row],[Ativo]]),Tabela3[Total Ações])</f>
        <v>167343887</v>
      </c>
      <c r="E303" s="64">
        <f>(Tabela2[[#This Row],[Lucro Líquido]])/Tabela2[[#This Row],[Total Ações]]</f>
        <v>0.64505484224828602</v>
      </c>
      <c r="F303" s="64">
        <v>0.34011160499999998</v>
      </c>
      <c r="G303" s="44">
        <f>IF(AND(Tabela2[[#This Row],[Dividendo / Ação]]&gt;0,Tabela2[[#This Row],[Lucro por ação]]&gt;0),Tabela2[[#This Row],[Dividendo / Ação]]/Tabela2[[#This Row],[Lucro por ação]],"")</f>
        <v>0.52725998275521624</v>
      </c>
      <c r="H303" s="6">
        <f>MAX(Tabela2[[#This Row],[Cotação 1]],Tabela2[[#This Row],[Cotação 2]])</f>
        <v>9.26</v>
      </c>
      <c r="I303" s="19">
        <f>IF(Tabela2[[#This Row],[Dividendo / Ação]]&gt;0,Tabela2[[#This Row],[Dividendo / Ação]]/Tabela2[[#This Row],[Cotação]],"")</f>
        <v>3.6729115010799132E-2</v>
      </c>
      <c r="J303" s="59">
        <f>SUMPRODUCT(N(Tabela1[Código]=Tabela2[[#This Row],[Ativo]]),Tabela1[Fechamento])</f>
        <v>9.26</v>
      </c>
      <c r="K303" s="59">
        <f>SUMPRODUCT(N(Tabela17[Código]=Tabela2[[#This Row],[Ativo]]),Tabela17[Fechamento])</f>
        <v>0</v>
      </c>
      <c r="L303" s="59">
        <f>SUMPRODUCT(N([Ativo]=Tabela2[[#This Row],[Ativo]]),N([Exercício]=Tabela2[[#This Row],[Exercício]]-1),[Lucro Líquido])</f>
        <v>1573104991</v>
      </c>
      <c r="M303" s="19">
        <f>IF(Tabela2[[#This Row],[Lucro Anterior]]=0,"",IF(Tabela2[[#This Row],[Lucro Líquido]]&gt;0,Tabela2[[#This Row],[Lucro Líquido]]/Tabela2[[#This Row],[Lucro Anterior]]-1,0))</f>
        <v>-0.93138030503521552</v>
      </c>
    </row>
    <row r="304" spans="1:13">
      <c r="A304" s="4" t="s">
        <v>1</v>
      </c>
      <c r="B304" s="4">
        <v>2011</v>
      </c>
      <c r="C304" s="5">
        <v>1573104991</v>
      </c>
      <c r="D304" s="8">
        <f>SUMPRODUCT(N(Tabela3[PAPEL]=Tabela2[[#This Row],[Ativo]]),Tabela3[Total Ações])</f>
        <v>167343887</v>
      </c>
      <c r="E304" s="64">
        <f>(Tabela2[[#This Row],[Lucro Líquido]])/Tabela2[[#This Row],[Total Ações]]</f>
        <v>9.4004329599443324</v>
      </c>
      <c r="F304" s="64">
        <v>5.648695429</v>
      </c>
      <c r="G304" s="44">
        <f>IF(AND(Tabela2[[#This Row],[Dividendo / Ação]]&gt;0,Tabela2[[#This Row],[Lucro por ação]]&gt;0),Tabela2[[#This Row],[Dividendo / Ação]]/Tabela2[[#This Row],[Lucro por ação]],"")</f>
        <v>0.60089736856476139</v>
      </c>
      <c r="H304" s="6">
        <f>MAX(Tabela2[[#This Row],[Cotação 1]],Tabela2[[#This Row],[Cotação 2]])</f>
        <v>9.26</v>
      </c>
      <c r="I304" s="19">
        <f>IF(Tabela2[[#This Row],[Dividendo / Ação]]&gt;0,Tabela2[[#This Row],[Dividendo / Ação]]/Tabela2[[#This Row],[Cotação]],"")</f>
        <v>0.61001030550755941</v>
      </c>
      <c r="J304" s="59">
        <f>SUMPRODUCT(N(Tabela1[Código]=Tabela2[[#This Row],[Ativo]]),Tabela1[Fechamento])</f>
        <v>9.26</v>
      </c>
      <c r="K304" s="59">
        <f>SUMPRODUCT(N(Tabela17[Código]=Tabela2[[#This Row],[Ativo]]),Tabela17[Fechamento])</f>
        <v>0</v>
      </c>
      <c r="L304" s="59">
        <f>SUMPRODUCT(N([Ativo]=Tabela2[[#This Row],[Ativo]]),N([Exercício]=Tabela2[[#This Row],[Exercício]]-1),[Lucro Líquido])</f>
        <v>1347688144.1600001</v>
      </c>
      <c r="M304" s="19">
        <f>IF(Tabela2[[#This Row],[Lucro Anterior]]=0,"",IF(Tabela2[[#This Row],[Lucro Líquido]]&gt;0,Tabela2[[#This Row],[Lucro Líquido]]/Tabela2[[#This Row],[Lucro Anterior]]-1,0))</f>
        <v>0.16726187569194639</v>
      </c>
    </row>
    <row r="305" spans="1:13">
      <c r="A305" s="4" t="s">
        <v>1</v>
      </c>
      <c r="B305" s="4">
        <v>2010</v>
      </c>
      <c r="C305" s="5">
        <v>1347688144.1600001</v>
      </c>
      <c r="D305" s="8">
        <f>SUMPRODUCT(N(Tabela3[PAPEL]=Tabela2[[#This Row],[Ativo]]),Tabela3[Total Ações])</f>
        <v>167343887</v>
      </c>
      <c r="E305" s="64">
        <f>(Tabela2[[#This Row],[Lucro Líquido]])/Tabela2[[#This Row],[Total Ações]]</f>
        <v>8.0534052860861305</v>
      </c>
      <c r="F305" s="64">
        <v>9.5598858660000001</v>
      </c>
      <c r="G305" s="44">
        <f>IF(AND(Tabela2[[#This Row],[Dividendo / Ação]]&gt;0,Tabela2[[#This Row],[Lucro por ação]]&gt;0),Tabela2[[#This Row],[Dividendo / Ação]]/Tabela2[[#This Row],[Lucro por ação]],"")</f>
        <v>1.1870613146114248</v>
      </c>
      <c r="H305" s="6">
        <f>MAX(Tabela2[[#This Row],[Cotação 1]],Tabela2[[#This Row],[Cotação 2]])</f>
        <v>9.26</v>
      </c>
      <c r="I305" s="19">
        <f>IF(Tabela2[[#This Row],[Dividendo / Ação]]&gt;0,Tabela2[[#This Row],[Dividendo / Ação]]/Tabela2[[#This Row],[Cotação]],"")</f>
        <v>1.0323850827213823</v>
      </c>
      <c r="J305" s="59">
        <f>SUMPRODUCT(N(Tabela1[Código]=Tabela2[[#This Row],[Ativo]]),Tabela1[Fechamento])</f>
        <v>9.26</v>
      </c>
      <c r="K305" s="59">
        <f>SUMPRODUCT(N(Tabela17[Código]=Tabela2[[#This Row],[Ativo]]),Tabela17[Fechamento])</f>
        <v>0</v>
      </c>
      <c r="L305" s="59">
        <f>SUMPRODUCT(N([Ativo]=Tabela2[[#This Row],[Ativo]]),N([Exercício]=Tabela2[[#This Row],[Exercício]]-1),[Lucro Líquido])</f>
        <v>1063193672.4299999</v>
      </c>
      <c r="M305" s="19">
        <f>IF(Tabela2[[#This Row],[Lucro Anterior]]=0,"",IF(Tabela2[[#This Row],[Lucro Líquido]]&gt;0,Tabela2[[#This Row],[Lucro Líquido]]/Tabela2[[#This Row],[Lucro Anterior]]-1,0))</f>
        <v>0.26758480520277095</v>
      </c>
    </row>
    <row r="306" spans="1:13">
      <c r="A306" s="4" t="s">
        <v>1</v>
      </c>
      <c r="B306" s="4">
        <v>2009</v>
      </c>
      <c r="C306" s="5">
        <v>1063193672.4299999</v>
      </c>
      <c r="D306" s="8">
        <f>SUMPRODUCT(N(Tabela3[PAPEL]=Tabela2[[#This Row],[Ativo]]),Tabela3[Total Ações])</f>
        <v>167343887</v>
      </c>
      <c r="E306" s="64">
        <f>(Tabela2[[#This Row],[Lucro Líquido]])/Tabela2[[#This Row],[Total Ações]]</f>
        <v>6.3533463426124426</v>
      </c>
      <c r="F306" s="64">
        <v>6.6950414370000004</v>
      </c>
      <c r="G306" s="44">
        <f>IF(AND(Tabela2[[#This Row],[Dividendo / Ação]]&gt;0,Tabela2[[#This Row],[Lucro por ação]]&gt;0),Tabela2[[#This Row],[Dividendo / Ação]]/Tabela2[[#This Row],[Lucro por ação]],"")</f>
        <v>1.0537819089281784</v>
      </c>
      <c r="H306" s="6">
        <f>MAX(Tabela2[[#This Row],[Cotação 1]],Tabela2[[#This Row],[Cotação 2]])</f>
        <v>9.26</v>
      </c>
      <c r="I306" s="19">
        <f>IF(Tabela2[[#This Row],[Dividendo / Ação]]&gt;0,Tabela2[[#This Row],[Dividendo / Ação]]/Tabela2[[#This Row],[Cotação]],"")</f>
        <v>0.72300663466522685</v>
      </c>
      <c r="J306" s="59">
        <f>SUMPRODUCT(N(Tabela1[Código]=Tabela2[[#This Row],[Ativo]]),Tabela1[Fechamento])</f>
        <v>9.26</v>
      </c>
      <c r="K306" s="59">
        <f>SUMPRODUCT(N(Tabela17[Código]=Tabela2[[#This Row],[Ativo]]),Tabela17[Fechamento])</f>
        <v>0</v>
      </c>
      <c r="L306" s="59">
        <f>SUMPRODUCT(N([Ativo]=Tabela2[[#This Row],[Ativo]]),N([Exercício]=Tabela2[[#This Row],[Exercício]]-1),[Lucro Líquido])</f>
        <v>0</v>
      </c>
      <c r="M306" s="19" t="str">
        <f>IF(Tabela2[[#This Row],[Lucro Anterior]]=0,"",IF(Tabela2[[#This Row],[Lucro Líquido]]&gt;0,Tabela2[[#This Row],[Lucro Líquido]]/Tabela2[[#This Row],[Lucro Anterior]]-1,0))</f>
        <v/>
      </c>
    </row>
    <row r="307" spans="1:13">
      <c r="A307" s="4" t="s">
        <v>184</v>
      </c>
      <c r="B307" s="4">
        <v>2012</v>
      </c>
      <c r="C307" s="6"/>
      <c r="D307" s="8">
        <f>SUMPRODUCT(N(Tabela3[PAPEL]=Tabela2[[#This Row],[Ativo]]),Tabela3[Total Ações])</f>
        <v>36947084</v>
      </c>
      <c r="E307" s="64">
        <f>(Tabela2[[#This Row],[Lucro Líquido]])/Tabela2[[#This Row],[Total Ações]]</f>
        <v>0</v>
      </c>
      <c r="F307" s="64">
        <v>0</v>
      </c>
      <c r="G307" s="44" t="str">
        <f>IF(AND(Tabela2[[#This Row],[Dividendo / Ação]]&gt;0,Tabela2[[#This Row],[Lucro por ação]]&gt;0),Tabela2[[#This Row],[Dividendo / Ação]]/Tabela2[[#This Row],[Lucro por ação]],"")</f>
        <v/>
      </c>
      <c r="H307" s="6">
        <f>MAX(Tabela2[[#This Row],[Cotação 1]],Tabela2[[#This Row],[Cotação 2]])</f>
        <v>5.67</v>
      </c>
      <c r="I307" s="19" t="str">
        <f>IF(Tabela2[[#This Row],[Dividendo / Ação]]&gt;0,Tabela2[[#This Row],[Dividendo / Ação]]/Tabela2[[#This Row],[Cotação]],"")</f>
        <v/>
      </c>
      <c r="J307" s="59">
        <f>SUMPRODUCT(N(Tabela1[Código]=Tabela2[[#This Row],[Ativo]]),Tabela1[Fechamento])</f>
        <v>5.67</v>
      </c>
      <c r="K307" s="59">
        <f>SUMPRODUCT(N(Tabela17[Código]=Tabela2[[#This Row],[Ativo]]),Tabela17[Fechamento])</f>
        <v>0</v>
      </c>
      <c r="L307" s="59">
        <f>SUMPRODUCT(N([Ativo]=Tabela2[[#This Row],[Ativo]]),N([Exercício]=Tabela2[[#This Row],[Exercício]]-1),[Lucro Líquido])</f>
        <v>0</v>
      </c>
      <c r="M307" s="19" t="str">
        <f>IF(Tabela2[[#This Row],[Lucro Anterior]]=0,"",IF(Tabela2[[#This Row],[Lucro Líquido]]&gt;0,Tabela2[[#This Row],[Lucro Líquido]]/Tabela2[[#This Row],[Lucro Anterior]]-1,0))</f>
        <v/>
      </c>
    </row>
    <row r="308" spans="1:13">
      <c r="A308" s="4" t="s">
        <v>184</v>
      </c>
      <c r="B308" s="4">
        <v>2011</v>
      </c>
      <c r="C308" s="6"/>
      <c r="D308" s="8">
        <f>SUMPRODUCT(N(Tabela3[PAPEL]=Tabela2[[#This Row],[Ativo]]),Tabela3[Total Ações])</f>
        <v>36947084</v>
      </c>
      <c r="E308" s="64">
        <f>(Tabela2[[#This Row],[Lucro Líquido]])/Tabela2[[#This Row],[Total Ações]]</f>
        <v>0</v>
      </c>
      <c r="F308" s="64">
        <v>0</v>
      </c>
      <c r="G308" s="44" t="str">
        <f>IF(AND(Tabela2[[#This Row],[Dividendo / Ação]]&gt;0,Tabela2[[#This Row],[Lucro por ação]]&gt;0),Tabela2[[#This Row],[Dividendo / Ação]]/Tabela2[[#This Row],[Lucro por ação]],"")</f>
        <v/>
      </c>
      <c r="H308" s="6">
        <f>MAX(Tabela2[[#This Row],[Cotação 1]],Tabela2[[#This Row],[Cotação 2]])</f>
        <v>5.67</v>
      </c>
      <c r="I308" s="19" t="str">
        <f>IF(Tabela2[[#This Row],[Dividendo / Ação]]&gt;0,Tabela2[[#This Row],[Dividendo / Ação]]/Tabela2[[#This Row],[Cotação]],"")</f>
        <v/>
      </c>
      <c r="J308" s="59">
        <f>SUMPRODUCT(N(Tabela1[Código]=Tabela2[[#This Row],[Ativo]]),Tabela1[Fechamento])</f>
        <v>5.67</v>
      </c>
      <c r="K308" s="59">
        <f>SUMPRODUCT(N(Tabela17[Código]=Tabela2[[#This Row],[Ativo]]),Tabela17[Fechamento])</f>
        <v>0</v>
      </c>
      <c r="L308" s="59">
        <f>SUMPRODUCT(N([Ativo]=Tabela2[[#This Row],[Ativo]]),N([Exercício]=Tabela2[[#This Row],[Exercício]]-1),[Lucro Líquido])</f>
        <v>13974263.699999999</v>
      </c>
      <c r="M308" s="19">
        <f>IF(Tabela2[[#This Row],[Lucro Anterior]]=0,"",IF(Tabela2[[#This Row],[Lucro Líquido]]&gt;0,Tabela2[[#This Row],[Lucro Líquido]]/Tabela2[[#This Row],[Lucro Anterior]]-1,0))</f>
        <v>0</v>
      </c>
    </row>
    <row r="309" spans="1:13">
      <c r="A309" s="4" t="s">
        <v>184</v>
      </c>
      <c r="B309" s="4">
        <v>2010</v>
      </c>
      <c r="C309" s="6">
        <v>13974263.699999999</v>
      </c>
      <c r="D309" s="8">
        <f>SUMPRODUCT(N(Tabela3[PAPEL]=Tabela2[[#This Row],[Ativo]]),Tabela3[Total Ações])</f>
        <v>36947084</v>
      </c>
      <c r="E309" s="64">
        <f>(Tabela2[[#This Row],[Lucro Líquido]])/Tabela2[[#This Row],[Total Ações]]</f>
        <v>0.37822372396154452</v>
      </c>
      <c r="F309" s="64">
        <v>8.7654448199999999E-2</v>
      </c>
      <c r="G309" s="44">
        <f>IF(AND(Tabela2[[#This Row],[Dividendo / Ação]]&gt;0,Tabela2[[#This Row],[Lucro por ação]]&gt;0),Tabela2[[#This Row],[Dividendo / Ação]]/Tabela2[[#This Row],[Lucro por ação]],"")</f>
        <v>0.23175290878610291</v>
      </c>
      <c r="H309" s="6">
        <f>MAX(Tabela2[[#This Row],[Cotação 1]],Tabela2[[#This Row],[Cotação 2]])</f>
        <v>5.67</v>
      </c>
      <c r="I309" s="19">
        <f>IF(Tabela2[[#This Row],[Dividendo / Ação]]&gt;0,Tabela2[[#This Row],[Dividendo / Ação]]/Tabela2[[#This Row],[Cotação]],"")</f>
        <v>1.5459338306878307E-2</v>
      </c>
      <c r="J309" s="59">
        <f>SUMPRODUCT(N(Tabela1[Código]=Tabela2[[#This Row],[Ativo]]),Tabela1[Fechamento])</f>
        <v>5.67</v>
      </c>
      <c r="K309" s="59">
        <f>SUMPRODUCT(N(Tabela17[Código]=Tabela2[[#This Row],[Ativo]]),Tabela17[Fechamento])</f>
        <v>0</v>
      </c>
      <c r="L309" s="59">
        <f>SUMPRODUCT(N([Ativo]=Tabela2[[#This Row],[Ativo]]),N([Exercício]=Tabela2[[#This Row],[Exercício]]-1),[Lucro Líquido])</f>
        <v>-7526000</v>
      </c>
      <c r="M309" s="19">
        <f>IF(Tabela2[[#This Row],[Lucro Anterior]]=0,"",IF(Tabela2[[#This Row],[Lucro Líquido]]&gt;0,Tabela2[[#This Row],[Lucro Líquido]]/Tabela2[[#This Row],[Lucro Anterior]]-1,0))</f>
        <v>-2.8567982593675261</v>
      </c>
    </row>
    <row r="310" spans="1:13">
      <c r="A310" s="4" t="s">
        <v>184</v>
      </c>
      <c r="B310" s="4">
        <v>2009</v>
      </c>
      <c r="C310" s="6">
        <v>-7526000</v>
      </c>
      <c r="D310" s="8">
        <f>SUMPRODUCT(N(Tabela3[PAPEL]=Tabela2[[#This Row],[Ativo]]),Tabela3[Total Ações])</f>
        <v>36947084</v>
      </c>
      <c r="E310" s="64">
        <f>(Tabela2[[#This Row],[Lucro Líquido]])/Tabela2[[#This Row],[Total Ações]]</f>
        <v>-0.20369672475370451</v>
      </c>
      <c r="F310" s="64">
        <v>0</v>
      </c>
      <c r="G310" s="44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5.67</v>
      </c>
      <c r="I310" s="19" t="str">
        <f>IF(Tabela2[[#This Row],[Dividendo / Ação]]&gt;0,Tabela2[[#This Row],[Dividendo / Ação]]/Tabela2[[#This Row],[Cotação]],"")</f>
        <v/>
      </c>
      <c r="J310" s="59">
        <f>SUMPRODUCT(N(Tabela1[Código]=Tabela2[[#This Row],[Ativo]]),Tabela1[Fechamento])</f>
        <v>5.67</v>
      </c>
      <c r="K310" s="59">
        <f>SUMPRODUCT(N(Tabela17[Código]=Tabela2[[#This Row],[Ativo]]),Tabela17[Fechamento])</f>
        <v>0</v>
      </c>
      <c r="L310" s="59">
        <f>SUMPRODUCT(N([Ativo]=Tabela2[[#This Row],[Ativo]]),N([Exercício]=Tabela2[[#This Row],[Exercício]]-1),[Lucro Líquido])</f>
        <v>-170585000</v>
      </c>
      <c r="M310" s="19">
        <f>IF(Tabela2[[#This Row],[Lucro Anterior]]=0,"",IF(Tabela2[[#This Row],[Lucro Líquido]]&gt;0,Tabela2[[#This Row],[Lucro Líquido]]/Tabela2[[#This Row],[Lucro Anterior]]-1,0))</f>
        <v>0</v>
      </c>
    </row>
    <row r="311" spans="1:13">
      <c r="A311" s="4" t="s">
        <v>184</v>
      </c>
      <c r="B311" s="4">
        <v>2008</v>
      </c>
      <c r="C311" s="6">
        <v>-170585000</v>
      </c>
      <c r="D311" s="8">
        <f>SUMPRODUCT(N(Tabela3[PAPEL]=Tabela2[[#This Row],[Ativo]]),Tabela3[Total Ações])</f>
        <v>36947084</v>
      </c>
      <c r="E311" s="64">
        <f>(Tabela2[[#This Row],[Lucro Líquido]])/Tabela2[[#This Row],[Total Ações]]</f>
        <v>-4.6170084762304926</v>
      </c>
      <c r="F311" s="64">
        <v>0.36506361199999998</v>
      </c>
      <c r="G311" s="44" t="str">
        <f>IF(AND(Tabela2[[#This Row],[Dividendo / Ação]]&gt;0,Tabela2[[#This Row],[Lucro por ação]]&gt;0),Tabela2[[#This Row],[Dividendo / Ação]]/Tabela2[[#This Row],[Lucro por ação]],"")</f>
        <v/>
      </c>
      <c r="H311" s="6">
        <f>MAX(Tabela2[[#This Row],[Cotação 1]],Tabela2[[#This Row],[Cotação 2]])</f>
        <v>5.67</v>
      </c>
      <c r="I311" s="19">
        <f>IF(Tabela2[[#This Row],[Dividendo / Ação]]&gt;0,Tabela2[[#This Row],[Dividendo / Ação]]/Tabela2[[#This Row],[Cotação]],"")</f>
        <v>6.4385116754850091E-2</v>
      </c>
      <c r="J311" s="59">
        <f>SUMPRODUCT(N(Tabela1[Código]=Tabela2[[#This Row],[Ativo]]),Tabela1[Fechamento])</f>
        <v>5.67</v>
      </c>
      <c r="K311" s="59">
        <f>SUMPRODUCT(N(Tabela17[Código]=Tabela2[[#This Row],[Ativo]]),Tabela17[Fechamento])</f>
        <v>0</v>
      </c>
      <c r="L311" s="59">
        <f>SUMPRODUCT(N([Ativo]=Tabela2[[#This Row],[Ativo]]),N([Exercício]=Tabela2[[#This Row],[Exercício]]-1),[Lucro Líquido])</f>
        <v>0</v>
      </c>
      <c r="M311" s="19" t="str">
        <f>IF(Tabela2[[#This Row],[Lucro Anterior]]=0,"",IF(Tabela2[[#This Row],[Lucro Líquido]]&gt;0,Tabela2[[#This Row],[Lucro Líquido]]/Tabela2[[#This Row],[Lucro Anterior]]-1,0))</f>
        <v/>
      </c>
    </row>
    <row r="312" spans="1:13">
      <c r="A312" s="4" t="s">
        <v>28</v>
      </c>
      <c r="B312" s="4">
        <v>2012</v>
      </c>
      <c r="C312" s="6">
        <v>341644899.63</v>
      </c>
      <c r="D312" s="8">
        <f>SUMPRODUCT(N(Tabela3[PAPEL]=Tabela2[[#This Row],[Ativo]]),Tabela3[Total Ações])</f>
        <v>476415612</v>
      </c>
      <c r="E312" s="64">
        <f>(Tabela2[[#This Row],[Lucro Líquido]])/Tabela2[[#This Row],[Total Ações]]</f>
        <v>0.71711524774717084</v>
      </c>
      <c r="F312" s="64">
        <v>0.77853000000000006</v>
      </c>
      <c r="G312" s="44">
        <f>IF(AND(Tabela2[[#This Row],[Dividendo / Ação]]&gt;0,Tabela2[[#This Row],[Lucro por ação]]&gt;0),Tabela2[[#This Row],[Dividendo / Ação]]/Tabela2[[#This Row],[Lucro por ação]],"")</f>
        <v>1.0856413978726078</v>
      </c>
      <c r="H312" s="6">
        <f>MAX(Tabela2[[#This Row],[Cotação 1]],Tabela2[[#This Row],[Cotação 2]])</f>
        <v>10.210000000000001</v>
      </c>
      <c r="I312" s="19">
        <f>IF(Tabela2[[#This Row],[Dividendo / Ação]]&gt;0,Tabela2[[#This Row],[Dividendo / Ação]]/Tabela2[[#This Row],[Cotação]],"")</f>
        <v>7.6251714005876589E-2</v>
      </c>
      <c r="J312" s="59">
        <f>SUMPRODUCT(N(Tabela1[Código]=Tabela2[[#This Row],[Ativo]]),Tabela1[Fechamento])</f>
        <v>10.210000000000001</v>
      </c>
      <c r="K312" s="59">
        <f>SUMPRODUCT(N(Tabela17[Código]=Tabela2[[#This Row],[Ativo]]),Tabela17[Fechamento])</f>
        <v>0</v>
      </c>
      <c r="L312" s="59">
        <f>SUMPRODUCT(N([Ativo]=Tabela2[[#This Row],[Ativo]]),N([Exercício]=Tabela2[[#This Row],[Exercício]]-1),[Lucro Líquido])</f>
        <v>491579920.89999998</v>
      </c>
      <c r="M312" s="19">
        <f>IF(Tabela2[[#This Row],[Lucro Anterior]]=0,"",IF(Tabela2[[#This Row],[Lucro Líquido]]&gt;0,Tabela2[[#This Row],[Lucro Líquido]]/Tabela2[[#This Row],[Lucro Anterior]]-1,0))</f>
        <v>-0.30500639854348455</v>
      </c>
    </row>
    <row r="313" spans="1:13">
      <c r="A313" s="4" t="s">
        <v>28</v>
      </c>
      <c r="B313" s="4">
        <v>2011</v>
      </c>
      <c r="C313" s="6">
        <v>491579920.89999998</v>
      </c>
      <c r="D313" s="8">
        <f>SUMPRODUCT(N(Tabela3[PAPEL]=Tabela2[[#This Row],[Ativo]]),Tabela3[Total Ações])</f>
        <v>476415612</v>
      </c>
      <c r="E313" s="64">
        <f>(Tabela2[[#This Row],[Lucro Líquido]])/Tabela2[[#This Row],[Total Ações]]</f>
        <v>1.0318299999371137</v>
      </c>
      <c r="F313" s="64">
        <v>2.3355890000000001</v>
      </c>
      <c r="G313" s="44">
        <f>IF(AND(Tabela2[[#This Row],[Dividendo / Ação]]&gt;0,Tabela2[[#This Row],[Lucro por ação]]&gt;0),Tabela2[[#This Row],[Dividendo / Ação]]/Tabela2[[#This Row],[Lucro por ação]],"")</f>
        <v>2.2635405058414135</v>
      </c>
      <c r="H313" s="6">
        <f>MAX(Tabela2[[#This Row],[Cotação 1]],Tabela2[[#This Row],[Cotação 2]])</f>
        <v>10.210000000000001</v>
      </c>
      <c r="I313" s="19">
        <f>IF(Tabela2[[#This Row],[Dividendo / Ação]]&gt;0,Tabela2[[#This Row],[Dividendo / Ação]]/Tabela2[[#This Row],[Cotação]],"")</f>
        <v>0.22875504407443681</v>
      </c>
      <c r="J313" s="59">
        <f>SUMPRODUCT(N(Tabela1[Código]=Tabela2[[#This Row],[Ativo]]),Tabela1[Fechamento])</f>
        <v>10.210000000000001</v>
      </c>
      <c r="K313" s="59">
        <f>SUMPRODUCT(N(Tabela17[Código]=Tabela2[[#This Row],[Ativo]]),Tabela17[Fechamento])</f>
        <v>0</v>
      </c>
      <c r="L313" s="59">
        <f>SUMPRODUCT(N([Ativo]=Tabela2[[#This Row],[Ativo]]),N([Exercício]=Tabela2[[#This Row],[Exercício]]-1),[Lucro Líquido])</f>
        <v>588911630.5</v>
      </c>
      <c r="M313" s="19">
        <f>IF(Tabela2[[#This Row],[Lucro Anterior]]=0,"",IF(Tabela2[[#This Row],[Lucro Líquido]]&gt;0,Tabela2[[#This Row],[Lucro Líquido]]/Tabela2[[#This Row],[Lucro Anterior]]-1,0))</f>
        <v>-0.1652738790663093</v>
      </c>
    </row>
    <row r="314" spans="1:13">
      <c r="A314" s="4" t="s">
        <v>28</v>
      </c>
      <c r="B314" s="4">
        <v>2010</v>
      </c>
      <c r="C314" s="6">
        <v>588911630.5</v>
      </c>
      <c r="D314" s="8">
        <f>SUMPRODUCT(N(Tabela3[PAPEL]=Tabela2[[#This Row],[Ativo]]),Tabela3[Total Ações])</f>
        <v>476415612</v>
      </c>
      <c r="E314" s="64">
        <f>(Tabela2[[#This Row],[Lucro Líquido]])/Tabela2[[#This Row],[Total Ações]]</f>
        <v>1.2361300000806859</v>
      </c>
      <c r="F314" s="64">
        <v>2.22437</v>
      </c>
      <c r="G314" s="44">
        <f>IF(AND(Tabela2[[#This Row],[Dividendo / Ação]]&gt;0,Tabela2[[#This Row],[Lucro por ação]]&gt;0),Tabela2[[#This Row],[Dividendo / Ação]]/Tabela2[[#This Row],[Lucro por ação]],"")</f>
        <v>1.7994628395515107</v>
      </c>
      <c r="H314" s="6">
        <f>MAX(Tabela2[[#This Row],[Cotação 1]],Tabela2[[#This Row],[Cotação 2]])</f>
        <v>10.210000000000001</v>
      </c>
      <c r="I314" s="19">
        <f>IF(Tabela2[[#This Row],[Dividendo / Ação]]&gt;0,Tabela2[[#This Row],[Dividendo / Ação]]/Tabela2[[#This Row],[Cotação]],"")</f>
        <v>0.21786190009794318</v>
      </c>
      <c r="J314" s="59">
        <f>SUMPRODUCT(N(Tabela1[Código]=Tabela2[[#This Row],[Ativo]]),Tabela1[Fechamento])</f>
        <v>10.210000000000001</v>
      </c>
      <c r="K314" s="59">
        <f>SUMPRODUCT(N(Tabela17[Código]=Tabela2[[#This Row],[Ativo]]),Tabela17[Fechamento])</f>
        <v>0</v>
      </c>
      <c r="L314" s="59">
        <f>SUMPRODUCT(N([Ativo]=Tabela2[[#This Row],[Ativo]]),N([Exercício]=Tabela2[[#This Row],[Exercício]]-1),[Lucro Líquido])</f>
        <v>695571557.70000005</v>
      </c>
      <c r="M314" s="19">
        <f>IF(Tabela2[[#This Row],[Lucro Anterior]]=0,"",IF(Tabela2[[#This Row],[Lucro Líquido]]&gt;0,Tabela2[[#This Row],[Lucro Líquido]]/Tabela2[[#This Row],[Lucro Anterior]]-1,0))</f>
        <v>-0.15334141544356028</v>
      </c>
    </row>
    <row r="315" spans="1:13">
      <c r="A315" s="4" t="s">
        <v>28</v>
      </c>
      <c r="B315" s="4">
        <v>2009</v>
      </c>
      <c r="C315" s="6">
        <v>695571557.70000005</v>
      </c>
      <c r="D315" s="8">
        <f>SUMPRODUCT(N(Tabela3[PAPEL]=Tabela2[[#This Row],[Ativo]]),Tabela3[Total Ações])</f>
        <v>476415612</v>
      </c>
      <c r="E315" s="64">
        <f>(Tabela2[[#This Row],[Lucro Líquido]])/Tabela2[[#This Row],[Total Ações]]</f>
        <v>1.4600100000501244</v>
      </c>
      <c r="F315" s="64">
        <v>1.869219</v>
      </c>
      <c r="G315" s="44">
        <f>IF(AND(Tabela2[[#This Row],[Dividendo / Ação]]&gt;0,Tabela2[[#This Row],[Lucro por ação]]&gt;0),Tabela2[[#This Row],[Dividendo / Ação]]/Tabela2[[#This Row],[Lucro por ação]],"")</f>
        <v>1.2802782172285305</v>
      </c>
      <c r="H315" s="6">
        <f>MAX(Tabela2[[#This Row],[Cotação 1]],Tabela2[[#This Row],[Cotação 2]])</f>
        <v>10.210000000000001</v>
      </c>
      <c r="I315" s="19">
        <f>IF(Tabela2[[#This Row],[Dividendo / Ação]]&gt;0,Tabela2[[#This Row],[Dividendo / Ação]]/Tabela2[[#This Row],[Cotação]],"")</f>
        <v>0.18307727717923603</v>
      </c>
      <c r="J315" s="59">
        <f>SUMPRODUCT(N(Tabela1[Código]=Tabela2[[#This Row],[Ativo]]),Tabela1[Fechamento])</f>
        <v>10.210000000000001</v>
      </c>
      <c r="K315" s="59">
        <f>SUMPRODUCT(N(Tabela17[Código]=Tabela2[[#This Row],[Ativo]]),Tabela17[Fechamento])</f>
        <v>0</v>
      </c>
      <c r="L315" s="59">
        <f>SUMPRODUCT(N([Ativo]=Tabela2[[#This Row],[Ativo]]),N([Exercício]=Tabela2[[#This Row],[Exercício]]-1),[Lucro Líquido])</f>
        <v>0</v>
      </c>
      <c r="M315" s="19" t="str">
        <f>IF(Tabela2[[#This Row],[Lucro Anterior]]=0,"",IF(Tabela2[[#This Row],[Lucro Líquido]]&gt;0,Tabela2[[#This Row],[Lucro Líquido]]/Tabela2[[#This Row],[Lucro Anterior]]-1,0))</f>
        <v/>
      </c>
    </row>
    <row r="316" spans="1:13">
      <c r="A316" s="4" t="s">
        <v>88</v>
      </c>
      <c r="B316" s="4">
        <v>2012</v>
      </c>
      <c r="C316" s="6">
        <v>290441196.88</v>
      </c>
      <c r="D316" s="8">
        <f>SUMPRODUCT(N(Tabela3[PAPEL]=Tabela2[[#This Row],[Ativo]]),Tabela3[Total Ações])</f>
        <v>1245690889</v>
      </c>
      <c r="E316" s="62">
        <f>(Tabela2[[#This Row],[Lucro Líquido]])/Tabela2[[#This Row],[Total Ações]]</f>
        <v>0.23315671603984894</v>
      </c>
      <c r="F316" s="62">
        <v>0.79500000000000004</v>
      </c>
      <c r="G316" s="19">
        <f>IF(AND(Tabela2[[#This Row],[Dividendo / Ação]]&gt;0,Tabela2[[#This Row],[Lucro por ação]]&gt;0),Tabela2[[#This Row],[Dividendo / Ação]]/Tabela2[[#This Row],[Lucro por ação]],"")</f>
        <v>3.4097237836551368</v>
      </c>
      <c r="H316" s="6">
        <f>MAX(Tabela2[[#This Row],[Cotação 1]],Tabela2[[#This Row],[Cotação 2]])</f>
        <v>12.4</v>
      </c>
      <c r="I316" s="18">
        <f>IF(Tabela2[[#This Row],[Dividendo / Ação]]&gt;0,Tabela2[[#This Row],[Dividendo / Ação]]/Tabela2[[#This Row],[Cotação]],"")</f>
        <v>6.4112903225806456E-2</v>
      </c>
      <c r="J316" s="58">
        <f>SUMPRODUCT(N(Tabela1[Código]=Tabela2[[#This Row],[Ativo]]),Tabela1[Fechamento])</f>
        <v>12.4</v>
      </c>
      <c r="K316" s="58">
        <f>SUMPRODUCT(N(Tabela17[Código]=Tabela2[[#This Row],[Ativo]]),Tabela17[Fechamento])</f>
        <v>0</v>
      </c>
      <c r="L316" s="58">
        <f>SUMPRODUCT(N([Ativo]=Tabela2[[#This Row],[Ativo]]),N([Exercício]=Tabela2[[#This Row],[Exercício]]-1),[Lucro Líquido])</f>
        <v>212054242.16999999</v>
      </c>
      <c r="M316" s="18">
        <f>IF(Tabela2[[#This Row],[Lucro Anterior]]=0,"",IF(Tabela2[[#This Row],[Lucro Líquido]]&gt;0,Tabela2[[#This Row],[Lucro Líquido]]/Tabela2[[#This Row],[Lucro Anterior]]-1,0))</f>
        <v>0.36965520664830009</v>
      </c>
    </row>
    <row r="317" spans="1:13">
      <c r="A317" s="4" t="s">
        <v>88</v>
      </c>
      <c r="B317" s="4">
        <v>2011</v>
      </c>
      <c r="C317" s="5">
        <v>212054242.16999999</v>
      </c>
      <c r="D317" s="8">
        <f>SUMPRODUCT(N(Tabela3[PAPEL]=Tabela2[[#This Row],[Ativo]]),Tabela3[Total Ações])</f>
        <v>1245690889</v>
      </c>
      <c r="E317" s="62">
        <f>(Tabela2[[#This Row],[Lucro Líquido]])/Tabela2[[#This Row],[Total Ações]]</f>
        <v>0.17023022648919767</v>
      </c>
      <c r="F317" s="62">
        <v>9.6000000000000002E-2</v>
      </c>
      <c r="G317" s="19">
        <f>IF(AND(Tabela2[[#This Row],[Dividendo / Ação]]&gt;0,Tabela2[[#This Row],[Lucro por ação]]&gt;0),Tabela2[[#This Row],[Dividendo / Ação]]/Tabela2[[#This Row],[Lucro por ação]],"")</f>
        <v>0.56394215046228524</v>
      </c>
      <c r="H317" s="6">
        <f>MAX(Tabela2[[#This Row],[Cotação 1]],Tabela2[[#This Row],[Cotação 2]])</f>
        <v>12.4</v>
      </c>
      <c r="I317" s="18">
        <f>IF(Tabela2[[#This Row],[Dividendo / Ação]]&gt;0,Tabela2[[#This Row],[Dividendo / Ação]]/Tabela2[[#This Row],[Cotação]],"")</f>
        <v>7.7419354838709677E-3</v>
      </c>
      <c r="J317" s="58">
        <f>SUMPRODUCT(N(Tabela1[Código]=Tabela2[[#This Row],[Ativo]]),Tabela1[Fechamento])</f>
        <v>12.4</v>
      </c>
      <c r="K317" s="58">
        <f>SUMPRODUCT(N(Tabela17[Código]=Tabela2[[#This Row],[Ativo]]),Tabela17[Fechamento])</f>
        <v>0</v>
      </c>
      <c r="L317" s="58">
        <f>SUMPRODUCT(N([Ativo]=Tabela2[[#This Row],[Ativo]]),N([Exercício]=Tabela2[[#This Row],[Exercício]]-1),[Lucro Líquido])</f>
        <v>194647783.53</v>
      </c>
      <c r="M317" s="18">
        <f>IF(Tabela2[[#This Row],[Lucro Anterior]]=0,"",IF(Tabela2[[#This Row],[Lucro Líquido]]&gt;0,Tabela2[[#This Row],[Lucro Líquido]]/Tabela2[[#This Row],[Lucro Anterior]]-1,0))</f>
        <v>8.9425414070113174E-2</v>
      </c>
    </row>
    <row r="318" spans="1:13">
      <c r="A318" s="4" t="s">
        <v>88</v>
      </c>
      <c r="B318" s="4">
        <v>2010</v>
      </c>
      <c r="C318" s="5">
        <v>194647783.53</v>
      </c>
      <c r="D318" s="8">
        <f>SUMPRODUCT(N(Tabela3[PAPEL]=Tabela2[[#This Row],[Ativo]]),Tabela3[Total Ações])</f>
        <v>1245690889</v>
      </c>
      <c r="E318" s="62">
        <f>(Tabela2[[#This Row],[Lucro Líquido]])/Tabela2[[#This Row],[Total Ações]]</f>
        <v>0.15625688944892011</v>
      </c>
      <c r="F318" s="62">
        <v>8.8999999999999996E-2</v>
      </c>
      <c r="G318" s="19">
        <f>IF(AND(Tabela2[[#This Row],[Dividendo / Ação]]&gt;0,Tabela2[[#This Row],[Lucro por ação]]&gt;0),Tabela2[[#This Row],[Dividendo / Ação]]/Tabela2[[#This Row],[Lucro por ação]],"")</f>
        <v>0.56957488603466555</v>
      </c>
      <c r="H318" s="6">
        <f>MAX(Tabela2[[#This Row],[Cotação 1]],Tabela2[[#This Row],[Cotação 2]])</f>
        <v>12.4</v>
      </c>
      <c r="I318" s="18">
        <f>IF(Tabela2[[#This Row],[Dividendo / Ação]]&gt;0,Tabela2[[#This Row],[Dividendo / Ação]]/Tabela2[[#This Row],[Cotação]],"")</f>
        <v>7.1774193548387087E-3</v>
      </c>
      <c r="J318" s="58">
        <f>SUMPRODUCT(N(Tabela1[Código]=Tabela2[[#This Row],[Ativo]]),Tabela1[Fechamento])</f>
        <v>12.4</v>
      </c>
      <c r="K318" s="58">
        <f>SUMPRODUCT(N(Tabela17[Código]=Tabela2[[#This Row],[Ativo]]),Tabela17[Fechamento])</f>
        <v>0</v>
      </c>
      <c r="L318" s="58">
        <f>SUMPRODUCT(N([Ativo]=Tabela2[[#This Row],[Ativo]]),N([Exercício]=Tabela2[[#This Row],[Exercício]]-1),[Lucro Líquido])</f>
        <v>276855137.25</v>
      </c>
      <c r="M318" s="18">
        <f>IF(Tabela2[[#This Row],[Lucro Anterior]]=0,"",IF(Tabela2[[#This Row],[Lucro Líquido]]&gt;0,Tabela2[[#This Row],[Lucro Líquido]]/Tabela2[[#This Row],[Lucro Anterior]]-1,0))</f>
        <v>-0.29693273723061464</v>
      </c>
    </row>
    <row r="319" spans="1:13">
      <c r="A319" s="4" t="s">
        <v>88</v>
      </c>
      <c r="B319" s="4">
        <v>2009</v>
      </c>
      <c r="C319" s="5">
        <v>276855137.25</v>
      </c>
      <c r="D319" s="8">
        <f>SUMPRODUCT(N(Tabela3[PAPEL]=Tabela2[[#This Row],[Ativo]]),Tabela3[Total Ações])</f>
        <v>1245690889</v>
      </c>
      <c r="E319" s="62">
        <f>(Tabela2[[#This Row],[Lucro Líquido]])/Tabela2[[#This Row],[Total Ações]]</f>
        <v>0.22225027066887379</v>
      </c>
      <c r="F319" s="62">
        <v>0.113</v>
      </c>
      <c r="G319" s="19">
        <f>IF(AND(Tabela2[[#This Row],[Dividendo / Ação]]&gt;0,Tabela2[[#This Row],[Lucro por ação]]&gt;0),Tabela2[[#This Row],[Dividendo / Ação]]/Tabela2[[#This Row],[Lucro por ação]],"")</f>
        <v>0.50843582624183359</v>
      </c>
      <c r="H319" s="6">
        <f>MAX(Tabela2[[#This Row],[Cotação 1]],Tabela2[[#This Row],[Cotação 2]])</f>
        <v>12.4</v>
      </c>
      <c r="I319" s="18">
        <f>IF(Tabela2[[#This Row],[Dividendo / Ação]]&gt;0,Tabela2[[#This Row],[Dividendo / Ação]]/Tabela2[[#This Row],[Cotação]],"")</f>
        <v>9.112903225806452E-3</v>
      </c>
      <c r="J319" s="58">
        <f>SUMPRODUCT(N(Tabela1[Código]=Tabela2[[#This Row],[Ativo]]),Tabela1[Fechamento])</f>
        <v>12.4</v>
      </c>
      <c r="K319" s="58">
        <f>SUMPRODUCT(N(Tabela17[Código]=Tabela2[[#This Row],[Ativo]]),Tabela17[Fechamento])</f>
        <v>0</v>
      </c>
      <c r="L319" s="58">
        <f>SUMPRODUCT(N([Ativo]=Tabela2[[#This Row],[Ativo]]),N([Exercício]=Tabela2[[#This Row],[Exercício]]-1),[Lucro Líquido])</f>
        <v>0</v>
      </c>
      <c r="M319" s="18" t="str">
        <f>IF(Tabela2[[#This Row],[Lucro Anterior]]=0,"",IF(Tabela2[[#This Row],[Lucro Líquido]]&gt;0,Tabela2[[#This Row],[Lucro Líquido]]/Tabela2[[#This Row],[Lucro Anterior]]-1,0))</f>
        <v/>
      </c>
    </row>
    <row r="320" spans="1:13">
      <c r="A320" s="4" t="s">
        <v>186</v>
      </c>
      <c r="B320" s="3">
        <v>2012</v>
      </c>
      <c r="C320" s="6">
        <v>290441196.88</v>
      </c>
      <c r="D320" s="60">
        <f>SUMPRODUCT(N(Tabela3[PAPEL]=Tabela2[[#This Row],[Ativo]]),Tabela3[Total Ações])</f>
        <v>1245690889</v>
      </c>
      <c r="E320" s="61">
        <f>(Tabela2[[#This Row],[Lucro Líquido]])/Tabela2[[#This Row],[Total Ações]]</f>
        <v>0.23315671603984894</v>
      </c>
      <c r="F320" s="61">
        <v>0.159</v>
      </c>
      <c r="G320" s="18">
        <f>IF(AND(Tabela2[[#This Row],[Dividendo / Ação]]&gt;0,Tabela2[[#This Row],[Lucro por ação]]&gt;0),Tabela2[[#This Row],[Dividendo / Ação]]/Tabela2[[#This Row],[Lucro por ação]],"")</f>
        <v>0.68194475673102728</v>
      </c>
      <c r="H320" s="5">
        <f>MAX(Tabela2[[#This Row],[Cotação 1]],Tabela2[[#This Row],[Cotação 2]])</f>
        <v>3.4</v>
      </c>
      <c r="I320" s="18">
        <f>IF(Tabela2[[#This Row],[Dividendo / Ação]]&gt;0,Tabela2[[#This Row],[Dividendo / Ação]]/Tabela2[[#This Row],[Cotação]],"")</f>
        <v>4.6764705882352944E-2</v>
      </c>
      <c r="J320" s="58">
        <f>SUMPRODUCT(N(Tabela1[Código]=Tabela2[[#This Row],[Ativo]]),Tabela1[Fechamento])</f>
        <v>3.4</v>
      </c>
      <c r="K320" s="58">
        <f>SUMPRODUCT(N(Tabela17[Código]=Tabela2[[#This Row],[Ativo]]),Tabela17[Fechamento])</f>
        <v>0</v>
      </c>
      <c r="L320" s="58">
        <f>SUMPRODUCT(N([Ativo]=Tabela2[[#This Row],[Ativo]]),N([Exercício]=Tabela2[[#This Row],[Exercício]]-1),[Lucro Líquido])</f>
        <v>212054242.16999999</v>
      </c>
      <c r="M320" s="18">
        <f>IF(Tabela2[[#This Row],[Lucro Anterior]]=0,"",IF(Tabela2[[#This Row],[Lucro Líquido]]&gt;0,Tabela2[[#This Row],[Lucro Líquido]]/Tabela2[[#This Row],[Lucro Anterior]]-1,0))</f>
        <v>0.36965520664830009</v>
      </c>
    </row>
    <row r="321" spans="1:13">
      <c r="A321" s="4" t="s">
        <v>186</v>
      </c>
      <c r="B321" s="3">
        <v>2011</v>
      </c>
      <c r="C321" s="5">
        <v>212054242.16999999</v>
      </c>
      <c r="D321" s="60">
        <f>SUMPRODUCT(N(Tabela3[PAPEL]=Tabela2[[#This Row],[Ativo]]),Tabela3[Total Ações])</f>
        <v>1245690889</v>
      </c>
      <c r="E321" s="61">
        <f>(Tabela2[[#This Row],[Lucro Líquido]])/Tabela2[[#This Row],[Total Ações]]</f>
        <v>0.17023022648919767</v>
      </c>
      <c r="F321" s="62">
        <v>9.6000000000000002E-2</v>
      </c>
      <c r="G321" s="18">
        <f>IF(AND(Tabela2[[#This Row],[Dividendo / Ação]]&gt;0,Tabela2[[#This Row],[Lucro por ação]]&gt;0),Tabela2[[#This Row],[Dividendo / Ação]]/Tabela2[[#This Row],[Lucro por ação]],"")</f>
        <v>0.56394215046228524</v>
      </c>
      <c r="H321" s="5">
        <f>MAX(Tabela2[[#This Row],[Cotação 1]],Tabela2[[#This Row],[Cotação 2]])</f>
        <v>3.4</v>
      </c>
      <c r="I321" s="18">
        <f>IF(Tabela2[[#This Row],[Dividendo / Ação]]&gt;0,Tabela2[[#This Row],[Dividendo / Ação]]/Tabela2[[#This Row],[Cotação]],"")</f>
        <v>2.823529411764706E-2</v>
      </c>
      <c r="J321" s="58">
        <f>SUMPRODUCT(N(Tabela1[Código]=Tabela2[[#This Row],[Ativo]]),Tabela1[Fechamento])</f>
        <v>3.4</v>
      </c>
      <c r="K321" s="58">
        <f>SUMPRODUCT(N(Tabela17[Código]=Tabela2[[#This Row],[Ativo]]),Tabela17[Fechamento])</f>
        <v>0</v>
      </c>
      <c r="L321" s="58">
        <f>SUMPRODUCT(N([Ativo]=Tabela2[[#This Row],[Ativo]]),N([Exercício]=Tabela2[[#This Row],[Exercício]]-1),[Lucro Líquido])</f>
        <v>194647783.53</v>
      </c>
      <c r="M321" s="18">
        <f>IF(Tabela2[[#This Row],[Lucro Anterior]]=0,"",IF(Tabela2[[#This Row],[Lucro Líquido]]&gt;0,Tabela2[[#This Row],[Lucro Líquido]]/Tabela2[[#This Row],[Lucro Anterior]]-1,0))</f>
        <v>8.9425414070113174E-2</v>
      </c>
    </row>
    <row r="322" spans="1:13">
      <c r="A322" s="4" t="s">
        <v>186</v>
      </c>
      <c r="B322" s="4">
        <v>2010</v>
      </c>
      <c r="C322" s="5">
        <v>194647783.53</v>
      </c>
      <c r="D322" s="60">
        <f>SUMPRODUCT(N(Tabela3[PAPEL]=Tabela2[[#This Row],[Ativo]]),Tabela3[Total Ações])</f>
        <v>1245690889</v>
      </c>
      <c r="E322" s="61">
        <f>(Tabela2[[#This Row],[Lucro Líquido]])/Tabela2[[#This Row],[Total Ações]]</f>
        <v>0.15625688944892011</v>
      </c>
      <c r="F322" s="62">
        <v>8.8999999999999996E-2</v>
      </c>
      <c r="G322" s="18">
        <f>IF(AND(Tabela2[[#This Row],[Dividendo / Ação]]&gt;0,Tabela2[[#This Row],[Lucro por ação]]&gt;0),Tabela2[[#This Row],[Dividendo / Ação]]/Tabela2[[#This Row],[Lucro por ação]],"")</f>
        <v>0.56957488603466555</v>
      </c>
      <c r="H322" s="5">
        <f>MAX(Tabela2[[#This Row],[Cotação 1]],Tabela2[[#This Row],[Cotação 2]])</f>
        <v>3.4</v>
      </c>
      <c r="I322" s="18">
        <f>IF(Tabela2[[#This Row],[Dividendo / Ação]]&gt;0,Tabela2[[#This Row],[Dividendo / Ação]]/Tabela2[[#This Row],[Cotação]],"")</f>
        <v>2.6176470588235294E-2</v>
      </c>
      <c r="J322" s="58">
        <f>SUMPRODUCT(N(Tabela1[Código]=Tabela2[[#This Row],[Ativo]]),Tabela1[Fechamento])</f>
        <v>3.4</v>
      </c>
      <c r="K322" s="58">
        <f>SUMPRODUCT(N(Tabela17[Código]=Tabela2[[#This Row],[Ativo]]),Tabela17[Fechamento])</f>
        <v>0</v>
      </c>
      <c r="L322" s="58">
        <f>SUMPRODUCT(N([Ativo]=Tabela2[[#This Row],[Ativo]]),N([Exercício]=Tabela2[[#This Row],[Exercício]]-1),[Lucro Líquido])</f>
        <v>276855137.25</v>
      </c>
      <c r="M322" s="18">
        <f>IF(Tabela2[[#This Row],[Lucro Anterior]]=0,"",IF(Tabela2[[#This Row],[Lucro Líquido]]&gt;0,Tabela2[[#This Row],[Lucro Líquido]]/Tabela2[[#This Row],[Lucro Anterior]]-1,0))</f>
        <v>-0.29693273723061464</v>
      </c>
    </row>
    <row r="323" spans="1:13">
      <c r="A323" s="4" t="s">
        <v>186</v>
      </c>
      <c r="B323" s="4">
        <v>2009</v>
      </c>
      <c r="C323" s="5">
        <v>276855137.25</v>
      </c>
      <c r="D323" s="60">
        <f>SUMPRODUCT(N(Tabela3[PAPEL]=Tabela2[[#This Row],[Ativo]]),Tabela3[Total Ações])</f>
        <v>1245690889</v>
      </c>
      <c r="E323" s="61">
        <f>(Tabela2[[#This Row],[Lucro Líquido]])/Tabela2[[#This Row],[Total Ações]]</f>
        <v>0.22225027066887379</v>
      </c>
      <c r="F323" s="62">
        <v>0.113</v>
      </c>
      <c r="G323" s="18">
        <f>IF(AND(Tabela2[[#This Row],[Dividendo / Ação]]&gt;0,Tabela2[[#This Row],[Lucro por ação]]&gt;0),Tabela2[[#This Row],[Dividendo / Ação]]/Tabela2[[#This Row],[Lucro por ação]],"")</f>
        <v>0.50843582624183359</v>
      </c>
      <c r="H323" s="5">
        <f>MAX(Tabela2[[#This Row],[Cotação 1]],Tabela2[[#This Row],[Cotação 2]])</f>
        <v>3.4</v>
      </c>
      <c r="I323" s="18">
        <f>IF(Tabela2[[#This Row],[Dividendo / Ação]]&gt;0,Tabela2[[#This Row],[Dividendo / Ação]]/Tabela2[[#This Row],[Cotação]],"")</f>
        <v>3.3235294117647057E-2</v>
      </c>
      <c r="J323" s="58">
        <f>SUMPRODUCT(N(Tabela1[Código]=Tabela2[[#This Row],[Ativo]]),Tabela1[Fechamento])</f>
        <v>3.4</v>
      </c>
      <c r="K323" s="58">
        <f>SUMPRODUCT(N(Tabela17[Código]=Tabela2[[#This Row],[Ativo]]),Tabela17[Fechamento])</f>
        <v>0</v>
      </c>
      <c r="L323" s="58">
        <f>SUMPRODUCT(N([Ativo]=Tabela2[[#This Row],[Ativo]]),N([Exercício]=Tabela2[[#This Row],[Exercício]]-1),[Lucro Líquido])</f>
        <v>0</v>
      </c>
      <c r="M323" s="18" t="str">
        <f>IF(Tabela2[[#This Row],[Lucro Anterior]]=0,"",IF(Tabela2[[#This Row],[Lucro Líquido]]&gt;0,Tabela2[[#This Row],[Lucro Líquido]]/Tabela2[[#This Row],[Lucro Anterior]]-1,0))</f>
        <v/>
      </c>
    </row>
    <row r="324" spans="1:13">
      <c r="A324" s="4" t="s">
        <v>64</v>
      </c>
      <c r="B324" s="4">
        <v>2012</v>
      </c>
      <c r="C324" s="6">
        <v>290441196.88</v>
      </c>
      <c r="D324" s="8">
        <f>SUMPRODUCT(N(Tabela3[PAPEL]=Tabela2[[#This Row],[Ativo]]),Tabela3[Total Ações])</f>
        <v>1245690889</v>
      </c>
      <c r="E324" s="62">
        <f>(Tabela2[[#This Row],[Lucro Líquido]])/Tabela2[[#This Row],[Total Ações]]</f>
        <v>0.23315671603984894</v>
      </c>
      <c r="F324" s="62">
        <v>0.159</v>
      </c>
      <c r="G324" s="19">
        <f>IF(AND(Tabela2[[#This Row],[Dividendo / Ação]]&gt;0,Tabela2[[#This Row],[Lucro por ação]]&gt;0),Tabela2[[#This Row],[Dividendo / Ação]]/Tabela2[[#This Row],[Lucro por ação]],"")</f>
        <v>0.68194475673102728</v>
      </c>
      <c r="H324" s="6">
        <f>MAX(Tabela2[[#This Row],[Cotação 1]],Tabela2[[#This Row],[Cotação 2]])</f>
        <v>2.1</v>
      </c>
      <c r="I324" s="18">
        <f>IF(Tabela2[[#This Row],[Dividendo / Ação]]&gt;0,Tabela2[[#This Row],[Dividendo / Ação]]/Tabela2[[#This Row],[Cotação]],"")</f>
        <v>7.5714285714285706E-2</v>
      </c>
      <c r="J324" s="58">
        <f>SUMPRODUCT(N(Tabela1[Código]=Tabela2[[#This Row],[Ativo]]),Tabela1[Fechamento])</f>
        <v>2.1</v>
      </c>
      <c r="K324" s="58">
        <f>SUMPRODUCT(N(Tabela17[Código]=Tabela2[[#This Row],[Ativo]]),Tabela17[Fechamento])</f>
        <v>0</v>
      </c>
      <c r="L324" s="58">
        <f>SUMPRODUCT(N([Ativo]=Tabela2[[#This Row],[Ativo]]),N([Exercício]=Tabela2[[#This Row],[Exercício]]-1),[Lucro Líquido])</f>
        <v>212054242.16999999</v>
      </c>
      <c r="M324" s="18">
        <f>IF(Tabela2[[#This Row],[Lucro Anterior]]=0,"",IF(Tabela2[[#This Row],[Lucro Líquido]]&gt;0,Tabela2[[#This Row],[Lucro Líquido]]/Tabela2[[#This Row],[Lucro Anterior]]-1,0))</f>
        <v>0.36965520664830009</v>
      </c>
    </row>
    <row r="325" spans="1:13">
      <c r="A325" s="4" t="s">
        <v>64</v>
      </c>
      <c r="B325" s="3">
        <v>2011</v>
      </c>
      <c r="C325" s="5">
        <v>212054242.16999999</v>
      </c>
      <c r="D325" s="60">
        <f>SUMPRODUCT(N(Tabela3[PAPEL]=Tabela2[[#This Row],[Ativo]]),Tabela3[Total Ações])</f>
        <v>1245690889</v>
      </c>
      <c r="E325" s="61">
        <f>(Tabela2[[#This Row],[Lucro Líquido]])/Tabela2[[#This Row],[Total Ações]]</f>
        <v>0.17023022648919767</v>
      </c>
      <c r="F325" s="62">
        <v>9.6000000000000002E-2</v>
      </c>
      <c r="G325" s="18">
        <f>IF(AND(Tabela2[[#This Row],[Dividendo / Ação]]&gt;0,Tabela2[[#This Row],[Lucro por ação]]&gt;0),Tabela2[[#This Row],[Dividendo / Ação]]/Tabela2[[#This Row],[Lucro por ação]],"")</f>
        <v>0.56394215046228524</v>
      </c>
      <c r="H325" s="5">
        <f>MAX(Tabela2[[#This Row],[Cotação 1]],Tabela2[[#This Row],[Cotação 2]])</f>
        <v>2.1</v>
      </c>
      <c r="I325" s="18">
        <f>IF(Tabela2[[#This Row],[Dividendo / Ação]]&gt;0,Tabela2[[#This Row],[Dividendo / Ação]]/Tabela2[[#This Row],[Cotação]],"")</f>
        <v>4.5714285714285714E-2</v>
      </c>
      <c r="J325" s="58">
        <f>SUMPRODUCT(N(Tabela1[Código]=Tabela2[[#This Row],[Ativo]]),Tabela1[Fechamento])</f>
        <v>2.1</v>
      </c>
      <c r="K325" s="58">
        <f>SUMPRODUCT(N(Tabela17[Código]=Tabela2[[#This Row],[Ativo]]),Tabela17[Fechamento])</f>
        <v>0</v>
      </c>
      <c r="L325" s="58">
        <f>SUMPRODUCT(N([Ativo]=Tabela2[[#This Row],[Ativo]]),N([Exercício]=Tabela2[[#This Row],[Exercício]]-1),[Lucro Líquido])</f>
        <v>194647783.53</v>
      </c>
      <c r="M325" s="18">
        <f>IF(Tabela2[[#This Row],[Lucro Anterior]]=0,"",IF(Tabela2[[#This Row],[Lucro Líquido]]&gt;0,Tabela2[[#This Row],[Lucro Líquido]]/Tabela2[[#This Row],[Lucro Anterior]]-1,0))</f>
        <v>8.9425414070113174E-2</v>
      </c>
    </row>
    <row r="326" spans="1:13">
      <c r="A326" s="4" t="s">
        <v>64</v>
      </c>
      <c r="B326" s="4">
        <v>2010</v>
      </c>
      <c r="C326" s="5">
        <v>194647783.53</v>
      </c>
      <c r="D326" s="60">
        <f>SUMPRODUCT(N(Tabela3[PAPEL]=Tabela2[[#This Row],[Ativo]]),Tabela3[Total Ações])</f>
        <v>1245690889</v>
      </c>
      <c r="E326" s="61">
        <f>(Tabela2[[#This Row],[Lucro Líquido]])/Tabela2[[#This Row],[Total Ações]]</f>
        <v>0.15625688944892011</v>
      </c>
      <c r="F326" s="62">
        <v>8.8999999999999996E-2</v>
      </c>
      <c r="G326" s="18">
        <f>IF(AND(Tabela2[[#This Row],[Dividendo / Ação]]&gt;0,Tabela2[[#This Row],[Lucro por ação]]&gt;0),Tabela2[[#This Row],[Dividendo / Ação]]/Tabela2[[#This Row],[Lucro por ação]],"")</f>
        <v>0.56957488603466555</v>
      </c>
      <c r="H326" s="5">
        <f>MAX(Tabela2[[#This Row],[Cotação 1]],Tabela2[[#This Row],[Cotação 2]])</f>
        <v>2.1</v>
      </c>
      <c r="I326" s="18">
        <f>IF(Tabela2[[#This Row],[Dividendo / Ação]]&gt;0,Tabela2[[#This Row],[Dividendo / Ação]]/Tabela2[[#This Row],[Cotação]],"")</f>
        <v>4.238095238095238E-2</v>
      </c>
      <c r="J326" s="58">
        <f>SUMPRODUCT(N(Tabela1[Código]=Tabela2[[#This Row],[Ativo]]),Tabela1[Fechamento])</f>
        <v>2.1</v>
      </c>
      <c r="K326" s="58">
        <f>SUMPRODUCT(N(Tabela17[Código]=Tabela2[[#This Row],[Ativo]]),Tabela17[Fechamento])</f>
        <v>0</v>
      </c>
      <c r="L326" s="58">
        <f>SUMPRODUCT(N([Ativo]=Tabela2[[#This Row],[Ativo]]),N([Exercício]=Tabela2[[#This Row],[Exercício]]-1),[Lucro Líquido])</f>
        <v>276855137.25</v>
      </c>
      <c r="M326" s="18">
        <f>IF(Tabela2[[#This Row],[Lucro Anterior]]=0,"",IF(Tabela2[[#This Row],[Lucro Líquido]]&gt;0,Tabela2[[#This Row],[Lucro Líquido]]/Tabela2[[#This Row],[Lucro Anterior]]-1,0))</f>
        <v>-0.29693273723061464</v>
      </c>
    </row>
    <row r="327" spans="1:13">
      <c r="A327" s="4" t="s">
        <v>64</v>
      </c>
      <c r="B327" s="4">
        <v>2009</v>
      </c>
      <c r="C327" s="5">
        <v>276855137.25</v>
      </c>
      <c r="D327" s="60">
        <f>SUMPRODUCT(N(Tabela3[PAPEL]=Tabela2[[#This Row],[Ativo]]),Tabela3[Total Ações])</f>
        <v>1245690889</v>
      </c>
      <c r="E327" s="61">
        <f>(Tabela2[[#This Row],[Lucro Líquido]])/Tabela2[[#This Row],[Total Ações]]</f>
        <v>0.22225027066887379</v>
      </c>
      <c r="F327" s="62">
        <v>0.113</v>
      </c>
      <c r="G327" s="18">
        <f>IF(AND(Tabela2[[#This Row],[Dividendo / Ação]]&gt;0,Tabela2[[#This Row],[Lucro por ação]]&gt;0),Tabela2[[#This Row],[Dividendo / Ação]]/Tabela2[[#This Row],[Lucro por ação]],"")</f>
        <v>0.50843582624183359</v>
      </c>
      <c r="H327" s="5">
        <f>MAX(Tabela2[[#This Row],[Cotação 1]],Tabela2[[#This Row],[Cotação 2]])</f>
        <v>2.1</v>
      </c>
      <c r="I327" s="18">
        <f>IF(Tabela2[[#This Row],[Dividendo / Ação]]&gt;0,Tabela2[[#This Row],[Dividendo / Ação]]/Tabela2[[#This Row],[Cotação]],"")</f>
        <v>5.3809523809523807E-2</v>
      </c>
      <c r="J327" s="58">
        <f>SUMPRODUCT(N(Tabela1[Código]=Tabela2[[#This Row],[Ativo]]),Tabela1[Fechamento])</f>
        <v>2.1</v>
      </c>
      <c r="K327" s="58">
        <f>SUMPRODUCT(N(Tabela17[Código]=Tabela2[[#This Row],[Ativo]]),Tabela17[Fechamento])</f>
        <v>0</v>
      </c>
      <c r="L327" s="58">
        <f>SUMPRODUCT(N([Ativo]=Tabela2[[#This Row],[Ativo]]),N([Exercício]=Tabela2[[#This Row],[Exercício]]-1),[Lucro Líquido])</f>
        <v>0</v>
      </c>
      <c r="M327" s="18" t="str">
        <f>IF(Tabela2[[#This Row],[Lucro Anterior]]=0,"",IF(Tabela2[[#This Row],[Lucro Líquido]]&gt;0,Tabela2[[#This Row],[Lucro Líquido]]/Tabela2[[#This Row],[Lucro Anterior]]-1,0))</f>
        <v/>
      </c>
    </row>
    <row r="328" spans="1:13">
      <c r="A328" s="4" t="s">
        <v>98</v>
      </c>
      <c r="B328" s="4">
        <v>2012</v>
      </c>
      <c r="C328" s="6">
        <v>384946993.33999997</v>
      </c>
      <c r="D328" s="8">
        <f>SUMPRODUCT(N(Tabela3[PAPEL]=Tabela2[[#This Row],[Ativo]]),Tabela3[Total Ações])</f>
        <v>164183899</v>
      </c>
      <c r="E328" s="64">
        <f>(Tabela2[[#This Row],[Lucro Líquido]])/Tabela2[[#This Row],[Total Ações]]</f>
        <v>2.3446086716456889</v>
      </c>
      <c r="F328" s="64">
        <v>0.46</v>
      </c>
      <c r="G328" s="44">
        <f>IF(AND(Tabela2[[#This Row],[Dividendo / Ação]]&gt;0,Tabela2[[#This Row],[Lucro por ação]]&gt;0),Tabela2[[#This Row],[Dividendo / Ação]]/Tabela2[[#This Row],[Lucro por ação]],"")</f>
        <v>0.19619478745556479</v>
      </c>
      <c r="H328" s="6">
        <f>MAX(Tabela2[[#This Row],[Cotação 1]],Tabela2[[#This Row],[Cotação 2]])</f>
        <v>15</v>
      </c>
      <c r="I328" s="19">
        <f>IF(Tabela2[[#This Row],[Dividendo / Ação]]&gt;0,Tabela2[[#This Row],[Dividendo / Ação]]/Tabela2[[#This Row],[Cotação]],"")</f>
        <v>3.0666666666666668E-2</v>
      </c>
      <c r="J328" s="59">
        <f>SUMPRODUCT(N(Tabela1[Código]=Tabela2[[#This Row],[Ativo]]),Tabela1[Fechamento])</f>
        <v>15</v>
      </c>
      <c r="K328" s="59">
        <f>SUMPRODUCT(N(Tabela17[Código]=Tabela2[[#This Row],[Ativo]]),Tabela17[Fechamento])</f>
        <v>0</v>
      </c>
      <c r="L328" s="59">
        <f>SUMPRODUCT(N([Ativo]=Tabela2[[#This Row],[Ativo]]),N([Exercício]=Tabela2[[#This Row],[Exercício]]-1),[Lucro Líquido])</f>
        <v>247502000</v>
      </c>
      <c r="M328" s="19">
        <f>IF(Tabela2[[#This Row],[Lucro Anterior]]=0,"",IF(Tabela2[[#This Row],[Lucro Líquido]]&gt;0,Tabela2[[#This Row],[Lucro Líquido]]/Tabela2[[#This Row],[Lucro Anterior]]-1,0))</f>
        <v>0.55532881891863495</v>
      </c>
    </row>
    <row r="329" spans="1:13">
      <c r="A329" s="4" t="s">
        <v>98</v>
      </c>
      <c r="B329" s="4">
        <v>2011</v>
      </c>
      <c r="C329" s="6">
        <v>247502000</v>
      </c>
      <c r="D329" s="8">
        <f>SUMPRODUCT(N(Tabela3[PAPEL]=Tabela2[[#This Row],[Ativo]]),Tabela3[Total Ações])</f>
        <v>164183899</v>
      </c>
      <c r="E329" s="64">
        <f>(Tabela2[[#This Row],[Lucro Líquido]])/Tabela2[[#This Row],[Total Ações]]</f>
        <v>1.5074681592255279</v>
      </c>
      <c r="F329" s="64">
        <v>0.56999999999999995</v>
      </c>
      <c r="G329" s="44">
        <f>IF(AND(Tabela2[[#This Row],[Dividendo / Ação]]&gt;0,Tabela2[[#This Row],[Lucro por ação]]&gt;0),Tabela2[[#This Row],[Dividendo / Ação]]/Tabela2[[#This Row],[Lucro por ação]],"")</f>
        <v>0.37811743917220869</v>
      </c>
      <c r="H329" s="6">
        <f>MAX(Tabela2[[#This Row],[Cotação 1]],Tabela2[[#This Row],[Cotação 2]])</f>
        <v>15</v>
      </c>
      <c r="I329" s="19">
        <f>IF(Tabela2[[#This Row],[Dividendo / Ação]]&gt;0,Tabela2[[#This Row],[Dividendo / Ação]]/Tabela2[[#This Row],[Cotação]],"")</f>
        <v>3.7999999999999999E-2</v>
      </c>
      <c r="J329" s="59">
        <f>SUMPRODUCT(N(Tabela1[Código]=Tabela2[[#This Row],[Ativo]]),Tabela1[Fechamento])</f>
        <v>15</v>
      </c>
      <c r="K329" s="59">
        <f>SUMPRODUCT(N(Tabela17[Código]=Tabela2[[#This Row],[Ativo]]),Tabela17[Fechamento])</f>
        <v>0</v>
      </c>
      <c r="L329" s="59">
        <f>SUMPRODUCT(N([Ativo]=Tabela2[[#This Row],[Ativo]]),N([Exercício]=Tabela2[[#This Row],[Exercício]]-1),[Lucro Líquido])</f>
        <v>278621000</v>
      </c>
      <c r="M329" s="19">
        <f>IF(Tabela2[[#This Row],[Lucro Anterior]]=0,"",IF(Tabela2[[#This Row],[Lucro Líquido]]&gt;0,Tabela2[[#This Row],[Lucro Líquido]]/Tabela2[[#This Row],[Lucro Anterior]]-1,0))</f>
        <v>-0.11168935579155914</v>
      </c>
    </row>
    <row r="330" spans="1:13">
      <c r="A330" s="4" t="s">
        <v>98</v>
      </c>
      <c r="B330" s="4">
        <v>2010</v>
      </c>
      <c r="C330" s="6">
        <v>278621000</v>
      </c>
      <c r="D330" s="8">
        <f>SUMPRODUCT(N(Tabela3[PAPEL]=Tabela2[[#This Row],[Ativo]]),Tabela3[Total Ações])</f>
        <v>164183899</v>
      </c>
      <c r="E330" s="64">
        <f>(Tabela2[[#This Row],[Lucro Líquido]])/Tabela2[[#This Row],[Total Ações]]</f>
        <v>1.6970056241629394</v>
      </c>
      <c r="F330" s="64">
        <v>1.52</v>
      </c>
      <c r="G330" s="44">
        <f>IF(AND(Tabela2[[#This Row],[Dividendo / Ação]]&gt;0,Tabela2[[#This Row],[Lucro por ação]]&gt;0),Tabela2[[#This Row],[Dividendo / Ação]]/Tabela2[[#This Row],[Lucro por ação]],"")</f>
        <v>0.89569532260669515</v>
      </c>
      <c r="H330" s="6">
        <f>MAX(Tabela2[[#This Row],[Cotação 1]],Tabela2[[#This Row],[Cotação 2]])</f>
        <v>15</v>
      </c>
      <c r="I330" s="19">
        <f>IF(Tabela2[[#This Row],[Dividendo / Ação]]&gt;0,Tabela2[[#This Row],[Dividendo / Ação]]/Tabela2[[#This Row],[Cotação]],"")</f>
        <v>0.10133333333333333</v>
      </c>
      <c r="J330" s="59">
        <f>SUMPRODUCT(N(Tabela1[Código]=Tabela2[[#This Row],[Ativo]]),Tabela1[Fechamento])</f>
        <v>15</v>
      </c>
      <c r="K330" s="59">
        <f>SUMPRODUCT(N(Tabela17[Código]=Tabela2[[#This Row],[Ativo]]),Tabela17[Fechamento])</f>
        <v>0</v>
      </c>
      <c r="L330" s="59">
        <f>SUMPRODUCT(N([Ativo]=Tabela2[[#This Row],[Ativo]]),N([Exercício]=Tabela2[[#This Row],[Exercício]]-1),[Lucro Líquido])</f>
        <v>0</v>
      </c>
      <c r="M330" s="19" t="str">
        <f>IF(Tabela2[[#This Row],[Lucro Anterior]]=0,"",IF(Tabela2[[#This Row],[Lucro Líquido]]&gt;0,Tabela2[[#This Row],[Lucro Líquido]]/Tabela2[[#This Row],[Lucro Anterior]]-1,0))</f>
        <v/>
      </c>
    </row>
    <row r="331" spans="1:13">
      <c r="A331" s="4" t="s">
        <v>35</v>
      </c>
      <c r="B331" s="4">
        <v>2012</v>
      </c>
      <c r="C331" s="6">
        <v>140995000</v>
      </c>
      <c r="D331" s="8">
        <f>SUMPRODUCT(N(Tabela3[PAPEL]=Tabela2[[#This Row],[Ativo]]),Tabela3[Total Ações])</f>
        <v>198447352</v>
      </c>
      <c r="E331" s="64">
        <f>(Tabela2[[#This Row],[Lucro Líquido]])/Tabela2[[#This Row],[Total Ações]]</f>
        <v>0.7104907098987141</v>
      </c>
      <c r="F331" s="64">
        <v>0.17</v>
      </c>
      <c r="G331" s="44">
        <f>IF(AND(Tabela2[[#This Row],[Dividendo / Ação]]&gt;0,Tabela2[[#This Row],[Lucro por ação]]&gt;0),Tabela2[[#This Row],[Dividendo / Ação]]/Tabela2[[#This Row],[Lucro por ação]],"")</f>
        <v>0.23927124961878082</v>
      </c>
      <c r="H331" s="6">
        <f>MAX(Tabela2[[#This Row],[Cotação 1]],Tabela2[[#This Row],[Cotação 2]])</f>
        <v>23.71</v>
      </c>
      <c r="I331" s="19">
        <f>IF(Tabela2[[#This Row],[Dividendo / Ação]]&gt;0,Tabela2[[#This Row],[Dividendo / Ação]]/Tabela2[[#This Row],[Cotação]],"")</f>
        <v>7.1699704765921558E-3</v>
      </c>
      <c r="J331" s="59">
        <f>SUMPRODUCT(N(Tabela1[Código]=Tabela2[[#This Row],[Ativo]]),Tabela1[Fechamento])</f>
        <v>23.71</v>
      </c>
      <c r="K331" s="59">
        <f>SUMPRODUCT(N(Tabela17[Código]=Tabela2[[#This Row],[Ativo]]),Tabela17[Fechamento])</f>
        <v>0</v>
      </c>
      <c r="L331" s="59">
        <f>SUMPRODUCT(N([Ativo]=Tabela2[[#This Row],[Ativo]]),N([Exercício]=Tabela2[[#This Row],[Exercício]]-1),[Lucro Líquido])</f>
        <v>159996000</v>
      </c>
      <c r="M331" s="19">
        <f>IF(Tabela2[[#This Row],[Lucro Anterior]]=0,"",IF(Tabela2[[#This Row],[Lucro Líquido]]&gt;0,Tabela2[[#This Row],[Lucro Líquido]]/Tabela2[[#This Row],[Lucro Anterior]]-1,0))</f>
        <v>-0.11875921898047448</v>
      </c>
    </row>
    <row r="332" spans="1:13">
      <c r="A332" s="4" t="s">
        <v>35</v>
      </c>
      <c r="B332" s="4">
        <v>2011</v>
      </c>
      <c r="C332" s="6">
        <v>159996000</v>
      </c>
      <c r="D332" s="8">
        <f>SUMPRODUCT(N(Tabela3[PAPEL]=Tabela2[[#This Row],[Ativo]]),Tabela3[Total Ações])</f>
        <v>198447352</v>
      </c>
      <c r="E332" s="64">
        <f>(Tabela2[[#This Row],[Lucro Líquido]])/Tabela2[[#This Row],[Total Ações]]</f>
        <v>0.80623902706446793</v>
      </c>
      <c r="F332" s="64">
        <v>0.46</v>
      </c>
      <c r="G332" s="44">
        <f>IF(AND(Tabela2[[#This Row],[Dividendo / Ação]]&gt;0,Tabela2[[#This Row],[Lucro por ação]]&gt;0),Tabela2[[#This Row],[Dividendo / Ação]]/Tabela2[[#This Row],[Lucro por ação]],"")</f>
        <v>0.57055040076001906</v>
      </c>
      <c r="H332" s="6">
        <f>MAX(Tabela2[[#This Row],[Cotação 1]],Tabela2[[#This Row],[Cotação 2]])</f>
        <v>23.71</v>
      </c>
      <c r="I332" s="19">
        <f>IF(Tabela2[[#This Row],[Dividendo / Ação]]&gt;0,Tabela2[[#This Row],[Dividendo / Ação]]/Tabela2[[#This Row],[Cotação]],"")</f>
        <v>1.940109658371995E-2</v>
      </c>
      <c r="J332" s="59">
        <f>SUMPRODUCT(N(Tabela1[Código]=Tabela2[[#This Row],[Ativo]]),Tabela1[Fechamento])</f>
        <v>23.71</v>
      </c>
      <c r="K332" s="59">
        <f>SUMPRODUCT(N(Tabela17[Código]=Tabela2[[#This Row],[Ativo]]),Tabela17[Fechamento])</f>
        <v>0</v>
      </c>
      <c r="L332" s="59">
        <f>SUMPRODUCT(N([Ativo]=Tabela2[[#This Row],[Ativo]]),N([Exercício]=Tabela2[[#This Row],[Exercício]]-1),[Lucro Líquido])</f>
        <v>188871000</v>
      </c>
      <c r="M332" s="19">
        <f>IF(Tabela2[[#This Row],[Lucro Anterior]]=0,"",IF(Tabela2[[#This Row],[Lucro Líquido]]&gt;0,Tabela2[[#This Row],[Lucro Líquido]]/Tabela2[[#This Row],[Lucro Anterior]]-1,0))</f>
        <v>-0.15288212589545247</v>
      </c>
    </row>
    <row r="333" spans="1:13">
      <c r="A333" s="4" t="s">
        <v>35</v>
      </c>
      <c r="B333" s="4">
        <v>2010</v>
      </c>
      <c r="C333" s="6">
        <v>188871000</v>
      </c>
      <c r="D333" s="8">
        <f>SUMPRODUCT(N(Tabela3[PAPEL]=Tabela2[[#This Row],[Ativo]]),Tabela3[Total Ações])</f>
        <v>198447352</v>
      </c>
      <c r="E333" s="64">
        <f>(Tabela2[[#This Row],[Lucro Líquido]])/Tabela2[[#This Row],[Total Ações]]</f>
        <v>0.95174361409468444</v>
      </c>
      <c r="F333" s="64">
        <v>1.8</v>
      </c>
      <c r="G333" s="44">
        <f>IF(AND(Tabela2[[#This Row],[Dividendo / Ação]]&gt;0,Tabela2[[#This Row],[Lucro por ação]]&gt;0),Tabela2[[#This Row],[Dividendo / Ação]]/Tabela2[[#This Row],[Lucro por ação]],"")</f>
        <v>1.8912656448051846</v>
      </c>
      <c r="H333" s="6">
        <f>MAX(Tabela2[[#This Row],[Cotação 1]],Tabela2[[#This Row],[Cotação 2]])</f>
        <v>23.71</v>
      </c>
      <c r="I333" s="19">
        <f>IF(Tabela2[[#This Row],[Dividendo / Ação]]&gt;0,Tabela2[[#This Row],[Dividendo / Ação]]/Tabela2[[#This Row],[Cotação]],"")</f>
        <v>7.5917334458034585E-2</v>
      </c>
      <c r="J333" s="59">
        <f>SUMPRODUCT(N(Tabela1[Código]=Tabela2[[#This Row],[Ativo]]),Tabela1[Fechamento])</f>
        <v>23.71</v>
      </c>
      <c r="K333" s="59">
        <f>SUMPRODUCT(N(Tabela17[Código]=Tabela2[[#This Row],[Ativo]]),Tabela17[Fechamento])</f>
        <v>0</v>
      </c>
      <c r="L333" s="59">
        <f>SUMPRODUCT(N([Ativo]=Tabela2[[#This Row],[Ativo]]),N([Exercício]=Tabela2[[#This Row],[Exercício]]-1),[Lucro Líquido])</f>
        <v>0</v>
      </c>
      <c r="M333" s="19" t="str">
        <f>IF(Tabela2[[#This Row],[Lucro Anterior]]=0,"",IF(Tabela2[[#This Row],[Lucro Líquido]]&gt;0,Tabela2[[#This Row],[Lucro Líquido]]/Tabela2[[#This Row],[Lucro Anterior]]-1,0))</f>
        <v/>
      </c>
    </row>
    <row r="334" spans="1:13">
      <c r="A334" s="4" t="s">
        <v>382</v>
      </c>
      <c r="B334" s="4">
        <v>2012</v>
      </c>
      <c r="C334" s="6">
        <v>113004000</v>
      </c>
      <c r="D334" s="74">
        <f>SUMPRODUCT(N(Tabela3[PAPEL]=Tabela2[[#This Row],[Ativo]]),Tabela3[Total Ações])</f>
        <v>89500000</v>
      </c>
      <c r="E334" s="64">
        <f>(Tabela2[[#This Row],[Lucro Líquido]])/Tabela2[[#This Row],[Total Ações]]</f>
        <v>1.2626145251396648</v>
      </c>
      <c r="F334" s="64">
        <v>0.8</v>
      </c>
      <c r="G334" s="43">
        <f>IF(AND(Tabela2[[#This Row],[Dividendo / Ação]]&gt;0,Tabela2[[#This Row],[Lucro por ação]]&gt;0),Tabela2[[#This Row],[Dividendo / Ação]]/Tabela2[[#This Row],[Lucro por ação]],"")</f>
        <v>0.6336058900569892</v>
      </c>
      <c r="H334" s="59">
        <f>MAX(Tabela2[[#This Row],[Cotação 1]],Tabela2[[#This Row],[Cotação 2]])</f>
        <v>8.35</v>
      </c>
      <c r="I334" s="44">
        <f>IF(Tabela2[[#This Row],[Dividendo / Ação]]&gt;0,Tabela2[[#This Row],[Dividendo / Ação]]/Tabela2[[#This Row],[Cotação]],"")</f>
        <v>9.580838323353294E-2</v>
      </c>
      <c r="J334" s="17">
        <f>SUMPRODUCT(N(Tabela1[Código]=Tabela2[[#This Row],[Ativo]]),Tabela1[Fechamento])</f>
        <v>0</v>
      </c>
      <c r="K334" s="17">
        <f>SUMPRODUCT(N(Tabela17[Código]=Tabela2[[#This Row],[Ativo]]),Tabela17[Fechamento])</f>
        <v>8.35</v>
      </c>
      <c r="L334" s="17">
        <f>SUMPRODUCT(N([Ativo]=Tabela2[[#This Row],[Ativo]]),N([Exercício]=Tabela2[[#This Row],[Exercício]]-1),[Lucro Líquido])</f>
        <v>97193000</v>
      </c>
      <c r="M334" s="19">
        <f>IF(Tabela2[[#This Row],[Lucro Anterior]]=0,"",IF(Tabela2[[#This Row],[Lucro Líquido]]&gt;0,Tabela2[[#This Row],[Lucro Líquido]]/Tabela2[[#This Row],[Lucro Anterior]]-1,0))</f>
        <v>0.16267632442665625</v>
      </c>
    </row>
    <row r="335" spans="1:13">
      <c r="A335" s="4" t="s">
        <v>382</v>
      </c>
      <c r="B335" s="4">
        <v>2011</v>
      </c>
      <c r="C335" s="6">
        <v>97193000</v>
      </c>
      <c r="D335" s="74">
        <f>SUMPRODUCT(N(Tabela3[PAPEL]=Tabela2[[#This Row],[Ativo]]),Tabela3[Total Ações])</f>
        <v>89500000</v>
      </c>
      <c r="E335" s="64">
        <f>(Tabela2[[#This Row],[Lucro Líquido]])/Tabela2[[#This Row],[Total Ações]]</f>
        <v>1.0859553072625698</v>
      </c>
      <c r="F335" s="64">
        <v>0.9</v>
      </c>
      <c r="G335" s="43">
        <f>IF(AND(Tabela2[[#This Row],[Dividendo / Ação]]&gt;0,Tabela2[[#This Row],[Lucro por ação]]&gt;0),Tabela2[[#This Row],[Dividendo / Ação]]/Tabela2[[#This Row],[Lucro por ação]],"")</f>
        <v>0.82876338830985774</v>
      </c>
      <c r="H335" s="59">
        <f>MAX(Tabela2[[#This Row],[Cotação 1]],Tabela2[[#This Row],[Cotação 2]])</f>
        <v>8.35</v>
      </c>
      <c r="I335" s="44">
        <f>IF(Tabela2[[#This Row],[Dividendo / Ação]]&gt;0,Tabela2[[#This Row],[Dividendo / Ação]]/Tabela2[[#This Row],[Cotação]],"")</f>
        <v>0.10778443113772455</v>
      </c>
      <c r="J335" s="17">
        <f>SUMPRODUCT(N(Tabela1[Código]=Tabela2[[#This Row],[Ativo]]),Tabela1[Fechamento])</f>
        <v>0</v>
      </c>
      <c r="K335" s="17">
        <f>SUMPRODUCT(N(Tabela17[Código]=Tabela2[[#This Row],[Ativo]]),Tabela17[Fechamento])</f>
        <v>8.35</v>
      </c>
      <c r="L335" s="17">
        <f>SUMPRODUCT(N([Ativo]=Tabela2[[#This Row],[Ativo]]),N([Exercício]=Tabela2[[#This Row],[Exercício]]-1),[Lucro Líquido])</f>
        <v>102085000</v>
      </c>
      <c r="M335" s="19">
        <f>IF(Tabela2[[#This Row],[Lucro Anterior]]=0,"",IF(Tabela2[[#This Row],[Lucro Líquido]]&gt;0,Tabela2[[#This Row],[Lucro Líquido]]/Tabela2[[#This Row],[Lucro Anterior]]-1,0))</f>
        <v>-4.7920850271832349E-2</v>
      </c>
    </row>
    <row r="336" spans="1:13">
      <c r="A336" s="4" t="s">
        <v>382</v>
      </c>
      <c r="B336" s="4">
        <v>2010</v>
      </c>
      <c r="C336" s="6">
        <v>102085000</v>
      </c>
      <c r="D336" s="74">
        <f>SUMPRODUCT(N(Tabela3[PAPEL]=Tabela2[[#This Row],[Ativo]]),Tabela3[Total Ações])</f>
        <v>89500000</v>
      </c>
      <c r="E336" s="64">
        <f>(Tabela2[[#This Row],[Lucro Líquido]])/Tabela2[[#This Row],[Total Ações]]</f>
        <v>1.1406145251396649</v>
      </c>
      <c r="F336" s="64">
        <v>0.8</v>
      </c>
      <c r="G336" s="43">
        <f>IF(AND(Tabela2[[#This Row],[Dividendo / Ação]]&gt;0,Tabela2[[#This Row],[Lucro por ação]]&gt;0),Tabela2[[#This Row],[Dividendo / Ação]]/Tabela2[[#This Row],[Lucro por ação]],"")</f>
        <v>0.7013763040603419</v>
      </c>
      <c r="H336" s="59">
        <f>MAX(Tabela2[[#This Row],[Cotação 1]],Tabela2[[#This Row],[Cotação 2]])</f>
        <v>8.35</v>
      </c>
      <c r="I336" s="44">
        <f>IF(Tabela2[[#This Row],[Dividendo / Ação]]&gt;0,Tabela2[[#This Row],[Dividendo / Ação]]/Tabela2[[#This Row],[Cotação]],"")</f>
        <v>9.580838323353294E-2</v>
      </c>
      <c r="J336" s="17">
        <f>SUMPRODUCT(N(Tabela1[Código]=Tabela2[[#This Row],[Ativo]]),Tabela1[Fechamento])</f>
        <v>0</v>
      </c>
      <c r="K336" s="17">
        <f>SUMPRODUCT(N(Tabela17[Código]=Tabela2[[#This Row],[Ativo]]),Tabela17[Fechamento])</f>
        <v>8.35</v>
      </c>
      <c r="L336" s="17">
        <f>SUMPRODUCT(N([Ativo]=Tabela2[[#This Row],[Ativo]]),N([Exercício]=Tabela2[[#This Row],[Exercício]]-1),[Lucro Líquido])</f>
        <v>0</v>
      </c>
      <c r="M336" s="19" t="str">
        <f>IF(Tabela2[[#This Row],[Lucro Anterior]]=0,"",IF(Tabela2[[#This Row],[Lucro Líquido]]&gt;0,Tabela2[[#This Row],[Lucro Líquido]]/Tabela2[[#This Row],[Lucro Anterior]]-1,0))</f>
        <v/>
      </c>
    </row>
    <row r="337" spans="1:13">
      <c r="A337" s="4" t="s">
        <v>364</v>
      </c>
      <c r="B337" s="4">
        <v>2012</v>
      </c>
      <c r="C337" s="6">
        <v>88379478.969999999</v>
      </c>
      <c r="D337" s="74">
        <f>SUMPRODUCT(N(Tabela3[PAPEL]=Tabela2[[#This Row],[Ativo]]),Tabela3[Total Ações])</f>
        <v>92619256</v>
      </c>
      <c r="E337" s="64">
        <f>(Tabela2[[#This Row],[Lucro Líquido]])/Tabela2[[#This Row],[Total Ações]]</f>
        <v>0.95422359007072999</v>
      </c>
      <c r="F337" s="64">
        <v>0.190493</v>
      </c>
      <c r="G337" s="43">
        <f>IF(AND(Tabela2[[#This Row],[Dividendo / Ação]]&gt;0,Tabela2[[#This Row],[Lucro por ação]]&gt;0),Tabela2[[#This Row],[Dividendo / Ação]]/Tabela2[[#This Row],[Lucro por ação]],"")</f>
        <v>0.1996314092233667</v>
      </c>
      <c r="H337" s="59">
        <f>MAX(Tabela2[[#This Row],[Cotação 1]],Tabela2[[#This Row],[Cotação 2]])</f>
        <v>6.55</v>
      </c>
      <c r="I337" s="44">
        <f>IF(Tabela2[[#This Row],[Dividendo / Ação]]&gt;0,Tabela2[[#This Row],[Dividendo / Ação]]/Tabela2[[#This Row],[Cotação]],"")</f>
        <v>2.9082900763358777E-2</v>
      </c>
      <c r="J337" s="17">
        <f>SUMPRODUCT(N(Tabela1[Código]=Tabela2[[#This Row],[Ativo]]),Tabela1[Fechamento])</f>
        <v>0</v>
      </c>
      <c r="K337" s="17">
        <f>SUMPRODUCT(N(Tabela17[Código]=Tabela2[[#This Row],[Ativo]]),Tabela17[Fechamento])</f>
        <v>6.55</v>
      </c>
      <c r="L337" s="17">
        <f>SUMPRODUCT(N([Ativo]=Tabela2[[#This Row],[Ativo]]),N([Exercício]=Tabela2[[#This Row],[Exercício]]-1),[Lucro Líquido])</f>
        <v>88914485.760000005</v>
      </c>
      <c r="M337" s="19">
        <f>IF(Tabela2[[#This Row],[Lucro Anterior]]=0,"",IF(Tabela2[[#This Row],[Lucro Líquido]]&gt;0,Tabela2[[#This Row],[Lucro Líquido]]/Tabela2[[#This Row],[Lucro Anterior]]-1,0))</f>
        <v>-6.017093676322971E-3</v>
      </c>
    </row>
    <row r="338" spans="1:13">
      <c r="A338" s="4" t="s">
        <v>364</v>
      </c>
      <c r="B338" s="4">
        <v>2011</v>
      </c>
      <c r="C338" s="6">
        <v>88914485.760000005</v>
      </c>
      <c r="D338" s="74">
        <f>SUMPRODUCT(N(Tabela3[PAPEL]=Tabela2[[#This Row],[Ativo]]),Tabela3[Total Ações])</f>
        <v>92619256</v>
      </c>
      <c r="E338" s="64">
        <f>(Tabela2[[#This Row],[Lucro Líquido]])/Tabela2[[#This Row],[Total Ações]]</f>
        <v>0.96000000000000008</v>
      </c>
      <c r="F338" s="64">
        <v>0.28855599999999998</v>
      </c>
      <c r="G338" s="43">
        <f>IF(AND(Tabela2[[#This Row],[Dividendo / Ação]]&gt;0,Tabela2[[#This Row],[Lucro por ação]]&gt;0),Tabela2[[#This Row],[Dividendo / Ação]]/Tabela2[[#This Row],[Lucro por ação]],"")</f>
        <v>0.30057916666666662</v>
      </c>
      <c r="H338" s="59">
        <f>MAX(Tabela2[[#This Row],[Cotação 1]],Tabela2[[#This Row],[Cotação 2]])</f>
        <v>6.55</v>
      </c>
      <c r="I338" s="44">
        <f>IF(Tabela2[[#This Row],[Dividendo / Ação]]&gt;0,Tabela2[[#This Row],[Dividendo / Ação]]/Tabela2[[#This Row],[Cotação]],"")</f>
        <v>4.4054351145038168E-2</v>
      </c>
      <c r="J338" s="17">
        <f>SUMPRODUCT(N(Tabela1[Código]=Tabela2[[#This Row],[Ativo]]),Tabela1[Fechamento])</f>
        <v>0</v>
      </c>
      <c r="K338" s="17">
        <f>SUMPRODUCT(N(Tabela17[Código]=Tabela2[[#This Row],[Ativo]]),Tabela17[Fechamento])</f>
        <v>6.55</v>
      </c>
      <c r="L338" s="17">
        <f>SUMPRODUCT(N([Ativo]=Tabela2[[#This Row],[Ativo]]),N([Exercício]=Tabela2[[#This Row],[Exercício]]-1),[Lucro Líquido])</f>
        <v>120405032.8</v>
      </c>
      <c r="M338" s="19">
        <f>IF(Tabela2[[#This Row],[Lucro Anterior]]=0,"",IF(Tabela2[[#This Row],[Lucro Líquido]]&gt;0,Tabela2[[#This Row],[Lucro Líquido]]/Tabela2[[#This Row],[Lucro Anterior]]-1,0))</f>
        <v>-0.2615384615384615</v>
      </c>
    </row>
    <row r="339" spans="1:13">
      <c r="A339" s="4" t="s">
        <v>364</v>
      </c>
      <c r="B339" s="4">
        <v>2010</v>
      </c>
      <c r="C339" s="6">
        <v>120405032.8</v>
      </c>
      <c r="D339" s="74">
        <f>SUMPRODUCT(N(Tabela3[PAPEL]=Tabela2[[#This Row],[Ativo]]),Tabela3[Total Ações])</f>
        <v>92619256</v>
      </c>
      <c r="E339" s="64">
        <f>(Tabela2[[#This Row],[Lucro Líquido]])/Tabela2[[#This Row],[Total Ações]]</f>
        <v>1.3</v>
      </c>
      <c r="F339" s="64">
        <v>0.28032499999999999</v>
      </c>
      <c r="G339" s="43">
        <f>IF(AND(Tabela2[[#This Row],[Dividendo / Ação]]&gt;0,Tabela2[[#This Row],[Lucro por ação]]&gt;0),Tabela2[[#This Row],[Dividendo / Ação]]/Tabela2[[#This Row],[Lucro por ação]],"")</f>
        <v>0.21563461538461537</v>
      </c>
      <c r="H339" s="59">
        <f>MAX(Tabela2[[#This Row],[Cotação 1]],Tabela2[[#This Row],[Cotação 2]])</f>
        <v>6.55</v>
      </c>
      <c r="I339" s="44">
        <f>IF(Tabela2[[#This Row],[Dividendo / Ação]]&gt;0,Tabela2[[#This Row],[Dividendo / Ação]]/Tabela2[[#This Row],[Cotação]],"")</f>
        <v>4.2797709923664121E-2</v>
      </c>
      <c r="J339" s="17">
        <f>SUMPRODUCT(N(Tabela1[Código]=Tabela2[[#This Row],[Ativo]]),Tabela1[Fechamento])</f>
        <v>0</v>
      </c>
      <c r="K339" s="17">
        <f>SUMPRODUCT(N(Tabela17[Código]=Tabela2[[#This Row],[Ativo]]),Tabela17[Fechamento])</f>
        <v>6.55</v>
      </c>
      <c r="L339" s="17">
        <f>SUMPRODUCT(N([Ativo]=Tabela2[[#This Row],[Ativo]]),N([Exercício]=Tabela2[[#This Row],[Exercício]]-1),[Lucro Líquido])</f>
        <v>0</v>
      </c>
      <c r="M339" s="19" t="str">
        <f>IF(Tabela2[[#This Row],[Lucro Anterior]]=0,"",IF(Tabela2[[#This Row],[Lucro Líquido]]&gt;0,Tabela2[[#This Row],[Lucro Líquido]]/Tabela2[[#This Row],[Lucro Anterior]]-1,0))</f>
        <v/>
      </c>
    </row>
    <row r="340" spans="1:13">
      <c r="A340" s="14" t="s">
        <v>268</v>
      </c>
      <c r="B340" s="3">
        <v>2012</v>
      </c>
      <c r="C340" s="5">
        <v>85326018.709999993</v>
      </c>
      <c r="D340" s="60">
        <f>SUMPRODUCT(N(Tabela3[PAPEL]=Tabela2[[#This Row],[Ativo]]),Tabela3[Total Ações])</f>
        <v>88320000</v>
      </c>
      <c r="E340" s="63">
        <f>(Tabela2[[#This Row],[Lucro Líquido]])/Tabela2[[#This Row],[Total Ações]]</f>
        <v>0.96610075532155792</v>
      </c>
      <c r="F340" s="63">
        <v>0.22040999999999999</v>
      </c>
      <c r="G340" s="22">
        <f>IF(AND(Tabela2[[#This Row],[Dividendo / Ação]]&gt;0,Tabela2[[#This Row],[Lucro por ação]]&gt;0),Tabela2[[#This Row],[Dividendo / Ação]]/Tabela2[[#This Row],[Lucro por ação]],"")</f>
        <v>0.22814390609459623</v>
      </c>
      <c r="H340" s="5">
        <f>MAX(Tabela2[[#This Row],[Cotação 1]],Tabela2[[#This Row],[Cotação 2]])</f>
        <v>19</v>
      </c>
      <c r="I340" s="18">
        <f>IF(Tabela2[[#This Row],[Dividendo / Ação]]&gt;0,Tabela2[[#This Row],[Dividendo / Ação]]/Tabela2[[#This Row],[Cotação]],"")</f>
        <v>1.1600526315789473E-2</v>
      </c>
      <c r="J340" s="58">
        <f>SUMPRODUCT(N(Tabela1[Código]=Tabela2[[#This Row],[Ativo]]),Tabela1[Fechamento])</f>
        <v>19</v>
      </c>
      <c r="K340" s="58">
        <f>SUMPRODUCT(N(Tabela17[Código]=Tabela2[[#This Row],[Ativo]]),Tabela17[Fechamento])</f>
        <v>0</v>
      </c>
      <c r="L340" s="58">
        <f>SUMPRODUCT(N([Ativo]=Tabela2[[#This Row],[Ativo]]),N([Exercício]=Tabela2[[#This Row],[Exercício]]-1),[Lucro Líquido])</f>
        <v>90654592</v>
      </c>
      <c r="M340" s="18">
        <f>IF(Tabela2[[#This Row],[Lucro Anterior]]=0,"",IF(Tabela2[[#This Row],[Lucro Líquido]]&gt;0,Tabela2[[#This Row],[Lucro Líquido]]/Tabela2[[#This Row],[Lucro Anterior]]-1,0))</f>
        <v>-5.8778856894529996E-2</v>
      </c>
    </row>
    <row r="341" spans="1:13">
      <c r="A341" s="14" t="s">
        <v>268</v>
      </c>
      <c r="B341" s="3">
        <v>2011</v>
      </c>
      <c r="C341" s="5">
        <v>90654592</v>
      </c>
      <c r="D341" s="60">
        <f>SUMPRODUCT(N(Tabela3[PAPEL]=Tabela2[[#This Row],[Ativo]]),Tabela3[Total Ações])</f>
        <v>88320000</v>
      </c>
      <c r="E341" s="63">
        <f>(Tabela2[[#This Row],[Lucro Líquido]])/Tabela2[[#This Row],[Total Ações]]</f>
        <v>1.0264333333333333</v>
      </c>
      <c r="F341" s="63">
        <v>0.244201419</v>
      </c>
      <c r="G341" s="22">
        <f>IF(AND(Tabela2[[#This Row],[Dividendo / Ação]]&gt;0,Tabela2[[#This Row],[Lucro por ação]]&gt;0),Tabela2[[#This Row],[Dividendo / Ação]]/Tabela2[[#This Row],[Lucro por ação]],"")</f>
        <v>0.23791259604455559</v>
      </c>
      <c r="H341" s="5">
        <f>MAX(Tabela2[[#This Row],[Cotação 1]],Tabela2[[#This Row],[Cotação 2]])</f>
        <v>19</v>
      </c>
      <c r="I341" s="18">
        <f>IF(Tabela2[[#This Row],[Dividendo / Ação]]&gt;0,Tabela2[[#This Row],[Dividendo / Ação]]/Tabela2[[#This Row],[Cotação]],"")</f>
        <v>1.2852706263157895E-2</v>
      </c>
      <c r="J341" s="58">
        <f>SUMPRODUCT(N(Tabela1[Código]=Tabela2[[#This Row],[Ativo]]),Tabela1[Fechamento])</f>
        <v>19</v>
      </c>
      <c r="K341" s="58">
        <f>SUMPRODUCT(N(Tabela17[Código]=Tabela2[[#This Row],[Ativo]]),Tabela17[Fechamento])</f>
        <v>0</v>
      </c>
      <c r="L341" s="58">
        <f>SUMPRODUCT(N([Ativo]=Tabela2[[#This Row],[Ativo]]),N([Exercício]=Tabela2[[#This Row],[Exercício]]-1),[Lucro Líquido])</f>
        <v>133778304</v>
      </c>
      <c r="M341" s="18">
        <f>IF(Tabela2[[#This Row],[Lucro Anterior]]=0,"",IF(Tabela2[[#This Row],[Lucro Líquido]]&gt;0,Tabela2[[#This Row],[Lucro Líquido]]/Tabela2[[#This Row],[Lucro Anterior]]-1,0))</f>
        <v>-0.32235206091415247</v>
      </c>
    </row>
    <row r="342" spans="1:13">
      <c r="A342" s="14" t="s">
        <v>268</v>
      </c>
      <c r="B342" s="3">
        <v>2010</v>
      </c>
      <c r="C342" s="5">
        <v>133778304</v>
      </c>
      <c r="D342" s="60">
        <f>SUMPRODUCT(N(Tabela3[PAPEL]=Tabela2[[#This Row],[Ativo]]),Tabela3[Total Ações])</f>
        <v>88320000</v>
      </c>
      <c r="E342" s="63">
        <f>(Tabela2[[#This Row],[Lucro Líquido]])/Tabela2[[#This Row],[Total Ações]]</f>
        <v>1.5146999999999999</v>
      </c>
      <c r="F342" s="63">
        <v>0.31610713000000001</v>
      </c>
      <c r="G342" s="22">
        <f>IF(AND(Tabela2[[#This Row],[Dividendo / Ação]]&gt;0,Tabela2[[#This Row],[Lucro por ação]]&gt;0),Tabela2[[#This Row],[Dividendo / Ação]]/Tabela2[[#This Row],[Lucro por ação]],"")</f>
        <v>0.20869289628309237</v>
      </c>
      <c r="H342" s="5">
        <f>MAX(Tabela2[[#This Row],[Cotação 1]],Tabela2[[#This Row],[Cotação 2]])</f>
        <v>19</v>
      </c>
      <c r="I342" s="18">
        <f>IF(Tabela2[[#This Row],[Dividendo / Ação]]&gt;0,Tabela2[[#This Row],[Dividendo / Ação]]/Tabela2[[#This Row],[Cotação]],"")</f>
        <v>1.6637217368421053E-2</v>
      </c>
      <c r="J342" s="58">
        <f>SUMPRODUCT(N(Tabela1[Código]=Tabela2[[#This Row],[Ativo]]),Tabela1[Fechamento])</f>
        <v>19</v>
      </c>
      <c r="K342" s="58">
        <f>SUMPRODUCT(N(Tabela17[Código]=Tabela2[[#This Row],[Ativo]]),Tabela17[Fechamento])</f>
        <v>0</v>
      </c>
      <c r="L342" s="58">
        <f>SUMPRODUCT(N([Ativo]=Tabela2[[#This Row],[Ativo]]),N([Exercício]=Tabela2[[#This Row],[Exercício]]-1),[Lucro Líquido])</f>
        <v>0</v>
      </c>
      <c r="M342" s="18" t="str">
        <f>IF(Tabela2[[#This Row],[Lucro Anterior]]=0,"",IF(Tabela2[[#This Row],[Lucro Líquido]]&gt;0,Tabela2[[#This Row],[Lucro Líquido]]/Tabela2[[#This Row],[Lucro Anterior]]-1,0))</f>
        <v/>
      </c>
    </row>
    <row r="343" spans="1:13">
      <c r="A343" s="15" t="s">
        <v>80</v>
      </c>
      <c r="B343" s="3">
        <v>2012</v>
      </c>
      <c r="C343" s="5">
        <v>85326018.709999993</v>
      </c>
      <c r="D343" s="60">
        <f>SUMPRODUCT(N(Tabela3[PAPEL]=Tabela2[[#This Row],[Ativo]]),Tabela3[Total Ações])</f>
        <v>88320000</v>
      </c>
      <c r="E343" s="63">
        <f>(Tabela2[[#This Row],[Lucro Líquido]])/Tabela2[[#This Row],[Total Ações]]</f>
        <v>0.96610075532155792</v>
      </c>
      <c r="F343" s="63">
        <v>0.24245</v>
      </c>
      <c r="G343" s="22">
        <f>IF(AND(Tabela2[[#This Row],[Dividendo / Ação]]&gt;0,Tabela2[[#This Row],[Lucro por ação]]&gt;0),Tabela2[[#This Row],[Dividendo / Ação]]/Tabela2[[#This Row],[Lucro por ação]],"")</f>
        <v>0.25095726161532989</v>
      </c>
      <c r="H343" s="5">
        <f>MAX(Tabela2[[#This Row],[Cotação 1]],Tabela2[[#This Row],[Cotação 2]])</f>
        <v>12.35</v>
      </c>
      <c r="I343" s="18">
        <f>IF(Tabela2[[#This Row],[Dividendo / Ação]]&gt;0,Tabela2[[#This Row],[Dividendo / Ação]]/Tabela2[[#This Row],[Cotação]],"")</f>
        <v>1.963157894736842E-2</v>
      </c>
      <c r="J343" s="58">
        <f>SUMPRODUCT(N(Tabela1[Código]=Tabela2[[#This Row],[Ativo]]),Tabela1[Fechamento])</f>
        <v>12.35</v>
      </c>
      <c r="K343" s="58">
        <f>SUMPRODUCT(N(Tabela17[Código]=Tabela2[[#This Row],[Ativo]]),Tabela17[Fechamento])</f>
        <v>0</v>
      </c>
      <c r="L343" s="58">
        <f>SUMPRODUCT(N([Ativo]=Tabela2[[#This Row],[Ativo]]),N([Exercício]=Tabela2[[#This Row],[Exercício]]-1),[Lucro Líquido])</f>
        <v>90654592</v>
      </c>
      <c r="M343" s="18">
        <f>IF(Tabela2[[#This Row],[Lucro Anterior]]=0,"",IF(Tabela2[[#This Row],[Lucro Líquido]]&gt;0,Tabela2[[#This Row],[Lucro Líquido]]/Tabela2[[#This Row],[Lucro Anterior]]-1,0))</f>
        <v>-5.8778856894529996E-2</v>
      </c>
    </row>
    <row r="344" spans="1:13">
      <c r="A344" s="15" t="s">
        <v>80</v>
      </c>
      <c r="B344" s="3">
        <v>2011</v>
      </c>
      <c r="C344" s="5">
        <v>90654592</v>
      </c>
      <c r="D344" s="60">
        <f>SUMPRODUCT(N(Tabela3[PAPEL]=Tabela2[[#This Row],[Ativo]]),Tabela3[Total Ações])</f>
        <v>88320000</v>
      </c>
      <c r="E344" s="63">
        <f>(Tabela2[[#This Row],[Lucro Líquido]])/Tabela2[[#This Row],[Total Ações]]</f>
        <v>1.0264333333333333</v>
      </c>
      <c r="F344" s="63">
        <v>0.26862156100000001</v>
      </c>
      <c r="G344" s="22">
        <f>IF(AND(Tabela2[[#This Row],[Dividendo / Ação]]&gt;0,Tabela2[[#This Row],[Lucro por ação]]&gt;0),Tabela2[[#This Row],[Dividendo / Ação]]/Tabela2[[#This Row],[Lucro por ação]],"")</f>
        <v>0.2617038557464359</v>
      </c>
      <c r="H344" s="5">
        <f>MAX(Tabela2[[#This Row],[Cotação 1]],Tabela2[[#This Row],[Cotação 2]])</f>
        <v>12.35</v>
      </c>
      <c r="I344" s="18">
        <f>IF(Tabela2[[#This Row],[Dividendo / Ação]]&gt;0,Tabela2[[#This Row],[Dividendo / Ação]]/Tabela2[[#This Row],[Cotação]],"")</f>
        <v>2.1750733684210526E-2</v>
      </c>
      <c r="J344" s="58">
        <f>SUMPRODUCT(N(Tabela1[Código]=Tabela2[[#This Row],[Ativo]]),Tabela1[Fechamento])</f>
        <v>12.35</v>
      </c>
      <c r="K344" s="58">
        <f>SUMPRODUCT(N(Tabela17[Código]=Tabela2[[#This Row],[Ativo]]),Tabela17[Fechamento])</f>
        <v>0</v>
      </c>
      <c r="L344" s="58">
        <f>SUMPRODUCT(N([Ativo]=Tabela2[[#This Row],[Ativo]]),N([Exercício]=Tabela2[[#This Row],[Exercício]]-1),[Lucro Líquido])</f>
        <v>133778304</v>
      </c>
      <c r="M344" s="18">
        <f>IF(Tabela2[[#This Row],[Lucro Anterior]]=0,"",IF(Tabela2[[#This Row],[Lucro Líquido]]&gt;0,Tabela2[[#This Row],[Lucro Líquido]]/Tabela2[[#This Row],[Lucro Anterior]]-1,0))</f>
        <v>-0.32235206091415247</v>
      </c>
    </row>
    <row r="345" spans="1:13">
      <c r="A345" s="15" t="s">
        <v>80</v>
      </c>
      <c r="B345" s="3">
        <v>2010</v>
      </c>
      <c r="C345" s="5">
        <v>133778304</v>
      </c>
      <c r="D345" s="60">
        <f>SUMPRODUCT(N(Tabela3[PAPEL]=Tabela2[[#This Row],[Ativo]]),Tabela3[Total Ações])</f>
        <v>88320000</v>
      </c>
      <c r="E345" s="63">
        <f>(Tabela2[[#This Row],[Lucro Líquido]])/Tabela2[[#This Row],[Total Ações]]</f>
        <v>1.5146999999999999</v>
      </c>
      <c r="F345" s="63">
        <v>0.3477384</v>
      </c>
      <c r="G345" s="22">
        <f>IF(AND(Tabela2[[#This Row],[Dividendo / Ação]]&gt;0,Tabela2[[#This Row],[Lucro por ação]]&gt;0),Tabela2[[#This Row],[Dividendo / Ação]]/Tabela2[[#This Row],[Lucro por ação]],"")</f>
        <v>0.2295757575757576</v>
      </c>
      <c r="H345" s="5">
        <f>MAX(Tabela2[[#This Row],[Cotação 1]],Tabela2[[#This Row],[Cotação 2]])</f>
        <v>12.35</v>
      </c>
      <c r="I345" s="18">
        <f>IF(Tabela2[[#This Row],[Dividendo / Ação]]&gt;0,Tabela2[[#This Row],[Dividendo / Ação]]/Tabela2[[#This Row],[Cotação]],"")</f>
        <v>2.8156955465587045E-2</v>
      </c>
      <c r="J345" s="58">
        <f>SUMPRODUCT(N(Tabela1[Código]=Tabela2[[#This Row],[Ativo]]),Tabela1[Fechamento])</f>
        <v>12.35</v>
      </c>
      <c r="K345" s="58">
        <f>SUMPRODUCT(N(Tabela17[Código]=Tabela2[[#This Row],[Ativo]]),Tabela17[Fechamento])</f>
        <v>0</v>
      </c>
      <c r="L345" s="58">
        <f>SUMPRODUCT(N([Ativo]=Tabela2[[#This Row],[Ativo]]),N([Exercício]=Tabela2[[#This Row],[Exercício]]-1),[Lucro Líquido])</f>
        <v>0</v>
      </c>
      <c r="M345" s="18" t="str">
        <f>IF(Tabela2[[#This Row],[Lucro Anterior]]=0,"",IF(Tabela2[[#This Row],[Lucro Líquido]]&gt;0,Tabela2[[#This Row],[Lucro Líquido]]/Tabela2[[#This Row],[Lucro Anterior]]-1,0))</f>
        <v/>
      </c>
    </row>
    <row r="346" spans="1:13">
      <c r="A346" s="4" t="s">
        <v>177</v>
      </c>
      <c r="B346" s="4">
        <v>2012</v>
      </c>
      <c r="C346" s="6">
        <v>324648000</v>
      </c>
      <c r="D346" s="8">
        <f>SUMPRODUCT(N(Tabela3[PAPEL]=Tabela2[[#This Row],[Ativo]]),Tabela3[Total Ações])</f>
        <v>94433283</v>
      </c>
      <c r="E346" s="64">
        <f>(Tabela2[[#This Row],[Lucro Líquido]])/Tabela2[[#This Row],[Total Ações]]</f>
        <v>3.4378556975510426</v>
      </c>
      <c r="F346" s="64">
        <v>3.9972394429999998</v>
      </c>
      <c r="G346" s="44">
        <f>IF(AND(Tabela2[[#This Row],[Dividendo / Ação]]&gt;0,Tabela2[[#This Row],[Lucro por ação]]&gt;0),Tabela2[[#This Row],[Dividendo / Ação]]/Tabela2[[#This Row],[Lucro por ação]],"")</f>
        <v>1.1627129800263096</v>
      </c>
      <c r="H346" s="6">
        <f>MAX(Tabela2[[#This Row],[Cotação 1]],Tabela2[[#This Row],[Cotação 2]])</f>
        <v>62.04</v>
      </c>
      <c r="I346" s="19">
        <f>IF(Tabela2[[#This Row],[Dividendo / Ação]]&gt;0,Tabela2[[#This Row],[Dividendo / Ação]]/Tabela2[[#This Row],[Cotação]],"")</f>
        <v>6.4430036154094136E-2</v>
      </c>
      <c r="J346" s="59">
        <f>SUMPRODUCT(N(Tabela1[Código]=Tabela2[[#This Row],[Ativo]]),Tabela1[Fechamento])</f>
        <v>62.04</v>
      </c>
      <c r="K346" s="59">
        <f>SUMPRODUCT(N(Tabela17[Código]=Tabela2[[#This Row],[Ativo]]),Tabela17[Fechamento])</f>
        <v>0</v>
      </c>
      <c r="L346" s="59">
        <f>SUMPRODUCT(N([Ativo]=Tabela2[[#This Row],[Ativo]]),N([Exercício]=Tabela2[[#This Row],[Exercício]]-1),[Lucro Líquido])</f>
        <v>281411183</v>
      </c>
      <c r="M346" s="19">
        <f>IF(Tabela2[[#This Row],[Lucro Anterior]]=0,"",IF(Tabela2[[#This Row],[Lucro Líquido]]&gt;0,Tabela2[[#This Row],[Lucro Líquido]]/Tabela2[[#This Row],[Lucro Anterior]]-1,0))</f>
        <v>0.15364285292102275</v>
      </c>
    </row>
    <row r="347" spans="1:13">
      <c r="A347" s="4" t="s">
        <v>177</v>
      </c>
      <c r="B347" s="4">
        <v>2011</v>
      </c>
      <c r="C347" s="6">
        <v>281411183</v>
      </c>
      <c r="D347" s="8">
        <f>SUMPRODUCT(N(Tabela3[PAPEL]=Tabela2[[#This Row],[Ativo]]),Tabela3[Total Ações])</f>
        <v>94433283</v>
      </c>
      <c r="E347" s="64">
        <f>(Tabela2[[#This Row],[Lucro Líquido]])/Tabela2[[#This Row],[Total Ações]]</f>
        <v>2.9799999963995747</v>
      </c>
      <c r="F347" s="64">
        <v>3.6127542309999998</v>
      </c>
      <c r="G347" s="44">
        <f>IF(AND(Tabela2[[#This Row],[Dividendo / Ação]]&gt;0,Tabela2[[#This Row],[Lucro por ação]]&gt;0),Tabela2[[#This Row],[Dividendo / Ação]]/Tabela2[[#This Row],[Lucro por ação]],"")</f>
        <v>1.2123336360284955</v>
      </c>
      <c r="H347" s="6">
        <f>MAX(Tabela2[[#This Row],[Cotação 1]],Tabela2[[#This Row],[Cotação 2]])</f>
        <v>62.04</v>
      </c>
      <c r="I347" s="19">
        <f>IF(Tabela2[[#This Row],[Dividendo / Ação]]&gt;0,Tabela2[[#This Row],[Dividendo / Ação]]/Tabela2[[#This Row],[Cotação]],"")</f>
        <v>5.8232660074145709E-2</v>
      </c>
      <c r="J347" s="59">
        <f>SUMPRODUCT(N(Tabela1[Código]=Tabela2[[#This Row],[Ativo]]),Tabela1[Fechamento])</f>
        <v>62.04</v>
      </c>
      <c r="K347" s="59">
        <f>SUMPRODUCT(N(Tabela17[Código]=Tabela2[[#This Row],[Ativo]]),Tabela17[Fechamento])</f>
        <v>0</v>
      </c>
      <c r="L347" s="59">
        <f>SUMPRODUCT(N([Ativo]=Tabela2[[#This Row],[Ativo]]),N([Exercício]=Tabela2[[#This Row],[Exercício]]-1),[Lucro Líquido])</f>
        <v>183200569</v>
      </c>
      <c r="M347" s="19">
        <f>IF(Tabela2[[#This Row],[Lucro Anterior]]=0,"",IF(Tabela2[[#This Row],[Lucro Líquido]]&gt;0,Tabela2[[#This Row],[Lucro Líquido]]/Tabela2[[#This Row],[Lucro Anterior]]-1,0))</f>
        <v>0.53608247253860886</v>
      </c>
    </row>
    <row r="348" spans="1:13">
      <c r="A348" s="4" t="s">
        <v>177</v>
      </c>
      <c r="B348" s="4">
        <v>2010</v>
      </c>
      <c r="C348" s="5">
        <v>183200569</v>
      </c>
      <c r="D348" s="8">
        <f>SUMPRODUCT(N(Tabela3[PAPEL]=Tabela2[[#This Row],[Ativo]]),Tabela3[Total Ações])</f>
        <v>94433283</v>
      </c>
      <c r="E348" s="64">
        <f>(Tabela2[[#This Row],[Lucro Líquido]])/Tabela2[[#This Row],[Total Ações]]</f>
        <v>1.9399999997882102</v>
      </c>
      <c r="F348" s="63">
        <v>2.6568953629999998</v>
      </c>
      <c r="G348" s="44">
        <f>IF(AND(Tabela2[[#This Row],[Dividendo / Ação]]&gt;0,Tabela2[[#This Row],[Lucro por ação]]&gt;0),Tabela2[[#This Row],[Dividendo / Ação]]/Tabela2[[#This Row],[Lucro por ação]],"")</f>
        <v>1.3695336924175532</v>
      </c>
      <c r="H348" s="6">
        <f>MAX(Tabela2[[#This Row],[Cotação 1]],Tabela2[[#This Row],[Cotação 2]])</f>
        <v>62.04</v>
      </c>
      <c r="I348" s="19">
        <f>IF(Tabela2[[#This Row],[Dividendo / Ação]]&gt;0,Tabela2[[#This Row],[Dividendo / Ação]]/Tabela2[[#This Row],[Cotação]],"")</f>
        <v>4.2825521647324304E-2</v>
      </c>
      <c r="J348" s="59">
        <f>SUMPRODUCT(N(Tabela1[Código]=Tabela2[[#This Row],[Ativo]]),Tabela1[Fechamento])</f>
        <v>62.04</v>
      </c>
      <c r="K348" s="59">
        <f>SUMPRODUCT(N(Tabela17[Código]=Tabela2[[#This Row],[Ativo]]),Tabela17[Fechamento])</f>
        <v>0</v>
      </c>
      <c r="L348" s="59">
        <f>SUMPRODUCT(N([Ativo]=Tabela2[[#This Row],[Ativo]]),N([Exercício]=Tabela2[[#This Row],[Exercício]]-1),[Lucro Líquido])</f>
        <v>101987946</v>
      </c>
      <c r="M348" s="19">
        <f>IF(Tabela2[[#This Row],[Lucro Anterior]]=0,"",IF(Tabela2[[#This Row],[Lucro Líquido]]&gt;0,Tabela2[[#This Row],[Lucro Líquido]]/Tabela2[[#This Row],[Lucro Anterior]]-1,0))</f>
        <v>0.796296289759576</v>
      </c>
    </row>
    <row r="349" spans="1:13">
      <c r="A349" s="4" t="s">
        <v>177</v>
      </c>
      <c r="B349" s="4">
        <v>2009</v>
      </c>
      <c r="C349" s="5">
        <v>101987946</v>
      </c>
      <c r="D349" s="8">
        <f>SUMPRODUCT(N(Tabela3[PAPEL]=Tabela2[[#This Row],[Ativo]]),Tabela3[Total Ações])</f>
        <v>94433283</v>
      </c>
      <c r="E349" s="64">
        <f>(Tabela2[[#This Row],[Lucro Líquido]])/Tabela2[[#This Row],[Total Ações]]</f>
        <v>1.0800000038122153</v>
      </c>
      <c r="F349" s="64">
        <v>1.4826292830000001</v>
      </c>
      <c r="G349" s="44">
        <f>IF(AND(Tabela2[[#This Row],[Dividendo / Ação]]&gt;0,Tabela2[[#This Row],[Lucro por ação]]&gt;0),Tabela2[[#This Row],[Dividendo / Ação]]/Tabela2[[#This Row],[Lucro por ação]],"")</f>
        <v>1.3728048868209002</v>
      </c>
      <c r="H349" s="6">
        <f>MAX(Tabela2[[#This Row],[Cotação 1]],Tabela2[[#This Row],[Cotação 2]])</f>
        <v>62.04</v>
      </c>
      <c r="I349" s="19">
        <f>IF(Tabela2[[#This Row],[Dividendo / Ação]]&gt;0,Tabela2[[#This Row],[Dividendo / Ação]]/Tabela2[[#This Row],[Cotação]],"")</f>
        <v>2.389795749516441E-2</v>
      </c>
      <c r="J349" s="59">
        <f>SUMPRODUCT(N(Tabela1[Código]=Tabela2[[#This Row],[Ativo]]),Tabela1[Fechamento])</f>
        <v>62.04</v>
      </c>
      <c r="K349" s="59">
        <f>SUMPRODUCT(N(Tabela17[Código]=Tabela2[[#This Row],[Ativo]]),Tabela17[Fechamento])</f>
        <v>0</v>
      </c>
      <c r="L349" s="59">
        <f>SUMPRODUCT(N([Ativo]=Tabela2[[#This Row],[Ativo]]),N([Exercício]=Tabela2[[#This Row],[Exercício]]-1),[Lucro Líquido])</f>
        <v>0</v>
      </c>
      <c r="M349" s="19" t="str">
        <f>IF(Tabela2[[#This Row],[Lucro Anterior]]=0,"",IF(Tabela2[[#This Row],[Lucro Líquido]]&gt;0,Tabela2[[#This Row],[Lucro Líquido]]/Tabela2[[#This Row],[Lucro Anterior]]-1,0))</f>
        <v/>
      </c>
    </row>
    <row r="350" spans="1:13">
      <c r="A350" s="4" t="s">
        <v>38</v>
      </c>
      <c r="B350" s="4">
        <v>2012</v>
      </c>
      <c r="C350" s="6">
        <v>324648000</v>
      </c>
      <c r="D350" s="8">
        <f>SUMPRODUCT(N(Tabela3[PAPEL]=Tabela2[[#This Row],[Ativo]]),Tabela3[Total Ações])</f>
        <v>94433283</v>
      </c>
      <c r="E350" s="64">
        <f>(Tabela2[[#This Row],[Lucro Líquido]])/Tabela2[[#This Row],[Total Ações]]</f>
        <v>3.4378556975510426</v>
      </c>
      <c r="F350" s="64">
        <v>3.9972394429999998</v>
      </c>
      <c r="G350" s="44">
        <f>IF(AND(Tabela2[[#This Row],[Dividendo / Ação]]&gt;0,Tabela2[[#This Row],[Lucro por ação]]&gt;0),Tabela2[[#This Row],[Dividendo / Ação]]/Tabela2[[#This Row],[Lucro por ação]],"")</f>
        <v>1.1627129800263096</v>
      </c>
      <c r="H350" s="6">
        <f>MAX(Tabela2[[#This Row],[Cotação 1]],Tabela2[[#This Row],[Cotação 2]])</f>
        <v>61.99</v>
      </c>
      <c r="I350" s="19">
        <f>IF(Tabela2[[#This Row],[Dividendo / Ação]]&gt;0,Tabela2[[#This Row],[Dividendo / Ação]]/Tabela2[[#This Row],[Cotação]],"")</f>
        <v>6.4482004242619767E-2</v>
      </c>
      <c r="J350" s="59">
        <f>SUMPRODUCT(N(Tabela1[Código]=Tabela2[[#This Row],[Ativo]]),Tabela1[Fechamento])</f>
        <v>61.99</v>
      </c>
      <c r="K350" s="59">
        <f>SUMPRODUCT(N(Tabela17[Código]=Tabela2[[#This Row],[Ativo]]),Tabela17[Fechamento])</f>
        <v>0</v>
      </c>
      <c r="L350" s="59">
        <f>SUMPRODUCT(N([Ativo]=Tabela2[[#This Row],[Ativo]]),N([Exercício]=Tabela2[[#This Row],[Exercício]]-1),[Lucro Líquido])</f>
        <v>281411183</v>
      </c>
      <c r="M350" s="19">
        <f>IF(Tabela2[[#This Row],[Lucro Anterior]]=0,"",IF(Tabela2[[#This Row],[Lucro Líquido]]&gt;0,Tabela2[[#This Row],[Lucro Líquido]]/Tabela2[[#This Row],[Lucro Anterior]]-1,0))</f>
        <v>0.15364285292102275</v>
      </c>
    </row>
    <row r="351" spans="1:13">
      <c r="A351" s="4" t="s">
        <v>38</v>
      </c>
      <c r="B351" s="4">
        <v>2011</v>
      </c>
      <c r="C351" s="6">
        <v>281411183</v>
      </c>
      <c r="D351" s="8">
        <f>SUMPRODUCT(N(Tabela3[PAPEL]=Tabela2[[#This Row],[Ativo]]),Tabela3[Total Ações])</f>
        <v>94433283</v>
      </c>
      <c r="E351" s="64">
        <f>(Tabela2[[#This Row],[Lucro Líquido]])/Tabela2[[#This Row],[Total Ações]]</f>
        <v>2.9799999963995747</v>
      </c>
      <c r="F351" s="64">
        <v>3.6127542300000002</v>
      </c>
      <c r="G351" s="44">
        <f>IF(AND(Tabela2[[#This Row],[Dividendo / Ação]]&gt;0,Tabela2[[#This Row],[Lucro por ação]]&gt;0),Tabela2[[#This Row],[Dividendo / Ação]]/Tabela2[[#This Row],[Lucro por ação]],"")</f>
        <v>1.2123336356929251</v>
      </c>
      <c r="H351" s="6">
        <f>MAX(Tabela2[[#This Row],[Cotação 1]],Tabela2[[#This Row],[Cotação 2]])</f>
        <v>61.99</v>
      </c>
      <c r="I351" s="19">
        <f>IF(Tabela2[[#This Row],[Dividendo / Ação]]&gt;0,Tabela2[[#This Row],[Dividendo / Ação]]/Tabela2[[#This Row],[Cotação]],"")</f>
        <v>5.8279629456363932E-2</v>
      </c>
      <c r="J351" s="59">
        <f>SUMPRODUCT(N(Tabela1[Código]=Tabela2[[#This Row],[Ativo]]),Tabela1[Fechamento])</f>
        <v>61.99</v>
      </c>
      <c r="K351" s="59">
        <f>SUMPRODUCT(N(Tabela17[Código]=Tabela2[[#This Row],[Ativo]]),Tabela17[Fechamento])</f>
        <v>0</v>
      </c>
      <c r="L351" s="59">
        <f>SUMPRODUCT(N([Ativo]=Tabela2[[#This Row],[Ativo]]),N([Exercício]=Tabela2[[#This Row],[Exercício]]-1),[Lucro Líquido])</f>
        <v>183200569</v>
      </c>
      <c r="M351" s="19">
        <f>IF(Tabela2[[#This Row],[Lucro Anterior]]=0,"",IF(Tabela2[[#This Row],[Lucro Líquido]]&gt;0,Tabela2[[#This Row],[Lucro Líquido]]/Tabela2[[#This Row],[Lucro Anterior]]-1,0))</f>
        <v>0.53608247253860886</v>
      </c>
    </row>
    <row r="352" spans="1:13">
      <c r="A352" s="4" t="s">
        <v>38</v>
      </c>
      <c r="B352" s="3">
        <v>2010</v>
      </c>
      <c r="C352" s="5">
        <v>183200569</v>
      </c>
      <c r="D352" s="60">
        <f>SUMPRODUCT(N(Tabela3[PAPEL]=Tabela2[[#This Row],[Ativo]]),Tabela3[Total Ações])</f>
        <v>94433283</v>
      </c>
      <c r="E352" s="63">
        <f>(Tabela2[[#This Row],[Lucro Líquido]])/Tabela2[[#This Row],[Total Ações]]</f>
        <v>1.9399999997882102</v>
      </c>
      <c r="F352" s="63">
        <v>2.6568953610000001</v>
      </c>
      <c r="G352" s="22">
        <f>IF(AND(Tabela2[[#This Row],[Dividendo / Ação]]&gt;0,Tabela2[[#This Row],[Lucro por ação]]&gt;0),Tabela2[[#This Row],[Dividendo / Ação]]/Tabela2[[#This Row],[Lucro por ação]],"")</f>
        <v>1.3695336913866254</v>
      </c>
      <c r="H352" s="5">
        <f>MAX(Tabela2[[#This Row],[Cotação 1]],Tabela2[[#This Row],[Cotação 2]])</f>
        <v>61.99</v>
      </c>
      <c r="I352" s="18">
        <f>IF(Tabela2[[#This Row],[Dividendo / Ação]]&gt;0,Tabela2[[#This Row],[Dividendo / Ação]]/Tabela2[[#This Row],[Cotação]],"")</f>
        <v>4.2860063897402809E-2</v>
      </c>
      <c r="J352" s="58">
        <f>SUMPRODUCT(N(Tabela1[Código]=Tabela2[[#This Row],[Ativo]]),Tabela1[Fechamento])</f>
        <v>61.99</v>
      </c>
      <c r="K352" s="58">
        <f>SUMPRODUCT(N(Tabela17[Código]=Tabela2[[#This Row],[Ativo]]),Tabela17[Fechamento])</f>
        <v>0</v>
      </c>
      <c r="L352" s="58">
        <f>SUMPRODUCT(N([Ativo]=Tabela2[[#This Row],[Ativo]]),N([Exercício]=Tabela2[[#This Row],[Exercício]]-1),[Lucro Líquido])</f>
        <v>101987946</v>
      </c>
      <c r="M352" s="18">
        <f>IF(Tabela2[[#This Row],[Lucro Anterior]]=0,"",IF(Tabela2[[#This Row],[Lucro Líquido]]&gt;0,Tabela2[[#This Row],[Lucro Líquido]]/Tabela2[[#This Row],[Lucro Anterior]]-1,0))</f>
        <v>0.796296289759576</v>
      </c>
    </row>
    <row r="353" spans="1:13">
      <c r="A353" s="4" t="s">
        <v>38</v>
      </c>
      <c r="B353" s="3">
        <v>2009</v>
      </c>
      <c r="C353" s="5">
        <v>101987946</v>
      </c>
      <c r="D353" s="60">
        <f>SUMPRODUCT(N(Tabela3[PAPEL]=Tabela2[[#This Row],[Ativo]]),Tabela3[Total Ações])</f>
        <v>94433283</v>
      </c>
      <c r="E353" s="63">
        <f>(Tabela2[[#This Row],[Lucro Líquido]])/Tabela2[[#This Row],[Total Ações]]</f>
        <v>1.0800000038122153</v>
      </c>
      <c r="F353" s="63">
        <v>2.1814776419999999</v>
      </c>
      <c r="G353" s="22">
        <f>IF(AND(Tabela2[[#This Row],[Dividendo / Ação]]&gt;0,Tabela2[[#This Row],[Lucro por ação]]&gt;0),Tabela2[[#This Row],[Dividendo / Ação]]/Tabela2[[#This Row],[Lucro por ação]],"")</f>
        <v>2.0198866984257009</v>
      </c>
      <c r="H353" s="5">
        <f>MAX(Tabela2[[#This Row],[Cotação 1]],Tabela2[[#This Row],[Cotação 2]])</f>
        <v>61.99</v>
      </c>
      <c r="I353" s="18">
        <f>IF(Tabela2[[#This Row],[Dividendo / Ação]]&gt;0,Tabela2[[#This Row],[Dividendo / Ação]]/Tabela2[[#This Row],[Cotação]],"")</f>
        <v>3.519079919341829E-2</v>
      </c>
      <c r="J353" s="58">
        <f>SUMPRODUCT(N(Tabela1[Código]=Tabela2[[#This Row],[Ativo]]),Tabela1[Fechamento])</f>
        <v>61.99</v>
      </c>
      <c r="K353" s="58">
        <f>SUMPRODUCT(N(Tabela17[Código]=Tabela2[[#This Row],[Ativo]]),Tabela17[Fechamento])</f>
        <v>0</v>
      </c>
      <c r="L353" s="58">
        <f>SUMPRODUCT(N([Ativo]=Tabela2[[#This Row],[Ativo]]),N([Exercício]=Tabela2[[#This Row],[Exercício]]-1),[Lucro Líquido])</f>
        <v>0</v>
      </c>
      <c r="M353" s="18" t="str">
        <f>IF(Tabela2[[#This Row],[Lucro Anterior]]=0,"",IF(Tabela2[[#This Row],[Lucro Líquido]]&gt;0,Tabela2[[#This Row],[Lucro Líquido]]/Tabela2[[#This Row],[Lucro Anterior]]-1,0))</f>
        <v/>
      </c>
    </row>
    <row r="354" spans="1:13">
      <c r="A354" s="4" t="s">
        <v>29</v>
      </c>
      <c r="B354" s="4">
        <v>2012</v>
      </c>
      <c r="C354" s="6">
        <v>901262803.92999995</v>
      </c>
      <c r="D354" s="8">
        <f>SUMPRODUCT(N(Tabela3[PAPEL]=Tabela2[[#This Row],[Ativo]]),Tabela3[Total Ações])</f>
        <v>381253493</v>
      </c>
      <c r="E354" s="64">
        <f>(Tabela2[[#This Row],[Lucro Líquido]])/Tabela2[[#This Row],[Total Ações]]</f>
        <v>2.363946351909227</v>
      </c>
      <c r="F354" s="64">
        <v>2.4435890119999999</v>
      </c>
      <c r="G354" s="44">
        <f>IF(AND(Tabela2[[#This Row],[Dividendo / Ação]]&gt;0,Tabela2[[#This Row],[Lucro por ação]]&gt;0),Tabela2[[#This Row],[Dividendo / Ação]]/Tabela2[[#This Row],[Lucro por ação]],"")</f>
        <v>1.0336905530984026</v>
      </c>
      <c r="H354" s="6">
        <f>MAX(Tabela2[[#This Row],[Cotação 1]],Tabela2[[#This Row],[Cotação 2]])</f>
        <v>17.47</v>
      </c>
      <c r="I354" s="19">
        <f>IF(Tabela2[[#This Row],[Dividendo / Ação]]&gt;0,Tabela2[[#This Row],[Dividendo / Ação]]/Tabela2[[#This Row],[Cotação]],"")</f>
        <v>0.13987344087006298</v>
      </c>
      <c r="J354" s="59">
        <f>SUMPRODUCT(N(Tabela1[Código]=Tabela2[[#This Row],[Ativo]]),Tabela1[Fechamento])</f>
        <v>17.47</v>
      </c>
      <c r="K354" s="59">
        <f>SUMPRODUCT(N(Tabela17[Código]=Tabela2[[#This Row],[Ativo]]),Tabela17[Fechamento])</f>
        <v>0</v>
      </c>
      <c r="L354" s="59">
        <f>SUMPRODUCT(N([Ativo]=Tabela2[[#This Row],[Ativo]]),N([Exercício]=Tabela2[[#This Row],[Exercício]]-1),[Lucro Líquido])</f>
        <v>844863980.05999994</v>
      </c>
      <c r="M354" s="19">
        <f>IF(Tabela2[[#This Row],[Lucro Anterior]]=0,"",IF(Tabela2[[#This Row],[Lucro Líquido]]&gt;0,Tabela2[[#This Row],[Lucro Líquido]]/Tabela2[[#This Row],[Lucro Anterior]]-1,0))</f>
        <v>6.6754915822064831E-2</v>
      </c>
    </row>
    <row r="355" spans="1:13">
      <c r="A355" s="4" t="s">
        <v>29</v>
      </c>
      <c r="B355" s="3">
        <v>2011</v>
      </c>
      <c r="C355" s="5">
        <v>844863980.05999994</v>
      </c>
      <c r="D355" s="60">
        <f>SUMPRODUCT(N(Tabela3[PAPEL]=Tabela2[[#This Row],[Ativo]]),Tabela3[Total Ações])</f>
        <v>381253493</v>
      </c>
      <c r="E355" s="63">
        <f>(Tabela2[[#This Row],[Lucro Líquido]])/Tabela2[[#This Row],[Total Ações]]</f>
        <v>2.2160163659405474</v>
      </c>
      <c r="F355" s="63">
        <v>2.307552448</v>
      </c>
      <c r="G355" s="22">
        <f>IF(AND(Tabela2[[#This Row],[Dividendo / Ação]]&gt;0,Tabela2[[#This Row],[Lucro por ação]]&gt;0),Tabela2[[#This Row],[Dividendo / Ação]]/Tabela2[[#This Row],[Lucro por ação]],"")</f>
        <v>1.0413065911724897</v>
      </c>
      <c r="H355" s="5">
        <f>MAX(Tabela2[[#This Row],[Cotação 1]],Tabela2[[#This Row],[Cotação 2]])</f>
        <v>17.47</v>
      </c>
      <c r="I355" s="18">
        <f>IF(Tabela2[[#This Row],[Dividendo / Ação]]&gt;0,Tabela2[[#This Row],[Dividendo / Ação]]/Tabela2[[#This Row],[Cotação]],"")</f>
        <v>0.13208657401259302</v>
      </c>
      <c r="J355" s="58">
        <f>SUMPRODUCT(N(Tabela1[Código]=Tabela2[[#This Row],[Ativo]]),Tabela1[Fechamento])</f>
        <v>17.47</v>
      </c>
      <c r="K355" s="58">
        <f>SUMPRODUCT(N(Tabela17[Código]=Tabela2[[#This Row],[Ativo]]),Tabela17[Fechamento])</f>
        <v>0</v>
      </c>
      <c r="L355" s="58">
        <f>SUMPRODUCT(N([Ativo]=Tabela2[[#This Row],[Ativo]]),N([Exercício]=Tabela2[[#This Row],[Exercício]]-1),[Lucro Líquido])</f>
        <v>737339863.24000001</v>
      </c>
      <c r="M355" s="18">
        <f>IF(Tabela2[[#This Row],[Lucro Anterior]]=0,"",IF(Tabela2[[#This Row],[Lucro Líquido]]&gt;0,Tabela2[[#This Row],[Lucro Líquido]]/Tabela2[[#This Row],[Lucro Anterior]]-1,0))</f>
        <v>0.14582707673978201</v>
      </c>
    </row>
    <row r="356" spans="1:13">
      <c r="A356" s="4" t="s">
        <v>29</v>
      </c>
      <c r="B356" s="3">
        <v>2010</v>
      </c>
      <c r="C356" s="5">
        <v>737339863.24000001</v>
      </c>
      <c r="D356" s="60">
        <f>SUMPRODUCT(N(Tabela3[PAPEL]=Tabela2[[#This Row],[Ativo]]),Tabela3[Total Ações])</f>
        <v>381253493</v>
      </c>
      <c r="E356" s="63">
        <f>(Tabela2[[#This Row],[Lucro Líquido]])/Tabela2[[#This Row],[Total Ações]]</f>
        <v>1.9339884795232551</v>
      </c>
      <c r="F356" s="63">
        <v>2.1575277719999999</v>
      </c>
      <c r="G356" s="22">
        <f>IF(AND(Tabela2[[#This Row],[Dividendo / Ação]]&gt;0,Tabela2[[#This Row],[Lucro por ação]]&gt;0),Tabela2[[#This Row],[Dividendo / Ação]]/Tabela2[[#This Row],[Lucro por ação]],"")</f>
        <v>1.1155846039640573</v>
      </c>
      <c r="H356" s="5">
        <f>MAX(Tabela2[[#This Row],[Cotação 1]],Tabela2[[#This Row],[Cotação 2]])</f>
        <v>17.47</v>
      </c>
      <c r="I356" s="18">
        <f>IF(Tabela2[[#This Row],[Dividendo / Ação]]&gt;0,Tabela2[[#This Row],[Dividendo / Ação]]/Tabela2[[#This Row],[Cotação]],"")</f>
        <v>0.12349901385231826</v>
      </c>
      <c r="J356" s="58">
        <f>SUMPRODUCT(N(Tabela1[Código]=Tabela2[[#This Row],[Ativo]]),Tabela1[Fechamento])</f>
        <v>17.47</v>
      </c>
      <c r="K356" s="58">
        <f>SUMPRODUCT(N(Tabela17[Código]=Tabela2[[#This Row],[Ativo]]),Tabela17[Fechamento])</f>
        <v>0</v>
      </c>
      <c r="L356" s="58">
        <f>SUMPRODUCT(N([Ativo]=Tabela2[[#This Row],[Ativo]]),N([Exercício]=Tabela2[[#This Row],[Exercício]]-1),[Lucro Líquido])</f>
        <v>780235000</v>
      </c>
      <c r="M356" s="18">
        <f>IF(Tabela2[[#This Row],[Lucro Anterior]]=0,"",IF(Tabela2[[#This Row],[Lucro Líquido]]&gt;0,Tabela2[[#This Row],[Lucro Líquido]]/Tabela2[[#This Row],[Lucro Anterior]]-1,0))</f>
        <v>-5.4977201432901635E-2</v>
      </c>
    </row>
    <row r="357" spans="1:13">
      <c r="A357" s="4" t="s">
        <v>29</v>
      </c>
      <c r="B357" s="3">
        <v>2009</v>
      </c>
      <c r="C357" s="5">
        <v>780235000</v>
      </c>
      <c r="D357" s="60">
        <f>SUMPRODUCT(N(Tabela3[PAPEL]=Tabela2[[#This Row],[Ativo]]),Tabela3[Total Ações])</f>
        <v>381253493</v>
      </c>
      <c r="E357" s="63">
        <f>(Tabela2[[#This Row],[Lucro Líquido]])/Tabela2[[#This Row],[Total Ações]]</f>
        <v>2.0464992828275541</v>
      </c>
      <c r="F357" s="63">
        <v>1.9523818630000001</v>
      </c>
      <c r="G357" s="22">
        <f>IF(AND(Tabela2[[#This Row],[Dividendo / Ação]]&gt;0,Tabela2[[#This Row],[Lucro por ação]]&gt;0),Tabela2[[#This Row],[Dividendo / Ação]]/Tabela2[[#This Row],[Lucro por ação]],"")</f>
        <v>0.95401052880042236</v>
      </c>
      <c r="H357" s="5">
        <f>MAX(Tabela2[[#This Row],[Cotação 1]],Tabela2[[#This Row],[Cotação 2]])</f>
        <v>17.47</v>
      </c>
      <c r="I357" s="18">
        <f>IF(Tabela2[[#This Row],[Dividendo / Ação]]&gt;0,Tabela2[[#This Row],[Dividendo / Ação]]/Tabela2[[#This Row],[Cotação]],"")</f>
        <v>0.1117562600457928</v>
      </c>
      <c r="J357" s="58">
        <f>SUMPRODUCT(N(Tabela1[Código]=Tabela2[[#This Row],[Ativo]]),Tabela1[Fechamento])</f>
        <v>17.47</v>
      </c>
      <c r="K357" s="58">
        <f>SUMPRODUCT(N(Tabela17[Código]=Tabela2[[#This Row],[Ativo]]),Tabela17[Fechamento])</f>
        <v>0</v>
      </c>
      <c r="L357" s="58">
        <f>SUMPRODUCT(N([Ativo]=Tabela2[[#This Row],[Ativo]]),N([Exercício]=Tabela2[[#This Row],[Exercício]]-1),[Lucro Líquido])</f>
        <v>0</v>
      </c>
      <c r="M357" s="18" t="str">
        <f>IF(Tabela2[[#This Row],[Lucro Anterior]]=0,"",IF(Tabela2[[#This Row],[Lucro Líquido]]&gt;0,Tabela2[[#This Row],[Lucro Líquido]]/Tabela2[[#This Row],[Lucro Anterior]]-1,0))</f>
        <v/>
      </c>
    </row>
    <row r="358" spans="1:13">
      <c r="A358" s="4" t="s">
        <v>33</v>
      </c>
      <c r="B358" s="4">
        <v>2012</v>
      </c>
      <c r="C358" s="6">
        <v>901262803.92999995</v>
      </c>
      <c r="D358" s="8">
        <f>SUMPRODUCT(N(Tabela3[PAPEL]=Tabela2[[#This Row],[Ativo]]),Tabela3[Total Ações])</f>
        <v>381253493</v>
      </c>
      <c r="E358" s="64">
        <f>(Tabela2[[#This Row],[Lucro Líquido]])/Tabela2[[#This Row],[Total Ações]]</f>
        <v>2.363946351909227</v>
      </c>
      <c r="F358" s="64">
        <v>2.687947914</v>
      </c>
      <c r="G358" s="44">
        <f>IF(AND(Tabela2[[#This Row],[Dividendo / Ação]]&gt;0,Tabela2[[#This Row],[Lucro por ação]]&gt;0),Tabela2[[#This Row],[Dividendo / Ação]]/Tabela2[[#This Row],[Lucro por ação]],"")</f>
        <v>1.13705960874666</v>
      </c>
      <c r="H358" s="6">
        <f>MAX(Tabela2[[#This Row],[Cotação 1]],Tabela2[[#This Row],[Cotação 2]])</f>
        <v>19.29</v>
      </c>
      <c r="I358" s="19">
        <f>IF(Tabela2[[#This Row],[Dividendo / Ação]]&gt;0,Tabela2[[#This Row],[Dividendo / Ação]]/Tabela2[[#This Row],[Cotação]],"")</f>
        <v>0.13934411166407465</v>
      </c>
      <c r="J358" s="59">
        <f>SUMPRODUCT(N(Tabela1[Código]=Tabela2[[#This Row],[Ativo]]),Tabela1[Fechamento])</f>
        <v>19.29</v>
      </c>
      <c r="K358" s="59">
        <f>SUMPRODUCT(N(Tabela17[Código]=Tabela2[[#This Row],[Ativo]]),Tabela17[Fechamento])</f>
        <v>0</v>
      </c>
      <c r="L358" s="59">
        <f>SUMPRODUCT(N([Ativo]=Tabela2[[#This Row],[Ativo]]),N([Exercício]=Tabela2[[#This Row],[Exercício]]-1),[Lucro Líquido])</f>
        <v>844863980.05999994</v>
      </c>
      <c r="M358" s="19">
        <f>IF(Tabela2[[#This Row],[Lucro Anterior]]=0,"",IF(Tabela2[[#This Row],[Lucro Líquido]]&gt;0,Tabela2[[#This Row],[Lucro Líquido]]/Tabela2[[#This Row],[Lucro Anterior]]-1,0))</f>
        <v>6.6754915822064831E-2</v>
      </c>
    </row>
    <row r="359" spans="1:13">
      <c r="A359" s="4" t="s">
        <v>33</v>
      </c>
      <c r="B359" s="4">
        <v>2011</v>
      </c>
      <c r="C359" s="5">
        <v>844863980.05999994</v>
      </c>
      <c r="D359" s="8">
        <f>SUMPRODUCT(N(Tabela3[PAPEL]=Tabela2[[#This Row],[Ativo]]),Tabela3[Total Ações])</f>
        <v>381253493</v>
      </c>
      <c r="E359" s="64">
        <f>(Tabela2[[#This Row],[Lucro Líquido]])/Tabela2[[#This Row],[Total Ações]]</f>
        <v>2.2160163659405474</v>
      </c>
      <c r="F359" s="64">
        <v>2.5383076930000001</v>
      </c>
      <c r="G359" s="44">
        <f>IF(AND(Tabela2[[#This Row],[Dividendo / Ação]]&gt;0,Tabela2[[#This Row],[Lucro por ação]]&gt;0),Tabela2[[#This Row],[Dividendo / Ação]]/Tabela2[[#This Row],[Lucro por ação]],"")</f>
        <v>1.1454372503799908</v>
      </c>
      <c r="H359" s="6">
        <f>MAX(Tabela2[[#This Row],[Cotação 1]],Tabela2[[#This Row],[Cotação 2]])</f>
        <v>19.29</v>
      </c>
      <c r="I359" s="19">
        <f>IF(Tabela2[[#This Row],[Dividendo / Ação]]&gt;0,Tabela2[[#This Row],[Dividendo / Ação]]/Tabela2[[#This Row],[Cotação]],"")</f>
        <v>0.13158671296008295</v>
      </c>
      <c r="J359" s="59">
        <f>SUMPRODUCT(N(Tabela1[Código]=Tabela2[[#This Row],[Ativo]]),Tabela1[Fechamento])</f>
        <v>19.29</v>
      </c>
      <c r="K359" s="59">
        <f>SUMPRODUCT(N(Tabela17[Código]=Tabela2[[#This Row],[Ativo]]),Tabela17[Fechamento])</f>
        <v>0</v>
      </c>
      <c r="L359" s="59">
        <f>SUMPRODUCT(N([Ativo]=Tabela2[[#This Row],[Ativo]]),N([Exercício]=Tabela2[[#This Row],[Exercício]]-1),[Lucro Líquido])</f>
        <v>737339863.24000001</v>
      </c>
      <c r="M359" s="19">
        <f>IF(Tabela2[[#This Row],[Lucro Anterior]]=0,"",IF(Tabela2[[#This Row],[Lucro Líquido]]&gt;0,Tabela2[[#This Row],[Lucro Líquido]]/Tabela2[[#This Row],[Lucro Anterior]]-1,0))</f>
        <v>0.14582707673978201</v>
      </c>
    </row>
    <row r="360" spans="1:13">
      <c r="A360" s="4" t="s">
        <v>33</v>
      </c>
      <c r="B360" s="4">
        <v>2010</v>
      </c>
      <c r="C360" s="5">
        <v>737339863.24000001</v>
      </c>
      <c r="D360" s="8">
        <f>SUMPRODUCT(N(Tabela3[PAPEL]=Tabela2[[#This Row],[Ativo]]),Tabela3[Total Ações])</f>
        <v>381253493</v>
      </c>
      <c r="E360" s="64">
        <f>(Tabela2[[#This Row],[Lucro Líquido]])/Tabela2[[#This Row],[Total Ações]]</f>
        <v>1.9339884795232551</v>
      </c>
      <c r="F360" s="64">
        <v>2.373280549</v>
      </c>
      <c r="G360" s="44">
        <f>IF(AND(Tabela2[[#This Row],[Dividendo / Ação]]&gt;0,Tabela2[[#This Row],[Lucro por ação]]&gt;0),Tabela2[[#This Row],[Dividendo / Ação]]/Tabela2[[#This Row],[Lucro por ação]],"")</f>
        <v>1.2271430642570498</v>
      </c>
      <c r="H360" s="6">
        <f>MAX(Tabela2[[#This Row],[Cotação 1]],Tabela2[[#This Row],[Cotação 2]])</f>
        <v>19.29</v>
      </c>
      <c r="I360" s="19">
        <f>IF(Tabela2[[#This Row],[Dividendo / Ação]]&gt;0,Tabela2[[#This Row],[Dividendo / Ação]]/Tabela2[[#This Row],[Cotação]],"")</f>
        <v>0.1230316510627268</v>
      </c>
      <c r="J360" s="59">
        <f>SUMPRODUCT(N(Tabela1[Código]=Tabela2[[#This Row],[Ativo]]),Tabela1[Fechamento])</f>
        <v>19.29</v>
      </c>
      <c r="K360" s="59">
        <f>SUMPRODUCT(N(Tabela17[Código]=Tabela2[[#This Row],[Ativo]]),Tabela17[Fechamento])</f>
        <v>0</v>
      </c>
      <c r="L360" s="59">
        <f>SUMPRODUCT(N([Ativo]=Tabela2[[#This Row],[Ativo]]),N([Exercício]=Tabela2[[#This Row],[Exercício]]-1),[Lucro Líquido])</f>
        <v>780235000</v>
      </c>
      <c r="M360" s="19">
        <f>IF(Tabela2[[#This Row],[Lucro Anterior]]=0,"",IF(Tabela2[[#This Row],[Lucro Líquido]]&gt;0,Tabela2[[#This Row],[Lucro Líquido]]/Tabela2[[#This Row],[Lucro Anterior]]-1,0))</f>
        <v>-5.4977201432901635E-2</v>
      </c>
    </row>
    <row r="361" spans="1:13">
      <c r="A361" s="4" t="s">
        <v>33</v>
      </c>
      <c r="B361" s="4">
        <v>2009</v>
      </c>
      <c r="C361" s="5">
        <v>780235000</v>
      </c>
      <c r="D361" s="8">
        <f>SUMPRODUCT(N(Tabela3[PAPEL]=Tabela2[[#This Row],[Ativo]]),Tabela3[Total Ações])</f>
        <v>381253493</v>
      </c>
      <c r="E361" s="64">
        <f>(Tabela2[[#This Row],[Lucro Líquido]])/Tabela2[[#This Row],[Total Ações]]</f>
        <v>2.0464992828275541</v>
      </c>
      <c r="F361" s="64">
        <v>2.1476200489999999</v>
      </c>
      <c r="G361" s="44">
        <f>IF(AND(Tabela2[[#This Row],[Dividendo / Ação]]&gt;0,Tabela2[[#This Row],[Lucro por ação]]&gt;0),Tabela2[[#This Row],[Dividendo / Ação]]/Tabela2[[#This Row],[Lucro por ação]],"")</f>
        <v>1.0494115815338727</v>
      </c>
      <c r="H361" s="6">
        <f>MAX(Tabela2[[#This Row],[Cotação 1]],Tabela2[[#This Row],[Cotação 2]])</f>
        <v>19.29</v>
      </c>
      <c r="I361" s="19">
        <f>IF(Tabela2[[#This Row],[Dividendo / Ação]]&gt;0,Tabela2[[#This Row],[Dividendo / Ação]]/Tabela2[[#This Row],[Cotação]],"")</f>
        <v>0.11133333587350959</v>
      </c>
      <c r="J361" s="59">
        <f>SUMPRODUCT(N(Tabela1[Código]=Tabela2[[#This Row],[Ativo]]),Tabela1[Fechamento])</f>
        <v>19.29</v>
      </c>
      <c r="K361" s="59">
        <f>SUMPRODUCT(N(Tabela17[Código]=Tabela2[[#This Row],[Ativo]]),Tabela17[Fechamento])</f>
        <v>0</v>
      </c>
      <c r="L361" s="59">
        <f>SUMPRODUCT(N([Ativo]=Tabela2[[#This Row],[Ativo]]),N([Exercício]=Tabela2[[#This Row],[Exercício]]-1),[Lucro Líquido])</f>
        <v>0</v>
      </c>
      <c r="M361" s="19" t="str">
        <f>IF(Tabela2[[#This Row],[Lucro Anterior]]=0,"",IF(Tabela2[[#This Row],[Lucro Líquido]]&gt;0,Tabela2[[#This Row],[Lucro Líquido]]/Tabela2[[#This Row],[Lucro Anterior]]-1,0))</f>
        <v/>
      </c>
    </row>
    <row r="362" spans="1:13">
      <c r="A362" s="4" t="s">
        <v>188</v>
      </c>
      <c r="B362" s="4">
        <v>2012</v>
      </c>
      <c r="C362" s="6">
        <v>3061251.15</v>
      </c>
      <c r="D362" s="8">
        <f>SUMPRODUCT(N(Tabela3[PAPEL]=Tabela2[[#This Row],[Ativo]]),Tabela3[Total Ações])</f>
        <v>166355563</v>
      </c>
      <c r="E362" s="64">
        <f>(Tabela2[[#This Row],[Lucro Líquido]])/Tabela2[[#This Row],[Total Ações]]</f>
        <v>1.8401856209641753E-2</v>
      </c>
      <c r="F362" s="64">
        <v>1.6664410399999999E-2</v>
      </c>
      <c r="G362" s="44">
        <f>IF(AND(Tabela2[[#This Row],[Dividendo / Ação]]&gt;0,Tabela2[[#This Row],[Lucro por ação]]&gt;0),Tabela2[[#This Row],[Dividendo / Ação]]/Tabela2[[#This Row],[Lucro por ação]],"")</f>
        <v>0.90558312216724046</v>
      </c>
      <c r="H362" s="6">
        <f>MAX(Tabela2[[#This Row],[Cotação 1]],Tabela2[[#This Row],[Cotação 2]])</f>
        <v>0.12</v>
      </c>
      <c r="I362" s="19">
        <f>IF(Tabela2[[#This Row],[Dividendo / Ação]]&gt;0,Tabela2[[#This Row],[Dividendo / Ação]]/Tabela2[[#This Row],[Cotação]],"")</f>
        <v>0.13887008666666667</v>
      </c>
      <c r="J362" s="59">
        <f>SUMPRODUCT(N(Tabela1[Código]=Tabela2[[#This Row],[Ativo]]),Tabela1[Fechamento])</f>
        <v>0.12</v>
      </c>
      <c r="K362" s="59">
        <f>SUMPRODUCT(N(Tabela17[Código]=Tabela2[[#This Row],[Ativo]]),Tabela17[Fechamento])</f>
        <v>0</v>
      </c>
      <c r="L362" s="59">
        <f>SUMPRODUCT(N([Ativo]=Tabela2[[#This Row],[Ativo]]),N([Exercício]=Tabela2[[#This Row],[Exercício]]-1),[Lucro Líquido])</f>
        <v>2796437</v>
      </c>
      <c r="M362" s="19">
        <f>IF(Tabela2[[#This Row],[Lucro Anterior]]=0,"",IF(Tabela2[[#This Row],[Lucro Líquido]]&gt;0,Tabela2[[#This Row],[Lucro Líquido]]/Tabela2[[#This Row],[Lucro Anterior]]-1,0))</f>
        <v>9.4696984055067102E-2</v>
      </c>
    </row>
    <row r="363" spans="1:13">
      <c r="A363" s="4" t="s">
        <v>188</v>
      </c>
      <c r="B363" s="3">
        <v>2011</v>
      </c>
      <c r="C363" s="5">
        <v>2796437</v>
      </c>
      <c r="D363" s="60">
        <f>SUMPRODUCT(N(Tabela3[PAPEL]=Tabela2[[#This Row],[Ativo]]),Tabela3[Total Ações])</f>
        <v>166355563</v>
      </c>
      <c r="E363" s="63">
        <f>(Tabela2[[#This Row],[Lucro Líquido]])/Tabela2[[#This Row],[Total Ações]]</f>
        <v>1.6809999915662573E-2</v>
      </c>
      <c r="F363" s="63">
        <v>1.4520999999999999E-2</v>
      </c>
      <c r="G363" s="22">
        <f>IF(AND(Tabela2[[#This Row],[Dividendo / Ação]]&gt;0,Tabela2[[#This Row],[Lucro por ação]]&gt;0),Tabela2[[#This Row],[Dividendo / Ação]]/Tabela2[[#This Row],[Lucro por ação]],"")</f>
        <v>0.86383105727860132</v>
      </c>
      <c r="H363" s="5">
        <f>MAX(Tabela2[[#This Row],[Cotação 1]],Tabela2[[#This Row],[Cotação 2]])</f>
        <v>0.12</v>
      </c>
      <c r="I363" s="18">
        <f>IF(Tabela2[[#This Row],[Dividendo / Ação]]&gt;0,Tabela2[[#This Row],[Dividendo / Ação]]/Tabela2[[#This Row],[Cotação]],"")</f>
        <v>0.12100833333333333</v>
      </c>
      <c r="J363" s="58">
        <f>SUMPRODUCT(N(Tabela1[Código]=Tabela2[[#This Row],[Ativo]]),Tabela1[Fechamento])</f>
        <v>0.12</v>
      </c>
      <c r="K363" s="58">
        <f>SUMPRODUCT(N(Tabela17[Código]=Tabela2[[#This Row],[Ativo]]),Tabela17[Fechamento])</f>
        <v>0</v>
      </c>
      <c r="L363" s="58">
        <f>SUMPRODUCT(N([Ativo]=Tabela2[[#This Row],[Ativo]]),N([Exercício]=Tabela2[[#This Row],[Exercício]]-1),[Lucro Líquido])</f>
        <v>2520287</v>
      </c>
      <c r="M363" s="18">
        <f>IF(Tabela2[[#This Row],[Lucro Anterior]]=0,"",IF(Tabela2[[#This Row],[Lucro Líquido]]&gt;0,Tabela2[[#This Row],[Lucro Líquido]]/Tabela2[[#This Row],[Lucro Anterior]]-1,0))</f>
        <v>0.10957085443046766</v>
      </c>
    </row>
    <row r="364" spans="1:13">
      <c r="A364" s="4" t="s">
        <v>188</v>
      </c>
      <c r="B364" s="3">
        <v>2010</v>
      </c>
      <c r="C364" s="5">
        <v>2520287</v>
      </c>
      <c r="D364" s="60">
        <f>SUMPRODUCT(N(Tabela3[PAPEL]=Tabela2[[#This Row],[Ativo]]),Tabela3[Total Ações])</f>
        <v>166355563</v>
      </c>
      <c r="E364" s="63">
        <f>(Tabela2[[#This Row],[Lucro Líquido]])/Tabela2[[#This Row],[Total Ações]]</f>
        <v>1.5150001325774719E-2</v>
      </c>
      <c r="F364" s="63">
        <v>2.696E-3</v>
      </c>
      <c r="G364" s="22">
        <f>IF(AND(Tabela2[[#This Row],[Dividendo / Ação]]&gt;0,Tabela2[[#This Row],[Lucro por ação]]&gt;0),Tabela2[[#This Row],[Dividendo / Ação]]/Tabela2[[#This Row],[Lucro por ação]],"")</f>
        <v>0.17795377980682361</v>
      </c>
      <c r="H364" s="5">
        <f>MAX(Tabela2[[#This Row],[Cotação 1]],Tabela2[[#This Row],[Cotação 2]])</f>
        <v>0.12</v>
      </c>
      <c r="I364" s="18">
        <f>IF(Tabela2[[#This Row],[Dividendo / Ação]]&gt;0,Tabela2[[#This Row],[Dividendo / Ação]]/Tabela2[[#This Row],[Cotação]],"")</f>
        <v>2.246666666666667E-2</v>
      </c>
      <c r="J364" s="58">
        <f>SUMPRODUCT(N(Tabela1[Código]=Tabela2[[#This Row],[Ativo]]),Tabela1[Fechamento])</f>
        <v>0.12</v>
      </c>
      <c r="K364" s="58">
        <f>SUMPRODUCT(N(Tabela17[Código]=Tabela2[[#This Row],[Ativo]]),Tabela17[Fechamento])</f>
        <v>0</v>
      </c>
      <c r="L364" s="58">
        <f>SUMPRODUCT(N([Ativo]=Tabela2[[#This Row],[Ativo]]),N([Exercício]=Tabela2[[#This Row],[Exercício]]-1),[Lucro Líquido])</f>
        <v>1605331</v>
      </c>
      <c r="M364" s="18">
        <f>IF(Tabela2[[#This Row],[Lucro Anterior]]=0,"",IF(Tabela2[[#This Row],[Lucro Líquido]]&gt;0,Tabela2[[#This Row],[Lucro Líquido]]/Tabela2[[#This Row],[Lucro Anterior]]-1,0))</f>
        <v>0.56994850283212628</v>
      </c>
    </row>
    <row r="365" spans="1:13">
      <c r="A365" s="4" t="s">
        <v>188</v>
      </c>
      <c r="B365" s="3">
        <v>2009</v>
      </c>
      <c r="C365" s="5">
        <v>1605331</v>
      </c>
      <c r="D365" s="60">
        <f>SUMPRODUCT(N(Tabela3[PAPEL]=Tabela2[[#This Row],[Ativo]]),Tabela3[Total Ações])</f>
        <v>166355563</v>
      </c>
      <c r="E365" s="63">
        <f>(Tabela2[[#This Row],[Lucro Líquido]])/Tabela2[[#This Row],[Total Ações]]</f>
        <v>9.6499989002471771E-3</v>
      </c>
      <c r="F365" s="63">
        <v>1.01E-2</v>
      </c>
      <c r="G365" s="22">
        <f>IF(AND(Tabela2[[#This Row],[Dividendo / Ação]]&gt;0,Tabela2[[#This Row],[Lucro por ação]]&gt;0),Tabela2[[#This Row],[Dividendo / Ação]]/Tabela2[[#This Row],[Lucro por ação]],"")</f>
        <v>1.0466322436307527</v>
      </c>
      <c r="H365" s="5">
        <f>MAX(Tabela2[[#This Row],[Cotação 1]],Tabela2[[#This Row],[Cotação 2]])</f>
        <v>0.12</v>
      </c>
      <c r="I365" s="18">
        <f>IF(Tabela2[[#This Row],[Dividendo / Ação]]&gt;0,Tabela2[[#This Row],[Dividendo / Ação]]/Tabela2[[#This Row],[Cotação]],"")</f>
        <v>8.4166666666666667E-2</v>
      </c>
      <c r="J365" s="58">
        <f>SUMPRODUCT(N(Tabela1[Código]=Tabela2[[#This Row],[Ativo]]),Tabela1[Fechamento])</f>
        <v>0.12</v>
      </c>
      <c r="K365" s="58">
        <f>SUMPRODUCT(N(Tabela17[Código]=Tabela2[[#This Row],[Ativo]]),Tabela17[Fechamento])</f>
        <v>0</v>
      </c>
      <c r="L365" s="58">
        <f>SUMPRODUCT(N([Ativo]=Tabela2[[#This Row],[Ativo]]),N([Exercício]=Tabela2[[#This Row],[Exercício]]-1),[Lucro Líquido])</f>
        <v>0</v>
      </c>
      <c r="M365" s="18" t="str">
        <f>IF(Tabela2[[#This Row],[Lucro Anterior]]=0,"",IF(Tabela2[[#This Row],[Lucro Líquido]]&gt;0,Tabela2[[#This Row],[Lucro Líquido]]/Tabela2[[#This Row],[Lucro Anterior]]-1,0))</f>
        <v/>
      </c>
    </row>
    <row r="366" spans="1:13">
      <c r="A366" s="4" t="s">
        <v>189</v>
      </c>
      <c r="B366" s="4">
        <v>2012</v>
      </c>
      <c r="C366" s="6">
        <v>3061251.15</v>
      </c>
      <c r="D366" s="8">
        <f>SUMPRODUCT(N(Tabela3[PAPEL]=Tabela2[[#This Row],[Ativo]]),Tabela3[Total Ações])</f>
        <v>166355563</v>
      </c>
      <c r="E366" s="64">
        <f>(Tabela2[[#This Row],[Lucro Líquido]])/Tabela2[[#This Row],[Total Ações]]</f>
        <v>1.8401856209641753E-2</v>
      </c>
      <c r="F366" s="64">
        <v>1.8330851400000001E-2</v>
      </c>
      <c r="G366" s="44">
        <f>IF(AND(Tabela2[[#This Row],[Dividendo / Ação]]&gt;0,Tabela2[[#This Row],[Lucro por ação]]&gt;0),Tabela2[[#This Row],[Dividendo / Ação]]/Tabela2[[#This Row],[Lucro por ação]],"")</f>
        <v>0.99614143221027074</v>
      </c>
      <c r="H366" s="6">
        <f>MAX(Tabela2[[#This Row],[Cotação 1]],Tabela2[[#This Row],[Cotação 2]])</f>
        <v>0.12</v>
      </c>
      <c r="I366" s="19">
        <f>IF(Tabela2[[#This Row],[Dividendo / Ação]]&gt;0,Tabela2[[#This Row],[Dividendo / Ação]]/Tabela2[[#This Row],[Cotação]],"")</f>
        <v>0.15275709500000001</v>
      </c>
      <c r="J366" s="59">
        <f>SUMPRODUCT(N(Tabela1[Código]=Tabela2[[#This Row],[Ativo]]),Tabela1[Fechamento])</f>
        <v>0.12</v>
      </c>
      <c r="K366" s="59">
        <f>SUMPRODUCT(N(Tabela17[Código]=Tabela2[[#This Row],[Ativo]]),Tabela17[Fechamento])</f>
        <v>0</v>
      </c>
      <c r="L366" s="59">
        <f>SUMPRODUCT(N([Ativo]=Tabela2[[#This Row],[Ativo]]),N([Exercício]=Tabela2[[#This Row],[Exercício]]-1),[Lucro Líquido])</f>
        <v>2796437</v>
      </c>
      <c r="M366" s="19">
        <f>IF(Tabela2[[#This Row],[Lucro Anterior]]=0,"",IF(Tabela2[[#This Row],[Lucro Líquido]]&gt;0,Tabela2[[#This Row],[Lucro Líquido]]/Tabela2[[#This Row],[Lucro Anterior]]-1,0))</f>
        <v>9.4696984055067102E-2</v>
      </c>
    </row>
    <row r="367" spans="1:13">
      <c r="A367" s="4" t="s">
        <v>189</v>
      </c>
      <c r="B367" s="4">
        <v>2011</v>
      </c>
      <c r="C367" s="5">
        <v>2796437</v>
      </c>
      <c r="D367" s="8">
        <f>SUMPRODUCT(N(Tabela3[PAPEL]=Tabela2[[#This Row],[Ativo]]),Tabela3[Total Ações])</f>
        <v>166355563</v>
      </c>
      <c r="E367" s="64">
        <f>(Tabela2[[#This Row],[Lucro Líquido]])/Tabela2[[#This Row],[Total Ações]]</f>
        <v>1.6809999915662573E-2</v>
      </c>
      <c r="F367" s="64">
        <v>1.5972E-2</v>
      </c>
      <c r="G367" s="44">
        <f>IF(AND(Tabela2[[#This Row],[Dividendo / Ação]]&gt;0,Tabela2[[#This Row],[Lucro por ação]]&gt;0),Tabela2[[#This Row],[Dividendo / Ação]]/Tabela2[[#This Row],[Lucro por ação]],"")</f>
        <v>0.95014872576639497</v>
      </c>
      <c r="H367" s="6">
        <f>MAX(Tabela2[[#This Row],[Cotação 1]],Tabela2[[#This Row],[Cotação 2]])</f>
        <v>0.12</v>
      </c>
      <c r="I367" s="19">
        <f>IF(Tabela2[[#This Row],[Dividendo / Ação]]&gt;0,Tabela2[[#This Row],[Dividendo / Ação]]/Tabela2[[#This Row],[Cotação]],"")</f>
        <v>0.1331</v>
      </c>
      <c r="J367" s="59">
        <f>SUMPRODUCT(N(Tabela1[Código]=Tabela2[[#This Row],[Ativo]]),Tabela1[Fechamento])</f>
        <v>0.12</v>
      </c>
      <c r="K367" s="59">
        <f>SUMPRODUCT(N(Tabela17[Código]=Tabela2[[#This Row],[Ativo]]),Tabela17[Fechamento])</f>
        <v>0</v>
      </c>
      <c r="L367" s="59">
        <f>SUMPRODUCT(N([Ativo]=Tabela2[[#This Row],[Ativo]]),N([Exercício]=Tabela2[[#This Row],[Exercício]]-1),[Lucro Líquido])</f>
        <v>2520287</v>
      </c>
      <c r="M367" s="19">
        <f>IF(Tabela2[[#This Row],[Lucro Anterior]]=0,"",IF(Tabela2[[#This Row],[Lucro Líquido]]&gt;0,Tabela2[[#This Row],[Lucro Líquido]]/Tabela2[[#This Row],[Lucro Anterior]]-1,0))</f>
        <v>0.10957085443046766</v>
      </c>
    </row>
    <row r="368" spans="1:13">
      <c r="A368" s="4" t="s">
        <v>189</v>
      </c>
      <c r="B368" s="4">
        <v>2010</v>
      </c>
      <c r="C368" s="5">
        <v>2520287</v>
      </c>
      <c r="D368" s="8">
        <f>SUMPRODUCT(N(Tabela3[PAPEL]=Tabela2[[#This Row],[Ativo]]),Tabela3[Total Ações])</f>
        <v>166355563</v>
      </c>
      <c r="E368" s="64">
        <f>(Tabela2[[#This Row],[Lucro Líquido]])/Tabela2[[#This Row],[Total Ações]]</f>
        <v>1.5150001325774719E-2</v>
      </c>
      <c r="F368" s="64">
        <v>3.0049999999999999E-3</v>
      </c>
      <c r="G368" s="44">
        <f>IF(AND(Tabela2[[#This Row],[Dividendo / Ação]]&gt;0,Tabela2[[#This Row],[Lucro por ação]]&gt;0),Tabela2[[#This Row],[Dividendo / Ação]]/Tabela2[[#This Row],[Lucro por ação]],"")</f>
        <v>0.1983498176259291</v>
      </c>
      <c r="H368" s="6">
        <f>MAX(Tabela2[[#This Row],[Cotação 1]],Tabela2[[#This Row],[Cotação 2]])</f>
        <v>0.12</v>
      </c>
      <c r="I368" s="19">
        <f>IF(Tabela2[[#This Row],[Dividendo / Ação]]&gt;0,Tabela2[[#This Row],[Dividendo / Ação]]/Tabela2[[#This Row],[Cotação]],"")</f>
        <v>2.5041666666666667E-2</v>
      </c>
      <c r="J368" s="59">
        <f>SUMPRODUCT(N(Tabela1[Código]=Tabela2[[#This Row],[Ativo]]),Tabela1[Fechamento])</f>
        <v>0.12</v>
      </c>
      <c r="K368" s="59">
        <f>SUMPRODUCT(N(Tabela17[Código]=Tabela2[[#This Row],[Ativo]]),Tabela17[Fechamento])</f>
        <v>0</v>
      </c>
      <c r="L368" s="59">
        <f>SUMPRODUCT(N([Ativo]=Tabela2[[#This Row],[Ativo]]),N([Exercício]=Tabela2[[#This Row],[Exercício]]-1),[Lucro Líquido])</f>
        <v>1605331</v>
      </c>
      <c r="M368" s="19">
        <f>IF(Tabela2[[#This Row],[Lucro Anterior]]=0,"",IF(Tabela2[[#This Row],[Lucro Líquido]]&gt;0,Tabela2[[#This Row],[Lucro Líquido]]/Tabela2[[#This Row],[Lucro Anterior]]-1,0))</f>
        <v>0.56994850283212628</v>
      </c>
    </row>
    <row r="369" spans="1:14">
      <c r="A369" s="4" t="s">
        <v>189</v>
      </c>
      <c r="B369" s="4">
        <v>2009</v>
      </c>
      <c r="C369" s="5">
        <v>1605331</v>
      </c>
      <c r="D369" s="8">
        <f>SUMPRODUCT(N(Tabela3[PAPEL]=Tabela2[[#This Row],[Ativo]]),Tabela3[Total Ações])</f>
        <v>166355563</v>
      </c>
      <c r="E369" s="64">
        <f>(Tabela2[[#This Row],[Lucro Líquido]])/Tabela2[[#This Row],[Total Ações]]</f>
        <v>9.6499989002471771E-3</v>
      </c>
      <c r="F369" s="64">
        <v>1.11E-2</v>
      </c>
      <c r="G369" s="44">
        <f>IF(AND(Tabela2[[#This Row],[Dividendo / Ação]]&gt;0,Tabela2[[#This Row],[Lucro por ação]]&gt;0),Tabela2[[#This Row],[Dividendo / Ação]]/Tabela2[[#This Row],[Lucro por ação]],"")</f>
        <v>1.1502591984456789</v>
      </c>
      <c r="H369" s="6">
        <f>MAX(Tabela2[[#This Row],[Cotação 1]],Tabela2[[#This Row],[Cotação 2]])</f>
        <v>0.12</v>
      </c>
      <c r="I369" s="19">
        <f>IF(Tabela2[[#This Row],[Dividendo / Ação]]&gt;0,Tabela2[[#This Row],[Dividendo / Ação]]/Tabela2[[#This Row],[Cotação]],"")</f>
        <v>9.2500000000000013E-2</v>
      </c>
      <c r="J369" s="59">
        <f>SUMPRODUCT(N(Tabela1[Código]=Tabela2[[#This Row],[Ativo]]),Tabela1[Fechamento])</f>
        <v>0.12</v>
      </c>
      <c r="K369" s="59">
        <f>SUMPRODUCT(N(Tabela17[Código]=Tabela2[[#This Row],[Ativo]]),Tabela17[Fechamento])</f>
        <v>0</v>
      </c>
      <c r="L369" s="59">
        <f>SUMPRODUCT(N([Ativo]=Tabela2[[#This Row],[Ativo]]),N([Exercício]=Tabela2[[#This Row],[Exercício]]-1),[Lucro Líquido])</f>
        <v>0</v>
      </c>
      <c r="M369" s="19" t="str">
        <f>IF(Tabela2[[#This Row],[Lucro Anterior]]=0,"",IF(Tabela2[[#This Row],[Lucro Líquido]]&gt;0,Tabela2[[#This Row],[Lucro Líquido]]/Tabela2[[#This Row],[Lucro Anterior]]-1,0))</f>
        <v/>
      </c>
    </row>
    <row r="370" spans="1:14">
      <c r="A370" s="3" t="s">
        <v>338</v>
      </c>
      <c r="B370" s="3">
        <v>2012</v>
      </c>
      <c r="C370" s="5">
        <v>645407.11</v>
      </c>
      <c r="D370" s="65">
        <f>SUMPRODUCT(N(Tabela3[PAPEL]=Tabela2[[#This Row],[Ativo]]),Tabela3[Total Ações])</f>
        <v>9133687</v>
      </c>
      <c r="E370" s="63">
        <f>(Tabela2[[#This Row],[Lucro Líquido]])/Tabela2[[#This Row],[Total Ações]]</f>
        <v>7.0662275814794173E-2</v>
      </c>
      <c r="F370" s="63">
        <v>1.3493369900000001</v>
      </c>
      <c r="G370" s="71">
        <f>IF(AND(Tabela2[[#This Row],[Dividendo / Ação]]&gt;0,Tabela2[[#This Row],[Lucro por ação]]&gt;0),Tabela2[[#This Row],[Dividendo / Ação]]/Tabela2[[#This Row],[Lucro por ação]],"")</f>
        <v>19.095577865856068</v>
      </c>
      <c r="H370" s="58">
        <f>MAX(Tabela2[[#This Row],[Cotação 1]],Tabela2[[#This Row],[Cotação 2]])</f>
        <v>17.97</v>
      </c>
      <c r="I370" s="22">
        <f>IF(Tabela2[[#This Row],[Dividendo / Ação]]&gt;0,Tabela2[[#This Row],[Dividendo / Ação]]/Tabela2[[#This Row],[Cotação]],"")</f>
        <v>7.5088313299944365E-2</v>
      </c>
      <c r="J370" s="7">
        <f>SUMPRODUCT(N(Tabela1[Código]=Tabela2[[#This Row],[Ativo]]),Tabela1[Fechamento])</f>
        <v>0</v>
      </c>
      <c r="K370" s="7">
        <f>SUMPRODUCT(N(Tabela17[Código]=Tabela2[[#This Row],[Ativo]]),Tabela17[Fechamento])</f>
        <v>17.97</v>
      </c>
      <c r="L370" s="7">
        <f>SUMPRODUCT(N([Ativo]=Tabela2[[#This Row],[Ativo]]),N([Exercício]=Tabela2[[#This Row],[Exercício]]-1),[Lucro Líquido])</f>
        <v>9737000</v>
      </c>
      <c r="M370" s="18">
        <f>IF(Tabela2[[#This Row],[Lucro Anterior]]=0,"",IF(Tabela2[[#This Row],[Lucro Líquido]]&gt;0,Tabela2[[#This Row],[Lucro Líquido]]/Tabela2[[#This Row],[Lucro Anterior]]-1,0))</f>
        <v>-0.93371602033480539</v>
      </c>
    </row>
    <row r="371" spans="1:14">
      <c r="A371" s="3" t="s">
        <v>338</v>
      </c>
      <c r="B371" s="3">
        <v>2011</v>
      </c>
      <c r="C371" s="5">
        <v>9737000</v>
      </c>
      <c r="D371" s="65">
        <f>SUMPRODUCT(N(Tabela3[PAPEL]=Tabela2[[#This Row],[Ativo]]),Tabela3[Total Ações])</f>
        <v>9133687</v>
      </c>
      <c r="E371" s="63">
        <f>(Tabela2[[#This Row],[Lucro Líquido]])/Tabela2[[#This Row],[Total Ações]]</f>
        <v>1.0660536101138565</v>
      </c>
      <c r="F371" s="63">
        <v>0.91752482999999996</v>
      </c>
      <c r="G371" s="71">
        <f>IF(AND(Tabela2[[#This Row],[Dividendo / Ação]]&gt;0,Tabela2[[#This Row],[Lucro por ação]]&gt;0),Tabela2[[#This Row],[Dividendo / Ação]]/Tabela2[[#This Row],[Lucro por ação]],"")</f>
        <v>0.86067419245642496</v>
      </c>
      <c r="H371" s="58">
        <f>MAX(Tabela2[[#This Row],[Cotação 1]],Tabela2[[#This Row],[Cotação 2]])</f>
        <v>17.97</v>
      </c>
      <c r="I371" s="22">
        <f>IF(Tabela2[[#This Row],[Dividendo / Ação]]&gt;0,Tabela2[[#This Row],[Dividendo / Ação]]/Tabela2[[#This Row],[Cotação]],"")</f>
        <v>5.1058699499165278E-2</v>
      </c>
      <c r="J371" s="7">
        <f>SUMPRODUCT(N(Tabela1[Código]=Tabela2[[#This Row],[Ativo]]),Tabela1[Fechamento])</f>
        <v>0</v>
      </c>
      <c r="K371" s="7">
        <f>SUMPRODUCT(N(Tabela17[Código]=Tabela2[[#This Row],[Ativo]]),Tabela17[Fechamento])</f>
        <v>17.97</v>
      </c>
      <c r="L371" s="7">
        <f>SUMPRODUCT(N([Ativo]=Tabela2[[#This Row],[Ativo]]),N([Exercício]=Tabela2[[#This Row],[Exercício]]-1),[Lucro Líquido])</f>
        <v>18645000</v>
      </c>
      <c r="M371" s="18">
        <f>IF(Tabela2[[#This Row],[Lucro Anterior]]=0,"",IF(Tabela2[[#This Row],[Lucro Líquido]]&gt;0,Tabela2[[#This Row],[Lucro Líquido]]/Tabela2[[#This Row],[Lucro Anterior]]-1,0))</f>
        <v>-0.47776883883078569</v>
      </c>
    </row>
    <row r="372" spans="1:14">
      <c r="A372" s="3" t="s">
        <v>338</v>
      </c>
      <c r="B372" s="3">
        <v>2010</v>
      </c>
      <c r="C372" s="5">
        <v>18645000</v>
      </c>
      <c r="D372" s="65">
        <f>SUMPRODUCT(N(Tabela3[PAPEL]=Tabela2[[#This Row],[Ativo]]),Tabela3[Total Ações])</f>
        <v>9133687</v>
      </c>
      <c r="E372" s="63">
        <f>(Tabela2[[#This Row],[Lucro Líquido]])/Tabela2[[#This Row],[Total Ações]]</f>
        <v>2.0413443114483778</v>
      </c>
      <c r="F372" s="63">
        <v>0.50479059999999998</v>
      </c>
      <c r="G372" s="71">
        <f>IF(AND(Tabela2[[#This Row],[Dividendo / Ação]]&gt;0,Tabela2[[#This Row],[Lucro por ação]]&gt;0),Tabela2[[#This Row],[Dividendo / Ação]]/Tabela2[[#This Row],[Lucro por ação]],"")</f>
        <v>0.24728341866142128</v>
      </c>
      <c r="H372" s="58">
        <f>MAX(Tabela2[[#This Row],[Cotação 1]],Tabela2[[#This Row],[Cotação 2]])</f>
        <v>17.97</v>
      </c>
      <c r="I372" s="22">
        <f>IF(Tabela2[[#This Row],[Dividendo / Ação]]&gt;0,Tabela2[[#This Row],[Dividendo / Ação]]/Tabela2[[#This Row],[Cotação]],"")</f>
        <v>2.8090740122426267E-2</v>
      </c>
      <c r="J372" s="7">
        <f>SUMPRODUCT(N(Tabela1[Código]=Tabela2[[#This Row],[Ativo]]),Tabela1[Fechamento])</f>
        <v>0</v>
      </c>
      <c r="K372" s="7">
        <f>SUMPRODUCT(N(Tabela17[Código]=Tabela2[[#This Row],[Ativo]]),Tabela17[Fechamento])</f>
        <v>17.97</v>
      </c>
      <c r="L372" s="7">
        <f>SUMPRODUCT(N([Ativo]=Tabela2[[#This Row],[Ativo]]),N([Exercício]=Tabela2[[#This Row],[Exercício]]-1),[Lucro Líquido])</f>
        <v>0</v>
      </c>
      <c r="M372" s="18" t="str">
        <f>IF(Tabela2[[#This Row],[Lucro Anterior]]=0,"",IF(Tabela2[[#This Row],[Lucro Líquido]]&gt;0,Tabela2[[#This Row],[Lucro Líquido]]/Tabela2[[#This Row],[Lucro Anterior]]-1,0))</f>
        <v/>
      </c>
    </row>
    <row r="373" spans="1:14">
      <c r="A373" s="4" t="s">
        <v>411</v>
      </c>
      <c r="B373" s="4">
        <v>2012</v>
      </c>
      <c r="C373" s="6">
        <v>268308000</v>
      </c>
      <c r="D373" s="74">
        <f>SUMPRODUCT(N(Tabela3[PAPEL]=Tabela2[[#This Row],[Ativo]]),Tabela3[Total Ações])</f>
        <v>176611578</v>
      </c>
      <c r="E373" s="64">
        <f>(Tabela2[[#This Row],[Lucro Líquido]])/Tabela2[[#This Row],[Total Ações]]</f>
        <v>1.5191982487127769</v>
      </c>
      <c r="F373" s="64">
        <v>0.40200000000000002</v>
      </c>
      <c r="G373" s="43">
        <f>IF(AND(Tabela2[[#This Row],[Dividendo / Ação]]&gt;0,Tabela2[[#This Row],[Lucro por ação]]&gt;0),Tabela2[[#This Row],[Dividendo / Ação]]/Tabela2[[#This Row],[Lucro por ação]],"")</f>
        <v>0.26461325922447337</v>
      </c>
      <c r="H373" s="59">
        <f>MAX(Tabela2[[#This Row],[Cotação 1]],Tabela2[[#This Row],[Cotação 2]])</f>
        <v>21.61</v>
      </c>
      <c r="I373" s="44">
        <f>IF(Tabela2[[#This Row],[Dividendo / Ação]]&gt;0,Tabela2[[#This Row],[Dividendo / Ação]]/Tabela2[[#This Row],[Cotação]],"")</f>
        <v>1.8602498843128184E-2</v>
      </c>
      <c r="J373" s="17">
        <f>SUMPRODUCT(N(Tabela1[Código]=Tabela2[[#This Row],[Ativo]]),Tabela1[Fechamento])</f>
        <v>0</v>
      </c>
      <c r="K373" s="17">
        <f>SUMPRODUCT(N(Tabela17[Código]=Tabela2[[#This Row],[Ativo]]),Tabela17[Fechamento])</f>
        <v>21.61</v>
      </c>
      <c r="L373" s="17">
        <f>SUMPRODUCT(N([Ativo]=Tabela2[[#This Row],[Ativo]]),N([Exercício]=Tabela2[[#This Row],[Exercício]]-1),[Lucro Líquido])</f>
        <v>151938000</v>
      </c>
      <c r="M373" s="19">
        <f>IF(Tabela2[[#This Row],[Lucro Anterior]]=0,"",IF(Tabela2[[#This Row],[Lucro Líquido]]&gt;0,Tabela2[[#This Row],[Lucro Líquido]]/Tabela2[[#This Row],[Lucro Anterior]]-1,0))</f>
        <v>0.765904513683213</v>
      </c>
    </row>
    <row r="374" spans="1:14">
      <c r="A374" s="4" t="s">
        <v>411</v>
      </c>
      <c r="B374" s="4">
        <v>2011</v>
      </c>
      <c r="C374" s="6">
        <v>151938000</v>
      </c>
      <c r="D374" s="74">
        <f>SUMPRODUCT(N(Tabela3[PAPEL]=Tabela2[[#This Row],[Ativo]]),Tabela3[Total Ações])</f>
        <v>176611578</v>
      </c>
      <c r="E374" s="64">
        <f>(Tabela2[[#This Row],[Lucro Líquido]])/Tabela2[[#This Row],[Total Ações]]</f>
        <v>0.86029467445220376</v>
      </c>
      <c r="F374" s="64">
        <v>0.38</v>
      </c>
      <c r="G374" s="43">
        <f>IF(AND(Tabela2[[#This Row],[Dividendo / Ação]]&gt;0,Tabela2[[#This Row],[Lucro por ação]]&gt;0),Tabela2[[#This Row],[Dividendo / Ação]]/Tabela2[[#This Row],[Lucro por ação]],"")</f>
        <v>0.44170911582355965</v>
      </c>
      <c r="H374" s="59">
        <f>MAX(Tabela2[[#This Row],[Cotação 1]],Tabela2[[#This Row],[Cotação 2]])</f>
        <v>21.61</v>
      </c>
      <c r="I374" s="44">
        <f>IF(Tabela2[[#This Row],[Dividendo / Ação]]&gt;0,Tabela2[[#This Row],[Dividendo / Ação]]/Tabela2[[#This Row],[Cotação]],"")</f>
        <v>1.7584451642757983E-2</v>
      </c>
      <c r="J374" s="17">
        <f>SUMPRODUCT(N(Tabela1[Código]=Tabela2[[#This Row],[Ativo]]),Tabela1[Fechamento])</f>
        <v>0</v>
      </c>
      <c r="K374" s="17">
        <f>SUMPRODUCT(N(Tabela17[Código]=Tabela2[[#This Row],[Ativo]]),Tabela17[Fechamento])</f>
        <v>21.61</v>
      </c>
      <c r="L374" s="17">
        <f>SUMPRODUCT(N([Ativo]=Tabela2[[#This Row],[Ativo]]),N([Exercício]=Tabela2[[#This Row],[Exercício]]-1),[Lucro Líquido])</f>
        <v>151547000</v>
      </c>
      <c r="M374" s="19">
        <f>IF(Tabela2[[#This Row],[Lucro Anterior]]=0,"",IF(Tabela2[[#This Row],[Lucro Líquido]]&gt;0,Tabela2[[#This Row],[Lucro Líquido]]/Tabela2[[#This Row],[Lucro Anterior]]-1,0))</f>
        <v>2.5800576718773005E-3</v>
      </c>
    </row>
    <row r="375" spans="1:14">
      <c r="A375" s="4" t="s">
        <v>411</v>
      </c>
      <c r="B375" s="4">
        <v>2010</v>
      </c>
      <c r="C375" s="6">
        <v>151547000</v>
      </c>
      <c r="D375" s="74">
        <f>SUMPRODUCT(N(Tabela3[PAPEL]=Tabela2[[#This Row],[Ativo]]),Tabela3[Total Ações])</f>
        <v>176611578</v>
      </c>
      <c r="E375" s="64">
        <f>(Tabela2[[#This Row],[Lucro Líquido]])/Tabela2[[#This Row],[Total Ações]]</f>
        <v>0.85808077656154569</v>
      </c>
      <c r="F375" s="64">
        <v>0.36499999999999999</v>
      </c>
      <c r="G375" s="43">
        <f>IF(AND(Tabela2[[#This Row],[Dividendo / Ação]]&gt;0,Tabela2[[#This Row],[Lucro por ação]]&gt;0),Tabela2[[#This Row],[Dividendo / Ação]]/Tabela2[[#This Row],[Lucro por ação]],"")</f>
        <v>0.42536787907381868</v>
      </c>
      <c r="H375" s="59">
        <f>MAX(Tabela2[[#This Row],[Cotação 1]],Tabela2[[#This Row],[Cotação 2]])</f>
        <v>21.61</v>
      </c>
      <c r="I375" s="44">
        <f>IF(Tabela2[[#This Row],[Dividendo / Ação]]&gt;0,Tabela2[[#This Row],[Dividendo / Ação]]/Tabela2[[#This Row],[Cotação]],"")</f>
        <v>1.6890328551596483E-2</v>
      </c>
      <c r="J375" s="17">
        <f>SUMPRODUCT(N(Tabela1[Código]=Tabela2[[#This Row],[Ativo]]),Tabela1[Fechamento])</f>
        <v>0</v>
      </c>
      <c r="K375" s="17">
        <f>SUMPRODUCT(N(Tabela17[Código]=Tabela2[[#This Row],[Ativo]]),Tabela17[Fechamento])</f>
        <v>21.61</v>
      </c>
      <c r="L375" s="17">
        <f>SUMPRODUCT(N([Ativo]=Tabela2[[#This Row],[Ativo]]),N([Exercício]=Tabela2[[#This Row],[Exercício]]-1),[Lucro Líquido])</f>
        <v>92927000</v>
      </c>
      <c r="M375" s="19">
        <f>IF(Tabela2[[#This Row],[Lucro Anterior]]=0,"",IF(Tabela2[[#This Row],[Lucro Líquido]]&gt;0,Tabela2[[#This Row],[Lucro Líquido]]/Tabela2[[#This Row],[Lucro Anterior]]-1,0))</f>
        <v>0.63081773865507329</v>
      </c>
    </row>
    <row r="376" spans="1:14">
      <c r="A376" s="4" t="s">
        <v>411</v>
      </c>
      <c r="B376" s="4">
        <v>2009</v>
      </c>
      <c r="C376" s="6">
        <v>92927000</v>
      </c>
      <c r="D376" s="74">
        <f>SUMPRODUCT(N(Tabela3[PAPEL]=Tabela2[[#This Row],[Ativo]]),Tabela3[Total Ações])</f>
        <v>176611578</v>
      </c>
      <c r="E376" s="64">
        <f>(Tabela2[[#This Row],[Lucro Líquido]])/Tabela2[[#This Row],[Total Ações]]</f>
        <v>0.52616595725111526</v>
      </c>
      <c r="F376" s="64">
        <v>0.315</v>
      </c>
      <c r="G376" s="43">
        <f>IF(AND(Tabela2[[#This Row],[Dividendo / Ação]]&gt;0,Tabela2[[#This Row],[Lucro por ação]]&gt;0),Tabela2[[#This Row],[Dividendo / Ação]]/Tabela2[[#This Row],[Lucro por ação]],"")</f>
        <v>0.59867043023018063</v>
      </c>
      <c r="H376" s="59">
        <f>MAX(Tabela2[[#This Row],[Cotação 1]],Tabela2[[#This Row],[Cotação 2]])</f>
        <v>21.61</v>
      </c>
      <c r="I376" s="44">
        <f>IF(Tabela2[[#This Row],[Dividendo / Ação]]&gt;0,Tabela2[[#This Row],[Dividendo / Ação]]/Tabela2[[#This Row],[Cotação]],"")</f>
        <v>1.4576584914391486E-2</v>
      </c>
      <c r="J376" s="17">
        <f>SUMPRODUCT(N(Tabela1[Código]=Tabela2[[#This Row],[Ativo]]),Tabela1[Fechamento])</f>
        <v>0</v>
      </c>
      <c r="K376" s="17">
        <f>SUMPRODUCT(N(Tabela17[Código]=Tabela2[[#This Row],[Ativo]]),Tabela17[Fechamento])</f>
        <v>21.61</v>
      </c>
      <c r="L376" s="17">
        <f>SUMPRODUCT(N([Ativo]=Tabela2[[#This Row],[Ativo]]),N([Exercício]=Tabela2[[#This Row],[Exercício]]-1),[Lucro Líquido])</f>
        <v>0</v>
      </c>
      <c r="M376" s="19" t="str">
        <f>IF(Tabela2[[#This Row],[Lucro Anterior]]=0,"",IF(Tabela2[[#This Row],[Lucro Líquido]]&gt;0,Tabela2[[#This Row],[Lucro Líquido]]/Tabela2[[#This Row],[Lucro Anterior]]-1,0))</f>
        <v/>
      </c>
    </row>
    <row r="377" spans="1:14">
      <c r="A377" s="15" t="s">
        <v>262</v>
      </c>
      <c r="B377" s="3">
        <v>2012</v>
      </c>
      <c r="C377" s="5">
        <v>4539233257.3500004</v>
      </c>
      <c r="D377" s="60">
        <f>SUMPRODUCT(N(Tabela3[PAPEL]=Tabela2[[#This Row],[Ativo]]),Tabela3[Total Ações])</f>
        <v>5470667261</v>
      </c>
      <c r="E377" s="63">
        <f>(Tabela2[[#This Row],[Lucro Líquido]])/Tabela2[[#This Row],[Total Ações]]</f>
        <v>0.82974032979667278</v>
      </c>
      <c r="F377" s="63">
        <v>0.34289999999999998</v>
      </c>
      <c r="G377" s="22">
        <f>IF(AND(Tabela2[[#This Row],[Dividendo / Ação]]&gt;0,Tabela2[[#This Row],[Lucro por ação]]&gt;0),Tabela2[[#This Row],[Dividendo / Ação]]/Tabela2[[#This Row],[Lucro por ação]],"")</f>
        <v>0.41326182142312806</v>
      </c>
      <c r="H377" s="5">
        <f>MAX(Tabela2[[#This Row],[Cotação 1]],Tabela2[[#This Row],[Cotação 2]])</f>
        <v>10.56</v>
      </c>
      <c r="I377" s="18">
        <f>IF(Tabela2[[#This Row],[Dividendo / Ação]]&gt;0,Tabela2[[#This Row],[Dividendo / Ação]]/Tabela2[[#This Row],[Cotação]],"")</f>
        <v>3.2471590909090908E-2</v>
      </c>
      <c r="J377" s="58">
        <f>SUMPRODUCT(N(Tabela1[Código]=Tabela2[[#This Row],[Ativo]]),Tabela1[Fechamento])</f>
        <v>10.56</v>
      </c>
      <c r="K377" s="58">
        <f>SUMPRODUCT(N(Tabela17[Código]=Tabela2[[#This Row],[Ativo]]),Tabela17[Fechamento])</f>
        <v>0</v>
      </c>
      <c r="L377" s="58">
        <f>SUMPRODUCT(N([Ativo]=Tabela2[[#This Row],[Ativo]]),N([Exercício]=Tabela2[[#This Row],[Exercício]]-1),[Lucro Líquido])</f>
        <v>4693567188.1000004</v>
      </c>
      <c r="M377" s="18">
        <f>IF(Tabela2[[#This Row],[Lucro Anterior]]=0,"",IF(Tabela2[[#This Row],[Lucro Líquido]]&gt;0,Tabela2[[#This Row],[Lucro Líquido]]/Tabela2[[#This Row],[Lucro Anterior]]-1,0))</f>
        <v>-3.2882011605436468E-2</v>
      </c>
    </row>
    <row r="378" spans="1:14">
      <c r="A378" s="15" t="s">
        <v>262</v>
      </c>
      <c r="B378" s="3">
        <v>2011</v>
      </c>
      <c r="C378" s="5">
        <v>4693567188.1000004</v>
      </c>
      <c r="D378" s="60">
        <f>SUMPRODUCT(N(Tabela3[PAPEL]=Tabela2[[#This Row],[Ativo]]),Tabela3[Total Ações])</f>
        <v>5470667261</v>
      </c>
      <c r="E378" s="63">
        <f>(Tabela2[[#This Row],[Lucro Líquido]])/Tabela2[[#This Row],[Total Ações]]</f>
        <v>0.85795150100977791</v>
      </c>
      <c r="F378" s="63">
        <v>0.33350000000000002</v>
      </c>
      <c r="G378" s="22">
        <f>IF(AND(Tabela2[[#This Row],[Dividendo / Ação]]&gt;0,Tabela2[[#This Row],[Lucro por ação]]&gt;0),Tabela2[[#This Row],[Dividendo / Ação]]/Tabela2[[#This Row],[Lucro por ação]],"")</f>
        <v>0.38871661114583117</v>
      </c>
      <c r="H378" s="5">
        <f>MAX(Tabela2[[#This Row],[Cotação 1]],Tabela2[[#This Row],[Cotação 2]])</f>
        <v>10.56</v>
      </c>
      <c r="I378" s="18">
        <f>IF(Tabela2[[#This Row],[Dividendo / Ação]]&gt;0,Tabela2[[#This Row],[Dividendo / Ação]]/Tabela2[[#This Row],[Cotação]],"")</f>
        <v>3.1581439393939391E-2</v>
      </c>
      <c r="J378" s="58">
        <f>SUMPRODUCT(N(Tabela1[Código]=Tabela2[[#This Row],[Ativo]]),Tabela1[Fechamento])</f>
        <v>10.56</v>
      </c>
      <c r="K378" s="58">
        <f>SUMPRODUCT(N(Tabela17[Código]=Tabela2[[#This Row],[Ativo]]),Tabela17[Fechamento])</f>
        <v>0</v>
      </c>
      <c r="L378" s="58">
        <f>SUMPRODUCT(N([Ativo]=Tabela2[[#This Row],[Ativo]]),N([Exercício]=Tabela2[[#This Row],[Exercício]]-1),[Lucro Líquido])</f>
        <v>4309548054.5299997</v>
      </c>
      <c r="M378" s="18">
        <f>IF(Tabela2[[#This Row],[Lucro Anterior]]=0,"",IF(Tabela2[[#This Row],[Lucro Líquido]]&gt;0,Tabela2[[#This Row],[Lucro Líquido]]/Tabela2[[#This Row],[Lucro Anterior]]-1,0))</f>
        <v>8.9108910890629778E-2</v>
      </c>
    </row>
    <row r="379" spans="1:14">
      <c r="A379" s="15" t="s">
        <v>262</v>
      </c>
      <c r="B379" s="3">
        <v>2010</v>
      </c>
      <c r="C379" s="5">
        <v>4309548054.5299997</v>
      </c>
      <c r="D379" s="60">
        <f>SUMPRODUCT(N(Tabela3[PAPEL]=Tabela2[[#This Row],[Ativo]]),Tabela3[Total Ações])</f>
        <v>5470667261</v>
      </c>
      <c r="E379" s="63">
        <f>(Tabela2[[#This Row],[Lucro Líquido]])/Tabela2[[#This Row],[Total Ações]]</f>
        <v>0.78775546910931016</v>
      </c>
      <c r="F379" s="63">
        <v>0.29649999999999999</v>
      </c>
      <c r="G379" s="22">
        <f>IF(AND(Tabela2[[#This Row],[Dividendo / Ação]]&gt;0,Tabela2[[#This Row],[Lucro por ação]]&gt;0),Tabela2[[#This Row],[Dividendo / Ação]]/Tabela2[[#This Row],[Lucro por ação]],"")</f>
        <v>0.37638583497902339</v>
      </c>
      <c r="H379" s="5">
        <f>MAX(Tabela2[[#This Row],[Cotação 1]],Tabela2[[#This Row],[Cotação 2]])</f>
        <v>10.56</v>
      </c>
      <c r="I379" s="18">
        <f>IF(Tabela2[[#This Row],[Dividendo / Ação]]&gt;0,Tabela2[[#This Row],[Dividendo / Ação]]/Tabela2[[#This Row],[Cotação]],"")</f>
        <v>2.8077651515151514E-2</v>
      </c>
      <c r="J379" s="58">
        <f>SUMPRODUCT(N(Tabela1[Código]=Tabela2[[#This Row],[Ativo]]),Tabela1[Fechamento])</f>
        <v>10.56</v>
      </c>
      <c r="K379" s="58">
        <f>SUMPRODUCT(N(Tabela17[Código]=Tabela2[[#This Row],[Ativo]]),Tabela17[Fechamento])</f>
        <v>0</v>
      </c>
      <c r="L379" s="58">
        <f>SUMPRODUCT(N([Ativo]=Tabela2[[#This Row],[Ativo]]),N([Exercício]=Tabela2[[#This Row],[Exercício]]-1),[Lucro Líquido])</f>
        <v>2858809105.48</v>
      </c>
      <c r="M379" s="18">
        <f>IF(Tabela2[[#This Row],[Lucro Anterior]]=0,"",IF(Tabela2[[#This Row],[Lucro Líquido]]&gt;0,Tabela2[[#This Row],[Lucro Líquido]]/Tabela2[[#This Row],[Lucro Anterior]]-1,0))</f>
        <v>0.50746268656732063</v>
      </c>
    </row>
    <row r="380" spans="1:14">
      <c r="A380" s="15" t="s">
        <v>262</v>
      </c>
      <c r="B380" s="3">
        <v>2009</v>
      </c>
      <c r="C380" s="5">
        <v>2858809105.48</v>
      </c>
      <c r="D380" s="60">
        <f>SUMPRODUCT(N(Tabela3[PAPEL]=Tabela2[[#This Row],[Ativo]]),Tabela3[Total Ações])</f>
        <v>5470667261</v>
      </c>
      <c r="E380" s="63">
        <f>(Tabela2[[#This Row],[Lucro Líquido]])/Tabela2[[#This Row],[Total Ações]]</f>
        <v>0.52257045970612181</v>
      </c>
      <c r="F380" s="63">
        <v>0.25769999999999998</v>
      </c>
      <c r="G380" s="22">
        <f>IF(AND(Tabela2[[#This Row],[Dividendo / Ação]]&gt;0,Tabela2[[#This Row],[Lucro por ação]]&gt;0),Tabela2[[#This Row],[Dividendo / Ação]]/Tabela2[[#This Row],[Lucro por ação]],"")</f>
        <v>0.49313924125164449</v>
      </c>
      <c r="H380" s="5">
        <f>MAX(Tabela2[[#This Row],[Cotação 1]],Tabela2[[#This Row],[Cotação 2]])</f>
        <v>10.56</v>
      </c>
      <c r="I380" s="18">
        <f>IF(Tabela2[[#This Row],[Dividendo / Ação]]&gt;0,Tabela2[[#This Row],[Dividendo / Ação]]/Tabela2[[#This Row],[Cotação]],"")</f>
        <v>2.4403409090909087E-2</v>
      </c>
      <c r="J380" s="58">
        <f>SUMPRODUCT(N(Tabela1[Código]=Tabela2[[#This Row],[Ativo]]),Tabela1[Fechamento])</f>
        <v>10.56</v>
      </c>
      <c r="K380" s="58">
        <f>SUMPRODUCT(N(Tabela17[Código]=Tabela2[[#This Row],[Ativo]]),Tabela17[Fechamento])</f>
        <v>0</v>
      </c>
      <c r="L380" s="58">
        <f>SUMPRODUCT(N([Ativo]=Tabela2[[#This Row],[Ativo]]),N([Exercício]=Tabela2[[#This Row],[Exercício]]-1),[Lucro Líquido])</f>
        <v>0</v>
      </c>
      <c r="M380" s="18" t="str">
        <f>IF(Tabela2[[#This Row],[Lucro Anterior]]=0,"",IF(Tabela2[[#This Row],[Lucro Líquido]]&gt;0,Tabela2[[#This Row],[Lucro Líquido]]/Tabela2[[#This Row],[Lucro Anterior]]-1,0))</f>
        <v/>
      </c>
    </row>
    <row r="381" spans="1:14">
      <c r="A381" s="15" t="s">
        <v>16</v>
      </c>
      <c r="B381" s="4">
        <v>2012</v>
      </c>
      <c r="C381" s="5">
        <v>4539233257.3500004</v>
      </c>
      <c r="D381" s="8">
        <f>SUMPRODUCT(N(Tabela3[PAPEL]=Tabela2[[#This Row],[Ativo]]),Tabela3[Total Ações])</f>
        <v>5470667261</v>
      </c>
      <c r="E381" s="64">
        <f>(Tabela2[[#This Row],[Lucro Líquido]])/Tabela2[[#This Row],[Total Ações]]</f>
        <v>0.82974032979667278</v>
      </c>
      <c r="F381" s="63">
        <v>0.34289999999999998</v>
      </c>
      <c r="G381" s="44">
        <f>IF(AND(Tabela2[[#This Row],[Dividendo / Ação]]&gt;0,Tabela2[[#This Row],[Lucro por ação]]&gt;0),Tabela2[[#This Row],[Dividendo / Ação]]/Tabela2[[#This Row],[Lucro por ação]],"")</f>
        <v>0.41326182142312806</v>
      </c>
      <c r="H381" s="6">
        <f>MAX(Tabela2[[#This Row],[Cotação 1]],Tabela2[[#This Row],[Cotação 2]])</f>
        <v>8.59</v>
      </c>
      <c r="I381" s="19">
        <f>IF(Tabela2[[#This Row],[Dividendo / Ação]]&gt;0,Tabela2[[#This Row],[Dividendo / Ação]]/Tabela2[[#This Row],[Cotação]],"")</f>
        <v>3.9918509895227008E-2</v>
      </c>
      <c r="J381" s="59">
        <f>SUMPRODUCT(N(Tabela1[Código]=Tabela2[[#This Row],[Ativo]]),Tabela1[Fechamento])</f>
        <v>8.59</v>
      </c>
      <c r="K381" s="59">
        <f>SUMPRODUCT(N(Tabela17[Código]=Tabela2[[#This Row],[Ativo]]),Tabela17[Fechamento])</f>
        <v>0</v>
      </c>
      <c r="L381" s="59">
        <f>SUMPRODUCT(N([Ativo]=Tabela2[[#This Row],[Ativo]]),N([Exercício]=Tabela2[[#This Row],[Exercício]]-1),[Lucro Líquido])</f>
        <v>4693567188.1000004</v>
      </c>
      <c r="M381" s="19">
        <f>IF(Tabela2[[#This Row],[Lucro Anterior]]=0,"",IF(Tabela2[[#This Row],[Lucro Líquido]]&gt;0,Tabela2[[#This Row],[Lucro Líquido]]/Tabela2[[#This Row],[Lucro Anterior]]-1,0))</f>
        <v>-3.2882011605436468E-2</v>
      </c>
    </row>
    <row r="382" spans="1:14">
      <c r="A382" s="15" t="s">
        <v>16</v>
      </c>
      <c r="B382" s="4">
        <v>2011</v>
      </c>
      <c r="C382" s="5">
        <v>4693567188.1000004</v>
      </c>
      <c r="D382" s="8">
        <f>SUMPRODUCT(N(Tabela3[PAPEL]=Tabela2[[#This Row],[Ativo]]),Tabela3[Total Ações])</f>
        <v>5470667261</v>
      </c>
      <c r="E382" s="64">
        <f>(Tabela2[[#This Row],[Lucro Líquido]])/Tabela2[[#This Row],[Total Ações]]</f>
        <v>0.85795150100977791</v>
      </c>
      <c r="F382" s="64">
        <v>0.33350000000000002</v>
      </c>
      <c r="G382" s="44">
        <f>IF(AND(Tabela2[[#This Row],[Dividendo / Ação]]&gt;0,Tabela2[[#This Row],[Lucro por ação]]&gt;0),Tabela2[[#This Row],[Dividendo / Ação]]/Tabela2[[#This Row],[Lucro por ação]],"")</f>
        <v>0.38871661114583117</v>
      </c>
      <c r="H382" s="6">
        <f>MAX(Tabela2[[#This Row],[Cotação 1]],Tabela2[[#This Row],[Cotação 2]])</f>
        <v>8.59</v>
      </c>
      <c r="I382" s="19">
        <f>IF(Tabela2[[#This Row],[Dividendo / Ação]]&gt;0,Tabela2[[#This Row],[Dividendo / Ação]]/Tabela2[[#This Row],[Cotação]],"")</f>
        <v>3.8824214202561123E-2</v>
      </c>
      <c r="J382" s="59">
        <f>SUMPRODUCT(N(Tabela1[Código]=Tabela2[[#This Row],[Ativo]]),Tabela1[Fechamento])</f>
        <v>8.59</v>
      </c>
      <c r="K382" s="59">
        <f>SUMPRODUCT(N(Tabela17[Código]=Tabela2[[#This Row],[Ativo]]),Tabela17[Fechamento])</f>
        <v>0</v>
      </c>
      <c r="L382" s="59">
        <f>SUMPRODUCT(N([Ativo]=Tabela2[[#This Row],[Ativo]]),N([Exercício]=Tabela2[[#This Row],[Exercício]]-1),[Lucro Líquido])</f>
        <v>4309548054.5299997</v>
      </c>
      <c r="M382" s="19">
        <f>IF(Tabela2[[#This Row],[Lucro Anterior]]=0,"",IF(Tabela2[[#This Row],[Lucro Líquido]]&gt;0,Tabela2[[#This Row],[Lucro Líquido]]/Tabela2[[#This Row],[Lucro Anterior]]-1,0))</f>
        <v>8.9108910890629778E-2</v>
      </c>
    </row>
    <row r="383" spans="1:14">
      <c r="A383" s="15" t="s">
        <v>16</v>
      </c>
      <c r="B383" s="4">
        <v>2010</v>
      </c>
      <c r="C383" s="5">
        <v>4309548054.5299997</v>
      </c>
      <c r="D383" s="8">
        <f>SUMPRODUCT(N(Tabela3[PAPEL]=Tabela2[[#This Row],[Ativo]]),Tabela3[Total Ações])</f>
        <v>5470667261</v>
      </c>
      <c r="E383" s="64">
        <f>(Tabela2[[#This Row],[Lucro Líquido]])/Tabela2[[#This Row],[Total Ações]]</f>
        <v>0.78775546910931016</v>
      </c>
      <c r="F383" s="64">
        <v>0.29649999999999999</v>
      </c>
      <c r="G383" s="44">
        <f>IF(AND(Tabela2[[#This Row],[Dividendo / Ação]]&gt;0,Tabela2[[#This Row],[Lucro por ação]]&gt;0),Tabela2[[#This Row],[Dividendo / Ação]]/Tabela2[[#This Row],[Lucro por ação]],"")</f>
        <v>0.37638583497902339</v>
      </c>
      <c r="H383" s="6">
        <f>MAX(Tabela2[[#This Row],[Cotação 1]],Tabela2[[#This Row],[Cotação 2]])</f>
        <v>8.59</v>
      </c>
      <c r="I383" s="19">
        <f>IF(Tabela2[[#This Row],[Dividendo / Ação]]&gt;0,Tabela2[[#This Row],[Dividendo / Ação]]/Tabela2[[#This Row],[Cotação]],"")</f>
        <v>3.4516880093131544E-2</v>
      </c>
      <c r="J383" s="59">
        <f>SUMPRODUCT(N(Tabela1[Código]=Tabela2[[#This Row],[Ativo]]),Tabela1[Fechamento])</f>
        <v>8.59</v>
      </c>
      <c r="K383" s="59">
        <f>SUMPRODUCT(N(Tabela17[Código]=Tabela2[[#This Row],[Ativo]]),Tabela17[Fechamento])</f>
        <v>0</v>
      </c>
      <c r="L383" s="59">
        <f>SUMPRODUCT(N([Ativo]=Tabela2[[#This Row],[Ativo]]),N([Exercício]=Tabela2[[#This Row],[Exercício]]-1),[Lucro Líquido])</f>
        <v>2858809105.48</v>
      </c>
      <c r="M383" s="19">
        <f>IF(Tabela2[[#This Row],[Lucro Anterior]]=0,"",IF(Tabela2[[#This Row],[Lucro Líquido]]&gt;0,Tabela2[[#This Row],[Lucro Líquido]]/Tabela2[[#This Row],[Lucro Anterior]]-1,0))</f>
        <v>0.50746268656732063</v>
      </c>
      <c r="N383" s="5"/>
    </row>
    <row r="384" spans="1:14">
      <c r="A384" s="15" t="s">
        <v>16</v>
      </c>
      <c r="B384" s="4">
        <v>2009</v>
      </c>
      <c r="C384" s="5">
        <v>2858809105.48</v>
      </c>
      <c r="D384" s="8">
        <f>SUMPRODUCT(N(Tabela3[PAPEL]=Tabela2[[#This Row],[Ativo]]),Tabela3[Total Ações])</f>
        <v>5470667261</v>
      </c>
      <c r="E384" s="64">
        <f>(Tabela2[[#This Row],[Lucro Líquido]])/Tabela2[[#This Row],[Total Ações]]</f>
        <v>0.52257045970612181</v>
      </c>
      <c r="F384" s="64">
        <v>0.25769999999999998</v>
      </c>
      <c r="G384" s="44">
        <f>IF(AND(Tabela2[[#This Row],[Dividendo / Ação]]&gt;0,Tabela2[[#This Row],[Lucro por ação]]&gt;0),Tabela2[[#This Row],[Dividendo / Ação]]/Tabela2[[#This Row],[Lucro por ação]],"")</f>
        <v>0.49313924125164449</v>
      </c>
      <c r="H384" s="6">
        <f>MAX(Tabela2[[#This Row],[Cotação 1]],Tabela2[[#This Row],[Cotação 2]])</f>
        <v>8.59</v>
      </c>
      <c r="I384" s="19">
        <f>IF(Tabela2[[#This Row],[Dividendo / Ação]]&gt;0,Tabela2[[#This Row],[Dividendo / Ação]]/Tabela2[[#This Row],[Cotação]],"")</f>
        <v>0.03</v>
      </c>
      <c r="J384" s="59">
        <f>SUMPRODUCT(N(Tabela1[Código]=Tabela2[[#This Row],[Ativo]]),Tabela1[Fechamento])</f>
        <v>8.59</v>
      </c>
      <c r="K384" s="59">
        <f>SUMPRODUCT(N(Tabela17[Código]=Tabela2[[#This Row],[Ativo]]),Tabela17[Fechamento])</f>
        <v>0</v>
      </c>
      <c r="L384" s="59">
        <f>SUMPRODUCT(N([Ativo]=Tabela2[[#This Row],[Ativo]]),N([Exercício]=Tabela2[[#This Row],[Exercício]]-1),[Lucro Líquido])</f>
        <v>0</v>
      </c>
      <c r="M384" s="19" t="str">
        <f>IF(Tabela2[[#This Row],[Lucro Anterior]]=0,"",IF(Tabela2[[#This Row],[Lucro Líquido]]&gt;0,Tabela2[[#This Row],[Lucro Líquido]]/Tabela2[[#This Row],[Lucro Anterior]]-1,0))</f>
        <v/>
      </c>
    </row>
    <row r="385" spans="1:13">
      <c r="A385" s="14" t="s">
        <v>260</v>
      </c>
      <c r="B385" s="3">
        <v>2012</v>
      </c>
      <c r="C385" s="5">
        <v>10799538178.68</v>
      </c>
      <c r="D385" s="60">
        <f>SUMPRODUCT(N(Tabela3[PAPEL]=Tabela2[[#This Row],[Ativo]]),Tabela3[Total Ações])</f>
        <v>5028029710</v>
      </c>
      <c r="E385" s="63">
        <f>(Tabela2[[#This Row],[Lucro Líquido]])/Tabela2[[#This Row],[Total Ações]]</f>
        <v>2.14786681892538</v>
      </c>
      <c r="F385" s="63">
        <v>1</v>
      </c>
      <c r="G385" s="22">
        <f>IF(AND(Tabela2[[#This Row],[Dividendo / Ação]]&gt;0,Tabela2[[#This Row],[Lucro por ação]]&gt;0),Tabela2[[#This Row],[Dividendo / Ação]]/Tabela2[[#This Row],[Lucro por ação]],"")</f>
        <v>0.46557821518017567</v>
      </c>
      <c r="H385" s="5">
        <f>MAX(Tabela2[[#This Row],[Cotação 1]],Tabela2[[#This Row],[Cotação 2]])</f>
        <v>28.71</v>
      </c>
      <c r="I385" s="18">
        <f>IF(Tabela2[[#This Row],[Dividendo / Ação]]&gt;0,Tabela2[[#This Row],[Dividendo / Ação]]/Tabela2[[#This Row],[Cotação]],"")</f>
        <v>3.4831069313827935E-2</v>
      </c>
      <c r="J385" s="58">
        <f>SUMPRODUCT(N(Tabela1[Código]=Tabela2[[#This Row],[Ativo]]),Tabela1[Fechamento])</f>
        <v>28.71</v>
      </c>
      <c r="K385" s="58">
        <f>SUMPRODUCT(N(Tabela17[Código]=Tabela2[[#This Row],[Ativo]]),Tabela17[Fechamento])</f>
        <v>0</v>
      </c>
      <c r="L385" s="58">
        <f>SUMPRODUCT(N([Ativo]=Tabela2[[#This Row],[Ativo]]),N([Exercício]=Tabela2[[#This Row],[Exercício]]-1),[Lucro Líquido])</f>
        <v>11890195760.129999</v>
      </c>
      <c r="M385" s="18">
        <f>IF(Tabela2[[#This Row],[Lucro Anterior]]=0,"",IF(Tabela2[[#This Row],[Lucro Líquido]]&gt;0,Tabela2[[#This Row],[Lucro Líquido]]/Tabela2[[#This Row],[Lucro Anterior]]-1,0))</f>
        <v>-9.172747055243391E-2</v>
      </c>
    </row>
    <row r="386" spans="1:13">
      <c r="A386" s="14" t="s">
        <v>260</v>
      </c>
      <c r="B386" s="3">
        <v>2011</v>
      </c>
      <c r="C386" s="5">
        <v>11890195760.129999</v>
      </c>
      <c r="D386" s="60">
        <f>SUMPRODUCT(N(Tabela3[PAPEL]=Tabela2[[#This Row],[Ativo]]),Tabela3[Total Ações])</f>
        <v>5028029710</v>
      </c>
      <c r="E386" s="63">
        <f>(Tabela2[[#This Row],[Lucro Líquido]])/Tabela2[[#This Row],[Total Ações]]</f>
        <v>2.364782319500256</v>
      </c>
      <c r="F386" s="63">
        <v>0.97270000000000001</v>
      </c>
      <c r="G386" s="22">
        <f>IF(AND(Tabela2[[#This Row],[Dividendo / Ação]]&gt;0,Tabela2[[#This Row],[Lucro por ação]]&gt;0),Tabela2[[#This Row],[Dividendo / Ação]]/Tabela2[[#This Row],[Lucro por ação]],"")</f>
        <v>0.41132750020118491</v>
      </c>
      <c r="H386" s="5">
        <f>MAX(Tabela2[[#This Row],[Cotação 1]],Tabela2[[#This Row],[Cotação 2]])</f>
        <v>28.71</v>
      </c>
      <c r="I386" s="18">
        <f>IF(Tabela2[[#This Row],[Dividendo / Ação]]&gt;0,Tabela2[[#This Row],[Dividendo / Ação]]/Tabela2[[#This Row],[Cotação]],"")</f>
        <v>3.3880181121560431E-2</v>
      </c>
      <c r="J386" s="58">
        <f>SUMPRODUCT(N(Tabela1[Código]=Tabela2[[#This Row],[Ativo]]),Tabela1[Fechamento])</f>
        <v>28.71</v>
      </c>
      <c r="K386" s="58">
        <f>SUMPRODUCT(N(Tabela17[Código]=Tabela2[[#This Row],[Ativo]]),Tabela17[Fechamento])</f>
        <v>0</v>
      </c>
      <c r="L386" s="58">
        <f>SUMPRODUCT(N([Ativo]=Tabela2[[#This Row],[Ativo]]),N([Exercício]=Tabela2[[#This Row],[Exercício]]-1),[Lucro Líquido])</f>
        <v>10272015528.35</v>
      </c>
      <c r="M386" s="18">
        <f>IF(Tabela2[[#This Row],[Lucro Anterior]]=0,"",IF(Tabela2[[#This Row],[Lucro Líquido]]&gt;0,Tabela2[[#This Row],[Lucro Líquido]]/Tabela2[[#This Row],[Lucro Anterior]]-1,0))</f>
        <v>0.15753288410769439</v>
      </c>
    </row>
    <row r="387" spans="1:13">
      <c r="A387" s="14" t="s">
        <v>260</v>
      </c>
      <c r="B387" s="3">
        <v>2010</v>
      </c>
      <c r="C387" s="5">
        <v>10272015528.35</v>
      </c>
      <c r="D387" s="60">
        <f>SUMPRODUCT(N(Tabela3[PAPEL]=Tabela2[[#This Row],[Ativo]]),Tabela3[Total Ações])</f>
        <v>5028029710</v>
      </c>
      <c r="E387" s="63">
        <f>(Tabela2[[#This Row],[Lucro Líquido]])/Tabela2[[#This Row],[Total Ações]]</f>
        <v>2.0429504439722175</v>
      </c>
      <c r="F387" s="63">
        <v>0.86070000000000002</v>
      </c>
      <c r="G387" s="22">
        <f>IF(AND(Tabela2[[#This Row],[Dividendo / Ação]]&gt;0,Tabela2[[#This Row],[Lucro por ação]]&gt;0),Tabela2[[#This Row],[Dividendo / Ação]]/Tabela2[[#This Row],[Lucro por ação]],"")</f>
        <v>0.42130243664966005</v>
      </c>
      <c r="H387" s="5">
        <f>MAX(Tabela2[[#This Row],[Cotação 1]],Tabela2[[#This Row],[Cotação 2]])</f>
        <v>28.71</v>
      </c>
      <c r="I387" s="18">
        <f>IF(Tabela2[[#This Row],[Dividendo / Ação]]&gt;0,Tabela2[[#This Row],[Dividendo / Ação]]/Tabela2[[#This Row],[Cotação]],"")</f>
        <v>2.9979101358411704E-2</v>
      </c>
      <c r="J387" s="58">
        <f>SUMPRODUCT(N(Tabela1[Código]=Tabela2[[#This Row],[Ativo]]),Tabela1[Fechamento])</f>
        <v>28.71</v>
      </c>
      <c r="K387" s="58">
        <f>SUMPRODUCT(N(Tabela17[Código]=Tabela2[[#This Row],[Ativo]]),Tabela17[Fechamento])</f>
        <v>0</v>
      </c>
      <c r="L387" s="58">
        <f>SUMPRODUCT(N([Ativo]=Tabela2[[#This Row],[Ativo]]),N([Exercício]=Tabela2[[#This Row],[Exercício]]-1),[Lucro Líquido])</f>
        <v>0</v>
      </c>
      <c r="M387" s="18" t="str">
        <f>IF(Tabela2[[#This Row],[Lucro Anterior]]=0,"",IF(Tabela2[[#This Row],[Lucro Líquido]]&gt;0,Tabela2[[#This Row],[Lucro Líquido]]/Tabela2[[#This Row],[Lucro Anterior]]-1,0))</f>
        <v/>
      </c>
    </row>
    <row r="388" spans="1:13">
      <c r="A388" s="14" t="s">
        <v>81</v>
      </c>
      <c r="B388" s="4">
        <v>2012</v>
      </c>
      <c r="C388" s="5">
        <v>10799538178.68</v>
      </c>
      <c r="D388" s="8">
        <f>SUMPRODUCT(N(Tabela3[PAPEL]=Tabela2[[#This Row],[Ativo]]),Tabela3[Total Ações])</f>
        <v>5028029710</v>
      </c>
      <c r="E388" s="64">
        <f>(Tabela2[[#This Row],[Lucro Líquido]])/Tabela2[[#This Row],[Total Ações]]</f>
        <v>2.14786681892538</v>
      </c>
      <c r="F388" s="64">
        <v>1</v>
      </c>
      <c r="G388" s="44">
        <f>IF(AND(Tabela2[[#This Row],[Dividendo / Ação]]&gt;0,Tabela2[[#This Row],[Lucro por ação]]&gt;0),Tabela2[[#This Row],[Dividendo / Ação]]/Tabela2[[#This Row],[Lucro por ação]],"")</f>
        <v>0.46557821518017567</v>
      </c>
      <c r="H388" s="6">
        <f>MAX(Tabela2[[#This Row],[Cotação 1]],Tabela2[[#This Row],[Cotação 2]])</f>
        <v>30.99</v>
      </c>
      <c r="I388" s="19">
        <f>IF(Tabela2[[#This Row],[Dividendo / Ação]]&gt;0,Tabela2[[#This Row],[Dividendo / Ação]]/Tabela2[[#This Row],[Cotação]],"")</f>
        <v>3.2268473701193935E-2</v>
      </c>
      <c r="J388" s="59">
        <f>SUMPRODUCT(N(Tabela1[Código]=Tabela2[[#This Row],[Ativo]]),Tabela1[Fechamento])</f>
        <v>30.99</v>
      </c>
      <c r="K388" s="59">
        <f>SUMPRODUCT(N(Tabela17[Código]=Tabela2[[#This Row],[Ativo]]),Tabela17[Fechamento])</f>
        <v>0</v>
      </c>
      <c r="L388" s="59">
        <f>SUMPRODUCT(N([Ativo]=Tabela2[[#This Row],[Ativo]]),N([Exercício]=Tabela2[[#This Row],[Exercício]]-1),[Lucro Líquido])</f>
        <v>11890195760.129999</v>
      </c>
      <c r="M388" s="19">
        <f>IF(Tabela2[[#This Row],[Lucro Anterior]]=0,"",IF(Tabela2[[#This Row],[Lucro Líquido]]&gt;0,Tabela2[[#This Row],[Lucro Líquido]]/Tabela2[[#This Row],[Lucro Anterior]]-1,0))</f>
        <v>-9.172747055243391E-2</v>
      </c>
    </row>
    <row r="389" spans="1:13">
      <c r="A389" s="14" t="s">
        <v>81</v>
      </c>
      <c r="B389" s="4">
        <v>2011</v>
      </c>
      <c r="C389" s="5">
        <v>11890195760.129999</v>
      </c>
      <c r="D389" s="8">
        <f>SUMPRODUCT(N(Tabela3[PAPEL]=Tabela2[[#This Row],[Ativo]]),Tabela3[Total Ações])</f>
        <v>5028029710</v>
      </c>
      <c r="E389" s="64">
        <f>(Tabela2[[#This Row],[Lucro Líquido]])/Tabela2[[#This Row],[Total Ações]]</f>
        <v>2.364782319500256</v>
      </c>
      <c r="F389" s="64">
        <v>0.97270000000000001</v>
      </c>
      <c r="G389" s="44">
        <f>IF(AND(Tabela2[[#This Row],[Dividendo / Ação]]&gt;0,Tabela2[[#This Row],[Lucro por ação]]&gt;0),Tabela2[[#This Row],[Dividendo / Ação]]/Tabela2[[#This Row],[Lucro por ação]],"")</f>
        <v>0.41132750020118491</v>
      </c>
      <c r="H389" s="6">
        <f>MAX(Tabela2[[#This Row],[Cotação 1]],Tabela2[[#This Row],[Cotação 2]])</f>
        <v>30.99</v>
      </c>
      <c r="I389" s="19">
        <f>IF(Tabela2[[#This Row],[Dividendo / Ação]]&gt;0,Tabela2[[#This Row],[Dividendo / Ação]]/Tabela2[[#This Row],[Cotação]],"")</f>
        <v>3.1387544369151338E-2</v>
      </c>
      <c r="J389" s="59">
        <f>SUMPRODUCT(N(Tabela1[Código]=Tabela2[[#This Row],[Ativo]]),Tabela1[Fechamento])</f>
        <v>30.99</v>
      </c>
      <c r="K389" s="59">
        <f>SUMPRODUCT(N(Tabela17[Código]=Tabela2[[#This Row],[Ativo]]),Tabela17[Fechamento])</f>
        <v>0</v>
      </c>
      <c r="L389" s="59">
        <f>SUMPRODUCT(N([Ativo]=Tabela2[[#This Row],[Ativo]]),N([Exercício]=Tabela2[[#This Row],[Exercício]]-1),[Lucro Líquido])</f>
        <v>10272015528.35</v>
      </c>
      <c r="M389" s="19">
        <f>IF(Tabela2[[#This Row],[Lucro Anterior]]=0,"",IF(Tabela2[[#This Row],[Lucro Líquido]]&gt;0,Tabela2[[#This Row],[Lucro Líquido]]/Tabela2[[#This Row],[Lucro Anterior]]-1,0))</f>
        <v>0.15753288410769439</v>
      </c>
    </row>
    <row r="390" spans="1:13">
      <c r="A390" s="14" t="s">
        <v>81</v>
      </c>
      <c r="B390" s="4">
        <v>2010</v>
      </c>
      <c r="C390" s="5">
        <v>10272015528.35</v>
      </c>
      <c r="D390" s="8">
        <f>SUMPRODUCT(N(Tabela3[PAPEL]=Tabela2[[#This Row],[Ativo]]),Tabela3[Total Ações])</f>
        <v>5028029710</v>
      </c>
      <c r="E390" s="64">
        <f>(Tabela2[[#This Row],[Lucro Líquido]])/Tabela2[[#This Row],[Total Ações]]</f>
        <v>2.0429504439722175</v>
      </c>
      <c r="F390" s="64">
        <v>0.86070000000000002</v>
      </c>
      <c r="G390" s="44">
        <f>IF(AND(Tabela2[[#This Row],[Dividendo / Ação]]&gt;0,Tabela2[[#This Row],[Lucro por ação]]&gt;0),Tabela2[[#This Row],[Dividendo / Ação]]/Tabela2[[#This Row],[Lucro por ação]],"")</f>
        <v>0.42130243664966005</v>
      </c>
      <c r="H390" s="6">
        <f>MAX(Tabela2[[#This Row],[Cotação 1]],Tabela2[[#This Row],[Cotação 2]])</f>
        <v>30.99</v>
      </c>
      <c r="I390" s="19">
        <f>IF(Tabela2[[#This Row],[Dividendo / Ação]]&gt;0,Tabela2[[#This Row],[Dividendo / Ação]]/Tabela2[[#This Row],[Cotação]],"")</f>
        <v>2.7773475314617619E-2</v>
      </c>
      <c r="J390" s="59">
        <f>SUMPRODUCT(N(Tabela1[Código]=Tabela2[[#This Row],[Ativo]]),Tabela1[Fechamento])</f>
        <v>30.99</v>
      </c>
      <c r="K390" s="59">
        <f>SUMPRODUCT(N(Tabela17[Código]=Tabela2[[#This Row],[Ativo]]),Tabela17[Fechamento])</f>
        <v>0</v>
      </c>
      <c r="L390" s="59">
        <f>SUMPRODUCT(N([Ativo]=Tabela2[[#This Row],[Ativo]]),N([Exercício]=Tabela2[[#This Row],[Exercício]]-1),[Lucro Líquido])</f>
        <v>0</v>
      </c>
      <c r="M390" s="19" t="str">
        <f>IF(Tabela2[[#This Row],[Lucro Anterior]]=0,"",IF(Tabela2[[#This Row],[Lucro Líquido]]&gt;0,Tabela2[[#This Row],[Lucro Líquido]]/Tabela2[[#This Row],[Lucro Anterior]]-1,0))</f>
        <v/>
      </c>
    </row>
    <row r="391" spans="1:13">
      <c r="A391" s="3" t="s">
        <v>314</v>
      </c>
      <c r="B391" s="3">
        <v>2012</v>
      </c>
      <c r="C391" s="5">
        <v>718939800.83000004</v>
      </c>
      <c r="D391" s="60">
        <f>SUMPRODUCT(N(Tabela3[PAPEL]=Tabela2[[#This Row],[Ativo]]),Tabela3[Total Ações])</f>
        <v>2943644008</v>
      </c>
      <c r="E391" s="63">
        <f>(Tabela2[[#This Row],[Lucro Líquido]])/Tabela2[[#This Row],[Total Ações]]</f>
        <v>0.244234628533927</v>
      </c>
      <c r="F391" s="63">
        <v>5.8005724000000002E-2</v>
      </c>
      <c r="G391" s="22">
        <f>IF(AND(Tabela2[[#This Row],[Dividendo / Ação]]&gt;0,Tabela2[[#This Row],[Lucro por ação]]&gt;0),Tabela2[[#This Row],[Dividendo / Ação]]/Tabela2[[#This Row],[Lucro por ação]],"")</f>
        <v>0.23749999886663223</v>
      </c>
      <c r="H391" s="49">
        <f>MAX(Tabela2[[#This Row],[Cotação 1]],Tabela2[[#This Row],[Cotação 2]])</f>
        <v>8.94</v>
      </c>
      <c r="I391" s="18">
        <f>IF(Tabela2[[#This Row],[Dividendo / Ação]]&gt;0,Tabela2[[#This Row],[Dividendo / Ação]]/Tabela2[[#This Row],[Cotação]],"")</f>
        <v>6.4883360178970926E-3</v>
      </c>
      <c r="J391" s="7">
        <f>SUMPRODUCT(N(Tabela1[Código]=Tabela2[[#This Row],[Ativo]]),Tabela1[Fechamento])</f>
        <v>0</v>
      </c>
      <c r="K391" s="7">
        <f>SUMPRODUCT(N(Tabela17[Código]=Tabela2[[#This Row],[Ativo]]),Tabela17[Fechamento])</f>
        <v>8.94</v>
      </c>
      <c r="L391" s="7">
        <f>SUMPRODUCT(N([Ativo]=Tabela2[[#This Row],[Ativo]]),N([Exercício]=Tabela2[[#This Row],[Exercício]]-1),[Lucro Líquido])</f>
        <v>-75180667.959999993</v>
      </c>
      <c r="M391" s="18">
        <f>IF(Tabela2[[#This Row],[Lucro Anterior]]=0,"",IF(Tabela2[[#This Row],[Lucro Líquido]]&gt;0,Tabela2[[#This Row],[Lucro Líquido]]/Tabela2[[#This Row],[Lucro Anterior]]-1,0))</f>
        <v>-10.562828055910773</v>
      </c>
    </row>
    <row r="392" spans="1:13">
      <c r="A392" s="3" t="s">
        <v>314</v>
      </c>
      <c r="B392" s="3">
        <v>2011</v>
      </c>
      <c r="C392" s="5">
        <v>-75180667.959999993</v>
      </c>
      <c r="D392" s="60">
        <f>SUMPRODUCT(N(Tabela3[PAPEL]=Tabela2[[#This Row],[Ativo]]),Tabela3[Total Ações])</f>
        <v>2943644008</v>
      </c>
      <c r="E392" s="63">
        <f>(Tabela2[[#This Row],[Lucro Líquido]])/Tabela2[[#This Row],[Total Ações]]</f>
        <v>-2.5539999998532428E-2</v>
      </c>
      <c r="F392" s="63">
        <v>0</v>
      </c>
      <c r="G392" s="22" t="str">
        <f>IF(AND(Tabela2[[#This Row],[Dividendo / Ação]]&gt;0,Tabela2[[#This Row],[Lucro por ação]]&gt;0),Tabela2[[#This Row],[Dividendo / Ação]]/Tabela2[[#This Row],[Lucro por ação]],"")</f>
        <v/>
      </c>
      <c r="H392" s="49">
        <f>MAX(Tabela2[[#This Row],[Cotação 1]],Tabela2[[#This Row],[Cotação 2]])</f>
        <v>8.94</v>
      </c>
      <c r="I392" s="18" t="str">
        <f>IF(Tabela2[[#This Row],[Dividendo / Ação]]&gt;0,Tabela2[[#This Row],[Dividendo / Ação]]/Tabela2[[#This Row],[Cotação]],"")</f>
        <v/>
      </c>
      <c r="J392" s="7">
        <f>SUMPRODUCT(N(Tabela1[Código]=Tabela2[[#This Row],[Ativo]]),Tabela1[Fechamento])</f>
        <v>0</v>
      </c>
      <c r="K392" s="7">
        <f>SUMPRODUCT(N(Tabela17[Código]=Tabela2[[#This Row],[Ativo]]),Tabela17[Fechamento])</f>
        <v>8.94</v>
      </c>
      <c r="L392" s="7">
        <f>SUMPRODUCT(N([Ativo]=Tabela2[[#This Row],[Ativo]]),N([Exercício]=Tabela2[[#This Row],[Exercício]]-1),[Lucro Líquido])</f>
        <v>-357505564.80000001</v>
      </c>
      <c r="M392" s="18">
        <f>IF(Tabela2[[#This Row],[Lucro Anterior]]=0,"",IF(Tabela2[[#This Row],[Lucro Líquido]]&gt;0,Tabela2[[#This Row],[Lucro Líquido]]/Tabela2[[#This Row],[Lucro Anterior]]-1,0))</f>
        <v>0</v>
      </c>
    </row>
    <row r="393" spans="1:13">
      <c r="A393" s="3" t="s">
        <v>314</v>
      </c>
      <c r="B393" s="3">
        <v>2010</v>
      </c>
      <c r="C393" s="5">
        <v>-357505564.80000001</v>
      </c>
      <c r="D393" s="60">
        <f>SUMPRODUCT(N(Tabela3[PAPEL]=Tabela2[[#This Row],[Ativo]]),Tabela3[Total Ações])</f>
        <v>2943644008</v>
      </c>
      <c r="E393" s="63">
        <f>(Tabela2[[#This Row],[Lucro Líquido]])/Tabela2[[#This Row],[Total Ações]]</f>
        <v>-0.12145000000964791</v>
      </c>
      <c r="F393" s="63">
        <v>0</v>
      </c>
      <c r="G393" s="22" t="str">
        <f>IF(AND(Tabela2[[#This Row],[Dividendo / Ação]]&gt;0,Tabela2[[#This Row],[Lucro por ação]]&gt;0),Tabela2[[#This Row],[Dividendo / Ação]]/Tabela2[[#This Row],[Lucro por ação]],"")</f>
        <v/>
      </c>
      <c r="H393" s="49">
        <f>MAX(Tabela2[[#This Row],[Cotação 1]],Tabela2[[#This Row],[Cotação 2]])</f>
        <v>8.94</v>
      </c>
      <c r="I393" s="18" t="str">
        <f>IF(Tabela2[[#This Row],[Dividendo / Ação]]&gt;0,Tabela2[[#This Row],[Dividendo / Ação]]/Tabela2[[#This Row],[Cotação]],"")</f>
        <v/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8.94</v>
      </c>
      <c r="L393" s="7">
        <f>SUMPRODUCT(N([Ativo]=Tabela2[[#This Row],[Ativo]]),N([Exercício]=Tabela2[[#This Row],[Exercício]]-1),[Lucro Líquido])</f>
        <v>0</v>
      </c>
      <c r="M393" s="18" t="str">
        <f>IF(Tabela2[[#This Row],[Lucro Anterior]]=0,"",IF(Tabela2[[#This Row],[Lucro Líquido]]&gt;0,Tabela2[[#This Row],[Lucro Líquido]]/Tabela2[[#This Row],[Lucro Anterior]]-1,0))</f>
        <v/>
      </c>
    </row>
    <row r="394" spans="1:13">
      <c r="A394" s="4" t="s">
        <v>204</v>
      </c>
      <c r="B394" s="4">
        <v>2012</v>
      </c>
      <c r="C394" s="6">
        <v>751965362.53999996</v>
      </c>
      <c r="D394" s="8">
        <f>SUMPRODUCT(N(Tabela3[PAPEL]=Tabela2[[#This Row],[Ativo]]),Tabela3[Total Ações])</f>
        <v>917683296</v>
      </c>
      <c r="E394" s="64">
        <f>(Tabela2[[#This Row],[Lucro Líquido]])/Tabela2[[#This Row],[Total Ações]]</f>
        <v>0.81941707538719322</v>
      </c>
      <c r="F394" s="64">
        <v>0.2064</v>
      </c>
      <c r="G394" s="44">
        <f>IF(AND(Tabela2[[#This Row],[Dividendo / Ação]]&gt;0,Tabela2[[#This Row],[Lucro por ação]]&gt;0),Tabela2[[#This Row],[Dividendo / Ação]]/Tabela2[[#This Row],[Lucro por ação]],"")</f>
        <v>0.25188637898773503</v>
      </c>
      <c r="H394" s="6">
        <f>MAX(Tabela2[[#This Row],[Cotação 1]],Tabela2[[#This Row],[Cotação 2]])</f>
        <v>11</v>
      </c>
      <c r="I394" s="19">
        <f>IF(Tabela2[[#This Row],[Dividendo / Ação]]&gt;0,Tabela2[[#This Row],[Dividendo / Ação]]/Tabela2[[#This Row],[Cotação]],"")</f>
        <v>1.8763636363636364E-2</v>
      </c>
      <c r="J394" s="59">
        <f>SUMPRODUCT(N(Tabela1[Código]=Tabela2[[#This Row],[Ativo]]),Tabela1[Fechamento])</f>
        <v>11</v>
      </c>
      <c r="K394" s="59">
        <f>SUMPRODUCT(N(Tabela17[Código]=Tabela2[[#This Row],[Ativo]]),Tabela17[Fechamento])</f>
        <v>0</v>
      </c>
      <c r="L394" s="59">
        <f>SUMPRODUCT(N([Ativo]=Tabela2[[#This Row],[Ativo]]),N([Exercício]=Tabela2[[#This Row],[Exercício]]-1),[Lucro Líquido])</f>
        <v>182710744</v>
      </c>
      <c r="M394" s="19">
        <f>IF(Tabela2[[#This Row],[Lucro Anterior]]=0,"",IF(Tabela2[[#This Row],[Lucro Líquido]]&gt;0,Tabela2[[#This Row],[Lucro Líquido]]/Tabela2[[#This Row],[Lucro Anterior]]-1,0))</f>
        <v>3.1156056074075202</v>
      </c>
    </row>
    <row r="395" spans="1:13">
      <c r="A395" s="4" t="s">
        <v>204</v>
      </c>
      <c r="B395" s="3">
        <v>2011</v>
      </c>
      <c r="C395" s="5">
        <v>182710744</v>
      </c>
      <c r="D395" s="60">
        <f>SUMPRODUCT(N(Tabela3[PAPEL]=Tabela2[[#This Row],[Ativo]]),Tabela3[Total Ações])</f>
        <v>917683296</v>
      </c>
      <c r="E395" s="63">
        <f>(Tabela2[[#This Row],[Lucro Líquido]])/Tabela2[[#This Row],[Total Ações]]</f>
        <v>0.19909999974544595</v>
      </c>
      <c r="F395" s="63">
        <v>0.1447</v>
      </c>
      <c r="G395" s="22">
        <f>IF(AND(Tabela2[[#This Row],[Dividendo / Ação]]&gt;0,Tabela2[[#This Row],[Lucro por ação]]&gt;0),Tabela2[[#This Row],[Dividendo / Ação]]/Tabela2[[#This Row],[Lucro por ação]],"")</f>
        <v>0.72677046803115197</v>
      </c>
      <c r="H395" s="5">
        <f>MAX(Tabela2[[#This Row],[Cotação 1]],Tabela2[[#This Row],[Cotação 2]])</f>
        <v>11</v>
      </c>
      <c r="I395" s="18">
        <f>IF(Tabela2[[#This Row],[Dividendo / Ação]]&gt;0,Tabela2[[#This Row],[Dividendo / Ação]]/Tabela2[[#This Row],[Cotação]],"")</f>
        <v>1.3154545454545453E-2</v>
      </c>
      <c r="J395" s="58">
        <f>SUMPRODUCT(N(Tabela1[Código]=Tabela2[[#This Row],[Ativo]]),Tabela1[Fechamento])</f>
        <v>11</v>
      </c>
      <c r="K395" s="58">
        <f>SUMPRODUCT(N(Tabela17[Código]=Tabela2[[#This Row],[Ativo]]),Tabela17[Fechamento])</f>
        <v>0</v>
      </c>
      <c r="L395" s="58">
        <f>SUMPRODUCT(N([Ativo]=Tabela2[[#This Row],[Ativo]]),N([Exercício]=Tabela2[[#This Row],[Exercício]]-1),[Lucro Líquido])</f>
        <v>559786811</v>
      </c>
      <c r="M395" s="18">
        <f>IF(Tabela2[[#This Row],[Lucro Anterior]]=0,"",IF(Tabela2[[#This Row],[Lucro Líquido]]&gt;0,Tabela2[[#This Row],[Lucro Líquido]]/Tabela2[[#This Row],[Lucro Anterior]]-1,0))</f>
        <v>-0.67360655805090053</v>
      </c>
    </row>
    <row r="396" spans="1:13">
      <c r="A396" s="4" t="s">
        <v>204</v>
      </c>
      <c r="B396" s="3">
        <v>2010</v>
      </c>
      <c r="C396" s="5">
        <v>559786811</v>
      </c>
      <c r="D396" s="60">
        <f>SUMPRODUCT(N(Tabela3[PAPEL]=Tabela2[[#This Row],[Ativo]]),Tabela3[Total Ações])</f>
        <v>917683296</v>
      </c>
      <c r="E396" s="63">
        <f>(Tabela2[[#This Row],[Lucro Líquido]])/Tabela2[[#This Row],[Total Ações]]</f>
        <v>0.61000000047946823</v>
      </c>
      <c r="F396" s="63">
        <v>0.12509999999999999</v>
      </c>
      <c r="G396" s="22">
        <f>IF(AND(Tabela2[[#This Row],[Dividendo / Ação]]&gt;0,Tabela2[[#This Row],[Lucro por ação]]&gt;0),Tabela2[[#This Row],[Dividendo / Ação]]/Tabela2[[#This Row],[Lucro por ação]],"")</f>
        <v>0.20508196705191753</v>
      </c>
      <c r="H396" s="5">
        <f>MAX(Tabela2[[#This Row],[Cotação 1]],Tabela2[[#This Row],[Cotação 2]])</f>
        <v>11</v>
      </c>
      <c r="I396" s="18">
        <f>IF(Tabela2[[#This Row],[Dividendo / Ação]]&gt;0,Tabela2[[#This Row],[Dividendo / Ação]]/Tabela2[[#This Row],[Cotação]],"")</f>
        <v>1.1372727272727272E-2</v>
      </c>
      <c r="J396" s="58">
        <f>SUMPRODUCT(N(Tabela1[Código]=Tabela2[[#This Row],[Ativo]]),Tabela1[Fechamento])</f>
        <v>11</v>
      </c>
      <c r="K396" s="58">
        <f>SUMPRODUCT(N(Tabela17[Código]=Tabela2[[#This Row],[Ativo]]),Tabela17[Fechamento])</f>
        <v>0</v>
      </c>
      <c r="L396" s="58">
        <f>SUMPRODUCT(N([Ativo]=Tabela2[[#This Row],[Ativo]]),N([Exercício]=Tabela2[[#This Row],[Exercício]]-1),[Lucro Líquido])</f>
        <v>0</v>
      </c>
      <c r="M396" s="18" t="str">
        <f>IF(Tabela2[[#This Row],[Lucro Anterior]]=0,"",IF(Tabela2[[#This Row],[Lucro Líquido]]&gt;0,Tabela2[[#This Row],[Lucro Líquido]]/Tabela2[[#This Row],[Lucro Anterior]]-1,0))</f>
        <v/>
      </c>
    </row>
    <row r="397" spans="1:13">
      <c r="A397" s="4" t="s">
        <v>54</v>
      </c>
      <c r="B397" s="4">
        <v>2012</v>
      </c>
      <c r="C397" s="6">
        <v>751965362.53999996</v>
      </c>
      <c r="D397" s="8">
        <f>SUMPRODUCT(N(Tabela3[PAPEL]=Tabela2[[#This Row],[Ativo]]),Tabela3[Total Ações])</f>
        <v>917683296</v>
      </c>
      <c r="E397" s="64">
        <f>(Tabela2[[#This Row],[Lucro Líquido]])/Tabela2[[#This Row],[Total Ações]]</f>
        <v>0.81941707538719322</v>
      </c>
      <c r="F397" s="64">
        <v>0.22700000000000001</v>
      </c>
      <c r="G397" s="44">
        <f>IF(AND(Tabela2[[#This Row],[Dividendo / Ação]]&gt;0,Tabela2[[#This Row],[Lucro por ação]]&gt;0),Tabela2[[#This Row],[Dividendo / Ação]]/Tabela2[[#This Row],[Lucro por ação]],"")</f>
        <v>0.27702620169678221</v>
      </c>
      <c r="H397" s="6">
        <f>MAX(Tabela2[[#This Row],[Cotação 1]],Tabela2[[#This Row],[Cotação 2]])</f>
        <v>12.52</v>
      </c>
      <c r="I397" s="19">
        <f>IF(Tabela2[[#This Row],[Dividendo / Ação]]&gt;0,Tabela2[[#This Row],[Dividendo / Ação]]/Tabela2[[#This Row],[Cotação]],"")</f>
        <v>1.8130990415335464E-2</v>
      </c>
      <c r="J397" s="59">
        <f>SUMPRODUCT(N(Tabela1[Código]=Tabela2[[#This Row],[Ativo]]),Tabela1[Fechamento])</f>
        <v>12.52</v>
      </c>
      <c r="K397" s="59">
        <f>SUMPRODUCT(N(Tabela17[Código]=Tabela2[[#This Row],[Ativo]]),Tabela17[Fechamento])</f>
        <v>0</v>
      </c>
      <c r="L397" s="59">
        <f>SUMPRODUCT(N([Ativo]=Tabela2[[#This Row],[Ativo]]),N([Exercício]=Tabela2[[#This Row],[Exercício]]-1),[Lucro Líquido])</f>
        <v>182710744</v>
      </c>
      <c r="M397" s="19">
        <f>IF(Tabela2[[#This Row],[Lucro Anterior]]=0,"",IF(Tabela2[[#This Row],[Lucro Líquido]]&gt;0,Tabela2[[#This Row],[Lucro Líquido]]/Tabela2[[#This Row],[Lucro Anterior]]-1,0))</f>
        <v>3.1156056074075202</v>
      </c>
    </row>
    <row r="398" spans="1:13">
      <c r="A398" s="4" t="s">
        <v>54</v>
      </c>
      <c r="B398" s="4">
        <v>2011</v>
      </c>
      <c r="C398" s="5">
        <v>182710744</v>
      </c>
      <c r="D398" s="8">
        <f>SUMPRODUCT(N(Tabela3[PAPEL]=Tabela2[[#This Row],[Ativo]]),Tabela3[Total Ações])</f>
        <v>917683296</v>
      </c>
      <c r="E398" s="64">
        <f>(Tabela2[[#This Row],[Lucro Líquido]])/Tabela2[[#This Row],[Total Ações]]</f>
        <v>0.19909999974544595</v>
      </c>
      <c r="F398" s="64">
        <v>0.15920000000000001</v>
      </c>
      <c r="G398" s="44">
        <f>IF(AND(Tabela2[[#This Row],[Dividendo / Ação]]&gt;0,Tabela2[[#This Row],[Lucro por ação]]&gt;0),Tabela2[[#This Row],[Dividendo / Ação]]/Tabela2[[#This Row],[Lucro por ação]],"")</f>
        <v>0.79959819288569045</v>
      </c>
      <c r="H398" s="6">
        <f>MAX(Tabela2[[#This Row],[Cotação 1]],Tabela2[[#This Row],[Cotação 2]])</f>
        <v>12.52</v>
      </c>
      <c r="I398" s="19">
        <f>IF(Tabela2[[#This Row],[Dividendo / Ação]]&gt;0,Tabela2[[#This Row],[Dividendo / Ação]]/Tabela2[[#This Row],[Cotação]],"")</f>
        <v>1.2715654952076678E-2</v>
      </c>
      <c r="J398" s="59">
        <f>SUMPRODUCT(N(Tabela1[Código]=Tabela2[[#This Row],[Ativo]]),Tabela1[Fechamento])</f>
        <v>12.52</v>
      </c>
      <c r="K398" s="59">
        <f>SUMPRODUCT(N(Tabela17[Código]=Tabela2[[#This Row],[Ativo]]),Tabela17[Fechamento])</f>
        <v>0</v>
      </c>
      <c r="L398" s="59">
        <f>SUMPRODUCT(N([Ativo]=Tabela2[[#This Row],[Ativo]]),N([Exercício]=Tabela2[[#This Row],[Exercício]]-1),[Lucro Líquido])</f>
        <v>559786811</v>
      </c>
      <c r="M398" s="19">
        <f>IF(Tabela2[[#This Row],[Lucro Anterior]]=0,"",IF(Tabela2[[#This Row],[Lucro Líquido]]&gt;0,Tabela2[[#This Row],[Lucro Líquido]]/Tabela2[[#This Row],[Lucro Anterior]]-1,0))</f>
        <v>-0.67360655805090053</v>
      </c>
    </row>
    <row r="399" spans="1:13">
      <c r="A399" s="4" t="s">
        <v>54</v>
      </c>
      <c r="B399" s="4">
        <v>2010</v>
      </c>
      <c r="C399" s="5">
        <v>559786811</v>
      </c>
      <c r="D399" s="8">
        <f>SUMPRODUCT(N(Tabela3[PAPEL]=Tabela2[[#This Row],[Ativo]]),Tabela3[Total Ações])</f>
        <v>917683296</v>
      </c>
      <c r="E399" s="64">
        <f>(Tabela2[[#This Row],[Lucro Líquido]])/Tabela2[[#This Row],[Total Ações]]</f>
        <v>0.61000000047946823</v>
      </c>
      <c r="F399" s="64">
        <v>0.1376</v>
      </c>
      <c r="G399" s="44">
        <f>IF(AND(Tabela2[[#This Row],[Dividendo / Ação]]&gt;0,Tabela2[[#This Row],[Lucro por ação]]&gt;0),Tabela2[[#This Row],[Dividendo / Ação]]/Tabela2[[#This Row],[Lucro por ação]],"")</f>
        <v>0.22557377031449924</v>
      </c>
      <c r="H399" s="6">
        <f>MAX(Tabela2[[#This Row],[Cotação 1]],Tabela2[[#This Row],[Cotação 2]])</f>
        <v>12.52</v>
      </c>
      <c r="I399" s="19">
        <f>IF(Tabela2[[#This Row],[Dividendo / Ação]]&gt;0,Tabela2[[#This Row],[Dividendo / Ação]]/Tabela2[[#This Row],[Cotação]],"")</f>
        <v>1.099041533546326E-2</v>
      </c>
      <c r="J399" s="59">
        <f>SUMPRODUCT(N(Tabela1[Código]=Tabela2[[#This Row],[Ativo]]),Tabela1[Fechamento])</f>
        <v>12.52</v>
      </c>
      <c r="K399" s="59">
        <f>SUMPRODUCT(N(Tabela17[Código]=Tabela2[[#This Row],[Ativo]]),Tabela17[Fechamento])</f>
        <v>0</v>
      </c>
      <c r="L399" s="59">
        <f>SUMPRODUCT(N([Ativo]=Tabela2[[#This Row],[Ativo]]),N([Exercício]=Tabela2[[#This Row],[Exercício]]-1),[Lucro Líquido])</f>
        <v>0</v>
      </c>
      <c r="M399" s="19" t="str">
        <f>IF(Tabela2[[#This Row],[Lucro Anterior]]=0,"",IF(Tabela2[[#This Row],[Lucro Líquido]]&gt;0,Tabela2[[#This Row],[Lucro Líquido]]/Tabela2[[#This Row],[Lucro Anterior]]-1,0))</f>
        <v/>
      </c>
    </row>
    <row r="400" spans="1:13">
      <c r="A400" s="3" t="s">
        <v>353</v>
      </c>
      <c r="B400" s="3">
        <v>2012</v>
      </c>
      <c r="C400" s="5">
        <v>3722000</v>
      </c>
      <c r="D400" s="65">
        <f>SUMPRODUCT(N(Tabela3[PAPEL]=Tabela2[[#This Row],[Ativo]]),Tabela3[Total Ações])</f>
        <v>65075322</v>
      </c>
      <c r="E400" s="63">
        <f>(Tabela2[[#This Row],[Lucro Líquido]])/Tabela2[[#This Row],[Total Ações]]</f>
        <v>5.7195260593562641E-2</v>
      </c>
      <c r="F400" s="73">
        <v>0.15492519799999999</v>
      </c>
      <c r="G400" s="18">
        <f>IF(AND(Tabela2[[#This Row],[Dividendo / Ação]]&gt;0,Tabela2[[#This Row],[Lucro por ação]]&gt;0),Tabela2[[#This Row],[Dividendo / Ação]]/Tabela2[[#This Row],[Lucro por ação]],"")</f>
        <v>2.7087069171853182</v>
      </c>
      <c r="H400" s="7">
        <f>MAX(Tabela2[[#This Row],[Cotação 1]],Tabela2[[#This Row],[Cotação 2]])</f>
        <v>6.4</v>
      </c>
      <c r="I400" s="22">
        <f>IF(Tabela2[[#This Row],[Dividendo / Ação]]&gt;0,Tabela2[[#This Row],[Dividendo / Ação]]/Tabela2[[#This Row],[Cotação]],"")</f>
        <v>2.4207062187499996E-2</v>
      </c>
      <c r="J400" s="7">
        <f>SUMPRODUCT(N(Tabela1[Código]=Tabela2[[#This Row],[Ativo]]),Tabela1[Fechamento])</f>
        <v>0</v>
      </c>
      <c r="K400" s="7">
        <f>SUMPRODUCT(N(Tabela17[Código]=Tabela2[[#This Row],[Ativo]]),Tabela17[Fechamento])</f>
        <v>6.4</v>
      </c>
      <c r="L400" s="7">
        <f>SUMPRODUCT(N([Ativo]=Tabela2[[#This Row],[Ativo]]),N([Exercício]=Tabela2[[#This Row],[Exercício]]-1),[Lucro Líquido])</f>
        <v>22576000</v>
      </c>
      <c r="M400" s="18">
        <f>IF(Tabela2[[#This Row],[Lucro Anterior]]=0,"",IF(Tabela2[[#This Row],[Lucro Líquido]]&gt;0,Tabela2[[#This Row],[Lucro Líquido]]/Tabela2[[#This Row],[Lucro Anterior]]-1,0))</f>
        <v>-0.83513465627214745</v>
      </c>
    </row>
    <row r="401" spans="1:13">
      <c r="A401" s="3" t="s">
        <v>353</v>
      </c>
      <c r="B401" s="3">
        <v>2011</v>
      </c>
      <c r="C401" s="5">
        <v>22576000</v>
      </c>
      <c r="D401" s="65">
        <f>SUMPRODUCT(N(Tabela3[PAPEL]=Tabela2[[#This Row],[Ativo]]),Tabela3[Total Ações])</f>
        <v>65075322</v>
      </c>
      <c r="E401" s="63">
        <f>(Tabela2[[#This Row],[Lucro Líquido]])/Tabela2[[#This Row],[Total Ações]]</f>
        <v>0.34692106479319457</v>
      </c>
      <c r="F401" s="73">
        <v>0.22154209999999999</v>
      </c>
      <c r="G401" s="18">
        <f>IF(AND(Tabela2[[#This Row],[Dividendo / Ação]]&gt;0,Tabela2[[#This Row],[Lucro por ação]]&gt;0),Tabela2[[#This Row],[Dividendo / Ação]]/Tabela2[[#This Row],[Lucro por ação]],"")</f>
        <v>0.63859512287633768</v>
      </c>
      <c r="H401" s="7">
        <f>MAX(Tabela2[[#This Row],[Cotação 1]],Tabela2[[#This Row],[Cotação 2]])</f>
        <v>6.4</v>
      </c>
      <c r="I401" s="22">
        <f>IF(Tabela2[[#This Row],[Dividendo / Ação]]&gt;0,Tabela2[[#This Row],[Dividendo / Ação]]/Tabela2[[#This Row],[Cotação]],"")</f>
        <v>3.4615953124999994E-2</v>
      </c>
      <c r="J401" s="7">
        <f>SUMPRODUCT(N(Tabela1[Código]=Tabela2[[#This Row],[Ativo]]),Tabela1[Fechamento])</f>
        <v>0</v>
      </c>
      <c r="K401" s="7">
        <f>SUMPRODUCT(N(Tabela17[Código]=Tabela2[[#This Row],[Ativo]]),Tabela17[Fechamento])</f>
        <v>6.4</v>
      </c>
      <c r="L401" s="7">
        <f>SUMPRODUCT(N([Ativo]=Tabela2[[#This Row],[Ativo]]),N([Exercício]=Tabela2[[#This Row],[Exercício]]-1),[Lucro Líquido])</f>
        <v>0</v>
      </c>
      <c r="M401" s="18" t="str">
        <f>IF(Tabela2[[#This Row],[Lucro Anterior]]=0,"",IF(Tabela2[[#This Row],[Lucro Líquido]]&gt;0,Tabela2[[#This Row],[Lucro Líquido]]/Tabela2[[#This Row],[Lucro Anterior]]-1,0))</f>
        <v/>
      </c>
    </row>
    <row r="402" spans="1:13">
      <c r="A402" s="4" t="s">
        <v>55</v>
      </c>
      <c r="B402" s="4">
        <v>2012</v>
      </c>
      <c r="C402" s="6">
        <v>423923458.43000001</v>
      </c>
      <c r="D402" s="8">
        <f>SUMPRODUCT(N(Tabela3[PAPEL]=Tabela2[[#This Row],[Ativo]]),Tabela3[Total Ações])</f>
        <v>203934060</v>
      </c>
      <c r="E402" s="64">
        <f>(Tabela2[[#This Row],[Lucro Líquido]])/Tabela2[[#This Row],[Total Ações]]</f>
        <v>2.0787280870591212</v>
      </c>
      <c r="F402" s="64">
        <v>1.71</v>
      </c>
      <c r="G402" s="44">
        <f>IF(AND(Tabela2[[#This Row],[Dividendo / Ação]]&gt;0,Tabela2[[#This Row],[Lucro por ação]]&gt;0),Tabela2[[#This Row],[Dividendo / Ação]]/Tabela2[[#This Row],[Lucro por ação]],"")</f>
        <v>0.82261841298311467</v>
      </c>
      <c r="H402" s="6">
        <f>MAX(Tabela2[[#This Row],[Cotação 1]],Tabela2[[#This Row],[Cotação 2]])</f>
        <v>20.8</v>
      </c>
      <c r="I402" s="19">
        <f>IF(Tabela2[[#This Row],[Dividendo / Ação]]&gt;0,Tabela2[[#This Row],[Dividendo / Ação]]/Tabela2[[#This Row],[Cotação]],"")</f>
        <v>8.2211538461538461E-2</v>
      </c>
      <c r="J402" s="59">
        <f>SUMPRODUCT(N(Tabela1[Código]=Tabela2[[#This Row],[Ativo]]),Tabela1[Fechamento])</f>
        <v>20.8</v>
      </c>
      <c r="K402" s="59">
        <f>SUMPRODUCT(N(Tabela17[Código]=Tabela2[[#This Row],[Ativo]]),Tabela17[Fechamento])</f>
        <v>0</v>
      </c>
      <c r="L402" s="59">
        <f>SUMPRODUCT(N([Ativo]=Tabela2[[#This Row],[Ativo]]),N([Exercício]=Tabela2[[#This Row],[Exercício]]-1),[Lucro Líquido])</f>
        <v>310647000</v>
      </c>
      <c r="M402" s="19">
        <f>IF(Tabela2[[#This Row],[Lucro Anterior]]=0,"",IF(Tabela2[[#This Row],[Lucro Líquido]]&gt;0,Tabela2[[#This Row],[Lucro Líquido]]/Tabela2[[#This Row],[Lucro Anterior]]-1,0))</f>
        <v>0.36464687709844301</v>
      </c>
    </row>
    <row r="403" spans="1:13">
      <c r="A403" s="4" t="s">
        <v>55</v>
      </c>
      <c r="B403" s="4">
        <v>2011</v>
      </c>
      <c r="C403" s="6">
        <v>310647000</v>
      </c>
      <c r="D403" s="8">
        <f>SUMPRODUCT(N(Tabela3[PAPEL]=Tabela2[[#This Row],[Ativo]]),Tabela3[Total Ações])</f>
        <v>203934060</v>
      </c>
      <c r="E403" s="64">
        <f>(Tabela2[[#This Row],[Lucro Líquido]])/Tabela2[[#This Row],[Total Ações]]</f>
        <v>1.523271786968788</v>
      </c>
      <c r="F403" s="64">
        <v>1.45</v>
      </c>
      <c r="G403" s="44">
        <f>IF(AND(Tabela2[[#This Row],[Dividendo / Ação]]&gt;0,Tabela2[[#This Row],[Lucro por ação]]&gt;0),Tabela2[[#This Row],[Dividendo / Ação]]/Tabela2[[#This Row],[Lucro por ação]],"")</f>
        <v>0.95189841524302499</v>
      </c>
      <c r="H403" s="6">
        <f>MAX(Tabela2[[#This Row],[Cotação 1]],Tabela2[[#This Row],[Cotação 2]])</f>
        <v>20.8</v>
      </c>
      <c r="I403" s="19">
        <f>IF(Tabela2[[#This Row],[Dividendo / Ação]]&gt;0,Tabela2[[#This Row],[Dividendo / Ação]]/Tabela2[[#This Row],[Cotação]],"")</f>
        <v>6.9711538461538464E-2</v>
      </c>
      <c r="J403" s="59">
        <f>SUMPRODUCT(N(Tabela1[Código]=Tabela2[[#This Row],[Ativo]]),Tabela1[Fechamento])</f>
        <v>20.8</v>
      </c>
      <c r="K403" s="59">
        <f>SUMPRODUCT(N(Tabela17[Código]=Tabela2[[#This Row],[Ativo]]),Tabela17[Fechamento])</f>
        <v>0</v>
      </c>
      <c r="L403" s="59">
        <f>SUMPRODUCT(N([Ativo]=Tabela2[[#This Row],[Ativo]]),N([Exercício]=Tabela2[[#This Row],[Exercício]]-1),[Lucro Líquido])</f>
        <v>575150000</v>
      </c>
      <c r="M403" s="19">
        <f>IF(Tabela2[[#This Row],[Lucro Anterior]]=0,"",IF(Tabela2[[#This Row],[Lucro Líquido]]&gt;0,Tabela2[[#This Row],[Lucro Líquido]]/Tabela2[[#This Row],[Lucro Anterior]]-1,0))</f>
        <v>-0.45988524732678426</v>
      </c>
    </row>
    <row r="404" spans="1:13">
      <c r="A404" s="4" t="s">
        <v>55</v>
      </c>
      <c r="B404" s="4">
        <v>2010</v>
      </c>
      <c r="C404" s="6">
        <v>575150000</v>
      </c>
      <c r="D404" s="8">
        <f>SUMPRODUCT(N(Tabela3[PAPEL]=Tabela2[[#This Row],[Ativo]]),Tabela3[Total Ações])</f>
        <v>203934060</v>
      </c>
      <c r="E404" s="64">
        <f>(Tabela2[[#This Row],[Lucro Líquido]])/Tabela2[[#This Row],[Total Ações]]</f>
        <v>2.8202743573094167</v>
      </c>
      <c r="F404" s="64">
        <v>1.72</v>
      </c>
      <c r="G404" s="44">
        <f>IF(AND(Tabela2[[#This Row],[Dividendo / Ação]]&gt;0,Tabela2[[#This Row],[Lucro por ação]]&gt;0),Tabela2[[#This Row],[Dividendo / Ação]]/Tabela2[[#This Row],[Lucro por ação]],"")</f>
        <v>0.6098697438928975</v>
      </c>
      <c r="H404" s="6">
        <f>MAX(Tabela2[[#This Row],[Cotação 1]],Tabela2[[#This Row],[Cotação 2]])</f>
        <v>20.8</v>
      </c>
      <c r="I404" s="19">
        <f>IF(Tabela2[[#This Row],[Dividendo / Ação]]&gt;0,Tabela2[[#This Row],[Dividendo / Ação]]/Tabela2[[#This Row],[Cotação]],"")</f>
        <v>8.269230769230769E-2</v>
      </c>
      <c r="J404" s="59">
        <f>SUMPRODUCT(N(Tabela1[Código]=Tabela2[[#This Row],[Ativo]]),Tabela1[Fechamento])</f>
        <v>20.8</v>
      </c>
      <c r="K404" s="59">
        <f>SUMPRODUCT(N(Tabela17[Código]=Tabela2[[#This Row],[Ativo]]),Tabela17[Fechamento])</f>
        <v>0</v>
      </c>
      <c r="L404" s="59">
        <f>SUMPRODUCT(N([Ativo]=Tabela2[[#This Row],[Ativo]]),N([Exercício]=Tabela2[[#This Row],[Exercício]]-1),[Lucro Líquido])</f>
        <v>0</v>
      </c>
      <c r="M404" s="19" t="str">
        <f>IF(Tabela2[[#This Row],[Lucro Anterior]]=0,"",IF(Tabela2[[#This Row],[Lucro Líquido]]&gt;0,Tabela2[[#This Row],[Lucro Líquido]]/Tabela2[[#This Row],[Lucro Anterior]]-1,0))</f>
        <v/>
      </c>
    </row>
    <row r="405" spans="1:13">
      <c r="A405" s="4" t="s">
        <v>179</v>
      </c>
      <c r="B405" s="4">
        <v>2012</v>
      </c>
      <c r="C405" s="6">
        <v>13335000</v>
      </c>
      <c r="D405" s="8">
        <f>SUMPRODUCT(N(Tabela3[PAPEL]=Tabela2[[#This Row],[Ativo]]),Tabela3[Total Ações])</f>
        <v>11764889</v>
      </c>
      <c r="E405" s="64">
        <f>(Tabela2[[#This Row],[Lucro Líquido]])/Tabela2[[#This Row],[Total Ações]]</f>
        <v>1.1334573577362268</v>
      </c>
      <c r="F405" s="64">
        <v>0.27145999999999998</v>
      </c>
      <c r="G405" s="44">
        <f>IF(AND(Tabela2[[#This Row],[Dividendo / Ação]]&gt;0,Tabela2[[#This Row],[Lucro por ação]]&gt;0),Tabela2[[#This Row],[Dividendo / Ação]]/Tabela2[[#This Row],[Lucro por ação]],"")</f>
        <v>0.23949732043044619</v>
      </c>
      <c r="H405" s="6">
        <f>MAX(Tabela2[[#This Row],[Cotação 1]],Tabela2[[#This Row],[Cotação 2]])</f>
        <v>49.6</v>
      </c>
      <c r="I405" s="19">
        <f>IF(Tabela2[[#This Row],[Dividendo / Ação]]&gt;0,Tabela2[[#This Row],[Dividendo / Ação]]/Tabela2[[#This Row],[Cotação]],"")</f>
        <v>5.4729838709677413E-3</v>
      </c>
      <c r="J405" s="59">
        <f>SUMPRODUCT(N(Tabela1[Código]=Tabela2[[#This Row],[Ativo]]),Tabela1[Fechamento])</f>
        <v>49.6</v>
      </c>
      <c r="K405" s="59">
        <f>SUMPRODUCT(N(Tabela17[Código]=Tabela2[[#This Row],[Ativo]]),Tabela17[Fechamento])</f>
        <v>0</v>
      </c>
      <c r="L405" s="59">
        <f>SUMPRODUCT(N([Ativo]=Tabela2[[#This Row],[Ativo]]),N([Exercício]=Tabela2[[#This Row],[Exercício]]-1),[Lucro Líquido])</f>
        <v>23655000</v>
      </c>
      <c r="M405" s="19">
        <f>IF(Tabela2[[#This Row],[Lucro Anterior]]=0,"",IF(Tabela2[[#This Row],[Lucro Líquido]]&gt;0,Tabela2[[#This Row],[Lucro Líquido]]/Tabela2[[#This Row],[Lucro Anterior]]-1,0))</f>
        <v>-0.43627140139505394</v>
      </c>
    </row>
    <row r="406" spans="1:13">
      <c r="A406" s="4" t="s">
        <v>179</v>
      </c>
      <c r="B406" s="4">
        <v>2011</v>
      </c>
      <c r="C406" s="6">
        <v>23655000</v>
      </c>
      <c r="D406" s="8">
        <f>SUMPRODUCT(N(Tabela3[PAPEL]=Tabela2[[#This Row],[Ativo]]),Tabela3[Total Ações])</f>
        <v>11764889</v>
      </c>
      <c r="E406" s="64">
        <f>(Tabela2[[#This Row],[Lucro Líquido]])/Tabela2[[#This Row],[Total Ações]]</f>
        <v>2.0106437043307421</v>
      </c>
      <c r="F406" s="64">
        <v>1.9100999999999999</v>
      </c>
      <c r="G406" s="44">
        <f>IF(AND(Tabela2[[#This Row],[Dividendo / Ação]]&gt;0,Tabela2[[#This Row],[Lucro por ação]]&gt;0),Tabela2[[#This Row],[Dividendo / Ação]]/Tabela2[[#This Row],[Lucro por ação]],"")</f>
        <v>0.94999427093214961</v>
      </c>
      <c r="H406" s="6">
        <f>MAX(Tabela2[[#This Row],[Cotação 1]],Tabela2[[#This Row],[Cotação 2]])</f>
        <v>49.6</v>
      </c>
      <c r="I406" s="19">
        <f>IF(Tabela2[[#This Row],[Dividendo / Ação]]&gt;0,Tabela2[[#This Row],[Dividendo / Ação]]/Tabela2[[#This Row],[Cotação]],"")</f>
        <v>3.8510080645161288E-2</v>
      </c>
      <c r="J406" s="59">
        <f>SUMPRODUCT(N(Tabela1[Código]=Tabela2[[#This Row],[Ativo]]),Tabela1[Fechamento])</f>
        <v>49.6</v>
      </c>
      <c r="K406" s="59">
        <f>SUMPRODUCT(N(Tabela17[Código]=Tabela2[[#This Row],[Ativo]]),Tabela17[Fechamento])</f>
        <v>0</v>
      </c>
      <c r="L406" s="59">
        <f>SUMPRODUCT(N([Ativo]=Tabela2[[#This Row],[Ativo]]),N([Exercício]=Tabela2[[#This Row],[Exercício]]-1),[Lucro Líquido])</f>
        <v>23252000</v>
      </c>
      <c r="M406" s="19">
        <f>IF(Tabela2[[#This Row],[Lucro Anterior]]=0,"",IF(Tabela2[[#This Row],[Lucro Líquido]]&gt;0,Tabela2[[#This Row],[Lucro Líquido]]/Tabela2[[#This Row],[Lucro Anterior]]-1,0))</f>
        <v>1.7331842422157129E-2</v>
      </c>
    </row>
    <row r="407" spans="1:13">
      <c r="A407" s="4" t="s">
        <v>179</v>
      </c>
      <c r="B407" s="4">
        <v>2010</v>
      </c>
      <c r="C407" s="5">
        <v>23252000</v>
      </c>
      <c r="D407" s="60">
        <f>SUMPRODUCT(N(Tabela3[PAPEL]=Tabela2[[#This Row],[Ativo]]),Tabela3[Total Ações])</f>
        <v>11764889</v>
      </c>
      <c r="E407" s="63">
        <f>(Tabela2[[#This Row],[Lucro Líquido]])/Tabela2[[#This Row],[Total Ações]]</f>
        <v>1.9763892375015182</v>
      </c>
      <c r="F407" s="63">
        <v>0.92493999999999998</v>
      </c>
      <c r="G407" s="22">
        <f>IF(AND(Tabela2[[#This Row],[Dividendo / Ação]]&gt;0,Tabela2[[#This Row],[Lucro por ação]]&gt;0),Tabela2[[#This Row],[Dividendo / Ação]]/Tabela2[[#This Row],[Lucro por ação]],"")</f>
        <v>0.46799485771804578</v>
      </c>
      <c r="H407" s="5">
        <f>MAX(Tabela2[[#This Row],[Cotação 1]],Tabela2[[#This Row],[Cotação 2]])</f>
        <v>49.6</v>
      </c>
      <c r="I407" s="18">
        <f>IF(Tabela2[[#This Row],[Dividendo / Ação]]&gt;0,Tabela2[[#This Row],[Dividendo / Ação]]/Tabela2[[#This Row],[Cotação]],"")</f>
        <v>1.8647983870967742E-2</v>
      </c>
      <c r="J407" s="58">
        <f>SUMPRODUCT(N(Tabela1[Código]=Tabela2[[#This Row],[Ativo]]),Tabela1[Fechamento])</f>
        <v>49.6</v>
      </c>
      <c r="K407" s="58">
        <f>SUMPRODUCT(N(Tabela17[Código]=Tabela2[[#This Row],[Ativo]]),Tabela17[Fechamento])</f>
        <v>0</v>
      </c>
      <c r="L407" s="58">
        <f>SUMPRODUCT(N([Ativo]=Tabela2[[#This Row],[Ativo]]),N([Exercício]=Tabela2[[#This Row],[Exercício]]-1),[Lucro Líquido])</f>
        <v>11051000</v>
      </c>
      <c r="M407" s="18">
        <f>IF(Tabela2[[#This Row],[Lucro Anterior]]=0,"",IF(Tabela2[[#This Row],[Lucro Líquido]]&gt;0,Tabela2[[#This Row],[Lucro Líquido]]/Tabela2[[#This Row],[Lucro Anterior]]-1,0))</f>
        <v>1.1040629807257263</v>
      </c>
    </row>
    <row r="408" spans="1:13">
      <c r="A408" s="4" t="s">
        <v>179</v>
      </c>
      <c r="B408" s="4">
        <v>2009</v>
      </c>
      <c r="C408" s="5">
        <v>11051000</v>
      </c>
      <c r="D408" s="60">
        <f>SUMPRODUCT(N(Tabela3[PAPEL]=Tabela2[[#This Row],[Ativo]]),Tabela3[Total Ações])</f>
        <v>11764889</v>
      </c>
      <c r="E408" s="63">
        <f>(Tabela2[[#This Row],[Lucro Líquido]])/Tabela2[[#This Row],[Total Ações]]</f>
        <v>0.93932037947829339</v>
      </c>
      <c r="F408" s="63">
        <v>6.5060000000000007E-2</v>
      </c>
      <c r="G408" s="22">
        <f>IF(AND(Tabela2[[#This Row],[Dividendo / Ação]]&gt;0,Tabela2[[#This Row],[Lucro por ação]]&gt;0),Tabela2[[#This Row],[Dividendo / Ação]]/Tabela2[[#This Row],[Lucro por ação]],"")</f>
        <v>6.9262843031399887E-2</v>
      </c>
      <c r="H408" s="5">
        <f>MAX(Tabela2[[#This Row],[Cotação 1]],Tabela2[[#This Row],[Cotação 2]])</f>
        <v>49.6</v>
      </c>
      <c r="I408" s="18">
        <f>IF(Tabela2[[#This Row],[Dividendo / Ação]]&gt;0,Tabela2[[#This Row],[Dividendo / Ação]]/Tabela2[[#This Row],[Cotação]],"")</f>
        <v>1.3116935483870969E-3</v>
      </c>
      <c r="J408" s="58">
        <f>SUMPRODUCT(N(Tabela1[Código]=Tabela2[[#This Row],[Ativo]]),Tabela1[Fechamento])</f>
        <v>49.6</v>
      </c>
      <c r="K408" s="58">
        <f>SUMPRODUCT(N(Tabela17[Código]=Tabela2[[#This Row],[Ativo]]),Tabela17[Fechamento])</f>
        <v>0</v>
      </c>
      <c r="L408" s="58">
        <f>SUMPRODUCT(N([Ativo]=Tabela2[[#This Row],[Ativo]]),N([Exercício]=Tabela2[[#This Row],[Exercício]]-1),[Lucro Líquido])</f>
        <v>0</v>
      </c>
      <c r="M408" s="18" t="str">
        <f>IF(Tabela2[[#This Row],[Lucro Anterior]]=0,"",IF(Tabela2[[#This Row],[Lucro Líquido]]&gt;0,Tabela2[[#This Row],[Lucro Líquido]]/Tabela2[[#This Row],[Lucro Anterior]]-1,0))</f>
        <v/>
      </c>
    </row>
    <row r="409" spans="1:13">
      <c r="A409" s="4" t="s">
        <v>369</v>
      </c>
      <c r="B409" s="4">
        <v>2012</v>
      </c>
      <c r="C409" s="6">
        <v>70727730.280000001</v>
      </c>
      <c r="D409" s="74">
        <f>SUMPRODUCT(N(Tabela3[PAPEL]=Tabela2[[#This Row],[Ativo]]),Tabela3[Total Ações])</f>
        <v>291981934</v>
      </c>
      <c r="E409" s="64">
        <f>(Tabela2[[#This Row],[Lucro Líquido]])/Tabela2[[#This Row],[Total Ações]]</f>
        <v>0.24223324132101953</v>
      </c>
      <c r="F409" s="64">
        <v>5.7530390000000001E-2</v>
      </c>
      <c r="G409" s="43">
        <f>IF(AND(Tabela2[[#This Row],[Dividendo / Ação]]&gt;0,Tabela2[[#This Row],[Lucro por ação]]&gt;0),Tabela2[[#This Row],[Dividendo / Ação]]/Tabela2[[#This Row],[Lucro por ação]],"")</f>
        <v>0.23749998012765666</v>
      </c>
      <c r="H409" s="59">
        <f>MAX(Tabela2[[#This Row],[Cotação 1]],Tabela2[[#This Row],[Cotação 2]])</f>
        <v>5.69</v>
      </c>
      <c r="I409" s="44">
        <f>IF(Tabela2[[#This Row],[Dividendo / Ação]]&gt;0,Tabela2[[#This Row],[Dividendo / Ação]]/Tabela2[[#This Row],[Cotação]],"")</f>
        <v>1.0110789103690685E-2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5.69</v>
      </c>
      <c r="L409" s="17">
        <f>SUMPRODUCT(N([Ativo]=Tabela2[[#This Row],[Ativo]]),N([Exercício]=Tabela2[[#This Row],[Exercício]]-1),[Lucro Líquido])</f>
        <v>97911000</v>
      </c>
      <c r="M409" s="19">
        <f>IF(Tabela2[[#This Row],[Lucro Anterior]]=0,"",IF(Tabela2[[#This Row],[Lucro Líquido]]&gt;0,Tabela2[[#This Row],[Lucro Líquido]]/Tabela2[[#This Row],[Lucro Anterior]]-1,0))</f>
        <v>-0.27763243884752475</v>
      </c>
    </row>
    <row r="410" spans="1:13">
      <c r="A410" s="4" t="s">
        <v>369</v>
      </c>
      <c r="B410" s="4">
        <v>2011</v>
      </c>
      <c r="C410" s="6">
        <v>97911000</v>
      </c>
      <c r="D410" s="74">
        <f>SUMPRODUCT(N(Tabela3[PAPEL]=Tabela2[[#This Row],[Ativo]]),Tabela3[Total Ações])</f>
        <v>291981934</v>
      </c>
      <c r="E410" s="64">
        <f>(Tabela2[[#This Row],[Lucro Líquido]])/Tabela2[[#This Row],[Total Ações]]</f>
        <v>0.33533239080469956</v>
      </c>
      <c r="F410" s="64">
        <v>0.03</v>
      </c>
      <c r="G410" s="43">
        <f>IF(AND(Tabela2[[#This Row],[Dividendo / Ação]]&gt;0,Tabela2[[#This Row],[Lucro por ação]]&gt;0),Tabela2[[#This Row],[Dividendo / Ação]]/Tabela2[[#This Row],[Lucro por ação]],"")</f>
        <v>8.9463472132855354E-2</v>
      </c>
      <c r="H410" s="59">
        <f>MAX(Tabela2[[#This Row],[Cotação 1]],Tabela2[[#This Row],[Cotação 2]])</f>
        <v>5.69</v>
      </c>
      <c r="I410" s="44">
        <f>IF(Tabela2[[#This Row],[Dividendo / Ação]]&gt;0,Tabela2[[#This Row],[Dividendo / Ação]]/Tabela2[[#This Row],[Cotação]],"")</f>
        <v>5.2724077328646741E-3</v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5.69</v>
      </c>
      <c r="L410" s="17">
        <f>SUMPRODUCT(N([Ativo]=Tabela2[[#This Row],[Ativo]]),N([Exercício]=Tabela2[[#This Row],[Exercício]]-1),[Lucro Líquido])</f>
        <v>91765000</v>
      </c>
      <c r="M410" s="19">
        <f>IF(Tabela2[[#This Row],[Lucro Anterior]]=0,"",IF(Tabela2[[#This Row],[Lucro Líquido]]&gt;0,Tabela2[[#This Row],[Lucro Líquido]]/Tabela2[[#This Row],[Lucro Anterior]]-1,0))</f>
        <v>6.6975426360812884E-2</v>
      </c>
    </row>
    <row r="411" spans="1:13">
      <c r="A411" s="4" t="s">
        <v>369</v>
      </c>
      <c r="B411" s="4">
        <v>2010</v>
      </c>
      <c r="C411" s="6">
        <v>91765000</v>
      </c>
      <c r="D411" s="74">
        <f>SUMPRODUCT(N(Tabela3[PAPEL]=Tabela2[[#This Row],[Ativo]]),Tabela3[Total Ações])</f>
        <v>291981934</v>
      </c>
      <c r="E411" s="64">
        <f>(Tabela2[[#This Row],[Lucro Líquido]])/Tabela2[[#This Row],[Total Ações]]</f>
        <v>0.31428314328515955</v>
      </c>
      <c r="F411" s="64">
        <v>0</v>
      </c>
      <c r="G411" s="43" t="str">
        <f>IF(AND(Tabela2[[#This Row],[Dividendo / Ação]]&gt;0,Tabela2[[#This Row],[Lucro por ação]]&gt;0),Tabela2[[#This Row],[Dividendo / Ação]]/Tabela2[[#This Row],[Lucro por ação]],"")</f>
        <v/>
      </c>
      <c r="H411" s="59">
        <f>MAX(Tabela2[[#This Row],[Cotação 1]],Tabela2[[#This Row],[Cotação 2]])</f>
        <v>5.69</v>
      </c>
      <c r="I411" s="44" t="str">
        <f>IF(Tabela2[[#This Row],[Dividendo / Ação]]&gt;0,Tabela2[[#This Row],[Dividendo / Ação]]/Tabela2[[#This Row],[Cotação]],"")</f>
        <v/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5.69</v>
      </c>
      <c r="L411" s="17">
        <f>SUMPRODUCT(N([Ativo]=Tabela2[[#This Row],[Ativo]]),N([Exercício]=Tabela2[[#This Row],[Exercício]]-1),[Lucro Líquido])</f>
        <v>0</v>
      </c>
      <c r="M411" s="19" t="str">
        <f>IF(Tabela2[[#This Row],[Lucro Anterior]]=0,"",IF(Tabela2[[#This Row],[Lucro Líquido]]&gt;0,Tabela2[[#This Row],[Lucro Líquido]]/Tabela2[[#This Row],[Lucro Anterior]]-1,0))</f>
        <v/>
      </c>
    </row>
    <row r="412" spans="1:13">
      <c r="A412" s="4" t="s">
        <v>419</v>
      </c>
      <c r="B412" s="4">
        <v>2012</v>
      </c>
      <c r="C412" s="6">
        <v>16768000</v>
      </c>
      <c r="D412" s="74">
        <f>SUMPRODUCT(N(Tabela3[PAPEL]=Tabela2[[#This Row],[Ativo]]),Tabela3[Total Ações])</f>
        <v>18010000</v>
      </c>
      <c r="E412" s="64">
        <f>(Tabela2[[#This Row],[Lucro Líquido]])/Tabela2[[#This Row],[Total Ações]]</f>
        <v>0.93103831204886178</v>
      </c>
      <c r="F412" s="64">
        <v>0.42399999999999999</v>
      </c>
      <c r="G412" s="43">
        <f>IF(AND(Tabela2[[#This Row],[Dividendo / Ação]]&gt;0,Tabela2[[#This Row],[Lucro por ação]]&gt;0),Tabela2[[#This Row],[Dividendo / Ação]]/Tabela2[[#This Row],[Lucro por ação]],"")</f>
        <v>0.455405534351145</v>
      </c>
      <c r="H412" s="59">
        <f>MAX(Tabela2[[#This Row],[Cotação 1]],Tabela2[[#This Row],[Cotação 2]])</f>
        <v>83.91</v>
      </c>
      <c r="I412" s="44">
        <f>IF(Tabela2[[#This Row],[Dividendo / Ação]]&gt;0,Tabela2[[#This Row],[Dividendo / Ação]]/Tabela2[[#This Row],[Cotação]],"")</f>
        <v>5.0530330115600049E-3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83.91</v>
      </c>
      <c r="L412" s="17">
        <f>SUMPRODUCT(N([Ativo]=Tabela2[[#This Row],[Ativo]]),N([Exercício]=Tabela2[[#This Row],[Exercício]]-1),[Lucro Líquido])</f>
        <v>8649000</v>
      </c>
      <c r="M412" s="19">
        <f>IF(Tabela2[[#This Row],[Lucro Anterior]]=0,"",IF(Tabela2[[#This Row],[Lucro Líquido]]&gt;0,Tabela2[[#This Row],[Lucro Líquido]]/Tabela2[[#This Row],[Lucro Anterior]]-1,0))</f>
        <v>0.93872123944964736</v>
      </c>
    </row>
    <row r="413" spans="1:13">
      <c r="A413" s="4" t="s">
        <v>419</v>
      </c>
      <c r="B413" s="3">
        <v>2011</v>
      </c>
      <c r="C413" s="5">
        <v>8649000</v>
      </c>
      <c r="D413" s="65">
        <f>SUMPRODUCT(N(Tabela3[PAPEL]=Tabela2[[#This Row],[Ativo]]),Tabela3[Total Ações])</f>
        <v>18010000</v>
      </c>
      <c r="E413" s="63">
        <f>(Tabela2[[#This Row],[Lucro Líquido]])/Tabela2[[#This Row],[Total Ações]]</f>
        <v>0.48023320377568018</v>
      </c>
      <c r="F413" s="63">
        <v>0.18870000000000001</v>
      </c>
      <c r="G413" s="71">
        <f>IF(AND(Tabela2[[#This Row],[Dividendo / Ação]]&gt;0,Tabela2[[#This Row],[Lucro por ação]]&gt;0),Tabela2[[#This Row],[Dividendo / Ação]]/Tabela2[[#This Row],[Lucro por ação]],"")</f>
        <v>0.39293409642733262</v>
      </c>
      <c r="H413" s="58">
        <f>MAX(Tabela2[[#This Row],[Cotação 1]],Tabela2[[#This Row],[Cotação 2]])</f>
        <v>83.91</v>
      </c>
      <c r="I413" s="22">
        <f>IF(Tabela2[[#This Row],[Dividendo / Ação]]&gt;0,Tabela2[[#This Row],[Dividendo / Ação]]/Tabela2[[#This Row],[Cotação]],"")</f>
        <v>2.2488380407579551E-3</v>
      </c>
      <c r="J413" s="7">
        <f>SUMPRODUCT(N(Tabela1[Código]=Tabela2[[#This Row],[Ativo]]),Tabela1[Fechamento])</f>
        <v>0</v>
      </c>
      <c r="K413" s="7">
        <f>SUMPRODUCT(N(Tabela17[Código]=Tabela2[[#This Row],[Ativo]]),Tabela17[Fechamento])</f>
        <v>83.91</v>
      </c>
      <c r="L413" s="7">
        <f>SUMPRODUCT(N([Ativo]=Tabela2[[#This Row],[Ativo]]),N([Exercício]=Tabela2[[#This Row],[Exercício]]-1),[Lucro Líquido])</f>
        <v>24344000</v>
      </c>
      <c r="M413" s="18">
        <f>IF(Tabela2[[#This Row],[Lucro Anterior]]=0,"",IF(Tabela2[[#This Row],[Lucro Líquido]]&gt;0,Tabela2[[#This Row],[Lucro Líquido]]/Tabela2[[#This Row],[Lucro Anterior]]-1,0))</f>
        <v>-0.64471738416036806</v>
      </c>
    </row>
    <row r="414" spans="1:13">
      <c r="A414" s="4" t="s">
        <v>419</v>
      </c>
      <c r="B414" s="3">
        <v>2010</v>
      </c>
      <c r="C414" s="5">
        <v>24344000</v>
      </c>
      <c r="D414" s="65">
        <f>SUMPRODUCT(N(Tabela3[PAPEL]=Tabela2[[#This Row],[Ativo]]),Tabela3[Total Ações])</f>
        <v>18010000</v>
      </c>
      <c r="E414" s="63">
        <f>(Tabela2[[#This Row],[Lucro Líquido]])/Tabela2[[#This Row],[Total Ações]]</f>
        <v>1.351693503609106</v>
      </c>
      <c r="F414" s="63">
        <v>0.54059999999999997</v>
      </c>
      <c r="G414" s="71">
        <f>IF(AND(Tabela2[[#This Row],[Dividendo / Ação]]&gt;0,Tabela2[[#This Row],[Lucro por ação]]&gt;0),Tabela2[[#This Row],[Dividendo / Ação]]/Tabela2[[#This Row],[Lucro por ação]],"")</f>
        <v>0.39994273743016762</v>
      </c>
      <c r="H414" s="58">
        <f>MAX(Tabela2[[#This Row],[Cotação 1]],Tabela2[[#This Row],[Cotação 2]])</f>
        <v>83.91</v>
      </c>
      <c r="I414" s="22">
        <f>IF(Tabela2[[#This Row],[Dividendo / Ação]]&gt;0,Tabela2[[#This Row],[Dividendo / Ação]]/Tabela2[[#This Row],[Cotação]],"")</f>
        <v>6.4426170897390056E-3</v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83.91</v>
      </c>
      <c r="L414" s="7">
        <f>SUMPRODUCT(N([Ativo]=Tabela2[[#This Row],[Ativo]]),N([Exercício]=Tabela2[[#This Row],[Exercício]]-1),[Lucro Líquido])</f>
        <v>0</v>
      </c>
      <c r="M414" s="18" t="str">
        <f>IF(Tabela2[[#This Row],[Lucro Anterior]]=0,"",IF(Tabela2[[#This Row],[Lucro Líquido]]&gt;0,Tabela2[[#This Row],[Lucro Líquido]]/Tabela2[[#This Row],[Lucro Anterior]]-1,0))</f>
        <v/>
      </c>
    </row>
    <row r="415" spans="1:13">
      <c r="A415" s="4" t="s">
        <v>420</v>
      </c>
      <c r="B415" s="4">
        <v>2012</v>
      </c>
      <c r="C415" s="6">
        <v>16768000</v>
      </c>
      <c r="D415" s="74">
        <f>SUMPRODUCT(N(Tabela3[PAPEL]=Tabela2[[#This Row],[Ativo]]),Tabela3[Total Ações])</f>
        <v>18010000</v>
      </c>
      <c r="E415" s="64">
        <f>(Tabela2[[#This Row],[Lucro Líquido]])/Tabela2[[#This Row],[Total Ações]]</f>
        <v>0.93103831204886178</v>
      </c>
      <c r="F415" s="64">
        <v>0.52300000000000002</v>
      </c>
      <c r="G415" s="43">
        <f>IF(AND(Tabela2[[#This Row],[Dividendo / Ação]]&gt;0,Tabela2[[#This Row],[Lucro por ação]]&gt;0),Tabela2[[#This Row],[Dividendo / Ação]]/Tabela2[[#This Row],[Lucro por ação]],"")</f>
        <v>0.56173843034351145</v>
      </c>
      <c r="H415" s="59">
        <f>MAX(Tabela2[[#This Row],[Cotação 1]],Tabela2[[#This Row],[Cotação 2]])</f>
        <v>6.58</v>
      </c>
      <c r="I415" s="44">
        <f>IF(Tabela2[[#This Row],[Dividendo / Ação]]&gt;0,Tabela2[[#This Row],[Dividendo / Ação]]/Tabela2[[#This Row],[Cotação]],"")</f>
        <v>7.9483282674772032E-2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6.58</v>
      </c>
      <c r="L415" s="17">
        <f>SUMPRODUCT(N([Ativo]=Tabela2[[#This Row],[Ativo]]),N([Exercício]=Tabela2[[#This Row],[Exercício]]-1),[Lucro Líquido])</f>
        <v>8649000</v>
      </c>
      <c r="M415" s="19">
        <f>IF(Tabela2[[#This Row],[Lucro Anterior]]=0,"",IF(Tabela2[[#This Row],[Lucro Líquido]]&gt;0,Tabela2[[#This Row],[Lucro Líquido]]/Tabela2[[#This Row],[Lucro Anterior]]-1,0))</f>
        <v>0.93872123944964736</v>
      </c>
    </row>
    <row r="416" spans="1:13">
      <c r="A416" s="4" t="s">
        <v>420</v>
      </c>
      <c r="B416" s="4">
        <v>2011</v>
      </c>
      <c r="C416" s="5">
        <v>8649000</v>
      </c>
      <c r="D416" s="74">
        <f>SUMPRODUCT(N(Tabela3[PAPEL]=Tabela2[[#This Row],[Ativo]]),Tabela3[Total Ações])</f>
        <v>18010000</v>
      </c>
      <c r="E416" s="64">
        <f>(Tabela2[[#This Row],[Lucro Líquido]])/Tabela2[[#This Row],[Total Ações]]</f>
        <v>0.48023320377568018</v>
      </c>
      <c r="F416" s="64">
        <v>0.38419999999999999</v>
      </c>
      <c r="G416" s="43">
        <f>IF(AND(Tabela2[[#This Row],[Dividendo / Ação]]&gt;0,Tabela2[[#This Row],[Lucro por ação]]&gt;0),Tabela2[[#This Row],[Dividendo / Ação]]/Tabela2[[#This Row],[Lucro por ação]],"")</f>
        <v>0.80002798011330789</v>
      </c>
      <c r="H416" s="59">
        <f>MAX(Tabela2[[#This Row],[Cotação 1]],Tabela2[[#This Row],[Cotação 2]])</f>
        <v>6.58</v>
      </c>
      <c r="I416" s="44">
        <f>IF(Tabela2[[#This Row],[Dividendo / Ação]]&gt;0,Tabela2[[#This Row],[Dividendo / Ação]]/Tabela2[[#This Row],[Cotação]],"")</f>
        <v>5.8389057750759879E-2</v>
      </c>
      <c r="J416" s="17">
        <f>SUMPRODUCT(N(Tabela1[Código]=Tabela2[[#This Row],[Ativo]]),Tabela1[Fechamento])</f>
        <v>0</v>
      </c>
      <c r="K416" s="17">
        <f>SUMPRODUCT(N(Tabela17[Código]=Tabela2[[#This Row],[Ativo]]),Tabela17[Fechamento])</f>
        <v>6.58</v>
      </c>
      <c r="L416" s="17">
        <f>SUMPRODUCT(N([Ativo]=Tabela2[[#This Row],[Ativo]]),N([Exercício]=Tabela2[[#This Row],[Exercício]]-1),[Lucro Líquido])</f>
        <v>24344000</v>
      </c>
      <c r="M416" s="19">
        <f>IF(Tabela2[[#This Row],[Lucro Anterior]]=0,"",IF(Tabela2[[#This Row],[Lucro Líquido]]&gt;0,Tabela2[[#This Row],[Lucro Líquido]]/Tabela2[[#This Row],[Lucro Anterior]]-1,0))</f>
        <v>-0.64471738416036806</v>
      </c>
    </row>
    <row r="417" spans="1:15">
      <c r="A417" s="4" t="s">
        <v>420</v>
      </c>
      <c r="B417" s="4">
        <v>2010</v>
      </c>
      <c r="C417" s="5">
        <v>24344000</v>
      </c>
      <c r="D417" s="74">
        <f>SUMPRODUCT(N(Tabela3[PAPEL]=Tabela2[[#This Row],[Ativo]]),Tabela3[Total Ações])</f>
        <v>18010000</v>
      </c>
      <c r="E417" s="64">
        <f>(Tabela2[[#This Row],[Lucro Líquido]])/Tabela2[[#This Row],[Total Ações]]</f>
        <v>1.351693503609106</v>
      </c>
      <c r="F417" s="64">
        <v>0.62594000000000005</v>
      </c>
      <c r="G417" s="43">
        <f>IF(AND(Tabela2[[#This Row],[Dividendo / Ação]]&gt;0,Tabela2[[#This Row],[Lucro por ação]]&gt;0),Tabela2[[#This Row],[Dividendo / Ação]]/Tabela2[[#This Row],[Lucro por ação]],"")</f>
        <v>0.46307835195530733</v>
      </c>
      <c r="H417" s="59">
        <f>MAX(Tabela2[[#This Row],[Cotação 1]],Tabela2[[#This Row],[Cotação 2]])</f>
        <v>6.58</v>
      </c>
      <c r="I417" s="44">
        <f>IF(Tabela2[[#This Row],[Dividendo / Ação]]&gt;0,Tabela2[[#This Row],[Dividendo / Ação]]/Tabela2[[#This Row],[Cotação]],"")</f>
        <v>9.5127659574468088E-2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6.58</v>
      </c>
      <c r="L417" s="17">
        <f>SUMPRODUCT(N([Ativo]=Tabela2[[#This Row],[Ativo]]),N([Exercício]=Tabela2[[#This Row],[Exercício]]-1),[Lucro Líquido])</f>
        <v>0</v>
      </c>
      <c r="M417" s="19" t="str">
        <f>IF(Tabela2[[#This Row],[Lucro Anterior]]=0,"",IF(Tabela2[[#This Row],[Lucro Líquido]]&gt;0,Tabela2[[#This Row],[Lucro Líquido]]/Tabela2[[#This Row],[Lucro Anterior]]-1,0))</f>
        <v/>
      </c>
    </row>
    <row r="418" spans="1:15">
      <c r="A418" s="3" t="s">
        <v>340</v>
      </c>
      <c r="B418" s="3">
        <v>2012</v>
      </c>
      <c r="C418" s="5">
        <v>172669675.86000001</v>
      </c>
      <c r="D418" s="65">
        <f>SUMPRODUCT(N(Tabela3[PAPEL]=Tabela2[[#This Row],[Ativo]]),Tabela3[Total Ações])</f>
        <v>12251221</v>
      </c>
      <c r="E418" s="63">
        <f>(Tabela2[[#This Row],[Lucro Líquido]])/Tabela2[[#This Row],[Total Ações]]</f>
        <v>14.094078937927902</v>
      </c>
      <c r="F418" s="63">
        <v>3.8149609419999999</v>
      </c>
      <c r="G418" s="71">
        <f>IF(AND(Tabela2[[#This Row],[Dividendo / Ação]]&gt;0,Tabela2[[#This Row],[Lucro por ação]]&gt;0),Tabela2[[#This Row],[Dividendo / Ação]]/Tabela2[[#This Row],[Lucro por ação]],"")</f>
        <v>0.27067827268469036</v>
      </c>
      <c r="H418" s="58">
        <f>MAX(Tabela2[[#This Row],[Cotação 1]],Tabela2[[#This Row],[Cotação 2]])</f>
        <v>158.99</v>
      </c>
      <c r="I418" s="22">
        <f>IF(Tabela2[[#This Row],[Dividendo / Ação]]&gt;0,Tabela2[[#This Row],[Dividendo / Ação]]/Tabela2[[#This Row],[Cotação]],"")</f>
        <v>2.3994974161896974E-2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158.99</v>
      </c>
      <c r="L418" s="7">
        <f>SUMPRODUCT(N([Ativo]=Tabela2[[#This Row],[Ativo]]),N([Exercício]=Tabela2[[#This Row],[Exercício]]-1),[Lucro Líquido])</f>
        <v>181046595.15000001</v>
      </c>
      <c r="M418" s="18">
        <f>IF(Tabela2[[#This Row],[Lucro Anterior]]=0,"",IF(Tabela2[[#This Row],[Lucro Líquido]]&gt;0,Tabela2[[#This Row],[Lucro Líquido]]/Tabela2[[#This Row],[Lucro Anterior]]-1,0))</f>
        <v>-4.6269410827967095E-2</v>
      </c>
    </row>
    <row r="419" spans="1:15">
      <c r="A419" s="3" t="s">
        <v>340</v>
      </c>
      <c r="B419" s="3">
        <v>2011</v>
      </c>
      <c r="C419" s="5">
        <v>181046595.15000001</v>
      </c>
      <c r="D419" s="65">
        <f>SUMPRODUCT(N(Tabela3[PAPEL]=Tabela2[[#This Row],[Ativo]]),Tabela3[Total Ações])</f>
        <v>12251221</v>
      </c>
      <c r="E419" s="63">
        <f>(Tabela2[[#This Row],[Lucro Líquido]])/Tabela2[[#This Row],[Total Ações]]</f>
        <v>14.777840931120254</v>
      </c>
      <c r="F419" s="63">
        <v>5.4828608059999997</v>
      </c>
      <c r="G419" s="71">
        <f>IF(AND(Tabela2[[#This Row],[Dividendo / Ação]]&gt;0,Tabela2[[#This Row],[Lucro por ação]]&gt;0),Tabela2[[#This Row],[Dividendo / Ação]]/Tabela2[[#This Row],[Lucro por ação]],"")</f>
        <v>0.37101907048233224</v>
      </c>
      <c r="H419" s="58">
        <f>MAX(Tabela2[[#This Row],[Cotação 1]],Tabela2[[#This Row],[Cotação 2]])</f>
        <v>158.99</v>
      </c>
      <c r="I419" s="22">
        <f>IF(Tabela2[[#This Row],[Dividendo / Ação]]&gt;0,Tabela2[[#This Row],[Dividendo / Ação]]/Tabela2[[#This Row],[Cotação]],"")</f>
        <v>3.4485570199383607E-2</v>
      </c>
      <c r="J419" s="7">
        <f>SUMPRODUCT(N(Tabela1[Código]=Tabela2[[#This Row],[Ativo]]),Tabela1[Fechamento])</f>
        <v>0</v>
      </c>
      <c r="K419" s="7">
        <f>SUMPRODUCT(N(Tabela17[Código]=Tabela2[[#This Row],[Ativo]]),Tabela17[Fechamento])</f>
        <v>158.99</v>
      </c>
      <c r="L419" s="7">
        <f>SUMPRODUCT(N([Ativo]=Tabela2[[#This Row],[Ativo]]),N([Exercício]=Tabela2[[#This Row],[Exercício]]-1),[Lucro Líquido])</f>
        <v>111311611.06999999</v>
      </c>
      <c r="M419" s="18">
        <f>IF(Tabela2[[#This Row],[Lucro Anterior]]=0,"",IF(Tabela2[[#This Row],[Lucro Líquido]]&gt;0,Tabela2[[#This Row],[Lucro Líquido]]/Tabela2[[#This Row],[Lucro Anterior]]-1,0))</f>
        <v>0.62648436591350842</v>
      </c>
    </row>
    <row r="420" spans="1:15">
      <c r="A420" s="3" t="s">
        <v>340</v>
      </c>
      <c r="B420" s="3">
        <v>2010</v>
      </c>
      <c r="C420" s="5">
        <v>111311611.06999999</v>
      </c>
      <c r="D420" s="65">
        <f>SUMPRODUCT(N(Tabela3[PAPEL]=Tabela2[[#This Row],[Ativo]]),Tabela3[Total Ações])</f>
        <v>12251221</v>
      </c>
      <c r="E420" s="63">
        <f>(Tabela2[[#This Row],[Lucro Líquido]])/Tabela2[[#This Row],[Total Ações]]</f>
        <v>9.0857565192889744</v>
      </c>
      <c r="F420" s="63">
        <v>3.6731054410000001</v>
      </c>
      <c r="G420" s="71">
        <f>IF(AND(Tabela2[[#This Row],[Dividendo / Ação]]&gt;0,Tabela2[[#This Row],[Lucro por ação]]&gt;0),Tabela2[[#This Row],[Dividendo / Ação]]/Tabela2[[#This Row],[Lucro por ação]],"")</f>
        <v>0.40427073223919574</v>
      </c>
      <c r="H420" s="58">
        <f>MAX(Tabela2[[#This Row],[Cotação 1]],Tabela2[[#This Row],[Cotação 2]])</f>
        <v>158.99</v>
      </c>
      <c r="I420" s="22">
        <f>IF(Tabela2[[#This Row],[Dividendo / Ação]]&gt;0,Tabela2[[#This Row],[Dividendo / Ação]]/Tabela2[[#This Row],[Cotação]],"")</f>
        <v>2.3102745084596515E-2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158.99</v>
      </c>
      <c r="L420" s="7">
        <f>SUMPRODUCT(N([Ativo]=Tabela2[[#This Row],[Ativo]]),N([Exercício]=Tabela2[[#This Row],[Exercício]]-1),[Lucro Líquido])</f>
        <v>74101153.209999993</v>
      </c>
      <c r="M420" s="18">
        <f>IF(Tabela2[[#This Row],[Lucro Anterior]]=0,"",IF(Tabela2[[#This Row],[Lucro Líquido]]&gt;0,Tabela2[[#This Row],[Lucro Líquido]]/Tabela2[[#This Row],[Lucro Anterior]]-1,0))</f>
        <v>0.50215760818926669</v>
      </c>
    </row>
    <row r="421" spans="1:15">
      <c r="A421" s="3" t="s">
        <v>340</v>
      </c>
      <c r="B421" s="3">
        <v>2009</v>
      </c>
      <c r="C421" s="5">
        <v>74101153.209999993</v>
      </c>
      <c r="D421" s="65">
        <f>SUMPRODUCT(N(Tabela3[PAPEL]=Tabela2[[#This Row],[Ativo]]),Tabela3[Total Ações])</f>
        <v>12251221</v>
      </c>
      <c r="E421" s="63">
        <f>(Tabela2[[#This Row],[Lucro Líquido]])/Tabela2[[#This Row],[Total Ações]]</f>
        <v>6.0484708593535288</v>
      </c>
      <c r="F421" s="63">
        <v>3.9996022359999999</v>
      </c>
      <c r="G421" s="71">
        <f>IF(AND(Tabela2[[#This Row],[Dividendo / Ação]]&gt;0,Tabela2[[#This Row],[Lucro por ação]]&gt;0),Tabela2[[#This Row],[Dividendo / Ação]]/Tabela2[[#This Row],[Lucro por ação]],"")</f>
        <v>0.66125841208524638</v>
      </c>
      <c r="H421" s="58">
        <f>MAX(Tabela2[[#This Row],[Cotação 1]],Tabela2[[#This Row],[Cotação 2]])</f>
        <v>158.99</v>
      </c>
      <c r="I421" s="22">
        <f>IF(Tabela2[[#This Row],[Dividendo / Ação]]&gt;0,Tabela2[[#This Row],[Dividendo / Ação]]/Tabela2[[#This Row],[Cotação]],"")</f>
        <v>2.5156313202088179E-2</v>
      </c>
      <c r="J421" s="7">
        <f>SUMPRODUCT(N(Tabela1[Código]=Tabela2[[#This Row],[Ativo]]),Tabela1[Fechamento])</f>
        <v>0</v>
      </c>
      <c r="K421" s="7">
        <f>SUMPRODUCT(N(Tabela17[Código]=Tabela2[[#This Row],[Ativo]]),Tabela17[Fechamento])</f>
        <v>158.99</v>
      </c>
      <c r="L421" s="7">
        <f>SUMPRODUCT(N([Ativo]=Tabela2[[#This Row],[Ativo]]),N([Exercício]=Tabela2[[#This Row],[Exercício]]-1),[Lucro Líquido])</f>
        <v>0</v>
      </c>
      <c r="M421" s="18" t="str">
        <f>IF(Tabela2[[#This Row],[Lucro Anterior]]=0,"",IF(Tabela2[[#This Row],[Lucro Líquido]]&gt;0,Tabela2[[#This Row],[Lucro Líquido]]/Tabela2[[#This Row],[Lucro Anterior]]-1,0))</f>
        <v/>
      </c>
    </row>
    <row r="422" spans="1:15">
      <c r="A422" s="4" t="s">
        <v>413</v>
      </c>
      <c r="B422" s="4">
        <v>2012</v>
      </c>
      <c r="C422" s="6">
        <v>386792226.60000002</v>
      </c>
      <c r="D422" s="74">
        <f>SUMPRODUCT(N(Tabela3[PAPEL]=Tabela2[[#This Row],[Ativo]]),Tabela3[Total Ações])</f>
        <v>189997214</v>
      </c>
      <c r="E422" s="64">
        <f>(Tabela2[[#This Row],[Lucro Líquido]])/Tabela2[[#This Row],[Total Ações]]</f>
        <v>2.0357784119929256</v>
      </c>
      <c r="F422" s="64">
        <v>1.0304815780000001</v>
      </c>
      <c r="G422" s="43">
        <f>IF(AND(Tabela2[[#This Row],[Dividendo / Ação]]&gt;0,Tabela2[[#This Row],[Lucro por ação]]&gt;0),Tabela2[[#This Row],[Dividendo / Ação]]/Tabela2[[#This Row],[Lucro por ação]],"")</f>
        <v>0.50618553175009351</v>
      </c>
      <c r="H422" s="59">
        <f>MAX(Tabela2[[#This Row],[Cotação 1]],Tabela2[[#This Row],[Cotação 2]])</f>
        <v>47.5</v>
      </c>
      <c r="I422" s="44">
        <f>IF(Tabela2[[#This Row],[Dividendo / Ação]]&gt;0,Tabela2[[#This Row],[Dividendo / Ação]]/Tabela2[[#This Row],[Cotação]],"")</f>
        <v>2.1694349010526318E-2</v>
      </c>
      <c r="J422" s="17">
        <f>SUMPRODUCT(N(Tabela1[Código]=Tabela2[[#This Row],[Ativo]]),Tabela1[Fechamento])</f>
        <v>0</v>
      </c>
      <c r="K422" s="17">
        <f>SUMPRODUCT(N(Tabela17[Código]=Tabela2[[#This Row],[Ativo]]),Tabela17[Fechamento])</f>
        <v>47.5</v>
      </c>
      <c r="L422" s="17">
        <f>SUMPRODUCT(N([Ativo]=Tabela2[[#This Row],[Ativo]]),N([Exercício]=Tabela2[[#This Row],[Exercício]]-1),[Lucro Líquido])</f>
        <v>296889622.02999997</v>
      </c>
      <c r="M422" s="19">
        <f>IF(Tabela2[[#This Row],[Lucro Anterior]]=0,"",IF(Tabela2[[#This Row],[Lucro Líquido]]&gt;0,Tabela2[[#This Row],[Lucro Líquido]]/Tabela2[[#This Row],[Lucro Anterior]]-1,0))</f>
        <v>0.30281491133063465</v>
      </c>
    </row>
    <row r="423" spans="1:15">
      <c r="A423" s="4" t="s">
        <v>413</v>
      </c>
      <c r="B423" s="4">
        <v>2011</v>
      </c>
      <c r="C423" s="6">
        <v>296889622.02999997</v>
      </c>
      <c r="D423" s="74">
        <f>SUMPRODUCT(N(Tabela3[PAPEL]=Tabela2[[#This Row],[Ativo]]),Tabela3[Total Ações])</f>
        <v>189997214</v>
      </c>
      <c r="E423" s="64">
        <f>(Tabela2[[#This Row],[Lucro Líquido]])/Tabela2[[#This Row],[Total Ações]]</f>
        <v>1.5625998707012618</v>
      </c>
      <c r="F423" s="64">
        <v>0.784386535</v>
      </c>
      <c r="G423" s="43">
        <f>IF(AND(Tabela2[[#This Row],[Dividendo / Ação]]&gt;0,Tabela2[[#This Row],[Lucro por ação]]&gt;0),Tabela2[[#This Row],[Dividendo / Ação]]/Tabela2[[#This Row],[Lucro por ação]],"")</f>
        <v>0.50197529752001313</v>
      </c>
      <c r="H423" s="59">
        <f>MAX(Tabela2[[#This Row],[Cotação 1]],Tabela2[[#This Row],[Cotação 2]])</f>
        <v>47.5</v>
      </c>
      <c r="I423" s="44">
        <f>IF(Tabela2[[#This Row],[Dividendo / Ação]]&gt;0,Tabela2[[#This Row],[Dividendo / Ação]]/Tabela2[[#This Row],[Cotação]],"")</f>
        <v>1.6513400736842106E-2</v>
      </c>
      <c r="J423" s="17">
        <f>SUMPRODUCT(N(Tabela1[Código]=Tabela2[[#This Row],[Ativo]]),Tabela1[Fechamento])</f>
        <v>0</v>
      </c>
      <c r="K423" s="17">
        <f>SUMPRODUCT(N(Tabela17[Código]=Tabela2[[#This Row],[Ativo]]),Tabela17[Fechamento])</f>
        <v>47.5</v>
      </c>
      <c r="L423" s="17">
        <f>SUMPRODUCT(N([Ativo]=Tabela2[[#This Row],[Ativo]]),N([Exercício]=Tabela2[[#This Row],[Exercício]]-1),[Lucro Líquido])</f>
        <v>216710069.06</v>
      </c>
      <c r="M423" s="19">
        <f>IF(Tabela2[[#This Row],[Lucro Anterior]]=0,"",IF(Tabela2[[#This Row],[Lucro Líquido]]&gt;0,Tabela2[[#This Row],[Lucro Líquido]]/Tabela2[[#This Row],[Lucro Anterior]]-1,0))</f>
        <v>0.36998536024554007</v>
      </c>
    </row>
    <row r="424" spans="1:15">
      <c r="A424" s="4" t="s">
        <v>413</v>
      </c>
      <c r="B424" s="4">
        <v>2010</v>
      </c>
      <c r="C424" s="6">
        <v>216710069.06</v>
      </c>
      <c r="D424" s="74">
        <f>SUMPRODUCT(N(Tabela3[PAPEL]=Tabela2[[#This Row],[Ativo]]),Tabela3[Total Ações])</f>
        <v>189997214</v>
      </c>
      <c r="E424" s="64">
        <f>(Tabela2[[#This Row],[Lucro Líquido]])/Tabela2[[#This Row],[Total Ações]]</f>
        <v>1.1405960355818692</v>
      </c>
      <c r="F424" s="64">
        <v>0.54198311700000001</v>
      </c>
      <c r="G424" s="43">
        <f>IF(AND(Tabela2[[#This Row],[Dividendo / Ação]]&gt;0,Tabela2[[#This Row],[Lucro por ação]]&gt;0),Tabela2[[#This Row],[Dividendo / Ação]]/Tabela2[[#This Row],[Lucro por ação]],"")</f>
        <v>0.47517534700487551</v>
      </c>
      <c r="H424" s="59">
        <f>MAX(Tabela2[[#This Row],[Cotação 1]],Tabela2[[#This Row],[Cotação 2]])</f>
        <v>47.5</v>
      </c>
      <c r="I424" s="44">
        <f>IF(Tabela2[[#This Row],[Dividendo / Ação]]&gt;0,Tabela2[[#This Row],[Dividendo / Ação]]/Tabela2[[#This Row],[Cotação]],"")</f>
        <v>1.1410170884210527E-2</v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47.5</v>
      </c>
      <c r="L424" s="17">
        <f>SUMPRODUCT(N([Ativo]=Tabela2[[#This Row],[Ativo]]),N([Exercício]=Tabela2[[#This Row],[Exercício]]-1),[Lucro Líquido])</f>
        <v>170612814.30000001</v>
      </c>
      <c r="M424" s="19">
        <f>IF(Tabela2[[#This Row],[Lucro Anterior]]=0,"",IF(Tabela2[[#This Row],[Lucro Líquido]]&gt;0,Tabela2[[#This Row],[Lucro Líquido]]/Tabela2[[#This Row],[Lucro Anterior]]-1,0))</f>
        <v>0.2701863570396541</v>
      </c>
    </row>
    <row r="425" spans="1:15">
      <c r="A425" s="4" t="s">
        <v>413</v>
      </c>
      <c r="B425" s="4">
        <v>2009</v>
      </c>
      <c r="C425" s="6">
        <v>170612814.30000001</v>
      </c>
      <c r="D425" s="74">
        <f>SUMPRODUCT(N(Tabela3[PAPEL]=Tabela2[[#This Row],[Ativo]]),Tabela3[Total Ações])</f>
        <v>189997214</v>
      </c>
      <c r="E425" s="64">
        <f>(Tabela2[[#This Row],[Lucro Líquido]])/Tabela2[[#This Row],[Total Ações]]</f>
        <v>0.89797534768062448</v>
      </c>
      <c r="F425" s="64">
        <v>0.32047732699999998</v>
      </c>
      <c r="G425" s="43">
        <f>IF(AND(Tabela2[[#This Row],[Dividendo / Ação]]&gt;0,Tabela2[[#This Row],[Lucro por ação]]&gt;0),Tabela2[[#This Row],[Dividendo / Ação]]/Tabela2[[#This Row],[Lucro por ação]],"")</f>
        <v>0.35688878077528419</v>
      </c>
      <c r="H425" s="59">
        <f>MAX(Tabela2[[#This Row],[Cotação 1]],Tabela2[[#This Row],[Cotação 2]])</f>
        <v>47.5</v>
      </c>
      <c r="I425" s="44">
        <f>IF(Tabela2[[#This Row],[Dividendo / Ação]]&gt;0,Tabela2[[#This Row],[Dividendo / Ação]]/Tabela2[[#This Row],[Cotação]],"")</f>
        <v>6.7468910947368413E-3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47.5</v>
      </c>
      <c r="L425" s="17">
        <f>SUMPRODUCT(N([Ativo]=Tabela2[[#This Row],[Ativo]]),N([Exercício]=Tabela2[[#This Row],[Exercício]]-1),[Lucro Líquido])</f>
        <v>0</v>
      </c>
      <c r="M425" s="19" t="str">
        <f>IF(Tabela2[[#This Row],[Lucro Anterior]]=0,"",IF(Tabela2[[#This Row],[Lucro Líquido]]&gt;0,Tabela2[[#This Row],[Lucro Líquido]]/Tabela2[[#This Row],[Lucro Anterior]]-1,0))</f>
        <v/>
      </c>
    </row>
    <row r="426" spans="1:15">
      <c r="A426" s="14" t="s">
        <v>322</v>
      </c>
      <c r="B426" s="3">
        <v>2012</v>
      </c>
      <c r="C426" s="5">
        <v>837439831.94000006</v>
      </c>
      <c r="D426" s="60">
        <f>SUMPRODUCT(N(Tabela3[PAPEL]=Tabela2[[#This Row],[Ativo]]),Tabela3[Total Ações])</f>
        <v>1797086404</v>
      </c>
      <c r="E426" s="63">
        <f>(Tabela2[[#This Row],[Lucro Líquido]])/Tabela2[[#This Row],[Total Ações]]</f>
        <v>0.46599864651805584</v>
      </c>
      <c r="F426" s="63">
        <v>4.07</v>
      </c>
      <c r="G426" s="22">
        <f>IF(AND(Tabela2[[#This Row],[Dividendo / Ação]]&gt;0,Tabela2[[#This Row],[Lucro por ação]]&gt;0),Tabela2[[#This Row],[Dividendo / Ação]]/Tabela2[[#This Row],[Lucro por ação]],"")</f>
        <v>8.7339309468193953</v>
      </c>
      <c r="H426" s="49">
        <f>MAX(Tabela2[[#This Row],[Cotação 1]],Tabela2[[#This Row],[Cotação 2]])</f>
        <v>4.6900000000000004</v>
      </c>
      <c r="I426" s="18">
        <f>IF(Tabela2[[#This Row],[Dividendo / Ação]]&gt;0,Tabela2[[#This Row],[Dividendo / Ação]]/Tabela2[[#This Row],[Cotação]],"")</f>
        <v>0.86780383795309168</v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4.6900000000000004</v>
      </c>
      <c r="L426" s="7">
        <f>SUMPRODUCT(N([Ativo]=Tabela2[[#This Row],[Ativo]]),N([Exercício]=Tabela2[[#This Row],[Exercício]]-1),[Lucro Líquido])</f>
        <v>1005731443.8099999</v>
      </c>
      <c r="M426" s="18">
        <f>IF(Tabela2[[#This Row],[Lucro Anterior]]=0,"",IF(Tabela2[[#This Row],[Lucro Líquido]]&gt;0,Tabela2[[#This Row],[Lucro Líquido]]/Tabela2[[#This Row],[Lucro Anterior]]-1,0))</f>
        <v>-0.16733255473495279</v>
      </c>
    </row>
    <row r="427" spans="1:15">
      <c r="A427" s="14" t="s">
        <v>322</v>
      </c>
      <c r="B427" s="3">
        <v>2011</v>
      </c>
      <c r="C427" s="5">
        <v>1005731443.8099999</v>
      </c>
      <c r="D427" s="60">
        <f>SUMPRODUCT(N(Tabela3[PAPEL]=Tabela2[[#This Row],[Ativo]]),Tabela3[Total Ações])</f>
        <v>1797086404</v>
      </c>
      <c r="E427" s="63">
        <f>(Tabela2[[#This Row],[Lucro Líquido]])/Tabela2[[#This Row],[Total Ações]]</f>
        <v>0.55964556939021837</v>
      </c>
      <c r="F427" s="63">
        <v>0.92</v>
      </c>
      <c r="G427" s="22">
        <f>IF(AND(Tabela2[[#This Row],[Dividendo / Ação]]&gt;0,Tabela2[[#This Row],[Lucro por ação]]&gt;0),Tabela2[[#This Row],[Dividendo / Ação]]/Tabela2[[#This Row],[Lucro por ação]],"")</f>
        <v>1.6438975850419375</v>
      </c>
      <c r="H427" s="49">
        <f>MAX(Tabela2[[#This Row],[Cotação 1]],Tabela2[[#This Row],[Cotação 2]])</f>
        <v>4.6900000000000004</v>
      </c>
      <c r="I427" s="18">
        <f>IF(Tabela2[[#This Row],[Dividendo / Ação]]&gt;0,Tabela2[[#This Row],[Dividendo / Ação]]/Tabela2[[#This Row],[Cotação]],"")</f>
        <v>0.19616204690831557</v>
      </c>
      <c r="J427" s="7">
        <f>SUMPRODUCT(N(Tabela1[Código]=Tabela2[[#This Row],[Ativo]]),Tabela1[Fechamento])</f>
        <v>0</v>
      </c>
      <c r="K427" s="7">
        <f>SUMPRODUCT(N(Tabela17[Código]=Tabela2[[#This Row],[Ativo]]),Tabela17[Fechamento])</f>
        <v>4.6900000000000004</v>
      </c>
      <c r="L427" s="7">
        <f>SUMPRODUCT(N([Ativo]=Tabela2[[#This Row],[Ativo]]),N([Exercício]=Tabela2[[#This Row],[Exercício]]-1),[Lucro Líquido])</f>
        <v>1971024029.29</v>
      </c>
      <c r="M427" s="18">
        <f>IF(Tabela2[[#This Row],[Lucro Anterior]]=0,"",IF(Tabela2[[#This Row],[Lucro Líquido]]&gt;0,Tabela2[[#This Row],[Lucro Líquido]]/Tabela2[[#This Row],[Lucro Anterior]]-1,0))</f>
        <v>-0.48974166277806197</v>
      </c>
    </row>
    <row r="428" spans="1:15">
      <c r="A428" s="14" t="s">
        <v>322</v>
      </c>
      <c r="B428" s="3">
        <v>2010</v>
      </c>
      <c r="C428" s="5">
        <v>1971024029.29</v>
      </c>
      <c r="D428" s="60">
        <f>SUMPRODUCT(N(Tabela3[PAPEL]=Tabela2[[#This Row],[Ativo]]),Tabela3[Total Ações])</f>
        <v>1797086404</v>
      </c>
      <c r="E428" s="63">
        <f>(Tabela2[[#This Row],[Lucro Líquido]])/Tabela2[[#This Row],[Total Ações]]</f>
        <v>1.0967886824489046</v>
      </c>
      <c r="F428" s="63">
        <v>0</v>
      </c>
      <c r="G428" s="22" t="str">
        <f>IF(AND(Tabela2[[#This Row],[Dividendo / Ação]]&gt;0,Tabela2[[#This Row],[Lucro por ação]]&gt;0),Tabela2[[#This Row],[Dividendo / Ação]]/Tabela2[[#This Row],[Lucro por ação]],"")</f>
        <v/>
      </c>
      <c r="H428" s="49">
        <f>MAX(Tabela2[[#This Row],[Cotação 1]],Tabela2[[#This Row],[Cotação 2]])</f>
        <v>4.6900000000000004</v>
      </c>
      <c r="I428" s="18" t="str">
        <f>IF(Tabela2[[#This Row],[Dividendo / Ação]]&gt;0,Tabela2[[#This Row],[Dividendo / Ação]]/Tabela2[[#This Row],[Cotação]],"")</f>
        <v/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4.6900000000000004</v>
      </c>
      <c r="L428" s="7">
        <f>SUMPRODUCT(N([Ativo]=Tabela2[[#This Row],[Ativo]]),N([Exercício]=Tabela2[[#This Row],[Exercício]]-1),[Lucro Líquido])</f>
        <v>0</v>
      </c>
      <c r="M428" s="18" t="str">
        <f>IF(Tabela2[[#This Row],[Lucro Anterior]]=0,"",IF(Tabela2[[#This Row],[Lucro Líquido]]&gt;0,Tabela2[[#This Row],[Lucro Líquido]]/Tabela2[[#This Row],[Lucro Anterior]]-1,0))</f>
        <v/>
      </c>
    </row>
    <row r="429" spans="1:15">
      <c r="A429" s="10" t="s">
        <v>323</v>
      </c>
      <c r="B429" s="3">
        <v>2012</v>
      </c>
      <c r="C429" s="5">
        <v>837439831.94000006</v>
      </c>
      <c r="D429" s="60">
        <f>SUMPRODUCT(N(Tabela3[PAPEL]=Tabela2[[#This Row],[Ativo]]),Tabela3[Total Ações])</f>
        <v>1797086404</v>
      </c>
      <c r="E429" s="63">
        <f>(Tabela2[[#This Row],[Lucro Líquido]])/Tabela2[[#This Row],[Total Ações]]</f>
        <v>0.46599864651805584</v>
      </c>
      <c r="F429" s="63">
        <v>4.07</v>
      </c>
      <c r="G429" s="22">
        <f>IF(AND(Tabela2[[#This Row],[Dividendo / Ação]]&gt;0,Tabela2[[#This Row],[Lucro por ação]]&gt;0),Tabela2[[#This Row],[Dividendo / Ação]]/Tabela2[[#This Row],[Lucro por ação]],"")</f>
        <v>8.7339309468193953</v>
      </c>
      <c r="H429" s="49">
        <f>MAX(Tabela2[[#This Row],[Cotação 1]],Tabela2[[#This Row],[Cotação 2]])</f>
        <v>4.3899999999999997</v>
      </c>
      <c r="I429" s="18">
        <f>IF(Tabela2[[#This Row],[Dividendo / Ação]]&gt;0,Tabela2[[#This Row],[Dividendo / Ação]]/Tabela2[[#This Row],[Cotação]],"")</f>
        <v>0.92710706150341704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4.3899999999999997</v>
      </c>
      <c r="L429" s="7">
        <f>SUMPRODUCT(N([Ativo]=Tabela2[[#This Row],[Ativo]]),N([Exercício]=Tabela2[[#This Row],[Exercício]]-1),[Lucro Líquido])</f>
        <v>1005731443.8099999</v>
      </c>
      <c r="M429" s="18">
        <f>IF(Tabela2[[#This Row],[Lucro Anterior]]=0,"",IF(Tabela2[[#This Row],[Lucro Líquido]]&gt;0,Tabela2[[#This Row],[Lucro Líquido]]/Tabela2[[#This Row],[Lucro Anterior]]-1,0))</f>
        <v>-0.16733255473495279</v>
      </c>
    </row>
    <row r="430" spans="1:15">
      <c r="A430" s="10" t="s">
        <v>323</v>
      </c>
      <c r="B430" s="3">
        <v>2011</v>
      </c>
      <c r="C430" s="5">
        <v>1005731443.8099999</v>
      </c>
      <c r="D430" s="60">
        <f>SUMPRODUCT(N(Tabela3[PAPEL]=Tabela2[[#This Row],[Ativo]]),Tabela3[Total Ações])</f>
        <v>1797086404</v>
      </c>
      <c r="E430" s="63">
        <f>(Tabela2[[#This Row],[Lucro Líquido]])/Tabela2[[#This Row],[Total Ações]]</f>
        <v>0.55964556939021837</v>
      </c>
      <c r="F430" s="63">
        <v>0.92</v>
      </c>
      <c r="G430" s="22">
        <f>IF(AND(Tabela2[[#This Row],[Dividendo / Ação]]&gt;0,Tabela2[[#This Row],[Lucro por ação]]&gt;0),Tabela2[[#This Row],[Dividendo / Ação]]/Tabela2[[#This Row],[Lucro por ação]],"")</f>
        <v>1.6438975850419375</v>
      </c>
      <c r="H430" s="49">
        <f>MAX(Tabela2[[#This Row],[Cotação 1]],Tabela2[[#This Row],[Cotação 2]])</f>
        <v>4.3899999999999997</v>
      </c>
      <c r="I430" s="18">
        <f>IF(Tabela2[[#This Row],[Dividendo / Ação]]&gt;0,Tabela2[[#This Row],[Dividendo / Ação]]/Tabela2[[#This Row],[Cotação]],"")</f>
        <v>0.20956719817767655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4.3899999999999997</v>
      </c>
      <c r="L430" s="7">
        <f>SUMPRODUCT(N([Ativo]=Tabela2[[#This Row],[Ativo]]),N([Exercício]=Tabela2[[#This Row],[Exercício]]-1),[Lucro Líquido])</f>
        <v>1971024029.29</v>
      </c>
      <c r="M430" s="18">
        <f>IF(Tabela2[[#This Row],[Lucro Anterior]]=0,"",IF(Tabela2[[#This Row],[Lucro Líquido]]&gt;0,Tabela2[[#This Row],[Lucro Líquido]]/Tabela2[[#This Row],[Lucro Anterior]]-1,0))</f>
        <v>-0.48974166277806197</v>
      </c>
    </row>
    <row r="431" spans="1:15">
      <c r="A431" s="10" t="s">
        <v>323</v>
      </c>
      <c r="B431" s="3">
        <v>2010</v>
      </c>
      <c r="C431" s="5">
        <v>1971024029.29</v>
      </c>
      <c r="D431" s="60">
        <f>SUMPRODUCT(N(Tabela3[PAPEL]=Tabela2[[#This Row],[Ativo]]),Tabela3[Total Ações])</f>
        <v>1797086404</v>
      </c>
      <c r="E431" s="63">
        <f>(Tabela2[[#This Row],[Lucro Líquido]])/Tabela2[[#This Row],[Total Ações]]</f>
        <v>1.0967886824489046</v>
      </c>
      <c r="F431" s="63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49">
        <f>MAX(Tabela2[[#This Row],[Cotação 1]],Tabela2[[#This Row],[Cotação 2]])</f>
        <v>4.3899999999999997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4.3899999999999997</v>
      </c>
      <c r="L431" s="7">
        <f>SUMPRODUCT(N([Ativo]=Tabela2[[#This Row],[Ativo]]),N([Exercício]=Tabela2[[#This Row],[Exercício]]-1),[Lucro Líquido])</f>
        <v>0</v>
      </c>
      <c r="M431" s="18" t="str">
        <f>IF(Tabela2[[#This Row],[Lucro Anterior]]=0,"",IF(Tabela2[[#This Row],[Lucro Líquido]]&gt;0,Tabela2[[#This Row],[Lucro Líquido]]/Tabela2[[#This Row],[Lucro Anterior]]-1,0))</f>
        <v/>
      </c>
    </row>
    <row r="432" spans="1:15">
      <c r="A432" s="4" t="s">
        <v>376</v>
      </c>
      <c r="B432" s="4">
        <v>2012</v>
      </c>
      <c r="C432" s="6">
        <v>15469895.77</v>
      </c>
      <c r="D432" s="74">
        <f>SUMPRODUCT(N(Tabela3[PAPEL]=Tabela2[[#This Row],[Ativo]]),Tabela3[Total Ações])</f>
        <v>12587262</v>
      </c>
      <c r="E432" s="64">
        <f>(Tabela2[[#This Row],[Lucro Líquido]])/Tabela2[[#This Row],[Total Ações]]</f>
        <v>1.2290119781410762</v>
      </c>
      <c r="F432" s="64">
        <v>1.0680540000000001</v>
      </c>
      <c r="G432" s="43">
        <f>IF(AND(Tabela2[[#This Row],[Dividendo / Ação]]&gt;0,Tabela2[[#This Row],[Lucro por ação]]&gt;0),Tabela2[[#This Row],[Dividendo / Ação]]/Tabela2[[#This Row],[Lucro por ação]],"")</f>
        <v>0.86903465466257634</v>
      </c>
      <c r="H432" s="59">
        <f>MAX(Tabela2[[#This Row],[Cotação 1]],Tabela2[[#This Row],[Cotação 2]])</f>
        <v>20</v>
      </c>
      <c r="I432" s="44">
        <f>IF(Tabela2[[#This Row],[Dividendo / Ação]]&gt;0,Tabela2[[#This Row],[Dividendo / Ação]]/Tabela2[[#This Row],[Cotação]],"")</f>
        <v>5.3402700000000004E-2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20</v>
      </c>
      <c r="L432" s="17">
        <f>SUMPRODUCT(N([Ativo]=Tabela2[[#This Row],[Ativo]]),N([Exercício]=Tabela2[[#This Row],[Exercício]]-1),[Lucro Líquido])</f>
        <v>13306306.460000001</v>
      </c>
      <c r="M432" s="19">
        <f>IF(Tabela2[[#This Row],[Lucro Anterior]]=0,"",IF(Tabela2[[#This Row],[Lucro Líquido]]&gt;0,Tabela2[[#This Row],[Lucro Líquido]]/Tabela2[[#This Row],[Lucro Anterior]]-1,0))</f>
        <v>0.1625987885146003</v>
      </c>
      <c r="O432" s="3">
        <f>8225751+310249</f>
        <v>8536000</v>
      </c>
    </row>
    <row r="433" spans="1:13">
      <c r="A433" s="4" t="s">
        <v>376</v>
      </c>
      <c r="B433" s="4">
        <v>2011</v>
      </c>
      <c r="C433" s="6">
        <v>13306306.460000001</v>
      </c>
      <c r="D433" s="74">
        <f>SUMPRODUCT(N(Tabela3[PAPEL]=Tabela2[[#This Row],[Ativo]]),Tabela3[Total Ações])</f>
        <v>12587262</v>
      </c>
      <c r="E433" s="64">
        <f>(Tabela2[[#This Row],[Lucro Líquido]])/Tabela2[[#This Row],[Total Ações]]</f>
        <v>1.0571247710582334</v>
      </c>
      <c r="F433" s="64">
        <v>1.003811</v>
      </c>
      <c r="G433" s="43">
        <f>IF(AND(Tabela2[[#This Row],[Dividendo / Ação]]&gt;0,Tabela2[[#This Row],[Lucro por ação]]&gt;0),Tabela2[[#This Row],[Dividendo / Ação]]/Tabela2[[#This Row],[Lucro por ação]],"")</f>
        <v>0.9495671915767675</v>
      </c>
      <c r="H433" s="59">
        <f>MAX(Tabela2[[#This Row],[Cotação 1]],Tabela2[[#This Row],[Cotação 2]])</f>
        <v>20</v>
      </c>
      <c r="I433" s="44">
        <f>IF(Tabela2[[#This Row],[Dividendo / Ação]]&gt;0,Tabela2[[#This Row],[Dividendo / Ação]]/Tabela2[[#This Row],[Cotação]],"")</f>
        <v>5.019055E-2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20</v>
      </c>
      <c r="L433" s="17">
        <f>SUMPRODUCT(N([Ativo]=Tabela2[[#This Row],[Ativo]]),N([Exercício]=Tabela2[[#This Row],[Exercício]]-1),[Lucro Líquido])</f>
        <v>19966613.23</v>
      </c>
      <c r="M433" s="19">
        <f>IF(Tabela2[[#This Row],[Lucro Anterior]]=0,"",IF(Tabela2[[#This Row],[Lucro Líquido]]&gt;0,Tabela2[[#This Row],[Lucro Líquido]]/Tabela2[[#This Row],[Lucro Anterior]]-1,0))</f>
        <v>-0.333572183388259</v>
      </c>
    </row>
    <row r="434" spans="1:13">
      <c r="A434" s="4" t="s">
        <v>376</v>
      </c>
      <c r="B434" s="4">
        <v>2010</v>
      </c>
      <c r="C434" s="6">
        <v>19966613.23</v>
      </c>
      <c r="D434" s="74">
        <f>SUMPRODUCT(N(Tabela3[PAPEL]=Tabela2[[#This Row],[Ativo]]),Tabela3[Total Ações])</f>
        <v>12587262</v>
      </c>
      <c r="E434" s="64">
        <f>(Tabela2[[#This Row],[Lucro Líquido]])/Tabela2[[#This Row],[Total Ações]]</f>
        <v>1.5862554723974125</v>
      </c>
      <c r="F434" s="64">
        <v>0.962588</v>
      </c>
      <c r="G434" s="43">
        <f>IF(AND(Tabela2[[#This Row],[Dividendo / Ação]]&gt;0,Tabela2[[#This Row],[Lucro por ação]]&gt;0),Tabela2[[#This Row],[Dividendo / Ação]]/Tabela2[[#This Row],[Lucro por ação]],"")</f>
        <v>0.6068303730074307</v>
      </c>
      <c r="H434" s="59">
        <f>MAX(Tabela2[[#This Row],[Cotação 1]],Tabela2[[#This Row],[Cotação 2]])</f>
        <v>20</v>
      </c>
      <c r="I434" s="44">
        <f>IF(Tabela2[[#This Row],[Dividendo / Ação]]&gt;0,Tabela2[[#This Row],[Dividendo / Ação]]/Tabela2[[#This Row],[Cotação]],"")</f>
        <v>4.8129400000000003E-2</v>
      </c>
      <c r="J434" s="17">
        <f>SUMPRODUCT(N(Tabela1[Código]=Tabela2[[#This Row],[Ativo]]),Tabela1[Fechamento])</f>
        <v>0</v>
      </c>
      <c r="K434" s="17">
        <f>SUMPRODUCT(N(Tabela17[Código]=Tabela2[[#This Row],[Ativo]]),Tabela17[Fechamento])</f>
        <v>20</v>
      </c>
      <c r="L434" s="17">
        <f>SUMPRODUCT(N([Ativo]=Tabela2[[#This Row],[Ativo]]),N([Exercício]=Tabela2[[#This Row],[Exercício]]-1),[Lucro Líquido])</f>
        <v>8984823.1899999995</v>
      </c>
      <c r="M434" s="19">
        <f>IF(Tabela2[[#This Row],[Lucro Anterior]]=0,"",IF(Tabela2[[#This Row],[Lucro Líquido]]&gt;0,Tabela2[[#This Row],[Lucro Líquido]]/Tabela2[[#This Row],[Lucro Anterior]]-1,0))</f>
        <v>1.2222600053190362</v>
      </c>
    </row>
    <row r="435" spans="1:13">
      <c r="A435" s="4" t="s">
        <v>376</v>
      </c>
      <c r="B435" s="4">
        <v>2009</v>
      </c>
      <c r="C435" s="6">
        <v>8984823.1899999995</v>
      </c>
      <c r="D435" s="74">
        <f>SUMPRODUCT(N(Tabela3[PAPEL]=Tabela2[[#This Row],[Ativo]]),Tabela3[Total Ações])</f>
        <v>12587262</v>
      </c>
      <c r="E435" s="64">
        <f>(Tabela2[[#This Row],[Lucro Líquido]])/Tabela2[[#This Row],[Total Ações]]</f>
        <v>0.71380282622225544</v>
      </c>
      <c r="F435" s="64">
        <v>0.86186600000000002</v>
      </c>
      <c r="G435" s="43">
        <f>IF(AND(Tabela2[[#This Row],[Dividendo / Ação]]&gt;0,Tabela2[[#This Row],[Lucro por ação]]&gt;0),Tabela2[[#This Row],[Dividendo / Ação]]/Tabela2[[#This Row],[Lucro por ação]],"")</f>
        <v>1.2074286740518487</v>
      </c>
      <c r="H435" s="59">
        <f>MAX(Tabela2[[#This Row],[Cotação 1]],Tabela2[[#This Row],[Cotação 2]])</f>
        <v>20</v>
      </c>
      <c r="I435" s="44">
        <f>IF(Tabela2[[#This Row],[Dividendo / Ação]]&gt;0,Tabela2[[#This Row],[Dividendo / Ação]]/Tabela2[[#This Row],[Cotação]],"")</f>
        <v>4.3093300000000001E-2</v>
      </c>
      <c r="J435" s="17">
        <f>SUMPRODUCT(N(Tabela1[Código]=Tabela2[[#This Row],[Ativo]]),Tabela1[Fechamento])</f>
        <v>0</v>
      </c>
      <c r="K435" s="17">
        <f>SUMPRODUCT(N(Tabela17[Código]=Tabela2[[#This Row],[Ativo]]),Tabela17[Fechamento])</f>
        <v>20</v>
      </c>
      <c r="L435" s="17">
        <f>SUMPRODUCT(N([Ativo]=Tabela2[[#This Row],[Ativo]]),N([Exercício]=Tabela2[[#This Row],[Exercício]]-1),[Lucro Líquido])</f>
        <v>0</v>
      </c>
      <c r="M435" s="19" t="str">
        <f>IF(Tabela2[[#This Row],[Lucro Anterior]]=0,"",IF(Tabela2[[#This Row],[Lucro Líquido]]&gt;0,Tabela2[[#This Row],[Lucro Líquido]]/Tabela2[[#This Row],[Lucro Anterior]]-1,0))</f>
        <v/>
      </c>
    </row>
    <row r="436" spans="1:13">
      <c r="A436" s="4" t="s">
        <v>20</v>
      </c>
      <c r="B436" s="4">
        <v>2012</v>
      </c>
      <c r="C436" s="6">
        <v>20894905121.599998</v>
      </c>
      <c r="D436" s="8">
        <f>SUMPRODUCT(N(Tabela3[PAPEL]=Tabela2[[#This Row],[Ativo]]),Tabela3[Total Ações])</f>
        <v>13044496930</v>
      </c>
      <c r="E436" s="64">
        <f>(Tabela2[[#This Row],[Lucro Líquido]])/Tabela2[[#This Row],[Total Ações]]</f>
        <v>1.6018176272896711</v>
      </c>
      <c r="F436" s="64">
        <v>0.47</v>
      </c>
      <c r="G436" s="44">
        <f>IF(AND(Tabela2[[#This Row],[Dividendo / Ação]]&gt;0,Tabela2[[#This Row],[Lucro por ação]]&gt;0),Tabela2[[#This Row],[Dividendo / Ação]]/Tabela2[[#This Row],[Lucro por ação]],"")</f>
        <v>0.29341667365420099</v>
      </c>
      <c r="H436" s="13">
        <f>MAX(Tabela2[[#This Row],[Cotação 1]],Tabela2[[#This Row],[Cotação 2]])</f>
        <v>14.98</v>
      </c>
      <c r="I436" s="19">
        <f>IF(Tabela2[[#This Row],[Dividendo / Ação]]&gt;0,Tabela2[[#This Row],[Dividendo / Ação]]/Tabela2[[#This Row],[Cotação]],"")</f>
        <v>3.1375166889185575E-2</v>
      </c>
      <c r="J436" s="17">
        <f>SUMPRODUCT(N(Tabela1[Código]=Tabela2[[#This Row],[Ativo]]),Tabela1[Fechamento])</f>
        <v>0</v>
      </c>
      <c r="K436" s="17">
        <f>SUMPRODUCT(N(Tabela17[Código]=Tabela2[[#This Row],[Ativo]]),Tabela17[Fechamento])</f>
        <v>14.98</v>
      </c>
      <c r="L436" s="17">
        <f>SUMPRODUCT(N([Ativo]=Tabela2[[#This Row],[Ativo]]),N([Exercício]=Tabela2[[#This Row],[Exercício]]-1),[Lucro Líquido])</f>
        <v>33133022202</v>
      </c>
      <c r="M436" s="19">
        <f>IF(Tabela2[[#This Row],[Lucro Anterior]]=0,"",IF(Tabela2[[#This Row],[Lucro Líquido]]&gt;0,Tabela2[[#This Row],[Lucro Líquido]]/Tabela2[[#This Row],[Lucro Anterior]]-1,0))</f>
        <v>-0.36936313885852756</v>
      </c>
    </row>
    <row r="437" spans="1:13">
      <c r="A437" s="4" t="s">
        <v>20</v>
      </c>
      <c r="B437" s="3">
        <v>2011</v>
      </c>
      <c r="C437" s="5">
        <v>33133022202</v>
      </c>
      <c r="D437" s="60">
        <f>SUMPRODUCT(N(Tabela3[PAPEL]=Tabela2[[#This Row],[Ativo]]),Tabela3[Total Ações])</f>
        <v>13044496930</v>
      </c>
      <c r="E437" s="63">
        <f>(Tabela2[[#This Row],[Lucro Líquido]])/Tabela2[[#This Row],[Total Ações]]</f>
        <v>2.5399999999846679</v>
      </c>
      <c r="F437" s="63">
        <v>0.92</v>
      </c>
      <c r="G437" s="22">
        <f>IF(AND(Tabela2[[#This Row],[Dividendo / Ação]]&gt;0,Tabela2[[#This Row],[Lucro por ação]]&gt;0),Tabela2[[#This Row],[Dividendo / Ação]]/Tabela2[[#This Row],[Lucro por ação]],"")</f>
        <v>0.3622047244116352</v>
      </c>
      <c r="H437" s="49">
        <f>MAX(Tabela2[[#This Row],[Cotação 1]],Tabela2[[#This Row],[Cotação 2]])</f>
        <v>14.98</v>
      </c>
      <c r="I437" s="18">
        <f>IF(Tabela2[[#This Row],[Dividendo / Ação]]&gt;0,Tabela2[[#This Row],[Dividendo / Ação]]/Tabela2[[#This Row],[Cotação]],"")</f>
        <v>6.1415220293724967E-2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14.98</v>
      </c>
      <c r="L437" s="7">
        <f>SUMPRODUCT(N([Ativo]=Tabela2[[#This Row],[Ativo]]),N([Exercício]=Tabela2[[#This Row],[Exercício]]-1),[Lucro Líquido])</f>
        <v>46307964102</v>
      </c>
      <c r="M437" s="18">
        <f>IF(Tabela2[[#This Row],[Lucro Anterior]]=0,"",IF(Tabela2[[#This Row],[Lucro Líquido]]&gt;0,Tabela2[[#This Row],[Lucro Líquido]]/Tabela2[[#This Row],[Lucro Anterior]]-1,0))</f>
        <v>-0.28450704226556545</v>
      </c>
    </row>
    <row r="438" spans="1:13">
      <c r="A438" s="4" t="s">
        <v>20</v>
      </c>
      <c r="B438" s="3">
        <v>2010</v>
      </c>
      <c r="C438" s="5">
        <v>46307964102</v>
      </c>
      <c r="D438" s="60">
        <f>SUMPRODUCT(N(Tabela3[PAPEL]=Tabela2[[#This Row],[Ativo]]),Tabela3[Total Ações])</f>
        <v>13044496930</v>
      </c>
      <c r="E438" s="63">
        <f>(Tabela2[[#This Row],[Lucro Líquido]])/Tabela2[[#This Row],[Total Ações]]</f>
        <v>3.5500000000383305</v>
      </c>
      <c r="F438" s="63">
        <v>1.03</v>
      </c>
      <c r="G438" s="22">
        <f>IF(AND(Tabela2[[#This Row],[Dividendo / Ação]]&gt;0,Tabela2[[#This Row],[Lucro por ação]]&gt;0),Tabela2[[#This Row],[Dividendo / Ação]]/Tabela2[[#This Row],[Lucro por ação]],"")</f>
        <v>0.29014084506728982</v>
      </c>
      <c r="H438" s="49">
        <f>MAX(Tabela2[[#This Row],[Cotação 1]],Tabela2[[#This Row],[Cotação 2]])</f>
        <v>14.98</v>
      </c>
      <c r="I438" s="18">
        <f>IF(Tabela2[[#This Row],[Dividendo / Ação]]&gt;0,Tabela2[[#This Row],[Dividendo / Ação]]/Tabela2[[#This Row],[Cotação]],"")</f>
        <v>6.8758344459279044E-2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14.98</v>
      </c>
      <c r="L438" s="7">
        <f>SUMPRODUCT(N([Ativo]=Tabela2[[#This Row],[Ativo]]),N([Exercício]=Tabela2[[#This Row],[Exercício]]-1),[Lucro Líquido])</f>
        <v>44612179501</v>
      </c>
      <c r="M438" s="18">
        <f>IF(Tabela2[[#This Row],[Lucro Anterior]]=0,"",IF(Tabela2[[#This Row],[Lucro Líquido]]&gt;0,Tabela2[[#This Row],[Lucro Líquido]]/Tabela2[[#This Row],[Lucro Anterior]]-1,0))</f>
        <v>3.801169590833342E-2</v>
      </c>
    </row>
    <row r="439" spans="1:13">
      <c r="A439" s="4" t="s">
        <v>20</v>
      </c>
      <c r="B439" s="3">
        <v>2009</v>
      </c>
      <c r="C439" s="5">
        <v>44612179501</v>
      </c>
      <c r="D439" s="60">
        <f>SUMPRODUCT(N(Tabela3[PAPEL]=Tabela2[[#This Row],[Ativo]]),Tabela3[Total Ações])</f>
        <v>13044496930</v>
      </c>
      <c r="E439" s="63">
        <f>(Tabela2[[#This Row],[Lucro Líquido]])/Tabela2[[#This Row],[Total Ações]]</f>
        <v>3.4200000000306643</v>
      </c>
      <c r="F439" s="63">
        <v>0.95</v>
      </c>
      <c r="G439" s="22">
        <f>IF(AND(Tabela2[[#This Row],[Dividendo / Ação]]&gt;0,Tabela2[[#This Row],[Lucro por ação]]&gt;0),Tabela2[[#This Row],[Dividendo / Ação]]/Tabela2[[#This Row],[Lucro por ação]],"")</f>
        <v>0.27777777777528717</v>
      </c>
      <c r="H439" s="49">
        <f>MAX(Tabela2[[#This Row],[Cotação 1]],Tabela2[[#This Row],[Cotação 2]])</f>
        <v>14.98</v>
      </c>
      <c r="I439" s="18">
        <f>IF(Tabela2[[#This Row],[Dividendo / Ação]]&gt;0,Tabela2[[#This Row],[Dividendo / Ação]]/Tabela2[[#This Row],[Cotação]],"")</f>
        <v>6.3417890520694256E-2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14.98</v>
      </c>
      <c r="L439" s="7">
        <f>SUMPRODUCT(N([Ativo]=Tabela2[[#This Row],[Ativo]]),N([Exercício]=Tabela2[[#This Row],[Exercício]]-1),[Lucro Líquido])</f>
        <v>0</v>
      </c>
      <c r="M439" s="18" t="str">
        <f>IF(Tabela2[[#This Row],[Lucro Anterior]]=0,"",IF(Tabela2[[#This Row],[Lucro Líquido]]&gt;0,Tabela2[[#This Row],[Lucro Líquido]]/Tabela2[[#This Row],[Lucro Anterior]]-1,0))</f>
        <v/>
      </c>
    </row>
    <row r="440" spans="1:13">
      <c r="A440" s="4" t="s">
        <v>21</v>
      </c>
      <c r="B440" s="4">
        <v>2012</v>
      </c>
      <c r="C440" s="6">
        <v>20894905121.599998</v>
      </c>
      <c r="D440" s="8">
        <f>SUMPRODUCT(N(Tabela3[PAPEL]=Tabela2[[#This Row],[Ativo]]),Tabela3[Total Ações])</f>
        <v>13044496930</v>
      </c>
      <c r="E440" s="64">
        <f>(Tabela2[[#This Row],[Lucro Líquido]])/Tabela2[[#This Row],[Total Ações]]</f>
        <v>1.6018176272896711</v>
      </c>
      <c r="F440" s="64">
        <v>0.96</v>
      </c>
      <c r="G440" s="44">
        <f>IF(AND(Tabela2[[#This Row],[Dividendo / Ação]]&gt;0,Tabela2[[#This Row],[Lucro por ação]]&gt;0),Tabela2[[#This Row],[Dividendo / Ação]]/Tabela2[[#This Row],[Lucro por ação]],"")</f>
        <v>0.5993191632085807</v>
      </c>
      <c r="H440" s="13">
        <f>MAX(Tabela2[[#This Row],[Cotação 1]],Tabela2[[#This Row],[Cotação 2]])</f>
        <v>16.02</v>
      </c>
      <c r="I440" s="19">
        <f>IF(Tabela2[[#This Row],[Dividendo / Ação]]&gt;0,Tabela2[[#This Row],[Dividendo / Ação]]/Tabela2[[#This Row],[Cotação]],"")</f>
        <v>5.9925093632958802E-2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16.02</v>
      </c>
      <c r="L440" s="17">
        <f>SUMPRODUCT(N([Ativo]=Tabela2[[#This Row],[Ativo]]),N([Exercício]=Tabela2[[#This Row],[Exercício]]-1),[Lucro Líquido])</f>
        <v>33133022202</v>
      </c>
      <c r="M440" s="19">
        <f>IF(Tabela2[[#This Row],[Lucro Anterior]]=0,"",IF(Tabela2[[#This Row],[Lucro Líquido]]&gt;0,Tabela2[[#This Row],[Lucro Líquido]]/Tabela2[[#This Row],[Lucro Anterior]]-1,0))</f>
        <v>-0.36936313885852756</v>
      </c>
    </row>
    <row r="441" spans="1:13">
      <c r="A441" s="4" t="s">
        <v>21</v>
      </c>
      <c r="B441" s="4">
        <v>2011</v>
      </c>
      <c r="C441" s="5">
        <v>33133022202</v>
      </c>
      <c r="D441" s="8">
        <f>SUMPRODUCT(N(Tabela3[PAPEL]=Tabela2[[#This Row],[Ativo]]),Tabela3[Total Ações])</f>
        <v>13044496930</v>
      </c>
      <c r="E441" s="64">
        <f>(Tabela2[[#This Row],[Lucro Líquido]])/Tabela2[[#This Row],[Total Ações]]</f>
        <v>2.5399999999846679</v>
      </c>
      <c r="F441" s="64">
        <v>0.92</v>
      </c>
      <c r="G441" s="44">
        <f>IF(AND(Tabela2[[#This Row],[Dividendo / Ação]]&gt;0,Tabela2[[#This Row],[Lucro por ação]]&gt;0),Tabela2[[#This Row],[Dividendo / Ação]]/Tabela2[[#This Row],[Lucro por ação]],"")</f>
        <v>0.3622047244116352</v>
      </c>
      <c r="H441" s="13">
        <f>MAX(Tabela2[[#This Row],[Cotação 1]],Tabela2[[#This Row],[Cotação 2]])</f>
        <v>16.02</v>
      </c>
      <c r="I441" s="19">
        <f>IF(Tabela2[[#This Row],[Dividendo / Ação]]&gt;0,Tabela2[[#This Row],[Dividendo / Ação]]/Tabela2[[#This Row],[Cotação]],"")</f>
        <v>5.742821473158552E-2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16.02</v>
      </c>
      <c r="L441" s="17">
        <f>SUMPRODUCT(N([Ativo]=Tabela2[[#This Row],[Ativo]]),N([Exercício]=Tabela2[[#This Row],[Exercício]]-1),[Lucro Líquido])</f>
        <v>46307964102</v>
      </c>
      <c r="M441" s="19">
        <f>IF(Tabela2[[#This Row],[Lucro Anterior]]=0,"",IF(Tabela2[[#This Row],[Lucro Líquido]]&gt;0,Tabela2[[#This Row],[Lucro Líquido]]/Tabela2[[#This Row],[Lucro Anterior]]-1,0))</f>
        <v>-0.28450704226556545</v>
      </c>
    </row>
    <row r="442" spans="1:13">
      <c r="A442" s="4" t="s">
        <v>21</v>
      </c>
      <c r="B442" s="4">
        <v>2010</v>
      </c>
      <c r="C442" s="5">
        <v>46307964102</v>
      </c>
      <c r="D442" s="8">
        <f>SUMPRODUCT(N(Tabela3[PAPEL]=Tabela2[[#This Row],[Ativo]]),Tabela3[Total Ações])</f>
        <v>13044496930</v>
      </c>
      <c r="E442" s="64">
        <f>(Tabela2[[#This Row],[Lucro Líquido]])/Tabela2[[#This Row],[Total Ações]]</f>
        <v>3.5500000000383305</v>
      </c>
      <c r="F442" s="64">
        <v>1.03</v>
      </c>
      <c r="G442" s="44">
        <f>IF(AND(Tabela2[[#This Row],[Dividendo / Ação]]&gt;0,Tabela2[[#This Row],[Lucro por ação]]&gt;0),Tabela2[[#This Row],[Dividendo / Ação]]/Tabela2[[#This Row],[Lucro por ação]],"")</f>
        <v>0.29014084506728982</v>
      </c>
      <c r="H442" s="13">
        <f>MAX(Tabela2[[#This Row],[Cotação 1]],Tabela2[[#This Row],[Cotação 2]])</f>
        <v>16.02</v>
      </c>
      <c r="I442" s="19">
        <f>IF(Tabela2[[#This Row],[Dividendo / Ação]]&gt;0,Tabela2[[#This Row],[Dividendo / Ação]]/Tabela2[[#This Row],[Cotação]],"")</f>
        <v>6.4294631710362052E-2</v>
      </c>
      <c r="J442" s="17">
        <f>SUMPRODUCT(N(Tabela1[Código]=Tabela2[[#This Row],[Ativo]]),Tabela1[Fechamento])</f>
        <v>0</v>
      </c>
      <c r="K442" s="17">
        <f>SUMPRODUCT(N(Tabela17[Código]=Tabela2[[#This Row],[Ativo]]),Tabela17[Fechamento])</f>
        <v>16.02</v>
      </c>
      <c r="L442" s="17">
        <f>SUMPRODUCT(N([Ativo]=Tabela2[[#This Row],[Ativo]]),N([Exercício]=Tabela2[[#This Row],[Exercício]]-1),[Lucro Líquido])</f>
        <v>44612179501</v>
      </c>
      <c r="M442" s="19">
        <f>IF(Tabela2[[#This Row],[Lucro Anterior]]=0,"",IF(Tabela2[[#This Row],[Lucro Líquido]]&gt;0,Tabela2[[#This Row],[Lucro Líquido]]/Tabela2[[#This Row],[Lucro Anterior]]-1,0))</f>
        <v>3.801169590833342E-2</v>
      </c>
    </row>
    <row r="443" spans="1:13">
      <c r="A443" s="4" t="s">
        <v>21</v>
      </c>
      <c r="B443" s="4">
        <v>2009</v>
      </c>
      <c r="C443" s="5">
        <v>44612179501</v>
      </c>
      <c r="D443" s="8">
        <f>SUMPRODUCT(N(Tabela3[PAPEL]=Tabela2[[#This Row],[Ativo]]),Tabela3[Total Ações])</f>
        <v>13044496930</v>
      </c>
      <c r="E443" s="64">
        <f>(Tabela2[[#This Row],[Lucro Líquido]])/Tabela2[[#This Row],[Total Ações]]</f>
        <v>3.4200000000306643</v>
      </c>
      <c r="F443" s="64">
        <v>0.95</v>
      </c>
      <c r="G443" s="44">
        <f>IF(AND(Tabela2[[#This Row],[Dividendo / Ação]]&gt;0,Tabela2[[#This Row],[Lucro por ação]]&gt;0),Tabela2[[#This Row],[Dividendo / Ação]]/Tabela2[[#This Row],[Lucro por ação]],"")</f>
        <v>0.27777777777528717</v>
      </c>
      <c r="H443" s="13">
        <f>MAX(Tabela2[[#This Row],[Cotação 1]],Tabela2[[#This Row],[Cotação 2]])</f>
        <v>16.02</v>
      </c>
      <c r="I443" s="19">
        <f>IF(Tabela2[[#This Row],[Dividendo / Ação]]&gt;0,Tabela2[[#This Row],[Dividendo / Ação]]/Tabela2[[#This Row],[Cotação]],"")</f>
        <v>5.930087390761548E-2</v>
      </c>
      <c r="J443" s="17">
        <f>SUMPRODUCT(N(Tabela1[Código]=Tabela2[[#This Row],[Ativo]]),Tabela1[Fechamento])</f>
        <v>0</v>
      </c>
      <c r="K443" s="17">
        <f>SUMPRODUCT(N(Tabela17[Código]=Tabela2[[#This Row],[Ativo]]),Tabela17[Fechamento])</f>
        <v>16.02</v>
      </c>
      <c r="L443" s="17">
        <f>SUMPRODUCT(N([Ativo]=Tabela2[[#This Row],[Ativo]]),N([Exercício]=Tabela2[[#This Row],[Exercício]]-1),[Lucro Líquido])</f>
        <v>0</v>
      </c>
      <c r="M443" s="19" t="str">
        <f>IF(Tabela2[[#This Row],[Lucro Anterior]]=0,"",IF(Tabela2[[#This Row],[Lucro Líquido]]&gt;0,Tabela2[[#This Row],[Lucro Líquido]]/Tabela2[[#This Row],[Lucro Anterior]]-1,0))</f>
        <v/>
      </c>
    </row>
    <row r="444" spans="1:13">
      <c r="A444" s="4" t="s">
        <v>75</v>
      </c>
      <c r="B444" s="4">
        <v>2012</v>
      </c>
      <c r="C444" s="6">
        <v>187453404.96000001</v>
      </c>
      <c r="D444" s="8">
        <f>SUMPRODUCT(N(Tabela3[PAPEL]=Tabela2[[#This Row],[Ativo]]),Tabela3[Total Ações])</f>
        <v>123612756</v>
      </c>
      <c r="E444" s="64">
        <f>(Tabela2[[#This Row],[Lucro Líquido]])/Tabela2[[#This Row],[Total Ações]]</f>
        <v>1.5164568045064863</v>
      </c>
      <c r="F444" s="64">
        <v>0.92906</v>
      </c>
      <c r="G444" s="44">
        <f>IF(AND(Tabela2[[#This Row],[Dividendo / Ação]]&gt;0,Tabela2[[#This Row],[Lucro por ação]]&gt;0),Tabela2[[#This Row],[Dividendo / Ação]]/Tabela2[[#This Row],[Lucro por ação]],"")</f>
        <v>0.61265180599875513</v>
      </c>
      <c r="H444" s="6">
        <f>MAX(Tabela2[[#This Row],[Cotação 1]],Tabela2[[#This Row],[Cotação 2]])</f>
        <v>8.75</v>
      </c>
      <c r="I444" s="19">
        <f>IF(Tabela2[[#This Row],[Dividendo / Ação]]&gt;0,Tabela2[[#This Row],[Dividendo / Ação]]/Tabela2[[#This Row],[Cotação]],"")</f>
        <v>0.10617828571428571</v>
      </c>
      <c r="J444" s="59">
        <f>SUMPRODUCT(N(Tabela1[Código]=Tabela2[[#This Row],[Ativo]]),Tabela1[Fechamento])</f>
        <v>8.75</v>
      </c>
      <c r="K444" s="59">
        <f>SUMPRODUCT(N(Tabela17[Código]=Tabela2[[#This Row],[Ativo]]),Tabela17[Fechamento])</f>
        <v>0</v>
      </c>
      <c r="L444" s="59">
        <f>SUMPRODUCT(N([Ativo]=Tabela2[[#This Row],[Ativo]]),N([Exercício]=Tabela2[[#This Row],[Exercício]]-1),[Lucro Líquido])</f>
        <v>161513908.16999999</v>
      </c>
      <c r="M444" s="19">
        <f>IF(Tabela2[[#This Row],[Lucro Anterior]]=0,"",IF(Tabela2[[#This Row],[Lucro Líquido]]&gt;0,Tabela2[[#This Row],[Lucro Líquido]]/Tabela2[[#This Row],[Lucro Anterior]]-1,0))</f>
        <v>0.16060224833825232</v>
      </c>
    </row>
    <row r="445" spans="1:13">
      <c r="A445" s="4" t="s">
        <v>75</v>
      </c>
      <c r="B445" s="4">
        <v>2011</v>
      </c>
      <c r="C445" s="6">
        <v>161513908.16999999</v>
      </c>
      <c r="D445" s="8">
        <f>SUMPRODUCT(N(Tabela3[PAPEL]=Tabela2[[#This Row],[Ativo]]),Tabela3[Total Ações])</f>
        <v>123612756</v>
      </c>
      <c r="E445" s="64">
        <f>(Tabela2[[#This Row],[Lucro Líquido]])/Tabela2[[#This Row],[Total Ações]]</f>
        <v>1.3066119824235614</v>
      </c>
      <c r="F445" s="64">
        <v>0.83615399999999995</v>
      </c>
      <c r="G445" s="44">
        <f>IF(AND(Tabela2[[#This Row],[Dividendo / Ação]]&gt;0,Tabela2[[#This Row],[Lucro por ação]]&gt;0),Tabela2[[#This Row],[Dividendo / Ação]]/Tabela2[[#This Row],[Lucro por ação]],"")</f>
        <v>0.63994055714158138</v>
      </c>
      <c r="H445" s="6">
        <f>MAX(Tabela2[[#This Row],[Cotação 1]],Tabela2[[#This Row],[Cotação 2]])</f>
        <v>8.75</v>
      </c>
      <c r="I445" s="19">
        <f>IF(Tabela2[[#This Row],[Dividendo / Ação]]&gt;0,Tabela2[[#This Row],[Dividendo / Ação]]/Tabela2[[#This Row],[Cotação]],"")</f>
        <v>9.5560457142857144E-2</v>
      </c>
      <c r="J445" s="59">
        <f>SUMPRODUCT(N(Tabela1[Código]=Tabela2[[#This Row],[Ativo]]),Tabela1[Fechamento])</f>
        <v>8.75</v>
      </c>
      <c r="K445" s="59">
        <f>SUMPRODUCT(N(Tabela17[Código]=Tabela2[[#This Row],[Ativo]]),Tabela17[Fechamento])</f>
        <v>0</v>
      </c>
      <c r="L445" s="59">
        <f>SUMPRODUCT(N([Ativo]=Tabela2[[#This Row],[Ativo]]),N([Exercício]=Tabela2[[#This Row],[Exercício]]-1),[Lucro Líquido])</f>
        <v>116428578.18000001</v>
      </c>
      <c r="M445" s="19">
        <f>IF(Tabela2[[#This Row],[Lucro Anterior]]=0,"",IF(Tabela2[[#This Row],[Lucro Líquido]]&gt;0,Tabela2[[#This Row],[Lucro Líquido]]/Tabela2[[#This Row],[Lucro Anterior]]-1,0))</f>
        <v>0.38723594064936107</v>
      </c>
    </row>
    <row r="446" spans="1:13">
      <c r="A446" s="4" t="s">
        <v>75</v>
      </c>
      <c r="B446" s="4">
        <v>2010</v>
      </c>
      <c r="C446" s="6">
        <v>116428578.18000001</v>
      </c>
      <c r="D446" s="8">
        <f>SUMPRODUCT(N(Tabela3[PAPEL]=Tabela2[[#This Row],[Ativo]]),Tabela3[Total Ações])</f>
        <v>123612756</v>
      </c>
      <c r="E446" s="64">
        <f>(Tabela2[[#This Row],[Lucro Líquido]])/Tabela2[[#This Row],[Total Ações]]</f>
        <v>0.94188158202701999</v>
      </c>
      <c r="F446" s="64">
        <v>0.69679500000000005</v>
      </c>
      <c r="G446" s="44">
        <f>IF(AND(Tabela2[[#This Row],[Dividendo / Ação]]&gt;0,Tabela2[[#This Row],[Lucro por ação]]&gt;0),Tabela2[[#This Row],[Dividendo / Ação]]/Tabela2[[#This Row],[Lucro por ação]],"")</f>
        <v>0.73979045062164828</v>
      </c>
      <c r="H446" s="6">
        <f>MAX(Tabela2[[#This Row],[Cotação 1]],Tabela2[[#This Row],[Cotação 2]])</f>
        <v>8.75</v>
      </c>
      <c r="I446" s="19">
        <f>IF(Tabela2[[#This Row],[Dividendo / Ação]]&gt;0,Tabela2[[#This Row],[Dividendo / Ação]]/Tabela2[[#This Row],[Cotação]],"")</f>
        <v>7.9633714285714294E-2</v>
      </c>
      <c r="J446" s="59">
        <f>SUMPRODUCT(N(Tabela1[Código]=Tabela2[[#This Row],[Ativo]]),Tabela1[Fechamento])</f>
        <v>8.75</v>
      </c>
      <c r="K446" s="59">
        <f>SUMPRODUCT(N(Tabela17[Código]=Tabela2[[#This Row],[Ativo]]),Tabela17[Fechamento])</f>
        <v>0</v>
      </c>
      <c r="L446" s="59">
        <f>SUMPRODUCT(N([Ativo]=Tabela2[[#This Row],[Ativo]]),N([Exercício]=Tabela2[[#This Row],[Exercício]]-1),[Lucro Líquido])</f>
        <v>86911496.730000004</v>
      </c>
      <c r="M446" s="19">
        <f>IF(Tabela2[[#This Row],[Lucro Anterior]]=0,"",IF(Tabela2[[#This Row],[Lucro Líquido]]&gt;0,Tabela2[[#This Row],[Lucro Líquido]]/Tabela2[[#This Row],[Lucro Anterior]]-1,0))</f>
        <v>0.3396222888865672</v>
      </c>
    </row>
    <row r="447" spans="1:13">
      <c r="A447" s="4" t="s">
        <v>75</v>
      </c>
      <c r="B447" s="4">
        <v>2009</v>
      </c>
      <c r="C447" s="6">
        <v>86911496.730000004</v>
      </c>
      <c r="D447" s="8">
        <f>SUMPRODUCT(N(Tabela3[PAPEL]=Tabela2[[#This Row],[Ativo]]),Tabela3[Total Ações])</f>
        <v>123612756</v>
      </c>
      <c r="E447" s="64">
        <f>(Tabela2[[#This Row],[Lucro Líquido]])/Tabela2[[#This Row],[Total Ações]]</f>
        <v>0.70309488714902535</v>
      </c>
      <c r="F447" s="64">
        <v>0.69679500000000005</v>
      </c>
      <c r="G447" s="44">
        <f>IF(AND(Tabela2[[#This Row],[Dividendo / Ação]]&gt;0,Tabela2[[#This Row],[Lucro por ação]]&gt;0),Tabela2[[#This Row],[Dividendo / Ação]]/Tabela2[[#This Row],[Lucro por ação]],"")</f>
        <v>0.99103977675819732</v>
      </c>
      <c r="H447" s="6">
        <f>MAX(Tabela2[[#This Row],[Cotação 1]],Tabela2[[#This Row],[Cotação 2]])</f>
        <v>8.75</v>
      </c>
      <c r="I447" s="19">
        <f>IF(Tabela2[[#This Row],[Dividendo / Ação]]&gt;0,Tabela2[[#This Row],[Dividendo / Ação]]/Tabela2[[#This Row],[Cotação]],"")</f>
        <v>7.9633714285714294E-2</v>
      </c>
      <c r="J447" s="59">
        <f>SUMPRODUCT(N(Tabela1[Código]=Tabela2[[#This Row],[Ativo]]),Tabela1[Fechamento])</f>
        <v>8.75</v>
      </c>
      <c r="K447" s="59">
        <f>SUMPRODUCT(N(Tabela17[Código]=Tabela2[[#This Row],[Ativo]]),Tabela17[Fechamento])</f>
        <v>0</v>
      </c>
      <c r="L447" s="59">
        <f>SUMPRODUCT(N([Ativo]=Tabela2[[#This Row],[Ativo]]),N([Exercício]=Tabela2[[#This Row],[Exercício]]-1),[Lucro Líquido])</f>
        <v>0</v>
      </c>
      <c r="M447" s="19" t="str">
        <f>IF(Tabela2[[#This Row],[Lucro Anterior]]=0,"",IF(Tabela2[[#This Row],[Lucro Líquido]]&gt;0,Tabela2[[#This Row],[Lucro Líquido]]/Tabela2[[#This Row],[Lucro Anterior]]-1,0))</f>
        <v/>
      </c>
    </row>
    <row r="448" spans="1:13">
      <c r="A448" s="15" t="s">
        <v>83</v>
      </c>
      <c r="B448" s="4">
        <v>2012</v>
      </c>
      <c r="C448" s="6">
        <v>196691606.94</v>
      </c>
      <c r="D448" s="8">
        <f>SUMPRODUCT(N(Tabela3[PAPEL]=Tabela2[[#This Row],[Ativo]]),Tabela3[Total Ações])</f>
        <v>87289932</v>
      </c>
      <c r="E448" s="64">
        <f>(Tabela2[[#This Row],[Lucro Líquido]])/Tabela2[[#This Row],[Total Ações]]</f>
        <v>2.2533137835414969</v>
      </c>
      <c r="F448" s="64">
        <v>0.72</v>
      </c>
      <c r="G448" s="44">
        <f>IF(AND(Tabela2[[#This Row],[Dividendo / Ação]]&gt;0,Tabela2[[#This Row],[Lucro por ação]]&gt;0),Tabela2[[#This Row],[Dividendo / Ação]]/Tabela2[[#This Row],[Lucro por ação]],"")</f>
        <v>0.31952939943783043</v>
      </c>
      <c r="H448" s="6">
        <f>MAX(Tabela2[[#This Row],[Cotação 1]],Tabela2[[#This Row],[Cotação 2]])</f>
        <v>11.33</v>
      </c>
      <c r="I448" s="19">
        <f>IF(Tabela2[[#This Row],[Dividendo / Ação]]&gt;0,Tabela2[[#This Row],[Dividendo / Ação]]/Tabela2[[#This Row],[Cotação]],"")</f>
        <v>6.3548102383053834E-2</v>
      </c>
      <c r="J448" s="59">
        <f>SUMPRODUCT(N(Tabela1[Código]=Tabela2[[#This Row],[Ativo]]),Tabela1[Fechamento])</f>
        <v>11.33</v>
      </c>
      <c r="K448" s="59">
        <f>SUMPRODUCT(N(Tabela17[Código]=Tabela2[[#This Row],[Ativo]]),Tabela17[Fechamento])</f>
        <v>0</v>
      </c>
      <c r="L448" s="59">
        <f>SUMPRODUCT(N([Ativo]=Tabela2[[#This Row],[Ativo]]),N([Exercício]=Tabela2[[#This Row],[Exercício]]-1),[Lucro Líquido])</f>
        <v>359474959.12</v>
      </c>
      <c r="M448" s="19">
        <f>IF(Tabela2[[#This Row],[Lucro Anterior]]=0,"",IF(Tabela2[[#This Row],[Lucro Líquido]]&gt;0,Tabela2[[#This Row],[Lucro Líquido]]/Tabela2[[#This Row],[Lucro Anterior]]-1,0))</f>
        <v>-0.45283641614007286</v>
      </c>
    </row>
    <row r="449" spans="1:13">
      <c r="A449" s="15" t="s">
        <v>83</v>
      </c>
      <c r="B449" s="4">
        <v>2011</v>
      </c>
      <c r="C449" s="6">
        <v>359474959.12</v>
      </c>
      <c r="D449" s="8">
        <f>SUMPRODUCT(N(Tabela3[PAPEL]=Tabela2[[#This Row],[Ativo]]),Tabela3[Total Ações])</f>
        <v>87289932</v>
      </c>
      <c r="E449" s="64">
        <f>(Tabela2[[#This Row],[Lucro Líquido]])/Tabela2[[#This Row],[Total Ações]]</f>
        <v>4.118172060438769</v>
      </c>
      <c r="F449" s="64">
        <v>1.0900000000000001</v>
      </c>
      <c r="G449" s="44">
        <f>IF(AND(Tabela2[[#This Row],[Dividendo / Ação]]&gt;0,Tabela2[[#This Row],[Lucro por ação]]&gt;0),Tabela2[[#This Row],[Dividendo / Ação]]/Tabela2[[#This Row],[Lucro por ação]],"")</f>
        <v>0.26468053884175652</v>
      </c>
      <c r="H449" s="6">
        <f>MAX(Tabela2[[#This Row],[Cotação 1]],Tabela2[[#This Row],[Cotação 2]])</f>
        <v>11.33</v>
      </c>
      <c r="I449" s="19">
        <f>IF(Tabela2[[#This Row],[Dividendo / Ação]]&gt;0,Tabela2[[#This Row],[Dividendo / Ação]]/Tabela2[[#This Row],[Cotação]],"")</f>
        <v>9.6204766107678738E-2</v>
      </c>
      <c r="J449" s="59">
        <f>SUMPRODUCT(N(Tabela1[Código]=Tabela2[[#This Row],[Ativo]]),Tabela1[Fechamento])</f>
        <v>11.33</v>
      </c>
      <c r="K449" s="59">
        <f>SUMPRODUCT(N(Tabela17[Código]=Tabela2[[#This Row],[Ativo]]),Tabela17[Fechamento])</f>
        <v>0</v>
      </c>
      <c r="L449" s="59">
        <f>SUMPRODUCT(N([Ativo]=Tabela2[[#This Row],[Ativo]]),N([Exercício]=Tabela2[[#This Row],[Exercício]]-1),[Lucro Líquido])</f>
        <v>117452154.81999999</v>
      </c>
      <c r="M449" s="19">
        <f>IF(Tabela2[[#This Row],[Lucro Anterior]]=0,"",IF(Tabela2[[#This Row],[Lucro Líquido]]&gt;0,Tabela2[[#This Row],[Lucro Líquido]]/Tabela2[[#This Row],[Lucro Anterior]]-1,0))</f>
        <v>2.0606076122733499</v>
      </c>
    </row>
    <row r="450" spans="1:13">
      <c r="A450" s="15" t="s">
        <v>83</v>
      </c>
      <c r="B450" s="4">
        <v>2010</v>
      </c>
      <c r="C450" s="6">
        <v>117452154.81999999</v>
      </c>
      <c r="D450" s="8">
        <f>SUMPRODUCT(N(Tabela3[PAPEL]=Tabela2[[#This Row],[Ativo]]),Tabela3[Total Ações])</f>
        <v>87289932</v>
      </c>
      <c r="E450" s="64">
        <f>(Tabela2[[#This Row],[Lucro Líquido]])/Tabela2[[#This Row],[Total Ações]]</f>
        <v>1.3455406841192177</v>
      </c>
      <c r="F450" s="64">
        <v>0.52</v>
      </c>
      <c r="G450" s="44">
        <f>IF(AND(Tabela2[[#This Row],[Dividendo / Ação]]&gt;0,Tabela2[[#This Row],[Lucro por ação]]&gt;0),Tabela2[[#This Row],[Dividendo / Ação]]/Tabela2[[#This Row],[Lucro por ação]],"")</f>
        <v>0.38646174444022008</v>
      </c>
      <c r="H450" s="6">
        <f>MAX(Tabela2[[#This Row],[Cotação 1]],Tabela2[[#This Row],[Cotação 2]])</f>
        <v>11.33</v>
      </c>
      <c r="I450" s="19">
        <f>IF(Tabela2[[#This Row],[Dividendo / Ação]]&gt;0,Tabela2[[#This Row],[Dividendo / Ação]]/Tabela2[[#This Row],[Cotação]],"")</f>
        <v>4.5895851721094442E-2</v>
      </c>
      <c r="J450" s="59">
        <f>SUMPRODUCT(N(Tabela1[Código]=Tabela2[[#This Row],[Ativo]]),Tabela1[Fechamento])</f>
        <v>11.33</v>
      </c>
      <c r="K450" s="59">
        <f>SUMPRODUCT(N(Tabela17[Código]=Tabela2[[#This Row],[Ativo]]),Tabela17[Fechamento])</f>
        <v>0</v>
      </c>
      <c r="L450" s="59">
        <f>SUMPRODUCT(N([Ativo]=Tabela2[[#This Row],[Ativo]]),N([Exercício]=Tabela2[[#This Row],[Exercício]]-1),[Lucro Líquido])</f>
        <v>0</v>
      </c>
      <c r="M450" s="19" t="str">
        <f>IF(Tabela2[[#This Row],[Lucro Anterior]]=0,"",IF(Tabela2[[#This Row],[Lucro Líquido]]&gt;0,Tabela2[[#This Row],[Lucro Líquido]]/Tabela2[[#This Row],[Lucro Anterior]]-1,0))</f>
        <v/>
      </c>
    </row>
    <row r="451" spans="1:13">
      <c r="A451" s="4" t="s">
        <v>367</v>
      </c>
      <c r="B451" s="4">
        <v>2012</v>
      </c>
      <c r="C451" s="6">
        <v>45071000</v>
      </c>
      <c r="D451" s="74">
        <f>SUMPRODUCT(N(Tabela3[PAPEL]=Tabela2[[#This Row],[Ativo]]),Tabela3[Total Ações])</f>
        <v>80041132</v>
      </c>
      <c r="E451" s="64">
        <f>(Tabela2[[#This Row],[Lucro Líquido]])/Tabela2[[#This Row],[Total Ações]]</f>
        <v>0.56309798317195214</v>
      </c>
      <c r="F451" s="64">
        <v>0.66</v>
      </c>
      <c r="G451" s="43">
        <f>IF(AND(Tabela2[[#This Row],[Dividendo / Ação]]&gt;0,Tabela2[[#This Row],[Lucro por ação]]&gt;0),Tabela2[[#This Row],[Dividendo / Ação]]/Tabela2[[#This Row],[Lucro por ação]],"")</f>
        <v>1.1720873093563489</v>
      </c>
      <c r="H451" s="59">
        <f>MAX(Tabela2[[#This Row],[Cotação 1]],Tabela2[[#This Row],[Cotação 2]])</f>
        <v>7.67</v>
      </c>
      <c r="I451" s="44">
        <f>IF(Tabela2[[#This Row],[Dividendo / Ação]]&gt;0,Tabela2[[#This Row],[Dividendo / Ação]]/Tabela2[[#This Row],[Cotação]],"")</f>
        <v>8.604954367666233E-2</v>
      </c>
      <c r="J451" s="17">
        <f>SUMPRODUCT(N(Tabela1[Código]=Tabela2[[#This Row],[Ativo]]),Tabela1[Fechamento])</f>
        <v>0</v>
      </c>
      <c r="K451" s="17">
        <f>SUMPRODUCT(N(Tabela17[Código]=Tabela2[[#This Row],[Ativo]]),Tabela17[Fechamento])</f>
        <v>7.67</v>
      </c>
      <c r="L451" s="17">
        <f>SUMPRODUCT(N([Ativo]=Tabela2[[#This Row],[Ativo]]),N([Exercício]=Tabela2[[#This Row],[Exercício]]-1),[Lucro Líquido])</f>
        <v>29451000</v>
      </c>
      <c r="M451" s="19">
        <f>IF(Tabela2[[#This Row],[Lucro Anterior]]=0,"",IF(Tabela2[[#This Row],[Lucro Líquido]]&gt;0,Tabela2[[#This Row],[Lucro Líquido]]/Tabela2[[#This Row],[Lucro Anterior]]-1,0))</f>
        <v>0.53037248310753449</v>
      </c>
    </row>
    <row r="452" spans="1:13">
      <c r="A452" s="4" t="s">
        <v>367</v>
      </c>
      <c r="B452" s="4">
        <v>2011</v>
      </c>
      <c r="C452" s="6">
        <v>29451000</v>
      </c>
      <c r="D452" s="74">
        <f>SUMPRODUCT(N(Tabela3[PAPEL]=Tabela2[[#This Row],[Ativo]]),Tabela3[Total Ações])</f>
        <v>80041132</v>
      </c>
      <c r="E452" s="64">
        <f>(Tabela2[[#This Row],[Lucro Líquido]])/Tabela2[[#This Row],[Total Ações]]</f>
        <v>0.36794831937159511</v>
      </c>
      <c r="F452" s="64">
        <v>0.5</v>
      </c>
      <c r="G452" s="43">
        <f>IF(AND(Tabela2[[#This Row],[Dividendo / Ação]]&gt;0,Tabela2[[#This Row],[Lucro por ação]]&gt;0),Tabela2[[#This Row],[Dividendo / Ação]]/Tabela2[[#This Row],[Lucro por ação]],"")</f>
        <v>1.3588864894231094</v>
      </c>
      <c r="H452" s="59">
        <f>MAX(Tabela2[[#This Row],[Cotação 1]],Tabela2[[#This Row],[Cotação 2]])</f>
        <v>7.67</v>
      </c>
      <c r="I452" s="44">
        <f>IF(Tabela2[[#This Row],[Dividendo / Ação]]&gt;0,Tabela2[[#This Row],[Dividendo / Ação]]/Tabela2[[#This Row],[Cotação]],"")</f>
        <v>6.51890482398957E-2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7.67</v>
      </c>
      <c r="L452" s="17">
        <f>SUMPRODUCT(N([Ativo]=Tabela2[[#This Row],[Ativo]]),N([Exercício]=Tabela2[[#This Row],[Exercício]]-1),[Lucro Líquido])</f>
        <v>23814000</v>
      </c>
      <c r="M452" s="19">
        <f>IF(Tabela2[[#This Row],[Lucro Anterior]]=0,"",IF(Tabela2[[#This Row],[Lucro Líquido]]&gt;0,Tabela2[[#This Row],[Lucro Líquido]]/Tabela2[[#This Row],[Lucro Anterior]]-1,0))</f>
        <v>0.23670949861426061</v>
      </c>
    </row>
    <row r="453" spans="1:13">
      <c r="A453" s="4" t="s">
        <v>367</v>
      </c>
      <c r="B453" s="4">
        <v>2010</v>
      </c>
      <c r="C453" s="6">
        <v>23814000</v>
      </c>
      <c r="D453" s="74">
        <f>SUMPRODUCT(N(Tabela3[PAPEL]=Tabela2[[#This Row],[Ativo]]),Tabela3[Total Ações])</f>
        <v>80041132</v>
      </c>
      <c r="E453" s="64">
        <f>(Tabela2[[#This Row],[Lucro Líquido]])/Tabela2[[#This Row],[Total Ações]]</f>
        <v>0.29752202904876457</v>
      </c>
      <c r="F453" s="64">
        <v>0.41</v>
      </c>
      <c r="G453" s="43">
        <f>IF(AND(Tabela2[[#This Row],[Dividendo / Ação]]&gt;0,Tabela2[[#This Row],[Lucro por ação]]&gt;0),Tabela2[[#This Row],[Dividendo / Ação]]/Tabela2[[#This Row],[Lucro por ação]],"")</f>
        <v>1.37804921978668</v>
      </c>
      <c r="H453" s="59">
        <f>MAX(Tabela2[[#This Row],[Cotação 1]],Tabela2[[#This Row],[Cotação 2]])</f>
        <v>7.67</v>
      </c>
      <c r="I453" s="44">
        <f>IF(Tabela2[[#This Row],[Dividendo / Ação]]&gt;0,Tabela2[[#This Row],[Dividendo / Ação]]/Tabela2[[#This Row],[Cotação]],"")</f>
        <v>5.3455019556714473E-2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7.67</v>
      </c>
      <c r="L453" s="17">
        <f>SUMPRODUCT(N([Ativo]=Tabela2[[#This Row],[Ativo]]),N([Exercício]=Tabela2[[#This Row],[Exercício]]-1),[Lucro Líquido])</f>
        <v>0</v>
      </c>
      <c r="M453" s="19" t="str">
        <f>IF(Tabela2[[#This Row],[Lucro Anterior]]=0,"",IF(Tabela2[[#This Row],[Lucro Líquido]]&gt;0,Tabela2[[#This Row],[Lucro Líquido]]/Tabela2[[#This Row],[Lucro Anterior]]-1,0))</f>
        <v/>
      </c>
    </row>
    <row r="454" spans="1:13">
      <c r="A454" s="4" t="s">
        <v>264</v>
      </c>
      <c r="B454" s="4">
        <v>2012</v>
      </c>
      <c r="C454" s="6">
        <v>682580077</v>
      </c>
      <c r="D454" s="8">
        <f>SUMPRODUCT(N(Tabela3[PAPEL]=Tabela2[[#This Row],[Ativo]]),Tabela3[Total Ações])</f>
        <v>323293030</v>
      </c>
      <c r="E454" s="64">
        <f>(Tabela2[[#This Row],[Lucro Líquido]])/Tabela2[[#This Row],[Total Ações]]</f>
        <v>2.111335579984511</v>
      </c>
      <c r="F454" s="64">
        <v>1.05</v>
      </c>
      <c r="G454" s="44">
        <f>IF(AND(Tabela2[[#This Row],[Dividendo / Ação]]&gt;0,Tabela2[[#This Row],[Lucro por ação]]&gt;0),Tabela2[[#This Row],[Dividendo / Ação]]/Tabela2[[#This Row],[Lucro por ação]],"")</f>
        <v>0.49731554280333917</v>
      </c>
      <c r="H454" s="6">
        <f>MAX(Tabela2[[#This Row],[Cotação 1]],Tabela2[[#This Row],[Cotação 2]])</f>
        <v>29.52</v>
      </c>
      <c r="I454" s="19">
        <f>IF(Tabela2[[#This Row],[Dividendo / Ação]]&gt;0,Tabela2[[#This Row],[Dividendo / Ação]]/Tabela2[[#This Row],[Cotação]],"")</f>
        <v>3.556910569105691E-2</v>
      </c>
      <c r="J454" s="59">
        <f>SUMPRODUCT(N(Tabela1[Código]=Tabela2[[#This Row],[Ativo]]),Tabela1[Fechamento])</f>
        <v>29.52</v>
      </c>
      <c r="K454" s="59">
        <f>SUMPRODUCT(N(Tabela17[Código]=Tabela2[[#This Row],[Ativo]]),Tabela17[Fechamento])</f>
        <v>0</v>
      </c>
      <c r="L454" s="59">
        <f>SUMPRODUCT(N([Ativo]=Tabela2[[#This Row],[Ativo]]),N([Exercício]=Tabela2[[#This Row],[Exercício]]-1),[Lucro Líquido])</f>
        <v>580084000</v>
      </c>
      <c r="M454" s="19">
        <f>IF(Tabela2[[#This Row],[Lucro Anterior]]=0,"",IF(Tabela2[[#This Row],[Lucro Líquido]]&gt;0,Tabela2[[#This Row],[Lucro Líquido]]/Tabela2[[#This Row],[Lucro Anterior]]-1,0))</f>
        <v>0.17669178429330934</v>
      </c>
    </row>
    <row r="455" spans="1:13">
      <c r="A455" s="4" t="s">
        <v>264</v>
      </c>
      <c r="B455" s="4">
        <v>2011</v>
      </c>
      <c r="C455" s="6">
        <v>580084000</v>
      </c>
      <c r="D455" s="8">
        <f>SUMPRODUCT(N(Tabela3[PAPEL]=Tabela2[[#This Row],[Ativo]]),Tabela3[Total Ações])</f>
        <v>323293030</v>
      </c>
      <c r="E455" s="64">
        <f>(Tabela2[[#This Row],[Lucro Líquido]])/Tabela2[[#This Row],[Total Ações]]</f>
        <v>1.7942978851106068</v>
      </c>
      <c r="F455" s="64">
        <v>0.84</v>
      </c>
      <c r="G455" s="44">
        <f>IF(AND(Tabela2[[#This Row],[Dividendo / Ação]]&gt;0,Tabela2[[#This Row],[Lucro por ação]]&gt;0),Tabela2[[#This Row],[Dividendo / Ação]]/Tabela2[[#This Row],[Lucro por ação]],"")</f>
        <v>0.46814969073444535</v>
      </c>
      <c r="H455" s="6">
        <f>MAX(Tabela2[[#This Row],[Cotação 1]],Tabela2[[#This Row],[Cotação 2]])</f>
        <v>29.52</v>
      </c>
      <c r="I455" s="19">
        <f>IF(Tabela2[[#This Row],[Dividendo / Ação]]&gt;0,Tabela2[[#This Row],[Dividendo / Ação]]/Tabela2[[#This Row],[Cotação]],"")</f>
        <v>2.8455284552845527E-2</v>
      </c>
      <c r="J455" s="59">
        <f>SUMPRODUCT(N(Tabela1[Código]=Tabela2[[#This Row],[Ativo]]),Tabela1[Fechamento])</f>
        <v>29.52</v>
      </c>
      <c r="K455" s="59">
        <f>SUMPRODUCT(N(Tabela17[Código]=Tabela2[[#This Row],[Ativo]]),Tabela17[Fechamento])</f>
        <v>0</v>
      </c>
      <c r="L455" s="59">
        <f>SUMPRODUCT(N([Ativo]=Tabela2[[#This Row],[Ativo]]),N([Exercício]=Tabela2[[#This Row],[Exercício]]-1),[Lucro Líquido])</f>
        <v>623912000</v>
      </c>
      <c r="M455" s="19">
        <f>IF(Tabela2[[#This Row],[Lucro Anterior]]=0,"",IF(Tabela2[[#This Row],[Lucro Líquido]]&gt;0,Tabela2[[#This Row],[Lucro Líquido]]/Tabela2[[#This Row],[Lucro Anterior]]-1,0))</f>
        <v>-7.0247086127530833E-2</v>
      </c>
    </row>
    <row r="456" spans="1:13">
      <c r="A456" s="4" t="s">
        <v>264</v>
      </c>
      <c r="B456" s="4">
        <v>2010</v>
      </c>
      <c r="C456" s="6">
        <v>623912000</v>
      </c>
      <c r="D456" s="8">
        <f>SUMPRODUCT(N(Tabela3[PAPEL]=Tabela2[[#This Row],[Ativo]]),Tabela3[Total Ações])</f>
        <v>323293030</v>
      </c>
      <c r="E456" s="64">
        <f>(Tabela2[[#This Row],[Lucro Líquido]])/Tabela2[[#This Row],[Total Ações]]</f>
        <v>1.9298652989827836</v>
      </c>
      <c r="F456" s="64">
        <v>0.72</v>
      </c>
      <c r="G456" s="44">
        <f>IF(AND(Tabela2[[#This Row],[Dividendo / Ação]]&gt;0,Tabela2[[#This Row],[Lucro por ação]]&gt;0),Tabela2[[#This Row],[Dividendo / Ação]]/Tabela2[[#This Row],[Lucro por ação]],"")</f>
        <v>0.37308303350472499</v>
      </c>
      <c r="H456" s="6">
        <f>MAX(Tabela2[[#This Row],[Cotação 1]],Tabela2[[#This Row],[Cotação 2]])</f>
        <v>29.52</v>
      </c>
      <c r="I456" s="19">
        <f>IF(Tabela2[[#This Row],[Dividendo / Ação]]&gt;0,Tabela2[[#This Row],[Dividendo / Ação]]/Tabela2[[#This Row],[Cotação]],"")</f>
        <v>2.4390243902439025E-2</v>
      </c>
      <c r="J456" s="59">
        <f>SUMPRODUCT(N(Tabela1[Código]=Tabela2[[#This Row],[Ativo]]),Tabela1[Fechamento])</f>
        <v>29.52</v>
      </c>
      <c r="K456" s="59">
        <f>SUMPRODUCT(N(Tabela17[Código]=Tabela2[[#This Row],[Ativo]]),Tabela17[Fechamento])</f>
        <v>0</v>
      </c>
      <c r="L456" s="59">
        <f>SUMPRODUCT(N([Ativo]=Tabela2[[#This Row],[Ativo]]),N([Exercício]=Tabela2[[#This Row],[Exercício]]-1),[Lucro Líquido])</f>
        <v>328416000</v>
      </c>
      <c r="M456" s="19">
        <f>IF(Tabela2[[#This Row],[Lucro Anterior]]=0,"",IF(Tabela2[[#This Row],[Lucro Líquido]]&gt;0,Tabela2[[#This Row],[Lucro Líquido]]/Tabela2[[#This Row],[Lucro Anterior]]-1,0))</f>
        <v>0.89976127837864173</v>
      </c>
    </row>
    <row r="457" spans="1:13">
      <c r="A457" s="4" t="s">
        <v>264</v>
      </c>
      <c r="B457" s="4">
        <v>2009</v>
      </c>
      <c r="C457" s="6">
        <v>328416000</v>
      </c>
      <c r="D457" s="8">
        <f>SUMPRODUCT(N(Tabela3[PAPEL]=Tabela2[[#This Row],[Ativo]]),Tabela3[Total Ações])</f>
        <v>323293030</v>
      </c>
      <c r="E457" s="64">
        <f>(Tabela2[[#This Row],[Lucro Líquido]])/Tabela2[[#This Row],[Total Ações]]</f>
        <v>1.0158462123356016</v>
      </c>
      <c r="F457" s="64">
        <v>0.4</v>
      </c>
      <c r="G457" s="44">
        <f>IF(AND(Tabela2[[#This Row],[Dividendo / Ação]]&gt;0,Tabela2[[#This Row],[Lucro por ação]]&gt;0),Tabela2[[#This Row],[Dividendo / Ação]]/Tabela2[[#This Row],[Lucro por ação]],"")</f>
        <v>0.39376038926239892</v>
      </c>
      <c r="H457" s="6">
        <f>MAX(Tabela2[[#This Row],[Cotação 1]],Tabela2[[#This Row],[Cotação 2]])</f>
        <v>29.52</v>
      </c>
      <c r="I457" s="19">
        <f>IF(Tabela2[[#This Row],[Dividendo / Ação]]&gt;0,Tabela2[[#This Row],[Dividendo / Ação]]/Tabela2[[#This Row],[Cotação]],"")</f>
        <v>1.3550135501355014E-2</v>
      </c>
      <c r="J457" s="59">
        <f>SUMPRODUCT(N(Tabela1[Código]=Tabela2[[#This Row],[Ativo]]),Tabela1[Fechamento])</f>
        <v>29.52</v>
      </c>
      <c r="K457" s="59">
        <f>SUMPRODUCT(N(Tabela17[Código]=Tabela2[[#This Row],[Ativo]]),Tabela17[Fechamento])</f>
        <v>0</v>
      </c>
      <c r="L457" s="59">
        <f>SUMPRODUCT(N([Ativo]=Tabela2[[#This Row],[Ativo]]),N([Exercício]=Tabela2[[#This Row],[Exercício]]-1),[Lucro Líquido])</f>
        <v>0</v>
      </c>
      <c r="M457" s="19" t="str">
        <f>IF(Tabela2[[#This Row],[Lucro Anterior]]=0,"",IF(Tabela2[[#This Row],[Lucro Líquido]]&gt;0,Tabela2[[#This Row],[Lucro Líquido]]/Tabela2[[#This Row],[Lucro Anterior]]-1,0))</f>
        <v/>
      </c>
    </row>
    <row r="458" spans="1:13">
      <c r="A458" s="4" t="s">
        <v>357</v>
      </c>
      <c r="B458" s="4">
        <v>2012</v>
      </c>
      <c r="C458" s="6">
        <v>313688976.75999999</v>
      </c>
      <c r="D458" s="74">
        <f>SUMPRODUCT(N(Tabela3[PAPEL]=Tabela2[[#This Row],[Ativo]]),Tabela3[Total Ações])</f>
        <v>17887362</v>
      </c>
      <c r="E458" s="64">
        <f>(Tabela2[[#This Row],[Lucro Líquido]])/Tabela2[[#This Row],[Total Ações]]</f>
        <v>17.53690548444203</v>
      </c>
      <c r="F458" s="64">
        <v>5.0837892499999997</v>
      </c>
      <c r="G458" s="43">
        <f>IF(AND(Tabela2[[#This Row],[Dividendo / Ação]]&gt;0,Tabela2[[#This Row],[Lucro por ação]]&gt;0),Tabela2[[#This Row],[Dividendo / Ação]]/Tabela2[[#This Row],[Lucro por ação]],"")</f>
        <v>0.28989089634486048</v>
      </c>
      <c r="H458" s="59">
        <f>MAX(Tabela2[[#This Row],[Cotação 1]],Tabela2[[#This Row],[Cotação 2]])</f>
        <v>58</v>
      </c>
      <c r="I458" s="44">
        <f>IF(Tabela2[[#This Row],[Dividendo / Ação]]&gt;0,Tabela2[[#This Row],[Dividendo / Ação]]/Tabela2[[#This Row],[Cotação]],"")</f>
        <v>8.7651538793103445E-2</v>
      </c>
      <c r="J458" s="17">
        <f>SUMPRODUCT(N(Tabela1[Código]=Tabela2[[#This Row],[Ativo]]),Tabela1[Fechamento])</f>
        <v>0</v>
      </c>
      <c r="K458" s="17">
        <f>SUMPRODUCT(N(Tabela17[Código]=Tabela2[[#This Row],[Ativo]]),Tabela17[Fechamento])</f>
        <v>58</v>
      </c>
      <c r="L458" s="17">
        <f>SUMPRODUCT(N([Ativo]=Tabela2[[#This Row],[Ativo]]),N([Exercício]=Tabela2[[#This Row],[Exercício]]-1),[Lucro Líquido])</f>
        <v>96465537.109999999</v>
      </c>
      <c r="M458" s="19">
        <f>IF(Tabela2[[#This Row],[Lucro Anterior]]=0,"",IF(Tabela2[[#This Row],[Lucro Líquido]]&gt;0,Tabela2[[#This Row],[Lucro Líquido]]/Tabela2[[#This Row],[Lucro Anterior]]-1,0))</f>
        <v>2.2518242903919079</v>
      </c>
    </row>
    <row r="459" spans="1:13">
      <c r="A459" s="4" t="s">
        <v>357</v>
      </c>
      <c r="B459" s="4">
        <v>2011</v>
      </c>
      <c r="C459" s="6">
        <v>96465537.109999999</v>
      </c>
      <c r="D459" s="74">
        <f>SUMPRODUCT(N(Tabela3[PAPEL]=Tabela2[[#This Row],[Ativo]]),Tabela3[Total Ações])</f>
        <v>17887362</v>
      </c>
      <c r="E459" s="64">
        <f>(Tabela2[[#This Row],[Lucro Líquido]])/Tabela2[[#This Row],[Total Ações]]</f>
        <v>5.392943750453532</v>
      </c>
      <c r="F459" s="64">
        <v>2.3852000000000002</v>
      </c>
      <c r="G459" s="43">
        <f>IF(AND(Tabela2[[#This Row],[Dividendo / Ação]]&gt;0,Tabela2[[#This Row],[Lucro por ação]]&gt;0),Tabela2[[#This Row],[Dividendo / Ação]]/Tabela2[[#This Row],[Lucro por ação]],"")</f>
        <v>0.44228163881728072</v>
      </c>
      <c r="H459" s="59">
        <f>MAX(Tabela2[[#This Row],[Cotação 1]],Tabela2[[#This Row],[Cotação 2]])</f>
        <v>58</v>
      </c>
      <c r="I459" s="44">
        <f>IF(Tabela2[[#This Row],[Dividendo / Ação]]&gt;0,Tabela2[[#This Row],[Dividendo / Ação]]/Tabela2[[#This Row],[Cotação]],"")</f>
        <v>4.1124137931034484E-2</v>
      </c>
      <c r="J459" s="17">
        <f>SUMPRODUCT(N(Tabela1[Código]=Tabela2[[#This Row],[Ativo]]),Tabela1[Fechamento])</f>
        <v>0</v>
      </c>
      <c r="K459" s="17">
        <f>SUMPRODUCT(N(Tabela17[Código]=Tabela2[[#This Row],[Ativo]]),Tabela17[Fechamento])</f>
        <v>58</v>
      </c>
      <c r="L459" s="17">
        <f>SUMPRODUCT(N([Ativo]=Tabela2[[#This Row],[Ativo]]),N([Exercício]=Tabela2[[#This Row],[Exercício]]-1),[Lucro Líquido])</f>
        <v>86203563.489999995</v>
      </c>
      <c r="M459" s="19">
        <f>IF(Tabela2[[#This Row],[Lucro Anterior]]=0,"",IF(Tabela2[[#This Row],[Lucro Líquido]]&gt;0,Tabela2[[#This Row],[Lucro Líquido]]/Tabela2[[#This Row],[Lucro Anterior]]-1,0))</f>
        <v>0.11904349663213676</v>
      </c>
    </row>
    <row r="460" spans="1:13">
      <c r="A460" s="4" t="s">
        <v>357</v>
      </c>
      <c r="B460" s="4">
        <v>2010</v>
      </c>
      <c r="C460" s="6">
        <v>86203563.489999995</v>
      </c>
      <c r="D460" s="74">
        <f>SUMPRODUCT(N(Tabela3[PAPEL]=Tabela2[[#This Row],[Ativo]]),Tabela3[Total Ações])</f>
        <v>17887362</v>
      </c>
      <c r="E460" s="64">
        <f>(Tabela2[[#This Row],[Lucro Líquido]])/Tabela2[[#This Row],[Total Ações]]</f>
        <v>4.8192440836161303</v>
      </c>
      <c r="F460" s="64">
        <v>1.2701</v>
      </c>
      <c r="G460" s="43">
        <f>IF(AND(Tabela2[[#This Row],[Dividendo / Ação]]&gt;0,Tabela2[[#This Row],[Lucro por ação]]&gt;0),Tabela2[[#This Row],[Dividendo / Ação]]/Tabela2[[#This Row],[Lucro por ação]],"")</f>
        <v>0.26354755599906815</v>
      </c>
      <c r="H460" s="59">
        <f>MAX(Tabela2[[#This Row],[Cotação 1]],Tabela2[[#This Row],[Cotação 2]])</f>
        <v>58</v>
      </c>
      <c r="I460" s="44">
        <f>IF(Tabela2[[#This Row],[Dividendo / Ação]]&gt;0,Tabela2[[#This Row],[Dividendo / Ação]]/Tabela2[[#This Row],[Cotação]],"")</f>
        <v>2.1898275862068967E-2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58</v>
      </c>
      <c r="L460" s="17">
        <f>SUMPRODUCT(N([Ativo]=Tabela2[[#This Row],[Ativo]]),N([Exercício]=Tabela2[[#This Row],[Exercício]]-1),[Lucro Líquido])</f>
        <v>74229898.859999999</v>
      </c>
      <c r="M460" s="19">
        <f>IF(Tabela2[[#This Row],[Lucro Anterior]]=0,"",IF(Tabela2[[#This Row],[Lucro Líquido]]&gt;0,Tabela2[[#This Row],[Lucro Líquido]]/Tabela2[[#This Row],[Lucro Anterior]]-1,0))</f>
        <v>0.16130514541832697</v>
      </c>
    </row>
    <row r="461" spans="1:13">
      <c r="A461" s="4" t="s">
        <v>357</v>
      </c>
      <c r="B461" s="4">
        <v>2009</v>
      </c>
      <c r="C461" s="6">
        <v>74229898.859999999</v>
      </c>
      <c r="D461" s="74">
        <f>SUMPRODUCT(N(Tabela3[PAPEL]=Tabela2[[#This Row],[Ativo]]),Tabela3[Total Ações])</f>
        <v>17887362</v>
      </c>
      <c r="E461" s="64">
        <f>(Tabela2[[#This Row],[Lucro Líquido]])/Tabela2[[#This Row],[Total Ações]]</f>
        <v>4.1498516583943452</v>
      </c>
      <c r="F461" s="64">
        <v>0.79869999999999997</v>
      </c>
      <c r="G461" s="43">
        <f>IF(AND(Tabela2[[#This Row],[Dividendo / Ação]]&gt;0,Tabela2[[#This Row],[Lucro por ação]]&gt;0),Tabela2[[#This Row],[Dividendo / Ação]]/Tabela2[[#This Row],[Lucro por ação]],"")</f>
        <v>0.1924647109697005</v>
      </c>
      <c r="H461" s="59">
        <f>MAX(Tabela2[[#This Row],[Cotação 1]],Tabela2[[#This Row],[Cotação 2]])</f>
        <v>58</v>
      </c>
      <c r="I461" s="44">
        <f>IF(Tabela2[[#This Row],[Dividendo / Ação]]&gt;0,Tabela2[[#This Row],[Dividendo / Ação]]/Tabela2[[#This Row],[Cotação]],"")</f>
        <v>1.3770689655172414E-2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58</v>
      </c>
      <c r="L461" s="17">
        <f>SUMPRODUCT(N([Ativo]=Tabela2[[#This Row],[Ativo]]),N([Exercício]=Tabela2[[#This Row],[Exercício]]-1),[Lucro Líquido])</f>
        <v>0</v>
      </c>
      <c r="M461" s="19" t="str">
        <f>IF(Tabela2[[#This Row],[Lucro Anterior]]=0,"",IF(Tabela2[[#This Row],[Lucro Líquido]]&gt;0,Tabela2[[#This Row],[Lucro Líquido]]/Tabela2[[#This Row],[Lucro Anterior]]-1,0))</f>
        <v/>
      </c>
    </row>
    <row r="462" spans="1:13">
      <c r="A462" s="4" t="s">
        <v>277</v>
      </c>
      <c r="B462" s="4">
        <v>2012</v>
      </c>
      <c r="C462" s="6">
        <v>82468112.400000006</v>
      </c>
      <c r="D462" s="8">
        <f>SUMPRODUCT(N(Tabela3[PAPEL]=Tabela2[[#This Row],[Ativo]]),Tabela3[Total Ações])</f>
        <v>265806905</v>
      </c>
      <c r="E462" s="64">
        <f>(Tabela2[[#This Row],[Lucro Líquido]])/Tabela2[[#This Row],[Total Ações]]</f>
        <v>0.31025571890241155</v>
      </c>
      <c r="F462" s="64">
        <v>3.0000000000000001E-6</v>
      </c>
      <c r="G462" s="44">
        <f>IF(AND(Tabela2[[#This Row],[Dividendo / Ação]]&gt;0,Tabela2[[#This Row],[Lucro por ação]]&gt;0),Tabela2[[#This Row],[Dividendo / Ação]]/Tabela2[[#This Row],[Lucro por ação]],"")</f>
        <v>9.6694430343236506E-6</v>
      </c>
      <c r="H462" s="6">
        <f>MAX(Tabela2[[#This Row],[Cotação 1]],Tabela2[[#This Row],[Cotação 2]])</f>
        <v>9.73</v>
      </c>
      <c r="I462" s="19">
        <f>IF(Tabela2[[#This Row],[Dividendo / Ação]]&gt;0,Tabela2[[#This Row],[Dividendo / Ação]]/Tabela2[[#This Row],[Cotação]],"")</f>
        <v>3.0832476875642343E-7</v>
      </c>
      <c r="J462" s="59">
        <f>SUMPRODUCT(N(Tabela1[Código]=Tabela2[[#This Row],[Ativo]]),Tabela1[Fechamento])</f>
        <v>0</v>
      </c>
      <c r="K462" s="59">
        <f>SUMPRODUCT(N(Tabela17[Código]=Tabela2[[#This Row],[Ativo]]),Tabela17[Fechamento])</f>
        <v>9.73</v>
      </c>
      <c r="L462" s="59">
        <f>SUMPRODUCT(N([Ativo]=Tabela2[[#This Row],[Ativo]]),N([Exercício]=Tabela2[[#This Row],[Exercício]]-1),[Lucro Líquido])</f>
        <v>92137357.700000003</v>
      </c>
      <c r="M462" s="19">
        <f>IF(Tabela2[[#This Row],[Lucro Anterior]]=0,"",IF(Tabela2[[#This Row],[Lucro Líquido]]&gt;0,Tabela2[[#This Row],[Lucro Líquido]]/Tabela2[[#This Row],[Lucro Anterior]]-1,0))</f>
        <v>-0.10494380934477343</v>
      </c>
    </row>
    <row r="463" spans="1:13">
      <c r="A463" s="4" t="s">
        <v>277</v>
      </c>
      <c r="B463" s="4">
        <v>2011</v>
      </c>
      <c r="C463" s="6">
        <v>92137357.700000003</v>
      </c>
      <c r="D463" s="8">
        <f>SUMPRODUCT(N(Tabela3[PAPEL]=Tabela2[[#This Row],[Ativo]]),Tabela3[Total Ações])</f>
        <v>265806905</v>
      </c>
      <c r="E463" s="64">
        <f>(Tabela2[[#This Row],[Lucro Líquido]])/Tabela2[[#This Row],[Total Ações]]</f>
        <v>0.34663267193905289</v>
      </c>
      <c r="F463" s="64">
        <v>3.0000000000000001E-6</v>
      </c>
      <c r="G463" s="44">
        <f>IF(AND(Tabela2[[#This Row],[Dividendo / Ação]]&gt;0,Tabela2[[#This Row],[Lucro por ação]]&gt;0),Tabela2[[#This Row],[Dividendo / Ação]]/Tabela2[[#This Row],[Lucro por ação]],"")</f>
        <v>8.6546948480594434E-6</v>
      </c>
      <c r="H463" s="6">
        <f>MAX(Tabela2[[#This Row],[Cotação 1]],Tabela2[[#This Row],[Cotação 2]])</f>
        <v>9.73</v>
      </c>
      <c r="I463" s="19">
        <f>IF(Tabela2[[#This Row],[Dividendo / Ação]]&gt;0,Tabela2[[#This Row],[Dividendo / Ação]]/Tabela2[[#This Row],[Cotação]],"")</f>
        <v>3.0832476875642343E-7</v>
      </c>
      <c r="J463" s="59">
        <f>SUMPRODUCT(N(Tabela1[Código]=Tabela2[[#This Row],[Ativo]]),Tabela1[Fechamento])</f>
        <v>0</v>
      </c>
      <c r="K463" s="59">
        <f>SUMPRODUCT(N(Tabela17[Código]=Tabela2[[#This Row],[Ativo]]),Tabela17[Fechamento])</f>
        <v>9.73</v>
      </c>
      <c r="L463" s="59">
        <f>SUMPRODUCT(N([Ativo]=Tabela2[[#This Row],[Ativo]]),N([Exercício]=Tabela2[[#This Row],[Exercício]]-1),[Lucro Líquido])</f>
        <v>35594641.18</v>
      </c>
      <c r="M463" s="19">
        <f>IF(Tabela2[[#This Row],[Lucro Anterior]]=0,"",IF(Tabela2[[#This Row],[Lucro Líquido]]&gt;0,Tabela2[[#This Row],[Lucro Líquido]]/Tabela2[[#This Row],[Lucro Anterior]]-1,0))</f>
        <v>1.5885176713558318</v>
      </c>
    </row>
    <row r="464" spans="1:13">
      <c r="A464" s="4" t="s">
        <v>277</v>
      </c>
      <c r="B464" s="4">
        <v>2010</v>
      </c>
      <c r="C464" s="6">
        <v>35594641.18</v>
      </c>
      <c r="D464" s="8">
        <f>SUMPRODUCT(N(Tabela3[PAPEL]=Tabela2[[#This Row],[Ativo]]),Tabela3[Total Ações])</f>
        <v>265806905</v>
      </c>
      <c r="E464" s="64">
        <f>(Tabela2[[#This Row],[Lucro Líquido]])/Tabela2[[#This Row],[Total Ações]]</f>
        <v>0.13391164981210701</v>
      </c>
      <c r="F464" s="64">
        <v>0.18173600000000001</v>
      </c>
      <c r="G464" s="44">
        <f>IF(AND(Tabela2[[#This Row],[Dividendo / Ação]]&gt;0,Tabela2[[#This Row],[Lucro por ação]]&gt;0),Tabela2[[#This Row],[Dividendo / Ação]]/Tabela2[[#This Row],[Lucro por ação]],"")</f>
        <v>1.3571336045444582</v>
      </c>
      <c r="H464" s="6">
        <f>MAX(Tabela2[[#This Row],[Cotação 1]],Tabela2[[#This Row],[Cotação 2]])</f>
        <v>9.73</v>
      </c>
      <c r="I464" s="19">
        <f>IF(Tabela2[[#This Row],[Dividendo / Ação]]&gt;0,Tabela2[[#This Row],[Dividendo / Ação]]/Tabela2[[#This Row],[Cotação]],"")</f>
        <v>1.8677903391572458E-2</v>
      </c>
      <c r="J464" s="59">
        <f>SUMPRODUCT(N(Tabela1[Código]=Tabela2[[#This Row],[Ativo]]),Tabela1[Fechamento])</f>
        <v>0</v>
      </c>
      <c r="K464" s="59">
        <f>SUMPRODUCT(N(Tabela17[Código]=Tabela2[[#This Row],[Ativo]]),Tabela17[Fechamento])</f>
        <v>9.73</v>
      </c>
      <c r="L464" s="59">
        <f>SUMPRODUCT(N([Ativo]=Tabela2[[#This Row],[Ativo]]),N([Exercício]=Tabela2[[#This Row],[Exercício]]-1),[Lucro Líquido])</f>
        <v>0</v>
      </c>
      <c r="M464" s="19" t="str">
        <f>IF(Tabela2[[#This Row],[Lucro Anterior]]=0,"",IF(Tabela2[[#This Row],[Lucro Líquido]]&gt;0,Tabela2[[#This Row],[Lucro Líquido]]/Tabela2[[#This Row],[Lucro Anterior]]-1,0))</f>
        <v/>
      </c>
    </row>
    <row r="465" spans="1:13">
      <c r="A465" s="4" t="s">
        <v>200</v>
      </c>
      <c r="B465" s="4">
        <v>2012</v>
      </c>
      <c r="C465" s="6">
        <v>26381000</v>
      </c>
      <c r="D465" s="8">
        <f>SUMPRODUCT(N(Tabela3[PAPEL]=Tabela2[[#This Row],[Ativo]]),Tabela3[Total Ações])</f>
        <v>166720235</v>
      </c>
      <c r="E465" s="64">
        <f>(Tabela2[[#This Row],[Lucro Líquido]])/Tabela2[[#This Row],[Total Ações]]</f>
        <v>0.15823514164312449</v>
      </c>
      <c r="F465" s="64">
        <v>6.1899999999999997E-2</v>
      </c>
      <c r="G465" s="44">
        <f>IF(AND(Tabela2[[#This Row],[Dividendo / Ação]]&gt;0,Tabela2[[#This Row],[Lucro por ação]]&gt;0),Tabela2[[#This Row],[Dividendo / Ação]]/Tabela2[[#This Row],[Lucro por ação]],"")</f>
        <v>0.39118996802623096</v>
      </c>
      <c r="H465" s="6">
        <f>MAX(Tabela2[[#This Row],[Cotação 1]],Tabela2[[#This Row],[Cotação 2]])</f>
        <v>3.33</v>
      </c>
      <c r="I465" s="19">
        <f>IF(Tabela2[[#This Row],[Dividendo / Ação]]&gt;0,Tabela2[[#This Row],[Dividendo / Ação]]/Tabela2[[#This Row],[Cotação]],"")</f>
        <v>1.8588588588588587E-2</v>
      </c>
      <c r="J465" s="59">
        <f>SUMPRODUCT(N(Tabela1[Código]=Tabela2[[#This Row],[Ativo]]),Tabela1[Fechamento])</f>
        <v>3.33</v>
      </c>
      <c r="K465" s="59">
        <f>SUMPRODUCT(N(Tabela17[Código]=Tabela2[[#This Row],[Ativo]]),Tabela17[Fechamento])</f>
        <v>0</v>
      </c>
      <c r="L465" s="59">
        <f>SUMPRODUCT(N([Ativo]=Tabela2[[#This Row],[Ativo]]),N([Exercício]=Tabela2[[#This Row],[Exercício]]-1),[Lucro Líquido])</f>
        <v>9354000</v>
      </c>
      <c r="M465" s="19">
        <f>IF(Tabela2[[#This Row],[Lucro Anterior]]=0,"",IF(Tabela2[[#This Row],[Lucro Líquido]]&gt;0,Tabela2[[#This Row],[Lucro Líquido]]/Tabela2[[#This Row],[Lucro Anterior]]-1,0))</f>
        <v>1.8202907846910414</v>
      </c>
    </row>
    <row r="466" spans="1:13">
      <c r="A466" s="4" t="s">
        <v>200</v>
      </c>
      <c r="B466" s="3">
        <v>2011</v>
      </c>
      <c r="C466" s="5">
        <v>9354000</v>
      </c>
      <c r="D466" s="60">
        <f>SUMPRODUCT(N(Tabela3[PAPEL]=Tabela2[[#This Row],[Ativo]]),Tabela3[Total Ações])</f>
        <v>166720235</v>
      </c>
      <c r="E466" s="63">
        <f>(Tabela2[[#This Row],[Lucro Líquido]])/Tabela2[[#This Row],[Total Ações]]</f>
        <v>5.610596698115259E-2</v>
      </c>
      <c r="F466" s="63">
        <v>6.0350000000000001E-2</v>
      </c>
      <c r="G466" s="22">
        <f>IF(AND(Tabela2[[#This Row],[Dividendo / Ação]]&gt;0,Tabela2[[#This Row],[Lucro por ação]]&gt;0),Tabela2[[#This Row],[Dividendo / Ação]]/Tabela2[[#This Row],[Lucro por ação]],"")</f>
        <v>1.0756431668002993</v>
      </c>
      <c r="H466" s="5">
        <f>MAX(Tabela2[[#This Row],[Cotação 1]],Tabela2[[#This Row],[Cotação 2]])</f>
        <v>3.33</v>
      </c>
      <c r="I466" s="18">
        <f>IF(Tabela2[[#This Row],[Dividendo / Ação]]&gt;0,Tabela2[[#This Row],[Dividendo / Ação]]/Tabela2[[#This Row],[Cotação]],"")</f>
        <v>1.8123123123123124E-2</v>
      </c>
      <c r="J466" s="58">
        <f>SUMPRODUCT(N(Tabela1[Código]=Tabela2[[#This Row],[Ativo]]),Tabela1[Fechamento])</f>
        <v>3.33</v>
      </c>
      <c r="K466" s="58">
        <f>SUMPRODUCT(N(Tabela17[Código]=Tabela2[[#This Row],[Ativo]]),Tabela17[Fechamento])</f>
        <v>0</v>
      </c>
      <c r="L466" s="58">
        <f>SUMPRODUCT(N([Ativo]=Tabela2[[#This Row],[Ativo]]),N([Exercício]=Tabela2[[#This Row],[Exercício]]-1),[Lucro Líquido])</f>
        <v>34360000</v>
      </c>
      <c r="M466" s="18">
        <f>IF(Tabela2[[#This Row],[Lucro Anterior]]=0,"",IF(Tabela2[[#This Row],[Lucro Líquido]]&gt;0,Tabela2[[#This Row],[Lucro Líquido]]/Tabela2[[#This Row],[Lucro Anterior]]-1,0))</f>
        <v>-0.72776484284051224</v>
      </c>
    </row>
    <row r="467" spans="1:13">
      <c r="A467" s="4" t="s">
        <v>200</v>
      </c>
      <c r="B467" s="3">
        <v>2010</v>
      </c>
      <c r="C467" s="5">
        <v>34360000</v>
      </c>
      <c r="D467" s="60">
        <f>SUMPRODUCT(N(Tabela3[PAPEL]=Tabela2[[#This Row],[Ativo]]),Tabela3[Total Ações])</f>
        <v>166720235</v>
      </c>
      <c r="E467" s="63">
        <f>(Tabela2[[#This Row],[Lucro Líquido]])/Tabela2[[#This Row],[Total Ações]]</f>
        <v>0.20609375940478972</v>
      </c>
      <c r="F467" s="63">
        <v>5.9830000000000001E-2</v>
      </c>
      <c r="G467" s="22">
        <f>IF(AND(Tabela2[[#This Row],[Dividendo / Ação]]&gt;0,Tabela2[[#This Row],[Lucro por ação]]&gt;0),Tabela2[[#This Row],[Dividendo / Ação]]/Tabela2[[#This Row],[Lucro por ação]],"")</f>
        <v>0.29030476309807918</v>
      </c>
      <c r="H467" s="5">
        <f>MAX(Tabela2[[#This Row],[Cotação 1]],Tabela2[[#This Row],[Cotação 2]])</f>
        <v>3.33</v>
      </c>
      <c r="I467" s="18">
        <f>IF(Tabela2[[#This Row],[Dividendo / Ação]]&gt;0,Tabela2[[#This Row],[Dividendo / Ação]]/Tabela2[[#This Row],[Cotação]],"")</f>
        <v>1.7966966966966966E-2</v>
      </c>
      <c r="J467" s="58">
        <f>SUMPRODUCT(N(Tabela1[Código]=Tabela2[[#This Row],[Ativo]]),Tabela1[Fechamento])</f>
        <v>3.33</v>
      </c>
      <c r="K467" s="58">
        <f>SUMPRODUCT(N(Tabela17[Código]=Tabela2[[#This Row],[Ativo]]),Tabela17[Fechamento])</f>
        <v>0</v>
      </c>
      <c r="L467" s="58">
        <f>SUMPRODUCT(N([Ativo]=Tabela2[[#This Row],[Ativo]]),N([Exercício]=Tabela2[[#This Row],[Exercício]]-1),[Lucro Líquido])</f>
        <v>0</v>
      </c>
      <c r="M467" s="18" t="str">
        <f>IF(Tabela2[[#This Row],[Lucro Anterior]]=0,"",IF(Tabela2[[#This Row],[Lucro Líquido]]&gt;0,Tabela2[[#This Row],[Lucro Líquido]]/Tabela2[[#This Row],[Lucro Anterior]]-1,0))</f>
        <v/>
      </c>
    </row>
    <row r="468" spans="1:13">
      <c r="A468" s="4" t="s">
        <v>201</v>
      </c>
      <c r="B468" s="4">
        <v>2012</v>
      </c>
      <c r="C468" s="6">
        <v>26381000</v>
      </c>
      <c r="D468" s="8">
        <f>SUMPRODUCT(N(Tabela3[PAPEL]=Tabela2[[#This Row],[Ativo]]),Tabela3[Total Ações])</f>
        <v>166720235</v>
      </c>
      <c r="E468" s="64">
        <f>(Tabela2[[#This Row],[Lucro Líquido]])/Tabela2[[#This Row],[Total Ações]]</f>
        <v>0.15823514164312449</v>
      </c>
      <c r="F468" s="64">
        <v>6.1899999999999997E-2</v>
      </c>
      <c r="G468" s="44">
        <f>IF(AND(Tabela2[[#This Row],[Dividendo / Ação]]&gt;0,Tabela2[[#This Row],[Lucro por ação]]&gt;0),Tabela2[[#This Row],[Dividendo / Ação]]/Tabela2[[#This Row],[Lucro por ação]],"")</f>
        <v>0.39118996802623096</v>
      </c>
      <c r="H468" s="6">
        <f>MAX(Tabela2[[#This Row],[Cotação 1]],Tabela2[[#This Row],[Cotação 2]])</f>
        <v>3.36</v>
      </c>
      <c r="I468" s="19">
        <f>IF(Tabela2[[#This Row],[Dividendo / Ação]]&gt;0,Tabela2[[#This Row],[Dividendo / Ação]]/Tabela2[[#This Row],[Cotação]],"")</f>
        <v>1.8422619047619049E-2</v>
      </c>
      <c r="J468" s="59">
        <f>SUMPRODUCT(N(Tabela1[Código]=Tabela2[[#This Row],[Ativo]]),Tabela1[Fechamento])</f>
        <v>3.36</v>
      </c>
      <c r="K468" s="59">
        <f>SUMPRODUCT(N(Tabela17[Código]=Tabela2[[#This Row],[Ativo]]),Tabela17[Fechamento])</f>
        <v>0</v>
      </c>
      <c r="L468" s="59">
        <f>SUMPRODUCT(N([Ativo]=Tabela2[[#This Row],[Ativo]]),N([Exercício]=Tabela2[[#This Row],[Exercício]]-1),[Lucro Líquido])</f>
        <v>9354000</v>
      </c>
      <c r="M468" s="19">
        <f>IF(Tabela2[[#This Row],[Lucro Anterior]]=0,"",IF(Tabela2[[#This Row],[Lucro Líquido]]&gt;0,Tabela2[[#This Row],[Lucro Líquido]]/Tabela2[[#This Row],[Lucro Anterior]]-1,0))</f>
        <v>1.8202907846910414</v>
      </c>
    </row>
    <row r="469" spans="1:13">
      <c r="A469" s="4" t="s">
        <v>201</v>
      </c>
      <c r="B469" s="4">
        <v>2011</v>
      </c>
      <c r="C469" s="5">
        <v>9354000</v>
      </c>
      <c r="D469" s="8">
        <f>SUMPRODUCT(N(Tabela3[PAPEL]=Tabela2[[#This Row],[Ativo]]),Tabela3[Total Ações])</f>
        <v>166720235</v>
      </c>
      <c r="E469" s="64">
        <f>(Tabela2[[#This Row],[Lucro Líquido]])/Tabela2[[#This Row],[Total Ações]]</f>
        <v>5.610596698115259E-2</v>
      </c>
      <c r="F469" s="64">
        <v>6.6379999999999995E-2</v>
      </c>
      <c r="G469" s="44">
        <f>IF(AND(Tabela2[[#This Row],[Dividendo / Ação]]&gt;0,Tabela2[[#This Row],[Lucro por ação]]&gt;0),Tabela2[[#This Row],[Dividendo / Ação]]/Tabela2[[#This Row],[Lucro por ação]],"")</f>
        <v>1.1831183663994012</v>
      </c>
      <c r="H469" s="6">
        <f>MAX(Tabela2[[#This Row],[Cotação 1]],Tabela2[[#This Row],[Cotação 2]])</f>
        <v>3.36</v>
      </c>
      <c r="I469" s="19">
        <f>IF(Tabela2[[#This Row],[Dividendo / Ação]]&gt;0,Tabela2[[#This Row],[Dividendo / Ação]]/Tabela2[[#This Row],[Cotação]],"")</f>
        <v>1.9755952380952381E-2</v>
      </c>
      <c r="J469" s="59">
        <f>SUMPRODUCT(N(Tabela1[Código]=Tabela2[[#This Row],[Ativo]]),Tabela1[Fechamento])</f>
        <v>3.36</v>
      </c>
      <c r="K469" s="59">
        <f>SUMPRODUCT(N(Tabela17[Código]=Tabela2[[#This Row],[Ativo]]),Tabela17[Fechamento])</f>
        <v>0</v>
      </c>
      <c r="L469" s="59">
        <f>SUMPRODUCT(N([Ativo]=Tabela2[[#This Row],[Ativo]]),N([Exercício]=Tabela2[[#This Row],[Exercício]]-1),[Lucro Líquido])</f>
        <v>34360000</v>
      </c>
      <c r="M469" s="19">
        <f>IF(Tabela2[[#This Row],[Lucro Anterior]]=0,"",IF(Tabela2[[#This Row],[Lucro Líquido]]&gt;0,Tabela2[[#This Row],[Lucro Líquido]]/Tabela2[[#This Row],[Lucro Anterior]]-1,0))</f>
        <v>-0.72776484284051224</v>
      </c>
    </row>
    <row r="470" spans="1:13">
      <c r="A470" s="4" t="s">
        <v>201</v>
      </c>
      <c r="B470" s="4">
        <v>2010</v>
      </c>
      <c r="C470" s="5">
        <v>34360000</v>
      </c>
      <c r="D470" s="8">
        <f>SUMPRODUCT(N(Tabela3[PAPEL]=Tabela2[[#This Row],[Ativo]]),Tabela3[Total Ações])</f>
        <v>166720235</v>
      </c>
      <c r="E470" s="64">
        <f>(Tabela2[[#This Row],[Lucro Líquido]])/Tabela2[[#This Row],[Total Ações]]</f>
        <v>0.20609375940478972</v>
      </c>
      <c r="F470" s="64">
        <v>6.5809999999999994E-2</v>
      </c>
      <c r="G470" s="44">
        <f>IF(AND(Tabela2[[#This Row],[Dividendo / Ação]]&gt;0,Tabela2[[#This Row],[Lucro por ação]]&gt;0),Tabela2[[#This Row],[Dividendo / Ação]]/Tabela2[[#This Row],[Lucro por ação]],"")</f>
        <v>0.31932068292636784</v>
      </c>
      <c r="H470" s="6">
        <f>MAX(Tabela2[[#This Row],[Cotação 1]],Tabela2[[#This Row],[Cotação 2]])</f>
        <v>3.36</v>
      </c>
      <c r="I470" s="19">
        <f>IF(Tabela2[[#This Row],[Dividendo / Ação]]&gt;0,Tabela2[[#This Row],[Dividendo / Ação]]/Tabela2[[#This Row],[Cotação]],"")</f>
        <v>1.9586309523809523E-2</v>
      </c>
      <c r="J470" s="59">
        <f>SUMPRODUCT(N(Tabela1[Código]=Tabela2[[#This Row],[Ativo]]),Tabela1[Fechamento])</f>
        <v>3.36</v>
      </c>
      <c r="K470" s="59">
        <f>SUMPRODUCT(N(Tabela17[Código]=Tabela2[[#This Row],[Ativo]]),Tabela17[Fechamento])</f>
        <v>0</v>
      </c>
      <c r="L470" s="59">
        <f>SUMPRODUCT(N([Ativo]=Tabela2[[#This Row],[Ativo]]),N([Exercício]=Tabela2[[#This Row],[Exercício]]-1),[Lucro Líquido])</f>
        <v>0</v>
      </c>
      <c r="M470" s="19" t="str">
        <f>IF(Tabela2[[#This Row],[Lucro Anterior]]=0,"",IF(Tabela2[[#This Row],[Lucro Líquido]]&gt;0,Tabela2[[#This Row],[Lucro Líquido]]/Tabela2[[#This Row],[Lucro Anterior]]-1,0))</f>
        <v/>
      </c>
    </row>
    <row r="471" spans="1:13">
      <c r="A471" s="4" t="s">
        <v>65</v>
      </c>
      <c r="B471" s="4">
        <v>2012</v>
      </c>
      <c r="C471" s="6">
        <v>50944000</v>
      </c>
      <c r="D471" s="8">
        <f>SUMPRODUCT(N(Tabela3[PAPEL]=Tabela2[[#This Row],[Ativo]]),Tabela3[Total Ações])</f>
        <v>108480828</v>
      </c>
      <c r="E471" s="62">
        <f>(Tabela2[[#This Row],[Lucro Líquido]])/Tabela2[[#This Row],[Total Ações]]</f>
        <v>0.46961293473903054</v>
      </c>
      <c r="F471" s="62">
        <v>0.25598361800000002</v>
      </c>
      <c r="G471" s="18">
        <f>IF(AND(Tabela2[[#This Row],[Dividendo / Ação]]&gt;0,Tabela2[[#This Row],[Lucro por ação]]&gt;0),Tabela2[[#This Row],[Dividendo / Ação]]/Tabela2[[#This Row],[Lucro por ação]],"")</f>
        <v>0.5450949048970577</v>
      </c>
      <c r="H471" s="5">
        <f>MAX(Tabela2[[#This Row],[Cotação 1]],Tabela2[[#This Row],[Cotação 2]])</f>
        <v>5.96</v>
      </c>
      <c r="I471" s="18">
        <f>IF(Tabela2[[#This Row],[Dividendo / Ação]]&gt;0,Tabela2[[#This Row],[Dividendo / Ação]]/Tabela2[[#This Row],[Cotação]],"")</f>
        <v>4.2950271476510073E-2</v>
      </c>
      <c r="J471" s="58">
        <f>SUMPRODUCT(N(Tabela1[Código]=Tabela2[[#This Row],[Ativo]]),Tabela1[Fechamento])</f>
        <v>5.96</v>
      </c>
      <c r="K471" s="58">
        <f>SUMPRODUCT(N(Tabela17[Código]=Tabela2[[#This Row],[Ativo]]),Tabela17[Fechamento])</f>
        <v>0</v>
      </c>
      <c r="L471" s="58">
        <f>SUMPRODUCT(N([Ativo]=Tabela2[[#This Row],[Ativo]]),N([Exercício]=Tabela2[[#This Row],[Exercício]]-1),[Lucro Líquido])</f>
        <v>42494000</v>
      </c>
      <c r="M471" s="18">
        <f>IF(Tabela2[[#This Row],[Lucro Anterior]]=0,"",IF(Tabela2[[#This Row],[Lucro Líquido]]&gt;0,Tabela2[[#This Row],[Lucro Líquido]]/Tabela2[[#This Row],[Lucro Anterior]]-1,0))</f>
        <v>0.19885160257918755</v>
      </c>
    </row>
    <row r="472" spans="1:13">
      <c r="A472" s="4" t="s">
        <v>65</v>
      </c>
      <c r="B472" s="4">
        <v>2011</v>
      </c>
      <c r="C472" s="6">
        <v>42494000</v>
      </c>
      <c r="D472" s="8">
        <f>SUMPRODUCT(N(Tabela3[PAPEL]=Tabela2[[#This Row],[Ativo]]),Tabela3[Total Ações])</f>
        <v>108480828</v>
      </c>
      <c r="E472" s="62">
        <f>(Tabela2[[#This Row],[Lucro Líquido]])/Tabela2[[#This Row],[Total Ações]]</f>
        <v>0.39171898651068554</v>
      </c>
      <c r="F472" s="62">
        <v>0.36250183699999999</v>
      </c>
      <c r="G472" s="19">
        <f>IF(AND(Tabela2[[#This Row],[Dividendo / Ação]]&gt;0,Tabela2[[#This Row],[Lucro por ação]]&gt;0),Tabela2[[#This Row],[Dividendo / Ação]]/Tabela2[[#This Row],[Lucro por ação]],"")</f>
        <v>0.9254129860517023</v>
      </c>
      <c r="H472" s="6">
        <f>MAX(Tabela2[[#This Row],[Cotação 1]],Tabela2[[#This Row],[Cotação 2]])</f>
        <v>5.96</v>
      </c>
      <c r="I472" s="18">
        <f>IF(Tabela2[[#This Row],[Dividendo / Ação]]&gt;0,Tabela2[[#This Row],[Dividendo / Ação]]/Tabela2[[#This Row],[Cotação]],"")</f>
        <v>6.0822455872483222E-2</v>
      </c>
      <c r="J472" s="58">
        <f>SUMPRODUCT(N(Tabela1[Código]=Tabela2[[#This Row],[Ativo]]),Tabela1[Fechamento])</f>
        <v>5.96</v>
      </c>
      <c r="K472" s="58">
        <f>SUMPRODUCT(N(Tabela17[Código]=Tabela2[[#This Row],[Ativo]]),Tabela17[Fechamento])</f>
        <v>0</v>
      </c>
      <c r="L472" s="58">
        <f>SUMPRODUCT(N([Ativo]=Tabela2[[#This Row],[Ativo]]),N([Exercício]=Tabela2[[#This Row],[Exercício]]-1),[Lucro Líquido])</f>
        <v>60637000</v>
      </c>
      <c r="M472" s="18">
        <f>IF(Tabela2[[#This Row],[Lucro Anterior]]=0,"",IF(Tabela2[[#This Row],[Lucro Líquido]]&gt;0,Tabela2[[#This Row],[Lucro Líquido]]/Tabela2[[#This Row],[Lucro Anterior]]-1,0))</f>
        <v>-0.29920675495159721</v>
      </c>
    </row>
    <row r="473" spans="1:13">
      <c r="A473" s="4" t="s">
        <v>65</v>
      </c>
      <c r="B473" s="4">
        <v>2010</v>
      </c>
      <c r="C473" s="6">
        <v>60637000</v>
      </c>
      <c r="D473" s="8">
        <f>SUMPRODUCT(N(Tabela3[PAPEL]=Tabela2[[#This Row],[Ativo]]),Tabela3[Total Ações])</f>
        <v>108480828</v>
      </c>
      <c r="E473" s="62">
        <f>(Tabela2[[#This Row],[Lucro Líquido]])/Tabela2[[#This Row],[Total Ações]]</f>
        <v>0.55896512884285876</v>
      </c>
      <c r="F473" s="62">
        <v>0.41899999999999998</v>
      </c>
      <c r="G473" s="19">
        <f>IF(AND(Tabela2[[#This Row],[Dividendo / Ação]]&gt;0,Tabela2[[#This Row],[Lucro por ação]]&gt;0),Tabela2[[#This Row],[Dividendo / Ação]]/Tabela2[[#This Row],[Lucro por ação]],"")</f>
        <v>0.74959953381598687</v>
      </c>
      <c r="H473" s="6">
        <f>MAX(Tabela2[[#This Row],[Cotação 1]],Tabela2[[#This Row],[Cotação 2]])</f>
        <v>5.96</v>
      </c>
      <c r="I473" s="18">
        <f>IF(Tabela2[[#This Row],[Dividendo / Ação]]&gt;0,Tabela2[[#This Row],[Dividendo / Ação]]/Tabela2[[#This Row],[Cotação]],"")</f>
        <v>7.030201342281879E-2</v>
      </c>
      <c r="J473" s="58">
        <f>SUMPRODUCT(N(Tabela1[Código]=Tabela2[[#This Row],[Ativo]]),Tabela1[Fechamento])</f>
        <v>5.96</v>
      </c>
      <c r="K473" s="58">
        <f>SUMPRODUCT(N(Tabela17[Código]=Tabela2[[#This Row],[Ativo]]),Tabela17[Fechamento])</f>
        <v>0</v>
      </c>
      <c r="L473" s="58">
        <f>SUMPRODUCT(N([Ativo]=Tabela2[[#This Row],[Ativo]]),N([Exercício]=Tabela2[[#This Row],[Exercício]]-1),[Lucro Líquido])</f>
        <v>0</v>
      </c>
      <c r="M473" s="18" t="str">
        <f>IF(Tabela2[[#This Row],[Lucro Anterior]]=0,"",IF(Tabela2[[#This Row],[Lucro Líquido]]&gt;0,Tabela2[[#This Row],[Lucro Líquido]]/Tabela2[[#This Row],[Lucro Anterior]]-1,0))</f>
        <v/>
      </c>
    </row>
    <row r="474" spans="1:13">
      <c r="A474" s="14" t="s">
        <v>209</v>
      </c>
      <c r="B474" s="3">
        <v>2012</v>
      </c>
      <c r="C474" s="5">
        <v>52406000</v>
      </c>
      <c r="D474" s="60">
        <f>SUMPRODUCT(N(Tabela3[PAPEL]=Tabela2[[#This Row],[Ativo]]),Tabela3[Total Ações])</f>
        <v>84682269</v>
      </c>
      <c r="E474" s="63">
        <f>(Tabela2[[#This Row],[Lucro Líquido]])/Tabela2[[#This Row],[Total Ações]]</f>
        <v>0.61885446172917258</v>
      </c>
      <c r="F474" s="63">
        <v>1.0399999999999999E-3</v>
      </c>
      <c r="G474" s="22">
        <f>IF(AND(Tabela2[[#This Row],[Dividendo / Ação]]&gt;0,Tabela2[[#This Row],[Lucro por ação]]&gt;0),Tabela2[[#This Row],[Dividendo / Ação]]/Tabela2[[#This Row],[Lucro por ação]],"")</f>
        <v>1.6805243628592145E-3</v>
      </c>
      <c r="H474" s="5">
        <f>MAX(Tabela2[[#This Row],[Cotação 1]],Tabela2[[#This Row],[Cotação 2]])</f>
        <v>3.08</v>
      </c>
      <c r="I474" s="18">
        <f>IF(Tabela2[[#This Row],[Dividendo / Ação]]&gt;0,Tabela2[[#This Row],[Dividendo / Ação]]/Tabela2[[#This Row],[Cotação]],"")</f>
        <v>3.3766233766233762E-4</v>
      </c>
      <c r="J474" s="58">
        <f>SUMPRODUCT(N(Tabela1[Código]=Tabela2[[#This Row],[Ativo]]),Tabela1[Fechamento])</f>
        <v>3.08</v>
      </c>
      <c r="K474" s="58">
        <f>SUMPRODUCT(N(Tabela17[Código]=Tabela2[[#This Row],[Ativo]]),Tabela17[Fechamento])</f>
        <v>0</v>
      </c>
      <c r="L474" s="58">
        <f>SUMPRODUCT(N([Ativo]=Tabela2[[#This Row],[Ativo]]),N([Exercício]=Tabela2[[#This Row],[Exercício]]-1),[Lucro Líquido])</f>
        <v>47835000</v>
      </c>
      <c r="M474" s="18">
        <f>IF(Tabela2[[#This Row],[Lucro Anterior]]=0,"",IF(Tabela2[[#This Row],[Lucro Líquido]]&gt;0,Tabela2[[#This Row],[Lucro Líquido]]/Tabela2[[#This Row],[Lucro Anterior]]-1,0))</f>
        <v>9.5557646075049574E-2</v>
      </c>
    </row>
    <row r="475" spans="1:13">
      <c r="A475" s="14" t="s">
        <v>209</v>
      </c>
      <c r="B475" s="3">
        <v>2011</v>
      </c>
      <c r="C475" s="5">
        <v>47835000</v>
      </c>
      <c r="D475" s="60">
        <f>SUMPRODUCT(N(Tabela3[PAPEL]=Tabela2[[#This Row],[Ativo]]),Tabela3[Total Ações])</f>
        <v>84682269</v>
      </c>
      <c r="E475" s="63">
        <f>(Tabela2[[#This Row],[Lucro Líquido]])/Tabela2[[#This Row],[Total Ações]]</f>
        <v>0.56487621983770886</v>
      </c>
      <c r="F475" s="63">
        <v>0</v>
      </c>
      <c r="G475" s="22" t="str">
        <f>IF(AND(Tabela2[[#This Row],[Dividendo / Ação]]&gt;0,Tabela2[[#This Row],[Lucro por ação]]&gt;0),Tabela2[[#This Row],[Dividendo / Ação]]/Tabela2[[#This Row],[Lucro por ação]],"")</f>
        <v/>
      </c>
      <c r="H475" s="5">
        <f>MAX(Tabela2[[#This Row],[Cotação 1]],Tabela2[[#This Row],[Cotação 2]])</f>
        <v>3.08</v>
      </c>
      <c r="I475" s="18" t="str">
        <f>IF(Tabela2[[#This Row],[Dividendo / Ação]]&gt;0,Tabela2[[#This Row],[Dividendo / Ação]]/Tabela2[[#This Row],[Cotação]],"")</f>
        <v/>
      </c>
      <c r="J475" s="58">
        <f>SUMPRODUCT(N(Tabela1[Código]=Tabela2[[#This Row],[Ativo]]),Tabela1[Fechamento])</f>
        <v>3.08</v>
      </c>
      <c r="K475" s="58">
        <f>SUMPRODUCT(N(Tabela17[Código]=Tabela2[[#This Row],[Ativo]]),Tabela17[Fechamento])</f>
        <v>0</v>
      </c>
      <c r="L475" s="58">
        <f>SUMPRODUCT(N([Ativo]=Tabela2[[#This Row],[Ativo]]),N([Exercício]=Tabela2[[#This Row],[Exercício]]-1),[Lucro Líquido])</f>
        <v>43244000</v>
      </c>
      <c r="M475" s="18">
        <f>IF(Tabela2[[#This Row],[Lucro Anterior]]=0,"",IF(Tabela2[[#This Row],[Lucro Líquido]]&gt;0,Tabela2[[#This Row],[Lucro Líquido]]/Tabela2[[#This Row],[Lucro Anterior]]-1,0))</f>
        <v>0.10616501711220061</v>
      </c>
    </row>
    <row r="476" spans="1:13">
      <c r="A476" s="14" t="s">
        <v>209</v>
      </c>
      <c r="B476" s="3">
        <v>2010</v>
      </c>
      <c r="C476" s="5">
        <v>43244000</v>
      </c>
      <c r="D476" s="60">
        <f>SUMPRODUCT(N(Tabela3[PAPEL]=Tabela2[[#This Row],[Ativo]]),Tabela3[Total Ações])</f>
        <v>84682269</v>
      </c>
      <c r="E476" s="63">
        <f>(Tabela2[[#This Row],[Lucro Líquido]])/Tabela2[[#This Row],[Total Ações]]</f>
        <v>0.51066180099638092</v>
      </c>
      <c r="F476" s="63">
        <v>4.8799999999999998E-3</v>
      </c>
      <c r="G476" s="22">
        <f>IF(AND(Tabela2[[#This Row],[Dividendo / Ação]]&gt;0,Tabela2[[#This Row],[Lucro por ação]]&gt;0),Tabela2[[#This Row],[Dividendo / Ação]]/Tabela2[[#This Row],[Lucro por ação]],"")</f>
        <v>9.5562268226806035E-3</v>
      </c>
      <c r="H476" s="5">
        <f>MAX(Tabela2[[#This Row],[Cotação 1]],Tabela2[[#This Row],[Cotação 2]])</f>
        <v>3.08</v>
      </c>
      <c r="I476" s="18">
        <f>IF(Tabela2[[#This Row],[Dividendo / Ação]]&gt;0,Tabela2[[#This Row],[Dividendo / Ação]]/Tabela2[[#This Row],[Cotação]],"")</f>
        <v>1.5844155844155843E-3</v>
      </c>
      <c r="J476" s="58">
        <f>SUMPRODUCT(N(Tabela1[Código]=Tabela2[[#This Row],[Ativo]]),Tabela1[Fechamento])</f>
        <v>3.08</v>
      </c>
      <c r="K476" s="58">
        <f>SUMPRODUCT(N(Tabela17[Código]=Tabela2[[#This Row],[Ativo]]),Tabela17[Fechamento])</f>
        <v>0</v>
      </c>
      <c r="L476" s="58">
        <f>SUMPRODUCT(N([Ativo]=Tabela2[[#This Row],[Ativo]]),N([Exercício]=Tabela2[[#This Row],[Exercício]]-1),[Lucro Líquido])</f>
        <v>40621000</v>
      </c>
      <c r="M476" s="18">
        <f>IF(Tabela2[[#This Row],[Lucro Anterior]]=0,"",IF(Tabela2[[#This Row],[Lucro Líquido]]&gt;0,Tabela2[[#This Row],[Lucro Líquido]]/Tabela2[[#This Row],[Lucro Anterior]]-1,0))</f>
        <v>6.4572511755003559E-2</v>
      </c>
    </row>
    <row r="477" spans="1:13">
      <c r="A477" s="14" t="s">
        <v>209</v>
      </c>
      <c r="B477" s="3">
        <v>2009</v>
      </c>
      <c r="C477" s="5">
        <v>40621000</v>
      </c>
      <c r="D477" s="60">
        <f>SUMPRODUCT(N(Tabela3[PAPEL]=Tabela2[[#This Row],[Ativo]]),Tabela3[Total Ações])</f>
        <v>84682269</v>
      </c>
      <c r="E477" s="63">
        <f>(Tabela2[[#This Row],[Lucro Líquido]])/Tabela2[[#This Row],[Total Ações]]</f>
        <v>0.47968719402169063</v>
      </c>
      <c r="F477" s="63">
        <v>3.2800000000000003E-2</v>
      </c>
      <c r="G477" s="22">
        <f>IF(AND(Tabela2[[#This Row],[Dividendo / Ação]]&gt;0,Tabela2[[#This Row],[Lucro por ação]]&gt;0),Tabela2[[#This Row],[Dividendo / Ação]]/Tabela2[[#This Row],[Lucro por ação]],"")</f>
        <v>6.8377893779079796E-2</v>
      </c>
      <c r="H477" s="5">
        <f>MAX(Tabela2[[#This Row],[Cotação 1]],Tabela2[[#This Row],[Cotação 2]])</f>
        <v>3.08</v>
      </c>
      <c r="I477" s="18">
        <f>IF(Tabela2[[#This Row],[Dividendo / Ação]]&gt;0,Tabela2[[#This Row],[Dividendo / Ação]]/Tabela2[[#This Row],[Cotação]],"")</f>
        <v>1.064935064935065E-2</v>
      </c>
      <c r="J477" s="58">
        <f>SUMPRODUCT(N(Tabela1[Código]=Tabela2[[#This Row],[Ativo]]),Tabela1[Fechamento])</f>
        <v>3.08</v>
      </c>
      <c r="K477" s="58">
        <f>SUMPRODUCT(N(Tabela17[Código]=Tabela2[[#This Row],[Ativo]]),Tabela17[Fechamento])</f>
        <v>0</v>
      </c>
      <c r="L477" s="58">
        <f>SUMPRODUCT(N([Ativo]=Tabela2[[#This Row],[Ativo]]),N([Exercício]=Tabela2[[#This Row],[Exercício]]-1),[Lucro Líquido])</f>
        <v>0</v>
      </c>
      <c r="M477" s="18" t="str">
        <f>IF(Tabela2[[#This Row],[Lucro Anterior]]=0,"",IF(Tabela2[[#This Row],[Lucro Líquido]]&gt;0,Tabela2[[#This Row],[Lucro Líquido]]/Tabela2[[#This Row],[Lucro Anterior]]-1,0))</f>
        <v/>
      </c>
    </row>
    <row r="478" spans="1:13">
      <c r="A478" s="14" t="s">
        <v>77</v>
      </c>
      <c r="B478" s="3">
        <v>2012</v>
      </c>
      <c r="C478" s="5">
        <v>52406000</v>
      </c>
      <c r="D478" s="60">
        <f>SUMPRODUCT(N(Tabela3[PAPEL]=Tabela2[[#This Row],[Ativo]]),Tabela3[Total Ações])</f>
        <v>84682269</v>
      </c>
      <c r="E478" s="63">
        <f>(Tabela2[[#This Row],[Lucro Líquido]])/Tabela2[[#This Row],[Total Ações]]</f>
        <v>0.61885446172917258</v>
      </c>
      <c r="F478" s="63">
        <v>0.38174999999999998</v>
      </c>
      <c r="G478" s="22">
        <f>IF(AND(Tabela2[[#This Row],[Dividendo / Ação]]&gt;0,Tabela2[[#This Row],[Lucro por ação]]&gt;0),Tabela2[[#This Row],[Dividendo / Ação]]/Tabela2[[#This Row],[Lucro por ação]],"")</f>
        <v>0.61686555338606264</v>
      </c>
      <c r="H478" s="5">
        <f>MAX(Tabela2[[#This Row],[Cotação 1]],Tabela2[[#This Row],[Cotação 2]])</f>
        <v>6.8</v>
      </c>
      <c r="I478" s="18">
        <f>IF(Tabela2[[#This Row],[Dividendo / Ação]]&gt;0,Tabela2[[#This Row],[Dividendo / Ação]]/Tabela2[[#This Row],[Cotação]],"")</f>
        <v>5.6139705882352939E-2</v>
      </c>
      <c r="J478" s="58">
        <f>SUMPRODUCT(N(Tabela1[Código]=Tabela2[[#This Row],[Ativo]]),Tabela1[Fechamento])</f>
        <v>6.8</v>
      </c>
      <c r="K478" s="58">
        <f>SUMPRODUCT(N(Tabela17[Código]=Tabela2[[#This Row],[Ativo]]),Tabela17[Fechamento])</f>
        <v>0</v>
      </c>
      <c r="L478" s="58">
        <f>SUMPRODUCT(N([Ativo]=Tabela2[[#This Row],[Ativo]]),N([Exercício]=Tabela2[[#This Row],[Exercício]]-1),[Lucro Líquido])</f>
        <v>47835000</v>
      </c>
      <c r="M478" s="18">
        <f>IF(Tabela2[[#This Row],[Lucro Anterior]]=0,"",IF(Tabela2[[#This Row],[Lucro Líquido]]&gt;0,Tabela2[[#This Row],[Lucro Líquido]]/Tabela2[[#This Row],[Lucro Anterior]]-1,0))</f>
        <v>9.5557646075049574E-2</v>
      </c>
    </row>
    <row r="479" spans="1:13">
      <c r="A479" s="14" t="s">
        <v>77</v>
      </c>
      <c r="B479" s="3">
        <v>2011</v>
      </c>
      <c r="C479" s="5">
        <v>47835000</v>
      </c>
      <c r="D479" s="60">
        <f>SUMPRODUCT(N(Tabela3[PAPEL]=Tabela2[[#This Row],[Ativo]]),Tabela3[Total Ações])</f>
        <v>84682269</v>
      </c>
      <c r="E479" s="63">
        <f>(Tabela2[[#This Row],[Lucro Líquido]])/Tabela2[[#This Row],[Total Ações]]</f>
        <v>0.56487621983770886</v>
      </c>
      <c r="F479" s="63">
        <v>0.34691</v>
      </c>
      <c r="G479" s="22">
        <f>IF(AND(Tabela2[[#This Row],[Dividendo / Ação]]&gt;0,Tabela2[[#This Row],[Lucro por ação]]&gt;0),Tabela2[[#This Row],[Dividendo / Ação]]/Tabela2[[#This Row],[Lucro por ação]],"")</f>
        <v>0.61413454455503291</v>
      </c>
      <c r="H479" s="5">
        <f>MAX(Tabela2[[#This Row],[Cotação 1]],Tabela2[[#This Row],[Cotação 2]])</f>
        <v>6.8</v>
      </c>
      <c r="I479" s="18">
        <f>IF(Tabela2[[#This Row],[Dividendo / Ação]]&gt;0,Tabela2[[#This Row],[Dividendo / Ação]]/Tabela2[[#This Row],[Cotação]],"")</f>
        <v>5.1016176470588238E-2</v>
      </c>
      <c r="J479" s="58">
        <f>SUMPRODUCT(N(Tabela1[Código]=Tabela2[[#This Row],[Ativo]]),Tabela1[Fechamento])</f>
        <v>6.8</v>
      </c>
      <c r="K479" s="58">
        <f>SUMPRODUCT(N(Tabela17[Código]=Tabela2[[#This Row],[Ativo]]),Tabela17[Fechamento])</f>
        <v>0</v>
      </c>
      <c r="L479" s="58">
        <f>SUMPRODUCT(N([Ativo]=Tabela2[[#This Row],[Ativo]]),N([Exercício]=Tabela2[[#This Row],[Exercício]]-1),[Lucro Líquido])</f>
        <v>43244000</v>
      </c>
      <c r="M479" s="18">
        <f>IF(Tabela2[[#This Row],[Lucro Anterior]]=0,"",IF(Tabela2[[#This Row],[Lucro Líquido]]&gt;0,Tabela2[[#This Row],[Lucro Líquido]]/Tabela2[[#This Row],[Lucro Anterior]]-1,0))</f>
        <v>0.10616501711220061</v>
      </c>
    </row>
    <row r="480" spans="1:13">
      <c r="A480" s="14" t="s">
        <v>77</v>
      </c>
      <c r="B480" s="3">
        <v>2010</v>
      </c>
      <c r="C480" s="5">
        <v>43244000</v>
      </c>
      <c r="D480" s="60">
        <f>SUMPRODUCT(N(Tabela3[PAPEL]=Tabela2[[#This Row],[Ativo]]),Tabela3[Total Ações])</f>
        <v>84682269</v>
      </c>
      <c r="E480" s="63">
        <f>(Tabela2[[#This Row],[Lucro Líquido]])/Tabela2[[#This Row],[Total Ações]]</f>
        <v>0.51066180099638092</v>
      </c>
      <c r="F480" s="63">
        <v>0.34364</v>
      </c>
      <c r="G480" s="22">
        <f>IF(AND(Tabela2[[#This Row],[Dividendo / Ação]]&gt;0,Tabela2[[#This Row],[Lucro por ação]]&gt;0),Tabela2[[#This Row],[Dividendo / Ação]]/Tabela2[[#This Row],[Lucro por ação]],"")</f>
        <v>0.67293069371843495</v>
      </c>
      <c r="H480" s="5">
        <f>MAX(Tabela2[[#This Row],[Cotação 1]],Tabela2[[#This Row],[Cotação 2]])</f>
        <v>6.8</v>
      </c>
      <c r="I480" s="18">
        <f>IF(Tabela2[[#This Row],[Dividendo / Ação]]&gt;0,Tabela2[[#This Row],[Dividendo / Ação]]/Tabela2[[#This Row],[Cotação]],"")</f>
        <v>5.053529411764706E-2</v>
      </c>
      <c r="J480" s="58">
        <f>SUMPRODUCT(N(Tabela1[Código]=Tabela2[[#This Row],[Ativo]]),Tabela1[Fechamento])</f>
        <v>6.8</v>
      </c>
      <c r="K480" s="58">
        <f>SUMPRODUCT(N(Tabela17[Código]=Tabela2[[#This Row],[Ativo]]),Tabela17[Fechamento])</f>
        <v>0</v>
      </c>
      <c r="L480" s="58">
        <f>SUMPRODUCT(N([Ativo]=Tabela2[[#This Row],[Ativo]]),N([Exercício]=Tabela2[[#This Row],[Exercício]]-1),[Lucro Líquido])</f>
        <v>40621000</v>
      </c>
      <c r="M480" s="18">
        <f>IF(Tabela2[[#This Row],[Lucro Anterior]]=0,"",IF(Tabela2[[#This Row],[Lucro Líquido]]&gt;0,Tabela2[[#This Row],[Lucro Líquido]]/Tabela2[[#This Row],[Lucro Anterior]]-1,0))</f>
        <v>6.4572511755003559E-2</v>
      </c>
    </row>
    <row r="481" spans="1:14">
      <c r="A481" s="14" t="s">
        <v>77</v>
      </c>
      <c r="B481" s="3">
        <v>2009</v>
      </c>
      <c r="C481" s="5">
        <v>40621000</v>
      </c>
      <c r="D481" s="60">
        <f>SUMPRODUCT(N(Tabela3[PAPEL]=Tabela2[[#This Row],[Ativo]]),Tabela3[Total Ações])</f>
        <v>84682269</v>
      </c>
      <c r="E481" s="63">
        <f>(Tabela2[[#This Row],[Lucro Líquido]])/Tabela2[[#This Row],[Total Ações]]</f>
        <v>0.47968719402169063</v>
      </c>
      <c r="F481" s="63">
        <v>0.29580000000000001</v>
      </c>
      <c r="G481" s="22">
        <f>IF(AND(Tabela2[[#This Row],[Dividendo / Ação]]&gt;0,Tabela2[[#This Row],[Lucro por ação]]&gt;0),Tabela2[[#This Row],[Dividendo / Ação]]/Tabela2[[#This Row],[Lucro por ação]],"")</f>
        <v>0.61665185914182319</v>
      </c>
      <c r="H481" s="5">
        <f>MAX(Tabela2[[#This Row],[Cotação 1]],Tabela2[[#This Row],[Cotação 2]])</f>
        <v>6.8</v>
      </c>
      <c r="I481" s="18">
        <f>IF(Tabela2[[#This Row],[Dividendo / Ação]]&gt;0,Tabela2[[#This Row],[Dividendo / Ação]]/Tabela2[[#This Row],[Cotação]],"")</f>
        <v>4.3500000000000004E-2</v>
      </c>
      <c r="J481" s="58">
        <f>SUMPRODUCT(N(Tabela1[Código]=Tabela2[[#This Row],[Ativo]]),Tabela1[Fechamento])</f>
        <v>6.8</v>
      </c>
      <c r="K481" s="58">
        <f>SUMPRODUCT(N(Tabela17[Código]=Tabela2[[#This Row],[Ativo]]),Tabela17[Fechamento])</f>
        <v>0</v>
      </c>
      <c r="L481" s="58">
        <f>SUMPRODUCT(N([Ativo]=Tabela2[[#This Row],[Ativo]]),N([Exercício]=Tabela2[[#This Row],[Exercício]]-1),[Lucro Líquido])</f>
        <v>0</v>
      </c>
      <c r="M481" s="18" t="str">
        <f>IF(Tabela2[[#This Row],[Lucro Anterior]]=0,"",IF(Tabela2[[#This Row],[Lucro Líquido]]&gt;0,Tabela2[[#This Row],[Lucro Líquido]]/Tabela2[[#This Row],[Lucro Anterior]]-1,0))</f>
        <v/>
      </c>
    </row>
    <row r="482" spans="1:14">
      <c r="A482" s="14" t="s">
        <v>210</v>
      </c>
      <c r="B482" s="4">
        <v>2012</v>
      </c>
      <c r="C482" s="5">
        <v>52406000</v>
      </c>
      <c r="D482" s="8">
        <f>SUMPRODUCT(N(Tabela3[PAPEL]=Tabela2[[#This Row],[Ativo]]),Tabela3[Total Ações])</f>
        <v>84682269</v>
      </c>
      <c r="E482" s="64">
        <f>(Tabela2[[#This Row],[Lucro Líquido]])/Tabela2[[#This Row],[Total Ações]]</f>
        <v>0.61885446172917258</v>
      </c>
      <c r="F482" s="64">
        <v>1.14E-3</v>
      </c>
      <c r="G482" s="44">
        <f>IF(AND(Tabela2[[#This Row],[Dividendo / Ação]]&gt;0,Tabela2[[#This Row],[Lucro por ação]]&gt;0),Tabela2[[#This Row],[Dividendo / Ação]]/Tabela2[[#This Row],[Lucro por ação]],"")</f>
        <v>1.8421132439033698E-3</v>
      </c>
      <c r="H482" s="6">
        <f>MAX(Tabela2[[#This Row],[Cotação 1]],Tabela2[[#This Row],[Cotação 2]])</f>
        <v>2.99</v>
      </c>
      <c r="I482" s="19">
        <f>IF(Tabela2[[#This Row],[Dividendo / Ação]]&gt;0,Tabela2[[#This Row],[Dividendo / Ação]]/Tabela2[[#This Row],[Cotação]],"")</f>
        <v>3.8127090301003341E-4</v>
      </c>
      <c r="J482" s="59">
        <f>SUMPRODUCT(N(Tabela1[Código]=Tabela2[[#This Row],[Ativo]]),Tabela1[Fechamento])</f>
        <v>2.99</v>
      </c>
      <c r="K482" s="59">
        <f>SUMPRODUCT(N(Tabela17[Código]=Tabela2[[#This Row],[Ativo]]),Tabela17[Fechamento])</f>
        <v>0</v>
      </c>
      <c r="L482" s="59">
        <f>SUMPRODUCT(N([Ativo]=Tabela2[[#This Row],[Ativo]]),N([Exercício]=Tabela2[[#This Row],[Exercício]]-1),[Lucro Líquido])</f>
        <v>47835000</v>
      </c>
      <c r="M482" s="19">
        <f>IF(Tabela2[[#This Row],[Lucro Anterior]]=0,"",IF(Tabela2[[#This Row],[Lucro Líquido]]&gt;0,Tabela2[[#This Row],[Lucro Líquido]]/Tabela2[[#This Row],[Lucro Anterior]]-1,0))</f>
        <v>9.5557646075049574E-2</v>
      </c>
    </row>
    <row r="483" spans="1:14">
      <c r="A483" s="14" t="s">
        <v>210</v>
      </c>
      <c r="B483" s="3">
        <v>2011</v>
      </c>
      <c r="C483" s="5">
        <v>47835000</v>
      </c>
      <c r="D483" s="8">
        <f>SUMPRODUCT(N(Tabela3[PAPEL]=Tabela2[[#This Row],[Ativo]]),Tabela3[Total Ações])</f>
        <v>84682269</v>
      </c>
      <c r="E483" s="64">
        <f>(Tabela2[[#This Row],[Lucro Líquido]])/Tabela2[[#This Row],[Total Ações]]</f>
        <v>0.56487621983770886</v>
      </c>
      <c r="F483" s="64">
        <v>0</v>
      </c>
      <c r="G483" s="44" t="str">
        <f>IF(AND(Tabela2[[#This Row],[Dividendo / Ação]]&gt;0,Tabela2[[#This Row],[Lucro por ação]]&gt;0),Tabela2[[#This Row],[Dividendo / Ação]]/Tabela2[[#This Row],[Lucro por ação]],"")</f>
        <v/>
      </c>
      <c r="H483" s="6">
        <f>MAX(Tabela2[[#This Row],[Cotação 1]],Tabela2[[#This Row],[Cotação 2]])</f>
        <v>2.99</v>
      </c>
      <c r="I483" s="19" t="str">
        <f>IF(Tabela2[[#This Row],[Dividendo / Ação]]&gt;0,Tabela2[[#This Row],[Dividendo / Ação]]/Tabela2[[#This Row],[Cotação]],"")</f>
        <v/>
      </c>
      <c r="J483" s="59">
        <f>SUMPRODUCT(N(Tabela1[Código]=Tabela2[[#This Row],[Ativo]]),Tabela1[Fechamento])</f>
        <v>2.99</v>
      </c>
      <c r="K483" s="59">
        <f>SUMPRODUCT(N(Tabela17[Código]=Tabela2[[#This Row],[Ativo]]),Tabela17[Fechamento])</f>
        <v>0</v>
      </c>
      <c r="L483" s="59">
        <f>SUMPRODUCT(N([Ativo]=Tabela2[[#This Row],[Ativo]]),N([Exercício]=Tabela2[[#This Row],[Exercício]]-1),[Lucro Líquido])</f>
        <v>43244000</v>
      </c>
      <c r="M483" s="19">
        <f>IF(Tabela2[[#This Row],[Lucro Anterior]]=0,"",IF(Tabela2[[#This Row],[Lucro Líquido]]&gt;0,Tabela2[[#This Row],[Lucro Líquido]]/Tabela2[[#This Row],[Lucro Anterior]]-1,0))</f>
        <v>0.10616501711220061</v>
      </c>
    </row>
    <row r="484" spans="1:14">
      <c r="A484" s="14" t="s">
        <v>210</v>
      </c>
      <c r="B484" s="4">
        <v>2010</v>
      </c>
      <c r="C484" s="5">
        <v>43244000</v>
      </c>
      <c r="D484" s="8">
        <f>SUMPRODUCT(N(Tabela3[PAPEL]=Tabela2[[#This Row],[Ativo]]),Tabela3[Total Ações])</f>
        <v>84682269</v>
      </c>
      <c r="E484" s="64">
        <f>(Tabela2[[#This Row],[Lucro Líquido]])/Tabela2[[#This Row],[Total Ações]]</f>
        <v>0.51066180099638092</v>
      </c>
      <c r="F484" s="64">
        <v>5.3800000000000002E-3</v>
      </c>
      <c r="G484" s="44">
        <f>IF(AND(Tabela2[[#This Row],[Dividendo / Ação]]&gt;0,Tabela2[[#This Row],[Lucro por ação]]&gt;0),Tabela2[[#This Row],[Dividendo / Ação]]/Tabela2[[#This Row],[Lucro por ação]],"")</f>
        <v>1.0535348423365093E-2</v>
      </c>
      <c r="H484" s="6">
        <f>MAX(Tabela2[[#This Row],[Cotação 1]],Tabela2[[#This Row],[Cotação 2]])</f>
        <v>2.99</v>
      </c>
      <c r="I484" s="19">
        <f>IF(Tabela2[[#This Row],[Dividendo / Ação]]&gt;0,Tabela2[[#This Row],[Dividendo / Ação]]/Tabela2[[#This Row],[Cotação]],"")</f>
        <v>1.7993311036789297E-3</v>
      </c>
      <c r="J484" s="59">
        <f>SUMPRODUCT(N(Tabela1[Código]=Tabela2[[#This Row],[Ativo]]),Tabela1[Fechamento])</f>
        <v>2.99</v>
      </c>
      <c r="K484" s="59">
        <f>SUMPRODUCT(N(Tabela17[Código]=Tabela2[[#This Row],[Ativo]]),Tabela17[Fechamento])</f>
        <v>0</v>
      </c>
      <c r="L484" s="59">
        <f>SUMPRODUCT(N([Ativo]=Tabela2[[#This Row],[Ativo]]),N([Exercício]=Tabela2[[#This Row],[Exercício]]-1),[Lucro Líquido])</f>
        <v>40621000</v>
      </c>
      <c r="M484" s="19">
        <f>IF(Tabela2[[#This Row],[Lucro Anterior]]=0,"",IF(Tabela2[[#This Row],[Lucro Líquido]]&gt;0,Tabela2[[#This Row],[Lucro Líquido]]/Tabela2[[#This Row],[Lucro Anterior]]-1,0))</f>
        <v>6.4572511755003559E-2</v>
      </c>
    </row>
    <row r="485" spans="1:14">
      <c r="A485" s="14" t="s">
        <v>210</v>
      </c>
      <c r="B485" s="4">
        <v>2009</v>
      </c>
      <c r="C485" s="5">
        <v>40621000</v>
      </c>
      <c r="D485" s="8">
        <f>SUMPRODUCT(N(Tabela3[PAPEL]=Tabela2[[#This Row],[Ativo]]),Tabela3[Total Ações])</f>
        <v>84682269</v>
      </c>
      <c r="E485" s="64">
        <f>(Tabela2[[#This Row],[Lucro Líquido]])/Tabela2[[#This Row],[Total Ações]]</f>
        <v>0.47968719402169063</v>
      </c>
      <c r="F485" s="64">
        <v>3.6089999999999997E-2</v>
      </c>
      <c r="G485" s="44">
        <f>IF(AND(Tabela2[[#This Row],[Dividendo / Ação]]&gt;0,Tabela2[[#This Row],[Lucro por ação]]&gt;0),Tabela2[[#This Row],[Dividendo / Ação]]/Tabela2[[#This Row],[Lucro por ação]],"")</f>
        <v>7.5236530075822844E-2</v>
      </c>
      <c r="H485" s="6">
        <f>MAX(Tabela2[[#This Row],[Cotação 1]],Tabela2[[#This Row],[Cotação 2]])</f>
        <v>2.99</v>
      </c>
      <c r="I485" s="19">
        <f>IF(Tabela2[[#This Row],[Dividendo / Ação]]&gt;0,Tabela2[[#This Row],[Dividendo / Ação]]/Tabela2[[#This Row],[Cotação]],"")</f>
        <v>1.2070234113712372E-2</v>
      </c>
      <c r="J485" s="59">
        <f>SUMPRODUCT(N(Tabela1[Código]=Tabela2[[#This Row],[Ativo]]),Tabela1[Fechamento])</f>
        <v>2.99</v>
      </c>
      <c r="K485" s="59">
        <f>SUMPRODUCT(N(Tabela17[Código]=Tabela2[[#This Row],[Ativo]]),Tabela17[Fechamento])</f>
        <v>0</v>
      </c>
      <c r="L485" s="59">
        <f>SUMPRODUCT(N([Ativo]=Tabela2[[#This Row],[Ativo]]),N([Exercício]=Tabela2[[#This Row],[Exercício]]-1),[Lucro Líquido])</f>
        <v>0</v>
      </c>
      <c r="M485" s="19" t="str">
        <f>IF(Tabela2[[#This Row],[Lucro Anterior]]=0,"",IF(Tabela2[[#This Row],[Lucro Líquido]]&gt;0,Tabela2[[#This Row],[Lucro Líquido]]/Tabela2[[#This Row],[Lucro Anterior]]-1,0))</f>
        <v/>
      </c>
    </row>
    <row r="486" spans="1:14">
      <c r="A486" s="4" t="s">
        <v>198</v>
      </c>
      <c r="B486" s="4">
        <v>2012</v>
      </c>
      <c r="C486" s="6">
        <v>335756000</v>
      </c>
      <c r="D486" s="8">
        <f>SUMPRODUCT(N(Tabela3[PAPEL]=Tabela2[[#This Row],[Ativo]]),Tabela3[Total Ações])</f>
        <v>476620206</v>
      </c>
      <c r="E486" s="64">
        <f>(Tabela2[[#This Row],[Lucro Líquido]])/Tabela2[[#This Row],[Total Ações]]</f>
        <v>0.70445187965866474</v>
      </c>
      <c r="F486" s="64">
        <v>0.37269999999999998</v>
      </c>
      <c r="G486" s="44">
        <f>IF(AND(Tabela2[[#This Row],[Dividendo / Ação]]&gt;0,Tabela2[[#This Row],[Lucro por ação]]&gt;0),Tabela2[[#This Row],[Dividendo / Ação]]/Tabela2[[#This Row],[Lucro por ação]],"")</f>
        <v>0.52906381651020384</v>
      </c>
      <c r="H486" s="6">
        <f>MAX(Tabela2[[#This Row],[Cotação 1]],Tabela2[[#This Row],[Cotação 2]])</f>
        <v>8.19</v>
      </c>
      <c r="I486" s="19">
        <f>IF(Tabela2[[#This Row],[Dividendo / Ação]]&gt;0,Tabela2[[#This Row],[Dividendo / Ação]]/Tabela2[[#This Row],[Cotação]],"")</f>
        <v>4.5506715506715506E-2</v>
      </c>
      <c r="J486" s="59">
        <f>SUMPRODUCT(N(Tabela1[Código]=Tabela2[[#This Row],[Ativo]]),Tabela1[Fechamento])</f>
        <v>8.19</v>
      </c>
      <c r="K486" s="59">
        <f>SUMPRODUCT(N(Tabela17[Código]=Tabela2[[#This Row],[Ativo]]),Tabela17[Fechamento])</f>
        <v>0</v>
      </c>
      <c r="L486" s="59">
        <f>SUMPRODUCT(N([Ativo]=Tabela2[[#This Row],[Ativo]]),N([Exercício]=Tabela2[[#This Row],[Exercício]]-1),[Lucro Líquido])</f>
        <v>249170000</v>
      </c>
      <c r="M486" s="19">
        <f>IF(Tabela2[[#This Row],[Lucro Anterior]]=0,"",IF(Tabela2[[#This Row],[Lucro Líquido]]&gt;0,Tabela2[[#This Row],[Lucro Líquido]]/Tabela2[[#This Row],[Lucro Anterior]]-1,0))</f>
        <v>0.34749769233856398</v>
      </c>
    </row>
    <row r="487" spans="1:14">
      <c r="A487" s="4" t="s">
        <v>198</v>
      </c>
      <c r="B487" s="3">
        <v>2011</v>
      </c>
      <c r="C487" s="5">
        <v>249170000</v>
      </c>
      <c r="D487" s="60">
        <f>SUMPRODUCT(N(Tabela3[PAPEL]=Tabela2[[#This Row],[Ativo]]),Tabela3[Total Ações])</f>
        <v>476620206</v>
      </c>
      <c r="E487" s="63">
        <f>(Tabela2[[#This Row],[Lucro Líquido]])/Tabela2[[#This Row],[Total Ações]]</f>
        <v>0.52278522157325402</v>
      </c>
      <c r="F487" s="63">
        <v>0.27800000000000002</v>
      </c>
      <c r="G487" s="22">
        <f>IF(AND(Tabela2[[#This Row],[Dividendo / Ação]]&gt;0,Tabela2[[#This Row],[Lucro por ação]]&gt;0),Tabela2[[#This Row],[Dividendo / Ação]]/Tabela2[[#This Row],[Lucro por ação]],"")</f>
        <v>0.53176713596339853</v>
      </c>
      <c r="H487" s="5">
        <f>MAX(Tabela2[[#This Row],[Cotação 1]],Tabela2[[#This Row],[Cotação 2]])</f>
        <v>8.19</v>
      </c>
      <c r="I487" s="18">
        <f>IF(Tabela2[[#This Row],[Dividendo / Ação]]&gt;0,Tabela2[[#This Row],[Dividendo / Ação]]/Tabela2[[#This Row],[Cotação]],"")</f>
        <v>3.3943833943833948E-2</v>
      </c>
      <c r="J487" s="58">
        <f>SUMPRODUCT(N(Tabela1[Código]=Tabela2[[#This Row],[Ativo]]),Tabela1[Fechamento])</f>
        <v>8.19</v>
      </c>
      <c r="K487" s="58">
        <f>SUMPRODUCT(N(Tabela17[Código]=Tabela2[[#This Row],[Ativo]]),Tabela17[Fechamento])</f>
        <v>0</v>
      </c>
      <c r="L487" s="58">
        <f>SUMPRODUCT(N([Ativo]=Tabela2[[#This Row],[Ativo]]),N([Exercício]=Tabela2[[#This Row],[Exercício]]-1),[Lucro Líquido])</f>
        <v>135511000</v>
      </c>
      <c r="M487" s="18">
        <f>IF(Tabela2[[#This Row],[Lucro Anterior]]=0,"",IF(Tabela2[[#This Row],[Lucro Líquido]]&gt;0,Tabela2[[#This Row],[Lucro Líquido]]/Tabela2[[#This Row],[Lucro Anterior]]-1,0))</f>
        <v>0.83874371822213689</v>
      </c>
    </row>
    <row r="488" spans="1:14">
      <c r="A488" s="4" t="s">
        <v>198</v>
      </c>
      <c r="B488" s="3">
        <v>2010</v>
      </c>
      <c r="C488" s="5">
        <v>135511000</v>
      </c>
      <c r="D488" s="60">
        <f>SUMPRODUCT(N(Tabela3[PAPEL]=Tabela2[[#This Row],[Ativo]]),Tabela3[Total Ações])</f>
        <v>476620206</v>
      </c>
      <c r="E488" s="63">
        <f>(Tabela2[[#This Row],[Lucro Líquido]])/Tabela2[[#This Row],[Total Ações]]</f>
        <v>0.28431652350047448</v>
      </c>
      <c r="F488" s="63">
        <v>8.72E-2</v>
      </c>
      <c r="G488" s="22">
        <f>IF(AND(Tabela2[[#This Row],[Dividendo / Ação]]&gt;0,Tabela2[[#This Row],[Lucro por ação]]&gt;0),Tabela2[[#This Row],[Dividendo / Ação]]/Tabela2[[#This Row],[Lucro por ação]],"")</f>
        <v>0.30670042995181207</v>
      </c>
      <c r="H488" s="5">
        <f>MAX(Tabela2[[#This Row],[Cotação 1]],Tabela2[[#This Row],[Cotação 2]])</f>
        <v>8.19</v>
      </c>
      <c r="I488" s="18">
        <f>IF(Tabela2[[#This Row],[Dividendo / Ação]]&gt;0,Tabela2[[#This Row],[Dividendo / Ação]]/Tabela2[[#This Row],[Cotação]],"")</f>
        <v>1.0647130647130647E-2</v>
      </c>
      <c r="J488" s="58">
        <f>SUMPRODUCT(N(Tabela1[Código]=Tabela2[[#This Row],[Ativo]]),Tabela1[Fechamento])</f>
        <v>8.19</v>
      </c>
      <c r="K488" s="58">
        <f>SUMPRODUCT(N(Tabela17[Código]=Tabela2[[#This Row],[Ativo]]),Tabela17[Fechamento])</f>
        <v>0</v>
      </c>
      <c r="L488" s="58">
        <f>SUMPRODUCT(N([Ativo]=Tabela2[[#This Row],[Ativo]]),N([Exercício]=Tabela2[[#This Row],[Exercício]]-1),[Lucro Líquido])</f>
        <v>137871000</v>
      </c>
      <c r="M488" s="18">
        <f>IF(Tabela2[[#This Row],[Lucro Anterior]]=0,"",IF(Tabela2[[#This Row],[Lucro Líquido]]&gt;0,Tabela2[[#This Row],[Lucro Líquido]]/Tabela2[[#This Row],[Lucro Anterior]]-1,0))</f>
        <v>-1.7117450370273679E-2</v>
      </c>
    </row>
    <row r="489" spans="1:14">
      <c r="A489" s="4" t="s">
        <v>198</v>
      </c>
      <c r="B489" s="3">
        <v>2009</v>
      </c>
      <c r="C489" s="5">
        <v>137871000</v>
      </c>
      <c r="D489" s="60">
        <f>SUMPRODUCT(N(Tabela3[PAPEL]=Tabela2[[#This Row],[Ativo]]),Tabela3[Total Ações])</f>
        <v>476620206</v>
      </c>
      <c r="E489" s="63">
        <f>(Tabela2[[#This Row],[Lucro Líquido]])/Tabela2[[#This Row],[Total Ações]]</f>
        <v>0.28926805507695996</v>
      </c>
      <c r="F489" s="63">
        <v>9.1499999999999998E-2</v>
      </c>
      <c r="G489" s="22">
        <f>IF(AND(Tabela2[[#This Row],[Dividendo / Ação]]&gt;0,Tabela2[[#This Row],[Lucro por ação]]&gt;0),Tabela2[[#This Row],[Dividendo / Ação]]/Tabela2[[#This Row],[Lucro por ação]],"")</f>
        <v>0.31631560552255367</v>
      </c>
      <c r="H489" s="5">
        <f>MAX(Tabela2[[#This Row],[Cotação 1]],Tabela2[[#This Row],[Cotação 2]])</f>
        <v>8.19</v>
      </c>
      <c r="I489" s="18">
        <f>IF(Tabela2[[#This Row],[Dividendo / Ação]]&gt;0,Tabela2[[#This Row],[Dividendo / Ação]]/Tabela2[[#This Row],[Cotação]],"")</f>
        <v>1.1172161172161172E-2</v>
      </c>
      <c r="J489" s="58">
        <f>SUMPRODUCT(N(Tabela1[Código]=Tabela2[[#This Row],[Ativo]]),Tabela1[Fechamento])</f>
        <v>8.19</v>
      </c>
      <c r="K489" s="58">
        <f>SUMPRODUCT(N(Tabela17[Código]=Tabela2[[#This Row],[Ativo]]),Tabela17[Fechamento])</f>
        <v>0</v>
      </c>
      <c r="L489" s="58">
        <f>SUMPRODUCT(N([Ativo]=Tabela2[[#This Row],[Ativo]]),N([Exercício]=Tabela2[[#This Row],[Exercício]]-1),[Lucro Líquido])</f>
        <v>0</v>
      </c>
      <c r="M489" s="18" t="str">
        <f>IF(Tabela2[[#This Row],[Lucro Anterior]]=0,"",IF(Tabela2[[#This Row],[Lucro Líquido]]&gt;0,Tabela2[[#This Row],[Lucro Líquido]]/Tabela2[[#This Row],[Lucro Anterior]]-1,0))</f>
        <v/>
      </c>
      <c r="N489" s="3">
        <v>6.6270000000000001E-3</v>
      </c>
    </row>
    <row r="490" spans="1:14">
      <c r="A490" s="4" t="s">
        <v>66</v>
      </c>
      <c r="B490" s="4">
        <v>2012</v>
      </c>
      <c r="C490" s="6">
        <v>335756000</v>
      </c>
      <c r="D490" s="8">
        <f>SUMPRODUCT(N(Tabela3[PAPEL]=Tabela2[[#This Row],[Ativo]]),Tabela3[Total Ações])</f>
        <v>476620206</v>
      </c>
      <c r="E490" s="64">
        <f>(Tabela2[[#This Row],[Lucro Líquido]])/Tabela2[[#This Row],[Total Ações]]</f>
        <v>0.70445187965866474</v>
      </c>
      <c r="F490" s="64">
        <v>0.40989999999999999</v>
      </c>
      <c r="G490" s="44">
        <f>IF(AND(Tabela2[[#This Row],[Dividendo / Ação]]&gt;0,Tabela2[[#This Row],[Lucro por ação]]&gt;0),Tabela2[[#This Row],[Dividendo / Ação]]/Tabela2[[#This Row],[Lucro por ação]],"")</f>
        <v>0.58187083012485252</v>
      </c>
      <c r="H490" s="6">
        <f>MAX(Tabela2[[#This Row],[Cotação 1]],Tabela2[[#This Row],[Cotação 2]])</f>
        <v>5.8</v>
      </c>
      <c r="I490" s="19">
        <f>IF(Tabela2[[#This Row],[Dividendo / Ação]]&gt;0,Tabela2[[#This Row],[Dividendo / Ação]]/Tabela2[[#This Row],[Cotação]],"")</f>
        <v>7.0672413793103447E-2</v>
      </c>
      <c r="J490" s="59">
        <f>SUMPRODUCT(N(Tabela1[Código]=Tabela2[[#This Row],[Ativo]]),Tabela1[Fechamento])</f>
        <v>5.8</v>
      </c>
      <c r="K490" s="59">
        <f>SUMPRODUCT(N(Tabela17[Código]=Tabela2[[#This Row],[Ativo]]),Tabela17[Fechamento])</f>
        <v>0</v>
      </c>
      <c r="L490" s="59">
        <f>SUMPRODUCT(N([Ativo]=Tabela2[[#This Row],[Ativo]]),N([Exercício]=Tabela2[[#This Row],[Exercício]]-1),[Lucro Líquido])</f>
        <v>249170000</v>
      </c>
      <c r="M490" s="19">
        <f>IF(Tabela2[[#This Row],[Lucro Anterior]]=0,"",IF(Tabela2[[#This Row],[Lucro Líquido]]&gt;0,Tabela2[[#This Row],[Lucro Líquido]]/Tabela2[[#This Row],[Lucro Anterior]]-1,0))</f>
        <v>0.34749769233856398</v>
      </c>
      <c r="N490" s="3">
        <v>0.273698</v>
      </c>
    </row>
    <row r="491" spans="1:14">
      <c r="A491" s="4" t="s">
        <v>66</v>
      </c>
      <c r="B491" s="4">
        <v>2011</v>
      </c>
      <c r="C491" s="5">
        <v>249170000</v>
      </c>
      <c r="D491" s="8">
        <f>SUMPRODUCT(N(Tabela3[PAPEL]=Tabela2[[#This Row],[Ativo]]),Tabela3[Total Ações])</f>
        <v>476620206</v>
      </c>
      <c r="E491" s="64">
        <f>(Tabela2[[#This Row],[Lucro Líquido]])/Tabela2[[#This Row],[Total Ações]]</f>
        <v>0.52278522157325402</v>
      </c>
      <c r="F491" s="64">
        <v>0.30580000000000002</v>
      </c>
      <c r="G491" s="44">
        <f>IF(AND(Tabela2[[#This Row],[Dividendo / Ação]]&gt;0,Tabela2[[#This Row],[Lucro por ação]]&gt;0),Tabela2[[#This Row],[Dividendo / Ação]]/Tabela2[[#This Row],[Lucro por ação]],"")</f>
        <v>0.58494384955973844</v>
      </c>
      <c r="H491" s="6">
        <f>MAX(Tabela2[[#This Row],[Cotação 1]],Tabela2[[#This Row],[Cotação 2]])</f>
        <v>5.8</v>
      </c>
      <c r="I491" s="19">
        <f>IF(Tabela2[[#This Row],[Dividendo / Ação]]&gt;0,Tabela2[[#This Row],[Dividendo / Ação]]/Tabela2[[#This Row],[Cotação]],"")</f>
        <v>5.272413793103449E-2</v>
      </c>
      <c r="J491" s="59">
        <f>SUMPRODUCT(N(Tabela1[Código]=Tabela2[[#This Row],[Ativo]]),Tabela1[Fechamento])</f>
        <v>5.8</v>
      </c>
      <c r="K491" s="59">
        <f>SUMPRODUCT(N(Tabela17[Código]=Tabela2[[#This Row],[Ativo]]),Tabela17[Fechamento])</f>
        <v>0</v>
      </c>
      <c r="L491" s="59">
        <f>SUMPRODUCT(N([Ativo]=Tabela2[[#This Row],[Ativo]]),N([Exercício]=Tabela2[[#This Row],[Exercício]]-1),[Lucro Líquido])</f>
        <v>135511000</v>
      </c>
      <c r="M491" s="19">
        <f>IF(Tabela2[[#This Row],[Lucro Anterior]]=0,"",IF(Tabela2[[#This Row],[Lucro Líquido]]&gt;0,Tabela2[[#This Row],[Lucro Líquido]]/Tabela2[[#This Row],[Lucro Anterior]]-1,0))</f>
        <v>0.83874371822213689</v>
      </c>
      <c r="N491" s="3">
        <f>SUM(N489:N490)</f>
        <v>0.28032499999999999</v>
      </c>
    </row>
    <row r="492" spans="1:14">
      <c r="A492" s="4" t="s">
        <v>66</v>
      </c>
      <c r="B492" s="4">
        <v>2010</v>
      </c>
      <c r="C492" s="5">
        <v>135511000</v>
      </c>
      <c r="D492" s="8">
        <f>SUMPRODUCT(N(Tabela3[PAPEL]=Tabela2[[#This Row],[Ativo]]),Tabela3[Total Ações])</f>
        <v>476620206</v>
      </c>
      <c r="E492" s="64">
        <f>(Tabela2[[#This Row],[Lucro Líquido]])/Tabela2[[#This Row],[Total Ações]]</f>
        <v>0.28431652350047448</v>
      </c>
      <c r="F492" s="64">
        <v>9.5899999999999999E-2</v>
      </c>
      <c r="G492" s="44">
        <f>IF(AND(Tabela2[[#This Row],[Dividendo / Ação]]&gt;0,Tabela2[[#This Row],[Lucro por ação]]&gt;0),Tabela2[[#This Row],[Dividendo / Ação]]/Tabela2[[#This Row],[Lucro por ação]],"")</f>
        <v>0.3373001288116832</v>
      </c>
      <c r="H492" s="6">
        <f>MAX(Tabela2[[#This Row],[Cotação 1]],Tabela2[[#This Row],[Cotação 2]])</f>
        <v>5.8</v>
      </c>
      <c r="I492" s="19">
        <f>IF(Tabela2[[#This Row],[Dividendo / Ação]]&gt;0,Tabela2[[#This Row],[Dividendo / Ação]]/Tabela2[[#This Row],[Cotação]],"")</f>
        <v>1.653448275862069E-2</v>
      </c>
      <c r="J492" s="59">
        <f>SUMPRODUCT(N(Tabela1[Código]=Tabela2[[#This Row],[Ativo]]),Tabela1[Fechamento])</f>
        <v>5.8</v>
      </c>
      <c r="K492" s="59">
        <f>SUMPRODUCT(N(Tabela17[Código]=Tabela2[[#This Row],[Ativo]]),Tabela17[Fechamento])</f>
        <v>0</v>
      </c>
      <c r="L492" s="59">
        <f>SUMPRODUCT(N([Ativo]=Tabela2[[#This Row],[Ativo]]),N([Exercício]=Tabela2[[#This Row],[Exercício]]-1),[Lucro Líquido])</f>
        <v>137871000</v>
      </c>
      <c r="M492" s="19">
        <f>IF(Tabela2[[#This Row],[Lucro Anterior]]=0,"",IF(Tabela2[[#This Row],[Lucro Líquido]]&gt;0,Tabela2[[#This Row],[Lucro Líquido]]/Tabela2[[#This Row],[Lucro Anterior]]-1,0))</f>
        <v>-1.7117450370273679E-2</v>
      </c>
      <c r="N492" s="3">
        <f>Tabela2[[#This Row],[Total Ações]]*0.81</f>
        <v>386062366.86000001</v>
      </c>
    </row>
    <row r="493" spans="1:14">
      <c r="A493" s="4" t="s">
        <v>66</v>
      </c>
      <c r="B493" s="4">
        <v>2009</v>
      </c>
      <c r="C493" s="5">
        <v>137871000</v>
      </c>
      <c r="D493" s="8">
        <f>SUMPRODUCT(N(Tabela3[PAPEL]=Tabela2[[#This Row],[Ativo]]),Tabela3[Total Ações])</f>
        <v>476620206</v>
      </c>
      <c r="E493" s="64">
        <f>(Tabela2[[#This Row],[Lucro Líquido]])/Tabela2[[#This Row],[Total Ações]]</f>
        <v>0.28926805507695996</v>
      </c>
      <c r="F493" s="64">
        <v>0.10059999999999999</v>
      </c>
      <c r="G493" s="44">
        <f>IF(AND(Tabela2[[#This Row],[Dividendo / Ação]]&gt;0,Tabela2[[#This Row],[Lucro por ação]]&gt;0),Tabela2[[#This Row],[Dividendo / Ação]]/Tabela2[[#This Row],[Lucro por ação]],"")</f>
        <v>0.34777431601714642</v>
      </c>
      <c r="H493" s="6">
        <f>MAX(Tabela2[[#This Row],[Cotação 1]],Tabela2[[#This Row],[Cotação 2]])</f>
        <v>5.8</v>
      </c>
      <c r="I493" s="19">
        <f>IF(Tabela2[[#This Row],[Dividendo / Ação]]&gt;0,Tabela2[[#This Row],[Dividendo / Ação]]/Tabela2[[#This Row],[Cotação]],"")</f>
        <v>1.7344827586206896E-2</v>
      </c>
      <c r="J493" s="59">
        <f>SUMPRODUCT(N(Tabela1[Código]=Tabela2[[#This Row],[Ativo]]),Tabela1[Fechamento])</f>
        <v>5.8</v>
      </c>
      <c r="K493" s="59">
        <f>SUMPRODUCT(N(Tabela17[Código]=Tabela2[[#This Row],[Ativo]]),Tabela17[Fechamento])</f>
        <v>0</v>
      </c>
      <c r="L493" s="59">
        <f>SUMPRODUCT(N([Ativo]=Tabela2[[#This Row],[Ativo]]),N([Exercício]=Tabela2[[#This Row],[Exercício]]-1),[Lucro Líquido])</f>
        <v>0</v>
      </c>
      <c r="M493" s="19" t="str">
        <f>IF(Tabela2[[#This Row],[Lucro Anterior]]=0,"",IF(Tabela2[[#This Row],[Lucro Líquido]]&gt;0,Tabela2[[#This Row],[Lucro Líquido]]/Tabela2[[#This Row],[Lucro Anterior]]-1,0))</f>
        <v/>
      </c>
    </row>
    <row r="494" spans="1:14">
      <c r="A494" s="4" t="s">
        <v>36</v>
      </c>
      <c r="B494" s="4">
        <v>2012</v>
      </c>
      <c r="C494" s="6">
        <v>1911900245.4200001</v>
      </c>
      <c r="D494" s="8">
        <f>SUMPRODUCT(N(Tabela3[PAPEL]=Tabela2[[#This Row],[Ativo]]),Tabela3[Total Ações])</f>
        <v>683509869</v>
      </c>
      <c r="E494" s="64">
        <f>(Tabela2[[#This Row],[Lucro Líquido]])/Tabela2[[#This Row],[Total Ações]]</f>
        <v>2.7971801610080336</v>
      </c>
      <c r="F494" s="64">
        <v>2.3450000000000002</v>
      </c>
      <c r="G494" s="44">
        <f>IF(AND(Tabela2[[#This Row],[Dividendo / Ação]]&gt;0,Tabela2[[#This Row],[Lucro por ação]]&gt;0),Tabela2[[#This Row],[Dividendo / Ação]]/Tabela2[[#This Row],[Lucro por ação]],"")</f>
        <v>0.83834428425050789</v>
      </c>
      <c r="H494" s="6">
        <f>MAX(Tabela2[[#This Row],[Cotação 1]],Tabela2[[#This Row],[Cotação 2]])</f>
        <v>23.36</v>
      </c>
      <c r="I494" s="19">
        <f>IF(Tabela2[[#This Row],[Dividendo / Ação]]&gt;0,Tabela2[[#This Row],[Dividendo / Ação]]/Tabela2[[#This Row],[Cotação]],"")</f>
        <v>0.10038527397260275</v>
      </c>
      <c r="J494" s="59">
        <f>SUMPRODUCT(N(Tabela1[Código]=Tabela2[[#This Row],[Ativo]]),Tabela1[Fechamento])</f>
        <v>23.36</v>
      </c>
      <c r="K494" s="59">
        <f>SUMPRODUCT(N(Tabela17[Código]=Tabela2[[#This Row],[Ativo]]),Tabela17[Fechamento])</f>
        <v>0</v>
      </c>
      <c r="L494" s="59">
        <f>SUMPRODUCT(N([Ativo]=Tabela2[[#This Row],[Ativo]]),N([Exercício]=Tabela2[[#This Row],[Exercício]]-1),[Lucro Líquido])</f>
        <v>1223420217</v>
      </c>
      <c r="M494" s="19">
        <f>IF(Tabela2[[#This Row],[Lucro Anterior]]=0,"",IF(Tabela2[[#This Row],[Lucro Líquido]]&gt;0,Tabela2[[#This Row],[Lucro Líquido]]/Tabela2[[#This Row],[Lucro Anterior]]-1,0))</f>
        <v>0.56275024627944337</v>
      </c>
    </row>
    <row r="495" spans="1:14">
      <c r="A495" s="4" t="s">
        <v>36</v>
      </c>
      <c r="B495" s="4">
        <v>2011</v>
      </c>
      <c r="C495" s="6">
        <v>1223420217</v>
      </c>
      <c r="D495" s="8">
        <f>SUMPRODUCT(N(Tabela3[PAPEL]=Tabela2[[#This Row],[Ativo]]),Tabela3[Total Ações])</f>
        <v>683509869</v>
      </c>
      <c r="E495" s="64">
        <f>(Tabela2[[#This Row],[Lucro Líquido]])/Tabela2[[#This Row],[Total Ações]]</f>
        <v>1.7899086355401257</v>
      </c>
      <c r="F495" s="64">
        <v>2.54</v>
      </c>
      <c r="G495" s="44">
        <f>IF(AND(Tabela2[[#This Row],[Dividendo / Ação]]&gt;0,Tabela2[[#This Row],[Lucro por ação]]&gt;0),Tabela2[[#This Row],[Dividendo / Ação]]/Tabela2[[#This Row],[Lucro por ação]],"")</f>
        <v>1.4190668448468184</v>
      </c>
      <c r="H495" s="6">
        <f>MAX(Tabela2[[#This Row],[Cotação 1]],Tabela2[[#This Row],[Cotação 2]])</f>
        <v>23.36</v>
      </c>
      <c r="I495" s="19">
        <f>IF(Tabela2[[#This Row],[Dividendo / Ação]]&gt;0,Tabela2[[#This Row],[Dividendo / Ação]]/Tabela2[[#This Row],[Cotação]],"")</f>
        <v>0.10873287671232877</v>
      </c>
      <c r="J495" s="59">
        <f>SUMPRODUCT(N(Tabela1[Código]=Tabela2[[#This Row],[Ativo]]),Tabela1[Fechamento])</f>
        <v>23.36</v>
      </c>
      <c r="K495" s="59">
        <f>SUMPRODUCT(N(Tabela17[Código]=Tabela2[[#This Row],[Ativo]]),Tabela17[Fechamento])</f>
        <v>0</v>
      </c>
      <c r="L495" s="59">
        <f>SUMPRODUCT(N([Ativo]=Tabela2[[#This Row],[Ativo]]),N([Exercício]=Tabela2[[#This Row],[Exercício]]-1),[Lucro Líquido])</f>
        <v>1630452307</v>
      </c>
      <c r="M495" s="19">
        <f>IF(Tabela2[[#This Row],[Lucro Anterior]]=0,"",IF(Tabela2[[#This Row],[Lucro Líquido]]&gt;0,Tabela2[[#This Row],[Lucro Líquido]]/Tabela2[[#This Row],[Lucro Anterior]]-1,0))</f>
        <v>-0.24964366528998994</v>
      </c>
      <c r="N495" s="3">
        <f>0.067*D490</f>
        <v>31933553.802000001</v>
      </c>
    </row>
    <row r="496" spans="1:14">
      <c r="A496" s="4" t="s">
        <v>36</v>
      </c>
      <c r="B496" s="4">
        <v>2010</v>
      </c>
      <c r="C496" s="6">
        <v>1630452307</v>
      </c>
      <c r="D496" s="8">
        <f>SUMPRODUCT(N(Tabela3[PAPEL]=Tabela2[[#This Row],[Ativo]]),Tabela3[Total Ações])</f>
        <v>683509869</v>
      </c>
      <c r="E496" s="64">
        <f>(Tabela2[[#This Row],[Lucro Líquido]])/Tabela2[[#This Row],[Total Ações]]</f>
        <v>2.385411507496463</v>
      </c>
      <c r="F496" s="64">
        <v>2</v>
      </c>
      <c r="G496" s="44">
        <f>IF(AND(Tabela2[[#This Row],[Dividendo / Ação]]&gt;0,Tabela2[[#This Row],[Lucro por ação]]&gt;0),Tabela2[[#This Row],[Dividendo / Ação]]/Tabela2[[#This Row],[Lucro por ação]],"")</f>
        <v>0.83842976095098998</v>
      </c>
      <c r="H496" s="6">
        <f>MAX(Tabela2[[#This Row],[Cotação 1]],Tabela2[[#This Row],[Cotação 2]])</f>
        <v>23.36</v>
      </c>
      <c r="I496" s="19">
        <f>IF(Tabela2[[#This Row],[Dividendo / Ação]]&gt;0,Tabela2[[#This Row],[Dividendo / Ação]]/Tabela2[[#This Row],[Cotação]],"")</f>
        <v>8.5616438356164379E-2</v>
      </c>
      <c r="J496" s="59">
        <f>SUMPRODUCT(N(Tabela1[Código]=Tabela2[[#This Row],[Ativo]]),Tabela1[Fechamento])</f>
        <v>23.36</v>
      </c>
      <c r="K496" s="59">
        <f>SUMPRODUCT(N(Tabela17[Código]=Tabela2[[#This Row],[Ativo]]),Tabela17[Fechamento])</f>
        <v>0</v>
      </c>
      <c r="L496" s="59">
        <f>SUMPRODUCT(N([Ativo]=Tabela2[[#This Row],[Ativo]]),N([Exercício]=Tabela2[[#This Row],[Exercício]]-1),[Lucro Líquido])</f>
        <v>0</v>
      </c>
      <c r="M496" s="19" t="str">
        <f>IF(Tabela2[[#This Row],[Lucro Anterior]]=0,"",IF(Tabela2[[#This Row],[Lucro Líquido]]&gt;0,Tabela2[[#This Row],[Lucro Líquido]]/Tabela2[[#This Row],[Lucro Anterior]]-1,0))</f>
        <v/>
      </c>
    </row>
    <row r="497" spans="1:14">
      <c r="A497" s="4" t="s">
        <v>416</v>
      </c>
      <c r="B497" s="4">
        <v>2012</v>
      </c>
      <c r="C497" s="6">
        <v>221047209.75999999</v>
      </c>
      <c r="D497" s="74">
        <f>SUMPRODUCT(N(Tabela3[PAPEL]=Tabela2[[#This Row],[Ativo]]),Tabela3[Total Ações])</f>
        <v>57737317</v>
      </c>
      <c r="E497" s="64">
        <f>(Tabela2[[#This Row],[Lucro Líquido]])/Tabela2[[#This Row],[Total Ações]]</f>
        <v>3.8284981229730501</v>
      </c>
      <c r="F497" s="64">
        <v>1.0118932270000001</v>
      </c>
      <c r="G497" s="43">
        <f>IF(AND(Tabela2[[#This Row],[Dividendo / Ação]]&gt;0,Tabela2[[#This Row],[Lucro por ação]]&gt;0),Tabela2[[#This Row],[Dividendo / Ação]]/Tabela2[[#This Row],[Lucro por ação]],"")</f>
        <v>0.26430553039273963</v>
      </c>
      <c r="H497" s="59">
        <f>MAX(Tabela2[[#This Row],[Cotação 1]],Tabela2[[#This Row],[Cotação 2]])</f>
        <v>34.450000000000003</v>
      </c>
      <c r="I497" s="44">
        <f>IF(Tabela2[[#This Row],[Dividendo / Ação]]&gt;0,Tabela2[[#This Row],[Dividendo / Ação]]/Tabela2[[#This Row],[Cotação]],"")</f>
        <v>2.9372807750362846E-2</v>
      </c>
      <c r="J497" s="17">
        <f>SUMPRODUCT(N(Tabela1[Código]=Tabela2[[#This Row],[Ativo]]),Tabela1[Fechamento])</f>
        <v>0</v>
      </c>
      <c r="K497" s="17">
        <f>SUMPRODUCT(N(Tabela17[Código]=Tabela2[[#This Row],[Ativo]]),Tabela17[Fechamento])</f>
        <v>34.450000000000003</v>
      </c>
      <c r="L497" s="17">
        <f>SUMPRODUCT(N([Ativo]=Tabela2[[#This Row],[Ativo]]),N([Exercício]=Tabela2[[#This Row],[Exercício]]-1),[Lucro Líquido])</f>
        <v>96359523.819999993</v>
      </c>
      <c r="M497" s="19">
        <f>IF(Tabela2[[#This Row],[Lucro Anterior]]=0,"",IF(Tabela2[[#This Row],[Lucro Líquido]]&gt;0,Tabela2[[#This Row],[Lucro Líquido]]/Tabela2[[#This Row],[Lucro Anterior]]-1,0))</f>
        <v>1.2939840401548386</v>
      </c>
    </row>
    <row r="498" spans="1:14">
      <c r="A498" s="4" t="s">
        <v>416</v>
      </c>
      <c r="B498" s="4">
        <v>2011</v>
      </c>
      <c r="C498" s="6">
        <v>96359523.819999993</v>
      </c>
      <c r="D498" s="74">
        <f>SUMPRODUCT(N(Tabela3[PAPEL]=Tabela2[[#This Row],[Ativo]]),Tabela3[Total Ações])</f>
        <v>57737317</v>
      </c>
      <c r="E498" s="64">
        <f>(Tabela2[[#This Row],[Lucro Líquido]])/Tabela2[[#This Row],[Total Ações]]</f>
        <v>1.6689297117841482</v>
      </c>
      <c r="F498" s="64">
        <v>0</v>
      </c>
      <c r="G498" s="43" t="str">
        <f>IF(AND(Tabela2[[#This Row],[Dividendo / Ação]]&gt;0,Tabela2[[#This Row],[Lucro por ação]]&gt;0),Tabela2[[#This Row],[Dividendo / Ação]]/Tabela2[[#This Row],[Lucro por ação]],"")</f>
        <v/>
      </c>
      <c r="H498" s="59">
        <f>MAX(Tabela2[[#This Row],[Cotação 1]],Tabela2[[#This Row],[Cotação 2]])</f>
        <v>34.450000000000003</v>
      </c>
      <c r="I498" s="44" t="str">
        <f>IF(Tabela2[[#This Row],[Dividendo / Ação]]&gt;0,Tabela2[[#This Row],[Dividendo / Ação]]/Tabela2[[#This Row],[Cotação]],"")</f>
        <v/>
      </c>
      <c r="J498" s="17">
        <f>SUMPRODUCT(N(Tabela1[Código]=Tabela2[[#This Row],[Ativo]]),Tabela1[Fechamento])</f>
        <v>0</v>
      </c>
      <c r="K498" s="17">
        <f>SUMPRODUCT(N(Tabela17[Código]=Tabela2[[#This Row],[Ativo]]),Tabela17[Fechamento])</f>
        <v>34.450000000000003</v>
      </c>
      <c r="L498" s="17">
        <f>SUMPRODUCT(N([Ativo]=Tabela2[[#This Row],[Ativo]]),N([Exercício]=Tabela2[[#This Row],[Exercício]]-1),[Lucro Líquido])</f>
        <v>91934228.780000001</v>
      </c>
      <c r="M498" s="19">
        <f>IF(Tabela2[[#This Row],[Lucro Anterior]]=0,"",IF(Tabela2[[#This Row],[Lucro Líquido]]&gt;0,Tabela2[[#This Row],[Lucro Líquido]]/Tabela2[[#This Row],[Lucro Anterior]]-1,0))</f>
        <v>4.8135445293066903E-2</v>
      </c>
    </row>
    <row r="499" spans="1:14">
      <c r="A499" s="4" t="s">
        <v>416</v>
      </c>
      <c r="B499" s="4">
        <v>2010</v>
      </c>
      <c r="C499" s="6">
        <v>91934228.780000001</v>
      </c>
      <c r="D499" s="74">
        <f>SUMPRODUCT(N(Tabela3[PAPEL]=Tabela2[[#This Row],[Ativo]]),Tabela3[Total Ações])</f>
        <v>57737317</v>
      </c>
      <c r="E499" s="64">
        <f>(Tabela2[[#This Row],[Lucro Líquido]])/Tabela2[[#This Row],[Total Ações]]</f>
        <v>1.5922843934712103</v>
      </c>
      <c r="F499" s="64">
        <v>0.74785255399999995</v>
      </c>
      <c r="G499" s="43">
        <f>IF(AND(Tabela2[[#This Row],[Dividendo / Ação]]&gt;0,Tabela2[[#This Row],[Lucro por ação]]&gt;0),Tabela2[[#This Row],[Dividendo / Ação]]/Tabela2[[#This Row],[Lucro por ação]],"")</f>
        <v>0.46967272747657041</v>
      </c>
      <c r="H499" s="59">
        <f>MAX(Tabela2[[#This Row],[Cotação 1]],Tabela2[[#This Row],[Cotação 2]])</f>
        <v>34.450000000000003</v>
      </c>
      <c r="I499" s="44">
        <f>IF(Tabela2[[#This Row],[Dividendo / Ação]]&gt;0,Tabela2[[#This Row],[Dividendo / Ação]]/Tabela2[[#This Row],[Cotação]],"")</f>
        <v>2.1708346995645861E-2</v>
      </c>
      <c r="J499" s="17">
        <f>SUMPRODUCT(N(Tabela1[Código]=Tabela2[[#This Row],[Ativo]]),Tabela1[Fechamento])</f>
        <v>0</v>
      </c>
      <c r="K499" s="17">
        <f>SUMPRODUCT(N(Tabela17[Código]=Tabela2[[#This Row],[Ativo]]),Tabela17[Fechamento])</f>
        <v>34.450000000000003</v>
      </c>
      <c r="L499" s="17">
        <f>SUMPRODUCT(N([Ativo]=Tabela2[[#This Row],[Ativo]]),N([Exercício]=Tabela2[[#This Row],[Exercício]]-1),[Lucro Líquido])</f>
        <v>0</v>
      </c>
      <c r="M499" s="19" t="str">
        <f>IF(Tabela2[[#This Row],[Lucro Anterior]]=0,"",IF(Tabela2[[#This Row],[Lucro Líquido]]&gt;0,Tabela2[[#This Row],[Lucro Líquido]]/Tabela2[[#This Row],[Lucro Anterior]]-1,0))</f>
        <v/>
      </c>
      <c r="N499" s="67">
        <f>1.3*Tabela2[[#This Row],[Total Ações]]</f>
        <v>75058512.100000009</v>
      </c>
    </row>
    <row r="500" spans="1:14">
      <c r="A500" s="4" t="s">
        <v>76</v>
      </c>
      <c r="B500" s="4">
        <v>2012</v>
      </c>
      <c r="C500" s="6">
        <v>26389234.239999998</v>
      </c>
      <c r="D500" s="8">
        <f>SUMPRODUCT(N(Tabela3[PAPEL]=Tabela2[[#This Row],[Ativo]]),Tabela3[Total Ações])</f>
        <v>137747421</v>
      </c>
      <c r="E500" s="64">
        <f>(Tabela2[[#This Row],[Lucro Líquido]])/Tabela2[[#This Row],[Total Ações]]</f>
        <v>0.19157697507817587</v>
      </c>
      <c r="F500" s="64">
        <v>0.59209073000000001</v>
      </c>
      <c r="G500" s="44">
        <f>IF(AND(Tabela2[[#This Row],[Dividendo / Ação]]&gt;0,Tabela2[[#This Row],[Lucro por ação]]&gt;0),Tabela2[[#This Row],[Dividendo / Ação]]/Tabela2[[#This Row],[Lucro por ação]],"")</f>
        <v>3.090615298411453</v>
      </c>
      <c r="H500" s="6">
        <f>MAX(Tabela2[[#This Row],[Cotação 1]],Tabela2[[#This Row],[Cotação 2]])</f>
        <v>2.75</v>
      </c>
      <c r="I500" s="19">
        <f>IF(Tabela2[[#This Row],[Dividendo / Ação]]&gt;0,Tabela2[[#This Row],[Dividendo / Ação]]/Tabela2[[#This Row],[Cotação]],"")</f>
        <v>0.21530572000000001</v>
      </c>
      <c r="J500" s="59">
        <f>SUMPRODUCT(N(Tabela1[Código]=Tabela2[[#This Row],[Ativo]]),Tabela1[Fechamento])</f>
        <v>2.75</v>
      </c>
      <c r="K500" s="59">
        <f>SUMPRODUCT(N(Tabela17[Código]=Tabela2[[#This Row],[Ativo]]),Tabela17[Fechamento])</f>
        <v>0</v>
      </c>
      <c r="L500" s="59">
        <f>SUMPRODUCT(N([Ativo]=Tabela2[[#This Row],[Ativo]]),N([Exercício]=Tabela2[[#This Row],[Exercício]]-1),[Lucro Líquido])</f>
        <v>27175402.329999998</v>
      </c>
      <c r="M500" s="19">
        <f>IF(Tabela2[[#This Row],[Lucro Anterior]]=0,"",IF(Tabela2[[#This Row],[Lucro Líquido]]&gt;0,Tabela2[[#This Row],[Lucro Líquido]]/Tabela2[[#This Row],[Lucro Anterior]]-1,0))</f>
        <v>-2.8929400214697809E-2</v>
      </c>
    </row>
    <row r="501" spans="1:14">
      <c r="A501" s="4" t="s">
        <v>76</v>
      </c>
      <c r="B501" s="4">
        <v>2011</v>
      </c>
      <c r="C501" s="6">
        <v>27175402.329999998</v>
      </c>
      <c r="D501" s="8">
        <f>SUMPRODUCT(N(Tabela3[PAPEL]=Tabela2[[#This Row],[Ativo]]),Tabela3[Total Ações])</f>
        <v>137747421</v>
      </c>
      <c r="E501" s="64">
        <f>(Tabela2[[#This Row],[Lucro Líquido]])/Tabela2[[#This Row],[Total Ações]]</f>
        <v>0.19728429129718514</v>
      </c>
      <c r="F501" s="64">
        <v>0.28363851000000001</v>
      </c>
      <c r="G501" s="44">
        <f>IF(AND(Tabela2[[#This Row],[Dividendo / Ação]]&gt;0,Tabela2[[#This Row],[Lucro por ação]]&gt;0),Tabela2[[#This Row],[Dividendo / Ação]]/Tabela2[[#This Row],[Lucro por ação]],"")</f>
        <v>1.4377146205357658</v>
      </c>
      <c r="H501" s="6">
        <f>MAX(Tabela2[[#This Row],[Cotação 1]],Tabela2[[#This Row],[Cotação 2]])</f>
        <v>2.75</v>
      </c>
      <c r="I501" s="19">
        <f>IF(Tabela2[[#This Row],[Dividendo / Ação]]&gt;0,Tabela2[[#This Row],[Dividendo / Ação]]/Tabela2[[#This Row],[Cotação]],"")</f>
        <v>0.10314127636363636</v>
      </c>
      <c r="J501" s="59">
        <f>SUMPRODUCT(N(Tabela1[Código]=Tabela2[[#This Row],[Ativo]]),Tabela1[Fechamento])</f>
        <v>2.75</v>
      </c>
      <c r="K501" s="59">
        <f>SUMPRODUCT(N(Tabela17[Código]=Tabela2[[#This Row],[Ativo]]),Tabela17[Fechamento])</f>
        <v>0</v>
      </c>
      <c r="L501" s="59">
        <f>SUMPRODUCT(N([Ativo]=Tabela2[[#This Row],[Ativo]]),N([Exercício]=Tabela2[[#This Row],[Exercício]]-1),[Lucro Líquido])</f>
        <v>76030857.450000003</v>
      </c>
      <c r="M501" s="19">
        <f>IF(Tabela2[[#This Row],[Lucro Anterior]]=0,"",IF(Tabela2[[#This Row],[Lucro Líquido]]&gt;0,Tabela2[[#This Row],[Lucro Líquido]]/Tabela2[[#This Row],[Lucro Anterior]]-1,0))</f>
        <v>-0.64257403847021854</v>
      </c>
    </row>
    <row r="502" spans="1:14">
      <c r="A502" s="4" t="s">
        <v>76</v>
      </c>
      <c r="B502" s="4">
        <v>2010</v>
      </c>
      <c r="C502" s="6">
        <v>76030857.450000003</v>
      </c>
      <c r="D502" s="8">
        <f>SUMPRODUCT(N(Tabela3[PAPEL]=Tabela2[[#This Row],[Ativo]]),Tabela3[Total Ações])</f>
        <v>137747421</v>
      </c>
      <c r="E502" s="64">
        <f>(Tabela2[[#This Row],[Lucro Líquido]])/Tabela2[[#This Row],[Total Ações]]</f>
        <v>0.55195848240236745</v>
      </c>
      <c r="F502" s="64">
        <v>0.69388981999999999</v>
      </c>
      <c r="G502" s="44">
        <f>IF(AND(Tabela2[[#This Row],[Dividendo / Ação]]&gt;0,Tabela2[[#This Row],[Lucro por ação]]&gt;0),Tabela2[[#This Row],[Dividendo / Ação]]/Tabela2[[#This Row],[Lucro por ação]],"")</f>
        <v>1.2571413287823472</v>
      </c>
      <c r="H502" s="6">
        <f>MAX(Tabela2[[#This Row],[Cotação 1]],Tabela2[[#This Row],[Cotação 2]])</f>
        <v>2.75</v>
      </c>
      <c r="I502" s="19">
        <f>IF(Tabela2[[#This Row],[Dividendo / Ação]]&gt;0,Tabela2[[#This Row],[Dividendo / Ação]]/Tabela2[[#This Row],[Cotação]],"")</f>
        <v>0.25232357090909091</v>
      </c>
      <c r="J502" s="59">
        <f>SUMPRODUCT(N(Tabela1[Código]=Tabela2[[#This Row],[Ativo]]),Tabela1[Fechamento])</f>
        <v>2.75</v>
      </c>
      <c r="K502" s="59">
        <f>SUMPRODUCT(N(Tabela17[Código]=Tabela2[[#This Row],[Ativo]]),Tabela17[Fechamento])</f>
        <v>0</v>
      </c>
      <c r="L502" s="59">
        <f>SUMPRODUCT(N([Ativo]=Tabela2[[#This Row],[Ativo]]),N([Exercício]=Tabela2[[#This Row],[Exercício]]-1),[Lucro Líquido])</f>
        <v>0</v>
      </c>
      <c r="M502" s="19" t="str">
        <f>IF(Tabela2[[#This Row],[Lucro Anterior]]=0,"",IF(Tabela2[[#This Row],[Lucro Líquido]]&gt;0,Tabela2[[#This Row],[Lucro Líquido]]/Tabela2[[#This Row],[Lucro Anterior]]-1,0))</f>
        <v/>
      </c>
    </row>
    <row r="503" spans="1:14">
      <c r="A503" s="3" t="s">
        <v>305</v>
      </c>
      <c r="B503" s="3">
        <v>2012</v>
      </c>
      <c r="C503" s="5">
        <v>72949906.010000005</v>
      </c>
      <c r="D503" s="60">
        <f>SUMPRODUCT(N(Tabela3[PAPEL]=Tabela2[[#This Row],[Ativo]]),Tabela3[Total Ações])</f>
        <v>113000000</v>
      </c>
      <c r="E503" s="63">
        <f>(Tabela2[[#This Row],[Lucro Líquido]])/Tabela2[[#This Row],[Total Ações]]</f>
        <v>0.64557438946902657</v>
      </c>
      <c r="F503" s="63">
        <v>0.26730199999999998</v>
      </c>
      <c r="G503" s="22">
        <f>IF(AND(Tabela2[[#This Row],[Dividendo / Ação]]&gt;0,Tabela2[[#This Row],[Lucro por ação]]&gt;0),Tabela2[[#This Row],[Dividendo / Ação]]/Tabela2[[#This Row],[Lucro por ação]],"")</f>
        <v>0.41405298035421001</v>
      </c>
      <c r="H503" s="49">
        <f>MAX(Tabela2[[#This Row],[Cotação 1]],Tabela2[[#This Row],[Cotação 2]])</f>
        <v>26.79</v>
      </c>
      <c r="I503" s="18">
        <f>IF(Tabela2[[#This Row],[Dividendo / Ação]]&gt;0,Tabela2[[#This Row],[Dividendo / Ação]]/Tabela2[[#This Row],[Cotação]],"")</f>
        <v>9.9776782381485619E-3</v>
      </c>
      <c r="J503" s="7">
        <f>SUMPRODUCT(N(Tabela1[Código]=Tabela2[[#This Row],[Ativo]]),Tabela1[Fechamento])</f>
        <v>0</v>
      </c>
      <c r="K503" s="7">
        <f>SUMPRODUCT(N(Tabela17[Código]=Tabela2[[#This Row],[Ativo]]),Tabela17[Fechamento])</f>
        <v>26.79</v>
      </c>
      <c r="L503" s="7">
        <f>SUMPRODUCT(N([Ativo]=Tabela2[[#This Row],[Ativo]]),N([Exercício]=Tabela2[[#This Row],[Exercício]]-1),[Lucro Líquido])</f>
        <v>126610718.51000001</v>
      </c>
      <c r="M503" s="18">
        <f>IF(Tabela2[[#This Row],[Lucro Anterior]]=0,"",IF(Tabela2[[#This Row],[Lucro Líquido]]&gt;0,Tabela2[[#This Row],[Lucro Líquido]]/Tabela2[[#This Row],[Lucro Anterior]]-1,0))</f>
        <v>-0.42382519530336404</v>
      </c>
    </row>
    <row r="504" spans="1:14">
      <c r="A504" s="3" t="s">
        <v>305</v>
      </c>
      <c r="B504" s="3">
        <v>2011</v>
      </c>
      <c r="C504" s="5">
        <v>126610718.51000001</v>
      </c>
      <c r="D504" s="60">
        <f>SUMPRODUCT(N(Tabela3[PAPEL]=Tabela2[[#This Row],[Ativo]]),Tabela3[Total Ações])</f>
        <v>113000000</v>
      </c>
      <c r="E504" s="63">
        <f>(Tabela2[[#This Row],[Lucro Líquido]])/Tabela2[[#This Row],[Total Ações]]</f>
        <v>1.1204488363716814</v>
      </c>
      <c r="F504" s="63">
        <v>0.32134299999999999</v>
      </c>
      <c r="G504" s="22">
        <f>IF(AND(Tabela2[[#This Row],[Dividendo / Ação]]&gt;0,Tabela2[[#This Row],[Lucro por ação]]&gt;0),Tabela2[[#This Row],[Dividendo / Ação]]/Tabela2[[#This Row],[Lucro por ação]],"")</f>
        <v>0.28679845930368064</v>
      </c>
      <c r="H504" s="49">
        <f>MAX(Tabela2[[#This Row],[Cotação 1]],Tabela2[[#This Row],[Cotação 2]])</f>
        <v>26.79</v>
      </c>
      <c r="I504" s="18">
        <f>IF(Tabela2[[#This Row],[Dividendo / Ação]]&gt;0,Tabela2[[#This Row],[Dividendo / Ação]]/Tabela2[[#This Row],[Cotação]],"")</f>
        <v>1.1994886151549086E-2</v>
      </c>
      <c r="J504" s="7">
        <f>SUMPRODUCT(N(Tabela1[Código]=Tabela2[[#This Row],[Ativo]]),Tabela1[Fechamento])</f>
        <v>0</v>
      </c>
      <c r="K504" s="7">
        <f>SUMPRODUCT(N(Tabela17[Código]=Tabela2[[#This Row],[Ativo]]),Tabela17[Fechamento])</f>
        <v>26.79</v>
      </c>
      <c r="L504" s="7">
        <f>SUMPRODUCT(N([Ativo]=Tabela2[[#This Row],[Ativo]]),N([Exercício]=Tabela2[[#This Row],[Exercício]]-1),[Lucro Líquido])</f>
        <v>142288162.75</v>
      </c>
      <c r="M504" s="18">
        <f>IF(Tabela2[[#This Row],[Lucro Anterior]]=0,"",IF(Tabela2[[#This Row],[Lucro Líquido]]&gt;0,Tabela2[[#This Row],[Lucro Líquido]]/Tabela2[[#This Row],[Lucro Anterior]]-1,0))</f>
        <v>-0.1101809450414033</v>
      </c>
    </row>
    <row r="505" spans="1:14">
      <c r="A505" s="3" t="s">
        <v>305</v>
      </c>
      <c r="B505" s="3">
        <v>2010</v>
      </c>
      <c r="C505" s="5">
        <v>142288162.75</v>
      </c>
      <c r="D505" s="60">
        <f>SUMPRODUCT(N(Tabela3[PAPEL]=Tabela2[[#This Row],[Ativo]]),Tabela3[Total Ações])</f>
        <v>113000000</v>
      </c>
      <c r="E505" s="63">
        <f>(Tabela2[[#This Row],[Lucro Líquido]])/Tabela2[[#This Row],[Total Ações]]</f>
        <v>1.2591872809734512</v>
      </c>
      <c r="F505" s="63">
        <v>0.41675099999999998</v>
      </c>
      <c r="G505" s="22">
        <f>IF(AND(Tabela2[[#This Row],[Dividendo / Ação]]&gt;0,Tabela2[[#This Row],[Lucro por ação]]&gt;0),Tabela2[[#This Row],[Dividendo / Ação]]/Tabela2[[#This Row],[Lucro por ação]],"")</f>
        <v>0.33096824141824127</v>
      </c>
      <c r="H505" s="49">
        <f>MAX(Tabela2[[#This Row],[Cotação 1]],Tabela2[[#This Row],[Cotação 2]])</f>
        <v>26.79</v>
      </c>
      <c r="I505" s="18">
        <f>IF(Tabela2[[#This Row],[Dividendo / Ação]]&gt;0,Tabela2[[#This Row],[Dividendo / Ação]]/Tabela2[[#This Row],[Cotação]],"")</f>
        <v>1.5556215005599104E-2</v>
      </c>
      <c r="J505" s="7">
        <f>SUMPRODUCT(N(Tabela1[Código]=Tabela2[[#This Row],[Ativo]]),Tabela1[Fechamento])</f>
        <v>0</v>
      </c>
      <c r="K505" s="7">
        <f>SUMPRODUCT(N(Tabela17[Código]=Tabela2[[#This Row],[Ativo]]),Tabela17[Fechamento])</f>
        <v>26.79</v>
      </c>
      <c r="L505" s="7">
        <f>SUMPRODUCT(N([Ativo]=Tabela2[[#This Row],[Ativo]]),N([Exercício]=Tabela2[[#This Row],[Exercício]]-1),[Lucro Líquido])</f>
        <v>93031657.010000005</v>
      </c>
      <c r="M505" s="18">
        <f>IF(Tabela2[[#This Row],[Lucro Anterior]]=0,"",IF(Tabela2[[#This Row],[Lucro Líquido]]&gt;0,Tabela2[[#This Row],[Lucro Líquido]]/Tabela2[[#This Row],[Lucro Anterior]]-1,0))</f>
        <v>0.52945961969381461</v>
      </c>
    </row>
    <row r="506" spans="1:14">
      <c r="A506" s="3" t="s">
        <v>305</v>
      </c>
      <c r="B506" s="3">
        <v>2009</v>
      </c>
      <c r="C506" s="5">
        <v>93031657.010000005</v>
      </c>
      <c r="D506" s="60">
        <f>SUMPRODUCT(N(Tabela3[PAPEL]=Tabela2[[#This Row],[Ativo]]),Tabela3[Total Ações])</f>
        <v>113000000</v>
      </c>
      <c r="E506" s="63">
        <f>(Tabela2[[#This Row],[Lucro Líquido]])/Tabela2[[#This Row],[Total Ações]]</f>
        <v>0.82328900008849559</v>
      </c>
      <c r="F506" s="63">
        <v>0.24957299999999999</v>
      </c>
      <c r="G506" s="22">
        <f>IF(AND(Tabela2[[#This Row],[Dividendo / Ação]]&gt;0,Tabela2[[#This Row],[Lucro por ação]]&gt;0),Tabela2[[#This Row],[Dividendo / Ação]]/Tabela2[[#This Row],[Lucro por ação]],"")</f>
        <v>0.30314142418175549</v>
      </c>
      <c r="H506" s="49">
        <f>MAX(Tabela2[[#This Row],[Cotação 1]],Tabela2[[#This Row],[Cotação 2]])</f>
        <v>26.79</v>
      </c>
      <c r="I506" s="18">
        <f>IF(Tabela2[[#This Row],[Dividendo / Ação]]&gt;0,Tabela2[[#This Row],[Dividendo / Ação]]/Tabela2[[#This Row],[Cotação]],"")</f>
        <v>9.3159014557670766E-3</v>
      </c>
      <c r="J506" s="7">
        <f>SUMPRODUCT(N(Tabela1[Código]=Tabela2[[#This Row],[Ativo]]),Tabela1[Fechamento])</f>
        <v>0</v>
      </c>
      <c r="K506" s="7">
        <f>SUMPRODUCT(N(Tabela17[Código]=Tabela2[[#This Row],[Ativo]]),Tabela17[Fechamento])</f>
        <v>26.79</v>
      </c>
      <c r="L506" s="7">
        <f>SUMPRODUCT(N([Ativo]=Tabela2[[#This Row],[Ativo]]),N([Exercício]=Tabela2[[#This Row],[Exercício]]-1),[Lucro Líquido])</f>
        <v>0</v>
      </c>
      <c r="M506" s="18" t="str">
        <f>IF(Tabela2[[#This Row],[Lucro Anterior]]=0,"",IF(Tabela2[[#This Row],[Lucro Líquido]]&gt;0,Tabela2[[#This Row],[Lucro Líquido]]/Tabela2[[#This Row],[Lucro Anterior]]-1,0))</f>
        <v/>
      </c>
    </row>
    <row r="507" spans="1:14">
      <c r="A507" s="4" t="s">
        <v>415</v>
      </c>
      <c r="B507" s="4">
        <v>2012</v>
      </c>
      <c r="C507" s="6">
        <v>185531000</v>
      </c>
      <c r="D507" s="74">
        <f>SUMPRODUCT(N(Tabela3[PAPEL]=Tabela2[[#This Row],[Ativo]]),Tabela3[Total Ações])</f>
        <v>76423831</v>
      </c>
      <c r="E507" s="64">
        <f>(Tabela2[[#This Row],[Lucro Líquido]])/Tabela2[[#This Row],[Total Ações]]</f>
        <v>2.4276589850618717</v>
      </c>
      <c r="F507" s="64">
        <v>0.35</v>
      </c>
      <c r="G507" s="43">
        <f>IF(AND(Tabela2[[#This Row],[Dividendo / Ação]]&gt;0,Tabela2[[#This Row],[Lucro por ação]]&gt;0),Tabela2[[#This Row],[Dividendo / Ação]]/Tabela2[[#This Row],[Lucro por ação]],"")</f>
        <v>0.14417181414426697</v>
      </c>
      <c r="H507" s="59">
        <f>MAX(Tabela2[[#This Row],[Cotação 1]],Tabela2[[#This Row],[Cotação 2]])</f>
        <v>17.260000000000002</v>
      </c>
      <c r="I507" s="44">
        <f>IF(Tabela2[[#This Row],[Dividendo / Ação]]&gt;0,Tabela2[[#This Row],[Dividendo / Ação]]/Tabela2[[#This Row],[Cotação]],"")</f>
        <v>2.0278099652375432E-2</v>
      </c>
      <c r="J507" s="17">
        <f>SUMPRODUCT(N(Tabela1[Código]=Tabela2[[#This Row],[Ativo]]),Tabela1[Fechamento])</f>
        <v>0</v>
      </c>
      <c r="K507" s="17">
        <f>SUMPRODUCT(N(Tabela17[Código]=Tabela2[[#This Row],[Ativo]]),Tabela17[Fechamento])</f>
        <v>17.260000000000002</v>
      </c>
      <c r="L507" s="17">
        <f>SUMPRODUCT(N([Ativo]=Tabela2[[#This Row],[Ativo]]),N([Exercício]=Tabela2[[#This Row],[Exercício]]-1),[Lucro Líquido])</f>
        <v>239206591.03</v>
      </c>
      <c r="M507" s="19">
        <f>IF(Tabela2[[#This Row],[Lucro Anterior]]=0,"",IF(Tabela2[[#This Row],[Lucro Líquido]]&gt;0,Tabela2[[#This Row],[Lucro Líquido]]/Tabela2[[#This Row],[Lucro Anterior]]-1,0))</f>
        <v>-0.22439010061921039</v>
      </c>
    </row>
    <row r="508" spans="1:14">
      <c r="A508" s="4" t="s">
        <v>415</v>
      </c>
      <c r="B508" s="4">
        <v>2011</v>
      </c>
      <c r="C508" s="6">
        <v>239206591.03</v>
      </c>
      <c r="D508" s="74">
        <f>SUMPRODUCT(N(Tabela3[PAPEL]=Tabela2[[#This Row],[Ativo]]),Tabela3[Total Ações])</f>
        <v>76423831</v>
      </c>
      <c r="E508" s="64">
        <f>(Tabela2[[#This Row],[Lucro Líquido]])/Tabela2[[#This Row],[Total Ações]]</f>
        <v>3.13</v>
      </c>
      <c r="F508" s="64">
        <v>0.32</v>
      </c>
      <c r="G508" s="43">
        <f>IF(AND(Tabela2[[#This Row],[Dividendo / Ação]]&gt;0,Tabela2[[#This Row],[Lucro por ação]]&gt;0),Tabela2[[#This Row],[Dividendo / Ação]]/Tabela2[[#This Row],[Lucro por ação]],"")</f>
        <v>0.10223642172523963</v>
      </c>
      <c r="H508" s="59">
        <f>MAX(Tabela2[[#This Row],[Cotação 1]],Tabela2[[#This Row],[Cotação 2]])</f>
        <v>17.260000000000002</v>
      </c>
      <c r="I508" s="44">
        <f>IF(Tabela2[[#This Row],[Dividendo / Ação]]&gt;0,Tabela2[[#This Row],[Dividendo / Ação]]/Tabela2[[#This Row],[Cotação]],"")</f>
        <v>1.8539976825028968E-2</v>
      </c>
      <c r="J508" s="17">
        <f>SUMPRODUCT(N(Tabela1[Código]=Tabela2[[#This Row],[Ativo]]),Tabela1[Fechamento])</f>
        <v>0</v>
      </c>
      <c r="K508" s="17">
        <f>SUMPRODUCT(N(Tabela17[Código]=Tabela2[[#This Row],[Ativo]]),Tabela17[Fechamento])</f>
        <v>17.260000000000002</v>
      </c>
      <c r="L508" s="17">
        <f>SUMPRODUCT(N([Ativo]=Tabela2[[#This Row],[Ativo]]),N([Exercício]=Tabela2[[#This Row],[Exercício]]-1),[Lucro Líquido])</f>
        <v>200230437.22</v>
      </c>
      <c r="M508" s="19">
        <f>IF(Tabela2[[#This Row],[Lucro Anterior]]=0,"",IF(Tabela2[[#This Row],[Lucro Líquido]]&gt;0,Tabela2[[#This Row],[Lucro Líquido]]/Tabela2[[#This Row],[Lucro Anterior]]-1,0))</f>
        <v>0.19465648854961826</v>
      </c>
      <c r="N508" s="67">
        <f>6.91*D509</f>
        <v>528088672.21000004</v>
      </c>
    </row>
    <row r="509" spans="1:14">
      <c r="A509" s="4" t="s">
        <v>415</v>
      </c>
      <c r="B509" s="4">
        <v>2010</v>
      </c>
      <c r="C509" s="6">
        <v>200230437.22</v>
      </c>
      <c r="D509" s="74">
        <f>SUMPRODUCT(N(Tabela3[PAPEL]=Tabela2[[#This Row],[Ativo]]),Tabela3[Total Ações])</f>
        <v>76423831</v>
      </c>
      <c r="E509" s="64">
        <f>(Tabela2[[#This Row],[Lucro Líquido]])/Tabela2[[#This Row],[Total Ações]]</f>
        <v>2.62</v>
      </c>
      <c r="F509" s="64">
        <v>0.26</v>
      </c>
      <c r="G509" s="43">
        <f>IF(AND(Tabela2[[#This Row],[Dividendo / Ação]]&gt;0,Tabela2[[#This Row],[Lucro por ação]]&gt;0),Tabela2[[#This Row],[Dividendo / Ação]]/Tabela2[[#This Row],[Lucro por ação]],"")</f>
        <v>9.9236641221374045E-2</v>
      </c>
      <c r="H509" s="59">
        <f>MAX(Tabela2[[#This Row],[Cotação 1]],Tabela2[[#This Row],[Cotação 2]])</f>
        <v>17.260000000000002</v>
      </c>
      <c r="I509" s="44">
        <f>IF(Tabela2[[#This Row],[Dividendo / Ação]]&gt;0,Tabela2[[#This Row],[Dividendo / Ação]]/Tabela2[[#This Row],[Cotação]],"")</f>
        <v>1.5063731170336036E-2</v>
      </c>
      <c r="J509" s="17">
        <f>SUMPRODUCT(N(Tabela1[Código]=Tabela2[[#This Row],[Ativo]]),Tabela1[Fechamento])</f>
        <v>0</v>
      </c>
      <c r="K509" s="17">
        <f>SUMPRODUCT(N(Tabela17[Código]=Tabela2[[#This Row],[Ativo]]),Tabela17[Fechamento])</f>
        <v>17.260000000000002</v>
      </c>
      <c r="L509" s="17">
        <f>SUMPRODUCT(N([Ativo]=Tabela2[[#This Row],[Ativo]]),N([Exercício]=Tabela2[[#This Row],[Exercício]]-1),[Lucro Líquido])</f>
        <v>0</v>
      </c>
      <c r="M509" s="19" t="str">
        <f>IF(Tabela2[[#This Row],[Lucro Anterior]]=0,"",IF(Tabela2[[#This Row],[Lucro Líquido]]&gt;0,Tabela2[[#This Row],[Lucro Líquido]]/Tabela2[[#This Row],[Lucro Anterior]]-1,0))</f>
        <v/>
      </c>
    </row>
    <row r="510" spans="1:14">
      <c r="A510" s="4" t="s">
        <v>57</v>
      </c>
      <c r="B510" s="4">
        <v>2012</v>
      </c>
      <c r="C510" s="6">
        <v>483247945.06999999</v>
      </c>
      <c r="D510" s="8">
        <f>SUMPRODUCT(N(Tabela3[PAPEL]=Tabela2[[#This Row],[Ativo]]),Tabela3[Total Ações])</f>
        <v>1022205493</v>
      </c>
      <c r="E510" s="64">
        <f>(Tabela2[[#This Row],[Lucro Líquido]])/Tabela2[[#This Row],[Total Ações]]</f>
        <v>0.47275029177523703</v>
      </c>
      <c r="F510" s="64">
        <v>0.30062499999999998</v>
      </c>
      <c r="G510" s="44">
        <f>IF(AND(Tabela2[[#This Row],[Dividendo / Ação]]&gt;0,Tabela2[[#This Row],[Lucro por ação]]&gt;0),Tabela2[[#This Row],[Dividendo / Ação]]/Tabela2[[#This Row],[Lucro por ação]],"")</f>
        <v>0.63590653507820194</v>
      </c>
      <c r="H510" s="13">
        <f>MAX(Tabela2[[#This Row],[Cotação 1]],Tabela2[[#This Row],[Cotação 2]])</f>
        <v>14.04</v>
      </c>
      <c r="I510" s="19">
        <f>IF(Tabela2[[#This Row],[Dividendo / Ação]]&gt;0,Tabela2[[#This Row],[Dividendo / Ação]]/Tabela2[[#This Row],[Cotação]],"")</f>
        <v>2.1412037037037035E-2</v>
      </c>
      <c r="J510" s="17">
        <f>SUMPRODUCT(N(Tabela1[Código]=Tabela2[[#This Row],[Ativo]]),Tabela1[Fechamento])</f>
        <v>0</v>
      </c>
      <c r="K510" s="17">
        <f>SUMPRODUCT(N(Tabela17[Código]=Tabela2[[#This Row],[Ativo]]),Tabela17[Fechamento])</f>
        <v>14.04</v>
      </c>
      <c r="L510" s="17">
        <f>SUMPRODUCT(N([Ativo]=Tabela2[[#This Row],[Ativo]]),N([Exercício]=Tabela2[[#This Row],[Exercício]]-1),[Lucro Líquido])</f>
        <v>445682000</v>
      </c>
      <c r="M510" s="19">
        <f>IF(Tabela2[[#This Row],[Lucro Anterior]]=0,"",IF(Tabela2[[#This Row],[Lucro Líquido]]&gt;0,Tabela2[[#This Row],[Lucro Líquido]]/Tabela2[[#This Row],[Lucro Anterior]]-1,0))</f>
        <v>8.4288674593095525E-2</v>
      </c>
    </row>
    <row r="511" spans="1:14">
      <c r="A511" s="4" t="s">
        <v>57</v>
      </c>
      <c r="B511" s="4">
        <v>2011</v>
      </c>
      <c r="C511" s="6">
        <v>445682000</v>
      </c>
      <c r="D511" s="8">
        <f>SUMPRODUCT(N(Tabela3[PAPEL]=Tabela2[[#This Row],[Ativo]]),Tabela3[Total Ações])</f>
        <v>1022205493</v>
      </c>
      <c r="E511" s="64">
        <f>(Tabela2[[#This Row],[Lucro Líquido]])/Tabela2[[#This Row],[Total Ações]]</f>
        <v>0.43600039625300663</v>
      </c>
      <c r="F511" s="64">
        <v>0.76497757200000005</v>
      </c>
      <c r="G511" s="44">
        <f>IF(AND(Tabela2[[#This Row],[Dividendo / Ação]]&gt;0,Tabela2[[#This Row],[Lucro por ação]]&gt;0),Tabela2[[#This Row],[Dividendo / Ação]]/Tabela2[[#This Row],[Lucro por ação]],"")</f>
        <v>1.7545341210105032</v>
      </c>
      <c r="H511" s="13">
        <f>MAX(Tabela2[[#This Row],[Cotação 1]],Tabela2[[#This Row],[Cotação 2]])</f>
        <v>14.04</v>
      </c>
      <c r="I511" s="19">
        <f>IF(Tabela2[[#This Row],[Dividendo / Ação]]&gt;0,Tabela2[[#This Row],[Dividendo / Ação]]/Tabela2[[#This Row],[Cotação]],"")</f>
        <v>5.448558205128206E-2</v>
      </c>
      <c r="J511" s="17">
        <f>SUMPRODUCT(N(Tabela1[Código]=Tabela2[[#This Row],[Ativo]]),Tabela1[Fechamento])</f>
        <v>0</v>
      </c>
      <c r="K511" s="17">
        <f>SUMPRODUCT(N(Tabela17[Código]=Tabela2[[#This Row],[Ativo]]),Tabela17[Fechamento])</f>
        <v>14.04</v>
      </c>
      <c r="L511" s="17">
        <f>SUMPRODUCT(N([Ativo]=Tabela2[[#This Row],[Ativo]]),N([Exercício]=Tabela2[[#This Row],[Exercício]]-1),[Lucro Líquido])</f>
        <v>614021000</v>
      </c>
      <c r="M511" s="19">
        <f>IF(Tabela2[[#This Row],[Lucro Anterior]]=0,"",IF(Tabela2[[#This Row],[Lucro Líquido]]&gt;0,Tabela2[[#This Row],[Lucro Líquido]]/Tabela2[[#This Row],[Lucro Anterior]]-1,0))</f>
        <v>-0.27415837569073376</v>
      </c>
    </row>
    <row r="512" spans="1:14">
      <c r="A512" s="4" t="s">
        <v>57</v>
      </c>
      <c r="B512" s="4">
        <v>2010</v>
      </c>
      <c r="C512" s="6">
        <v>614021000</v>
      </c>
      <c r="D512" s="8">
        <f>SUMPRODUCT(N(Tabela3[PAPEL]=Tabela2[[#This Row],[Ativo]]),Tabela3[Total Ações])</f>
        <v>1022205493</v>
      </c>
      <c r="E512" s="64">
        <f>(Tabela2[[#This Row],[Lucro Líquido]])/Tabela2[[#This Row],[Total Ações]]</f>
        <v>0.6006825478876584</v>
      </c>
      <c r="F512" s="64">
        <v>1.0517938200000001</v>
      </c>
      <c r="G512" s="44">
        <f>IF(AND(Tabela2[[#This Row],[Dividendo / Ação]]&gt;0,Tabela2[[#This Row],[Lucro por ação]]&gt;0),Tabela2[[#This Row],[Dividendo / Ação]]/Tabela2[[#This Row],[Lucro por ação]],"")</f>
        <v>1.7509978002502413</v>
      </c>
      <c r="H512" s="13">
        <f>MAX(Tabela2[[#This Row],[Cotação 1]],Tabela2[[#This Row],[Cotação 2]])</f>
        <v>14.04</v>
      </c>
      <c r="I512" s="19">
        <f>IF(Tabela2[[#This Row],[Dividendo / Ação]]&gt;0,Tabela2[[#This Row],[Dividendo / Ação]]/Tabela2[[#This Row],[Cotação]],"")</f>
        <v>7.4914089743589748E-2</v>
      </c>
      <c r="J512" s="17">
        <f>SUMPRODUCT(N(Tabela1[Código]=Tabela2[[#This Row],[Ativo]]),Tabela1[Fechamento])</f>
        <v>0</v>
      </c>
      <c r="K512" s="17">
        <f>SUMPRODUCT(N(Tabela17[Código]=Tabela2[[#This Row],[Ativo]]),Tabela17[Fechamento])</f>
        <v>14.04</v>
      </c>
      <c r="L512" s="17">
        <f>SUMPRODUCT(N([Ativo]=Tabela2[[#This Row],[Ativo]]),N([Exercício]=Tabela2[[#This Row],[Exercício]]-1),[Lucro Líquido])</f>
        <v>419093000</v>
      </c>
      <c r="M512" s="19">
        <f>IF(Tabela2[[#This Row],[Lucro Anterior]]=0,"",IF(Tabela2[[#This Row],[Lucro Líquido]]&gt;0,Tabela2[[#This Row],[Lucro Líquido]]/Tabela2[[#This Row],[Lucro Anterior]]-1,0))</f>
        <v>0.46511872066581872</v>
      </c>
    </row>
    <row r="513" spans="1:14">
      <c r="A513" s="4" t="s">
        <v>57</v>
      </c>
      <c r="B513" s="4">
        <v>2009</v>
      </c>
      <c r="C513" s="6">
        <v>419093000</v>
      </c>
      <c r="D513" s="8">
        <f>SUMPRODUCT(N(Tabela3[PAPEL]=Tabela2[[#This Row],[Ativo]]),Tabela3[Total Ações])</f>
        <v>1022205493</v>
      </c>
      <c r="E513" s="64">
        <f>(Tabela2[[#This Row],[Lucro Líquido]])/Tabela2[[#This Row],[Total Ações]]</f>
        <v>0.40998899230137476</v>
      </c>
      <c r="F513" s="64">
        <v>2.1419339700000002</v>
      </c>
      <c r="G513" s="44">
        <f>IF(AND(Tabela2[[#This Row],[Dividendo / Ação]]&gt;0,Tabela2[[#This Row],[Lucro por ação]]&gt;0),Tabela2[[#This Row],[Dividendo / Ação]]/Tabela2[[#This Row],[Lucro por ação]],"")</f>
        <v>5.2243694592305223</v>
      </c>
      <c r="H513" s="13">
        <f>MAX(Tabela2[[#This Row],[Cotação 1]],Tabela2[[#This Row],[Cotação 2]])</f>
        <v>14.04</v>
      </c>
      <c r="I513" s="19">
        <f>IF(Tabela2[[#This Row],[Dividendo / Ação]]&gt;0,Tabela2[[#This Row],[Dividendo / Ação]]/Tabela2[[#This Row],[Cotação]],"")</f>
        <v>0.15255939957264961</v>
      </c>
      <c r="J513" s="17">
        <f>SUMPRODUCT(N(Tabela1[Código]=Tabela2[[#This Row],[Ativo]]),Tabela1[Fechamento])</f>
        <v>0</v>
      </c>
      <c r="K513" s="17">
        <f>SUMPRODUCT(N(Tabela17[Código]=Tabela2[[#This Row],[Ativo]]),Tabela17[Fechamento])</f>
        <v>14.04</v>
      </c>
      <c r="L513" s="17">
        <f>SUMPRODUCT(N([Ativo]=Tabela2[[#This Row],[Ativo]]),N([Exercício]=Tabela2[[#This Row],[Exercício]]-1),[Lucro Líquido])</f>
        <v>0</v>
      </c>
      <c r="M513" s="19" t="str">
        <f>IF(Tabela2[[#This Row],[Lucro Anterior]]=0,"",IF(Tabela2[[#This Row],[Lucro Líquido]]&gt;0,Tabela2[[#This Row],[Lucro Líquido]]/Tabela2[[#This Row],[Lucro Anterior]]-1,0))</f>
        <v/>
      </c>
    </row>
    <row r="514" spans="1:14">
      <c r="A514" s="4" t="s">
        <v>18</v>
      </c>
      <c r="B514" s="4">
        <v>2012</v>
      </c>
      <c r="C514" s="6">
        <v>-182125692.53</v>
      </c>
      <c r="D514" s="8">
        <f>SUMPRODUCT(N(Tabela3[PAPEL]=Tabela2[[#This Row],[Ativo]]),Tabela3[Total Ações])</f>
        <v>1107677313</v>
      </c>
      <c r="E514" s="64">
        <f>(Tabela2[[#This Row],[Lucro Líquido]])/Tabela2[[#This Row],[Total Ações]]</f>
        <v>-0.16442125372843128</v>
      </c>
      <c r="F514" s="64">
        <v>0</v>
      </c>
      <c r="G514" s="44" t="str">
        <f>IF(AND(Tabela2[[#This Row],[Dividendo / Ação]]&gt;0,Tabela2[[#This Row],[Lucro por ação]]&gt;0),Tabela2[[#This Row],[Dividendo / Ação]]/Tabela2[[#This Row],[Lucro por ação]],"")</f>
        <v/>
      </c>
      <c r="H514" s="6">
        <f>MAX(Tabela2[[#This Row],[Cotação 1]],Tabela2[[#This Row],[Cotação 2]])</f>
        <v>9.4499999999999993</v>
      </c>
      <c r="I514" s="19" t="str">
        <f>IF(Tabela2[[#This Row],[Dividendo / Ação]]&gt;0,Tabela2[[#This Row],[Dividendo / Ação]]/Tabela2[[#This Row],[Cotação]],"")</f>
        <v/>
      </c>
      <c r="J514" s="59">
        <f>SUMPRODUCT(N(Tabela1[Código]=Tabela2[[#This Row],[Ativo]]),Tabela1[Fechamento])</f>
        <v>9.4499999999999993</v>
      </c>
      <c r="K514" s="59">
        <f>SUMPRODUCT(N(Tabela17[Código]=Tabela2[[#This Row],[Ativo]]),Tabela17[Fechamento])</f>
        <v>0</v>
      </c>
      <c r="L514" s="59">
        <f>SUMPRODUCT(N([Ativo]=Tabela2[[#This Row],[Ativo]]),N([Exercício]=Tabela2[[#This Row],[Exercício]]-1),[Lucro Líquido])</f>
        <v>78013713</v>
      </c>
      <c r="M514" s="19">
        <f>IF(Tabela2[[#This Row],[Lucro Anterior]]=0,"",IF(Tabela2[[#This Row],[Lucro Líquido]]&gt;0,Tabela2[[#This Row],[Lucro Líquido]]/Tabela2[[#This Row],[Lucro Anterior]]-1,0))</f>
        <v>0</v>
      </c>
    </row>
    <row r="515" spans="1:14">
      <c r="A515" s="4" t="s">
        <v>18</v>
      </c>
      <c r="B515" s="4">
        <v>2011</v>
      </c>
      <c r="C515" s="6">
        <v>78013713</v>
      </c>
      <c r="D515" s="8">
        <f>SUMPRODUCT(N(Tabela3[PAPEL]=Tabela2[[#This Row],[Ativo]]),Tabela3[Total Ações])</f>
        <v>1107677313</v>
      </c>
      <c r="E515" s="64">
        <f>(Tabela2[[#This Row],[Lucro Líquido]])/Tabela2[[#This Row],[Total Ações]]</f>
        <v>7.04299998604377E-2</v>
      </c>
      <c r="F515" s="64">
        <v>0.24881</v>
      </c>
      <c r="G515" s="44">
        <f>IF(AND(Tabela2[[#This Row],[Dividendo / Ação]]&gt;0,Tabela2[[#This Row],[Lucro por ação]]&gt;0),Tabela2[[#This Row],[Dividendo / Ação]]/Tabela2[[#This Row],[Lucro por ação]],"")</f>
        <v>3.5327275378820899</v>
      </c>
      <c r="H515" s="6">
        <f>MAX(Tabela2[[#This Row],[Cotação 1]],Tabela2[[#This Row],[Cotação 2]])</f>
        <v>9.4499999999999993</v>
      </c>
      <c r="I515" s="19">
        <f>IF(Tabela2[[#This Row],[Dividendo / Ação]]&gt;0,Tabela2[[#This Row],[Dividendo / Ação]]/Tabela2[[#This Row],[Cotação]],"")</f>
        <v>2.6329100529100532E-2</v>
      </c>
      <c r="J515" s="59">
        <f>SUMPRODUCT(N(Tabela1[Código]=Tabela2[[#This Row],[Ativo]]),Tabela1[Fechamento])</f>
        <v>9.4499999999999993</v>
      </c>
      <c r="K515" s="59">
        <f>SUMPRODUCT(N(Tabela17[Código]=Tabela2[[#This Row],[Ativo]]),Tabela17[Fechamento])</f>
        <v>0</v>
      </c>
      <c r="L515" s="59">
        <f>SUMPRODUCT(N([Ativo]=Tabela2[[#This Row],[Ativo]]),N([Exercício]=Tabela2[[#This Row],[Exercício]]-1),[Lucro Líquido])</f>
        <v>2190730959</v>
      </c>
      <c r="M515" s="19">
        <f>IF(Tabela2[[#This Row],[Lucro Anterior]]=0,"",IF(Tabela2[[#This Row],[Lucro Líquido]]&gt;0,Tabela2[[#This Row],[Lucro Líquido]]/Tabela2[[#This Row],[Lucro Anterior]]-1,0))</f>
        <v>-0.96438918586533751</v>
      </c>
    </row>
    <row r="516" spans="1:14">
      <c r="A516" s="4" t="s">
        <v>18</v>
      </c>
      <c r="B516" s="3">
        <v>2010</v>
      </c>
      <c r="C516" s="5">
        <v>2190730959</v>
      </c>
      <c r="D516" s="60">
        <f>SUMPRODUCT(N(Tabela3[PAPEL]=Tabela2[[#This Row],[Ativo]]),Tabela3[Total Ações])</f>
        <v>1107677313</v>
      </c>
      <c r="E516" s="64">
        <f>(Tabela2[[#This Row],[Lucro Líquido]])/Tabela2[[#This Row],[Total Ações]]</f>
        <v>1.9777699997002647</v>
      </c>
      <c r="F516" s="63">
        <v>0.64239000000000002</v>
      </c>
      <c r="G516" s="22">
        <f>IF(AND(Tabela2[[#This Row],[Dividendo / Ação]]&gt;0,Tabela2[[#This Row],[Lucro por ação]]&gt;0),Tabela2[[#This Row],[Dividendo / Ação]]/Tabela2[[#This Row],[Lucro por ação]],"")</f>
        <v>0.32480520995735379</v>
      </c>
      <c r="H516" s="5">
        <f>MAX(Tabela2[[#This Row],[Cotação 1]],Tabela2[[#This Row],[Cotação 2]])</f>
        <v>9.4499999999999993</v>
      </c>
      <c r="I516" s="18">
        <f>IF(Tabela2[[#This Row],[Dividendo / Ação]]&gt;0,Tabela2[[#This Row],[Dividendo / Ação]]/Tabela2[[#This Row],[Cotação]],"")</f>
        <v>6.797777777777779E-2</v>
      </c>
      <c r="J516" s="58">
        <f>SUMPRODUCT(N(Tabela1[Código]=Tabela2[[#This Row],[Ativo]]),Tabela1[Fechamento])</f>
        <v>9.4499999999999993</v>
      </c>
      <c r="K516" s="58">
        <f>SUMPRODUCT(N(Tabela17[Código]=Tabela2[[#This Row],[Ativo]]),Tabela17[Fechamento])</f>
        <v>0</v>
      </c>
      <c r="L516" s="58">
        <f>SUMPRODUCT(N([Ativo]=Tabela2[[#This Row],[Ativo]]),N([Exercício]=Tabela2[[#This Row],[Exercício]]-1),[Lucro Líquido])</f>
        <v>3206936280</v>
      </c>
      <c r="M516" s="18">
        <f>IF(Tabela2[[#This Row],[Lucro Anterior]]=0,"",IF(Tabela2[[#This Row],[Lucro Líquido]]&gt;0,Tabela2[[#This Row],[Lucro Líquido]]/Tabela2[[#This Row],[Lucro Anterior]]-1,0))</f>
        <v>-0.31687730353033394</v>
      </c>
      <c r="N516" s="67">
        <f>7.161*Tabela2[[#This Row],[Total Ações]]</f>
        <v>7932077238.3929996</v>
      </c>
    </row>
    <row r="517" spans="1:14">
      <c r="A517" s="4" t="s">
        <v>18</v>
      </c>
      <c r="B517" s="3">
        <v>2009</v>
      </c>
      <c r="C517" s="5">
        <v>3206936280</v>
      </c>
      <c r="D517" s="60">
        <f>SUMPRODUCT(N(Tabela3[PAPEL]=Tabela2[[#This Row],[Ativo]]),Tabela3[Total Ações])</f>
        <v>1107677313</v>
      </c>
      <c r="E517" s="64">
        <f>(Tabela2[[#This Row],[Lucro Líquido]])/Tabela2[[#This Row],[Total Ações]]</f>
        <v>2.8951900001584669</v>
      </c>
      <c r="F517" s="63">
        <v>0.77659999999999996</v>
      </c>
      <c r="G517" s="22">
        <f>IF(AND(Tabela2[[#This Row],[Dividendo / Ação]]&gt;0,Tabela2[[#This Row],[Lucro por ação]]&gt;0),Tabela2[[#This Row],[Dividendo / Ação]]/Tabela2[[#This Row],[Lucro por ação]],"")</f>
        <v>0.26823800854434188</v>
      </c>
      <c r="H517" s="5">
        <f>MAX(Tabela2[[#This Row],[Cotação 1]],Tabela2[[#This Row],[Cotação 2]])</f>
        <v>9.4499999999999993</v>
      </c>
      <c r="I517" s="18">
        <f>IF(Tabela2[[#This Row],[Dividendo / Ação]]&gt;0,Tabela2[[#This Row],[Dividendo / Ação]]/Tabela2[[#This Row],[Cotação]],"")</f>
        <v>8.2179894179894186E-2</v>
      </c>
      <c r="J517" s="58">
        <f>SUMPRODUCT(N(Tabela1[Código]=Tabela2[[#This Row],[Ativo]]),Tabela1[Fechamento])</f>
        <v>9.4499999999999993</v>
      </c>
      <c r="K517" s="58">
        <f>SUMPRODUCT(N(Tabela17[Código]=Tabela2[[#This Row],[Ativo]]),Tabela17[Fechamento])</f>
        <v>0</v>
      </c>
      <c r="L517" s="58">
        <f>SUMPRODUCT(N([Ativo]=Tabela2[[#This Row],[Ativo]]),N([Exercício]=Tabela2[[#This Row],[Exercício]]-1),[Lucro Líquido])</f>
        <v>0</v>
      </c>
      <c r="M517" s="18" t="str">
        <f>IF(Tabela2[[#This Row],[Lucro Anterior]]=0,"",IF(Tabela2[[#This Row],[Lucro Líquido]]&gt;0,Tabela2[[#This Row],[Lucro Líquido]]/Tabela2[[#This Row],[Lucro Anterior]]-1,0))</f>
        <v/>
      </c>
    </row>
    <row r="518" spans="1:14">
      <c r="A518" s="4" t="s">
        <v>206</v>
      </c>
      <c r="B518" s="4">
        <v>2012</v>
      </c>
      <c r="C518" s="6">
        <v>-182125692.53</v>
      </c>
      <c r="D518" s="8">
        <f>SUMPRODUCT(N(Tabela3[PAPEL]=Tabela2[[#This Row],[Ativo]]),Tabela3[Total Ações])</f>
        <v>1107677313</v>
      </c>
      <c r="E518" s="64">
        <f>(Tabela2[[#This Row],[Lucro Líquido]])/Tabela2[[#This Row],[Total Ações]]</f>
        <v>-0.16442125372843128</v>
      </c>
      <c r="F518" s="64">
        <v>0</v>
      </c>
      <c r="G518" s="44" t="str">
        <f>IF(AND(Tabela2[[#This Row],[Dividendo / Ação]]&gt;0,Tabela2[[#This Row],[Lucro por ação]]&gt;0),Tabela2[[#This Row],[Dividendo / Ação]]/Tabela2[[#This Row],[Lucro por ação]],"")</f>
        <v/>
      </c>
      <c r="H518" s="6">
        <f>MAX(Tabela2[[#This Row],[Cotação 1]],Tabela2[[#This Row],[Cotação 2]])</f>
        <v>5.7</v>
      </c>
      <c r="I518" s="19" t="str">
        <f>IF(Tabela2[[#This Row],[Dividendo / Ação]]&gt;0,Tabela2[[#This Row],[Dividendo / Ação]]/Tabela2[[#This Row],[Cotação]],"")</f>
        <v/>
      </c>
      <c r="J518" s="59">
        <f>SUMPRODUCT(N(Tabela1[Código]=Tabela2[[#This Row],[Ativo]]),Tabela1[Fechamento])</f>
        <v>5.7</v>
      </c>
      <c r="K518" s="59">
        <f>SUMPRODUCT(N(Tabela17[Código]=Tabela2[[#This Row],[Ativo]]),Tabela17[Fechamento])</f>
        <v>0</v>
      </c>
      <c r="L518" s="59">
        <f>SUMPRODUCT(N([Ativo]=Tabela2[[#This Row],[Ativo]]),N([Exercício]=Tabela2[[#This Row],[Exercício]]-1),[Lucro Líquido])</f>
        <v>78013713</v>
      </c>
      <c r="M518" s="19">
        <f>IF(Tabela2[[#This Row],[Lucro Anterior]]=0,"",IF(Tabela2[[#This Row],[Lucro Líquido]]&gt;0,Tabela2[[#This Row],[Lucro Líquido]]/Tabela2[[#This Row],[Lucro Anterior]]-1,0))</f>
        <v>0</v>
      </c>
    </row>
    <row r="519" spans="1:14">
      <c r="A519" s="4" t="s">
        <v>206</v>
      </c>
      <c r="B519" s="3">
        <v>2011</v>
      </c>
      <c r="C519" s="6">
        <v>78013713</v>
      </c>
      <c r="D519" s="60">
        <f>SUMPRODUCT(N(Tabela3[PAPEL]=Tabela2[[#This Row],[Ativo]]),Tabela3[Total Ações])</f>
        <v>1107677313</v>
      </c>
      <c r="E519" s="64">
        <f>(Tabela2[[#This Row],[Lucro Líquido]])/Tabela2[[#This Row],[Total Ações]]</f>
        <v>7.04299998604377E-2</v>
      </c>
      <c r="F519" s="64">
        <v>0.24881</v>
      </c>
      <c r="G519" s="22">
        <f>IF(AND(Tabela2[[#This Row],[Dividendo / Ação]]&gt;0,Tabela2[[#This Row],[Lucro por ação]]&gt;0),Tabela2[[#This Row],[Dividendo / Ação]]/Tabela2[[#This Row],[Lucro por ação]],"")</f>
        <v>3.5327275378820899</v>
      </c>
      <c r="H519" s="5">
        <f>MAX(Tabela2[[#This Row],[Cotação 1]],Tabela2[[#This Row],[Cotação 2]])</f>
        <v>5.7</v>
      </c>
      <c r="I519" s="18">
        <f>IF(Tabela2[[#This Row],[Dividendo / Ação]]&gt;0,Tabela2[[#This Row],[Dividendo / Ação]]/Tabela2[[#This Row],[Cotação]],"")</f>
        <v>4.3650877192982454E-2</v>
      </c>
      <c r="J519" s="58">
        <f>SUMPRODUCT(N(Tabela1[Código]=Tabela2[[#This Row],[Ativo]]),Tabela1[Fechamento])</f>
        <v>5.7</v>
      </c>
      <c r="K519" s="58">
        <f>SUMPRODUCT(N(Tabela17[Código]=Tabela2[[#This Row],[Ativo]]),Tabela17[Fechamento])</f>
        <v>0</v>
      </c>
      <c r="L519" s="58">
        <f>SUMPRODUCT(N([Ativo]=Tabela2[[#This Row],[Ativo]]),N([Exercício]=Tabela2[[#This Row],[Exercício]]-1),[Lucro Líquido])</f>
        <v>2190730959</v>
      </c>
      <c r="M519" s="18">
        <f>IF(Tabela2[[#This Row],[Lucro Anterior]]=0,"",IF(Tabela2[[#This Row],[Lucro Líquido]]&gt;0,Tabela2[[#This Row],[Lucro Líquido]]/Tabela2[[#This Row],[Lucro Anterior]]-1,0))</f>
        <v>-0.96438918586533751</v>
      </c>
      <c r="N519" s="75">
        <f>11278000/D517</f>
        <v>1.0181665605712374E-2</v>
      </c>
    </row>
    <row r="520" spans="1:14">
      <c r="A520" s="4" t="s">
        <v>206</v>
      </c>
      <c r="B520" s="4">
        <v>2010</v>
      </c>
      <c r="C520" s="5">
        <v>2190730959</v>
      </c>
      <c r="D520" s="8">
        <f>SUMPRODUCT(N(Tabela3[PAPEL]=Tabela2[[#This Row],[Ativo]]),Tabela3[Total Ações])</f>
        <v>1107677313</v>
      </c>
      <c r="E520" s="64">
        <f>(Tabela2[[#This Row],[Lucro Líquido]])/Tabela2[[#This Row],[Total Ações]]</f>
        <v>1.9777699997002647</v>
      </c>
      <c r="F520" s="64">
        <v>0.59360000000000002</v>
      </c>
      <c r="G520" s="44">
        <f>IF(AND(Tabela2[[#This Row],[Dividendo / Ação]]&gt;0,Tabela2[[#This Row],[Lucro por ação]]&gt;0),Tabela2[[#This Row],[Dividendo / Ação]]/Tabela2[[#This Row],[Lucro por ação]],"")</f>
        <v>0.3001360118163191</v>
      </c>
      <c r="H520" s="6">
        <f>MAX(Tabela2[[#This Row],[Cotação 1]],Tabela2[[#This Row],[Cotação 2]])</f>
        <v>5.7</v>
      </c>
      <c r="I520" s="19">
        <f>IF(Tabela2[[#This Row],[Dividendo / Ação]]&gt;0,Tabela2[[#This Row],[Dividendo / Ação]]/Tabela2[[#This Row],[Cotação]],"")</f>
        <v>0.10414035087719298</v>
      </c>
      <c r="J520" s="59">
        <f>SUMPRODUCT(N(Tabela1[Código]=Tabela2[[#This Row],[Ativo]]),Tabela1[Fechamento])</f>
        <v>5.7</v>
      </c>
      <c r="K520" s="59">
        <f>SUMPRODUCT(N(Tabela17[Código]=Tabela2[[#This Row],[Ativo]]),Tabela17[Fechamento])</f>
        <v>0</v>
      </c>
      <c r="L520" s="59">
        <f>SUMPRODUCT(N([Ativo]=Tabela2[[#This Row],[Ativo]]),N([Exercício]=Tabela2[[#This Row],[Exercício]]-1),[Lucro Líquido])</f>
        <v>3206936280</v>
      </c>
      <c r="M520" s="19">
        <f>IF(Tabela2[[#This Row],[Lucro Anterior]]=0,"",IF(Tabela2[[#This Row],[Lucro Líquido]]&gt;0,Tabela2[[#This Row],[Lucro Líquido]]/Tabela2[[#This Row],[Lucro Anterior]]-1,0))</f>
        <v>-0.31687730353033394</v>
      </c>
    </row>
    <row r="521" spans="1:14">
      <c r="A521" s="4" t="s">
        <v>206</v>
      </c>
      <c r="B521" s="4">
        <v>2009</v>
      </c>
      <c r="C521" s="5">
        <v>3206936280</v>
      </c>
      <c r="D521" s="8">
        <f>SUMPRODUCT(N(Tabela3[PAPEL]=Tabela2[[#This Row],[Ativo]]),Tabela3[Total Ações])</f>
        <v>1107677313</v>
      </c>
      <c r="E521" s="64">
        <f>(Tabela2[[#This Row],[Lucro Líquido]])/Tabela2[[#This Row],[Total Ações]]</f>
        <v>2.8951900001584669</v>
      </c>
      <c r="F521" s="64">
        <v>0.77659999999999996</v>
      </c>
      <c r="G521" s="44">
        <f>IF(AND(Tabela2[[#This Row],[Dividendo / Ação]]&gt;0,Tabela2[[#This Row],[Lucro por ação]]&gt;0),Tabela2[[#This Row],[Dividendo / Ação]]/Tabela2[[#This Row],[Lucro por ação]],"")</f>
        <v>0.26823800854434188</v>
      </c>
      <c r="H521" s="6">
        <f>MAX(Tabela2[[#This Row],[Cotação 1]],Tabela2[[#This Row],[Cotação 2]])</f>
        <v>5.7</v>
      </c>
      <c r="I521" s="19">
        <f>IF(Tabela2[[#This Row],[Dividendo / Ação]]&gt;0,Tabela2[[#This Row],[Dividendo / Ação]]/Tabela2[[#This Row],[Cotação]],"")</f>
        <v>0.1362456140350877</v>
      </c>
      <c r="J521" s="59">
        <f>SUMPRODUCT(N(Tabela1[Código]=Tabela2[[#This Row],[Ativo]]),Tabela1[Fechamento])</f>
        <v>5.7</v>
      </c>
      <c r="K521" s="59">
        <f>SUMPRODUCT(N(Tabela17[Código]=Tabela2[[#This Row],[Ativo]]),Tabela17[Fechamento])</f>
        <v>0</v>
      </c>
      <c r="L521" s="59">
        <f>SUMPRODUCT(N([Ativo]=Tabela2[[#This Row],[Ativo]]),N([Exercício]=Tabela2[[#This Row],[Exercício]]-1),[Lucro Líquido])</f>
        <v>0</v>
      </c>
      <c r="M521" s="19" t="str">
        <f>IF(Tabela2[[#This Row],[Lucro Anterior]]=0,"",IF(Tabela2[[#This Row],[Lucro Líquido]]&gt;0,Tabela2[[#This Row],[Lucro Líquido]]/Tabela2[[#This Row],[Lucro Anterior]]-1,0))</f>
        <v/>
      </c>
    </row>
    <row r="522" spans="1:14">
      <c r="A522" s="4" t="s">
        <v>56</v>
      </c>
      <c r="B522" s="4">
        <v>2012</v>
      </c>
      <c r="C522" s="6">
        <v>589182430.70000005</v>
      </c>
      <c r="D522" s="8">
        <f>SUMPRODUCT(N(Tabela3[PAPEL]=Tabela2[[#This Row],[Ativo]]),Tabela3[Total Ações])</f>
        <v>1033496721</v>
      </c>
      <c r="E522" s="64">
        <f>(Tabela2[[#This Row],[Lucro Líquido]])/Tabela2[[#This Row],[Total Ações]]</f>
        <v>0.57008640543137246</v>
      </c>
      <c r="F522" s="64">
        <v>1.51</v>
      </c>
      <c r="G522" s="44">
        <f>IF(AND(Tabela2[[#This Row],[Dividendo / Ação]]&gt;0,Tabela2[[#This Row],[Lucro por ação]]&gt;0),Tabela2[[#This Row],[Dividendo / Ação]]/Tabela2[[#This Row],[Lucro por ação]],"")</f>
        <v>2.6487212913933891</v>
      </c>
      <c r="H522" s="6">
        <f>MAX(Tabela2[[#This Row],[Cotação 1]],Tabela2[[#This Row],[Cotação 2]])</f>
        <v>17.96</v>
      </c>
      <c r="I522" s="19">
        <f>IF(Tabela2[[#This Row],[Dividendo / Ação]]&gt;0,Tabela2[[#This Row],[Dividendo / Ação]]/Tabela2[[#This Row],[Cotação]],"")</f>
        <v>8.4075723830734958E-2</v>
      </c>
      <c r="J522" s="59">
        <f>SUMPRODUCT(N(Tabela1[Código]=Tabela2[[#This Row],[Ativo]]),Tabela1[Fechamento])</f>
        <v>17.96</v>
      </c>
      <c r="K522" s="59">
        <f>SUMPRODUCT(N(Tabela17[Código]=Tabela2[[#This Row],[Ativo]]),Tabela17[Fechamento])</f>
        <v>0</v>
      </c>
      <c r="L522" s="59">
        <f>SUMPRODUCT(N([Ativo]=Tabela2[[#This Row],[Ativo]]),N([Exercício]=Tabela2[[#This Row],[Exercício]]-1),[Lucro Líquido])</f>
        <v>495399428.38999999</v>
      </c>
      <c r="M522" s="19">
        <f>IF(Tabela2[[#This Row],[Lucro Anterior]]=0,"",IF(Tabela2[[#This Row],[Lucro Líquido]]&gt;0,Tabela2[[#This Row],[Lucro Líquido]]/Tabela2[[#This Row],[Lucro Anterior]]-1,0))</f>
        <v>0.18930785329079947</v>
      </c>
    </row>
    <row r="523" spans="1:14">
      <c r="A523" s="4" t="s">
        <v>56</v>
      </c>
      <c r="B523" s="4">
        <v>2011</v>
      </c>
      <c r="C523" s="6">
        <v>495399428.38999999</v>
      </c>
      <c r="D523" s="8">
        <f>SUMPRODUCT(N(Tabela3[PAPEL]=Tabela2[[#This Row],[Ativo]]),Tabela3[Total Ações])</f>
        <v>1033496721</v>
      </c>
      <c r="E523" s="64">
        <f>(Tabela2[[#This Row],[Lucro Líquido]])/Tabela2[[#This Row],[Total Ações]]</f>
        <v>0.47934300934274565</v>
      </c>
      <c r="F523" s="64">
        <v>1.88</v>
      </c>
      <c r="G523" s="44">
        <f>IF(AND(Tabela2[[#This Row],[Dividendo / Ação]]&gt;0,Tabela2[[#This Row],[Lucro por ação]]&gt;0),Tabela2[[#This Row],[Dividendo / Ação]]/Tabela2[[#This Row],[Lucro por ação]],"")</f>
        <v>3.9220348755638983</v>
      </c>
      <c r="H523" s="6">
        <f>MAX(Tabela2[[#This Row],[Cotação 1]],Tabela2[[#This Row],[Cotação 2]])</f>
        <v>17.96</v>
      </c>
      <c r="I523" s="19">
        <f>IF(Tabela2[[#This Row],[Dividendo / Ação]]&gt;0,Tabela2[[#This Row],[Dividendo / Ação]]/Tabela2[[#This Row],[Cotação]],"")</f>
        <v>0.10467706013363028</v>
      </c>
      <c r="J523" s="59">
        <f>SUMPRODUCT(N(Tabela1[Código]=Tabela2[[#This Row],[Ativo]]),Tabela1[Fechamento])</f>
        <v>17.96</v>
      </c>
      <c r="K523" s="59">
        <f>SUMPRODUCT(N(Tabela17[Código]=Tabela2[[#This Row],[Ativo]]),Tabela17[Fechamento])</f>
        <v>0</v>
      </c>
      <c r="L523" s="59">
        <f>SUMPRODUCT(N([Ativo]=Tabela2[[#This Row],[Ativo]]),N([Exercício]=Tabela2[[#This Row],[Exercício]]-1),[Lucro Líquido])</f>
        <v>428630102.26999998</v>
      </c>
      <c r="M523" s="19">
        <f>IF(Tabela2[[#This Row],[Lucro Anterior]]=0,"",IF(Tabela2[[#This Row],[Lucro Líquido]]&gt;0,Tabela2[[#This Row],[Lucro Líquido]]/Tabela2[[#This Row],[Lucro Anterior]]-1,0))</f>
        <v>0.15577376802607557</v>
      </c>
    </row>
    <row r="524" spans="1:14">
      <c r="A524" s="4" t="s">
        <v>56</v>
      </c>
      <c r="B524" s="4">
        <v>2010</v>
      </c>
      <c r="C524" s="6">
        <v>428630102.26999998</v>
      </c>
      <c r="D524" s="8">
        <f>SUMPRODUCT(N(Tabela3[PAPEL]=Tabela2[[#This Row],[Ativo]]),Tabela3[Total Ações])</f>
        <v>1033496721</v>
      </c>
      <c r="E524" s="64">
        <f>(Tabela2[[#This Row],[Lucro Líquido]])/Tabela2[[#This Row],[Total Ações]]</f>
        <v>0.41473774764883842</v>
      </c>
      <c r="F524" s="64">
        <v>1.63</v>
      </c>
      <c r="G524" s="44">
        <f>IF(AND(Tabela2[[#This Row],[Dividendo / Ação]]&gt;0,Tabela2[[#This Row],[Lucro por ação]]&gt;0),Tabela2[[#This Row],[Dividendo / Ação]]/Tabela2[[#This Row],[Lucro por ação]],"")</f>
        <v>3.9301944644308895</v>
      </c>
      <c r="H524" s="6">
        <f>MAX(Tabela2[[#This Row],[Cotação 1]],Tabela2[[#This Row],[Cotação 2]])</f>
        <v>17.96</v>
      </c>
      <c r="I524" s="19">
        <f>IF(Tabela2[[#This Row],[Dividendo / Ação]]&gt;0,Tabela2[[#This Row],[Dividendo / Ação]]/Tabela2[[#This Row],[Cotação]],"")</f>
        <v>9.075723830734965E-2</v>
      </c>
      <c r="J524" s="59">
        <f>SUMPRODUCT(N(Tabela1[Código]=Tabela2[[#This Row],[Ativo]]),Tabela1[Fechamento])</f>
        <v>17.96</v>
      </c>
      <c r="K524" s="59">
        <f>SUMPRODUCT(N(Tabela17[Código]=Tabela2[[#This Row],[Ativo]]),Tabela17[Fechamento])</f>
        <v>0</v>
      </c>
      <c r="L524" s="59">
        <f>SUMPRODUCT(N([Ativo]=Tabela2[[#This Row],[Ativo]]),N([Exercício]=Tabela2[[#This Row],[Exercício]]-1),[Lucro Líquido])</f>
        <v>287794829.95999998</v>
      </c>
      <c r="M524" s="19">
        <f>IF(Tabela2[[#This Row],[Lucro Anterior]]=0,"",IF(Tabela2[[#This Row],[Lucro Líquido]]&gt;0,Tabela2[[#This Row],[Lucro Líquido]]/Tabela2[[#This Row],[Lucro Anterior]]-1,0))</f>
        <v>0.48935998026640859</v>
      </c>
    </row>
    <row r="525" spans="1:14">
      <c r="A525" s="4" t="s">
        <v>56</v>
      </c>
      <c r="B525" s="4">
        <v>2009</v>
      </c>
      <c r="C525" s="6">
        <v>287794829.95999998</v>
      </c>
      <c r="D525" s="8">
        <f>SUMPRODUCT(N(Tabela3[PAPEL]=Tabela2[[#This Row],[Ativo]]),Tabela3[Total Ações])</f>
        <v>1033496721</v>
      </c>
      <c r="E525" s="64">
        <f>(Tabela2[[#This Row],[Lucro Líquido]])/Tabela2[[#This Row],[Total Ações]]</f>
        <v>0.2784670953590766</v>
      </c>
      <c r="F525" s="64">
        <v>1.0900000000000001</v>
      </c>
      <c r="G525" s="44">
        <f>IF(AND(Tabela2[[#This Row],[Dividendo / Ação]]&gt;0,Tabela2[[#This Row],[Lucro por ação]]&gt;0),Tabela2[[#This Row],[Dividendo / Ação]]/Tabela2[[#This Row],[Lucro por ação]],"")</f>
        <v>3.9142865285195416</v>
      </c>
      <c r="H525" s="6">
        <f>MAX(Tabela2[[#This Row],[Cotação 1]],Tabela2[[#This Row],[Cotação 2]])</f>
        <v>17.96</v>
      </c>
      <c r="I525" s="19">
        <f>IF(Tabela2[[#This Row],[Dividendo / Ação]]&gt;0,Tabela2[[#This Row],[Dividendo / Ação]]/Tabela2[[#This Row],[Cotação]],"")</f>
        <v>6.0690423162583523E-2</v>
      </c>
      <c r="J525" s="59">
        <f>SUMPRODUCT(N(Tabela1[Código]=Tabela2[[#This Row],[Ativo]]),Tabela1[Fechamento])</f>
        <v>17.96</v>
      </c>
      <c r="K525" s="59">
        <f>SUMPRODUCT(N(Tabela17[Código]=Tabela2[[#This Row],[Ativo]]),Tabela17[Fechamento])</f>
        <v>0</v>
      </c>
      <c r="L525" s="59">
        <f>SUMPRODUCT(N([Ativo]=Tabela2[[#This Row],[Ativo]]),N([Exercício]=Tabela2[[#This Row],[Exercício]]-1),[Lucro Líquido])</f>
        <v>0</v>
      </c>
      <c r="M525" s="19" t="str">
        <f>IF(Tabela2[[#This Row],[Lucro Anterior]]=0,"",IF(Tabela2[[#This Row],[Lucro Líquido]]&gt;0,Tabela2[[#This Row],[Lucro Líquido]]/Tabela2[[#This Row],[Lucro Anterior]]-1,0))</f>
        <v/>
      </c>
    </row>
    <row r="526" spans="1:14">
      <c r="A526" s="4" t="s">
        <v>192</v>
      </c>
      <c r="B526" s="4">
        <v>2012</v>
      </c>
      <c r="C526" s="6">
        <v>1499500000</v>
      </c>
      <c r="D526" s="8">
        <f>SUMPRODUCT(N(Tabela3[PAPEL]=Tabela2[[#This Row],[Ativo]]),Tabela3[Total Ações])</f>
        <v>652742192</v>
      </c>
      <c r="E526" s="64">
        <f>(Tabela2[[#This Row],[Lucro Líquido]])/Tabela2[[#This Row],[Total Ações]]</f>
        <v>2.2972316151427821</v>
      </c>
      <c r="F526" s="64">
        <v>2.3690660666999999</v>
      </c>
      <c r="G526" s="44">
        <f>IF(AND(Tabela2[[#This Row],[Dividendo / Ação]]&gt;0,Tabela2[[#This Row],[Lucro por ação]]&gt;0),Tabela2[[#This Row],[Dividendo / Ação]]/Tabela2[[#This Row],[Lucro por ação]],"")</f>
        <v>1.0312700082498008</v>
      </c>
      <c r="H526" s="6">
        <f>MAX(Tabela2[[#This Row],[Cotação 1]],Tabela2[[#This Row],[Cotação 2]])</f>
        <v>35.25</v>
      </c>
      <c r="I526" s="19">
        <f>IF(Tabela2[[#This Row],[Dividendo / Ação]]&gt;0,Tabela2[[#This Row],[Dividendo / Ação]]/Tabela2[[#This Row],[Cotação]],"")</f>
        <v>6.7207547991489355E-2</v>
      </c>
      <c r="J526" s="59">
        <f>SUMPRODUCT(N(Tabela1[Código]=Tabela2[[#This Row],[Ativo]]),Tabela1[Fechamento])</f>
        <v>35.25</v>
      </c>
      <c r="K526" s="59">
        <f>SUMPRODUCT(N(Tabela17[Código]=Tabela2[[#This Row],[Ativo]]),Tabela17[Fechamento])</f>
        <v>0</v>
      </c>
      <c r="L526" s="59">
        <f>SUMPRODUCT(N([Ativo]=Tabela2[[#This Row],[Ativo]]),N([Exercício]=Tabela2[[#This Row],[Exercício]]-1),[Lucro Líquido])</f>
        <v>1447636528</v>
      </c>
      <c r="M526" s="19">
        <f>IF(Tabela2[[#This Row],[Lucro Anterior]]=0,"",IF(Tabela2[[#This Row],[Lucro Líquido]]&gt;0,Tabela2[[#This Row],[Lucro Líquido]]/Tabela2[[#This Row],[Lucro Anterior]]-1,0))</f>
        <v>3.5826307914219813E-2</v>
      </c>
    </row>
    <row r="527" spans="1:14">
      <c r="A527" s="4" t="s">
        <v>192</v>
      </c>
      <c r="B527" s="4">
        <v>2011</v>
      </c>
      <c r="C527" s="6">
        <v>1447636528</v>
      </c>
      <c r="D527" s="8">
        <f>SUMPRODUCT(N(Tabela3[PAPEL]=Tabela2[[#This Row],[Ativo]]),Tabela3[Total Ações])</f>
        <v>652742192</v>
      </c>
      <c r="E527" s="64">
        <f>(Tabela2[[#This Row],[Lucro Líquido]])/Tabela2[[#This Row],[Total Ações]]</f>
        <v>2.2177768585242608</v>
      </c>
      <c r="F527" s="64">
        <v>2.1897556102000002</v>
      </c>
      <c r="G527" s="44">
        <f>IF(AND(Tabela2[[#This Row],[Dividendo / Ação]]&gt;0,Tabela2[[#This Row],[Lucro por ação]]&gt;0),Tabela2[[#This Row],[Dividendo / Ação]]/Tabela2[[#This Row],[Lucro por ação]],"")</f>
        <v>0.98736516335421309</v>
      </c>
      <c r="H527" s="6">
        <f>MAX(Tabela2[[#This Row],[Cotação 1]],Tabela2[[#This Row],[Cotação 2]])</f>
        <v>35.25</v>
      </c>
      <c r="I527" s="19">
        <f>IF(Tabela2[[#This Row],[Dividendo / Ação]]&gt;0,Tabela2[[#This Row],[Dividendo / Ação]]/Tabela2[[#This Row],[Cotação]],"")</f>
        <v>6.212072653049646E-2</v>
      </c>
      <c r="J527" s="59">
        <f>SUMPRODUCT(N(Tabela1[Código]=Tabela2[[#This Row],[Ativo]]),Tabela1[Fechamento])</f>
        <v>35.25</v>
      </c>
      <c r="K527" s="59">
        <f>SUMPRODUCT(N(Tabela17[Código]=Tabela2[[#This Row],[Ativo]]),Tabela17[Fechamento])</f>
        <v>0</v>
      </c>
      <c r="L527" s="59">
        <f>SUMPRODUCT(N([Ativo]=Tabela2[[#This Row],[Ativo]]),N([Exercício]=Tabela2[[#This Row],[Exercício]]-1),[Lucro Líquido])</f>
        <v>1211648449</v>
      </c>
      <c r="M527" s="19">
        <f>IF(Tabela2[[#This Row],[Lucro Anterior]]=0,"",IF(Tabela2[[#This Row],[Lucro Líquido]]&gt;0,Tabela2[[#This Row],[Lucro Líquido]]/Tabela2[[#This Row],[Lucro Anterior]]-1,0))</f>
        <v>0.19476612972580143</v>
      </c>
      <c r="N527" s="67">
        <f>4.8755*Tabela2[[#This Row],[Total Ações]]</f>
        <v>3182444557.0959997</v>
      </c>
    </row>
    <row r="528" spans="1:14">
      <c r="A528" s="4" t="s">
        <v>192</v>
      </c>
      <c r="B528" s="4">
        <v>2010</v>
      </c>
      <c r="C528" s="6">
        <v>1211648449</v>
      </c>
      <c r="D528" s="8">
        <f>SUMPRODUCT(N(Tabela3[PAPEL]=Tabela2[[#This Row],[Ativo]]),Tabela3[Total Ações])</f>
        <v>652742192</v>
      </c>
      <c r="E528" s="64">
        <f>(Tabela2[[#This Row],[Lucro Líquido]])/Tabela2[[#This Row],[Total Ações]]</f>
        <v>1.8562434968199513</v>
      </c>
      <c r="F528" s="64">
        <v>1.0178134248999999</v>
      </c>
      <c r="G528" s="44">
        <f>IF(AND(Tabela2[[#This Row],[Dividendo / Ação]]&gt;0,Tabela2[[#This Row],[Lucro por ação]]&gt;0),Tabela2[[#This Row],[Dividendo / Ação]]/Tabela2[[#This Row],[Lucro por ação]],"")</f>
        <v>0.5483189175577885</v>
      </c>
      <c r="H528" s="6">
        <f>MAX(Tabela2[[#This Row],[Cotação 1]],Tabela2[[#This Row],[Cotação 2]])</f>
        <v>35.25</v>
      </c>
      <c r="I528" s="19">
        <f>IF(Tabela2[[#This Row],[Dividendo / Ação]]&gt;0,Tabela2[[#This Row],[Dividendo / Ação]]/Tabela2[[#This Row],[Cotação]],"")</f>
        <v>2.8874139713475175E-2</v>
      </c>
      <c r="J528" s="59">
        <f>SUMPRODUCT(N(Tabela1[Código]=Tabela2[[#This Row],[Ativo]]),Tabela1[Fechamento])</f>
        <v>35.25</v>
      </c>
      <c r="K528" s="59">
        <f>SUMPRODUCT(N(Tabela17[Código]=Tabela2[[#This Row],[Ativo]]),Tabela17[Fechamento])</f>
        <v>0</v>
      </c>
      <c r="L528" s="59">
        <f>SUMPRODUCT(N([Ativo]=Tabela2[[#This Row],[Ativo]]),N([Exercício]=Tabela2[[#This Row],[Exercício]]-1),[Lucro Líquido])</f>
        <v>0</v>
      </c>
      <c r="M528" s="19" t="str">
        <f>IF(Tabela2[[#This Row],[Lucro Anterior]]=0,"",IF(Tabela2[[#This Row],[Lucro Líquido]]&gt;0,Tabela2[[#This Row],[Lucro Líquido]]/Tabela2[[#This Row],[Lucro Anterior]]-1,0))</f>
        <v/>
      </c>
    </row>
    <row r="529" spans="1:14">
      <c r="A529" s="4" t="s">
        <v>79</v>
      </c>
      <c r="B529" s="4">
        <v>2012</v>
      </c>
      <c r="C529" s="6"/>
      <c r="D529" s="8">
        <f>SUMPRODUCT(N(Tabela3[PAPEL]=Tabela2[[#This Row],[Ativo]]),Tabela3[Total Ações])</f>
        <v>817720079</v>
      </c>
      <c r="E529" s="64">
        <f>(Tabela2[[#This Row],[Lucro Líquido]])/Tabela2[[#This Row],[Total Ações]]</f>
        <v>0</v>
      </c>
      <c r="F529" s="64">
        <v>0</v>
      </c>
      <c r="G529" s="44" t="str">
        <f>IF(AND(Tabela2[[#This Row],[Dividendo / Ação]]&gt;0,Tabela2[[#This Row],[Lucro por ação]]&gt;0),Tabela2[[#This Row],[Dividendo / Ação]]/Tabela2[[#This Row],[Lucro por ação]],"")</f>
        <v/>
      </c>
      <c r="H529" s="13">
        <f>MAX(Tabela2[[#This Row],[Cotação 1]],Tabela2[[#This Row],[Cotação 2]])</f>
        <v>2.44</v>
      </c>
      <c r="I529" s="19" t="str">
        <f>IF(Tabela2[[#This Row],[Dividendo / Ação]]&gt;0,Tabela2[[#This Row],[Dividendo / Ação]]/Tabela2[[#This Row],[Cotação]],"")</f>
        <v/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2.44</v>
      </c>
      <c r="L529" s="17">
        <f>SUMPRODUCT(N([Ativo]=Tabela2[[#This Row],[Ativo]]),N([Exercício]=Tabela2[[#This Row],[Exercício]]-1),[Lucro Líquido])</f>
        <v>166896668.09999999</v>
      </c>
      <c r="M529" s="19">
        <f>IF(Tabela2[[#This Row],[Lucro Anterior]]=0,"",IF(Tabela2[[#This Row],[Lucro Líquido]]&gt;0,Tabela2[[#This Row],[Lucro Líquido]]/Tabela2[[#This Row],[Lucro Anterior]]-1,0))</f>
        <v>0</v>
      </c>
    </row>
    <row r="530" spans="1:14">
      <c r="A530" s="4" t="s">
        <v>79</v>
      </c>
      <c r="B530" s="4">
        <v>2011</v>
      </c>
      <c r="C530" s="6">
        <v>166896668.09999999</v>
      </c>
      <c r="D530" s="8">
        <f>SUMPRODUCT(N(Tabela3[PAPEL]=Tabela2[[#This Row],[Ativo]]),Tabela3[Total Ações])</f>
        <v>817720079</v>
      </c>
      <c r="E530" s="64">
        <f>(Tabela2[[#This Row],[Lucro Líquido]])/Tabela2[[#This Row],[Total Ações]]</f>
        <v>0.20409999997077238</v>
      </c>
      <c r="F530" s="64">
        <v>6.6000000000000003E-2</v>
      </c>
      <c r="G530" s="44">
        <f>IF(AND(Tabela2[[#This Row],[Dividendo / Ação]]&gt;0,Tabela2[[#This Row],[Lucro por ação]]&gt;0),Tabela2[[#This Row],[Dividendo / Ação]]/Tabela2[[#This Row],[Lucro por ação]],"")</f>
        <v>0.32337089666561175</v>
      </c>
      <c r="H530" s="13">
        <f>MAX(Tabela2[[#This Row],[Cotação 1]],Tabela2[[#This Row],[Cotação 2]])</f>
        <v>2.44</v>
      </c>
      <c r="I530" s="19">
        <f>IF(Tabela2[[#This Row],[Dividendo / Ação]]&gt;0,Tabela2[[#This Row],[Dividendo / Ação]]/Tabela2[[#This Row],[Cotação]],"")</f>
        <v>2.7049180327868853E-2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2.44</v>
      </c>
      <c r="L530" s="17">
        <f>SUMPRODUCT(N([Ativo]=Tabela2[[#This Row],[Ativo]]),N([Exercício]=Tabela2[[#This Row],[Exercício]]-1),[Lucro Líquido])</f>
        <v>234522118.69999999</v>
      </c>
      <c r="M530" s="19">
        <f>IF(Tabela2[[#This Row],[Lucro Anterior]]=0,"",IF(Tabela2[[#This Row],[Lucro Líquido]]&gt;0,Tabela2[[#This Row],[Lucro Líquido]]/Tabela2[[#This Row],[Lucro Anterior]]-1,0))</f>
        <v>-0.28835425406720927</v>
      </c>
    </row>
    <row r="531" spans="1:14">
      <c r="A531" s="4" t="s">
        <v>79</v>
      </c>
      <c r="B531" s="4">
        <v>2010</v>
      </c>
      <c r="C531" s="77">
        <v>234522118.69999999</v>
      </c>
      <c r="D531" s="8">
        <f>SUMPRODUCT(N(Tabela3[PAPEL]=Tabela2[[#This Row],[Ativo]]),Tabela3[Total Ações])</f>
        <v>817720079</v>
      </c>
      <c r="E531" s="64">
        <f>(Tabela2[[#This Row],[Lucro Líquido]])/Tabela2[[#This Row],[Total Ações]]</f>
        <v>0.28680000005234063</v>
      </c>
      <c r="F531" s="64">
        <v>6.6400000000000001E-2</v>
      </c>
      <c r="G531" s="44">
        <f>IF(AND(Tabela2[[#This Row],[Dividendo / Ação]]&gt;0,Tabela2[[#This Row],[Lucro por ação]]&gt;0),Tabela2[[#This Row],[Dividendo / Ação]]/Tabela2[[#This Row],[Lucro por ação]],"")</f>
        <v>0.23152022310977016</v>
      </c>
      <c r="H531" s="13">
        <f>MAX(Tabela2[[#This Row],[Cotação 1]],Tabela2[[#This Row],[Cotação 2]])</f>
        <v>2.44</v>
      </c>
      <c r="I531" s="19">
        <f>IF(Tabela2[[#This Row],[Dividendo / Ação]]&gt;0,Tabela2[[#This Row],[Dividendo / Ação]]/Tabela2[[#This Row],[Cotação]],"")</f>
        <v>2.721311475409836E-2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2.44</v>
      </c>
      <c r="L531" s="17">
        <f>SUMPRODUCT(N([Ativo]=Tabela2[[#This Row],[Ativo]]),N([Exercício]=Tabela2[[#This Row],[Exercício]]-1),[Lucro Líquido])</f>
        <v>106303610.3</v>
      </c>
      <c r="M531" s="19">
        <f>IF(Tabela2[[#This Row],[Lucro Anterior]]=0,"",IF(Tabela2[[#This Row],[Lucro Líquido]]&gt;0,Tabela2[[#This Row],[Lucro Líquido]]/Tabela2[[#This Row],[Lucro Anterior]]-1,0))</f>
        <v>1.2061538459338665</v>
      </c>
    </row>
    <row r="532" spans="1:14">
      <c r="A532" s="4" t="s">
        <v>79</v>
      </c>
      <c r="B532" s="4">
        <v>2009</v>
      </c>
      <c r="C532" s="6">
        <v>106303610.3</v>
      </c>
      <c r="D532" s="8">
        <f>SUMPRODUCT(N(Tabela3[PAPEL]=Tabela2[[#This Row],[Ativo]]),Tabela3[Total Ações])</f>
        <v>817720079</v>
      </c>
      <c r="E532" s="64">
        <f>(Tabela2[[#This Row],[Lucro Líquido]])/Tabela2[[#This Row],[Total Ações]]</f>
        <v>0.13000000003668738</v>
      </c>
      <c r="F532" s="64">
        <v>0</v>
      </c>
      <c r="G532" s="44" t="str">
        <f>IF(AND(Tabela2[[#This Row],[Dividendo / Ação]]&gt;0,Tabela2[[#This Row],[Lucro por ação]]&gt;0),Tabela2[[#This Row],[Dividendo / Ação]]/Tabela2[[#This Row],[Lucro por ação]],"")</f>
        <v/>
      </c>
      <c r="H532" s="13">
        <f>MAX(Tabela2[[#This Row],[Cotação 1]],Tabela2[[#This Row],[Cotação 2]])</f>
        <v>2.44</v>
      </c>
      <c r="I532" s="19" t="str">
        <f>IF(Tabela2[[#This Row],[Dividendo / Ação]]&gt;0,Tabela2[[#This Row],[Dividendo / Ação]]/Tabela2[[#This Row],[Cotação]],"")</f>
        <v/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2.44</v>
      </c>
      <c r="L532" s="17">
        <f>SUMPRODUCT(N([Ativo]=Tabela2[[#This Row],[Ativo]]),N([Exercício]=Tabela2[[#This Row],[Exercício]]-1),[Lucro Líquido])</f>
        <v>0</v>
      </c>
      <c r="M532" s="19" t="str">
        <f>IF(Tabela2[[#This Row],[Lucro Anterior]]=0,"",IF(Tabela2[[#This Row],[Lucro Líquido]]&gt;0,Tabela2[[#This Row],[Lucro Líquido]]/Tabela2[[#This Row],[Lucro Anterior]]-1,0))</f>
        <v/>
      </c>
    </row>
    <row r="533" spans="1:14">
      <c r="A533" s="3" t="s">
        <v>319</v>
      </c>
      <c r="B533" s="3">
        <v>2012</v>
      </c>
      <c r="C533" s="77"/>
      <c r="D533" s="60">
        <f>SUMPRODUCT(N(Tabela3[PAPEL]=Tabela2[[#This Row],[Ativo]]),Tabela3[Total Ações])</f>
        <v>2417632647</v>
      </c>
      <c r="E533" s="63">
        <f>(Tabela2[[#This Row],[Lucro Líquido]])/Tabela2[[#This Row],[Total Ações]]</f>
        <v>0</v>
      </c>
      <c r="F533" s="63"/>
      <c r="G533" s="22" t="str">
        <f>IF(AND(Tabela2[[#This Row],[Dividendo / Ação]]&gt;0,Tabela2[[#This Row],[Lucro por ação]]&gt;0),Tabela2[[#This Row],[Dividendo / Ação]]/Tabela2[[#This Row],[Lucro por ação]],"")</f>
        <v/>
      </c>
      <c r="H533" s="49">
        <f>MAX(Tabela2[[#This Row],[Cotação 1]],Tabela2[[#This Row],[Cotação 2]])</f>
        <v>13.26</v>
      </c>
      <c r="I533" s="18" t="str">
        <f>IF(Tabela2[[#This Row],[Dividendo / Ação]]&gt;0,Tabela2[[#This Row],[Dividendo / Ação]]/Tabela2[[#This Row],[Cotação]],"")</f>
        <v/>
      </c>
      <c r="J533" s="7">
        <f>SUMPRODUCT(N(Tabela1[Código]=Tabela2[[#This Row],[Ativo]]),Tabela1[Fechamento])</f>
        <v>0</v>
      </c>
      <c r="K533" s="7">
        <f>SUMPRODUCT(N(Tabela17[Código]=Tabela2[[#This Row],[Ativo]]),Tabela17[Fechamento])</f>
        <v>13.26</v>
      </c>
      <c r="L533" s="7">
        <f>SUMPRODUCT(N([Ativo]=Tabela2[[#This Row],[Ativo]]),N([Exercício]=Tabela2[[#This Row],[Exercício]]-1),[Lucro Líquido])</f>
        <v>1281227722.3699999</v>
      </c>
      <c r="M533" s="18">
        <f>IF(Tabela2[[#This Row],[Lucro Anterior]]=0,"",IF(Tabela2[[#This Row],[Lucro Líquido]]&gt;0,Tabela2[[#This Row],[Lucro Líquido]]/Tabela2[[#This Row],[Lucro Anterior]]-1,0))</f>
        <v>0</v>
      </c>
    </row>
    <row r="534" spans="1:14">
      <c r="A534" s="3" t="s">
        <v>319</v>
      </c>
      <c r="B534" s="3">
        <v>2011</v>
      </c>
      <c r="C534" s="5">
        <v>1281227722.3699999</v>
      </c>
      <c r="D534" s="60">
        <f>SUMPRODUCT(N(Tabela3[PAPEL]=Tabela2[[#This Row],[Ativo]]),Tabela3[Total Ações])</f>
        <v>2417632647</v>
      </c>
      <c r="E534" s="63">
        <f>(Tabela2[[#This Row],[Lucro Líquido]])/Tabela2[[#This Row],[Total Ações]]</f>
        <v>0.52995136542346666</v>
      </c>
      <c r="F534" s="63">
        <v>0.22</v>
      </c>
      <c r="G534" s="22">
        <f>IF(AND(Tabela2[[#This Row],[Dividendo / Ação]]&gt;0,Tabela2[[#This Row],[Lucro por ação]]&gt;0),Tabela2[[#This Row],[Dividendo / Ação]]/Tabela2[[#This Row],[Lucro por ação]],"")</f>
        <v>0.41513243356624857</v>
      </c>
      <c r="H534" s="49">
        <f>MAX(Tabela2[[#This Row],[Cotação 1]],Tabela2[[#This Row],[Cotação 2]])</f>
        <v>13.26</v>
      </c>
      <c r="I534" s="18">
        <f>IF(Tabela2[[#This Row],[Dividendo / Ação]]&gt;0,Tabela2[[#This Row],[Dividendo / Ação]]/Tabela2[[#This Row],[Cotação]],"")</f>
        <v>1.6591251885369532E-2</v>
      </c>
      <c r="J534" s="7">
        <f>SUMPRODUCT(N(Tabela1[Código]=Tabela2[[#This Row],[Ativo]]),Tabela1[Fechamento])</f>
        <v>0</v>
      </c>
      <c r="K534" s="7">
        <f>SUMPRODUCT(N(Tabela17[Código]=Tabela2[[#This Row],[Ativo]]),Tabela17[Fechamento])</f>
        <v>13.26</v>
      </c>
      <c r="L534" s="7">
        <f>SUMPRODUCT(N([Ativo]=Tabela2[[#This Row],[Ativo]]),N([Exercício]=Tabela2[[#This Row],[Exercício]]-1),[Lucro Líquido])</f>
        <v>2216909132.75</v>
      </c>
      <c r="M534" s="18">
        <f>IF(Tabela2[[#This Row],[Lucro Anterior]]=0,"",IF(Tabela2[[#This Row],[Lucro Líquido]]&gt;0,Tabela2[[#This Row],[Lucro Líquido]]/Tabela2[[#This Row],[Lucro Anterior]]-1,0))</f>
        <v>-0.4220657475569688</v>
      </c>
    </row>
    <row r="535" spans="1:14">
      <c r="A535" s="3" t="s">
        <v>319</v>
      </c>
      <c r="B535" s="3">
        <v>2010</v>
      </c>
      <c r="C535" s="5">
        <v>2216909132.75</v>
      </c>
      <c r="D535" s="60">
        <f>SUMPRODUCT(N(Tabela3[PAPEL]=Tabela2[[#This Row],[Ativo]]),Tabela3[Total Ações])</f>
        <v>2417632647</v>
      </c>
      <c r="E535" s="63">
        <f>(Tabela2[[#This Row],[Lucro Líquido]])/Tabela2[[#This Row],[Total Ações]]</f>
        <v>0.9169751804522186</v>
      </c>
      <c r="F535" s="63">
        <v>0.2</v>
      </c>
      <c r="G535" s="22">
        <f>IF(AND(Tabela2[[#This Row],[Dividendo / Ação]]&gt;0,Tabela2[[#This Row],[Lucro por ação]]&gt;0),Tabela2[[#This Row],[Dividendo / Ação]]/Tabela2[[#This Row],[Lucro por ação]],"")</f>
        <v>0.21810841150724203</v>
      </c>
      <c r="H535" s="49">
        <f>MAX(Tabela2[[#This Row],[Cotação 1]],Tabela2[[#This Row],[Cotação 2]])</f>
        <v>13.26</v>
      </c>
      <c r="I535" s="18">
        <f>IF(Tabela2[[#This Row],[Dividendo / Ação]]&gt;0,Tabela2[[#This Row],[Dividendo / Ação]]/Tabela2[[#This Row],[Cotação]],"")</f>
        <v>1.508295625942685E-2</v>
      </c>
      <c r="J535" s="7">
        <f>SUMPRODUCT(N(Tabela1[Código]=Tabela2[[#This Row],[Ativo]]),Tabela1[Fechamento])</f>
        <v>0</v>
      </c>
      <c r="K535" s="7">
        <f>SUMPRODUCT(N(Tabela17[Código]=Tabela2[[#This Row],[Ativo]]),Tabela17[Fechamento])</f>
        <v>13.26</v>
      </c>
      <c r="L535" s="7">
        <f>SUMPRODUCT(N([Ativo]=Tabela2[[#This Row],[Ativo]]),N([Exercício]=Tabela2[[#This Row],[Exercício]]-1),[Lucro Líquido])</f>
        <v>0</v>
      </c>
      <c r="M535" s="18" t="str">
        <f>IF(Tabela2[[#This Row],[Lucro Anterior]]=0,"",IF(Tabela2[[#This Row],[Lucro Líquido]]&gt;0,Tabela2[[#This Row],[Lucro Líquido]]/Tabela2[[#This Row],[Lucro Anterior]]-1,0))</f>
        <v/>
      </c>
    </row>
    <row r="536" spans="1:14">
      <c r="A536" s="4" t="s">
        <v>379</v>
      </c>
      <c r="B536" s="4">
        <v>2012</v>
      </c>
      <c r="C536" s="6">
        <v>21385000</v>
      </c>
      <c r="D536" s="74">
        <f>SUMPRODUCT(N(Tabela3[PAPEL]=Tabela2[[#This Row],[Ativo]]),Tabela3[Total Ações])</f>
        <v>2857301</v>
      </c>
      <c r="E536" s="64">
        <f>(Tabela2[[#This Row],[Lucro Líquido]])/Tabela2[[#This Row],[Total Ações]]</f>
        <v>7.4843357420166789</v>
      </c>
      <c r="F536" s="64">
        <v>5.7389999999999999</v>
      </c>
      <c r="G536" s="43">
        <f>IF(AND(Tabela2[[#This Row],[Dividendo / Ação]]&gt;0,Tabela2[[#This Row],[Lucro por ação]]&gt;0),Tabela2[[#This Row],[Dividendo / Ação]]/Tabela2[[#This Row],[Lucro por ação]],"")</f>
        <v>0.76680151690437226</v>
      </c>
      <c r="H536" s="59">
        <f>MAX(Tabela2[[#This Row],[Cotação 1]],Tabela2[[#This Row],[Cotação 2]])</f>
        <v>88</v>
      </c>
      <c r="I536" s="44">
        <f>IF(Tabela2[[#This Row],[Dividendo / Ação]]&gt;0,Tabela2[[#This Row],[Dividendo / Ação]]/Tabela2[[#This Row],[Cotação]],"")</f>
        <v>6.5215909090909088E-2</v>
      </c>
      <c r="J536" s="17">
        <f>SUMPRODUCT(N(Tabela1[Código]=Tabela2[[#This Row],[Ativo]]),Tabela1[Fechamento])</f>
        <v>0</v>
      </c>
      <c r="K536" s="17">
        <f>SUMPRODUCT(N(Tabela17[Código]=Tabela2[[#This Row],[Ativo]]),Tabela17[Fechamento])</f>
        <v>88</v>
      </c>
      <c r="L536" s="17">
        <f>SUMPRODUCT(N([Ativo]=Tabela2[[#This Row],[Ativo]]),N([Exercício]=Tabela2[[#This Row],[Exercício]]-1),[Lucro Líquido])</f>
        <v>27650101.780000001</v>
      </c>
      <c r="M536" s="19">
        <f>IF(Tabela2[[#This Row],[Lucro Anterior]]=0,"",IF(Tabela2[[#This Row],[Lucro Líquido]]&gt;0,Tabela2[[#This Row],[Lucro Líquido]]/Tabela2[[#This Row],[Lucro Anterior]]-1,0))</f>
        <v>-0.22658512543095599</v>
      </c>
    </row>
    <row r="537" spans="1:14">
      <c r="A537" s="4" t="s">
        <v>379</v>
      </c>
      <c r="B537" s="4">
        <v>2011</v>
      </c>
      <c r="C537" s="6">
        <v>27650101.780000001</v>
      </c>
      <c r="D537" s="74">
        <f>SUMPRODUCT(N(Tabela3[PAPEL]=Tabela2[[#This Row],[Ativo]]),Tabela3[Total Ações])</f>
        <v>2857301</v>
      </c>
      <c r="E537" s="64">
        <f>(Tabela2[[#This Row],[Lucro Líquido]])/Tabela2[[#This Row],[Total Ações]]</f>
        <v>9.677000001049942</v>
      </c>
      <c r="F537" s="64">
        <v>9.48</v>
      </c>
      <c r="G537" s="43">
        <f>IF(AND(Tabela2[[#This Row],[Dividendo / Ação]]&gt;0,Tabela2[[#This Row],[Lucro por ação]]&gt;0),Tabela2[[#This Row],[Dividendo / Ação]]/Tabela2[[#This Row],[Lucro por ação]],"")</f>
        <v>0.97964245106659431</v>
      </c>
      <c r="H537" s="59">
        <f>MAX(Tabela2[[#This Row],[Cotação 1]],Tabela2[[#This Row],[Cotação 2]])</f>
        <v>88</v>
      </c>
      <c r="I537" s="44">
        <f>IF(Tabela2[[#This Row],[Dividendo / Ação]]&gt;0,Tabela2[[#This Row],[Dividendo / Ação]]/Tabela2[[#This Row],[Cotação]],"")</f>
        <v>0.10772727272727273</v>
      </c>
      <c r="J537" s="17">
        <f>SUMPRODUCT(N(Tabela1[Código]=Tabela2[[#This Row],[Ativo]]),Tabela1[Fechamento])</f>
        <v>0</v>
      </c>
      <c r="K537" s="17">
        <f>SUMPRODUCT(N(Tabela17[Código]=Tabela2[[#This Row],[Ativo]]),Tabela17[Fechamento])</f>
        <v>88</v>
      </c>
      <c r="L537" s="17">
        <f>SUMPRODUCT(N([Ativo]=Tabela2[[#This Row],[Ativo]]),N([Exercício]=Tabela2[[#This Row],[Exercício]]-1),[Lucro Líquido])</f>
        <v>27290081.850000001</v>
      </c>
      <c r="M537" s="19">
        <f>IF(Tabela2[[#This Row],[Lucro Anterior]]=0,"",IF(Tabela2[[#This Row],[Lucro Líquido]]&gt;0,Tabela2[[#This Row],[Lucro Líquido]]/Tabela2[[#This Row],[Lucro Anterior]]-1,0))</f>
        <v>1.3192336028116314E-2</v>
      </c>
    </row>
    <row r="538" spans="1:14">
      <c r="A538" s="4" t="s">
        <v>379</v>
      </c>
      <c r="B538" s="4">
        <v>2010</v>
      </c>
      <c r="C538" s="6">
        <v>27290081.850000001</v>
      </c>
      <c r="D538" s="74">
        <f>SUMPRODUCT(N(Tabela3[PAPEL]=Tabela2[[#This Row],[Ativo]]),Tabela3[Total Ações])</f>
        <v>2857301</v>
      </c>
      <c r="E538" s="64">
        <f>(Tabela2[[#This Row],[Lucro Líquido]])/Tabela2[[#This Row],[Total Ações]]</f>
        <v>9.5509999996500206</v>
      </c>
      <c r="F538" s="64">
        <v>6.27</v>
      </c>
      <c r="G538" s="43">
        <f>IF(AND(Tabela2[[#This Row],[Dividendo / Ação]]&gt;0,Tabela2[[#This Row],[Lucro por ação]]&gt;0),Tabela2[[#This Row],[Dividendo / Ação]]/Tabela2[[#This Row],[Lucro por ação]],"")</f>
        <v>0.65647576172440081</v>
      </c>
      <c r="H538" s="59">
        <f>MAX(Tabela2[[#This Row],[Cotação 1]],Tabela2[[#This Row],[Cotação 2]])</f>
        <v>88</v>
      </c>
      <c r="I538" s="44">
        <f>IF(Tabela2[[#This Row],[Dividendo / Ação]]&gt;0,Tabela2[[#This Row],[Dividendo / Ação]]/Tabela2[[#This Row],[Cotação]],"")</f>
        <v>7.1249999999999994E-2</v>
      </c>
      <c r="J538" s="17">
        <f>SUMPRODUCT(N(Tabela1[Código]=Tabela2[[#This Row],[Ativo]]),Tabela1[Fechamento])</f>
        <v>0</v>
      </c>
      <c r="K538" s="17">
        <f>SUMPRODUCT(N(Tabela17[Código]=Tabela2[[#This Row],[Ativo]]),Tabela17[Fechamento])</f>
        <v>88</v>
      </c>
      <c r="L538" s="17">
        <f>SUMPRODUCT(N([Ativo]=Tabela2[[#This Row],[Ativo]]),N([Exercício]=Tabela2[[#This Row],[Exercício]]-1),[Lucro Líquido])</f>
        <v>20461132.460000001</v>
      </c>
      <c r="M538" s="19">
        <f>IF(Tabela2[[#This Row],[Lucro Anterior]]=0,"",IF(Tabela2[[#This Row],[Lucro Líquido]]&gt;0,Tabela2[[#This Row],[Lucro Líquido]]/Tabela2[[#This Row],[Lucro Anterior]]-1,0))</f>
        <v>0.33375226925245172</v>
      </c>
    </row>
    <row r="539" spans="1:14">
      <c r="A539" s="4" t="s">
        <v>379</v>
      </c>
      <c r="B539" s="4">
        <v>2009</v>
      </c>
      <c r="C539" s="6">
        <v>20461132.460000001</v>
      </c>
      <c r="D539" s="74">
        <f>SUMPRODUCT(N(Tabela3[PAPEL]=Tabela2[[#This Row],[Ativo]]),Tabela3[Total Ações])</f>
        <v>2857301</v>
      </c>
      <c r="E539" s="64">
        <f>(Tabela2[[#This Row],[Lucro Líquido]])/Tabela2[[#This Row],[Total Ações]]</f>
        <v>7.16099999965002</v>
      </c>
      <c r="F539" s="64">
        <v>3.63</v>
      </c>
      <c r="G539" s="43">
        <f>IF(AND(Tabela2[[#This Row],[Dividendo / Ação]]&gt;0,Tabela2[[#This Row],[Lucro por ação]]&gt;0),Tabela2[[#This Row],[Dividendo / Ação]]/Tabela2[[#This Row],[Lucro por ação]],"")</f>
        <v>0.50691244242108768</v>
      </c>
      <c r="H539" s="59">
        <f>MAX(Tabela2[[#This Row],[Cotação 1]],Tabela2[[#This Row],[Cotação 2]])</f>
        <v>88</v>
      </c>
      <c r="I539" s="44">
        <f>IF(Tabela2[[#This Row],[Dividendo / Ação]]&gt;0,Tabela2[[#This Row],[Dividendo / Ação]]/Tabela2[[#This Row],[Cotação]],"")</f>
        <v>4.1250000000000002E-2</v>
      </c>
      <c r="J539" s="17">
        <f>SUMPRODUCT(N(Tabela1[Código]=Tabela2[[#This Row],[Ativo]]),Tabela1[Fechamento])</f>
        <v>0</v>
      </c>
      <c r="K539" s="17">
        <f>SUMPRODUCT(N(Tabela17[Código]=Tabela2[[#This Row],[Ativo]]),Tabela17[Fechamento])</f>
        <v>88</v>
      </c>
      <c r="L539" s="17">
        <f>SUMPRODUCT(N([Ativo]=Tabela2[[#This Row],[Ativo]]),N([Exercício]=Tabela2[[#This Row],[Exercício]]-1),[Lucro Líquido])</f>
        <v>0</v>
      </c>
      <c r="M539" s="19" t="str">
        <f>IF(Tabela2[[#This Row],[Lucro Anterior]]=0,"",IF(Tabela2[[#This Row],[Lucro Líquido]]&gt;0,Tabela2[[#This Row],[Lucro Líquido]]/Tabela2[[#This Row],[Lucro Anterior]]-1,0))</f>
        <v/>
      </c>
    </row>
    <row r="540" spans="1:14">
      <c r="A540" s="4" t="s">
        <v>169</v>
      </c>
      <c r="B540" s="4">
        <v>2012</v>
      </c>
      <c r="C540" s="6">
        <v>843488000</v>
      </c>
      <c r="D540" s="8">
        <f>SUMPRODUCT(N(Tabela3[PAPEL]=Tabela2[[#This Row],[Ativo]]),Tabela3[Total Ações])</f>
        <v>152661565</v>
      </c>
      <c r="E540" s="64">
        <f>(Tabela2[[#This Row],[Lucro Líquido]])/Tabela2[[#This Row],[Total Ações]]</f>
        <v>5.5252152039709532</v>
      </c>
      <c r="F540" s="64">
        <v>1.8032159999999999</v>
      </c>
      <c r="G540" s="44">
        <f>IF(AND(Tabela2[[#This Row],[Dividendo / Ação]]&gt;0,Tabela2[[#This Row],[Lucro por ação]]&gt;0),Tabela2[[#This Row],[Dividendo / Ação]]/Tabela2[[#This Row],[Lucro por ação]],"")</f>
        <v>0.32636122457348538</v>
      </c>
      <c r="H540" s="6">
        <f>MAX(Tabela2[[#This Row],[Cotação 1]],Tabela2[[#This Row],[Cotação 2]])</f>
        <v>42</v>
      </c>
      <c r="I540" s="19">
        <f>IF(Tabela2[[#This Row],[Dividendo / Ação]]&gt;0,Tabela2[[#This Row],[Dividendo / Ação]]/Tabela2[[#This Row],[Cotação]],"")</f>
        <v>4.2933714285714283E-2</v>
      </c>
      <c r="J540" s="59">
        <f>SUMPRODUCT(N(Tabela1[Código]=Tabela2[[#This Row],[Ativo]]),Tabela1[Fechamento])</f>
        <v>42</v>
      </c>
      <c r="K540" s="59">
        <f>SUMPRODUCT(N(Tabela17[Código]=Tabela2[[#This Row],[Ativo]]),Tabela17[Fechamento])</f>
        <v>0</v>
      </c>
      <c r="L540" s="59">
        <f>SUMPRODUCT(N([Ativo]=Tabela2[[#This Row],[Ativo]]),N([Exercício]=Tabela2[[#This Row],[Exercício]]-1),[Lucro Líquido])</f>
        <v>920137051</v>
      </c>
      <c r="M540" s="19">
        <f>IF(Tabela2[[#This Row],[Lucro Anterior]]=0,"",IF(Tabela2[[#This Row],[Lucro Líquido]]&gt;0,Tabela2[[#This Row],[Lucro Líquido]]/Tabela2[[#This Row],[Lucro Anterior]]-1,0))</f>
        <v>-8.330177653067905E-2</v>
      </c>
    </row>
    <row r="541" spans="1:14">
      <c r="A541" s="4" t="s">
        <v>169</v>
      </c>
      <c r="B541" s="3">
        <v>2011</v>
      </c>
      <c r="C541" s="5">
        <v>920137051</v>
      </c>
      <c r="D541" s="60">
        <f>SUMPRODUCT(N(Tabela3[PAPEL]=Tabela2[[#This Row],[Ativo]]),Tabela3[Total Ações])</f>
        <v>152661565</v>
      </c>
      <c r="E541" s="63">
        <f>(Tabela2[[#This Row],[Lucro Líquido]])/Tabela2[[#This Row],[Total Ações]]</f>
        <v>6.0273000018046456</v>
      </c>
      <c r="F541" s="63">
        <v>4.9819000000000004</v>
      </c>
      <c r="G541" s="22">
        <f>IF(AND(Tabela2[[#This Row],[Dividendo / Ação]]&gt;0,Tabela2[[#This Row],[Lucro por ação]]&gt;0),Tabela2[[#This Row],[Dividendo / Ação]]/Tabela2[[#This Row],[Lucro por ação]],"")</f>
        <v>0.82655583735808069</v>
      </c>
      <c r="H541" s="5">
        <f>MAX(Tabela2[[#This Row],[Cotação 1]],Tabela2[[#This Row],[Cotação 2]])</f>
        <v>42</v>
      </c>
      <c r="I541" s="18">
        <f>IF(Tabela2[[#This Row],[Dividendo / Ação]]&gt;0,Tabela2[[#This Row],[Dividendo / Ação]]/Tabela2[[#This Row],[Cotação]],"")</f>
        <v>0.11861666666666668</v>
      </c>
      <c r="J541" s="58">
        <f>SUMPRODUCT(N(Tabela1[Código]=Tabela2[[#This Row],[Ativo]]),Tabela1[Fechamento])</f>
        <v>42</v>
      </c>
      <c r="K541" s="58">
        <f>SUMPRODUCT(N(Tabela17[Código]=Tabela2[[#This Row],[Ativo]]),Tabela17[Fechamento])</f>
        <v>0</v>
      </c>
      <c r="L541" s="58">
        <f>SUMPRODUCT(N([Ativo]=Tabela2[[#This Row],[Ativo]]),N([Exercício]=Tabela2[[#This Row],[Exercício]]-1),[Lucro Líquido])</f>
        <v>818571312</v>
      </c>
      <c r="M541" s="18">
        <f>IF(Tabela2[[#This Row],[Lucro Anterior]]=0,"",IF(Tabela2[[#This Row],[Lucro Líquido]]&gt;0,Tabela2[[#This Row],[Lucro Líquido]]/Tabela2[[#This Row],[Lucro Anterior]]-1,0))</f>
        <v>0.12407683669226843</v>
      </c>
    </row>
    <row r="542" spans="1:14">
      <c r="A542" s="4" t="s">
        <v>169</v>
      </c>
      <c r="B542" s="3">
        <v>2010</v>
      </c>
      <c r="C542" s="5">
        <v>818571312</v>
      </c>
      <c r="D542" s="60">
        <f>SUMPRODUCT(N(Tabela3[PAPEL]=Tabela2[[#This Row],[Ativo]]),Tabela3[Total Ações])</f>
        <v>152661565</v>
      </c>
      <c r="E542" s="63">
        <f>(Tabela2[[#This Row],[Lucro Líquido]])/Tabela2[[#This Row],[Total Ações]]</f>
        <v>5.3620000030787054</v>
      </c>
      <c r="F542" s="63">
        <v>5.0853999999999999</v>
      </c>
      <c r="G542" s="22">
        <f>IF(AND(Tabela2[[#This Row],[Dividendo / Ação]]&gt;0,Tabela2[[#This Row],[Lucro por ação]]&gt;0),Tabela2[[#This Row],[Dividendo / Ação]]/Tabela2[[#This Row],[Lucro por ação]],"")</f>
        <v>0.94841477006342978</v>
      </c>
      <c r="H542" s="5">
        <f>MAX(Tabela2[[#This Row],[Cotação 1]],Tabela2[[#This Row],[Cotação 2]])</f>
        <v>42</v>
      </c>
      <c r="I542" s="18">
        <f>IF(Tabela2[[#This Row],[Dividendo / Ação]]&gt;0,Tabela2[[#This Row],[Dividendo / Ação]]/Tabela2[[#This Row],[Cotação]],"")</f>
        <v>0.12108095238095237</v>
      </c>
      <c r="J542" s="58">
        <f>SUMPRODUCT(N(Tabela1[Código]=Tabela2[[#This Row],[Ativo]]),Tabela1[Fechamento])</f>
        <v>42</v>
      </c>
      <c r="K542" s="58">
        <f>SUMPRODUCT(N(Tabela17[Código]=Tabela2[[#This Row],[Ativo]]),Tabela17[Fechamento])</f>
        <v>0</v>
      </c>
      <c r="L542" s="58">
        <f>SUMPRODUCT(N([Ativo]=Tabela2[[#This Row],[Ativo]]),N([Exercício]=Tabela2[[#This Row],[Exercício]]-1),[Lucro Líquido])</f>
        <v>0</v>
      </c>
      <c r="M542" s="18" t="str">
        <f>IF(Tabela2[[#This Row],[Lucro Anterior]]=0,"",IF(Tabela2[[#This Row],[Lucro Líquido]]&gt;0,Tabela2[[#This Row],[Lucro Líquido]]/Tabela2[[#This Row],[Lucro Anterior]]-1,0))</f>
        <v/>
      </c>
    </row>
    <row r="543" spans="1:14">
      <c r="A543" s="4" t="s">
        <v>170</v>
      </c>
      <c r="B543" s="4">
        <v>2012</v>
      </c>
      <c r="C543" s="6">
        <v>843488000</v>
      </c>
      <c r="D543" s="8">
        <f>SUMPRODUCT(N(Tabela3[PAPEL]=Tabela2[[#This Row],[Ativo]]),Tabela3[Total Ações])</f>
        <v>152661565</v>
      </c>
      <c r="E543" s="64">
        <f>(Tabela2[[#This Row],[Lucro Líquido]])/Tabela2[[#This Row],[Total Ações]]</f>
        <v>5.5252152039709532</v>
      </c>
      <c r="F543" s="64">
        <v>1.8032159999999999</v>
      </c>
      <c r="G543" s="44">
        <f>IF(AND(Tabela2[[#This Row],[Dividendo / Ação]]&gt;0,Tabela2[[#This Row],[Lucro por ação]]&gt;0),Tabela2[[#This Row],[Dividendo / Ação]]/Tabela2[[#This Row],[Lucro por ação]],"")</f>
        <v>0.32636122457348538</v>
      </c>
      <c r="H543" s="6">
        <f>MAX(Tabela2[[#This Row],[Cotação 1]],Tabela2[[#This Row],[Cotação 2]])</f>
        <v>26.71</v>
      </c>
      <c r="I543" s="19">
        <f>IF(Tabela2[[#This Row],[Dividendo / Ação]]&gt;0,Tabela2[[#This Row],[Dividendo / Ação]]/Tabela2[[#This Row],[Cotação]],"")</f>
        <v>6.7510894795956566E-2</v>
      </c>
      <c r="J543" s="59">
        <f>SUMPRODUCT(N(Tabela1[Código]=Tabela2[[#This Row],[Ativo]]),Tabela1[Fechamento])</f>
        <v>26.71</v>
      </c>
      <c r="K543" s="59">
        <f>SUMPRODUCT(N(Tabela17[Código]=Tabela2[[#This Row],[Ativo]]),Tabela17[Fechamento])</f>
        <v>0</v>
      </c>
      <c r="L543" s="59">
        <f>SUMPRODUCT(N([Ativo]=Tabela2[[#This Row],[Ativo]]),N([Exercício]=Tabela2[[#This Row],[Exercício]]-1),[Lucro Líquido])</f>
        <v>920137051</v>
      </c>
      <c r="M543" s="19">
        <f>IF(Tabela2[[#This Row],[Lucro Anterior]]=0,"",IF(Tabela2[[#This Row],[Lucro Líquido]]&gt;0,Tabela2[[#This Row],[Lucro Líquido]]/Tabela2[[#This Row],[Lucro Anterior]]-1,0))</f>
        <v>-8.330177653067905E-2</v>
      </c>
    </row>
    <row r="544" spans="1:14">
      <c r="A544" s="4" t="s">
        <v>170</v>
      </c>
      <c r="B544" s="4">
        <v>2011</v>
      </c>
      <c r="C544" s="5">
        <v>920137051</v>
      </c>
      <c r="D544" s="8">
        <f>SUMPRODUCT(N(Tabela3[PAPEL]=Tabela2[[#This Row],[Ativo]]),Tabela3[Total Ações])</f>
        <v>152661565</v>
      </c>
      <c r="E544" s="64">
        <f>(Tabela2[[#This Row],[Lucro Líquido]])/Tabela2[[#This Row],[Total Ações]]</f>
        <v>6.0273000018046456</v>
      </c>
      <c r="F544" s="63">
        <v>4.9819000000000004</v>
      </c>
      <c r="G544" s="44">
        <f>IF(AND(Tabela2[[#This Row],[Dividendo / Ação]]&gt;0,Tabela2[[#This Row],[Lucro por ação]]&gt;0),Tabela2[[#This Row],[Dividendo / Ação]]/Tabela2[[#This Row],[Lucro por ação]],"")</f>
        <v>0.82655583735808069</v>
      </c>
      <c r="H544" s="6">
        <f>MAX(Tabela2[[#This Row],[Cotação 1]],Tabela2[[#This Row],[Cotação 2]])</f>
        <v>26.71</v>
      </c>
      <c r="I544" s="19">
        <f>IF(Tabela2[[#This Row],[Dividendo / Ação]]&gt;0,Tabela2[[#This Row],[Dividendo / Ação]]/Tabela2[[#This Row],[Cotação]],"")</f>
        <v>0.18651815799326096</v>
      </c>
      <c r="J544" s="59">
        <f>SUMPRODUCT(N(Tabela1[Código]=Tabela2[[#This Row],[Ativo]]),Tabela1[Fechamento])</f>
        <v>26.71</v>
      </c>
      <c r="K544" s="59">
        <f>SUMPRODUCT(N(Tabela17[Código]=Tabela2[[#This Row],[Ativo]]),Tabela17[Fechamento])</f>
        <v>0</v>
      </c>
      <c r="L544" s="59">
        <f>SUMPRODUCT(N([Ativo]=Tabela2[[#This Row],[Ativo]]),N([Exercício]=Tabela2[[#This Row],[Exercício]]-1),[Lucro Líquido])</f>
        <v>818571312</v>
      </c>
      <c r="M544" s="19">
        <f>IF(Tabela2[[#This Row],[Lucro Anterior]]=0,"",IF(Tabela2[[#This Row],[Lucro Líquido]]&gt;0,Tabela2[[#This Row],[Lucro Líquido]]/Tabela2[[#This Row],[Lucro Anterior]]-1,0))</f>
        <v>0.12407683669226843</v>
      </c>
      <c r="N544" s="67">
        <f>2.62*Tabela2[[#This Row],[Total Ações]]</f>
        <v>399973300.30000001</v>
      </c>
    </row>
    <row r="545" spans="1:14">
      <c r="A545" s="4" t="s">
        <v>170</v>
      </c>
      <c r="B545" s="4">
        <v>2010</v>
      </c>
      <c r="C545" s="5">
        <v>818571312</v>
      </c>
      <c r="D545" s="8">
        <f>SUMPRODUCT(N(Tabela3[PAPEL]=Tabela2[[#This Row],[Ativo]]),Tabela3[Total Ações])</f>
        <v>152661565</v>
      </c>
      <c r="E545" s="64">
        <f>(Tabela2[[#This Row],[Lucro Líquido]])/Tabela2[[#This Row],[Total Ações]]</f>
        <v>5.3620000030787054</v>
      </c>
      <c r="F545" s="63">
        <v>5.0853999999999999</v>
      </c>
      <c r="G545" s="44">
        <f>IF(AND(Tabela2[[#This Row],[Dividendo / Ação]]&gt;0,Tabela2[[#This Row],[Lucro por ação]]&gt;0),Tabela2[[#This Row],[Dividendo / Ação]]/Tabela2[[#This Row],[Lucro por ação]],"")</f>
        <v>0.94841477006342978</v>
      </c>
      <c r="H545" s="6">
        <f>MAX(Tabela2[[#This Row],[Cotação 1]],Tabela2[[#This Row],[Cotação 2]])</f>
        <v>26.71</v>
      </c>
      <c r="I545" s="19">
        <f>IF(Tabela2[[#This Row],[Dividendo / Ação]]&gt;0,Tabela2[[#This Row],[Dividendo / Ação]]/Tabela2[[#This Row],[Cotação]],"")</f>
        <v>0.19039311119430924</v>
      </c>
      <c r="J545" s="59">
        <f>SUMPRODUCT(N(Tabela1[Código]=Tabela2[[#This Row],[Ativo]]),Tabela1[Fechamento])</f>
        <v>26.71</v>
      </c>
      <c r="K545" s="59">
        <f>SUMPRODUCT(N(Tabela17[Código]=Tabela2[[#This Row],[Ativo]]),Tabela17[Fechamento])</f>
        <v>0</v>
      </c>
      <c r="L545" s="59">
        <f>SUMPRODUCT(N([Ativo]=Tabela2[[#This Row],[Ativo]]),N([Exercício]=Tabela2[[#This Row],[Exercício]]-1),[Lucro Líquido])</f>
        <v>0</v>
      </c>
      <c r="M545" s="19" t="str">
        <f>IF(Tabela2[[#This Row],[Lucro Anterior]]=0,"",IF(Tabela2[[#This Row],[Lucro Líquido]]&gt;0,Tabela2[[#This Row],[Lucro Líquido]]/Tabela2[[#This Row],[Lucro Anterior]]-1,0))</f>
        <v/>
      </c>
    </row>
    <row r="546" spans="1:14">
      <c r="A546" s="3" t="s">
        <v>343</v>
      </c>
      <c r="B546" s="3">
        <v>2012</v>
      </c>
      <c r="C546" s="5">
        <v>1011009000</v>
      </c>
      <c r="D546" s="60">
        <f>SUMPRODUCT(N(Tabela3[PAPEL]=Tabela2[[#This Row],[Ativo]]),Tabela3[Total Ações])</f>
        <v>544383996</v>
      </c>
      <c r="E546" s="63">
        <f>(Tabela2[[#This Row],[Lucro Líquido]])/Tabela2[[#This Row],[Total Ações]]</f>
        <v>1.8571615025949439</v>
      </c>
      <c r="F546" s="63">
        <v>1.17</v>
      </c>
      <c r="G546" s="22">
        <f>IF(AND(Tabela2[[#This Row],[Dividendo / Ação]]&gt;0,Tabela2[[#This Row],[Lucro por ação]]&gt;0),Tabela2[[#This Row],[Dividendo / Ação]]/Tabela2[[#This Row],[Lucro por ação]],"")</f>
        <v>0.62999367495244851</v>
      </c>
      <c r="H546" s="49">
        <f>MAX(Tabela2[[#This Row],[Cotação 1]],Tabela2[[#This Row],[Cotação 2]])</f>
        <v>54.58</v>
      </c>
      <c r="I546" s="18">
        <f>IF(Tabela2[[#This Row],[Dividendo / Ação]]&gt;0,Tabela2[[#This Row],[Dividendo / Ação]]/Tabela2[[#This Row],[Cotação]],"")</f>
        <v>2.1436423598387686E-2</v>
      </c>
      <c r="J546" s="7">
        <f>SUMPRODUCT(N(Tabela1[Código]=Tabela2[[#This Row],[Ativo]]),Tabela1[Fechamento])</f>
        <v>0</v>
      </c>
      <c r="K546" s="7">
        <f>SUMPRODUCT(N(Tabela17[Código]=Tabela2[[#This Row],[Ativo]]),Tabela17[Fechamento])</f>
        <v>54.58</v>
      </c>
      <c r="L546" s="7">
        <f>SUMPRODUCT(N([Ativo]=Tabela2[[#This Row],[Ativo]]),N([Exercício]=Tabela2[[#This Row],[Exercício]]-1),[Lucro Líquido])</f>
        <v>860126713.70000005</v>
      </c>
      <c r="M546" s="18">
        <f>IF(Tabela2[[#This Row],[Lucro Anterior]]=0,"",IF(Tabela2[[#This Row],[Lucro Líquido]]&gt;0,Tabela2[[#This Row],[Lucro Líquido]]/Tabela2[[#This Row],[Lucro Anterior]]-1,0))</f>
        <v>0.1754186725011142</v>
      </c>
    </row>
    <row r="547" spans="1:14">
      <c r="A547" s="3" t="s">
        <v>343</v>
      </c>
      <c r="B547" s="3">
        <v>2011</v>
      </c>
      <c r="C547" s="5">
        <v>860126713.70000005</v>
      </c>
      <c r="D547" s="60">
        <f>SUMPRODUCT(N(Tabela3[PAPEL]=Tabela2[[#This Row],[Ativo]]),Tabela3[Total Ações])</f>
        <v>544383996</v>
      </c>
      <c r="E547" s="63">
        <f>(Tabela2[[#This Row],[Lucro Líquido]])/Tabela2[[#This Row],[Total Ações]]</f>
        <v>1.5800000000367389</v>
      </c>
      <c r="F547" s="63">
        <v>0.98</v>
      </c>
      <c r="G547" s="22">
        <f>IF(AND(Tabela2[[#This Row],[Dividendo / Ação]]&gt;0,Tabela2[[#This Row],[Lucro por ação]]&gt;0),Tabela2[[#This Row],[Dividendo / Ação]]/Tabela2[[#This Row],[Lucro por ação]],"")</f>
        <v>0.62025316454253965</v>
      </c>
      <c r="H547" s="49">
        <f>MAX(Tabela2[[#This Row],[Cotação 1]],Tabela2[[#This Row],[Cotação 2]])</f>
        <v>54.58</v>
      </c>
      <c r="I547" s="18">
        <f>IF(Tabela2[[#This Row],[Dividendo / Ação]]&gt;0,Tabela2[[#This Row],[Dividendo / Ação]]/Tabela2[[#This Row],[Cotação]],"")</f>
        <v>1.7955294979846097E-2</v>
      </c>
      <c r="J547" s="7">
        <f>SUMPRODUCT(N(Tabela1[Código]=Tabela2[[#This Row],[Ativo]]),Tabela1[Fechamento])</f>
        <v>0</v>
      </c>
      <c r="K547" s="7">
        <f>SUMPRODUCT(N(Tabela17[Código]=Tabela2[[#This Row],[Ativo]]),Tabela17[Fechamento])</f>
        <v>54.58</v>
      </c>
      <c r="L547" s="7">
        <f>SUMPRODUCT(N([Ativo]=Tabela2[[#This Row],[Ativo]]),N([Exercício]=Tabela2[[#This Row],[Exercício]]-1),[Lucro Líquido])</f>
        <v>773025274.29999995</v>
      </c>
      <c r="M547" s="18">
        <f>IF(Tabela2[[#This Row],[Lucro Anterior]]=0,"",IF(Tabela2[[#This Row],[Lucro Líquido]]&gt;0,Tabela2[[#This Row],[Lucro Líquido]]/Tabela2[[#This Row],[Lucro Anterior]]-1,0))</f>
        <v>0.1126760563926883</v>
      </c>
    </row>
    <row r="548" spans="1:14">
      <c r="A548" s="3" t="s">
        <v>343</v>
      </c>
      <c r="B548" s="3">
        <v>2010</v>
      </c>
      <c r="C548" s="5">
        <v>773025274.29999995</v>
      </c>
      <c r="D548" s="60">
        <f>SUMPRODUCT(N(Tabela3[PAPEL]=Tabela2[[#This Row],[Ativo]]),Tabela3[Total Ações])</f>
        <v>544383996</v>
      </c>
      <c r="E548" s="63">
        <f>(Tabela2[[#This Row],[Lucro Líquido]])/Tabela2[[#This Row],[Total Ações]]</f>
        <v>1.4199999999632611</v>
      </c>
      <c r="F548" s="63">
        <v>0.8</v>
      </c>
      <c r="G548" s="22">
        <f>IF(AND(Tabela2[[#This Row],[Dividendo / Ação]]&gt;0,Tabela2[[#This Row],[Lucro por ação]]&gt;0),Tabela2[[#This Row],[Dividendo / Ação]]/Tabela2[[#This Row],[Lucro por ação]],"")</f>
        <v>0.56338028170471688</v>
      </c>
      <c r="H548" s="49">
        <f>MAX(Tabela2[[#This Row],[Cotação 1]],Tabela2[[#This Row],[Cotação 2]])</f>
        <v>54.58</v>
      </c>
      <c r="I548" s="18">
        <f>IF(Tabela2[[#This Row],[Dividendo / Ação]]&gt;0,Tabela2[[#This Row],[Dividendo / Ação]]/Tabela2[[#This Row],[Cotação]],"")</f>
        <v>1.4657383657017223E-2</v>
      </c>
      <c r="J548" s="7">
        <f>SUMPRODUCT(N(Tabela1[Código]=Tabela2[[#This Row],[Ativo]]),Tabela1[Fechamento])</f>
        <v>0</v>
      </c>
      <c r="K548" s="7">
        <f>SUMPRODUCT(N(Tabela17[Código]=Tabela2[[#This Row],[Ativo]]),Tabela17[Fechamento])</f>
        <v>54.58</v>
      </c>
      <c r="L548" s="7">
        <f>SUMPRODUCT(N([Ativo]=Tabela2[[#This Row],[Ativo]]),N([Exercício]=Tabela2[[#This Row],[Exercício]]-1),[Lucro Líquido])</f>
        <v>0</v>
      </c>
      <c r="M548" s="18" t="str">
        <f>IF(Tabela2[[#This Row],[Lucro Anterior]]=0,"",IF(Tabela2[[#This Row],[Lucro Líquido]]&gt;0,Tabela2[[#This Row],[Lucro Líquido]]/Tabela2[[#This Row],[Lucro Anterior]]-1,0))</f>
        <v/>
      </c>
      <c r="N548" s="3">
        <f>43179000/Tabela2[[#This Row],[Total Ações]]</f>
        <v>7.9317173754681794E-2</v>
      </c>
    </row>
    <row r="549" spans="1:14">
      <c r="A549" s="4" t="s">
        <v>39</v>
      </c>
      <c r="B549" s="4">
        <v>2012</v>
      </c>
      <c r="C549" s="6">
        <v>39281689.020000003</v>
      </c>
      <c r="D549" s="8">
        <f>SUMPRODUCT(N(Tabela3[PAPEL]=Tabela2[[#This Row],[Ativo]]),Tabela3[Total Ações])</f>
        <v>835502072</v>
      </c>
      <c r="E549" s="62">
        <f>(Tabela2[[#This Row],[Lucro Líquido]])/Tabela2[[#This Row],[Total Ações]]</f>
        <v>4.7015669184360807E-2</v>
      </c>
      <c r="F549" s="62">
        <v>9.6799999999999994E-3</v>
      </c>
      <c r="G549" s="19">
        <f>IF(AND(Tabela2[[#This Row],[Dividendo / Ação]]&gt;0,Tabela2[[#This Row],[Lucro por ação]]&gt;0),Tabela2[[#This Row],[Dividendo / Ação]]/Tabela2[[#This Row],[Lucro por ação]],"")</f>
        <v>0.20588880617740807</v>
      </c>
      <c r="H549" s="6">
        <f>MAX(Tabela2[[#This Row],[Cotação 1]],Tabela2[[#This Row],[Cotação 2]])</f>
        <v>0.5</v>
      </c>
      <c r="I549" s="18">
        <f>IF(Tabela2[[#This Row],[Dividendo / Ação]]&gt;0,Tabela2[[#This Row],[Dividendo / Ação]]/Tabela2[[#This Row],[Cotação]],"")</f>
        <v>1.9359999999999999E-2</v>
      </c>
      <c r="J549" s="58">
        <f>SUMPRODUCT(N(Tabela1[Código]=Tabela2[[#This Row],[Ativo]]),Tabela1[Fechamento])</f>
        <v>0.5</v>
      </c>
      <c r="K549" s="58">
        <f>SUMPRODUCT(N(Tabela17[Código]=Tabela2[[#This Row],[Ativo]]),Tabela17[Fechamento])</f>
        <v>0</v>
      </c>
      <c r="L549" s="58">
        <f>SUMPRODUCT(N([Ativo]=Tabela2[[#This Row],[Ativo]]),N([Exercício]=Tabela2[[#This Row],[Exercício]]-1),[Lucro Líquido])</f>
        <v>4448000</v>
      </c>
      <c r="M549" s="18">
        <f>IF(Tabela2[[#This Row],[Lucro Anterior]]=0,"",IF(Tabela2[[#This Row],[Lucro Líquido]]&gt;0,Tabela2[[#This Row],[Lucro Líquido]]/Tabela2[[#This Row],[Lucro Anterior]]-1,0))</f>
        <v>7.8313149775179856</v>
      </c>
    </row>
    <row r="550" spans="1:14">
      <c r="A550" s="4" t="s">
        <v>39</v>
      </c>
      <c r="B550" s="4">
        <v>2011</v>
      </c>
      <c r="C550" s="6">
        <v>4448000</v>
      </c>
      <c r="D550" s="8">
        <f>SUMPRODUCT(N(Tabela3[PAPEL]=Tabela2[[#This Row],[Ativo]]),Tabela3[Total Ações])</f>
        <v>835502072</v>
      </c>
      <c r="E550" s="62">
        <f>(Tabela2[[#This Row],[Lucro Líquido]])/Tabela2[[#This Row],[Total Ações]]</f>
        <v>5.323745025972838E-3</v>
      </c>
      <c r="F550" s="62">
        <v>0</v>
      </c>
      <c r="G550" s="19" t="str">
        <f>IF(AND(Tabela2[[#This Row],[Dividendo / Ação]]&gt;0,Tabela2[[#This Row],[Lucro por ação]]&gt;0),Tabela2[[#This Row],[Dividendo / Ação]]/Tabela2[[#This Row],[Lucro por ação]],"")</f>
        <v/>
      </c>
      <c r="H550" s="6">
        <f>MAX(Tabela2[[#This Row],[Cotação 1]],Tabela2[[#This Row],[Cotação 2]])</f>
        <v>0.5</v>
      </c>
      <c r="I550" s="18" t="str">
        <f>IF(Tabela2[[#This Row],[Dividendo / Ação]]&gt;0,Tabela2[[#This Row],[Dividendo / Ação]]/Tabela2[[#This Row],[Cotação]],"")</f>
        <v/>
      </c>
      <c r="J550" s="58">
        <f>SUMPRODUCT(N(Tabela1[Código]=Tabela2[[#This Row],[Ativo]]),Tabela1[Fechamento])</f>
        <v>0.5</v>
      </c>
      <c r="K550" s="58">
        <f>SUMPRODUCT(N(Tabela17[Código]=Tabela2[[#This Row],[Ativo]]),Tabela17[Fechamento])</f>
        <v>0</v>
      </c>
      <c r="L550" s="58">
        <f>SUMPRODUCT(N([Ativo]=Tabela2[[#This Row],[Ativo]]),N([Exercício]=Tabela2[[#This Row],[Exercício]]-1),[Lucro Líquido])</f>
        <v>30296000</v>
      </c>
      <c r="M550" s="18">
        <f>IF(Tabela2[[#This Row],[Lucro Anterior]]=0,"",IF(Tabela2[[#This Row],[Lucro Líquido]]&gt;0,Tabela2[[#This Row],[Lucro Líquido]]/Tabela2[[#This Row],[Lucro Anterior]]-1,0))</f>
        <v>-0.85318193820966459</v>
      </c>
    </row>
    <row r="551" spans="1:14">
      <c r="A551" s="4" t="s">
        <v>39</v>
      </c>
      <c r="B551" s="4">
        <v>2010</v>
      </c>
      <c r="C551" s="6">
        <v>30296000</v>
      </c>
      <c r="D551" s="8">
        <f>SUMPRODUCT(N(Tabela3[PAPEL]=Tabela2[[#This Row],[Ativo]]),Tabela3[Total Ações])</f>
        <v>835502072</v>
      </c>
      <c r="E551" s="62">
        <f>(Tabela2[[#This Row],[Lucro Líquido]])/Tabela2[[#This Row],[Total Ações]]</f>
        <v>3.6260831678703483E-2</v>
      </c>
      <c r="F551" s="62">
        <v>0</v>
      </c>
      <c r="G551" s="19" t="str">
        <f>IF(AND(Tabela2[[#This Row],[Dividendo / Ação]]&gt;0,Tabela2[[#This Row],[Lucro por ação]]&gt;0),Tabela2[[#This Row],[Dividendo / Ação]]/Tabela2[[#This Row],[Lucro por ação]],"")</f>
        <v/>
      </c>
      <c r="H551" s="6">
        <f>MAX(Tabela2[[#This Row],[Cotação 1]],Tabela2[[#This Row],[Cotação 2]])</f>
        <v>0.5</v>
      </c>
      <c r="I551" s="18" t="str">
        <f>IF(Tabela2[[#This Row],[Dividendo / Ação]]&gt;0,Tabela2[[#This Row],[Dividendo / Ação]]/Tabela2[[#This Row],[Cotação]],"")</f>
        <v/>
      </c>
      <c r="J551" s="58">
        <f>SUMPRODUCT(N(Tabela1[Código]=Tabela2[[#This Row],[Ativo]]),Tabela1[Fechamento])</f>
        <v>0.5</v>
      </c>
      <c r="K551" s="58">
        <f>SUMPRODUCT(N(Tabela17[Código]=Tabela2[[#This Row],[Ativo]]),Tabela17[Fechamento])</f>
        <v>0</v>
      </c>
      <c r="L551" s="58">
        <f>SUMPRODUCT(N([Ativo]=Tabela2[[#This Row],[Ativo]]),N([Exercício]=Tabela2[[#This Row],[Exercício]]-1),[Lucro Líquido])</f>
        <v>0</v>
      </c>
      <c r="M551" s="18" t="str">
        <f>IF(Tabela2[[#This Row],[Lucro Anterior]]=0,"",IF(Tabela2[[#This Row],[Lucro Líquido]]&gt;0,Tabela2[[#This Row],[Lucro Líquido]]/Tabela2[[#This Row],[Lucro Anterior]]-1,0))</f>
        <v/>
      </c>
    </row>
    <row r="552" spans="1:14">
      <c r="A552" s="4" t="s">
        <v>372</v>
      </c>
      <c r="B552" s="4">
        <v>2012</v>
      </c>
      <c r="C552" s="6">
        <v>9733695883.3700008</v>
      </c>
      <c r="D552" s="74">
        <f>SUMPRODUCT(N(Tabela3[PAPEL]=Tabela2[[#This Row],[Ativo]]),Tabela3[Total Ações])</f>
        <v>5365304100</v>
      </c>
      <c r="E552" s="64">
        <f>(Tabela2[[#This Row],[Lucro Líquido]])/Tabela2[[#This Row],[Total Ações]]</f>
        <v>1.8141927655824766</v>
      </c>
      <c r="F552" s="64">
        <v>1.8288805334</v>
      </c>
      <c r="G552" s="43">
        <f>IF(AND(Tabela2[[#This Row],[Dividendo / Ação]]&gt;0,Tabela2[[#This Row],[Lucro por ação]]&gt;0),Tabela2[[#This Row],[Dividendo / Ação]]/Tabela2[[#This Row],[Lucro por ação]],"")</f>
        <v>1.0080960348294674</v>
      </c>
      <c r="H552" s="59">
        <f>MAX(Tabela2[[#This Row],[Cotação 1]],Tabela2[[#This Row],[Cotação 2]])</f>
        <v>30.76</v>
      </c>
      <c r="I552" s="44">
        <f>IF(Tabela2[[#This Row],[Dividendo / Ação]]&gt;0,Tabela2[[#This Row],[Dividendo / Ação]]/Tabela2[[#This Row],[Cotação]],"")</f>
        <v>5.9456454271781534E-2</v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30.76</v>
      </c>
      <c r="L552" s="17">
        <f>SUMPRODUCT(N([Ativo]=Tabela2[[#This Row],[Ativo]]),N([Exercício]=Tabela2[[#This Row],[Exercício]]-1),[Lucro Líquido])</f>
        <v>39810556422</v>
      </c>
      <c r="M552" s="19">
        <f>IF(Tabela2[[#This Row],[Lucro Anterior]]=0,"",IF(Tabela2[[#This Row],[Lucro Líquido]]&gt;0,Tabela2[[#This Row],[Lucro Líquido]]/Tabela2[[#This Row],[Lucro Anterior]]-1,0))</f>
        <v>-0.75549962727998965</v>
      </c>
    </row>
    <row r="553" spans="1:14">
      <c r="A553" s="4" t="s">
        <v>372</v>
      </c>
      <c r="B553" s="4">
        <v>2011</v>
      </c>
      <c r="C553" s="6">
        <v>39810556422</v>
      </c>
      <c r="D553" s="74">
        <f>SUMPRODUCT(N(Tabela3[PAPEL]=Tabela2[[#This Row],[Ativo]]),Tabela3[Total Ações])</f>
        <v>5365304100</v>
      </c>
      <c r="E553" s="64">
        <f>(Tabela2[[#This Row],[Lucro Líquido]])/Tabela2[[#This Row],[Total Ações]]</f>
        <v>7.42</v>
      </c>
      <c r="F553" s="64">
        <v>1.7557325829999999</v>
      </c>
      <c r="G553" s="43">
        <f>IF(AND(Tabela2[[#This Row],[Dividendo / Ação]]&gt;0,Tabela2[[#This Row],[Lucro por ação]]&gt;0),Tabela2[[#This Row],[Dividendo / Ação]]/Tabela2[[#This Row],[Lucro por ação]],"")</f>
        <v>0.23662164191374663</v>
      </c>
      <c r="H553" s="59">
        <f>MAX(Tabela2[[#This Row],[Cotação 1]],Tabela2[[#This Row],[Cotação 2]])</f>
        <v>30.76</v>
      </c>
      <c r="I553" s="44">
        <f>IF(Tabela2[[#This Row],[Dividendo / Ação]]&gt;0,Tabela2[[#This Row],[Dividendo / Ação]]/Tabela2[[#This Row],[Cotação]],"")</f>
        <v>5.7078432477243167E-2</v>
      </c>
      <c r="J553" s="17">
        <f>SUMPRODUCT(N(Tabela1[Código]=Tabela2[[#This Row],[Ativo]]),Tabela1[Fechamento])</f>
        <v>0</v>
      </c>
      <c r="K553" s="17">
        <f>SUMPRODUCT(N(Tabela17[Código]=Tabela2[[#This Row],[Ativo]]),Tabela17[Fechamento])</f>
        <v>30.76</v>
      </c>
      <c r="L553" s="17">
        <f>SUMPRODUCT(N([Ativo]=Tabela2[[#This Row],[Ativo]]),N([Exercício]=Tabela2[[#This Row],[Exercício]]-1),[Lucro Líquido])</f>
        <v>37074251331</v>
      </c>
      <c r="M553" s="19">
        <f>IF(Tabela2[[#This Row],[Lucro Anterior]]=0,"",IF(Tabela2[[#This Row],[Lucro Líquido]]&gt;0,Tabela2[[#This Row],[Lucro Líquido]]/Tabela2[[#This Row],[Lucro Anterior]]-1,0))</f>
        <v>7.3806078147612197E-2</v>
      </c>
    </row>
    <row r="554" spans="1:14">
      <c r="A554" s="4" t="s">
        <v>372</v>
      </c>
      <c r="B554" s="4">
        <v>2010</v>
      </c>
      <c r="C554" s="6">
        <v>37074251331</v>
      </c>
      <c r="D554" s="74">
        <f>SUMPRODUCT(N(Tabela3[PAPEL]=Tabela2[[#This Row],[Ativo]]),Tabela3[Total Ações])</f>
        <v>5365304100</v>
      </c>
      <c r="E554" s="64">
        <f>(Tabela2[[#This Row],[Lucro Líquido]])/Tabela2[[#This Row],[Total Ações]]</f>
        <v>6.91</v>
      </c>
      <c r="F554" s="64">
        <v>1.873923027</v>
      </c>
      <c r="G554" s="43">
        <f>IF(AND(Tabela2[[#This Row],[Dividendo / Ação]]&gt;0,Tabela2[[#This Row],[Lucro por ação]]&gt;0),Tabela2[[#This Row],[Dividendo / Ação]]/Tabela2[[#This Row],[Lucro por ação]],"")</f>
        <v>0.27119001837916062</v>
      </c>
      <c r="H554" s="59">
        <f>MAX(Tabela2[[#This Row],[Cotação 1]],Tabela2[[#This Row],[Cotação 2]])</f>
        <v>30.76</v>
      </c>
      <c r="I554" s="44">
        <f>IF(Tabela2[[#This Row],[Dividendo / Ação]]&gt;0,Tabela2[[#This Row],[Dividendo / Ação]]/Tabela2[[#This Row],[Cotação]],"")</f>
        <v>6.0920774609882961E-2</v>
      </c>
      <c r="J554" s="17">
        <f>SUMPRODUCT(N(Tabela1[Código]=Tabela2[[#This Row],[Ativo]]),Tabela1[Fechamento])</f>
        <v>0</v>
      </c>
      <c r="K554" s="17">
        <f>SUMPRODUCT(N(Tabela17[Código]=Tabela2[[#This Row],[Ativo]]),Tabela17[Fechamento])</f>
        <v>30.76</v>
      </c>
      <c r="L554" s="17">
        <f>SUMPRODUCT(N([Ativo]=Tabela2[[#This Row],[Ativo]]),N([Exercício]=Tabela2[[#This Row],[Exercício]]-1),[Lucro Líquido])</f>
        <v>0</v>
      </c>
      <c r="M554" s="19" t="str">
        <f>IF(Tabela2[[#This Row],[Lucro Anterior]]=0,"",IF(Tabela2[[#This Row],[Lucro Líquido]]&gt;0,Tabela2[[#This Row],[Lucro Líquido]]/Tabela2[[#This Row],[Lucro Anterior]]-1,0))</f>
        <v/>
      </c>
    </row>
    <row r="555" spans="1:14">
      <c r="A555" s="3" t="s">
        <v>316</v>
      </c>
      <c r="B555" s="3">
        <v>2012</v>
      </c>
      <c r="C555" s="5">
        <v>30653409.600000001</v>
      </c>
      <c r="D555" s="60">
        <f>SUMPRODUCT(N(Tabela3[PAPEL]=Tabela2[[#This Row],[Ativo]]),Tabela3[Total Ações])</f>
        <v>149714346</v>
      </c>
      <c r="E555" s="63">
        <f>(Tabela2[[#This Row],[Lucro Líquido]])/Tabela2[[#This Row],[Total Ações]]</f>
        <v>0.20474597404312878</v>
      </c>
      <c r="F555" s="63">
        <v>4.87E-2</v>
      </c>
      <c r="G555" s="22">
        <f>IF(AND(Tabela2[[#This Row],[Dividendo / Ação]]&gt;0,Tabela2[[#This Row],[Lucro por ação]]&gt;0),Tabela2[[#This Row],[Dividendo / Ação]]/Tabela2[[#This Row],[Lucro por ação]],"")</f>
        <v>0.23785571475872622</v>
      </c>
      <c r="H555" s="49">
        <f>MAX(Tabela2[[#This Row],[Cotação 1]],Tabela2[[#This Row],[Cotação 2]])</f>
        <v>9.15</v>
      </c>
      <c r="I555" s="18">
        <f>IF(Tabela2[[#This Row],[Dividendo / Ação]]&gt;0,Tabela2[[#This Row],[Dividendo / Ação]]/Tabela2[[#This Row],[Cotação]],"")</f>
        <v>5.322404371584699E-3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9.15</v>
      </c>
      <c r="L555" s="7">
        <f>SUMPRODUCT(N([Ativo]=Tabela2[[#This Row],[Ativo]]),N([Exercício]=Tabela2[[#This Row],[Exercício]]-1),[Lucro Líquido])</f>
        <v>0</v>
      </c>
      <c r="M555" s="18" t="str">
        <f>IF(Tabela2[[#This Row],[Lucro Anterior]]=0,"",IF(Tabela2[[#This Row],[Lucro Líquido]]&gt;0,Tabela2[[#This Row],[Lucro Líquido]]/Tabela2[[#This Row],[Lucro Anterior]]-1,0))</f>
        <v/>
      </c>
    </row>
    <row r="556" spans="1:14">
      <c r="A556" s="3" t="s">
        <v>316</v>
      </c>
      <c r="B556" s="3">
        <v>2011</v>
      </c>
      <c r="D556" s="60">
        <f>SUMPRODUCT(N(Tabela3[PAPEL]=Tabela2[[#This Row],[Ativo]]),Tabela3[Total Ações])</f>
        <v>149714346</v>
      </c>
      <c r="E556" s="63">
        <f>(Tabela2[[#This Row],[Lucro Líquido]])/Tabela2[[#This Row],[Total Ações]]</f>
        <v>0</v>
      </c>
      <c r="F556" s="63">
        <v>0</v>
      </c>
      <c r="G556" s="22" t="str">
        <f>IF(AND(Tabela2[[#This Row],[Dividendo / Ação]]&gt;0,Tabela2[[#This Row],[Lucro por ação]]&gt;0),Tabela2[[#This Row],[Dividendo / Ação]]/Tabela2[[#This Row],[Lucro por ação]],"")</f>
        <v/>
      </c>
      <c r="H556" s="49">
        <f>MAX(Tabela2[[#This Row],[Cotação 1]],Tabela2[[#This Row],[Cotação 2]])</f>
        <v>9.15</v>
      </c>
      <c r="I556" s="18" t="str">
        <f>IF(Tabela2[[#This Row],[Dividendo / Ação]]&gt;0,Tabela2[[#This Row],[Dividendo / Ação]]/Tabela2[[#This Row],[Cotação]],"")</f>
        <v/>
      </c>
      <c r="J556" s="7">
        <f>SUMPRODUCT(N(Tabela1[Código]=Tabela2[[#This Row],[Ativo]]),Tabela1[Fechamento])</f>
        <v>0</v>
      </c>
      <c r="K556" s="7">
        <f>SUMPRODUCT(N(Tabela17[Código]=Tabela2[[#This Row],[Ativo]]),Tabela17[Fechamento])</f>
        <v>9.15</v>
      </c>
      <c r="L556" s="7">
        <f>SUMPRODUCT(N([Ativo]=Tabela2[[#This Row],[Ativo]]),N([Exercício]=Tabela2[[#This Row],[Exercício]]-1),[Lucro Líquido])</f>
        <v>0</v>
      </c>
      <c r="M556" s="18" t="str">
        <f>IF(Tabela2[[#This Row],[Lucro Anterior]]=0,"",IF(Tabela2[[#This Row],[Lucro Líquido]]&gt;0,Tabela2[[#This Row],[Lucro Líquido]]/Tabela2[[#This Row],[Lucro Anterior]]-1,0))</f>
        <v/>
      </c>
    </row>
    <row r="557" spans="1:14">
      <c r="A557" s="3" t="s">
        <v>316</v>
      </c>
      <c r="B557" s="3">
        <v>2010</v>
      </c>
      <c r="D557" s="60">
        <f>SUMPRODUCT(N(Tabela3[PAPEL]=Tabela2[[#This Row],[Ativo]]),Tabela3[Total Ações])</f>
        <v>149714346</v>
      </c>
      <c r="E557" s="63">
        <f>(Tabela2[[#This Row],[Lucro Líquido]])/Tabela2[[#This Row],[Total Ações]]</f>
        <v>0</v>
      </c>
      <c r="F557" s="63">
        <v>0</v>
      </c>
      <c r="G557" s="22" t="str">
        <f>IF(AND(Tabela2[[#This Row],[Dividendo / Ação]]&gt;0,Tabela2[[#This Row],[Lucro por ação]]&gt;0),Tabela2[[#This Row],[Dividendo / Ação]]/Tabela2[[#This Row],[Lucro por ação]],"")</f>
        <v/>
      </c>
      <c r="H557" s="49">
        <f>MAX(Tabela2[[#This Row],[Cotação 1]],Tabela2[[#This Row],[Cotação 2]])</f>
        <v>9.15</v>
      </c>
      <c r="I557" s="18" t="str">
        <f>IF(Tabela2[[#This Row],[Dividendo / Ação]]&gt;0,Tabela2[[#This Row],[Dividendo / Ação]]/Tabela2[[#This Row],[Cotação]],"")</f>
        <v/>
      </c>
      <c r="J557" s="7">
        <f>SUMPRODUCT(N(Tabela1[Código]=Tabela2[[#This Row],[Ativo]]),Tabela1[Fechamento])</f>
        <v>0</v>
      </c>
      <c r="K557" s="7">
        <f>SUMPRODUCT(N(Tabela17[Código]=Tabela2[[#This Row],[Ativo]]),Tabela17[Fechamento])</f>
        <v>9.15</v>
      </c>
      <c r="L557" s="7">
        <f>SUMPRODUCT(N([Ativo]=Tabela2[[#This Row],[Ativo]]),N([Exercício]=Tabela2[[#This Row],[Exercício]]-1),[Lucro Líquido])</f>
        <v>0</v>
      </c>
      <c r="M557" s="18" t="str">
        <f>IF(Tabela2[[#This Row],[Lucro Anterior]]=0,"",IF(Tabela2[[#This Row],[Lucro Líquido]]&gt;0,Tabela2[[#This Row],[Lucro Líquido]]/Tabela2[[#This Row],[Lucro Anterior]]-1,0))</f>
        <v/>
      </c>
      <c r="N557" s="67">
        <f>0.6415*D559</f>
        <v>722073638.09499991</v>
      </c>
    </row>
    <row r="558" spans="1:14">
      <c r="A558" s="10" t="s">
        <v>327</v>
      </c>
      <c r="B558" s="3">
        <v>2012</v>
      </c>
      <c r="C558" s="5">
        <v>4453572915.3800001</v>
      </c>
      <c r="D558" s="60">
        <f>SUMPRODUCT(N(Tabela3[PAPEL]=Tabela2[[#This Row],[Ativo]]),Tabela3[Total Ações])</f>
        <v>1125601930</v>
      </c>
      <c r="E558" s="63">
        <f>(Tabela2[[#This Row],[Lucro Líquido]])/Tabela2[[#This Row],[Total Ações]]</f>
        <v>3.9566144981467826</v>
      </c>
      <c r="F558" s="63">
        <v>3.566950672031</v>
      </c>
      <c r="G558" s="22">
        <f>IF(AND(Tabela2[[#This Row],[Dividendo / Ação]]&gt;0,Tabela2[[#This Row],[Lucro por ação]]&gt;0),Tabela2[[#This Row],[Dividendo / Ação]]/Tabela2[[#This Row],[Lucro por ação]],"")</f>
        <v>0.90151584737449275</v>
      </c>
      <c r="H558" s="49">
        <f>MAX(Tabela2[[#This Row],[Cotação 1]],Tabela2[[#This Row],[Cotação 2]])</f>
        <v>41.45</v>
      </c>
      <c r="I558" s="18">
        <f>IF(Tabela2[[#This Row],[Dividendo / Ação]]&gt;0,Tabela2[[#This Row],[Dividendo / Ação]]/Tabela2[[#This Row],[Cotação]],"")</f>
        <v>8.6054298480844379E-2</v>
      </c>
      <c r="J558" s="7">
        <f>SUMPRODUCT(N(Tabela1[Código]=Tabela2[[#This Row],[Ativo]]),Tabela1[Fechamento])</f>
        <v>0</v>
      </c>
      <c r="K558" s="7">
        <f>SUMPRODUCT(N(Tabela17[Código]=Tabela2[[#This Row],[Ativo]]),Tabela17[Fechamento])</f>
        <v>41.45</v>
      </c>
      <c r="L558" s="7">
        <f>SUMPRODUCT(N([Ativo]=Tabela2[[#This Row],[Ativo]]),N([Exercício]=Tabela2[[#This Row],[Exercício]]-1),[Lucro Líquido])</f>
        <v>4091563016</v>
      </c>
      <c r="M558" s="18">
        <f>IF(Tabela2[[#This Row],[Lucro Anterior]]=0,"",IF(Tabela2[[#This Row],[Lucro Líquido]]&gt;0,Tabela2[[#This Row],[Lucro Líquido]]/Tabela2[[#This Row],[Lucro Anterior]]-1,0))</f>
        <v>8.847716580787468E-2</v>
      </c>
    </row>
    <row r="559" spans="1:14">
      <c r="A559" s="10" t="s">
        <v>327</v>
      </c>
      <c r="B559" s="3">
        <v>2011</v>
      </c>
      <c r="C559" s="5">
        <v>4091563016</v>
      </c>
      <c r="D559" s="60">
        <f>SUMPRODUCT(N(Tabela3[PAPEL]=Tabela2[[#This Row],[Ativo]]),Tabela3[Total Ações])</f>
        <v>1125601930</v>
      </c>
      <c r="E559" s="63">
        <f>(Tabela2[[#This Row],[Lucro Líquido]])/Tabela2[[#This Row],[Total Ações]]</f>
        <v>3.6350000003997862</v>
      </c>
      <c r="F559" s="63">
        <v>3.5070000000000001</v>
      </c>
      <c r="G559" s="22">
        <f>IF(AND(Tabela2[[#This Row],[Dividendo / Ação]]&gt;0,Tabela2[[#This Row],[Lucro por ação]]&gt;0),Tabela2[[#This Row],[Dividendo / Ação]]/Tabela2[[#This Row],[Lucro por ação]],"")</f>
        <v>0.96478679494203345</v>
      </c>
      <c r="H559" s="49">
        <f>MAX(Tabela2[[#This Row],[Cotação 1]],Tabela2[[#This Row],[Cotação 2]])</f>
        <v>41.45</v>
      </c>
      <c r="I559" s="18">
        <f>IF(Tabela2[[#This Row],[Dividendo / Ação]]&gt;0,Tabela2[[#This Row],[Dividendo / Ação]]/Tabela2[[#This Row],[Cotação]],"")</f>
        <v>8.4607961399276232E-2</v>
      </c>
      <c r="J559" s="7">
        <f>SUMPRODUCT(N(Tabela1[Código]=Tabela2[[#This Row],[Ativo]]),Tabela1[Fechamento])</f>
        <v>0</v>
      </c>
      <c r="K559" s="7">
        <f>SUMPRODUCT(N(Tabela17[Código]=Tabela2[[#This Row],[Ativo]]),Tabela17[Fechamento])</f>
        <v>41.45</v>
      </c>
      <c r="L559" s="7">
        <f>SUMPRODUCT(N([Ativo]=Tabela2[[#This Row],[Ativo]]),N([Exercício]=Tabela2[[#This Row],[Exercício]]-1),[Lucro Líquido])</f>
        <v>5004201060</v>
      </c>
      <c r="M559" s="18">
        <f>IF(Tabela2[[#This Row],[Lucro Anterior]]=0,"",IF(Tabela2[[#This Row],[Lucro Líquido]]&gt;0,Tabela2[[#This Row],[Lucro Líquido]]/Tabela2[[#This Row],[Lucro Anterior]]-1,0))</f>
        <v>-0.18237437566107706</v>
      </c>
    </row>
    <row r="560" spans="1:14">
      <c r="A560" s="10" t="s">
        <v>327</v>
      </c>
      <c r="B560" s="3">
        <v>2010</v>
      </c>
      <c r="C560" s="5">
        <v>5004201060</v>
      </c>
      <c r="D560" s="60">
        <f>SUMPRODUCT(N(Tabela3[PAPEL]=Tabela2[[#This Row],[Ativo]]),Tabela3[Total Ações])</f>
        <v>1125601930</v>
      </c>
      <c r="E560" s="63">
        <f>(Tabela2[[#This Row],[Lucro Líquido]])/Tabela2[[#This Row],[Total Ações]]</f>
        <v>4.4457999996499646</v>
      </c>
      <c r="F560" s="63">
        <v>4.6006999999999998</v>
      </c>
      <c r="G560" s="22">
        <f>IF(AND(Tabela2[[#This Row],[Dividendo / Ação]]&gt;0,Tabela2[[#This Row],[Lucro por ação]]&gt;0),Tabela2[[#This Row],[Dividendo / Ação]]/Tabela2[[#This Row],[Lucro por ação]],"")</f>
        <v>1.0348418733101423</v>
      </c>
      <c r="H560" s="49">
        <f>MAX(Tabela2[[#This Row],[Cotação 1]],Tabela2[[#This Row],[Cotação 2]])</f>
        <v>41.45</v>
      </c>
      <c r="I560" s="18">
        <f>IF(Tabela2[[#This Row],[Dividendo / Ação]]&gt;0,Tabela2[[#This Row],[Dividendo / Ação]]/Tabela2[[#This Row],[Cotação]],"")</f>
        <v>0.11099396863691192</v>
      </c>
      <c r="J560" s="7">
        <f>SUMPRODUCT(N(Tabela1[Código]=Tabela2[[#This Row],[Ativo]]),Tabela1[Fechamento])</f>
        <v>0</v>
      </c>
      <c r="K560" s="7">
        <f>SUMPRODUCT(N(Tabela17[Código]=Tabela2[[#This Row],[Ativo]]),Tabela17[Fechamento])</f>
        <v>41.45</v>
      </c>
      <c r="L560" s="7">
        <f>SUMPRODUCT(N([Ativo]=Tabela2[[#This Row],[Ativo]]),N([Exercício]=Tabela2[[#This Row],[Exercício]]-1),[Lucro Líquido])</f>
        <v>0</v>
      </c>
      <c r="M560" s="18" t="str">
        <f>IF(Tabela2[[#This Row],[Lucro Anterior]]=0,"",IF(Tabela2[[#This Row],[Lucro Líquido]]&gt;0,Tabela2[[#This Row],[Lucro Líquido]]/Tabela2[[#This Row],[Lucro Anterior]]-1,0))</f>
        <v/>
      </c>
    </row>
    <row r="561" spans="1:14">
      <c r="A561" s="10" t="s">
        <v>328</v>
      </c>
      <c r="B561" s="3">
        <v>2012</v>
      </c>
      <c r="C561" s="5">
        <v>4453572915.3800001</v>
      </c>
      <c r="D561" s="60">
        <f>SUMPRODUCT(N(Tabela3[PAPEL]=Tabela2[[#This Row],[Ativo]]),Tabela3[Total Ações])</f>
        <v>1125601930</v>
      </c>
      <c r="E561" s="63">
        <f>(Tabela2[[#This Row],[Lucro Líquido]])/Tabela2[[#This Row],[Total Ações]]</f>
        <v>3.9566144981467826</v>
      </c>
      <c r="F561" s="63">
        <v>3.9236457392339998</v>
      </c>
      <c r="G561" s="22">
        <f>IF(AND(Tabela2[[#This Row],[Dividendo / Ação]]&gt;0,Tabela2[[#This Row],[Lucro por ação]]&gt;0),Tabela2[[#This Row],[Dividendo / Ação]]/Tabela2[[#This Row],[Lucro por ação]],"")</f>
        <v>0.99166743211191666</v>
      </c>
      <c r="H561" s="49">
        <f>MAX(Tabela2[[#This Row],[Cotação 1]],Tabela2[[#This Row],[Cotação 2]])</f>
        <v>47.3</v>
      </c>
      <c r="I561" s="18">
        <f>IF(Tabela2[[#This Row],[Dividendo / Ação]]&gt;0,Tabela2[[#This Row],[Dividendo / Ação]]/Tabela2[[#This Row],[Cotação]],"")</f>
        <v>8.2952341210021138E-2</v>
      </c>
      <c r="J561" s="7">
        <f>SUMPRODUCT(N(Tabela1[Código]=Tabela2[[#This Row],[Ativo]]),Tabela1[Fechamento])</f>
        <v>0</v>
      </c>
      <c r="K561" s="7">
        <f>SUMPRODUCT(N(Tabela17[Código]=Tabela2[[#This Row],[Ativo]]),Tabela17[Fechamento])</f>
        <v>47.3</v>
      </c>
      <c r="L561" s="7">
        <f>SUMPRODUCT(N([Ativo]=Tabela2[[#This Row],[Ativo]]),N([Exercício]=Tabela2[[#This Row],[Exercício]]-1),[Lucro Líquido])</f>
        <v>4091563016</v>
      </c>
      <c r="M561" s="18">
        <f>IF(Tabela2[[#This Row],[Lucro Anterior]]=0,"",IF(Tabela2[[#This Row],[Lucro Líquido]]&gt;0,Tabela2[[#This Row],[Lucro Líquido]]/Tabela2[[#This Row],[Lucro Anterior]]-1,0))</f>
        <v>8.847716580787468E-2</v>
      </c>
    </row>
    <row r="562" spans="1:14">
      <c r="A562" s="10" t="s">
        <v>328</v>
      </c>
      <c r="B562" s="3">
        <v>2011</v>
      </c>
      <c r="C562" s="5">
        <v>4091563016</v>
      </c>
      <c r="D562" s="60">
        <f>SUMPRODUCT(N(Tabela3[PAPEL]=Tabela2[[#This Row],[Ativo]]),Tabela3[Total Ações])</f>
        <v>1125601930</v>
      </c>
      <c r="E562" s="63">
        <f>(Tabela2[[#This Row],[Lucro Líquido]])/Tabela2[[#This Row],[Total Ações]]</f>
        <v>3.6350000003997862</v>
      </c>
      <c r="F562" s="63">
        <v>3.8576999999999999</v>
      </c>
      <c r="G562" s="22">
        <f>IF(AND(Tabela2[[#This Row],[Dividendo / Ação]]&gt;0,Tabela2[[#This Row],[Lucro por ação]]&gt;0),Tabela2[[#This Row],[Dividendo / Ação]]/Tabela2[[#This Row],[Lucro por ação]],"")</f>
        <v>1.0612654744362366</v>
      </c>
      <c r="H562" s="49">
        <f>MAX(Tabela2[[#This Row],[Cotação 1]],Tabela2[[#This Row],[Cotação 2]])</f>
        <v>47.3</v>
      </c>
      <c r="I562" s="18">
        <f>IF(Tabela2[[#This Row],[Dividendo / Ação]]&gt;0,Tabela2[[#This Row],[Dividendo / Ação]]/Tabela2[[#This Row],[Cotação]],"")</f>
        <v>8.1558139534883722E-2</v>
      </c>
      <c r="J562" s="7">
        <f>SUMPRODUCT(N(Tabela1[Código]=Tabela2[[#This Row],[Ativo]]),Tabela1[Fechamento])</f>
        <v>0</v>
      </c>
      <c r="K562" s="7">
        <f>SUMPRODUCT(N(Tabela17[Código]=Tabela2[[#This Row],[Ativo]]),Tabela17[Fechamento])</f>
        <v>47.3</v>
      </c>
      <c r="L562" s="7">
        <f>SUMPRODUCT(N([Ativo]=Tabela2[[#This Row],[Ativo]]),N([Exercício]=Tabela2[[#This Row],[Exercício]]-1),[Lucro Líquido])</f>
        <v>5004201060</v>
      </c>
      <c r="M562" s="18">
        <f>IF(Tabela2[[#This Row],[Lucro Anterior]]=0,"",IF(Tabela2[[#This Row],[Lucro Líquido]]&gt;0,Tabela2[[#This Row],[Lucro Líquido]]/Tabela2[[#This Row],[Lucro Anterior]]-1,0))</f>
        <v>-0.18237437566107706</v>
      </c>
    </row>
    <row r="563" spans="1:14">
      <c r="A563" s="10" t="s">
        <v>328</v>
      </c>
      <c r="B563" s="3">
        <v>2010</v>
      </c>
      <c r="C563" s="5">
        <v>5004201060</v>
      </c>
      <c r="D563" s="60">
        <f>SUMPRODUCT(N(Tabela3[PAPEL]=Tabela2[[#This Row],[Ativo]]),Tabela3[Total Ações])</f>
        <v>1125601930</v>
      </c>
      <c r="E563" s="63">
        <f>(Tabela2[[#This Row],[Lucro Líquido]])/Tabela2[[#This Row],[Total Ações]]</f>
        <v>4.4457999996499646</v>
      </c>
      <c r="F563" s="63">
        <v>5.0608000000000004</v>
      </c>
      <c r="G563" s="22">
        <f>IF(AND(Tabela2[[#This Row],[Dividendo / Ação]]&gt;0,Tabela2[[#This Row],[Lucro por ação]]&gt;0),Tabela2[[#This Row],[Dividendo / Ação]]/Tabela2[[#This Row],[Lucro por ação]],"")</f>
        <v>1.1383328085830351</v>
      </c>
      <c r="H563" s="49">
        <f>MAX(Tabela2[[#This Row],[Cotação 1]],Tabela2[[#This Row],[Cotação 2]])</f>
        <v>47.3</v>
      </c>
      <c r="I563" s="18">
        <f>IF(Tabela2[[#This Row],[Dividendo / Ação]]&gt;0,Tabela2[[#This Row],[Dividendo / Ação]]/Tabela2[[#This Row],[Cotação]],"")</f>
        <v>0.10699365750528543</v>
      </c>
      <c r="J563" s="7">
        <f>SUMPRODUCT(N(Tabela1[Código]=Tabela2[[#This Row],[Ativo]]),Tabela1[Fechamento])</f>
        <v>0</v>
      </c>
      <c r="K563" s="7">
        <f>SUMPRODUCT(N(Tabela17[Código]=Tabela2[[#This Row],[Ativo]]),Tabela17[Fechamento])</f>
        <v>47.3</v>
      </c>
      <c r="L563" s="7">
        <f>SUMPRODUCT(N([Ativo]=Tabela2[[#This Row],[Ativo]]),N([Exercício]=Tabela2[[#This Row],[Exercício]]-1),[Lucro Líquido])</f>
        <v>0</v>
      </c>
      <c r="M563" s="18" t="str">
        <f>IF(Tabela2[[#This Row],[Lucro Anterior]]=0,"",IF(Tabela2[[#This Row],[Lucro Líquido]]&gt;0,Tabela2[[#This Row],[Lucro Líquido]]/Tabela2[[#This Row],[Lucro Anterior]]-1,0))</f>
        <v/>
      </c>
    </row>
    <row r="564" spans="1:14">
      <c r="A564" s="4" t="s">
        <v>429</v>
      </c>
      <c r="B564" s="4">
        <v>2012</v>
      </c>
      <c r="C564" s="6">
        <v>109798096.84</v>
      </c>
      <c r="D564" s="74">
        <f>SUMPRODUCT(N(Tabela3[PAPEL]=Tabela2[[#This Row],[Ativo]]),Tabela3[Total Ações])</f>
        <v>98312688</v>
      </c>
      <c r="E564" s="64">
        <f>(Tabela2[[#This Row],[Lucro Líquido]])/Tabela2[[#This Row],[Total Ações]]</f>
        <v>1.1168252956322382</v>
      </c>
      <c r="F564" s="64">
        <v>1.072465845</v>
      </c>
      <c r="G564" s="43">
        <f>IF(AND(Tabela2[[#This Row],[Dividendo / Ação]]&gt;0,Tabela2[[#This Row],[Lucro por ação]]&gt;0),Tabela2[[#This Row],[Dividendo / Ação]]/Tabela2[[#This Row],[Lucro por ação]],"")</f>
        <v>0.96028076118465222</v>
      </c>
      <c r="H564" s="59">
        <f>MAX(Tabela2[[#This Row],[Cotação 1]],Tabela2[[#This Row],[Cotação 2]])</f>
        <v>18.260000000000002</v>
      </c>
      <c r="I564" s="44">
        <f>IF(Tabela2[[#This Row],[Dividendo / Ação]]&gt;0,Tabela2[[#This Row],[Dividendo / Ação]]/Tabela2[[#This Row],[Cotação]],"")</f>
        <v>5.8733069277108425E-2</v>
      </c>
      <c r="J564" s="17">
        <f>SUMPRODUCT(N(Tabela1[Código]=Tabela2[[#This Row],[Ativo]]),Tabela1[Fechamento])</f>
        <v>0</v>
      </c>
      <c r="K564" s="17">
        <f>SUMPRODUCT(N(Tabela17[Código]=Tabela2[[#This Row],[Ativo]]),Tabela17[Fechamento])</f>
        <v>18.260000000000002</v>
      </c>
      <c r="L564" s="17">
        <f>SUMPRODUCT(N([Ativo]=Tabela2[[#This Row],[Ativo]]),N([Exercício]=Tabela2[[#This Row],[Exercício]]-1),[Lucro Líquido])</f>
        <v>106752609.08</v>
      </c>
      <c r="M564" s="19">
        <f>IF(Tabela2[[#This Row],[Lucro Anterior]]=0,"",IF(Tabela2[[#This Row],[Lucro Líquido]]&gt;0,Tabela2[[#This Row],[Lucro Líquido]]/Tabela2[[#This Row],[Lucro Anterior]]-1,0))</f>
        <v>2.8528462079252082E-2</v>
      </c>
    </row>
    <row r="565" spans="1:14">
      <c r="A565" s="4" t="s">
        <v>429</v>
      </c>
      <c r="B565" s="4">
        <v>2011</v>
      </c>
      <c r="C565" s="6">
        <v>106752609.08</v>
      </c>
      <c r="D565" s="74">
        <f>SUMPRODUCT(N(Tabela3[PAPEL]=Tabela2[[#This Row],[Ativo]]),Tabela3[Total Ações])</f>
        <v>98312688</v>
      </c>
      <c r="E565" s="64">
        <f>(Tabela2[[#This Row],[Lucro Líquido]])/Tabela2[[#This Row],[Total Ações]]</f>
        <v>1.0858477298474434</v>
      </c>
      <c r="F565" s="64">
        <v>0.91520231900000004</v>
      </c>
      <c r="G565" s="43">
        <f>IF(AND(Tabela2[[#This Row],[Dividendo / Ação]]&gt;0,Tabela2[[#This Row],[Lucro por ação]]&gt;0),Tabela2[[#This Row],[Dividendo / Ação]]/Tabela2[[#This Row],[Lucro por ação]],"")</f>
        <v>0.84284591093502748</v>
      </c>
      <c r="H565" s="59">
        <f>MAX(Tabela2[[#This Row],[Cotação 1]],Tabela2[[#This Row],[Cotação 2]])</f>
        <v>18.260000000000002</v>
      </c>
      <c r="I565" s="44">
        <f>IF(Tabela2[[#This Row],[Dividendo / Ação]]&gt;0,Tabela2[[#This Row],[Dividendo / Ação]]/Tabela2[[#This Row],[Cotação]],"")</f>
        <v>5.0120608926615552E-2</v>
      </c>
      <c r="J565" s="17">
        <f>SUMPRODUCT(N(Tabela1[Código]=Tabela2[[#This Row],[Ativo]]),Tabela1[Fechamento])</f>
        <v>0</v>
      </c>
      <c r="K565" s="17">
        <f>SUMPRODUCT(N(Tabela17[Código]=Tabela2[[#This Row],[Ativo]]),Tabela17[Fechamento])</f>
        <v>18.260000000000002</v>
      </c>
      <c r="L565" s="17">
        <f>SUMPRODUCT(N([Ativo]=Tabela2[[#This Row],[Ativo]]),N([Exercício]=Tabela2[[#This Row],[Exercício]]-1),[Lucro Líquido])</f>
        <v>13071107.109999999</v>
      </c>
      <c r="M565" s="19">
        <f>IF(Tabela2[[#This Row],[Lucro Anterior]]=0,"",IF(Tabela2[[#This Row],[Lucro Líquido]]&gt;0,Tabela2[[#This Row],[Lucro Líquido]]/Tabela2[[#This Row],[Lucro Anterior]]-1,0))</f>
        <v>7.1670671184638461</v>
      </c>
      <c r="N565" s="3">
        <v>0.116161</v>
      </c>
    </row>
    <row r="566" spans="1:14">
      <c r="A566" s="4" t="s">
        <v>429</v>
      </c>
      <c r="B566" s="4">
        <v>2010</v>
      </c>
      <c r="C566" s="6">
        <v>13071107.109999999</v>
      </c>
      <c r="D566" s="74">
        <f>SUMPRODUCT(N(Tabela3[PAPEL]=Tabela2[[#This Row],[Ativo]]),Tabela3[Total Ações])</f>
        <v>98312688</v>
      </c>
      <c r="E566" s="64">
        <f>(Tabela2[[#This Row],[Lucro Líquido]])/Tabela2[[#This Row],[Total Ações]]</f>
        <v>0.13295442710304087</v>
      </c>
      <c r="F566" s="64">
        <v>6.6522439999999999E-3</v>
      </c>
      <c r="G566" s="43">
        <f>IF(AND(Tabela2[[#This Row],[Dividendo / Ação]]&gt;0,Tabela2[[#This Row],[Lucro por ação]]&gt;0),Tabela2[[#This Row],[Dividendo / Ação]]/Tabela2[[#This Row],[Lucro por ação]],"")</f>
        <v>5.0034016504350409E-2</v>
      </c>
      <c r="H566" s="59">
        <f>MAX(Tabela2[[#This Row],[Cotação 1]],Tabela2[[#This Row],[Cotação 2]])</f>
        <v>18.260000000000002</v>
      </c>
      <c r="I566" s="44">
        <f>IF(Tabela2[[#This Row],[Dividendo / Ação]]&gt;0,Tabela2[[#This Row],[Dividendo / Ação]]/Tabela2[[#This Row],[Cotação]],"")</f>
        <v>3.6430690032858702E-4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18.260000000000002</v>
      </c>
      <c r="L566" s="17">
        <f>SUMPRODUCT(N([Ativo]=Tabela2[[#This Row],[Ativo]]),N([Exercício]=Tabela2[[#This Row],[Exercício]]-1),[Lucro Líquido])</f>
        <v>0</v>
      </c>
      <c r="M566" s="19" t="str">
        <f>IF(Tabela2[[#This Row],[Lucro Anterior]]=0,"",IF(Tabela2[[#This Row],[Lucro Líquido]]&gt;0,Tabela2[[#This Row],[Lucro Líquido]]/Tabela2[[#This Row],[Lucro Anterior]]-1,0))</f>
        <v/>
      </c>
      <c r="N566" s="3">
        <v>0.124359</v>
      </c>
    </row>
    <row r="567" spans="1:14">
      <c r="A567" s="4" t="s">
        <v>432</v>
      </c>
      <c r="B567" s="4">
        <v>2012</v>
      </c>
      <c r="C567" s="6">
        <v>40688154.170000002</v>
      </c>
      <c r="D567" s="74">
        <f>SUMPRODUCT(N(Tabela3[PAPEL]=Tabela2[[#This Row],[Ativo]]),Tabela3[Total Ações])</f>
        <v>46288258</v>
      </c>
      <c r="E567" s="64">
        <f>(Tabela2[[#This Row],[Lucro Líquido]])/Tabela2[[#This Row],[Total Ações]]</f>
        <v>0.87901675128927947</v>
      </c>
      <c r="F567" s="64">
        <v>0.63615900000000003</v>
      </c>
      <c r="G567" s="43">
        <f>IF(AND(Tabela2[[#This Row],[Dividendo / Ação]]&gt;0,Tabela2[[#This Row],[Lucro por ação]]&gt;0),Tabela2[[#This Row],[Dividendo / Ação]]/Tabela2[[#This Row],[Lucro por ação]],"")</f>
        <v>0.72371658340631972</v>
      </c>
      <c r="H567" s="59">
        <f>MAX(Tabela2[[#This Row],[Cotação 1]],Tabela2[[#This Row],[Cotação 2]])</f>
        <v>15.1</v>
      </c>
      <c r="I567" s="44">
        <f>IF(Tabela2[[#This Row],[Dividendo / Ação]]&gt;0,Tabela2[[#This Row],[Dividendo / Ação]]/Tabela2[[#This Row],[Cotação]],"")</f>
        <v>4.2129735099337755E-2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15.1</v>
      </c>
      <c r="L567" s="17">
        <f>SUMPRODUCT(N([Ativo]=Tabela2[[#This Row],[Ativo]]),N([Exercício]=Tabela2[[#This Row],[Exercício]]-1),[Lucro Líquido])</f>
        <v>105074345.66</v>
      </c>
      <c r="M567" s="19">
        <f>IF(Tabela2[[#This Row],[Lucro Anterior]]=0,"",IF(Tabela2[[#This Row],[Lucro Líquido]]&gt;0,Tabela2[[#This Row],[Lucro Líquido]]/Tabela2[[#This Row],[Lucro Anterior]]-1,0))</f>
        <v>-0.6127679509738857</v>
      </c>
      <c r="N567" s="67">
        <v>6.7920999999999995E-2</v>
      </c>
    </row>
    <row r="568" spans="1:14">
      <c r="A568" s="4" t="s">
        <v>432</v>
      </c>
      <c r="B568" s="4">
        <v>2011</v>
      </c>
      <c r="C568" s="6">
        <v>105074345.66</v>
      </c>
      <c r="D568" s="74">
        <f>SUMPRODUCT(N(Tabela3[PAPEL]=Tabela2[[#This Row],[Ativo]]),Tabela3[Total Ações])</f>
        <v>46288258</v>
      </c>
      <c r="E568" s="64">
        <f>(Tabela2[[#This Row],[Lucro Líquido]])/Tabela2[[#This Row],[Total Ações]]</f>
        <v>2.27</v>
      </c>
      <c r="F568" s="64">
        <v>2.1378400000000002</v>
      </c>
      <c r="G568" s="43">
        <f>IF(AND(Tabela2[[#This Row],[Dividendo / Ação]]&gt;0,Tabela2[[#This Row],[Lucro por ação]]&gt;0),Tabela2[[#This Row],[Dividendo / Ação]]/Tabela2[[#This Row],[Lucro por ação]],"")</f>
        <v>0.94177973568281947</v>
      </c>
      <c r="H568" s="59">
        <f>MAX(Tabela2[[#This Row],[Cotação 1]],Tabela2[[#This Row],[Cotação 2]])</f>
        <v>15.1</v>
      </c>
      <c r="I568" s="44">
        <f>IF(Tabela2[[#This Row],[Dividendo / Ação]]&gt;0,Tabela2[[#This Row],[Dividendo / Ação]]/Tabela2[[#This Row],[Cotação]],"")</f>
        <v>0.14157880794701988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15.1</v>
      </c>
      <c r="L568" s="17">
        <f>SUMPRODUCT(N([Ativo]=Tabela2[[#This Row],[Ativo]]),N([Exercício]=Tabela2[[#This Row],[Exercício]]-1),[Lucro Líquido])</f>
        <v>155991429.46000001</v>
      </c>
      <c r="M568" s="19">
        <f>IF(Tabela2[[#This Row],[Lucro Anterior]]=0,"",IF(Tabela2[[#This Row],[Lucro Líquido]]&gt;0,Tabela2[[#This Row],[Lucro Líquido]]/Tabela2[[#This Row],[Lucro Anterior]]-1,0))</f>
        <v>-0.32640949554896148</v>
      </c>
      <c r="N568" s="3">
        <v>4.6599000000000002E-2</v>
      </c>
    </row>
    <row r="569" spans="1:14">
      <c r="A569" s="4" t="s">
        <v>432</v>
      </c>
      <c r="B569" s="4">
        <v>2010</v>
      </c>
      <c r="C569" s="6">
        <v>155991429.46000001</v>
      </c>
      <c r="D569" s="74">
        <f>SUMPRODUCT(N(Tabela3[PAPEL]=Tabela2[[#This Row],[Ativo]]),Tabela3[Total Ações])</f>
        <v>46288258</v>
      </c>
      <c r="E569" s="64">
        <f>(Tabela2[[#This Row],[Lucro Líquido]])/Tabela2[[#This Row],[Total Ações]]</f>
        <v>3.37</v>
      </c>
      <c r="F569" s="64">
        <v>3.2867000000000002</v>
      </c>
      <c r="G569" s="43">
        <f>IF(AND(Tabela2[[#This Row],[Dividendo / Ação]]&gt;0,Tabela2[[#This Row],[Lucro por ação]]&gt;0),Tabela2[[#This Row],[Dividendo / Ação]]/Tabela2[[#This Row],[Lucro por ação]],"")</f>
        <v>0.97528189910979235</v>
      </c>
      <c r="H569" s="59">
        <f>MAX(Tabela2[[#This Row],[Cotação 1]],Tabela2[[#This Row],[Cotação 2]])</f>
        <v>15.1</v>
      </c>
      <c r="I569" s="44">
        <f>IF(Tabela2[[#This Row],[Dividendo / Ação]]&gt;0,Tabela2[[#This Row],[Dividendo / Ação]]/Tabela2[[#This Row],[Cotação]],"")</f>
        <v>0.21766225165562916</v>
      </c>
      <c r="J569" s="17">
        <f>SUMPRODUCT(N(Tabela1[Código]=Tabela2[[#This Row],[Ativo]]),Tabela1[Fechamento])</f>
        <v>0</v>
      </c>
      <c r="K569" s="17">
        <f>SUMPRODUCT(N(Tabela17[Código]=Tabela2[[#This Row],[Ativo]]),Tabela17[Fechamento])</f>
        <v>15.1</v>
      </c>
      <c r="L569" s="17">
        <f>SUMPRODUCT(N([Ativo]=Tabela2[[#This Row],[Ativo]]),N([Exercício]=Tabela2[[#This Row],[Exercício]]-1),[Lucro Líquido])</f>
        <v>0</v>
      </c>
      <c r="M569" s="19" t="str">
        <f>IF(Tabela2[[#This Row],[Lucro Anterior]]=0,"",IF(Tabela2[[#This Row],[Lucro Líquido]]&gt;0,Tabela2[[#This Row],[Lucro Líquido]]/Tabela2[[#This Row],[Lucro Anterior]]-1,0))</f>
        <v/>
      </c>
      <c r="N569" s="3">
        <v>0</v>
      </c>
    </row>
    <row r="570" spans="1:14">
      <c r="A570" s="4" t="s">
        <v>435</v>
      </c>
      <c r="B570" s="4">
        <v>2012</v>
      </c>
      <c r="C570" s="6">
        <v>1074289736.8800001</v>
      </c>
      <c r="D570" s="74">
        <f>SUMPRODUCT(N(Tabela3[PAPEL]=Tabela2[[#This Row],[Ativo]]),Tabela3[Total Ações])</f>
        <v>1980000000</v>
      </c>
      <c r="E570" s="64">
        <f>(Tabela2[[#This Row],[Lucro Líquido]])/Tabela2[[#This Row],[Total Ações]]</f>
        <v>0.5425705741818182</v>
      </c>
      <c r="F570" s="64">
        <v>0.35504000000000002</v>
      </c>
      <c r="G570" s="43">
        <f>IF(AND(Tabela2[[#This Row],[Dividendo / Ação]]&gt;0,Tabela2[[#This Row],[Lucro por ação]]&gt;0),Tabela2[[#This Row],[Dividendo / Ação]]/Tabela2[[#This Row],[Lucro por ação]],"")</f>
        <v>0.65436648593667424</v>
      </c>
      <c r="H570" s="59">
        <f>MAX(Tabela2[[#This Row],[Cotação 1]],Tabela2[[#This Row],[Cotação 2]])</f>
        <v>10.25</v>
      </c>
      <c r="I570" s="44">
        <f>IF(Tabela2[[#This Row],[Dividendo / Ação]]&gt;0,Tabela2[[#This Row],[Dividendo / Ação]]/Tabela2[[#This Row],[Cotação]],"")</f>
        <v>3.4638048780487804E-2</v>
      </c>
      <c r="J570" s="17">
        <f>SUMPRODUCT(N(Tabela1[Código]=Tabela2[[#This Row],[Ativo]]),Tabela1[Fechamento])</f>
        <v>0</v>
      </c>
      <c r="K570" s="17">
        <f>SUMPRODUCT(N(Tabela17[Código]=Tabela2[[#This Row],[Ativo]]),Tabela17[Fechamento])</f>
        <v>10.25</v>
      </c>
      <c r="L570" s="17">
        <f>SUMPRODUCT(N([Ativo]=Tabela2[[#This Row],[Ativo]]),N([Exercício]=Tabela2[[#This Row],[Exercício]]-1),[Lucro Líquido])</f>
        <v>1047998632.27</v>
      </c>
      <c r="M570" s="19">
        <f>IF(Tabela2[[#This Row],[Lucro Anterior]]=0,"",IF(Tabela2[[#This Row],[Lucro Líquido]]&gt;0,Tabela2[[#This Row],[Lucro Líquido]]/Tabela2[[#This Row],[Lucro Anterior]]-1,0))</f>
        <v>2.5086964620414376E-2</v>
      </c>
      <c r="N570" s="3">
        <v>0</v>
      </c>
    </row>
    <row r="571" spans="1:14">
      <c r="A571" s="4" t="s">
        <v>435</v>
      </c>
      <c r="B571" s="4">
        <v>2011</v>
      </c>
      <c r="C571" s="6">
        <v>1047998632.27</v>
      </c>
      <c r="D571" s="74">
        <f>SUMPRODUCT(N(Tabela3[PAPEL]=Tabela2[[#This Row],[Ativo]]),Tabela3[Total Ações])</f>
        <v>1980000000</v>
      </c>
      <c r="E571" s="64">
        <f>(Tabela2[[#This Row],[Lucro Líquido]])/Tabela2[[#This Row],[Total Ações]]</f>
        <v>0.52929223852020202</v>
      </c>
      <c r="F571" s="64">
        <v>0.470941</v>
      </c>
      <c r="G571" s="43">
        <f>IF(AND(Tabela2[[#This Row],[Dividendo / Ação]]&gt;0,Tabela2[[#This Row],[Lucro por ação]]&gt;0),Tabela2[[#This Row],[Dividendo / Ação]]/Tabela2[[#This Row],[Lucro por ação]],"")</f>
        <v>0.88975610395621763</v>
      </c>
      <c r="H571" s="59">
        <f>MAX(Tabela2[[#This Row],[Cotação 1]],Tabela2[[#This Row],[Cotação 2]])</f>
        <v>10.25</v>
      </c>
      <c r="I571" s="44">
        <f>IF(Tabela2[[#This Row],[Dividendo / Ação]]&gt;0,Tabela2[[#This Row],[Dividendo / Ação]]/Tabela2[[#This Row],[Cotação]],"")</f>
        <v>4.5945463414634145E-2</v>
      </c>
      <c r="J571" s="17">
        <f>SUMPRODUCT(N(Tabela1[Código]=Tabela2[[#This Row],[Ativo]]),Tabela1[Fechamento])</f>
        <v>0</v>
      </c>
      <c r="K571" s="17">
        <f>SUMPRODUCT(N(Tabela17[Código]=Tabela2[[#This Row],[Ativo]]),Tabela17[Fechamento])</f>
        <v>10.25</v>
      </c>
      <c r="L571" s="17">
        <f>SUMPRODUCT(N([Ativo]=Tabela2[[#This Row],[Ativo]]),N([Exercício]=Tabela2[[#This Row],[Exercício]]-1),[Lucro Líquido])</f>
        <v>1144560312.5999999</v>
      </c>
      <c r="M571" s="19">
        <f>IF(Tabela2[[#This Row],[Lucro Anterior]]=0,"",IF(Tabela2[[#This Row],[Lucro Líquido]]&gt;0,Tabela2[[#This Row],[Lucro Líquido]]/Tabela2[[#This Row],[Lucro Anterior]]-1,0))</f>
        <v>-8.4365742256647835E-2</v>
      </c>
      <c r="N571" s="3">
        <v>0</v>
      </c>
    </row>
    <row r="572" spans="1:14">
      <c r="A572" s="4" t="s">
        <v>435</v>
      </c>
      <c r="B572" s="4">
        <v>2010</v>
      </c>
      <c r="C572" s="6">
        <v>1144560312.5999999</v>
      </c>
      <c r="D572" s="74">
        <f>SUMPRODUCT(N(Tabela3[PAPEL]=Tabela2[[#This Row],[Ativo]]),Tabela3[Total Ações])</f>
        <v>1980000000</v>
      </c>
      <c r="E572" s="64">
        <f>(Tabela2[[#This Row],[Lucro Líquido]])/Tabela2[[#This Row],[Total Ações]]</f>
        <v>0.57806076393939387</v>
      </c>
      <c r="F572" s="64">
        <v>0.57673300000000005</v>
      </c>
      <c r="G572" s="43">
        <f>IF(AND(Tabela2[[#This Row],[Dividendo / Ação]]&gt;0,Tabela2[[#This Row],[Lucro por ação]]&gt;0),Tabela2[[#This Row],[Dividendo / Ação]]/Tabela2[[#This Row],[Lucro por ação]],"")</f>
        <v>0.99770307202594877</v>
      </c>
      <c r="H572" s="59">
        <f>MAX(Tabela2[[#This Row],[Cotação 1]],Tabela2[[#This Row],[Cotação 2]])</f>
        <v>10.25</v>
      </c>
      <c r="I572" s="44">
        <f>IF(Tabela2[[#This Row],[Dividendo / Ação]]&gt;0,Tabela2[[#This Row],[Dividendo / Ação]]/Tabela2[[#This Row],[Cotação]],"")</f>
        <v>5.626663414634147E-2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10.25</v>
      </c>
      <c r="L572" s="17">
        <f>SUMPRODUCT(N([Ativo]=Tabela2[[#This Row],[Ativo]]),N([Exercício]=Tabela2[[#This Row],[Exercício]]-1),[Lucro Líquido])</f>
        <v>0</v>
      </c>
      <c r="M572" s="19" t="str">
        <f>IF(Tabela2[[#This Row],[Lucro Anterior]]=0,"",IF(Tabela2[[#This Row],[Lucro Líquido]]&gt;0,Tabela2[[#This Row],[Lucro Líquido]]/Tabela2[[#This Row],[Lucro Anterior]]-1,0))</f>
        <v/>
      </c>
      <c r="N572" s="3">
        <v>0</v>
      </c>
    </row>
    <row r="573" spans="1:14">
      <c r="A573" s="4" t="s">
        <v>439</v>
      </c>
      <c r="B573" s="4">
        <v>2012</v>
      </c>
      <c r="C573" s="6">
        <v>2314615815.0500002</v>
      </c>
      <c r="D573" s="74">
        <f>SUMPRODUCT(N(Tabela3[PAPEL]=Tabela2[[#This Row],[Ativo]]),Tabela3[Total Ações])</f>
        <v>786115469</v>
      </c>
      <c r="E573" s="64">
        <f>(Tabela2[[#This Row],[Lucro Líquido]])/Tabela2[[#This Row],[Total Ações]]</f>
        <v>2.9443712868217329</v>
      </c>
      <c r="F573" s="64">
        <v>2.4300000000000002</v>
      </c>
      <c r="G573" s="43">
        <f>IF(AND(Tabela2[[#This Row],[Dividendo / Ação]]&gt;0,Tabela2[[#This Row],[Lucro por ação]]&gt;0),Tabela2[[#This Row],[Dividendo / Ação]]/Tabela2[[#This Row],[Lucro por ação]],"")</f>
        <v>0.8253035243469703</v>
      </c>
      <c r="H573" s="59">
        <f>MAX(Tabela2[[#This Row],[Cotação 1]],Tabela2[[#This Row],[Cotação 2]])</f>
        <v>66.5</v>
      </c>
      <c r="I573" s="44">
        <f>IF(Tabela2[[#This Row],[Dividendo / Ação]]&gt;0,Tabela2[[#This Row],[Dividendo / Ação]]/Tabela2[[#This Row],[Cotação]],"")</f>
        <v>3.6541353383458652E-2</v>
      </c>
      <c r="J573" s="17">
        <f>SUMPRODUCT(N(Tabela1[Código]=Tabela2[[#This Row],[Ativo]]),Tabela1[Fechamento])</f>
        <v>0</v>
      </c>
      <c r="K573" s="17">
        <f>SUMPRODUCT(N(Tabela17[Código]=Tabela2[[#This Row],[Ativo]]),Tabela17[Fechamento])</f>
        <v>66.5</v>
      </c>
      <c r="L573" s="17">
        <f>SUMPRODUCT(N([Ativo]=Tabela2[[#This Row],[Ativo]]),N([Exercício]=Tabela2[[#This Row],[Exercício]]-1),[Lucro Líquido])</f>
        <v>1810326710.1800001</v>
      </c>
      <c r="M573" s="19">
        <f>IF(Tabela2[[#This Row],[Lucro Anterior]]=0,"",IF(Tabela2[[#This Row],[Lucro Líquido]]&gt;0,Tabela2[[#This Row],[Lucro Líquido]]/Tabela2[[#This Row],[Lucro Anterior]]-1,0))</f>
        <v>0.2785624837960099</v>
      </c>
      <c r="N573" s="3">
        <f>SUM(N565:N572)</f>
        <v>0.35504000000000002</v>
      </c>
    </row>
    <row r="574" spans="1:14">
      <c r="A574" s="4" t="s">
        <v>439</v>
      </c>
      <c r="B574" s="4">
        <v>2011</v>
      </c>
      <c r="C574" s="6">
        <v>1810326710.1800001</v>
      </c>
      <c r="D574" s="74">
        <f>SUMPRODUCT(N(Tabela3[PAPEL]=Tabela2[[#This Row],[Ativo]]),Tabela3[Total Ações])</f>
        <v>786115469</v>
      </c>
      <c r="E574" s="64">
        <f>(Tabela2[[#This Row],[Lucro Líquido]])/Tabela2[[#This Row],[Total Ações]]</f>
        <v>2.3028763350540302</v>
      </c>
      <c r="F574" s="64">
        <v>2.25</v>
      </c>
      <c r="G574" s="43">
        <f>IF(AND(Tabela2[[#This Row],[Dividendo / Ação]]&gt;0,Tabela2[[#This Row],[Lucro por ação]]&gt;0),Tabela2[[#This Row],[Dividendo / Ação]]/Tabela2[[#This Row],[Lucro por ação]],"")</f>
        <v>0.97703900368024332</v>
      </c>
      <c r="H574" s="59">
        <f>MAX(Tabela2[[#This Row],[Cotação 1]],Tabela2[[#This Row],[Cotação 2]])</f>
        <v>66.5</v>
      </c>
      <c r="I574" s="44">
        <f>IF(Tabela2[[#This Row],[Dividendo / Ação]]&gt;0,Tabela2[[#This Row],[Dividendo / Ação]]/Tabela2[[#This Row],[Cotação]],"")</f>
        <v>3.3834586466165412E-2</v>
      </c>
      <c r="J574" s="17">
        <f>SUMPRODUCT(N(Tabela1[Código]=Tabela2[[#This Row],[Ativo]]),Tabela1[Fechamento])</f>
        <v>0</v>
      </c>
      <c r="K574" s="17">
        <f>SUMPRODUCT(N(Tabela17[Código]=Tabela2[[#This Row],[Ativo]]),Tabela17[Fechamento])</f>
        <v>66.5</v>
      </c>
      <c r="L574" s="17">
        <f>SUMPRODUCT(N([Ativo]=Tabela2[[#This Row],[Ativo]]),N([Exercício]=Tabela2[[#This Row],[Exercício]]-1),[Lucro Líquido])</f>
        <v>1829334179.3199999</v>
      </c>
      <c r="M574" s="19">
        <f>IF(Tabela2[[#This Row],[Lucro Anterior]]=0,"",IF(Tabela2[[#This Row],[Lucro Líquido]]&gt;0,Tabela2[[#This Row],[Lucro Líquido]]/Tabela2[[#This Row],[Lucro Anterior]]-1,0))</f>
        <v>-1.0390375555692777E-2</v>
      </c>
    </row>
    <row r="575" spans="1:14">
      <c r="A575" s="4" t="s">
        <v>439</v>
      </c>
      <c r="B575" s="4">
        <v>2010</v>
      </c>
      <c r="C575" s="6">
        <v>1829334179.3199999</v>
      </c>
      <c r="D575" s="74">
        <f>SUMPRODUCT(N(Tabela3[PAPEL]=Tabela2[[#This Row],[Ativo]]),Tabela3[Total Ações])</f>
        <v>786115469</v>
      </c>
      <c r="E575" s="64">
        <f>(Tabela2[[#This Row],[Lucro Líquido]])/Tabela2[[#This Row],[Total Ações]]</f>
        <v>2.3270553137022674</v>
      </c>
      <c r="F575" s="64">
        <v>1.19</v>
      </c>
      <c r="G575" s="43">
        <f>IF(AND(Tabela2[[#This Row],[Dividendo / Ação]]&gt;0,Tabela2[[#This Row],[Lucro por ação]]&gt;0),Tabela2[[#This Row],[Dividendo / Ação]]/Tabela2[[#This Row],[Lucro por ação]],"")</f>
        <v>0.51137589768192904</v>
      </c>
      <c r="H575" s="59">
        <f>MAX(Tabela2[[#This Row],[Cotação 1]],Tabela2[[#This Row],[Cotação 2]])</f>
        <v>66.5</v>
      </c>
      <c r="I575" s="44">
        <f>IF(Tabela2[[#This Row],[Dividendo / Ação]]&gt;0,Tabela2[[#This Row],[Dividendo / Ação]]/Tabela2[[#This Row],[Cotação]],"")</f>
        <v>1.7894736842105262E-2</v>
      </c>
      <c r="J575" s="17">
        <f>SUMPRODUCT(N(Tabela1[Código]=Tabela2[[#This Row],[Ativo]]),Tabela1[Fechamento])</f>
        <v>0</v>
      </c>
      <c r="K575" s="17">
        <f>SUMPRODUCT(N(Tabela17[Código]=Tabela2[[#This Row],[Ativo]]),Tabela17[Fechamento])</f>
        <v>66.5</v>
      </c>
      <c r="L575" s="17">
        <f>SUMPRODUCT(N([Ativo]=Tabela2[[#This Row],[Ativo]]),N([Exercício]=Tabela2[[#This Row],[Exercício]]-1),[Lucro Líquido])</f>
        <v>0</v>
      </c>
      <c r="M575" s="19" t="str">
        <f>IF(Tabela2[[#This Row],[Lucro Anterior]]=0,"",IF(Tabela2[[#This Row],[Lucro Líquido]]&gt;0,Tabela2[[#This Row],[Lucro Líquido]]/Tabela2[[#This Row],[Lucro Anterior]]-1,0))</f>
        <v/>
      </c>
    </row>
    <row r="576" spans="1:14">
      <c r="A576" s="4" t="s">
        <v>438</v>
      </c>
      <c r="B576" s="4">
        <v>2012</v>
      </c>
      <c r="C576" s="6">
        <v>275394800.88</v>
      </c>
      <c r="D576" s="74">
        <f>SUMPRODUCT(N(Tabela3[PAPEL]=Tabela2[[#This Row],[Ativo]]),Tabela3[Total Ações])</f>
        <v>260378479</v>
      </c>
      <c r="E576" s="64">
        <f>(Tabela2[[#This Row],[Lucro Líquido]])/Tabela2[[#This Row],[Total Ações]]</f>
        <v>1.0576711329510455</v>
      </c>
      <c r="F576" s="64">
        <v>0.53490000000000004</v>
      </c>
      <c r="G576" s="43">
        <f>IF(AND(Tabela2[[#This Row],[Dividendo / Ação]]&gt;0,Tabela2[[#This Row],[Lucro por ação]]&gt;0),Tabela2[[#This Row],[Dividendo / Ação]]/Tabela2[[#This Row],[Lucro por ação]],"")</f>
        <v>0.50573376102981715</v>
      </c>
      <c r="H576" s="59">
        <f>MAX(Tabela2[[#This Row],[Cotação 1]],Tabela2[[#This Row],[Cotação 2]])</f>
        <v>23.54</v>
      </c>
      <c r="I576" s="44">
        <f>IF(Tabela2[[#This Row],[Dividendo / Ação]]&gt;0,Tabela2[[#This Row],[Dividendo / Ação]]/Tabela2[[#This Row],[Cotação]],"")</f>
        <v>2.272302463891249E-2</v>
      </c>
      <c r="J576" s="17">
        <f>SUMPRODUCT(N(Tabela1[Código]=Tabela2[[#This Row],[Ativo]]),Tabela1[Fechamento])</f>
        <v>0</v>
      </c>
      <c r="K576" s="17">
        <f>SUMPRODUCT(N(Tabela17[Código]=Tabela2[[#This Row],[Ativo]]),Tabela17[Fechamento])</f>
        <v>23.54</v>
      </c>
      <c r="L576" s="17">
        <f>SUMPRODUCT(N([Ativo]=Tabela2[[#This Row],[Ativo]]),N([Exercício]=Tabela2[[#This Row],[Exercício]]-1),[Lucro Líquido])</f>
        <v>220517318.09</v>
      </c>
      <c r="M576" s="19">
        <f>IF(Tabela2[[#This Row],[Lucro Anterior]]=0,"",IF(Tabela2[[#This Row],[Lucro Líquido]]&gt;0,Tabela2[[#This Row],[Lucro Líquido]]/Tabela2[[#This Row],[Lucro Anterior]]-1,0))</f>
        <v>0.24885792764631209</v>
      </c>
    </row>
    <row r="577" spans="1:13">
      <c r="A577" s="4" t="s">
        <v>438</v>
      </c>
      <c r="B577" s="4">
        <v>2011</v>
      </c>
      <c r="C577" s="6">
        <v>220517318.09</v>
      </c>
      <c r="D577" s="74">
        <f>SUMPRODUCT(N(Tabela3[PAPEL]=Tabela2[[#This Row],[Ativo]]),Tabela3[Total Ações])</f>
        <v>260378479</v>
      </c>
      <c r="E577" s="64">
        <f>(Tabela2[[#This Row],[Lucro Líquido]])/Tabela2[[#This Row],[Total Ações]]</f>
        <v>0.84691069299164312</v>
      </c>
      <c r="F577" s="64">
        <v>0.254</v>
      </c>
      <c r="G577" s="43">
        <f>IF(AND(Tabela2[[#This Row],[Dividendo / Ação]]&gt;0,Tabela2[[#This Row],[Lucro por ação]]&gt;0),Tabela2[[#This Row],[Dividendo / Ação]]/Tabela2[[#This Row],[Lucro por ação]],"")</f>
        <v>0.29991355889340077</v>
      </c>
      <c r="H577" s="59">
        <f>MAX(Tabela2[[#This Row],[Cotação 1]],Tabela2[[#This Row],[Cotação 2]])</f>
        <v>23.54</v>
      </c>
      <c r="I577" s="44">
        <f>IF(Tabela2[[#This Row],[Dividendo / Ação]]&gt;0,Tabela2[[#This Row],[Dividendo / Ação]]/Tabela2[[#This Row],[Cotação]],"")</f>
        <v>1.0790144435004249E-2</v>
      </c>
      <c r="J577" s="17">
        <f>SUMPRODUCT(N(Tabela1[Código]=Tabela2[[#This Row],[Ativo]]),Tabela1[Fechamento])</f>
        <v>0</v>
      </c>
      <c r="K577" s="17">
        <f>SUMPRODUCT(N(Tabela17[Código]=Tabela2[[#This Row],[Ativo]]),Tabela17[Fechamento])</f>
        <v>23.54</v>
      </c>
      <c r="L577" s="17">
        <f>SUMPRODUCT(N([Ativo]=Tabela2[[#This Row],[Ativo]]),N([Exercício]=Tabela2[[#This Row],[Exercício]]-1),[Lucro Líquido])</f>
        <v>112319339.34999999</v>
      </c>
      <c r="M577" s="19">
        <f>IF(Tabela2[[#This Row],[Lucro Anterior]]=0,"",IF(Tabela2[[#This Row],[Lucro Líquido]]&gt;0,Tabela2[[#This Row],[Lucro Líquido]]/Tabela2[[#This Row],[Lucro Anterior]]-1,0))</f>
        <v>0.96330675880172922</v>
      </c>
    </row>
    <row r="578" spans="1:13">
      <c r="A578" s="4" t="s">
        <v>438</v>
      </c>
      <c r="B578" s="4">
        <v>2010</v>
      </c>
      <c r="C578" s="6">
        <v>112319339.34999999</v>
      </c>
      <c r="D578" s="74">
        <f>SUMPRODUCT(N(Tabela3[PAPEL]=Tabela2[[#This Row],[Ativo]]),Tabela3[Total Ações])</f>
        <v>260378479</v>
      </c>
      <c r="E578" s="64">
        <f>(Tabela2[[#This Row],[Lucro Líquido]])/Tabela2[[#This Row],[Total Ações]]</f>
        <v>0.43136951940640222</v>
      </c>
      <c r="F578" s="64">
        <v>0.13089999999999999</v>
      </c>
      <c r="G578" s="43">
        <f>IF(AND(Tabela2[[#This Row],[Dividendo / Ação]]&gt;0,Tabela2[[#This Row],[Lucro por ação]]&gt;0),Tabela2[[#This Row],[Dividendo / Ação]]/Tabela2[[#This Row],[Lucro por ação]],"")</f>
        <v>0.30345213120326281</v>
      </c>
      <c r="H578" s="59">
        <f>MAX(Tabela2[[#This Row],[Cotação 1]],Tabela2[[#This Row],[Cotação 2]])</f>
        <v>23.54</v>
      </c>
      <c r="I578" s="44">
        <f>IF(Tabela2[[#This Row],[Dividendo / Ação]]&gt;0,Tabela2[[#This Row],[Dividendo / Ação]]/Tabela2[[#This Row],[Cotação]],"")</f>
        <v>5.5607476635514018E-3</v>
      </c>
      <c r="J578" s="17">
        <f>SUMPRODUCT(N(Tabela1[Código]=Tabela2[[#This Row],[Ativo]]),Tabela1[Fechamento])</f>
        <v>0</v>
      </c>
      <c r="K578" s="17">
        <f>SUMPRODUCT(N(Tabela17[Código]=Tabela2[[#This Row],[Ativo]]),Tabela17[Fechamento])</f>
        <v>23.54</v>
      </c>
      <c r="L578" s="17">
        <f>SUMPRODUCT(N([Ativo]=Tabela2[[#This Row],[Ativo]]),N([Exercício]=Tabela2[[#This Row],[Exercício]]-1),[Lucro Líquido])</f>
        <v>66605139.840000004</v>
      </c>
      <c r="M578" s="19">
        <f>IF(Tabela2[[#This Row],[Lucro Anterior]]=0,"",IF(Tabela2[[#This Row],[Lucro Líquido]]&gt;0,Tabela2[[#This Row],[Lucro Líquido]]/Tabela2[[#This Row],[Lucro Anterior]]-1,0))</f>
        <v>0.68634642341139762</v>
      </c>
    </row>
    <row r="579" spans="1:13">
      <c r="A579" s="4" t="s">
        <v>438</v>
      </c>
      <c r="B579" s="4">
        <v>2009</v>
      </c>
      <c r="C579" s="6">
        <v>66605139.840000004</v>
      </c>
      <c r="D579" s="74">
        <f>SUMPRODUCT(N(Tabela3[PAPEL]=Tabela2[[#This Row],[Ativo]]),Tabela3[Total Ações])</f>
        <v>260378479</v>
      </c>
      <c r="E579" s="64">
        <f>(Tabela2[[#This Row],[Lucro Líquido]])/Tabela2[[#This Row],[Total Ações]]</f>
        <v>0.2558012478442967</v>
      </c>
      <c r="F579" s="64">
        <v>0.29799999999999999</v>
      </c>
      <c r="G579" s="43">
        <f>IF(AND(Tabela2[[#This Row],[Dividendo / Ação]]&gt;0,Tabela2[[#This Row],[Lucro por ação]]&gt;0),Tabela2[[#This Row],[Dividendo / Ação]]/Tabela2[[#This Row],[Lucro por ação]],"")</f>
        <v>1.164966951925853</v>
      </c>
      <c r="H579" s="59">
        <f>MAX(Tabela2[[#This Row],[Cotação 1]],Tabela2[[#This Row],[Cotação 2]])</f>
        <v>23.54</v>
      </c>
      <c r="I579" s="44">
        <f>IF(Tabela2[[#This Row],[Dividendo / Ação]]&gt;0,Tabela2[[#This Row],[Dividendo / Ação]]/Tabela2[[#This Row],[Cotação]],"")</f>
        <v>1.265930331350892E-2</v>
      </c>
      <c r="J579" s="17">
        <f>SUMPRODUCT(N(Tabela1[Código]=Tabela2[[#This Row],[Ativo]]),Tabela1[Fechamento])</f>
        <v>0</v>
      </c>
      <c r="K579" s="17">
        <f>SUMPRODUCT(N(Tabela17[Código]=Tabela2[[#This Row],[Ativo]]),Tabela17[Fechamento])</f>
        <v>23.54</v>
      </c>
      <c r="L579" s="17">
        <f>SUMPRODUCT(N([Ativo]=Tabela2[[#This Row],[Ativo]]),N([Exercício]=Tabela2[[#This Row],[Exercício]]-1),[Lucro Líquido])</f>
        <v>0</v>
      </c>
      <c r="M579" s="19" t="str">
        <f>IF(Tabela2[[#This Row],[Lucro Anterior]]=0,"",IF(Tabela2[[#This Row],[Lucro Líquido]]&gt;0,Tabela2[[#This Row],[Lucro Líquido]]/Tabela2[[#This Row],[Lucro Anterior]]-1,0))</f>
        <v/>
      </c>
    </row>
    <row r="580" spans="1:13">
      <c r="A580" s="4" t="s">
        <v>446</v>
      </c>
      <c r="B580" s="4">
        <v>2012</v>
      </c>
      <c r="C580" s="6">
        <v>796111000</v>
      </c>
      <c r="D580" s="74">
        <f>SUMPRODUCT(N(Tabela3[PAPEL]=Tabela2[[#This Row],[Ativo]]),Tabela3[Total Ações])</f>
        <v>1231364363</v>
      </c>
      <c r="E580" s="64">
        <f>(Tabela2[[#This Row],[Lucro Líquido]])/Tabela2[[#This Row],[Total Ações]]</f>
        <v>0.64652756237026165</v>
      </c>
      <c r="F580" s="64">
        <v>0.33180395810000002</v>
      </c>
      <c r="G580" s="43">
        <f>IF(AND(Tabela2[[#This Row],[Dividendo / Ação]]&gt;0,Tabela2[[#This Row],[Lucro por ação]]&gt;0),Tabela2[[#This Row],[Dividendo / Ação]]/Tabela2[[#This Row],[Lucro por ação]],"")</f>
        <v>0.51320930059587822</v>
      </c>
      <c r="H580" s="59">
        <f>MAX(Tabela2[[#This Row],[Cotação 1]],Tabela2[[#This Row],[Cotação 2]])</f>
        <v>8.9600000000000009</v>
      </c>
      <c r="I580" s="44">
        <f>IF(Tabela2[[#This Row],[Dividendo / Ação]]&gt;0,Tabela2[[#This Row],[Dividendo / Ação]]/Tabela2[[#This Row],[Cotação]],"")</f>
        <v>3.7031691752232143E-2</v>
      </c>
      <c r="J580" s="17">
        <f>SUMPRODUCT(N(Tabela1[Código]=Tabela2[[#This Row],[Ativo]]),Tabela1[Fechamento])</f>
        <v>0</v>
      </c>
      <c r="K580" s="17">
        <f>SUMPRODUCT(N(Tabela17[Código]=Tabela2[[#This Row],[Ativo]]),Tabela17[Fechamento])</f>
        <v>8.9600000000000009</v>
      </c>
      <c r="L580" s="17">
        <f>SUMPRODUCT(N([Ativo]=Tabela2[[#This Row],[Ativo]]),N([Exercício]=Tabela2[[#This Row],[Exercício]]-1),[Lucro Líquido])</f>
        <v>391378000</v>
      </c>
      <c r="M580" s="19">
        <f>IF(Tabela2[[#This Row],[Lucro Anterior]]=0,"",IF(Tabela2[[#This Row],[Lucro Líquido]]&gt;0,Tabela2[[#This Row],[Lucro Líquido]]/Tabela2[[#This Row],[Lucro Anterior]]-1,0))</f>
        <v>1.0341230217334649</v>
      </c>
    </row>
    <row r="581" spans="1:13">
      <c r="A581" s="4" t="s">
        <v>446</v>
      </c>
      <c r="B581" s="4">
        <v>2011</v>
      </c>
      <c r="C581" s="6">
        <v>391378000</v>
      </c>
      <c r="D581" s="74">
        <f>SUMPRODUCT(N(Tabela3[PAPEL]=Tabela2[[#This Row],[Ativo]]),Tabela3[Total Ações])</f>
        <v>1231364363</v>
      </c>
      <c r="E581" s="64">
        <f>(Tabela2[[#This Row],[Lucro Líquido]])/Tabela2[[#This Row],[Total Ações]]</f>
        <v>0.31784093462513174</v>
      </c>
      <c r="F581" s="64">
        <v>0.33180395810000002</v>
      </c>
      <c r="G581" s="43">
        <f>IF(AND(Tabela2[[#This Row],[Dividendo / Ação]]&gt;0,Tabela2[[#This Row],[Lucro por ação]]&gt;0),Tabela2[[#This Row],[Dividendo / Ação]]/Tabela2[[#This Row],[Lucro por ação]],"")</f>
        <v>1.043930853309806</v>
      </c>
      <c r="H581" s="59">
        <f>MAX(Tabela2[[#This Row],[Cotação 1]],Tabela2[[#This Row],[Cotação 2]])</f>
        <v>8.9600000000000009</v>
      </c>
      <c r="I581" s="44">
        <f>IF(Tabela2[[#This Row],[Dividendo / Ação]]&gt;0,Tabela2[[#This Row],[Dividendo / Ação]]/Tabela2[[#This Row],[Cotação]],"")</f>
        <v>3.7031691752232143E-2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8.9600000000000009</v>
      </c>
      <c r="L581" s="17">
        <f>SUMPRODUCT(N([Ativo]=Tabela2[[#This Row],[Ativo]]),N([Exercício]=Tabela2[[#This Row],[Exercício]]-1),[Lucro Líquido])</f>
        <v>723006000</v>
      </c>
      <c r="M581" s="19">
        <f>IF(Tabela2[[#This Row],[Lucro Anterior]]=0,"",IF(Tabela2[[#This Row],[Lucro Líquido]]&gt;0,Tabela2[[#This Row],[Lucro Líquido]]/Tabela2[[#This Row],[Lucro Anterior]]-1,0))</f>
        <v>-0.45867945770851137</v>
      </c>
    </row>
    <row r="582" spans="1:13">
      <c r="A582" s="4" t="s">
        <v>446</v>
      </c>
      <c r="B582" s="4">
        <v>2010</v>
      </c>
      <c r="C582" s="6">
        <v>723006000</v>
      </c>
      <c r="D582" s="74">
        <f>SUMPRODUCT(N(Tabela3[PAPEL]=Tabela2[[#This Row],[Ativo]]),Tabela3[Total Ações])</f>
        <v>1231364363</v>
      </c>
      <c r="E582" s="64">
        <f>(Tabela2[[#This Row],[Lucro Líquido]])/Tabela2[[#This Row],[Total Ações]]</f>
        <v>0.58715845750036544</v>
      </c>
      <c r="F582" s="64">
        <v>0.33180395810000002</v>
      </c>
      <c r="G582" s="43">
        <f>IF(AND(Tabela2[[#This Row],[Dividendo / Ação]]&gt;0,Tabela2[[#This Row],[Lucro por ação]]&gt;0),Tabela2[[#This Row],[Dividendo / Ação]]/Tabela2[[#This Row],[Lucro por ação]],"")</f>
        <v>0.56510121562848048</v>
      </c>
      <c r="H582" s="59">
        <f>MAX(Tabela2[[#This Row],[Cotação 1]],Tabela2[[#This Row],[Cotação 2]])</f>
        <v>8.9600000000000009</v>
      </c>
      <c r="I582" s="44">
        <f>IF(Tabela2[[#This Row],[Dividendo / Ação]]&gt;0,Tabela2[[#This Row],[Dividendo / Ação]]/Tabela2[[#This Row],[Cotação]],"")</f>
        <v>3.7031691752232143E-2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8.9600000000000009</v>
      </c>
      <c r="L582" s="17">
        <f>SUMPRODUCT(N([Ativo]=Tabela2[[#This Row],[Ativo]]),N([Exercício]=Tabela2[[#This Row],[Exercício]]-1),[Lucro Líquido])</f>
        <v>0</v>
      </c>
      <c r="M582" s="19" t="str">
        <f>IF(Tabela2[[#This Row],[Lucro Anterior]]=0,"",IF(Tabela2[[#This Row],[Lucro Líquido]]&gt;0,Tabela2[[#This Row],[Lucro Líquido]]/Tabela2[[#This Row],[Lucro Anterior]]-1,0))</f>
        <v/>
      </c>
    </row>
    <row r="583" spans="1:13">
      <c r="A583" s="4" t="s">
        <v>585</v>
      </c>
      <c r="B583" s="4">
        <v>2012</v>
      </c>
      <c r="C583" s="6">
        <v>15469895.77</v>
      </c>
      <c r="D583" s="74">
        <f>SUMPRODUCT(N(Tabela3[PAPEL]=Tabela2[[#This Row],[Ativo]]),Tabela3[Total Ações])</f>
        <v>12587262</v>
      </c>
      <c r="E583" s="64">
        <f>(Tabela2[[#This Row],[Lucro Líquido]])/Tabela2[[#This Row],[Total Ações]]</f>
        <v>1.2290119781410762</v>
      </c>
      <c r="F583" s="64">
        <v>0.34962399999999999</v>
      </c>
      <c r="G583" s="43">
        <f>IF(AND(Tabela2[[#This Row],[Dividendo / Ação]]&gt;0,Tabela2[[#This Row],[Lucro por ação]]&gt;0),Tabela2[[#This Row],[Dividendo / Ação]]/Tabela2[[#This Row],[Lucro por ação]],"")</f>
        <v>0.2844756651833602</v>
      </c>
      <c r="H583" s="59">
        <f>MAX(Tabela2[[#This Row],[Cotação 1]],Tabela2[[#This Row],[Cotação 2]])</f>
        <v>18</v>
      </c>
      <c r="I583" s="44">
        <f>IF(Tabela2[[#This Row],[Dividendo / Ação]]&gt;0,Tabela2[[#This Row],[Dividendo / Ação]]/Tabela2[[#This Row],[Cotação]],"")</f>
        <v>1.9423555555555555E-2</v>
      </c>
      <c r="J583" s="17">
        <f>SUMPRODUCT(N(Tabela1[Código]=Tabela2[[#This Row],[Ativo]]),Tabela1[Fechamento])</f>
        <v>18</v>
      </c>
      <c r="K583" s="17">
        <f>SUMPRODUCT(N(Tabela17[Código]=Tabela2[[#This Row],[Ativo]]),Tabela17[Fechamento])</f>
        <v>0</v>
      </c>
      <c r="L583" s="17">
        <f>SUMPRODUCT(N([Ativo]=Tabela2[[#This Row],[Ativo]]),N([Exercício]=Tabela2[[#This Row],[Exercício]]-1),[Lucro Líquido])</f>
        <v>13306306.460000001</v>
      </c>
      <c r="M583" s="19">
        <f>IF(Tabela2[[#This Row],[Lucro Anterior]]=0,"",IF(Tabela2[[#This Row],[Lucro Líquido]]&gt;0,Tabela2[[#This Row],[Lucro Líquido]]/Tabela2[[#This Row],[Lucro Anterior]]-1,0))</f>
        <v>0.1625987885146003</v>
      </c>
    </row>
    <row r="584" spans="1:13">
      <c r="A584" s="4" t="s">
        <v>585</v>
      </c>
      <c r="B584" s="4">
        <v>2011</v>
      </c>
      <c r="C584" s="6">
        <v>13306306.460000001</v>
      </c>
      <c r="D584" s="74">
        <f>SUMPRODUCT(N(Tabela3[PAPEL]=Tabela2[[#This Row],[Ativo]]),Tabela3[Total Ações])</f>
        <v>12587262</v>
      </c>
      <c r="E584" s="64">
        <f>(Tabela2[[#This Row],[Lucro Líquido]])/Tabela2[[#This Row],[Total Ações]]</f>
        <v>1.0571247710582334</v>
      </c>
      <c r="F584" s="64">
        <v>0.30808799999999997</v>
      </c>
      <c r="G584" s="43">
        <f>IF(AND(Tabela2[[#This Row],[Dividendo / Ação]]&gt;0,Tabela2[[#This Row],[Lucro por ação]]&gt;0),Tabela2[[#This Row],[Dividendo / Ação]]/Tabela2[[#This Row],[Lucro por ação]],"")</f>
        <v>0.2914395806765448</v>
      </c>
      <c r="H584" s="59">
        <f>MAX(Tabela2[[#This Row],[Cotação 1]],Tabela2[[#This Row],[Cotação 2]])</f>
        <v>18</v>
      </c>
      <c r="I584" s="44">
        <f>IF(Tabela2[[#This Row],[Dividendo / Ação]]&gt;0,Tabela2[[#This Row],[Dividendo / Ação]]/Tabela2[[#This Row],[Cotação]],"")</f>
        <v>1.7115999999999999E-2</v>
      </c>
      <c r="J584" s="17">
        <f>SUMPRODUCT(N(Tabela1[Código]=Tabela2[[#This Row],[Ativo]]),Tabela1[Fechamento])</f>
        <v>18</v>
      </c>
      <c r="K584" s="17">
        <f>SUMPRODUCT(N(Tabela17[Código]=Tabela2[[#This Row],[Ativo]]),Tabela17[Fechamento])</f>
        <v>0</v>
      </c>
      <c r="L584" s="17">
        <f>SUMPRODUCT(N([Ativo]=Tabela2[[#This Row],[Ativo]]),N([Exercício]=Tabela2[[#This Row],[Exercício]]-1),[Lucro Líquido])</f>
        <v>19966613.23</v>
      </c>
      <c r="M584" s="19">
        <f>IF(Tabela2[[#This Row],[Lucro Anterior]]=0,"",IF(Tabela2[[#This Row],[Lucro Líquido]]&gt;0,Tabela2[[#This Row],[Lucro Líquido]]/Tabela2[[#This Row],[Lucro Anterior]]-1,0))</f>
        <v>-0.333572183388259</v>
      </c>
    </row>
    <row r="585" spans="1:13">
      <c r="A585" s="4" t="s">
        <v>585</v>
      </c>
      <c r="B585" s="4">
        <v>2010</v>
      </c>
      <c r="C585" s="6">
        <v>19966613.23</v>
      </c>
      <c r="D585" s="74">
        <f>SUMPRODUCT(N(Tabela3[PAPEL]=Tabela2[[#This Row],[Ativo]]),Tabela3[Total Ações])</f>
        <v>12587262</v>
      </c>
      <c r="E585" s="64">
        <f>(Tabela2[[#This Row],[Lucro Líquido]])/Tabela2[[#This Row],[Total Ações]]</f>
        <v>1.5862554723974125</v>
      </c>
      <c r="F585" s="64">
        <v>0.51934000000000002</v>
      </c>
      <c r="G585" s="43">
        <f>IF(AND(Tabela2[[#This Row],[Dividendo / Ação]]&gt;0,Tabela2[[#This Row],[Lucro por ação]]&gt;0),Tabela2[[#This Row],[Dividendo / Ação]]/Tabela2[[#This Row],[Lucro por ação]],"")</f>
        <v>0.32739997373505497</v>
      </c>
      <c r="H585" s="59">
        <f>MAX(Tabela2[[#This Row],[Cotação 1]],Tabela2[[#This Row],[Cotação 2]])</f>
        <v>18</v>
      </c>
      <c r="I585" s="44">
        <f>IF(Tabela2[[#This Row],[Dividendo / Ação]]&gt;0,Tabela2[[#This Row],[Dividendo / Ação]]/Tabela2[[#This Row],[Cotação]],"")</f>
        <v>2.8852222222222224E-2</v>
      </c>
      <c r="J585" s="17">
        <f>SUMPRODUCT(N(Tabela1[Código]=Tabela2[[#This Row],[Ativo]]),Tabela1[Fechamento])</f>
        <v>18</v>
      </c>
      <c r="K585" s="17">
        <f>SUMPRODUCT(N(Tabela17[Código]=Tabela2[[#This Row],[Ativo]]),Tabela17[Fechamento])</f>
        <v>0</v>
      </c>
      <c r="L585" s="17">
        <f>SUMPRODUCT(N([Ativo]=Tabela2[[#This Row],[Ativo]]),N([Exercício]=Tabela2[[#This Row],[Exercício]]-1),[Lucro Líquido])</f>
        <v>8984823.1899999995</v>
      </c>
      <c r="M585" s="19">
        <f>IF(Tabela2[[#This Row],[Lucro Anterior]]=0,"",IF(Tabela2[[#This Row],[Lucro Líquido]]&gt;0,Tabela2[[#This Row],[Lucro Líquido]]/Tabela2[[#This Row],[Lucro Anterior]]-1,0))</f>
        <v>1.2222600053190362</v>
      </c>
    </row>
    <row r="586" spans="1:13">
      <c r="A586" s="4" t="s">
        <v>585</v>
      </c>
      <c r="B586" s="4">
        <v>2009</v>
      </c>
      <c r="C586" s="6">
        <v>8984823.1899999995</v>
      </c>
      <c r="D586" s="74">
        <f>SUMPRODUCT(N(Tabela3[PAPEL]=Tabela2[[#This Row],[Ativo]]),Tabela3[Total Ações])</f>
        <v>12587262</v>
      </c>
      <c r="E586" s="64">
        <f>(Tabela2[[#This Row],[Lucro Líquido]])/Tabela2[[#This Row],[Total Ações]]</f>
        <v>0.71380282622225544</v>
      </c>
      <c r="F586" s="64">
        <v>0.22691</v>
      </c>
      <c r="G586" s="43">
        <f>IF(AND(Tabela2[[#This Row],[Dividendo / Ação]]&gt;0,Tabela2[[#This Row],[Lucro por ação]]&gt;0),Tabela2[[#This Row],[Dividendo / Ação]]/Tabela2[[#This Row],[Lucro por ação]],"")</f>
        <v>0.31788890666194625</v>
      </c>
      <c r="H586" s="59">
        <f>MAX(Tabela2[[#This Row],[Cotação 1]],Tabela2[[#This Row],[Cotação 2]])</f>
        <v>18</v>
      </c>
      <c r="I586" s="44">
        <f>IF(Tabela2[[#This Row],[Dividendo / Ação]]&gt;0,Tabela2[[#This Row],[Dividendo / Ação]]/Tabela2[[#This Row],[Cotação]],"")</f>
        <v>1.2606111111111111E-2</v>
      </c>
      <c r="J586" s="17">
        <f>SUMPRODUCT(N(Tabela1[Código]=Tabela2[[#This Row],[Ativo]]),Tabela1[Fechamento])</f>
        <v>18</v>
      </c>
      <c r="K586" s="17">
        <f>SUMPRODUCT(N(Tabela17[Código]=Tabela2[[#This Row],[Ativo]]),Tabela17[Fechamento])</f>
        <v>0</v>
      </c>
      <c r="L586" s="17">
        <f>SUMPRODUCT(N([Ativo]=Tabela2[[#This Row],[Ativo]]),N([Exercício]=Tabela2[[#This Row],[Exercício]]-1),[Lucro Líquido])</f>
        <v>0</v>
      </c>
      <c r="M586" s="19" t="str">
        <f>IF(Tabela2[[#This Row],[Lucro Anterior]]=0,"",IF(Tabela2[[#This Row],[Lucro Líquido]]&gt;0,Tabela2[[#This Row],[Lucro Líquido]]/Tabela2[[#This Row],[Lucro Anterior]]-1,0))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3:H186"/>
  <sheetViews>
    <sheetView topLeftCell="A151" workbookViewId="0">
      <selection activeCell="A160" sqref="A160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5703125" customWidth="1"/>
    <col min="7" max="7" width="21.42578125" bestFit="1" customWidth="1"/>
    <col min="8" max="8" width="23.140625" bestFit="1" customWidth="1"/>
    <col min="9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8">
      <c r="B3" s="1" t="s">
        <v>11</v>
      </c>
    </row>
    <row r="4" spans="1:8">
      <c r="A4" s="1" t="s">
        <v>359</v>
      </c>
      <c r="B4" t="s">
        <v>445</v>
      </c>
      <c r="C4" t="s">
        <v>337</v>
      </c>
      <c r="D4" t="s">
        <v>335</v>
      </c>
      <c r="E4" t="s">
        <v>334</v>
      </c>
      <c r="F4" t="s">
        <v>336</v>
      </c>
      <c r="G4" t="s">
        <v>575</v>
      </c>
      <c r="H4" t="s">
        <v>578</v>
      </c>
    </row>
    <row r="5" spans="1:8">
      <c r="A5" s="2" t="s">
        <v>22</v>
      </c>
      <c r="B5" s="79">
        <v>2.27</v>
      </c>
      <c r="C5" s="24">
        <v>0.5675</v>
      </c>
      <c r="D5" s="54">
        <v>0.38903884611110762</v>
      </c>
      <c r="E5" s="24">
        <v>12.19</v>
      </c>
      <c r="F5" s="54">
        <v>4.6554552912223136E-2</v>
      </c>
      <c r="G5" s="54">
        <v>0.12759118241051279</v>
      </c>
      <c r="H5" s="94">
        <v>218224873.02250001</v>
      </c>
    </row>
    <row r="6" spans="1:8">
      <c r="A6" s="2" t="s">
        <v>67</v>
      </c>
      <c r="B6" s="79">
        <v>9.9347384349999999</v>
      </c>
      <c r="C6" s="24">
        <v>2.48368460875</v>
      </c>
      <c r="D6" s="54">
        <v>0.83226612425770607</v>
      </c>
      <c r="E6" s="24">
        <v>8.3000000000000007</v>
      </c>
      <c r="F6" s="54">
        <v>0.39898547931726908</v>
      </c>
      <c r="G6" s="54">
        <v>9.475616105118341E-2</v>
      </c>
      <c r="H6" s="94">
        <v>279339150.70499998</v>
      </c>
    </row>
    <row r="7" spans="1:8">
      <c r="A7" s="2" t="s">
        <v>403</v>
      </c>
      <c r="B7" s="79">
        <v>0.70115961299999996</v>
      </c>
      <c r="C7" s="24">
        <v>0.17528990324999999</v>
      </c>
      <c r="D7" s="54">
        <v>0.31390723596420989</v>
      </c>
      <c r="E7" s="24">
        <v>18</v>
      </c>
      <c r="F7" s="54">
        <v>9.7383279583333343E-3</v>
      </c>
      <c r="G7" s="54">
        <v>0.41952609927422868</v>
      </c>
      <c r="H7" s="94">
        <v>82778888.165000007</v>
      </c>
    </row>
    <row r="8" spans="1:8">
      <c r="A8" s="2" t="s">
        <v>345</v>
      </c>
      <c r="B8" s="79">
        <v>3.5139</v>
      </c>
      <c r="C8" s="24">
        <v>1.1713</v>
      </c>
      <c r="D8" s="54">
        <v>0.19103666588090965</v>
      </c>
      <c r="E8" s="24">
        <v>4.8099999999999996</v>
      </c>
      <c r="F8" s="54">
        <v>0.2435135135135135</v>
      </c>
      <c r="G8" s="54">
        <v>0</v>
      </c>
      <c r="H8" s="94">
        <v>14234629.530000001</v>
      </c>
    </row>
    <row r="9" spans="1:8">
      <c r="A9" s="2" t="s">
        <v>62</v>
      </c>
      <c r="B9" s="79">
        <v>9.0676000000000007E-2</v>
      </c>
      <c r="C9" s="24">
        <v>3.0225333333333337E-2</v>
      </c>
      <c r="D9" s="54">
        <v>0.75262718633546799</v>
      </c>
      <c r="E9" s="24">
        <v>0.33</v>
      </c>
      <c r="F9" s="54">
        <v>9.1591919191919183E-2</v>
      </c>
      <c r="G9" s="54">
        <v>0.3324169821980405</v>
      </c>
      <c r="H9" s="94">
        <v>128893042.28000002</v>
      </c>
    </row>
    <row r="10" spans="1:8">
      <c r="A10" s="2" t="s">
        <v>24</v>
      </c>
      <c r="B10" s="79">
        <v>6.4904219379999999</v>
      </c>
      <c r="C10" s="24">
        <v>1.6226054845</v>
      </c>
      <c r="D10" s="54">
        <v>0.40025891489587845</v>
      </c>
      <c r="E10" s="24">
        <v>23.17</v>
      </c>
      <c r="F10" s="54">
        <v>7.0030448187311162E-2</v>
      </c>
      <c r="G10" s="54">
        <v>6.8476899026523722E-2</v>
      </c>
      <c r="H10" s="94">
        <v>11615704014.0725</v>
      </c>
    </row>
    <row r="11" spans="1:8">
      <c r="A11" s="2" t="s">
        <v>218</v>
      </c>
      <c r="B11" s="79">
        <v>3.615661427</v>
      </c>
      <c r="C11" s="24">
        <v>0.90391535675000001</v>
      </c>
      <c r="D11" s="54">
        <v>0.37734094800257278</v>
      </c>
      <c r="E11" s="24">
        <v>30.03</v>
      </c>
      <c r="F11" s="54">
        <v>3.0100411480186478E-2</v>
      </c>
      <c r="G11" s="54">
        <v>0.12214477503472325</v>
      </c>
      <c r="H11" s="94">
        <v>10178193450.567501</v>
      </c>
    </row>
    <row r="12" spans="1:8">
      <c r="A12" s="2" t="s">
        <v>219</v>
      </c>
      <c r="B12" s="79">
        <v>3.9772269699999998</v>
      </c>
      <c r="C12" s="24">
        <v>0.99430674249999995</v>
      </c>
      <c r="D12" s="54">
        <v>0.41507496875695749</v>
      </c>
      <c r="E12" s="24">
        <v>27.83</v>
      </c>
      <c r="F12" s="54">
        <v>3.5727874326266618E-2</v>
      </c>
      <c r="G12" s="54">
        <v>0.12214477503472325</v>
      </c>
      <c r="H12" s="94">
        <v>10178193450.567501</v>
      </c>
    </row>
    <row r="13" spans="1:8">
      <c r="A13" s="2" t="s">
        <v>25</v>
      </c>
      <c r="B13" s="79">
        <v>0.25</v>
      </c>
      <c r="C13" s="24">
        <v>0.25</v>
      </c>
      <c r="D13" s="54">
        <v>0.25</v>
      </c>
      <c r="E13" s="24">
        <v>23.96</v>
      </c>
      <c r="F13" s="54">
        <v>1.0434056761268781E-2</v>
      </c>
      <c r="G13" s="54" t="e">
        <v>#DIV/0!</v>
      </c>
      <c r="H13" s="94">
        <v>2000000000</v>
      </c>
    </row>
    <row r="14" spans="1:8">
      <c r="A14" s="2" t="s">
        <v>58</v>
      </c>
      <c r="B14" s="79">
        <v>9.8954472679999989E-2</v>
      </c>
      <c r="C14" s="24">
        <v>2.4738618169999997E-2</v>
      </c>
      <c r="D14" s="54">
        <v>0.36351567797691797</v>
      </c>
      <c r="E14" s="24">
        <v>0.47</v>
      </c>
      <c r="F14" s="54">
        <v>5.2635357808510641E-2</v>
      </c>
      <c r="G14" s="54">
        <v>-9.5701446679039903E-2</v>
      </c>
      <c r="H14" s="94">
        <v>117201500</v>
      </c>
    </row>
    <row r="15" spans="1:8">
      <c r="A15" s="2" t="s">
        <v>59</v>
      </c>
      <c r="B15" s="79">
        <v>9.8954472679999989E-2</v>
      </c>
      <c r="C15" s="24">
        <v>2.4738618169999997E-2</v>
      </c>
      <c r="D15" s="54">
        <v>0.36351567797691797</v>
      </c>
      <c r="E15" s="24">
        <v>0.46</v>
      </c>
      <c r="F15" s="54">
        <v>5.3779604717391301E-2</v>
      </c>
      <c r="G15" s="54">
        <v>-9.5701446679039903E-2</v>
      </c>
      <c r="H15" s="94">
        <v>117201500</v>
      </c>
    </row>
    <row r="16" spans="1:8">
      <c r="A16" s="2" t="s">
        <v>223</v>
      </c>
      <c r="B16" s="79">
        <v>14.742487617</v>
      </c>
      <c r="C16" s="24">
        <v>3.68562190425</v>
      </c>
      <c r="D16" s="54">
        <v>0.55210929465239156</v>
      </c>
      <c r="E16" s="24">
        <v>43.25</v>
      </c>
      <c r="F16" s="54">
        <v>8.5216691427745669E-2</v>
      </c>
      <c r="G16" s="54">
        <v>0.34330094742158207</v>
      </c>
      <c r="H16" s="94">
        <v>68133179.454999998</v>
      </c>
    </row>
    <row r="17" spans="1:8">
      <c r="A17" s="2" t="s">
        <v>224</v>
      </c>
      <c r="B17" s="79">
        <v>16.217936407</v>
      </c>
      <c r="C17" s="24">
        <v>4.05448410175</v>
      </c>
      <c r="D17" s="54">
        <v>0.60740107618893502</v>
      </c>
      <c r="E17" s="24">
        <v>45</v>
      </c>
      <c r="F17" s="54">
        <v>9.0099646705555536E-2</v>
      </c>
      <c r="G17" s="54">
        <v>0.34330094742158207</v>
      </c>
      <c r="H17" s="94">
        <v>68133179.454999998</v>
      </c>
    </row>
    <row r="18" spans="1:8">
      <c r="A18" s="2" t="s">
        <v>230</v>
      </c>
      <c r="B18" s="79">
        <v>1.5524389780000001</v>
      </c>
      <c r="C18" s="24">
        <v>0.5174796593333334</v>
      </c>
      <c r="D18" s="54">
        <v>0.69029873873004899</v>
      </c>
      <c r="E18" s="24">
        <v>9.65</v>
      </c>
      <c r="F18" s="54">
        <v>5.3624835164075992E-2</v>
      </c>
      <c r="G18" s="54">
        <v>-0.4322891755513425</v>
      </c>
      <c r="H18" s="94">
        <v>229919316.20666668</v>
      </c>
    </row>
    <row r="19" spans="1:8">
      <c r="A19" s="2" t="s">
        <v>10</v>
      </c>
      <c r="B19" s="79">
        <v>1.5524389780000001</v>
      </c>
      <c r="C19" s="24">
        <v>0.5174796593333334</v>
      </c>
      <c r="D19" s="54">
        <v>0.69029873873004899</v>
      </c>
      <c r="E19" s="24">
        <v>7.4000000000000012</v>
      </c>
      <c r="F19" s="54">
        <v>6.9929683693693692E-2</v>
      </c>
      <c r="G19" s="54">
        <v>-0.4322891755513425</v>
      </c>
      <c r="H19" s="94">
        <v>229919316.20666668</v>
      </c>
    </row>
    <row r="20" spans="1:8">
      <c r="A20" s="2" t="s">
        <v>234</v>
      </c>
      <c r="B20" s="79">
        <v>2.1909999999999999E-2</v>
      </c>
      <c r="C20" s="24">
        <v>7.3033333333333327E-3</v>
      </c>
      <c r="D20" s="54">
        <v>0.29293027940656419</v>
      </c>
      <c r="E20" s="24">
        <v>1.1000000000000001</v>
      </c>
      <c r="F20" s="54">
        <v>6.639393939393938E-3</v>
      </c>
      <c r="G20" s="54">
        <v>0.52033347386754958</v>
      </c>
      <c r="H20" s="94">
        <v>4478666.666666667</v>
      </c>
    </row>
    <row r="21" spans="1:8">
      <c r="A21" s="2" t="s">
        <v>61</v>
      </c>
      <c r="B21" s="79">
        <v>3.3812500000000002E-2</v>
      </c>
      <c r="C21" s="24">
        <v>1.1270833333333334E-2</v>
      </c>
      <c r="D21" s="54">
        <v>0.49690562667042543</v>
      </c>
      <c r="E21" s="24">
        <v>0.26</v>
      </c>
      <c r="F21" s="54">
        <v>4.334935897435898E-2</v>
      </c>
      <c r="G21" s="54">
        <v>0.52033347386754958</v>
      </c>
      <c r="H21" s="94">
        <v>4478666.666666667</v>
      </c>
    </row>
    <row r="22" spans="1:8">
      <c r="A22" s="2" t="s">
        <v>236</v>
      </c>
      <c r="B22" s="79">
        <v>8.8817249693799987</v>
      </c>
      <c r="C22" s="24">
        <v>2.2204312423449997</v>
      </c>
      <c r="D22" s="54">
        <v>0.50160075598307408</v>
      </c>
      <c r="E22" s="24">
        <v>28.74</v>
      </c>
      <c r="F22" s="54">
        <v>7.7259263825504521E-2</v>
      </c>
      <c r="G22" s="54">
        <v>0.10064036546498956</v>
      </c>
      <c r="H22" s="94">
        <v>398941256.19500005</v>
      </c>
    </row>
    <row r="23" spans="1:8">
      <c r="A23" s="2" t="s">
        <v>237</v>
      </c>
      <c r="B23" s="79">
        <v>9.7698974651009998</v>
      </c>
      <c r="C23" s="24">
        <v>2.4424743662752499</v>
      </c>
      <c r="D23" s="54">
        <v>0.55176083148968624</v>
      </c>
      <c r="E23" s="24">
        <v>23.54</v>
      </c>
      <c r="F23" s="54">
        <v>0.10375846925553314</v>
      </c>
      <c r="G23" s="54">
        <v>0.10064036546498956</v>
      </c>
      <c r="H23" s="94">
        <v>398941256.19500005</v>
      </c>
    </row>
    <row r="24" spans="1:8">
      <c r="A24" s="2" t="s">
        <v>329</v>
      </c>
      <c r="B24" s="79">
        <v>4.7659533490000001</v>
      </c>
      <c r="C24" s="24">
        <v>1.19148833725</v>
      </c>
      <c r="D24" s="54">
        <v>0.33996836443315553</v>
      </c>
      <c r="E24" s="24">
        <v>18.16</v>
      </c>
      <c r="F24" s="54">
        <v>6.5610591258259923E-2</v>
      </c>
      <c r="G24" s="54">
        <v>7.1913364382687958E-2</v>
      </c>
      <c r="H24" s="94">
        <v>1305025696.7574999</v>
      </c>
    </row>
    <row r="25" spans="1:8">
      <c r="A25" s="2" t="s">
        <v>330</v>
      </c>
      <c r="B25" s="79">
        <v>5.2425486910000005</v>
      </c>
      <c r="C25" s="24">
        <v>1.3106371727500001</v>
      </c>
      <c r="D25" s="54">
        <v>0.37396520131393723</v>
      </c>
      <c r="E25" s="24">
        <v>22.41</v>
      </c>
      <c r="F25" s="54">
        <v>5.8484478926818385E-2</v>
      </c>
      <c r="G25" s="54">
        <v>7.1913364382687958E-2</v>
      </c>
      <c r="H25" s="94">
        <v>1305025696.7574999</v>
      </c>
    </row>
    <row r="26" spans="1:8">
      <c r="A26" s="2" t="s">
        <v>311</v>
      </c>
      <c r="B26" s="79">
        <v>1.3453999240000001</v>
      </c>
      <c r="C26" s="24">
        <v>0.44846664133333336</v>
      </c>
      <c r="D26" s="54">
        <v>0.37734950584130339</v>
      </c>
      <c r="E26" s="24">
        <v>44.71</v>
      </c>
      <c r="F26" s="54">
        <v>1.0030566793409379E-2</v>
      </c>
      <c r="G26" s="54">
        <v>0.14762718713391032</v>
      </c>
      <c r="H26" s="94">
        <v>994914000</v>
      </c>
    </row>
    <row r="27" spans="1:8">
      <c r="A27" s="2" t="s">
        <v>249</v>
      </c>
      <c r="B27" s="79">
        <v>0.89261000000000001</v>
      </c>
      <c r="C27" s="24">
        <v>0.2231525</v>
      </c>
      <c r="D27" s="54">
        <v>0.3043021650591613</v>
      </c>
      <c r="E27" s="24">
        <v>3.82</v>
      </c>
      <c r="F27" s="54">
        <v>5.8416884816753931E-2</v>
      </c>
      <c r="G27" s="54">
        <v>0.10909453294176023</v>
      </c>
      <c r="H27" s="94">
        <v>54203000</v>
      </c>
    </row>
    <row r="28" spans="1:8">
      <c r="A28" s="2" t="s">
        <v>250</v>
      </c>
      <c r="B28" s="79">
        <v>0.15121000000000001</v>
      </c>
      <c r="C28" s="24">
        <v>3.7802500000000003E-2</v>
      </c>
      <c r="D28" s="54">
        <v>5.4484299057845742E-2</v>
      </c>
      <c r="E28" s="24">
        <v>4</v>
      </c>
      <c r="F28" s="54">
        <v>9.4506250000000007E-3</v>
      </c>
      <c r="G28" s="54">
        <v>0.10909453294176023</v>
      </c>
      <c r="H28" s="94">
        <v>54203000</v>
      </c>
    </row>
    <row r="29" spans="1:8">
      <c r="A29" s="2" t="s">
        <v>245</v>
      </c>
      <c r="B29" s="79">
        <v>0.13079000000000002</v>
      </c>
      <c r="C29" s="24">
        <v>3.2697500000000004E-2</v>
      </c>
      <c r="D29" s="54">
        <v>4.7361278676921532E-2</v>
      </c>
      <c r="E29" s="24">
        <v>4.2</v>
      </c>
      <c r="F29" s="54">
        <v>7.7851190476190468E-3</v>
      </c>
      <c r="G29" s="54">
        <v>0.10909453294176023</v>
      </c>
      <c r="H29" s="94">
        <v>54203000</v>
      </c>
    </row>
    <row r="30" spans="1:8">
      <c r="A30" s="2" t="s">
        <v>246</v>
      </c>
      <c r="B30" s="79">
        <v>0.74415000000000009</v>
      </c>
      <c r="C30" s="24">
        <v>0.18603750000000002</v>
      </c>
      <c r="D30" s="54">
        <v>0.25370503766276303</v>
      </c>
      <c r="E30" s="24">
        <v>3.27</v>
      </c>
      <c r="F30" s="54">
        <v>5.6892201834862384E-2</v>
      </c>
      <c r="G30" s="54">
        <v>0.10909453294176023</v>
      </c>
      <c r="H30" s="94">
        <v>54203000</v>
      </c>
    </row>
    <row r="31" spans="1:8">
      <c r="A31" s="2" t="s">
        <v>78</v>
      </c>
      <c r="B31" s="79">
        <v>1.7833599999999998</v>
      </c>
      <c r="C31" s="24">
        <v>0.44583999999999996</v>
      </c>
      <c r="D31" s="54">
        <v>0.60787593639212112</v>
      </c>
      <c r="E31" s="24">
        <v>5.97</v>
      </c>
      <c r="F31" s="54">
        <v>7.4680067001675038E-2</v>
      </c>
      <c r="G31" s="54">
        <v>0.10909453294176023</v>
      </c>
      <c r="H31" s="94">
        <v>54203000</v>
      </c>
    </row>
    <row r="32" spans="1:8">
      <c r="A32" s="2" t="s">
        <v>247</v>
      </c>
      <c r="B32" s="79">
        <v>1.0410699999999999</v>
      </c>
      <c r="C32" s="24">
        <v>0.26026749999999998</v>
      </c>
      <c r="D32" s="54">
        <v>0.35489823087446021</v>
      </c>
      <c r="E32" s="24">
        <v>3.6</v>
      </c>
      <c r="F32" s="54">
        <v>7.2296527777777786E-2</v>
      </c>
      <c r="G32" s="54">
        <v>0.10909453294176023</v>
      </c>
      <c r="H32" s="94">
        <v>54203000</v>
      </c>
    </row>
    <row r="33" spans="1:8">
      <c r="A33" s="2" t="s">
        <v>248</v>
      </c>
      <c r="B33" s="79">
        <v>0.74415000000000009</v>
      </c>
      <c r="C33" s="24">
        <v>0.18603750000000002</v>
      </c>
      <c r="D33" s="54">
        <v>0.25370503766276303</v>
      </c>
      <c r="E33" s="24">
        <v>3.81</v>
      </c>
      <c r="F33" s="54">
        <v>4.8828740157480316E-2</v>
      </c>
      <c r="G33" s="54">
        <v>0.10909453294176023</v>
      </c>
      <c r="H33" s="94">
        <v>54203000</v>
      </c>
    </row>
    <row r="34" spans="1:8">
      <c r="A34" s="2" t="s">
        <v>429</v>
      </c>
      <c r="B34" s="79">
        <v>1.9943204080000001</v>
      </c>
      <c r="C34" s="24">
        <v>0.66477346933333337</v>
      </c>
      <c r="D34" s="54">
        <v>0.61772022954134342</v>
      </c>
      <c r="E34" s="24">
        <v>18.2</v>
      </c>
      <c r="F34" s="54">
        <v>3.6526014798534796E-2</v>
      </c>
      <c r="G34" s="54">
        <v>3.597797790271549</v>
      </c>
      <c r="H34" s="94">
        <v>76540604.343333349</v>
      </c>
    </row>
    <row r="35" spans="1:8">
      <c r="A35" s="2" t="s">
        <v>214</v>
      </c>
      <c r="B35" s="79">
        <v>0.54610000000000003</v>
      </c>
      <c r="C35" s="24">
        <v>0.13652500000000001</v>
      </c>
      <c r="D35" s="54">
        <v>0.16455420283136202</v>
      </c>
      <c r="E35" s="24">
        <v>6.61</v>
      </c>
      <c r="F35" s="54">
        <v>2.0654311649016641E-2</v>
      </c>
      <c r="G35" s="54">
        <v>-4.2733507991087293E-2</v>
      </c>
      <c r="H35" s="94">
        <v>73144079</v>
      </c>
    </row>
    <row r="36" spans="1:8">
      <c r="A36" s="2" t="s">
        <v>215</v>
      </c>
      <c r="B36" s="79">
        <v>1.4411</v>
      </c>
      <c r="C36" s="24">
        <v>0.36027500000000001</v>
      </c>
      <c r="D36" s="54">
        <v>0.45013216229230024</v>
      </c>
      <c r="E36" s="24">
        <v>5.64</v>
      </c>
      <c r="F36" s="54">
        <v>6.3878546099290778E-2</v>
      </c>
      <c r="G36" s="54">
        <v>-4.2733507991087293E-2</v>
      </c>
      <c r="H36" s="94">
        <v>73144079</v>
      </c>
    </row>
    <row r="37" spans="1:8">
      <c r="A37" s="2" t="s">
        <v>296</v>
      </c>
      <c r="B37" s="79">
        <v>0.83324714</v>
      </c>
      <c r="C37" s="24">
        <v>0.208311785</v>
      </c>
      <c r="D37" s="54">
        <v>0.35050699967240423</v>
      </c>
      <c r="E37" s="24">
        <v>16</v>
      </c>
      <c r="F37" s="54">
        <v>5.207794625E-2</v>
      </c>
      <c r="G37" s="54">
        <v>1.2520717741011298</v>
      </c>
      <c r="H37" s="94">
        <v>259378741.72000003</v>
      </c>
    </row>
    <row r="38" spans="1:8">
      <c r="A38" s="2" t="s">
        <v>297</v>
      </c>
      <c r="B38" s="79">
        <v>0.83324714</v>
      </c>
      <c r="C38" s="24">
        <v>0.208311785</v>
      </c>
      <c r="D38" s="54">
        <v>0.35050699967240423</v>
      </c>
      <c r="E38" s="24">
        <v>20.170000000000002</v>
      </c>
      <c r="F38" s="54">
        <v>4.1311211700545358E-2</v>
      </c>
      <c r="G38" s="54">
        <v>1.2520717741011298</v>
      </c>
      <c r="H38" s="94">
        <v>259378741.72000003</v>
      </c>
    </row>
    <row r="39" spans="1:8">
      <c r="A39" s="2" t="s">
        <v>298</v>
      </c>
      <c r="B39" s="79">
        <v>0.60198830400000003</v>
      </c>
      <c r="C39" s="24">
        <v>0.15049707600000001</v>
      </c>
      <c r="D39" s="54">
        <v>0.25322752895727813</v>
      </c>
      <c r="E39" s="24">
        <v>10.5</v>
      </c>
      <c r="F39" s="54">
        <v>5.7332219428571432E-2</v>
      </c>
      <c r="G39" s="54">
        <v>1.2520717741011298</v>
      </c>
      <c r="H39" s="94">
        <v>259378741.72000003</v>
      </c>
    </row>
    <row r="40" spans="1:8">
      <c r="A40" s="2" t="s">
        <v>405</v>
      </c>
      <c r="B40" s="79">
        <v>1.0334625082238409</v>
      </c>
      <c r="C40" s="24">
        <v>0.25836562705596022</v>
      </c>
      <c r="D40" s="54">
        <v>0.11310764362768161</v>
      </c>
      <c r="E40" s="24">
        <v>17.14</v>
      </c>
      <c r="F40" s="54">
        <v>1.5073840551689628E-2</v>
      </c>
      <c r="G40" s="54">
        <v>0.58045517209595399</v>
      </c>
      <c r="H40" s="94">
        <v>1252973366.4925001</v>
      </c>
    </row>
    <row r="41" spans="1:8">
      <c r="A41" s="2" t="s">
        <v>407</v>
      </c>
      <c r="B41" s="79">
        <v>0.80999999999999994</v>
      </c>
      <c r="C41" s="24">
        <v>0.26999999999999996</v>
      </c>
      <c r="D41" s="54">
        <v>0.11682654188083424</v>
      </c>
      <c r="E41" s="24">
        <v>18</v>
      </c>
      <c r="F41" s="54">
        <v>1.4999999999999999E-2</v>
      </c>
      <c r="G41" s="54">
        <v>1.0194971747815544</v>
      </c>
      <c r="H41" s="94">
        <v>788391812.39333344</v>
      </c>
    </row>
    <row r="42" spans="1:8">
      <c r="A42" s="2" t="s">
        <v>225</v>
      </c>
      <c r="B42" s="79">
        <v>1.6382859999999999</v>
      </c>
      <c r="C42" s="24">
        <v>0.81914299999999995</v>
      </c>
      <c r="D42" s="54">
        <v>0.38934546499886002</v>
      </c>
      <c r="E42" s="24">
        <v>12.2</v>
      </c>
      <c r="F42" s="54">
        <v>6.7142868852459014E-2</v>
      </c>
      <c r="G42" s="54">
        <v>-9.4829076023192793E-2</v>
      </c>
      <c r="H42" s="94">
        <v>861469655.89499998</v>
      </c>
    </row>
    <row r="43" spans="1:8">
      <c r="A43" s="2" t="s">
        <v>226</v>
      </c>
      <c r="B43" s="79">
        <v>1.6497329999999999</v>
      </c>
      <c r="C43" s="24">
        <v>0.82486649999999995</v>
      </c>
      <c r="D43" s="54">
        <v>0.39260782255861065</v>
      </c>
      <c r="E43" s="24">
        <v>15.72</v>
      </c>
      <c r="F43" s="54">
        <v>5.2472423664122136E-2</v>
      </c>
      <c r="G43" s="54">
        <v>-9.4829076023192793E-2</v>
      </c>
      <c r="H43" s="94">
        <v>861469655.89499998</v>
      </c>
    </row>
    <row r="44" spans="1:8">
      <c r="A44" s="2" t="s">
        <v>23</v>
      </c>
      <c r="B44" s="79">
        <v>1.6385939999999999</v>
      </c>
      <c r="C44" s="24">
        <v>0.81929699999999994</v>
      </c>
      <c r="D44" s="54">
        <v>0.38941510854732531</v>
      </c>
      <c r="E44" s="24">
        <v>11.85</v>
      </c>
      <c r="F44" s="54">
        <v>6.9138987341772151E-2</v>
      </c>
      <c r="G44" s="54">
        <v>-9.4829076023192793E-2</v>
      </c>
      <c r="H44" s="94">
        <v>861469655.89499998</v>
      </c>
    </row>
    <row r="45" spans="1:8">
      <c r="A45" s="2" t="s">
        <v>240</v>
      </c>
      <c r="B45" s="79">
        <v>2.676293442</v>
      </c>
      <c r="C45" s="24">
        <v>0.66907336049999999</v>
      </c>
      <c r="D45" s="54">
        <v>0.14691424979139903</v>
      </c>
      <c r="E45" s="24">
        <v>27.5</v>
      </c>
      <c r="F45" s="54">
        <v>2.4329940381818183E-2</v>
      </c>
      <c r="G45" s="54">
        <v>0.25397813630419103</v>
      </c>
      <c r="H45" s="94">
        <v>174481003.4675</v>
      </c>
    </row>
    <row r="46" spans="1:8">
      <c r="A46" s="2" t="s">
        <v>241</v>
      </c>
      <c r="B46" s="79">
        <v>5.6071633800000003</v>
      </c>
      <c r="C46" s="24">
        <v>1.4017908450000001</v>
      </c>
      <c r="D46" s="54">
        <v>0.28664546825986631</v>
      </c>
      <c r="E46" s="24">
        <v>29.99</v>
      </c>
      <c r="F46" s="54">
        <v>4.6741942147382462E-2</v>
      </c>
      <c r="G46" s="54">
        <v>0.25397813630419103</v>
      </c>
      <c r="H46" s="94">
        <v>174481003.4675</v>
      </c>
    </row>
    <row r="47" spans="1:8">
      <c r="A47" s="2" t="s">
        <v>435</v>
      </c>
      <c r="B47" s="79">
        <v>1.402714</v>
      </c>
      <c r="C47" s="24">
        <v>0.46757133333333334</v>
      </c>
      <c r="D47" s="54">
        <v>0.84727522063961358</v>
      </c>
      <c r="E47" s="24">
        <v>10.34</v>
      </c>
      <c r="F47" s="54">
        <v>4.5219664732430692E-2</v>
      </c>
      <c r="G47" s="54">
        <v>-2.963938881811673E-2</v>
      </c>
      <c r="H47" s="94">
        <v>1088949560.5833333</v>
      </c>
    </row>
    <row r="48" spans="1:8">
      <c r="A48" s="2" t="s">
        <v>194</v>
      </c>
      <c r="B48" s="79">
        <v>2.227204E-2</v>
      </c>
      <c r="C48" s="24">
        <v>5.56801E-3</v>
      </c>
      <c r="D48" s="54">
        <v>0.26641697668818037</v>
      </c>
      <c r="E48" s="24">
        <v>4.12</v>
      </c>
      <c r="F48" s="54">
        <v>1.8019449838187701E-3</v>
      </c>
      <c r="G48" s="54">
        <v>7.095310279900513E-3</v>
      </c>
      <c r="H48" s="94">
        <v>12589874.190000001</v>
      </c>
    </row>
    <row r="49" spans="1:8">
      <c r="A49" s="2" t="s">
        <v>409</v>
      </c>
      <c r="B49" s="79">
        <v>0.87951522900000001</v>
      </c>
      <c r="C49" s="24">
        <v>0.29317174299999998</v>
      </c>
      <c r="D49" s="54">
        <v>0.47701052442027075</v>
      </c>
      <c r="E49" s="24">
        <v>20.6</v>
      </c>
      <c r="F49" s="54">
        <v>4.2694914029126209E-2</v>
      </c>
      <c r="G49" s="54">
        <v>0.27844222447784883</v>
      </c>
      <c r="H49" s="94">
        <v>120220721.29333334</v>
      </c>
    </row>
    <row r="50" spans="1:8">
      <c r="A50" s="2" t="s">
        <v>94</v>
      </c>
      <c r="B50" s="79">
        <v>5.3443459999999998</v>
      </c>
      <c r="C50" s="24">
        <v>1.3360865</v>
      </c>
      <c r="D50" s="54">
        <v>0.47419139568365454</v>
      </c>
      <c r="E50" s="24">
        <v>16.510000000000002</v>
      </c>
      <c r="F50" s="54">
        <v>0.16185178679588128</v>
      </c>
      <c r="G50" s="54">
        <v>3.9809298538636013</v>
      </c>
      <c r="H50" s="94">
        <v>33164288.072499998</v>
      </c>
    </row>
    <row r="51" spans="1:8">
      <c r="A51" s="2" t="s">
        <v>95</v>
      </c>
      <c r="B51" s="79">
        <v>4.5993199999999996</v>
      </c>
      <c r="C51" s="24">
        <v>1.1498299999999999</v>
      </c>
      <c r="D51" s="54">
        <v>0.76106388540309444</v>
      </c>
      <c r="E51" s="24">
        <v>24</v>
      </c>
      <c r="F51" s="54">
        <v>0.19163833333333333</v>
      </c>
      <c r="G51" s="54">
        <v>3.9809298538636013</v>
      </c>
      <c r="H51" s="94">
        <v>33164288.072499998</v>
      </c>
    </row>
    <row r="52" spans="1:8">
      <c r="A52" s="2" t="s">
        <v>69</v>
      </c>
      <c r="B52" s="79">
        <v>8.1674670000000003</v>
      </c>
      <c r="C52" s="24">
        <v>2.0418667500000001</v>
      </c>
      <c r="D52" s="54">
        <v>0.7246803815404973</v>
      </c>
      <c r="E52" s="24">
        <v>17.079999999999998</v>
      </c>
      <c r="F52" s="54">
        <v>0.23909446721311478</v>
      </c>
      <c r="G52" s="54">
        <v>3.9809298538636013</v>
      </c>
      <c r="H52" s="94">
        <v>33164288.072499998</v>
      </c>
    </row>
    <row r="53" spans="1:8">
      <c r="A53" s="2" t="s">
        <v>92</v>
      </c>
      <c r="B53" s="79">
        <v>13.652122757800001</v>
      </c>
      <c r="C53" s="24">
        <v>3.4130306894500002</v>
      </c>
      <c r="D53" s="54">
        <v>0.76692732207874426</v>
      </c>
      <c r="E53" s="24">
        <v>31.98</v>
      </c>
      <c r="F53" s="54">
        <v>0.10672391148999376</v>
      </c>
      <c r="G53" s="54">
        <v>-2.2563446090603456E-2</v>
      </c>
      <c r="H53" s="94">
        <v>847332851.38999999</v>
      </c>
    </row>
    <row r="54" spans="1:8">
      <c r="A54" s="2" t="s">
        <v>93</v>
      </c>
      <c r="B54" s="79">
        <v>13.652122757800001</v>
      </c>
      <c r="C54" s="24">
        <v>3.4130306894500002</v>
      </c>
      <c r="D54" s="54">
        <v>0.76692732207874426</v>
      </c>
      <c r="E54" s="24">
        <v>32.01</v>
      </c>
      <c r="F54" s="54">
        <v>0.106623889079975</v>
      </c>
      <c r="G54" s="54">
        <v>-2.2563446090603456E-2</v>
      </c>
      <c r="H54" s="94">
        <v>847332851.38999999</v>
      </c>
    </row>
    <row r="55" spans="1:8">
      <c r="A55" s="2" t="s">
        <v>70</v>
      </c>
      <c r="B55" s="79">
        <v>11.21449413</v>
      </c>
      <c r="C55" s="24">
        <v>2.8036235325000001</v>
      </c>
      <c r="D55" s="54">
        <v>0.74283278628036531</v>
      </c>
      <c r="E55" s="24">
        <v>18</v>
      </c>
      <c r="F55" s="54">
        <v>0.15575686291666668</v>
      </c>
      <c r="G55" s="54">
        <v>-0.83642626870386794</v>
      </c>
      <c r="H55" s="94">
        <v>333446119.99250001</v>
      </c>
    </row>
    <row r="56" spans="1:8">
      <c r="A56" s="2" t="s">
        <v>96</v>
      </c>
      <c r="B56" s="79">
        <v>12.336044999999999</v>
      </c>
      <c r="C56" s="24">
        <v>3.0840112499999996</v>
      </c>
      <c r="D56" s="54">
        <v>0.81719301958088741</v>
      </c>
      <c r="E56" s="24">
        <v>21.51</v>
      </c>
      <c r="F56" s="54">
        <v>0.14337569735006972</v>
      </c>
      <c r="G56" s="54">
        <v>-0.83642626870386794</v>
      </c>
      <c r="H56" s="94">
        <v>333446119.99250001</v>
      </c>
    </row>
    <row r="57" spans="1:8">
      <c r="A57" s="2" t="s">
        <v>72</v>
      </c>
      <c r="B57" s="79">
        <v>3.5611462</v>
      </c>
      <c r="C57" s="24">
        <v>1.1870487333333333</v>
      </c>
      <c r="D57" s="54">
        <v>3.3879538155207976</v>
      </c>
      <c r="E57" s="24">
        <v>19.399999999999999</v>
      </c>
      <c r="F57" s="54">
        <v>6.1188079037800693E-2</v>
      </c>
      <c r="G57" s="54">
        <v>0.26494127735261697</v>
      </c>
      <c r="H57" s="94">
        <v>116535000</v>
      </c>
    </row>
    <row r="58" spans="1:8">
      <c r="A58" s="2" t="s">
        <v>90</v>
      </c>
      <c r="B58" s="79">
        <v>5.4690898827999996</v>
      </c>
      <c r="C58" s="24">
        <v>1.8230299609333331</v>
      </c>
      <c r="D58" s="54" t="e">
        <v>#DIV/0!</v>
      </c>
      <c r="E58" s="24">
        <v>21.64</v>
      </c>
      <c r="F58" s="54">
        <v>8.4243528693776951E-2</v>
      </c>
      <c r="G58" s="54">
        <v>0.26494127735261697</v>
      </c>
      <c r="H58" s="94">
        <v>116535000</v>
      </c>
    </row>
    <row r="59" spans="1:8">
      <c r="A59" s="2" t="s">
        <v>91</v>
      </c>
      <c r="B59" s="79">
        <v>3.2741251999999998</v>
      </c>
      <c r="C59" s="24">
        <v>1.0913750666666666</v>
      </c>
      <c r="D59" s="54">
        <v>3.0993823198719794</v>
      </c>
      <c r="E59" s="24">
        <v>21.47</v>
      </c>
      <c r="F59" s="54">
        <v>5.0832560161465618E-2</v>
      </c>
      <c r="G59" s="54">
        <v>0.26494127735261697</v>
      </c>
      <c r="H59" s="94">
        <v>116535000</v>
      </c>
    </row>
    <row r="60" spans="1:8">
      <c r="A60" s="2" t="s">
        <v>439</v>
      </c>
      <c r="B60" s="79">
        <v>5.8699999999999992</v>
      </c>
      <c r="C60" s="24">
        <v>1.9566666666666663</v>
      </c>
      <c r="D60" s="54">
        <v>0.77123947523638092</v>
      </c>
      <c r="E60" s="24">
        <v>66.599999999999994</v>
      </c>
      <c r="F60" s="54">
        <v>2.9379379379379383E-2</v>
      </c>
      <c r="G60" s="54">
        <v>0.13408605412015856</v>
      </c>
      <c r="H60" s="94">
        <v>1984758901.5166667</v>
      </c>
    </row>
    <row r="61" spans="1:8">
      <c r="A61" s="2" t="s">
        <v>307</v>
      </c>
      <c r="B61" s="79">
        <v>0.23272999999999999</v>
      </c>
      <c r="C61" s="24">
        <v>5.8182499999999998E-2</v>
      </c>
      <c r="D61" s="54">
        <v>0.2032996796183045</v>
      </c>
      <c r="E61" s="24">
        <v>7.08</v>
      </c>
      <c r="F61" s="54">
        <v>1.0957156308851225E-2</v>
      </c>
      <c r="G61" s="54">
        <v>-0.71900474844169671</v>
      </c>
      <c r="H61" s="94">
        <v>4973609.2349999994</v>
      </c>
    </row>
    <row r="62" spans="1:8">
      <c r="A62" s="2" t="s">
        <v>308</v>
      </c>
      <c r="B62" s="79">
        <v>0.25600000000000001</v>
      </c>
      <c r="C62" s="24">
        <v>6.4000000000000001E-2</v>
      </c>
      <c r="D62" s="54">
        <v>0.22362663562799309</v>
      </c>
      <c r="E62" s="24">
        <v>13.08</v>
      </c>
      <c r="F62" s="54">
        <v>6.5239551478083599E-3</v>
      </c>
      <c r="G62" s="54">
        <v>-0.71900474844169671</v>
      </c>
      <c r="H62" s="94">
        <v>4973609.2349999994</v>
      </c>
    </row>
    <row r="63" spans="1:8">
      <c r="A63" s="2" t="s">
        <v>71</v>
      </c>
      <c r="B63" s="79">
        <v>7.2758506000000001</v>
      </c>
      <c r="C63" s="24">
        <v>1.45517012</v>
      </c>
      <c r="D63" s="54">
        <v>0.29963156324701223</v>
      </c>
      <c r="E63" s="24">
        <v>15.9</v>
      </c>
      <c r="F63" s="54">
        <v>0.11440016666666665</v>
      </c>
      <c r="G63" s="54">
        <v>0.22196555778188157</v>
      </c>
      <c r="H63" s="94">
        <v>138360433.014</v>
      </c>
    </row>
    <row r="64" spans="1:8">
      <c r="A64" s="2" t="s">
        <v>31</v>
      </c>
      <c r="B64" s="79">
        <v>6.5786055000000001</v>
      </c>
      <c r="C64" s="24">
        <v>1.644651375</v>
      </c>
      <c r="D64" s="54" t="e">
        <v>#DIV/0!</v>
      </c>
      <c r="E64" s="24">
        <v>13.81</v>
      </c>
      <c r="F64" s="54">
        <v>0.1190913377986966</v>
      </c>
      <c r="G64" s="54">
        <v>0.35042531299927765</v>
      </c>
      <c r="H64" s="94">
        <v>2701628500</v>
      </c>
    </row>
    <row r="65" spans="1:8">
      <c r="A65" s="2" t="s">
        <v>30</v>
      </c>
      <c r="B65" s="79">
        <v>6.5786055000000001</v>
      </c>
      <c r="C65" s="24">
        <v>1.644651375</v>
      </c>
      <c r="D65" s="54">
        <v>0.65026428573600636</v>
      </c>
      <c r="E65" s="24">
        <v>13.3</v>
      </c>
      <c r="F65" s="54">
        <v>0.12365799812030075</v>
      </c>
      <c r="G65" s="54">
        <v>0.35042531299927765</v>
      </c>
      <c r="H65" s="94">
        <v>2701628500</v>
      </c>
    </row>
    <row r="66" spans="1:8">
      <c r="A66" s="2" t="s">
        <v>97</v>
      </c>
      <c r="B66" s="79">
        <v>10.566447375500001</v>
      </c>
      <c r="C66" s="24">
        <v>3.522149125166667</v>
      </c>
      <c r="D66" s="54">
        <v>0.61566379005177641</v>
      </c>
      <c r="E66" s="24">
        <v>48.35</v>
      </c>
      <c r="F66" s="54">
        <v>7.2846931234057222E-2</v>
      </c>
      <c r="G66" s="54">
        <v>-6.1205470315345623E-2</v>
      </c>
      <c r="H66" s="94">
        <v>443078655.77999997</v>
      </c>
    </row>
    <row r="67" spans="1:8">
      <c r="A67" s="2" t="s">
        <v>82</v>
      </c>
      <c r="B67" s="79">
        <v>10.566447375500001</v>
      </c>
      <c r="C67" s="24">
        <v>3.522149125166667</v>
      </c>
      <c r="D67" s="54">
        <v>0.61566379005177641</v>
      </c>
      <c r="E67" s="24">
        <v>48.1</v>
      </c>
      <c r="F67" s="54">
        <v>7.3225553537768537E-2</v>
      </c>
      <c r="G67" s="54">
        <v>-6.1205470315345623E-2</v>
      </c>
      <c r="H67" s="94">
        <v>443078655.77999997</v>
      </c>
    </row>
    <row r="68" spans="1:8">
      <c r="A68" s="2" t="s">
        <v>32</v>
      </c>
      <c r="B68" s="79">
        <v>7.8802902929999998</v>
      </c>
      <c r="C68" s="24">
        <v>1.97007257325</v>
      </c>
      <c r="D68" s="54">
        <v>1.230827463809369</v>
      </c>
      <c r="E68" s="24">
        <v>18.73</v>
      </c>
      <c r="F68" s="54">
        <v>0.10518273215429792</v>
      </c>
      <c r="G68" s="54">
        <v>-8.9269394902354013E-2</v>
      </c>
      <c r="H68" s="94">
        <v>1510816374.6675</v>
      </c>
    </row>
    <row r="69" spans="1:8">
      <c r="A69" s="2" t="s">
        <v>34</v>
      </c>
      <c r="B69" s="79">
        <v>4.25352</v>
      </c>
      <c r="C69" s="24">
        <v>1.06338</v>
      </c>
      <c r="D69" s="54">
        <v>0.30524903922734314</v>
      </c>
      <c r="E69" s="24">
        <v>22.2</v>
      </c>
      <c r="F69" s="54">
        <v>4.7900000000000005E-2</v>
      </c>
      <c r="G69" s="54">
        <v>-3.5420413330163471E-2</v>
      </c>
      <c r="H69" s="94">
        <v>961540041.83500004</v>
      </c>
    </row>
    <row r="70" spans="1:8">
      <c r="A70" s="2" t="s">
        <v>103</v>
      </c>
      <c r="B70" s="79">
        <v>9.2050000000000001</v>
      </c>
      <c r="C70" s="24">
        <v>2.30125</v>
      </c>
      <c r="D70" s="54">
        <v>0.67976520829611575</v>
      </c>
      <c r="E70" s="24">
        <v>30</v>
      </c>
      <c r="F70" s="54">
        <v>7.6708333333333323E-2</v>
      </c>
      <c r="G70" s="54">
        <v>-3.5420413330163471E-2</v>
      </c>
      <c r="H70" s="94">
        <v>961540041.83500004</v>
      </c>
    </row>
    <row r="71" spans="1:8">
      <c r="A71" s="2" t="s">
        <v>104</v>
      </c>
      <c r="B71" s="79">
        <v>4.6796800000000003</v>
      </c>
      <c r="C71" s="24">
        <v>1.1699200000000001</v>
      </c>
      <c r="D71" s="54">
        <v>0.33582916423156933</v>
      </c>
      <c r="E71" s="24">
        <v>30.83</v>
      </c>
      <c r="F71" s="54">
        <v>3.7947453778786902E-2</v>
      </c>
      <c r="G71" s="54">
        <v>-3.5420413330163471E-2</v>
      </c>
      <c r="H71" s="94">
        <v>961540041.83500004</v>
      </c>
    </row>
    <row r="72" spans="1:8">
      <c r="A72" s="2" t="s">
        <v>425</v>
      </c>
      <c r="B72" s="79">
        <v>0.69240000000000002</v>
      </c>
      <c r="C72" s="24">
        <v>0.1731</v>
      </c>
      <c r="D72" s="54">
        <v>0.2407568567064774</v>
      </c>
      <c r="E72" s="24">
        <v>3.85</v>
      </c>
      <c r="F72" s="54">
        <v>4.4961038961038965E-2</v>
      </c>
      <c r="G72" s="54">
        <v>0.12860148283157405</v>
      </c>
      <c r="H72" s="94">
        <v>75075422.43249999</v>
      </c>
    </row>
    <row r="73" spans="1:8">
      <c r="A73" s="2" t="s">
        <v>426</v>
      </c>
      <c r="B73" s="79">
        <v>0.92269999999999996</v>
      </c>
      <c r="C73" s="24">
        <v>0.23067499999999999</v>
      </c>
      <c r="D73" s="54">
        <v>0.32895734501185681</v>
      </c>
      <c r="E73" s="24">
        <v>4.01</v>
      </c>
      <c r="F73" s="54">
        <v>5.7524937655860343E-2</v>
      </c>
      <c r="G73" s="54">
        <v>0.12860148283157405</v>
      </c>
      <c r="H73" s="94">
        <v>75075422.43249999</v>
      </c>
    </row>
    <row r="74" spans="1:8">
      <c r="A74" s="2" t="s">
        <v>280</v>
      </c>
      <c r="B74" s="79">
        <v>6.22</v>
      </c>
      <c r="C74" s="24">
        <v>2.0733333333333333</v>
      </c>
      <c r="D74" s="54">
        <v>0.72895763504872801</v>
      </c>
      <c r="E74" s="24">
        <v>30.01</v>
      </c>
      <c r="F74" s="54">
        <v>6.9088081750527594E-2</v>
      </c>
      <c r="G74" s="54">
        <v>-0.15500134189726833</v>
      </c>
      <c r="H74" s="94">
        <v>21809302.580000002</v>
      </c>
    </row>
    <row r="75" spans="1:8">
      <c r="A75" s="2" t="s">
        <v>281</v>
      </c>
      <c r="B75" s="79">
        <v>6.86</v>
      </c>
      <c r="C75" s="24">
        <v>2.2866666666666666</v>
      </c>
      <c r="D75" s="54">
        <v>0.80406042099383901</v>
      </c>
      <c r="E75" s="24">
        <v>30.05</v>
      </c>
      <c r="F75" s="54">
        <v>7.6095396561286749E-2</v>
      </c>
      <c r="G75" s="54">
        <v>-0.15500134189726833</v>
      </c>
      <c r="H75" s="94">
        <v>21809302.580000002</v>
      </c>
    </row>
    <row r="76" spans="1:8">
      <c r="A76" s="2" t="s">
        <v>303</v>
      </c>
      <c r="B76" s="79">
        <v>1.851298388</v>
      </c>
      <c r="C76" s="24">
        <v>0.61709946266666671</v>
      </c>
      <c r="D76" s="54">
        <v>0.27635601621607192</v>
      </c>
      <c r="E76" s="24">
        <v>38.26</v>
      </c>
      <c r="F76" s="54">
        <v>1.6129102526572573E-2</v>
      </c>
      <c r="G76" s="54">
        <v>0.81124566977489321</v>
      </c>
      <c r="H76" s="94">
        <v>1338500000</v>
      </c>
    </row>
    <row r="77" spans="1:8">
      <c r="A77" s="2" t="s">
        <v>196</v>
      </c>
      <c r="B77" s="79">
        <v>6.1364000000000001</v>
      </c>
      <c r="C77" s="24">
        <v>1.5341</v>
      </c>
      <c r="D77" s="54">
        <v>0.33954720063196125</v>
      </c>
      <c r="E77" s="24">
        <v>32.880000000000003</v>
      </c>
      <c r="F77" s="54">
        <v>4.6657542579075423E-2</v>
      </c>
      <c r="G77" s="54">
        <v>6.2728299262066649E-3</v>
      </c>
      <c r="H77" s="94">
        <v>539949168.63750005</v>
      </c>
    </row>
    <row r="78" spans="1:8">
      <c r="A78" s="2" t="s">
        <v>99</v>
      </c>
      <c r="B78" s="79">
        <v>3.4569644519999994</v>
      </c>
      <c r="C78" s="24">
        <v>0.86424111299999984</v>
      </c>
      <c r="D78" s="54">
        <v>0.59725401518756449</v>
      </c>
      <c r="E78" s="24">
        <v>9.5</v>
      </c>
      <c r="F78" s="54">
        <v>9.0972748736842093E-2</v>
      </c>
      <c r="G78" s="54">
        <v>3.5229833217191122E-3</v>
      </c>
      <c r="H78" s="94">
        <v>244113000</v>
      </c>
    </row>
    <row r="79" spans="1:8">
      <c r="A79" s="2" t="s">
        <v>100</v>
      </c>
      <c r="B79" s="79">
        <v>3.8026608390000005</v>
      </c>
      <c r="C79" s="24">
        <v>0.95066520975000013</v>
      </c>
      <c r="D79" s="54">
        <v>0.65697940671349686</v>
      </c>
      <c r="E79" s="24">
        <v>10.119999999999999</v>
      </c>
      <c r="F79" s="54">
        <v>9.3939249975296457E-2</v>
      </c>
      <c r="G79" s="54">
        <v>3.5229833217191122E-3</v>
      </c>
      <c r="H79" s="94">
        <v>244113000</v>
      </c>
    </row>
    <row r="80" spans="1:8">
      <c r="A80" s="2" t="s">
        <v>68</v>
      </c>
      <c r="B80" s="79">
        <v>3.8026608390000005</v>
      </c>
      <c r="C80" s="24">
        <v>0.95066520975000013</v>
      </c>
      <c r="D80" s="54">
        <v>0.65697940671349686</v>
      </c>
      <c r="E80" s="24">
        <v>9</v>
      </c>
      <c r="F80" s="54">
        <v>0.10562946775000001</v>
      </c>
      <c r="G80" s="54">
        <v>3.5229833217191122E-3</v>
      </c>
      <c r="H80" s="94">
        <v>244113000</v>
      </c>
    </row>
    <row r="81" spans="1:8">
      <c r="A81" s="2" t="s">
        <v>438</v>
      </c>
      <c r="B81" s="79">
        <v>1.2178</v>
      </c>
      <c r="C81" s="24">
        <v>0.30445</v>
      </c>
      <c r="D81" s="54">
        <v>0.56851660076308341</v>
      </c>
      <c r="E81" s="24">
        <v>23.41</v>
      </c>
      <c r="F81" s="54">
        <v>1.3005126014523709E-2</v>
      </c>
      <c r="G81" s="54">
        <v>0.63283703661981294</v>
      </c>
      <c r="H81" s="94">
        <v>168709149.54000002</v>
      </c>
    </row>
    <row r="82" spans="1:8">
      <c r="A82" s="2" t="s">
        <v>15</v>
      </c>
      <c r="B82" s="79">
        <v>2.3901704720000003</v>
      </c>
      <c r="C82" s="24">
        <v>0.59754261800000008</v>
      </c>
      <c r="D82" s="54">
        <v>0.50462500883942174</v>
      </c>
      <c r="E82" s="24">
        <v>7.78</v>
      </c>
      <c r="F82" s="54">
        <v>7.6804963753213371E-2</v>
      </c>
      <c r="G82" s="54">
        <v>0.19508994649071379</v>
      </c>
      <c r="H82" s="94">
        <v>287632362.33750004</v>
      </c>
    </row>
    <row r="83" spans="1:8">
      <c r="A83" s="2" t="s">
        <v>361</v>
      </c>
      <c r="B83" s="79">
        <v>0.94928045000000005</v>
      </c>
      <c r="C83" s="24">
        <v>0.23732011250000001</v>
      </c>
      <c r="D83" s="54">
        <v>0.3688272793184682</v>
      </c>
      <c r="E83" s="24">
        <v>12.54</v>
      </c>
      <c r="F83" s="54">
        <v>1.8925048843700162E-2</v>
      </c>
      <c r="G83" s="54">
        <v>0.54342806884281236</v>
      </c>
      <c r="H83" s="94">
        <v>369958008.62749994</v>
      </c>
    </row>
    <row r="84" spans="1:8">
      <c r="A84" s="2" t="s">
        <v>446</v>
      </c>
      <c r="B84" s="79">
        <v>0.9954118743</v>
      </c>
      <c r="C84" s="24">
        <v>0.33180395810000002</v>
      </c>
      <c r="D84" s="54">
        <v>0.70741378984472159</v>
      </c>
      <c r="E84" s="24">
        <v>8.9600000000000009</v>
      </c>
      <c r="F84" s="54">
        <v>3.7031691752232143E-2</v>
      </c>
      <c r="G84" s="54">
        <v>0.28772178201247678</v>
      </c>
      <c r="H84" s="94">
        <v>636831666.66666663</v>
      </c>
    </row>
    <row r="85" spans="1:8">
      <c r="A85" s="2" t="s">
        <v>101</v>
      </c>
      <c r="B85" s="79">
        <v>0.1</v>
      </c>
      <c r="C85" s="24">
        <v>0.05</v>
      </c>
      <c r="D85" s="54">
        <v>0.43917014853198871</v>
      </c>
      <c r="E85" s="24">
        <v>1.4</v>
      </c>
      <c r="F85" s="54">
        <v>7.1428571428571438E-2</v>
      </c>
      <c r="G85" s="54">
        <v>0</v>
      </c>
      <c r="H85" s="94">
        <v>-21013462.094999999</v>
      </c>
    </row>
    <row r="86" spans="1:8">
      <c r="A86" s="2" t="s">
        <v>102</v>
      </c>
      <c r="B86" s="79">
        <v>0.1</v>
      </c>
      <c r="C86" s="24">
        <v>0.05</v>
      </c>
      <c r="D86" s="54">
        <v>0.43917014853198871</v>
      </c>
      <c r="E86" s="24">
        <v>1.85</v>
      </c>
      <c r="F86" s="54">
        <v>5.4054054054054057E-2</v>
      </c>
      <c r="G86" s="54">
        <v>0</v>
      </c>
      <c r="H86" s="94">
        <v>-21013462.094999999</v>
      </c>
    </row>
    <row r="87" spans="1:8">
      <c r="A87" s="2" t="s">
        <v>293</v>
      </c>
      <c r="B87" s="79">
        <v>0.46623500000000001</v>
      </c>
      <c r="C87" s="24">
        <v>0.11655875</v>
      </c>
      <c r="D87" s="54">
        <v>0.27024411411752097</v>
      </c>
      <c r="E87" s="24">
        <v>10</v>
      </c>
      <c r="F87" s="54">
        <v>1.5541166666666668E-2</v>
      </c>
      <c r="G87" s="54">
        <v>3.0538205512268206</v>
      </c>
      <c r="H87" s="94">
        <v>16079205.995000001</v>
      </c>
    </row>
    <row r="88" spans="1:8">
      <c r="A88" s="2" t="s">
        <v>294</v>
      </c>
      <c r="B88" s="79">
        <v>0.46823500000000001</v>
      </c>
      <c r="C88" s="24">
        <v>0.11705875</v>
      </c>
      <c r="D88" s="54">
        <v>0.23695478536753822</v>
      </c>
      <c r="E88" s="24">
        <v>9.5</v>
      </c>
      <c r="F88" s="54">
        <v>1.2321973684210527E-2</v>
      </c>
      <c r="G88" s="54">
        <v>3.0538205512268206</v>
      </c>
      <c r="H88" s="94">
        <v>16079205.995000001</v>
      </c>
    </row>
    <row r="89" spans="1:8">
      <c r="A89" s="2" t="s">
        <v>2</v>
      </c>
      <c r="B89" s="79">
        <v>4.4248321872199998</v>
      </c>
      <c r="C89" s="24">
        <v>0.88496643744399994</v>
      </c>
      <c r="D89" s="54">
        <v>1.1348239525562784</v>
      </c>
      <c r="E89" s="24">
        <v>5.65</v>
      </c>
      <c r="F89" s="54">
        <v>0.15663122786619468</v>
      </c>
      <c r="G89" s="54">
        <v>2.967619259695716</v>
      </c>
      <c r="H89" s="94">
        <v>1081717000</v>
      </c>
    </row>
    <row r="90" spans="1:8">
      <c r="A90" s="2" t="s">
        <v>27</v>
      </c>
      <c r="B90" s="79">
        <v>8.2625549730899994</v>
      </c>
      <c r="C90" s="24">
        <v>1.6525109946179999</v>
      </c>
      <c r="D90" s="54">
        <v>3.7191222820393564</v>
      </c>
      <c r="E90" s="24">
        <v>9.57</v>
      </c>
      <c r="F90" s="54">
        <v>0.17267617498620688</v>
      </c>
      <c r="G90" s="54">
        <v>2.967619259695716</v>
      </c>
      <c r="H90" s="94">
        <v>1081717000</v>
      </c>
    </row>
    <row r="91" spans="1:8">
      <c r="A91" s="2" t="s">
        <v>182</v>
      </c>
      <c r="B91" s="79">
        <v>20.221576670000001</v>
      </c>
      <c r="C91" s="24">
        <v>5.0553941675000003</v>
      </c>
      <c r="D91" s="54" t="e">
        <v>#DIV/0!</v>
      </c>
      <c r="E91" s="24">
        <v>11</v>
      </c>
      <c r="F91" s="54">
        <v>0.45958128795454545</v>
      </c>
      <c r="G91" s="54">
        <v>-0.16551120804683273</v>
      </c>
      <c r="H91" s="94">
        <v>1022983198.0549999</v>
      </c>
    </row>
    <row r="92" spans="1:8">
      <c r="A92" s="2" t="s">
        <v>1</v>
      </c>
      <c r="B92" s="79">
        <v>22.243734336999999</v>
      </c>
      <c r="C92" s="24">
        <v>5.5609335842499998</v>
      </c>
      <c r="D92" s="54">
        <v>0.84225014371489515</v>
      </c>
      <c r="E92" s="24">
        <v>9.15</v>
      </c>
      <c r="F92" s="54">
        <v>0.60775230428961757</v>
      </c>
      <c r="G92" s="54">
        <v>-0.16551120804683273</v>
      </c>
      <c r="H92" s="94">
        <v>1022983198.0549999</v>
      </c>
    </row>
    <row r="93" spans="1:8">
      <c r="A93" s="2" t="s">
        <v>184</v>
      </c>
      <c r="B93" s="79">
        <v>0.45271806019999999</v>
      </c>
      <c r="C93" s="24">
        <v>9.0543612039999999E-2</v>
      </c>
      <c r="D93" s="54">
        <v>0.23175290878610291</v>
      </c>
      <c r="E93" s="24">
        <v>5.67</v>
      </c>
      <c r="F93" s="54">
        <v>3.9922227530864197E-2</v>
      </c>
      <c r="G93" s="54">
        <v>-0.95226608645584199</v>
      </c>
      <c r="H93" s="94">
        <v>-54712245.433333337</v>
      </c>
    </row>
    <row r="94" spans="1:8">
      <c r="A94" s="2" t="s">
        <v>28</v>
      </c>
      <c r="B94" s="79">
        <v>7.2077080000000002</v>
      </c>
      <c r="C94" s="24">
        <v>1.8019270000000001</v>
      </c>
      <c r="D94" s="54">
        <v>1.6072307401235155</v>
      </c>
      <c r="E94" s="24">
        <v>10.25</v>
      </c>
      <c r="F94" s="54">
        <v>0.17579775609756099</v>
      </c>
      <c r="G94" s="54">
        <v>-0.20787389768445139</v>
      </c>
      <c r="H94" s="94">
        <v>529427002.1825</v>
      </c>
    </row>
    <row r="95" spans="1:8">
      <c r="A95" s="2" t="s">
        <v>88</v>
      </c>
      <c r="B95" s="79">
        <v>1.093</v>
      </c>
      <c r="C95" s="24">
        <v>0.27324999999999999</v>
      </c>
      <c r="D95" s="54">
        <v>1.2629191615984803</v>
      </c>
      <c r="E95" s="24">
        <v>12.4</v>
      </c>
      <c r="F95" s="54">
        <v>2.2036290322580643E-2</v>
      </c>
      <c r="G95" s="54">
        <v>5.4049294495932876E-2</v>
      </c>
      <c r="H95" s="94">
        <v>243499589.95749998</v>
      </c>
    </row>
    <row r="96" spans="1:8">
      <c r="A96" s="2" t="s">
        <v>186</v>
      </c>
      <c r="B96" s="79">
        <v>0.45699999999999996</v>
      </c>
      <c r="C96" s="24">
        <v>0.11424999999999999</v>
      </c>
      <c r="D96" s="54">
        <v>0.58097440486745289</v>
      </c>
      <c r="E96" s="24">
        <v>3.4</v>
      </c>
      <c r="F96" s="54">
        <v>3.3602941176470592E-2</v>
      </c>
      <c r="G96" s="54">
        <v>5.4049294495932876E-2</v>
      </c>
      <c r="H96" s="94">
        <v>243499589.95749998</v>
      </c>
    </row>
    <row r="97" spans="1:8">
      <c r="A97" s="2" t="s">
        <v>64</v>
      </c>
      <c r="B97" s="79">
        <v>0.45699999999999996</v>
      </c>
      <c r="C97" s="24">
        <v>0.11424999999999999</v>
      </c>
      <c r="D97" s="54">
        <v>0.58097440486745289</v>
      </c>
      <c r="E97" s="24">
        <v>2.1</v>
      </c>
      <c r="F97" s="54">
        <v>5.44047619047619E-2</v>
      </c>
      <c r="G97" s="54">
        <v>5.4049294495932876E-2</v>
      </c>
      <c r="H97" s="94">
        <v>243499589.95749998</v>
      </c>
    </row>
    <row r="98" spans="1:8">
      <c r="A98" s="2" t="s">
        <v>98</v>
      </c>
      <c r="B98" s="79">
        <v>2.5499999999999998</v>
      </c>
      <c r="C98" s="24">
        <v>0.85</v>
      </c>
      <c r="D98" s="54">
        <v>0.49000251641148956</v>
      </c>
      <c r="E98" s="24">
        <v>15.4</v>
      </c>
      <c r="F98" s="54">
        <v>5.5194805194805192E-2</v>
      </c>
      <c r="G98" s="54">
        <v>0.2218197315635379</v>
      </c>
      <c r="H98" s="94">
        <v>303689997.77999997</v>
      </c>
    </row>
    <row r="99" spans="1:8">
      <c r="A99" s="2" t="s">
        <v>35</v>
      </c>
      <c r="B99" s="79">
        <v>2.4300000000000002</v>
      </c>
      <c r="C99" s="24">
        <v>0.81</v>
      </c>
      <c r="D99" s="54">
        <v>0.90036243172799468</v>
      </c>
      <c r="E99" s="24">
        <v>23.649999999999995</v>
      </c>
      <c r="F99" s="54">
        <v>3.4249471458773786E-2</v>
      </c>
      <c r="G99" s="54">
        <v>-0.13582067243796347</v>
      </c>
      <c r="H99" s="94">
        <v>163287333.33333334</v>
      </c>
    </row>
    <row r="100" spans="1:8">
      <c r="A100" s="2" t="s">
        <v>382</v>
      </c>
      <c r="B100" s="79">
        <v>2.5</v>
      </c>
      <c r="C100" s="24">
        <v>0.83333333333333337</v>
      </c>
      <c r="D100" s="54">
        <v>0.72124852747572954</v>
      </c>
      <c r="E100" s="24">
        <v>8.2799999999999994</v>
      </c>
      <c r="F100" s="54">
        <v>0.10064412238325282</v>
      </c>
      <c r="G100" s="54">
        <v>5.737773707741195E-2</v>
      </c>
      <c r="H100" s="94">
        <v>104094000</v>
      </c>
    </row>
    <row r="101" spans="1:8">
      <c r="A101" s="2" t="s">
        <v>364</v>
      </c>
      <c r="B101" s="79">
        <v>0.75937399999999999</v>
      </c>
      <c r="C101" s="24">
        <v>0.25312466666666666</v>
      </c>
      <c r="D101" s="54">
        <v>0.2386150637582162</v>
      </c>
      <c r="E101" s="24">
        <v>6.61</v>
      </c>
      <c r="F101" s="54">
        <v>3.8294200706001001E-2</v>
      </c>
      <c r="G101" s="54">
        <v>-0.13377777760739223</v>
      </c>
      <c r="H101" s="94">
        <v>99232999.176666677</v>
      </c>
    </row>
    <row r="102" spans="1:8">
      <c r="A102" s="2" t="s">
        <v>268</v>
      </c>
      <c r="B102" s="79">
        <v>0.78071854900000004</v>
      </c>
      <c r="C102" s="24">
        <v>0.26023951633333336</v>
      </c>
      <c r="D102" s="54">
        <v>0.22491646614074809</v>
      </c>
      <c r="E102" s="24">
        <v>19</v>
      </c>
      <c r="F102" s="54">
        <v>1.3696816649122806E-2</v>
      </c>
      <c r="G102" s="54">
        <v>-0.19056545890434123</v>
      </c>
      <c r="H102" s="94">
        <v>103252971.56999999</v>
      </c>
    </row>
    <row r="103" spans="1:8">
      <c r="A103" s="2" t="s">
        <v>80</v>
      </c>
      <c r="B103" s="79">
        <v>0.85880996100000007</v>
      </c>
      <c r="C103" s="24">
        <v>0.286269987</v>
      </c>
      <c r="D103" s="54">
        <v>0.24741229164584114</v>
      </c>
      <c r="E103" s="24">
        <v>12.35</v>
      </c>
      <c r="F103" s="54">
        <v>2.317975603238866E-2</v>
      </c>
      <c r="G103" s="54">
        <v>-0.19056545890434123</v>
      </c>
      <c r="H103" s="94">
        <v>103252971.56999999</v>
      </c>
    </row>
    <row r="104" spans="1:8">
      <c r="A104" s="2" t="s">
        <v>177</v>
      </c>
      <c r="B104" s="79">
        <v>11.74951832</v>
      </c>
      <c r="C104" s="24">
        <v>2.93737958</v>
      </c>
      <c r="D104" s="54">
        <v>1.2793462988233146</v>
      </c>
      <c r="E104" s="24">
        <v>62.04</v>
      </c>
      <c r="F104" s="54">
        <v>4.7346543842682137E-2</v>
      </c>
      <c r="G104" s="54">
        <v>0.49534053840640252</v>
      </c>
      <c r="H104" s="94">
        <v>222811924.5</v>
      </c>
    </row>
    <row r="105" spans="1:8">
      <c r="A105" s="2" t="s">
        <v>38</v>
      </c>
      <c r="B105" s="79">
        <v>12.448366675999999</v>
      </c>
      <c r="C105" s="24">
        <v>3.1120916689999998</v>
      </c>
      <c r="D105" s="54">
        <v>1.4411167513828902</v>
      </c>
      <c r="E105" s="24">
        <v>61.99</v>
      </c>
      <c r="F105" s="54">
        <v>5.0203124197451196E-2</v>
      </c>
      <c r="G105" s="54">
        <v>0.49534053840640252</v>
      </c>
      <c r="H105" s="94">
        <v>222811924.5</v>
      </c>
    </row>
    <row r="106" spans="1:8">
      <c r="A106" s="2" t="s">
        <v>29</v>
      </c>
      <c r="B106" s="79">
        <v>8.8610510949999988</v>
      </c>
      <c r="C106" s="24">
        <v>2.2152627737499997</v>
      </c>
      <c r="D106" s="54">
        <v>1.036148069258843</v>
      </c>
      <c r="E106" s="24">
        <v>17.239999999999998</v>
      </c>
      <c r="F106" s="54">
        <v>0.12849552051914154</v>
      </c>
      <c r="G106" s="54">
        <v>5.253493037631507E-2</v>
      </c>
      <c r="H106" s="94">
        <v>815925411.80749989</v>
      </c>
    </row>
    <row r="107" spans="1:8">
      <c r="A107" s="2" t="s">
        <v>33</v>
      </c>
      <c r="B107" s="79">
        <v>9.7471562050000013</v>
      </c>
      <c r="C107" s="24">
        <v>2.4367890512500003</v>
      </c>
      <c r="D107" s="54">
        <v>1.1397628762293932</v>
      </c>
      <c r="E107" s="24">
        <v>18.760000000000002</v>
      </c>
      <c r="F107" s="54">
        <v>0.12989280656982941</v>
      </c>
      <c r="G107" s="54">
        <v>5.253493037631507E-2</v>
      </c>
      <c r="H107" s="94">
        <v>815925411.80749989</v>
      </c>
    </row>
    <row r="108" spans="1:8">
      <c r="A108" s="2" t="s">
        <v>188</v>
      </c>
      <c r="B108" s="79">
        <v>4.3981410399999997E-2</v>
      </c>
      <c r="C108" s="24">
        <v>1.0995352599999999E-2</v>
      </c>
      <c r="D108" s="54">
        <v>0.74850005072085457</v>
      </c>
      <c r="E108" s="24">
        <v>0.12</v>
      </c>
      <c r="F108" s="54">
        <v>9.1627938333333339E-2</v>
      </c>
      <c r="G108" s="54">
        <v>0.25807211377255368</v>
      </c>
      <c r="H108" s="94">
        <v>2495826.5375000001</v>
      </c>
    </row>
    <row r="109" spans="1:8">
      <c r="A109" s="2" t="s">
        <v>189</v>
      </c>
      <c r="B109" s="79">
        <v>4.84078514E-2</v>
      </c>
      <c r="C109" s="24">
        <v>1.210196285E-2</v>
      </c>
      <c r="D109" s="54">
        <v>0.8237247935120684</v>
      </c>
      <c r="E109" s="24">
        <v>0.12</v>
      </c>
      <c r="F109" s="54">
        <v>0.10084969041666667</v>
      </c>
      <c r="G109" s="54">
        <v>0.25807211377255368</v>
      </c>
      <c r="H109" s="94">
        <v>2495826.5375000001</v>
      </c>
    </row>
    <row r="110" spans="1:8">
      <c r="A110" s="101">
        <v>2009</v>
      </c>
      <c r="B110" s="79">
        <v>1.11E-2</v>
      </c>
      <c r="C110" s="24">
        <v>1.11E-2</v>
      </c>
      <c r="D110" s="54">
        <v>1.1502591984456789</v>
      </c>
      <c r="E110" s="24">
        <v>0.12</v>
      </c>
      <c r="F110" s="54">
        <v>9.2500000000000013E-2</v>
      </c>
      <c r="G110" s="54" t="e">
        <v>#DIV/0!</v>
      </c>
      <c r="H110" s="94">
        <v>1605331</v>
      </c>
    </row>
    <row r="111" spans="1:8">
      <c r="A111" s="101">
        <v>2010</v>
      </c>
      <c r="B111" s="79">
        <v>3.0049999999999999E-3</v>
      </c>
      <c r="C111" s="24">
        <v>3.0049999999999999E-3</v>
      </c>
      <c r="D111" s="54">
        <v>0.1983498176259291</v>
      </c>
      <c r="E111" s="24">
        <v>0.12</v>
      </c>
      <c r="F111" s="54">
        <v>2.5041666666666667E-2</v>
      </c>
      <c r="G111" s="54">
        <v>0.56994850283212628</v>
      </c>
      <c r="H111" s="94">
        <v>2520287</v>
      </c>
    </row>
    <row r="112" spans="1:8">
      <c r="A112" s="101">
        <v>2011</v>
      </c>
      <c r="B112" s="79">
        <v>1.5972E-2</v>
      </c>
      <c r="C112" s="24">
        <v>1.5972E-2</v>
      </c>
      <c r="D112" s="54">
        <v>0.95014872576639497</v>
      </c>
      <c r="E112" s="24">
        <v>0.12</v>
      </c>
      <c r="F112" s="54">
        <v>0.1331</v>
      </c>
      <c r="G112" s="54">
        <v>0.10957085443046766</v>
      </c>
      <c r="H112" s="94">
        <v>2796437</v>
      </c>
    </row>
    <row r="113" spans="1:8">
      <c r="A113" s="101">
        <v>2012</v>
      </c>
      <c r="B113" s="79">
        <v>1.8330851400000001E-2</v>
      </c>
      <c r="C113" s="24">
        <v>1.8330851400000001E-2</v>
      </c>
      <c r="D113" s="54">
        <v>0.99614143221027074</v>
      </c>
      <c r="E113" s="24">
        <v>0.12</v>
      </c>
      <c r="F113" s="54">
        <v>0.15275709500000001</v>
      </c>
      <c r="G113" s="54">
        <v>9.4696984055067102E-2</v>
      </c>
      <c r="H113" s="94">
        <v>3061251.15</v>
      </c>
    </row>
    <row r="114" spans="1:8">
      <c r="A114" s="2" t="s">
        <v>338</v>
      </c>
      <c r="B114" s="79">
        <v>2.7716524199999997</v>
      </c>
      <c r="C114" s="24">
        <v>0.92388413999999985</v>
      </c>
      <c r="D114" s="54">
        <v>6.7345118256579717</v>
      </c>
      <c r="E114" s="24">
        <v>17.97</v>
      </c>
      <c r="F114" s="54">
        <v>5.1412584307178634E-2</v>
      </c>
      <c r="G114" s="54">
        <v>-0.70574242958279554</v>
      </c>
      <c r="H114" s="94">
        <v>9675802.3699999992</v>
      </c>
    </row>
    <row r="115" spans="1:8">
      <c r="A115" s="2" t="s">
        <v>411</v>
      </c>
      <c r="B115" s="79">
        <v>1.462</v>
      </c>
      <c r="C115" s="24">
        <v>0.36549999999999999</v>
      </c>
      <c r="D115" s="54">
        <v>0.43259017108800807</v>
      </c>
      <c r="E115" s="24">
        <v>21.35</v>
      </c>
      <c r="F115" s="54">
        <v>1.7119437939110069E-2</v>
      </c>
      <c r="G115" s="54">
        <v>0.4664341033367212</v>
      </c>
      <c r="H115" s="94">
        <v>166180000</v>
      </c>
    </row>
    <row r="116" spans="1:8">
      <c r="A116" s="2" t="s">
        <v>262</v>
      </c>
      <c r="B116" s="79">
        <v>1.2305999999999999</v>
      </c>
      <c r="C116" s="24">
        <v>0.30764999999999998</v>
      </c>
      <c r="D116" s="54">
        <v>0.41787587719990676</v>
      </c>
      <c r="E116" s="24">
        <v>10.56</v>
      </c>
      <c r="F116" s="54">
        <v>2.9133522727272727E-2</v>
      </c>
      <c r="G116" s="54">
        <v>0.18789652861750464</v>
      </c>
      <c r="H116" s="94">
        <v>4100289401.3649998</v>
      </c>
    </row>
    <row r="117" spans="1:8">
      <c r="A117" s="2" t="s">
        <v>16</v>
      </c>
      <c r="B117" s="79">
        <v>1.2305999999999999</v>
      </c>
      <c r="C117" s="24">
        <v>0.30764999999999998</v>
      </c>
      <c r="D117" s="54">
        <v>0.41787587719990676</v>
      </c>
      <c r="E117" s="24">
        <v>8.6199999999999992</v>
      </c>
      <c r="F117" s="54">
        <v>3.569025522041764E-2</v>
      </c>
      <c r="G117" s="54">
        <v>0.18789652861750464</v>
      </c>
      <c r="H117" s="94">
        <v>4100289401.3649998</v>
      </c>
    </row>
    <row r="118" spans="1:8">
      <c r="A118" s="2" t="s">
        <v>260</v>
      </c>
      <c r="B118" s="79">
        <v>2.8334000000000001</v>
      </c>
      <c r="C118" s="24">
        <v>0.94446666666666668</v>
      </c>
      <c r="D118" s="54">
        <v>0.43273605067700688</v>
      </c>
      <c r="E118" s="24">
        <v>28.99</v>
      </c>
      <c r="F118" s="54">
        <v>3.2579050247211687E-2</v>
      </c>
      <c r="G118" s="54">
        <v>3.2902706777630242E-2</v>
      </c>
      <c r="H118" s="94">
        <v>10987249822.386665</v>
      </c>
    </row>
    <row r="119" spans="1:8">
      <c r="A119" s="2" t="s">
        <v>81</v>
      </c>
      <c r="B119" s="79">
        <v>2.8334000000000001</v>
      </c>
      <c r="C119" s="24">
        <v>0.94446666666666668</v>
      </c>
      <c r="D119" s="54">
        <v>0.43273605067700688</v>
      </c>
      <c r="E119" s="24">
        <v>31.25</v>
      </c>
      <c r="F119" s="54">
        <v>3.022293333333333E-2</v>
      </c>
      <c r="G119" s="54">
        <v>3.2902706777630242E-2</v>
      </c>
      <c r="H119" s="94">
        <v>10987249822.386665</v>
      </c>
    </row>
    <row r="120" spans="1:8">
      <c r="A120" s="2" t="s">
        <v>314</v>
      </c>
      <c r="B120" s="79">
        <v>5.8005724000000002E-2</v>
      </c>
      <c r="C120" s="24">
        <v>1.9335241333333333E-2</v>
      </c>
      <c r="D120" s="54">
        <v>0.23749999886663223</v>
      </c>
      <c r="E120" s="24">
        <v>8.9</v>
      </c>
      <c r="F120" s="54">
        <v>6.5174970786516856E-3</v>
      </c>
      <c r="G120" s="54">
        <v>-5.2814140279553863</v>
      </c>
      <c r="H120" s="94">
        <v>95417856.023333326</v>
      </c>
    </row>
    <row r="121" spans="1:8">
      <c r="A121" s="2" t="s">
        <v>204</v>
      </c>
      <c r="B121" s="79">
        <v>0.47619999999999996</v>
      </c>
      <c r="C121" s="24">
        <v>0.15873333333333331</v>
      </c>
      <c r="D121" s="54">
        <v>0.39457960469026815</v>
      </c>
      <c r="E121" s="24">
        <v>11</v>
      </c>
      <c r="F121" s="54">
        <v>1.4430303030303029E-2</v>
      </c>
      <c r="G121" s="54">
        <v>1.2209995246783099</v>
      </c>
      <c r="H121" s="94">
        <v>498154305.84666663</v>
      </c>
    </row>
    <row r="122" spans="1:8">
      <c r="A122" s="2" t="s">
        <v>54</v>
      </c>
      <c r="B122" s="79">
        <v>0.52380000000000004</v>
      </c>
      <c r="C122" s="24">
        <v>0.17460000000000001</v>
      </c>
      <c r="D122" s="54">
        <v>0.43406605496565737</v>
      </c>
      <c r="E122" s="24">
        <v>12.71</v>
      </c>
      <c r="F122" s="54">
        <v>1.3737214791502755E-2</v>
      </c>
      <c r="G122" s="54">
        <v>1.2209995246783099</v>
      </c>
      <c r="H122" s="94">
        <v>498154305.84666663</v>
      </c>
    </row>
    <row r="123" spans="1:8">
      <c r="A123" s="2" t="s">
        <v>353</v>
      </c>
      <c r="B123" s="79">
        <v>0.37646729800000001</v>
      </c>
      <c r="C123" s="24">
        <v>0.188233649</v>
      </c>
      <c r="D123" s="54">
        <v>1.6736510200308279</v>
      </c>
      <c r="E123" s="24">
        <v>6.5</v>
      </c>
      <c r="F123" s="54">
        <v>2.8959022923076921E-2</v>
      </c>
      <c r="G123" s="54">
        <v>-0.83513465627214745</v>
      </c>
      <c r="H123" s="94">
        <v>13149000</v>
      </c>
    </row>
    <row r="124" spans="1:8">
      <c r="A124" s="2" t="s">
        <v>55</v>
      </c>
      <c r="B124" s="79">
        <v>4.88</v>
      </c>
      <c r="C124" s="24">
        <v>1.6266666666666667</v>
      </c>
      <c r="D124" s="54">
        <v>0.79479552403967901</v>
      </c>
      <c r="E124" s="24">
        <v>20.61</v>
      </c>
      <c r="F124" s="54">
        <v>7.892608765971211E-2</v>
      </c>
      <c r="G124" s="54">
        <v>-4.7619185114170626E-2</v>
      </c>
      <c r="H124" s="94">
        <v>436573486.14333338</v>
      </c>
    </row>
    <row r="125" spans="1:8">
      <c r="A125" s="101">
        <v>2010</v>
      </c>
      <c r="B125" s="79">
        <v>1.72</v>
      </c>
      <c r="C125" s="24">
        <v>1.72</v>
      </c>
      <c r="D125" s="54">
        <v>0.6098697438928975</v>
      </c>
      <c r="E125" s="24">
        <v>20.61</v>
      </c>
      <c r="F125" s="54">
        <v>8.3454633672974288E-2</v>
      </c>
      <c r="G125" s="54" t="e">
        <v>#DIV/0!</v>
      </c>
      <c r="H125" s="94">
        <v>575150000</v>
      </c>
    </row>
    <row r="126" spans="1:8">
      <c r="A126" s="101">
        <v>2011</v>
      </c>
      <c r="B126" s="79">
        <v>1.45</v>
      </c>
      <c r="C126" s="24">
        <v>1.45</v>
      </c>
      <c r="D126" s="54">
        <v>0.95189841524302499</v>
      </c>
      <c r="E126" s="24">
        <v>20.61</v>
      </c>
      <c r="F126" s="54">
        <v>7.0354196991751577E-2</v>
      </c>
      <c r="G126" s="54">
        <v>-0.45988524732678426</v>
      </c>
      <c r="H126" s="94">
        <v>310647000</v>
      </c>
    </row>
    <row r="127" spans="1:8">
      <c r="A127" s="101">
        <v>2012</v>
      </c>
      <c r="B127" s="79">
        <v>1.71</v>
      </c>
      <c r="C127" s="24">
        <v>1.71</v>
      </c>
      <c r="D127" s="54">
        <v>0.82261841298311467</v>
      </c>
      <c r="E127" s="24">
        <v>20.61</v>
      </c>
      <c r="F127" s="54">
        <v>8.296943231441048E-2</v>
      </c>
      <c r="G127" s="54">
        <v>0.36464687709844301</v>
      </c>
      <c r="H127" s="94">
        <v>423923458.43000001</v>
      </c>
    </row>
    <row r="128" spans="1:8">
      <c r="A128" s="2" t="s">
        <v>179</v>
      </c>
      <c r="B128" s="79">
        <v>3.1715599999999995</v>
      </c>
      <c r="C128" s="24">
        <v>0.79288999999999987</v>
      </c>
      <c r="D128" s="54">
        <v>0.43168732302801038</v>
      </c>
      <c r="E128" s="24">
        <v>49.6</v>
      </c>
      <c r="F128" s="54">
        <v>1.5985685483870967E-2</v>
      </c>
      <c r="G128" s="54">
        <v>0.22837447391760982</v>
      </c>
      <c r="H128" s="94">
        <v>17823250</v>
      </c>
    </row>
    <row r="129" spans="1:8">
      <c r="A129" s="2" t="s">
        <v>369</v>
      </c>
      <c r="B129" s="79">
        <v>8.753039E-2</v>
      </c>
      <c r="C129" s="24">
        <v>2.9176796666666668E-2</v>
      </c>
      <c r="D129" s="54">
        <v>0.16275155588949558</v>
      </c>
      <c r="E129" s="24">
        <v>5.6500000000000012</v>
      </c>
      <c r="F129" s="54">
        <v>7.7460522123893802E-3</v>
      </c>
      <c r="G129" s="54">
        <v>-0.10532850624335593</v>
      </c>
      <c r="H129" s="94">
        <v>86801243.426666662</v>
      </c>
    </row>
    <row r="130" spans="1:8">
      <c r="A130" s="2" t="s">
        <v>419</v>
      </c>
      <c r="B130" s="79">
        <v>1.1533</v>
      </c>
      <c r="C130" s="24">
        <v>0.38443333333333335</v>
      </c>
      <c r="D130" s="54">
        <v>0.27169719418566168</v>
      </c>
      <c r="E130" s="24">
        <v>83.91</v>
      </c>
      <c r="F130" s="54">
        <v>4.5814960473523217E-3</v>
      </c>
      <c r="G130" s="54">
        <v>0.14700192764463965</v>
      </c>
      <c r="H130" s="94">
        <v>16587000</v>
      </c>
    </row>
    <row r="131" spans="1:8">
      <c r="A131" s="101">
        <v>2010</v>
      </c>
      <c r="B131" s="79">
        <v>0.54059999999999997</v>
      </c>
      <c r="C131" s="24">
        <v>0.54059999999999997</v>
      </c>
      <c r="D131" s="54">
        <v>0.2611508157821229</v>
      </c>
      <c r="E131" s="24">
        <v>83.91</v>
      </c>
      <c r="F131" s="54">
        <v>6.4426170897390056E-3</v>
      </c>
      <c r="G131" s="54" t="e">
        <v>#DIV/0!</v>
      </c>
      <c r="H131" s="94">
        <v>24344000</v>
      </c>
    </row>
    <row r="132" spans="1:8">
      <c r="A132" s="101">
        <v>2011</v>
      </c>
      <c r="B132" s="79">
        <v>0.18870000000000001</v>
      </c>
      <c r="C132" s="24">
        <v>0.18870000000000001</v>
      </c>
      <c r="D132" s="54">
        <v>0.25657437984738124</v>
      </c>
      <c r="E132" s="24">
        <v>83.91</v>
      </c>
      <c r="F132" s="54">
        <v>2.2488380407579551E-3</v>
      </c>
      <c r="G132" s="54">
        <v>-0.64471738416036806</v>
      </c>
      <c r="H132" s="94">
        <v>8649000</v>
      </c>
    </row>
    <row r="133" spans="1:8">
      <c r="A133" s="101">
        <v>2012</v>
      </c>
      <c r="B133" s="79">
        <v>0.42399999999999999</v>
      </c>
      <c r="C133" s="24">
        <v>0.42399999999999999</v>
      </c>
      <c r="D133" s="54">
        <v>0.29736638692748091</v>
      </c>
      <c r="E133" s="24">
        <v>83.91</v>
      </c>
      <c r="F133" s="54">
        <v>5.0530330115600049E-3</v>
      </c>
      <c r="G133" s="54">
        <v>0.93872123944964736</v>
      </c>
      <c r="H133" s="94">
        <v>16768000</v>
      </c>
    </row>
    <row r="134" spans="1:8">
      <c r="A134" s="2" t="s">
        <v>420</v>
      </c>
      <c r="B134" s="79">
        <v>1.5331399999999999</v>
      </c>
      <c r="C134" s="24">
        <v>0.51104666666666665</v>
      </c>
      <c r="D134" s="54">
        <v>0.3971899422750666</v>
      </c>
      <c r="E134" s="24">
        <v>6.580000000000001</v>
      </c>
      <c r="F134" s="54">
        <v>7.7666666666666676E-2</v>
      </c>
      <c r="G134" s="54">
        <v>0.14700192764463965</v>
      </c>
      <c r="H134" s="94">
        <v>16587000</v>
      </c>
    </row>
    <row r="135" spans="1:8">
      <c r="A135" s="101">
        <v>2010</v>
      </c>
      <c r="B135" s="79">
        <v>0.62594000000000005</v>
      </c>
      <c r="C135" s="24">
        <v>0.62594000000000005</v>
      </c>
      <c r="D135" s="54">
        <v>0.3023765106005587</v>
      </c>
      <c r="E135" s="24">
        <v>6.58</v>
      </c>
      <c r="F135" s="54">
        <v>9.5127659574468088E-2</v>
      </c>
      <c r="G135" s="54" t="e">
        <v>#DIV/0!</v>
      </c>
      <c r="H135" s="94">
        <v>24344000</v>
      </c>
    </row>
    <row r="136" spans="1:8">
      <c r="A136" s="101">
        <v>2011</v>
      </c>
      <c r="B136" s="79">
        <v>0.38419999999999999</v>
      </c>
      <c r="C136" s="24">
        <v>0.38419999999999999</v>
      </c>
      <c r="D136" s="54">
        <v>0.5223946832928662</v>
      </c>
      <c r="E136" s="24">
        <v>6.58</v>
      </c>
      <c r="F136" s="54">
        <v>5.8389057750759879E-2</v>
      </c>
      <c r="G136" s="54">
        <v>-0.64471738416036806</v>
      </c>
      <c r="H136" s="94">
        <v>8649000</v>
      </c>
    </row>
    <row r="137" spans="1:8">
      <c r="A137" s="101">
        <v>2012</v>
      </c>
      <c r="B137" s="79">
        <v>0.52300000000000002</v>
      </c>
      <c r="C137" s="24">
        <v>0.52300000000000002</v>
      </c>
      <c r="D137" s="54">
        <v>0.36679863293177484</v>
      </c>
      <c r="E137" s="24">
        <v>6.58</v>
      </c>
      <c r="F137" s="54">
        <v>7.9483282674772032E-2</v>
      </c>
      <c r="G137" s="54">
        <v>0.93872123944964736</v>
      </c>
      <c r="H137" s="94">
        <v>16768000</v>
      </c>
    </row>
    <row r="138" spans="1:8">
      <c r="A138" s="2" t="s">
        <v>340</v>
      </c>
      <c r="B138" s="79">
        <v>16.970529425000002</v>
      </c>
      <c r="C138" s="24">
        <v>4.2426323562500006</v>
      </c>
      <c r="D138" s="54">
        <v>0.42680662187286622</v>
      </c>
      <c r="E138" s="24">
        <v>158.99</v>
      </c>
      <c r="F138" s="54">
        <v>2.668490066199132E-2</v>
      </c>
      <c r="G138" s="54">
        <v>0.36079085442493602</v>
      </c>
      <c r="H138" s="94">
        <v>134782258.82249999</v>
      </c>
    </row>
    <row r="139" spans="1:8">
      <c r="A139" s="2" t="s">
        <v>413</v>
      </c>
      <c r="B139" s="79">
        <v>2.6773285570000001</v>
      </c>
      <c r="C139" s="24">
        <v>0.66933213925000001</v>
      </c>
      <c r="D139" s="54">
        <v>0.46005623926256656</v>
      </c>
      <c r="E139" s="24">
        <v>47.25</v>
      </c>
      <c r="F139" s="54">
        <v>1.4165759560846562E-2</v>
      </c>
      <c r="G139" s="54">
        <v>0.31432887620527628</v>
      </c>
      <c r="H139" s="94">
        <v>267751182.9975</v>
      </c>
    </row>
    <row r="140" spans="1:8">
      <c r="A140" s="2" t="s">
        <v>322</v>
      </c>
      <c r="B140" s="79">
        <v>4.99</v>
      </c>
      <c r="C140" s="24">
        <v>1.6633333333333333</v>
      </c>
      <c r="D140" s="54">
        <v>5.1889142659306664</v>
      </c>
      <c r="E140" s="24">
        <v>4.6900000000000004</v>
      </c>
      <c r="F140" s="54">
        <v>0.53198294243070365</v>
      </c>
      <c r="G140" s="54">
        <v>-0.32853710875650738</v>
      </c>
      <c r="H140" s="94">
        <v>1271398435.0133333</v>
      </c>
    </row>
    <row r="141" spans="1:8">
      <c r="A141" s="2" t="s">
        <v>323</v>
      </c>
      <c r="B141" s="79">
        <v>4.99</v>
      </c>
      <c r="C141" s="24">
        <v>1.6633333333333333</v>
      </c>
      <c r="D141" s="54">
        <v>5.1889142659306664</v>
      </c>
      <c r="E141" s="24">
        <v>4.37</v>
      </c>
      <c r="F141" s="54">
        <v>0.57093821510297482</v>
      </c>
      <c r="G141" s="54">
        <v>-0.32853710875650738</v>
      </c>
      <c r="H141" s="94">
        <v>1271398435.0133333</v>
      </c>
    </row>
    <row r="142" spans="1:8">
      <c r="A142" s="2" t="s">
        <v>585</v>
      </c>
      <c r="B142" s="79">
        <v>1.4039619999999999</v>
      </c>
      <c r="C142" s="24">
        <v>0.35099049999999998</v>
      </c>
      <c r="D142" s="54">
        <v>0.30530103156422655</v>
      </c>
      <c r="E142" s="24">
        <v>18</v>
      </c>
      <c r="F142" s="54">
        <v>1.9499472222222224E-2</v>
      </c>
      <c r="G142" s="54">
        <v>0.35042887014845919</v>
      </c>
      <c r="H142" s="94">
        <v>14431909.662500001</v>
      </c>
    </row>
    <row r="143" spans="1:8">
      <c r="A143" s="101">
        <v>2009</v>
      </c>
      <c r="B143" s="79">
        <v>0.22691</v>
      </c>
      <c r="C143" s="24">
        <v>0.22691</v>
      </c>
      <c r="D143" s="54">
        <v>0.31788890666194625</v>
      </c>
      <c r="E143" s="24">
        <v>18</v>
      </c>
      <c r="F143" s="54">
        <v>1.2606111111111111E-2</v>
      </c>
      <c r="G143" s="54" t="e">
        <v>#DIV/0!</v>
      </c>
      <c r="H143" s="94">
        <v>8984823.1899999995</v>
      </c>
    </row>
    <row r="144" spans="1:8">
      <c r="A144" s="101">
        <v>2010</v>
      </c>
      <c r="B144" s="79">
        <v>0.51934000000000002</v>
      </c>
      <c r="C144" s="24">
        <v>0.51934000000000002</v>
      </c>
      <c r="D144" s="54">
        <v>0.32739997373505497</v>
      </c>
      <c r="E144" s="24">
        <v>18</v>
      </c>
      <c r="F144" s="54">
        <v>2.8852222222222224E-2</v>
      </c>
      <c r="G144" s="54">
        <v>1.2222600053190362</v>
      </c>
      <c r="H144" s="94">
        <v>19966613.23</v>
      </c>
    </row>
    <row r="145" spans="1:8">
      <c r="A145" s="101">
        <v>2011</v>
      </c>
      <c r="B145" s="79">
        <v>0.30808799999999997</v>
      </c>
      <c r="C145" s="24">
        <v>0.30808799999999997</v>
      </c>
      <c r="D145" s="54">
        <v>0.2914395806765448</v>
      </c>
      <c r="E145" s="24">
        <v>18</v>
      </c>
      <c r="F145" s="54">
        <v>1.7115999999999999E-2</v>
      </c>
      <c r="G145" s="54">
        <v>-0.333572183388259</v>
      </c>
      <c r="H145" s="94">
        <v>13306306.460000001</v>
      </c>
    </row>
    <row r="146" spans="1:8">
      <c r="A146" s="101">
        <v>2012</v>
      </c>
      <c r="B146" s="79">
        <v>0.34962399999999999</v>
      </c>
      <c r="C146" s="24">
        <v>0.34962399999999999</v>
      </c>
      <c r="D146" s="54">
        <v>0.2844756651833602</v>
      </c>
      <c r="E146" s="24">
        <v>18</v>
      </c>
      <c r="F146" s="54">
        <v>1.9423555555555555E-2</v>
      </c>
      <c r="G146" s="54">
        <v>0.1625987885146003</v>
      </c>
      <c r="H146" s="94">
        <v>15469895.77</v>
      </c>
    </row>
    <row r="147" spans="1:8">
      <c r="A147" s="2" t="s">
        <v>376</v>
      </c>
      <c r="B147" s="79">
        <v>3.8963190000000001</v>
      </c>
      <c r="C147" s="24">
        <v>0.97407975000000002</v>
      </c>
      <c r="D147" s="54">
        <v>0.90821522332465576</v>
      </c>
      <c r="E147" s="24">
        <v>20</v>
      </c>
      <c r="F147" s="54">
        <v>4.8703987500000004E-2</v>
      </c>
      <c r="G147" s="54">
        <v>0.35042887014845919</v>
      </c>
      <c r="H147" s="94">
        <v>14431909.6625</v>
      </c>
    </row>
    <row r="148" spans="1:8">
      <c r="A148" s="2" t="s">
        <v>20</v>
      </c>
      <c r="B148" s="79">
        <v>3.37</v>
      </c>
      <c r="C148" s="24">
        <v>0.84250000000000003</v>
      </c>
      <c r="D148" s="54">
        <v>0.30588500522710332</v>
      </c>
      <c r="E148" s="24">
        <v>15.12</v>
      </c>
      <c r="F148" s="54">
        <v>5.5720899470899476E-2</v>
      </c>
      <c r="G148" s="54">
        <v>-0.20528616173858652</v>
      </c>
      <c r="H148" s="94">
        <v>36237017731.650002</v>
      </c>
    </row>
    <row r="149" spans="1:8">
      <c r="A149" s="2" t="s">
        <v>21</v>
      </c>
      <c r="B149" s="79">
        <v>3.8600000000000003</v>
      </c>
      <c r="C149" s="24">
        <v>0.96500000000000008</v>
      </c>
      <c r="D149" s="54">
        <v>0.38236062761569822</v>
      </c>
      <c r="E149" s="24">
        <v>16.04</v>
      </c>
      <c r="F149" s="54">
        <v>6.0162094763092269E-2</v>
      </c>
      <c r="G149" s="54">
        <v>-0.20528616173858652</v>
      </c>
      <c r="H149" s="94">
        <v>36237017731.650002</v>
      </c>
    </row>
    <row r="150" spans="1:8">
      <c r="A150" s="2" t="s">
        <v>75</v>
      </c>
      <c r="B150" s="79">
        <v>3.1588039999999999</v>
      </c>
      <c r="C150" s="24">
        <v>0.78970099999999999</v>
      </c>
      <c r="D150" s="54">
        <v>0.66880124529726692</v>
      </c>
      <c r="E150" s="24">
        <v>8.6999999999999993</v>
      </c>
      <c r="F150" s="54">
        <v>9.077022988505748E-2</v>
      </c>
      <c r="G150" s="54">
        <v>0.29582015929139355</v>
      </c>
      <c r="H150" s="94">
        <v>138076847.00999999</v>
      </c>
    </row>
    <row r="151" spans="1:8">
      <c r="A151" s="2" t="s">
        <v>83</v>
      </c>
      <c r="B151" s="79">
        <v>2.33</v>
      </c>
      <c r="C151" s="24">
        <v>0.77666666666666673</v>
      </c>
      <c r="D151" s="54">
        <v>0.32355722757326899</v>
      </c>
      <c r="E151" s="24">
        <v>11.32</v>
      </c>
      <c r="F151" s="54">
        <v>6.861012956419317E-2</v>
      </c>
      <c r="G151" s="54">
        <v>0.80388559806663851</v>
      </c>
      <c r="H151" s="94">
        <v>224539573.62666664</v>
      </c>
    </row>
    <row r="152" spans="1:8">
      <c r="A152" s="2" t="s">
        <v>367</v>
      </c>
      <c r="B152" s="79">
        <v>1.57</v>
      </c>
      <c r="C152" s="24">
        <v>0.52333333333333332</v>
      </c>
      <c r="D152" s="54">
        <v>1.3030076728553794</v>
      </c>
      <c r="E152" s="24">
        <v>7.7</v>
      </c>
      <c r="F152" s="54">
        <v>6.7965367965367965E-2</v>
      </c>
      <c r="G152" s="54">
        <v>0.38354099086089755</v>
      </c>
      <c r="H152" s="94">
        <v>32778666.666666668</v>
      </c>
    </row>
    <row r="153" spans="1:8">
      <c r="A153" s="2" t="s">
        <v>264</v>
      </c>
      <c r="B153" s="79">
        <v>3.0100000000000002</v>
      </c>
      <c r="C153" s="24">
        <v>0.75250000000000006</v>
      </c>
      <c r="D153" s="54">
        <v>0.43307716407622709</v>
      </c>
      <c r="E153" s="24">
        <v>29</v>
      </c>
      <c r="F153" s="54">
        <v>2.5948275862068968E-2</v>
      </c>
      <c r="G153" s="54">
        <v>0.33540199218147343</v>
      </c>
      <c r="H153" s="94">
        <v>553748019.25</v>
      </c>
    </row>
    <row r="154" spans="1:8">
      <c r="A154" s="2" t="s">
        <v>357</v>
      </c>
      <c r="B154" s="79">
        <v>9.5377892499999994</v>
      </c>
      <c r="C154" s="24">
        <v>2.3844473124999999</v>
      </c>
      <c r="D154" s="54">
        <v>0.29704620053272746</v>
      </c>
      <c r="E154" s="24">
        <v>58</v>
      </c>
      <c r="F154" s="54">
        <v>4.1111160560344827E-2</v>
      </c>
      <c r="G154" s="54">
        <v>0.8440576441474571</v>
      </c>
      <c r="H154" s="94">
        <v>142646994.05500001</v>
      </c>
    </row>
    <row r="155" spans="1:8">
      <c r="A155" s="2" t="s">
        <v>277</v>
      </c>
      <c r="B155" s="79">
        <v>0.18174200000000001</v>
      </c>
      <c r="C155" s="24">
        <v>6.0580666666666672E-2</v>
      </c>
      <c r="D155" s="54">
        <v>0.45238397622744686</v>
      </c>
      <c r="E155" s="24">
        <v>9.6999999999999993</v>
      </c>
      <c r="F155" s="54">
        <v>6.2454295532646054E-3</v>
      </c>
      <c r="G155" s="54">
        <v>0.74178693100552917</v>
      </c>
      <c r="H155" s="94">
        <v>70066703.760000005</v>
      </c>
    </row>
    <row r="156" spans="1:8">
      <c r="A156" s="2" t="s">
        <v>200</v>
      </c>
      <c r="B156" s="79">
        <v>0.18207999999999999</v>
      </c>
      <c r="C156" s="24">
        <v>6.0693333333333328E-2</v>
      </c>
      <c r="D156" s="54">
        <v>0.5857126326415365</v>
      </c>
      <c r="E156" s="24">
        <v>3.25</v>
      </c>
      <c r="F156" s="54">
        <v>1.8674871794871793E-2</v>
      </c>
      <c r="G156" s="54">
        <v>0.54626297092526466</v>
      </c>
      <c r="H156" s="94">
        <v>23365000</v>
      </c>
    </row>
    <row r="157" spans="1:8">
      <c r="A157" s="2" t="s">
        <v>201</v>
      </c>
      <c r="B157" s="79">
        <v>0.19408999999999998</v>
      </c>
      <c r="C157" s="24">
        <v>6.4696666666666666E-2</v>
      </c>
      <c r="D157" s="54">
        <v>0.63120967245066673</v>
      </c>
      <c r="E157" s="24">
        <v>3.36</v>
      </c>
      <c r="F157" s="54">
        <v>1.925496031746032E-2</v>
      </c>
      <c r="G157" s="54">
        <v>0.54626297092526466</v>
      </c>
      <c r="H157" s="94">
        <v>23365000</v>
      </c>
    </row>
    <row r="158" spans="1:8">
      <c r="A158" s="2" t="s">
        <v>65</v>
      </c>
      <c r="B158" s="79">
        <v>1.0374854550000001</v>
      </c>
      <c r="C158" s="24">
        <v>0.34582848500000002</v>
      </c>
      <c r="D158" s="54">
        <v>0.74003580825491566</v>
      </c>
      <c r="E158" s="24">
        <v>5.96</v>
      </c>
      <c r="F158" s="54">
        <v>5.8024913590604021E-2</v>
      </c>
      <c r="G158" s="54">
        <v>-5.0177576186204831E-2</v>
      </c>
      <c r="H158" s="94">
        <v>51358333.333333336</v>
      </c>
    </row>
    <row r="159" spans="1:8">
      <c r="A159" s="2" t="s">
        <v>209</v>
      </c>
      <c r="B159" s="79">
        <v>3.8720000000000004E-2</v>
      </c>
      <c r="C159" s="24">
        <v>9.6800000000000011E-3</v>
      </c>
      <c r="D159" s="54">
        <v>2.6538214988206538E-2</v>
      </c>
      <c r="E159" s="24">
        <v>3.08</v>
      </c>
      <c r="F159" s="54">
        <v>4.1904761904761906E-3</v>
      </c>
      <c r="G159" s="54">
        <v>8.8765058314084586E-2</v>
      </c>
      <c r="H159" s="94">
        <v>46026500</v>
      </c>
    </row>
    <row r="160" spans="1:8">
      <c r="A160" s="2" t="s">
        <v>77</v>
      </c>
      <c r="B160" s="79">
        <v>1.3681000000000001</v>
      </c>
      <c r="C160" s="24">
        <v>0.34202500000000002</v>
      </c>
      <c r="D160" s="54">
        <v>0.63014566270033845</v>
      </c>
      <c r="E160" s="24">
        <v>6.8</v>
      </c>
      <c r="F160" s="54">
        <v>5.0297794117647066E-2</v>
      </c>
      <c r="G160" s="54">
        <v>8.8765058314084586E-2</v>
      </c>
      <c r="H160" s="94">
        <v>46026500</v>
      </c>
    </row>
    <row r="161" spans="1:8">
      <c r="A161" s="2" t="s">
        <v>210</v>
      </c>
      <c r="B161" s="79">
        <v>4.2609999999999995E-2</v>
      </c>
      <c r="C161" s="24">
        <v>1.0652499999999999E-2</v>
      </c>
      <c r="D161" s="54">
        <v>2.9204663914363771E-2</v>
      </c>
      <c r="E161" s="24">
        <v>2.99</v>
      </c>
      <c r="F161" s="54">
        <v>4.7502787068004447E-3</v>
      </c>
      <c r="G161" s="54">
        <v>8.8765058314084586E-2</v>
      </c>
      <c r="H161" s="94">
        <v>46026500</v>
      </c>
    </row>
    <row r="162" spans="1:8">
      <c r="A162" s="2" t="s">
        <v>198</v>
      </c>
      <c r="B162" s="79">
        <v>0.82940000000000003</v>
      </c>
      <c r="C162" s="24">
        <v>0.20735000000000001</v>
      </c>
      <c r="D162" s="54">
        <v>0.42096174698699207</v>
      </c>
      <c r="E162" s="24">
        <v>8.19</v>
      </c>
      <c r="F162" s="54">
        <v>2.5317460317460318E-2</v>
      </c>
      <c r="G162" s="54">
        <v>0.38970798673014234</v>
      </c>
      <c r="H162" s="94">
        <v>214577000</v>
      </c>
    </row>
    <row r="163" spans="1:8">
      <c r="A163" s="2" t="s">
        <v>66</v>
      </c>
      <c r="B163" s="79">
        <v>0.91220000000000001</v>
      </c>
      <c r="C163" s="24">
        <v>0.22805</v>
      </c>
      <c r="D163" s="54">
        <v>0.46297228112835515</v>
      </c>
      <c r="E163" s="24">
        <v>5.8</v>
      </c>
      <c r="F163" s="54">
        <v>3.9318965517241379E-2</v>
      </c>
      <c r="G163" s="54">
        <v>0.38970798673014234</v>
      </c>
      <c r="H163" s="94">
        <v>214577000</v>
      </c>
    </row>
    <row r="164" spans="1:8">
      <c r="A164" s="2" t="s">
        <v>36</v>
      </c>
      <c r="B164" s="79">
        <v>6.8849999999999998</v>
      </c>
      <c r="C164" s="24">
        <v>2.2949999999999999</v>
      </c>
      <c r="D164" s="54">
        <v>1.0319469633494387</v>
      </c>
      <c r="E164" s="24">
        <v>23.459999999999997</v>
      </c>
      <c r="F164" s="54">
        <v>9.7826086956521729E-2</v>
      </c>
      <c r="G164" s="54">
        <v>0.15655329049472672</v>
      </c>
      <c r="H164" s="94">
        <v>1588590923.1400001</v>
      </c>
    </row>
    <row r="165" spans="1:8">
      <c r="A165" s="2" t="s">
        <v>416</v>
      </c>
      <c r="B165" s="79">
        <v>1.7597457809999999</v>
      </c>
      <c r="C165" s="24">
        <v>0.586581927</v>
      </c>
      <c r="D165" s="54">
        <v>0.36698912893465502</v>
      </c>
      <c r="E165" s="24">
        <v>34.28</v>
      </c>
      <c r="F165" s="54">
        <v>2.5667237179113185E-2</v>
      </c>
      <c r="G165" s="54">
        <v>0.67105974272395275</v>
      </c>
      <c r="H165" s="94">
        <v>136446987.45333335</v>
      </c>
    </row>
    <row r="166" spans="1:8">
      <c r="A166" s="2" t="s">
        <v>76</v>
      </c>
      <c r="B166" s="79">
        <v>1.56961906</v>
      </c>
      <c r="C166" s="24">
        <v>0.52320635333333332</v>
      </c>
      <c r="D166" s="54">
        <v>1.9284904159098553</v>
      </c>
      <c r="E166" s="24">
        <v>2.85</v>
      </c>
      <c r="F166" s="54">
        <v>0.18358117660818715</v>
      </c>
      <c r="G166" s="54">
        <v>-0.33575171934245818</v>
      </c>
      <c r="H166" s="94">
        <v>43198498.006666668</v>
      </c>
    </row>
    <row r="167" spans="1:8">
      <c r="A167" s="2" t="s">
        <v>305</v>
      </c>
      <c r="B167" s="79">
        <v>1.254969</v>
      </c>
      <c r="C167" s="24">
        <v>0.31374225</v>
      </c>
      <c r="D167" s="54">
        <v>0.3337402763144719</v>
      </c>
      <c r="E167" s="24">
        <v>26.8</v>
      </c>
      <c r="F167" s="54">
        <v>1.1706800373134329E-2</v>
      </c>
      <c r="G167" s="54">
        <v>-1.5155068836509116E-3</v>
      </c>
      <c r="H167" s="94">
        <v>108720111.06999999</v>
      </c>
    </row>
    <row r="168" spans="1:8">
      <c r="A168" s="2" t="s">
        <v>415</v>
      </c>
      <c r="B168" s="79">
        <v>0.92999999999999994</v>
      </c>
      <c r="C168" s="24">
        <v>0.31</v>
      </c>
      <c r="D168" s="54">
        <v>0.11521495903029355</v>
      </c>
      <c r="E168" s="24">
        <v>17.350000000000001</v>
      </c>
      <c r="F168" s="54">
        <v>1.7867435158501439E-2</v>
      </c>
      <c r="G168" s="54">
        <v>-1.4866806034796065E-2</v>
      </c>
      <c r="H168" s="94">
        <v>208322676.08333334</v>
      </c>
    </row>
    <row r="169" spans="1:8">
      <c r="A169" s="2" t="s">
        <v>57</v>
      </c>
      <c r="B169" s="79">
        <v>4.259330362</v>
      </c>
      <c r="C169" s="24">
        <v>1.0648325905</v>
      </c>
      <c r="D169" s="54">
        <v>2.3414519788923673</v>
      </c>
      <c r="E169" s="24">
        <v>14.07</v>
      </c>
      <c r="F169" s="54">
        <v>7.5681065422885579E-2</v>
      </c>
      <c r="G169" s="54">
        <v>9.1749673189393491E-2</v>
      </c>
      <c r="H169" s="94">
        <v>490510986.26749998</v>
      </c>
    </row>
    <row r="170" spans="1:8">
      <c r="A170" s="2" t="s">
        <v>18</v>
      </c>
      <c r="B170" s="79">
        <v>1.6677999999999999</v>
      </c>
      <c r="C170" s="24">
        <v>0.41694999999999999</v>
      </c>
      <c r="D170" s="54">
        <v>1.3752569187945951</v>
      </c>
      <c r="E170" s="24">
        <v>9.43</v>
      </c>
      <c r="F170" s="54">
        <v>5.8953693884764936E-2</v>
      </c>
      <c r="G170" s="54">
        <v>-0.42708882979855717</v>
      </c>
      <c r="H170" s="94">
        <v>1323388814.8675001</v>
      </c>
    </row>
    <row r="171" spans="1:8">
      <c r="A171" s="2" t="s">
        <v>206</v>
      </c>
      <c r="B171" s="79">
        <v>1.6190099999999998</v>
      </c>
      <c r="C171" s="24">
        <v>0.40475249999999996</v>
      </c>
      <c r="D171" s="54">
        <v>1.3670338527475838</v>
      </c>
      <c r="E171" s="24">
        <v>5.7</v>
      </c>
      <c r="F171" s="54">
        <v>9.4678947368421043E-2</v>
      </c>
      <c r="G171" s="54">
        <v>-0.42708882979855717</v>
      </c>
      <c r="H171" s="94">
        <v>1323388814.8675001</v>
      </c>
    </row>
    <row r="172" spans="1:8">
      <c r="A172" s="2" t="s">
        <v>56</v>
      </c>
      <c r="B172" s="79">
        <v>6.1099999999999994</v>
      </c>
      <c r="C172" s="24">
        <v>1.5274999999999999</v>
      </c>
      <c r="D172" s="54">
        <v>3.6038092899769296</v>
      </c>
      <c r="E172" s="24">
        <v>17.95</v>
      </c>
      <c r="F172" s="54">
        <v>8.509749303621171E-2</v>
      </c>
      <c r="G172" s="54">
        <v>0.27814720052776121</v>
      </c>
      <c r="H172" s="94">
        <v>450251697.83000004</v>
      </c>
    </row>
    <row r="173" spans="1:8">
      <c r="A173" s="2" t="s">
        <v>192</v>
      </c>
      <c r="B173" s="79">
        <v>5.5766351018</v>
      </c>
      <c r="C173" s="24">
        <v>1.8588783672666667</v>
      </c>
      <c r="D173" s="54">
        <v>0.85565136305393408</v>
      </c>
      <c r="E173" s="24">
        <v>35.17</v>
      </c>
      <c r="F173" s="54">
        <v>5.2854090624585348E-2</v>
      </c>
      <c r="G173" s="54">
        <v>0.11529621882001062</v>
      </c>
      <c r="H173" s="94">
        <v>1386261659</v>
      </c>
    </row>
    <row r="174" spans="1:8">
      <c r="A174" s="2" t="s">
        <v>79</v>
      </c>
      <c r="B174" s="79">
        <v>0.13240000000000002</v>
      </c>
      <c r="C174" s="24">
        <v>3.3100000000000004E-2</v>
      </c>
      <c r="D174" s="54">
        <v>0.27744555988769093</v>
      </c>
      <c r="E174" s="24">
        <v>2.41</v>
      </c>
      <c r="F174" s="54">
        <v>2.7468879668049791E-2</v>
      </c>
      <c r="G174" s="54">
        <v>0.30593319728888574</v>
      </c>
      <c r="H174" s="94">
        <v>169240799.03333333</v>
      </c>
    </row>
    <row r="175" spans="1:8">
      <c r="A175" s="2" t="s">
        <v>319</v>
      </c>
      <c r="B175" s="79">
        <v>0.42000000000000004</v>
      </c>
      <c r="C175" s="24">
        <v>0.21000000000000002</v>
      </c>
      <c r="D175" s="54">
        <v>0.31662042253674527</v>
      </c>
      <c r="E175" s="24">
        <v>13.46</v>
      </c>
      <c r="F175" s="54">
        <v>1.5601783060921246E-2</v>
      </c>
      <c r="G175" s="54">
        <v>-0.2110328737784844</v>
      </c>
      <c r="H175" s="94">
        <v>1749068427.5599999</v>
      </c>
    </row>
    <row r="176" spans="1:8">
      <c r="A176" s="2" t="s">
        <v>379</v>
      </c>
      <c r="B176" s="79">
        <v>25.119</v>
      </c>
      <c r="C176" s="24">
        <v>6.2797499999999999</v>
      </c>
      <c r="D176" s="54">
        <v>0.72745804302911377</v>
      </c>
      <c r="E176" s="24">
        <v>88</v>
      </c>
      <c r="F176" s="54">
        <v>7.1360795454545448E-2</v>
      </c>
      <c r="G176" s="54">
        <v>4.0119826616537346E-2</v>
      </c>
      <c r="H176" s="94">
        <v>24196579.022500001</v>
      </c>
    </row>
    <row r="177" spans="1:8">
      <c r="A177" s="2" t="s">
        <v>169</v>
      </c>
      <c r="B177" s="79">
        <v>11.870516</v>
      </c>
      <c r="C177" s="24">
        <v>3.9568386666666666</v>
      </c>
      <c r="D177" s="54">
        <v>0.70044394399833187</v>
      </c>
      <c r="E177" s="24">
        <v>42</v>
      </c>
      <c r="F177" s="54">
        <v>9.4210444444444444E-2</v>
      </c>
      <c r="G177" s="54">
        <v>2.0387530080794691E-2</v>
      </c>
      <c r="H177" s="94">
        <v>860732121</v>
      </c>
    </row>
    <row r="178" spans="1:8">
      <c r="A178" s="2" t="s">
        <v>170</v>
      </c>
      <c r="B178" s="79">
        <v>11.870516</v>
      </c>
      <c r="C178" s="24">
        <v>3.9568386666666666</v>
      </c>
      <c r="D178" s="54">
        <v>0.70044394399833187</v>
      </c>
      <c r="E178" s="24">
        <v>26.83</v>
      </c>
      <c r="F178" s="54">
        <v>0.14747814635358431</v>
      </c>
      <c r="G178" s="54">
        <v>2.0387530080794691E-2</v>
      </c>
      <c r="H178" s="94">
        <v>860732121</v>
      </c>
    </row>
    <row r="179" spans="1:8">
      <c r="A179" s="2" t="s">
        <v>432</v>
      </c>
      <c r="B179" s="79">
        <v>6.0606990000000005</v>
      </c>
      <c r="C179" s="24">
        <v>2.0202330000000002</v>
      </c>
      <c r="D179" s="54">
        <v>0.88025940606631048</v>
      </c>
      <c r="E179" s="24">
        <v>15.1</v>
      </c>
      <c r="F179" s="54">
        <v>0.13379026490066226</v>
      </c>
      <c r="G179" s="54">
        <v>-0.46958872326142359</v>
      </c>
      <c r="H179" s="94">
        <v>100584643.09666665</v>
      </c>
    </row>
    <row r="180" spans="1:8">
      <c r="A180" s="2" t="s">
        <v>343</v>
      </c>
      <c r="B180" s="79">
        <v>2.95</v>
      </c>
      <c r="C180" s="24">
        <v>0.98333333333333339</v>
      </c>
      <c r="D180" s="54">
        <v>0.60454237373323505</v>
      </c>
      <c r="E180" s="24">
        <v>53.919999999999995</v>
      </c>
      <c r="F180" s="54">
        <v>1.8236894164193867E-2</v>
      </c>
      <c r="G180" s="54">
        <v>0.14404736444690125</v>
      </c>
      <c r="H180" s="94">
        <v>881386996</v>
      </c>
    </row>
    <row r="181" spans="1:8">
      <c r="A181" s="2" t="s">
        <v>39</v>
      </c>
      <c r="B181" s="79">
        <v>9.6799999999999994E-3</v>
      </c>
      <c r="C181" s="24">
        <v>3.2266666666666663E-3</v>
      </c>
      <c r="D181" s="54">
        <v>0.20588880617740807</v>
      </c>
      <c r="E181" s="24">
        <v>0.51</v>
      </c>
      <c r="F181" s="54">
        <v>1.8980392156862744E-2</v>
      </c>
      <c r="G181" s="54">
        <v>3.4890665196541604</v>
      </c>
      <c r="H181" s="94">
        <v>24675229.673333336</v>
      </c>
    </row>
    <row r="182" spans="1:8">
      <c r="A182" s="2" t="s">
        <v>372</v>
      </c>
      <c r="B182" s="79">
        <v>5.4585361433999999</v>
      </c>
      <c r="C182" s="24">
        <v>1.8195120478</v>
      </c>
      <c r="D182" s="54">
        <v>0.50530256504079152</v>
      </c>
      <c r="E182" s="24">
        <v>30.23</v>
      </c>
      <c r="F182" s="54">
        <v>6.0188952954019187E-2</v>
      </c>
      <c r="G182" s="54">
        <v>-0.34084677456618873</v>
      </c>
      <c r="H182" s="94">
        <v>28872834545.456665</v>
      </c>
    </row>
    <row r="183" spans="1:8">
      <c r="A183" s="2" t="s">
        <v>316</v>
      </c>
      <c r="B183" s="79">
        <v>4.87E-2</v>
      </c>
      <c r="C183" s="24">
        <v>1.6233333333333332E-2</v>
      </c>
      <c r="D183" s="54">
        <v>0.23785571475872622</v>
      </c>
      <c r="E183" s="24">
        <v>9.15</v>
      </c>
      <c r="F183" s="54">
        <v>5.322404371584699E-3</v>
      </c>
      <c r="G183" s="54" t="e">
        <v>#DIV/0!</v>
      </c>
      <c r="H183" s="94">
        <v>30653409.600000001</v>
      </c>
    </row>
    <row r="184" spans="1:8">
      <c r="A184" s="2" t="s">
        <v>327</v>
      </c>
      <c r="B184" s="79">
        <v>11.674650672030999</v>
      </c>
      <c r="C184" s="24">
        <v>3.891550224010333</v>
      </c>
      <c r="D184" s="54">
        <v>0.96704817187555625</v>
      </c>
      <c r="E184" s="24">
        <v>41.55</v>
      </c>
      <c r="F184" s="54">
        <v>9.3659451841403937E-2</v>
      </c>
      <c r="G184" s="54">
        <v>-4.694860492660119E-2</v>
      </c>
      <c r="H184" s="94">
        <v>4516445663.793334</v>
      </c>
    </row>
    <row r="185" spans="1:8">
      <c r="A185" s="2" t="s">
        <v>328</v>
      </c>
      <c r="B185" s="79">
        <v>12.842145739234001</v>
      </c>
      <c r="C185" s="24">
        <v>4.2807152464113338</v>
      </c>
      <c r="D185" s="54">
        <v>1.0637552383770628</v>
      </c>
      <c r="E185" s="24">
        <v>46.9</v>
      </c>
      <c r="F185" s="54">
        <v>9.1273246192139321E-2</v>
      </c>
      <c r="G185" s="54">
        <v>-4.694860492660119E-2</v>
      </c>
      <c r="H185" s="94">
        <v>4516445663.793334</v>
      </c>
    </row>
    <row r="186" spans="1:8">
      <c r="A186" s="2" t="s">
        <v>360</v>
      </c>
      <c r="B186" s="79">
        <v>648.76856835854028</v>
      </c>
      <c r="C186" s="24">
        <v>1.1109050828057196</v>
      </c>
      <c r="D186" s="54" t="e">
        <v>#DIV/0!</v>
      </c>
      <c r="E186" s="24">
        <v>18.916341880341882</v>
      </c>
      <c r="F186" s="54">
        <v>7.32548932278064E-2</v>
      </c>
      <c r="G186" s="54">
        <v>0.312833805065311</v>
      </c>
      <c r="H186" s="94">
        <v>1461275197.4740062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5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90" bestFit="1" customWidth="1"/>
    <col min="7" max="7" width="7.42578125" style="91" bestFit="1" customWidth="1"/>
    <col min="8" max="8" width="9.7109375" style="92" bestFit="1" customWidth="1"/>
    <col min="9" max="9" width="10.85546875" style="92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4" t="s">
        <v>347</v>
      </c>
      <c r="B1" s="88" t="s">
        <v>457</v>
      </c>
      <c r="C1" s="88" t="s">
        <v>458</v>
      </c>
      <c r="D1" s="88" t="s">
        <v>459</v>
      </c>
      <c r="E1" s="33" t="s">
        <v>449</v>
      </c>
      <c r="F1" s="89" t="s">
        <v>350</v>
      </c>
      <c r="G1" s="89" t="s">
        <v>348</v>
      </c>
      <c r="H1" s="89" t="s">
        <v>349</v>
      </c>
      <c r="I1" s="89" t="s">
        <v>461</v>
      </c>
      <c r="J1" s="12" t="s">
        <v>462</v>
      </c>
      <c r="K1" s="83" t="s">
        <v>450</v>
      </c>
      <c r="L1" s="84" t="s">
        <v>451</v>
      </c>
      <c r="M1" s="84" t="s">
        <v>452</v>
      </c>
      <c r="N1" s="80" t="s">
        <v>17</v>
      </c>
    </row>
    <row r="2" spans="1:19">
      <c r="A2" s="81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81" t="s">
        <v>67</v>
      </c>
      <c r="F2" s="90">
        <v>940.06</v>
      </c>
      <c r="G2" s="90">
        <v>0</v>
      </c>
      <c r="H2" s="90">
        <v>0</v>
      </c>
      <c r="I2" s="90">
        <v>0</v>
      </c>
      <c r="K2" s="16">
        <v>100</v>
      </c>
      <c r="L2" s="85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85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5" t="s">
        <v>351</v>
      </c>
      <c r="B3" s="10"/>
      <c r="C3" s="10"/>
      <c r="D3" s="10"/>
      <c r="E3" s="10"/>
      <c r="F3" s="91">
        <f>SUBTOTAL(109,[Aplicação])</f>
        <v>940.06</v>
      </c>
      <c r="G3" s="91">
        <f>SUBTOTAL(105,[Taxas])</f>
        <v>0</v>
      </c>
      <c r="H3" s="91">
        <f>SUBTOTAL(109,[Resgates])</f>
        <v>0</v>
      </c>
      <c r="I3" s="91">
        <f>SUBTOTAL(109,[Dividendo])</f>
        <v>0</v>
      </c>
      <c r="J3" s="49">
        <f>SUBTOTAL(109,[JPC])</f>
        <v>0</v>
      </c>
      <c r="K3" s="10"/>
      <c r="L3" s="70"/>
      <c r="M3" s="70"/>
      <c r="N3" s="22">
        <f>(Table4[[#Totals],[JPC]]+Table4[[#Totals],[Dividendo]])/Table4[[#Totals],[Aplicação]]</f>
        <v>0</v>
      </c>
      <c r="Q3" s="57"/>
      <c r="R3" s="18"/>
      <c r="S3" s="8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359</v>
      </c>
      <c r="B4" t="s">
        <v>453</v>
      </c>
      <c r="C4" t="s">
        <v>454</v>
      </c>
      <c r="D4" t="s">
        <v>463</v>
      </c>
      <c r="E4" t="s">
        <v>464</v>
      </c>
      <c r="F4" t="s">
        <v>455</v>
      </c>
      <c r="G4" t="s">
        <v>456</v>
      </c>
    </row>
    <row r="5" spans="1:7">
      <c r="A5" s="2" t="s">
        <v>67</v>
      </c>
      <c r="B5" s="87">
        <v>940.06</v>
      </c>
      <c r="C5" s="86">
        <v>100</v>
      </c>
      <c r="D5" s="87">
        <v>94</v>
      </c>
      <c r="E5" s="87">
        <v>94</v>
      </c>
      <c r="F5" s="87">
        <v>1.88</v>
      </c>
      <c r="G5" s="54">
        <v>0.19998723485734954</v>
      </c>
    </row>
    <row r="6" spans="1:7">
      <c r="A6" s="2" t="s">
        <v>360</v>
      </c>
      <c r="B6" s="87">
        <v>940.06</v>
      </c>
      <c r="C6" s="86">
        <v>100</v>
      </c>
      <c r="D6" s="87">
        <v>94</v>
      </c>
      <c r="E6" s="87">
        <v>94</v>
      </c>
      <c r="F6" s="87">
        <v>1.88</v>
      </c>
      <c r="G6" s="54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501</vt:i4>
      </vt:variant>
    </vt:vector>
  </HeadingPairs>
  <TitlesOfParts>
    <vt:vector size="508" baseType="lpstr">
      <vt:lpstr>Patrimonio</vt:lpstr>
      <vt:lpstr>Cotacao</vt:lpstr>
      <vt:lpstr>Cotacao 2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Cotacao!DadosExternos_192</vt:lpstr>
      <vt:lpstr>'Cotacao 2'!DadosExternos_192</vt:lpstr>
      <vt:lpstr>Cotacao!DadosExternos_193</vt:lpstr>
      <vt:lpstr>'Cotacao 2'!DadosExternos_193</vt:lpstr>
      <vt:lpstr>Cotacao!DadosExternos_194</vt:lpstr>
      <vt:lpstr>'Cotacao 2'!DadosExternos_194</vt:lpstr>
      <vt:lpstr>Cotacao!DadosExternos_195</vt:lpstr>
      <vt:lpstr>'Cotacao 2'!DadosExternos_195</vt:lpstr>
      <vt:lpstr>Cotacao!DadosExternos_196</vt:lpstr>
      <vt:lpstr>'Cotacao 2'!DadosExternos_196</vt:lpstr>
      <vt:lpstr>Cotacao!DadosExternos_197</vt:lpstr>
      <vt:lpstr>'Cotacao 2'!DadosExternos_197</vt:lpstr>
      <vt:lpstr>Cotacao!DadosExternos_198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Cotacao!DadosExternos_200</vt:lpstr>
      <vt:lpstr>'Cotacao 2'!DadosExternos_200</vt:lpstr>
      <vt:lpstr>Cotacao!DadosExternos_201</vt:lpstr>
      <vt:lpstr>'Cotacao 2'!DadosExternos_201</vt:lpstr>
      <vt:lpstr>Cotacao!DadosExternos_202</vt:lpstr>
      <vt:lpstr>'Cotacao 2'!DadosExternos_202</vt:lpstr>
      <vt:lpstr>Cotacao!DadosExternos_203</vt:lpstr>
      <vt:lpstr>'Cotacao 2'!DadosExternos_203</vt:lpstr>
      <vt:lpstr>Cotacao!DadosExternos_204</vt:lpstr>
      <vt:lpstr>'Cotacao 2'!DadosExternos_204</vt:lpstr>
      <vt:lpstr>Cotacao!DadosExternos_205</vt:lpstr>
      <vt:lpstr>'Cotacao 2'!DadosExternos_205</vt:lpstr>
      <vt:lpstr>Cotacao!DadosExternos_206</vt:lpstr>
      <vt:lpstr>'Cotacao 2'!DadosExternos_206</vt:lpstr>
      <vt:lpstr>Cotacao!DadosExternos_207</vt:lpstr>
      <vt:lpstr>'Cotacao 2'!DadosExternos_207</vt:lpstr>
      <vt:lpstr>'Cotacao 2'!DadosExternos_208</vt:lpstr>
      <vt:lpstr>Cotacao!DadosExternos_209</vt:lpstr>
      <vt:lpstr>'Cotacao 2'!DadosExternos_209</vt:lpstr>
      <vt:lpstr>Cotacao!DadosExternos_21</vt:lpstr>
      <vt:lpstr>'Cotacao 2'!DadosExternos_21</vt:lpstr>
      <vt:lpstr>'Cotacao 2'!DadosExternos_210</vt:lpstr>
      <vt:lpstr>Cotacao!DadosExternos_211</vt:lpstr>
      <vt:lpstr>'Cotacao 2'!DadosExternos_211</vt:lpstr>
      <vt:lpstr>Cotacao!DadosExternos_212</vt:lpstr>
      <vt:lpstr>'Cotacao 2'!DadosExternos_212</vt:lpstr>
      <vt:lpstr>Cotacao!DadosExternos_213</vt:lpstr>
      <vt:lpstr>'Cotacao 2'!DadosExternos_213</vt:lpstr>
      <vt:lpstr>'Cotacao 2'!DadosExternos_214</vt:lpstr>
      <vt:lpstr>Cotacao!DadosExternos_215</vt:lpstr>
      <vt:lpstr>'Cotacao 2'!DadosExternos_215</vt:lpstr>
      <vt:lpstr>Cotacao!DadosExternos_216</vt:lpstr>
      <vt:lpstr>'Cotacao 2'!DadosExternos_216</vt:lpstr>
      <vt:lpstr>Cotacao!DadosExternos_217</vt:lpstr>
      <vt:lpstr>'Cotacao 2'!DadosExternos_217</vt:lpstr>
      <vt:lpstr>Cotacao!DadosExternos_218</vt:lpstr>
      <vt:lpstr>Cotacao!DadosExternos_219</vt:lpstr>
      <vt:lpstr>'Cotacao 2'!DadosExternos_219</vt:lpstr>
      <vt:lpstr>Cotacao!DadosExternos_220</vt:lpstr>
      <vt:lpstr>'Cotacao 2'!DadosExternos_220</vt:lpstr>
      <vt:lpstr>Cotacao!DadosExternos_221</vt:lpstr>
      <vt:lpstr>'Cotacao 2'!DadosExternos_221</vt:lpstr>
      <vt:lpstr>Cotacao!DadosExternos_222</vt:lpstr>
      <vt:lpstr>'Cotacao 2'!DadosExternos_222</vt:lpstr>
      <vt:lpstr>'Cotacao 2'!DadosExternos_223</vt:lpstr>
      <vt:lpstr>Cotacao!DadosExternos_224</vt:lpstr>
      <vt:lpstr>'Cotacao 2'!DadosExternos_224</vt:lpstr>
      <vt:lpstr>Cotacao!DadosExternos_225</vt:lpstr>
      <vt:lpstr>'Cotacao 2'!DadosExternos_225</vt:lpstr>
      <vt:lpstr>Cotacao!DadosExternos_226</vt:lpstr>
      <vt:lpstr>'Cotacao 2'!DadosExternos_227</vt:lpstr>
      <vt:lpstr>Cotacao!DadosExternos_228</vt:lpstr>
      <vt:lpstr>'Cotacao 2'!DadosExternos_228</vt:lpstr>
      <vt:lpstr>Cotacao!DadosExternos_229</vt:lpstr>
      <vt:lpstr>'Cotacao 2'!DadosExternos_229</vt:lpstr>
      <vt:lpstr>Cotacao!DadosExternos_230</vt:lpstr>
      <vt:lpstr>'Cotacao 2'!DadosExternos_230</vt:lpstr>
      <vt:lpstr>Cotacao!DadosExternos_231</vt:lpstr>
      <vt:lpstr>Cotacao!DadosExternos_232</vt:lpstr>
      <vt:lpstr>Cotacao!DadosExternos_233</vt:lpstr>
      <vt:lpstr>'Cotacao 2'!DadosExternos_233</vt:lpstr>
      <vt:lpstr>'Cotacao 2'!DadosExternos_234</vt:lpstr>
      <vt:lpstr>Cotacao!DadosExternos_235</vt:lpstr>
      <vt:lpstr>'Cotacao 2'!DadosExternos_235</vt:lpstr>
      <vt:lpstr>Cotacao!DadosExternos_237</vt:lpstr>
      <vt:lpstr>'Cotacao 2'!DadosExternos_237</vt:lpstr>
      <vt:lpstr>Cotacao!DadosExternos_238</vt:lpstr>
      <vt:lpstr>'Cotacao 2'!DadosExternos_238</vt:lpstr>
      <vt:lpstr>'Cotacao 2'!DadosExternos_239</vt:lpstr>
      <vt:lpstr>Cotacao!DadosExternos_24</vt:lpstr>
      <vt:lpstr>'Cotacao 2'!DadosExternos_24</vt:lpstr>
      <vt:lpstr>Cotacao!DadosExternos_240</vt:lpstr>
      <vt:lpstr>'Cotacao 2'!DadosExternos_240</vt:lpstr>
      <vt:lpstr>Cotacao!DadosExternos_241</vt:lpstr>
      <vt:lpstr>'Cotacao 2'!DadosExternos_241</vt:lpstr>
      <vt:lpstr>'Cotacao 2'!DadosExternos_242</vt:lpstr>
      <vt:lpstr>Cotacao!DadosExternos_243</vt:lpstr>
      <vt:lpstr>'Cotacao 2'!DadosExternos_243</vt:lpstr>
      <vt:lpstr>'Cotacao 2'!DadosExternos_244</vt:lpstr>
      <vt:lpstr>'Cotacao 2'!DadosExternos_246</vt:lpstr>
      <vt:lpstr>'Cotacao 2'!DadosExternos_249</vt:lpstr>
      <vt:lpstr>'Cotacao 2'!DadosExternos_250</vt:lpstr>
      <vt:lpstr>'Cotacao 2'!DadosExternos_251</vt:lpstr>
      <vt:lpstr>'Cotacao 2'!DadosExternos_253</vt:lpstr>
      <vt:lpstr>'Cotacao 2'!DadosExternos_256</vt:lpstr>
      <vt:lpstr>'Cotacao 2'!DadosExternos_257</vt:lpstr>
      <vt:lpstr>'Cotacao 2'!DadosExternos_258</vt:lpstr>
      <vt:lpstr>'Cotacao 2'!DadosExternos_259</vt:lpstr>
      <vt:lpstr>Cotacao!DadosExternos_26</vt:lpstr>
      <vt:lpstr>'Cotacao 2'!DadosExternos_26</vt:lpstr>
      <vt:lpstr>'Cotacao 2'!DadosExternos_260</vt:lpstr>
      <vt:lpstr>'Cotacao 2'!DadosExternos_261</vt:lpstr>
      <vt:lpstr>'Cotacao 2'!DadosExternos_262</vt:lpstr>
      <vt:lpstr>'Cotacao 2'!DadosExternos_263</vt:lpstr>
      <vt:lpstr>'Cotacao 2'!DadosExternos_265</vt:lpstr>
      <vt:lpstr>'Cotacao 2'!DadosExternos_268</vt:lpstr>
      <vt:lpstr>'Cotacao 2'!DadosExternos_269</vt:lpstr>
      <vt:lpstr>Cotacao!DadosExternos_27</vt:lpstr>
      <vt:lpstr>'Cotacao 2'!DadosExternos_27</vt:lpstr>
      <vt:lpstr>'Cotacao 2'!DadosExternos_270</vt:lpstr>
      <vt:lpstr>'Cotacao 2'!DadosExternos_271</vt:lpstr>
      <vt:lpstr>'Cotacao 2'!DadosExternos_272</vt:lpstr>
      <vt:lpstr>'Cotacao 2'!DadosExternos_275</vt:lpstr>
      <vt:lpstr>'Cotacao 2'!DadosExternos_276</vt:lpstr>
      <vt:lpstr>'Cotacao 2'!DadosExternos_277</vt:lpstr>
      <vt:lpstr>'Cotacao 2'!DadosExternos_278</vt:lpstr>
      <vt:lpstr>'Cotacao 2'!DadosExternos_279</vt:lpstr>
      <vt:lpstr>Cotacao!DadosExternos_28</vt:lpstr>
      <vt:lpstr>'Cotacao 2'!DadosExternos_28</vt:lpstr>
      <vt:lpstr>'Cotacao 2'!DadosExternos_280</vt:lpstr>
      <vt:lpstr>'Cotacao 2'!DadosExternos_281</vt:lpstr>
      <vt:lpstr>'Cotacao 2'!DadosExternos_282</vt:lpstr>
      <vt:lpstr>'Cotacao 2'!DadosExternos_287</vt:lpstr>
      <vt:lpstr>'Cotacao 2'!DadosExternos_288</vt:lpstr>
      <vt:lpstr>Cotacao!DadosExternos_29</vt:lpstr>
      <vt:lpstr>'Cotacao 2'!DadosExternos_29</vt:lpstr>
      <vt:lpstr>'Cotacao 2'!DadosExternos_290</vt:lpstr>
      <vt:lpstr>'Cotacao 2'!DadosExternos_291</vt:lpstr>
      <vt:lpstr>'Cotacao 2'!DadosExternos_292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2014-01-16T20:13:35Z</dcterms:modified>
</cp:coreProperties>
</file>