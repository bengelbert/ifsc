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35" windowWidth="14190" windowHeight="7125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Historia" sheetId="15" r:id="rId6"/>
    <sheet name="Tabela Hist" sheetId="16" r:id="rId7"/>
    <sheet name="Sheet1" sheetId="19" r:id="rId8"/>
    <sheet name="Sheet2" sheetId="20" r:id="rId9"/>
  </sheets>
  <externalReferences>
    <externalReference r:id="rId10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2" localSheetId="3">'Cotacao 3'!$C$7:$C$10</definedName>
    <definedName name="DadosExternos_372" localSheetId="4">'Cotacao 4'!$C$7:$C$10</definedName>
    <definedName name="DadosExternos_373" localSheetId="3">'Cotacao 3'!$C$7:$C$10</definedName>
    <definedName name="DadosExternos_373" localSheetId="4">'Cotacao 4'!$C$7:$C$10</definedName>
    <definedName name="DadosExternos_374" localSheetId="3">'Cotacao 3'!$C$7:$C$10</definedName>
    <definedName name="DadosExternos_374" localSheetId="4">'Cotacao 4'!$C$7:$C$10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0" localSheetId="3">'Cotacao 3'!$C$7:$C$13</definedName>
    <definedName name="DadosExternos_380" localSheetId="4">'Cotacao 4'!$C$7:$C$13</definedName>
    <definedName name="DadosExternos_381" localSheetId="3">'Cotacao 3'!$C$7:$C$14</definedName>
    <definedName name="DadosExternos_381" localSheetId="4">'Cotacao 4'!$C$7:$C$14</definedName>
    <definedName name="DadosExternos_382" localSheetId="3">'Cotacao 3'!$C$7:$C$17</definedName>
    <definedName name="DadosExternos_382" localSheetId="4">'Cotacao 4'!$C$7:$C$17</definedName>
    <definedName name="DadosExternos_388" localSheetId="3">'Cotacao 3'!$C$7:$C$18</definedName>
    <definedName name="DadosExternos_388" localSheetId="4">'Cotacao 4'!$C$7:$C$18</definedName>
    <definedName name="DadosExternos_389" localSheetId="3">'Cotacao 3'!$C$7:$C$18</definedName>
    <definedName name="DadosExternos_389" localSheetId="4">'Cotacao 4'!$C$7:$C$18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0" localSheetId="3">'Cotacao 3'!$C$7:$C$19</definedName>
    <definedName name="DadosExternos_390" localSheetId="4">'Cotacao 4'!$C$7:$C$19</definedName>
    <definedName name="DadosExternos_391" localSheetId="3">'Cotacao 3'!$C$7:$C$19</definedName>
    <definedName name="DadosExternos_391" localSheetId="4">'Cotacao 4'!$C$7:$C$19</definedName>
    <definedName name="DadosExternos_392" localSheetId="3">'Cotacao 3'!$C$7:$C$22</definedName>
    <definedName name="DadosExternos_392" localSheetId="4">'Cotacao 4'!$C$7:$C$22</definedName>
    <definedName name="DadosExternos_394" localSheetId="3">'Cotacao 3'!$C$7:$C$23</definedName>
    <definedName name="DadosExternos_394" localSheetId="4">'Cotacao 4'!$C$7:$C$23</definedName>
    <definedName name="DadosExternos_397" localSheetId="3">'Cotacao 3'!$C$7:$C$24</definedName>
    <definedName name="DadosExternos_397" localSheetId="4">'Cotacao 4'!$C$7:$C$24</definedName>
    <definedName name="DadosExternos_398" localSheetId="3">'Cotacao 3'!$C$7:$C$27</definedName>
    <definedName name="DadosExternos_398" localSheetId="4">'Cotacao 4'!$C$7:$C$27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0" localSheetId="3">'Cotacao 3'!$C$7:$C$28</definedName>
    <definedName name="DadosExternos_400" localSheetId="4">'Cotacao 4'!$C$7:$C$28</definedName>
    <definedName name="DadosExternos_401" localSheetId="3">'Cotacao 3'!$C$7:$C$29</definedName>
    <definedName name="DadosExternos_401" localSheetId="4">'Cotacao 4'!$C$7:$C$29</definedName>
    <definedName name="DadosExternos_402" localSheetId="3">'Cotacao 3'!$C$7:$C$30</definedName>
    <definedName name="DadosExternos_402" localSheetId="4">'Cotacao 4'!$C$7:$C$30</definedName>
    <definedName name="DadosExternos_403" localSheetId="3">'Cotacao 3'!$C$7:$C$33</definedName>
    <definedName name="DadosExternos_403" localSheetId="4">'Cotacao 4'!$C$7:$C$33</definedName>
    <definedName name="DadosExternos_404" localSheetId="3">'Cotacao 3'!$C$7:$C$35</definedName>
    <definedName name="DadosExternos_404" localSheetId="4">'Cotacao 4'!$C$7:$C$35</definedName>
    <definedName name="DadosExternos_408" localSheetId="3">'Cotacao 3'!$C$7:$C$37</definedName>
    <definedName name="DadosExternos_408" localSheetId="4">'Cotacao 4'!$C$7:$C$37</definedName>
    <definedName name="DadosExternos_409" localSheetId="3">'Cotacao 3'!$C$7:$C$39</definedName>
    <definedName name="DadosExternos_409" localSheetId="4">'Cotacao 4'!$C$7:$C$39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0" localSheetId="3">'Cotacao 3'!$C$7:$C$41</definedName>
    <definedName name="DadosExternos_410" localSheetId="4">'Cotacao 4'!$C$7:$C$41</definedName>
    <definedName name="DadosExternos_411" localSheetId="3">'Cotacao 3'!$C$7:$C$43</definedName>
    <definedName name="DadosExternos_411" localSheetId="4">'Cotacao 4'!$C$7:$C$43</definedName>
    <definedName name="DadosExternos_414" localSheetId="3">'Cotacao 3'!$C$7:$C$45</definedName>
    <definedName name="DadosExternos_414" localSheetId="4">'Cotacao 4'!$C$7:$C$45</definedName>
    <definedName name="DadosExternos_415" localSheetId="3">'Cotacao 3'!$C$7:$C$44</definedName>
    <definedName name="DadosExternos_415" localSheetId="4">'Cotacao 4'!$C$7:$C$44</definedName>
    <definedName name="DadosExternos_416" localSheetId="3">'Cotacao 3'!$C$7:$C$47</definedName>
    <definedName name="DadosExternos_416" localSheetId="4">'Cotacao 4'!$C$7:$C$47</definedName>
    <definedName name="DadosExternos_418" localSheetId="3">'Cotacao 3'!$C$7:$C$48</definedName>
    <definedName name="DadosExternos_418" localSheetId="4">'Cotacao 4'!$C$7:$C$48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1" localSheetId="3">'Cotacao 3'!$C$7:$C$49</definedName>
    <definedName name="DadosExternos_421" localSheetId="4">'Cotacao 4'!$C$7:$C$49</definedName>
    <definedName name="DadosExternos_423" localSheetId="3">'Cotacao 3'!$C$7:$C$50</definedName>
    <definedName name="DadosExternos_423" localSheetId="4">'Cotacao 4'!$C$7:$C$50</definedName>
    <definedName name="DadosExternos_424" localSheetId="3">'Cotacao 3'!$C$7:$C$51</definedName>
    <definedName name="DadosExternos_424" localSheetId="4">'Cotacao 4'!$C$7:$C$51</definedName>
    <definedName name="DadosExternos_425" localSheetId="3">'Cotacao 3'!$C$7:$C$54</definedName>
    <definedName name="DadosExternos_425" localSheetId="4">'Cotacao 4'!$C$7:$C$54</definedName>
    <definedName name="DadosExternos_426" localSheetId="3">'Cotacao 3'!$C$7:$C$52</definedName>
    <definedName name="DadosExternos_426" localSheetId="4">'Cotacao 4'!$C$7:$C$52</definedName>
    <definedName name="DadosExternos_428" localSheetId="3">'Cotacao 3'!$C$7:$C$53</definedName>
    <definedName name="DadosExternos_428" localSheetId="4">'Cotacao 4'!$C$7:$C$53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1" localSheetId="3">'Cotacao 3'!$C$7:$C$55</definedName>
    <definedName name="DadosExternos_431" localSheetId="4">'Cotacao 4'!$C$7:$C$55</definedName>
    <definedName name="DadosExternos_432" localSheetId="3">'Cotacao 3'!$C$7:$C$57</definedName>
    <definedName name="DadosExternos_432" localSheetId="4">'Cotacao 4'!$C$7:$C$57</definedName>
    <definedName name="DadosExternos_433" localSheetId="3">'Cotacao 3'!$C$7:$C$58</definedName>
    <definedName name="DadosExternos_433" localSheetId="4">'Cotacao 4'!$C$7:$C$58</definedName>
    <definedName name="DadosExternos_434" localSheetId="3">'Cotacao 3'!$C$7:$C$59</definedName>
    <definedName name="DadosExternos_434" localSheetId="4">'Cotacao 4'!$C$7:$C$59</definedName>
    <definedName name="DadosExternos_435" localSheetId="3">'Cotacao 3'!$C$7:$C$62</definedName>
    <definedName name="DadosExternos_435" localSheetId="4">'Cotacao 4'!$C$7:$C$62</definedName>
    <definedName name="DadosExternos_437" localSheetId="3">'Cotacao 3'!$C$7:$C$60</definedName>
    <definedName name="DadosExternos_437" localSheetId="4">'Cotacao 4'!$C$7:$C$60</definedName>
    <definedName name="DadosExternos_438" localSheetId="3">'Cotacao 3'!$C$7:$C$61</definedName>
    <definedName name="DadosExternos_438" localSheetId="4">'Cotacao 4'!$C$7:$C$61</definedName>
    <definedName name="DadosExternos_439" localSheetId="3">'Cotacao 3'!$C$7:$C$63</definedName>
    <definedName name="DadosExternos_439" localSheetId="4">'Cotacao 4'!$C$7:$C$63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0" localSheetId="3">'Cotacao 3'!$C$7:$C$66</definedName>
    <definedName name="DadosExternos_440" localSheetId="4">'Cotacao 4'!$C$7:$C$66</definedName>
    <definedName name="DadosExternos_441" localSheetId="3">'Cotacao 3'!$C$7:$C$64</definedName>
    <definedName name="DadosExternos_441" localSheetId="4">'Cotacao 4'!$C$7:$C$64</definedName>
    <definedName name="DadosExternos_442" localSheetId="3">'Cotacao 3'!$C$7:$C$66</definedName>
    <definedName name="DadosExternos_442" localSheetId="4">'Cotacao 4'!$C$7:$C$66</definedName>
    <definedName name="DadosExternos_444" localSheetId="3">'Cotacao 3'!$C$7:$C$68</definedName>
    <definedName name="DadosExternos_444" localSheetId="4">'Cotacao 4'!$C$7:$C$68</definedName>
    <definedName name="DadosExternos_445" localSheetId="3">'Cotacao 3'!$C$7:$C$69</definedName>
    <definedName name="DadosExternos_445" localSheetId="4">'Cotacao 4'!$C$7:$C$69</definedName>
    <definedName name="DadosExternos_446" localSheetId="3">'Cotacao 3'!$C$7:$C$70</definedName>
    <definedName name="DadosExternos_446" localSheetId="4">'Cotacao 4'!$C$7:$C$70</definedName>
    <definedName name="DadosExternos_447" localSheetId="3">'Cotacao 3'!$C$7:$C$72</definedName>
    <definedName name="DadosExternos_447" localSheetId="4">'Cotacao 4'!$C$7:$C$72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0" localSheetId="3">'Cotacao 3'!$C$7:$C$74</definedName>
    <definedName name="DadosExternos_450" localSheetId="4">'Cotacao 4'!$C$7:$C$74</definedName>
    <definedName name="DadosExternos_451" localSheetId="3">'Cotacao 3'!$C$7:$C$74</definedName>
    <definedName name="DadosExternos_451" localSheetId="4">'Cotacao 4'!$C$7:$C$74</definedName>
    <definedName name="DadosExternos_452" localSheetId="3">'Cotacao 3'!$C$7:$C$76</definedName>
    <definedName name="DadosExternos_452" localSheetId="4">'Cotacao 4'!$C$7:$C$76</definedName>
    <definedName name="DadosExternos_453" localSheetId="3">'Cotacao 3'!$C$7:$C$76</definedName>
    <definedName name="DadosExternos_453" localSheetId="4">'Cotacao 4'!$C$7:$C$76</definedName>
    <definedName name="DadosExternos_454" localSheetId="3">'Cotacao 3'!$C$7:$C$77</definedName>
    <definedName name="DadosExternos_454" localSheetId="4">'Cotacao 4'!$C$7:$C$77</definedName>
    <definedName name="DadosExternos_455" localSheetId="3">'Cotacao 3'!$C$7:$C$79</definedName>
    <definedName name="DadosExternos_455" localSheetId="4">'Cotacao 4'!$C$7:$C$79</definedName>
    <definedName name="DadosExternos_456" localSheetId="3">'Cotacao 3'!$C$7:$C$79</definedName>
    <definedName name="DadosExternos_456" localSheetId="4">'Cotacao 4'!$C$7:$C$79</definedName>
    <definedName name="DadosExternos_457" localSheetId="3">'Cotacao 3'!$C$7:$C$80</definedName>
    <definedName name="DadosExternos_457" localSheetId="4">'Cotacao 4'!$C$7:$C$80</definedName>
    <definedName name="DadosExternos_458" localSheetId="3">'Cotacao 3'!$C$7:$C$81</definedName>
    <definedName name="DadosExternos_458" localSheetId="4">'Cotacao 4'!$C$7:$C$81</definedName>
    <definedName name="DadosExternos_459" localSheetId="3">'Cotacao 3'!$C$7:$C$81</definedName>
    <definedName name="DadosExternos_459" localSheetId="4">'Cotacao 4'!$C$7:$C$81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0" localSheetId="3">'Cotacao 3'!$C$7:$C$82</definedName>
    <definedName name="DadosExternos_460" localSheetId="4">'Cotacao 4'!$C$7:$C$82</definedName>
    <definedName name="DadosExternos_461" localSheetId="3">'Cotacao 3'!$C$7:$C$83</definedName>
    <definedName name="DadosExternos_461" localSheetId="4">'Cotacao 4'!$C$7:$C$83</definedName>
    <definedName name="DadosExternos_462" localSheetId="3">'Cotacao 3'!$C$7:$C$84</definedName>
    <definedName name="DadosExternos_462" localSheetId="4">'Cotacao 4'!$C$7:$C$84</definedName>
    <definedName name="DadosExternos_463" localSheetId="3">'Cotacao 3'!$C$7:$C$85</definedName>
    <definedName name="DadosExternos_463" localSheetId="4">'Cotacao 4'!$C$7:$C$85</definedName>
    <definedName name="DadosExternos_464" localSheetId="3">'Cotacao 3'!$C$7:$C$86</definedName>
    <definedName name="DadosExternos_464" localSheetId="4">'Cotacao 4'!$C$7:$C$86</definedName>
    <definedName name="DadosExternos_465" localSheetId="3">'Cotacao 3'!$C$7:$C$87</definedName>
    <definedName name="DadosExternos_465" localSheetId="4">'Cotacao 4'!$C$7:$C$87</definedName>
    <definedName name="DadosExternos_466" localSheetId="3">'Cotacao 3'!$C$7:$C$87</definedName>
    <definedName name="DadosExternos_466" localSheetId="4">'Cotacao 4'!$C$7:$C$87</definedName>
    <definedName name="DadosExternos_467" localSheetId="3">'Cotacao 3'!$C$7:$C$88</definedName>
    <definedName name="DadosExternos_467" localSheetId="4">'Cotacao 4'!$C$7:$C$88</definedName>
    <definedName name="DadosExternos_468" localSheetId="3">'Cotacao 3'!$C$7:$C$88</definedName>
    <definedName name="DadosExternos_468" localSheetId="4">'Cotacao 4'!$C$7:$C$88</definedName>
    <definedName name="DadosExternos_469" localSheetId="3">'Cotacao 3'!$C$7:$C$88</definedName>
    <definedName name="DadosExternos_469" localSheetId="4">'Cotacao 4'!$C$7:$C$88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4" localSheetId="3">'Cotacao 3'!$C$7:$C$91</definedName>
    <definedName name="ExternalData_44" localSheetId="4">'Cotacao 4'!$C$7:$C$91</definedName>
    <definedName name="ExternalData_45" localSheetId="3">'Cotacao 3'!$C$7:$C$92</definedName>
    <definedName name="ExternalData_45" localSheetId="4">'Cotacao 4'!$C$7:$C$92</definedName>
    <definedName name="ExternalData_46" localSheetId="3">'Cotacao 3'!$C$7:$C$94</definedName>
    <definedName name="ExternalData_46" localSheetId="4">'Cotacao 4'!$C$7:$C$94</definedName>
    <definedName name="ExternalData_47" localSheetId="3">'Cotacao 3'!$C$7:$C$95</definedName>
    <definedName name="ExternalData_47" localSheetId="4">'Cotacao 4'!$C$7:$C$95</definedName>
    <definedName name="ExternalData_48" localSheetId="3">'Cotacao 3'!$C$7:$C$96</definedName>
    <definedName name="ExternalData_48" localSheetId="4">'Cotacao 4'!$C$7:$C$96</definedName>
    <definedName name="ExternalData_49" localSheetId="3">'Cotacao 3'!$C$7:$C$97</definedName>
    <definedName name="ExternalData_49" localSheetId="4">'Cotacao 4'!$C$7:$C$97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0" localSheetId="3">'Cotacao 3'!$C$7:$C$98</definedName>
    <definedName name="ExternalData_50" localSheetId="4">'Cotacao 4'!$C$7:$C$98</definedName>
    <definedName name="ExternalData_51" localSheetId="3">'Cotacao 3'!$C$7:$C$100</definedName>
    <definedName name="ExternalData_51" localSheetId="4">'Cotacao 4'!$C$7:$C$100</definedName>
    <definedName name="ExternalData_52" localSheetId="3">'Cotacao 3'!$C$7:$C$101</definedName>
    <definedName name="ExternalData_52" localSheetId="4">'Cotacao 4'!$C$7:$C$101</definedName>
    <definedName name="ExternalData_53" localSheetId="3">'Cotacao 3'!$C$7:$C$101</definedName>
    <definedName name="ExternalData_53" localSheetId="4">'Cotacao 4'!$C$7:$C$101</definedName>
    <definedName name="ExternalData_54" localSheetId="3">'Cotacao 3'!$C$7:$C$103</definedName>
    <definedName name="ExternalData_54" localSheetId="4">'Cotacao 4'!$C$7:$C$103</definedName>
    <definedName name="ExternalData_55" localSheetId="3">'Cotacao 3'!$C$7:$C$104</definedName>
    <definedName name="ExternalData_55" localSheetId="4">'Cotacao 4'!$C$7:$C$104</definedName>
    <definedName name="ExternalData_56" localSheetId="3">'Cotacao 3'!$C$7:$C$105</definedName>
    <definedName name="ExternalData_56" localSheetId="4">'Cotacao 4'!$C$7:$C$105</definedName>
    <definedName name="ExternalData_57" localSheetId="3">'Cotacao 3'!$C$7:$C$105</definedName>
    <definedName name="ExternalData_57" localSheetId="4">'Cotacao 4'!$C$7:$C$105</definedName>
    <definedName name="ExternalData_58" localSheetId="3">'Cotacao 3'!$C$7:$C$107</definedName>
    <definedName name="ExternalData_58" localSheetId="4">'Cotacao 4'!$C$7:$C$107</definedName>
    <definedName name="ExternalData_59" localSheetId="3">'Cotacao 3'!$C$7:$C$108</definedName>
    <definedName name="ExternalData_59" localSheetId="4">'Cotacao 4'!$C$7:$C$108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0" localSheetId="3">'Cotacao 3'!$C$7:$C$110</definedName>
    <definedName name="ExternalData_60" localSheetId="4">'Cotacao 4'!$C$7:$C$110</definedName>
    <definedName name="ExternalData_61" localSheetId="3">'Cotacao 3'!$C$7:$C$112</definedName>
    <definedName name="ExternalData_61" localSheetId="4">'Cotacao 4'!$C$7:$C$112</definedName>
    <definedName name="ExternalData_62" localSheetId="3">'Cotacao 3'!$C$7:$C$113</definedName>
    <definedName name="ExternalData_62" localSheetId="4">'Cotacao 4'!$C$7:$C$113</definedName>
    <definedName name="ExternalData_63" localSheetId="3">'Cotacao 3'!$C$7:$C$113</definedName>
    <definedName name="ExternalData_63" localSheetId="4">'Cotacao 4'!$C$7:$C$113</definedName>
    <definedName name="ExternalData_64" localSheetId="3">'Cotacao 3'!$C$7:$C$113</definedName>
    <definedName name="ExternalData_64" localSheetId="4">'Cotacao 4'!$C$7:$C$10</definedName>
    <definedName name="ExternalData_65" localSheetId="4">'Cotacao 4'!$C$7:$C$12</definedName>
    <definedName name="ExternalData_66" localSheetId="4">'Cotacao 4'!$C$7:$C$12</definedName>
    <definedName name="ExternalData_67" localSheetId="4">'Cotacao 4'!$C$7:$C$13</definedName>
    <definedName name="ExternalData_68" localSheetId="4">'Cotacao 4'!$C$7:$C$14</definedName>
    <definedName name="ExternalData_69" localSheetId="4">'Cotacao 4'!$C$7:$C$15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0" localSheetId="4">'Cotacao 4'!$C$7:$C$16</definedName>
    <definedName name="ExternalData_71" localSheetId="4">'Cotacao 4'!$C$7:$C$17</definedName>
    <definedName name="ExternalData_72" localSheetId="4">'Cotacao 4'!$C$7:$C$18</definedName>
    <definedName name="ExternalData_73" localSheetId="4">'Cotacao 4'!$C$7:$C$20</definedName>
    <definedName name="ExternalData_74" localSheetId="4">'Cotacao 4'!$C$7:$C$20</definedName>
    <definedName name="ExternalData_75" localSheetId="4">'Cotacao 4'!$C$7:$C$21</definedName>
    <definedName name="ExternalData_76" localSheetId="4">'Cotacao 4'!$C$7:$C$22</definedName>
    <definedName name="ExternalData_77" localSheetId="4">'Cotacao 4'!$C$7:$C$24</definedName>
    <definedName name="ExternalData_78" localSheetId="4">'Cotacao 4'!$C$7:$C$23</definedName>
    <definedName name="ExternalData_79" localSheetId="4">'Cotacao 4'!$C$7:$C$24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0" localSheetId="4">'Cotacao 4'!$C$7:$C$26</definedName>
    <definedName name="ExternalData_81" localSheetId="4">'Cotacao 4'!$C$7:$C$28</definedName>
    <definedName name="ExternalData_82" localSheetId="4">'Cotacao 4'!$C$7:$C$29</definedName>
    <definedName name="ExternalData_83" localSheetId="4">'Cotacao 4'!$C$7:$C$32</definedName>
    <definedName name="ExternalData_84" localSheetId="4">'Cotacao 4'!$C$7:$C$33</definedName>
    <definedName name="ExternalData_85" localSheetId="4">'Cotacao 4'!$C$7:$C$36</definedName>
    <definedName name="ExternalData_86" localSheetId="4">'Cotacao 4'!$C$7:$C$34</definedName>
    <definedName name="ExternalData_87" localSheetId="4">'Cotacao 4'!$C$7:$C$36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</definedNames>
  <calcPr calcId="144525"/>
  <pivotCaches>
    <pivotCache cacheId="1" r:id="rId11"/>
  </pivotCaches>
</workbook>
</file>

<file path=xl/calcChain.xml><?xml version="1.0" encoding="utf-8"?>
<calcChain xmlns="http://schemas.openxmlformats.org/spreadsheetml/2006/main">
  <c r="I3" i="20" l="1"/>
  <c r="I4" i="20"/>
  <c r="I2" i="20"/>
  <c r="E4" i="20"/>
  <c r="F4" i="20"/>
  <c r="G4" i="20" s="1"/>
  <c r="H4" i="20" s="1"/>
  <c r="E3" i="20"/>
  <c r="F3" i="20"/>
  <c r="G3" i="20"/>
  <c r="H3" i="20"/>
  <c r="H2" i="20"/>
  <c r="G2" i="20"/>
  <c r="F2" i="20"/>
  <c r="E2" i="20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" i="19"/>
  <c r="B3" i="19"/>
  <c r="B4" i="19" s="1"/>
  <c r="C2" i="19"/>
  <c r="D2" i="19" s="1"/>
  <c r="B5" i="19" l="1"/>
  <c r="B6" i="19" s="1"/>
  <c r="B7" i="19" s="1"/>
  <c r="B8" i="19" s="1"/>
  <c r="B9" i="19" s="1"/>
  <c r="B11" i="19" s="1"/>
  <c r="E2" i="19"/>
  <c r="F2" i="19" s="1"/>
  <c r="C354" i="1"/>
  <c r="O354" i="1"/>
  <c r="P354" i="1" s="1"/>
  <c r="Q354" i="1" s="1"/>
  <c r="R354" i="1" s="1"/>
  <c r="C353" i="1"/>
  <c r="O353" i="1"/>
  <c r="P353" i="1" s="1"/>
  <c r="Q353" i="1" s="1"/>
  <c r="C352" i="1"/>
  <c r="O352" i="1"/>
  <c r="P352" i="1" s="1"/>
  <c r="Q352" i="1" s="1"/>
  <c r="C351" i="1"/>
  <c r="O351" i="1"/>
  <c r="P351" i="1" s="1"/>
  <c r="Q351" i="1" s="1"/>
  <c r="C350" i="1"/>
  <c r="O350" i="1"/>
  <c r="P350" i="1" s="1"/>
  <c r="Q350" i="1" s="1"/>
  <c r="R350" i="1" s="1"/>
  <c r="C349" i="1"/>
  <c r="O349" i="1"/>
  <c r="P349" i="1" s="1"/>
  <c r="Q349" i="1" s="1"/>
  <c r="C348" i="1"/>
  <c r="O348" i="1"/>
  <c r="P348" i="1" s="1"/>
  <c r="Q348" i="1" s="1"/>
  <c r="C347" i="1"/>
  <c r="O347" i="1"/>
  <c r="P347" i="1" s="1"/>
  <c r="Q347" i="1" s="1"/>
  <c r="R347" i="1" s="1"/>
  <c r="C346" i="1"/>
  <c r="O346" i="1"/>
  <c r="P346" i="1" s="1"/>
  <c r="Q346" i="1" s="1"/>
  <c r="C345" i="1"/>
  <c r="O345" i="1"/>
  <c r="P345" i="1" s="1"/>
  <c r="Q345" i="1" s="1"/>
  <c r="R345" i="1" s="1"/>
  <c r="C344" i="1"/>
  <c r="O344" i="1"/>
  <c r="P344" i="1" s="1"/>
  <c r="Q344" i="1" s="1"/>
  <c r="C343" i="1"/>
  <c r="O343" i="1"/>
  <c r="P343" i="1" s="1"/>
  <c r="Q343" i="1" s="1"/>
  <c r="C342" i="1"/>
  <c r="O342" i="1"/>
  <c r="P342" i="1" s="1"/>
  <c r="Q342" i="1" s="1"/>
  <c r="C341" i="1"/>
  <c r="O341" i="1"/>
  <c r="P341" i="1" s="1"/>
  <c r="Q341" i="1" s="1"/>
  <c r="R341" i="1" s="1"/>
  <c r="C340" i="1"/>
  <c r="O340" i="1"/>
  <c r="P340" i="1" s="1"/>
  <c r="Q340" i="1"/>
  <c r="R340" i="1" s="1"/>
  <c r="C337" i="1"/>
  <c r="C338" i="1"/>
  <c r="C339" i="1"/>
  <c r="O337" i="1"/>
  <c r="P337" i="1" s="1"/>
  <c r="Q337" i="1" s="1"/>
  <c r="O338" i="1"/>
  <c r="P338" i="1" s="1"/>
  <c r="Q338" i="1" s="1"/>
  <c r="O339" i="1"/>
  <c r="P339" i="1" s="1"/>
  <c r="Q339" i="1"/>
  <c r="C336" i="1"/>
  <c r="O336" i="1"/>
  <c r="P336" i="1" s="1"/>
  <c r="Q336" i="1" s="1"/>
  <c r="R336" i="1" s="1"/>
  <c r="H2" i="19" l="1"/>
  <c r="G2" i="19"/>
  <c r="B12" i="19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/>
  <c r="C3" i="19"/>
  <c r="D3" i="19" s="1"/>
  <c r="E3" i="19" s="1"/>
  <c r="F3" i="19" s="1"/>
  <c r="G3" i="19" s="1"/>
  <c r="R353" i="1"/>
  <c r="R352" i="1"/>
  <c r="R351" i="1"/>
  <c r="R349" i="1"/>
  <c r="R348" i="1"/>
  <c r="R346" i="1"/>
  <c r="R344" i="1"/>
  <c r="R343" i="1"/>
  <c r="R342" i="1"/>
  <c r="R337" i="1"/>
  <c r="R338" i="1"/>
  <c r="R339" i="1"/>
  <c r="C335" i="1"/>
  <c r="O335" i="1"/>
  <c r="P335" i="1" s="1"/>
  <c r="Q335" i="1" s="1"/>
  <c r="R335" i="1" s="1"/>
  <c r="C334" i="1"/>
  <c r="O334" i="1"/>
  <c r="P334" i="1" s="1"/>
  <c r="Q334" i="1" s="1"/>
  <c r="R334" i="1" s="1"/>
  <c r="C333" i="1"/>
  <c r="O333" i="1"/>
  <c r="P333" i="1" s="1"/>
  <c r="Q333" i="1" s="1"/>
  <c r="C65" i="1"/>
  <c r="O65" i="1"/>
  <c r="P65" i="1" s="1"/>
  <c r="Q65" i="1" s="1"/>
  <c r="C220" i="1"/>
  <c r="O220" i="1"/>
  <c r="P220" i="1" s="1"/>
  <c r="Q220" i="1" s="1"/>
  <c r="C207" i="1"/>
  <c r="O207" i="1"/>
  <c r="P207" i="1" s="1"/>
  <c r="Q207" i="1" s="1"/>
  <c r="R207" i="1" s="1"/>
  <c r="C206" i="1"/>
  <c r="O206" i="1"/>
  <c r="P206" i="1" s="1"/>
  <c r="Q206" i="1" s="1"/>
  <c r="C196" i="1"/>
  <c r="O196" i="1"/>
  <c r="P196" i="1" s="1"/>
  <c r="Q196" i="1"/>
  <c r="R196" i="1" s="1"/>
  <c r="C195" i="1"/>
  <c r="O195" i="1"/>
  <c r="P195" i="1" s="1"/>
  <c r="Q195" i="1" s="1"/>
  <c r="C194" i="1"/>
  <c r="O194" i="1"/>
  <c r="P194" i="1" s="1"/>
  <c r="Q194" i="1" s="1"/>
  <c r="R194" i="1" s="1"/>
  <c r="M172" i="18"/>
  <c r="L172" i="18"/>
  <c r="K172" i="18"/>
  <c r="T156" i="18" s="1"/>
  <c r="J172" i="18"/>
  <c r="S156" i="18" s="1"/>
  <c r="M171" i="18"/>
  <c r="L171" i="18"/>
  <c r="K171" i="18"/>
  <c r="J171" i="18"/>
  <c r="S155" i="18" s="1"/>
  <c r="M170" i="18"/>
  <c r="L170" i="18"/>
  <c r="K170" i="18"/>
  <c r="J170" i="18"/>
  <c r="S154" i="18" s="1"/>
  <c r="M169" i="18"/>
  <c r="L169" i="18"/>
  <c r="K169" i="18"/>
  <c r="T153" i="18" s="1"/>
  <c r="J169" i="18"/>
  <c r="S153" i="18" s="1"/>
  <c r="M168" i="18"/>
  <c r="L168" i="18"/>
  <c r="K168" i="18"/>
  <c r="T152" i="18" s="1"/>
  <c r="J168" i="18"/>
  <c r="S152" i="18" s="1"/>
  <c r="M167" i="18"/>
  <c r="L167" i="18"/>
  <c r="K167" i="18"/>
  <c r="J167" i="18"/>
  <c r="S151" i="18" s="1"/>
  <c r="M166" i="18"/>
  <c r="L166" i="18"/>
  <c r="K166" i="18"/>
  <c r="J166" i="18"/>
  <c r="S150" i="18" s="1"/>
  <c r="M165" i="18"/>
  <c r="L165" i="18"/>
  <c r="K165" i="18"/>
  <c r="T149" i="18" s="1"/>
  <c r="J165" i="18"/>
  <c r="S149" i="18" s="1"/>
  <c r="M164" i="18"/>
  <c r="L164" i="18"/>
  <c r="K164" i="18"/>
  <c r="T148" i="18" s="1"/>
  <c r="J164" i="18"/>
  <c r="S148" i="18" s="1"/>
  <c r="M163" i="18"/>
  <c r="L163" i="18"/>
  <c r="K163" i="18"/>
  <c r="J163" i="18"/>
  <c r="S147" i="18" s="1"/>
  <c r="M162" i="18"/>
  <c r="L162" i="18"/>
  <c r="K162" i="18"/>
  <c r="J162" i="18"/>
  <c r="S146" i="18" s="1"/>
  <c r="M161" i="18"/>
  <c r="L161" i="18"/>
  <c r="K161" i="18"/>
  <c r="T145" i="18" s="1"/>
  <c r="J161" i="18"/>
  <c r="S145" i="18" s="1"/>
  <c r="M160" i="18"/>
  <c r="L160" i="18"/>
  <c r="K160" i="18"/>
  <c r="T144" i="18" s="1"/>
  <c r="J160" i="18"/>
  <c r="S144" i="18" s="1"/>
  <c r="M159" i="18"/>
  <c r="L159" i="18"/>
  <c r="K159" i="18"/>
  <c r="J159" i="18"/>
  <c r="S143" i="18" s="1"/>
  <c r="V158" i="18"/>
  <c r="U158" i="18"/>
  <c r="T158" i="18"/>
  <c r="S158" i="18"/>
  <c r="R158" i="18"/>
  <c r="Q158" i="18"/>
  <c r="P158" i="18"/>
  <c r="M158" i="18"/>
  <c r="V142" i="18" s="1"/>
  <c r="L158" i="18"/>
  <c r="K158" i="18"/>
  <c r="J158" i="18"/>
  <c r="V157" i="18"/>
  <c r="U157" i="18"/>
  <c r="T157" i="18"/>
  <c r="S157" i="18"/>
  <c r="R157" i="18"/>
  <c r="Q157" i="18"/>
  <c r="P157" i="18"/>
  <c r="M157" i="18"/>
  <c r="L157" i="18"/>
  <c r="U141" i="18" s="1"/>
  <c r="K157" i="18"/>
  <c r="J157" i="18"/>
  <c r="V156" i="18"/>
  <c r="U156" i="18"/>
  <c r="R156" i="18"/>
  <c r="Q156" i="18"/>
  <c r="P156" i="18"/>
  <c r="M156" i="18"/>
  <c r="L156" i="18"/>
  <c r="K156" i="18"/>
  <c r="T140" i="18" s="1"/>
  <c r="J156" i="18"/>
  <c r="V155" i="18"/>
  <c r="U155" i="18"/>
  <c r="T155" i="18"/>
  <c r="R155" i="18"/>
  <c r="Q155" i="18"/>
  <c r="P155" i="18"/>
  <c r="M155" i="18"/>
  <c r="L155" i="18"/>
  <c r="K155" i="18"/>
  <c r="J155" i="18"/>
  <c r="S139" i="18" s="1"/>
  <c r="V154" i="18"/>
  <c r="U154" i="18"/>
  <c r="T154" i="18"/>
  <c r="R154" i="18"/>
  <c r="Q154" i="18"/>
  <c r="P154" i="18"/>
  <c r="M154" i="18"/>
  <c r="V138" i="18" s="1"/>
  <c r="L154" i="18"/>
  <c r="K154" i="18"/>
  <c r="J154" i="18"/>
  <c r="S138" i="18" s="1"/>
  <c r="V153" i="18"/>
  <c r="U153" i="18"/>
  <c r="R153" i="18"/>
  <c r="Q153" i="18"/>
  <c r="P153" i="18"/>
  <c r="M153" i="18"/>
  <c r="L153" i="18"/>
  <c r="U137" i="18" s="1"/>
  <c r="K153" i="18"/>
  <c r="J153" i="18"/>
  <c r="V152" i="18"/>
  <c r="U152" i="18"/>
  <c r="R152" i="18"/>
  <c r="Q152" i="18"/>
  <c r="P152" i="18"/>
  <c r="M152" i="18"/>
  <c r="L152" i="18"/>
  <c r="K152" i="18"/>
  <c r="T136" i="18" s="1"/>
  <c r="J152" i="18"/>
  <c r="V151" i="18"/>
  <c r="U151" i="18"/>
  <c r="T151" i="18"/>
  <c r="R151" i="18"/>
  <c r="Q151" i="18"/>
  <c r="P151" i="18"/>
  <c r="M151" i="18"/>
  <c r="L151" i="18"/>
  <c r="K151" i="18"/>
  <c r="J151" i="18"/>
  <c r="S135" i="18" s="1"/>
  <c r="V150" i="18"/>
  <c r="U150" i="18"/>
  <c r="T150" i="18"/>
  <c r="R150" i="18"/>
  <c r="Q150" i="18"/>
  <c r="P150" i="18"/>
  <c r="M150" i="18"/>
  <c r="V134" i="18" s="1"/>
  <c r="L150" i="18"/>
  <c r="K150" i="18"/>
  <c r="J150" i="18"/>
  <c r="S134" i="18" s="1"/>
  <c r="V149" i="18"/>
  <c r="U149" i="18"/>
  <c r="R149" i="18"/>
  <c r="Q149" i="18"/>
  <c r="P149" i="18"/>
  <c r="M149" i="18"/>
  <c r="L149" i="18"/>
  <c r="U133" i="18" s="1"/>
  <c r="K149" i="18"/>
  <c r="J149" i="18"/>
  <c r="V148" i="18"/>
  <c r="U148" i="18"/>
  <c r="R148" i="18"/>
  <c r="Q148" i="18"/>
  <c r="P148" i="18"/>
  <c r="M148" i="18"/>
  <c r="L148" i="18"/>
  <c r="U132" i="18" s="1"/>
  <c r="K148" i="18"/>
  <c r="T132" i="18" s="1"/>
  <c r="J148" i="18"/>
  <c r="V147" i="18"/>
  <c r="U147" i="18"/>
  <c r="T147" i="18"/>
  <c r="R147" i="18"/>
  <c r="Q147" i="18"/>
  <c r="P147" i="18"/>
  <c r="M147" i="18"/>
  <c r="L147" i="18"/>
  <c r="K147" i="18"/>
  <c r="J147" i="18"/>
  <c r="V146" i="18"/>
  <c r="U146" i="18"/>
  <c r="T146" i="18"/>
  <c r="R146" i="18"/>
  <c r="Q146" i="18"/>
  <c r="P146" i="18"/>
  <c r="M146" i="18"/>
  <c r="L146" i="18"/>
  <c r="K146" i="18"/>
  <c r="J146" i="18"/>
  <c r="V145" i="18"/>
  <c r="U145" i="18"/>
  <c r="R145" i="18"/>
  <c r="Q145" i="18"/>
  <c r="P145" i="18"/>
  <c r="M145" i="18"/>
  <c r="L145" i="18"/>
  <c r="K145" i="18"/>
  <c r="J145" i="18"/>
  <c r="V144" i="18"/>
  <c r="U144" i="18"/>
  <c r="R144" i="18"/>
  <c r="Q144" i="18"/>
  <c r="P144" i="18"/>
  <c r="M144" i="18"/>
  <c r="L144" i="18"/>
  <c r="K144" i="18"/>
  <c r="J144" i="18"/>
  <c r="V143" i="18"/>
  <c r="U143" i="18"/>
  <c r="T143" i="18"/>
  <c r="R143" i="18"/>
  <c r="Q143" i="18"/>
  <c r="P143" i="18"/>
  <c r="M143" i="18"/>
  <c r="L143" i="18"/>
  <c r="K143" i="18"/>
  <c r="J143" i="18"/>
  <c r="U142" i="18"/>
  <c r="T142" i="18"/>
  <c r="S142" i="18"/>
  <c r="R142" i="18"/>
  <c r="Q142" i="18"/>
  <c r="P142" i="18"/>
  <c r="M142" i="18"/>
  <c r="L142" i="18"/>
  <c r="K142" i="18"/>
  <c r="J142" i="18"/>
  <c r="V141" i="18"/>
  <c r="T141" i="18"/>
  <c r="S141" i="18"/>
  <c r="R141" i="18"/>
  <c r="Q141" i="18"/>
  <c r="P141" i="18"/>
  <c r="M141" i="18"/>
  <c r="L141" i="18"/>
  <c r="K141" i="18"/>
  <c r="J141" i="18"/>
  <c r="V140" i="18"/>
  <c r="U140" i="18"/>
  <c r="S140" i="18"/>
  <c r="R140" i="18"/>
  <c r="Q140" i="18"/>
  <c r="P140" i="18"/>
  <c r="M140" i="18"/>
  <c r="L140" i="18"/>
  <c r="K140" i="18"/>
  <c r="J140" i="18"/>
  <c r="V139" i="18"/>
  <c r="U139" i="18"/>
  <c r="T139" i="18"/>
  <c r="R139" i="18"/>
  <c r="Q139" i="18"/>
  <c r="P139" i="18"/>
  <c r="M139" i="18"/>
  <c r="L139" i="18"/>
  <c r="K139" i="18"/>
  <c r="J139" i="18"/>
  <c r="U138" i="18"/>
  <c r="T138" i="18"/>
  <c r="R138" i="18"/>
  <c r="Q138" i="18"/>
  <c r="P138" i="18"/>
  <c r="M138" i="18"/>
  <c r="L138" i="18"/>
  <c r="K138" i="18"/>
  <c r="J138" i="18"/>
  <c r="V137" i="18"/>
  <c r="T137" i="18"/>
  <c r="S137" i="18"/>
  <c r="R137" i="18"/>
  <c r="Q137" i="18"/>
  <c r="P137" i="18"/>
  <c r="M137" i="18"/>
  <c r="L137" i="18"/>
  <c r="K137" i="18"/>
  <c r="J137" i="18"/>
  <c r="V136" i="18"/>
  <c r="U136" i="18"/>
  <c r="S136" i="18"/>
  <c r="R136" i="18"/>
  <c r="Q136" i="18"/>
  <c r="P136" i="18"/>
  <c r="M136" i="18"/>
  <c r="L136" i="18"/>
  <c r="K136" i="18"/>
  <c r="J136" i="18"/>
  <c r="V135" i="18"/>
  <c r="U135" i="18"/>
  <c r="T135" i="18"/>
  <c r="R135" i="18"/>
  <c r="Q135" i="18"/>
  <c r="P135" i="18"/>
  <c r="M135" i="18"/>
  <c r="L135" i="18"/>
  <c r="K135" i="18"/>
  <c r="T131" i="18" s="1"/>
  <c r="J135" i="18"/>
  <c r="U134" i="18"/>
  <c r="T134" i="18"/>
  <c r="R134" i="18"/>
  <c r="Q134" i="18"/>
  <c r="P134" i="18"/>
  <c r="M134" i="18"/>
  <c r="V130" i="18" s="1"/>
  <c r="L134" i="18"/>
  <c r="K134" i="18"/>
  <c r="J134" i="18"/>
  <c r="S130" i="18" s="1"/>
  <c r="V133" i="18"/>
  <c r="T133" i="18"/>
  <c r="S133" i="18"/>
  <c r="R133" i="18"/>
  <c r="Q133" i="18"/>
  <c r="P133" i="18"/>
  <c r="M133" i="18"/>
  <c r="V129" i="18" s="1"/>
  <c r="A133" i="18"/>
  <c r="Q129" i="18" s="1"/>
  <c r="V132" i="18"/>
  <c r="S132" i="18"/>
  <c r="R132" i="18"/>
  <c r="Q132" i="18"/>
  <c r="P132" i="18"/>
  <c r="A132" i="18"/>
  <c r="V131" i="18"/>
  <c r="U131" i="18"/>
  <c r="S131" i="18"/>
  <c r="R131" i="18"/>
  <c r="Q131" i="18"/>
  <c r="L131" i="18"/>
  <c r="U127" i="18" s="1"/>
  <c r="K131" i="18"/>
  <c r="T127" i="18" s="1"/>
  <c r="A131" i="18"/>
  <c r="J131" i="18" s="1"/>
  <c r="U130" i="18"/>
  <c r="T130" i="18"/>
  <c r="R130" i="18"/>
  <c r="Q130" i="18"/>
  <c r="L130" i="18"/>
  <c r="K130" i="18"/>
  <c r="T126" i="18" s="1"/>
  <c r="J130" i="18"/>
  <c r="S126" i="18" s="1"/>
  <c r="A130" i="18"/>
  <c r="M130" i="18" s="1"/>
  <c r="J129" i="18"/>
  <c r="S125" i="18" s="1"/>
  <c r="A129" i="18"/>
  <c r="A128" i="18"/>
  <c r="S127" i="18"/>
  <c r="R127" i="18"/>
  <c r="Q127" i="18"/>
  <c r="L127" i="18"/>
  <c r="U123" i="18" s="1"/>
  <c r="K127" i="18"/>
  <c r="T123" i="18" s="1"/>
  <c r="A127" i="18"/>
  <c r="J127" i="18" s="1"/>
  <c r="V126" i="18"/>
  <c r="U126" i="18"/>
  <c r="R126" i="18"/>
  <c r="Q126" i="18"/>
  <c r="K126" i="18"/>
  <c r="T122" i="18" s="1"/>
  <c r="J126" i="18"/>
  <c r="S122" i="18" s="1"/>
  <c r="A126" i="18"/>
  <c r="M126" i="18" s="1"/>
  <c r="V122" i="18" s="1"/>
  <c r="A125" i="18"/>
  <c r="M124" i="18"/>
  <c r="V120" i="18" s="1"/>
  <c r="L124" i="18"/>
  <c r="U120" i="18" s="1"/>
  <c r="A124" i="18"/>
  <c r="S123" i="18"/>
  <c r="R123" i="18"/>
  <c r="Q123" i="18"/>
  <c r="L123" i="18"/>
  <c r="U119" i="18" s="1"/>
  <c r="K123" i="18"/>
  <c r="T119" i="18" s="1"/>
  <c r="A123" i="18"/>
  <c r="J123" i="18" s="1"/>
  <c r="S119" i="18" s="1"/>
  <c r="R122" i="18"/>
  <c r="Q122" i="18"/>
  <c r="K122" i="18"/>
  <c r="J122" i="18"/>
  <c r="S118" i="18" s="1"/>
  <c r="A122" i="18"/>
  <c r="M122" i="18" s="1"/>
  <c r="V118" i="18" s="1"/>
  <c r="M121" i="18"/>
  <c r="J121" i="18"/>
  <c r="S117" i="18" s="1"/>
  <c r="A121" i="18"/>
  <c r="M120" i="18"/>
  <c r="V116" i="18" s="1"/>
  <c r="L120" i="18"/>
  <c r="U116" i="18" s="1"/>
  <c r="K120" i="18"/>
  <c r="J120" i="18"/>
  <c r="R119" i="18"/>
  <c r="Q119" i="18"/>
  <c r="M119" i="18"/>
  <c r="L119" i="18"/>
  <c r="K119" i="18"/>
  <c r="T115" i="18" s="1"/>
  <c r="J119" i="18"/>
  <c r="S115" i="18" s="1"/>
  <c r="T118" i="18"/>
  <c r="R118" i="18"/>
  <c r="Q118" i="18"/>
  <c r="M118" i="18"/>
  <c r="V114" i="18" s="1"/>
  <c r="L118" i="18"/>
  <c r="U114" i="18" s="1"/>
  <c r="K118" i="18"/>
  <c r="J118" i="18"/>
  <c r="V117" i="18"/>
  <c r="R117" i="18"/>
  <c r="Q117" i="18"/>
  <c r="M117" i="18"/>
  <c r="L117" i="18"/>
  <c r="K117" i="18"/>
  <c r="T113" i="18" s="1"/>
  <c r="J117" i="18"/>
  <c r="S113" i="18" s="1"/>
  <c r="T116" i="18"/>
  <c r="S116" i="18"/>
  <c r="R116" i="18"/>
  <c r="Q116" i="18"/>
  <c r="M116" i="18"/>
  <c r="L116" i="18"/>
  <c r="K116" i="18"/>
  <c r="J116" i="18"/>
  <c r="V115" i="18"/>
  <c r="U115" i="18"/>
  <c r="R115" i="18"/>
  <c r="Q115" i="18"/>
  <c r="M115" i="18"/>
  <c r="L115" i="18"/>
  <c r="K115" i="18"/>
  <c r="J115" i="18"/>
  <c r="T114" i="18"/>
  <c r="S114" i="18"/>
  <c r="R114" i="18"/>
  <c r="Q114" i="18"/>
  <c r="M114" i="18"/>
  <c r="L114" i="18"/>
  <c r="K114" i="18"/>
  <c r="J114" i="18"/>
  <c r="V113" i="18"/>
  <c r="U113" i="18"/>
  <c r="R113" i="18"/>
  <c r="Q113" i="18"/>
  <c r="M113" i="18"/>
  <c r="L113" i="18"/>
  <c r="K113" i="18"/>
  <c r="J113" i="18"/>
  <c r="M112" i="18"/>
  <c r="V112" i="18" s="1"/>
  <c r="A112" i="18"/>
  <c r="R111" i="18"/>
  <c r="K111" i="18"/>
  <c r="T111" i="18" s="1"/>
  <c r="A111" i="18"/>
  <c r="Q111" i="18" s="1"/>
  <c r="A110" i="18"/>
  <c r="A109" i="18"/>
  <c r="M109" i="18" s="1"/>
  <c r="V109" i="18" s="1"/>
  <c r="J108" i="18"/>
  <c r="S108" i="18" s="1"/>
  <c r="A108" i="18"/>
  <c r="M108" i="18" s="1"/>
  <c r="V108" i="18" s="1"/>
  <c r="M107" i="18"/>
  <c r="V107" i="18" s="1"/>
  <c r="A107" i="18"/>
  <c r="K107" i="18" s="1"/>
  <c r="T107" i="18" s="1"/>
  <c r="Q106" i="18"/>
  <c r="K106" i="18"/>
  <c r="T106" i="18" s="1"/>
  <c r="A106" i="18"/>
  <c r="A105" i="18"/>
  <c r="J104" i="18"/>
  <c r="S104" i="18" s="1"/>
  <c r="A104" i="18"/>
  <c r="L104" i="18" s="1"/>
  <c r="U104" i="18" s="1"/>
  <c r="A103" i="18"/>
  <c r="A102" i="18"/>
  <c r="A101" i="18"/>
  <c r="M100" i="18"/>
  <c r="V100" i="18" s="1"/>
  <c r="L100" i="18"/>
  <c r="U100" i="18" s="1"/>
  <c r="J100" i="18"/>
  <c r="S100" i="18" s="1"/>
  <c r="A100" i="18"/>
  <c r="K99" i="18"/>
  <c r="T99" i="18" s="1"/>
  <c r="A99" i="18"/>
  <c r="Q98" i="18"/>
  <c r="J98" i="18"/>
  <c r="S98" i="18" s="1"/>
  <c r="A98" i="18"/>
  <c r="M98" i="18" s="1"/>
  <c r="V98" i="18" s="1"/>
  <c r="K97" i="18"/>
  <c r="T97" i="18" s="1"/>
  <c r="A97" i="18"/>
  <c r="R96" i="18"/>
  <c r="L96" i="18"/>
  <c r="U96" i="18" s="1"/>
  <c r="J96" i="18"/>
  <c r="S96" i="18" s="1"/>
  <c r="A96" i="18"/>
  <c r="M96" i="18" s="1"/>
  <c r="V96" i="18" s="1"/>
  <c r="R95" i="18"/>
  <c r="K95" i="18"/>
  <c r="T95" i="18" s="1"/>
  <c r="A95" i="18"/>
  <c r="M95" i="18" s="1"/>
  <c r="V95" i="18" s="1"/>
  <c r="A94" i="18"/>
  <c r="M93" i="18"/>
  <c r="V93" i="18" s="1"/>
  <c r="A93" i="18"/>
  <c r="R92" i="18"/>
  <c r="L92" i="18"/>
  <c r="U92" i="18" s="1"/>
  <c r="J92" i="18"/>
  <c r="S92" i="18" s="1"/>
  <c r="A92" i="18"/>
  <c r="M92" i="18" s="1"/>
  <c r="V92" i="18" s="1"/>
  <c r="K91" i="18"/>
  <c r="T91" i="18" s="1"/>
  <c r="A91" i="18"/>
  <c r="Q90" i="18"/>
  <c r="L90" i="18"/>
  <c r="U90" i="18" s="1"/>
  <c r="J90" i="18"/>
  <c r="S90" i="18" s="1"/>
  <c r="A90" i="18"/>
  <c r="M90" i="18" s="1"/>
  <c r="V90" i="18" s="1"/>
  <c r="M89" i="18"/>
  <c r="V89" i="18" s="1"/>
  <c r="K89" i="18"/>
  <c r="T89" i="18" s="1"/>
  <c r="A89" i="18"/>
  <c r="L89" i="18" s="1"/>
  <c r="U89" i="18" s="1"/>
  <c r="A88" i="18"/>
  <c r="R87" i="18"/>
  <c r="J87" i="18"/>
  <c r="S87" i="18" s="1"/>
  <c r="A87" i="18"/>
  <c r="Q87" i="18" s="1"/>
  <c r="A86" i="18"/>
  <c r="A85" i="18"/>
  <c r="R84" i="18"/>
  <c r="L84" i="18"/>
  <c r="U84" i="18" s="1"/>
  <c r="K84" i="18"/>
  <c r="T84" i="18" s="1"/>
  <c r="J84" i="18"/>
  <c r="S84" i="18" s="1"/>
  <c r="A84" i="18"/>
  <c r="M84" i="18" s="1"/>
  <c r="V84" i="18" s="1"/>
  <c r="A83" i="18"/>
  <c r="M82" i="18"/>
  <c r="V82" i="18" s="1"/>
  <c r="L82" i="18"/>
  <c r="U82" i="18" s="1"/>
  <c r="J82" i="18"/>
  <c r="S82" i="18" s="1"/>
  <c r="A82" i="18"/>
  <c r="M81" i="18"/>
  <c r="V81" i="18" s="1"/>
  <c r="K81" i="18"/>
  <c r="T81" i="18" s="1"/>
  <c r="A81" i="18"/>
  <c r="L81" i="18" s="1"/>
  <c r="U81" i="18" s="1"/>
  <c r="A80" i="18"/>
  <c r="R79" i="18"/>
  <c r="J79" i="18"/>
  <c r="S79" i="18" s="1"/>
  <c r="A79" i="18"/>
  <c r="Q79" i="18" s="1"/>
  <c r="A78" i="18"/>
  <c r="A77" i="18"/>
  <c r="R76" i="18"/>
  <c r="L76" i="18"/>
  <c r="U76" i="18" s="1"/>
  <c r="K76" i="18"/>
  <c r="T76" i="18" s="1"/>
  <c r="J76" i="18"/>
  <c r="S76" i="18" s="1"/>
  <c r="A76" i="18"/>
  <c r="M76" i="18" s="1"/>
  <c r="V76" i="18" s="1"/>
  <c r="Q75" i="18"/>
  <c r="J75" i="18"/>
  <c r="S75" i="18" s="1"/>
  <c r="A75" i="18"/>
  <c r="M75" i="18" s="1"/>
  <c r="V75" i="18" s="1"/>
  <c r="L74" i="18"/>
  <c r="U74" i="18" s="1"/>
  <c r="A74" i="18"/>
  <c r="A73" i="18"/>
  <c r="A72" i="18"/>
  <c r="K72" i="18" s="1"/>
  <c r="T72" i="18" s="1"/>
  <c r="R71" i="18"/>
  <c r="M71" i="18"/>
  <c r="V71" i="18" s="1"/>
  <c r="J71" i="18"/>
  <c r="S71" i="18" s="1"/>
  <c r="A71" i="18"/>
  <c r="L71" i="18" s="1"/>
  <c r="U71" i="18" s="1"/>
  <c r="M70" i="18"/>
  <c r="V70" i="18" s="1"/>
  <c r="A70" i="18"/>
  <c r="K69" i="18"/>
  <c r="T69" i="18" s="1"/>
  <c r="A69" i="18"/>
  <c r="L69" i="18" s="1"/>
  <c r="U69" i="18" s="1"/>
  <c r="A68" i="18"/>
  <c r="R67" i="18"/>
  <c r="K67" i="18"/>
  <c r="T67" i="18" s="1"/>
  <c r="A67" i="18"/>
  <c r="L66" i="18"/>
  <c r="U66" i="18" s="1"/>
  <c r="A66" i="18"/>
  <c r="M65" i="18"/>
  <c r="V65" i="18" s="1"/>
  <c r="K65" i="18"/>
  <c r="T65" i="18" s="1"/>
  <c r="A65" i="18"/>
  <c r="L65" i="18" s="1"/>
  <c r="U65" i="18" s="1"/>
  <c r="A64" i="18"/>
  <c r="R63" i="18"/>
  <c r="J63" i="18"/>
  <c r="S63" i="18" s="1"/>
  <c r="A63" i="18"/>
  <c r="L63" i="18" s="1"/>
  <c r="U63" i="18" s="1"/>
  <c r="J62" i="18"/>
  <c r="S62" i="18" s="1"/>
  <c r="A62" i="18"/>
  <c r="L62" i="18" s="1"/>
  <c r="U62" i="18" s="1"/>
  <c r="K61" i="18"/>
  <c r="T61" i="18" s="1"/>
  <c r="A61" i="18"/>
  <c r="L61" i="18" s="1"/>
  <c r="U61" i="18" s="1"/>
  <c r="R60" i="18"/>
  <c r="L60" i="18"/>
  <c r="U60" i="18" s="1"/>
  <c r="J60" i="18"/>
  <c r="S60" i="18" s="1"/>
  <c r="A60" i="18"/>
  <c r="M60" i="18" s="1"/>
  <c r="V60" i="18" s="1"/>
  <c r="M59" i="18"/>
  <c r="V59" i="18" s="1"/>
  <c r="K59" i="18"/>
  <c r="T59" i="18" s="1"/>
  <c r="J59" i="18"/>
  <c r="S59" i="18" s="1"/>
  <c r="A59" i="18"/>
  <c r="L59" i="18" s="1"/>
  <c r="U59" i="18" s="1"/>
  <c r="L58" i="18"/>
  <c r="U58" i="18" s="1"/>
  <c r="A58" i="18"/>
  <c r="R57" i="18"/>
  <c r="K57" i="18"/>
  <c r="T57" i="18" s="1"/>
  <c r="A57" i="18"/>
  <c r="M57" i="18" s="1"/>
  <c r="V57" i="18" s="1"/>
  <c r="R56" i="18"/>
  <c r="L56" i="18"/>
  <c r="U56" i="18" s="1"/>
  <c r="K56" i="18"/>
  <c r="T56" i="18" s="1"/>
  <c r="J56" i="18"/>
  <c r="S56" i="18" s="1"/>
  <c r="A56" i="18"/>
  <c r="M56" i="18" s="1"/>
  <c r="V56" i="18" s="1"/>
  <c r="A55" i="18"/>
  <c r="Q54" i="18"/>
  <c r="L54" i="18"/>
  <c r="U54" i="18" s="1"/>
  <c r="J54" i="18"/>
  <c r="S54" i="18" s="1"/>
  <c r="A54" i="18"/>
  <c r="M54" i="18" s="1"/>
  <c r="V54" i="18" s="1"/>
  <c r="R53" i="18"/>
  <c r="A53" i="18"/>
  <c r="Q52" i="18"/>
  <c r="K52" i="18"/>
  <c r="T52" i="18" s="1"/>
  <c r="A52" i="18"/>
  <c r="R51" i="18"/>
  <c r="K51" i="18"/>
  <c r="T51" i="18" s="1"/>
  <c r="A51" i="18"/>
  <c r="M51" i="18" s="1"/>
  <c r="V51" i="18" s="1"/>
  <c r="A50" i="18"/>
  <c r="R49" i="18"/>
  <c r="M49" i="18"/>
  <c r="V49" i="18" s="1"/>
  <c r="K49" i="18"/>
  <c r="T49" i="18" s="1"/>
  <c r="A49" i="18"/>
  <c r="R48" i="18"/>
  <c r="L48" i="18"/>
  <c r="U48" i="18" s="1"/>
  <c r="J48" i="18"/>
  <c r="S48" i="18" s="1"/>
  <c r="A48" i="18"/>
  <c r="M48" i="18" s="1"/>
  <c r="V48" i="18" s="1"/>
  <c r="R47" i="18"/>
  <c r="A47" i="18"/>
  <c r="Q46" i="18"/>
  <c r="J46" i="18"/>
  <c r="S46" i="18" s="1"/>
  <c r="A46" i="18"/>
  <c r="A45" i="18"/>
  <c r="A44" i="18"/>
  <c r="R44" i="18" s="1"/>
  <c r="R43" i="18"/>
  <c r="M43" i="18"/>
  <c r="V43" i="18" s="1"/>
  <c r="K43" i="18"/>
  <c r="T43" i="18" s="1"/>
  <c r="A43" i="18"/>
  <c r="A42" i="18"/>
  <c r="A41" i="18"/>
  <c r="M41" i="18" s="1"/>
  <c r="V41" i="18" s="1"/>
  <c r="R40" i="18"/>
  <c r="L40" i="18"/>
  <c r="U40" i="18" s="1"/>
  <c r="K40" i="18"/>
  <c r="T40" i="18" s="1"/>
  <c r="J40" i="18"/>
  <c r="S40" i="18" s="1"/>
  <c r="A40" i="18"/>
  <c r="M40" i="18" s="1"/>
  <c r="V40" i="18" s="1"/>
  <c r="A39" i="18"/>
  <c r="M39" i="18" s="1"/>
  <c r="V39" i="18" s="1"/>
  <c r="Q38" i="18"/>
  <c r="L38" i="18"/>
  <c r="U38" i="18" s="1"/>
  <c r="J38" i="18"/>
  <c r="S38" i="18" s="1"/>
  <c r="A38" i="18"/>
  <c r="M38" i="18" s="1"/>
  <c r="V38" i="18" s="1"/>
  <c r="A37" i="18"/>
  <c r="M37" i="18" s="1"/>
  <c r="V37" i="18" s="1"/>
  <c r="Q36" i="18"/>
  <c r="A36" i="18"/>
  <c r="A35" i="18"/>
  <c r="M35" i="18" s="1"/>
  <c r="V35" i="18" s="1"/>
  <c r="A34" i="18"/>
  <c r="A33" i="18"/>
  <c r="K33" i="18" s="1"/>
  <c r="T33" i="18" s="1"/>
  <c r="A32" i="18"/>
  <c r="R32" i="18" s="1"/>
  <c r="A31" i="18"/>
  <c r="R31" i="18" s="1"/>
  <c r="J30" i="18"/>
  <c r="S30" i="18" s="1"/>
  <c r="A30" i="18"/>
  <c r="Q30" i="18" s="1"/>
  <c r="A29" i="18"/>
  <c r="A28" i="18"/>
  <c r="Q28" i="18" s="1"/>
  <c r="R27" i="18"/>
  <c r="M27" i="18"/>
  <c r="V27" i="18" s="1"/>
  <c r="A27" i="18"/>
  <c r="K27" i="18" s="1"/>
  <c r="T27" i="18" s="1"/>
  <c r="A26" i="18"/>
  <c r="L26" i="18" s="1"/>
  <c r="U26" i="18" s="1"/>
  <c r="A25" i="18"/>
  <c r="R25" i="18" s="1"/>
  <c r="A24" i="18"/>
  <c r="M24" i="18" s="1"/>
  <c r="V24" i="18" s="1"/>
  <c r="A23" i="18"/>
  <c r="M23" i="18" s="1"/>
  <c r="V23" i="18" s="1"/>
  <c r="A22" i="18"/>
  <c r="A21" i="18"/>
  <c r="M21" i="18" s="1"/>
  <c r="V21" i="18" s="1"/>
  <c r="R20" i="18"/>
  <c r="J20" i="18"/>
  <c r="S20" i="18" s="1"/>
  <c r="A20" i="18"/>
  <c r="M20" i="18" s="1"/>
  <c r="V20" i="18" s="1"/>
  <c r="A19" i="18"/>
  <c r="M19" i="18" s="1"/>
  <c r="V19" i="18" s="1"/>
  <c r="A18" i="18"/>
  <c r="M18" i="18" s="1"/>
  <c r="V18" i="18" s="1"/>
  <c r="M17" i="18"/>
  <c r="V17" i="18" s="1"/>
  <c r="K17" i="18"/>
  <c r="T17" i="18" s="1"/>
  <c r="A17" i="18"/>
  <c r="L17" i="18" s="1"/>
  <c r="U17" i="18" s="1"/>
  <c r="R16" i="18"/>
  <c r="A16" i="18"/>
  <c r="M16" i="18" s="1"/>
  <c r="V16" i="18" s="1"/>
  <c r="A15" i="18"/>
  <c r="L15" i="18" s="1"/>
  <c r="U15" i="18" s="1"/>
  <c r="A14" i="18"/>
  <c r="A13" i="18"/>
  <c r="A12" i="18"/>
  <c r="M12" i="18" s="1"/>
  <c r="V12" i="18" s="1"/>
  <c r="A11" i="18"/>
  <c r="A10" i="18"/>
  <c r="L10" i="18" s="1"/>
  <c r="U10" i="18" s="1"/>
  <c r="A9" i="18"/>
  <c r="L9" i="18" s="1"/>
  <c r="U9" i="18" s="1"/>
  <c r="A8" i="18"/>
  <c r="M8" i="18" s="1"/>
  <c r="V8" i="18" s="1"/>
  <c r="A7" i="18"/>
  <c r="L7" i="18" s="1"/>
  <c r="U7" i="18" s="1"/>
  <c r="C73" i="1"/>
  <c r="O73" i="1"/>
  <c r="P73" i="1" s="1"/>
  <c r="Q73" i="1" s="1"/>
  <c r="C72" i="1"/>
  <c r="O72" i="1"/>
  <c r="P72" i="1" s="1"/>
  <c r="Q72" i="1" s="1"/>
  <c r="C23" i="1"/>
  <c r="O23" i="1"/>
  <c r="P23" i="1" s="1"/>
  <c r="Q23" i="1" s="1"/>
  <c r="C230" i="1"/>
  <c r="O230" i="1"/>
  <c r="P230" i="1" s="1"/>
  <c r="Q230" i="1" s="1"/>
  <c r="C17" i="1"/>
  <c r="O17" i="1"/>
  <c r="P17" i="1" s="1"/>
  <c r="Q17" i="1" s="1"/>
  <c r="C16" i="1"/>
  <c r="O16" i="1"/>
  <c r="P16" i="1" s="1"/>
  <c r="Q16" i="1" s="1"/>
  <c r="C228" i="1"/>
  <c r="O228" i="1"/>
  <c r="P228" i="1" s="1"/>
  <c r="Q228" i="1" s="1"/>
  <c r="C104" i="1"/>
  <c r="O104" i="1"/>
  <c r="P104" i="1" s="1"/>
  <c r="Q104" i="1"/>
  <c r="R104" i="1" s="1"/>
  <c r="C103" i="1"/>
  <c r="O103" i="1"/>
  <c r="P103" i="1" s="1"/>
  <c r="Q103" i="1"/>
  <c r="R103" i="1" s="1"/>
  <c r="C330" i="1"/>
  <c r="O330" i="1"/>
  <c r="P330" i="1" s="1"/>
  <c r="Q330" i="1" s="1"/>
  <c r="C4" i="1"/>
  <c r="O4" i="1"/>
  <c r="P4" i="1" s="1"/>
  <c r="Q4" i="1" s="1"/>
  <c r="C247" i="1"/>
  <c r="O247" i="1"/>
  <c r="P247" i="1" s="1"/>
  <c r="Q247" i="1" s="1"/>
  <c r="C246" i="1"/>
  <c r="O246" i="1"/>
  <c r="P246" i="1" s="1"/>
  <c r="Q246" i="1" s="1"/>
  <c r="C252" i="1"/>
  <c r="O252" i="1"/>
  <c r="P252" i="1" s="1"/>
  <c r="Q252" i="1" s="1"/>
  <c r="C257" i="1"/>
  <c r="O257" i="1"/>
  <c r="P257" i="1" s="1"/>
  <c r="Q257" i="1" s="1"/>
  <c r="R257" i="1" s="1"/>
  <c r="C256" i="1"/>
  <c r="O256" i="1"/>
  <c r="P256" i="1" s="1"/>
  <c r="Q256" i="1" s="1"/>
  <c r="C41" i="1"/>
  <c r="O41" i="1"/>
  <c r="P41" i="1" s="1"/>
  <c r="Q41" i="1" s="1"/>
  <c r="C267" i="1"/>
  <c r="O267" i="1"/>
  <c r="P267" i="1" s="1"/>
  <c r="Q267" i="1" s="1"/>
  <c r="R267" i="1" s="1"/>
  <c r="C189" i="1"/>
  <c r="O189" i="1"/>
  <c r="P189" i="1" s="1"/>
  <c r="Q189" i="1" s="1"/>
  <c r="C68" i="1"/>
  <c r="O68" i="1"/>
  <c r="P68" i="1" s="1"/>
  <c r="Q68" i="1"/>
  <c r="R68" i="1" s="1"/>
  <c r="C212" i="1"/>
  <c r="O212" i="1"/>
  <c r="P212" i="1" s="1"/>
  <c r="Q212" i="1" s="1"/>
  <c r="C211" i="1"/>
  <c r="O211" i="1"/>
  <c r="P211" i="1" s="1"/>
  <c r="Q211" i="1" s="1"/>
  <c r="C121" i="1"/>
  <c r="O121" i="1"/>
  <c r="P121" i="1" s="1"/>
  <c r="Q121" i="1" s="1"/>
  <c r="R121" i="1" s="1"/>
  <c r="C39" i="1"/>
  <c r="O39" i="1"/>
  <c r="P39" i="1" s="1"/>
  <c r="Q39" i="1" s="1"/>
  <c r="R39" i="1" s="1"/>
  <c r="C38" i="1"/>
  <c r="O38" i="1"/>
  <c r="P38" i="1" s="1"/>
  <c r="Q38" i="1" s="1"/>
  <c r="C237" i="1"/>
  <c r="O237" i="1"/>
  <c r="P237" i="1" s="1"/>
  <c r="Q237" i="1" s="1"/>
  <c r="R237" i="1" s="1"/>
  <c r="H3" i="19" l="1"/>
  <c r="C4" i="19"/>
  <c r="D4" i="19" s="1"/>
  <c r="E4" i="19" s="1"/>
  <c r="F4" i="19" s="1"/>
  <c r="G4" i="19" s="1"/>
  <c r="M33" i="18"/>
  <c r="V33" i="18" s="1"/>
  <c r="R33" i="18"/>
  <c r="J28" i="18"/>
  <c r="S28" i="18" s="1"/>
  <c r="K28" i="18"/>
  <c r="T28" i="18" s="1"/>
  <c r="Q26" i="18"/>
  <c r="M25" i="18"/>
  <c r="V25" i="18" s="1"/>
  <c r="K25" i="18"/>
  <c r="T25" i="18" s="1"/>
  <c r="K20" i="18"/>
  <c r="T20" i="18" s="1"/>
  <c r="Q18" i="18"/>
  <c r="K19" i="18"/>
  <c r="T19" i="18" s="1"/>
  <c r="R19" i="18"/>
  <c r="J16" i="18"/>
  <c r="S16" i="18" s="1"/>
  <c r="K16" i="18"/>
  <c r="T16" i="18" s="1"/>
  <c r="M15" i="18"/>
  <c r="V15" i="18" s="1"/>
  <c r="R333" i="1"/>
  <c r="R65" i="1"/>
  <c r="L12" i="18"/>
  <c r="U12" i="18" s="1"/>
  <c r="R220" i="1"/>
  <c r="R206" i="1"/>
  <c r="R195" i="1"/>
  <c r="K9" i="18"/>
  <c r="T9" i="18" s="1"/>
  <c r="M9" i="18"/>
  <c r="V9" i="18" s="1"/>
  <c r="J8" i="18"/>
  <c r="S8" i="18" s="1"/>
  <c r="K8" i="18"/>
  <c r="T8" i="18" s="1"/>
  <c r="R8" i="18"/>
  <c r="M7" i="18"/>
  <c r="V7" i="18" s="1"/>
  <c r="L11" i="18"/>
  <c r="U11" i="18" s="1"/>
  <c r="R11" i="18"/>
  <c r="M11" i="18"/>
  <c r="V11" i="18" s="1"/>
  <c r="J11" i="18"/>
  <c r="S11" i="18" s="1"/>
  <c r="M22" i="18"/>
  <c r="V22" i="18" s="1"/>
  <c r="Q22" i="18"/>
  <c r="L22" i="18"/>
  <c r="U22" i="18" s="1"/>
  <c r="J22" i="18"/>
  <c r="S22" i="18" s="1"/>
  <c r="M13" i="18"/>
  <c r="V13" i="18" s="1"/>
  <c r="L13" i="18"/>
  <c r="U13" i="18" s="1"/>
  <c r="K13" i="18"/>
  <c r="T13" i="18" s="1"/>
  <c r="M14" i="18"/>
  <c r="V14" i="18" s="1"/>
  <c r="L14" i="18"/>
  <c r="U14" i="18" s="1"/>
  <c r="J14" i="18"/>
  <c r="S14" i="18" s="1"/>
  <c r="M29" i="18"/>
  <c r="V29" i="18" s="1"/>
  <c r="K29" i="18"/>
  <c r="T29" i="18" s="1"/>
  <c r="M42" i="18"/>
  <c r="V42" i="18" s="1"/>
  <c r="J42" i="18"/>
  <c r="S42" i="18" s="1"/>
  <c r="M55" i="18"/>
  <c r="V55" i="18" s="1"/>
  <c r="K55" i="18"/>
  <c r="T55" i="18" s="1"/>
  <c r="M64" i="18"/>
  <c r="V64" i="18" s="1"/>
  <c r="L64" i="18"/>
  <c r="U64" i="18" s="1"/>
  <c r="R64" i="18"/>
  <c r="J64" i="18"/>
  <c r="S64" i="18" s="1"/>
  <c r="M88" i="18"/>
  <c r="V88" i="18" s="1"/>
  <c r="L88" i="18"/>
  <c r="U88" i="18" s="1"/>
  <c r="R88" i="18"/>
  <c r="J88" i="18"/>
  <c r="S88" i="18" s="1"/>
  <c r="M102" i="18"/>
  <c r="V102" i="18" s="1"/>
  <c r="L102" i="18"/>
  <c r="U102" i="18" s="1"/>
  <c r="R102" i="18"/>
  <c r="J102" i="18"/>
  <c r="S102" i="18" s="1"/>
  <c r="R15" i="18"/>
  <c r="R24" i="18"/>
  <c r="Q24" i="18"/>
  <c r="M32" i="18"/>
  <c r="V32" i="18" s="1"/>
  <c r="K32" i="18"/>
  <c r="T32" i="18" s="1"/>
  <c r="M44" i="18"/>
  <c r="V44" i="18" s="1"/>
  <c r="L44" i="18"/>
  <c r="U44" i="18" s="1"/>
  <c r="Q78" i="18"/>
  <c r="J78" i="18"/>
  <c r="S78" i="18" s="1"/>
  <c r="M94" i="18"/>
  <c r="V94" i="18" s="1"/>
  <c r="J94" i="18"/>
  <c r="S94" i="18" s="1"/>
  <c r="Q94" i="18"/>
  <c r="L103" i="18"/>
  <c r="U103" i="18" s="1"/>
  <c r="K103" i="18"/>
  <c r="T103" i="18" s="1"/>
  <c r="L105" i="18"/>
  <c r="U105" i="18" s="1"/>
  <c r="J105" i="18"/>
  <c r="S105" i="18" s="1"/>
  <c r="M105" i="18"/>
  <c r="V105" i="18" s="1"/>
  <c r="M110" i="18"/>
  <c r="V110" i="18" s="1"/>
  <c r="L110" i="18"/>
  <c r="U110" i="18" s="1"/>
  <c r="R110" i="18"/>
  <c r="J110" i="18"/>
  <c r="S110" i="18" s="1"/>
  <c r="R7" i="18"/>
  <c r="Q12" i="18"/>
  <c r="J24" i="18"/>
  <c r="S24" i="18" s="1"/>
  <c r="R29" i="18"/>
  <c r="J32" i="18"/>
  <c r="S32" i="18" s="1"/>
  <c r="M34" i="18"/>
  <c r="V34" i="18" s="1"/>
  <c r="Q34" i="18"/>
  <c r="M36" i="18"/>
  <c r="V36" i="18" s="1"/>
  <c r="R36" i="18"/>
  <c r="J36" i="18"/>
  <c r="S36" i="18" s="1"/>
  <c r="K39" i="18"/>
  <c r="T39" i="18" s="1"/>
  <c r="K41" i="18"/>
  <c r="T41" i="18" s="1"/>
  <c r="L42" i="18"/>
  <c r="U42" i="18" s="1"/>
  <c r="J44" i="18"/>
  <c r="S44" i="18" s="1"/>
  <c r="M45" i="18"/>
  <c r="V45" i="18" s="1"/>
  <c r="K45" i="18"/>
  <c r="T45" i="18" s="1"/>
  <c r="M50" i="18"/>
  <c r="V50" i="18" s="1"/>
  <c r="J50" i="18"/>
  <c r="S50" i="18" s="1"/>
  <c r="Q50" i="18"/>
  <c r="R55" i="18"/>
  <c r="K64" i="18"/>
  <c r="T64" i="18" s="1"/>
  <c r="M68" i="18"/>
  <c r="V68" i="18" s="1"/>
  <c r="L68" i="18"/>
  <c r="U68" i="18" s="1"/>
  <c r="R68" i="18"/>
  <c r="J68" i="18"/>
  <c r="S68" i="18" s="1"/>
  <c r="K73" i="18"/>
  <c r="T73" i="18" s="1"/>
  <c r="M73" i="18"/>
  <c r="V73" i="18" s="1"/>
  <c r="M80" i="18"/>
  <c r="V80" i="18" s="1"/>
  <c r="L80" i="18"/>
  <c r="U80" i="18" s="1"/>
  <c r="R80" i="18"/>
  <c r="J80" i="18"/>
  <c r="S80" i="18" s="1"/>
  <c r="L83" i="18"/>
  <c r="U83" i="18" s="1"/>
  <c r="J83" i="18"/>
  <c r="S83" i="18" s="1"/>
  <c r="M83" i="18"/>
  <c r="V83" i="18" s="1"/>
  <c r="K88" i="18"/>
  <c r="T88" i="18" s="1"/>
  <c r="L94" i="18"/>
  <c r="U94" i="18" s="1"/>
  <c r="L101" i="18"/>
  <c r="U101" i="18" s="1"/>
  <c r="J101" i="18"/>
  <c r="S101" i="18" s="1"/>
  <c r="M101" i="18"/>
  <c r="V101" i="18" s="1"/>
  <c r="K102" i="18"/>
  <c r="T102" i="18" s="1"/>
  <c r="M103" i="18"/>
  <c r="V103" i="18" s="1"/>
  <c r="K105" i="18"/>
  <c r="T105" i="18" s="1"/>
  <c r="K110" i="18"/>
  <c r="T110" i="18" s="1"/>
  <c r="J7" i="18"/>
  <c r="S7" i="18" s="1"/>
  <c r="L8" i="18"/>
  <c r="U8" i="18" s="1"/>
  <c r="J10" i="18"/>
  <c r="S10" i="18" s="1"/>
  <c r="J12" i="18"/>
  <c r="S12" i="18" s="1"/>
  <c r="R12" i="18"/>
  <c r="J15" i="18"/>
  <c r="S15" i="18" s="1"/>
  <c r="L16" i="18"/>
  <c r="U16" i="18" s="1"/>
  <c r="J18" i="18"/>
  <c r="S18" i="18" s="1"/>
  <c r="L20" i="18"/>
  <c r="U20" i="18" s="1"/>
  <c r="K21" i="18"/>
  <c r="T21" i="18" s="1"/>
  <c r="K23" i="18"/>
  <c r="T23" i="18" s="1"/>
  <c r="K24" i="18"/>
  <c r="T24" i="18" s="1"/>
  <c r="M30" i="18"/>
  <c r="V30" i="18" s="1"/>
  <c r="L30" i="18"/>
  <c r="U30" i="18" s="1"/>
  <c r="M31" i="18"/>
  <c r="V31" i="18" s="1"/>
  <c r="K31" i="18"/>
  <c r="T31" i="18" s="1"/>
  <c r="L32" i="18"/>
  <c r="U32" i="18" s="1"/>
  <c r="J34" i="18"/>
  <c r="S34" i="18" s="1"/>
  <c r="K35" i="18"/>
  <c r="T35" i="18" s="1"/>
  <c r="K36" i="18"/>
  <c r="T36" i="18" s="1"/>
  <c r="K37" i="18"/>
  <c r="T37" i="18" s="1"/>
  <c r="R39" i="18"/>
  <c r="R41" i="18"/>
  <c r="Q42" i="18"/>
  <c r="K44" i="18"/>
  <c r="T44" i="18" s="1"/>
  <c r="R45" i="18"/>
  <c r="L50" i="18"/>
  <c r="U50" i="18" s="1"/>
  <c r="M53" i="18"/>
  <c r="V53" i="18" s="1"/>
  <c r="K53" i="18"/>
  <c r="T53" i="18" s="1"/>
  <c r="M58" i="18"/>
  <c r="V58" i="18" s="1"/>
  <c r="Q58" i="18"/>
  <c r="J58" i="18"/>
  <c r="S58" i="18" s="1"/>
  <c r="Q64" i="18"/>
  <c r="L67" i="18"/>
  <c r="U67" i="18" s="1"/>
  <c r="J67" i="18"/>
  <c r="S67" i="18" s="1"/>
  <c r="M67" i="18"/>
  <c r="V67" i="18" s="1"/>
  <c r="K68" i="18"/>
  <c r="T68" i="18" s="1"/>
  <c r="L73" i="18"/>
  <c r="U73" i="18" s="1"/>
  <c r="K80" i="18"/>
  <c r="T80" i="18" s="1"/>
  <c r="K83" i="18"/>
  <c r="T83" i="18" s="1"/>
  <c r="R85" i="18"/>
  <c r="K85" i="18"/>
  <c r="T85" i="18" s="1"/>
  <c r="Q88" i="18"/>
  <c r="K93" i="18"/>
  <c r="T93" i="18" s="1"/>
  <c r="R93" i="18"/>
  <c r="K101" i="18"/>
  <c r="T101" i="18" s="1"/>
  <c r="Q102" i="18"/>
  <c r="R105" i="18"/>
  <c r="Q110" i="18"/>
  <c r="M72" i="18"/>
  <c r="V72" i="18" s="1"/>
  <c r="R72" i="18"/>
  <c r="J72" i="18"/>
  <c r="S72" i="18" s="1"/>
  <c r="L72" i="18"/>
  <c r="U72" i="18" s="1"/>
  <c r="K7" i="18"/>
  <c r="T7" i="18" s="1"/>
  <c r="Q8" i="18"/>
  <c r="M10" i="18"/>
  <c r="V10" i="18" s="1"/>
  <c r="K12" i="18"/>
  <c r="T12" i="18" s="1"/>
  <c r="K15" i="18"/>
  <c r="T15" i="18" s="1"/>
  <c r="Q16" i="18"/>
  <c r="L18" i="18"/>
  <c r="U18" i="18" s="1"/>
  <c r="Q20" i="18"/>
  <c r="R21" i="18"/>
  <c r="R23" i="18"/>
  <c r="L24" i="18"/>
  <c r="U24" i="18" s="1"/>
  <c r="M26" i="18"/>
  <c r="V26" i="18" s="1"/>
  <c r="J26" i="18"/>
  <c r="S26" i="18" s="1"/>
  <c r="M28" i="18"/>
  <c r="V28" i="18" s="1"/>
  <c r="L28" i="18"/>
  <c r="U28" i="18" s="1"/>
  <c r="R28" i="18"/>
  <c r="Q32" i="18"/>
  <c r="L34" i="18"/>
  <c r="U34" i="18" s="1"/>
  <c r="R35" i="18"/>
  <c r="L36" i="18"/>
  <c r="U36" i="18" s="1"/>
  <c r="R37" i="18"/>
  <c r="Q44" i="18"/>
  <c r="M46" i="18"/>
  <c r="V46" i="18" s="1"/>
  <c r="L46" i="18"/>
  <c r="U46" i="18" s="1"/>
  <c r="M47" i="18"/>
  <c r="V47" i="18" s="1"/>
  <c r="K47" i="18"/>
  <c r="T47" i="18" s="1"/>
  <c r="M52" i="18"/>
  <c r="V52" i="18" s="1"/>
  <c r="L52" i="18"/>
  <c r="U52" i="18" s="1"/>
  <c r="R52" i="18"/>
  <c r="J52" i="18"/>
  <c r="S52" i="18" s="1"/>
  <c r="M66" i="18"/>
  <c r="V66" i="18" s="1"/>
  <c r="J66" i="18"/>
  <c r="S66" i="18" s="1"/>
  <c r="Q68" i="18"/>
  <c r="L70" i="18"/>
  <c r="U70" i="18" s="1"/>
  <c r="J70" i="18"/>
  <c r="S70" i="18" s="1"/>
  <c r="Q72" i="18"/>
  <c r="J74" i="18"/>
  <c r="S74" i="18" s="1"/>
  <c r="M74" i="18"/>
  <c r="V74" i="18" s="1"/>
  <c r="R77" i="18"/>
  <c r="K77" i="18"/>
  <c r="T77" i="18" s="1"/>
  <c r="Q80" i="18"/>
  <c r="R83" i="18"/>
  <c r="Q86" i="18"/>
  <c r="J86" i="18"/>
  <c r="S86" i="18" s="1"/>
  <c r="R101" i="18"/>
  <c r="M106" i="18"/>
  <c r="V106" i="18" s="1"/>
  <c r="L106" i="18"/>
  <c r="U106" i="18" s="1"/>
  <c r="R106" i="18"/>
  <c r="J106" i="18"/>
  <c r="S106" i="18" s="1"/>
  <c r="Q40" i="18"/>
  <c r="K48" i="18"/>
  <c r="T48" i="18" s="1"/>
  <c r="Q56" i="18"/>
  <c r="R59" i="18"/>
  <c r="K60" i="18"/>
  <c r="T60" i="18" s="1"/>
  <c r="M61" i="18"/>
  <c r="V61" i="18" s="1"/>
  <c r="M62" i="18"/>
  <c r="V62" i="18" s="1"/>
  <c r="M63" i="18"/>
  <c r="V63" i="18" s="1"/>
  <c r="M69" i="18"/>
  <c r="V69" i="18" s="1"/>
  <c r="K75" i="18"/>
  <c r="T75" i="18" s="1"/>
  <c r="Q76" i="18"/>
  <c r="Q84" i="18"/>
  <c r="K92" i="18"/>
  <c r="T92" i="18" s="1"/>
  <c r="K96" i="18"/>
  <c r="T96" i="18" s="1"/>
  <c r="L98" i="18"/>
  <c r="U98" i="18" s="1"/>
  <c r="M104" i="18"/>
  <c r="V104" i="18" s="1"/>
  <c r="L111" i="18"/>
  <c r="U111" i="18" s="1"/>
  <c r="Q48" i="18"/>
  <c r="Q60" i="18"/>
  <c r="R75" i="18"/>
  <c r="Q92" i="18"/>
  <c r="Q96" i="18"/>
  <c r="Q7" i="18"/>
  <c r="K11" i="18"/>
  <c r="T11" i="18" s="1"/>
  <c r="Q13" i="18"/>
  <c r="J13" i="18"/>
  <c r="S13" i="18" s="1"/>
  <c r="R13" i="18"/>
  <c r="R14" i="18"/>
  <c r="K14" i="18"/>
  <c r="T14" i="18" s="1"/>
  <c r="Q14" i="18"/>
  <c r="Q15" i="18"/>
  <c r="Q19" i="18"/>
  <c r="J19" i="18"/>
  <c r="S19" i="18" s="1"/>
  <c r="L19" i="18"/>
  <c r="U19" i="18" s="1"/>
  <c r="L25" i="18"/>
  <c r="U25" i="18" s="1"/>
  <c r="Q25" i="18"/>
  <c r="J25" i="18"/>
  <c r="S25" i="18" s="1"/>
  <c r="Q27" i="18"/>
  <c r="J27" i="18"/>
  <c r="S27" i="18" s="1"/>
  <c r="L27" i="18"/>
  <c r="U27" i="18" s="1"/>
  <c r="L33" i="18"/>
  <c r="U33" i="18" s="1"/>
  <c r="Q33" i="18"/>
  <c r="J33" i="18"/>
  <c r="S33" i="18" s="1"/>
  <c r="Q35" i="18"/>
  <c r="J35" i="18"/>
  <c r="S35" i="18" s="1"/>
  <c r="L35" i="18"/>
  <c r="U35" i="18" s="1"/>
  <c r="L41" i="18"/>
  <c r="U41" i="18" s="1"/>
  <c r="Q41" i="18"/>
  <c r="J41" i="18"/>
  <c r="S41" i="18" s="1"/>
  <c r="Q43" i="18"/>
  <c r="J43" i="18"/>
  <c r="S43" i="18" s="1"/>
  <c r="L43" i="18"/>
  <c r="U43" i="18" s="1"/>
  <c r="L49" i="18"/>
  <c r="U49" i="18" s="1"/>
  <c r="Q49" i="18"/>
  <c r="J49" i="18"/>
  <c r="S49" i="18" s="1"/>
  <c r="Q51" i="18"/>
  <c r="J51" i="18"/>
  <c r="S51" i="18" s="1"/>
  <c r="L51" i="18"/>
  <c r="U51" i="18" s="1"/>
  <c r="L57" i="18"/>
  <c r="U57" i="18" s="1"/>
  <c r="Q57" i="18"/>
  <c r="J57" i="18"/>
  <c r="S57" i="18" s="1"/>
  <c r="Q9" i="18"/>
  <c r="J9" i="18"/>
  <c r="S9" i="18" s="1"/>
  <c r="R9" i="18"/>
  <c r="R10" i="18"/>
  <c r="K10" i="18"/>
  <c r="T10" i="18" s="1"/>
  <c r="Q10" i="18"/>
  <c r="Q11" i="18"/>
  <c r="Q17" i="18"/>
  <c r="J17" i="18"/>
  <c r="S17" i="18" s="1"/>
  <c r="R17" i="18"/>
  <c r="L21" i="18"/>
  <c r="U21" i="18" s="1"/>
  <c r="Q21" i="18"/>
  <c r="J21" i="18"/>
  <c r="S21" i="18" s="1"/>
  <c r="Q23" i="18"/>
  <c r="J23" i="18"/>
  <c r="S23" i="18" s="1"/>
  <c r="L23" i="18"/>
  <c r="U23" i="18" s="1"/>
  <c r="L29" i="18"/>
  <c r="U29" i="18" s="1"/>
  <c r="Q29" i="18"/>
  <c r="J29" i="18"/>
  <c r="S29" i="18" s="1"/>
  <c r="Q31" i="18"/>
  <c r="J31" i="18"/>
  <c r="S31" i="18" s="1"/>
  <c r="L31" i="18"/>
  <c r="U31" i="18" s="1"/>
  <c r="L37" i="18"/>
  <c r="U37" i="18" s="1"/>
  <c r="Q37" i="18"/>
  <c r="J37" i="18"/>
  <c r="S37" i="18" s="1"/>
  <c r="Q39" i="18"/>
  <c r="J39" i="18"/>
  <c r="S39" i="18" s="1"/>
  <c r="L39" i="18"/>
  <c r="U39" i="18" s="1"/>
  <c r="L45" i="18"/>
  <c r="U45" i="18" s="1"/>
  <c r="Q45" i="18"/>
  <c r="J45" i="18"/>
  <c r="S45" i="18" s="1"/>
  <c r="Q47" i="18"/>
  <c r="J47" i="18"/>
  <c r="S47" i="18" s="1"/>
  <c r="L47" i="18"/>
  <c r="U47" i="18" s="1"/>
  <c r="L53" i="18"/>
  <c r="U53" i="18" s="1"/>
  <c r="Q53" i="18"/>
  <c r="J53" i="18"/>
  <c r="S53" i="18" s="1"/>
  <c r="Q55" i="18"/>
  <c r="J55" i="18"/>
  <c r="S55" i="18" s="1"/>
  <c r="L55" i="18"/>
  <c r="U55" i="18" s="1"/>
  <c r="K132" i="18"/>
  <c r="T128" i="18" s="1"/>
  <c r="R128" i="18"/>
  <c r="J132" i="18"/>
  <c r="S128" i="18" s="1"/>
  <c r="Q128" i="18"/>
  <c r="L132" i="18"/>
  <c r="U128" i="18" s="1"/>
  <c r="M132" i="18"/>
  <c r="V128" i="18" s="1"/>
  <c r="K18" i="18"/>
  <c r="T18" i="18" s="1"/>
  <c r="R18" i="18"/>
  <c r="K22" i="18"/>
  <c r="T22" i="18" s="1"/>
  <c r="R22" i="18"/>
  <c r="K26" i="18"/>
  <c r="T26" i="18" s="1"/>
  <c r="R26" i="18"/>
  <c r="K30" i="18"/>
  <c r="T30" i="18" s="1"/>
  <c r="R30" i="18"/>
  <c r="K34" i="18"/>
  <c r="T34" i="18" s="1"/>
  <c r="R34" i="18"/>
  <c r="K38" i="18"/>
  <c r="T38" i="18" s="1"/>
  <c r="R38" i="18"/>
  <c r="K42" i="18"/>
  <c r="T42" i="18" s="1"/>
  <c r="R42" i="18"/>
  <c r="K46" i="18"/>
  <c r="T46" i="18" s="1"/>
  <c r="R46" i="18"/>
  <c r="K50" i="18"/>
  <c r="T50" i="18" s="1"/>
  <c r="R50" i="18"/>
  <c r="K54" i="18"/>
  <c r="T54" i="18" s="1"/>
  <c r="R54" i="18"/>
  <c r="K58" i="18"/>
  <c r="T58" i="18" s="1"/>
  <c r="R58" i="18"/>
  <c r="Q59" i="18"/>
  <c r="K63" i="18"/>
  <c r="T63" i="18" s="1"/>
  <c r="Q65" i="18"/>
  <c r="J65" i="18"/>
  <c r="S65" i="18" s="1"/>
  <c r="R65" i="18"/>
  <c r="R66" i="18"/>
  <c r="K66" i="18"/>
  <c r="T66" i="18" s="1"/>
  <c r="Q66" i="18"/>
  <c r="Q67" i="18"/>
  <c r="K71" i="18"/>
  <c r="T71" i="18" s="1"/>
  <c r="Q73" i="18"/>
  <c r="J73" i="18"/>
  <c r="S73" i="18" s="1"/>
  <c r="R73" i="18"/>
  <c r="R74" i="18"/>
  <c r="K74" i="18"/>
  <c r="T74" i="18" s="1"/>
  <c r="Q74" i="18"/>
  <c r="L125" i="18"/>
  <c r="U121" i="18" s="1"/>
  <c r="K125" i="18"/>
  <c r="T121" i="18" s="1"/>
  <c r="R121" i="18"/>
  <c r="J125" i="18"/>
  <c r="S121" i="18" s="1"/>
  <c r="M125" i="18"/>
  <c r="V121" i="18" s="1"/>
  <c r="Q121" i="18"/>
  <c r="Q61" i="18"/>
  <c r="J61" i="18"/>
  <c r="S61" i="18" s="1"/>
  <c r="R61" i="18"/>
  <c r="R62" i="18"/>
  <c r="K62" i="18"/>
  <c r="T62" i="18" s="1"/>
  <c r="Q62" i="18"/>
  <c r="Q63" i="18"/>
  <c r="Q69" i="18"/>
  <c r="J69" i="18"/>
  <c r="S69" i="18" s="1"/>
  <c r="R69" i="18"/>
  <c r="R70" i="18"/>
  <c r="K70" i="18"/>
  <c r="T70" i="18" s="1"/>
  <c r="Q70" i="18"/>
  <c r="Q71" i="18"/>
  <c r="Q77" i="18"/>
  <c r="J77" i="18"/>
  <c r="S77" i="18" s="1"/>
  <c r="M77" i="18"/>
  <c r="V77" i="18" s="1"/>
  <c r="L77" i="18"/>
  <c r="U77" i="18" s="1"/>
  <c r="R78" i="18"/>
  <c r="K78" i="18"/>
  <c r="T78" i="18" s="1"/>
  <c r="M78" i="18"/>
  <c r="V78" i="18" s="1"/>
  <c r="L78" i="18"/>
  <c r="U78" i="18" s="1"/>
  <c r="L79" i="18"/>
  <c r="U79" i="18" s="1"/>
  <c r="M79" i="18"/>
  <c r="V79" i="18" s="1"/>
  <c r="K79" i="18"/>
  <c r="T79" i="18" s="1"/>
  <c r="Q85" i="18"/>
  <c r="J85" i="18"/>
  <c r="S85" i="18" s="1"/>
  <c r="M85" i="18"/>
  <c r="V85" i="18" s="1"/>
  <c r="L85" i="18"/>
  <c r="U85" i="18" s="1"/>
  <c r="R86" i="18"/>
  <c r="K86" i="18"/>
  <c r="T86" i="18" s="1"/>
  <c r="M86" i="18"/>
  <c r="V86" i="18" s="1"/>
  <c r="L86" i="18"/>
  <c r="U86" i="18" s="1"/>
  <c r="L87" i="18"/>
  <c r="U87" i="18" s="1"/>
  <c r="M87" i="18"/>
  <c r="V87" i="18" s="1"/>
  <c r="K87" i="18"/>
  <c r="T87" i="18" s="1"/>
  <c r="Q91" i="18"/>
  <c r="J91" i="18"/>
  <c r="S91" i="18" s="1"/>
  <c r="L91" i="18"/>
  <c r="U91" i="18" s="1"/>
  <c r="R91" i="18"/>
  <c r="M91" i="18"/>
  <c r="V91" i="18" s="1"/>
  <c r="L97" i="18"/>
  <c r="U97" i="18" s="1"/>
  <c r="Q97" i="18"/>
  <c r="J97" i="18"/>
  <c r="S97" i="18" s="1"/>
  <c r="R97" i="18"/>
  <c r="M97" i="18"/>
  <c r="V97" i="18" s="1"/>
  <c r="Q99" i="18"/>
  <c r="J99" i="18"/>
  <c r="S99" i="18" s="1"/>
  <c r="L99" i="18"/>
  <c r="U99" i="18" s="1"/>
  <c r="R99" i="18"/>
  <c r="M99" i="18"/>
  <c r="V99" i="18" s="1"/>
  <c r="K128" i="18"/>
  <c r="T124" i="18" s="1"/>
  <c r="R124" i="18"/>
  <c r="J128" i="18"/>
  <c r="S124" i="18" s="1"/>
  <c r="Q124" i="18"/>
  <c r="L128" i="18"/>
  <c r="U124" i="18" s="1"/>
  <c r="M128" i="18"/>
  <c r="V124" i="18" s="1"/>
  <c r="L75" i="18"/>
  <c r="U75" i="18" s="1"/>
  <c r="Q81" i="18"/>
  <c r="J81" i="18"/>
  <c r="S81" i="18" s="1"/>
  <c r="R81" i="18"/>
  <c r="R82" i="18"/>
  <c r="K82" i="18"/>
  <c r="T82" i="18" s="1"/>
  <c r="Q82" i="18"/>
  <c r="Q83" i="18"/>
  <c r="Q89" i="18"/>
  <c r="J89" i="18"/>
  <c r="S89" i="18" s="1"/>
  <c r="R89" i="18"/>
  <c r="L93" i="18"/>
  <c r="U93" i="18" s="1"/>
  <c r="Q93" i="18"/>
  <c r="J93" i="18"/>
  <c r="S93" i="18" s="1"/>
  <c r="Q95" i="18"/>
  <c r="J95" i="18"/>
  <c r="S95" i="18" s="1"/>
  <c r="L95" i="18"/>
  <c r="U95" i="18" s="1"/>
  <c r="R112" i="18"/>
  <c r="K112" i="18"/>
  <c r="T112" i="18" s="1"/>
  <c r="Q112" i="18"/>
  <c r="J112" i="18"/>
  <c r="S112" i="18" s="1"/>
  <c r="L112" i="18"/>
  <c r="U112" i="18" s="1"/>
  <c r="L109" i="18"/>
  <c r="U109" i="18" s="1"/>
  <c r="R109" i="18"/>
  <c r="K109" i="18"/>
  <c r="T109" i="18" s="1"/>
  <c r="Q109" i="18"/>
  <c r="J109" i="18"/>
  <c r="S109" i="18" s="1"/>
  <c r="K133" i="18"/>
  <c r="T129" i="18" s="1"/>
  <c r="J133" i="18"/>
  <c r="S129" i="18" s="1"/>
  <c r="R129" i="18"/>
  <c r="L133" i="18"/>
  <c r="U129" i="18" s="1"/>
  <c r="K90" i="18"/>
  <c r="T90" i="18" s="1"/>
  <c r="R90" i="18"/>
  <c r="K94" i="18"/>
  <c r="T94" i="18" s="1"/>
  <c r="R94" i="18"/>
  <c r="K98" i="18"/>
  <c r="T98" i="18" s="1"/>
  <c r="R98" i="18"/>
  <c r="R100" i="18"/>
  <c r="K100" i="18"/>
  <c r="T100" i="18" s="1"/>
  <c r="Q100" i="18"/>
  <c r="Q101" i="18"/>
  <c r="Q107" i="18"/>
  <c r="J107" i="18"/>
  <c r="S107" i="18" s="1"/>
  <c r="R107" i="18"/>
  <c r="R108" i="18"/>
  <c r="K108" i="18"/>
  <c r="T108" i="18" s="1"/>
  <c r="Q108" i="18"/>
  <c r="L129" i="18"/>
  <c r="U125" i="18" s="1"/>
  <c r="K129" i="18"/>
  <c r="T125" i="18" s="1"/>
  <c r="R125" i="18"/>
  <c r="Q103" i="18"/>
  <c r="J103" i="18"/>
  <c r="S103" i="18" s="1"/>
  <c r="R103" i="18"/>
  <c r="R104" i="18"/>
  <c r="K104" i="18"/>
  <c r="T104" i="18" s="1"/>
  <c r="Q104" i="18"/>
  <c r="Q105" i="18"/>
  <c r="L107" i="18"/>
  <c r="U107" i="18" s="1"/>
  <c r="L108" i="18"/>
  <c r="U108" i="18" s="1"/>
  <c r="L121" i="18"/>
  <c r="U117" i="18" s="1"/>
  <c r="K121" i="18"/>
  <c r="T117" i="18" s="1"/>
  <c r="K124" i="18"/>
  <c r="T120" i="18" s="1"/>
  <c r="R120" i="18"/>
  <c r="J124" i="18"/>
  <c r="S120" i="18" s="1"/>
  <c r="Q120" i="18"/>
  <c r="Q125" i="18"/>
  <c r="M129" i="18"/>
  <c r="V125" i="18" s="1"/>
  <c r="M111" i="18"/>
  <c r="V111" i="18" s="1"/>
  <c r="L122" i="18"/>
  <c r="U118" i="18" s="1"/>
  <c r="M123" i="18"/>
  <c r="V119" i="18" s="1"/>
  <c r="L126" i="18"/>
  <c r="U122" i="18" s="1"/>
  <c r="M127" i="18"/>
  <c r="V123" i="18" s="1"/>
  <c r="M131" i="18"/>
  <c r="V127" i="18" s="1"/>
  <c r="J111" i="18"/>
  <c r="S111" i="18" s="1"/>
  <c r="R73" i="1"/>
  <c r="R72" i="1"/>
  <c r="R23" i="1"/>
  <c r="R230" i="1"/>
  <c r="R17" i="1"/>
  <c r="R16" i="1"/>
  <c r="R228" i="1"/>
  <c r="R330" i="1"/>
  <c r="R4" i="1"/>
  <c r="R247" i="1"/>
  <c r="R246" i="1"/>
  <c r="R252" i="1"/>
  <c r="R256" i="1"/>
  <c r="R41" i="1"/>
  <c r="R189" i="1"/>
  <c r="R212" i="1"/>
  <c r="R211" i="1"/>
  <c r="R38" i="1"/>
  <c r="R11" i="15"/>
  <c r="B3" i="15"/>
  <c r="C3" i="15"/>
  <c r="D3" i="15"/>
  <c r="L3" i="15"/>
  <c r="M3" i="15"/>
  <c r="N3" i="15" s="1"/>
  <c r="C31" i="1"/>
  <c r="O31" i="1"/>
  <c r="P31" i="1" s="1"/>
  <c r="Q31" i="1" s="1"/>
  <c r="C118" i="1"/>
  <c r="O118" i="1"/>
  <c r="P118" i="1" s="1"/>
  <c r="Q118" i="1" s="1"/>
  <c r="C266" i="1"/>
  <c r="O266" i="1"/>
  <c r="P266" i="1" s="1"/>
  <c r="Q266" i="1" s="1"/>
  <c r="C239" i="1"/>
  <c r="O239" i="1"/>
  <c r="P239" i="1" s="1"/>
  <c r="Q239" i="1" s="1"/>
  <c r="C172" i="1"/>
  <c r="O172" i="1"/>
  <c r="P172" i="1" s="1"/>
  <c r="Q172" i="1" s="1"/>
  <c r="C131" i="1"/>
  <c r="O131" i="1"/>
  <c r="P131" i="1" s="1"/>
  <c r="Q131" i="1" s="1"/>
  <c r="C309" i="1"/>
  <c r="O309" i="1"/>
  <c r="P309" i="1" s="1"/>
  <c r="Q309" i="1" s="1"/>
  <c r="C236" i="1"/>
  <c r="O236" i="1"/>
  <c r="P236" i="1" s="1"/>
  <c r="Q236" i="1" s="1"/>
  <c r="C183" i="1"/>
  <c r="O183" i="1"/>
  <c r="P183" i="1" s="1"/>
  <c r="Q183" i="1" s="1"/>
  <c r="C113" i="1"/>
  <c r="O113" i="1"/>
  <c r="P113" i="1" s="1"/>
  <c r="Q113" i="1" s="1"/>
  <c r="C112" i="1"/>
  <c r="O112" i="1"/>
  <c r="P112" i="1" s="1"/>
  <c r="Q112" i="1" s="1"/>
  <c r="C10" i="1"/>
  <c r="O10" i="1"/>
  <c r="P10" i="1" s="1"/>
  <c r="Q10" i="1" s="1"/>
  <c r="C204" i="1"/>
  <c r="O204" i="1"/>
  <c r="P204" i="1" s="1"/>
  <c r="Q204" i="1" s="1"/>
  <c r="R204" i="1" s="1"/>
  <c r="C203" i="1"/>
  <c r="O203" i="1"/>
  <c r="P203" i="1" s="1"/>
  <c r="Q203" i="1" s="1"/>
  <c r="R203" i="1" s="1"/>
  <c r="C135" i="1"/>
  <c r="O135" i="1"/>
  <c r="P135" i="1" s="1"/>
  <c r="Q135" i="1"/>
  <c r="R135" i="1" s="1"/>
  <c r="C134" i="1"/>
  <c r="O134" i="1"/>
  <c r="P134" i="1" s="1"/>
  <c r="Q134" i="1"/>
  <c r="R134" i="1" s="1"/>
  <c r="C187" i="1"/>
  <c r="O187" i="1"/>
  <c r="P187" i="1" s="1"/>
  <c r="Q187" i="1" s="1"/>
  <c r="R187" i="1" s="1"/>
  <c r="C186" i="1"/>
  <c r="O186" i="1"/>
  <c r="P186" i="1" s="1"/>
  <c r="Q186" i="1" s="1"/>
  <c r="R186" i="1" s="1"/>
  <c r="C70" i="1"/>
  <c r="O70" i="1"/>
  <c r="P70" i="1" s="1"/>
  <c r="Q70" i="1"/>
  <c r="R70" i="1" s="1"/>
  <c r="C69" i="1"/>
  <c r="O69" i="1"/>
  <c r="P69" i="1" s="1"/>
  <c r="Q69" i="1"/>
  <c r="R69" i="1" s="1"/>
  <c r="C298" i="1"/>
  <c r="O298" i="1"/>
  <c r="P298" i="1" s="1"/>
  <c r="Q298" i="1" s="1"/>
  <c r="R298" i="1" s="1"/>
  <c r="C297" i="1"/>
  <c r="O297" i="1"/>
  <c r="P297" i="1" s="1"/>
  <c r="Q297" i="1" s="1"/>
  <c r="R297" i="1" s="1"/>
  <c r="C249" i="1"/>
  <c r="O249" i="1"/>
  <c r="P249" i="1" s="1"/>
  <c r="Q249" i="1" s="1"/>
  <c r="R249" i="1" s="1"/>
  <c r="C248" i="1"/>
  <c r="O248" i="1"/>
  <c r="P248" i="1" s="1"/>
  <c r="Q248" i="1" s="1"/>
  <c r="R248" i="1" s="1"/>
  <c r="C234" i="1"/>
  <c r="O234" i="1"/>
  <c r="P234" i="1" s="1"/>
  <c r="Q234" i="1"/>
  <c r="R234" i="1" s="1"/>
  <c r="C233" i="1"/>
  <c r="O233" i="1"/>
  <c r="P233" i="1" s="1"/>
  <c r="Q233" i="1"/>
  <c r="R233" i="1" s="1"/>
  <c r="C263" i="1"/>
  <c r="O263" i="1"/>
  <c r="P263" i="1" s="1"/>
  <c r="Q263" i="1" s="1"/>
  <c r="R263" i="1" s="1"/>
  <c r="C164" i="1"/>
  <c r="O164" i="1"/>
  <c r="P164" i="1" s="1"/>
  <c r="Q164" i="1" s="1"/>
  <c r="R164" i="1" s="1"/>
  <c r="C300" i="1"/>
  <c r="O300" i="1"/>
  <c r="P300" i="1" s="1"/>
  <c r="Q300" i="1"/>
  <c r="R300" i="1" s="1"/>
  <c r="C208" i="1"/>
  <c r="O208" i="1"/>
  <c r="P208" i="1" s="1"/>
  <c r="Q208" i="1" s="1"/>
  <c r="R208" i="1" s="1"/>
  <c r="C171" i="1"/>
  <c r="O171" i="1"/>
  <c r="P171" i="1" s="1"/>
  <c r="Q171" i="1"/>
  <c r="R171" i="1" s="1"/>
  <c r="C232" i="1"/>
  <c r="O232" i="1"/>
  <c r="P232" i="1" s="1"/>
  <c r="Q232" i="1"/>
  <c r="R232" i="1" s="1"/>
  <c r="C231" i="1"/>
  <c r="O231" i="1"/>
  <c r="P231" i="1" s="1"/>
  <c r="Q231" i="1"/>
  <c r="R231" i="1" s="1"/>
  <c r="C295" i="1"/>
  <c r="O295" i="1"/>
  <c r="P295" i="1" s="1"/>
  <c r="Q295" i="1"/>
  <c r="R295" i="1" s="1"/>
  <c r="C294" i="1"/>
  <c r="O294" i="1"/>
  <c r="P294" i="1" s="1"/>
  <c r="Q294" i="1"/>
  <c r="R294" i="1" s="1"/>
  <c r="C293" i="1"/>
  <c r="O293" i="1"/>
  <c r="P293" i="1" s="1"/>
  <c r="Q293" i="1"/>
  <c r="R293" i="1" s="1"/>
  <c r="C227" i="1"/>
  <c r="O227" i="1"/>
  <c r="P227" i="1" s="1"/>
  <c r="Q227" i="1"/>
  <c r="R227" i="1" s="1"/>
  <c r="C328" i="1"/>
  <c r="O328" i="1"/>
  <c r="P328" i="1" s="1"/>
  <c r="Q328" i="1" s="1"/>
  <c r="R328" i="1" s="1"/>
  <c r="C78" i="1"/>
  <c r="O78" i="1"/>
  <c r="P78" i="1" s="1"/>
  <c r="Q78" i="1"/>
  <c r="R78" i="1" s="1"/>
  <c r="C238" i="1"/>
  <c r="O238" i="1"/>
  <c r="P238" i="1" s="1"/>
  <c r="Q238" i="1"/>
  <c r="R238" i="1" s="1"/>
  <c r="C170" i="1"/>
  <c r="O170" i="1"/>
  <c r="P170" i="1" s="1"/>
  <c r="Q170" i="1"/>
  <c r="R170" i="1" s="1"/>
  <c r="C273" i="1"/>
  <c r="O273" i="1"/>
  <c r="P273" i="1" s="1"/>
  <c r="Q273" i="1"/>
  <c r="R273" i="1" s="1"/>
  <c r="C182" i="1"/>
  <c r="O182" i="1"/>
  <c r="P182" i="1" s="1"/>
  <c r="Q182" i="1"/>
  <c r="R182" i="1" s="1"/>
  <c r="C313" i="1"/>
  <c r="O313" i="1"/>
  <c r="P313" i="1" s="1"/>
  <c r="Q313" i="1"/>
  <c r="R313" i="1" s="1"/>
  <c r="C312" i="1"/>
  <c r="O312" i="1"/>
  <c r="P312" i="1" s="1"/>
  <c r="Q312" i="1"/>
  <c r="R312" i="1" s="1"/>
  <c r="C311" i="1"/>
  <c r="O311" i="1"/>
  <c r="P311" i="1" s="1"/>
  <c r="Q311" i="1"/>
  <c r="R311" i="1" s="1"/>
  <c r="C255" i="1"/>
  <c r="O255" i="1"/>
  <c r="P255" i="1" s="1"/>
  <c r="Q255" i="1" s="1"/>
  <c r="R255" i="1" s="1"/>
  <c r="C315" i="1"/>
  <c r="O315" i="1"/>
  <c r="P315" i="1" s="1"/>
  <c r="Q315" i="1" s="1"/>
  <c r="R315" i="1" s="1"/>
  <c r="C138" i="1"/>
  <c r="O138" i="1"/>
  <c r="P138" i="1" s="1"/>
  <c r="Q138" i="1" s="1"/>
  <c r="R138" i="1" s="1"/>
  <c r="C137" i="1"/>
  <c r="O137" i="1"/>
  <c r="P137" i="1" s="1"/>
  <c r="Q137" i="1" s="1"/>
  <c r="R137" i="1" s="1"/>
  <c r="C224" i="1"/>
  <c r="O224" i="1"/>
  <c r="P224" i="1" s="1"/>
  <c r="Q224" i="1"/>
  <c r="R224" i="1" s="1"/>
  <c r="C223" i="1"/>
  <c r="O223" i="1"/>
  <c r="P223" i="1" s="1"/>
  <c r="Q223" i="1"/>
  <c r="R223" i="1" s="1"/>
  <c r="C166" i="1"/>
  <c r="C167" i="1"/>
  <c r="O166" i="1"/>
  <c r="P166" i="1" s="1"/>
  <c r="O167" i="1"/>
  <c r="P167" i="1" s="1"/>
  <c r="Q166" i="1"/>
  <c r="R166" i="1" s="1"/>
  <c r="Q167" i="1"/>
  <c r="R167" i="1" s="1"/>
  <c r="C180" i="1"/>
  <c r="O180" i="1"/>
  <c r="P180" i="1" s="1"/>
  <c r="Q180" i="1" s="1"/>
  <c r="R180" i="1" s="1"/>
  <c r="C179" i="1"/>
  <c r="O179" i="1"/>
  <c r="P179" i="1" s="1"/>
  <c r="Q179" i="1" s="1"/>
  <c r="R179" i="1" s="1"/>
  <c r="C178" i="1"/>
  <c r="O178" i="1"/>
  <c r="P178" i="1" s="1"/>
  <c r="Q178" i="1" s="1"/>
  <c r="R178" i="1" s="1"/>
  <c r="C177" i="1"/>
  <c r="O177" i="1"/>
  <c r="P177" i="1" s="1"/>
  <c r="Q177" i="1" s="1"/>
  <c r="R177" i="1" s="1"/>
  <c r="C327" i="1"/>
  <c r="O327" i="1"/>
  <c r="P327" i="1" s="1"/>
  <c r="Q327" i="1"/>
  <c r="R327" i="1" s="1"/>
  <c r="C326" i="1"/>
  <c r="O326" i="1"/>
  <c r="P326" i="1" s="1"/>
  <c r="Q326" i="1"/>
  <c r="R326" i="1" s="1"/>
  <c r="C325" i="1"/>
  <c r="O325" i="1"/>
  <c r="P325" i="1" s="1"/>
  <c r="Q325" i="1"/>
  <c r="R325" i="1" s="1"/>
  <c r="C126" i="1"/>
  <c r="O126" i="1"/>
  <c r="P126" i="1" s="1"/>
  <c r="Q126" i="1" s="1"/>
  <c r="R126" i="1" s="1"/>
  <c r="C243" i="1"/>
  <c r="O243" i="1"/>
  <c r="P243" i="1" s="1"/>
  <c r="Q243" i="1"/>
  <c r="R243" i="1" s="1"/>
  <c r="C281" i="1"/>
  <c r="O281" i="1"/>
  <c r="P281" i="1" s="1"/>
  <c r="Q281" i="1"/>
  <c r="R281" i="1" s="1"/>
  <c r="C280" i="1"/>
  <c r="O280" i="1"/>
  <c r="P280" i="1" s="1"/>
  <c r="Q280" i="1"/>
  <c r="R280" i="1" s="1"/>
  <c r="C240" i="1"/>
  <c r="O240" i="1"/>
  <c r="P240" i="1" s="1"/>
  <c r="Q240" i="1"/>
  <c r="R240" i="1" s="1"/>
  <c r="C258" i="1"/>
  <c r="O258" i="1"/>
  <c r="P258" i="1" s="1"/>
  <c r="Q258" i="1"/>
  <c r="R258" i="1" s="1"/>
  <c r="C198" i="1"/>
  <c r="O198" i="1"/>
  <c r="P198" i="1" s="1"/>
  <c r="Q198" i="1"/>
  <c r="R198" i="1" s="1"/>
  <c r="C26" i="1"/>
  <c r="O26" i="1"/>
  <c r="P26" i="1" s="1"/>
  <c r="Q26" i="1" s="1"/>
  <c r="R26" i="1" s="1"/>
  <c r="C317" i="1"/>
  <c r="O317" i="1"/>
  <c r="P317" i="1" s="1"/>
  <c r="Q317" i="1" s="1"/>
  <c r="R317" i="1" s="1"/>
  <c r="C292" i="1"/>
  <c r="O292" i="1"/>
  <c r="P292" i="1" s="1"/>
  <c r="Q292" i="1" s="1"/>
  <c r="R292" i="1" s="1"/>
  <c r="C308" i="1"/>
  <c r="O308" i="1"/>
  <c r="P308" i="1" s="1"/>
  <c r="Q308" i="1"/>
  <c r="R308" i="1" s="1"/>
  <c r="C307" i="1"/>
  <c r="O307" i="1"/>
  <c r="P307" i="1" s="1"/>
  <c r="Q307" i="1"/>
  <c r="R307" i="1" s="1"/>
  <c r="C217" i="1"/>
  <c r="O217" i="1"/>
  <c r="P217" i="1" s="1"/>
  <c r="Q217" i="1" s="1"/>
  <c r="R217" i="1" s="1"/>
  <c r="C190" i="1"/>
  <c r="O190" i="1"/>
  <c r="P190" i="1" s="1"/>
  <c r="Q190" i="1" s="1"/>
  <c r="R190" i="1" s="1"/>
  <c r="F200" i="1"/>
  <c r="F199" i="1"/>
  <c r="C259" i="1"/>
  <c r="O259" i="1"/>
  <c r="P259" i="1" s="1"/>
  <c r="Q259" i="1" s="1"/>
  <c r="R259" i="1" s="1"/>
  <c r="C289" i="1"/>
  <c r="O289" i="1"/>
  <c r="P289" i="1" s="1"/>
  <c r="Q289" i="1" s="1"/>
  <c r="R289" i="1" s="1"/>
  <c r="C284" i="1"/>
  <c r="O284" i="1"/>
  <c r="P284" i="1" s="1"/>
  <c r="Q284" i="1" s="1"/>
  <c r="R284" i="1" s="1"/>
  <c r="C283" i="1"/>
  <c r="O283" i="1"/>
  <c r="P283" i="1" s="1"/>
  <c r="Q283" i="1" s="1"/>
  <c r="R283" i="1" s="1"/>
  <c r="C282" i="1"/>
  <c r="O282" i="1"/>
  <c r="P282" i="1" s="1"/>
  <c r="Q282" i="1" s="1"/>
  <c r="R282" i="1" s="1"/>
  <c r="C40" i="1"/>
  <c r="O40" i="1"/>
  <c r="P40" i="1" s="1"/>
  <c r="Q40" i="1" s="1"/>
  <c r="R40" i="1" s="1"/>
  <c r="C43" i="1"/>
  <c r="O43" i="1"/>
  <c r="P43" i="1" s="1"/>
  <c r="Q43" i="1"/>
  <c r="R43" i="1" s="1"/>
  <c r="C42" i="1"/>
  <c r="O42" i="1"/>
  <c r="P42" i="1" s="1"/>
  <c r="Q42" i="1"/>
  <c r="R42" i="1" s="1"/>
  <c r="C33" i="1"/>
  <c r="O33" i="1"/>
  <c r="P33" i="1" s="1"/>
  <c r="Q33" i="1"/>
  <c r="R33" i="1" s="1"/>
  <c r="C32" i="1"/>
  <c r="O32" i="1"/>
  <c r="P32" i="1" s="1"/>
  <c r="Q32" i="1"/>
  <c r="R32" i="1" s="1"/>
  <c r="C192" i="1"/>
  <c r="O192" i="1"/>
  <c r="P192" i="1" s="1"/>
  <c r="Q192" i="1"/>
  <c r="R192" i="1" s="1"/>
  <c r="C191" i="1"/>
  <c r="O191" i="1"/>
  <c r="P191" i="1" s="1"/>
  <c r="Q191" i="1"/>
  <c r="R191" i="1" s="1"/>
  <c r="C132" i="1"/>
  <c r="O132" i="1"/>
  <c r="P132" i="1" s="1"/>
  <c r="Q132" i="1" s="1"/>
  <c r="R132" i="1" s="1"/>
  <c r="M172" i="17"/>
  <c r="L172" i="17"/>
  <c r="K172" i="17"/>
  <c r="T156" i="17" s="1"/>
  <c r="J172" i="17"/>
  <c r="S156" i="17" s="1"/>
  <c r="M171" i="17"/>
  <c r="V155" i="17" s="1"/>
  <c r="L171" i="17"/>
  <c r="K171" i="17"/>
  <c r="T155" i="17" s="1"/>
  <c r="J171" i="17"/>
  <c r="S155" i="17" s="1"/>
  <c r="M170" i="17"/>
  <c r="V154" i="17" s="1"/>
  <c r="L170" i="17"/>
  <c r="K170" i="17"/>
  <c r="T154" i="17" s="1"/>
  <c r="J170" i="17"/>
  <c r="M169" i="17"/>
  <c r="L169" i="17"/>
  <c r="K169" i="17"/>
  <c r="T153" i="17" s="1"/>
  <c r="J169" i="17"/>
  <c r="M168" i="17"/>
  <c r="L168" i="17"/>
  <c r="K168" i="17"/>
  <c r="T152" i="17" s="1"/>
  <c r="J168" i="17"/>
  <c r="S152" i="17" s="1"/>
  <c r="M167" i="17"/>
  <c r="V151" i="17" s="1"/>
  <c r="L167" i="17"/>
  <c r="K167" i="17"/>
  <c r="T151" i="17" s="1"/>
  <c r="J167" i="17"/>
  <c r="S151" i="17" s="1"/>
  <c r="M166" i="17"/>
  <c r="V150" i="17" s="1"/>
  <c r="L166" i="17"/>
  <c r="K166" i="17"/>
  <c r="T150" i="17" s="1"/>
  <c r="J166" i="17"/>
  <c r="M165" i="17"/>
  <c r="V149" i="17" s="1"/>
  <c r="L165" i="17"/>
  <c r="K165" i="17"/>
  <c r="T149" i="17" s="1"/>
  <c r="J165" i="17"/>
  <c r="M164" i="17"/>
  <c r="V148" i="17" s="1"/>
  <c r="L164" i="17"/>
  <c r="K164" i="17"/>
  <c r="T148" i="17" s="1"/>
  <c r="J164" i="17"/>
  <c r="S148" i="17" s="1"/>
  <c r="M163" i="17"/>
  <c r="V147" i="17" s="1"/>
  <c r="L163" i="17"/>
  <c r="K163" i="17"/>
  <c r="T147" i="17" s="1"/>
  <c r="J163" i="17"/>
  <c r="S147" i="17" s="1"/>
  <c r="M162" i="17"/>
  <c r="L162" i="17"/>
  <c r="K162" i="17"/>
  <c r="T146" i="17" s="1"/>
  <c r="J162" i="17"/>
  <c r="M161" i="17"/>
  <c r="V145" i="17" s="1"/>
  <c r="L161" i="17"/>
  <c r="K161" i="17"/>
  <c r="T145" i="17" s="1"/>
  <c r="J161" i="17"/>
  <c r="M160" i="17"/>
  <c r="V144" i="17" s="1"/>
  <c r="L160" i="17"/>
  <c r="K160" i="17"/>
  <c r="T144" i="17" s="1"/>
  <c r="J160" i="17"/>
  <c r="S144" i="17" s="1"/>
  <c r="M159" i="17"/>
  <c r="V143" i="17" s="1"/>
  <c r="L159" i="17"/>
  <c r="K159" i="17"/>
  <c r="T143" i="17" s="1"/>
  <c r="J159" i="17"/>
  <c r="S143" i="17" s="1"/>
  <c r="V158" i="17"/>
  <c r="U158" i="17"/>
  <c r="T158" i="17"/>
  <c r="S158" i="17"/>
  <c r="R158" i="17"/>
  <c r="Q158" i="17"/>
  <c r="P158" i="17"/>
  <c r="M158" i="17"/>
  <c r="V142" i="17" s="1"/>
  <c r="L158" i="17"/>
  <c r="U142" i="17" s="1"/>
  <c r="K158" i="17"/>
  <c r="J158" i="17"/>
  <c r="S142" i="17" s="1"/>
  <c r="V157" i="17"/>
  <c r="U157" i="17"/>
  <c r="T157" i="17"/>
  <c r="S157" i="17"/>
  <c r="R157" i="17"/>
  <c r="Q157" i="17"/>
  <c r="P157" i="17"/>
  <c r="M157" i="17"/>
  <c r="V141" i="17" s="1"/>
  <c r="L157" i="17"/>
  <c r="U141" i="17" s="1"/>
  <c r="K157" i="17"/>
  <c r="T141" i="17" s="1"/>
  <c r="J157" i="17"/>
  <c r="V156" i="17"/>
  <c r="U156" i="17"/>
  <c r="R156" i="17"/>
  <c r="Q156" i="17"/>
  <c r="P156" i="17"/>
  <c r="M156" i="17"/>
  <c r="L156" i="17"/>
  <c r="U140" i="17" s="1"/>
  <c r="K156" i="17"/>
  <c r="T140" i="17" s="1"/>
  <c r="J156" i="17"/>
  <c r="S140" i="17" s="1"/>
  <c r="U155" i="17"/>
  <c r="R155" i="17"/>
  <c r="Q155" i="17"/>
  <c r="P155" i="17"/>
  <c r="M155" i="17"/>
  <c r="V139" i="17" s="1"/>
  <c r="L155" i="17"/>
  <c r="U139" i="17" s="1"/>
  <c r="K155" i="17"/>
  <c r="J155" i="17"/>
  <c r="S139" i="17" s="1"/>
  <c r="U154" i="17"/>
  <c r="S154" i="17"/>
  <c r="R154" i="17"/>
  <c r="Q154" i="17"/>
  <c r="P154" i="17"/>
  <c r="M154" i="17"/>
  <c r="V138" i="17" s="1"/>
  <c r="L154" i="17"/>
  <c r="U138" i="17" s="1"/>
  <c r="K154" i="17"/>
  <c r="J154" i="17"/>
  <c r="S138" i="17" s="1"/>
  <c r="V153" i="17"/>
  <c r="U153" i="17"/>
  <c r="S153" i="17"/>
  <c r="R153" i="17"/>
  <c r="Q153" i="17"/>
  <c r="P153" i="17"/>
  <c r="M153" i="17"/>
  <c r="L153" i="17"/>
  <c r="U137" i="17" s="1"/>
  <c r="K153" i="17"/>
  <c r="T137" i="17" s="1"/>
  <c r="J153" i="17"/>
  <c r="V152" i="17"/>
  <c r="U152" i="17"/>
  <c r="R152" i="17"/>
  <c r="Q152" i="17"/>
  <c r="P152" i="17"/>
  <c r="M152" i="17"/>
  <c r="L152" i="17"/>
  <c r="U136" i="17" s="1"/>
  <c r="K152" i="17"/>
  <c r="T136" i="17" s="1"/>
  <c r="J152" i="17"/>
  <c r="S136" i="17" s="1"/>
  <c r="U151" i="17"/>
  <c r="R151" i="17"/>
  <c r="Q151" i="17"/>
  <c r="P151" i="17"/>
  <c r="M151" i="17"/>
  <c r="V135" i="17" s="1"/>
  <c r="L151" i="17"/>
  <c r="U135" i="17" s="1"/>
  <c r="K151" i="17"/>
  <c r="J151" i="17"/>
  <c r="S135" i="17" s="1"/>
  <c r="U150" i="17"/>
  <c r="S150" i="17"/>
  <c r="R150" i="17"/>
  <c r="Q150" i="17"/>
  <c r="P150" i="17"/>
  <c r="M150" i="17"/>
  <c r="V134" i="17" s="1"/>
  <c r="L150" i="17"/>
  <c r="U134" i="17" s="1"/>
  <c r="K150" i="17"/>
  <c r="J150" i="17"/>
  <c r="S134" i="17" s="1"/>
  <c r="U149" i="17"/>
  <c r="S149" i="17"/>
  <c r="R149" i="17"/>
  <c r="Q149" i="17"/>
  <c r="P149" i="17"/>
  <c r="M149" i="17"/>
  <c r="L149" i="17"/>
  <c r="U133" i="17" s="1"/>
  <c r="K149" i="17"/>
  <c r="T133" i="17" s="1"/>
  <c r="J149" i="17"/>
  <c r="U148" i="17"/>
  <c r="R148" i="17"/>
  <c r="Q148" i="17"/>
  <c r="P148" i="17"/>
  <c r="M148" i="17"/>
  <c r="V132" i="17" s="1"/>
  <c r="L148" i="17"/>
  <c r="U132" i="17" s="1"/>
  <c r="K148" i="17"/>
  <c r="T132" i="17" s="1"/>
  <c r="J148" i="17"/>
  <c r="U147" i="17"/>
  <c r="R147" i="17"/>
  <c r="Q147" i="17"/>
  <c r="P147" i="17"/>
  <c r="M147" i="17"/>
  <c r="L147" i="17"/>
  <c r="K147" i="17"/>
  <c r="J147" i="17"/>
  <c r="V146" i="17"/>
  <c r="U146" i="17"/>
  <c r="S146" i="17"/>
  <c r="R146" i="17"/>
  <c r="Q146" i="17"/>
  <c r="P146" i="17"/>
  <c r="M146" i="17"/>
  <c r="L146" i="17"/>
  <c r="K146" i="17"/>
  <c r="J146" i="17"/>
  <c r="U145" i="17"/>
  <c r="S145" i="17"/>
  <c r="R145" i="17"/>
  <c r="Q145" i="17"/>
  <c r="P145" i="17"/>
  <c r="M145" i="17"/>
  <c r="L145" i="17"/>
  <c r="K145" i="17"/>
  <c r="J145" i="17"/>
  <c r="U144" i="17"/>
  <c r="R144" i="17"/>
  <c r="Q144" i="17"/>
  <c r="P144" i="17"/>
  <c r="M144" i="17"/>
  <c r="L144" i="17"/>
  <c r="K144" i="17"/>
  <c r="J144" i="17"/>
  <c r="U143" i="17"/>
  <c r="R143" i="17"/>
  <c r="Q143" i="17"/>
  <c r="P143" i="17"/>
  <c r="M143" i="17"/>
  <c r="L143" i="17"/>
  <c r="K143" i="17"/>
  <c r="J143" i="17"/>
  <c r="T142" i="17"/>
  <c r="R142" i="17"/>
  <c r="Q142" i="17"/>
  <c r="P142" i="17"/>
  <c r="M142" i="17"/>
  <c r="L142" i="17"/>
  <c r="K142" i="17"/>
  <c r="J142" i="17"/>
  <c r="S141" i="17"/>
  <c r="R141" i="17"/>
  <c r="Q141" i="17"/>
  <c r="P141" i="17"/>
  <c r="M141" i="17"/>
  <c r="L141" i="17"/>
  <c r="K141" i="17"/>
  <c r="J141" i="17"/>
  <c r="V140" i="17"/>
  <c r="R140" i="17"/>
  <c r="Q140" i="17"/>
  <c r="P140" i="17"/>
  <c r="M140" i="17"/>
  <c r="L140" i="17"/>
  <c r="K140" i="17"/>
  <c r="J140" i="17"/>
  <c r="T139" i="17"/>
  <c r="R139" i="17"/>
  <c r="Q139" i="17"/>
  <c r="P139" i="17"/>
  <c r="M139" i="17"/>
  <c r="L139" i="17"/>
  <c r="K139" i="17"/>
  <c r="J139" i="17"/>
  <c r="T138" i="17"/>
  <c r="R138" i="17"/>
  <c r="Q138" i="17"/>
  <c r="P138" i="17"/>
  <c r="M138" i="17"/>
  <c r="L138" i="17"/>
  <c r="K138" i="17"/>
  <c r="J138" i="17"/>
  <c r="V137" i="17"/>
  <c r="S137" i="17"/>
  <c r="R137" i="17"/>
  <c r="Q137" i="17"/>
  <c r="P137" i="17"/>
  <c r="M137" i="17"/>
  <c r="L137" i="17"/>
  <c r="K137" i="17"/>
  <c r="J137" i="17"/>
  <c r="V136" i="17"/>
  <c r="R136" i="17"/>
  <c r="Q136" i="17"/>
  <c r="P136" i="17"/>
  <c r="M136" i="17"/>
  <c r="L136" i="17"/>
  <c r="K136" i="17"/>
  <c r="J136" i="17"/>
  <c r="T135" i="17"/>
  <c r="R135" i="17"/>
  <c r="Q135" i="17"/>
  <c r="P135" i="17"/>
  <c r="M135" i="17"/>
  <c r="V131" i="17" s="1"/>
  <c r="L135" i="17"/>
  <c r="U131" i="17" s="1"/>
  <c r="K135" i="17"/>
  <c r="T131" i="17" s="1"/>
  <c r="J135" i="17"/>
  <c r="S131" i="17" s="1"/>
  <c r="T134" i="17"/>
  <c r="R134" i="17"/>
  <c r="Q134" i="17"/>
  <c r="P134" i="17"/>
  <c r="M134" i="17"/>
  <c r="V130" i="17" s="1"/>
  <c r="L134" i="17"/>
  <c r="U130" i="17" s="1"/>
  <c r="K134" i="17"/>
  <c r="T130" i="17" s="1"/>
  <c r="J134" i="17"/>
  <c r="S130" i="17" s="1"/>
  <c r="V133" i="17"/>
  <c r="S133" i="17"/>
  <c r="R133" i="17"/>
  <c r="Q133" i="17"/>
  <c r="P133" i="17"/>
  <c r="A133" i="17"/>
  <c r="S132" i="17"/>
  <c r="R132" i="17"/>
  <c r="Q132" i="17"/>
  <c r="P132" i="17"/>
  <c r="A132" i="17"/>
  <c r="R131" i="17"/>
  <c r="Q131" i="17"/>
  <c r="A131" i="17"/>
  <c r="M131" i="17" s="1"/>
  <c r="V127" i="17" s="1"/>
  <c r="R130" i="17"/>
  <c r="Q130" i="17"/>
  <c r="A130" i="17"/>
  <c r="M130" i="17" s="1"/>
  <c r="V126" i="17" s="1"/>
  <c r="Q129" i="17"/>
  <c r="A129" i="17"/>
  <c r="A128" i="17"/>
  <c r="Q127" i="17"/>
  <c r="A127" i="17"/>
  <c r="M127" i="17" s="1"/>
  <c r="V123" i="17" s="1"/>
  <c r="R126" i="17"/>
  <c r="Q126" i="17"/>
  <c r="A126" i="17"/>
  <c r="M126" i="17" s="1"/>
  <c r="V122" i="17" s="1"/>
  <c r="Q125" i="17"/>
  <c r="A125" i="17"/>
  <c r="A124" i="17"/>
  <c r="R123" i="17"/>
  <c r="Q123" i="17"/>
  <c r="A123" i="17"/>
  <c r="M123" i="17" s="1"/>
  <c r="V119" i="17" s="1"/>
  <c r="Q122" i="17"/>
  <c r="A122" i="17"/>
  <c r="M122" i="17" s="1"/>
  <c r="V118" i="17" s="1"/>
  <c r="Q121" i="17"/>
  <c r="A121" i="17"/>
  <c r="M121" i="17" s="1"/>
  <c r="V117" i="17" s="1"/>
  <c r="M120" i="17"/>
  <c r="V116" i="17" s="1"/>
  <c r="L120" i="17"/>
  <c r="U116" i="17" s="1"/>
  <c r="K120" i="17"/>
  <c r="T116" i="17" s="1"/>
  <c r="J120" i="17"/>
  <c r="S116" i="17" s="1"/>
  <c r="R119" i="17"/>
  <c r="M119" i="17"/>
  <c r="V115" i="17" s="1"/>
  <c r="L119" i="17"/>
  <c r="U115" i="17" s="1"/>
  <c r="K119" i="17"/>
  <c r="T115" i="17" s="1"/>
  <c r="J119" i="17"/>
  <c r="S115" i="17" s="1"/>
  <c r="R118" i="17"/>
  <c r="M118" i="17"/>
  <c r="V114" i="17" s="1"/>
  <c r="L118" i="17"/>
  <c r="U114" i="17" s="1"/>
  <c r="K118" i="17"/>
  <c r="T114" i="17" s="1"/>
  <c r="J118" i="17"/>
  <c r="S114" i="17" s="1"/>
  <c r="R117" i="17"/>
  <c r="M117" i="17"/>
  <c r="V113" i="17" s="1"/>
  <c r="L117" i="17"/>
  <c r="U113" i="17" s="1"/>
  <c r="K117" i="17"/>
  <c r="T113" i="17" s="1"/>
  <c r="J117" i="17"/>
  <c r="S113" i="17" s="1"/>
  <c r="R116" i="17"/>
  <c r="Q116" i="17"/>
  <c r="M116" i="17"/>
  <c r="L116" i="17"/>
  <c r="K116" i="17"/>
  <c r="J116" i="17"/>
  <c r="R115" i="17"/>
  <c r="Q115" i="17"/>
  <c r="M115" i="17"/>
  <c r="L115" i="17"/>
  <c r="K115" i="17"/>
  <c r="J115" i="17"/>
  <c r="R114" i="17"/>
  <c r="Q114" i="17"/>
  <c r="M114" i="17"/>
  <c r="L114" i="17"/>
  <c r="K114" i="17"/>
  <c r="J114" i="17"/>
  <c r="R113" i="17"/>
  <c r="Q113" i="17"/>
  <c r="M113" i="17"/>
  <c r="L113" i="17"/>
  <c r="K113" i="17"/>
  <c r="J113" i="17"/>
  <c r="A112" i="17"/>
  <c r="R112" i="17" s="1"/>
  <c r="A111" i="17"/>
  <c r="R111" i="17" s="1"/>
  <c r="A110" i="17"/>
  <c r="R110" i="17" s="1"/>
  <c r="A109" i="17"/>
  <c r="R109" i="17" s="1"/>
  <c r="A108" i="17"/>
  <c r="R108" i="17" s="1"/>
  <c r="A107" i="17"/>
  <c r="R107" i="17" s="1"/>
  <c r="A106" i="17"/>
  <c r="R106" i="17" s="1"/>
  <c r="A105" i="17"/>
  <c r="R105" i="17" s="1"/>
  <c r="A104" i="17"/>
  <c r="R104" i="17" s="1"/>
  <c r="A103" i="17"/>
  <c r="R103" i="17" s="1"/>
  <c r="A102" i="17"/>
  <c r="R102" i="17" s="1"/>
  <c r="A101" i="17"/>
  <c r="R101" i="17" s="1"/>
  <c r="A100" i="17"/>
  <c r="R100" i="17" s="1"/>
  <c r="A99" i="17"/>
  <c r="R99" i="17" s="1"/>
  <c r="A98" i="17"/>
  <c r="R98" i="17" s="1"/>
  <c r="A97" i="17"/>
  <c r="R97" i="17" s="1"/>
  <c r="A96" i="17"/>
  <c r="R96" i="17" s="1"/>
  <c r="A95" i="17"/>
  <c r="R95" i="17" s="1"/>
  <c r="A94" i="17"/>
  <c r="R94" i="17" s="1"/>
  <c r="A93" i="17"/>
  <c r="R93" i="17" s="1"/>
  <c r="A92" i="17"/>
  <c r="R92" i="17" s="1"/>
  <c r="A91" i="17"/>
  <c r="R91" i="17" s="1"/>
  <c r="A90" i="17"/>
  <c r="R90" i="17" s="1"/>
  <c r="A89" i="17"/>
  <c r="R89" i="17" s="1"/>
  <c r="A88" i="17"/>
  <c r="R88" i="17" s="1"/>
  <c r="A87" i="17"/>
  <c r="R87" i="17" s="1"/>
  <c r="A86" i="17"/>
  <c r="R86" i="17" s="1"/>
  <c r="A85" i="17"/>
  <c r="R85" i="17" s="1"/>
  <c r="A84" i="17"/>
  <c r="R84" i="17" s="1"/>
  <c r="A83" i="17"/>
  <c r="R83" i="17" s="1"/>
  <c r="A82" i="17"/>
  <c r="R82" i="17" s="1"/>
  <c r="A81" i="17"/>
  <c r="R81" i="17" s="1"/>
  <c r="A80" i="17"/>
  <c r="R80" i="17" s="1"/>
  <c r="A79" i="17"/>
  <c r="R79" i="17" s="1"/>
  <c r="A78" i="17"/>
  <c r="R78" i="17" s="1"/>
  <c r="A77" i="17"/>
  <c r="R77" i="17" s="1"/>
  <c r="A76" i="17"/>
  <c r="R76" i="17" s="1"/>
  <c r="A75" i="17"/>
  <c r="R75" i="17" s="1"/>
  <c r="A74" i="17"/>
  <c r="R74" i="17" s="1"/>
  <c r="A73" i="17"/>
  <c r="R73" i="17" s="1"/>
  <c r="A72" i="17"/>
  <c r="R72" i="17" s="1"/>
  <c r="A71" i="17"/>
  <c r="R71" i="17" s="1"/>
  <c r="A70" i="17"/>
  <c r="R70" i="17" s="1"/>
  <c r="A69" i="17"/>
  <c r="R69" i="17" s="1"/>
  <c r="A68" i="17"/>
  <c r="R68" i="17" s="1"/>
  <c r="A67" i="17"/>
  <c r="R67" i="17" s="1"/>
  <c r="A66" i="17"/>
  <c r="R66" i="17" s="1"/>
  <c r="A65" i="17"/>
  <c r="R65" i="17" s="1"/>
  <c r="A64" i="17"/>
  <c r="R64" i="17" s="1"/>
  <c r="A63" i="17"/>
  <c r="R63" i="17" s="1"/>
  <c r="A62" i="17"/>
  <c r="R62" i="17" s="1"/>
  <c r="A61" i="17"/>
  <c r="R61" i="17" s="1"/>
  <c r="A60" i="17"/>
  <c r="R60" i="17" s="1"/>
  <c r="A59" i="17"/>
  <c r="R59" i="17" s="1"/>
  <c r="A58" i="17"/>
  <c r="R58" i="17" s="1"/>
  <c r="A57" i="17"/>
  <c r="R57" i="17" s="1"/>
  <c r="A56" i="17"/>
  <c r="R56" i="17" s="1"/>
  <c r="A55" i="17"/>
  <c r="R55" i="17" s="1"/>
  <c r="A54" i="17"/>
  <c r="R54" i="17" s="1"/>
  <c r="A53" i="17"/>
  <c r="R53" i="17" s="1"/>
  <c r="A52" i="17"/>
  <c r="R52" i="17" s="1"/>
  <c r="A51" i="17"/>
  <c r="R51" i="17" s="1"/>
  <c r="A50" i="17"/>
  <c r="R50" i="17" s="1"/>
  <c r="A49" i="17"/>
  <c r="R49" i="17" s="1"/>
  <c r="A48" i="17"/>
  <c r="R48" i="17" s="1"/>
  <c r="A47" i="17"/>
  <c r="R47" i="17" s="1"/>
  <c r="A46" i="17"/>
  <c r="R46" i="17" s="1"/>
  <c r="A45" i="17"/>
  <c r="R45" i="17" s="1"/>
  <c r="A44" i="17"/>
  <c r="R44" i="17" s="1"/>
  <c r="A43" i="17"/>
  <c r="R43" i="17" s="1"/>
  <c r="A42" i="17"/>
  <c r="R42" i="17" s="1"/>
  <c r="A41" i="17"/>
  <c r="R41" i="17" s="1"/>
  <c r="A40" i="17"/>
  <c r="R40" i="17" s="1"/>
  <c r="A39" i="17"/>
  <c r="R39" i="17" s="1"/>
  <c r="A38" i="17"/>
  <c r="R38" i="17" s="1"/>
  <c r="A37" i="17"/>
  <c r="R37" i="17" s="1"/>
  <c r="A36" i="17"/>
  <c r="R36" i="17" s="1"/>
  <c r="A35" i="17"/>
  <c r="R35" i="17" s="1"/>
  <c r="A34" i="17"/>
  <c r="R34" i="17" s="1"/>
  <c r="A33" i="17"/>
  <c r="R33" i="17" s="1"/>
  <c r="A32" i="17"/>
  <c r="R32" i="17" s="1"/>
  <c r="A31" i="17"/>
  <c r="R31" i="17" s="1"/>
  <c r="A30" i="17"/>
  <c r="R30" i="17" s="1"/>
  <c r="A29" i="17"/>
  <c r="R29" i="17" s="1"/>
  <c r="A28" i="17"/>
  <c r="R28" i="17" s="1"/>
  <c r="A27" i="17"/>
  <c r="R27" i="17" s="1"/>
  <c r="A26" i="17"/>
  <c r="R26" i="17" s="1"/>
  <c r="A25" i="17"/>
  <c r="R25" i="17" s="1"/>
  <c r="A24" i="17"/>
  <c r="R24" i="17" s="1"/>
  <c r="A23" i="17"/>
  <c r="R23" i="17" s="1"/>
  <c r="A22" i="17"/>
  <c r="R22" i="17" s="1"/>
  <c r="A21" i="17"/>
  <c r="R21" i="17" s="1"/>
  <c r="A20" i="17"/>
  <c r="R20" i="17" s="1"/>
  <c r="A19" i="17"/>
  <c r="R19" i="17" s="1"/>
  <c r="A18" i="17"/>
  <c r="R18" i="17" s="1"/>
  <c r="A17" i="17"/>
  <c r="R17" i="17" s="1"/>
  <c r="A16" i="17"/>
  <c r="R16" i="17" s="1"/>
  <c r="A15" i="17"/>
  <c r="R15" i="17" s="1"/>
  <c r="A14" i="17"/>
  <c r="R14" i="17" s="1"/>
  <c r="A13" i="17"/>
  <c r="R13" i="17" s="1"/>
  <c r="A12" i="17"/>
  <c r="R12" i="17" s="1"/>
  <c r="A11" i="17"/>
  <c r="R11" i="17" s="1"/>
  <c r="A10" i="17"/>
  <c r="R10" i="17" s="1"/>
  <c r="A9" i="17"/>
  <c r="R9" i="17" s="1"/>
  <c r="A8" i="17"/>
  <c r="R8" i="17" s="1"/>
  <c r="A7" i="17"/>
  <c r="R7" i="17" s="1"/>
  <c r="C214" i="1"/>
  <c r="C215" i="1"/>
  <c r="O214" i="1"/>
  <c r="P214" i="1" s="1"/>
  <c r="O215" i="1"/>
  <c r="P215" i="1" s="1"/>
  <c r="Q214" i="1"/>
  <c r="R214" i="1" s="1"/>
  <c r="Q215" i="1"/>
  <c r="R215" i="1" s="1"/>
  <c r="C226" i="1"/>
  <c r="O226" i="1"/>
  <c r="P226" i="1" s="1"/>
  <c r="Q226" i="1"/>
  <c r="R226" i="1" s="1"/>
  <c r="C225" i="1"/>
  <c r="O225" i="1"/>
  <c r="P225" i="1" s="1"/>
  <c r="Q225" i="1"/>
  <c r="R225" i="1" s="1"/>
  <c r="C139" i="1"/>
  <c r="O139" i="1"/>
  <c r="P139" i="1" s="1"/>
  <c r="Q139" i="1" s="1"/>
  <c r="R139" i="1" s="1"/>
  <c r="C197" i="1"/>
  <c r="O197" i="1"/>
  <c r="P197" i="1" s="1"/>
  <c r="Q197" i="1"/>
  <c r="R197" i="1" s="1"/>
  <c r="C87" i="1"/>
  <c r="O87" i="1"/>
  <c r="P87" i="1" s="1"/>
  <c r="Q87" i="1" s="1"/>
  <c r="R87" i="1" s="1"/>
  <c r="C99" i="1"/>
  <c r="O99" i="1"/>
  <c r="P99" i="1" s="1"/>
  <c r="Q99" i="1" s="1"/>
  <c r="R99" i="1" s="1"/>
  <c r="C98" i="1"/>
  <c r="O98" i="1"/>
  <c r="P98" i="1" s="1"/>
  <c r="Q98" i="1" s="1"/>
  <c r="R98" i="1" s="1"/>
  <c r="C75" i="1"/>
  <c r="O75" i="1"/>
  <c r="P75" i="1" s="1"/>
  <c r="Q75" i="1" s="1"/>
  <c r="R75" i="1" s="1"/>
  <c r="C305" i="1"/>
  <c r="O305" i="1"/>
  <c r="P305" i="1" s="1"/>
  <c r="Q305" i="1" s="1"/>
  <c r="R305" i="1" s="1"/>
  <c r="C304" i="1"/>
  <c r="O304" i="1"/>
  <c r="P304" i="1" s="1"/>
  <c r="Q304" i="1" s="1"/>
  <c r="R304" i="1" s="1"/>
  <c r="C276" i="1"/>
  <c r="O276" i="1"/>
  <c r="P276" i="1" s="1"/>
  <c r="Q276" i="1"/>
  <c r="R276" i="1" s="1"/>
  <c r="C274" i="1"/>
  <c r="C275" i="1"/>
  <c r="O274" i="1"/>
  <c r="P274" i="1" s="1"/>
  <c r="Q274" i="1" s="1"/>
  <c r="R274" i="1" s="1"/>
  <c r="O275" i="1"/>
  <c r="P275" i="1" s="1"/>
  <c r="Q275" i="1"/>
  <c r="R275" i="1" s="1"/>
  <c r="C272" i="1"/>
  <c r="O272" i="1"/>
  <c r="P272" i="1" s="1"/>
  <c r="Q272" i="1"/>
  <c r="R272" i="1" s="1"/>
  <c r="C271" i="1"/>
  <c r="O271" i="1"/>
  <c r="P271" i="1" s="1"/>
  <c r="Q271" i="1"/>
  <c r="R271" i="1" s="1"/>
  <c r="C155" i="1"/>
  <c r="O155" i="1"/>
  <c r="P155" i="1" s="1"/>
  <c r="Q155" i="1"/>
  <c r="R155" i="1" s="1"/>
  <c r="C152" i="1"/>
  <c r="O152" i="1"/>
  <c r="P152" i="1" s="1"/>
  <c r="Q152" i="1" s="1"/>
  <c r="R152" i="1" s="1"/>
  <c r="C144" i="1"/>
  <c r="O144" i="1"/>
  <c r="P144" i="1" s="1"/>
  <c r="Q144" i="1" s="1"/>
  <c r="R144" i="1" s="1"/>
  <c r="C143" i="1"/>
  <c r="O143" i="1"/>
  <c r="P143" i="1" s="1"/>
  <c r="Q143" i="1" s="1"/>
  <c r="R143" i="1" s="1"/>
  <c r="C86" i="1"/>
  <c r="O86" i="1"/>
  <c r="P86" i="1" s="1"/>
  <c r="Q86" i="1"/>
  <c r="R86" i="1" s="1"/>
  <c r="C85" i="1"/>
  <c r="O85" i="1"/>
  <c r="P85" i="1" s="1"/>
  <c r="Q85" i="1"/>
  <c r="R85" i="1" s="1"/>
  <c r="C161" i="1"/>
  <c r="O161" i="1"/>
  <c r="P161" i="1" s="1"/>
  <c r="Q161" i="1" s="1"/>
  <c r="R161" i="1" s="1"/>
  <c r="C160" i="1"/>
  <c r="O160" i="1"/>
  <c r="P160" i="1" s="1"/>
  <c r="Q160" i="1" s="1"/>
  <c r="R160" i="1" s="1"/>
  <c r="C111" i="1"/>
  <c r="O111" i="1"/>
  <c r="P111" i="1" s="1"/>
  <c r="Q111" i="1" s="1"/>
  <c r="R111" i="1" s="1"/>
  <c r="C92" i="1"/>
  <c r="O92" i="1"/>
  <c r="P92" i="1" s="1"/>
  <c r="Q92" i="1" s="1"/>
  <c r="R92" i="1" s="1"/>
  <c r="C84" i="1"/>
  <c r="O84" i="1"/>
  <c r="P84" i="1" s="1"/>
  <c r="Q84" i="1" s="1"/>
  <c r="R84" i="1" s="1"/>
  <c r="C181" i="1"/>
  <c r="O181" i="1"/>
  <c r="P181" i="1" s="1"/>
  <c r="Q181" i="1" s="1"/>
  <c r="R181" i="1" s="1"/>
  <c r="C91" i="1"/>
  <c r="O91" i="1"/>
  <c r="P91" i="1" s="1"/>
  <c r="Q91" i="1"/>
  <c r="R91" i="1" s="1"/>
  <c r="C90" i="1"/>
  <c r="O90" i="1"/>
  <c r="P90" i="1" s="1"/>
  <c r="Q90" i="1"/>
  <c r="R90" i="1" s="1"/>
  <c r="C89" i="1"/>
  <c r="O89" i="1"/>
  <c r="P89" i="1" s="1"/>
  <c r="Q89" i="1"/>
  <c r="R89" i="1" s="1"/>
  <c r="C88" i="1"/>
  <c r="O88" i="1"/>
  <c r="P88" i="1" s="1"/>
  <c r="Q88" i="1"/>
  <c r="R88" i="1" s="1"/>
  <c r="C105" i="1"/>
  <c r="O105" i="1"/>
  <c r="P105" i="1" s="1"/>
  <c r="Q105" i="1" s="1"/>
  <c r="R105" i="1" s="1"/>
  <c r="C148" i="1"/>
  <c r="O148" i="1"/>
  <c r="P148" i="1" s="1"/>
  <c r="Q148" i="1"/>
  <c r="R148" i="1" s="1"/>
  <c r="C76" i="1"/>
  <c r="O76" i="1"/>
  <c r="P76" i="1" s="1"/>
  <c r="Q76" i="1" s="1"/>
  <c r="R76" i="1" s="1"/>
  <c r="C14" i="1"/>
  <c r="O14" i="1"/>
  <c r="P14" i="1" s="1"/>
  <c r="Q14" i="1" s="1"/>
  <c r="R14" i="1" s="1"/>
  <c r="C13" i="1"/>
  <c r="O13" i="1"/>
  <c r="P13" i="1" s="1"/>
  <c r="Q13" i="1" s="1"/>
  <c r="R13" i="1" s="1"/>
  <c r="C12" i="1"/>
  <c r="O12" i="1"/>
  <c r="P12" i="1" s="1"/>
  <c r="Q12" i="1" s="1"/>
  <c r="R12" i="1" s="1"/>
  <c r="C6" i="1"/>
  <c r="O6" i="1"/>
  <c r="P6" i="1" s="1"/>
  <c r="Q6" i="1" s="1"/>
  <c r="R6" i="1" s="1"/>
  <c r="C9" i="1"/>
  <c r="O9" i="1"/>
  <c r="P9" i="1" s="1"/>
  <c r="Q9" i="1" s="1"/>
  <c r="R9" i="1" s="1"/>
  <c r="C8" i="1"/>
  <c r="O8" i="1"/>
  <c r="P8" i="1" s="1"/>
  <c r="Q8" i="1" s="1"/>
  <c r="R8" i="1" s="1"/>
  <c r="C7" i="1"/>
  <c r="O7" i="1"/>
  <c r="P7" i="1" s="1"/>
  <c r="Q7" i="1" s="1"/>
  <c r="R7" i="1" s="1"/>
  <c r="C2" i="1"/>
  <c r="O2" i="1"/>
  <c r="P2" i="1" s="1"/>
  <c r="Q2" i="1" s="1"/>
  <c r="X63" i="1"/>
  <c r="C47" i="1"/>
  <c r="O47" i="1"/>
  <c r="P47" i="1" s="1"/>
  <c r="Q47" i="1" s="1"/>
  <c r="H4" i="19" l="1"/>
  <c r="C5" i="19"/>
  <c r="D5" i="19" s="1"/>
  <c r="E5" i="19" s="1"/>
  <c r="C6" i="19" s="1"/>
  <c r="D6" i="19" s="1"/>
  <c r="E6" i="19" s="1"/>
  <c r="F5" i="19"/>
  <c r="G5" i="19" s="1"/>
  <c r="AQ353" i="1"/>
  <c r="AQ354" i="1"/>
  <c r="AQ352" i="1"/>
  <c r="AQ351" i="1"/>
  <c r="AQ348" i="1"/>
  <c r="AQ349" i="1"/>
  <c r="AQ350" i="1"/>
  <c r="AQ347" i="1"/>
  <c r="AQ346" i="1"/>
  <c r="AQ344" i="1"/>
  <c r="AQ345" i="1"/>
  <c r="AQ343" i="1"/>
  <c r="AQ341" i="1"/>
  <c r="AQ342" i="1"/>
  <c r="AQ340" i="1"/>
  <c r="AQ339" i="1"/>
  <c r="AQ338" i="1"/>
  <c r="AQ337" i="1"/>
  <c r="AQ336" i="1"/>
  <c r="AQ335" i="1"/>
  <c r="AQ334" i="1"/>
  <c r="AQ333" i="1"/>
  <c r="AQ65" i="1"/>
  <c r="AQ220" i="1"/>
  <c r="AQ2" i="1"/>
  <c r="AQ7" i="1"/>
  <c r="AQ11" i="1"/>
  <c r="AQ15" i="1"/>
  <c r="AQ21" i="1"/>
  <c r="AQ26" i="1"/>
  <c r="AQ30" i="1"/>
  <c r="AQ34" i="1"/>
  <c r="AQ40" i="1"/>
  <c r="AQ45" i="1"/>
  <c r="AQ49" i="1"/>
  <c r="AQ323" i="1"/>
  <c r="AQ57" i="1"/>
  <c r="AQ61" i="1"/>
  <c r="AQ66" i="1"/>
  <c r="AQ71" i="1"/>
  <c r="AQ77" i="1"/>
  <c r="AQ81" i="1"/>
  <c r="AQ85" i="1"/>
  <c r="AQ89" i="1"/>
  <c r="AQ93" i="1"/>
  <c r="AQ97" i="1"/>
  <c r="AQ101" i="1"/>
  <c r="AQ108" i="1"/>
  <c r="AQ111" i="1"/>
  <c r="AQ115" i="1"/>
  <c r="AQ119" i="1"/>
  <c r="AQ124" i="1"/>
  <c r="AQ128" i="1"/>
  <c r="AQ132" i="1"/>
  <c r="AQ136" i="1"/>
  <c r="AQ140" i="1"/>
  <c r="AQ144" i="1"/>
  <c r="AQ148" i="1"/>
  <c r="AQ152" i="1"/>
  <c r="AQ156" i="1"/>
  <c r="AQ160" i="1"/>
  <c r="AQ164" i="1"/>
  <c r="AQ168" i="1"/>
  <c r="AQ172" i="1"/>
  <c r="AQ176" i="1"/>
  <c r="AQ180" i="1"/>
  <c r="AQ184" i="1"/>
  <c r="AQ188" i="1"/>
  <c r="AQ193" i="1"/>
  <c r="AQ200" i="1"/>
  <c r="AQ204" i="1"/>
  <c r="AQ210" i="1"/>
  <c r="AQ216" i="1"/>
  <c r="AQ221" i="1"/>
  <c r="AQ225" i="1"/>
  <c r="AQ231" i="1"/>
  <c r="AQ235" i="1"/>
  <c r="AQ240" i="1"/>
  <c r="AQ222" i="1"/>
  <c r="AQ250" i="1"/>
  <c r="AQ255" i="1"/>
  <c r="AQ261" i="1"/>
  <c r="AQ265" i="1"/>
  <c r="AQ270" i="1"/>
  <c r="AQ274" i="1"/>
  <c r="AQ106" i="1"/>
  <c r="AQ282" i="1"/>
  <c r="AQ286" i="1"/>
  <c r="AQ290" i="1"/>
  <c r="AQ294" i="1"/>
  <c r="AQ298" i="1"/>
  <c r="AQ302" i="1"/>
  <c r="AQ306" i="1"/>
  <c r="AQ310" i="1"/>
  <c r="AQ314" i="1"/>
  <c r="AQ318" i="1"/>
  <c r="AQ51" i="1"/>
  <c r="AQ326" i="1"/>
  <c r="AQ331" i="1"/>
  <c r="AQ39" i="1"/>
  <c r="AQ68" i="1"/>
  <c r="AQ256" i="1"/>
  <c r="AQ247" i="1"/>
  <c r="AQ104" i="1"/>
  <c r="AQ230" i="1"/>
  <c r="AQ194" i="1"/>
  <c r="AQ3" i="1"/>
  <c r="AQ206" i="1"/>
  <c r="AQ5" i="1"/>
  <c r="AQ9" i="1"/>
  <c r="AQ13" i="1"/>
  <c r="AQ19" i="1"/>
  <c r="AQ24" i="1"/>
  <c r="AQ28" i="1"/>
  <c r="AQ32" i="1"/>
  <c r="AQ36" i="1"/>
  <c r="AQ43" i="1"/>
  <c r="AQ116" i="1"/>
  <c r="AQ56" i="1"/>
  <c r="AQ55" i="1"/>
  <c r="AQ251" i="1"/>
  <c r="AQ63" i="1"/>
  <c r="AQ69" i="1"/>
  <c r="AQ75" i="1"/>
  <c r="AQ79" i="1"/>
  <c r="AQ83" i="1"/>
  <c r="AQ87" i="1"/>
  <c r="AQ91" i="1"/>
  <c r="AQ95" i="1"/>
  <c r="AQ99" i="1"/>
  <c r="AQ105" i="1"/>
  <c r="AQ109" i="1"/>
  <c r="AQ113" i="1"/>
  <c r="AQ117" i="1"/>
  <c r="AQ122" i="1"/>
  <c r="AQ126" i="1"/>
  <c r="AQ130" i="1"/>
  <c r="AQ134" i="1"/>
  <c r="AQ138" i="1"/>
  <c r="AQ142" i="1"/>
  <c r="AQ146" i="1"/>
  <c r="AQ150" i="1"/>
  <c r="AQ154" i="1"/>
  <c r="AQ158" i="1"/>
  <c r="AQ162" i="1"/>
  <c r="AQ166" i="1"/>
  <c r="AQ170" i="1"/>
  <c r="AQ174" i="1"/>
  <c r="AQ178" i="1"/>
  <c r="AQ182" i="1"/>
  <c r="AQ186" i="1"/>
  <c r="AQ191" i="1"/>
  <c r="AQ198" i="1"/>
  <c r="AQ202" i="1"/>
  <c r="AQ208" i="1"/>
  <c r="AQ214" i="1"/>
  <c r="AQ218" i="1"/>
  <c r="AQ223" i="1"/>
  <c r="AQ227" i="1"/>
  <c r="AQ233" i="1"/>
  <c r="AQ238" i="1"/>
  <c r="AQ278" i="1"/>
  <c r="AQ248" i="1"/>
  <c r="AQ253" i="1"/>
  <c r="AQ259" i="1"/>
  <c r="AQ263" i="1"/>
  <c r="AQ268" i="1"/>
  <c r="AQ272" i="1"/>
  <c r="AQ276" i="1"/>
  <c r="AQ280" i="1"/>
  <c r="AQ284" i="1"/>
  <c r="AQ288" i="1"/>
  <c r="AQ292" i="1"/>
  <c r="AQ296" i="1"/>
  <c r="AQ300" i="1"/>
  <c r="AQ304" i="1"/>
  <c r="AQ308" i="1"/>
  <c r="AQ312" i="1"/>
  <c r="AQ316" i="1"/>
  <c r="AQ320" i="1"/>
  <c r="AQ47" i="1"/>
  <c r="AQ328" i="1"/>
  <c r="AQ237" i="1"/>
  <c r="AQ211" i="1"/>
  <c r="AQ267" i="1"/>
  <c r="AQ252" i="1"/>
  <c r="AQ330" i="1"/>
  <c r="AQ16" i="1"/>
  <c r="AQ72" i="1"/>
  <c r="AQ196" i="1"/>
  <c r="AQ207" i="1"/>
  <c r="AQ12" i="1"/>
  <c r="AQ22" i="1"/>
  <c r="AQ31" i="1"/>
  <c r="AQ42" i="1"/>
  <c r="AQ120" i="1"/>
  <c r="AQ58" i="1"/>
  <c r="AQ67" i="1"/>
  <c r="AQ78" i="1"/>
  <c r="AQ86" i="1"/>
  <c r="AQ94" i="1"/>
  <c r="AQ102" i="1"/>
  <c r="AQ112" i="1"/>
  <c r="AQ96" i="1"/>
  <c r="AQ129" i="1"/>
  <c r="AQ137" i="1"/>
  <c r="AQ145" i="1"/>
  <c r="AQ153" i="1"/>
  <c r="AQ161" i="1"/>
  <c r="AQ169" i="1"/>
  <c r="AQ177" i="1"/>
  <c r="AQ185" i="1"/>
  <c r="AQ197" i="1"/>
  <c r="AQ205" i="1"/>
  <c r="AQ217" i="1"/>
  <c r="AQ226" i="1"/>
  <c r="AQ236" i="1"/>
  <c r="AQ322" i="1"/>
  <c r="AQ258" i="1"/>
  <c r="AQ266" i="1"/>
  <c r="AQ275" i="1"/>
  <c r="AQ283" i="1"/>
  <c r="AQ291" i="1"/>
  <c r="AQ299" i="1"/>
  <c r="AQ307" i="1"/>
  <c r="AQ315" i="1"/>
  <c r="AQ52" i="1"/>
  <c r="AQ332" i="1"/>
  <c r="AQ189" i="1"/>
  <c r="AQ4" i="1"/>
  <c r="AQ23" i="1"/>
  <c r="AQ6" i="1"/>
  <c r="AQ14" i="1"/>
  <c r="AQ25" i="1"/>
  <c r="AQ33" i="1"/>
  <c r="AQ44" i="1"/>
  <c r="AQ80" i="1"/>
  <c r="AQ60" i="1"/>
  <c r="AQ70" i="1"/>
  <c r="AQ50" i="1"/>
  <c r="AQ88" i="1"/>
  <c r="AQ59" i="1"/>
  <c r="AQ245" i="1"/>
  <c r="AQ114" i="1"/>
  <c r="AQ123" i="1"/>
  <c r="AQ131" i="1"/>
  <c r="AQ139" i="1"/>
  <c r="AQ147" i="1"/>
  <c r="AQ155" i="1"/>
  <c r="AQ163" i="1"/>
  <c r="AQ171" i="1"/>
  <c r="AQ179" i="1"/>
  <c r="AQ187" i="1"/>
  <c r="AQ199" i="1"/>
  <c r="AQ209" i="1"/>
  <c r="AQ219" i="1"/>
  <c r="AQ229" i="1"/>
  <c r="AQ239" i="1"/>
  <c r="AQ249" i="1"/>
  <c r="AQ260" i="1"/>
  <c r="AQ269" i="1"/>
  <c r="AQ277" i="1"/>
  <c r="AQ285" i="1"/>
  <c r="AQ293" i="1"/>
  <c r="AQ301" i="1"/>
  <c r="AQ309" i="1"/>
  <c r="AQ317" i="1"/>
  <c r="AQ325" i="1"/>
  <c r="AQ38" i="1"/>
  <c r="AQ41" i="1"/>
  <c r="AQ103" i="1"/>
  <c r="AQ73" i="1"/>
  <c r="AQ8" i="1"/>
  <c r="AQ18" i="1"/>
  <c r="AQ27" i="1"/>
  <c r="AQ35" i="1"/>
  <c r="AQ46" i="1"/>
  <c r="AQ54" i="1"/>
  <c r="AQ62" i="1"/>
  <c r="AQ74" i="1"/>
  <c r="AQ82" i="1"/>
  <c r="AQ90" i="1"/>
  <c r="AQ98" i="1"/>
  <c r="AQ107" i="1"/>
  <c r="AQ53" i="1"/>
  <c r="AQ125" i="1"/>
  <c r="AQ133" i="1"/>
  <c r="AQ141" i="1"/>
  <c r="AQ149" i="1"/>
  <c r="AQ157" i="1"/>
  <c r="AQ165" i="1"/>
  <c r="AQ173" i="1"/>
  <c r="AQ181" i="1"/>
  <c r="AQ190" i="1"/>
  <c r="AQ201" i="1"/>
  <c r="AQ213" i="1"/>
  <c r="AQ244" i="1"/>
  <c r="AQ232" i="1"/>
  <c r="AQ241" i="1"/>
  <c r="AQ324" i="1"/>
  <c r="AQ262" i="1"/>
  <c r="AQ271" i="1"/>
  <c r="AQ279" i="1"/>
  <c r="AQ287" i="1"/>
  <c r="AQ295" i="1"/>
  <c r="AQ303" i="1"/>
  <c r="AQ311" i="1"/>
  <c r="AQ319" i="1"/>
  <c r="AQ327" i="1"/>
  <c r="AQ121" i="1"/>
  <c r="AQ257" i="1"/>
  <c r="AQ228" i="1"/>
  <c r="AQ195" i="1"/>
  <c r="AQ10" i="1"/>
  <c r="AQ20" i="1"/>
  <c r="AQ29" i="1"/>
  <c r="AQ37" i="1"/>
  <c r="AQ48" i="1"/>
  <c r="AQ242" i="1"/>
  <c r="AQ64" i="1"/>
  <c r="AQ76" i="1"/>
  <c r="AQ84" i="1"/>
  <c r="AQ92" i="1"/>
  <c r="AQ100" i="1"/>
  <c r="AQ110" i="1"/>
  <c r="AQ118" i="1"/>
  <c r="AQ127" i="1"/>
  <c r="AQ135" i="1"/>
  <c r="AQ143" i="1"/>
  <c r="AQ151" i="1"/>
  <c r="AQ159" i="1"/>
  <c r="AQ167" i="1"/>
  <c r="AQ175" i="1"/>
  <c r="AQ183" i="1"/>
  <c r="AQ192" i="1"/>
  <c r="AQ203" i="1"/>
  <c r="AQ215" i="1"/>
  <c r="AQ224" i="1"/>
  <c r="AQ234" i="1"/>
  <c r="AQ243" i="1"/>
  <c r="AQ254" i="1"/>
  <c r="AQ264" i="1"/>
  <c r="AQ273" i="1"/>
  <c r="AQ281" i="1"/>
  <c r="AQ289" i="1"/>
  <c r="AQ297" i="1"/>
  <c r="AQ305" i="1"/>
  <c r="AQ313" i="1"/>
  <c r="AQ321" i="1"/>
  <c r="AQ329" i="1"/>
  <c r="AQ212" i="1"/>
  <c r="AQ246" i="1"/>
  <c r="AQ17" i="1"/>
  <c r="R122" i="17"/>
  <c r="R127" i="17"/>
  <c r="Q119" i="17"/>
  <c r="R31" i="1"/>
  <c r="R118" i="1"/>
  <c r="R266" i="1"/>
  <c r="R239" i="1"/>
  <c r="R172" i="1"/>
  <c r="R131" i="1"/>
  <c r="R309" i="1"/>
  <c r="R236" i="1"/>
  <c r="R183" i="1"/>
  <c r="R113" i="1"/>
  <c r="R112" i="1"/>
  <c r="R10" i="1"/>
  <c r="M124" i="17"/>
  <c r="V120" i="17" s="1"/>
  <c r="Q120" i="17"/>
  <c r="R120" i="17"/>
  <c r="M132" i="17"/>
  <c r="V128" i="17" s="1"/>
  <c r="Q128" i="17"/>
  <c r="R128" i="17"/>
  <c r="M129" i="17"/>
  <c r="V125" i="17" s="1"/>
  <c r="R125" i="17"/>
  <c r="M133" i="17"/>
  <c r="V129" i="17" s="1"/>
  <c r="R129" i="17"/>
  <c r="M125" i="17"/>
  <c r="V121" i="17" s="1"/>
  <c r="R121" i="17"/>
  <c r="M128" i="17"/>
  <c r="V124" i="17" s="1"/>
  <c r="Q124" i="17"/>
  <c r="R124" i="17"/>
  <c r="Q117" i="17"/>
  <c r="Q118" i="17"/>
  <c r="R47" i="1"/>
  <c r="R2" i="1"/>
  <c r="J7" i="17"/>
  <c r="S7" i="17" s="1"/>
  <c r="K7" i="17"/>
  <c r="T7" i="17" s="1"/>
  <c r="L7" i="17"/>
  <c r="U7" i="17" s="1"/>
  <c r="M7" i="17"/>
  <c r="V7" i="17" s="1"/>
  <c r="Q7" i="17"/>
  <c r="J8" i="17"/>
  <c r="S8" i="17" s="1"/>
  <c r="K8" i="17"/>
  <c r="T8" i="17" s="1"/>
  <c r="L8" i="17"/>
  <c r="U8" i="17" s="1"/>
  <c r="M8" i="17"/>
  <c r="V8" i="17" s="1"/>
  <c r="Q8" i="17"/>
  <c r="J9" i="17"/>
  <c r="S9" i="17" s="1"/>
  <c r="K9" i="17"/>
  <c r="T9" i="17" s="1"/>
  <c r="L9" i="17"/>
  <c r="U9" i="17" s="1"/>
  <c r="M9" i="17"/>
  <c r="V9" i="17" s="1"/>
  <c r="Q9" i="17"/>
  <c r="J10" i="17"/>
  <c r="S10" i="17" s="1"/>
  <c r="K10" i="17"/>
  <c r="T10" i="17" s="1"/>
  <c r="L10" i="17"/>
  <c r="U10" i="17" s="1"/>
  <c r="M10" i="17"/>
  <c r="V10" i="17" s="1"/>
  <c r="Q10" i="17"/>
  <c r="J11" i="17"/>
  <c r="S11" i="17" s="1"/>
  <c r="K11" i="17"/>
  <c r="T11" i="17" s="1"/>
  <c r="L11" i="17"/>
  <c r="U11" i="17" s="1"/>
  <c r="M11" i="17"/>
  <c r="V11" i="17" s="1"/>
  <c r="Q11" i="17"/>
  <c r="J12" i="17"/>
  <c r="S12" i="17" s="1"/>
  <c r="K12" i="17"/>
  <c r="T12" i="17" s="1"/>
  <c r="L12" i="17"/>
  <c r="U12" i="17" s="1"/>
  <c r="M12" i="17"/>
  <c r="V12" i="17" s="1"/>
  <c r="Q12" i="17"/>
  <c r="J13" i="17"/>
  <c r="S13" i="17" s="1"/>
  <c r="K13" i="17"/>
  <c r="T13" i="17" s="1"/>
  <c r="L13" i="17"/>
  <c r="U13" i="17" s="1"/>
  <c r="M13" i="17"/>
  <c r="V13" i="17" s="1"/>
  <c r="Q13" i="17"/>
  <c r="J14" i="17"/>
  <c r="S14" i="17" s="1"/>
  <c r="K14" i="17"/>
  <c r="T14" i="17" s="1"/>
  <c r="L14" i="17"/>
  <c r="U14" i="17" s="1"/>
  <c r="M14" i="17"/>
  <c r="V14" i="17" s="1"/>
  <c r="Q14" i="17"/>
  <c r="J15" i="17"/>
  <c r="S15" i="17" s="1"/>
  <c r="K15" i="17"/>
  <c r="T15" i="17" s="1"/>
  <c r="L15" i="17"/>
  <c r="U15" i="17" s="1"/>
  <c r="M15" i="17"/>
  <c r="V15" i="17" s="1"/>
  <c r="Q15" i="17"/>
  <c r="J16" i="17"/>
  <c r="S16" i="17" s="1"/>
  <c r="K16" i="17"/>
  <c r="T16" i="17" s="1"/>
  <c r="L16" i="17"/>
  <c r="U16" i="17" s="1"/>
  <c r="M16" i="17"/>
  <c r="V16" i="17" s="1"/>
  <c r="Q16" i="17"/>
  <c r="J17" i="17"/>
  <c r="S17" i="17" s="1"/>
  <c r="K17" i="17"/>
  <c r="T17" i="17" s="1"/>
  <c r="L17" i="17"/>
  <c r="U17" i="17" s="1"/>
  <c r="M17" i="17"/>
  <c r="V17" i="17" s="1"/>
  <c r="Q17" i="17"/>
  <c r="J18" i="17"/>
  <c r="S18" i="17" s="1"/>
  <c r="K18" i="17"/>
  <c r="T18" i="17" s="1"/>
  <c r="L18" i="17"/>
  <c r="U18" i="17" s="1"/>
  <c r="M18" i="17"/>
  <c r="V18" i="17" s="1"/>
  <c r="Q18" i="17"/>
  <c r="J19" i="17"/>
  <c r="S19" i="17" s="1"/>
  <c r="K19" i="17"/>
  <c r="T19" i="17" s="1"/>
  <c r="L19" i="17"/>
  <c r="U19" i="17" s="1"/>
  <c r="M19" i="17"/>
  <c r="V19" i="17" s="1"/>
  <c r="Q19" i="17"/>
  <c r="J20" i="17"/>
  <c r="S20" i="17" s="1"/>
  <c r="K20" i="17"/>
  <c r="T20" i="17" s="1"/>
  <c r="L20" i="17"/>
  <c r="U20" i="17" s="1"/>
  <c r="M20" i="17"/>
  <c r="V20" i="17" s="1"/>
  <c r="Q20" i="17"/>
  <c r="J21" i="17"/>
  <c r="S21" i="17" s="1"/>
  <c r="K21" i="17"/>
  <c r="T21" i="17" s="1"/>
  <c r="L21" i="17"/>
  <c r="U21" i="17" s="1"/>
  <c r="M21" i="17"/>
  <c r="V21" i="17" s="1"/>
  <c r="Q21" i="17"/>
  <c r="J22" i="17"/>
  <c r="S22" i="17" s="1"/>
  <c r="K22" i="17"/>
  <c r="T22" i="17" s="1"/>
  <c r="L22" i="17"/>
  <c r="U22" i="17" s="1"/>
  <c r="M22" i="17"/>
  <c r="V22" i="17" s="1"/>
  <c r="Q22" i="17"/>
  <c r="J23" i="17"/>
  <c r="S23" i="17" s="1"/>
  <c r="K23" i="17"/>
  <c r="T23" i="17" s="1"/>
  <c r="L23" i="17"/>
  <c r="U23" i="17" s="1"/>
  <c r="M23" i="17"/>
  <c r="V23" i="17" s="1"/>
  <c r="Q23" i="17"/>
  <c r="J24" i="17"/>
  <c r="S24" i="17" s="1"/>
  <c r="K24" i="17"/>
  <c r="T24" i="17" s="1"/>
  <c r="L24" i="17"/>
  <c r="U24" i="17" s="1"/>
  <c r="M24" i="17"/>
  <c r="V24" i="17" s="1"/>
  <c r="Q24" i="17"/>
  <c r="J25" i="17"/>
  <c r="S25" i="17" s="1"/>
  <c r="K25" i="17"/>
  <c r="T25" i="17" s="1"/>
  <c r="L25" i="17"/>
  <c r="U25" i="17" s="1"/>
  <c r="M25" i="17"/>
  <c r="V25" i="17" s="1"/>
  <c r="Q25" i="17"/>
  <c r="J26" i="17"/>
  <c r="S26" i="17" s="1"/>
  <c r="K26" i="17"/>
  <c r="T26" i="17" s="1"/>
  <c r="L26" i="17"/>
  <c r="U26" i="17" s="1"/>
  <c r="M26" i="17"/>
  <c r="V26" i="17" s="1"/>
  <c r="Q26" i="17"/>
  <c r="J27" i="17"/>
  <c r="S27" i="17" s="1"/>
  <c r="K27" i="17"/>
  <c r="T27" i="17" s="1"/>
  <c r="L27" i="17"/>
  <c r="U27" i="17" s="1"/>
  <c r="M27" i="17"/>
  <c r="V27" i="17" s="1"/>
  <c r="Q27" i="17"/>
  <c r="J28" i="17"/>
  <c r="S28" i="17" s="1"/>
  <c r="K28" i="17"/>
  <c r="T28" i="17" s="1"/>
  <c r="L28" i="17"/>
  <c r="U28" i="17" s="1"/>
  <c r="M28" i="17"/>
  <c r="V28" i="17" s="1"/>
  <c r="Q28" i="17"/>
  <c r="J29" i="17"/>
  <c r="S29" i="17" s="1"/>
  <c r="K29" i="17"/>
  <c r="T29" i="17" s="1"/>
  <c r="L29" i="17"/>
  <c r="U29" i="17" s="1"/>
  <c r="M29" i="17"/>
  <c r="V29" i="17" s="1"/>
  <c r="Q29" i="17"/>
  <c r="J30" i="17"/>
  <c r="S30" i="17" s="1"/>
  <c r="K30" i="17"/>
  <c r="T30" i="17" s="1"/>
  <c r="L30" i="17"/>
  <c r="U30" i="17" s="1"/>
  <c r="M30" i="17"/>
  <c r="V30" i="17" s="1"/>
  <c r="Q30" i="17"/>
  <c r="J31" i="17"/>
  <c r="S31" i="17" s="1"/>
  <c r="K31" i="17"/>
  <c r="T31" i="17" s="1"/>
  <c r="L31" i="17"/>
  <c r="U31" i="17" s="1"/>
  <c r="M31" i="17"/>
  <c r="V31" i="17" s="1"/>
  <c r="Q31" i="17"/>
  <c r="J32" i="17"/>
  <c r="S32" i="17" s="1"/>
  <c r="K32" i="17"/>
  <c r="T32" i="17" s="1"/>
  <c r="L32" i="17"/>
  <c r="U32" i="17" s="1"/>
  <c r="M32" i="17"/>
  <c r="V32" i="17" s="1"/>
  <c r="Q32" i="17"/>
  <c r="J33" i="17"/>
  <c r="S33" i="17" s="1"/>
  <c r="K33" i="17"/>
  <c r="T33" i="17" s="1"/>
  <c r="L33" i="17"/>
  <c r="U33" i="17" s="1"/>
  <c r="M33" i="17"/>
  <c r="V33" i="17" s="1"/>
  <c r="Q33" i="17"/>
  <c r="J34" i="17"/>
  <c r="S34" i="17" s="1"/>
  <c r="K34" i="17"/>
  <c r="T34" i="17" s="1"/>
  <c r="L34" i="17"/>
  <c r="U34" i="17" s="1"/>
  <c r="M34" i="17"/>
  <c r="V34" i="17" s="1"/>
  <c r="Q34" i="17"/>
  <c r="J35" i="17"/>
  <c r="S35" i="17" s="1"/>
  <c r="K35" i="17"/>
  <c r="T35" i="17" s="1"/>
  <c r="L35" i="17"/>
  <c r="U35" i="17" s="1"/>
  <c r="M35" i="17"/>
  <c r="V35" i="17" s="1"/>
  <c r="Q35" i="17"/>
  <c r="J36" i="17"/>
  <c r="S36" i="17" s="1"/>
  <c r="K36" i="17"/>
  <c r="T36" i="17" s="1"/>
  <c r="L36" i="17"/>
  <c r="U36" i="17" s="1"/>
  <c r="M36" i="17"/>
  <c r="V36" i="17" s="1"/>
  <c r="Q36" i="17"/>
  <c r="J37" i="17"/>
  <c r="S37" i="17" s="1"/>
  <c r="K37" i="17"/>
  <c r="T37" i="17" s="1"/>
  <c r="L37" i="17"/>
  <c r="U37" i="17" s="1"/>
  <c r="M37" i="17"/>
  <c r="V37" i="17" s="1"/>
  <c r="Q37" i="17"/>
  <c r="J38" i="17"/>
  <c r="S38" i="17" s="1"/>
  <c r="K38" i="17"/>
  <c r="T38" i="17" s="1"/>
  <c r="L38" i="17"/>
  <c r="U38" i="17" s="1"/>
  <c r="M38" i="17"/>
  <c r="V38" i="17" s="1"/>
  <c r="Q38" i="17"/>
  <c r="J39" i="17"/>
  <c r="S39" i="17" s="1"/>
  <c r="K39" i="17"/>
  <c r="T39" i="17" s="1"/>
  <c r="L39" i="17"/>
  <c r="U39" i="17" s="1"/>
  <c r="M39" i="17"/>
  <c r="V39" i="17" s="1"/>
  <c r="Q39" i="17"/>
  <c r="J40" i="17"/>
  <c r="S40" i="17" s="1"/>
  <c r="K40" i="17"/>
  <c r="T40" i="17" s="1"/>
  <c r="L40" i="17"/>
  <c r="U40" i="17" s="1"/>
  <c r="M40" i="17"/>
  <c r="V40" i="17" s="1"/>
  <c r="Q40" i="17"/>
  <c r="J41" i="17"/>
  <c r="S41" i="17" s="1"/>
  <c r="K41" i="17"/>
  <c r="T41" i="17" s="1"/>
  <c r="L41" i="17"/>
  <c r="U41" i="17" s="1"/>
  <c r="M41" i="17"/>
  <c r="V41" i="17" s="1"/>
  <c r="Q41" i="17"/>
  <c r="J42" i="17"/>
  <c r="S42" i="17" s="1"/>
  <c r="K42" i="17"/>
  <c r="T42" i="17" s="1"/>
  <c r="L42" i="17"/>
  <c r="U42" i="17" s="1"/>
  <c r="M42" i="17"/>
  <c r="V42" i="17" s="1"/>
  <c r="Q42" i="17"/>
  <c r="J43" i="17"/>
  <c r="S43" i="17" s="1"/>
  <c r="K43" i="17"/>
  <c r="T43" i="17" s="1"/>
  <c r="L43" i="17"/>
  <c r="U43" i="17" s="1"/>
  <c r="M43" i="17"/>
  <c r="V43" i="17" s="1"/>
  <c r="Q43" i="17"/>
  <c r="J44" i="17"/>
  <c r="S44" i="17" s="1"/>
  <c r="K44" i="17"/>
  <c r="T44" i="17" s="1"/>
  <c r="L44" i="17"/>
  <c r="U44" i="17" s="1"/>
  <c r="M44" i="17"/>
  <c r="V44" i="17" s="1"/>
  <c r="Q44" i="17"/>
  <c r="J45" i="17"/>
  <c r="S45" i="17" s="1"/>
  <c r="K45" i="17"/>
  <c r="T45" i="17" s="1"/>
  <c r="L45" i="17"/>
  <c r="U45" i="17" s="1"/>
  <c r="M45" i="17"/>
  <c r="V45" i="17" s="1"/>
  <c r="Q45" i="17"/>
  <c r="J46" i="17"/>
  <c r="S46" i="17" s="1"/>
  <c r="K46" i="17"/>
  <c r="T46" i="17" s="1"/>
  <c r="L46" i="17"/>
  <c r="U46" i="17" s="1"/>
  <c r="M46" i="17"/>
  <c r="V46" i="17" s="1"/>
  <c r="Q46" i="17"/>
  <c r="J47" i="17"/>
  <c r="S47" i="17" s="1"/>
  <c r="K47" i="17"/>
  <c r="T47" i="17" s="1"/>
  <c r="L47" i="17"/>
  <c r="U47" i="17" s="1"/>
  <c r="M47" i="17"/>
  <c r="V47" i="17" s="1"/>
  <c r="Q47" i="17"/>
  <c r="J48" i="17"/>
  <c r="S48" i="17" s="1"/>
  <c r="K48" i="17"/>
  <c r="T48" i="17" s="1"/>
  <c r="L48" i="17"/>
  <c r="U48" i="17" s="1"/>
  <c r="M48" i="17"/>
  <c r="V48" i="17" s="1"/>
  <c r="Q48" i="17"/>
  <c r="J49" i="17"/>
  <c r="S49" i="17" s="1"/>
  <c r="K49" i="17"/>
  <c r="T49" i="17" s="1"/>
  <c r="L49" i="17"/>
  <c r="U49" i="17" s="1"/>
  <c r="M49" i="17"/>
  <c r="V49" i="17" s="1"/>
  <c r="Q49" i="17"/>
  <c r="J50" i="17"/>
  <c r="S50" i="17" s="1"/>
  <c r="K50" i="17"/>
  <c r="T50" i="17" s="1"/>
  <c r="L50" i="17"/>
  <c r="U50" i="17" s="1"/>
  <c r="M50" i="17"/>
  <c r="V50" i="17" s="1"/>
  <c r="Q50" i="17"/>
  <c r="J51" i="17"/>
  <c r="S51" i="17" s="1"/>
  <c r="K51" i="17"/>
  <c r="T51" i="17" s="1"/>
  <c r="L51" i="17"/>
  <c r="U51" i="17" s="1"/>
  <c r="M51" i="17"/>
  <c r="V51" i="17" s="1"/>
  <c r="Q51" i="17"/>
  <c r="J52" i="17"/>
  <c r="S52" i="17" s="1"/>
  <c r="K52" i="17"/>
  <c r="T52" i="17" s="1"/>
  <c r="L52" i="17"/>
  <c r="U52" i="17" s="1"/>
  <c r="M52" i="17"/>
  <c r="V52" i="17" s="1"/>
  <c r="Q52" i="17"/>
  <c r="J53" i="17"/>
  <c r="S53" i="17" s="1"/>
  <c r="K53" i="17"/>
  <c r="T53" i="17" s="1"/>
  <c r="L53" i="17"/>
  <c r="U53" i="17" s="1"/>
  <c r="M53" i="17"/>
  <c r="V53" i="17" s="1"/>
  <c r="Q53" i="17"/>
  <c r="J54" i="17"/>
  <c r="S54" i="17" s="1"/>
  <c r="K54" i="17"/>
  <c r="T54" i="17" s="1"/>
  <c r="L54" i="17"/>
  <c r="U54" i="17" s="1"/>
  <c r="M54" i="17"/>
  <c r="V54" i="17" s="1"/>
  <c r="Q54" i="17"/>
  <c r="J55" i="17"/>
  <c r="S55" i="17" s="1"/>
  <c r="K55" i="17"/>
  <c r="T55" i="17" s="1"/>
  <c r="L55" i="17"/>
  <c r="U55" i="17" s="1"/>
  <c r="M55" i="17"/>
  <c r="V55" i="17" s="1"/>
  <c r="Q55" i="17"/>
  <c r="J56" i="17"/>
  <c r="S56" i="17" s="1"/>
  <c r="K56" i="17"/>
  <c r="T56" i="17" s="1"/>
  <c r="L56" i="17"/>
  <c r="U56" i="17" s="1"/>
  <c r="M56" i="17"/>
  <c r="V56" i="17" s="1"/>
  <c r="Q56" i="17"/>
  <c r="J57" i="17"/>
  <c r="S57" i="17" s="1"/>
  <c r="K57" i="17"/>
  <c r="T57" i="17" s="1"/>
  <c r="L57" i="17"/>
  <c r="U57" i="17" s="1"/>
  <c r="M57" i="17"/>
  <c r="V57" i="17" s="1"/>
  <c r="Q57" i="17"/>
  <c r="J58" i="17"/>
  <c r="S58" i="17" s="1"/>
  <c r="K58" i="17"/>
  <c r="T58" i="17" s="1"/>
  <c r="L58" i="17"/>
  <c r="U58" i="17" s="1"/>
  <c r="M58" i="17"/>
  <c r="V58" i="17" s="1"/>
  <c r="Q58" i="17"/>
  <c r="J59" i="17"/>
  <c r="S59" i="17" s="1"/>
  <c r="K59" i="17"/>
  <c r="T59" i="17" s="1"/>
  <c r="L59" i="17"/>
  <c r="U59" i="17" s="1"/>
  <c r="M59" i="17"/>
  <c r="V59" i="17" s="1"/>
  <c r="Q59" i="17"/>
  <c r="J60" i="17"/>
  <c r="S60" i="17" s="1"/>
  <c r="K60" i="17"/>
  <c r="T60" i="17" s="1"/>
  <c r="L60" i="17"/>
  <c r="U60" i="17" s="1"/>
  <c r="M60" i="17"/>
  <c r="V60" i="17" s="1"/>
  <c r="Q60" i="17"/>
  <c r="J61" i="17"/>
  <c r="S61" i="17" s="1"/>
  <c r="K61" i="17"/>
  <c r="T61" i="17" s="1"/>
  <c r="L61" i="17"/>
  <c r="U61" i="17" s="1"/>
  <c r="M61" i="17"/>
  <c r="V61" i="17" s="1"/>
  <c r="Q61" i="17"/>
  <c r="J62" i="17"/>
  <c r="S62" i="17" s="1"/>
  <c r="K62" i="17"/>
  <c r="T62" i="17" s="1"/>
  <c r="L62" i="17"/>
  <c r="U62" i="17" s="1"/>
  <c r="M62" i="17"/>
  <c r="V62" i="17" s="1"/>
  <c r="Q62" i="17"/>
  <c r="J63" i="17"/>
  <c r="S63" i="17" s="1"/>
  <c r="K63" i="17"/>
  <c r="T63" i="17" s="1"/>
  <c r="L63" i="17"/>
  <c r="U63" i="17" s="1"/>
  <c r="M63" i="17"/>
  <c r="V63" i="17" s="1"/>
  <c r="Q63" i="17"/>
  <c r="J64" i="17"/>
  <c r="S64" i="17" s="1"/>
  <c r="K64" i="17"/>
  <c r="T64" i="17" s="1"/>
  <c r="L64" i="17"/>
  <c r="U64" i="17" s="1"/>
  <c r="M64" i="17"/>
  <c r="V64" i="17" s="1"/>
  <c r="Q64" i="17"/>
  <c r="J65" i="17"/>
  <c r="S65" i="17" s="1"/>
  <c r="K65" i="17"/>
  <c r="T65" i="17" s="1"/>
  <c r="L65" i="17"/>
  <c r="U65" i="17" s="1"/>
  <c r="M65" i="17"/>
  <c r="V65" i="17" s="1"/>
  <c r="Q65" i="17"/>
  <c r="J66" i="17"/>
  <c r="S66" i="17" s="1"/>
  <c r="K66" i="17"/>
  <c r="T66" i="17" s="1"/>
  <c r="L66" i="17"/>
  <c r="U66" i="17" s="1"/>
  <c r="M66" i="17"/>
  <c r="V66" i="17" s="1"/>
  <c r="Q66" i="17"/>
  <c r="J67" i="17"/>
  <c r="S67" i="17" s="1"/>
  <c r="K67" i="17"/>
  <c r="T67" i="17" s="1"/>
  <c r="L67" i="17"/>
  <c r="U67" i="17" s="1"/>
  <c r="M67" i="17"/>
  <c r="V67" i="17" s="1"/>
  <c r="Q67" i="17"/>
  <c r="J68" i="17"/>
  <c r="S68" i="17" s="1"/>
  <c r="K68" i="17"/>
  <c r="T68" i="17" s="1"/>
  <c r="L68" i="17"/>
  <c r="U68" i="17" s="1"/>
  <c r="M68" i="17"/>
  <c r="V68" i="17" s="1"/>
  <c r="Q68" i="17"/>
  <c r="J69" i="17"/>
  <c r="S69" i="17" s="1"/>
  <c r="K69" i="17"/>
  <c r="T69" i="17" s="1"/>
  <c r="L69" i="17"/>
  <c r="U69" i="17" s="1"/>
  <c r="M69" i="17"/>
  <c r="V69" i="17" s="1"/>
  <c r="Q69" i="17"/>
  <c r="J70" i="17"/>
  <c r="S70" i="17" s="1"/>
  <c r="K70" i="17"/>
  <c r="T70" i="17" s="1"/>
  <c r="L70" i="17"/>
  <c r="U70" i="17" s="1"/>
  <c r="M70" i="17"/>
  <c r="V70" i="17" s="1"/>
  <c r="Q70" i="17"/>
  <c r="J71" i="17"/>
  <c r="S71" i="17" s="1"/>
  <c r="K71" i="17"/>
  <c r="T71" i="17" s="1"/>
  <c r="L71" i="17"/>
  <c r="U71" i="17" s="1"/>
  <c r="M71" i="17"/>
  <c r="V71" i="17" s="1"/>
  <c r="Q71" i="17"/>
  <c r="J72" i="17"/>
  <c r="S72" i="17" s="1"/>
  <c r="K72" i="17"/>
  <c r="T72" i="17" s="1"/>
  <c r="L72" i="17"/>
  <c r="U72" i="17" s="1"/>
  <c r="M72" i="17"/>
  <c r="V72" i="17" s="1"/>
  <c r="Q72" i="17"/>
  <c r="J73" i="17"/>
  <c r="S73" i="17" s="1"/>
  <c r="K73" i="17"/>
  <c r="T73" i="17" s="1"/>
  <c r="L73" i="17"/>
  <c r="U73" i="17" s="1"/>
  <c r="M73" i="17"/>
  <c r="V73" i="17" s="1"/>
  <c r="Q73" i="17"/>
  <c r="J74" i="17"/>
  <c r="S74" i="17" s="1"/>
  <c r="K74" i="17"/>
  <c r="T74" i="17" s="1"/>
  <c r="L74" i="17"/>
  <c r="U74" i="17" s="1"/>
  <c r="M74" i="17"/>
  <c r="V74" i="17" s="1"/>
  <c r="Q74" i="17"/>
  <c r="J75" i="17"/>
  <c r="S75" i="17" s="1"/>
  <c r="K75" i="17"/>
  <c r="T75" i="17" s="1"/>
  <c r="L75" i="17"/>
  <c r="U75" i="17" s="1"/>
  <c r="M75" i="17"/>
  <c r="V75" i="17" s="1"/>
  <c r="Q75" i="17"/>
  <c r="J76" i="17"/>
  <c r="S76" i="17" s="1"/>
  <c r="K76" i="17"/>
  <c r="T76" i="17" s="1"/>
  <c r="L76" i="17"/>
  <c r="U76" i="17" s="1"/>
  <c r="M76" i="17"/>
  <c r="V76" i="17" s="1"/>
  <c r="Q76" i="17"/>
  <c r="J77" i="17"/>
  <c r="S77" i="17" s="1"/>
  <c r="K77" i="17"/>
  <c r="T77" i="17" s="1"/>
  <c r="L77" i="17"/>
  <c r="U77" i="17" s="1"/>
  <c r="M77" i="17"/>
  <c r="V77" i="17" s="1"/>
  <c r="Q77" i="17"/>
  <c r="J78" i="17"/>
  <c r="S78" i="17" s="1"/>
  <c r="K78" i="17"/>
  <c r="T78" i="17" s="1"/>
  <c r="L78" i="17"/>
  <c r="U78" i="17" s="1"/>
  <c r="M78" i="17"/>
  <c r="V78" i="17" s="1"/>
  <c r="Q78" i="17"/>
  <c r="J79" i="17"/>
  <c r="S79" i="17" s="1"/>
  <c r="K79" i="17"/>
  <c r="T79" i="17" s="1"/>
  <c r="L79" i="17"/>
  <c r="U79" i="17" s="1"/>
  <c r="M79" i="17"/>
  <c r="V79" i="17" s="1"/>
  <c r="Q79" i="17"/>
  <c r="J80" i="17"/>
  <c r="S80" i="17" s="1"/>
  <c r="K80" i="17"/>
  <c r="T80" i="17" s="1"/>
  <c r="L80" i="17"/>
  <c r="U80" i="17" s="1"/>
  <c r="M80" i="17"/>
  <c r="V80" i="17" s="1"/>
  <c r="Q80" i="17"/>
  <c r="J81" i="17"/>
  <c r="S81" i="17" s="1"/>
  <c r="K81" i="17"/>
  <c r="T81" i="17" s="1"/>
  <c r="L81" i="17"/>
  <c r="U81" i="17" s="1"/>
  <c r="M81" i="17"/>
  <c r="V81" i="17" s="1"/>
  <c r="Q81" i="17"/>
  <c r="J82" i="17"/>
  <c r="S82" i="17" s="1"/>
  <c r="K82" i="17"/>
  <c r="T82" i="17" s="1"/>
  <c r="L82" i="17"/>
  <c r="U82" i="17" s="1"/>
  <c r="M82" i="17"/>
  <c r="V82" i="17" s="1"/>
  <c r="Q82" i="17"/>
  <c r="J83" i="17"/>
  <c r="S83" i="17" s="1"/>
  <c r="K83" i="17"/>
  <c r="T83" i="17" s="1"/>
  <c r="L83" i="17"/>
  <c r="U83" i="17" s="1"/>
  <c r="M83" i="17"/>
  <c r="V83" i="17" s="1"/>
  <c r="Q83" i="17"/>
  <c r="J84" i="17"/>
  <c r="S84" i="17" s="1"/>
  <c r="K84" i="17"/>
  <c r="T84" i="17" s="1"/>
  <c r="L84" i="17"/>
  <c r="U84" i="17" s="1"/>
  <c r="M84" i="17"/>
  <c r="V84" i="17" s="1"/>
  <c r="Q84" i="17"/>
  <c r="J85" i="17"/>
  <c r="S85" i="17" s="1"/>
  <c r="K85" i="17"/>
  <c r="T85" i="17" s="1"/>
  <c r="L85" i="17"/>
  <c r="U85" i="17" s="1"/>
  <c r="M85" i="17"/>
  <c r="V85" i="17" s="1"/>
  <c r="Q85" i="17"/>
  <c r="J86" i="17"/>
  <c r="S86" i="17" s="1"/>
  <c r="K86" i="17"/>
  <c r="T86" i="17" s="1"/>
  <c r="L86" i="17"/>
  <c r="U86" i="17" s="1"/>
  <c r="M86" i="17"/>
  <c r="V86" i="17" s="1"/>
  <c r="Q86" i="17"/>
  <c r="J87" i="17"/>
  <c r="S87" i="17" s="1"/>
  <c r="K87" i="17"/>
  <c r="T87" i="17" s="1"/>
  <c r="L87" i="17"/>
  <c r="U87" i="17" s="1"/>
  <c r="M87" i="17"/>
  <c r="V87" i="17" s="1"/>
  <c r="Q87" i="17"/>
  <c r="J88" i="17"/>
  <c r="S88" i="17" s="1"/>
  <c r="K88" i="17"/>
  <c r="T88" i="17" s="1"/>
  <c r="L88" i="17"/>
  <c r="U88" i="17" s="1"/>
  <c r="M88" i="17"/>
  <c r="V88" i="17" s="1"/>
  <c r="Q88" i="17"/>
  <c r="J89" i="17"/>
  <c r="S89" i="17" s="1"/>
  <c r="K89" i="17"/>
  <c r="T89" i="17" s="1"/>
  <c r="L89" i="17"/>
  <c r="U89" i="17" s="1"/>
  <c r="M89" i="17"/>
  <c r="V89" i="17" s="1"/>
  <c r="Q89" i="17"/>
  <c r="J90" i="17"/>
  <c r="S90" i="17" s="1"/>
  <c r="K90" i="17"/>
  <c r="T90" i="17" s="1"/>
  <c r="L90" i="17"/>
  <c r="U90" i="17" s="1"/>
  <c r="M90" i="17"/>
  <c r="V90" i="17" s="1"/>
  <c r="Q90" i="17"/>
  <c r="J91" i="17"/>
  <c r="S91" i="17" s="1"/>
  <c r="K91" i="17"/>
  <c r="T91" i="17" s="1"/>
  <c r="L91" i="17"/>
  <c r="U91" i="17" s="1"/>
  <c r="M91" i="17"/>
  <c r="V91" i="17" s="1"/>
  <c r="Q91" i="17"/>
  <c r="J92" i="17"/>
  <c r="S92" i="17" s="1"/>
  <c r="K92" i="17"/>
  <c r="T92" i="17" s="1"/>
  <c r="L92" i="17"/>
  <c r="U92" i="17" s="1"/>
  <c r="M92" i="17"/>
  <c r="V92" i="17" s="1"/>
  <c r="Q92" i="17"/>
  <c r="J93" i="17"/>
  <c r="S93" i="17" s="1"/>
  <c r="K93" i="17"/>
  <c r="T93" i="17" s="1"/>
  <c r="L93" i="17"/>
  <c r="U93" i="17" s="1"/>
  <c r="M93" i="17"/>
  <c r="V93" i="17" s="1"/>
  <c r="Q93" i="17"/>
  <c r="J94" i="17"/>
  <c r="S94" i="17" s="1"/>
  <c r="K94" i="17"/>
  <c r="T94" i="17" s="1"/>
  <c r="L94" i="17"/>
  <c r="U94" i="17" s="1"/>
  <c r="M94" i="17"/>
  <c r="V94" i="17" s="1"/>
  <c r="Q94" i="17"/>
  <c r="J95" i="17"/>
  <c r="S95" i="17" s="1"/>
  <c r="K95" i="17"/>
  <c r="T95" i="17" s="1"/>
  <c r="L95" i="17"/>
  <c r="U95" i="17" s="1"/>
  <c r="M95" i="17"/>
  <c r="V95" i="17" s="1"/>
  <c r="Q95" i="17"/>
  <c r="J96" i="17"/>
  <c r="S96" i="17" s="1"/>
  <c r="K96" i="17"/>
  <c r="T96" i="17" s="1"/>
  <c r="L96" i="17"/>
  <c r="U96" i="17" s="1"/>
  <c r="M96" i="17"/>
  <c r="V96" i="17" s="1"/>
  <c r="Q96" i="17"/>
  <c r="J97" i="17"/>
  <c r="S97" i="17" s="1"/>
  <c r="K97" i="17"/>
  <c r="T97" i="17" s="1"/>
  <c r="L97" i="17"/>
  <c r="U97" i="17" s="1"/>
  <c r="M97" i="17"/>
  <c r="V97" i="17" s="1"/>
  <c r="Q97" i="17"/>
  <c r="J98" i="17"/>
  <c r="S98" i="17" s="1"/>
  <c r="K98" i="17"/>
  <c r="T98" i="17" s="1"/>
  <c r="L98" i="17"/>
  <c r="U98" i="17" s="1"/>
  <c r="M98" i="17"/>
  <c r="V98" i="17" s="1"/>
  <c r="Q98" i="17"/>
  <c r="J99" i="17"/>
  <c r="S99" i="17" s="1"/>
  <c r="K99" i="17"/>
  <c r="T99" i="17" s="1"/>
  <c r="L99" i="17"/>
  <c r="U99" i="17" s="1"/>
  <c r="M99" i="17"/>
  <c r="V99" i="17" s="1"/>
  <c r="Q99" i="17"/>
  <c r="J100" i="17"/>
  <c r="S100" i="17" s="1"/>
  <c r="K100" i="17"/>
  <c r="T100" i="17" s="1"/>
  <c r="L100" i="17"/>
  <c r="U100" i="17" s="1"/>
  <c r="M100" i="17"/>
  <c r="V100" i="17" s="1"/>
  <c r="Q100" i="17"/>
  <c r="J101" i="17"/>
  <c r="S101" i="17" s="1"/>
  <c r="K101" i="17"/>
  <c r="T101" i="17" s="1"/>
  <c r="L101" i="17"/>
  <c r="U101" i="17" s="1"/>
  <c r="M101" i="17"/>
  <c r="V101" i="17" s="1"/>
  <c r="Q101" i="17"/>
  <c r="J102" i="17"/>
  <c r="S102" i="17" s="1"/>
  <c r="K102" i="17"/>
  <c r="T102" i="17" s="1"/>
  <c r="L102" i="17"/>
  <c r="U102" i="17" s="1"/>
  <c r="M102" i="17"/>
  <c r="V102" i="17" s="1"/>
  <c r="Q102" i="17"/>
  <c r="J103" i="17"/>
  <c r="S103" i="17" s="1"/>
  <c r="K103" i="17"/>
  <c r="T103" i="17" s="1"/>
  <c r="L103" i="17"/>
  <c r="U103" i="17" s="1"/>
  <c r="M103" i="17"/>
  <c r="V103" i="17" s="1"/>
  <c r="Q103" i="17"/>
  <c r="J104" i="17"/>
  <c r="S104" i="17" s="1"/>
  <c r="K104" i="17"/>
  <c r="T104" i="17" s="1"/>
  <c r="L104" i="17"/>
  <c r="U104" i="17" s="1"/>
  <c r="M104" i="17"/>
  <c r="V104" i="17" s="1"/>
  <c r="Q104" i="17"/>
  <c r="J105" i="17"/>
  <c r="S105" i="17" s="1"/>
  <c r="K105" i="17"/>
  <c r="T105" i="17" s="1"/>
  <c r="L105" i="17"/>
  <c r="U105" i="17" s="1"/>
  <c r="M105" i="17"/>
  <c r="V105" i="17" s="1"/>
  <c r="Q105" i="17"/>
  <c r="J106" i="17"/>
  <c r="S106" i="17" s="1"/>
  <c r="K106" i="17"/>
  <c r="T106" i="17" s="1"/>
  <c r="L106" i="17"/>
  <c r="U106" i="17" s="1"/>
  <c r="M106" i="17"/>
  <c r="V106" i="17" s="1"/>
  <c r="Q106" i="17"/>
  <c r="J107" i="17"/>
  <c r="S107" i="17" s="1"/>
  <c r="K107" i="17"/>
  <c r="T107" i="17" s="1"/>
  <c r="L107" i="17"/>
  <c r="U107" i="17" s="1"/>
  <c r="M107" i="17"/>
  <c r="V107" i="17" s="1"/>
  <c r="Q107" i="17"/>
  <c r="J108" i="17"/>
  <c r="S108" i="17" s="1"/>
  <c r="K108" i="17"/>
  <c r="T108" i="17" s="1"/>
  <c r="L108" i="17"/>
  <c r="U108" i="17" s="1"/>
  <c r="M108" i="17"/>
  <c r="V108" i="17" s="1"/>
  <c r="Q108" i="17"/>
  <c r="J109" i="17"/>
  <c r="S109" i="17" s="1"/>
  <c r="K109" i="17"/>
  <c r="T109" i="17" s="1"/>
  <c r="L109" i="17"/>
  <c r="U109" i="17" s="1"/>
  <c r="M109" i="17"/>
  <c r="V109" i="17" s="1"/>
  <c r="Q109" i="17"/>
  <c r="J110" i="17"/>
  <c r="S110" i="17" s="1"/>
  <c r="K110" i="17"/>
  <c r="T110" i="17" s="1"/>
  <c r="L110" i="17"/>
  <c r="U110" i="17" s="1"/>
  <c r="M110" i="17"/>
  <c r="V110" i="17" s="1"/>
  <c r="Q110" i="17"/>
  <c r="J111" i="17"/>
  <c r="S111" i="17" s="1"/>
  <c r="K111" i="17"/>
  <c r="T111" i="17" s="1"/>
  <c r="L111" i="17"/>
  <c r="U111" i="17" s="1"/>
  <c r="M111" i="17"/>
  <c r="V111" i="17" s="1"/>
  <c r="Q111" i="17"/>
  <c r="J112" i="17"/>
  <c r="S112" i="17" s="1"/>
  <c r="K112" i="17"/>
  <c r="T112" i="17" s="1"/>
  <c r="L112" i="17"/>
  <c r="U112" i="17" s="1"/>
  <c r="M112" i="17"/>
  <c r="V112" i="17" s="1"/>
  <c r="Q112" i="17"/>
  <c r="J121" i="17"/>
  <c r="S117" i="17" s="1"/>
  <c r="K121" i="17"/>
  <c r="T117" i="17" s="1"/>
  <c r="L121" i="17"/>
  <c r="U117" i="17" s="1"/>
  <c r="J122" i="17"/>
  <c r="S118" i="17" s="1"/>
  <c r="K122" i="17"/>
  <c r="T118" i="17" s="1"/>
  <c r="L122" i="17"/>
  <c r="U118" i="17" s="1"/>
  <c r="J123" i="17"/>
  <c r="S119" i="17" s="1"/>
  <c r="K123" i="17"/>
  <c r="T119" i="17" s="1"/>
  <c r="L123" i="17"/>
  <c r="U119" i="17" s="1"/>
  <c r="J124" i="17"/>
  <c r="S120" i="17" s="1"/>
  <c r="K124" i="17"/>
  <c r="T120" i="17" s="1"/>
  <c r="L124" i="17"/>
  <c r="U120" i="17" s="1"/>
  <c r="J125" i="17"/>
  <c r="S121" i="17" s="1"/>
  <c r="K125" i="17"/>
  <c r="T121" i="17" s="1"/>
  <c r="L125" i="17"/>
  <c r="U121" i="17" s="1"/>
  <c r="J126" i="17"/>
  <c r="S122" i="17" s="1"/>
  <c r="K126" i="17"/>
  <c r="T122" i="17" s="1"/>
  <c r="L126" i="17"/>
  <c r="U122" i="17" s="1"/>
  <c r="J127" i="17"/>
  <c r="S123" i="17" s="1"/>
  <c r="K127" i="17"/>
  <c r="T123" i="17" s="1"/>
  <c r="L127" i="17"/>
  <c r="U123" i="17" s="1"/>
  <c r="J128" i="17"/>
  <c r="S124" i="17" s="1"/>
  <c r="K128" i="17"/>
  <c r="T124" i="17" s="1"/>
  <c r="L128" i="17"/>
  <c r="U124" i="17" s="1"/>
  <c r="J129" i="17"/>
  <c r="S125" i="17" s="1"/>
  <c r="K129" i="17"/>
  <c r="T125" i="17" s="1"/>
  <c r="L129" i="17"/>
  <c r="U125" i="17" s="1"/>
  <c r="J130" i="17"/>
  <c r="S126" i="17" s="1"/>
  <c r="K130" i="17"/>
  <c r="T126" i="17" s="1"/>
  <c r="L130" i="17"/>
  <c r="U126" i="17" s="1"/>
  <c r="J131" i="17"/>
  <c r="S127" i="17" s="1"/>
  <c r="K131" i="17"/>
  <c r="T127" i="17" s="1"/>
  <c r="L131" i="17"/>
  <c r="U127" i="17" s="1"/>
  <c r="J132" i="17"/>
  <c r="S128" i="17" s="1"/>
  <c r="K132" i="17"/>
  <c r="T128" i="17" s="1"/>
  <c r="L132" i="17"/>
  <c r="U128" i="17" s="1"/>
  <c r="J133" i="17"/>
  <c r="S129" i="17" s="1"/>
  <c r="K133" i="17"/>
  <c r="T129" i="17" s="1"/>
  <c r="L133" i="17"/>
  <c r="U129" i="17" s="1"/>
  <c r="C329" i="1"/>
  <c r="O329" i="1"/>
  <c r="P329" i="1" s="1"/>
  <c r="Q329" i="1" s="1"/>
  <c r="C7" i="19" l="1"/>
  <c r="D7" i="19" s="1"/>
  <c r="H5" i="19"/>
  <c r="F6" i="19"/>
  <c r="G6" i="19" s="1"/>
  <c r="E7" i="19"/>
  <c r="C8" i="19" s="1"/>
  <c r="D8" i="19" s="1"/>
  <c r="AP351" i="1"/>
  <c r="AP347" i="1"/>
  <c r="AP343" i="1"/>
  <c r="AP339" i="1"/>
  <c r="AP353" i="1"/>
  <c r="AP345" i="1"/>
  <c r="AP340" i="1"/>
  <c r="AP350" i="1"/>
  <c r="AP342" i="1"/>
  <c r="AP336" i="1"/>
  <c r="AP352" i="1"/>
  <c r="AP348" i="1"/>
  <c r="AP344" i="1"/>
  <c r="AP354" i="1"/>
  <c r="AP349" i="1"/>
  <c r="AP341" i="1"/>
  <c r="AP337" i="1"/>
  <c r="AP346" i="1"/>
  <c r="AP338" i="1"/>
  <c r="AP333" i="1"/>
  <c r="AP206" i="1"/>
  <c r="AP196" i="1"/>
  <c r="AP220" i="1"/>
  <c r="AP65" i="1"/>
  <c r="AP334" i="1"/>
  <c r="AP207" i="1"/>
  <c r="AP335" i="1"/>
  <c r="AP194" i="1"/>
  <c r="AP195" i="1"/>
  <c r="AP73" i="1"/>
  <c r="AP72" i="1"/>
  <c r="AP230" i="1"/>
  <c r="AP23" i="1"/>
  <c r="AP17" i="1"/>
  <c r="AP16" i="1"/>
  <c r="AP104" i="1"/>
  <c r="AP228" i="1"/>
  <c r="AP103" i="1"/>
  <c r="AP330" i="1"/>
  <c r="AP4" i="1"/>
  <c r="AP246" i="1"/>
  <c r="AP247" i="1"/>
  <c r="AP257" i="1"/>
  <c r="AP252" i="1"/>
  <c r="AP256" i="1"/>
  <c r="AP41" i="1"/>
  <c r="AP267" i="1"/>
  <c r="AP189" i="1"/>
  <c r="AP68" i="1"/>
  <c r="AP212" i="1"/>
  <c r="AP211" i="1"/>
  <c r="AP121" i="1"/>
  <c r="AP38" i="1"/>
  <c r="AP39" i="1"/>
  <c r="AP237" i="1"/>
  <c r="AP31" i="1"/>
  <c r="AP118" i="1"/>
  <c r="AP266" i="1"/>
  <c r="AP239" i="1"/>
  <c r="AP172" i="1"/>
  <c r="AP131" i="1"/>
  <c r="AP309" i="1"/>
  <c r="AP236" i="1"/>
  <c r="AP183" i="1"/>
  <c r="AP10" i="1"/>
  <c r="AP112" i="1"/>
  <c r="AP113" i="1"/>
  <c r="AP204" i="1"/>
  <c r="AP203" i="1"/>
  <c r="AP135" i="1"/>
  <c r="AP134" i="1"/>
  <c r="AP187" i="1"/>
  <c r="AP186" i="1"/>
  <c r="AP70" i="1"/>
  <c r="AP69" i="1"/>
  <c r="AP298" i="1"/>
  <c r="AP297" i="1"/>
  <c r="AP249" i="1"/>
  <c r="AP248" i="1"/>
  <c r="AP234" i="1"/>
  <c r="AP233" i="1"/>
  <c r="AP263" i="1"/>
  <c r="AP164" i="1"/>
  <c r="AP300" i="1"/>
  <c r="AP208" i="1"/>
  <c r="AP171" i="1"/>
  <c r="AP232" i="1"/>
  <c r="AP231" i="1"/>
  <c r="AP295" i="1"/>
  <c r="AP294" i="1"/>
  <c r="AP293" i="1"/>
  <c r="AP227" i="1"/>
  <c r="AP328" i="1"/>
  <c r="AP78" i="1"/>
  <c r="AP238" i="1"/>
  <c r="AP170" i="1"/>
  <c r="AP273" i="1"/>
  <c r="AP182" i="1"/>
  <c r="AP313" i="1"/>
  <c r="AP312" i="1"/>
  <c r="AP311" i="1"/>
  <c r="AP255" i="1"/>
  <c r="AP315" i="1"/>
  <c r="AP138" i="1"/>
  <c r="AP137" i="1"/>
  <c r="AP224" i="1"/>
  <c r="AP223" i="1"/>
  <c r="AP166" i="1"/>
  <c r="AP167" i="1"/>
  <c r="R329" i="1"/>
  <c r="AP180" i="1"/>
  <c r="AP179" i="1"/>
  <c r="AP178" i="1"/>
  <c r="AP177" i="1"/>
  <c r="AP327" i="1"/>
  <c r="AP326" i="1"/>
  <c r="AP325" i="1"/>
  <c r="AP126" i="1"/>
  <c r="AP243" i="1"/>
  <c r="AP281" i="1"/>
  <c r="AP280" i="1"/>
  <c r="AP240" i="1"/>
  <c r="AP258" i="1"/>
  <c r="AP198" i="1"/>
  <c r="AP26" i="1"/>
  <c r="AP317" i="1"/>
  <c r="AP292" i="1"/>
  <c r="AP308" i="1"/>
  <c r="AP307" i="1"/>
  <c r="AP217" i="1"/>
  <c r="AP190" i="1"/>
  <c r="AP259" i="1"/>
  <c r="AP289" i="1"/>
  <c r="AP284" i="1"/>
  <c r="AP283" i="1"/>
  <c r="AP282" i="1"/>
  <c r="AP40" i="1"/>
  <c r="AP43" i="1"/>
  <c r="AP42" i="1"/>
  <c r="AP33" i="1"/>
  <c r="AP32" i="1"/>
  <c r="AP192" i="1"/>
  <c r="AP191" i="1"/>
  <c r="AP132" i="1"/>
  <c r="AP2" i="1"/>
  <c r="AP3" i="1"/>
  <c r="AP5" i="1"/>
  <c r="AP6" i="1"/>
  <c r="AP7" i="1"/>
  <c r="AP8" i="1"/>
  <c r="AP9" i="1"/>
  <c r="AP11" i="1"/>
  <c r="AP12" i="1"/>
  <c r="AP13" i="1"/>
  <c r="AP14" i="1"/>
  <c r="AP15" i="1"/>
  <c r="AP18" i="1"/>
  <c r="AP19" i="1"/>
  <c r="AP20" i="1"/>
  <c r="AP21" i="1"/>
  <c r="AP22" i="1"/>
  <c r="AP24" i="1"/>
  <c r="AP25" i="1"/>
  <c r="AP27" i="1"/>
  <c r="AP28" i="1"/>
  <c r="AP29" i="1"/>
  <c r="AP30" i="1"/>
  <c r="AP34" i="1"/>
  <c r="AP35" i="1"/>
  <c r="AP36" i="1"/>
  <c r="AP37" i="1"/>
  <c r="AP44" i="1"/>
  <c r="AP45" i="1"/>
  <c r="AP46" i="1"/>
  <c r="AP116" i="1"/>
  <c r="AP48" i="1"/>
  <c r="AP49" i="1"/>
  <c r="AP120" i="1"/>
  <c r="AP56" i="1"/>
  <c r="AP80" i="1"/>
  <c r="AP323" i="1"/>
  <c r="AP54" i="1"/>
  <c r="AP55" i="1"/>
  <c r="AP242" i="1"/>
  <c r="AP57" i="1"/>
  <c r="AP58" i="1"/>
  <c r="AP251" i="1"/>
  <c r="AP60" i="1"/>
  <c r="AP61" i="1"/>
  <c r="AP62" i="1"/>
  <c r="AP63" i="1"/>
  <c r="AP64" i="1"/>
  <c r="AP66" i="1"/>
  <c r="AP67" i="1"/>
  <c r="AP71" i="1"/>
  <c r="AP74" i="1"/>
  <c r="AP75" i="1"/>
  <c r="AP76" i="1"/>
  <c r="AP77" i="1"/>
  <c r="AP79" i="1"/>
  <c r="AP5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59" i="1"/>
  <c r="AP97" i="1"/>
  <c r="AP98" i="1"/>
  <c r="AP99" i="1"/>
  <c r="AP100" i="1"/>
  <c r="AP101" i="1"/>
  <c r="AP102" i="1"/>
  <c r="AP105" i="1"/>
  <c r="AP245" i="1"/>
  <c r="AP108" i="1"/>
  <c r="AP107" i="1"/>
  <c r="AP109" i="1"/>
  <c r="AP110" i="1"/>
  <c r="AP111" i="1"/>
  <c r="AP114" i="1"/>
  <c r="AP115" i="1"/>
  <c r="AP53" i="1"/>
  <c r="AP117" i="1"/>
  <c r="AP119" i="1"/>
  <c r="AP96" i="1"/>
  <c r="AP122" i="1"/>
  <c r="AP123" i="1"/>
  <c r="AP124" i="1"/>
  <c r="AP125" i="1"/>
  <c r="AP127" i="1"/>
  <c r="AP128" i="1"/>
  <c r="AP129" i="1"/>
  <c r="AP130" i="1"/>
  <c r="AP133" i="1"/>
  <c r="AP136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5" i="1"/>
  <c r="AP168" i="1"/>
  <c r="AP169" i="1"/>
  <c r="AP173" i="1"/>
  <c r="AP174" i="1"/>
  <c r="AP175" i="1"/>
  <c r="AP176" i="1"/>
  <c r="AP181" i="1"/>
  <c r="AP184" i="1"/>
  <c r="AP185" i="1"/>
  <c r="AP188" i="1"/>
  <c r="AP193" i="1"/>
  <c r="AP199" i="1"/>
  <c r="AP200" i="1"/>
  <c r="AP201" i="1"/>
  <c r="AP202" i="1"/>
  <c r="AP205" i="1"/>
  <c r="AP209" i="1"/>
  <c r="AP210" i="1"/>
  <c r="AP213" i="1"/>
  <c r="AP216" i="1"/>
  <c r="AP218" i="1"/>
  <c r="AP219" i="1"/>
  <c r="AP221" i="1"/>
  <c r="AP244" i="1"/>
  <c r="AP229" i="1"/>
  <c r="AP235" i="1"/>
  <c r="AP241" i="1"/>
  <c r="AP278" i="1"/>
  <c r="AP222" i="1"/>
  <c r="AP322" i="1"/>
  <c r="AP250" i="1"/>
  <c r="AP324" i="1"/>
  <c r="AP253" i="1"/>
  <c r="AP254" i="1"/>
  <c r="AP260" i="1"/>
  <c r="AP261" i="1"/>
  <c r="AP262" i="1"/>
  <c r="AP264" i="1"/>
  <c r="AP265" i="1"/>
  <c r="AP268" i="1"/>
  <c r="AP269" i="1"/>
  <c r="AP270" i="1"/>
  <c r="AP271" i="1"/>
  <c r="AP272" i="1"/>
  <c r="AP274" i="1"/>
  <c r="AP275" i="1"/>
  <c r="AP276" i="1"/>
  <c r="AP277" i="1"/>
  <c r="AP106" i="1"/>
  <c r="AP279" i="1"/>
  <c r="AP285" i="1"/>
  <c r="AP286" i="1"/>
  <c r="AP287" i="1"/>
  <c r="AP288" i="1"/>
  <c r="AP290" i="1"/>
  <c r="AP291" i="1"/>
  <c r="AP296" i="1"/>
  <c r="AP299" i="1"/>
  <c r="AP301" i="1"/>
  <c r="AP302" i="1"/>
  <c r="AP303" i="1"/>
  <c r="AP304" i="1"/>
  <c r="AP305" i="1"/>
  <c r="AP306" i="1"/>
  <c r="AP310" i="1"/>
  <c r="AP197" i="1"/>
  <c r="AP316" i="1"/>
  <c r="AP318" i="1"/>
  <c r="AP319" i="1"/>
  <c r="AP320" i="1"/>
  <c r="AP321" i="1"/>
  <c r="AP51" i="1"/>
  <c r="AP52" i="1"/>
  <c r="AP47" i="1"/>
  <c r="AP329" i="1"/>
  <c r="AP331" i="1"/>
  <c r="AP332" i="1"/>
  <c r="AP314" i="1"/>
  <c r="AP225" i="1"/>
  <c r="AP226" i="1"/>
  <c r="AP214" i="1"/>
  <c r="AP215" i="1"/>
  <c r="H6" i="19" l="1"/>
  <c r="F7" i="19"/>
  <c r="G7" i="19" s="1"/>
  <c r="E8" i="19"/>
  <c r="C9" i="19" s="1"/>
  <c r="D9" i="19" s="1"/>
  <c r="E9" i="19" s="1"/>
  <c r="C331" i="1"/>
  <c r="O331" i="1"/>
  <c r="P331" i="1" s="1"/>
  <c r="Q331" i="1" s="1"/>
  <c r="F8" i="19" l="1"/>
  <c r="G8" i="19" s="1"/>
  <c r="H7" i="19"/>
  <c r="F9" i="19"/>
  <c r="C10" i="19"/>
  <c r="D10" i="19" s="1"/>
  <c r="R331" i="1"/>
  <c r="C332" i="1"/>
  <c r="O332" i="1"/>
  <c r="P332" i="1" s="1"/>
  <c r="Q332" i="1" s="1"/>
  <c r="H8" i="19" l="1"/>
  <c r="G9" i="19"/>
  <c r="H9" i="19"/>
  <c r="E10" i="19"/>
  <c r="F10" i="19" s="1"/>
  <c r="R332" i="1"/>
  <c r="C254" i="1"/>
  <c r="O254" i="1"/>
  <c r="P254" i="1" s="1"/>
  <c r="Q254" i="1" s="1"/>
  <c r="G10" i="19" l="1"/>
  <c r="H10" i="19"/>
  <c r="C11" i="19"/>
  <c r="D11" i="19" s="1"/>
  <c r="R254" i="1"/>
  <c r="C260" i="1"/>
  <c r="O260" i="1"/>
  <c r="P260" i="1" s="1"/>
  <c r="Q260" i="1" s="1"/>
  <c r="E11" i="19" l="1"/>
  <c r="F11" i="19" s="1"/>
  <c r="R260" i="1"/>
  <c r="C261" i="1"/>
  <c r="O261" i="1"/>
  <c r="P261" i="1" s="1"/>
  <c r="Q261" i="1" s="1"/>
  <c r="G11" i="19" l="1"/>
  <c r="H11" i="19"/>
  <c r="C12" i="19"/>
  <c r="D12" i="19" s="1"/>
  <c r="R261" i="1"/>
  <c r="C262" i="1"/>
  <c r="O262" i="1"/>
  <c r="P262" i="1" s="1"/>
  <c r="Q262" i="1" s="1"/>
  <c r="E12" i="19" l="1"/>
  <c r="R262" i="1"/>
  <c r="C264" i="1"/>
  <c r="O264" i="1"/>
  <c r="P264" i="1" s="1"/>
  <c r="Q264" i="1" s="1"/>
  <c r="C13" i="19" l="1"/>
  <c r="D13" i="19" s="1"/>
  <c r="F12" i="19"/>
  <c r="R264" i="1"/>
  <c r="C265" i="1"/>
  <c r="O265" i="1"/>
  <c r="P265" i="1" s="1"/>
  <c r="Q265" i="1" s="1"/>
  <c r="E13" i="19" l="1"/>
  <c r="F13" i="19" s="1"/>
  <c r="G13" i="19" s="1"/>
  <c r="G12" i="19"/>
  <c r="H12" i="19"/>
  <c r="R265" i="1"/>
  <c r="C268" i="1"/>
  <c r="O268" i="1"/>
  <c r="P268" i="1" s="1"/>
  <c r="Q268" i="1" s="1"/>
  <c r="H13" i="19" l="1"/>
  <c r="C14" i="19"/>
  <c r="D14" i="19" s="1"/>
  <c r="R268" i="1"/>
  <c r="C269" i="1"/>
  <c r="O269" i="1"/>
  <c r="P269" i="1" s="1"/>
  <c r="Q269" i="1" s="1"/>
  <c r="E14" i="19" l="1"/>
  <c r="R269" i="1"/>
  <c r="C270" i="1"/>
  <c r="O270" i="1"/>
  <c r="P270" i="1" s="1"/>
  <c r="Q270" i="1" s="1"/>
  <c r="C15" i="19" l="1"/>
  <c r="D15" i="19" s="1"/>
  <c r="F14" i="19"/>
  <c r="R270" i="1"/>
  <c r="C277" i="1"/>
  <c r="O277" i="1"/>
  <c r="P277" i="1" s="1"/>
  <c r="Q277" i="1" s="1"/>
  <c r="G14" i="19" l="1"/>
  <c r="H14" i="19"/>
  <c r="E15" i="19"/>
  <c r="C16" i="19" s="1"/>
  <c r="D16" i="19" s="1"/>
  <c r="F15" i="19"/>
  <c r="G15" i="19" s="1"/>
  <c r="R277" i="1"/>
  <c r="C106" i="1"/>
  <c r="O106" i="1"/>
  <c r="P106" i="1" s="1"/>
  <c r="Q106" i="1" s="1"/>
  <c r="H15" i="19" l="1"/>
  <c r="E16" i="19"/>
  <c r="C17" i="19" s="1"/>
  <c r="D17" i="19" s="1"/>
  <c r="F16" i="19"/>
  <c r="R106" i="1"/>
  <c r="C279" i="1"/>
  <c r="O279" i="1"/>
  <c r="P279" i="1" s="1"/>
  <c r="Q279" i="1" s="1"/>
  <c r="G16" i="19" l="1"/>
  <c r="H16" i="19"/>
  <c r="E17" i="19"/>
  <c r="C18" i="19" s="1"/>
  <c r="D18" i="19" s="1"/>
  <c r="R279" i="1"/>
  <c r="C285" i="1"/>
  <c r="O285" i="1"/>
  <c r="P285" i="1" s="1"/>
  <c r="Q285" i="1" s="1"/>
  <c r="F17" i="19" l="1"/>
  <c r="E18" i="19"/>
  <c r="C19" i="19" s="1"/>
  <c r="D19" i="19" s="1"/>
  <c r="R285" i="1"/>
  <c r="C286" i="1"/>
  <c r="O286" i="1"/>
  <c r="P286" i="1" s="1"/>
  <c r="Q286" i="1" s="1"/>
  <c r="F18" i="19" l="1"/>
  <c r="G18" i="19" s="1"/>
  <c r="E19" i="19"/>
  <c r="C20" i="19" s="1"/>
  <c r="D20" i="19" s="1"/>
  <c r="G17" i="19"/>
  <c r="H17" i="19"/>
  <c r="R286" i="1"/>
  <c r="C287" i="1"/>
  <c r="O287" i="1"/>
  <c r="P287" i="1" s="1"/>
  <c r="Q287" i="1" s="1"/>
  <c r="H18" i="19" l="1"/>
  <c r="F19" i="19"/>
  <c r="G19" i="19" s="1"/>
  <c r="E20" i="19"/>
  <c r="C21" i="19" s="1"/>
  <c r="D21" i="19" s="1"/>
  <c r="R287" i="1"/>
  <c r="C288" i="1"/>
  <c r="O288" i="1"/>
  <c r="P288" i="1" s="1"/>
  <c r="Q288" i="1" s="1"/>
  <c r="T288" i="1"/>
  <c r="U288" i="1"/>
  <c r="H19" i="19" l="1"/>
  <c r="F20" i="19"/>
  <c r="H20" i="19" s="1"/>
  <c r="E21" i="19"/>
  <c r="C22" i="19" s="1"/>
  <c r="D22" i="19" s="1"/>
  <c r="G20" i="19"/>
  <c r="R288" i="1"/>
  <c r="AB288" i="1"/>
  <c r="AG288" i="1"/>
  <c r="C290" i="1"/>
  <c r="O290" i="1"/>
  <c r="P290" i="1" s="1"/>
  <c r="Q290" i="1" s="1"/>
  <c r="F21" i="19" l="1"/>
  <c r="E22" i="19"/>
  <c r="F22" i="19" s="1"/>
  <c r="R290" i="1"/>
  <c r="C291" i="1"/>
  <c r="O291" i="1"/>
  <c r="P291" i="1" s="1"/>
  <c r="Q291" i="1" s="1"/>
  <c r="G22" i="19" l="1"/>
  <c r="H22" i="19"/>
  <c r="F23" i="19"/>
  <c r="G21" i="19"/>
  <c r="H21" i="19"/>
  <c r="R291" i="1"/>
  <c r="C296" i="1"/>
  <c r="O296" i="1"/>
  <c r="P296" i="1" s="1"/>
  <c r="Q296" i="1" s="1"/>
  <c r="G23" i="19" l="1"/>
  <c r="H23" i="19" s="1"/>
  <c r="R296" i="1"/>
  <c r="C299" i="1"/>
  <c r="O299" i="1"/>
  <c r="P299" i="1" s="1"/>
  <c r="Q299" i="1" s="1"/>
  <c r="R299" i="1" l="1"/>
  <c r="C301" i="1"/>
  <c r="O301" i="1"/>
  <c r="P301" i="1" s="1"/>
  <c r="Q301" i="1"/>
  <c r="R301" i="1" l="1"/>
  <c r="C302" i="1"/>
  <c r="O302" i="1"/>
  <c r="P302" i="1" s="1"/>
  <c r="Q302" i="1"/>
  <c r="R302" i="1" l="1"/>
  <c r="C303" i="1"/>
  <c r="O303" i="1"/>
  <c r="P303" i="1" s="1"/>
  <c r="Q303" i="1" s="1"/>
  <c r="R303" i="1" l="1"/>
  <c r="C306" i="1"/>
  <c r="O306" i="1"/>
  <c r="P306" i="1" s="1"/>
  <c r="Q306" i="1" s="1"/>
  <c r="R306" i="1" l="1"/>
  <c r="C310" i="1"/>
  <c r="O310" i="1"/>
  <c r="P310" i="1" s="1"/>
  <c r="Q310" i="1" s="1"/>
  <c r="R310" i="1" l="1"/>
  <c r="C314" i="1"/>
  <c r="O314" i="1"/>
  <c r="P314" i="1" s="1"/>
  <c r="Q314" i="1" s="1"/>
  <c r="R314" i="1" l="1"/>
  <c r="C316" i="1"/>
  <c r="O316" i="1"/>
  <c r="P316" i="1" s="1"/>
  <c r="Q316" i="1" s="1"/>
  <c r="R316" i="1" l="1"/>
  <c r="C318" i="1"/>
  <c r="O318" i="1"/>
  <c r="P318" i="1" s="1"/>
  <c r="Q318" i="1"/>
  <c r="R318" i="1" l="1"/>
  <c r="C319" i="1"/>
  <c r="O319" i="1"/>
  <c r="P319" i="1" s="1"/>
  <c r="Q319" i="1"/>
  <c r="R319" i="1" l="1"/>
  <c r="C320" i="1"/>
  <c r="O320" i="1"/>
  <c r="P320" i="1" s="1"/>
  <c r="Q320" i="1" s="1"/>
  <c r="R320" i="1" l="1"/>
  <c r="C321" i="1"/>
  <c r="O321" i="1"/>
  <c r="P321" i="1" s="1"/>
  <c r="Q321" i="1" s="1"/>
  <c r="R321" i="1" l="1"/>
  <c r="C3" i="1"/>
  <c r="O3" i="1"/>
  <c r="P3" i="1" s="1"/>
  <c r="Q3" i="1" s="1"/>
  <c r="R3" i="1" l="1"/>
  <c r="C5" i="1"/>
  <c r="O5" i="1"/>
  <c r="P5" i="1" s="1"/>
  <c r="Q5" i="1" s="1"/>
  <c r="R5" i="1" l="1"/>
  <c r="C11" i="1"/>
  <c r="O11" i="1"/>
  <c r="P11" i="1" s="1"/>
  <c r="Q11" i="1" s="1"/>
  <c r="R11" i="1" l="1"/>
  <c r="C15" i="1"/>
  <c r="O15" i="1"/>
  <c r="P15" i="1" s="1"/>
  <c r="Q15" i="1" s="1"/>
  <c r="R15" i="1" l="1"/>
  <c r="C18" i="1"/>
  <c r="O18" i="1"/>
  <c r="P18" i="1" s="1"/>
  <c r="Q18" i="1" s="1"/>
  <c r="R18" i="1" l="1"/>
  <c r="C19" i="1"/>
  <c r="O19" i="1"/>
  <c r="P19" i="1" s="1"/>
  <c r="Q19" i="1" s="1"/>
  <c r="R19" i="1" l="1"/>
  <c r="C20" i="1"/>
  <c r="O20" i="1"/>
  <c r="P20" i="1" s="1"/>
  <c r="Q20" i="1" s="1"/>
  <c r="R20" i="1" l="1"/>
  <c r="C21" i="1"/>
  <c r="O21" i="1"/>
  <c r="P21" i="1" s="1"/>
  <c r="Q21" i="1" s="1"/>
  <c r="R21" i="1" l="1"/>
  <c r="C22" i="1"/>
  <c r="O22" i="1"/>
  <c r="P22" i="1" s="1"/>
  <c r="Q22" i="1" s="1"/>
  <c r="R22" i="1" l="1"/>
  <c r="C24" i="1"/>
  <c r="O24" i="1"/>
  <c r="P24" i="1" s="1"/>
  <c r="Q24" i="1" s="1"/>
  <c r="R24" i="1" l="1"/>
  <c r="C25" i="1"/>
  <c r="O25" i="1"/>
  <c r="P25" i="1" s="1"/>
  <c r="Q25" i="1" s="1"/>
  <c r="R25" i="1" l="1"/>
  <c r="C27" i="1"/>
  <c r="O27" i="1"/>
  <c r="P27" i="1" s="1"/>
  <c r="Q27" i="1" s="1"/>
  <c r="R27" i="1" l="1"/>
  <c r="C28" i="1"/>
  <c r="O28" i="1"/>
  <c r="P28" i="1" s="1"/>
  <c r="Q28" i="1" s="1"/>
  <c r="R28" i="1" l="1"/>
  <c r="C29" i="1"/>
  <c r="O29" i="1"/>
  <c r="P29" i="1" s="1"/>
  <c r="Q29" i="1" s="1"/>
  <c r="R29" i="1" l="1"/>
  <c r="C30" i="1"/>
  <c r="O30" i="1"/>
  <c r="P30" i="1" s="1"/>
  <c r="Q30" i="1" s="1"/>
  <c r="R30" i="1" l="1"/>
  <c r="C34" i="1"/>
  <c r="O34" i="1"/>
  <c r="P34" i="1" s="1"/>
  <c r="Q34" i="1" s="1"/>
  <c r="R34" i="1" l="1"/>
  <c r="C35" i="1"/>
  <c r="O35" i="1"/>
  <c r="P35" i="1" s="1"/>
  <c r="Q35" i="1" s="1"/>
  <c r="R35" i="1" l="1"/>
  <c r="C36" i="1"/>
  <c r="O36" i="1"/>
  <c r="P36" i="1" s="1"/>
  <c r="Q36" i="1" s="1"/>
  <c r="R36" i="1" l="1"/>
  <c r="C37" i="1"/>
  <c r="O37" i="1"/>
  <c r="P37" i="1" s="1"/>
  <c r="Q37" i="1" s="1"/>
  <c r="R37" i="1" l="1"/>
  <c r="C44" i="1"/>
  <c r="O44" i="1"/>
  <c r="P44" i="1" s="1"/>
  <c r="Q44" i="1" s="1"/>
  <c r="R44" i="1" l="1"/>
  <c r="C45" i="1"/>
  <c r="O45" i="1"/>
  <c r="P45" i="1" s="1"/>
  <c r="Q45" i="1" s="1"/>
  <c r="R45" i="1" l="1"/>
  <c r="C46" i="1"/>
  <c r="O46" i="1"/>
  <c r="P46" i="1" s="1"/>
  <c r="Q46" i="1" s="1"/>
  <c r="R46" i="1" l="1"/>
  <c r="C116" i="1"/>
  <c r="O116" i="1"/>
  <c r="P116" i="1" s="1"/>
  <c r="Q116" i="1" s="1"/>
  <c r="R116" i="1" l="1"/>
  <c r="C48" i="1"/>
  <c r="O48" i="1"/>
  <c r="P48" i="1" s="1"/>
  <c r="Q48" i="1" s="1"/>
  <c r="R48" i="1" l="1"/>
  <c r="C49" i="1"/>
  <c r="O49" i="1"/>
  <c r="P49" i="1" s="1"/>
  <c r="Q49" i="1" s="1"/>
  <c r="R49" i="1" l="1"/>
  <c r="C120" i="1"/>
  <c r="O120" i="1"/>
  <c r="P120" i="1" s="1"/>
  <c r="Q120" i="1" s="1"/>
  <c r="R120" i="1" l="1"/>
  <c r="C56" i="1"/>
  <c r="O56" i="1"/>
  <c r="P56" i="1" s="1"/>
  <c r="Q56" i="1" s="1"/>
  <c r="R56" i="1" l="1"/>
  <c r="C80" i="1"/>
  <c r="O80" i="1"/>
  <c r="P80" i="1" s="1"/>
  <c r="Q80" i="1" s="1"/>
  <c r="R80" i="1" l="1"/>
  <c r="C323" i="1"/>
  <c r="O323" i="1"/>
  <c r="P323" i="1" s="1"/>
  <c r="Q323" i="1" s="1"/>
  <c r="R323" i="1" l="1"/>
  <c r="C54" i="1"/>
  <c r="O54" i="1"/>
  <c r="P54" i="1" s="1"/>
  <c r="Q54" i="1" s="1"/>
  <c r="R54" i="1" l="1"/>
  <c r="C55" i="1"/>
  <c r="O55" i="1"/>
  <c r="P55" i="1" s="1"/>
  <c r="Q55" i="1" s="1"/>
  <c r="R55" i="1" l="1"/>
  <c r="C242" i="1"/>
  <c r="O242" i="1"/>
  <c r="P242" i="1" s="1"/>
  <c r="Q242" i="1" s="1"/>
  <c r="R242" i="1" l="1"/>
  <c r="C57" i="1"/>
  <c r="O57" i="1"/>
  <c r="P57" i="1" s="1"/>
  <c r="Q57" i="1" s="1"/>
  <c r="R57" i="1" l="1"/>
  <c r="C58" i="1"/>
  <c r="O58" i="1"/>
  <c r="P58" i="1" s="1"/>
  <c r="Q58" i="1" s="1"/>
  <c r="R58" i="1" l="1"/>
  <c r="C251" i="1"/>
  <c r="O251" i="1"/>
  <c r="P251" i="1" s="1"/>
  <c r="Q251" i="1" s="1"/>
  <c r="R251" i="1" l="1"/>
  <c r="C60" i="1"/>
  <c r="O60" i="1"/>
  <c r="P60" i="1" s="1"/>
  <c r="Q60" i="1" s="1"/>
  <c r="R60" i="1" l="1"/>
  <c r="C61" i="1"/>
  <c r="O61" i="1"/>
  <c r="P61" i="1" s="1"/>
  <c r="Q61" i="1" s="1"/>
  <c r="R61" i="1" l="1"/>
  <c r="C62" i="1"/>
  <c r="O62" i="1"/>
  <c r="P62" i="1" s="1"/>
  <c r="Q62" i="1" s="1"/>
  <c r="T62" i="1"/>
  <c r="U62" i="1"/>
  <c r="R62" i="1" l="1"/>
  <c r="AB62" i="1"/>
  <c r="AG62" i="1"/>
  <c r="C63" i="1"/>
  <c r="O63" i="1"/>
  <c r="P63" i="1" s="1"/>
  <c r="Q63" i="1" s="1"/>
  <c r="T63" i="1"/>
  <c r="U63" i="1"/>
  <c r="R63" i="1" l="1"/>
  <c r="AB63" i="1"/>
  <c r="AG63" i="1"/>
  <c r="C64" i="1"/>
  <c r="O64" i="1"/>
  <c r="P64" i="1" s="1"/>
  <c r="Q64" i="1" s="1"/>
  <c r="T64" i="1"/>
  <c r="U64" i="1"/>
  <c r="R64" i="1" l="1"/>
  <c r="AB64" i="1"/>
  <c r="AG64" i="1"/>
  <c r="C66" i="1"/>
  <c r="O66" i="1"/>
  <c r="P66" i="1" s="1"/>
  <c r="Q66" i="1" s="1"/>
  <c r="R66" i="1" l="1"/>
  <c r="C67" i="1"/>
  <c r="O67" i="1"/>
  <c r="P67" i="1" s="1"/>
  <c r="Q67" i="1" s="1"/>
  <c r="R67" i="1" l="1"/>
  <c r="C71" i="1"/>
  <c r="O71" i="1"/>
  <c r="P71" i="1" s="1"/>
  <c r="Q71" i="1" s="1"/>
  <c r="R71" i="1" l="1"/>
  <c r="C74" i="1"/>
  <c r="O74" i="1"/>
  <c r="P74" i="1" s="1"/>
  <c r="Q74" i="1" s="1"/>
  <c r="R74" i="1" l="1"/>
  <c r="C77" i="1"/>
  <c r="O77" i="1"/>
  <c r="P77" i="1" s="1"/>
  <c r="Q77" i="1" s="1"/>
  <c r="R77" i="1" l="1"/>
  <c r="C79" i="1"/>
  <c r="O79" i="1"/>
  <c r="P79" i="1" s="1"/>
  <c r="Q79" i="1" s="1"/>
  <c r="R79" i="1" l="1"/>
  <c r="C50" i="1"/>
  <c r="O50" i="1"/>
  <c r="P50" i="1" s="1"/>
  <c r="Q50" i="1" s="1"/>
  <c r="R50" i="1" l="1"/>
  <c r="C81" i="1"/>
  <c r="O81" i="1"/>
  <c r="P81" i="1" s="1"/>
  <c r="Q81" i="1" s="1"/>
  <c r="R81" i="1" l="1"/>
  <c r="C82" i="1"/>
  <c r="O82" i="1"/>
  <c r="P82" i="1" s="1"/>
  <c r="Q82" i="1" s="1"/>
  <c r="R82" i="1" l="1"/>
  <c r="C83" i="1"/>
  <c r="O83" i="1"/>
  <c r="P83" i="1" s="1"/>
  <c r="Q83" i="1" s="1"/>
  <c r="R83" i="1" l="1"/>
  <c r="C93" i="1"/>
  <c r="O93" i="1"/>
  <c r="P93" i="1" s="1"/>
  <c r="Q93" i="1" s="1"/>
  <c r="R93" i="1" l="1"/>
  <c r="C94" i="1"/>
  <c r="O94" i="1"/>
  <c r="P94" i="1" s="1"/>
  <c r="Q94" i="1" s="1"/>
  <c r="R94" i="1" l="1"/>
  <c r="C95" i="1"/>
  <c r="O95" i="1"/>
  <c r="P95" i="1" s="1"/>
  <c r="Q95" i="1" s="1"/>
  <c r="R95" i="1" l="1"/>
  <c r="C59" i="1"/>
  <c r="O59" i="1"/>
  <c r="P59" i="1" s="1"/>
  <c r="Q59" i="1" s="1"/>
  <c r="R59" i="1" l="1"/>
  <c r="C97" i="1"/>
  <c r="O97" i="1"/>
  <c r="P97" i="1" s="1"/>
  <c r="Q97" i="1" s="1"/>
  <c r="R97" i="1" l="1"/>
  <c r="C100" i="1"/>
  <c r="O100" i="1"/>
  <c r="P100" i="1" s="1"/>
  <c r="Q100" i="1" s="1"/>
  <c r="R100" i="1" l="1"/>
  <c r="C101" i="1"/>
  <c r="O101" i="1"/>
  <c r="P101" i="1" s="1"/>
  <c r="Q101" i="1" s="1"/>
  <c r="R101" i="1" l="1"/>
  <c r="C102" i="1"/>
  <c r="O102" i="1"/>
  <c r="P102" i="1" s="1"/>
  <c r="Q102" i="1" s="1"/>
  <c r="R102" i="1" l="1"/>
  <c r="C245" i="1"/>
  <c r="O245" i="1"/>
  <c r="P245" i="1" s="1"/>
  <c r="Q245" i="1" s="1"/>
  <c r="R245" i="1" l="1"/>
  <c r="C108" i="1"/>
  <c r="O108" i="1"/>
  <c r="P108" i="1" s="1"/>
  <c r="Q108" i="1" s="1"/>
  <c r="R108" i="1" l="1"/>
  <c r="C107" i="1"/>
  <c r="O107" i="1"/>
  <c r="P107" i="1" s="1"/>
  <c r="Q107" i="1" s="1"/>
  <c r="R107" i="1" l="1"/>
  <c r="C109" i="1"/>
  <c r="O109" i="1"/>
  <c r="P109" i="1" s="1"/>
  <c r="Q109" i="1" s="1"/>
  <c r="R109" i="1" l="1"/>
  <c r="C110" i="1"/>
  <c r="O110" i="1"/>
  <c r="P110" i="1" s="1"/>
  <c r="Q110" i="1" s="1"/>
  <c r="R110" i="1" l="1"/>
  <c r="C114" i="1"/>
  <c r="O114" i="1"/>
  <c r="P114" i="1" s="1"/>
  <c r="Q114" i="1" s="1"/>
  <c r="R114" i="1" l="1"/>
  <c r="C115" i="1"/>
  <c r="O115" i="1"/>
  <c r="P115" i="1" s="1"/>
  <c r="Q115" i="1" s="1"/>
  <c r="R115" i="1" l="1"/>
  <c r="C53" i="1"/>
  <c r="O53" i="1"/>
  <c r="P53" i="1" s="1"/>
  <c r="Q53" i="1" s="1"/>
  <c r="R53" i="1" l="1"/>
  <c r="C117" i="1"/>
  <c r="O117" i="1"/>
  <c r="P117" i="1" s="1"/>
  <c r="Q117" i="1" s="1"/>
  <c r="R117" i="1" l="1"/>
  <c r="C119" i="1"/>
  <c r="O119" i="1"/>
  <c r="P119" i="1" s="1"/>
  <c r="Q119" i="1" s="1"/>
  <c r="R119" i="1" l="1"/>
  <c r="C96" i="1"/>
  <c r="O96" i="1"/>
  <c r="P96" i="1" s="1"/>
  <c r="Q96" i="1" s="1"/>
  <c r="R96" i="1" l="1"/>
  <c r="C122" i="1"/>
  <c r="O122" i="1"/>
  <c r="P122" i="1" s="1"/>
  <c r="Q122" i="1" s="1"/>
  <c r="R122" i="1" l="1"/>
  <c r="C123" i="1"/>
  <c r="O123" i="1"/>
  <c r="P123" i="1" s="1"/>
  <c r="Q123" i="1" s="1"/>
  <c r="R123" i="1" l="1"/>
  <c r="C124" i="1"/>
  <c r="O124" i="1"/>
  <c r="P124" i="1" s="1"/>
  <c r="Q124" i="1" s="1"/>
  <c r="R124" i="1" l="1"/>
  <c r="C125" i="1"/>
  <c r="O125" i="1"/>
  <c r="P125" i="1" s="1"/>
  <c r="Q125" i="1" s="1"/>
  <c r="R125" i="1" l="1"/>
  <c r="C127" i="1"/>
  <c r="O127" i="1"/>
  <c r="P127" i="1" s="1"/>
  <c r="Q127" i="1" s="1"/>
  <c r="R127" i="1" l="1"/>
  <c r="C128" i="1"/>
  <c r="O128" i="1"/>
  <c r="P128" i="1" s="1"/>
  <c r="Q128" i="1" s="1"/>
  <c r="R128" i="1" l="1"/>
  <c r="C129" i="1"/>
  <c r="O129" i="1"/>
  <c r="P129" i="1" s="1"/>
  <c r="Q129" i="1" s="1"/>
  <c r="R129" i="1" l="1"/>
  <c r="C130" i="1"/>
  <c r="O130" i="1"/>
  <c r="P130" i="1" s="1"/>
  <c r="Q130" i="1" s="1"/>
  <c r="R130" i="1" l="1"/>
  <c r="C133" i="1"/>
  <c r="O133" i="1"/>
  <c r="P133" i="1" s="1"/>
  <c r="Q133" i="1" s="1"/>
  <c r="R133" i="1" l="1"/>
  <c r="C136" i="1"/>
  <c r="O136" i="1"/>
  <c r="P136" i="1" s="1"/>
  <c r="Q136" i="1" s="1"/>
  <c r="T136" i="1"/>
  <c r="U136" i="1"/>
  <c r="R136" i="1" l="1"/>
  <c r="AB136" i="1"/>
  <c r="AG136" i="1"/>
  <c r="C140" i="1"/>
  <c r="O140" i="1"/>
  <c r="P140" i="1" s="1"/>
  <c r="Q140" i="1" s="1"/>
  <c r="R140" i="1" l="1"/>
  <c r="C141" i="1"/>
  <c r="O141" i="1"/>
  <c r="P141" i="1" s="1"/>
  <c r="Q141" i="1"/>
  <c r="T141" i="1"/>
  <c r="U141" i="1"/>
  <c r="R141" i="1" l="1"/>
  <c r="AB141" i="1"/>
  <c r="AE141" i="1"/>
  <c r="AG141" i="1"/>
  <c r="C142" i="1"/>
  <c r="O142" i="1"/>
  <c r="P142" i="1" s="1"/>
  <c r="Q142" i="1"/>
  <c r="T142" i="1"/>
  <c r="U142" i="1"/>
  <c r="R142" i="1" l="1"/>
  <c r="AB142" i="1"/>
  <c r="AE142" i="1"/>
  <c r="AG142" i="1"/>
  <c r="C145" i="1"/>
  <c r="O145" i="1"/>
  <c r="P145" i="1" s="1"/>
  <c r="Q145" i="1" s="1"/>
  <c r="R145" i="1" l="1"/>
  <c r="C146" i="1"/>
  <c r="O146" i="1"/>
  <c r="P146" i="1" s="1"/>
  <c r="Q146" i="1" s="1"/>
  <c r="R146" i="1" l="1"/>
  <c r="C147" i="1"/>
  <c r="O147" i="1"/>
  <c r="P147" i="1" s="1"/>
  <c r="Q147" i="1"/>
  <c r="R147" i="1" l="1"/>
  <c r="C149" i="1"/>
  <c r="O149" i="1"/>
  <c r="P149" i="1" s="1"/>
  <c r="Q149" i="1"/>
  <c r="R149" i="1" l="1"/>
  <c r="C150" i="1"/>
  <c r="O150" i="1"/>
  <c r="P150" i="1" s="1"/>
  <c r="Q150" i="1" s="1"/>
  <c r="R150" i="1" l="1"/>
  <c r="C151" i="1"/>
  <c r="O151" i="1"/>
  <c r="P151" i="1" s="1"/>
  <c r="Q151" i="1" s="1"/>
  <c r="R151" i="1" l="1"/>
  <c r="C153" i="1"/>
  <c r="O153" i="1"/>
  <c r="P153" i="1" s="1"/>
  <c r="Q153" i="1" s="1"/>
  <c r="R153" i="1" l="1"/>
  <c r="C154" i="1"/>
  <c r="O154" i="1"/>
  <c r="P154" i="1" s="1"/>
  <c r="Q154" i="1" s="1"/>
  <c r="R154" i="1" l="1"/>
  <c r="C156" i="1"/>
  <c r="Q156" i="1"/>
  <c r="R156" i="1" l="1"/>
  <c r="C157" i="1"/>
  <c r="O157" i="1"/>
  <c r="P157" i="1" s="1"/>
  <c r="Q157" i="1" s="1"/>
  <c r="R157" i="1" l="1"/>
  <c r="C158" i="1"/>
  <c r="O158" i="1"/>
  <c r="P158" i="1" s="1"/>
  <c r="Q158" i="1" s="1"/>
  <c r="R158" i="1" l="1"/>
  <c r="C159" i="1"/>
  <c r="O159" i="1"/>
  <c r="P159" i="1" s="1"/>
  <c r="Q159" i="1" s="1"/>
  <c r="R159" i="1" l="1"/>
  <c r="C162" i="1"/>
  <c r="O162" i="1"/>
  <c r="P162" i="1" s="1"/>
  <c r="Q162" i="1" s="1"/>
  <c r="R162" i="1" l="1"/>
  <c r="C163" i="1"/>
  <c r="O163" i="1"/>
  <c r="P163" i="1" s="1"/>
  <c r="Q163" i="1" s="1"/>
  <c r="R163" i="1" l="1"/>
  <c r="C165" i="1"/>
  <c r="O165" i="1"/>
  <c r="P165" i="1" s="1"/>
  <c r="Q165" i="1" s="1"/>
  <c r="R165" i="1" l="1"/>
  <c r="C168" i="1"/>
  <c r="O168" i="1"/>
  <c r="P168" i="1" s="1"/>
  <c r="Q168" i="1" s="1"/>
  <c r="R168" i="1" l="1"/>
  <c r="C169" i="1"/>
  <c r="O169" i="1"/>
  <c r="P169" i="1" s="1"/>
  <c r="Q169" i="1" s="1"/>
  <c r="R169" i="1" l="1"/>
  <c r="C173" i="1"/>
  <c r="O173" i="1"/>
  <c r="P173" i="1" s="1"/>
  <c r="Q173" i="1" s="1"/>
  <c r="R173" i="1" l="1"/>
  <c r="C174" i="1"/>
  <c r="O174" i="1"/>
  <c r="P174" i="1" s="1"/>
  <c r="Q174" i="1" s="1"/>
  <c r="R174" i="1" l="1"/>
  <c r="C175" i="1"/>
  <c r="O175" i="1"/>
  <c r="P175" i="1" s="1"/>
  <c r="Q175" i="1" s="1"/>
  <c r="R175" i="1" l="1"/>
  <c r="C176" i="1"/>
  <c r="O176" i="1"/>
  <c r="P176" i="1" s="1"/>
  <c r="Q176" i="1" s="1"/>
  <c r="R176" i="1" l="1"/>
  <c r="C184" i="1"/>
  <c r="O184" i="1"/>
  <c r="P184" i="1" s="1"/>
  <c r="Q184" i="1" s="1"/>
  <c r="R184" i="1" l="1"/>
  <c r="C185" i="1"/>
  <c r="O185" i="1"/>
  <c r="P185" i="1" s="1"/>
  <c r="Q185" i="1" s="1"/>
  <c r="R185" i="1" l="1"/>
  <c r="C188" i="1"/>
  <c r="O188" i="1"/>
  <c r="P188" i="1" s="1"/>
  <c r="Q188" i="1" s="1"/>
  <c r="R188" i="1" l="1"/>
  <c r="C193" i="1"/>
  <c r="O193" i="1"/>
  <c r="P193" i="1" s="1"/>
  <c r="Q193" i="1" s="1"/>
  <c r="R193" i="1" l="1"/>
  <c r="C199" i="1"/>
  <c r="O199" i="1"/>
  <c r="P199" i="1" s="1"/>
  <c r="Q199" i="1" s="1"/>
  <c r="R199" i="1" l="1"/>
  <c r="C200" i="1"/>
  <c r="O200" i="1"/>
  <c r="P200" i="1" s="1"/>
  <c r="Q200" i="1" s="1"/>
  <c r="R200" i="1" l="1"/>
  <c r="C201" i="1"/>
  <c r="O201" i="1"/>
  <c r="P201" i="1" s="1"/>
  <c r="Q201" i="1" s="1"/>
  <c r="R201" i="1" l="1"/>
  <c r="C202" i="1"/>
  <c r="O202" i="1"/>
  <c r="P202" i="1" s="1"/>
  <c r="Q202" i="1" s="1"/>
  <c r="R202" i="1" l="1"/>
  <c r="C205" i="1"/>
  <c r="O205" i="1"/>
  <c r="P205" i="1" s="1"/>
  <c r="Q205" i="1" s="1"/>
  <c r="R205" i="1" l="1"/>
  <c r="C209" i="1"/>
  <c r="O209" i="1"/>
  <c r="P209" i="1" s="1"/>
  <c r="Q209" i="1" s="1"/>
  <c r="R209" i="1" l="1"/>
  <c r="C210" i="1"/>
  <c r="O210" i="1"/>
  <c r="P210" i="1" s="1"/>
  <c r="Q210" i="1" s="1"/>
  <c r="R210" i="1" l="1"/>
  <c r="C213" i="1"/>
  <c r="O213" i="1"/>
  <c r="P213" i="1" s="1"/>
  <c r="Q213" i="1" s="1"/>
  <c r="T213" i="1"/>
  <c r="U213" i="1"/>
  <c r="R213" i="1" l="1"/>
  <c r="AB213" i="1"/>
  <c r="AG213" i="1"/>
  <c r="C216" i="1"/>
  <c r="O216" i="1"/>
  <c r="P216" i="1" s="1"/>
  <c r="Q216" i="1" s="1"/>
  <c r="R216" i="1" l="1"/>
  <c r="C218" i="1"/>
  <c r="O218" i="1"/>
  <c r="P218" i="1" s="1"/>
  <c r="Q218" i="1" s="1"/>
  <c r="R218" i="1" l="1"/>
  <c r="C219" i="1"/>
  <c r="O219" i="1"/>
  <c r="P219" i="1" s="1"/>
  <c r="Q219" i="1" s="1"/>
  <c r="R219" i="1" l="1"/>
  <c r="C221" i="1"/>
  <c r="O221" i="1"/>
  <c r="P221" i="1" s="1"/>
  <c r="Q221" i="1" s="1"/>
  <c r="R221" i="1" l="1"/>
  <c r="C244" i="1"/>
  <c r="O244" i="1"/>
  <c r="P244" i="1" s="1"/>
  <c r="Q244" i="1" s="1"/>
  <c r="R244" i="1" l="1"/>
  <c r="C229" i="1"/>
  <c r="O229" i="1"/>
  <c r="P229" i="1" s="1"/>
  <c r="Q229" i="1" s="1"/>
  <c r="R229" i="1" l="1"/>
  <c r="C235" i="1"/>
  <c r="O235" i="1"/>
  <c r="P235" i="1" s="1"/>
  <c r="Q235" i="1" s="1"/>
  <c r="R235" i="1" l="1"/>
  <c r="C241" i="1"/>
  <c r="O241" i="1"/>
  <c r="P241" i="1" s="1"/>
  <c r="Q241" i="1" s="1"/>
  <c r="R241" i="1" l="1"/>
  <c r="C278" i="1"/>
  <c r="O278" i="1"/>
  <c r="P278" i="1" s="1"/>
  <c r="Q278" i="1" s="1"/>
  <c r="R278" i="1" l="1"/>
  <c r="C222" i="1"/>
  <c r="O222" i="1"/>
  <c r="P222" i="1" s="1"/>
  <c r="Q222" i="1" s="1"/>
  <c r="R222" i="1" l="1"/>
  <c r="C322" i="1"/>
  <c r="O322" i="1"/>
  <c r="P322" i="1" s="1"/>
  <c r="Q322" i="1" s="1"/>
  <c r="R322" i="1" l="1"/>
  <c r="C250" i="1"/>
  <c r="O250" i="1"/>
  <c r="P250" i="1" s="1"/>
  <c r="Q250" i="1" s="1"/>
  <c r="R250" i="1" l="1"/>
  <c r="C324" i="1"/>
  <c r="O324" i="1"/>
  <c r="P324" i="1" s="1"/>
  <c r="Q324" i="1" s="1"/>
  <c r="R324" i="1" l="1"/>
  <c r="C253" i="1"/>
  <c r="O253" i="1"/>
  <c r="P253" i="1" s="1"/>
  <c r="Q253" i="1" s="1"/>
  <c r="O51" i="1"/>
  <c r="P51" i="1" s="1"/>
  <c r="Q51" i="1" s="1"/>
  <c r="O52" i="1"/>
  <c r="P52" i="1" s="1"/>
  <c r="Q52" i="1" s="1"/>
  <c r="C52" i="1"/>
  <c r="C51" i="1"/>
  <c r="S354" i="1" l="1"/>
  <c r="V353" i="1"/>
  <c r="AF353" i="1" s="1"/>
  <c r="V354" i="1"/>
  <c r="AF354" i="1" s="1"/>
  <c r="S352" i="1"/>
  <c r="S353" i="1"/>
  <c r="S351" i="1"/>
  <c r="S347" i="1"/>
  <c r="V351" i="1"/>
  <c r="AF351" i="1" s="1"/>
  <c r="V345" i="1"/>
  <c r="S348" i="1"/>
  <c r="S350" i="1"/>
  <c r="S345" i="1"/>
  <c r="S349" i="1"/>
  <c r="V348" i="1"/>
  <c r="AF348" i="1" s="1"/>
  <c r="V349" i="1"/>
  <c r="S344" i="1"/>
  <c r="S343" i="1"/>
  <c r="V350" i="1"/>
  <c r="S346" i="1"/>
  <c r="V344" i="1"/>
  <c r="AF344" i="1" s="1"/>
  <c r="V352" i="1"/>
  <c r="V347" i="1"/>
  <c r="V346" i="1"/>
  <c r="AF346" i="1" s="1"/>
  <c r="S342" i="1"/>
  <c r="V343" i="1"/>
  <c r="AF343" i="1" s="1"/>
  <c r="S341" i="1"/>
  <c r="U341" i="1" s="1"/>
  <c r="V342" i="1"/>
  <c r="V341" i="1"/>
  <c r="S340" i="1"/>
  <c r="S339" i="1"/>
  <c r="V340" i="1"/>
  <c r="AF340" i="1" s="1"/>
  <c r="S337" i="1"/>
  <c r="S338" i="1"/>
  <c r="V337" i="1"/>
  <c r="AF337" i="1" s="1"/>
  <c r="V339" i="1"/>
  <c r="AF339" i="1" s="1"/>
  <c r="V338" i="1"/>
  <c r="AF338" i="1" s="1"/>
  <c r="S336" i="1"/>
  <c r="V336" i="1"/>
  <c r="S335" i="1"/>
  <c r="S334" i="1"/>
  <c r="V335" i="1"/>
  <c r="S333" i="1"/>
  <c r="V334" i="1"/>
  <c r="S65" i="1"/>
  <c r="AB65" i="1" s="1"/>
  <c r="V333" i="1"/>
  <c r="AF333" i="1" s="1"/>
  <c r="V65" i="1"/>
  <c r="AF65" i="1" s="1"/>
  <c r="S291" i="1"/>
  <c r="S124" i="1"/>
  <c r="S220" i="1"/>
  <c r="S207" i="1"/>
  <c r="V206" i="1"/>
  <c r="S206" i="1"/>
  <c r="V207" i="1"/>
  <c r="S310" i="1"/>
  <c r="V220" i="1"/>
  <c r="S196" i="1"/>
  <c r="S194" i="1"/>
  <c r="S195" i="1"/>
  <c r="V195" i="1"/>
  <c r="AF195" i="1" s="1"/>
  <c r="V196" i="1"/>
  <c r="AF196" i="1" s="1"/>
  <c r="S73" i="1"/>
  <c r="S72" i="1"/>
  <c r="V194" i="1"/>
  <c r="AF194" i="1" s="1"/>
  <c r="V73" i="1"/>
  <c r="V72" i="1"/>
  <c r="S102" i="1"/>
  <c r="S101" i="1"/>
  <c r="S23" i="1"/>
  <c r="S230" i="1"/>
  <c r="V23" i="1"/>
  <c r="AF23" i="1" s="1"/>
  <c r="V230" i="1"/>
  <c r="AF230" i="1" s="1"/>
  <c r="V17" i="1"/>
  <c r="S16" i="1"/>
  <c r="S205" i="1"/>
  <c r="S17" i="1"/>
  <c r="V16" i="1"/>
  <c r="S228" i="1"/>
  <c r="V228" i="1"/>
  <c r="AF228" i="1" s="1"/>
  <c r="S104" i="1"/>
  <c r="S103" i="1"/>
  <c r="V104" i="1"/>
  <c r="AF104" i="1" s="1"/>
  <c r="S330" i="1"/>
  <c r="U330" i="1" s="1"/>
  <c r="V103" i="1"/>
  <c r="AF103" i="1" s="1"/>
  <c r="V4" i="1"/>
  <c r="S247" i="1"/>
  <c r="V330" i="1"/>
  <c r="S4" i="1"/>
  <c r="V247" i="1"/>
  <c r="S246" i="1"/>
  <c r="V246" i="1"/>
  <c r="S252" i="1"/>
  <c r="S257" i="1"/>
  <c r="S256" i="1"/>
  <c r="V267" i="1"/>
  <c r="S211" i="1"/>
  <c r="S189" i="1"/>
  <c r="V211" i="1"/>
  <c r="V189" i="1"/>
  <c r="S41" i="1"/>
  <c r="V68" i="1"/>
  <c r="AF68" i="1" s="1"/>
  <c r="V41" i="1"/>
  <c r="V252" i="1"/>
  <c r="V256" i="1"/>
  <c r="S212" i="1"/>
  <c r="V257" i="1"/>
  <c r="S68" i="1"/>
  <c r="S267" i="1"/>
  <c r="V212" i="1"/>
  <c r="AF212" i="1" s="1"/>
  <c r="S121" i="1"/>
  <c r="V121" i="1"/>
  <c r="S39" i="1"/>
  <c r="V39" i="1"/>
  <c r="AF39" i="1" s="1"/>
  <c r="S38" i="1"/>
  <c r="S237" i="1"/>
  <c r="V38" i="1"/>
  <c r="AF38" i="1" s="1"/>
  <c r="V237" i="1"/>
  <c r="S31" i="1"/>
  <c r="S118" i="1"/>
  <c r="V31" i="1"/>
  <c r="AF31" i="1" s="1"/>
  <c r="V118" i="1"/>
  <c r="S266" i="1"/>
  <c r="V239" i="1"/>
  <c r="V266" i="1"/>
  <c r="S239" i="1"/>
  <c r="S172" i="1"/>
  <c r="S131" i="1"/>
  <c r="V172" i="1"/>
  <c r="S309" i="1"/>
  <c r="V131" i="1"/>
  <c r="S236" i="1"/>
  <c r="V309" i="1"/>
  <c r="V236" i="1"/>
  <c r="S183" i="1"/>
  <c r="S99" i="1"/>
  <c r="S193" i="1"/>
  <c r="S235" i="1"/>
  <c r="S77" i="1"/>
  <c r="V112" i="1"/>
  <c r="AF112" i="1" s="1"/>
  <c r="S113" i="1"/>
  <c r="V113" i="1"/>
  <c r="AF113" i="1" s="1"/>
  <c r="S10" i="1"/>
  <c r="V183" i="1"/>
  <c r="AF183" i="1" s="1"/>
  <c r="S112" i="1"/>
  <c r="V10" i="1"/>
  <c r="AF10" i="1" s="1"/>
  <c r="S134" i="1"/>
  <c r="S135" i="1"/>
  <c r="S203" i="1"/>
  <c r="S204" i="1"/>
  <c r="V204" i="1"/>
  <c r="V203" i="1"/>
  <c r="S229" i="1"/>
  <c r="V135" i="1"/>
  <c r="AF135" i="1" s="1"/>
  <c r="S187" i="1"/>
  <c r="V134" i="1"/>
  <c r="AF134" i="1" s="1"/>
  <c r="S186" i="1"/>
  <c r="S188" i="1"/>
  <c r="V187" i="1"/>
  <c r="AF187" i="1" s="1"/>
  <c r="V186" i="1"/>
  <c r="S321" i="1"/>
  <c r="S70" i="1"/>
  <c r="V70" i="1"/>
  <c r="AF70" i="1" s="1"/>
  <c r="S69" i="1"/>
  <c r="V69" i="1"/>
  <c r="AF69" i="1" s="1"/>
  <c r="S54" i="1"/>
  <c r="U54" i="1" s="1"/>
  <c r="S119" i="1"/>
  <c r="S96" i="1"/>
  <c r="S221" i="1"/>
  <c r="S244" i="1"/>
  <c r="X244" i="1" s="1"/>
  <c r="S262" i="1"/>
  <c r="S299" i="1"/>
  <c r="S298" i="1"/>
  <c r="S297" i="1"/>
  <c r="V298" i="1"/>
  <c r="V297" i="1"/>
  <c r="AF297" i="1" s="1"/>
  <c r="S249" i="1"/>
  <c r="V249" i="1"/>
  <c r="S248" i="1"/>
  <c r="S122" i="1"/>
  <c r="S123" i="1"/>
  <c r="S51" i="1"/>
  <c r="AB51" i="1" s="1"/>
  <c r="V248" i="1"/>
  <c r="AF248" i="1" s="1"/>
  <c r="S320" i="1"/>
  <c r="S71" i="1"/>
  <c r="S100" i="1"/>
  <c r="S130" i="1"/>
  <c r="S234" i="1"/>
  <c r="S233" i="1"/>
  <c r="V234" i="1"/>
  <c r="AF234" i="1" s="1"/>
  <c r="V233" i="1"/>
  <c r="AF233" i="1" s="1"/>
  <c r="S264" i="1"/>
  <c r="S263" i="1"/>
  <c r="V263" i="1"/>
  <c r="S164" i="1"/>
  <c r="S165" i="1"/>
  <c r="V164" i="1"/>
  <c r="S300" i="1"/>
  <c r="S301" i="1"/>
  <c r="V300" i="1"/>
  <c r="AF300" i="1" s="1"/>
  <c r="S208" i="1"/>
  <c r="S209" i="1"/>
  <c r="V208" i="1"/>
  <c r="AF208" i="1" s="1"/>
  <c r="S171" i="1"/>
  <c r="S232" i="1"/>
  <c r="V171" i="1"/>
  <c r="AF171" i="1" s="1"/>
  <c r="V232" i="1"/>
  <c r="AF232" i="1" s="1"/>
  <c r="S231" i="1"/>
  <c r="V231" i="1"/>
  <c r="AF231" i="1" s="1"/>
  <c r="S302" i="1"/>
  <c r="S268" i="1"/>
  <c r="S269" i="1"/>
  <c r="S210" i="1"/>
  <c r="S295" i="1"/>
  <c r="S294" i="1"/>
  <c r="V295" i="1"/>
  <c r="AF295" i="1" s="1"/>
  <c r="S293" i="1"/>
  <c r="V294" i="1"/>
  <c r="AF294" i="1" s="1"/>
  <c r="S261" i="1"/>
  <c r="V293" i="1"/>
  <c r="AF293" i="1" s="1"/>
  <c r="S227" i="1"/>
  <c r="V227" i="1"/>
  <c r="AF227" i="1" s="1"/>
  <c r="S329" i="1"/>
  <c r="S328" i="1"/>
  <c r="V328" i="1"/>
  <c r="S78" i="1"/>
  <c r="S238" i="1"/>
  <c r="V78" i="1"/>
  <c r="AF78" i="1" s="1"/>
  <c r="V238" i="1"/>
  <c r="AF238" i="1" s="1"/>
  <c r="S170" i="1"/>
  <c r="V170" i="1"/>
  <c r="AF170" i="1" s="1"/>
  <c r="S273" i="1"/>
  <c r="S182" i="1"/>
  <c r="V273" i="1"/>
  <c r="AF273" i="1" s="1"/>
  <c r="V182" i="1"/>
  <c r="AF182" i="1" s="1"/>
  <c r="S146" i="1"/>
  <c r="S145" i="1"/>
  <c r="S313" i="1"/>
  <c r="S255" i="1"/>
  <c r="S312" i="1"/>
  <c r="S311" i="1"/>
  <c r="V313" i="1"/>
  <c r="AF313" i="1" s="1"/>
  <c r="V312" i="1"/>
  <c r="AF312" i="1" s="1"/>
  <c r="V311" i="1"/>
  <c r="AF311" i="1" s="1"/>
  <c r="V255" i="1"/>
  <c r="S316" i="1"/>
  <c r="S315" i="1"/>
  <c r="V315" i="1"/>
  <c r="S138" i="1"/>
  <c r="S167" i="1"/>
  <c r="S137" i="1"/>
  <c r="V138" i="1"/>
  <c r="V137" i="1"/>
  <c r="V224" i="1"/>
  <c r="AF224" i="1" s="1"/>
  <c r="V223" i="1"/>
  <c r="AF223" i="1" s="1"/>
  <c r="S166" i="1"/>
  <c r="S223" i="1"/>
  <c r="S224" i="1"/>
  <c r="V166" i="1"/>
  <c r="AF166" i="1" s="1"/>
  <c r="V167" i="1"/>
  <c r="AF167" i="1" s="1"/>
  <c r="V250" i="1"/>
  <c r="V3" i="1"/>
  <c r="V7" i="1"/>
  <c r="V8" i="1"/>
  <c r="V9" i="1"/>
  <c r="V6" i="1"/>
  <c r="V12" i="1"/>
  <c r="AF12" i="1" s="1"/>
  <c r="V13" i="1"/>
  <c r="V14" i="1"/>
  <c r="V76" i="1"/>
  <c r="V148" i="1"/>
  <c r="AF148" i="1" s="1"/>
  <c r="V105" i="1"/>
  <c r="V88" i="1"/>
  <c r="AF88" i="1" s="1"/>
  <c r="V89" i="1"/>
  <c r="AF89" i="1" s="1"/>
  <c r="V90" i="1"/>
  <c r="AF90" i="1" s="1"/>
  <c r="V91" i="1"/>
  <c r="AF91" i="1" s="1"/>
  <c r="V181" i="1"/>
  <c r="V84" i="1"/>
  <c r="V92" i="1"/>
  <c r="V111" i="1"/>
  <c r="V160" i="1"/>
  <c r="V161" i="1"/>
  <c r="V85" i="1"/>
  <c r="AF85" i="1" s="1"/>
  <c r="V86" i="1"/>
  <c r="AF86" i="1" s="1"/>
  <c r="V143" i="1"/>
  <c r="V144" i="1"/>
  <c r="V152" i="1"/>
  <c r="V155" i="1"/>
  <c r="AF155" i="1" s="1"/>
  <c r="V271" i="1"/>
  <c r="AF271" i="1" s="1"/>
  <c r="V272" i="1"/>
  <c r="AF272" i="1" s="1"/>
  <c r="V275" i="1"/>
  <c r="AF275" i="1" s="1"/>
  <c r="V274" i="1"/>
  <c r="AF274" i="1" s="1"/>
  <c r="V276" i="1"/>
  <c r="AF276" i="1" s="1"/>
  <c r="V304" i="1"/>
  <c r="V305" i="1"/>
  <c r="V75" i="1"/>
  <c r="V98" i="1"/>
  <c r="V99" i="1"/>
  <c r="V87" i="1"/>
  <c r="V197" i="1"/>
  <c r="AF197" i="1" s="1"/>
  <c r="V139" i="1"/>
  <c r="V225" i="1"/>
  <c r="AF225" i="1" s="1"/>
  <c r="V226" i="1"/>
  <c r="AF226" i="1" s="1"/>
  <c r="V215" i="1"/>
  <c r="AF215" i="1" s="1"/>
  <c r="V214" i="1"/>
  <c r="AF214" i="1" s="1"/>
  <c r="V132" i="1"/>
  <c r="V191" i="1"/>
  <c r="AF191" i="1" s="1"/>
  <c r="V192" i="1"/>
  <c r="AF192" i="1" s="1"/>
  <c r="V32" i="1"/>
  <c r="AF32" i="1" s="1"/>
  <c r="V33" i="1"/>
  <c r="AF33" i="1" s="1"/>
  <c r="V42" i="1"/>
  <c r="AF42" i="1" s="1"/>
  <c r="V43" i="1"/>
  <c r="AF43" i="1" s="1"/>
  <c r="V40" i="1"/>
  <c r="V282" i="1"/>
  <c r="AF282" i="1" s="1"/>
  <c r="V283" i="1"/>
  <c r="V284" i="1"/>
  <c r="V289" i="1"/>
  <c r="V259" i="1"/>
  <c r="V190" i="1"/>
  <c r="V217" i="1"/>
  <c r="V307" i="1"/>
  <c r="AF307" i="1" s="1"/>
  <c r="V308" i="1"/>
  <c r="AF308" i="1" s="1"/>
  <c r="V292" i="1"/>
  <c r="V317" i="1"/>
  <c r="V26" i="1"/>
  <c r="V198" i="1"/>
  <c r="AF198" i="1" s="1"/>
  <c r="V258" i="1"/>
  <c r="AF258" i="1" s="1"/>
  <c r="V240" i="1"/>
  <c r="AF240" i="1" s="1"/>
  <c r="V280" i="1"/>
  <c r="AF280" i="1" s="1"/>
  <c r="V281" i="1"/>
  <c r="AF281" i="1" s="1"/>
  <c r="V243" i="1"/>
  <c r="AF243" i="1" s="1"/>
  <c r="V126" i="1"/>
  <c r="V325" i="1"/>
  <c r="AF325" i="1" s="1"/>
  <c r="V326" i="1"/>
  <c r="AF326" i="1" s="1"/>
  <c r="V327" i="1"/>
  <c r="AF327" i="1" s="1"/>
  <c r="V178" i="1"/>
  <c r="V180" i="1"/>
  <c r="V321" i="1"/>
  <c r="V320" i="1"/>
  <c r="V319" i="1"/>
  <c r="V318" i="1"/>
  <c r="V316" i="1"/>
  <c r="V314" i="1"/>
  <c r="V310" i="1"/>
  <c r="V306" i="1"/>
  <c r="V303" i="1"/>
  <c r="V302" i="1"/>
  <c r="V301" i="1"/>
  <c r="V299" i="1"/>
  <c r="V296" i="1"/>
  <c r="V291" i="1"/>
  <c r="V290" i="1"/>
  <c r="V288" i="1"/>
  <c r="V287" i="1"/>
  <c r="V286" i="1"/>
  <c r="V285" i="1"/>
  <c r="V279" i="1"/>
  <c r="V106" i="1"/>
  <c r="V277" i="1"/>
  <c r="V270" i="1"/>
  <c r="V269" i="1"/>
  <c r="V268" i="1"/>
  <c r="V265" i="1"/>
  <c r="V264" i="1"/>
  <c r="V262" i="1"/>
  <c r="V261" i="1"/>
  <c r="V260" i="1"/>
  <c r="V254" i="1"/>
  <c r="V332" i="1"/>
  <c r="V331" i="1"/>
  <c r="V329" i="1"/>
  <c r="V179" i="1"/>
  <c r="AF179" i="1" s="1"/>
  <c r="V177" i="1"/>
  <c r="AF177" i="1" s="1"/>
  <c r="S179" i="1"/>
  <c r="S180" i="1"/>
  <c r="V2" i="1"/>
  <c r="V47" i="1"/>
  <c r="V11" i="1"/>
  <c r="S177" i="1"/>
  <c r="S178" i="1"/>
  <c r="S325" i="1"/>
  <c r="S326" i="1"/>
  <c r="S327" i="1"/>
  <c r="V5" i="1"/>
  <c r="V18" i="1"/>
  <c r="V15" i="1"/>
  <c r="V20" i="1"/>
  <c r="V19" i="1"/>
  <c r="V22" i="1"/>
  <c r="V21" i="1"/>
  <c r="V25" i="1"/>
  <c r="V24" i="1"/>
  <c r="V28" i="1"/>
  <c r="V27" i="1"/>
  <c r="V30" i="1"/>
  <c r="V29" i="1"/>
  <c r="V35" i="1"/>
  <c r="V34" i="1"/>
  <c r="V37" i="1"/>
  <c r="V36" i="1"/>
  <c r="V45" i="1"/>
  <c r="V44" i="1"/>
  <c r="V116" i="1"/>
  <c r="V46" i="1"/>
  <c r="V49" i="1"/>
  <c r="V48" i="1"/>
  <c r="V56" i="1"/>
  <c r="V120" i="1"/>
  <c r="V323" i="1"/>
  <c r="V80" i="1"/>
  <c r="V55" i="1"/>
  <c r="V54" i="1"/>
  <c r="V57" i="1"/>
  <c r="V242" i="1"/>
  <c r="V251" i="1"/>
  <c r="V58" i="1"/>
  <c r="V61" i="1"/>
  <c r="V60" i="1"/>
  <c r="V63" i="1"/>
  <c r="V62" i="1"/>
  <c r="V66" i="1"/>
  <c r="V64" i="1"/>
  <c r="V71" i="1"/>
  <c r="V67" i="1"/>
  <c r="V77" i="1"/>
  <c r="V74" i="1"/>
  <c r="V50" i="1"/>
  <c r="V79" i="1"/>
  <c r="V82" i="1"/>
  <c r="V81" i="1"/>
  <c r="V93" i="1"/>
  <c r="V83" i="1"/>
  <c r="V95" i="1"/>
  <c r="V94" i="1"/>
  <c r="V97" i="1"/>
  <c r="V59" i="1"/>
  <c r="V101" i="1"/>
  <c r="V100" i="1"/>
  <c r="V245" i="1"/>
  <c r="V102" i="1"/>
  <c r="V107" i="1"/>
  <c r="V108" i="1"/>
  <c r="V110" i="1"/>
  <c r="V109" i="1"/>
  <c r="V115" i="1"/>
  <c r="V114" i="1"/>
  <c r="V117" i="1"/>
  <c r="V53" i="1"/>
  <c r="V96" i="1"/>
  <c r="V119" i="1"/>
  <c r="V123" i="1"/>
  <c r="V122" i="1"/>
  <c r="V125" i="1"/>
  <c r="V124" i="1"/>
  <c r="V128" i="1"/>
  <c r="V127" i="1"/>
  <c r="V130" i="1"/>
  <c r="V129" i="1"/>
  <c r="V136" i="1"/>
  <c r="V133" i="1"/>
  <c r="V141" i="1"/>
  <c r="V140" i="1"/>
  <c r="V145" i="1"/>
  <c r="V142" i="1"/>
  <c r="V147" i="1"/>
  <c r="V146" i="1"/>
  <c r="V150" i="1"/>
  <c r="V149" i="1"/>
  <c r="V153" i="1"/>
  <c r="V151" i="1"/>
  <c r="V156" i="1"/>
  <c r="V154" i="1"/>
  <c r="V158" i="1"/>
  <c r="V157" i="1"/>
  <c r="V162" i="1"/>
  <c r="V159" i="1"/>
  <c r="V165" i="1"/>
  <c r="V163" i="1"/>
  <c r="V169" i="1"/>
  <c r="V168" i="1"/>
  <c r="V174" i="1"/>
  <c r="V173" i="1"/>
  <c r="V176" i="1"/>
  <c r="V175" i="1"/>
  <c r="V185" i="1"/>
  <c r="V184" i="1"/>
  <c r="V193" i="1"/>
  <c r="V188" i="1"/>
  <c r="V200" i="1"/>
  <c r="V199" i="1"/>
  <c r="V202" i="1"/>
  <c r="V201" i="1"/>
  <c r="V209" i="1"/>
  <c r="V205" i="1"/>
  <c r="V213" i="1"/>
  <c r="V210" i="1"/>
  <c r="V218" i="1"/>
  <c r="V216" i="1"/>
  <c r="V221" i="1"/>
  <c r="V219" i="1"/>
  <c r="V229" i="1"/>
  <c r="V244" i="1"/>
  <c r="V241" i="1"/>
  <c r="V235" i="1"/>
  <c r="V222" i="1"/>
  <c r="R52" i="1"/>
  <c r="V52" i="1" s="1"/>
  <c r="R51" i="1"/>
  <c r="V51" i="1" s="1"/>
  <c r="R253" i="1"/>
  <c r="V253" i="1" s="1"/>
  <c r="V278" i="1"/>
  <c r="V322" i="1"/>
  <c r="V324" i="1"/>
  <c r="S126" i="1"/>
  <c r="S169" i="1"/>
  <c r="S168" i="1"/>
  <c r="S243" i="1"/>
  <c r="S281" i="1"/>
  <c r="S265" i="1"/>
  <c r="S280" i="1"/>
  <c r="S324" i="1"/>
  <c r="U324" i="1" s="1"/>
  <c r="S250" i="1"/>
  <c r="S240" i="1"/>
  <c r="S258" i="1"/>
  <c r="S198" i="1"/>
  <c r="S26" i="1"/>
  <c r="S317" i="1"/>
  <c r="S292" i="1"/>
  <c r="S307" i="1"/>
  <c r="S308" i="1"/>
  <c r="S52" i="1"/>
  <c r="X52" i="1" s="1"/>
  <c r="S253" i="1"/>
  <c r="T253" i="1" s="1"/>
  <c r="S278" i="1"/>
  <c r="S217" i="1"/>
  <c r="S190" i="1"/>
  <c r="S332" i="1"/>
  <c r="S331" i="1"/>
  <c r="S47" i="1"/>
  <c r="X47" i="1" s="1"/>
  <c r="S319" i="1"/>
  <c r="S318" i="1"/>
  <c r="S314" i="1"/>
  <c r="S306" i="1"/>
  <c r="S305" i="1"/>
  <c r="S304" i="1"/>
  <c r="S303" i="1"/>
  <c r="S296" i="1"/>
  <c r="S290" i="1"/>
  <c r="S289" i="1"/>
  <c r="S287" i="1"/>
  <c r="S286" i="1"/>
  <c r="S285" i="1"/>
  <c r="S284" i="1"/>
  <c r="S283" i="1"/>
  <c r="S282" i="1"/>
  <c r="S279" i="1"/>
  <c r="S106" i="1"/>
  <c r="X106" i="1" s="1"/>
  <c r="S277" i="1"/>
  <c r="S276" i="1"/>
  <c r="S275" i="1"/>
  <c r="S274" i="1"/>
  <c r="S272" i="1"/>
  <c r="S271" i="1"/>
  <c r="S270" i="1"/>
  <c r="S260" i="1"/>
  <c r="S259" i="1"/>
  <c r="S254" i="1"/>
  <c r="S222" i="1"/>
  <c r="S241" i="1"/>
  <c r="S226" i="1"/>
  <c r="S225" i="1"/>
  <c r="S219" i="1"/>
  <c r="S218" i="1"/>
  <c r="S216" i="1"/>
  <c r="S215" i="1"/>
  <c r="S214" i="1"/>
  <c r="S202" i="1"/>
  <c r="S201" i="1"/>
  <c r="S200" i="1"/>
  <c r="S199" i="1"/>
  <c r="S197" i="1"/>
  <c r="S192" i="1"/>
  <c r="S191" i="1"/>
  <c r="S185" i="1"/>
  <c r="S184" i="1"/>
  <c r="S181" i="1"/>
  <c r="S176" i="1"/>
  <c r="S175" i="1"/>
  <c r="S174" i="1"/>
  <c r="S173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4" i="1"/>
  <c r="S143" i="1"/>
  <c r="S140" i="1"/>
  <c r="S139" i="1"/>
  <c r="S133" i="1"/>
  <c r="S132" i="1"/>
  <c r="S129" i="1"/>
  <c r="S128" i="1"/>
  <c r="S127" i="1"/>
  <c r="S125" i="1"/>
  <c r="S117" i="1"/>
  <c r="S53" i="1"/>
  <c r="X53" i="1" s="1"/>
  <c r="S115" i="1"/>
  <c r="S114" i="1"/>
  <c r="S111" i="1"/>
  <c r="S110" i="1"/>
  <c r="S109" i="1"/>
  <c r="S107" i="1"/>
  <c r="S108" i="1"/>
  <c r="X108" i="1" s="1"/>
  <c r="S245" i="1"/>
  <c r="S105" i="1"/>
  <c r="S98" i="1"/>
  <c r="S97" i="1"/>
  <c r="S59" i="1"/>
  <c r="X59" i="1" s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50" i="1"/>
  <c r="X50" i="1" s="1"/>
  <c r="S79" i="1"/>
  <c r="S76" i="1"/>
  <c r="S75" i="1"/>
  <c r="S74" i="1"/>
  <c r="S67" i="1"/>
  <c r="S66" i="1"/>
  <c r="S61" i="1"/>
  <c r="S60" i="1"/>
  <c r="S251" i="1"/>
  <c r="X251" i="1" s="1"/>
  <c r="S58" i="1"/>
  <c r="X58" i="1" s="1"/>
  <c r="S57" i="1"/>
  <c r="S242" i="1"/>
  <c r="X242" i="1" s="1"/>
  <c r="S55" i="1"/>
  <c r="S323" i="1"/>
  <c r="S80" i="1"/>
  <c r="X80" i="1" s="1"/>
  <c r="S56" i="1"/>
  <c r="X56" i="1" s="1"/>
  <c r="S120" i="1"/>
  <c r="X120" i="1" s="1"/>
  <c r="S49" i="1"/>
  <c r="S48" i="1"/>
  <c r="S116" i="1"/>
  <c r="S46" i="1"/>
  <c r="S45" i="1"/>
  <c r="S44" i="1"/>
  <c r="S43" i="1"/>
  <c r="S42" i="1"/>
  <c r="S40" i="1"/>
  <c r="S37" i="1"/>
  <c r="S36" i="1"/>
  <c r="S35" i="1"/>
  <c r="X35" i="1" s="1"/>
  <c r="S34" i="1"/>
  <c r="S33" i="1"/>
  <c r="S32" i="1"/>
  <c r="S30" i="1"/>
  <c r="S29" i="1"/>
  <c r="S28" i="1"/>
  <c r="S27" i="1"/>
  <c r="S25" i="1"/>
  <c r="S24" i="1"/>
  <c r="S22" i="1"/>
  <c r="S21" i="1"/>
  <c r="S20" i="1"/>
  <c r="S19" i="1"/>
  <c r="S18" i="1"/>
  <c r="S15" i="1"/>
  <c r="S14" i="1"/>
  <c r="S13" i="1"/>
  <c r="S12" i="1"/>
  <c r="S11" i="1"/>
  <c r="S9" i="1"/>
  <c r="S8" i="1"/>
  <c r="S7" i="1"/>
  <c r="S6" i="1"/>
  <c r="S5" i="1"/>
  <c r="S3" i="1"/>
  <c r="S2" i="1"/>
  <c r="S322" i="1"/>
  <c r="M2" i="15"/>
  <c r="N2" i="15" s="1"/>
  <c r="J4" i="15"/>
  <c r="D2" i="15"/>
  <c r="C2" i="15"/>
  <c r="B2" i="15"/>
  <c r="L2" i="15"/>
  <c r="AB352" i="1" l="1"/>
  <c r="T352" i="1"/>
  <c r="AG352" i="1"/>
  <c r="U352" i="1"/>
  <c r="AF352" i="1"/>
  <c r="AB353" i="1"/>
  <c r="T353" i="1"/>
  <c r="AG353" i="1"/>
  <c r="U353" i="1"/>
  <c r="AB354" i="1"/>
  <c r="T354" i="1"/>
  <c r="AG354" i="1"/>
  <c r="U354" i="1"/>
  <c r="W354" i="1"/>
  <c r="X354" i="1"/>
  <c r="AF347" i="1"/>
  <c r="AF350" i="1"/>
  <c r="X353" i="1"/>
  <c r="W353" i="1"/>
  <c r="AF345" i="1"/>
  <c r="AF342" i="1"/>
  <c r="T343" i="1"/>
  <c r="AB343" i="1"/>
  <c r="U343" i="1"/>
  <c r="AG343" i="1"/>
  <c r="T349" i="1"/>
  <c r="U349" i="1"/>
  <c r="AG349" i="1"/>
  <c r="AB349" i="1"/>
  <c r="U344" i="1"/>
  <c r="T344" i="1"/>
  <c r="AG344" i="1"/>
  <c r="AB344" i="1"/>
  <c r="AB345" i="1"/>
  <c r="U345" i="1"/>
  <c r="T345" i="1"/>
  <c r="AG345" i="1"/>
  <c r="U346" i="1"/>
  <c r="T346" i="1"/>
  <c r="AG346" i="1"/>
  <c r="AB346" i="1"/>
  <c r="AF349" i="1"/>
  <c r="T350" i="1"/>
  <c r="AB350" i="1"/>
  <c r="AG350" i="1"/>
  <c r="U350" i="1"/>
  <c r="T347" i="1"/>
  <c r="AB347" i="1"/>
  <c r="AG347" i="1"/>
  <c r="U347" i="1"/>
  <c r="T348" i="1"/>
  <c r="AG348" i="1"/>
  <c r="AB348" i="1"/>
  <c r="U348" i="1"/>
  <c r="T351" i="1"/>
  <c r="U351" i="1"/>
  <c r="AE351" i="1" s="1"/>
  <c r="AB351" i="1"/>
  <c r="AG351" i="1"/>
  <c r="X352" i="1"/>
  <c r="W352" i="1"/>
  <c r="X351" i="1"/>
  <c r="W351" i="1"/>
  <c r="W350" i="1"/>
  <c r="X350" i="1"/>
  <c r="W349" i="1"/>
  <c r="X349" i="1"/>
  <c r="W348" i="1"/>
  <c r="X348" i="1"/>
  <c r="W347" i="1"/>
  <c r="X347" i="1"/>
  <c r="W346" i="1"/>
  <c r="X346" i="1"/>
  <c r="W345" i="1"/>
  <c r="X345" i="1"/>
  <c r="AF341" i="1"/>
  <c r="AG341" i="1"/>
  <c r="AB341" i="1"/>
  <c r="W343" i="1"/>
  <c r="W344" i="1"/>
  <c r="X344" i="1"/>
  <c r="T342" i="1"/>
  <c r="AG342" i="1"/>
  <c r="AB342" i="1"/>
  <c r="U342" i="1"/>
  <c r="X343" i="1"/>
  <c r="W342" i="1"/>
  <c r="T341" i="1"/>
  <c r="X342" i="1"/>
  <c r="X340" i="1"/>
  <c r="T340" i="1"/>
  <c r="U340" i="1"/>
  <c r="AE340" i="1" s="1"/>
  <c r="AG340" i="1"/>
  <c r="AB340" i="1"/>
  <c r="W341" i="1"/>
  <c r="X341" i="1"/>
  <c r="W340" i="1"/>
  <c r="T338" i="1"/>
  <c r="AG338" i="1"/>
  <c r="U338" i="1"/>
  <c r="AE338" i="1" s="1"/>
  <c r="AB338" i="1"/>
  <c r="U337" i="1"/>
  <c r="AE337" i="1" s="1"/>
  <c r="AB337" i="1"/>
  <c r="T337" i="1"/>
  <c r="AG337" i="1"/>
  <c r="U339" i="1"/>
  <c r="AE339" i="1" s="1"/>
  <c r="AG339" i="1"/>
  <c r="AB339" i="1"/>
  <c r="T339" i="1"/>
  <c r="W338" i="1"/>
  <c r="AF336" i="1"/>
  <c r="X337" i="1"/>
  <c r="X336" i="1"/>
  <c r="W337" i="1"/>
  <c r="U336" i="1"/>
  <c r="T336" i="1"/>
  <c r="AB336" i="1"/>
  <c r="AG336" i="1"/>
  <c r="W339" i="1"/>
  <c r="X338" i="1"/>
  <c r="X339" i="1"/>
  <c r="W336" i="1"/>
  <c r="AF335" i="1"/>
  <c r="AF334" i="1"/>
  <c r="T334" i="1"/>
  <c r="AB334" i="1"/>
  <c r="AG334" i="1"/>
  <c r="U334" i="1"/>
  <c r="T335" i="1"/>
  <c r="U335" i="1"/>
  <c r="AG335" i="1"/>
  <c r="AB335" i="1"/>
  <c r="X335" i="1"/>
  <c r="W335" i="1"/>
  <c r="AG65" i="1"/>
  <c r="X334" i="1"/>
  <c r="X333" i="1"/>
  <c r="T65" i="1"/>
  <c r="U333" i="1"/>
  <c r="AE333" i="1" s="1"/>
  <c r="AB333" i="1"/>
  <c r="AG333" i="1"/>
  <c r="T333" i="1"/>
  <c r="W334" i="1"/>
  <c r="U65" i="1"/>
  <c r="AE65" i="1" s="1"/>
  <c r="W333" i="1"/>
  <c r="W65" i="1"/>
  <c r="X65" i="1"/>
  <c r="T124" i="1"/>
  <c r="U124" i="1"/>
  <c r="AB124" i="1"/>
  <c r="AG124" i="1"/>
  <c r="T291" i="1"/>
  <c r="U291" i="1"/>
  <c r="AB291" i="1"/>
  <c r="AG291" i="1"/>
  <c r="AF207" i="1"/>
  <c r="AF220" i="1"/>
  <c r="T206" i="1"/>
  <c r="AG206" i="1"/>
  <c r="U206" i="1"/>
  <c r="AB206" i="1"/>
  <c r="AF206" i="1"/>
  <c r="AB310" i="1"/>
  <c r="AG310" i="1"/>
  <c r="T310" i="1"/>
  <c r="U310" i="1"/>
  <c r="AB207" i="1"/>
  <c r="U207" i="1"/>
  <c r="T207" i="1"/>
  <c r="AG207" i="1"/>
  <c r="U220" i="1"/>
  <c r="T220" i="1"/>
  <c r="AB220" i="1"/>
  <c r="AG220" i="1"/>
  <c r="X220" i="1"/>
  <c r="W220" i="1"/>
  <c r="X207" i="1"/>
  <c r="W207" i="1"/>
  <c r="X206" i="1"/>
  <c r="W206" i="1"/>
  <c r="U194" i="1"/>
  <c r="AE194" i="1" s="1"/>
  <c r="AB194" i="1"/>
  <c r="T194" i="1"/>
  <c r="AG194" i="1"/>
  <c r="T195" i="1"/>
  <c r="AB195" i="1"/>
  <c r="AG195" i="1"/>
  <c r="U195" i="1"/>
  <c r="AE195" i="1" s="1"/>
  <c r="AB196" i="1"/>
  <c r="U196" i="1"/>
  <c r="AE196" i="1" s="1"/>
  <c r="T196" i="1"/>
  <c r="AG196" i="1"/>
  <c r="AF73" i="1"/>
  <c r="AF72" i="1"/>
  <c r="X196" i="1"/>
  <c r="W196" i="1"/>
  <c r="W194" i="1"/>
  <c r="W195" i="1"/>
  <c r="X195" i="1"/>
  <c r="X194" i="1"/>
  <c r="T72" i="1"/>
  <c r="AB72" i="1"/>
  <c r="U72" i="1"/>
  <c r="AG72" i="1"/>
  <c r="U73" i="1"/>
  <c r="AG73" i="1"/>
  <c r="T73" i="1"/>
  <c r="AB73" i="1"/>
  <c r="X72" i="1"/>
  <c r="X73" i="1"/>
  <c r="W73" i="1"/>
  <c r="W72" i="1"/>
  <c r="U101" i="1"/>
  <c r="T101" i="1"/>
  <c r="AB101" i="1"/>
  <c r="AG101" i="1"/>
  <c r="T102" i="1"/>
  <c r="U102" i="1"/>
  <c r="AB102" i="1"/>
  <c r="AG102" i="1"/>
  <c r="AB230" i="1"/>
  <c r="T230" i="1"/>
  <c r="AG230" i="1"/>
  <c r="U230" i="1"/>
  <c r="AE230" i="1" s="1"/>
  <c r="U23" i="1"/>
  <c r="AE23" i="1" s="1"/>
  <c r="T23" i="1"/>
  <c r="AB23" i="1"/>
  <c r="AG23" i="1"/>
  <c r="W23" i="1"/>
  <c r="AF17" i="1"/>
  <c r="AB205" i="1"/>
  <c r="AG205" i="1"/>
  <c r="U205" i="1"/>
  <c r="T205" i="1"/>
  <c r="X23" i="1"/>
  <c r="U16" i="1"/>
  <c r="AB16" i="1"/>
  <c r="T16" i="1"/>
  <c r="AG16" i="1"/>
  <c r="AF16" i="1"/>
  <c r="AB17" i="1"/>
  <c r="T17" i="1"/>
  <c r="U17" i="1"/>
  <c r="AG17" i="1"/>
  <c r="W230" i="1"/>
  <c r="X230" i="1"/>
  <c r="X16" i="1"/>
  <c r="X17" i="1"/>
  <c r="W17" i="1"/>
  <c r="AB228" i="1"/>
  <c r="T228" i="1"/>
  <c r="U228" i="1"/>
  <c r="AE228" i="1" s="1"/>
  <c r="AG228" i="1"/>
  <c r="W228" i="1"/>
  <c r="W16" i="1"/>
  <c r="X228" i="1"/>
  <c r="T330" i="1"/>
  <c r="T103" i="1"/>
  <c r="AB103" i="1"/>
  <c r="U103" i="1"/>
  <c r="AE103" i="1" s="1"/>
  <c r="AG103" i="1"/>
  <c r="AB104" i="1"/>
  <c r="U104" i="1"/>
  <c r="AE104" i="1" s="1"/>
  <c r="T104" i="1"/>
  <c r="AG104" i="1"/>
  <c r="X104" i="1"/>
  <c r="AB330" i="1"/>
  <c r="AF330" i="1"/>
  <c r="AG330" i="1"/>
  <c r="W104" i="1"/>
  <c r="X103" i="1"/>
  <c r="AF246" i="1"/>
  <c r="AF189" i="1"/>
  <c r="W103" i="1"/>
  <c r="X330" i="1"/>
  <c r="AG246" i="1"/>
  <c r="T246" i="1"/>
  <c r="U246" i="1"/>
  <c r="AB246" i="1"/>
  <c r="AF247" i="1"/>
  <c r="W330" i="1"/>
  <c r="U4" i="1"/>
  <c r="AB4" i="1"/>
  <c r="AG4" i="1"/>
  <c r="T4" i="1"/>
  <c r="AB247" i="1"/>
  <c r="AG247" i="1"/>
  <c r="U247" i="1"/>
  <c r="T247" i="1"/>
  <c r="AF4" i="1"/>
  <c r="X4" i="1"/>
  <c r="W4" i="1"/>
  <c r="AF41" i="1"/>
  <c r="AF211" i="1"/>
  <c r="AF256" i="1"/>
  <c r="X247" i="1"/>
  <c r="W247" i="1"/>
  <c r="W246" i="1"/>
  <c r="AF121" i="1"/>
  <c r="AF252" i="1"/>
  <c r="AF267" i="1"/>
  <c r="AF257" i="1"/>
  <c r="X246" i="1"/>
  <c r="U68" i="1"/>
  <c r="AE68" i="1" s="1"/>
  <c r="AB68" i="1"/>
  <c r="AG68" i="1"/>
  <c r="T68" i="1"/>
  <c r="T256" i="1"/>
  <c r="U256" i="1"/>
  <c r="AB256" i="1"/>
  <c r="AG256" i="1"/>
  <c r="U212" i="1"/>
  <c r="T212" i="1"/>
  <c r="AG212" i="1"/>
  <c r="AB212" i="1"/>
  <c r="U189" i="1"/>
  <c r="T189" i="1"/>
  <c r="AG189" i="1"/>
  <c r="AB189" i="1"/>
  <c r="T257" i="1"/>
  <c r="AG257" i="1"/>
  <c r="AB257" i="1"/>
  <c r="U257" i="1"/>
  <c r="U267" i="1"/>
  <c r="AG267" i="1"/>
  <c r="AB267" i="1"/>
  <c r="T267" i="1"/>
  <c r="T41" i="1"/>
  <c r="U41" i="1"/>
  <c r="AG41" i="1"/>
  <c r="AB41" i="1"/>
  <c r="AB211" i="1"/>
  <c r="T211" i="1"/>
  <c r="AG211" i="1"/>
  <c r="U211" i="1"/>
  <c r="AB252" i="1"/>
  <c r="T252" i="1"/>
  <c r="U252" i="1"/>
  <c r="AG252" i="1"/>
  <c r="X252" i="1"/>
  <c r="W252" i="1"/>
  <c r="W257" i="1"/>
  <c r="X257" i="1"/>
  <c r="W256" i="1"/>
  <c r="X256" i="1"/>
  <c r="X41" i="1"/>
  <c r="W41" i="1"/>
  <c r="X267" i="1"/>
  <c r="W267" i="1"/>
  <c r="X189" i="1"/>
  <c r="W189" i="1"/>
  <c r="W68" i="1"/>
  <c r="X68" i="1"/>
  <c r="W212" i="1"/>
  <c r="X212" i="1"/>
  <c r="W211" i="1"/>
  <c r="X211" i="1"/>
  <c r="X121" i="1"/>
  <c r="T121" i="1"/>
  <c r="AB121" i="1"/>
  <c r="AG121" i="1"/>
  <c r="U121" i="1"/>
  <c r="W121" i="1"/>
  <c r="T38" i="1"/>
  <c r="AB38" i="1"/>
  <c r="U38" i="1"/>
  <c r="AE38" i="1" s="1"/>
  <c r="AG38" i="1"/>
  <c r="AF237" i="1"/>
  <c r="T39" i="1"/>
  <c r="AB39" i="1"/>
  <c r="U39" i="1"/>
  <c r="AE39" i="1" s="1"/>
  <c r="AG39" i="1"/>
  <c r="X39" i="1"/>
  <c r="W39" i="1"/>
  <c r="W38" i="1"/>
  <c r="X38" i="1"/>
  <c r="U237" i="1"/>
  <c r="AB237" i="1"/>
  <c r="AG237" i="1"/>
  <c r="T237" i="1"/>
  <c r="W237" i="1"/>
  <c r="X237" i="1"/>
  <c r="T31" i="1"/>
  <c r="U31" i="1"/>
  <c r="AE31" i="1" s="1"/>
  <c r="AB31" i="1"/>
  <c r="AG31" i="1"/>
  <c r="T118" i="1"/>
  <c r="U118" i="1"/>
  <c r="AB118" i="1"/>
  <c r="AG118" i="1"/>
  <c r="AF118" i="1"/>
  <c r="W31" i="1"/>
  <c r="X31" i="1"/>
  <c r="W118" i="1"/>
  <c r="X118" i="1"/>
  <c r="AF172" i="1"/>
  <c r="AB266" i="1"/>
  <c r="AG266" i="1"/>
  <c r="T266" i="1"/>
  <c r="U266" i="1"/>
  <c r="W266" i="1"/>
  <c r="AF239" i="1"/>
  <c r="AF266" i="1"/>
  <c r="X266" i="1"/>
  <c r="U172" i="1"/>
  <c r="AG172" i="1"/>
  <c r="AB172" i="1"/>
  <c r="T172" i="1"/>
  <c r="U239" i="1"/>
  <c r="AG239" i="1"/>
  <c r="AB239" i="1"/>
  <c r="T239" i="1"/>
  <c r="X172" i="1"/>
  <c r="W239" i="1"/>
  <c r="X239" i="1"/>
  <c r="W172" i="1"/>
  <c r="AB131" i="1"/>
  <c r="U131" i="1"/>
  <c r="T131" i="1"/>
  <c r="AG131" i="1"/>
  <c r="AF131" i="1"/>
  <c r="W131" i="1"/>
  <c r="AF309" i="1"/>
  <c r="X131" i="1"/>
  <c r="T309" i="1"/>
  <c r="AB309" i="1"/>
  <c r="U309" i="1"/>
  <c r="AG309" i="1"/>
  <c r="AG236" i="1"/>
  <c r="U236" i="1"/>
  <c r="AB236" i="1"/>
  <c r="T236" i="1"/>
  <c r="AF236" i="1"/>
  <c r="X309" i="1"/>
  <c r="W309" i="1"/>
  <c r="W236" i="1"/>
  <c r="T235" i="1"/>
  <c r="U235" i="1"/>
  <c r="AG235" i="1"/>
  <c r="AB235" i="1"/>
  <c r="X236" i="1"/>
  <c r="T183" i="1"/>
  <c r="AB183" i="1"/>
  <c r="U183" i="1"/>
  <c r="AE183" i="1" s="1"/>
  <c r="AG183" i="1"/>
  <c r="T193" i="1"/>
  <c r="U193" i="1"/>
  <c r="AG193" i="1"/>
  <c r="AB193" i="1"/>
  <c r="X183" i="1"/>
  <c r="T77" i="1"/>
  <c r="U77" i="1"/>
  <c r="AG77" i="1"/>
  <c r="AB77" i="1"/>
  <c r="AF9" i="1"/>
  <c r="W183" i="1"/>
  <c r="T112" i="1"/>
  <c r="AB112" i="1"/>
  <c r="U112" i="1"/>
  <c r="AE112" i="1" s="1"/>
  <c r="AG112" i="1"/>
  <c r="T10" i="1"/>
  <c r="U10" i="1"/>
  <c r="AE10" i="1" s="1"/>
  <c r="AG10" i="1"/>
  <c r="AB10" i="1"/>
  <c r="AB113" i="1"/>
  <c r="AG113" i="1"/>
  <c r="U113" i="1"/>
  <c r="AE113" i="1" s="1"/>
  <c r="T113" i="1"/>
  <c r="AG253" i="1"/>
  <c r="U253" i="1"/>
  <c r="AF317" i="1"/>
  <c r="W113" i="1"/>
  <c r="X113" i="1"/>
  <c r="AF87" i="1"/>
  <c r="AB324" i="1"/>
  <c r="AF106" i="1"/>
  <c r="AF304" i="1"/>
  <c r="X112" i="1"/>
  <c r="W112" i="1"/>
  <c r="T324" i="1"/>
  <c r="U51" i="1"/>
  <c r="AG324" i="1"/>
  <c r="AF284" i="1"/>
  <c r="AF244" i="1"/>
  <c r="AF6" i="1"/>
  <c r="AF84" i="1"/>
  <c r="AF144" i="1"/>
  <c r="AF99" i="1"/>
  <c r="AF132" i="1"/>
  <c r="AF161" i="1"/>
  <c r="AF323" i="1"/>
  <c r="AF76" i="1"/>
  <c r="AF259" i="1"/>
  <c r="AF322" i="1"/>
  <c r="AF75" i="1"/>
  <c r="T54" i="1"/>
  <c r="AF26" i="1"/>
  <c r="AF289" i="1"/>
  <c r="AF139" i="1"/>
  <c r="AF143" i="1"/>
  <c r="AF14" i="1"/>
  <c r="AB54" i="1"/>
  <c r="W10" i="1"/>
  <c r="X10" i="1"/>
  <c r="AF92" i="1"/>
  <c r="AF50" i="1"/>
  <c r="AF204" i="1"/>
  <c r="AG54" i="1"/>
  <c r="AF56" i="1"/>
  <c r="AF251" i="1"/>
  <c r="AF116" i="1"/>
  <c r="AF105" i="1"/>
  <c r="AF126" i="1"/>
  <c r="AF59" i="1"/>
  <c r="AF328" i="1"/>
  <c r="X116" i="1"/>
  <c r="AF8" i="1"/>
  <c r="AF13" i="1"/>
  <c r="AF111" i="1"/>
  <c r="AF242" i="1"/>
  <c r="AF292" i="1"/>
  <c r="AF190" i="1"/>
  <c r="AF283" i="1"/>
  <c r="AF305" i="1"/>
  <c r="AF152" i="1"/>
  <c r="AF7" i="1"/>
  <c r="AF298" i="1"/>
  <c r="AF80" i="1"/>
  <c r="AB253" i="1"/>
  <c r="AF40" i="1"/>
  <c r="AF98" i="1"/>
  <c r="AF160" i="1"/>
  <c r="AF181" i="1"/>
  <c r="AF53" i="1"/>
  <c r="AF120" i="1"/>
  <c r="AF2" i="1"/>
  <c r="AF138" i="1"/>
  <c r="AF315" i="1"/>
  <c r="AF186" i="1"/>
  <c r="AF203" i="1"/>
  <c r="X323" i="1"/>
  <c r="AF137" i="1"/>
  <c r="AF255" i="1"/>
  <c r="AF164" i="1"/>
  <c r="W307" i="1"/>
  <c r="AF263" i="1"/>
  <c r="AF249" i="1"/>
  <c r="T229" i="1"/>
  <c r="U229" i="1"/>
  <c r="AB229" i="1"/>
  <c r="AG229" i="1"/>
  <c r="T204" i="1"/>
  <c r="U204" i="1"/>
  <c r="AB204" i="1"/>
  <c r="AG204" i="1"/>
  <c r="T203" i="1"/>
  <c r="U203" i="1"/>
  <c r="AB203" i="1"/>
  <c r="AG203" i="1"/>
  <c r="T135" i="1"/>
  <c r="U135" i="1"/>
  <c r="AE135" i="1" s="1"/>
  <c r="AB135" i="1"/>
  <c r="AG135" i="1"/>
  <c r="T134" i="1"/>
  <c r="U134" i="1"/>
  <c r="AE134" i="1" s="1"/>
  <c r="AB134" i="1"/>
  <c r="AG134" i="1"/>
  <c r="W203" i="1"/>
  <c r="X203" i="1"/>
  <c r="X204" i="1"/>
  <c r="W204" i="1"/>
  <c r="W135" i="1"/>
  <c r="X134" i="1"/>
  <c r="W134" i="1"/>
  <c r="X135" i="1"/>
  <c r="T188" i="1"/>
  <c r="U188" i="1"/>
  <c r="AB188" i="1"/>
  <c r="AG188" i="1"/>
  <c r="T186" i="1"/>
  <c r="U186" i="1"/>
  <c r="AB186" i="1"/>
  <c r="AG186" i="1"/>
  <c r="T187" i="1"/>
  <c r="U187" i="1"/>
  <c r="AB187" i="1"/>
  <c r="AG187" i="1"/>
  <c r="W186" i="1"/>
  <c r="W187" i="1"/>
  <c r="X187" i="1"/>
  <c r="T69" i="1"/>
  <c r="U69" i="1"/>
  <c r="AE69" i="1" s="1"/>
  <c r="AB69" i="1"/>
  <c r="AG69" i="1"/>
  <c r="T70" i="1"/>
  <c r="U70" i="1"/>
  <c r="AE70" i="1" s="1"/>
  <c r="AB70" i="1"/>
  <c r="AG70" i="1"/>
  <c r="T321" i="1"/>
  <c r="U321" i="1"/>
  <c r="AB321" i="1"/>
  <c r="AG321" i="1"/>
  <c r="X186" i="1"/>
  <c r="X69" i="1"/>
  <c r="W69" i="1"/>
  <c r="X70" i="1"/>
  <c r="W70" i="1"/>
  <c r="T96" i="1"/>
  <c r="U96" i="1"/>
  <c r="AB96" i="1"/>
  <c r="AG96" i="1"/>
  <c r="T119" i="1"/>
  <c r="U119" i="1"/>
  <c r="AB119" i="1"/>
  <c r="AG119" i="1"/>
  <c r="T297" i="1"/>
  <c r="U297" i="1"/>
  <c r="AB297" i="1"/>
  <c r="AG297" i="1"/>
  <c r="T298" i="1"/>
  <c r="U298" i="1"/>
  <c r="AB298" i="1"/>
  <c r="AG298" i="1"/>
  <c r="T299" i="1"/>
  <c r="U299" i="1"/>
  <c r="AB299" i="1"/>
  <c r="AG299" i="1"/>
  <c r="T262" i="1"/>
  <c r="U262" i="1"/>
  <c r="AB262" i="1"/>
  <c r="AG262" i="1"/>
  <c r="W297" i="1"/>
  <c r="W298" i="1"/>
  <c r="X298" i="1"/>
  <c r="T123" i="1"/>
  <c r="U123" i="1"/>
  <c r="AB123" i="1"/>
  <c r="AG123" i="1"/>
  <c r="T122" i="1"/>
  <c r="U122" i="1"/>
  <c r="AB122" i="1"/>
  <c r="AG122" i="1"/>
  <c r="T248" i="1"/>
  <c r="U248" i="1"/>
  <c r="AB248" i="1"/>
  <c r="AG248" i="1"/>
  <c r="T249" i="1"/>
  <c r="U249" i="1"/>
  <c r="AB249" i="1"/>
  <c r="AG249" i="1"/>
  <c r="X297" i="1"/>
  <c r="X249" i="1"/>
  <c r="W249" i="1"/>
  <c r="W248" i="1"/>
  <c r="X248" i="1"/>
  <c r="T320" i="1"/>
  <c r="U320" i="1"/>
  <c r="AB320" i="1"/>
  <c r="AG320" i="1"/>
  <c r="T130" i="1"/>
  <c r="U130" i="1"/>
  <c r="AB130" i="1"/>
  <c r="AG130" i="1"/>
  <c r="T100" i="1"/>
  <c r="U100" i="1"/>
  <c r="AB100" i="1"/>
  <c r="AG100" i="1"/>
  <c r="T71" i="1"/>
  <c r="U71" i="1"/>
  <c r="AB71" i="1"/>
  <c r="AG71" i="1"/>
  <c r="T233" i="1"/>
  <c r="U233" i="1"/>
  <c r="AE233" i="1" s="1"/>
  <c r="AB233" i="1"/>
  <c r="AG233" i="1"/>
  <c r="T234" i="1"/>
  <c r="U234" i="1"/>
  <c r="AE234" i="1" s="1"/>
  <c r="AB234" i="1"/>
  <c r="AG234" i="1"/>
  <c r="T263" i="1"/>
  <c r="U263" i="1"/>
  <c r="AB263" i="1"/>
  <c r="AG263" i="1"/>
  <c r="AB264" i="1"/>
  <c r="AG264" i="1"/>
  <c r="T264" i="1"/>
  <c r="U264" i="1"/>
  <c r="X234" i="1"/>
  <c r="W234" i="1"/>
  <c r="W233" i="1"/>
  <c r="X233" i="1"/>
  <c r="X263" i="1"/>
  <c r="W263" i="1"/>
  <c r="T165" i="1"/>
  <c r="U165" i="1"/>
  <c r="AB165" i="1"/>
  <c r="AG165" i="1"/>
  <c r="T164" i="1"/>
  <c r="U164" i="1"/>
  <c r="AB164" i="1"/>
  <c r="AG164" i="1"/>
  <c r="X164" i="1"/>
  <c r="W164" i="1"/>
  <c r="T301" i="1"/>
  <c r="U301" i="1"/>
  <c r="AE301" i="1" s="1"/>
  <c r="AB301" i="1"/>
  <c r="AG301" i="1"/>
  <c r="T300" i="1"/>
  <c r="U300" i="1"/>
  <c r="AE300" i="1" s="1"/>
  <c r="AB300" i="1"/>
  <c r="AG300" i="1"/>
  <c r="W300" i="1"/>
  <c r="T209" i="1"/>
  <c r="U209" i="1"/>
  <c r="AB209" i="1"/>
  <c r="AG209" i="1"/>
  <c r="T208" i="1"/>
  <c r="U208" i="1"/>
  <c r="AE208" i="1" s="1"/>
  <c r="AB208" i="1"/>
  <c r="AG208" i="1"/>
  <c r="X300" i="1"/>
  <c r="W208" i="1"/>
  <c r="T231" i="1"/>
  <c r="U231" i="1"/>
  <c r="AE231" i="1" s="1"/>
  <c r="AB231" i="1"/>
  <c r="AG231" i="1"/>
  <c r="T232" i="1"/>
  <c r="U232" i="1"/>
  <c r="AE232" i="1" s="1"/>
  <c r="AB232" i="1"/>
  <c r="AG232" i="1"/>
  <c r="T171" i="1"/>
  <c r="U171" i="1"/>
  <c r="AE171" i="1" s="1"/>
  <c r="AB171" i="1"/>
  <c r="AG171" i="1"/>
  <c r="X208" i="1"/>
  <c r="X171" i="1"/>
  <c r="W171" i="1"/>
  <c r="X231" i="1"/>
  <c r="X232" i="1"/>
  <c r="W232" i="1"/>
  <c r="T210" i="1"/>
  <c r="U210" i="1"/>
  <c r="AB210" i="1"/>
  <c r="AG210" i="1"/>
  <c r="AB269" i="1"/>
  <c r="AG269" i="1"/>
  <c r="T269" i="1"/>
  <c r="U269" i="1"/>
  <c r="T268" i="1"/>
  <c r="U268" i="1"/>
  <c r="AB268" i="1"/>
  <c r="AG268" i="1"/>
  <c r="T302" i="1"/>
  <c r="U302" i="1"/>
  <c r="AE302" i="1" s="1"/>
  <c r="AB302" i="1"/>
  <c r="AG302" i="1"/>
  <c r="W231" i="1"/>
  <c r="T261" i="1"/>
  <c r="U261" i="1"/>
  <c r="AB261" i="1"/>
  <c r="AG261" i="1"/>
  <c r="T293" i="1"/>
  <c r="U293" i="1"/>
  <c r="AE293" i="1" s="1"/>
  <c r="AB293" i="1"/>
  <c r="AG293" i="1"/>
  <c r="T294" i="1"/>
  <c r="U294" i="1"/>
  <c r="AE294" i="1" s="1"/>
  <c r="AB294" i="1"/>
  <c r="AG294" i="1"/>
  <c r="T295" i="1"/>
  <c r="U295" i="1"/>
  <c r="AE295" i="1" s="1"/>
  <c r="AB295" i="1"/>
  <c r="AG295" i="1"/>
  <c r="X295" i="1"/>
  <c r="W295" i="1"/>
  <c r="W294" i="1"/>
  <c r="X294" i="1"/>
  <c r="W293" i="1"/>
  <c r="X293" i="1"/>
  <c r="T227" i="1"/>
  <c r="U227" i="1"/>
  <c r="AE227" i="1" s="1"/>
  <c r="AB227" i="1"/>
  <c r="AG227" i="1"/>
  <c r="X227" i="1"/>
  <c r="W227" i="1"/>
  <c r="T328" i="1"/>
  <c r="U328" i="1"/>
  <c r="AB328" i="1"/>
  <c r="AG328" i="1"/>
  <c r="T329" i="1"/>
  <c r="U329" i="1"/>
  <c r="AB329" i="1"/>
  <c r="AG329" i="1"/>
  <c r="W328" i="1"/>
  <c r="X328" i="1"/>
  <c r="T170" i="1"/>
  <c r="U170" i="1"/>
  <c r="AE170" i="1" s="1"/>
  <c r="AB170" i="1"/>
  <c r="AG170" i="1"/>
  <c r="T238" i="1"/>
  <c r="U238" i="1"/>
  <c r="AE238" i="1" s="1"/>
  <c r="AB238" i="1"/>
  <c r="AG238" i="1"/>
  <c r="T78" i="1"/>
  <c r="U78" i="1"/>
  <c r="AE78" i="1" s="1"/>
  <c r="AB78" i="1"/>
  <c r="AG78" i="1"/>
  <c r="X78" i="1"/>
  <c r="W78" i="1"/>
  <c r="W170" i="1"/>
  <c r="X238" i="1"/>
  <c r="W238" i="1"/>
  <c r="X170" i="1"/>
  <c r="T182" i="1"/>
  <c r="U182" i="1"/>
  <c r="AE182" i="1" s="1"/>
  <c r="AB182" i="1"/>
  <c r="AG182" i="1"/>
  <c r="T273" i="1"/>
  <c r="U273" i="1"/>
  <c r="AE273" i="1" s="1"/>
  <c r="AB273" i="1"/>
  <c r="AG273" i="1"/>
  <c r="X273" i="1"/>
  <c r="W273" i="1"/>
  <c r="W182" i="1"/>
  <c r="X182" i="1"/>
  <c r="T145" i="1"/>
  <c r="U145" i="1"/>
  <c r="AB145" i="1"/>
  <c r="AG145" i="1"/>
  <c r="T146" i="1"/>
  <c r="U146" i="1"/>
  <c r="AB146" i="1"/>
  <c r="AG146" i="1"/>
  <c r="T311" i="1"/>
  <c r="U311" i="1"/>
  <c r="AE311" i="1" s="1"/>
  <c r="AB311" i="1"/>
  <c r="AG311" i="1"/>
  <c r="T312" i="1"/>
  <c r="U312" i="1"/>
  <c r="AE312" i="1" s="1"/>
  <c r="AB312" i="1"/>
  <c r="AG312" i="1"/>
  <c r="T255" i="1"/>
  <c r="U255" i="1"/>
  <c r="AB255" i="1"/>
  <c r="AG255" i="1"/>
  <c r="T313" i="1"/>
  <c r="U313" i="1"/>
  <c r="AE313" i="1" s="1"/>
  <c r="AB313" i="1"/>
  <c r="AG313" i="1"/>
  <c r="X313" i="1"/>
  <c r="W313" i="1"/>
  <c r="X312" i="1"/>
  <c r="W312" i="1"/>
  <c r="X311" i="1"/>
  <c r="W311" i="1"/>
  <c r="W255" i="1"/>
  <c r="X255" i="1"/>
  <c r="T315" i="1"/>
  <c r="U315" i="1"/>
  <c r="AB315" i="1"/>
  <c r="AG315" i="1"/>
  <c r="T316" i="1"/>
  <c r="U316" i="1"/>
  <c r="AB316" i="1"/>
  <c r="AG316" i="1"/>
  <c r="W315" i="1"/>
  <c r="T224" i="1"/>
  <c r="U224" i="1"/>
  <c r="AE224" i="1" s="1"/>
  <c r="AB224" i="1"/>
  <c r="AG224" i="1"/>
  <c r="T223" i="1"/>
  <c r="U223" i="1"/>
  <c r="AE223" i="1" s="1"/>
  <c r="AB223" i="1"/>
  <c r="AG223" i="1"/>
  <c r="T166" i="1"/>
  <c r="U166" i="1"/>
  <c r="AE166" i="1" s="1"/>
  <c r="AB166" i="1"/>
  <c r="AG166" i="1"/>
  <c r="T137" i="1"/>
  <c r="U137" i="1"/>
  <c r="AB137" i="1"/>
  <c r="AG137" i="1"/>
  <c r="T167" i="1"/>
  <c r="U167" i="1"/>
  <c r="AE167" i="1" s="1"/>
  <c r="AB167" i="1"/>
  <c r="AG167" i="1"/>
  <c r="T138" i="1"/>
  <c r="U138" i="1"/>
  <c r="AB138" i="1"/>
  <c r="AG138" i="1"/>
  <c r="X315" i="1"/>
  <c r="X138" i="1"/>
  <c r="W138" i="1"/>
  <c r="X137" i="1"/>
  <c r="W137" i="1"/>
  <c r="X224" i="1"/>
  <c r="W224" i="1"/>
  <c r="X223" i="1"/>
  <c r="W223" i="1"/>
  <c r="X167" i="1"/>
  <c r="X166" i="1"/>
  <c r="W167" i="1"/>
  <c r="W166" i="1"/>
  <c r="T327" i="1"/>
  <c r="U327" i="1"/>
  <c r="AE327" i="1" s="1"/>
  <c r="AB327" i="1"/>
  <c r="AG327" i="1"/>
  <c r="T326" i="1"/>
  <c r="U326" i="1"/>
  <c r="AE326" i="1" s="1"/>
  <c r="AB326" i="1"/>
  <c r="AG326" i="1"/>
  <c r="T325" i="1"/>
  <c r="U325" i="1"/>
  <c r="AE325" i="1" s="1"/>
  <c r="AB325" i="1"/>
  <c r="AG325" i="1"/>
  <c r="T178" i="1"/>
  <c r="U178" i="1"/>
  <c r="AB178" i="1"/>
  <c r="AG178" i="1"/>
  <c r="T177" i="1"/>
  <c r="U177" i="1"/>
  <c r="AB177" i="1"/>
  <c r="AG177" i="1"/>
  <c r="T180" i="1"/>
  <c r="U180" i="1"/>
  <c r="AB180" i="1"/>
  <c r="AG180" i="1"/>
  <c r="T179" i="1"/>
  <c r="U179" i="1"/>
  <c r="AB179" i="1"/>
  <c r="AG179" i="1"/>
  <c r="AF180" i="1"/>
  <c r="AF178" i="1"/>
  <c r="X180" i="1"/>
  <c r="W180" i="1"/>
  <c r="X179" i="1"/>
  <c r="W179" i="1"/>
  <c r="X178" i="1"/>
  <c r="W178" i="1"/>
  <c r="X177" i="1"/>
  <c r="W177" i="1"/>
  <c r="W325" i="1"/>
  <c r="X325" i="1"/>
  <c r="X327" i="1"/>
  <c r="W327" i="1"/>
  <c r="X326" i="1"/>
  <c r="W326" i="1"/>
  <c r="T126" i="1"/>
  <c r="U126" i="1"/>
  <c r="AB126" i="1"/>
  <c r="AG126" i="1"/>
  <c r="T168" i="1"/>
  <c r="U168" i="1"/>
  <c r="AB168" i="1"/>
  <c r="AG168" i="1"/>
  <c r="AB169" i="1"/>
  <c r="AG169" i="1"/>
  <c r="T169" i="1"/>
  <c r="U169" i="1"/>
  <c r="W126" i="1"/>
  <c r="X126" i="1"/>
  <c r="T243" i="1"/>
  <c r="U243" i="1"/>
  <c r="AE243" i="1" s="1"/>
  <c r="AB243" i="1"/>
  <c r="AG243" i="1"/>
  <c r="W243" i="1"/>
  <c r="T280" i="1"/>
  <c r="U280" i="1"/>
  <c r="AE280" i="1" s="1"/>
  <c r="AB280" i="1"/>
  <c r="AG280" i="1"/>
  <c r="AB265" i="1"/>
  <c r="AG265" i="1"/>
  <c r="T265" i="1"/>
  <c r="U265" i="1"/>
  <c r="T281" i="1"/>
  <c r="U281" i="1"/>
  <c r="AE281" i="1" s="1"/>
  <c r="AB281" i="1"/>
  <c r="AG281" i="1"/>
  <c r="X243" i="1"/>
  <c r="X281" i="1"/>
  <c r="W281" i="1"/>
  <c r="W280" i="1"/>
  <c r="X280" i="1"/>
  <c r="T250" i="1"/>
  <c r="U250" i="1"/>
  <c r="AB250" i="1"/>
  <c r="AG250" i="1"/>
  <c r="T240" i="1"/>
  <c r="U240" i="1"/>
  <c r="AE240" i="1" s="1"/>
  <c r="AB240" i="1"/>
  <c r="AG240" i="1"/>
  <c r="W240" i="1"/>
  <c r="X240" i="1"/>
  <c r="T26" i="1"/>
  <c r="U26" i="1"/>
  <c r="AB26" i="1"/>
  <c r="AG26" i="1"/>
  <c r="T198" i="1"/>
  <c r="U198" i="1"/>
  <c r="AE198" i="1" s="1"/>
  <c r="AB198" i="1"/>
  <c r="AG198" i="1"/>
  <c r="T258" i="1"/>
  <c r="U258" i="1"/>
  <c r="AE258" i="1" s="1"/>
  <c r="AB258" i="1"/>
  <c r="AG258" i="1"/>
  <c r="W258" i="1"/>
  <c r="X258" i="1"/>
  <c r="W26" i="1"/>
  <c r="W198" i="1"/>
  <c r="X198" i="1"/>
  <c r="X26" i="1"/>
  <c r="T292" i="1"/>
  <c r="U292" i="1"/>
  <c r="AB292" i="1"/>
  <c r="AG292" i="1"/>
  <c r="T317" i="1"/>
  <c r="U317" i="1"/>
  <c r="AB317" i="1"/>
  <c r="AG317" i="1"/>
  <c r="W317" i="1"/>
  <c r="X317" i="1"/>
  <c r="W292" i="1"/>
  <c r="T190" i="1"/>
  <c r="U190" i="1"/>
  <c r="AB190" i="1"/>
  <c r="AG190" i="1"/>
  <c r="T217" i="1"/>
  <c r="U217" i="1"/>
  <c r="AB217" i="1"/>
  <c r="AG217" i="1"/>
  <c r="T308" i="1"/>
  <c r="U308" i="1"/>
  <c r="AE308" i="1" s="1"/>
  <c r="AB308" i="1"/>
  <c r="AG308" i="1"/>
  <c r="X308" i="1"/>
  <c r="T307" i="1"/>
  <c r="U307" i="1"/>
  <c r="AE307" i="1" s="1"/>
  <c r="AB307" i="1"/>
  <c r="AG307" i="1"/>
  <c r="X307" i="1"/>
  <c r="W308" i="1"/>
  <c r="AF217" i="1"/>
  <c r="X292" i="1"/>
  <c r="W217" i="1"/>
  <c r="X217" i="1"/>
  <c r="W190" i="1"/>
  <c r="X190" i="1"/>
  <c r="T260" i="1"/>
  <c r="U260" i="1"/>
  <c r="AB260" i="1"/>
  <c r="AG260" i="1"/>
  <c r="T259" i="1"/>
  <c r="U259" i="1"/>
  <c r="AB259" i="1"/>
  <c r="AG259" i="1"/>
  <c r="T200" i="1"/>
  <c r="U200" i="1"/>
  <c r="AB200" i="1"/>
  <c r="AG200" i="1"/>
  <c r="T199" i="1"/>
  <c r="U199" i="1"/>
  <c r="AB199" i="1"/>
  <c r="AG199" i="1"/>
  <c r="W259" i="1"/>
  <c r="X259" i="1"/>
  <c r="T290" i="1"/>
  <c r="U290" i="1"/>
  <c r="AB290" i="1"/>
  <c r="AG290" i="1"/>
  <c r="T289" i="1"/>
  <c r="U289" i="1"/>
  <c r="AB289" i="1"/>
  <c r="AG289" i="1"/>
  <c r="T202" i="1"/>
  <c r="U202" i="1"/>
  <c r="AB202" i="1"/>
  <c r="AG202" i="1"/>
  <c r="T201" i="1"/>
  <c r="U201" i="1"/>
  <c r="AB201" i="1"/>
  <c r="AG201" i="1"/>
  <c r="W289" i="1"/>
  <c r="X289" i="1"/>
  <c r="T282" i="1"/>
  <c r="U282" i="1"/>
  <c r="AE282" i="1" s="1"/>
  <c r="AB282" i="1"/>
  <c r="AG282" i="1"/>
  <c r="T283" i="1"/>
  <c r="U283" i="1"/>
  <c r="AB283" i="1"/>
  <c r="AG283" i="1"/>
  <c r="T40" i="1"/>
  <c r="U40" i="1"/>
  <c r="AB40" i="1"/>
  <c r="AG40" i="1"/>
  <c r="T284" i="1"/>
  <c r="U284" i="1"/>
  <c r="AB284" i="1"/>
  <c r="AG284" i="1"/>
  <c r="X284" i="1"/>
  <c r="W284" i="1"/>
  <c r="X283" i="1"/>
  <c r="W283" i="1"/>
  <c r="X282" i="1"/>
  <c r="W282" i="1"/>
  <c r="W40" i="1"/>
  <c r="X40" i="1"/>
  <c r="T42" i="1"/>
  <c r="U42" i="1"/>
  <c r="AE42" i="1" s="1"/>
  <c r="AB42" i="1"/>
  <c r="AG42" i="1"/>
  <c r="T43" i="1"/>
  <c r="U43" i="1"/>
  <c r="AE43" i="1" s="1"/>
  <c r="AB43" i="1"/>
  <c r="AG43" i="1"/>
  <c r="W42" i="1"/>
  <c r="X43" i="1"/>
  <c r="W43" i="1"/>
  <c r="T32" i="1"/>
  <c r="U32" i="1"/>
  <c r="AE32" i="1" s="1"/>
  <c r="AB32" i="1"/>
  <c r="AG32" i="1"/>
  <c r="T33" i="1"/>
  <c r="U33" i="1"/>
  <c r="AE33" i="1" s="1"/>
  <c r="AB33" i="1"/>
  <c r="AG33" i="1"/>
  <c r="X42" i="1"/>
  <c r="X33" i="1"/>
  <c r="W33" i="1"/>
  <c r="X32" i="1"/>
  <c r="W32" i="1"/>
  <c r="T133" i="1"/>
  <c r="U133" i="1"/>
  <c r="AB133" i="1"/>
  <c r="AG133" i="1"/>
  <c r="T132" i="1"/>
  <c r="U132" i="1"/>
  <c r="AB132" i="1"/>
  <c r="AG132" i="1"/>
  <c r="T191" i="1"/>
  <c r="U191" i="1"/>
  <c r="AE191" i="1" s="1"/>
  <c r="AB191" i="1"/>
  <c r="AG191" i="1"/>
  <c r="T192" i="1"/>
  <c r="U192" i="1"/>
  <c r="AE192" i="1" s="1"/>
  <c r="AB192" i="1"/>
  <c r="AG192" i="1"/>
  <c r="X192" i="1"/>
  <c r="W192" i="1"/>
  <c r="W191" i="1"/>
  <c r="X191" i="1"/>
  <c r="W132" i="1"/>
  <c r="X132" i="1"/>
  <c r="T241" i="1"/>
  <c r="U241" i="1"/>
  <c r="AB241" i="1"/>
  <c r="AG241" i="1"/>
  <c r="T278" i="1"/>
  <c r="U278" i="1"/>
  <c r="AB278" i="1"/>
  <c r="AG278" i="1"/>
  <c r="T331" i="1"/>
  <c r="U331" i="1"/>
  <c r="AB331" i="1"/>
  <c r="AG331" i="1"/>
  <c r="T332" i="1"/>
  <c r="U332" i="1"/>
  <c r="AB332" i="1"/>
  <c r="AG332" i="1"/>
  <c r="T215" i="1"/>
  <c r="U215" i="1"/>
  <c r="AE215" i="1" s="1"/>
  <c r="AB215" i="1"/>
  <c r="AG215" i="1"/>
  <c r="T214" i="1"/>
  <c r="U214" i="1"/>
  <c r="AE214" i="1" s="1"/>
  <c r="AB214" i="1"/>
  <c r="AG214" i="1"/>
  <c r="X215" i="1"/>
  <c r="X214" i="1"/>
  <c r="W215" i="1"/>
  <c r="W214" i="1"/>
  <c r="T226" i="1"/>
  <c r="U226" i="1"/>
  <c r="AE226" i="1" s="1"/>
  <c r="AB226" i="1"/>
  <c r="AG226" i="1"/>
  <c r="T225" i="1"/>
  <c r="U225" i="1"/>
  <c r="AE225" i="1" s="1"/>
  <c r="AB225" i="1"/>
  <c r="AG225" i="1"/>
  <c r="W225" i="1"/>
  <c r="X226" i="1"/>
  <c r="W226" i="1"/>
  <c r="X225" i="1"/>
  <c r="T140" i="1"/>
  <c r="U140" i="1"/>
  <c r="AB140" i="1"/>
  <c r="AG140" i="1"/>
  <c r="T139" i="1"/>
  <c r="U139" i="1"/>
  <c r="AB139" i="1"/>
  <c r="AG139" i="1"/>
  <c r="W139" i="1"/>
  <c r="X139" i="1"/>
  <c r="T197" i="1"/>
  <c r="U197" i="1"/>
  <c r="AE197" i="1" s="1"/>
  <c r="AB197" i="1"/>
  <c r="AG197" i="1"/>
  <c r="W197" i="1"/>
  <c r="X197" i="1"/>
  <c r="T314" i="1"/>
  <c r="U314" i="1"/>
  <c r="AB314" i="1"/>
  <c r="AG314" i="1"/>
  <c r="T87" i="1"/>
  <c r="U87" i="1"/>
  <c r="AB87" i="1"/>
  <c r="AG87" i="1"/>
  <c r="W87" i="1"/>
  <c r="X87" i="1"/>
  <c r="T99" i="1"/>
  <c r="U99" i="1"/>
  <c r="AB99" i="1"/>
  <c r="AG99" i="1"/>
  <c r="T98" i="1"/>
  <c r="U98" i="1"/>
  <c r="AB98" i="1"/>
  <c r="AG98" i="1"/>
  <c r="W99" i="1"/>
  <c r="X99" i="1"/>
  <c r="W98" i="1"/>
  <c r="X98" i="1"/>
  <c r="T286" i="1"/>
  <c r="U286" i="1"/>
  <c r="AB286" i="1"/>
  <c r="AG286" i="1"/>
  <c r="T285" i="1"/>
  <c r="U285" i="1"/>
  <c r="AB285" i="1"/>
  <c r="AG285" i="1"/>
  <c r="T125" i="1"/>
  <c r="U125" i="1"/>
  <c r="AB125" i="1"/>
  <c r="AG125" i="1"/>
  <c r="T74" i="1"/>
  <c r="U74" i="1"/>
  <c r="AB74" i="1"/>
  <c r="AG74" i="1"/>
  <c r="T75" i="1"/>
  <c r="U75" i="1"/>
  <c r="AB75" i="1"/>
  <c r="AG75" i="1"/>
  <c r="W75" i="1"/>
  <c r="X75" i="1"/>
  <c r="T114" i="1"/>
  <c r="U114" i="1"/>
  <c r="AB114" i="1"/>
  <c r="AG114" i="1"/>
  <c r="T129" i="1"/>
  <c r="U129" i="1"/>
  <c r="AB129" i="1"/>
  <c r="AG129" i="1"/>
  <c r="T128" i="1"/>
  <c r="U128" i="1"/>
  <c r="AB128" i="1"/>
  <c r="AG128" i="1"/>
  <c r="T127" i="1"/>
  <c r="U127" i="1"/>
  <c r="AB127" i="1"/>
  <c r="AG127" i="1"/>
  <c r="T270" i="1"/>
  <c r="U270" i="1"/>
  <c r="AB270" i="1"/>
  <c r="AG270" i="1"/>
  <c r="T303" i="1"/>
  <c r="U303" i="1"/>
  <c r="AB303" i="1"/>
  <c r="AG303" i="1"/>
  <c r="T304" i="1"/>
  <c r="U304" i="1"/>
  <c r="AB304" i="1"/>
  <c r="AG304" i="1"/>
  <c r="T305" i="1"/>
  <c r="U305" i="1"/>
  <c r="AB305" i="1"/>
  <c r="AG305" i="1"/>
  <c r="W304" i="1"/>
  <c r="X305" i="1"/>
  <c r="W305" i="1"/>
  <c r="X304" i="1"/>
  <c r="T306" i="1"/>
  <c r="U306" i="1"/>
  <c r="AB306" i="1"/>
  <c r="AG306" i="1"/>
  <c r="T274" i="1"/>
  <c r="U274" i="1"/>
  <c r="AE274" i="1" s="1"/>
  <c r="AB274" i="1"/>
  <c r="AG274" i="1"/>
  <c r="T276" i="1"/>
  <c r="U276" i="1"/>
  <c r="AE276" i="1" s="1"/>
  <c r="AB276" i="1"/>
  <c r="AG276" i="1"/>
  <c r="T275" i="1"/>
  <c r="U275" i="1"/>
  <c r="AE275" i="1" s="1"/>
  <c r="AB275" i="1"/>
  <c r="AG275" i="1"/>
  <c r="X274" i="1"/>
  <c r="X276" i="1"/>
  <c r="W276" i="1"/>
  <c r="W275" i="1"/>
  <c r="W274" i="1"/>
  <c r="X275" i="1"/>
  <c r="T272" i="1"/>
  <c r="U272" i="1"/>
  <c r="AE272" i="1" s="1"/>
  <c r="AB272" i="1"/>
  <c r="AG272" i="1"/>
  <c r="T271" i="1"/>
  <c r="U271" i="1"/>
  <c r="AE271" i="1" s="1"/>
  <c r="AB271" i="1"/>
  <c r="AG271" i="1"/>
  <c r="W271" i="1"/>
  <c r="X272" i="1"/>
  <c r="W272" i="1"/>
  <c r="X271" i="1"/>
  <c r="T162" i="1"/>
  <c r="U162" i="1"/>
  <c r="AB162" i="1"/>
  <c r="AG162" i="1"/>
  <c r="T155" i="1"/>
  <c r="U155" i="1"/>
  <c r="AE155" i="1" s="1"/>
  <c r="AB155" i="1"/>
  <c r="AG155" i="1"/>
  <c r="W155" i="1"/>
  <c r="X155" i="1"/>
  <c r="T152" i="1"/>
  <c r="U152" i="1"/>
  <c r="AB152" i="1"/>
  <c r="AG152" i="1"/>
  <c r="T153" i="1"/>
  <c r="U153" i="1"/>
  <c r="AB153" i="1"/>
  <c r="AG153" i="1"/>
  <c r="W152" i="1"/>
  <c r="X152" i="1"/>
  <c r="T218" i="1"/>
  <c r="U218" i="1"/>
  <c r="AB218" i="1"/>
  <c r="AG218" i="1"/>
  <c r="T144" i="1"/>
  <c r="U144" i="1"/>
  <c r="AB144" i="1"/>
  <c r="AG144" i="1"/>
  <c r="T143" i="1"/>
  <c r="U143" i="1"/>
  <c r="AB143" i="1"/>
  <c r="AG143" i="1"/>
  <c r="W143" i="1"/>
  <c r="X144" i="1"/>
  <c r="W144" i="1"/>
  <c r="X143" i="1"/>
  <c r="T173" i="1"/>
  <c r="U173" i="1"/>
  <c r="AB173" i="1"/>
  <c r="AG173" i="1"/>
  <c r="T174" i="1"/>
  <c r="U174" i="1"/>
  <c r="AB174" i="1"/>
  <c r="AG174" i="1"/>
  <c r="T319" i="1"/>
  <c r="U319" i="1"/>
  <c r="AE319" i="1" s="1"/>
  <c r="AB319" i="1"/>
  <c r="AG319" i="1"/>
  <c r="T318" i="1"/>
  <c r="U318" i="1"/>
  <c r="AE318" i="1" s="1"/>
  <c r="AB318" i="1"/>
  <c r="AG318" i="1"/>
  <c r="T86" i="1"/>
  <c r="U86" i="1"/>
  <c r="AE86" i="1" s="1"/>
  <c r="AB86" i="1"/>
  <c r="AG86" i="1"/>
  <c r="T85" i="1"/>
  <c r="U85" i="1"/>
  <c r="AE85" i="1" s="1"/>
  <c r="AB85" i="1"/>
  <c r="AG85" i="1"/>
  <c r="W85" i="1"/>
  <c r="X86" i="1"/>
  <c r="W86" i="1"/>
  <c r="X85" i="1"/>
  <c r="T159" i="1"/>
  <c r="U159" i="1"/>
  <c r="AB159" i="1"/>
  <c r="AG159" i="1"/>
  <c r="T160" i="1"/>
  <c r="U160" i="1"/>
  <c r="AB160" i="1"/>
  <c r="AG160" i="1"/>
  <c r="T161" i="1"/>
  <c r="U161" i="1"/>
  <c r="AB161" i="1"/>
  <c r="AG161" i="1"/>
  <c r="W160" i="1"/>
  <c r="X161" i="1"/>
  <c r="W161" i="1"/>
  <c r="X160" i="1"/>
  <c r="T109" i="1"/>
  <c r="U109" i="1"/>
  <c r="AB109" i="1"/>
  <c r="AG109" i="1"/>
  <c r="T110" i="1"/>
  <c r="U110" i="1"/>
  <c r="AB110" i="1"/>
  <c r="AG110" i="1"/>
  <c r="T111" i="1"/>
  <c r="U111" i="1"/>
  <c r="AB111" i="1"/>
  <c r="AG111" i="1"/>
  <c r="W111" i="1"/>
  <c r="X111" i="1"/>
  <c r="T94" i="1"/>
  <c r="U94" i="1"/>
  <c r="AB94" i="1"/>
  <c r="AG94" i="1"/>
  <c r="T93" i="1"/>
  <c r="U93" i="1"/>
  <c r="AB93" i="1"/>
  <c r="AG93" i="1"/>
  <c r="T92" i="1"/>
  <c r="U92" i="1"/>
  <c r="AB92" i="1"/>
  <c r="AG92" i="1"/>
  <c r="W92" i="1"/>
  <c r="X92" i="1"/>
  <c r="T82" i="1"/>
  <c r="U82" i="1"/>
  <c r="AB82" i="1"/>
  <c r="AG82" i="1"/>
  <c r="T83" i="1"/>
  <c r="U83" i="1"/>
  <c r="AB83" i="1"/>
  <c r="AG83" i="1"/>
  <c r="T84" i="1"/>
  <c r="U84" i="1"/>
  <c r="AB84" i="1"/>
  <c r="AG84" i="1"/>
  <c r="W84" i="1"/>
  <c r="X84" i="1"/>
  <c r="T181" i="1"/>
  <c r="U181" i="1"/>
  <c r="AB181" i="1"/>
  <c r="AG181" i="1"/>
  <c r="W181" i="1"/>
  <c r="X181" i="1"/>
  <c r="T91" i="1"/>
  <c r="U91" i="1"/>
  <c r="AE91" i="1" s="1"/>
  <c r="AB91" i="1"/>
  <c r="AG91" i="1"/>
  <c r="T90" i="1"/>
  <c r="U90" i="1"/>
  <c r="AE90" i="1" s="1"/>
  <c r="AB90" i="1"/>
  <c r="AG90" i="1"/>
  <c r="T89" i="1"/>
  <c r="U89" i="1"/>
  <c r="AE89" i="1" s="1"/>
  <c r="AB89" i="1"/>
  <c r="AG89" i="1"/>
  <c r="T88" i="1"/>
  <c r="U88" i="1"/>
  <c r="AE88" i="1" s="1"/>
  <c r="AB88" i="1"/>
  <c r="AG88" i="1"/>
  <c r="W91" i="1"/>
  <c r="X88" i="1"/>
  <c r="W88" i="1"/>
  <c r="X90" i="1"/>
  <c r="X89" i="1"/>
  <c r="W89" i="1"/>
  <c r="W90" i="1"/>
  <c r="X91" i="1"/>
  <c r="T245" i="1"/>
  <c r="U245" i="1"/>
  <c r="AB245" i="1"/>
  <c r="AG245" i="1"/>
  <c r="T105" i="1"/>
  <c r="U105" i="1"/>
  <c r="AB105" i="1"/>
  <c r="AG105" i="1"/>
  <c r="W105" i="1"/>
  <c r="X105" i="1"/>
  <c r="T149" i="1"/>
  <c r="U149" i="1"/>
  <c r="AE149" i="1" s="1"/>
  <c r="AB149" i="1"/>
  <c r="AG149" i="1"/>
  <c r="T147" i="1"/>
  <c r="U147" i="1"/>
  <c r="AE147" i="1" s="1"/>
  <c r="AB147" i="1"/>
  <c r="AG147" i="1"/>
  <c r="T148" i="1"/>
  <c r="U148" i="1"/>
  <c r="AE148" i="1" s="1"/>
  <c r="AB148" i="1"/>
  <c r="AG148" i="1"/>
  <c r="W148" i="1"/>
  <c r="X148" i="1"/>
  <c r="T76" i="1"/>
  <c r="U76" i="1"/>
  <c r="AB76" i="1"/>
  <c r="AG76" i="1"/>
  <c r="W76" i="1"/>
  <c r="X76" i="1"/>
  <c r="T12" i="1"/>
  <c r="U12" i="1"/>
  <c r="AB12" i="1"/>
  <c r="AG12" i="1"/>
  <c r="T14" i="1"/>
  <c r="U14" i="1"/>
  <c r="AB14" i="1"/>
  <c r="AG14" i="1"/>
  <c r="T13" i="1"/>
  <c r="U13" i="1"/>
  <c r="AB13" i="1"/>
  <c r="AG13" i="1"/>
  <c r="W14" i="1"/>
  <c r="X14" i="1"/>
  <c r="W12" i="1"/>
  <c r="X13" i="1"/>
  <c r="W13" i="1"/>
  <c r="X12" i="1"/>
  <c r="T6" i="1"/>
  <c r="U6" i="1"/>
  <c r="AB6" i="1"/>
  <c r="AG6" i="1"/>
  <c r="W6" i="1"/>
  <c r="X6" i="1"/>
  <c r="T7" i="1"/>
  <c r="U7" i="1"/>
  <c r="AB7" i="1"/>
  <c r="AG7" i="1"/>
  <c r="T8" i="1"/>
  <c r="U8" i="1"/>
  <c r="AB8" i="1"/>
  <c r="AG8" i="1"/>
  <c r="T9" i="1"/>
  <c r="U9" i="1"/>
  <c r="AB9" i="1"/>
  <c r="AG9" i="1"/>
  <c r="W9" i="1"/>
  <c r="X9" i="1"/>
  <c r="W7" i="1"/>
  <c r="W8" i="1"/>
  <c r="X8" i="1"/>
  <c r="T175" i="1"/>
  <c r="U175" i="1"/>
  <c r="AB175" i="1"/>
  <c r="AG175" i="1"/>
  <c r="T176" i="1"/>
  <c r="U176" i="1"/>
  <c r="AB176" i="1"/>
  <c r="AG176" i="1"/>
  <c r="X7" i="1"/>
  <c r="T157" i="1"/>
  <c r="U157" i="1"/>
  <c r="AB157" i="1"/>
  <c r="AG157" i="1"/>
  <c r="T158" i="1"/>
  <c r="U158" i="1"/>
  <c r="AB158" i="1"/>
  <c r="AG158" i="1"/>
  <c r="T156" i="1"/>
  <c r="U156" i="1"/>
  <c r="AB156" i="1"/>
  <c r="AG156" i="1"/>
  <c r="T46" i="1"/>
  <c r="U46" i="1"/>
  <c r="AB46" i="1"/>
  <c r="AG46" i="1"/>
  <c r="T45" i="1"/>
  <c r="U45" i="1"/>
  <c r="AB45" i="1"/>
  <c r="AG45" i="1"/>
  <c r="T44" i="1"/>
  <c r="U44" i="1"/>
  <c r="AB44" i="1"/>
  <c r="AG44" i="1"/>
  <c r="T30" i="1"/>
  <c r="U30" i="1"/>
  <c r="AB30" i="1"/>
  <c r="AG30" i="1"/>
  <c r="T29" i="1"/>
  <c r="U29" i="1"/>
  <c r="AB29" i="1"/>
  <c r="AG29" i="1"/>
  <c r="T28" i="1"/>
  <c r="U28" i="1"/>
  <c r="AB28" i="1"/>
  <c r="AG28" i="1"/>
  <c r="T27" i="1"/>
  <c r="U27" i="1"/>
  <c r="AB27" i="1"/>
  <c r="AG27" i="1"/>
  <c r="T25" i="1"/>
  <c r="U25" i="1"/>
  <c r="AB25" i="1"/>
  <c r="AG25" i="1"/>
  <c r="T24" i="1"/>
  <c r="U24" i="1"/>
  <c r="AB24" i="1"/>
  <c r="AG24" i="1"/>
  <c r="T22" i="1"/>
  <c r="U22" i="1"/>
  <c r="AB22" i="1"/>
  <c r="AG22" i="1"/>
  <c r="T18" i="1"/>
  <c r="U18" i="1"/>
  <c r="AB18" i="1"/>
  <c r="AG18" i="1"/>
  <c r="T20" i="1"/>
  <c r="U20" i="1"/>
  <c r="AB20" i="1"/>
  <c r="AG20" i="1"/>
  <c r="T21" i="1"/>
  <c r="U21" i="1"/>
  <c r="AB21" i="1"/>
  <c r="AG21" i="1"/>
  <c r="T15" i="1"/>
  <c r="U15" i="1"/>
  <c r="AB15" i="1"/>
  <c r="AG15" i="1"/>
  <c r="T11" i="1"/>
  <c r="U11" i="1"/>
  <c r="AB11" i="1"/>
  <c r="AG11" i="1"/>
  <c r="T3" i="1"/>
  <c r="U3" i="1"/>
  <c r="AB3" i="1"/>
  <c r="AG3" i="1"/>
  <c r="T2" i="1"/>
  <c r="U2" i="1"/>
  <c r="AB2" i="1"/>
  <c r="AG2" i="1"/>
  <c r="W2" i="1"/>
  <c r="X2" i="1"/>
  <c r="X250" i="1"/>
  <c r="X322" i="1"/>
  <c r="W322" i="1"/>
  <c r="X107" i="1"/>
  <c r="W107" i="1"/>
  <c r="X253" i="1"/>
  <c r="W253" i="1"/>
  <c r="X51" i="1"/>
  <c r="W51" i="1"/>
  <c r="W52" i="1"/>
  <c r="W250" i="1"/>
  <c r="X222" i="1"/>
  <c r="W222" i="1"/>
  <c r="X241" i="1"/>
  <c r="W241" i="1"/>
  <c r="W278" i="1"/>
  <c r="W324" i="1"/>
  <c r="X324" i="1"/>
  <c r="W235" i="1"/>
  <c r="X278" i="1"/>
  <c r="W229" i="1"/>
  <c r="X229" i="1"/>
  <c r="X235" i="1"/>
  <c r="W244" i="1"/>
  <c r="W221" i="1"/>
  <c r="X221" i="1"/>
  <c r="W219" i="1"/>
  <c r="W218" i="1"/>
  <c r="X218" i="1"/>
  <c r="W216" i="1"/>
  <c r="X219" i="1"/>
  <c r="W213" i="1"/>
  <c r="X213" i="1"/>
  <c r="W210" i="1"/>
  <c r="X216" i="1"/>
  <c r="W209" i="1"/>
  <c r="X209" i="1"/>
  <c r="W205" i="1"/>
  <c r="X210" i="1"/>
  <c r="W202" i="1"/>
  <c r="X202" i="1"/>
  <c r="W201" i="1"/>
  <c r="X205" i="1"/>
  <c r="W200" i="1"/>
  <c r="X200" i="1"/>
  <c r="W199" i="1"/>
  <c r="X201" i="1"/>
  <c r="W193" i="1"/>
  <c r="X193" i="1"/>
  <c r="W188" i="1"/>
  <c r="X199" i="1"/>
  <c r="W185" i="1"/>
  <c r="X185" i="1"/>
  <c r="W184" i="1"/>
  <c r="X188" i="1"/>
  <c r="W176" i="1"/>
  <c r="X176" i="1"/>
  <c r="W175" i="1"/>
  <c r="X184" i="1"/>
  <c r="W174" i="1"/>
  <c r="X174" i="1"/>
  <c r="W173" i="1"/>
  <c r="X175" i="1"/>
  <c r="W169" i="1"/>
  <c r="X169" i="1"/>
  <c r="W168" i="1"/>
  <c r="X173" i="1"/>
  <c r="W165" i="1"/>
  <c r="X165" i="1"/>
  <c r="W163" i="1"/>
  <c r="X168" i="1"/>
  <c r="W162" i="1"/>
  <c r="X162" i="1"/>
  <c r="W159" i="1"/>
  <c r="X163" i="1"/>
  <c r="W158" i="1"/>
  <c r="X158" i="1"/>
  <c r="W157" i="1"/>
  <c r="X159" i="1"/>
  <c r="W156" i="1"/>
  <c r="X156" i="1"/>
  <c r="W154" i="1"/>
  <c r="X157" i="1"/>
  <c r="W153" i="1"/>
  <c r="X153" i="1"/>
  <c r="W151" i="1"/>
  <c r="X154" i="1"/>
  <c r="W150" i="1"/>
  <c r="X150" i="1"/>
  <c r="W149" i="1"/>
  <c r="X151" i="1"/>
  <c r="W147" i="1"/>
  <c r="X147" i="1"/>
  <c r="W146" i="1"/>
  <c r="X149" i="1"/>
  <c r="W145" i="1"/>
  <c r="X145" i="1"/>
  <c r="W142" i="1"/>
  <c r="X146" i="1"/>
  <c r="W141" i="1"/>
  <c r="X141" i="1"/>
  <c r="W140" i="1"/>
  <c r="X142" i="1"/>
  <c r="W136" i="1"/>
  <c r="X136" i="1"/>
  <c r="W133" i="1"/>
  <c r="X140" i="1"/>
  <c r="W130" i="1"/>
  <c r="X130" i="1"/>
  <c r="W129" i="1"/>
  <c r="X133" i="1"/>
  <c r="W128" i="1"/>
  <c r="X128" i="1"/>
  <c r="W127" i="1"/>
  <c r="X129" i="1"/>
  <c r="W125" i="1"/>
  <c r="X125" i="1"/>
  <c r="W124" i="1"/>
  <c r="X127" i="1"/>
  <c r="W123" i="1"/>
  <c r="X123" i="1"/>
  <c r="W122" i="1"/>
  <c r="X124" i="1"/>
  <c r="W96" i="1"/>
  <c r="X96" i="1"/>
  <c r="W119" i="1"/>
  <c r="X122" i="1"/>
  <c r="W117" i="1"/>
  <c r="X117" i="1"/>
  <c r="X119" i="1"/>
  <c r="W115" i="1"/>
  <c r="X115" i="1"/>
  <c r="W114" i="1"/>
  <c r="W53" i="1"/>
  <c r="W110" i="1"/>
  <c r="X110" i="1"/>
  <c r="W109" i="1"/>
  <c r="X114" i="1"/>
  <c r="X109" i="1"/>
  <c r="W108" i="1"/>
  <c r="W245" i="1"/>
  <c r="W102" i="1"/>
  <c r="X102" i="1"/>
  <c r="W101" i="1"/>
  <c r="X245" i="1"/>
  <c r="W100" i="1"/>
  <c r="X100" i="1"/>
  <c r="W97" i="1"/>
  <c r="X101" i="1"/>
  <c r="W59" i="1"/>
  <c r="W95" i="1"/>
  <c r="X97" i="1"/>
  <c r="W94" i="1"/>
  <c r="X94" i="1"/>
  <c r="W93" i="1"/>
  <c r="X95" i="1"/>
  <c r="W83" i="1"/>
  <c r="X83" i="1"/>
  <c r="W82" i="1"/>
  <c r="X93" i="1"/>
  <c r="W81" i="1"/>
  <c r="X81" i="1"/>
  <c r="X82" i="1"/>
  <c r="W79" i="1"/>
  <c r="X79" i="1"/>
  <c r="W77" i="1"/>
  <c r="W50" i="1"/>
  <c r="W74" i="1"/>
  <c r="X74" i="1"/>
  <c r="W71" i="1"/>
  <c r="X77" i="1"/>
  <c r="W67" i="1"/>
  <c r="X67" i="1"/>
  <c r="W66" i="1"/>
  <c r="X71" i="1"/>
  <c r="W64" i="1"/>
  <c r="X64" i="1"/>
  <c r="X66" i="1"/>
  <c r="W62" i="1"/>
  <c r="X62" i="1"/>
  <c r="W61" i="1"/>
  <c r="W63" i="1"/>
  <c r="W60" i="1"/>
  <c r="X60" i="1"/>
  <c r="X61" i="1"/>
  <c r="W58" i="1"/>
  <c r="W57" i="1"/>
  <c r="W251" i="1"/>
  <c r="W242" i="1"/>
  <c r="W55" i="1"/>
  <c r="X57" i="1"/>
  <c r="W54" i="1"/>
  <c r="X54" i="1"/>
  <c r="X55" i="1"/>
  <c r="W323" i="1"/>
  <c r="W80" i="1"/>
  <c r="W120" i="1"/>
  <c r="W49" i="1"/>
  <c r="W56" i="1"/>
  <c r="W48" i="1"/>
  <c r="X48" i="1"/>
  <c r="X49" i="1"/>
  <c r="W46" i="1"/>
  <c r="X46" i="1"/>
  <c r="W45" i="1"/>
  <c r="W116" i="1"/>
  <c r="W44" i="1"/>
  <c r="X44" i="1"/>
  <c r="W37" i="1"/>
  <c r="X45" i="1"/>
  <c r="W36" i="1"/>
  <c r="X36" i="1"/>
  <c r="X37" i="1"/>
  <c r="W34" i="1"/>
  <c r="X34" i="1"/>
  <c r="W30" i="1"/>
  <c r="W35" i="1"/>
  <c r="W29" i="1"/>
  <c r="X29" i="1"/>
  <c r="W28" i="1"/>
  <c r="X30" i="1"/>
  <c r="W27" i="1"/>
  <c r="X27" i="1"/>
  <c r="W25" i="1"/>
  <c r="X28" i="1"/>
  <c r="W24" i="1"/>
  <c r="X24" i="1"/>
  <c r="W22" i="1"/>
  <c r="X25" i="1"/>
  <c r="W21" i="1"/>
  <c r="X21" i="1"/>
  <c r="W20" i="1"/>
  <c r="X22" i="1"/>
  <c r="W19" i="1"/>
  <c r="X19" i="1"/>
  <c r="W18" i="1"/>
  <c r="X20" i="1"/>
  <c r="W15" i="1"/>
  <c r="X15" i="1"/>
  <c r="W11" i="1"/>
  <c r="X18" i="1"/>
  <c r="W5" i="1"/>
  <c r="X5" i="1"/>
  <c r="W3" i="1"/>
  <c r="X11" i="1"/>
  <c r="W321" i="1"/>
  <c r="X321" i="1"/>
  <c r="X329" i="1"/>
  <c r="W329" i="1"/>
  <c r="X331" i="1"/>
  <c r="W331" i="1"/>
  <c r="X332" i="1"/>
  <c r="W332" i="1"/>
  <c r="X254" i="1"/>
  <c r="W254" i="1"/>
  <c r="X260" i="1"/>
  <c r="W260" i="1"/>
  <c r="X261" i="1"/>
  <c r="W261" i="1"/>
  <c r="X262" i="1"/>
  <c r="W262" i="1"/>
  <c r="X264" i="1"/>
  <c r="W264" i="1"/>
  <c r="X265" i="1"/>
  <c r="W265" i="1"/>
  <c r="X268" i="1"/>
  <c r="W268" i="1"/>
  <c r="X269" i="1"/>
  <c r="W269" i="1"/>
  <c r="X270" i="1"/>
  <c r="W270" i="1"/>
  <c r="X277" i="1"/>
  <c r="W277" i="1"/>
  <c r="X279" i="1"/>
  <c r="W279" i="1"/>
  <c r="X285" i="1"/>
  <c r="W285" i="1"/>
  <c r="X286" i="1"/>
  <c r="W286" i="1"/>
  <c r="X287" i="1"/>
  <c r="W287" i="1"/>
  <c r="X288" i="1"/>
  <c r="W288" i="1"/>
  <c r="X290" i="1"/>
  <c r="W290" i="1"/>
  <c r="X291" i="1"/>
  <c r="W291" i="1"/>
  <c r="X296" i="1"/>
  <c r="W296" i="1"/>
  <c r="X299" i="1"/>
  <c r="W299" i="1"/>
  <c r="X301" i="1"/>
  <c r="W301" i="1"/>
  <c r="X302" i="1"/>
  <c r="W302" i="1"/>
  <c r="X303" i="1"/>
  <c r="W303" i="1"/>
  <c r="X306" i="1"/>
  <c r="W306" i="1"/>
  <c r="X310" i="1"/>
  <c r="W310" i="1"/>
  <c r="X314" i="1"/>
  <c r="W314" i="1"/>
  <c r="X316" i="1"/>
  <c r="W316" i="1"/>
  <c r="X318" i="1"/>
  <c r="W318" i="1"/>
  <c r="X319" i="1"/>
  <c r="W319" i="1"/>
  <c r="W320" i="1"/>
  <c r="X320" i="1"/>
  <c r="X3" i="1"/>
  <c r="W106" i="1"/>
  <c r="W47" i="1"/>
  <c r="AF250" i="1"/>
  <c r="T222" i="1"/>
  <c r="U222" i="1"/>
  <c r="AB222" i="1"/>
  <c r="AG222" i="1"/>
  <c r="AF278" i="1"/>
  <c r="T322" i="1"/>
  <c r="U322" i="1"/>
  <c r="AB322" i="1"/>
  <c r="AG322" i="1"/>
  <c r="AF324" i="1"/>
  <c r="AF241" i="1"/>
  <c r="AF235" i="1"/>
  <c r="AF229" i="1"/>
  <c r="T244" i="1"/>
  <c r="U244" i="1"/>
  <c r="AB244" i="1"/>
  <c r="AG244" i="1"/>
  <c r="T221" i="1"/>
  <c r="U221" i="1"/>
  <c r="AB221" i="1"/>
  <c r="AG221" i="1"/>
  <c r="T219" i="1"/>
  <c r="U219" i="1"/>
  <c r="AB219" i="1"/>
  <c r="AG219" i="1"/>
  <c r="AF218" i="1"/>
  <c r="T216" i="1"/>
  <c r="U216" i="1"/>
  <c r="AB216" i="1"/>
  <c r="AG216" i="1"/>
  <c r="AF213" i="1"/>
  <c r="AF210" i="1"/>
  <c r="AF209" i="1"/>
  <c r="AF205" i="1"/>
  <c r="AF202" i="1"/>
  <c r="AF201" i="1"/>
  <c r="AF200" i="1"/>
  <c r="AF199" i="1"/>
  <c r="AF193" i="1"/>
  <c r="AF188" i="1"/>
  <c r="T185" i="1"/>
  <c r="U185" i="1"/>
  <c r="AB185" i="1"/>
  <c r="AG185" i="1"/>
  <c r="T184" i="1"/>
  <c r="U184" i="1"/>
  <c r="AB184" i="1"/>
  <c r="AG184" i="1"/>
  <c r="AF176" i="1"/>
  <c r="AF175" i="1"/>
  <c r="AF174" i="1"/>
  <c r="AF173" i="1"/>
  <c r="AF169" i="1"/>
  <c r="AF168" i="1"/>
  <c r="AF165" i="1"/>
  <c r="T163" i="1"/>
  <c r="U163" i="1"/>
  <c r="AB163" i="1"/>
  <c r="AG163" i="1"/>
  <c r="AF162" i="1"/>
  <c r="AF159" i="1"/>
  <c r="AF158" i="1"/>
  <c r="AF157" i="1"/>
  <c r="AF156" i="1"/>
  <c r="T154" i="1"/>
  <c r="U154" i="1"/>
  <c r="AB154" i="1"/>
  <c r="AG154" i="1"/>
  <c r="AF153" i="1"/>
  <c r="T151" i="1"/>
  <c r="U151" i="1"/>
  <c r="AB151" i="1"/>
  <c r="AG151" i="1"/>
  <c r="T150" i="1"/>
  <c r="U150" i="1"/>
  <c r="AB150" i="1"/>
  <c r="AG150" i="1"/>
  <c r="AF149" i="1"/>
  <c r="AF147" i="1"/>
  <c r="AF146" i="1"/>
  <c r="AF145" i="1"/>
  <c r="AF142" i="1"/>
  <c r="AF141" i="1"/>
  <c r="AF140" i="1"/>
  <c r="AF136" i="1"/>
  <c r="AF133" i="1"/>
  <c r="AF130" i="1"/>
  <c r="AF129" i="1"/>
  <c r="AF128" i="1"/>
  <c r="AF127" i="1"/>
  <c r="AF125" i="1"/>
  <c r="AF124" i="1"/>
  <c r="AF123" i="1"/>
  <c r="AF122" i="1"/>
  <c r="AF96" i="1"/>
  <c r="AF119" i="1"/>
  <c r="T117" i="1"/>
  <c r="U117" i="1"/>
  <c r="AB117" i="1"/>
  <c r="AG117" i="1"/>
  <c r="T53" i="1"/>
  <c r="U53" i="1"/>
  <c r="AB53" i="1"/>
  <c r="AG53" i="1"/>
  <c r="T115" i="1"/>
  <c r="U115" i="1"/>
  <c r="AB115" i="1"/>
  <c r="AG115" i="1"/>
  <c r="AF114" i="1"/>
  <c r="AF110" i="1"/>
  <c r="AF109" i="1"/>
  <c r="T107" i="1"/>
  <c r="U107" i="1"/>
  <c r="AB107" i="1"/>
  <c r="AG107" i="1"/>
  <c r="T108" i="1"/>
  <c r="U108" i="1"/>
  <c r="AB108" i="1"/>
  <c r="AG108" i="1"/>
  <c r="AF245" i="1"/>
  <c r="AF102" i="1"/>
  <c r="AF101" i="1"/>
  <c r="AF100" i="1"/>
  <c r="T97" i="1"/>
  <c r="U97" i="1"/>
  <c r="AB97" i="1"/>
  <c r="AG97" i="1"/>
  <c r="T59" i="1"/>
  <c r="U59" i="1"/>
  <c r="AB59" i="1"/>
  <c r="AG59" i="1"/>
  <c r="T95" i="1"/>
  <c r="U95" i="1"/>
  <c r="AB95" i="1"/>
  <c r="AG95" i="1"/>
  <c r="AF94" i="1"/>
  <c r="AF93" i="1"/>
  <c r="AF83" i="1"/>
  <c r="AF82" i="1"/>
  <c r="T81" i="1"/>
  <c r="U81" i="1"/>
  <c r="AB81" i="1"/>
  <c r="AG81" i="1"/>
  <c r="T50" i="1"/>
  <c r="U50" i="1"/>
  <c r="AB50" i="1"/>
  <c r="AG50" i="1"/>
  <c r="T79" i="1"/>
  <c r="U79" i="1"/>
  <c r="AB79" i="1"/>
  <c r="AG79" i="1"/>
  <c r="AF77" i="1"/>
  <c r="AF74" i="1"/>
  <c r="AF71" i="1"/>
  <c r="T67" i="1"/>
  <c r="U67" i="1"/>
  <c r="AB67" i="1"/>
  <c r="AG67" i="1"/>
  <c r="T66" i="1"/>
  <c r="U66" i="1"/>
  <c r="AB66" i="1"/>
  <c r="AG66" i="1"/>
  <c r="AF63" i="1"/>
  <c r="T61" i="1"/>
  <c r="U61" i="1"/>
  <c r="AB61" i="1"/>
  <c r="AG61" i="1"/>
  <c r="T60" i="1"/>
  <c r="U60" i="1"/>
  <c r="AB60" i="1"/>
  <c r="AG60" i="1"/>
  <c r="T251" i="1"/>
  <c r="U251" i="1"/>
  <c r="AB251" i="1"/>
  <c r="AG251" i="1"/>
  <c r="T58" i="1"/>
  <c r="U58" i="1"/>
  <c r="AB58" i="1"/>
  <c r="AG58" i="1"/>
  <c r="T57" i="1"/>
  <c r="U57" i="1"/>
  <c r="AB57" i="1"/>
  <c r="AG57" i="1"/>
  <c r="T242" i="1"/>
  <c r="U242" i="1"/>
  <c r="AB242" i="1"/>
  <c r="AG242" i="1"/>
  <c r="T55" i="1"/>
  <c r="U55" i="1"/>
  <c r="AB55" i="1"/>
  <c r="AG55" i="1"/>
  <c r="AF54" i="1"/>
  <c r="T323" i="1"/>
  <c r="U323" i="1"/>
  <c r="AB323" i="1"/>
  <c r="AG323" i="1"/>
  <c r="T80" i="1"/>
  <c r="U80" i="1"/>
  <c r="AB80" i="1"/>
  <c r="AG80" i="1"/>
  <c r="T56" i="1"/>
  <c r="U56" i="1"/>
  <c r="AB56" i="1"/>
  <c r="AG56" i="1"/>
  <c r="T120" i="1"/>
  <c r="U120" i="1"/>
  <c r="AB120" i="1"/>
  <c r="AG120" i="1"/>
  <c r="T49" i="1"/>
  <c r="U49" i="1"/>
  <c r="AB49" i="1"/>
  <c r="AG49" i="1"/>
  <c r="T48" i="1"/>
  <c r="U48" i="1"/>
  <c r="AB48" i="1"/>
  <c r="AG48" i="1"/>
  <c r="T116" i="1"/>
  <c r="U116" i="1"/>
  <c r="AB116" i="1"/>
  <c r="AG116" i="1"/>
  <c r="AF46" i="1"/>
  <c r="AF45" i="1"/>
  <c r="AF44" i="1"/>
  <c r="T37" i="1"/>
  <c r="U37" i="1"/>
  <c r="AB37" i="1"/>
  <c r="AG37" i="1"/>
  <c r="T36" i="1"/>
  <c r="U36" i="1"/>
  <c r="AB36" i="1"/>
  <c r="AG36" i="1"/>
  <c r="T35" i="1"/>
  <c r="U35" i="1"/>
  <c r="AB35" i="1"/>
  <c r="AG35" i="1"/>
  <c r="T34" i="1"/>
  <c r="U34" i="1"/>
  <c r="AB34" i="1"/>
  <c r="AG34" i="1"/>
  <c r="AF30" i="1"/>
  <c r="AF29" i="1"/>
  <c r="AF28" i="1"/>
  <c r="AF27" i="1"/>
  <c r="AF25" i="1"/>
  <c r="AF24" i="1"/>
  <c r="AF22" i="1"/>
  <c r="AF21" i="1"/>
  <c r="AF20" i="1"/>
  <c r="T19" i="1"/>
  <c r="U19" i="1"/>
  <c r="AB19" i="1"/>
  <c r="AG19" i="1"/>
  <c r="AF18" i="1"/>
  <c r="AF11" i="1"/>
  <c r="T5" i="1"/>
  <c r="U5" i="1"/>
  <c r="AB5" i="1"/>
  <c r="AG5" i="1"/>
  <c r="AF3" i="1"/>
  <c r="AF321" i="1"/>
  <c r="AF320" i="1"/>
  <c r="AF319" i="1"/>
  <c r="AF318" i="1"/>
  <c r="AF316" i="1"/>
  <c r="AF314" i="1"/>
  <c r="AF310" i="1"/>
  <c r="AF306" i="1"/>
  <c r="AF303" i="1"/>
  <c r="AF302" i="1"/>
  <c r="AF301" i="1"/>
  <c r="AF299" i="1"/>
  <c r="T296" i="1"/>
  <c r="U296" i="1"/>
  <c r="AB296" i="1"/>
  <c r="AG296" i="1"/>
  <c r="AF291" i="1"/>
  <c r="AF290" i="1"/>
  <c r="AF288" i="1"/>
  <c r="T287" i="1"/>
  <c r="U287" i="1"/>
  <c r="AB287" i="1"/>
  <c r="AG287" i="1"/>
  <c r="AF286" i="1"/>
  <c r="AF285" i="1"/>
  <c r="T279" i="1"/>
  <c r="U279" i="1"/>
  <c r="AB279" i="1"/>
  <c r="AG279" i="1"/>
  <c r="T106" i="1"/>
  <c r="U106" i="1"/>
  <c r="AB106" i="1"/>
  <c r="AG106" i="1"/>
  <c r="T277" i="1"/>
  <c r="U277" i="1"/>
  <c r="AB277" i="1"/>
  <c r="AG277" i="1"/>
  <c r="AF270" i="1"/>
  <c r="AF269" i="1"/>
  <c r="AF268" i="1"/>
  <c r="AF265" i="1"/>
  <c r="AF264" i="1"/>
  <c r="AF262" i="1"/>
  <c r="AF261" i="1"/>
  <c r="AF260" i="1"/>
  <c r="T254" i="1"/>
  <c r="U254" i="1"/>
  <c r="AB254" i="1"/>
  <c r="AG254" i="1"/>
  <c r="AF332" i="1"/>
  <c r="AF331" i="1"/>
  <c r="AF329" i="1"/>
  <c r="T47" i="1"/>
  <c r="U47" i="1"/>
  <c r="AB47" i="1"/>
  <c r="AG47" i="1"/>
  <c r="AG51" i="1"/>
  <c r="AG52" i="1"/>
  <c r="T52" i="1"/>
  <c r="T51" i="1"/>
  <c r="U52" i="1"/>
  <c r="AB52" i="1"/>
  <c r="F4" i="15"/>
  <c r="H4" i="15"/>
  <c r="G4" i="15"/>
  <c r="I4" i="15"/>
  <c r="Y354" i="1" l="1"/>
  <c r="Y353" i="1"/>
  <c r="Y352" i="1"/>
  <c r="Z352" i="1" s="1"/>
  <c r="Y351" i="1"/>
  <c r="Z351" i="1" s="1"/>
  <c r="Y350" i="1"/>
  <c r="Z350" i="1" s="1"/>
  <c r="Y348" i="1"/>
  <c r="Z348" i="1" s="1"/>
  <c r="Y349" i="1"/>
  <c r="Y347" i="1"/>
  <c r="Z347" i="1" s="1"/>
  <c r="Y345" i="1"/>
  <c r="Z345" i="1" s="1"/>
  <c r="Y346" i="1"/>
  <c r="Y343" i="1"/>
  <c r="Z343" i="1" s="1"/>
  <c r="Y344" i="1"/>
  <c r="Y342" i="1"/>
  <c r="Y341" i="1"/>
  <c r="Y340" i="1"/>
  <c r="Z340" i="1" s="1"/>
  <c r="Y337" i="1"/>
  <c r="Y338" i="1"/>
  <c r="Y339" i="1"/>
  <c r="Y336" i="1"/>
  <c r="Y335" i="1"/>
  <c r="AH335" i="1" s="1"/>
  <c r="Y334" i="1"/>
  <c r="Z334" i="1" s="1"/>
  <c r="Y333" i="1"/>
  <c r="Y65" i="1"/>
  <c r="Z65" i="1" s="1"/>
  <c r="Y220" i="1"/>
  <c r="Z220" i="1" s="1"/>
  <c r="Y206" i="1"/>
  <c r="Z206" i="1" s="1"/>
  <c r="Y207" i="1"/>
  <c r="Y196" i="1"/>
  <c r="Z196" i="1" s="1"/>
  <c r="Y194" i="1"/>
  <c r="Z194" i="1" s="1"/>
  <c r="Y195" i="1"/>
  <c r="Y72" i="1"/>
  <c r="AH72" i="1" s="1"/>
  <c r="Y73" i="1"/>
  <c r="Y23" i="1"/>
  <c r="Z23" i="1" s="1"/>
  <c r="Y230" i="1"/>
  <c r="Y16" i="1"/>
  <c r="Z16" i="1" s="1"/>
  <c r="Y17" i="1"/>
  <c r="Y228" i="1"/>
  <c r="Z228" i="1" s="1"/>
  <c r="Y103" i="1"/>
  <c r="AH103" i="1" s="1"/>
  <c r="Y104" i="1"/>
  <c r="Y330" i="1"/>
  <c r="Y4" i="1"/>
  <c r="Y246" i="1"/>
  <c r="Z246" i="1" s="1"/>
  <c r="Y247" i="1"/>
  <c r="Y252" i="1"/>
  <c r="Z252" i="1" s="1"/>
  <c r="Y256" i="1"/>
  <c r="Z256" i="1" s="1"/>
  <c r="Y257" i="1"/>
  <c r="Y41" i="1"/>
  <c r="Z41" i="1" s="1"/>
  <c r="Y267" i="1"/>
  <c r="Z267" i="1" s="1"/>
  <c r="Y189" i="1"/>
  <c r="Y68" i="1"/>
  <c r="Z68" i="1" s="1"/>
  <c r="Y212" i="1"/>
  <c r="Z212" i="1" s="1"/>
  <c r="Y211" i="1"/>
  <c r="Y121" i="1"/>
  <c r="Z121" i="1" s="1"/>
  <c r="Y38" i="1"/>
  <c r="Z38" i="1" s="1"/>
  <c r="Y39" i="1"/>
  <c r="Y237" i="1"/>
  <c r="Z237" i="1" s="1"/>
  <c r="Y31" i="1"/>
  <c r="AH31" i="1" s="1"/>
  <c r="Y118" i="1"/>
  <c r="AH118" i="1" s="1"/>
  <c r="Y266" i="1"/>
  <c r="AH266" i="1" s="1"/>
  <c r="Y239" i="1"/>
  <c r="AH239" i="1" s="1"/>
  <c r="Y172" i="1"/>
  <c r="Y131" i="1"/>
  <c r="Y309" i="1"/>
  <c r="AH309" i="1" s="1"/>
  <c r="Y236" i="1"/>
  <c r="AH236" i="1" s="1"/>
  <c r="Y183" i="1"/>
  <c r="AH183" i="1" s="1"/>
  <c r="Y113" i="1"/>
  <c r="AH113" i="1" s="1"/>
  <c r="Y112" i="1"/>
  <c r="Y10" i="1"/>
  <c r="Y204" i="1"/>
  <c r="Y203" i="1"/>
  <c r="Y135" i="1"/>
  <c r="Y134" i="1"/>
  <c r="Y186" i="1"/>
  <c r="AH186" i="1" s="1"/>
  <c r="Y187" i="1"/>
  <c r="Y69" i="1"/>
  <c r="AH69" i="1" s="1"/>
  <c r="Y70" i="1"/>
  <c r="Y297" i="1"/>
  <c r="Z297" i="1" s="1"/>
  <c r="Y298" i="1"/>
  <c r="Y248" i="1"/>
  <c r="AH248" i="1" s="1"/>
  <c r="Y249" i="1"/>
  <c r="Y233" i="1"/>
  <c r="AH233" i="1" s="1"/>
  <c r="Y234" i="1"/>
  <c r="Y263" i="1"/>
  <c r="AH263" i="1" s="1"/>
  <c r="Y164" i="1"/>
  <c r="AH164" i="1" s="1"/>
  <c r="Y300" i="1"/>
  <c r="AH300" i="1" s="1"/>
  <c r="Y171" i="1"/>
  <c r="AH171" i="1" s="1"/>
  <c r="Y208" i="1"/>
  <c r="Y231" i="1"/>
  <c r="AH231" i="1" s="1"/>
  <c r="Y232" i="1"/>
  <c r="Y295" i="1"/>
  <c r="AH295" i="1" s="1"/>
  <c r="Y293" i="1"/>
  <c r="AH293" i="1" s="1"/>
  <c r="Y294" i="1"/>
  <c r="Y227" i="1"/>
  <c r="AH227" i="1" s="1"/>
  <c r="Y328" i="1"/>
  <c r="Z328" i="1" s="1"/>
  <c r="Y78" i="1"/>
  <c r="AH78" i="1" s="1"/>
  <c r="Y170" i="1"/>
  <c r="AH170" i="1" s="1"/>
  <c r="Y238" i="1"/>
  <c r="Y273" i="1"/>
  <c r="AH273" i="1" s="1"/>
  <c r="Y182" i="1"/>
  <c r="AH182" i="1" s="1"/>
  <c r="Y313" i="1"/>
  <c r="AH313" i="1" s="1"/>
  <c r="Y311" i="1"/>
  <c r="Z311" i="1" s="1"/>
  <c r="Y312" i="1"/>
  <c r="Y255" i="1"/>
  <c r="AH255" i="1" s="1"/>
  <c r="Y315" i="1"/>
  <c r="AH315" i="1" s="1"/>
  <c r="Y137" i="1"/>
  <c r="AH137" i="1" s="1"/>
  <c r="Y138" i="1"/>
  <c r="Y223" i="1"/>
  <c r="AH223" i="1" s="1"/>
  <c r="Y224" i="1"/>
  <c r="Y166" i="1"/>
  <c r="Y167" i="1"/>
  <c r="Y179" i="1"/>
  <c r="Z179" i="1" s="1"/>
  <c r="Y180" i="1"/>
  <c r="Y177" i="1"/>
  <c r="Z177" i="1" s="1"/>
  <c r="Y178" i="1"/>
  <c r="Y327" i="1"/>
  <c r="AH327" i="1" s="1"/>
  <c r="Y325" i="1"/>
  <c r="AH325" i="1" s="1"/>
  <c r="Y326" i="1"/>
  <c r="Y126" i="1"/>
  <c r="AH126" i="1" s="1"/>
  <c r="Y243" i="1"/>
  <c r="Z243" i="1" s="1"/>
  <c r="Y280" i="1"/>
  <c r="Z280" i="1" s="1"/>
  <c r="Y281" i="1"/>
  <c r="Y240" i="1"/>
  <c r="AH240" i="1" s="1"/>
  <c r="Y258" i="1"/>
  <c r="AH258" i="1" s="1"/>
  <c r="Y26" i="1"/>
  <c r="AH26" i="1" s="1"/>
  <c r="Y198" i="1"/>
  <c r="Y317" i="1"/>
  <c r="AH317" i="1" s="1"/>
  <c r="Y292" i="1"/>
  <c r="AH292" i="1" s="1"/>
  <c r="Y307" i="1"/>
  <c r="AH307" i="1" s="1"/>
  <c r="Y308" i="1"/>
  <c r="Y217" i="1"/>
  <c r="AH217" i="1" s="1"/>
  <c r="Y190" i="1"/>
  <c r="AH190" i="1" s="1"/>
  <c r="Y259" i="1"/>
  <c r="AH259" i="1" s="1"/>
  <c r="Y289" i="1"/>
  <c r="AH289" i="1" s="1"/>
  <c r="Y284" i="1"/>
  <c r="Z284" i="1" s="1"/>
  <c r="Y282" i="1"/>
  <c r="Z282" i="1" s="1"/>
  <c r="Y283" i="1"/>
  <c r="Y40" i="1"/>
  <c r="AH40" i="1" s="1"/>
  <c r="Y42" i="1"/>
  <c r="AH42" i="1" s="1"/>
  <c r="Y43" i="1"/>
  <c r="Y32" i="1"/>
  <c r="AH32" i="1" s="1"/>
  <c r="Y33" i="1"/>
  <c r="Y191" i="1"/>
  <c r="AH191" i="1" s="1"/>
  <c r="Y192" i="1"/>
  <c r="Y132" i="1"/>
  <c r="AH132" i="1" s="1"/>
  <c r="Y214" i="1"/>
  <c r="Y215" i="1"/>
  <c r="Y225" i="1"/>
  <c r="AH225" i="1" s="1"/>
  <c r="Y226" i="1"/>
  <c r="Y139" i="1"/>
  <c r="AH139" i="1" s="1"/>
  <c r="Y197" i="1"/>
  <c r="AH197" i="1" s="1"/>
  <c r="Y87" i="1"/>
  <c r="Z87" i="1" s="1"/>
  <c r="Y98" i="1"/>
  <c r="Z98" i="1" s="1"/>
  <c r="Y99" i="1"/>
  <c r="Y75" i="1"/>
  <c r="Z75" i="1" s="1"/>
  <c r="Y304" i="1"/>
  <c r="AH304" i="1" s="1"/>
  <c r="Y305" i="1"/>
  <c r="Y276" i="1"/>
  <c r="AH276" i="1" s="1"/>
  <c r="Y274" i="1"/>
  <c r="Y275" i="1"/>
  <c r="Y271" i="1"/>
  <c r="Z271" i="1" s="1"/>
  <c r="Y272" i="1"/>
  <c r="Y155" i="1"/>
  <c r="AH155" i="1" s="1"/>
  <c r="Y152" i="1"/>
  <c r="AH152" i="1" s="1"/>
  <c r="Y143" i="1"/>
  <c r="AH143" i="1" s="1"/>
  <c r="Y144" i="1"/>
  <c r="Y85" i="1"/>
  <c r="AH85" i="1" s="1"/>
  <c r="Y86" i="1"/>
  <c r="Y160" i="1"/>
  <c r="AH160" i="1" s="1"/>
  <c r="Y161" i="1"/>
  <c r="Y110" i="1"/>
  <c r="AH110" i="1" s="1"/>
  <c r="Y111" i="1"/>
  <c r="AH111" i="1" s="1"/>
  <c r="Y92" i="1"/>
  <c r="AH92" i="1" s="1"/>
  <c r="Y84" i="1"/>
  <c r="AH84" i="1" s="1"/>
  <c r="Y181" i="1"/>
  <c r="Z181" i="1" s="1"/>
  <c r="Y91" i="1"/>
  <c r="AH91" i="1" s="1"/>
  <c r="Y88" i="1"/>
  <c r="Z88" i="1" s="1"/>
  <c r="Y90" i="1"/>
  <c r="Y89" i="1"/>
  <c r="Y105" i="1"/>
  <c r="AH105" i="1" s="1"/>
  <c r="Y148" i="1"/>
  <c r="AH148" i="1" s="1"/>
  <c r="Y76" i="1"/>
  <c r="AH76" i="1" s="1"/>
  <c r="Y14" i="1"/>
  <c r="Z14" i="1" s="1"/>
  <c r="Y12" i="1"/>
  <c r="Z12" i="1" s="1"/>
  <c r="Y13" i="1"/>
  <c r="Y6" i="1"/>
  <c r="AH6" i="1" s="1"/>
  <c r="Y9" i="1"/>
  <c r="Z9" i="1" s="1"/>
  <c r="Y7" i="1"/>
  <c r="Z7" i="1" s="1"/>
  <c r="Y8" i="1"/>
  <c r="Y2" i="1"/>
  <c r="Y52" i="1"/>
  <c r="AH52" i="1" s="1"/>
  <c r="Y11" i="1"/>
  <c r="AH11" i="1" s="1"/>
  <c r="Y3" i="1"/>
  <c r="AH3" i="1" s="1"/>
  <c r="Y5" i="1"/>
  <c r="AH5" i="1" s="1"/>
  <c r="Y254" i="1"/>
  <c r="AH254" i="1" s="1"/>
  <c r="Y260" i="1"/>
  <c r="AH260" i="1" s="1"/>
  <c r="Y261" i="1"/>
  <c r="AH261" i="1" s="1"/>
  <c r="Y262" i="1"/>
  <c r="AH262" i="1" s="1"/>
  <c r="Y264" i="1"/>
  <c r="AH264" i="1" s="1"/>
  <c r="Y265" i="1"/>
  <c r="AH265" i="1" s="1"/>
  <c r="Y268" i="1"/>
  <c r="AH268" i="1" s="1"/>
  <c r="Y269" i="1"/>
  <c r="AH269" i="1" s="1"/>
  <c r="Y270" i="1"/>
  <c r="AH270" i="1" s="1"/>
  <c r="Y277" i="1"/>
  <c r="AH277" i="1" s="1"/>
  <c r="Y106" i="1"/>
  <c r="AH106" i="1" s="1"/>
  <c r="Y279" i="1"/>
  <c r="AH279" i="1" s="1"/>
  <c r="Y285" i="1"/>
  <c r="AH285" i="1" s="1"/>
  <c r="Y286" i="1"/>
  <c r="AH286" i="1" s="1"/>
  <c r="Y287" i="1"/>
  <c r="AH287" i="1" s="1"/>
  <c r="Y288" i="1"/>
  <c r="AH288" i="1" s="1"/>
  <c r="Y290" i="1"/>
  <c r="AH290" i="1" s="1"/>
  <c r="Y291" i="1"/>
  <c r="AH291" i="1" s="1"/>
  <c r="Y296" i="1"/>
  <c r="AH296" i="1" s="1"/>
  <c r="Y299" i="1"/>
  <c r="AH299" i="1" s="1"/>
  <c r="Y301" i="1"/>
  <c r="AH301" i="1" s="1"/>
  <c r="Y302" i="1"/>
  <c r="AH302" i="1" s="1"/>
  <c r="Y303" i="1"/>
  <c r="Z303" i="1" s="1"/>
  <c r="Y306" i="1"/>
  <c r="AH306" i="1" s="1"/>
  <c r="Y310" i="1"/>
  <c r="AH310" i="1" s="1"/>
  <c r="Y314" i="1"/>
  <c r="AH314" i="1" s="1"/>
  <c r="Y316" i="1"/>
  <c r="AH316" i="1" s="1"/>
  <c r="Y318" i="1"/>
  <c r="AH318" i="1" s="1"/>
  <c r="Y319" i="1"/>
  <c r="AH319" i="1" s="1"/>
  <c r="Y320" i="1"/>
  <c r="AH320" i="1" s="1"/>
  <c r="Y321" i="1"/>
  <c r="AH321" i="1" s="1"/>
  <c r="Y47" i="1"/>
  <c r="AH47" i="1" s="1"/>
  <c r="Y329" i="1"/>
  <c r="AH329" i="1" s="1"/>
  <c r="Y331" i="1"/>
  <c r="AH331" i="1" s="1"/>
  <c r="Y332" i="1"/>
  <c r="AH332" i="1" s="1"/>
  <c r="Y15" i="1"/>
  <c r="AH15" i="1" s="1"/>
  <c r="Y18" i="1"/>
  <c r="AH18" i="1" s="1"/>
  <c r="Y19" i="1"/>
  <c r="AH19" i="1" s="1"/>
  <c r="Y20" i="1"/>
  <c r="AH20" i="1" s="1"/>
  <c r="Y21" i="1"/>
  <c r="AH21" i="1" s="1"/>
  <c r="Y22" i="1"/>
  <c r="AH22" i="1" s="1"/>
  <c r="Y24" i="1"/>
  <c r="AH24" i="1" s="1"/>
  <c r="Y25" i="1"/>
  <c r="AH25" i="1" s="1"/>
  <c r="Y27" i="1"/>
  <c r="AH27" i="1" s="1"/>
  <c r="Y28" i="1"/>
  <c r="AH28" i="1" s="1"/>
  <c r="Y29" i="1"/>
  <c r="AH29" i="1" s="1"/>
  <c r="Y30" i="1"/>
  <c r="AH30" i="1" s="1"/>
  <c r="Y34" i="1"/>
  <c r="AH34" i="1" s="1"/>
  <c r="Y35" i="1"/>
  <c r="AH35" i="1" s="1"/>
  <c r="Y36" i="1"/>
  <c r="AH36" i="1" s="1"/>
  <c r="Y37" i="1"/>
  <c r="AH37" i="1" s="1"/>
  <c r="Y44" i="1"/>
  <c r="AH44" i="1" s="1"/>
  <c r="Y45" i="1"/>
  <c r="AH45" i="1" s="1"/>
  <c r="Y46" i="1"/>
  <c r="AH46" i="1" s="1"/>
  <c r="Y116" i="1"/>
  <c r="AH116" i="1" s="1"/>
  <c r="Y48" i="1"/>
  <c r="AH48" i="1" s="1"/>
  <c r="Y49" i="1"/>
  <c r="AH49" i="1" s="1"/>
  <c r="Y120" i="1"/>
  <c r="AH120" i="1" s="1"/>
  <c r="Y56" i="1"/>
  <c r="AH56" i="1" s="1"/>
  <c r="Y80" i="1"/>
  <c r="AH80" i="1" s="1"/>
  <c r="Y323" i="1"/>
  <c r="AH323" i="1" s="1"/>
  <c r="Y54" i="1"/>
  <c r="AH54" i="1" s="1"/>
  <c r="Y55" i="1"/>
  <c r="AH55" i="1" s="1"/>
  <c r="Y242" i="1"/>
  <c r="AH242" i="1" s="1"/>
  <c r="Y57" i="1"/>
  <c r="AH57" i="1" s="1"/>
  <c r="Y58" i="1"/>
  <c r="AH58" i="1" s="1"/>
  <c r="Y251" i="1"/>
  <c r="AH251" i="1" s="1"/>
  <c r="Y60" i="1"/>
  <c r="AH60" i="1" s="1"/>
  <c r="Y61" i="1"/>
  <c r="AH61" i="1" s="1"/>
  <c r="Y62" i="1"/>
  <c r="AH62" i="1" s="1"/>
  <c r="Y63" i="1"/>
  <c r="AH63" i="1" s="1"/>
  <c r="Y64" i="1"/>
  <c r="AH64" i="1" s="1"/>
  <c r="Y66" i="1"/>
  <c r="AH66" i="1" s="1"/>
  <c r="Y67" i="1"/>
  <c r="AH67" i="1" s="1"/>
  <c r="Y71" i="1"/>
  <c r="AH71" i="1" s="1"/>
  <c r="Y74" i="1"/>
  <c r="AH74" i="1" s="1"/>
  <c r="Y77" i="1"/>
  <c r="AH77" i="1" s="1"/>
  <c r="Y79" i="1"/>
  <c r="AH79" i="1" s="1"/>
  <c r="Y50" i="1"/>
  <c r="AH50" i="1" s="1"/>
  <c r="Y81" i="1"/>
  <c r="AH81" i="1" s="1"/>
  <c r="Y82" i="1"/>
  <c r="AH82" i="1" s="1"/>
  <c r="Y83" i="1"/>
  <c r="AH83" i="1" s="1"/>
  <c r="Y93" i="1"/>
  <c r="AH93" i="1" s="1"/>
  <c r="Y94" i="1"/>
  <c r="AH94" i="1" s="1"/>
  <c r="Y95" i="1"/>
  <c r="AH95" i="1" s="1"/>
  <c r="Y59" i="1"/>
  <c r="AH59" i="1" s="1"/>
  <c r="Y97" i="1"/>
  <c r="AH97" i="1" s="1"/>
  <c r="Y100" i="1"/>
  <c r="AH100" i="1" s="1"/>
  <c r="Y101" i="1"/>
  <c r="AH101" i="1" s="1"/>
  <c r="Y102" i="1"/>
  <c r="AH102" i="1" s="1"/>
  <c r="Y245" i="1"/>
  <c r="AH245" i="1" s="1"/>
  <c r="Y108" i="1"/>
  <c r="AH108" i="1" s="1"/>
  <c r="Y107" i="1"/>
  <c r="AH107" i="1" s="1"/>
  <c r="Y109" i="1"/>
  <c r="AH109" i="1" s="1"/>
  <c r="Y114" i="1"/>
  <c r="AH114" i="1" s="1"/>
  <c r="Y115" i="1"/>
  <c r="AH115" i="1" s="1"/>
  <c r="Y53" i="1"/>
  <c r="AH53" i="1" s="1"/>
  <c r="Y117" i="1"/>
  <c r="AH117" i="1" s="1"/>
  <c r="Y119" i="1"/>
  <c r="AH119" i="1" s="1"/>
  <c r="Y96" i="1"/>
  <c r="AH96" i="1" s="1"/>
  <c r="Y122" i="1"/>
  <c r="AH122" i="1" s="1"/>
  <c r="Y123" i="1"/>
  <c r="AH123" i="1" s="1"/>
  <c r="Y124" i="1"/>
  <c r="AH124" i="1" s="1"/>
  <c r="Y125" i="1"/>
  <c r="AH125" i="1" s="1"/>
  <c r="Y127" i="1"/>
  <c r="AH127" i="1" s="1"/>
  <c r="Y128" i="1"/>
  <c r="AH128" i="1" s="1"/>
  <c r="Y129" i="1"/>
  <c r="AH129" i="1" s="1"/>
  <c r="Y130" i="1"/>
  <c r="AH130" i="1" s="1"/>
  <c r="Y133" i="1"/>
  <c r="AH133" i="1" s="1"/>
  <c r="Y136" i="1"/>
  <c r="AH136" i="1" s="1"/>
  <c r="Y140" i="1"/>
  <c r="AH140" i="1" s="1"/>
  <c r="Y141" i="1"/>
  <c r="AH141" i="1" s="1"/>
  <c r="Y142" i="1"/>
  <c r="AH142" i="1" s="1"/>
  <c r="Y145" i="1"/>
  <c r="AH145" i="1" s="1"/>
  <c r="Y146" i="1"/>
  <c r="AH146" i="1" s="1"/>
  <c r="Y147" i="1"/>
  <c r="AH147" i="1" s="1"/>
  <c r="Y149" i="1"/>
  <c r="AH149" i="1" s="1"/>
  <c r="Y150" i="1"/>
  <c r="AH150" i="1" s="1"/>
  <c r="Y151" i="1"/>
  <c r="AH151" i="1" s="1"/>
  <c r="Y153" i="1"/>
  <c r="AH153" i="1" s="1"/>
  <c r="Y154" i="1"/>
  <c r="AH154" i="1" s="1"/>
  <c r="Y156" i="1"/>
  <c r="Z156" i="1" s="1"/>
  <c r="Y157" i="1"/>
  <c r="AH157" i="1" s="1"/>
  <c r="Y158" i="1"/>
  <c r="AH158" i="1" s="1"/>
  <c r="Y159" i="1"/>
  <c r="AH159" i="1" s="1"/>
  <c r="Y162" i="1"/>
  <c r="AH162" i="1" s="1"/>
  <c r="Y163" i="1"/>
  <c r="AH163" i="1" s="1"/>
  <c r="Y165" i="1"/>
  <c r="AH165" i="1" s="1"/>
  <c r="Y168" i="1"/>
  <c r="AH168" i="1" s="1"/>
  <c r="Y169" i="1"/>
  <c r="AH169" i="1" s="1"/>
  <c r="Y173" i="1"/>
  <c r="AH173" i="1" s="1"/>
  <c r="Y174" i="1"/>
  <c r="AH174" i="1" s="1"/>
  <c r="Y175" i="1"/>
  <c r="AH175" i="1" s="1"/>
  <c r="Y176" i="1"/>
  <c r="AH176" i="1" s="1"/>
  <c r="Y184" i="1"/>
  <c r="AH184" i="1" s="1"/>
  <c r="Y185" i="1"/>
  <c r="AH185" i="1" s="1"/>
  <c r="Y188" i="1"/>
  <c r="AH188" i="1" s="1"/>
  <c r="Y193" i="1"/>
  <c r="AH193" i="1" s="1"/>
  <c r="Y199" i="1"/>
  <c r="AH199" i="1" s="1"/>
  <c r="Y200" i="1"/>
  <c r="AH200" i="1" s="1"/>
  <c r="Y201" i="1"/>
  <c r="AH201" i="1" s="1"/>
  <c r="Y202" i="1"/>
  <c r="AH202" i="1" s="1"/>
  <c r="Y205" i="1"/>
  <c r="AH205" i="1" s="1"/>
  <c r="Y209" i="1"/>
  <c r="AH209" i="1" s="1"/>
  <c r="Y210" i="1"/>
  <c r="AH210" i="1" s="1"/>
  <c r="Y213" i="1"/>
  <c r="AH213" i="1" s="1"/>
  <c r="Y216" i="1"/>
  <c r="AH216" i="1" s="1"/>
  <c r="Y218" i="1"/>
  <c r="AH218" i="1" s="1"/>
  <c r="Y219" i="1"/>
  <c r="AH219" i="1" s="1"/>
  <c r="Y221" i="1"/>
  <c r="AH221" i="1" s="1"/>
  <c r="Y244" i="1"/>
  <c r="AH244" i="1" s="1"/>
  <c r="Y229" i="1"/>
  <c r="AH229" i="1" s="1"/>
  <c r="Y235" i="1"/>
  <c r="AH235" i="1" s="1"/>
  <c r="Y241" i="1"/>
  <c r="AH241" i="1" s="1"/>
  <c r="Y278" i="1"/>
  <c r="AH278" i="1" s="1"/>
  <c r="Y222" i="1"/>
  <c r="AH222" i="1" s="1"/>
  <c r="Y51" i="1"/>
  <c r="AH51" i="1" s="1"/>
  <c r="Y253" i="1"/>
  <c r="AH253" i="1" s="1"/>
  <c r="Y322" i="1"/>
  <c r="AH322" i="1" s="1"/>
  <c r="Y324" i="1"/>
  <c r="AH324" i="1" s="1"/>
  <c r="Y250" i="1"/>
  <c r="AH250" i="1" s="1"/>
  <c r="N4" i="15"/>
  <c r="M172" i="14"/>
  <c r="V156" i="14" s="1"/>
  <c r="L172" i="14"/>
  <c r="U156" i="14" s="1"/>
  <c r="K172" i="14"/>
  <c r="T156" i="14" s="1"/>
  <c r="J172" i="14"/>
  <c r="S156" i="14" s="1"/>
  <c r="M171" i="14"/>
  <c r="V155" i="14" s="1"/>
  <c r="L171" i="14"/>
  <c r="U155" i="14" s="1"/>
  <c r="K171" i="14"/>
  <c r="T155" i="14" s="1"/>
  <c r="J171" i="14"/>
  <c r="S155" i="14" s="1"/>
  <c r="M170" i="14"/>
  <c r="V154" i="14" s="1"/>
  <c r="L170" i="14"/>
  <c r="U154" i="14" s="1"/>
  <c r="K170" i="14"/>
  <c r="T154" i="14" s="1"/>
  <c r="J170" i="14"/>
  <c r="S154" i="14" s="1"/>
  <c r="M169" i="14"/>
  <c r="V153" i="14" s="1"/>
  <c r="L169" i="14"/>
  <c r="U153" i="14" s="1"/>
  <c r="K169" i="14"/>
  <c r="T153" i="14" s="1"/>
  <c r="J169" i="14"/>
  <c r="S153" i="14" s="1"/>
  <c r="M168" i="14"/>
  <c r="V152" i="14" s="1"/>
  <c r="L168" i="14"/>
  <c r="U152" i="14" s="1"/>
  <c r="K168" i="14"/>
  <c r="T152" i="14" s="1"/>
  <c r="J168" i="14"/>
  <c r="S152" i="14" s="1"/>
  <c r="M167" i="14"/>
  <c r="V151" i="14" s="1"/>
  <c r="L167" i="14"/>
  <c r="U151" i="14" s="1"/>
  <c r="K167" i="14"/>
  <c r="T151" i="14" s="1"/>
  <c r="J167" i="14"/>
  <c r="S151" i="14" s="1"/>
  <c r="M166" i="14"/>
  <c r="V150" i="14" s="1"/>
  <c r="L166" i="14"/>
  <c r="U150" i="14" s="1"/>
  <c r="K166" i="14"/>
  <c r="T150" i="14" s="1"/>
  <c r="J166" i="14"/>
  <c r="S150" i="14" s="1"/>
  <c r="M165" i="14"/>
  <c r="V149" i="14" s="1"/>
  <c r="L165" i="14"/>
  <c r="U149" i="14" s="1"/>
  <c r="K165" i="14"/>
  <c r="T149" i="14" s="1"/>
  <c r="J165" i="14"/>
  <c r="S149" i="14" s="1"/>
  <c r="M164" i="14"/>
  <c r="V148" i="14" s="1"/>
  <c r="L164" i="14"/>
  <c r="U148" i="14" s="1"/>
  <c r="K164" i="14"/>
  <c r="T148" i="14" s="1"/>
  <c r="J164" i="14"/>
  <c r="S148" i="14" s="1"/>
  <c r="M163" i="14"/>
  <c r="V147" i="14" s="1"/>
  <c r="L163" i="14"/>
  <c r="U147" i="14" s="1"/>
  <c r="K163" i="14"/>
  <c r="T147" i="14" s="1"/>
  <c r="J163" i="14"/>
  <c r="S147" i="14" s="1"/>
  <c r="M162" i="14"/>
  <c r="V146" i="14" s="1"/>
  <c r="L162" i="14"/>
  <c r="U146" i="14" s="1"/>
  <c r="K162" i="14"/>
  <c r="T146" i="14" s="1"/>
  <c r="J162" i="14"/>
  <c r="S146" i="14" s="1"/>
  <c r="M161" i="14"/>
  <c r="V145" i="14" s="1"/>
  <c r="L161" i="14"/>
  <c r="U145" i="14" s="1"/>
  <c r="K161" i="14"/>
  <c r="T145" i="14" s="1"/>
  <c r="J161" i="14"/>
  <c r="S145" i="14" s="1"/>
  <c r="M160" i="14"/>
  <c r="V144" i="14" s="1"/>
  <c r="L160" i="14"/>
  <c r="U144" i="14" s="1"/>
  <c r="K160" i="14"/>
  <c r="T144" i="14" s="1"/>
  <c r="J160" i="14"/>
  <c r="S144" i="14" s="1"/>
  <c r="M159" i="14"/>
  <c r="V143" i="14" s="1"/>
  <c r="L159" i="14"/>
  <c r="U143" i="14" s="1"/>
  <c r="K159" i="14"/>
  <c r="T143" i="14" s="1"/>
  <c r="J159" i="14"/>
  <c r="S143" i="14" s="1"/>
  <c r="V158" i="14"/>
  <c r="U158" i="14"/>
  <c r="T158" i="14"/>
  <c r="S158" i="14"/>
  <c r="R158" i="14"/>
  <c r="Q158" i="14"/>
  <c r="P158" i="14"/>
  <c r="M158" i="14"/>
  <c r="V142" i="14" s="1"/>
  <c r="L158" i="14"/>
  <c r="U142" i="14" s="1"/>
  <c r="K158" i="14"/>
  <c r="T142" i="14" s="1"/>
  <c r="J158" i="14"/>
  <c r="S142" i="14" s="1"/>
  <c r="V157" i="14"/>
  <c r="U157" i="14"/>
  <c r="T157" i="14"/>
  <c r="S157" i="14"/>
  <c r="R157" i="14"/>
  <c r="Q157" i="14"/>
  <c r="P157" i="14"/>
  <c r="M157" i="14"/>
  <c r="V141" i="14" s="1"/>
  <c r="L157" i="14"/>
  <c r="U141" i="14" s="1"/>
  <c r="K157" i="14"/>
  <c r="T141" i="14" s="1"/>
  <c r="J157" i="14"/>
  <c r="S141" i="14" s="1"/>
  <c r="R156" i="14"/>
  <c r="Q156" i="14"/>
  <c r="P156" i="14"/>
  <c r="M156" i="14"/>
  <c r="V140" i="14" s="1"/>
  <c r="L156" i="14"/>
  <c r="U140" i="14" s="1"/>
  <c r="K156" i="14"/>
  <c r="T140" i="14" s="1"/>
  <c r="J156" i="14"/>
  <c r="S140" i="14" s="1"/>
  <c r="R155" i="14"/>
  <c r="Q155" i="14"/>
  <c r="P155" i="14"/>
  <c r="M155" i="14"/>
  <c r="V139" i="14" s="1"/>
  <c r="L155" i="14"/>
  <c r="U139" i="14" s="1"/>
  <c r="K155" i="14"/>
  <c r="T139" i="14" s="1"/>
  <c r="J155" i="14"/>
  <c r="S139" i="14" s="1"/>
  <c r="R154" i="14"/>
  <c r="Q154" i="14"/>
  <c r="P154" i="14"/>
  <c r="M154" i="14"/>
  <c r="V138" i="14" s="1"/>
  <c r="L154" i="14"/>
  <c r="U138" i="14" s="1"/>
  <c r="K154" i="14"/>
  <c r="T138" i="14" s="1"/>
  <c r="J154" i="14"/>
  <c r="S138" i="14" s="1"/>
  <c r="R153" i="14"/>
  <c r="Q153" i="14"/>
  <c r="P153" i="14"/>
  <c r="M153" i="14"/>
  <c r="V137" i="14" s="1"/>
  <c r="L153" i="14"/>
  <c r="U137" i="14" s="1"/>
  <c r="K153" i="14"/>
  <c r="T137" i="14" s="1"/>
  <c r="J153" i="14"/>
  <c r="S137" i="14" s="1"/>
  <c r="R152" i="14"/>
  <c r="Q152" i="14"/>
  <c r="P152" i="14"/>
  <c r="M152" i="14"/>
  <c r="V136" i="14" s="1"/>
  <c r="L152" i="14"/>
  <c r="U136" i="14" s="1"/>
  <c r="K152" i="14"/>
  <c r="T136" i="14" s="1"/>
  <c r="J152" i="14"/>
  <c r="S136" i="14" s="1"/>
  <c r="R151" i="14"/>
  <c r="Q151" i="14"/>
  <c r="P151" i="14"/>
  <c r="M151" i="14"/>
  <c r="V135" i="14" s="1"/>
  <c r="L151" i="14"/>
  <c r="U135" i="14" s="1"/>
  <c r="K151" i="14"/>
  <c r="T135" i="14" s="1"/>
  <c r="J151" i="14"/>
  <c r="S135" i="14" s="1"/>
  <c r="R150" i="14"/>
  <c r="Q150" i="14"/>
  <c r="P150" i="14"/>
  <c r="M150" i="14"/>
  <c r="V134" i="14" s="1"/>
  <c r="L150" i="14"/>
  <c r="U134" i="14" s="1"/>
  <c r="K150" i="14"/>
  <c r="T134" i="14" s="1"/>
  <c r="J150" i="14"/>
  <c r="S134" i="14" s="1"/>
  <c r="R149" i="14"/>
  <c r="Q149" i="14"/>
  <c r="P149" i="14"/>
  <c r="M149" i="14"/>
  <c r="V133" i="14" s="1"/>
  <c r="L149" i="14"/>
  <c r="U133" i="14" s="1"/>
  <c r="K149" i="14"/>
  <c r="T133" i="14" s="1"/>
  <c r="J149" i="14"/>
  <c r="S133" i="14" s="1"/>
  <c r="R148" i="14"/>
  <c r="Q148" i="14"/>
  <c r="P148" i="14"/>
  <c r="M148" i="14"/>
  <c r="V132" i="14" s="1"/>
  <c r="L148" i="14"/>
  <c r="U132" i="14" s="1"/>
  <c r="K148" i="14"/>
  <c r="T132" i="14" s="1"/>
  <c r="J148" i="14"/>
  <c r="S132" i="14" s="1"/>
  <c r="R147" i="14"/>
  <c r="Q147" i="14"/>
  <c r="P147" i="14"/>
  <c r="M147" i="14"/>
  <c r="L147" i="14"/>
  <c r="K147" i="14"/>
  <c r="J147" i="14"/>
  <c r="R146" i="14"/>
  <c r="Q146" i="14"/>
  <c r="P146" i="14"/>
  <c r="M146" i="14"/>
  <c r="L146" i="14"/>
  <c r="K146" i="14"/>
  <c r="J146" i="14"/>
  <c r="R145" i="14"/>
  <c r="Q145" i="14"/>
  <c r="P145" i="14"/>
  <c r="M145" i="14"/>
  <c r="L145" i="14"/>
  <c r="K145" i="14"/>
  <c r="J145" i="14"/>
  <c r="R144" i="14"/>
  <c r="Q144" i="14"/>
  <c r="P144" i="14"/>
  <c r="M144" i="14"/>
  <c r="L144" i="14"/>
  <c r="K144" i="14"/>
  <c r="J144" i="14"/>
  <c r="R143" i="14"/>
  <c r="Q143" i="14"/>
  <c r="P143" i="14"/>
  <c r="M143" i="14"/>
  <c r="L143" i="14"/>
  <c r="K143" i="14"/>
  <c r="J143" i="14"/>
  <c r="R142" i="14"/>
  <c r="Q142" i="14"/>
  <c r="P142" i="14"/>
  <c r="M142" i="14"/>
  <c r="L142" i="14"/>
  <c r="K142" i="14"/>
  <c r="J142" i="14"/>
  <c r="R141" i="14"/>
  <c r="Q141" i="14"/>
  <c r="P141" i="14"/>
  <c r="M141" i="14"/>
  <c r="L141" i="14"/>
  <c r="K141" i="14"/>
  <c r="J141" i="14"/>
  <c r="R140" i="14"/>
  <c r="Q140" i="14"/>
  <c r="P140" i="14"/>
  <c r="M140" i="14"/>
  <c r="L140" i="14"/>
  <c r="K140" i="14"/>
  <c r="J140" i="14"/>
  <c r="R139" i="14"/>
  <c r="Q139" i="14"/>
  <c r="P139" i="14"/>
  <c r="M139" i="14"/>
  <c r="L139" i="14"/>
  <c r="K139" i="14"/>
  <c r="J139" i="14"/>
  <c r="R138" i="14"/>
  <c r="Q138" i="14"/>
  <c r="P138" i="14"/>
  <c r="M138" i="14"/>
  <c r="L138" i="14"/>
  <c r="K138" i="14"/>
  <c r="J138" i="14"/>
  <c r="R137" i="14"/>
  <c r="Q137" i="14"/>
  <c r="P137" i="14"/>
  <c r="M137" i="14"/>
  <c r="L137" i="14"/>
  <c r="K137" i="14"/>
  <c r="J137" i="14"/>
  <c r="R136" i="14"/>
  <c r="Q136" i="14"/>
  <c r="P136" i="14"/>
  <c r="M136" i="14"/>
  <c r="L136" i="14"/>
  <c r="K136" i="14"/>
  <c r="J136" i="14"/>
  <c r="R135" i="14"/>
  <c r="Q135" i="14"/>
  <c r="P135" i="14"/>
  <c r="M135" i="14"/>
  <c r="V131" i="14" s="1"/>
  <c r="L135" i="14"/>
  <c r="U131" i="14" s="1"/>
  <c r="K135" i="14"/>
  <c r="T131" i="14" s="1"/>
  <c r="J135" i="14"/>
  <c r="S131" i="14" s="1"/>
  <c r="R134" i="14"/>
  <c r="Q134" i="14"/>
  <c r="P134" i="14"/>
  <c r="M134" i="14"/>
  <c r="V130" i="14" s="1"/>
  <c r="L134" i="14"/>
  <c r="U130" i="14" s="1"/>
  <c r="K134" i="14"/>
  <c r="T130" i="14" s="1"/>
  <c r="J134" i="14"/>
  <c r="S130" i="14" s="1"/>
  <c r="R133" i="14"/>
  <c r="Q133" i="14"/>
  <c r="P133" i="14"/>
  <c r="A133" i="14"/>
  <c r="M133" i="14" s="1"/>
  <c r="V129" i="14" s="1"/>
  <c r="R132" i="14"/>
  <c r="Q132" i="14"/>
  <c r="P132" i="14"/>
  <c r="A132" i="14"/>
  <c r="M132" i="14" s="1"/>
  <c r="V128" i="14" s="1"/>
  <c r="R131" i="14"/>
  <c r="Q131" i="14"/>
  <c r="A131" i="14"/>
  <c r="M131" i="14" s="1"/>
  <c r="V127" i="14" s="1"/>
  <c r="R130" i="14"/>
  <c r="Q130" i="14"/>
  <c r="A130" i="14"/>
  <c r="M130" i="14" s="1"/>
  <c r="V126" i="14" s="1"/>
  <c r="A129" i="14"/>
  <c r="M129" i="14" s="1"/>
  <c r="V125" i="14" s="1"/>
  <c r="A128" i="14"/>
  <c r="M128" i="14" s="1"/>
  <c r="V124" i="14" s="1"/>
  <c r="A127" i="14"/>
  <c r="M127" i="14" s="1"/>
  <c r="V123" i="14" s="1"/>
  <c r="A126" i="14"/>
  <c r="M126" i="14" s="1"/>
  <c r="V122" i="14" s="1"/>
  <c r="A125" i="14"/>
  <c r="M125" i="14" s="1"/>
  <c r="V121" i="14" s="1"/>
  <c r="A124" i="14"/>
  <c r="M124" i="14" s="1"/>
  <c r="V120" i="14" s="1"/>
  <c r="A123" i="14"/>
  <c r="M123" i="14" s="1"/>
  <c r="V119" i="14" s="1"/>
  <c r="A122" i="14"/>
  <c r="M122" i="14" s="1"/>
  <c r="V118" i="14" s="1"/>
  <c r="A121" i="14"/>
  <c r="M121" i="14" s="1"/>
  <c r="V117" i="14" s="1"/>
  <c r="M120" i="14"/>
  <c r="L120" i="14"/>
  <c r="U116" i="14" s="1"/>
  <c r="K120" i="14"/>
  <c r="T116" i="14" s="1"/>
  <c r="J120" i="14"/>
  <c r="S116" i="14" s="1"/>
  <c r="M119" i="14"/>
  <c r="V115" i="14" s="1"/>
  <c r="L119" i="14"/>
  <c r="U115" i="14" s="1"/>
  <c r="K119" i="14"/>
  <c r="T115" i="14" s="1"/>
  <c r="J119" i="14"/>
  <c r="S115" i="14" s="1"/>
  <c r="M118" i="14"/>
  <c r="V114" i="14" s="1"/>
  <c r="L118" i="14"/>
  <c r="U114" i="14" s="1"/>
  <c r="K118" i="14"/>
  <c r="T114" i="14" s="1"/>
  <c r="J118" i="14"/>
  <c r="S114" i="14" s="1"/>
  <c r="M117" i="14"/>
  <c r="V113" i="14" s="1"/>
  <c r="L117" i="14"/>
  <c r="U113" i="14" s="1"/>
  <c r="K117" i="14"/>
  <c r="T113" i="14" s="1"/>
  <c r="J117" i="14"/>
  <c r="S113" i="14" s="1"/>
  <c r="V116" i="14"/>
  <c r="R116" i="14"/>
  <c r="Q116" i="14"/>
  <c r="M116" i="14"/>
  <c r="L116" i="14"/>
  <c r="K116" i="14"/>
  <c r="J116" i="14"/>
  <c r="R115" i="14"/>
  <c r="Q115" i="14"/>
  <c r="M115" i="14"/>
  <c r="L115" i="14"/>
  <c r="K115" i="14"/>
  <c r="J115" i="14"/>
  <c r="R114" i="14"/>
  <c r="Q114" i="14"/>
  <c r="M114" i="14"/>
  <c r="L114" i="14"/>
  <c r="K114" i="14"/>
  <c r="J114" i="14"/>
  <c r="R113" i="14"/>
  <c r="Q113" i="14"/>
  <c r="M113" i="14"/>
  <c r="L113" i="14"/>
  <c r="K113" i="14"/>
  <c r="J113" i="14"/>
  <c r="A112" i="14"/>
  <c r="R112" i="14" s="1"/>
  <c r="A111" i="14"/>
  <c r="R111" i="14" s="1"/>
  <c r="A110" i="14"/>
  <c r="R110" i="14" s="1"/>
  <c r="A109" i="14"/>
  <c r="R109" i="14" s="1"/>
  <c r="A108" i="14"/>
  <c r="R108" i="14" s="1"/>
  <c r="A107" i="14"/>
  <c r="R107" i="14" s="1"/>
  <c r="A106" i="14"/>
  <c r="R106" i="14" s="1"/>
  <c r="A105" i="14"/>
  <c r="R105" i="14" s="1"/>
  <c r="A104" i="14"/>
  <c r="R104" i="14" s="1"/>
  <c r="A103" i="14"/>
  <c r="R103" i="14" s="1"/>
  <c r="A102" i="14"/>
  <c r="R102" i="14" s="1"/>
  <c r="A101" i="14"/>
  <c r="R101" i="14" s="1"/>
  <c r="A100" i="14"/>
  <c r="R100" i="14" s="1"/>
  <c r="A99" i="14"/>
  <c r="R99" i="14" s="1"/>
  <c r="A98" i="14"/>
  <c r="R98" i="14" s="1"/>
  <c r="A97" i="14"/>
  <c r="R97" i="14" s="1"/>
  <c r="A96" i="14"/>
  <c r="R96" i="14" s="1"/>
  <c r="A95" i="14"/>
  <c r="R95" i="14" s="1"/>
  <c r="A94" i="14"/>
  <c r="R94" i="14" s="1"/>
  <c r="A93" i="14"/>
  <c r="R93" i="14" s="1"/>
  <c r="A92" i="14"/>
  <c r="R92" i="14" s="1"/>
  <c r="A91" i="14"/>
  <c r="R91" i="14" s="1"/>
  <c r="A90" i="14"/>
  <c r="R90" i="14" s="1"/>
  <c r="A89" i="14"/>
  <c r="R89" i="14" s="1"/>
  <c r="A88" i="14"/>
  <c r="R88" i="14" s="1"/>
  <c r="A87" i="14"/>
  <c r="R87" i="14" s="1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R80" i="14" s="1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R70" i="14" s="1"/>
  <c r="A43" i="14"/>
  <c r="R51" i="14" s="1"/>
  <c r="A42" i="14"/>
  <c r="A41" i="14"/>
  <c r="A40" i="14"/>
  <c r="R58" i="14" s="1"/>
  <c r="A39" i="14"/>
  <c r="A38" i="14"/>
  <c r="A37" i="14"/>
  <c r="A36" i="14"/>
  <c r="R53" i="14" s="1"/>
  <c r="A35" i="14"/>
  <c r="A34" i="14"/>
  <c r="A33" i="14"/>
  <c r="A32" i="14"/>
  <c r="R85" i="14" s="1"/>
  <c r="A31" i="14"/>
  <c r="R66" i="14" s="1"/>
  <c r="A30" i="14"/>
  <c r="A29" i="14"/>
  <c r="A28" i="14"/>
  <c r="R84" i="14" s="1"/>
  <c r="A27" i="14"/>
  <c r="R55" i="14" s="1"/>
  <c r="A26" i="14"/>
  <c r="A25" i="14"/>
  <c r="R37" i="14" s="1"/>
  <c r="A24" i="14"/>
  <c r="R36" i="14" s="1"/>
  <c r="A23" i="14"/>
  <c r="R74" i="14" s="1"/>
  <c r="A22" i="14"/>
  <c r="A21" i="14"/>
  <c r="A20" i="14"/>
  <c r="A19" i="14"/>
  <c r="R22" i="14" s="1"/>
  <c r="A18" i="14"/>
  <c r="A17" i="14"/>
  <c r="A16" i="14"/>
  <c r="R77" i="14" s="1"/>
  <c r="A15" i="14"/>
  <c r="R57" i="14" s="1"/>
  <c r="A14" i="14"/>
  <c r="A13" i="14"/>
  <c r="R17" i="14" s="1"/>
  <c r="A12" i="14"/>
  <c r="R42" i="14" s="1"/>
  <c r="A11" i="14"/>
  <c r="R41" i="14" s="1"/>
  <c r="A10" i="14"/>
  <c r="A9" i="14"/>
  <c r="A8" i="14"/>
  <c r="R69" i="14" s="1"/>
  <c r="A7" i="14"/>
  <c r="AA353" i="1" l="1"/>
  <c r="AA354" i="1"/>
  <c r="Z354" i="1"/>
  <c r="AH354" i="1"/>
  <c r="Z353" i="1"/>
  <c r="AH353" i="1"/>
  <c r="AA352" i="1"/>
  <c r="AH352" i="1"/>
  <c r="AH351" i="1"/>
  <c r="AA351" i="1"/>
  <c r="AA350" i="1"/>
  <c r="AH350" i="1"/>
  <c r="AH348" i="1"/>
  <c r="AA348" i="1"/>
  <c r="AA349" i="1"/>
  <c r="Z349" i="1"/>
  <c r="AH349" i="1"/>
  <c r="AH347" i="1"/>
  <c r="AA347" i="1"/>
  <c r="AH345" i="1"/>
  <c r="Z346" i="1"/>
  <c r="AH346" i="1"/>
  <c r="AA345" i="1"/>
  <c r="AA346" i="1"/>
  <c r="AH343" i="1"/>
  <c r="AA343" i="1"/>
  <c r="AA344" i="1"/>
  <c r="Z344" i="1"/>
  <c r="AH344" i="1"/>
  <c r="AA342" i="1"/>
  <c r="Z342" i="1"/>
  <c r="AH342" i="1"/>
  <c r="AA341" i="1"/>
  <c r="Z341" i="1"/>
  <c r="AH341" i="1"/>
  <c r="AA340" i="1"/>
  <c r="AH340" i="1"/>
  <c r="AA337" i="1"/>
  <c r="AA338" i="1"/>
  <c r="AA339" i="1"/>
  <c r="Z339" i="1"/>
  <c r="AH339" i="1"/>
  <c r="Z338" i="1"/>
  <c r="AH338" i="1"/>
  <c r="Z337" i="1"/>
  <c r="AH337" i="1"/>
  <c r="AA336" i="1"/>
  <c r="Z336" i="1"/>
  <c r="AH336" i="1"/>
  <c r="AA335" i="1"/>
  <c r="Z335" i="1"/>
  <c r="AA334" i="1"/>
  <c r="AH334" i="1"/>
  <c r="AA333" i="1"/>
  <c r="Z333" i="1"/>
  <c r="AH333" i="1"/>
  <c r="AA65" i="1"/>
  <c r="AH65" i="1"/>
  <c r="AA220" i="1"/>
  <c r="AH220" i="1"/>
  <c r="AH206" i="1"/>
  <c r="AA206" i="1"/>
  <c r="AA207" i="1"/>
  <c r="Z207" i="1"/>
  <c r="AH207" i="1"/>
  <c r="AA196" i="1"/>
  <c r="AH196" i="1"/>
  <c r="AH194" i="1"/>
  <c r="AA194" i="1"/>
  <c r="AA195" i="1"/>
  <c r="Z195" i="1"/>
  <c r="AH195" i="1"/>
  <c r="Z72" i="1"/>
  <c r="AA72" i="1"/>
  <c r="AA73" i="1"/>
  <c r="AH73" i="1"/>
  <c r="Z73" i="1"/>
  <c r="AH23" i="1"/>
  <c r="AA230" i="1"/>
  <c r="AA23" i="1"/>
  <c r="Z230" i="1"/>
  <c r="AH230" i="1"/>
  <c r="AH16" i="1"/>
  <c r="AA16" i="1"/>
  <c r="AA17" i="1"/>
  <c r="Z17" i="1"/>
  <c r="AH17" i="1"/>
  <c r="AA228" i="1"/>
  <c r="AH228" i="1"/>
  <c r="Z103" i="1"/>
  <c r="Z104" i="1"/>
  <c r="AH104" i="1"/>
  <c r="AA103" i="1"/>
  <c r="AA104" i="1"/>
  <c r="AA330" i="1"/>
  <c r="Z330" i="1"/>
  <c r="AH330" i="1"/>
  <c r="AA4" i="1"/>
  <c r="Z4" i="1"/>
  <c r="AH4" i="1"/>
  <c r="AH246" i="1"/>
  <c r="Z247" i="1"/>
  <c r="AH247" i="1"/>
  <c r="AA246" i="1"/>
  <c r="AA247" i="1"/>
  <c r="AA252" i="1"/>
  <c r="AH252" i="1"/>
  <c r="AH256" i="1"/>
  <c r="AA256" i="1"/>
  <c r="AA257" i="1"/>
  <c r="Z257" i="1"/>
  <c r="AH257" i="1"/>
  <c r="AA41" i="1"/>
  <c r="AH41" i="1"/>
  <c r="AA267" i="1"/>
  <c r="AH267" i="1"/>
  <c r="AA189" i="1"/>
  <c r="Z189" i="1"/>
  <c r="AH189" i="1"/>
  <c r="AA68" i="1"/>
  <c r="AH68" i="1"/>
  <c r="AH212" i="1"/>
  <c r="AA211" i="1"/>
  <c r="AA212" i="1"/>
  <c r="Z211" i="1"/>
  <c r="AH211" i="1"/>
  <c r="AA121" i="1"/>
  <c r="AH121" i="1"/>
  <c r="AH38" i="1"/>
  <c r="Z39" i="1"/>
  <c r="AH39" i="1"/>
  <c r="AA38" i="1"/>
  <c r="AA39" i="1"/>
  <c r="AA237" i="1"/>
  <c r="AH237" i="1"/>
  <c r="R23" i="14"/>
  <c r="R67" i="14"/>
  <c r="R63" i="14"/>
  <c r="R65" i="14"/>
  <c r="R81" i="14"/>
  <c r="R73" i="14"/>
  <c r="AA31" i="1"/>
  <c r="Z31" i="1"/>
  <c r="AA118" i="1"/>
  <c r="Z118" i="1"/>
  <c r="AA266" i="1"/>
  <c r="Z266" i="1"/>
  <c r="AA239" i="1"/>
  <c r="Z239" i="1"/>
  <c r="AA172" i="1"/>
  <c r="Z172" i="1"/>
  <c r="AH172" i="1"/>
  <c r="AA131" i="1"/>
  <c r="Z131" i="1"/>
  <c r="AH131" i="1"/>
  <c r="AA309" i="1"/>
  <c r="Z309" i="1"/>
  <c r="AA236" i="1"/>
  <c r="Z236" i="1"/>
  <c r="Z183" i="1"/>
  <c r="Z332" i="1"/>
  <c r="AA183" i="1"/>
  <c r="Z329" i="1"/>
  <c r="Z290" i="1"/>
  <c r="Z264" i="1"/>
  <c r="Z94" i="1"/>
  <c r="Z310" i="1"/>
  <c r="Z110" i="1"/>
  <c r="Z301" i="1"/>
  <c r="Z319" i="1"/>
  <c r="Z270" i="1"/>
  <c r="Z268" i="1"/>
  <c r="Z113" i="1"/>
  <c r="Z129" i="1"/>
  <c r="Z140" i="1"/>
  <c r="Z27" i="1"/>
  <c r="AA112" i="1"/>
  <c r="AA113" i="1"/>
  <c r="Z45" i="1"/>
  <c r="Z112" i="1"/>
  <c r="AH112" i="1"/>
  <c r="Z82" i="1"/>
  <c r="Z321" i="1"/>
  <c r="Z93" i="1"/>
  <c r="Z54" i="1"/>
  <c r="Z20" i="1"/>
  <c r="Z316" i="1"/>
  <c r="Z114" i="1"/>
  <c r="Z74" i="1"/>
  <c r="Z24" i="1"/>
  <c r="Z318" i="1"/>
  <c r="Z331" i="1"/>
  <c r="Z123" i="1"/>
  <c r="Z202" i="1"/>
  <c r="Z29" i="1"/>
  <c r="Z21" i="1"/>
  <c r="Z285" i="1"/>
  <c r="Z169" i="1"/>
  <c r="Z269" i="1"/>
  <c r="Z128" i="1"/>
  <c r="Z245" i="1"/>
  <c r="Z71" i="1"/>
  <c r="Z30" i="1"/>
  <c r="Z306" i="1"/>
  <c r="Z288" i="1"/>
  <c r="Z193" i="1"/>
  <c r="Z136" i="1"/>
  <c r="Z25" i="1"/>
  <c r="Z299" i="1"/>
  <c r="Z262" i="1"/>
  <c r="Z248" i="1"/>
  <c r="Z175" i="1"/>
  <c r="Z28" i="1"/>
  <c r="Z22" i="1"/>
  <c r="Z18" i="1"/>
  <c r="Z261" i="1"/>
  <c r="Z3" i="1"/>
  <c r="Z11" i="1"/>
  <c r="Z286" i="1"/>
  <c r="Z240" i="1"/>
  <c r="Z153" i="1"/>
  <c r="AH181" i="1"/>
  <c r="AH87" i="1"/>
  <c r="Z227" i="1"/>
  <c r="Z10" i="1"/>
  <c r="AH10" i="1"/>
  <c r="Z209" i="1"/>
  <c r="AH284" i="1"/>
  <c r="Z2" i="1"/>
  <c r="AA10" i="1"/>
  <c r="Z205" i="1"/>
  <c r="Z320" i="1"/>
  <c r="Z314" i="1"/>
  <c r="Z302" i="1"/>
  <c r="Z218" i="1"/>
  <c r="Z200" i="1"/>
  <c r="Z157" i="1"/>
  <c r="Z96" i="1"/>
  <c r="Z46" i="1"/>
  <c r="Z291" i="1"/>
  <c r="Z265" i="1"/>
  <c r="Z260" i="1"/>
  <c r="AH280" i="1"/>
  <c r="AH177" i="1"/>
  <c r="Z229" i="1"/>
  <c r="Z77" i="1"/>
  <c r="Z223" i="1"/>
  <c r="Z159" i="1"/>
  <c r="Z145" i="1"/>
  <c r="Z127" i="1"/>
  <c r="Z100" i="1"/>
  <c r="Z83" i="1"/>
  <c r="Z64" i="1"/>
  <c r="Z44" i="1"/>
  <c r="Z15" i="1"/>
  <c r="Z63" i="1"/>
  <c r="Z76" i="1"/>
  <c r="AH98" i="1"/>
  <c r="Z217" i="1"/>
  <c r="AH243" i="1"/>
  <c r="AH311" i="1"/>
  <c r="Z182" i="1"/>
  <c r="Z164" i="1"/>
  <c r="AH7" i="1"/>
  <c r="Z307" i="1"/>
  <c r="Z124" i="1"/>
  <c r="AH9" i="1"/>
  <c r="Z148" i="1"/>
  <c r="AH75" i="1"/>
  <c r="AH328" i="1"/>
  <c r="Z6" i="1"/>
  <c r="AH14" i="1"/>
  <c r="AH88" i="1"/>
  <c r="Z84" i="1"/>
  <c r="Z197" i="1"/>
  <c r="Z289" i="1"/>
  <c r="Z292" i="1"/>
  <c r="Z313" i="1"/>
  <c r="Z263" i="1"/>
  <c r="Z241" i="1"/>
  <c r="Z168" i="1"/>
  <c r="Z142" i="1"/>
  <c r="Z102" i="1"/>
  <c r="AH271" i="1"/>
  <c r="Z132" i="1"/>
  <c r="Z32" i="1"/>
  <c r="AH179" i="1"/>
  <c r="Z137" i="1"/>
  <c r="Z293" i="1"/>
  <c r="Z122" i="1"/>
  <c r="Z213" i="1"/>
  <c r="Z199" i="1"/>
  <c r="Z176" i="1"/>
  <c r="Z162" i="1"/>
  <c r="Z149" i="1"/>
  <c r="Z133" i="1"/>
  <c r="Z119" i="1"/>
  <c r="Z109" i="1"/>
  <c r="Z62" i="1"/>
  <c r="Z92" i="1"/>
  <c r="Z143" i="1"/>
  <c r="Z42" i="1"/>
  <c r="Z233" i="1"/>
  <c r="Z278" i="1"/>
  <c r="R68" i="14"/>
  <c r="R64" i="14"/>
  <c r="Z324" i="1"/>
  <c r="R76" i="14"/>
  <c r="R56" i="14"/>
  <c r="R48" i="14"/>
  <c r="R43" i="14"/>
  <c r="R83" i="14"/>
  <c r="Z174" i="1"/>
  <c r="Z147" i="1"/>
  <c r="Z141" i="1"/>
  <c r="Z130" i="1"/>
  <c r="Z125" i="1"/>
  <c r="Z250" i="1"/>
  <c r="Z105" i="1"/>
  <c r="Z91" i="1"/>
  <c r="Z111" i="1"/>
  <c r="Z160" i="1"/>
  <c r="Z85" i="1"/>
  <c r="Z152" i="1"/>
  <c r="Z276" i="1"/>
  <c r="Z139" i="1"/>
  <c r="Z191" i="1"/>
  <c r="Z40" i="1"/>
  <c r="Z259" i="1"/>
  <c r="Z317" i="1"/>
  <c r="Z126" i="1"/>
  <c r="Z315" i="1"/>
  <c r="Z273" i="1"/>
  <c r="Z295" i="1"/>
  <c r="R72" i="14"/>
  <c r="R47" i="14"/>
  <c r="R24" i="14"/>
  <c r="R78" i="14"/>
  <c r="R86" i="14"/>
  <c r="R62" i="14"/>
  <c r="R71" i="14"/>
  <c r="R59" i="14"/>
  <c r="R79" i="14"/>
  <c r="R75" i="14"/>
  <c r="R82" i="14"/>
  <c r="Z235" i="1"/>
  <c r="Z210" i="1"/>
  <c r="Z201" i="1"/>
  <c r="Z188" i="1"/>
  <c r="Z173" i="1"/>
  <c r="Z165" i="1"/>
  <c r="Z158" i="1"/>
  <c r="Z146" i="1"/>
  <c r="Z101" i="1"/>
  <c r="Z155" i="1"/>
  <c r="Z304" i="1"/>
  <c r="Z225" i="1"/>
  <c r="Z190" i="1"/>
  <c r="Z26" i="1"/>
  <c r="Z258" i="1"/>
  <c r="Z325" i="1"/>
  <c r="Z327" i="1"/>
  <c r="Z255" i="1"/>
  <c r="Z170" i="1"/>
  <c r="Z78" i="1"/>
  <c r="Z231" i="1"/>
  <c r="Z171" i="1"/>
  <c r="Z300" i="1"/>
  <c r="Z69" i="1"/>
  <c r="Z186" i="1"/>
  <c r="AA204" i="1"/>
  <c r="AA203" i="1"/>
  <c r="Z203" i="1"/>
  <c r="AH203" i="1"/>
  <c r="Z204" i="1"/>
  <c r="AH204" i="1"/>
  <c r="AA135" i="1"/>
  <c r="AA134" i="1"/>
  <c r="Z134" i="1"/>
  <c r="AH134" i="1"/>
  <c r="Z135" i="1"/>
  <c r="AH135" i="1"/>
  <c r="AA186" i="1"/>
  <c r="AA187" i="1"/>
  <c r="Z187" i="1"/>
  <c r="AH187" i="1"/>
  <c r="AA69" i="1"/>
  <c r="AA70" i="1"/>
  <c r="Z70" i="1"/>
  <c r="AH70" i="1"/>
  <c r="AH297" i="1"/>
  <c r="AA297" i="1"/>
  <c r="AA298" i="1"/>
  <c r="Z298" i="1"/>
  <c r="AH298" i="1"/>
  <c r="AA248" i="1"/>
  <c r="AA249" i="1"/>
  <c r="Z249" i="1"/>
  <c r="AH249" i="1"/>
  <c r="AA233" i="1"/>
  <c r="AA234" i="1"/>
  <c r="Z234" i="1"/>
  <c r="AH234" i="1"/>
  <c r="AA263" i="1"/>
  <c r="AA164" i="1"/>
  <c r="AA300" i="1"/>
  <c r="AA171" i="1"/>
  <c r="AA208" i="1"/>
  <c r="Z208" i="1"/>
  <c r="AH208" i="1"/>
  <c r="AA231" i="1"/>
  <c r="AA232" i="1"/>
  <c r="Z232" i="1"/>
  <c r="AH232" i="1"/>
  <c r="AA295" i="1"/>
  <c r="AA293" i="1"/>
  <c r="AA294" i="1"/>
  <c r="Z294" i="1"/>
  <c r="AH294" i="1"/>
  <c r="AA227" i="1"/>
  <c r="AA328" i="1"/>
  <c r="AA78" i="1"/>
  <c r="AA170" i="1"/>
  <c r="AA238" i="1"/>
  <c r="Z238" i="1"/>
  <c r="AH238" i="1"/>
  <c r="AA273" i="1"/>
  <c r="AA182" i="1"/>
  <c r="AA313" i="1"/>
  <c r="AA311" i="1"/>
  <c r="AA312" i="1"/>
  <c r="Z312" i="1"/>
  <c r="AH312" i="1"/>
  <c r="AA255" i="1"/>
  <c r="AA315" i="1"/>
  <c r="AA137" i="1"/>
  <c r="AA138" i="1"/>
  <c r="Z138" i="1"/>
  <c r="AH138" i="1"/>
  <c r="AA223" i="1"/>
  <c r="AA224" i="1"/>
  <c r="Z224" i="1"/>
  <c r="AH224" i="1"/>
  <c r="AA166" i="1"/>
  <c r="AA167" i="1"/>
  <c r="Z167" i="1"/>
  <c r="AH167" i="1"/>
  <c r="Z166" i="1"/>
  <c r="AH166" i="1"/>
  <c r="AA179" i="1"/>
  <c r="AA180" i="1"/>
  <c r="Z180" i="1"/>
  <c r="AH180" i="1"/>
  <c r="AA177" i="1"/>
  <c r="AA178" i="1"/>
  <c r="Z178" i="1"/>
  <c r="AH178" i="1"/>
  <c r="AA327" i="1"/>
  <c r="AA325" i="1"/>
  <c r="AA326" i="1"/>
  <c r="Z326" i="1"/>
  <c r="AH326" i="1"/>
  <c r="AA126" i="1"/>
  <c r="AA243" i="1"/>
  <c r="AA280" i="1"/>
  <c r="AA281" i="1"/>
  <c r="Z281" i="1"/>
  <c r="AH281" i="1"/>
  <c r="AA240" i="1"/>
  <c r="AA258" i="1"/>
  <c r="AA26" i="1"/>
  <c r="AA198" i="1"/>
  <c r="Z198" i="1"/>
  <c r="AH198" i="1"/>
  <c r="AA317" i="1"/>
  <c r="AA292" i="1"/>
  <c r="AA307" i="1"/>
  <c r="AA308" i="1"/>
  <c r="Z308" i="1"/>
  <c r="AH308" i="1"/>
  <c r="AA217" i="1"/>
  <c r="AA190" i="1"/>
  <c r="AA259" i="1"/>
  <c r="AH282" i="1"/>
  <c r="AA289" i="1"/>
  <c r="AA284" i="1"/>
  <c r="AA282" i="1"/>
  <c r="AA283" i="1"/>
  <c r="Z283" i="1"/>
  <c r="AH283" i="1"/>
  <c r="AA40" i="1"/>
  <c r="AA42" i="1"/>
  <c r="AA43" i="1"/>
  <c r="Z43" i="1"/>
  <c r="AH43" i="1"/>
  <c r="AA32" i="1"/>
  <c r="AA33" i="1"/>
  <c r="Z33" i="1"/>
  <c r="AH33" i="1"/>
  <c r="AA191" i="1"/>
  <c r="AA192" i="1"/>
  <c r="Z192" i="1"/>
  <c r="AH192" i="1"/>
  <c r="AA132" i="1"/>
  <c r="AA214" i="1"/>
  <c r="AA215" i="1"/>
  <c r="Z215" i="1"/>
  <c r="AH215" i="1"/>
  <c r="Z214" i="1"/>
  <c r="AH214" i="1"/>
  <c r="AA225" i="1"/>
  <c r="AA226" i="1"/>
  <c r="Z226" i="1"/>
  <c r="AH226" i="1"/>
  <c r="AA139" i="1"/>
  <c r="AA197" i="1"/>
  <c r="AA87" i="1"/>
  <c r="AA98" i="1"/>
  <c r="AA99" i="1"/>
  <c r="Z99" i="1"/>
  <c r="AH99" i="1"/>
  <c r="AA75" i="1"/>
  <c r="AH303" i="1"/>
  <c r="AA304" i="1"/>
  <c r="AA305" i="1"/>
  <c r="Z305" i="1"/>
  <c r="AH305" i="1"/>
  <c r="AA276" i="1"/>
  <c r="AA274" i="1"/>
  <c r="AA275" i="1"/>
  <c r="Z275" i="1"/>
  <c r="AH275" i="1"/>
  <c r="Z274" i="1"/>
  <c r="AH274" i="1"/>
  <c r="AA271" i="1"/>
  <c r="AA272" i="1"/>
  <c r="Z272" i="1"/>
  <c r="AH272" i="1"/>
  <c r="AA155" i="1"/>
  <c r="AA152" i="1"/>
  <c r="AA143" i="1"/>
  <c r="AA144" i="1"/>
  <c r="Z144" i="1"/>
  <c r="AH144" i="1"/>
  <c r="AA85" i="1"/>
  <c r="AA86" i="1"/>
  <c r="Z86" i="1"/>
  <c r="AH86" i="1"/>
  <c r="AA160" i="1"/>
  <c r="AA161" i="1"/>
  <c r="Z161" i="1"/>
  <c r="AH161" i="1"/>
  <c r="AA111" i="1"/>
  <c r="AA92" i="1"/>
  <c r="R31" i="14"/>
  <c r="R32" i="14"/>
  <c r="R33" i="14"/>
  <c r="R34" i="14"/>
  <c r="R52" i="14"/>
  <c r="R30" i="14"/>
  <c r="AA84" i="1"/>
  <c r="AA181" i="1"/>
  <c r="AA91" i="1"/>
  <c r="AA88" i="1"/>
  <c r="AA90" i="1"/>
  <c r="AA89" i="1"/>
  <c r="Z89" i="1"/>
  <c r="AH89" i="1"/>
  <c r="Z90" i="1"/>
  <c r="AH90" i="1"/>
  <c r="AA105" i="1"/>
  <c r="R20" i="14"/>
  <c r="R18" i="14"/>
  <c r="R19" i="14"/>
  <c r="R16" i="14"/>
  <c r="R45" i="14"/>
  <c r="R50" i="14"/>
  <c r="R12" i="14"/>
  <c r="R25" i="14"/>
  <c r="R26" i="14"/>
  <c r="R29" i="14"/>
  <c r="R54" i="14"/>
  <c r="R60" i="14"/>
  <c r="R61" i="14"/>
  <c r="R39" i="14"/>
  <c r="R40" i="14"/>
  <c r="R21" i="14"/>
  <c r="R27" i="14"/>
  <c r="R44" i="14"/>
  <c r="R35" i="14"/>
  <c r="R46" i="14"/>
  <c r="R7" i="14"/>
  <c r="R9" i="14"/>
  <c r="R10" i="14"/>
  <c r="R11" i="14"/>
  <c r="R8" i="14"/>
  <c r="R13" i="14"/>
  <c r="R14" i="14"/>
  <c r="R15" i="14"/>
  <c r="R28" i="14"/>
  <c r="R49" i="14"/>
  <c r="R38" i="14"/>
  <c r="AA148" i="1"/>
  <c r="AA76" i="1"/>
  <c r="AH12" i="1"/>
  <c r="AA14" i="1"/>
  <c r="AA12" i="1"/>
  <c r="AA13" i="1"/>
  <c r="Z13" i="1"/>
  <c r="AH13" i="1"/>
  <c r="AA6" i="1"/>
  <c r="AA9" i="1"/>
  <c r="AA7" i="1"/>
  <c r="AA8" i="1"/>
  <c r="Z8" i="1"/>
  <c r="AH8" i="1"/>
  <c r="AH2" i="1"/>
  <c r="AH156" i="1"/>
  <c r="AA2" i="1"/>
  <c r="AA120" i="1"/>
  <c r="AA3" i="1"/>
  <c r="AA5" i="1"/>
  <c r="AA11" i="1"/>
  <c r="AA15" i="1"/>
  <c r="AA18" i="1"/>
  <c r="AA19" i="1"/>
  <c r="AA20" i="1"/>
  <c r="AA21" i="1"/>
  <c r="AA22" i="1"/>
  <c r="AA24" i="1"/>
  <c r="AA25" i="1"/>
  <c r="AA27" i="1"/>
  <c r="AA28" i="1"/>
  <c r="AA29" i="1"/>
  <c r="AA30" i="1"/>
  <c r="AA34" i="1"/>
  <c r="AA35" i="1"/>
  <c r="AA36" i="1"/>
  <c r="AA37" i="1"/>
  <c r="AA44" i="1"/>
  <c r="AA45" i="1"/>
  <c r="AA46" i="1"/>
  <c r="AA116" i="1"/>
  <c r="AA48" i="1"/>
  <c r="AA49" i="1"/>
  <c r="AA56" i="1"/>
  <c r="AA80" i="1"/>
  <c r="AA323" i="1"/>
  <c r="AA54" i="1"/>
  <c r="AA55" i="1"/>
  <c r="AA242" i="1"/>
  <c r="AA57" i="1"/>
  <c r="AA58" i="1"/>
  <c r="AA251" i="1"/>
  <c r="AA60" i="1"/>
  <c r="AA61" i="1"/>
  <c r="AA62" i="1"/>
  <c r="AA63" i="1"/>
  <c r="AA64" i="1"/>
  <c r="AA66" i="1"/>
  <c r="AA67" i="1"/>
  <c r="AA71" i="1"/>
  <c r="AA74" i="1"/>
  <c r="AA77" i="1"/>
  <c r="AA79" i="1"/>
  <c r="AA50" i="1"/>
  <c r="AA81" i="1"/>
  <c r="AA82" i="1"/>
  <c r="AA83" i="1"/>
  <c r="AA93" i="1"/>
  <c r="AA94" i="1"/>
  <c r="AA95" i="1"/>
  <c r="AA59" i="1"/>
  <c r="AA97" i="1"/>
  <c r="AA100" i="1"/>
  <c r="AA101" i="1"/>
  <c r="AA102" i="1"/>
  <c r="AA245" i="1"/>
  <c r="AA108" i="1"/>
  <c r="AA107" i="1"/>
  <c r="AA109" i="1"/>
  <c r="AA110" i="1"/>
  <c r="AA114" i="1"/>
  <c r="AA115" i="1"/>
  <c r="AA53" i="1"/>
  <c r="AA117" i="1"/>
  <c r="AA119" i="1"/>
  <c r="AA96" i="1"/>
  <c r="AA122" i="1"/>
  <c r="AA123" i="1"/>
  <c r="AA124" i="1"/>
  <c r="AA125" i="1"/>
  <c r="AA127" i="1"/>
  <c r="AA128" i="1"/>
  <c r="AA129" i="1"/>
  <c r="AA130" i="1"/>
  <c r="AA133" i="1"/>
  <c r="AA136" i="1"/>
  <c r="AA140" i="1"/>
  <c r="AA141" i="1"/>
  <c r="AA142" i="1"/>
  <c r="AA145" i="1"/>
  <c r="AA146" i="1"/>
  <c r="AA147" i="1"/>
  <c r="AA149" i="1"/>
  <c r="AA150" i="1"/>
  <c r="AA151" i="1"/>
  <c r="AA153" i="1"/>
  <c r="AA154" i="1"/>
  <c r="AA156" i="1"/>
  <c r="AA157" i="1"/>
  <c r="AA158" i="1"/>
  <c r="AA159" i="1"/>
  <c r="AA162" i="1"/>
  <c r="AA163" i="1"/>
  <c r="AA165" i="1"/>
  <c r="AA168" i="1"/>
  <c r="AA169" i="1"/>
  <c r="AA173" i="1"/>
  <c r="AA174" i="1"/>
  <c r="AA175" i="1"/>
  <c r="AA176" i="1"/>
  <c r="AA184" i="1"/>
  <c r="AA185" i="1"/>
  <c r="AA188" i="1"/>
  <c r="AA193" i="1"/>
  <c r="AA199" i="1"/>
  <c r="AA200" i="1"/>
  <c r="AA201" i="1"/>
  <c r="AA202" i="1"/>
  <c r="AA205" i="1"/>
  <c r="AA209" i="1"/>
  <c r="AA210" i="1"/>
  <c r="AA213" i="1"/>
  <c r="AA216" i="1"/>
  <c r="AA218" i="1"/>
  <c r="AA219" i="1"/>
  <c r="AA221" i="1"/>
  <c r="AA244" i="1"/>
  <c r="AA229" i="1"/>
  <c r="AA235" i="1"/>
  <c r="AA241" i="1"/>
  <c r="AA278" i="1"/>
  <c r="AA222" i="1"/>
  <c r="AA322" i="1"/>
  <c r="AA250" i="1"/>
  <c r="AA324" i="1"/>
  <c r="AA253" i="1"/>
  <c r="AA254" i="1"/>
  <c r="AA260" i="1"/>
  <c r="AA261" i="1"/>
  <c r="AA262" i="1"/>
  <c r="AA264" i="1"/>
  <c r="AA265" i="1"/>
  <c r="AA268" i="1"/>
  <c r="AA269" i="1"/>
  <c r="AA270" i="1"/>
  <c r="AA277" i="1"/>
  <c r="AA106" i="1"/>
  <c r="AA279" i="1"/>
  <c r="AA285" i="1"/>
  <c r="AA286" i="1"/>
  <c r="AA287" i="1"/>
  <c r="AA288" i="1"/>
  <c r="AA290" i="1"/>
  <c r="AA291" i="1"/>
  <c r="AA296" i="1"/>
  <c r="AA299" i="1"/>
  <c r="AA301" i="1"/>
  <c r="AA302" i="1"/>
  <c r="AA303" i="1"/>
  <c r="AA306" i="1"/>
  <c r="AA310" i="1"/>
  <c r="AA314" i="1"/>
  <c r="AA316" i="1"/>
  <c r="AA318" i="1"/>
  <c r="AA319" i="1"/>
  <c r="AA320" i="1"/>
  <c r="AA321" i="1"/>
  <c r="AA51" i="1"/>
  <c r="AA52" i="1"/>
  <c r="AA47" i="1"/>
  <c r="AA329" i="1"/>
  <c r="AA331" i="1"/>
  <c r="AA332" i="1"/>
  <c r="Z222" i="1"/>
  <c r="Z322" i="1"/>
  <c r="Z244" i="1"/>
  <c r="Z221" i="1"/>
  <c r="Z219" i="1"/>
  <c r="Z216" i="1"/>
  <c r="Z185" i="1"/>
  <c r="Z184" i="1"/>
  <c r="Z163" i="1"/>
  <c r="Z154" i="1"/>
  <c r="Z151" i="1"/>
  <c r="Z150" i="1"/>
  <c r="Z117" i="1"/>
  <c r="Z53" i="1"/>
  <c r="Z115" i="1"/>
  <c r="Z107" i="1"/>
  <c r="Z108" i="1"/>
  <c r="Z97" i="1"/>
  <c r="Z59" i="1"/>
  <c r="Z95" i="1"/>
  <c r="Z81" i="1"/>
  <c r="Z50" i="1"/>
  <c r="Z79" i="1"/>
  <c r="Z67" i="1"/>
  <c r="Z66" i="1"/>
  <c r="Z61" i="1"/>
  <c r="Z60" i="1"/>
  <c r="Z251" i="1"/>
  <c r="Z58" i="1"/>
  <c r="Z57" i="1"/>
  <c r="Z242" i="1"/>
  <c r="Z55" i="1"/>
  <c r="Z323" i="1"/>
  <c r="Z80" i="1"/>
  <c r="Z56" i="1"/>
  <c r="Z120" i="1"/>
  <c r="Z49" i="1"/>
  <c r="Z48" i="1"/>
  <c r="Z116" i="1"/>
  <c r="Z37" i="1"/>
  <c r="Z36" i="1"/>
  <c r="Z35" i="1"/>
  <c r="Z34" i="1"/>
  <c r="Z19" i="1"/>
  <c r="Z5" i="1"/>
  <c r="Z296" i="1"/>
  <c r="Z287" i="1"/>
  <c r="Z279" i="1"/>
  <c r="Z106" i="1"/>
  <c r="Z277" i="1"/>
  <c r="Z254" i="1"/>
  <c r="Z47" i="1"/>
  <c r="R124" i="14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J7" i="14"/>
  <c r="K7" i="14"/>
  <c r="L7" i="14"/>
  <c r="M7" i="14"/>
  <c r="Q68" i="14"/>
  <c r="J8" i="14"/>
  <c r="K8" i="14"/>
  <c r="L8" i="14"/>
  <c r="M8" i="14"/>
  <c r="Q69" i="14"/>
  <c r="J9" i="14"/>
  <c r="K9" i="14"/>
  <c r="L9" i="14"/>
  <c r="M9" i="14"/>
  <c r="Q72" i="14"/>
  <c r="J10" i="14"/>
  <c r="K10" i="14"/>
  <c r="L10" i="14"/>
  <c r="M10" i="14"/>
  <c r="Q76" i="14"/>
  <c r="J11" i="14"/>
  <c r="K11" i="14"/>
  <c r="L11" i="14"/>
  <c r="M11" i="14"/>
  <c r="Q41" i="14"/>
  <c r="J12" i="14"/>
  <c r="K12" i="14"/>
  <c r="L12" i="14"/>
  <c r="M12" i="14"/>
  <c r="Q42" i="14"/>
  <c r="J13" i="14"/>
  <c r="K13" i="14"/>
  <c r="L13" i="14"/>
  <c r="M13" i="14"/>
  <c r="Q17" i="14"/>
  <c r="J14" i="14"/>
  <c r="K14" i="14"/>
  <c r="L14" i="14"/>
  <c r="M14" i="14"/>
  <c r="Q56" i="14"/>
  <c r="J15" i="14"/>
  <c r="K15" i="14"/>
  <c r="L15" i="14"/>
  <c r="M15" i="14"/>
  <c r="Q57" i="14"/>
  <c r="J16" i="14"/>
  <c r="K16" i="14"/>
  <c r="L16" i="14"/>
  <c r="M16" i="14"/>
  <c r="Q77" i="14"/>
  <c r="J17" i="14"/>
  <c r="K17" i="14"/>
  <c r="L17" i="14"/>
  <c r="M17" i="14"/>
  <c r="Q47" i="14"/>
  <c r="J18" i="14"/>
  <c r="K18" i="14"/>
  <c r="L18" i="14"/>
  <c r="M18" i="14"/>
  <c r="Q48" i="14"/>
  <c r="J19" i="14"/>
  <c r="K19" i="14"/>
  <c r="L19" i="14"/>
  <c r="M19" i="14"/>
  <c r="Q22" i="14"/>
  <c r="J20" i="14"/>
  <c r="K20" i="14"/>
  <c r="L20" i="14"/>
  <c r="M20" i="14"/>
  <c r="Q23" i="14"/>
  <c r="J21" i="14"/>
  <c r="K21" i="14"/>
  <c r="L21" i="14"/>
  <c r="M21" i="14"/>
  <c r="Q24" i="14"/>
  <c r="J22" i="14"/>
  <c r="K22" i="14"/>
  <c r="L22" i="14"/>
  <c r="M22" i="14"/>
  <c r="Q43" i="14"/>
  <c r="J23" i="14"/>
  <c r="K23" i="14"/>
  <c r="L23" i="14"/>
  <c r="M23" i="14"/>
  <c r="Q74" i="14"/>
  <c r="J24" i="14"/>
  <c r="K24" i="14"/>
  <c r="L24" i="14"/>
  <c r="M24" i="14"/>
  <c r="Q36" i="14"/>
  <c r="J25" i="14"/>
  <c r="K25" i="14"/>
  <c r="L25" i="14"/>
  <c r="M25" i="14"/>
  <c r="Q37" i="14"/>
  <c r="J26" i="14"/>
  <c r="S20" i="14" s="1"/>
  <c r="K26" i="14"/>
  <c r="L26" i="14"/>
  <c r="M26" i="14"/>
  <c r="Q20" i="14"/>
  <c r="J27" i="14"/>
  <c r="K27" i="14"/>
  <c r="L27" i="14"/>
  <c r="M27" i="14"/>
  <c r="Q55" i="14"/>
  <c r="J28" i="14"/>
  <c r="K28" i="14"/>
  <c r="L28" i="14"/>
  <c r="M28" i="14"/>
  <c r="Q84" i="14"/>
  <c r="J29" i="14"/>
  <c r="K29" i="14"/>
  <c r="L29" i="14"/>
  <c r="M29" i="14"/>
  <c r="Q78" i="14"/>
  <c r="J30" i="14"/>
  <c r="K30" i="14"/>
  <c r="L30" i="14"/>
  <c r="M30" i="14"/>
  <c r="Q65" i="14"/>
  <c r="J31" i="14"/>
  <c r="K31" i="14"/>
  <c r="L31" i="14"/>
  <c r="M31" i="14"/>
  <c r="Q66" i="14"/>
  <c r="J32" i="14"/>
  <c r="K32" i="14"/>
  <c r="L32" i="14"/>
  <c r="M32" i="14"/>
  <c r="Q85" i="14"/>
  <c r="J33" i="14"/>
  <c r="K33" i="14"/>
  <c r="L33" i="14"/>
  <c r="M33" i="14"/>
  <c r="Q86" i="14"/>
  <c r="J34" i="14"/>
  <c r="S18" i="14" s="1"/>
  <c r="K34" i="14"/>
  <c r="T18" i="14" s="1"/>
  <c r="L34" i="14"/>
  <c r="U18" i="14" s="1"/>
  <c r="M34" i="14"/>
  <c r="V18" i="14" s="1"/>
  <c r="Q18" i="14"/>
  <c r="J35" i="14"/>
  <c r="S19" i="14" s="1"/>
  <c r="K35" i="14"/>
  <c r="T19" i="14" s="1"/>
  <c r="L35" i="14"/>
  <c r="U19" i="14" s="1"/>
  <c r="M35" i="14"/>
  <c r="V19" i="14" s="1"/>
  <c r="Q19" i="14"/>
  <c r="J36" i="14"/>
  <c r="K36" i="14"/>
  <c r="L36" i="14"/>
  <c r="M36" i="14"/>
  <c r="Q53" i="14"/>
  <c r="J37" i="14"/>
  <c r="K37" i="14"/>
  <c r="L37" i="14"/>
  <c r="M37" i="14"/>
  <c r="Q62" i="14"/>
  <c r="J38" i="14"/>
  <c r="K38" i="14"/>
  <c r="L38" i="14"/>
  <c r="M38" i="14"/>
  <c r="Q81" i="14"/>
  <c r="J39" i="14"/>
  <c r="K39" i="14"/>
  <c r="L39" i="14"/>
  <c r="M39" i="14"/>
  <c r="Q16" i="14"/>
  <c r="J40" i="14"/>
  <c r="K40" i="14"/>
  <c r="L40" i="14"/>
  <c r="M40" i="14"/>
  <c r="Q58" i="14"/>
  <c r="J41" i="14"/>
  <c r="K41" i="14"/>
  <c r="L41" i="14"/>
  <c r="M41" i="14"/>
  <c r="Q71" i="14"/>
  <c r="J42" i="14"/>
  <c r="K42" i="14"/>
  <c r="L42" i="14"/>
  <c r="M42" i="14"/>
  <c r="Q45" i="14"/>
  <c r="J43" i="14"/>
  <c r="K43" i="14"/>
  <c r="L43" i="14"/>
  <c r="M43" i="14"/>
  <c r="Q51" i="14"/>
  <c r="J44" i="14"/>
  <c r="K44" i="14"/>
  <c r="L44" i="14"/>
  <c r="M44" i="14"/>
  <c r="Q70" i="14"/>
  <c r="J45" i="14"/>
  <c r="K45" i="14"/>
  <c r="L45" i="14"/>
  <c r="M45" i="14"/>
  <c r="Q59" i="14"/>
  <c r="J46" i="14"/>
  <c r="K46" i="14"/>
  <c r="L46" i="14"/>
  <c r="M46" i="14"/>
  <c r="Q83" i="14"/>
  <c r="J47" i="14"/>
  <c r="K47" i="14"/>
  <c r="L47" i="14"/>
  <c r="M47" i="14"/>
  <c r="Q64" i="14"/>
  <c r="J48" i="14"/>
  <c r="K48" i="14"/>
  <c r="L48" i="14"/>
  <c r="M48" i="14"/>
  <c r="Q67" i="14"/>
  <c r="J49" i="14"/>
  <c r="K49" i="14"/>
  <c r="L49" i="14"/>
  <c r="M49" i="14"/>
  <c r="Q79" i="14"/>
  <c r="J50" i="14"/>
  <c r="S50" i="14" s="1"/>
  <c r="K50" i="14"/>
  <c r="T50" i="14" s="1"/>
  <c r="L50" i="14"/>
  <c r="U50" i="14" s="1"/>
  <c r="M50" i="14"/>
  <c r="V50" i="14" s="1"/>
  <c r="Q50" i="14"/>
  <c r="J51" i="14"/>
  <c r="K51" i="14"/>
  <c r="L51" i="14"/>
  <c r="M51" i="14"/>
  <c r="Q12" i="14"/>
  <c r="J52" i="14"/>
  <c r="K52" i="14"/>
  <c r="L52" i="14"/>
  <c r="M52" i="14"/>
  <c r="Q25" i="14"/>
  <c r="J53" i="14"/>
  <c r="K53" i="14"/>
  <c r="L53" i="14"/>
  <c r="M53" i="14"/>
  <c r="Q26" i="14"/>
  <c r="J54" i="14"/>
  <c r="K54" i="14"/>
  <c r="L54" i="14"/>
  <c r="M54" i="14"/>
  <c r="Q29" i="14"/>
  <c r="J55" i="14"/>
  <c r="K55" i="14"/>
  <c r="L55" i="14"/>
  <c r="M55" i="14"/>
  <c r="Q54" i="14"/>
  <c r="J56" i="14"/>
  <c r="K56" i="14"/>
  <c r="L56" i="14"/>
  <c r="M56" i="14"/>
  <c r="Q63" i="14"/>
  <c r="J57" i="14"/>
  <c r="K57" i="14"/>
  <c r="L57" i="14"/>
  <c r="M57" i="14"/>
  <c r="Q75" i="14"/>
  <c r="J58" i="14"/>
  <c r="K58" i="14"/>
  <c r="L58" i="14"/>
  <c r="M58" i="14"/>
  <c r="Q73" i="14"/>
  <c r="J59" i="14"/>
  <c r="K59" i="14"/>
  <c r="L59" i="14"/>
  <c r="M59" i="14"/>
  <c r="Q60" i="14"/>
  <c r="J60" i="14"/>
  <c r="K60" i="14"/>
  <c r="L60" i="14"/>
  <c r="M60" i="14"/>
  <c r="Q61" i="14"/>
  <c r="J61" i="14"/>
  <c r="K61" i="14"/>
  <c r="T39" i="14" s="1"/>
  <c r="L61" i="14"/>
  <c r="M61" i="14"/>
  <c r="Q39" i="14"/>
  <c r="J62" i="14"/>
  <c r="S40" i="14" s="1"/>
  <c r="K62" i="14"/>
  <c r="L62" i="14"/>
  <c r="M62" i="14"/>
  <c r="Q40" i="14"/>
  <c r="J63" i="14"/>
  <c r="K63" i="14"/>
  <c r="L63" i="14"/>
  <c r="M63" i="14"/>
  <c r="V21" i="14" s="1"/>
  <c r="Q21" i="14"/>
  <c r="J64" i="14"/>
  <c r="K64" i="14"/>
  <c r="L64" i="14"/>
  <c r="M64" i="14"/>
  <c r="Q80" i="14"/>
  <c r="J65" i="14"/>
  <c r="K65" i="14"/>
  <c r="T27" i="14" s="1"/>
  <c r="L65" i="14"/>
  <c r="M65" i="14"/>
  <c r="Q27" i="14"/>
  <c r="J66" i="14"/>
  <c r="S44" i="14" s="1"/>
  <c r="K66" i="14"/>
  <c r="L66" i="14"/>
  <c r="M66" i="14"/>
  <c r="Q44" i="14"/>
  <c r="J67" i="14"/>
  <c r="S35" i="14" s="1"/>
  <c r="K67" i="14"/>
  <c r="T35" i="14" s="1"/>
  <c r="L67" i="14"/>
  <c r="U35" i="14" s="1"/>
  <c r="M67" i="14"/>
  <c r="V35" i="14" s="1"/>
  <c r="Q35" i="14"/>
  <c r="J68" i="14"/>
  <c r="K68" i="14"/>
  <c r="L68" i="14"/>
  <c r="U46" i="14" s="1"/>
  <c r="M68" i="14"/>
  <c r="Q46" i="14"/>
  <c r="J69" i="14"/>
  <c r="K69" i="14"/>
  <c r="L69" i="14"/>
  <c r="M69" i="14"/>
  <c r="Q82" i="14"/>
  <c r="J70" i="14"/>
  <c r="K70" i="14"/>
  <c r="L70" i="14"/>
  <c r="M70" i="14"/>
  <c r="Q7" i="14"/>
  <c r="J71" i="14"/>
  <c r="K71" i="14"/>
  <c r="L71" i="14"/>
  <c r="M71" i="14"/>
  <c r="V9" i="14" s="1"/>
  <c r="Q9" i="14"/>
  <c r="J72" i="14"/>
  <c r="K72" i="14"/>
  <c r="L72" i="14"/>
  <c r="U10" i="14" s="1"/>
  <c r="M72" i="14"/>
  <c r="Q10" i="14"/>
  <c r="J73" i="14"/>
  <c r="K73" i="14"/>
  <c r="T11" i="14" s="1"/>
  <c r="L73" i="14"/>
  <c r="M73" i="14"/>
  <c r="Q11" i="14"/>
  <c r="J74" i="14"/>
  <c r="S8" i="14" s="1"/>
  <c r="K74" i="14"/>
  <c r="L74" i="14"/>
  <c r="M74" i="14"/>
  <c r="Q8" i="14"/>
  <c r="J75" i="14"/>
  <c r="K75" i="14"/>
  <c r="L75" i="14"/>
  <c r="M75" i="14"/>
  <c r="V13" i="14" s="1"/>
  <c r="Q13" i="14"/>
  <c r="J76" i="14"/>
  <c r="K76" i="14"/>
  <c r="L76" i="14"/>
  <c r="U14" i="14" s="1"/>
  <c r="M76" i="14"/>
  <c r="Q14" i="14"/>
  <c r="J77" i="14"/>
  <c r="K77" i="14"/>
  <c r="T15" i="14" s="1"/>
  <c r="L77" i="14"/>
  <c r="M77" i="14"/>
  <c r="Q15" i="14"/>
  <c r="J78" i="14"/>
  <c r="S28" i="14" s="1"/>
  <c r="K78" i="14"/>
  <c r="L78" i="14"/>
  <c r="M78" i="14"/>
  <c r="Q28" i="14"/>
  <c r="J79" i="14"/>
  <c r="K79" i="14"/>
  <c r="L79" i="14"/>
  <c r="M79" i="14"/>
  <c r="V49" i="14" s="1"/>
  <c r="Q49" i="14"/>
  <c r="J80" i="14"/>
  <c r="K80" i="14"/>
  <c r="L80" i="14"/>
  <c r="U38" i="14" s="1"/>
  <c r="M80" i="14"/>
  <c r="Q38" i="14"/>
  <c r="J81" i="14"/>
  <c r="K81" i="14"/>
  <c r="T31" i="14" s="1"/>
  <c r="L81" i="14"/>
  <c r="M81" i="14"/>
  <c r="Q31" i="14"/>
  <c r="J82" i="14"/>
  <c r="S32" i="14" s="1"/>
  <c r="K82" i="14"/>
  <c r="L82" i="14"/>
  <c r="M82" i="14"/>
  <c r="Q32" i="14"/>
  <c r="J83" i="14"/>
  <c r="K83" i="14"/>
  <c r="L83" i="14"/>
  <c r="M83" i="14"/>
  <c r="V33" i="14" s="1"/>
  <c r="Q33" i="14"/>
  <c r="J84" i="14"/>
  <c r="K84" i="14"/>
  <c r="L84" i="14"/>
  <c r="U34" i="14" s="1"/>
  <c r="M84" i="14"/>
  <c r="Q34" i="14"/>
  <c r="J85" i="14"/>
  <c r="K85" i="14"/>
  <c r="L85" i="14"/>
  <c r="M85" i="14"/>
  <c r="Q52" i="14"/>
  <c r="J86" i="14"/>
  <c r="S30" i="14" s="1"/>
  <c r="K86" i="14"/>
  <c r="T30" i="14" s="1"/>
  <c r="L86" i="14"/>
  <c r="U30" i="14" s="1"/>
  <c r="M86" i="14"/>
  <c r="V30" i="14" s="1"/>
  <c r="Q30" i="14"/>
  <c r="J87" i="14"/>
  <c r="S87" i="14" s="1"/>
  <c r="K87" i="14"/>
  <c r="T87" i="14" s="1"/>
  <c r="L87" i="14"/>
  <c r="U87" i="14" s="1"/>
  <c r="M87" i="14"/>
  <c r="V87" i="14" s="1"/>
  <c r="Q87" i="14"/>
  <c r="J88" i="14"/>
  <c r="S88" i="14" s="1"/>
  <c r="K88" i="14"/>
  <c r="T88" i="14" s="1"/>
  <c r="L88" i="14"/>
  <c r="U88" i="14" s="1"/>
  <c r="M88" i="14"/>
  <c r="V88" i="14" s="1"/>
  <c r="Q88" i="14"/>
  <c r="J89" i="14"/>
  <c r="S89" i="14" s="1"/>
  <c r="K89" i="14"/>
  <c r="T89" i="14" s="1"/>
  <c r="L89" i="14"/>
  <c r="U89" i="14" s="1"/>
  <c r="M89" i="14"/>
  <c r="V89" i="14" s="1"/>
  <c r="Q89" i="14"/>
  <c r="J90" i="14"/>
  <c r="S90" i="14" s="1"/>
  <c r="K90" i="14"/>
  <c r="T90" i="14" s="1"/>
  <c r="L90" i="14"/>
  <c r="U90" i="14" s="1"/>
  <c r="M90" i="14"/>
  <c r="V90" i="14" s="1"/>
  <c r="Q90" i="14"/>
  <c r="J91" i="14"/>
  <c r="S91" i="14" s="1"/>
  <c r="K91" i="14"/>
  <c r="T91" i="14" s="1"/>
  <c r="L91" i="14"/>
  <c r="U91" i="14" s="1"/>
  <c r="M91" i="14"/>
  <c r="V91" i="14" s="1"/>
  <c r="Q91" i="14"/>
  <c r="J92" i="14"/>
  <c r="S92" i="14" s="1"/>
  <c r="K92" i="14"/>
  <c r="T92" i="14" s="1"/>
  <c r="L92" i="14"/>
  <c r="U92" i="14" s="1"/>
  <c r="M92" i="14"/>
  <c r="V92" i="14" s="1"/>
  <c r="Q92" i="14"/>
  <c r="J93" i="14"/>
  <c r="S93" i="14" s="1"/>
  <c r="K93" i="14"/>
  <c r="T93" i="14" s="1"/>
  <c r="L93" i="14"/>
  <c r="U93" i="14" s="1"/>
  <c r="M93" i="14"/>
  <c r="V93" i="14" s="1"/>
  <c r="Q93" i="14"/>
  <c r="J94" i="14"/>
  <c r="S94" i="14" s="1"/>
  <c r="K94" i="14"/>
  <c r="T94" i="14" s="1"/>
  <c r="L94" i="14"/>
  <c r="U94" i="14" s="1"/>
  <c r="M94" i="14"/>
  <c r="V94" i="14" s="1"/>
  <c r="Q94" i="14"/>
  <c r="J95" i="14"/>
  <c r="S95" i="14" s="1"/>
  <c r="K95" i="14"/>
  <c r="T95" i="14" s="1"/>
  <c r="L95" i="14"/>
  <c r="U95" i="14" s="1"/>
  <c r="M95" i="14"/>
  <c r="V95" i="14" s="1"/>
  <c r="Q95" i="14"/>
  <c r="J96" i="14"/>
  <c r="S96" i="14" s="1"/>
  <c r="K96" i="14"/>
  <c r="T96" i="14" s="1"/>
  <c r="L96" i="14"/>
  <c r="U96" i="14" s="1"/>
  <c r="M96" i="14"/>
  <c r="V96" i="14" s="1"/>
  <c r="Q96" i="14"/>
  <c r="J97" i="14"/>
  <c r="S97" i="14" s="1"/>
  <c r="K97" i="14"/>
  <c r="T97" i="14" s="1"/>
  <c r="L97" i="14"/>
  <c r="U97" i="14" s="1"/>
  <c r="M97" i="14"/>
  <c r="V97" i="14" s="1"/>
  <c r="Q97" i="14"/>
  <c r="J98" i="14"/>
  <c r="S98" i="14" s="1"/>
  <c r="K98" i="14"/>
  <c r="T98" i="14" s="1"/>
  <c r="L98" i="14"/>
  <c r="U98" i="14" s="1"/>
  <c r="M98" i="14"/>
  <c r="V98" i="14" s="1"/>
  <c r="Q98" i="14"/>
  <c r="J99" i="14"/>
  <c r="S99" i="14" s="1"/>
  <c r="K99" i="14"/>
  <c r="T99" i="14" s="1"/>
  <c r="L99" i="14"/>
  <c r="U99" i="14" s="1"/>
  <c r="M99" i="14"/>
  <c r="V99" i="14" s="1"/>
  <c r="Q99" i="14"/>
  <c r="J100" i="14"/>
  <c r="S100" i="14" s="1"/>
  <c r="K100" i="14"/>
  <c r="T100" i="14" s="1"/>
  <c r="L100" i="14"/>
  <c r="U100" i="14" s="1"/>
  <c r="M100" i="14"/>
  <c r="V100" i="14" s="1"/>
  <c r="Q100" i="14"/>
  <c r="J101" i="14"/>
  <c r="S101" i="14" s="1"/>
  <c r="K101" i="14"/>
  <c r="T101" i="14" s="1"/>
  <c r="L101" i="14"/>
  <c r="U101" i="14" s="1"/>
  <c r="M101" i="14"/>
  <c r="V101" i="14" s="1"/>
  <c r="Q101" i="14"/>
  <c r="J102" i="14"/>
  <c r="S102" i="14" s="1"/>
  <c r="K102" i="14"/>
  <c r="T102" i="14" s="1"/>
  <c r="L102" i="14"/>
  <c r="U102" i="14" s="1"/>
  <c r="M102" i="14"/>
  <c r="V102" i="14" s="1"/>
  <c r="Q102" i="14"/>
  <c r="J103" i="14"/>
  <c r="S103" i="14" s="1"/>
  <c r="K103" i="14"/>
  <c r="T103" i="14" s="1"/>
  <c r="L103" i="14"/>
  <c r="U103" i="14" s="1"/>
  <c r="M103" i="14"/>
  <c r="V103" i="14" s="1"/>
  <c r="Q103" i="14"/>
  <c r="J104" i="14"/>
  <c r="S104" i="14" s="1"/>
  <c r="K104" i="14"/>
  <c r="T104" i="14" s="1"/>
  <c r="L104" i="14"/>
  <c r="U104" i="14" s="1"/>
  <c r="M104" i="14"/>
  <c r="V104" i="14" s="1"/>
  <c r="Q104" i="14"/>
  <c r="J105" i="14"/>
  <c r="S105" i="14" s="1"/>
  <c r="K105" i="14"/>
  <c r="T105" i="14" s="1"/>
  <c r="L105" i="14"/>
  <c r="U105" i="14" s="1"/>
  <c r="M105" i="14"/>
  <c r="V105" i="14" s="1"/>
  <c r="Q105" i="14"/>
  <c r="J106" i="14"/>
  <c r="S106" i="14" s="1"/>
  <c r="K106" i="14"/>
  <c r="T106" i="14" s="1"/>
  <c r="L106" i="14"/>
  <c r="U106" i="14" s="1"/>
  <c r="M106" i="14"/>
  <c r="V106" i="14" s="1"/>
  <c r="Q106" i="14"/>
  <c r="J107" i="14"/>
  <c r="S107" i="14" s="1"/>
  <c r="K107" i="14"/>
  <c r="T107" i="14" s="1"/>
  <c r="L107" i="14"/>
  <c r="U107" i="14" s="1"/>
  <c r="M107" i="14"/>
  <c r="V107" i="14" s="1"/>
  <c r="Q107" i="14"/>
  <c r="J108" i="14"/>
  <c r="S108" i="14" s="1"/>
  <c r="K108" i="14"/>
  <c r="T108" i="14" s="1"/>
  <c r="L108" i="14"/>
  <c r="U108" i="14" s="1"/>
  <c r="M108" i="14"/>
  <c r="V108" i="14" s="1"/>
  <c r="Q108" i="14"/>
  <c r="J109" i="14"/>
  <c r="S109" i="14" s="1"/>
  <c r="K109" i="14"/>
  <c r="T109" i="14" s="1"/>
  <c r="L109" i="14"/>
  <c r="U109" i="14" s="1"/>
  <c r="M109" i="14"/>
  <c r="V109" i="14" s="1"/>
  <c r="Q109" i="14"/>
  <c r="J110" i="14"/>
  <c r="S110" i="14" s="1"/>
  <c r="K110" i="14"/>
  <c r="T110" i="14" s="1"/>
  <c r="L110" i="14"/>
  <c r="U110" i="14" s="1"/>
  <c r="M110" i="14"/>
  <c r="V110" i="14" s="1"/>
  <c r="Q110" i="14"/>
  <c r="J111" i="14"/>
  <c r="S111" i="14" s="1"/>
  <c r="K111" i="14"/>
  <c r="T111" i="14" s="1"/>
  <c r="L111" i="14"/>
  <c r="U111" i="14" s="1"/>
  <c r="M111" i="14"/>
  <c r="V111" i="14" s="1"/>
  <c r="Q111" i="14"/>
  <c r="J112" i="14"/>
  <c r="S112" i="14" s="1"/>
  <c r="K112" i="14"/>
  <c r="T112" i="14" s="1"/>
  <c r="L112" i="14"/>
  <c r="U112" i="14" s="1"/>
  <c r="M112" i="14"/>
  <c r="V112" i="14" s="1"/>
  <c r="Q112" i="14"/>
  <c r="J121" i="14"/>
  <c r="S117" i="14" s="1"/>
  <c r="K121" i="14"/>
  <c r="T117" i="14" s="1"/>
  <c r="L121" i="14"/>
  <c r="U117" i="14" s="1"/>
  <c r="J122" i="14"/>
  <c r="S118" i="14" s="1"/>
  <c r="K122" i="14"/>
  <c r="T118" i="14" s="1"/>
  <c r="L122" i="14"/>
  <c r="U118" i="14" s="1"/>
  <c r="J123" i="14"/>
  <c r="S119" i="14" s="1"/>
  <c r="K123" i="14"/>
  <c r="T119" i="14" s="1"/>
  <c r="L123" i="14"/>
  <c r="U119" i="14" s="1"/>
  <c r="J124" i="14"/>
  <c r="S120" i="14" s="1"/>
  <c r="K124" i="14"/>
  <c r="T120" i="14" s="1"/>
  <c r="L124" i="14"/>
  <c r="U120" i="14" s="1"/>
  <c r="J125" i="14"/>
  <c r="S121" i="14" s="1"/>
  <c r="K125" i="14"/>
  <c r="T121" i="14" s="1"/>
  <c r="L125" i="14"/>
  <c r="U121" i="14" s="1"/>
  <c r="J126" i="14"/>
  <c r="S122" i="14" s="1"/>
  <c r="K126" i="14"/>
  <c r="T122" i="14" s="1"/>
  <c r="L126" i="14"/>
  <c r="U122" i="14" s="1"/>
  <c r="J127" i="14"/>
  <c r="S123" i="14" s="1"/>
  <c r="K127" i="14"/>
  <c r="T123" i="14" s="1"/>
  <c r="L127" i="14"/>
  <c r="U123" i="14" s="1"/>
  <c r="J128" i="14"/>
  <c r="S124" i="14" s="1"/>
  <c r="K128" i="14"/>
  <c r="T124" i="14" s="1"/>
  <c r="L128" i="14"/>
  <c r="U124" i="14" s="1"/>
  <c r="J129" i="14"/>
  <c r="S125" i="14" s="1"/>
  <c r="K129" i="14"/>
  <c r="T125" i="14" s="1"/>
  <c r="L129" i="14"/>
  <c r="U125" i="14" s="1"/>
  <c r="J130" i="14"/>
  <c r="S126" i="14" s="1"/>
  <c r="K130" i="14"/>
  <c r="T126" i="14" s="1"/>
  <c r="L130" i="14"/>
  <c r="U126" i="14" s="1"/>
  <c r="J131" i="14"/>
  <c r="S127" i="14" s="1"/>
  <c r="K131" i="14"/>
  <c r="T127" i="14" s="1"/>
  <c r="L131" i="14"/>
  <c r="U127" i="14" s="1"/>
  <c r="J132" i="14"/>
  <c r="S128" i="14" s="1"/>
  <c r="K132" i="14"/>
  <c r="T128" i="14" s="1"/>
  <c r="L132" i="14"/>
  <c r="U128" i="14" s="1"/>
  <c r="J133" i="14"/>
  <c r="S129" i="14" s="1"/>
  <c r="K133" i="14"/>
  <c r="T129" i="14" s="1"/>
  <c r="L133" i="14"/>
  <c r="U129" i="14" s="1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Q131" i="9"/>
  <c r="R131" i="9"/>
  <c r="A112" i="9"/>
  <c r="J112" i="9" s="1"/>
  <c r="A111" i="9"/>
  <c r="A110" i="9"/>
  <c r="A109" i="9"/>
  <c r="A108" i="9"/>
  <c r="A107" i="9"/>
  <c r="Q107" i="9" s="1"/>
  <c r="A106" i="9"/>
  <c r="Q106" i="9" s="1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Q90" i="9" s="1"/>
  <c r="A89" i="9"/>
  <c r="A88" i="9"/>
  <c r="A87" i="9"/>
  <c r="A86" i="9"/>
  <c r="A85" i="9"/>
  <c r="A84" i="9"/>
  <c r="A83" i="9"/>
  <c r="A82" i="9"/>
  <c r="A81" i="9"/>
  <c r="Q81" i="9" s="1"/>
  <c r="A80" i="9"/>
  <c r="A79" i="9"/>
  <c r="A78" i="9"/>
  <c r="Q78" i="9" s="1"/>
  <c r="A77" i="9"/>
  <c r="Q77" i="9" s="1"/>
  <c r="A76" i="9"/>
  <c r="A75" i="9"/>
  <c r="A74" i="9"/>
  <c r="A73" i="9"/>
  <c r="A72" i="9"/>
  <c r="Q72" i="9" s="1"/>
  <c r="A71" i="9"/>
  <c r="Q71" i="9" s="1"/>
  <c r="A70" i="9"/>
  <c r="A69" i="9"/>
  <c r="Q69" i="9" s="1"/>
  <c r="A68" i="9"/>
  <c r="Q68" i="9" s="1"/>
  <c r="A67" i="9"/>
  <c r="Q67" i="9" s="1"/>
  <c r="A66" i="9"/>
  <c r="A65" i="9"/>
  <c r="A64" i="9"/>
  <c r="Q64" i="9" s="1"/>
  <c r="A63" i="9"/>
  <c r="Q63" i="9" s="1"/>
  <c r="A62" i="9"/>
  <c r="A61" i="9"/>
  <c r="A60" i="9"/>
  <c r="A59" i="9"/>
  <c r="Q59" i="9" s="1"/>
  <c r="A58" i="9"/>
  <c r="Q58" i="9" s="1"/>
  <c r="A57" i="9"/>
  <c r="A56" i="9"/>
  <c r="A55" i="9"/>
  <c r="Q55" i="9" s="1"/>
  <c r="A54" i="9"/>
  <c r="Q54" i="9" s="1"/>
  <c r="A53" i="9"/>
  <c r="A52" i="9"/>
  <c r="Q52" i="9" s="1"/>
  <c r="A51" i="9"/>
  <c r="Q51" i="9" s="1"/>
  <c r="A50" i="9"/>
  <c r="Q50" i="9" s="1"/>
  <c r="A49" i="9"/>
  <c r="A48" i="9"/>
  <c r="A47" i="9"/>
  <c r="Q47" i="9" s="1"/>
  <c r="A46" i="9"/>
  <c r="Q46" i="9" s="1"/>
  <c r="A45" i="9"/>
  <c r="A44" i="9"/>
  <c r="A43" i="9"/>
  <c r="Q43" i="9" s="1"/>
  <c r="A42" i="9"/>
  <c r="Q42" i="9" s="1"/>
  <c r="A41" i="9"/>
  <c r="A40" i="9"/>
  <c r="A39" i="9"/>
  <c r="Q39" i="9" s="1"/>
  <c r="A38" i="9"/>
  <c r="Q38" i="9" s="1"/>
  <c r="A37" i="9"/>
  <c r="A36" i="9"/>
  <c r="A35" i="9"/>
  <c r="A34" i="9"/>
  <c r="A33" i="9"/>
  <c r="A32" i="9"/>
  <c r="A31" i="9"/>
  <c r="A30" i="9"/>
  <c r="A29" i="9"/>
  <c r="J29" i="9" s="1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Q130" i="9"/>
  <c r="V12" i="14" l="1"/>
  <c r="S7" i="14"/>
  <c r="T26" i="14"/>
  <c r="U25" i="14"/>
  <c r="V16" i="14"/>
  <c r="T7" i="14"/>
  <c r="U26" i="14"/>
  <c r="V25" i="14"/>
  <c r="S12" i="14"/>
  <c r="S16" i="14"/>
  <c r="S52" i="14"/>
  <c r="U54" i="14"/>
  <c r="V29" i="14"/>
  <c r="T34" i="14"/>
  <c r="U33" i="14"/>
  <c r="V32" i="14"/>
  <c r="S31" i="14"/>
  <c r="T38" i="14"/>
  <c r="U49" i="14"/>
  <c r="V28" i="14"/>
  <c r="S15" i="14"/>
  <c r="T14" i="14"/>
  <c r="U13" i="14"/>
  <c r="V8" i="14"/>
  <c r="S11" i="14"/>
  <c r="T10" i="14"/>
  <c r="U9" i="14"/>
  <c r="T46" i="14"/>
  <c r="V44" i="14"/>
  <c r="S27" i="14"/>
  <c r="U21" i="14"/>
  <c r="V40" i="14"/>
  <c r="S39" i="14"/>
  <c r="V20" i="14"/>
  <c r="T52" i="14"/>
  <c r="V54" i="14"/>
  <c r="S29" i="14"/>
  <c r="V7" i="14"/>
  <c r="S26" i="14"/>
  <c r="T25" i="14"/>
  <c r="U12" i="14"/>
  <c r="U16" i="14"/>
  <c r="V34" i="14"/>
  <c r="S33" i="14"/>
  <c r="T32" i="14"/>
  <c r="U31" i="14"/>
  <c r="V38" i="14"/>
  <c r="S49" i="14"/>
  <c r="T28" i="14"/>
  <c r="U15" i="14"/>
  <c r="V14" i="14"/>
  <c r="S13" i="14"/>
  <c r="T8" i="14"/>
  <c r="U11" i="14"/>
  <c r="V10" i="14"/>
  <c r="S9" i="14"/>
  <c r="V46" i="14"/>
  <c r="T44" i="14"/>
  <c r="U27" i="14"/>
  <c r="S21" i="14"/>
  <c r="T40" i="14"/>
  <c r="U39" i="14"/>
  <c r="S54" i="14"/>
  <c r="T29" i="14"/>
  <c r="T20" i="14"/>
  <c r="U52" i="14"/>
  <c r="V52" i="14"/>
  <c r="S34" i="14"/>
  <c r="T33" i="14"/>
  <c r="U32" i="14"/>
  <c r="V31" i="14"/>
  <c r="S38" i="14"/>
  <c r="T49" i="14"/>
  <c r="U28" i="14"/>
  <c r="V15" i="14"/>
  <c r="S14" i="14"/>
  <c r="T13" i="14"/>
  <c r="U8" i="14"/>
  <c r="V11" i="14"/>
  <c r="S10" i="14"/>
  <c r="T9" i="14"/>
  <c r="U7" i="14"/>
  <c r="S46" i="14"/>
  <c r="U44" i="14"/>
  <c r="V27" i="14"/>
  <c r="T21" i="14"/>
  <c r="U40" i="14"/>
  <c r="V39" i="14"/>
  <c r="T54" i="14"/>
  <c r="U29" i="14"/>
  <c r="V26" i="14"/>
  <c r="S25" i="14"/>
  <c r="T12" i="14"/>
  <c r="T16" i="14"/>
  <c r="U20" i="14"/>
  <c r="V61" i="14"/>
  <c r="U61" i="14"/>
  <c r="T61" i="14"/>
  <c r="S61" i="14"/>
  <c r="V60" i="14"/>
  <c r="U60" i="14"/>
  <c r="T60" i="14"/>
  <c r="S60" i="14"/>
  <c r="V45" i="14"/>
  <c r="U45" i="14"/>
  <c r="T45" i="14"/>
  <c r="S45" i="14"/>
  <c r="V82" i="14"/>
  <c r="U82" i="14"/>
  <c r="T82" i="14"/>
  <c r="S82" i="14"/>
  <c r="V80" i="14"/>
  <c r="U80" i="14"/>
  <c r="T80" i="14"/>
  <c r="S80" i="14"/>
  <c r="V73" i="14"/>
  <c r="U73" i="14"/>
  <c r="T73" i="14"/>
  <c r="S73" i="14"/>
  <c r="V75" i="14"/>
  <c r="U75" i="14"/>
  <c r="T75" i="14"/>
  <c r="S75" i="14"/>
  <c r="V63" i="14"/>
  <c r="U63" i="14"/>
  <c r="T63" i="14"/>
  <c r="S63" i="14"/>
  <c r="V79" i="14"/>
  <c r="U79" i="14"/>
  <c r="T79" i="14"/>
  <c r="S79" i="14"/>
  <c r="V67" i="14"/>
  <c r="U67" i="14"/>
  <c r="T67" i="14"/>
  <c r="S67" i="14"/>
  <c r="V64" i="14"/>
  <c r="U64" i="14"/>
  <c r="T64" i="14"/>
  <c r="S64" i="14"/>
  <c r="V83" i="14"/>
  <c r="U83" i="14"/>
  <c r="T83" i="14"/>
  <c r="S83" i="14"/>
  <c r="V59" i="14"/>
  <c r="U59" i="14"/>
  <c r="T59" i="14"/>
  <c r="S59" i="14"/>
  <c r="V70" i="14"/>
  <c r="U70" i="14"/>
  <c r="T70" i="14"/>
  <c r="S70" i="14"/>
  <c r="V51" i="14"/>
  <c r="U51" i="14"/>
  <c r="T51" i="14"/>
  <c r="S51" i="14"/>
  <c r="V71" i="14"/>
  <c r="U71" i="14"/>
  <c r="T71" i="14"/>
  <c r="S71" i="14"/>
  <c r="V58" i="14"/>
  <c r="U58" i="14"/>
  <c r="T58" i="14"/>
  <c r="S58" i="14"/>
  <c r="V81" i="14"/>
  <c r="U81" i="14"/>
  <c r="T81" i="14"/>
  <c r="S81" i="14"/>
  <c r="V62" i="14"/>
  <c r="U62" i="14"/>
  <c r="T62" i="14"/>
  <c r="S62" i="14"/>
  <c r="V53" i="14"/>
  <c r="U53" i="14"/>
  <c r="T53" i="14"/>
  <c r="S53" i="14"/>
  <c r="V86" i="14"/>
  <c r="U86" i="14"/>
  <c r="T86" i="14"/>
  <c r="S86" i="14"/>
  <c r="V85" i="14"/>
  <c r="U85" i="14"/>
  <c r="T85" i="14"/>
  <c r="S85" i="14"/>
  <c r="V66" i="14"/>
  <c r="U66" i="14"/>
  <c r="T66" i="14"/>
  <c r="S66" i="14"/>
  <c r="V65" i="14"/>
  <c r="U65" i="14"/>
  <c r="T65" i="14"/>
  <c r="S65" i="14"/>
  <c r="V78" i="14"/>
  <c r="U78" i="14"/>
  <c r="T78" i="14"/>
  <c r="S78" i="14"/>
  <c r="V84" i="14"/>
  <c r="U84" i="14"/>
  <c r="T84" i="14"/>
  <c r="S84" i="14"/>
  <c r="V55" i="14"/>
  <c r="U55" i="14"/>
  <c r="T55" i="14"/>
  <c r="S55" i="14"/>
  <c r="V37" i="14"/>
  <c r="U37" i="14"/>
  <c r="T37" i="14"/>
  <c r="S37" i="14"/>
  <c r="V36" i="14"/>
  <c r="U36" i="14"/>
  <c r="T36" i="14"/>
  <c r="S36" i="14"/>
  <c r="V74" i="14"/>
  <c r="U74" i="14"/>
  <c r="T74" i="14"/>
  <c r="S74" i="14"/>
  <c r="V43" i="14"/>
  <c r="U43" i="14"/>
  <c r="T43" i="14"/>
  <c r="S43" i="14"/>
  <c r="V24" i="14"/>
  <c r="U24" i="14"/>
  <c r="T24" i="14"/>
  <c r="S24" i="14"/>
  <c r="V23" i="14"/>
  <c r="U23" i="14"/>
  <c r="T23" i="14"/>
  <c r="S23" i="14"/>
  <c r="V22" i="14"/>
  <c r="U22" i="14"/>
  <c r="T22" i="14"/>
  <c r="S22" i="14"/>
  <c r="V48" i="14"/>
  <c r="U48" i="14"/>
  <c r="T48" i="14"/>
  <c r="S48" i="14"/>
  <c r="V47" i="14"/>
  <c r="U47" i="14"/>
  <c r="T47" i="14"/>
  <c r="S47" i="14"/>
  <c r="V77" i="14"/>
  <c r="U77" i="14"/>
  <c r="T77" i="14"/>
  <c r="S77" i="14"/>
  <c r="V57" i="14"/>
  <c r="U57" i="14"/>
  <c r="T57" i="14"/>
  <c r="S57" i="14"/>
  <c r="V56" i="14"/>
  <c r="U56" i="14"/>
  <c r="T56" i="14"/>
  <c r="S56" i="14"/>
  <c r="V17" i="14"/>
  <c r="U17" i="14"/>
  <c r="T17" i="14"/>
  <c r="S17" i="14"/>
  <c r="V42" i="14"/>
  <c r="U42" i="14"/>
  <c r="T42" i="14"/>
  <c r="S42" i="14"/>
  <c r="V41" i="14"/>
  <c r="U41" i="14"/>
  <c r="T41" i="14"/>
  <c r="S41" i="14"/>
  <c r="V76" i="14"/>
  <c r="U76" i="14"/>
  <c r="T76" i="14"/>
  <c r="S76" i="14"/>
  <c r="V72" i="14"/>
  <c r="U72" i="14"/>
  <c r="T72" i="14"/>
  <c r="S72" i="14"/>
  <c r="V69" i="14"/>
  <c r="U69" i="14"/>
  <c r="T69" i="14"/>
  <c r="S69" i="14"/>
  <c r="V68" i="14"/>
  <c r="U68" i="14"/>
  <c r="T68" i="14"/>
  <c r="S68" i="14"/>
  <c r="AO159" i="1"/>
  <c r="R128" i="9"/>
  <c r="Q40" i="9"/>
  <c r="Q44" i="9"/>
  <c r="Q48" i="9"/>
  <c r="Q56" i="9"/>
  <c r="Q60" i="9"/>
  <c r="Q65" i="9"/>
  <c r="Q129" i="9"/>
  <c r="Q37" i="9"/>
  <c r="Q41" i="9"/>
  <c r="Q45" i="9"/>
  <c r="Q49" i="9"/>
  <c r="Q53" i="9"/>
  <c r="Q57" i="9"/>
  <c r="R109" i="9"/>
  <c r="Q73" i="9"/>
  <c r="Q66" i="9"/>
  <c r="Q74" i="9"/>
  <c r="Q102" i="9"/>
  <c r="R129" i="9"/>
  <c r="Q128" i="9"/>
  <c r="Q70" i="9"/>
  <c r="Q62" i="9"/>
  <c r="Q101" i="9"/>
  <c r="R110" i="9"/>
  <c r="R111" i="9"/>
  <c r="R87" i="9"/>
  <c r="R88" i="9"/>
  <c r="R104" i="9"/>
  <c r="R105" i="9"/>
  <c r="R103" i="9"/>
  <c r="R19" i="9"/>
  <c r="R20" i="9"/>
  <c r="R21" i="9"/>
  <c r="R22" i="9"/>
  <c r="R91" i="9"/>
  <c r="Q79" i="9"/>
  <c r="Q80" i="9"/>
  <c r="R94" i="9"/>
  <c r="R95" i="9"/>
  <c r="R97" i="9"/>
  <c r="R98" i="9"/>
  <c r="R99" i="9"/>
  <c r="R13" i="9"/>
  <c r="R14" i="9"/>
  <c r="R7" i="9"/>
  <c r="R30" i="9"/>
  <c r="R31" i="9"/>
  <c r="R9" i="9"/>
  <c r="R11" i="9"/>
  <c r="R12" i="9"/>
  <c r="R10" i="9"/>
  <c r="R61" i="9"/>
  <c r="R15" i="9"/>
  <c r="R16" i="9"/>
  <c r="R32" i="9"/>
  <c r="R33" i="9"/>
  <c r="R34" i="9"/>
  <c r="R17" i="9"/>
  <c r="R18" i="9"/>
  <c r="R35" i="9"/>
  <c r="R36" i="9"/>
  <c r="R25" i="9"/>
  <c r="R26" i="9"/>
  <c r="R27" i="9"/>
  <c r="R28" i="9"/>
  <c r="R29" i="9"/>
  <c r="R23" i="9"/>
  <c r="R24" i="9"/>
  <c r="R85" i="9"/>
  <c r="R86" i="9"/>
  <c r="R83" i="9"/>
  <c r="R84" i="9"/>
  <c r="R92" i="9"/>
  <c r="R93" i="9"/>
  <c r="R76" i="9"/>
  <c r="Q76" i="9"/>
  <c r="R75" i="9"/>
  <c r="Q75" i="9"/>
  <c r="R112" i="9"/>
  <c r="Q112" i="9"/>
  <c r="Q93" i="9"/>
  <c r="Q92" i="9"/>
  <c r="Q84" i="9"/>
  <c r="Q83" i="9"/>
  <c r="Q86" i="9"/>
  <c r="Q85" i="9"/>
  <c r="Q24" i="9"/>
  <c r="Q23" i="9"/>
  <c r="Q29" i="9"/>
  <c r="Q28" i="9"/>
  <c r="Q27" i="9"/>
  <c r="Q26" i="9"/>
  <c r="Q25" i="9"/>
  <c r="Q36" i="9"/>
  <c r="Q35" i="9"/>
  <c r="Q103" i="9"/>
  <c r="Q91" i="9"/>
  <c r="Q22" i="9"/>
  <c r="Q21" i="9"/>
  <c r="Q20" i="9"/>
  <c r="Q19" i="9"/>
  <c r="Q18" i="9"/>
  <c r="Q17" i="9"/>
  <c r="Q34" i="9"/>
  <c r="Q33" i="9"/>
  <c r="Q32" i="9"/>
  <c r="Q16" i="9"/>
  <c r="Q15" i="9"/>
  <c r="Q61" i="9"/>
  <c r="Q10" i="9"/>
  <c r="Q12" i="9"/>
  <c r="Q11" i="9"/>
  <c r="Q9" i="9"/>
  <c r="Q31" i="9"/>
  <c r="Q30" i="9"/>
  <c r="Q7" i="9"/>
  <c r="Q109" i="9"/>
  <c r="Q14" i="9"/>
  <c r="Q13" i="9"/>
  <c r="Q99" i="9"/>
  <c r="Q98" i="9"/>
  <c r="Q97" i="9"/>
  <c r="Q105" i="9"/>
  <c r="Q104" i="9"/>
  <c r="Q88" i="9"/>
  <c r="Q87" i="9"/>
  <c r="Q95" i="9"/>
  <c r="Q94" i="9"/>
  <c r="Q111" i="9"/>
  <c r="Q110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AO340" i="1" l="1"/>
  <c r="AO337" i="1"/>
  <c r="AO336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39" i="1"/>
  <c r="AO354" i="1"/>
  <c r="AO338" i="1"/>
  <c r="AO353" i="1"/>
  <c r="AO72" i="1"/>
  <c r="AO16" i="1"/>
  <c r="AO247" i="1"/>
  <c r="AO256" i="1"/>
  <c r="AO212" i="1"/>
  <c r="AO38" i="1"/>
  <c r="AO73" i="1"/>
  <c r="AO17" i="1"/>
  <c r="AO4" i="1"/>
  <c r="AO257" i="1"/>
  <c r="AO189" i="1"/>
  <c r="AO68" i="1"/>
  <c r="AO39" i="1"/>
  <c r="AO335" i="1"/>
  <c r="AO334" i="1"/>
  <c r="AO333" i="1"/>
  <c r="AO65" i="1"/>
  <c r="AO220" i="1"/>
  <c r="AO207" i="1"/>
  <c r="AO206" i="1"/>
  <c r="AO230" i="1"/>
  <c r="AO330" i="1"/>
  <c r="AO252" i="1"/>
  <c r="AO267" i="1"/>
  <c r="AO121" i="1"/>
  <c r="AO196" i="1"/>
  <c r="AO195" i="1"/>
  <c r="AO194" i="1"/>
  <c r="AO23" i="1"/>
  <c r="AO228" i="1"/>
  <c r="AO104" i="1"/>
  <c r="AO103" i="1"/>
  <c r="AO246" i="1"/>
  <c r="AO41" i="1"/>
  <c r="AO211" i="1"/>
  <c r="AO237" i="1"/>
  <c r="AO329" i="1"/>
  <c r="AO54" i="1"/>
  <c r="AO76" i="1"/>
  <c r="AO236" i="1"/>
  <c r="AO201" i="1"/>
  <c r="AO285" i="1"/>
  <c r="AO172" i="1"/>
  <c r="AO266" i="1"/>
  <c r="AO79" i="1"/>
  <c r="AO322" i="1"/>
  <c r="AO109" i="1"/>
  <c r="AO319" i="1"/>
  <c r="AO133" i="1"/>
  <c r="AO29" i="1"/>
  <c r="AO254" i="1"/>
  <c r="AO309" i="1"/>
  <c r="AO210" i="1"/>
  <c r="AO142" i="1"/>
  <c r="AO83" i="1"/>
  <c r="AO36" i="1"/>
  <c r="AO5" i="1"/>
  <c r="AO9" i="1"/>
  <c r="AO219" i="1"/>
  <c r="AO175" i="1"/>
  <c r="AO149" i="1"/>
  <c r="AO122" i="1"/>
  <c r="AO59" i="1"/>
  <c r="AO62" i="1"/>
  <c r="AO46" i="1"/>
  <c r="AO19" i="1"/>
  <c r="AO301" i="1"/>
  <c r="AO264" i="1"/>
  <c r="AO113" i="1"/>
  <c r="AO183" i="1"/>
  <c r="AO31" i="1"/>
  <c r="AO52" i="1"/>
  <c r="AO168" i="1"/>
  <c r="AO53" i="1"/>
  <c r="AO58" i="1"/>
  <c r="AO290" i="1"/>
  <c r="AO6" i="1"/>
  <c r="AO239" i="1"/>
  <c r="AO235" i="1"/>
  <c r="AO188" i="1"/>
  <c r="AO154" i="1"/>
  <c r="AO127" i="1"/>
  <c r="AO102" i="1"/>
  <c r="AO67" i="1"/>
  <c r="AO120" i="1"/>
  <c r="AO24" i="1"/>
  <c r="AO310" i="1"/>
  <c r="AO270" i="1"/>
  <c r="AO131" i="1"/>
  <c r="AO118" i="1"/>
  <c r="AO11" i="1"/>
  <c r="AO25" i="1"/>
  <c r="AO37" i="1"/>
  <c r="AO56" i="1"/>
  <c r="AO251" i="1"/>
  <c r="AO71" i="1"/>
  <c r="AO93" i="1"/>
  <c r="AO245" i="1"/>
  <c r="AO117" i="1"/>
  <c r="AO128" i="1"/>
  <c r="AO145" i="1"/>
  <c r="AO156" i="1"/>
  <c r="AO169" i="1"/>
  <c r="AO193" i="1"/>
  <c r="AO213" i="1"/>
  <c r="AO241" i="1"/>
  <c r="AO51" i="1"/>
  <c r="AO13" i="1"/>
  <c r="AO8" i="1"/>
  <c r="AO260" i="1"/>
  <c r="AO265" i="1"/>
  <c r="AO277" i="1"/>
  <c r="AO286" i="1"/>
  <c r="AO291" i="1"/>
  <c r="AO302" i="1"/>
  <c r="AO314" i="1"/>
  <c r="AO320" i="1"/>
  <c r="AO20" i="1"/>
  <c r="AO30" i="1"/>
  <c r="AO116" i="1"/>
  <c r="AO55" i="1"/>
  <c r="AO63" i="1"/>
  <c r="AO50" i="1"/>
  <c r="AO97" i="1"/>
  <c r="AO110" i="1"/>
  <c r="AO123" i="1"/>
  <c r="AO136" i="1"/>
  <c r="AO150" i="1"/>
  <c r="AO162" i="1"/>
  <c r="AO176" i="1"/>
  <c r="AO202" i="1"/>
  <c r="AO221" i="1"/>
  <c r="AO250" i="1"/>
  <c r="AO112" i="1"/>
  <c r="AO324" i="1"/>
  <c r="AO278" i="1"/>
  <c r="AO244" i="1"/>
  <c r="AO216" i="1"/>
  <c r="AO205" i="1"/>
  <c r="AO199" i="1"/>
  <c r="AO184" i="1"/>
  <c r="AO173" i="1"/>
  <c r="AO163" i="1"/>
  <c r="AO157" i="1"/>
  <c r="AO151" i="1"/>
  <c r="AO146" i="1"/>
  <c r="AO140" i="1"/>
  <c r="AO129" i="1"/>
  <c r="AO124" i="1"/>
  <c r="AO119" i="1"/>
  <c r="AO114" i="1"/>
  <c r="AO108" i="1"/>
  <c r="AO100" i="1"/>
  <c r="AO94" i="1"/>
  <c r="AO81" i="1"/>
  <c r="AO74" i="1"/>
  <c r="AO64" i="1"/>
  <c r="AO60" i="1"/>
  <c r="AO242" i="1"/>
  <c r="AO80" i="1"/>
  <c r="AO48" i="1"/>
  <c r="AO44" i="1"/>
  <c r="AO34" i="1"/>
  <c r="AO27" i="1"/>
  <c r="AO21" i="1"/>
  <c r="AO15" i="1"/>
  <c r="AO321" i="1"/>
  <c r="AO316" i="1"/>
  <c r="AO303" i="1"/>
  <c r="AO296" i="1"/>
  <c r="AO287" i="1"/>
  <c r="AO106" i="1"/>
  <c r="AO268" i="1"/>
  <c r="AO261" i="1"/>
  <c r="AO331" i="1"/>
  <c r="AO7" i="1"/>
  <c r="AO12" i="1"/>
  <c r="AO148" i="1"/>
  <c r="AO10" i="1"/>
  <c r="AO253" i="1"/>
  <c r="AO222" i="1"/>
  <c r="AO229" i="1"/>
  <c r="AO218" i="1"/>
  <c r="AO209" i="1"/>
  <c r="AO200" i="1"/>
  <c r="AO185" i="1"/>
  <c r="AO174" i="1"/>
  <c r="AO165" i="1"/>
  <c r="AO158" i="1"/>
  <c r="AO153" i="1"/>
  <c r="AO147" i="1"/>
  <c r="AO141" i="1"/>
  <c r="AO130" i="1"/>
  <c r="AO125" i="1"/>
  <c r="AO96" i="1"/>
  <c r="AO115" i="1"/>
  <c r="AO107" i="1"/>
  <c r="AO101" i="1"/>
  <c r="AO95" i="1"/>
  <c r="AO82" i="1"/>
  <c r="AO77" i="1"/>
  <c r="AO66" i="1"/>
  <c r="AO61" i="1"/>
  <c r="AO57" i="1"/>
  <c r="AO323" i="1"/>
  <c r="AO49" i="1"/>
  <c r="AO45" i="1"/>
  <c r="AO35" i="1"/>
  <c r="AO28" i="1"/>
  <c r="AO22" i="1"/>
  <c r="AO18" i="1"/>
  <c r="AO3" i="1"/>
  <c r="AO318" i="1"/>
  <c r="AO306" i="1"/>
  <c r="AO299" i="1"/>
  <c r="AO288" i="1"/>
  <c r="AO279" i="1"/>
  <c r="AO269" i="1"/>
  <c r="AO262" i="1"/>
  <c r="AO332" i="1"/>
  <c r="AO47" i="1"/>
  <c r="AO2" i="1"/>
  <c r="AO204" i="1"/>
  <c r="AO14" i="1"/>
  <c r="AO105" i="1"/>
  <c r="AO248" i="1"/>
  <c r="AO249" i="1"/>
  <c r="AO297" i="1"/>
  <c r="AO298" i="1"/>
  <c r="AO69" i="1"/>
  <c r="AO70" i="1"/>
  <c r="AO186" i="1"/>
  <c r="AO187" i="1"/>
  <c r="AO134" i="1"/>
  <c r="AO135" i="1"/>
  <c r="AO203" i="1"/>
  <c r="AO313" i="1"/>
  <c r="AO182" i="1"/>
  <c r="AO273" i="1"/>
  <c r="AO170" i="1"/>
  <c r="AO238" i="1"/>
  <c r="AO78" i="1"/>
  <c r="AO328" i="1"/>
  <c r="AO227" i="1"/>
  <c r="AO293" i="1"/>
  <c r="AO294" i="1"/>
  <c r="AO295" i="1"/>
  <c r="AO231" i="1"/>
  <c r="AO232" i="1"/>
  <c r="AO171" i="1"/>
  <c r="AO208" i="1"/>
  <c r="AO300" i="1"/>
  <c r="AO164" i="1"/>
  <c r="AO263" i="1"/>
  <c r="AO233" i="1"/>
  <c r="AO234" i="1"/>
  <c r="AO132" i="1"/>
  <c r="AO191" i="1"/>
  <c r="AO192" i="1"/>
  <c r="AO32" i="1"/>
  <c r="AO33" i="1"/>
  <c r="AO42" i="1"/>
  <c r="AO43" i="1"/>
  <c r="AO40" i="1"/>
  <c r="AO282" i="1"/>
  <c r="AO283" i="1"/>
  <c r="AO284" i="1"/>
  <c r="AO289" i="1"/>
  <c r="AO259" i="1"/>
  <c r="AO190" i="1"/>
  <c r="AO217" i="1"/>
  <c r="AO307" i="1"/>
  <c r="AO308" i="1"/>
  <c r="AO292" i="1"/>
  <c r="AO317" i="1"/>
  <c r="AO26" i="1"/>
  <c r="AO198" i="1"/>
  <c r="AO258" i="1"/>
  <c r="AO240" i="1"/>
  <c r="AO280" i="1"/>
  <c r="AO281" i="1"/>
  <c r="AO243" i="1"/>
  <c r="AO126" i="1"/>
  <c r="AO325" i="1"/>
  <c r="AO326" i="1"/>
  <c r="AO327" i="1"/>
  <c r="AO177" i="1"/>
  <c r="AO178" i="1"/>
  <c r="AO179" i="1"/>
  <c r="AO180" i="1"/>
  <c r="AO167" i="1"/>
  <c r="AO166" i="1"/>
  <c r="AO223" i="1"/>
  <c r="AO224" i="1"/>
  <c r="AO137" i="1"/>
  <c r="AO138" i="1"/>
  <c r="AO315" i="1"/>
  <c r="AO255" i="1"/>
  <c r="AO311" i="1"/>
  <c r="AO312" i="1"/>
  <c r="AO214" i="1"/>
  <c r="AO215" i="1"/>
  <c r="AO225" i="1"/>
  <c r="AO226" i="1"/>
  <c r="AO139" i="1"/>
  <c r="AO197" i="1"/>
  <c r="AO87" i="1"/>
  <c r="AO99" i="1"/>
  <c r="AO98" i="1"/>
  <c r="AO75" i="1"/>
  <c r="AO304" i="1"/>
  <c r="AO305" i="1"/>
  <c r="AO274" i="1"/>
  <c r="AO276" i="1"/>
  <c r="AO275" i="1"/>
  <c r="AO271" i="1"/>
  <c r="AO272" i="1"/>
  <c r="AO155" i="1"/>
  <c r="AO152" i="1"/>
  <c r="AO143" i="1"/>
  <c r="AO144" i="1"/>
  <c r="AO85" i="1"/>
  <c r="AO86" i="1"/>
  <c r="AO160" i="1"/>
  <c r="AO161" i="1"/>
  <c r="AO111" i="1"/>
  <c r="AO92" i="1"/>
  <c r="AO84" i="1"/>
  <c r="AO181" i="1"/>
  <c r="AO91" i="1"/>
  <c r="AO89" i="1"/>
  <c r="AO90" i="1"/>
  <c r="AO88" i="1"/>
  <c r="AF35" i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78" i="9"/>
  <c r="M116" i="9" l="1"/>
  <c r="L116" i="9"/>
  <c r="K116" i="9"/>
  <c r="M117" i="9"/>
  <c r="L117" i="9"/>
  <c r="K117" i="9"/>
  <c r="M118" i="9"/>
  <c r="L118" i="9"/>
  <c r="K118" i="9"/>
  <c r="Q113" i="9"/>
  <c r="R113" i="9"/>
  <c r="M119" i="9"/>
  <c r="V113" i="9" s="1"/>
  <c r="L119" i="9"/>
  <c r="K119" i="9"/>
  <c r="T113" i="9" s="1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Q125" i="9"/>
  <c r="R125" i="9"/>
  <c r="M131" i="9"/>
  <c r="L131" i="9"/>
  <c r="K131" i="9"/>
  <c r="Q126" i="9"/>
  <c r="R126" i="9"/>
  <c r="M132" i="9"/>
  <c r="L132" i="9"/>
  <c r="K132" i="9"/>
  <c r="Q127" i="9"/>
  <c r="R127" i="9"/>
  <c r="M133" i="9"/>
  <c r="L133" i="9"/>
  <c r="K133" i="9"/>
  <c r="R89" i="9"/>
  <c r="Q89" i="9"/>
  <c r="R82" i="9"/>
  <c r="Q82" i="9"/>
  <c r="R108" i="9"/>
  <c r="Q108" i="9"/>
  <c r="R100" i="9"/>
  <c r="Q100" i="9"/>
  <c r="R96" i="9"/>
  <c r="Q96" i="9"/>
  <c r="R69" i="9"/>
  <c r="R67" i="9"/>
  <c r="R65" i="9"/>
  <c r="R63" i="9"/>
  <c r="R62" i="9"/>
  <c r="R107" i="9"/>
  <c r="R106" i="9"/>
  <c r="R102" i="9"/>
  <c r="R81" i="9"/>
  <c r="R80" i="9"/>
  <c r="R77" i="9"/>
  <c r="R74" i="9"/>
  <c r="R59" i="9"/>
  <c r="R58" i="9"/>
  <c r="R57" i="9"/>
  <c r="R56" i="9"/>
  <c r="R55" i="9"/>
  <c r="R53" i="9"/>
  <c r="R52" i="9"/>
  <c r="R49" i="9"/>
  <c r="R48" i="9"/>
  <c r="R47" i="9"/>
  <c r="R44" i="9"/>
  <c r="R43" i="9"/>
  <c r="R42" i="9"/>
  <c r="R39" i="9"/>
  <c r="R38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66" i="9"/>
  <c r="R72" i="9"/>
  <c r="R71" i="9"/>
  <c r="R79" i="9"/>
  <c r="R40" i="9"/>
  <c r="R90" i="9"/>
  <c r="R54" i="9"/>
  <c r="R130" i="9"/>
  <c r="R70" i="9"/>
  <c r="R73" i="9"/>
  <c r="R68" i="9"/>
  <c r="R64" i="9"/>
  <c r="R101" i="9"/>
  <c r="R8" i="9"/>
  <c r="R37" i="9"/>
  <c r="R60" i="9"/>
  <c r="R41" i="9"/>
  <c r="R50" i="9"/>
  <c r="R46" i="9"/>
  <c r="R45" i="9"/>
  <c r="R51" i="9"/>
  <c r="J7" i="9"/>
  <c r="S112" i="9" s="1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K74" i="9"/>
  <c r="L74" i="9"/>
  <c r="M74" i="9"/>
  <c r="J75" i="9"/>
  <c r="S30" i="9" s="1"/>
  <c r="K75" i="9"/>
  <c r="T30" i="9" s="1"/>
  <c r="L75" i="9"/>
  <c r="U30" i="9" s="1"/>
  <c r="M75" i="9"/>
  <c r="V30" i="9" s="1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K83" i="9"/>
  <c r="L83" i="9"/>
  <c r="M83" i="9"/>
  <c r="J84" i="9"/>
  <c r="S32" i="9" s="1"/>
  <c r="K84" i="9"/>
  <c r="T32" i="9" s="1"/>
  <c r="L84" i="9"/>
  <c r="U32" i="9" s="1"/>
  <c r="M84" i="9"/>
  <c r="V32" i="9" s="1"/>
  <c r="J85" i="9"/>
  <c r="S33" i="9" s="1"/>
  <c r="K85" i="9"/>
  <c r="T33" i="9" s="1"/>
  <c r="L85" i="9"/>
  <c r="U33" i="9" s="1"/>
  <c r="M85" i="9"/>
  <c r="V33" i="9" s="1"/>
  <c r="J86" i="9"/>
  <c r="S34" i="9" s="1"/>
  <c r="K86" i="9"/>
  <c r="T34" i="9" s="1"/>
  <c r="L86" i="9"/>
  <c r="U34" i="9" s="1"/>
  <c r="M86" i="9"/>
  <c r="V34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K92" i="9"/>
  <c r="L92" i="9"/>
  <c r="M92" i="9"/>
  <c r="J93" i="9"/>
  <c r="K93" i="9"/>
  <c r="L93" i="9"/>
  <c r="M93" i="9"/>
  <c r="J94" i="9"/>
  <c r="K94" i="9"/>
  <c r="L94" i="9"/>
  <c r="M94" i="9"/>
  <c r="J95" i="9"/>
  <c r="S35" i="9" s="1"/>
  <c r="K95" i="9"/>
  <c r="T35" i="9" s="1"/>
  <c r="L95" i="9"/>
  <c r="U35" i="9" s="1"/>
  <c r="M95" i="9"/>
  <c r="V35" i="9" s="1"/>
  <c r="J96" i="9"/>
  <c r="S36" i="9" s="1"/>
  <c r="K96" i="9"/>
  <c r="T36" i="9" s="1"/>
  <c r="L96" i="9"/>
  <c r="U36" i="9" s="1"/>
  <c r="M96" i="9"/>
  <c r="V36" i="9" s="1"/>
  <c r="J97" i="9"/>
  <c r="K97" i="9"/>
  <c r="L97" i="9"/>
  <c r="M97" i="9"/>
  <c r="J98" i="9"/>
  <c r="K98" i="9"/>
  <c r="L98" i="9"/>
  <c r="M98" i="9"/>
  <c r="J99" i="9"/>
  <c r="K99" i="9"/>
  <c r="L99" i="9"/>
  <c r="M99" i="9"/>
  <c r="J100" i="9"/>
  <c r="K100" i="9"/>
  <c r="L100" i="9"/>
  <c r="M100" i="9"/>
  <c r="J101" i="9"/>
  <c r="K101" i="9"/>
  <c r="L101" i="9"/>
  <c r="U29" i="9" s="1"/>
  <c r="M101" i="9"/>
  <c r="V29" i="9" s="1"/>
  <c r="J102" i="9"/>
  <c r="K102" i="9"/>
  <c r="L102" i="9"/>
  <c r="M102" i="9"/>
  <c r="J103" i="9"/>
  <c r="K103" i="9"/>
  <c r="L103" i="9"/>
  <c r="M103" i="9"/>
  <c r="J104" i="9"/>
  <c r="S85" i="9" s="1"/>
  <c r="K104" i="9"/>
  <c r="T85" i="9" s="1"/>
  <c r="L104" i="9"/>
  <c r="U85" i="9" s="1"/>
  <c r="M104" i="9"/>
  <c r="V85" i="9" s="1"/>
  <c r="J105" i="9"/>
  <c r="S86" i="9" s="1"/>
  <c r="K105" i="9"/>
  <c r="T86" i="9" s="1"/>
  <c r="L105" i="9"/>
  <c r="U86" i="9" s="1"/>
  <c r="M105" i="9"/>
  <c r="V86" i="9" s="1"/>
  <c r="J106" i="9"/>
  <c r="S83" i="9" s="1"/>
  <c r="K106" i="9"/>
  <c r="T83" i="9" s="1"/>
  <c r="L106" i="9"/>
  <c r="U83" i="9" s="1"/>
  <c r="M106" i="9"/>
  <c r="V83" i="9" s="1"/>
  <c r="J107" i="9"/>
  <c r="S84" i="9" s="1"/>
  <c r="K107" i="9"/>
  <c r="T84" i="9" s="1"/>
  <c r="L107" i="9"/>
  <c r="U84" i="9" s="1"/>
  <c r="M107" i="9"/>
  <c r="V84" i="9" s="1"/>
  <c r="J108" i="9"/>
  <c r="S92" i="9" s="1"/>
  <c r="K108" i="9"/>
  <c r="T92" i="9" s="1"/>
  <c r="L108" i="9"/>
  <c r="U92" i="9" s="1"/>
  <c r="M108" i="9"/>
  <c r="V92" i="9" s="1"/>
  <c r="J109" i="9"/>
  <c r="S93" i="9" s="1"/>
  <c r="K109" i="9"/>
  <c r="T93" i="9" s="1"/>
  <c r="L109" i="9"/>
  <c r="U93" i="9" s="1"/>
  <c r="M109" i="9"/>
  <c r="V93" i="9" s="1"/>
  <c r="J110" i="9"/>
  <c r="K110" i="9"/>
  <c r="L110" i="9"/>
  <c r="M110" i="9"/>
  <c r="J111" i="9"/>
  <c r="K111" i="9"/>
  <c r="L111" i="9"/>
  <c r="M111" i="9"/>
  <c r="S108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V23" i="9" l="1"/>
  <c r="V26" i="9"/>
  <c r="V7" i="9"/>
  <c r="V13" i="9"/>
  <c r="V28" i="9"/>
  <c r="V25" i="9"/>
  <c r="T125" i="9"/>
  <c r="V123" i="9"/>
  <c r="U122" i="9"/>
  <c r="T121" i="9"/>
  <c r="V119" i="9"/>
  <c r="U118" i="9"/>
  <c r="T117" i="9"/>
  <c r="V24" i="9"/>
  <c r="V27" i="9"/>
  <c r="U125" i="9"/>
  <c r="T124" i="9"/>
  <c r="V122" i="9"/>
  <c r="U121" i="9"/>
  <c r="T120" i="9"/>
  <c r="V118" i="9"/>
  <c r="U117" i="9"/>
  <c r="U24" i="9"/>
  <c r="U23" i="9"/>
  <c r="U28" i="9"/>
  <c r="U27" i="9"/>
  <c r="U26" i="9"/>
  <c r="U25" i="9"/>
  <c r="U7" i="9"/>
  <c r="U13" i="9"/>
  <c r="T26" i="9"/>
  <c r="T28" i="9"/>
  <c r="T13" i="9"/>
  <c r="U113" i="9"/>
  <c r="S28" i="9"/>
  <c r="S27" i="9"/>
  <c r="S26" i="9"/>
  <c r="S25" i="9"/>
  <c r="S7" i="9"/>
  <c r="S13" i="9"/>
  <c r="V125" i="9"/>
  <c r="U124" i="9"/>
  <c r="T123" i="9"/>
  <c r="V121" i="9"/>
  <c r="U120" i="9"/>
  <c r="T119" i="9"/>
  <c r="V117" i="9"/>
  <c r="U116" i="9"/>
  <c r="T115" i="9"/>
  <c r="T27" i="9"/>
  <c r="T25" i="9"/>
  <c r="T7" i="9"/>
  <c r="V124" i="9"/>
  <c r="U123" i="9"/>
  <c r="T122" i="9"/>
  <c r="V120" i="9"/>
  <c r="U119" i="9"/>
  <c r="T118" i="9"/>
  <c r="V116" i="9"/>
  <c r="U115" i="9"/>
  <c r="T114" i="9"/>
  <c r="V16" i="9"/>
  <c r="U16" i="9"/>
  <c r="T16" i="9"/>
  <c r="S16" i="9"/>
  <c r="V11" i="9"/>
  <c r="U11" i="9"/>
  <c r="T11" i="9"/>
  <c r="S11" i="9"/>
  <c r="V95" i="9"/>
  <c r="U95" i="9"/>
  <c r="T95" i="9"/>
  <c r="S95" i="9"/>
  <c r="V94" i="9"/>
  <c r="U94" i="9"/>
  <c r="T94" i="9"/>
  <c r="S94" i="9"/>
  <c r="S111" i="9"/>
  <c r="V91" i="9"/>
  <c r="U91" i="9"/>
  <c r="T91" i="9"/>
  <c r="S91" i="9"/>
  <c r="V22" i="9"/>
  <c r="U22" i="9"/>
  <c r="T22" i="9"/>
  <c r="S22" i="9"/>
  <c r="V21" i="9"/>
  <c r="U21" i="9"/>
  <c r="T21" i="9"/>
  <c r="S21" i="9"/>
  <c r="V20" i="9"/>
  <c r="U20" i="9"/>
  <c r="T20" i="9"/>
  <c r="S20" i="9"/>
  <c r="V87" i="9"/>
  <c r="U87" i="9"/>
  <c r="T87" i="9"/>
  <c r="S87" i="9"/>
  <c r="V111" i="9"/>
  <c r="U111" i="9"/>
  <c r="T111" i="9"/>
  <c r="V110" i="9"/>
  <c r="U110" i="9"/>
  <c r="T110" i="9"/>
  <c r="S110" i="9"/>
  <c r="V109" i="9"/>
  <c r="U109" i="9"/>
  <c r="T109" i="9"/>
  <c r="S109" i="9"/>
  <c r="T82" i="9"/>
  <c r="S82" i="9"/>
  <c r="V115" i="9"/>
  <c r="U114" i="9"/>
  <c r="T116" i="9"/>
  <c r="V114" i="9"/>
  <c r="U82" i="9"/>
  <c r="V82" i="9"/>
  <c r="V108" i="9"/>
  <c r="V112" i="9"/>
  <c r="U108" i="9"/>
  <c r="U112" i="9"/>
  <c r="T108" i="9"/>
  <c r="T112" i="9"/>
  <c r="V100" i="9"/>
  <c r="V75" i="9"/>
  <c r="U100" i="9"/>
  <c r="U75" i="9"/>
  <c r="T100" i="9"/>
  <c r="T75" i="9"/>
  <c r="S100" i="9"/>
  <c r="S75" i="9"/>
  <c r="V96" i="9"/>
  <c r="V76" i="9"/>
  <c r="U96" i="9"/>
  <c r="U76" i="9"/>
  <c r="T96" i="9"/>
  <c r="T76" i="9"/>
  <c r="S96" i="9"/>
  <c r="S76" i="9"/>
  <c r="T66" i="9"/>
  <c r="T24" i="9"/>
  <c r="S66" i="9"/>
  <c r="S24" i="9"/>
  <c r="T72" i="9"/>
  <c r="T23" i="9"/>
  <c r="S72" i="9"/>
  <c r="S23" i="9"/>
  <c r="T71" i="9"/>
  <c r="T29" i="9"/>
  <c r="S71" i="9"/>
  <c r="S29" i="9"/>
  <c r="V79" i="9"/>
  <c r="V103" i="9"/>
  <c r="U79" i="9"/>
  <c r="U103" i="9"/>
  <c r="T79" i="9"/>
  <c r="T103" i="9"/>
  <c r="S79" i="9"/>
  <c r="S103" i="9"/>
  <c r="V40" i="9"/>
  <c r="V19" i="9"/>
  <c r="U40" i="9"/>
  <c r="U19" i="9"/>
  <c r="T40" i="9"/>
  <c r="T19" i="9"/>
  <c r="S40" i="9"/>
  <c r="S19" i="9"/>
  <c r="V90" i="9"/>
  <c r="V18" i="9"/>
  <c r="U90" i="9"/>
  <c r="U18" i="9"/>
  <c r="T90" i="9"/>
  <c r="T18" i="9"/>
  <c r="S90" i="9"/>
  <c r="S18" i="9"/>
  <c r="V54" i="9"/>
  <c r="V17" i="9"/>
  <c r="U54" i="9"/>
  <c r="U17" i="9"/>
  <c r="T54" i="9"/>
  <c r="T17" i="9"/>
  <c r="S54" i="9"/>
  <c r="S17" i="9"/>
  <c r="V70" i="9"/>
  <c r="V15" i="9"/>
  <c r="U70" i="9"/>
  <c r="U15" i="9"/>
  <c r="T70" i="9"/>
  <c r="T15" i="9"/>
  <c r="S70" i="9"/>
  <c r="S15" i="9"/>
  <c r="V73" i="9"/>
  <c r="V61" i="9"/>
  <c r="U73" i="9"/>
  <c r="U61" i="9"/>
  <c r="T73" i="9"/>
  <c r="T61" i="9"/>
  <c r="S73" i="9"/>
  <c r="S61" i="9"/>
  <c r="V68" i="9"/>
  <c r="V10" i="9"/>
  <c r="U68" i="9"/>
  <c r="U10" i="9"/>
  <c r="T68" i="9"/>
  <c r="T10" i="9"/>
  <c r="S68" i="9"/>
  <c r="S10" i="9"/>
  <c r="V64" i="9"/>
  <c r="V12" i="9"/>
  <c r="U64" i="9"/>
  <c r="U12" i="9"/>
  <c r="T64" i="9"/>
  <c r="T12" i="9"/>
  <c r="S64" i="9"/>
  <c r="S12" i="9"/>
  <c r="V101" i="9"/>
  <c r="V9" i="9"/>
  <c r="U101" i="9"/>
  <c r="U9" i="9"/>
  <c r="T101" i="9"/>
  <c r="T9" i="9"/>
  <c r="S101" i="9"/>
  <c r="S9" i="9"/>
  <c r="V8" i="9"/>
  <c r="V31" i="9"/>
  <c r="U8" i="9"/>
  <c r="U31" i="9"/>
  <c r="T8" i="9"/>
  <c r="T31" i="9"/>
  <c r="S8" i="9"/>
  <c r="S31" i="9"/>
  <c r="V37" i="9"/>
  <c r="V14" i="9"/>
  <c r="U37" i="9"/>
  <c r="U14" i="9"/>
  <c r="T37" i="9"/>
  <c r="T14" i="9"/>
  <c r="S37" i="9"/>
  <c r="S14" i="9"/>
  <c r="V60" i="9"/>
  <c r="V99" i="9"/>
  <c r="U60" i="9"/>
  <c r="U99" i="9"/>
  <c r="T60" i="9"/>
  <c r="T99" i="9"/>
  <c r="S60" i="9"/>
  <c r="S99" i="9"/>
  <c r="V41" i="9"/>
  <c r="V98" i="9"/>
  <c r="U41" i="9"/>
  <c r="U98" i="9"/>
  <c r="T41" i="9"/>
  <c r="T98" i="9"/>
  <c r="S41" i="9"/>
  <c r="S98" i="9"/>
  <c r="V50" i="9"/>
  <c r="V97" i="9"/>
  <c r="U50" i="9"/>
  <c r="U97" i="9"/>
  <c r="T50" i="9"/>
  <c r="T97" i="9"/>
  <c r="S50" i="9"/>
  <c r="S97" i="9"/>
  <c r="V46" i="9"/>
  <c r="V105" i="9"/>
  <c r="U46" i="9"/>
  <c r="U105" i="9"/>
  <c r="T46" i="9"/>
  <c r="T105" i="9"/>
  <c r="S46" i="9"/>
  <c r="S105" i="9"/>
  <c r="V45" i="9"/>
  <c r="V104" i="9"/>
  <c r="U45" i="9"/>
  <c r="U104" i="9"/>
  <c r="T45" i="9"/>
  <c r="T104" i="9"/>
  <c r="S45" i="9"/>
  <c r="S104" i="9"/>
  <c r="V51" i="9"/>
  <c r="V88" i="9"/>
  <c r="U51" i="9"/>
  <c r="U88" i="9"/>
  <c r="T51" i="9"/>
  <c r="T88" i="9"/>
  <c r="S51" i="9"/>
  <c r="S88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89" i="9"/>
  <c r="V131" i="9"/>
  <c r="U89" i="9"/>
  <c r="U131" i="9"/>
  <c r="T89" i="9"/>
  <c r="T131" i="9"/>
  <c r="S89" i="9"/>
  <c r="V78" i="9"/>
  <c r="U78" i="9"/>
  <c r="T78" i="9"/>
  <c r="S78" i="9"/>
  <c r="V72" i="9"/>
  <c r="U72" i="9"/>
  <c r="V71" i="9"/>
  <c r="U71" i="9"/>
  <c r="V69" i="9"/>
  <c r="U69" i="9"/>
  <c r="T69" i="9"/>
  <c r="S69" i="9"/>
  <c r="V67" i="9"/>
  <c r="U67" i="9"/>
  <c r="T67" i="9"/>
  <c r="S67" i="9"/>
  <c r="V66" i="9"/>
  <c r="U66" i="9"/>
  <c r="V65" i="9"/>
  <c r="U65" i="9"/>
  <c r="T65" i="9"/>
  <c r="S65" i="9"/>
  <c r="V63" i="9"/>
  <c r="U63" i="9"/>
  <c r="T63" i="9"/>
  <c r="S63" i="9"/>
  <c r="V62" i="9"/>
  <c r="U62" i="9"/>
  <c r="T62" i="9"/>
  <c r="S62" i="9"/>
  <c r="V130" i="9"/>
  <c r="U130" i="9"/>
  <c r="T130" i="9"/>
  <c r="V107" i="9"/>
  <c r="U107" i="9"/>
  <c r="T107" i="9"/>
  <c r="S107" i="9"/>
  <c r="V106" i="9"/>
  <c r="U106" i="9"/>
  <c r="T106" i="9"/>
  <c r="S106" i="9"/>
  <c r="V102" i="9"/>
  <c r="U102" i="9"/>
  <c r="T102" i="9"/>
  <c r="S102" i="9"/>
  <c r="V81" i="9"/>
  <c r="U81" i="9"/>
  <c r="T81" i="9"/>
  <c r="S81" i="9"/>
  <c r="V80" i="9"/>
  <c r="U80" i="9"/>
  <c r="T80" i="9"/>
  <c r="S80" i="9"/>
  <c r="V77" i="9"/>
  <c r="U77" i="9"/>
  <c r="T77" i="9"/>
  <c r="S77" i="9"/>
  <c r="V74" i="9"/>
  <c r="U74" i="9"/>
  <c r="T74" i="9"/>
  <c r="S74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3" i="9"/>
  <c r="U53" i="9"/>
  <c r="T53" i="9"/>
  <c r="S53" i="9"/>
  <c r="V52" i="9"/>
  <c r="U52" i="9"/>
  <c r="T52" i="9"/>
  <c r="S52" i="9"/>
  <c r="V49" i="9"/>
  <c r="U49" i="9"/>
  <c r="T49" i="9"/>
  <c r="S49" i="9"/>
  <c r="V48" i="9"/>
  <c r="U48" i="9"/>
  <c r="T48" i="9"/>
  <c r="S48" i="9"/>
  <c r="V47" i="9"/>
  <c r="U47" i="9"/>
  <c r="T47" i="9"/>
  <c r="S47" i="9"/>
  <c r="V44" i="9"/>
  <c r="U44" i="9"/>
  <c r="T44" i="9"/>
  <c r="S44" i="9"/>
  <c r="V43" i="9"/>
  <c r="U43" i="9"/>
  <c r="T43" i="9"/>
  <c r="S43" i="9"/>
  <c r="V42" i="9"/>
  <c r="U42" i="9"/>
  <c r="T42" i="9"/>
  <c r="S42" i="9"/>
  <c r="V39" i="9"/>
  <c r="U39" i="9"/>
  <c r="T39" i="9"/>
  <c r="S39" i="9"/>
  <c r="V38" i="9"/>
  <c r="U38" i="9"/>
  <c r="T38" i="9"/>
  <c r="S38" i="9"/>
  <c r="AN353" i="1" l="1"/>
  <c r="AC353" i="1" s="1"/>
  <c r="AN349" i="1"/>
  <c r="AC349" i="1" s="1"/>
  <c r="AN345" i="1"/>
  <c r="AC345" i="1" s="1"/>
  <c r="AN341" i="1"/>
  <c r="AC341" i="1" s="1"/>
  <c r="AN337" i="1"/>
  <c r="AC337" i="1" s="1"/>
  <c r="AN352" i="1"/>
  <c r="AC352" i="1" s="1"/>
  <c r="AN348" i="1"/>
  <c r="AC348" i="1" s="1"/>
  <c r="AN344" i="1"/>
  <c r="AC344" i="1" s="1"/>
  <c r="AN338" i="1"/>
  <c r="AC338" i="1" s="1"/>
  <c r="AN354" i="1"/>
  <c r="AC354" i="1" s="1"/>
  <c r="AN351" i="1"/>
  <c r="AC351" i="1" s="1"/>
  <c r="AN347" i="1"/>
  <c r="AC347" i="1" s="1"/>
  <c r="AN343" i="1"/>
  <c r="AC343" i="1" s="1"/>
  <c r="AN340" i="1"/>
  <c r="AC340" i="1" s="1"/>
  <c r="AN339" i="1"/>
  <c r="AC339" i="1" s="1"/>
  <c r="AN350" i="1"/>
  <c r="AC350" i="1" s="1"/>
  <c r="AN346" i="1"/>
  <c r="AC346" i="1" s="1"/>
  <c r="AN342" i="1"/>
  <c r="AC342" i="1" s="1"/>
  <c r="AN336" i="1"/>
  <c r="AC336" i="1" s="1"/>
  <c r="AN333" i="1"/>
  <c r="AC333" i="1" s="1"/>
  <c r="AN206" i="1"/>
  <c r="AC206" i="1" s="1"/>
  <c r="AN194" i="1"/>
  <c r="AC194" i="1" s="1"/>
  <c r="AN104" i="1"/>
  <c r="AC104" i="1" s="1"/>
  <c r="AN4" i="1"/>
  <c r="AC4" i="1" s="1"/>
  <c r="AN246" i="1"/>
  <c r="AC246" i="1" s="1"/>
  <c r="AN257" i="1"/>
  <c r="AC257" i="1" s="1"/>
  <c r="AN41" i="1"/>
  <c r="AC41" i="1" s="1"/>
  <c r="AN189" i="1"/>
  <c r="AC189" i="1" s="1"/>
  <c r="AN220" i="1"/>
  <c r="AC220" i="1" s="1"/>
  <c r="AN68" i="1"/>
  <c r="AC68" i="1" s="1"/>
  <c r="AN211" i="1"/>
  <c r="AC211" i="1" s="1"/>
  <c r="AN39" i="1"/>
  <c r="AC39" i="1" s="1"/>
  <c r="AN237" i="1"/>
  <c r="AC237" i="1" s="1"/>
  <c r="AN207" i="1"/>
  <c r="AC207" i="1" s="1"/>
  <c r="AN73" i="1"/>
  <c r="AC73" i="1" s="1"/>
  <c r="AN23" i="1"/>
  <c r="AC23" i="1" s="1"/>
  <c r="AN17" i="1"/>
  <c r="AC17" i="1" s="1"/>
  <c r="AN228" i="1"/>
  <c r="AC228" i="1" s="1"/>
  <c r="AN65" i="1"/>
  <c r="AC65" i="1" s="1"/>
  <c r="AN103" i="1"/>
  <c r="AC103" i="1" s="1"/>
  <c r="AN330" i="1"/>
  <c r="AC330" i="1" s="1"/>
  <c r="AN247" i="1"/>
  <c r="AC247" i="1" s="1"/>
  <c r="AN252" i="1"/>
  <c r="AC252" i="1" s="1"/>
  <c r="AN256" i="1"/>
  <c r="AC256" i="1" s="1"/>
  <c r="AN267" i="1"/>
  <c r="AC267" i="1" s="1"/>
  <c r="AN335" i="1"/>
  <c r="AC335" i="1" s="1"/>
  <c r="AN196" i="1"/>
  <c r="AC196" i="1" s="1"/>
  <c r="AN212" i="1"/>
  <c r="AC212" i="1" s="1"/>
  <c r="AN121" i="1"/>
  <c r="AC121" i="1" s="1"/>
  <c r="AN38" i="1"/>
  <c r="AC38" i="1" s="1"/>
  <c r="AN334" i="1"/>
  <c r="AC334" i="1" s="1"/>
  <c r="AN195" i="1"/>
  <c r="AC195" i="1" s="1"/>
  <c r="AN72" i="1"/>
  <c r="AC72" i="1" s="1"/>
  <c r="AN230" i="1"/>
  <c r="AC230" i="1" s="1"/>
  <c r="AN16" i="1"/>
  <c r="AC16" i="1" s="1"/>
  <c r="AN31" i="1"/>
  <c r="AC31" i="1" s="1"/>
  <c r="AN172" i="1"/>
  <c r="AC172" i="1" s="1"/>
  <c r="AN236" i="1"/>
  <c r="AC236" i="1" s="1"/>
  <c r="AN266" i="1"/>
  <c r="AC266" i="1" s="1"/>
  <c r="AN239" i="1"/>
  <c r="AC239" i="1" s="1"/>
  <c r="AN131" i="1"/>
  <c r="AC131" i="1" s="1"/>
  <c r="AN309" i="1"/>
  <c r="AC309" i="1" s="1"/>
  <c r="AN183" i="1"/>
  <c r="AC183" i="1" s="1"/>
  <c r="AN118" i="1"/>
  <c r="AC118" i="1" s="1"/>
  <c r="AN113" i="1"/>
  <c r="AC113" i="1" s="1"/>
  <c r="AN112" i="1"/>
  <c r="AC112" i="1" s="1"/>
  <c r="AN10" i="1"/>
  <c r="AC10" i="1" s="1"/>
  <c r="AN204" i="1"/>
  <c r="AC204" i="1" s="1"/>
  <c r="AN203" i="1"/>
  <c r="AC203" i="1" s="1"/>
  <c r="AN135" i="1"/>
  <c r="AC135" i="1" s="1"/>
  <c r="AN134" i="1"/>
  <c r="AC134" i="1" s="1"/>
  <c r="AN187" i="1"/>
  <c r="AC187" i="1" s="1"/>
  <c r="AN186" i="1"/>
  <c r="AC186" i="1" s="1"/>
  <c r="AN70" i="1"/>
  <c r="AC70" i="1" s="1"/>
  <c r="AN69" i="1"/>
  <c r="AC69" i="1" s="1"/>
  <c r="AN298" i="1"/>
  <c r="AC298" i="1" s="1"/>
  <c r="AN297" i="1"/>
  <c r="AC297" i="1" s="1"/>
  <c r="AN249" i="1"/>
  <c r="AC249" i="1" s="1"/>
  <c r="AN248" i="1"/>
  <c r="AC248" i="1" s="1"/>
  <c r="AN234" i="1"/>
  <c r="AC234" i="1" s="1"/>
  <c r="AN233" i="1"/>
  <c r="AC233" i="1" s="1"/>
  <c r="AN263" i="1"/>
  <c r="AC263" i="1" s="1"/>
  <c r="AN164" i="1"/>
  <c r="AC164" i="1" s="1"/>
  <c r="AN300" i="1"/>
  <c r="AC300" i="1" s="1"/>
  <c r="AN208" i="1"/>
  <c r="AC208" i="1" s="1"/>
  <c r="AN171" i="1"/>
  <c r="AC171" i="1" s="1"/>
  <c r="AN232" i="1"/>
  <c r="AC232" i="1" s="1"/>
  <c r="AN231" i="1"/>
  <c r="AC231" i="1" s="1"/>
  <c r="AN295" i="1"/>
  <c r="AC295" i="1" s="1"/>
  <c r="AN294" i="1"/>
  <c r="AC294" i="1" s="1"/>
  <c r="AN293" i="1"/>
  <c r="AC293" i="1" s="1"/>
  <c r="AN227" i="1"/>
  <c r="AC227" i="1" s="1"/>
  <c r="AN328" i="1"/>
  <c r="AC328" i="1" s="1"/>
  <c r="AN78" i="1"/>
  <c r="AC78" i="1" s="1"/>
  <c r="AN238" i="1"/>
  <c r="AC238" i="1" s="1"/>
  <c r="AN170" i="1"/>
  <c r="AC170" i="1" s="1"/>
  <c r="AN273" i="1"/>
  <c r="AC273" i="1" s="1"/>
  <c r="AN182" i="1"/>
  <c r="AC182" i="1" s="1"/>
  <c r="AN313" i="1"/>
  <c r="AC313" i="1" s="1"/>
  <c r="AN312" i="1"/>
  <c r="AC312" i="1" s="1"/>
  <c r="AN311" i="1"/>
  <c r="AC311" i="1" s="1"/>
  <c r="AN255" i="1"/>
  <c r="AC255" i="1" s="1"/>
  <c r="AN315" i="1"/>
  <c r="AC315" i="1" s="1"/>
  <c r="AN138" i="1"/>
  <c r="AC138" i="1" s="1"/>
  <c r="AN137" i="1"/>
  <c r="AC137" i="1" s="1"/>
  <c r="AN224" i="1"/>
  <c r="AC224" i="1" s="1"/>
  <c r="AN223" i="1"/>
  <c r="AC223" i="1" s="1"/>
  <c r="AN166" i="1"/>
  <c r="AC166" i="1" s="1"/>
  <c r="AN167" i="1"/>
  <c r="AC167" i="1" s="1"/>
  <c r="AN180" i="1"/>
  <c r="AC180" i="1" s="1"/>
  <c r="AN179" i="1"/>
  <c r="AC179" i="1" s="1"/>
  <c r="AN178" i="1"/>
  <c r="AC178" i="1" s="1"/>
  <c r="AN177" i="1"/>
  <c r="AC177" i="1" s="1"/>
  <c r="AN327" i="1"/>
  <c r="AC327" i="1" s="1"/>
  <c r="AN326" i="1"/>
  <c r="AC326" i="1" s="1"/>
  <c r="AN325" i="1"/>
  <c r="AC325" i="1" s="1"/>
  <c r="AN126" i="1"/>
  <c r="AC126" i="1" s="1"/>
  <c r="AN243" i="1"/>
  <c r="AC243" i="1" s="1"/>
  <c r="AN281" i="1"/>
  <c r="AC281" i="1" s="1"/>
  <c r="AN280" i="1"/>
  <c r="AC280" i="1" s="1"/>
  <c r="AN240" i="1"/>
  <c r="AC240" i="1" s="1"/>
  <c r="AN258" i="1"/>
  <c r="AC258" i="1" s="1"/>
  <c r="AN198" i="1"/>
  <c r="AC198" i="1" s="1"/>
  <c r="AN26" i="1"/>
  <c r="AC26" i="1" s="1"/>
  <c r="AN317" i="1"/>
  <c r="AC317" i="1" s="1"/>
  <c r="AN292" i="1"/>
  <c r="AC292" i="1" s="1"/>
  <c r="AN308" i="1"/>
  <c r="AC308" i="1" s="1"/>
  <c r="AN307" i="1"/>
  <c r="AC307" i="1" s="1"/>
  <c r="AN217" i="1"/>
  <c r="AC217" i="1" s="1"/>
  <c r="AN190" i="1"/>
  <c r="AC190" i="1" s="1"/>
  <c r="AN259" i="1"/>
  <c r="AC259" i="1" s="1"/>
  <c r="AN289" i="1"/>
  <c r="AC289" i="1" s="1"/>
  <c r="AN284" i="1"/>
  <c r="AC284" i="1" s="1"/>
  <c r="AN283" i="1"/>
  <c r="AC283" i="1" s="1"/>
  <c r="AN282" i="1"/>
  <c r="AC282" i="1" s="1"/>
  <c r="AN40" i="1"/>
  <c r="AC40" i="1" s="1"/>
  <c r="AN43" i="1"/>
  <c r="AC43" i="1" s="1"/>
  <c r="AN42" i="1"/>
  <c r="AC42" i="1" s="1"/>
  <c r="AN33" i="1"/>
  <c r="AC33" i="1" s="1"/>
  <c r="AN32" i="1"/>
  <c r="AC32" i="1" s="1"/>
  <c r="AN192" i="1"/>
  <c r="AC192" i="1" s="1"/>
  <c r="AN191" i="1"/>
  <c r="AC191" i="1" s="1"/>
  <c r="AN132" i="1"/>
  <c r="AC132" i="1" s="1"/>
  <c r="AN214" i="1"/>
  <c r="AC214" i="1" s="1"/>
  <c r="AN215" i="1"/>
  <c r="AC215" i="1" s="1"/>
  <c r="AN225" i="1"/>
  <c r="AN226" i="1"/>
  <c r="AC226" i="1" s="1"/>
  <c r="AN139" i="1"/>
  <c r="AC139" i="1" s="1"/>
  <c r="AN197" i="1"/>
  <c r="AN87" i="1"/>
  <c r="AC87" i="1" s="1"/>
  <c r="AN99" i="1"/>
  <c r="AC99" i="1" s="1"/>
  <c r="AN98" i="1"/>
  <c r="AC98" i="1" s="1"/>
  <c r="AN75" i="1"/>
  <c r="AC75" i="1" s="1"/>
  <c r="AN305" i="1"/>
  <c r="AC305" i="1" s="1"/>
  <c r="AN304" i="1"/>
  <c r="AC304" i="1" s="1"/>
  <c r="AN276" i="1"/>
  <c r="AC276" i="1" s="1"/>
  <c r="AN274" i="1"/>
  <c r="AC274" i="1" s="1"/>
  <c r="AN275" i="1"/>
  <c r="AC275" i="1" s="1"/>
  <c r="AN272" i="1"/>
  <c r="AN271" i="1"/>
  <c r="AC271" i="1" s="1"/>
  <c r="AN155" i="1"/>
  <c r="AN152" i="1"/>
  <c r="AC152" i="1" s="1"/>
  <c r="AN144" i="1"/>
  <c r="AC144" i="1" s="1"/>
  <c r="AN143" i="1"/>
  <c r="AC143" i="1" s="1"/>
  <c r="AN86" i="1"/>
  <c r="AC86" i="1" s="1"/>
  <c r="AN85" i="1"/>
  <c r="AC85" i="1" s="1"/>
  <c r="AN161" i="1"/>
  <c r="AC161" i="1" s="1"/>
  <c r="AN160" i="1"/>
  <c r="AC160" i="1" s="1"/>
  <c r="AN111" i="1"/>
  <c r="AC111" i="1" s="1"/>
  <c r="AN92" i="1"/>
  <c r="AC92" i="1" s="1"/>
  <c r="AN84" i="1"/>
  <c r="AC84" i="1" s="1"/>
  <c r="AN181" i="1"/>
  <c r="AC181" i="1" s="1"/>
  <c r="AN91" i="1"/>
  <c r="AN88" i="1"/>
  <c r="AN90" i="1"/>
  <c r="AC90" i="1" s="1"/>
  <c r="AN89" i="1"/>
  <c r="AC89" i="1" s="1"/>
  <c r="AN105" i="1"/>
  <c r="AC105" i="1" s="1"/>
  <c r="AN148" i="1"/>
  <c r="AC148" i="1" s="1"/>
  <c r="AN76" i="1"/>
  <c r="AC76" i="1" s="1"/>
  <c r="AN14" i="1"/>
  <c r="AC14" i="1" s="1"/>
  <c r="AN13" i="1"/>
  <c r="AC13" i="1" s="1"/>
  <c r="AN12" i="1"/>
  <c r="AC12" i="1" s="1"/>
  <c r="AN6" i="1"/>
  <c r="AC6" i="1" s="1"/>
  <c r="AN9" i="1"/>
  <c r="AC9" i="1" s="1"/>
  <c r="AN8" i="1"/>
  <c r="AC8" i="1" s="1"/>
  <c r="AN7" i="1"/>
  <c r="AC7" i="1" s="1"/>
  <c r="AN2" i="1"/>
  <c r="AC2" i="1" s="1"/>
  <c r="AN47" i="1"/>
  <c r="AC47" i="1" s="1"/>
  <c r="AN329" i="1"/>
  <c r="AC329" i="1" s="1"/>
  <c r="AN331" i="1"/>
  <c r="AC331" i="1" s="1"/>
  <c r="AN332" i="1"/>
  <c r="AC332" i="1" s="1"/>
  <c r="AN254" i="1"/>
  <c r="AC254" i="1" s="1"/>
  <c r="AN260" i="1"/>
  <c r="AC260" i="1" s="1"/>
  <c r="AN261" i="1"/>
  <c r="AC261" i="1" s="1"/>
  <c r="AN262" i="1"/>
  <c r="AC262" i="1" s="1"/>
  <c r="AN264" i="1"/>
  <c r="AC264" i="1" s="1"/>
  <c r="AN265" i="1"/>
  <c r="AC265" i="1" s="1"/>
  <c r="AN268" i="1"/>
  <c r="AC268" i="1" s="1"/>
  <c r="AN269" i="1"/>
  <c r="AC269" i="1" s="1"/>
  <c r="AN270" i="1"/>
  <c r="AC270" i="1" s="1"/>
  <c r="AN277" i="1"/>
  <c r="AC277" i="1" s="1"/>
  <c r="AN106" i="1"/>
  <c r="AC106" i="1" s="1"/>
  <c r="AN279" i="1"/>
  <c r="AC279" i="1" s="1"/>
  <c r="AN285" i="1"/>
  <c r="AC285" i="1" s="1"/>
  <c r="AN286" i="1"/>
  <c r="AC286" i="1" s="1"/>
  <c r="AN287" i="1"/>
  <c r="AC287" i="1" s="1"/>
  <c r="AN288" i="1"/>
  <c r="AC288" i="1" s="1"/>
  <c r="AN290" i="1"/>
  <c r="AC290" i="1" s="1"/>
  <c r="AN291" i="1"/>
  <c r="AC291" i="1" s="1"/>
  <c r="AN296" i="1"/>
  <c r="AC296" i="1" s="1"/>
  <c r="AN299" i="1"/>
  <c r="AC299" i="1" s="1"/>
  <c r="AN301" i="1"/>
  <c r="AC301" i="1" s="1"/>
  <c r="AN302" i="1"/>
  <c r="AC302" i="1" s="1"/>
  <c r="AN303" i="1"/>
  <c r="AC303" i="1" s="1"/>
  <c r="AN306" i="1"/>
  <c r="AC306" i="1" s="1"/>
  <c r="AN310" i="1"/>
  <c r="AC310" i="1" s="1"/>
  <c r="AN314" i="1"/>
  <c r="AC314" i="1" s="1"/>
  <c r="AN316" i="1"/>
  <c r="AC316" i="1" s="1"/>
  <c r="AN318" i="1"/>
  <c r="AC318" i="1" s="1"/>
  <c r="AN319" i="1"/>
  <c r="AC319" i="1" s="1"/>
  <c r="AN320" i="1"/>
  <c r="AC320" i="1" s="1"/>
  <c r="AN321" i="1"/>
  <c r="AC321" i="1" s="1"/>
  <c r="AN3" i="1"/>
  <c r="AC3" i="1" s="1"/>
  <c r="AN5" i="1"/>
  <c r="AC5" i="1" s="1"/>
  <c r="AN11" i="1"/>
  <c r="AC11" i="1" s="1"/>
  <c r="AN15" i="1"/>
  <c r="AC15" i="1" s="1"/>
  <c r="AN18" i="1"/>
  <c r="AC18" i="1" s="1"/>
  <c r="AN19" i="1"/>
  <c r="AC19" i="1" s="1"/>
  <c r="AN20" i="1"/>
  <c r="AC20" i="1" s="1"/>
  <c r="AN21" i="1"/>
  <c r="AC21" i="1" s="1"/>
  <c r="AN22" i="1"/>
  <c r="AC22" i="1" s="1"/>
  <c r="AN24" i="1"/>
  <c r="AC24" i="1" s="1"/>
  <c r="AN25" i="1"/>
  <c r="AC25" i="1" s="1"/>
  <c r="AN27" i="1"/>
  <c r="AC27" i="1" s="1"/>
  <c r="AN28" i="1"/>
  <c r="AC28" i="1" s="1"/>
  <c r="AN29" i="1"/>
  <c r="AC29" i="1" s="1"/>
  <c r="AN30" i="1"/>
  <c r="AC30" i="1" s="1"/>
  <c r="AN34" i="1"/>
  <c r="AC34" i="1" s="1"/>
  <c r="AN35" i="1"/>
  <c r="AC35" i="1" s="1"/>
  <c r="AN36" i="1"/>
  <c r="AC36" i="1" s="1"/>
  <c r="AN37" i="1"/>
  <c r="AC37" i="1" s="1"/>
  <c r="AN44" i="1"/>
  <c r="AC44" i="1" s="1"/>
  <c r="AN45" i="1"/>
  <c r="AC45" i="1" s="1"/>
  <c r="AN46" i="1"/>
  <c r="AC46" i="1" s="1"/>
  <c r="AN116" i="1"/>
  <c r="AC116" i="1" s="1"/>
  <c r="AN48" i="1"/>
  <c r="AC48" i="1" s="1"/>
  <c r="AN49" i="1"/>
  <c r="AC49" i="1" s="1"/>
  <c r="AN120" i="1"/>
  <c r="AC120" i="1" s="1"/>
  <c r="AN56" i="1"/>
  <c r="AC56" i="1" s="1"/>
  <c r="AN80" i="1"/>
  <c r="AC80" i="1" s="1"/>
  <c r="AN323" i="1"/>
  <c r="AC323" i="1" s="1"/>
  <c r="AN54" i="1"/>
  <c r="AC54" i="1" s="1"/>
  <c r="AN55" i="1"/>
  <c r="AC55" i="1" s="1"/>
  <c r="AN242" i="1"/>
  <c r="AC242" i="1" s="1"/>
  <c r="AN57" i="1"/>
  <c r="AC57" i="1" s="1"/>
  <c r="AN58" i="1"/>
  <c r="AC58" i="1" s="1"/>
  <c r="AN251" i="1"/>
  <c r="AC251" i="1" s="1"/>
  <c r="AN60" i="1"/>
  <c r="AC60" i="1" s="1"/>
  <c r="AN61" i="1"/>
  <c r="AC61" i="1" s="1"/>
  <c r="AN62" i="1"/>
  <c r="AC62" i="1" s="1"/>
  <c r="AN63" i="1"/>
  <c r="AC63" i="1" s="1"/>
  <c r="AN64" i="1"/>
  <c r="AC64" i="1" s="1"/>
  <c r="AN66" i="1"/>
  <c r="AC66" i="1" s="1"/>
  <c r="AN67" i="1"/>
  <c r="AC67" i="1" s="1"/>
  <c r="AN71" i="1"/>
  <c r="AC71" i="1" s="1"/>
  <c r="AN74" i="1"/>
  <c r="AC74" i="1" s="1"/>
  <c r="AN77" i="1"/>
  <c r="AC77" i="1" s="1"/>
  <c r="AN79" i="1"/>
  <c r="AC79" i="1" s="1"/>
  <c r="AN50" i="1"/>
  <c r="AC50" i="1" s="1"/>
  <c r="AN81" i="1"/>
  <c r="AC81" i="1" s="1"/>
  <c r="AN82" i="1"/>
  <c r="AC82" i="1" s="1"/>
  <c r="AN83" i="1"/>
  <c r="AC83" i="1" s="1"/>
  <c r="AN93" i="1"/>
  <c r="AC93" i="1" s="1"/>
  <c r="AN94" i="1"/>
  <c r="AC94" i="1" s="1"/>
  <c r="AN95" i="1"/>
  <c r="AC95" i="1" s="1"/>
  <c r="AN59" i="1"/>
  <c r="AC59" i="1" s="1"/>
  <c r="AN97" i="1"/>
  <c r="AC97" i="1" s="1"/>
  <c r="AN100" i="1"/>
  <c r="AC100" i="1" s="1"/>
  <c r="AN101" i="1"/>
  <c r="AC101" i="1" s="1"/>
  <c r="AN102" i="1"/>
  <c r="AC102" i="1" s="1"/>
  <c r="AN245" i="1"/>
  <c r="AC245" i="1" s="1"/>
  <c r="AN108" i="1"/>
  <c r="AC108" i="1" s="1"/>
  <c r="AN107" i="1"/>
  <c r="AC107" i="1" s="1"/>
  <c r="AN109" i="1"/>
  <c r="AC109" i="1" s="1"/>
  <c r="AN110" i="1"/>
  <c r="AC110" i="1" s="1"/>
  <c r="AN114" i="1"/>
  <c r="AC114" i="1" s="1"/>
  <c r="AN115" i="1"/>
  <c r="AC115" i="1" s="1"/>
  <c r="AN53" i="1"/>
  <c r="AC53" i="1" s="1"/>
  <c r="AN117" i="1"/>
  <c r="AC117" i="1" s="1"/>
  <c r="AN119" i="1"/>
  <c r="AC119" i="1" s="1"/>
  <c r="AN96" i="1"/>
  <c r="AC96" i="1" s="1"/>
  <c r="AN122" i="1"/>
  <c r="AC122" i="1" s="1"/>
  <c r="AN123" i="1"/>
  <c r="AC123" i="1" s="1"/>
  <c r="AN124" i="1"/>
  <c r="AC124" i="1" s="1"/>
  <c r="AN125" i="1"/>
  <c r="AC125" i="1" s="1"/>
  <c r="AN127" i="1"/>
  <c r="AC127" i="1" s="1"/>
  <c r="AN128" i="1"/>
  <c r="AC128" i="1" s="1"/>
  <c r="AN129" i="1"/>
  <c r="AC129" i="1" s="1"/>
  <c r="AN130" i="1"/>
  <c r="AC130" i="1" s="1"/>
  <c r="AN133" i="1"/>
  <c r="AC133" i="1" s="1"/>
  <c r="AN136" i="1"/>
  <c r="AC136" i="1" s="1"/>
  <c r="AN140" i="1"/>
  <c r="AC140" i="1" s="1"/>
  <c r="AN141" i="1"/>
  <c r="AC141" i="1" s="1"/>
  <c r="AN142" i="1"/>
  <c r="AC142" i="1" s="1"/>
  <c r="AN145" i="1"/>
  <c r="AC145" i="1" s="1"/>
  <c r="AN146" i="1"/>
  <c r="AC146" i="1" s="1"/>
  <c r="AN147" i="1"/>
  <c r="AC147" i="1" s="1"/>
  <c r="AN149" i="1"/>
  <c r="AC149" i="1" s="1"/>
  <c r="AN150" i="1"/>
  <c r="AC150" i="1" s="1"/>
  <c r="AN151" i="1"/>
  <c r="AC151" i="1" s="1"/>
  <c r="AN153" i="1"/>
  <c r="AC153" i="1" s="1"/>
  <c r="AN154" i="1"/>
  <c r="AC154" i="1" s="1"/>
  <c r="AN156" i="1"/>
  <c r="AC156" i="1" s="1"/>
  <c r="AN157" i="1"/>
  <c r="AC157" i="1" s="1"/>
  <c r="AN158" i="1"/>
  <c r="AC158" i="1" s="1"/>
  <c r="AN159" i="1"/>
  <c r="AC159" i="1" s="1"/>
  <c r="AN162" i="1"/>
  <c r="AC162" i="1" s="1"/>
  <c r="AN163" i="1"/>
  <c r="AC163" i="1" s="1"/>
  <c r="AN165" i="1"/>
  <c r="AC165" i="1" s="1"/>
  <c r="AN168" i="1"/>
  <c r="AC168" i="1" s="1"/>
  <c r="AN169" i="1"/>
  <c r="AC169" i="1" s="1"/>
  <c r="AN173" i="1"/>
  <c r="AC173" i="1" s="1"/>
  <c r="AN174" i="1"/>
  <c r="AC174" i="1" s="1"/>
  <c r="AN175" i="1"/>
  <c r="AC175" i="1" s="1"/>
  <c r="AN176" i="1"/>
  <c r="AC176" i="1" s="1"/>
  <c r="AN184" i="1"/>
  <c r="AC184" i="1" s="1"/>
  <c r="AN185" i="1"/>
  <c r="AC185" i="1" s="1"/>
  <c r="AN188" i="1"/>
  <c r="AC188" i="1" s="1"/>
  <c r="AN193" i="1"/>
  <c r="AC193" i="1" s="1"/>
  <c r="AN199" i="1"/>
  <c r="AC199" i="1" s="1"/>
  <c r="AN200" i="1"/>
  <c r="AC200" i="1" s="1"/>
  <c r="AN201" i="1"/>
  <c r="AC201" i="1" s="1"/>
  <c r="AN202" i="1"/>
  <c r="AC202" i="1" s="1"/>
  <c r="AN205" i="1"/>
  <c r="AC205" i="1" s="1"/>
  <c r="AN209" i="1"/>
  <c r="AC209" i="1" s="1"/>
  <c r="AN210" i="1"/>
  <c r="AC210" i="1" s="1"/>
  <c r="AN213" i="1"/>
  <c r="AC213" i="1" s="1"/>
  <c r="AN216" i="1"/>
  <c r="AC216" i="1" s="1"/>
  <c r="AN218" i="1"/>
  <c r="AC218" i="1" s="1"/>
  <c r="AN219" i="1"/>
  <c r="AC219" i="1" s="1"/>
  <c r="AN221" i="1"/>
  <c r="AC221" i="1" s="1"/>
  <c r="AN244" i="1"/>
  <c r="AC244" i="1" s="1"/>
  <c r="AN229" i="1"/>
  <c r="AC229" i="1" s="1"/>
  <c r="AN235" i="1"/>
  <c r="AC235" i="1" s="1"/>
  <c r="AN241" i="1"/>
  <c r="AC241" i="1" s="1"/>
  <c r="AN278" i="1"/>
  <c r="AC278" i="1" s="1"/>
  <c r="AN222" i="1"/>
  <c r="AC222" i="1" s="1"/>
  <c r="AN322" i="1"/>
  <c r="AC322" i="1" s="1"/>
  <c r="AN250" i="1"/>
  <c r="AC250" i="1" s="1"/>
  <c r="AN324" i="1"/>
  <c r="AC324" i="1" s="1"/>
  <c r="AN253" i="1"/>
  <c r="AC253" i="1" s="1"/>
  <c r="AN52" i="1"/>
  <c r="AC52" i="1" s="1"/>
  <c r="AN51" i="1"/>
  <c r="AC51" i="1" s="1"/>
  <c r="AL212" i="1" l="1"/>
  <c r="AM212" i="1" s="1"/>
  <c r="AD212" i="1"/>
  <c r="AE212" i="1"/>
  <c r="AJ212" i="1"/>
  <c r="AK212" i="1" s="1"/>
  <c r="AL39" i="1"/>
  <c r="AM39" i="1" s="1"/>
  <c r="AD39" i="1"/>
  <c r="AJ39" i="1"/>
  <c r="AK39" i="1" s="1"/>
  <c r="AL350" i="1"/>
  <c r="AM350" i="1" s="1"/>
  <c r="AJ350" i="1"/>
  <c r="AK350" i="1" s="1"/>
  <c r="AD350" i="1"/>
  <c r="AE350" i="1"/>
  <c r="AL341" i="1"/>
  <c r="AM341" i="1" s="1"/>
  <c r="AE341" i="1"/>
  <c r="AD341" i="1"/>
  <c r="AJ341" i="1"/>
  <c r="AK341" i="1" s="1"/>
  <c r="AL103" i="1"/>
  <c r="AM103" i="1" s="1"/>
  <c r="AJ103" i="1"/>
  <c r="AK103" i="1" s="1"/>
  <c r="AD103" i="1"/>
  <c r="AL4" i="1"/>
  <c r="AM4" i="1" s="1"/>
  <c r="AE4" i="1"/>
  <c r="AD4" i="1"/>
  <c r="AJ4" i="1"/>
  <c r="AK4" i="1" s="1"/>
  <c r="AL347" i="1"/>
  <c r="AM347" i="1" s="1"/>
  <c r="AE347" i="1"/>
  <c r="AD347" i="1"/>
  <c r="AJ347" i="1"/>
  <c r="AK347" i="1" s="1"/>
  <c r="AL16" i="1"/>
  <c r="AM16" i="1" s="1"/>
  <c r="AJ16" i="1"/>
  <c r="AK16" i="1" s="1"/>
  <c r="AE16" i="1"/>
  <c r="AD16" i="1"/>
  <c r="AL196" i="1"/>
  <c r="AM196" i="1" s="1"/>
  <c r="AD196" i="1"/>
  <c r="AJ196" i="1"/>
  <c r="AK196" i="1" s="1"/>
  <c r="AL65" i="1"/>
  <c r="AM65" i="1" s="1"/>
  <c r="AD65" i="1"/>
  <c r="AJ65" i="1"/>
  <c r="AK65" i="1" s="1"/>
  <c r="AL211" i="1"/>
  <c r="AM211" i="1" s="1"/>
  <c r="AE211" i="1"/>
  <c r="AD211" i="1"/>
  <c r="AJ211" i="1"/>
  <c r="AK211" i="1" s="1"/>
  <c r="AL104" i="1"/>
  <c r="AM104" i="1" s="1"/>
  <c r="AD104" i="1"/>
  <c r="AJ104" i="1"/>
  <c r="AK104" i="1" s="1"/>
  <c r="AL339" i="1"/>
  <c r="AM339" i="1" s="1"/>
  <c r="AD339" i="1"/>
  <c r="AJ339" i="1"/>
  <c r="AK339" i="1" s="1"/>
  <c r="AL348" i="1"/>
  <c r="AM348" i="1" s="1"/>
  <c r="AE348" i="1"/>
  <c r="AD348" i="1"/>
  <c r="AJ348" i="1"/>
  <c r="AK348" i="1" s="1"/>
  <c r="AL230" i="1"/>
  <c r="AM230" i="1" s="1"/>
  <c r="AD230" i="1"/>
  <c r="AJ230" i="1"/>
  <c r="AK230" i="1" s="1"/>
  <c r="AL38" i="1"/>
  <c r="AM38" i="1" s="1"/>
  <c r="AJ38" i="1"/>
  <c r="AK38" i="1" s="1"/>
  <c r="AD38" i="1"/>
  <c r="AL335" i="1"/>
  <c r="AM335" i="1" s="1"/>
  <c r="AE335" i="1"/>
  <c r="AD335" i="1"/>
  <c r="AJ335" i="1"/>
  <c r="AK335" i="1" s="1"/>
  <c r="AL247" i="1"/>
  <c r="AM247" i="1" s="1"/>
  <c r="AD247" i="1"/>
  <c r="AE247" i="1"/>
  <c r="AJ247" i="1"/>
  <c r="AK247" i="1" s="1"/>
  <c r="AL228" i="1"/>
  <c r="AM228" i="1" s="1"/>
  <c r="AD228" i="1"/>
  <c r="AJ228" i="1"/>
  <c r="AK228" i="1" s="1"/>
  <c r="AL207" i="1"/>
  <c r="AM207" i="1" s="1"/>
  <c r="AE207" i="1"/>
  <c r="AD207" i="1"/>
  <c r="AJ207" i="1"/>
  <c r="AK207" i="1" s="1"/>
  <c r="AL68" i="1"/>
  <c r="AM68" i="1" s="1"/>
  <c r="AD68" i="1"/>
  <c r="AJ68" i="1"/>
  <c r="AK68" i="1" s="1"/>
  <c r="AL257" i="1"/>
  <c r="AM257" i="1" s="1"/>
  <c r="AD257" i="1"/>
  <c r="AE257" i="1"/>
  <c r="AJ257" i="1"/>
  <c r="AK257" i="1" s="1"/>
  <c r="AL194" i="1"/>
  <c r="AM194" i="1" s="1"/>
  <c r="AD194" i="1"/>
  <c r="AJ194" i="1"/>
  <c r="AK194" i="1" s="1"/>
  <c r="AL342" i="1"/>
  <c r="AM342" i="1" s="1"/>
  <c r="AD342" i="1"/>
  <c r="AE342" i="1"/>
  <c r="AJ342" i="1"/>
  <c r="AK342" i="1" s="1"/>
  <c r="AL340" i="1"/>
  <c r="AM340" i="1" s="1"/>
  <c r="AD340" i="1"/>
  <c r="AJ340" i="1"/>
  <c r="AK340" i="1" s="1"/>
  <c r="AL354" i="1"/>
  <c r="AM354" i="1" s="1"/>
  <c r="AE354" i="1"/>
  <c r="AD354" i="1"/>
  <c r="AJ354" i="1"/>
  <c r="AK354" i="1" s="1"/>
  <c r="AL352" i="1"/>
  <c r="AM352" i="1" s="1"/>
  <c r="AE352" i="1"/>
  <c r="AD352" i="1"/>
  <c r="AJ352" i="1"/>
  <c r="AK352" i="1" s="1"/>
  <c r="AL349" i="1"/>
  <c r="AM349" i="1" s="1"/>
  <c r="AE349" i="1"/>
  <c r="AD349" i="1"/>
  <c r="AJ349" i="1"/>
  <c r="AK349" i="1" s="1"/>
  <c r="AL195" i="1"/>
  <c r="AM195" i="1" s="1"/>
  <c r="AD195" i="1"/>
  <c r="AJ195" i="1"/>
  <c r="AK195" i="1" s="1"/>
  <c r="AL256" i="1"/>
  <c r="AM256" i="1" s="1"/>
  <c r="AE256" i="1"/>
  <c r="AD256" i="1"/>
  <c r="AJ256" i="1"/>
  <c r="AK256" i="1" s="1"/>
  <c r="AL23" i="1"/>
  <c r="AM23" i="1" s="1"/>
  <c r="AD23" i="1"/>
  <c r="AJ23" i="1"/>
  <c r="AK23" i="1" s="1"/>
  <c r="AL189" i="1"/>
  <c r="AM189" i="1" s="1"/>
  <c r="AD189" i="1"/>
  <c r="AE189" i="1"/>
  <c r="AJ189" i="1"/>
  <c r="AK189" i="1" s="1"/>
  <c r="AL333" i="1"/>
  <c r="AM333" i="1" s="1"/>
  <c r="AD333" i="1"/>
  <c r="AJ333" i="1"/>
  <c r="AK333" i="1" s="1"/>
  <c r="AL344" i="1"/>
  <c r="AM344" i="1" s="1"/>
  <c r="AE344" i="1"/>
  <c r="AD344" i="1"/>
  <c r="AJ344" i="1"/>
  <c r="AK344" i="1" s="1"/>
  <c r="AL334" i="1"/>
  <c r="AM334" i="1" s="1"/>
  <c r="AE334" i="1"/>
  <c r="AD334" i="1"/>
  <c r="AJ334" i="1"/>
  <c r="AK334" i="1" s="1"/>
  <c r="AL252" i="1"/>
  <c r="AM252" i="1" s="1"/>
  <c r="AE252" i="1"/>
  <c r="AD252" i="1"/>
  <c r="AJ252" i="1"/>
  <c r="AK252" i="1" s="1"/>
  <c r="AL73" i="1"/>
  <c r="AM73" i="1" s="1"/>
  <c r="AE73" i="1"/>
  <c r="AD73" i="1"/>
  <c r="AJ73" i="1"/>
  <c r="AK73" i="1" s="1"/>
  <c r="AL41" i="1"/>
  <c r="AM41" i="1" s="1"/>
  <c r="AD41" i="1"/>
  <c r="AE41" i="1"/>
  <c r="AJ41" i="1"/>
  <c r="AK41" i="1" s="1"/>
  <c r="AL336" i="1"/>
  <c r="AM336" i="1" s="1"/>
  <c r="AD336" i="1"/>
  <c r="AE336" i="1"/>
  <c r="AJ336" i="1"/>
  <c r="AK336" i="1" s="1"/>
  <c r="AL351" i="1"/>
  <c r="AM351" i="1" s="1"/>
  <c r="AD351" i="1"/>
  <c r="AJ351" i="1"/>
  <c r="AK351" i="1" s="1"/>
  <c r="AL345" i="1"/>
  <c r="AM345" i="1" s="1"/>
  <c r="AE345" i="1"/>
  <c r="AD345" i="1"/>
  <c r="AJ345" i="1"/>
  <c r="AK345" i="1" s="1"/>
  <c r="AL72" i="1"/>
  <c r="AM72" i="1" s="1"/>
  <c r="AE72" i="1"/>
  <c r="AD72" i="1"/>
  <c r="AJ72" i="1"/>
  <c r="AK72" i="1" s="1"/>
  <c r="AL121" i="1"/>
  <c r="AM121" i="1" s="1"/>
  <c r="AD121" i="1"/>
  <c r="AE121" i="1"/>
  <c r="AJ121" i="1"/>
  <c r="AK121" i="1" s="1"/>
  <c r="AL267" i="1"/>
  <c r="AM267" i="1" s="1"/>
  <c r="AE267" i="1"/>
  <c r="AD267" i="1"/>
  <c r="AJ267" i="1"/>
  <c r="AK267" i="1" s="1"/>
  <c r="AL330" i="1"/>
  <c r="AM330" i="1" s="1"/>
  <c r="AE330" i="1"/>
  <c r="AD330" i="1"/>
  <c r="AJ330" i="1"/>
  <c r="AK330" i="1" s="1"/>
  <c r="AL17" i="1"/>
  <c r="AM17" i="1" s="1"/>
  <c r="AE17" i="1"/>
  <c r="AD17" i="1"/>
  <c r="AJ17" i="1"/>
  <c r="AK17" i="1" s="1"/>
  <c r="AL237" i="1"/>
  <c r="AM237" i="1" s="1"/>
  <c r="AD237" i="1"/>
  <c r="AE237" i="1"/>
  <c r="AJ237" i="1"/>
  <c r="AK237" i="1" s="1"/>
  <c r="AJ220" i="1"/>
  <c r="AK220" i="1" s="1"/>
  <c r="AL220" i="1"/>
  <c r="AM220" i="1" s="1"/>
  <c r="AD220" i="1"/>
  <c r="AE220" i="1"/>
  <c r="AL246" i="1"/>
  <c r="AM246" i="1" s="1"/>
  <c r="AE246" i="1"/>
  <c r="AD246" i="1"/>
  <c r="AJ246" i="1"/>
  <c r="AK246" i="1" s="1"/>
  <c r="AL206" i="1"/>
  <c r="AM206" i="1" s="1"/>
  <c r="AD206" i="1"/>
  <c r="AE206" i="1"/>
  <c r="AJ206" i="1"/>
  <c r="AK206" i="1" s="1"/>
  <c r="AL346" i="1"/>
  <c r="AM346" i="1" s="1"/>
  <c r="AE346" i="1"/>
  <c r="AD346" i="1"/>
  <c r="AJ346" i="1"/>
  <c r="AK346" i="1" s="1"/>
  <c r="AL343" i="1"/>
  <c r="AM343" i="1" s="1"/>
  <c r="AE343" i="1"/>
  <c r="AD343" i="1"/>
  <c r="AJ343" i="1"/>
  <c r="AK343" i="1" s="1"/>
  <c r="AL338" i="1"/>
  <c r="AM338" i="1" s="1"/>
  <c r="AD338" i="1"/>
  <c r="AJ338" i="1"/>
  <c r="AK338" i="1" s="1"/>
  <c r="AL337" i="1"/>
  <c r="AM337" i="1" s="1"/>
  <c r="AD337" i="1"/>
  <c r="AJ337" i="1"/>
  <c r="AK337" i="1" s="1"/>
  <c r="AL353" i="1"/>
  <c r="AM353" i="1" s="1"/>
  <c r="AE353" i="1"/>
  <c r="AD353" i="1"/>
  <c r="AJ353" i="1"/>
  <c r="AK353" i="1" s="1"/>
  <c r="AC272" i="1"/>
  <c r="AD272" i="1" s="1"/>
  <c r="AC88" i="1"/>
  <c r="AL88" i="1" s="1"/>
  <c r="AM88" i="1" s="1"/>
  <c r="AC225" i="1"/>
  <c r="AJ225" i="1" s="1"/>
  <c r="AK225" i="1" s="1"/>
  <c r="AC91" i="1"/>
  <c r="AJ91" i="1" s="1"/>
  <c r="AK91" i="1" s="1"/>
  <c r="AC155" i="1"/>
  <c r="AD155" i="1" s="1"/>
  <c r="AC197" i="1"/>
  <c r="AL197" i="1" s="1"/>
  <c r="AM197" i="1" s="1"/>
  <c r="AL239" i="1"/>
  <c r="AM239" i="1" s="1"/>
  <c r="AD239" i="1"/>
  <c r="AE239" i="1"/>
  <c r="AJ239" i="1"/>
  <c r="AK239" i="1" s="1"/>
  <c r="AL131" i="1"/>
  <c r="AM131" i="1" s="1"/>
  <c r="AD131" i="1"/>
  <c r="AE131" i="1"/>
  <c r="AJ131" i="1"/>
  <c r="AK131" i="1" s="1"/>
  <c r="AL172" i="1"/>
  <c r="AM172" i="1" s="1"/>
  <c r="AD172" i="1"/>
  <c r="AE172" i="1"/>
  <c r="AJ172" i="1"/>
  <c r="AK172" i="1" s="1"/>
  <c r="AL183" i="1"/>
  <c r="AM183" i="1" s="1"/>
  <c r="AD183" i="1"/>
  <c r="AJ183" i="1"/>
  <c r="AK183" i="1" s="1"/>
  <c r="AL118" i="1"/>
  <c r="AM118" i="1" s="1"/>
  <c r="AD118" i="1"/>
  <c r="AE118" i="1"/>
  <c r="AJ118" i="1"/>
  <c r="AK118" i="1" s="1"/>
  <c r="AL31" i="1"/>
  <c r="AM31" i="1" s="1"/>
  <c r="AD31" i="1"/>
  <c r="AJ31" i="1"/>
  <c r="AK31" i="1" s="1"/>
  <c r="AL309" i="1"/>
  <c r="AM309" i="1" s="1"/>
  <c r="AD309" i="1"/>
  <c r="AE309" i="1"/>
  <c r="AJ309" i="1"/>
  <c r="AK309" i="1" s="1"/>
  <c r="AL236" i="1"/>
  <c r="AM236" i="1" s="1"/>
  <c r="AD236" i="1"/>
  <c r="AE236" i="1"/>
  <c r="AJ236" i="1"/>
  <c r="AK236" i="1" s="1"/>
  <c r="AL266" i="1"/>
  <c r="AM266" i="1" s="1"/>
  <c r="AD266" i="1"/>
  <c r="AE266" i="1"/>
  <c r="AJ266" i="1"/>
  <c r="AK266" i="1" s="1"/>
  <c r="AD113" i="1"/>
  <c r="AL113" i="1"/>
  <c r="AM113" i="1" s="1"/>
  <c r="AJ113" i="1"/>
  <c r="AK113" i="1" s="1"/>
  <c r="AD112" i="1"/>
  <c r="AL112" i="1"/>
  <c r="AM112" i="1" s="1"/>
  <c r="AJ112" i="1"/>
  <c r="AK112" i="1" s="1"/>
  <c r="AL10" i="1"/>
  <c r="AM10" i="1" s="1"/>
  <c r="AD10" i="1"/>
  <c r="AJ10" i="1"/>
  <c r="AK10" i="1" s="1"/>
  <c r="AL248" i="1"/>
  <c r="AM248" i="1" s="1"/>
  <c r="AD248" i="1"/>
  <c r="AE248" i="1"/>
  <c r="AJ248" i="1"/>
  <c r="AK248" i="1" s="1"/>
  <c r="AL249" i="1"/>
  <c r="AM249" i="1" s="1"/>
  <c r="AD249" i="1"/>
  <c r="AE249" i="1"/>
  <c r="AJ249" i="1"/>
  <c r="AK249" i="1" s="1"/>
  <c r="AL297" i="1"/>
  <c r="AM297" i="1" s="1"/>
  <c r="AD297" i="1"/>
  <c r="AE297" i="1"/>
  <c r="AJ297" i="1"/>
  <c r="AK297" i="1" s="1"/>
  <c r="AL298" i="1"/>
  <c r="AM298" i="1" s="1"/>
  <c r="AD298" i="1"/>
  <c r="AE298" i="1"/>
  <c r="AJ298" i="1"/>
  <c r="AK298" i="1" s="1"/>
  <c r="AL69" i="1"/>
  <c r="AM69" i="1" s="1"/>
  <c r="AD69" i="1"/>
  <c r="AJ69" i="1"/>
  <c r="AK69" i="1" s="1"/>
  <c r="AL70" i="1"/>
  <c r="AM70" i="1" s="1"/>
  <c r="AD70" i="1"/>
  <c r="AJ70" i="1"/>
  <c r="AK70" i="1" s="1"/>
  <c r="AL186" i="1"/>
  <c r="AM186" i="1" s="1"/>
  <c r="AD186" i="1"/>
  <c r="AE186" i="1"/>
  <c r="AJ186" i="1"/>
  <c r="AK186" i="1" s="1"/>
  <c r="AL187" i="1"/>
  <c r="AM187" i="1" s="1"/>
  <c r="AD187" i="1"/>
  <c r="AE187" i="1"/>
  <c r="AJ187" i="1"/>
  <c r="AK187" i="1" s="1"/>
  <c r="AD134" i="1"/>
  <c r="AL134" i="1"/>
  <c r="AM134" i="1" s="1"/>
  <c r="AJ134" i="1"/>
  <c r="AK134" i="1" s="1"/>
  <c r="AD135" i="1"/>
  <c r="AL135" i="1"/>
  <c r="AM135" i="1" s="1"/>
  <c r="AJ135" i="1"/>
  <c r="AK135" i="1" s="1"/>
  <c r="AE203" i="1"/>
  <c r="AD203" i="1"/>
  <c r="AL203" i="1"/>
  <c r="AM203" i="1" s="1"/>
  <c r="AJ203" i="1"/>
  <c r="AK203" i="1" s="1"/>
  <c r="AE204" i="1"/>
  <c r="AD204" i="1"/>
  <c r="AL204" i="1"/>
  <c r="AM204" i="1" s="1"/>
  <c r="AJ204" i="1"/>
  <c r="AK204" i="1" s="1"/>
  <c r="AL182" i="1"/>
  <c r="AM182" i="1" s="1"/>
  <c r="AD182" i="1"/>
  <c r="AJ182" i="1"/>
  <c r="AK182" i="1" s="1"/>
  <c r="AL273" i="1"/>
  <c r="AM273" i="1" s="1"/>
  <c r="AD273" i="1"/>
  <c r="AJ273" i="1"/>
  <c r="AK273" i="1" s="1"/>
  <c r="AJ170" i="1"/>
  <c r="AK170" i="1" s="1"/>
  <c r="AL170" i="1"/>
  <c r="AM170" i="1" s="1"/>
  <c r="AD170" i="1"/>
  <c r="AL238" i="1"/>
  <c r="AM238" i="1" s="1"/>
  <c r="AD238" i="1"/>
  <c r="AJ238" i="1"/>
  <c r="AK238" i="1" s="1"/>
  <c r="AL78" i="1"/>
  <c r="AM78" i="1" s="1"/>
  <c r="AD78" i="1"/>
  <c r="AJ78" i="1"/>
  <c r="AK78" i="1" s="1"/>
  <c r="AL328" i="1"/>
  <c r="AM328" i="1" s="1"/>
  <c r="AD328" i="1"/>
  <c r="AE328" i="1"/>
  <c r="AJ328" i="1"/>
  <c r="AK328" i="1" s="1"/>
  <c r="AL227" i="1"/>
  <c r="AM227" i="1" s="1"/>
  <c r="AD227" i="1"/>
  <c r="AJ227" i="1"/>
  <c r="AK227" i="1" s="1"/>
  <c r="AL293" i="1"/>
  <c r="AM293" i="1" s="1"/>
  <c r="AD293" i="1"/>
  <c r="AJ293" i="1"/>
  <c r="AK293" i="1" s="1"/>
  <c r="AL294" i="1"/>
  <c r="AM294" i="1" s="1"/>
  <c r="AD294" i="1"/>
  <c r="AJ294" i="1"/>
  <c r="AK294" i="1" s="1"/>
  <c r="AL295" i="1"/>
  <c r="AM295" i="1" s="1"/>
  <c r="AD295" i="1"/>
  <c r="AJ295" i="1"/>
  <c r="AK295" i="1" s="1"/>
  <c r="AL231" i="1"/>
  <c r="AM231" i="1" s="1"/>
  <c r="AD231" i="1"/>
  <c r="AJ231" i="1"/>
  <c r="AK231" i="1" s="1"/>
  <c r="AL232" i="1"/>
  <c r="AM232" i="1" s="1"/>
  <c r="AD232" i="1"/>
  <c r="AJ232" i="1"/>
  <c r="AK232" i="1" s="1"/>
  <c r="AL171" i="1"/>
  <c r="AM171" i="1" s="1"/>
  <c r="AD171" i="1"/>
  <c r="AJ171" i="1"/>
  <c r="AK171" i="1" s="1"/>
  <c r="AL208" i="1"/>
  <c r="AM208" i="1" s="1"/>
  <c r="AD208" i="1"/>
  <c r="AJ208" i="1"/>
  <c r="AK208" i="1" s="1"/>
  <c r="AL300" i="1"/>
  <c r="AM300" i="1" s="1"/>
  <c r="AD300" i="1"/>
  <c r="AJ300" i="1"/>
  <c r="AK300" i="1" s="1"/>
  <c r="AL164" i="1"/>
  <c r="AM164" i="1" s="1"/>
  <c r="AD164" i="1"/>
  <c r="AE164" i="1"/>
  <c r="AJ164" i="1"/>
  <c r="AK164" i="1" s="1"/>
  <c r="AL263" i="1"/>
  <c r="AM263" i="1" s="1"/>
  <c r="AD263" i="1"/>
  <c r="AE263" i="1"/>
  <c r="AJ263" i="1"/>
  <c r="AK263" i="1" s="1"/>
  <c r="AL233" i="1"/>
  <c r="AM233" i="1" s="1"/>
  <c r="AD233" i="1"/>
  <c r="AJ233" i="1"/>
  <c r="AK233" i="1" s="1"/>
  <c r="AL234" i="1"/>
  <c r="AM234" i="1" s="1"/>
  <c r="AD234" i="1"/>
  <c r="AJ234" i="1"/>
  <c r="AK234" i="1" s="1"/>
  <c r="AL132" i="1"/>
  <c r="AM132" i="1" s="1"/>
  <c r="AD132" i="1"/>
  <c r="AE132" i="1"/>
  <c r="AJ132" i="1"/>
  <c r="AK132" i="1" s="1"/>
  <c r="AL191" i="1"/>
  <c r="AM191" i="1" s="1"/>
  <c r="AD191" i="1"/>
  <c r="AJ191" i="1"/>
  <c r="AK191" i="1" s="1"/>
  <c r="AL192" i="1"/>
  <c r="AM192" i="1" s="1"/>
  <c r="AD192" i="1"/>
  <c r="AJ192" i="1"/>
  <c r="AK192" i="1" s="1"/>
  <c r="AL32" i="1"/>
  <c r="AM32" i="1" s="1"/>
  <c r="AD32" i="1"/>
  <c r="AJ32" i="1"/>
  <c r="AK32" i="1" s="1"/>
  <c r="AL33" i="1"/>
  <c r="AM33" i="1" s="1"/>
  <c r="AD33" i="1"/>
  <c r="AJ33" i="1"/>
  <c r="AK33" i="1" s="1"/>
  <c r="AJ42" i="1"/>
  <c r="AK42" i="1" s="1"/>
  <c r="AL42" i="1"/>
  <c r="AM42" i="1" s="1"/>
  <c r="AD42" i="1"/>
  <c r="AJ43" i="1"/>
  <c r="AK43" i="1" s="1"/>
  <c r="AL43" i="1"/>
  <c r="AM43" i="1" s="1"/>
  <c r="AD43" i="1"/>
  <c r="AL40" i="1"/>
  <c r="AM40" i="1" s="1"/>
  <c r="AD40" i="1"/>
  <c r="AE40" i="1"/>
  <c r="AJ40" i="1"/>
  <c r="AK40" i="1" s="1"/>
  <c r="AL282" i="1"/>
  <c r="AM282" i="1" s="1"/>
  <c r="AD282" i="1"/>
  <c r="AJ282" i="1"/>
  <c r="AK282" i="1" s="1"/>
  <c r="AL283" i="1"/>
  <c r="AM283" i="1" s="1"/>
  <c r="AD283" i="1"/>
  <c r="AE283" i="1"/>
  <c r="AJ283" i="1"/>
  <c r="AK283" i="1" s="1"/>
  <c r="AL284" i="1"/>
  <c r="AM284" i="1" s="1"/>
  <c r="AD284" i="1"/>
  <c r="AE284" i="1"/>
  <c r="AJ284" i="1"/>
  <c r="AK284" i="1" s="1"/>
  <c r="AL289" i="1"/>
  <c r="AM289" i="1" s="1"/>
  <c r="AD289" i="1"/>
  <c r="AE289" i="1"/>
  <c r="AJ289" i="1"/>
  <c r="AK289" i="1" s="1"/>
  <c r="AL259" i="1"/>
  <c r="AM259" i="1" s="1"/>
  <c r="AD259" i="1"/>
  <c r="AE259" i="1"/>
  <c r="AJ259" i="1"/>
  <c r="AK259" i="1" s="1"/>
  <c r="AL190" i="1"/>
  <c r="AM190" i="1" s="1"/>
  <c r="AD190" i="1"/>
  <c r="AE190" i="1"/>
  <c r="AJ190" i="1"/>
  <c r="AK190" i="1" s="1"/>
  <c r="AL217" i="1"/>
  <c r="AM217" i="1" s="1"/>
  <c r="AD217" i="1"/>
  <c r="AE217" i="1"/>
  <c r="AJ217" i="1"/>
  <c r="AK217" i="1" s="1"/>
  <c r="AL307" i="1"/>
  <c r="AM307" i="1" s="1"/>
  <c r="AD307" i="1"/>
  <c r="AJ307" i="1"/>
  <c r="AK307" i="1" s="1"/>
  <c r="AL308" i="1"/>
  <c r="AM308" i="1" s="1"/>
  <c r="AD308" i="1"/>
  <c r="AJ308" i="1"/>
  <c r="AK308" i="1" s="1"/>
  <c r="AL292" i="1"/>
  <c r="AM292" i="1" s="1"/>
  <c r="AD292" i="1"/>
  <c r="AE292" i="1"/>
  <c r="AJ292" i="1"/>
  <c r="AK292" i="1" s="1"/>
  <c r="AL317" i="1"/>
  <c r="AM317" i="1" s="1"/>
  <c r="AD317" i="1"/>
  <c r="AE317" i="1"/>
  <c r="AJ317" i="1"/>
  <c r="AK317" i="1" s="1"/>
  <c r="AL26" i="1"/>
  <c r="AM26" i="1" s="1"/>
  <c r="AD26" i="1"/>
  <c r="AE26" i="1"/>
  <c r="AJ26" i="1"/>
  <c r="AK26" i="1" s="1"/>
  <c r="AL198" i="1"/>
  <c r="AM198" i="1" s="1"/>
  <c r="AD198" i="1"/>
  <c r="AJ198" i="1"/>
  <c r="AK198" i="1" s="1"/>
  <c r="AL258" i="1"/>
  <c r="AM258" i="1" s="1"/>
  <c r="AD258" i="1"/>
  <c r="AJ258" i="1"/>
  <c r="AK258" i="1" s="1"/>
  <c r="AJ240" i="1"/>
  <c r="AK240" i="1" s="1"/>
  <c r="AL240" i="1"/>
  <c r="AM240" i="1" s="1"/>
  <c r="AD240" i="1"/>
  <c r="AL280" i="1"/>
  <c r="AM280" i="1" s="1"/>
  <c r="AD280" i="1"/>
  <c r="AJ280" i="1"/>
  <c r="AK280" i="1" s="1"/>
  <c r="AL281" i="1"/>
  <c r="AM281" i="1" s="1"/>
  <c r="AD281" i="1"/>
  <c r="AJ281" i="1"/>
  <c r="AK281" i="1" s="1"/>
  <c r="AJ243" i="1"/>
  <c r="AK243" i="1" s="1"/>
  <c r="AL243" i="1"/>
  <c r="AM243" i="1" s="1"/>
  <c r="AD243" i="1"/>
  <c r="AL126" i="1"/>
  <c r="AM126" i="1" s="1"/>
  <c r="AD126" i="1"/>
  <c r="AE126" i="1"/>
  <c r="AJ126" i="1"/>
  <c r="AK126" i="1" s="1"/>
  <c r="AL325" i="1"/>
  <c r="AM325" i="1" s="1"/>
  <c r="AD325" i="1"/>
  <c r="AJ325" i="1"/>
  <c r="AK325" i="1" s="1"/>
  <c r="AL326" i="1"/>
  <c r="AM326" i="1" s="1"/>
  <c r="AD326" i="1"/>
  <c r="AJ326" i="1"/>
  <c r="AK326" i="1" s="1"/>
  <c r="AL327" i="1"/>
  <c r="AM327" i="1" s="1"/>
  <c r="AD327" i="1"/>
  <c r="AJ327" i="1"/>
  <c r="AK327" i="1" s="1"/>
  <c r="AL177" i="1"/>
  <c r="AM177" i="1" s="1"/>
  <c r="AD177" i="1"/>
  <c r="AE177" i="1"/>
  <c r="AJ177" i="1"/>
  <c r="AK177" i="1" s="1"/>
  <c r="AL178" i="1"/>
  <c r="AM178" i="1" s="1"/>
  <c r="AD178" i="1"/>
  <c r="AE178" i="1"/>
  <c r="AJ178" i="1"/>
  <c r="AK178" i="1" s="1"/>
  <c r="AL179" i="1"/>
  <c r="AM179" i="1" s="1"/>
  <c r="AD179" i="1"/>
  <c r="AE179" i="1"/>
  <c r="AJ179" i="1"/>
  <c r="AK179" i="1" s="1"/>
  <c r="AL180" i="1"/>
  <c r="AM180" i="1" s="1"/>
  <c r="AD180" i="1"/>
  <c r="AE180" i="1"/>
  <c r="AJ180" i="1"/>
  <c r="AK180" i="1" s="1"/>
  <c r="AL167" i="1"/>
  <c r="AM167" i="1" s="1"/>
  <c r="AD167" i="1"/>
  <c r="AJ167" i="1"/>
  <c r="AK167" i="1" s="1"/>
  <c r="AL166" i="1"/>
  <c r="AM166" i="1" s="1"/>
  <c r="AD166" i="1"/>
  <c r="AJ166" i="1"/>
  <c r="AK166" i="1" s="1"/>
  <c r="AL223" i="1"/>
  <c r="AM223" i="1" s="1"/>
  <c r="AD223" i="1"/>
  <c r="AJ223" i="1"/>
  <c r="AK223" i="1" s="1"/>
  <c r="AL224" i="1"/>
  <c r="AM224" i="1" s="1"/>
  <c r="AD224" i="1"/>
  <c r="AJ224" i="1"/>
  <c r="AK224" i="1" s="1"/>
  <c r="AL137" i="1"/>
  <c r="AM137" i="1" s="1"/>
  <c r="AD137" i="1"/>
  <c r="AE137" i="1"/>
  <c r="AJ137" i="1"/>
  <c r="AK137" i="1" s="1"/>
  <c r="AL138" i="1"/>
  <c r="AM138" i="1" s="1"/>
  <c r="AD138" i="1"/>
  <c r="AE138" i="1"/>
  <c r="AJ138" i="1"/>
  <c r="AK138" i="1" s="1"/>
  <c r="AL315" i="1"/>
  <c r="AM315" i="1" s="1"/>
  <c r="AD315" i="1"/>
  <c r="AE315" i="1"/>
  <c r="AJ315" i="1"/>
  <c r="AK315" i="1" s="1"/>
  <c r="AL255" i="1"/>
  <c r="AM255" i="1" s="1"/>
  <c r="AD255" i="1"/>
  <c r="AE255" i="1"/>
  <c r="AJ255" i="1"/>
  <c r="AK255" i="1" s="1"/>
  <c r="AL311" i="1"/>
  <c r="AM311" i="1" s="1"/>
  <c r="AD311" i="1"/>
  <c r="AJ311" i="1"/>
  <c r="AK311" i="1" s="1"/>
  <c r="AL312" i="1"/>
  <c r="AM312" i="1" s="1"/>
  <c r="AD312" i="1"/>
  <c r="AJ312" i="1"/>
  <c r="AK312" i="1" s="1"/>
  <c r="AL313" i="1"/>
  <c r="AM313" i="1" s="1"/>
  <c r="AD313" i="1"/>
  <c r="AJ313" i="1"/>
  <c r="AK313" i="1" s="1"/>
  <c r="AL51" i="1"/>
  <c r="AL52" i="1"/>
  <c r="AL253" i="1"/>
  <c r="AE2" i="1"/>
  <c r="AE12" i="1"/>
  <c r="AD12" i="1"/>
  <c r="AE13" i="1"/>
  <c r="AE14" i="1"/>
  <c r="AE76" i="1"/>
  <c r="AE105" i="1"/>
  <c r="AE181" i="1"/>
  <c r="AE84" i="1"/>
  <c r="AE92" i="1"/>
  <c r="AE111" i="1"/>
  <c r="AE160" i="1"/>
  <c r="AE161" i="1"/>
  <c r="AE143" i="1"/>
  <c r="AE144" i="1"/>
  <c r="AE152" i="1"/>
  <c r="AE304" i="1"/>
  <c r="AE75" i="1"/>
  <c r="AE98" i="1"/>
  <c r="AE139" i="1"/>
  <c r="AD215" i="1"/>
  <c r="AJ215" i="1"/>
  <c r="AK215" i="1" s="1"/>
  <c r="AL215" i="1"/>
  <c r="AM215" i="1" s="1"/>
  <c r="AD214" i="1"/>
  <c r="AJ214" i="1"/>
  <c r="AK214" i="1" s="1"/>
  <c r="AL214" i="1"/>
  <c r="AM214" i="1" s="1"/>
  <c r="AD226" i="1"/>
  <c r="AJ226" i="1"/>
  <c r="AK226" i="1" s="1"/>
  <c r="AL226" i="1"/>
  <c r="AM226" i="1" s="1"/>
  <c r="AD304" i="1"/>
  <c r="AD276" i="1"/>
  <c r="AJ276" i="1"/>
  <c r="AK276" i="1" s="1"/>
  <c r="AL276" i="1"/>
  <c r="AM276" i="1" s="1"/>
  <c r="AD275" i="1"/>
  <c r="AJ275" i="1"/>
  <c r="AK275" i="1" s="1"/>
  <c r="AL275" i="1"/>
  <c r="AM275" i="1" s="1"/>
  <c r="AD274" i="1"/>
  <c r="AJ274" i="1"/>
  <c r="AK274" i="1" s="1"/>
  <c r="AL274" i="1"/>
  <c r="AM274" i="1" s="1"/>
  <c r="AD271" i="1"/>
  <c r="AJ271" i="1"/>
  <c r="AK271" i="1" s="1"/>
  <c r="AL271" i="1"/>
  <c r="AM271" i="1" s="1"/>
  <c r="AD86" i="1"/>
  <c r="AJ86" i="1"/>
  <c r="AK86" i="1" s="1"/>
  <c r="AL86" i="1"/>
  <c r="AM86" i="1" s="1"/>
  <c r="AD85" i="1"/>
  <c r="AJ85" i="1"/>
  <c r="AK85" i="1" s="1"/>
  <c r="AL85" i="1"/>
  <c r="AM85" i="1" s="1"/>
  <c r="AD89" i="1"/>
  <c r="AJ89" i="1"/>
  <c r="AK89" i="1" s="1"/>
  <c r="AL89" i="1"/>
  <c r="AM89" i="1" s="1"/>
  <c r="AD90" i="1"/>
  <c r="AJ90" i="1"/>
  <c r="AK90" i="1" s="1"/>
  <c r="AL90" i="1"/>
  <c r="AM90" i="1" s="1"/>
  <c r="AD148" i="1"/>
  <c r="AJ148" i="1"/>
  <c r="AK148" i="1" s="1"/>
  <c r="AL148" i="1"/>
  <c r="AM148" i="1" s="1"/>
  <c r="AE7" i="1"/>
  <c r="AD7" i="1"/>
  <c r="AJ7" i="1"/>
  <c r="AK7" i="1" s="1"/>
  <c r="AL7" i="1"/>
  <c r="AM7" i="1" s="1"/>
  <c r="AE8" i="1"/>
  <c r="AD8" i="1"/>
  <c r="AJ8" i="1"/>
  <c r="AK8" i="1" s="1"/>
  <c r="AL8" i="1"/>
  <c r="AM8" i="1" s="1"/>
  <c r="AE9" i="1"/>
  <c r="AD9" i="1"/>
  <c r="AJ9" i="1"/>
  <c r="AK9" i="1" s="1"/>
  <c r="AL9" i="1"/>
  <c r="AM9" i="1" s="1"/>
  <c r="AL324" i="1"/>
  <c r="AM324" i="1" s="1"/>
  <c r="AD324" i="1"/>
  <c r="AE324" i="1"/>
  <c r="AJ324" i="1"/>
  <c r="AK324" i="1" s="1"/>
  <c r="AL250" i="1"/>
  <c r="AM250" i="1" s="1"/>
  <c r="AD250" i="1"/>
  <c r="AE250" i="1"/>
  <c r="AJ250" i="1"/>
  <c r="AK250" i="1" s="1"/>
  <c r="AL322" i="1"/>
  <c r="AM322" i="1" s="1"/>
  <c r="AD322" i="1"/>
  <c r="AE322" i="1"/>
  <c r="AJ322" i="1"/>
  <c r="AK322" i="1" s="1"/>
  <c r="AL222" i="1"/>
  <c r="AD222" i="1"/>
  <c r="AE222" i="1"/>
  <c r="AL278" i="1"/>
  <c r="AM278" i="1" s="1"/>
  <c r="AD278" i="1"/>
  <c r="AE278" i="1"/>
  <c r="AJ278" i="1"/>
  <c r="AK278" i="1" s="1"/>
  <c r="AL241" i="1"/>
  <c r="AM241" i="1" s="1"/>
  <c r="AD241" i="1"/>
  <c r="AE241" i="1"/>
  <c r="AJ241" i="1"/>
  <c r="AK241" i="1" s="1"/>
  <c r="AL235" i="1"/>
  <c r="AM235" i="1" s="1"/>
  <c r="AD235" i="1"/>
  <c r="AE235" i="1"/>
  <c r="AJ235" i="1"/>
  <c r="AK235" i="1" s="1"/>
  <c r="AL229" i="1"/>
  <c r="AM229" i="1" s="1"/>
  <c r="AD229" i="1"/>
  <c r="AE229" i="1"/>
  <c r="AJ229" i="1"/>
  <c r="AK229" i="1" s="1"/>
  <c r="AL244" i="1"/>
  <c r="AM244" i="1" s="1"/>
  <c r="AD244" i="1"/>
  <c r="AE244" i="1"/>
  <c r="AJ244" i="1"/>
  <c r="AK244" i="1" s="1"/>
  <c r="AL221" i="1"/>
  <c r="AD221" i="1"/>
  <c r="AE221" i="1"/>
  <c r="AL219" i="1"/>
  <c r="AD219" i="1"/>
  <c r="AE219" i="1"/>
  <c r="AL218" i="1"/>
  <c r="AM218" i="1" s="1"/>
  <c r="AD218" i="1"/>
  <c r="AE218" i="1"/>
  <c r="AJ218" i="1"/>
  <c r="AK218" i="1" s="1"/>
  <c r="AL216" i="1"/>
  <c r="AD216" i="1"/>
  <c r="AE216" i="1"/>
  <c r="AL213" i="1"/>
  <c r="AM213" i="1" s="1"/>
  <c r="AD213" i="1"/>
  <c r="AE213" i="1"/>
  <c r="AJ213" i="1"/>
  <c r="AK213" i="1" s="1"/>
  <c r="AL210" i="1"/>
  <c r="AM210" i="1" s="1"/>
  <c r="AD210" i="1"/>
  <c r="AE210" i="1"/>
  <c r="AJ210" i="1"/>
  <c r="AK210" i="1" s="1"/>
  <c r="AL209" i="1"/>
  <c r="AM209" i="1" s="1"/>
  <c r="AD209" i="1"/>
  <c r="AE209" i="1"/>
  <c r="AJ209" i="1"/>
  <c r="AK209" i="1" s="1"/>
  <c r="AL205" i="1"/>
  <c r="AM205" i="1" s="1"/>
  <c r="AD205" i="1"/>
  <c r="AE205" i="1"/>
  <c r="AJ205" i="1"/>
  <c r="AK205" i="1" s="1"/>
  <c r="AL202" i="1"/>
  <c r="AM202" i="1" s="1"/>
  <c r="AD202" i="1"/>
  <c r="AE202" i="1"/>
  <c r="AJ202" i="1"/>
  <c r="AK202" i="1" s="1"/>
  <c r="AL201" i="1"/>
  <c r="AM201" i="1" s="1"/>
  <c r="AD201" i="1"/>
  <c r="AE201" i="1"/>
  <c r="AJ201" i="1"/>
  <c r="AK201" i="1" s="1"/>
  <c r="AL200" i="1"/>
  <c r="AM200" i="1" s="1"/>
  <c r="AD200" i="1"/>
  <c r="AE200" i="1"/>
  <c r="AJ200" i="1"/>
  <c r="AK200" i="1" s="1"/>
  <c r="AL199" i="1"/>
  <c r="AM199" i="1" s="1"/>
  <c r="AD199" i="1"/>
  <c r="AE199" i="1"/>
  <c r="AJ199" i="1"/>
  <c r="AK199" i="1" s="1"/>
  <c r="AL193" i="1"/>
  <c r="AM193" i="1" s="1"/>
  <c r="AD193" i="1"/>
  <c r="AE193" i="1"/>
  <c r="AJ193" i="1"/>
  <c r="AK193" i="1" s="1"/>
  <c r="AL188" i="1"/>
  <c r="AM188" i="1" s="1"/>
  <c r="AD188" i="1"/>
  <c r="AE188" i="1"/>
  <c r="AJ188" i="1"/>
  <c r="AK188" i="1" s="1"/>
  <c r="AL185" i="1"/>
  <c r="AD185" i="1"/>
  <c r="AE185" i="1"/>
  <c r="AL184" i="1"/>
  <c r="AD184" i="1"/>
  <c r="AE184" i="1"/>
  <c r="AL176" i="1"/>
  <c r="AM176" i="1" s="1"/>
  <c r="AD176" i="1"/>
  <c r="AE176" i="1"/>
  <c r="AJ176" i="1"/>
  <c r="AK176" i="1" s="1"/>
  <c r="AL175" i="1"/>
  <c r="AM175" i="1" s="1"/>
  <c r="AD175" i="1"/>
  <c r="AE175" i="1"/>
  <c r="AJ175" i="1"/>
  <c r="AK175" i="1" s="1"/>
  <c r="AL174" i="1"/>
  <c r="AM174" i="1" s="1"/>
  <c r="AD174" i="1"/>
  <c r="AE174" i="1"/>
  <c r="AJ174" i="1"/>
  <c r="AK174" i="1" s="1"/>
  <c r="AL173" i="1"/>
  <c r="AM173" i="1" s="1"/>
  <c r="AD173" i="1"/>
  <c r="AE173" i="1"/>
  <c r="AJ173" i="1"/>
  <c r="AK173" i="1" s="1"/>
  <c r="AL169" i="1"/>
  <c r="AM169" i="1" s="1"/>
  <c r="AD169" i="1"/>
  <c r="AE169" i="1"/>
  <c r="AJ169" i="1"/>
  <c r="AK169" i="1" s="1"/>
  <c r="AL168" i="1"/>
  <c r="AM168" i="1" s="1"/>
  <c r="AD168" i="1"/>
  <c r="AE168" i="1"/>
  <c r="AJ168" i="1"/>
  <c r="AK168" i="1" s="1"/>
  <c r="AL165" i="1"/>
  <c r="AM165" i="1" s="1"/>
  <c r="AD165" i="1"/>
  <c r="AE165" i="1"/>
  <c r="AJ165" i="1"/>
  <c r="AK165" i="1" s="1"/>
  <c r="AL163" i="1"/>
  <c r="AD163" i="1"/>
  <c r="AE163" i="1"/>
  <c r="AL162" i="1"/>
  <c r="AM162" i="1" s="1"/>
  <c r="AD162" i="1"/>
  <c r="AE162" i="1"/>
  <c r="AJ162" i="1"/>
  <c r="AK162" i="1" s="1"/>
  <c r="AL159" i="1"/>
  <c r="AM159" i="1" s="1"/>
  <c r="AD159" i="1"/>
  <c r="AE159" i="1"/>
  <c r="AJ159" i="1"/>
  <c r="AK159" i="1" s="1"/>
  <c r="AL158" i="1"/>
  <c r="AM158" i="1" s="1"/>
  <c r="AD158" i="1"/>
  <c r="AE158" i="1"/>
  <c r="AJ158" i="1"/>
  <c r="AK158" i="1" s="1"/>
  <c r="AL157" i="1"/>
  <c r="AM157" i="1" s="1"/>
  <c r="AD157" i="1"/>
  <c r="AE157" i="1"/>
  <c r="AJ157" i="1"/>
  <c r="AK157" i="1" s="1"/>
  <c r="AL156" i="1"/>
  <c r="AM156" i="1" s="1"/>
  <c r="AD156" i="1"/>
  <c r="AE156" i="1"/>
  <c r="AJ156" i="1"/>
  <c r="AK156" i="1" s="1"/>
  <c r="AL154" i="1"/>
  <c r="AD154" i="1"/>
  <c r="AE154" i="1"/>
  <c r="AL153" i="1"/>
  <c r="AM153" i="1" s="1"/>
  <c r="AD153" i="1"/>
  <c r="AE153" i="1"/>
  <c r="AJ153" i="1"/>
  <c r="AK153" i="1" s="1"/>
  <c r="AL151" i="1"/>
  <c r="AD151" i="1"/>
  <c r="AE151" i="1"/>
  <c r="AL150" i="1"/>
  <c r="AD150" i="1"/>
  <c r="AE150" i="1"/>
  <c r="AL149" i="1"/>
  <c r="AM149" i="1" s="1"/>
  <c r="AD149" i="1"/>
  <c r="AJ149" i="1"/>
  <c r="AK149" i="1" s="1"/>
  <c r="AL147" i="1"/>
  <c r="AM147" i="1" s="1"/>
  <c r="AD147" i="1"/>
  <c r="AJ147" i="1"/>
  <c r="AK147" i="1" s="1"/>
  <c r="AL146" i="1"/>
  <c r="AM146" i="1" s="1"/>
  <c r="AD146" i="1"/>
  <c r="AE146" i="1"/>
  <c r="AJ146" i="1"/>
  <c r="AK146" i="1" s="1"/>
  <c r="AL145" i="1"/>
  <c r="AM145" i="1" s="1"/>
  <c r="AD145" i="1"/>
  <c r="AE145" i="1"/>
  <c r="AJ145" i="1"/>
  <c r="AK145" i="1" s="1"/>
  <c r="AL142" i="1"/>
  <c r="AM142" i="1" s="1"/>
  <c r="AD142" i="1"/>
  <c r="AJ142" i="1"/>
  <c r="AK142" i="1" s="1"/>
  <c r="AL141" i="1"/>
  <c r="AM141" i="1" s="1"/>
  <c r="AD141" i="1"/>
  <c r="AJ141" i="1"/>
  <c r="AK141" i="1" s="1"/>
  <c r="AL140" i="1"/>
  <c r="AM140" i="1" s="1"/>
  <c r="AD140" i="1"/>
  <c r="AE140" i="1"/>
  <c r="AJ140" i="1"/>
  <c r="AK140" i="1" s="1"/>
  <c r="AL136" i="1"/>
  <c r="AM136" i="1" s="1"/>
  <c r="AD136" i="1"/>
  <c r="AE136" i="1"/>
  <c r="AJ136" i="1"/>
  <c r="AK136" i="1" s="1"/>
  <c r="AL133" i="1"/>
  <c r="AM133" i="1" s="1"/>
  <c r="AD133" i="1"/>
  <c r="AE133" i="1"/>
  <c r="AJ133" i="1"/>
  <c r="AK133" i="1" s="1"/>
  <c r="AL130" i="1"/>
  <c r="AM130" i="1" s="1"/>
  <c r="AD130" i="1"/>
  <c r="AE130" i="1"/>
  <c r="AJ130" i="1"/>
  <c r="AK130" i="1" s="1"/>
  <c r="AL129" i="1"/>
  <c r="AM129" i="1" s="1"/>
  <c r="AD129" i="1"/>
  <c r="AE129" i="1"/>
  <c r="AJ129" i="1"/>
  <c r="AK129" i="1" s="1"/>
  <c r="AL128" i="1"/>
  <c r="AM128" i="1" s="1"/>
  <c r="AD128" i="1"/>
  <c r="AE128" i="1"/>
  <c r="AJ128" i="1"/>
  <c r="AK128" i="1" s="1"/>
  <c r="AL127" i="1"/>
  <c r="AM127" i="1" s="1"/>
  <c r="AD127" i="1"/>
  <c r="AE127" i="1"/>
  <c r="AJ127" i="1"/>
  <c r="AK127" i="1" s="1"/>
  <c r="AL125" i="1"/>
  <c r="AM125" i="1" s="1"/>
  <c r="AD125" i="1"/>
  <c r="AE125" i="1"/>
  <c r="AJ125" i="1"/>
  <c r="AK125" i="1" s="1"/>
  <c r="AL124" i="1"/>
  <c r="AM124" i="1" s="1"/>
  <c r="AD124" i="1"/>
  <c r="AE124" i="1"/>
  <c r="AJ124" i="1"/>
  <c r="AK124" i="1" s="1"/>
  <c r="AL123" i="1"/>
  <c r="AM123" i="1" s="1"/>
  <c r="AD123" i="1"/>
  <c r="AE123" i="1"/>
  <c r="AJ123" i="1"/>
  <c r="AK123" i="1" s="1"/>
  <c r="AL122" i="1"/>
  <c r="AM122" i="1" s="1"/>
  <c r="AD122" i="1"/>
  <c r="AE122" i="1"/>
  <c r="AJ122" i="1"/>
  <c r="AK122" i="1" s="1"/>
  <c r="AL96" i="1"/>
  <c r="AM96" i="1" s="1"/>
  <c r="AD96" i="1"/>
  <c r="AE96" i="1"/>
  <c r="AJ96" i="1"/>
  <c r="AK96" i="1" s="1"/>
  <c r="AL119" i="1"/>
  <c r="AM119" i="1" s="1"/>
  <c r="AD119" i="1"/>
  <c r="AE119" i="1"/>
  <c r="AJ119" i="1"/>
  <c r="AK119" i="1" s="1"/>
  <c r="AL117" i="1"/>
  <c r="AD117" i="1"/>
  <c r="AE117" i="1"/>
  <c r="AL53" i="1"/>
  <c r="AM53" i="1" s="1"/>
  <c r="AD53" i="1"/>
  <c r="AE53" i="1"/>
  <c r="AJ53" i="1"/>
  <c r="AK53" i="1" s="1"/>
  <c r="AL115" i="1"/>
  <c r="AD115" i="1"/>
  <c r="AE115" i="1"/>
  <c r="AL114" i="1"/>
  <c r="AM114" i="1" s="1"/>
  <c r="AD114" i="1"/>
  <c r="AE114" i="1"/>
  <c r="AJ114" i="1"/>
  <c r="AK114" i="1" s="1"/>
  <c r="AL110" i="1"/>
  <c r="AM110" i="1" s="1"/>
  <c r="AD110" i="1"/>
  <c r="AE110" i="1"/>
  <c r="AJ110" i="1"/>
  <c r="AK110" i="1" s="1"/>
  <c r="AL109" i="1"/>
  <c r="AM109" i="1" s="1"/>
  <c r="AD109" i="1"/>
  <c r="AE109" i="1"/>
  <c r="AJ109" i="1"/>
  <c r="AK109" i="1" s="1"/>
  <c r="AL107" i="1"/>
  <c r="AD107" i="1"/>
  <c r="AE107" i="1"/>
  <c r="AL108" i="1"/>
  <c r="AD108" i="1"/>
  <c r="AE108" i="1"/>
  <c r="AL245" i="1"/>
  <c r="AM245" i="1" s="1"/>
  <c r="AD245" i="1"/>
  <c r="AE245" i="1"/>
  <c r="AJ245" i="1"/>
  <c r="AK245" i="1" s="1"/>
  <c r="AL102" i="1"/>
  <c r="AM102" i="1" s="1"/>
  <c r="AD102" i="1"/>
  <c r="AE102" i="1"/>
  <c r="AJ102" i="1"/>
  <c r="AK102" i="1" s="1"/>
  <c r="AL101" i="1"/>
  <c r="AM101" i="1" s="1"/>
  <c r="AD101" i="1"/>
  <c r="AE101" i="1"/>
  <c r="AJ101" i="1"/>
  <c r="AK101" i="1" s="1"/>
  <c r="AL100" i="1"/>
  <c r="AM100" i="1" s="1"/>
  <c r="AD100" i="1"/>
  <c r="AE100" i="1"/>
  <c r="AJ100" i="1"/>
  <c r="AK100" i="1" s="1"/>
  <c r="AL97" i="1"/>
  <c r="AD97" i="1"/>
  <c r="AE97" i="1"/>
  <c r="AL59" i="1"/>
  <c r="AM59" i="1" s="1"/>
  <c r="AD59" i="1"/>
  <c r="AE59" i="1"/>
  <c r="AJ59" i="1"/>
  <c r="AK59" i="1" s="1"/>
  <c r="AL95" i="1"/>
  <c r="AD95" i="1"/>
  <c r="AE95" i="1"/>
  <c r="AL94" i="1"/>
  <c r="AM94" i="1" s="1"/>
  <c r="AD94" i="1"/>
  <c r="AE94" i="1"/>
  <c r="AJ94" i="1"/>
  <c r="AK94" i="1" s="1"/>
  <c r="AL93" i="1"/>
  <c r="AM93" i="1" s="1"/>
  <c r="AD93" i="1"/>
  <c r="AE93" i="1"/>
  <c r="AJ93" i="1"/>
  <c r="AK93" i="1" s="1"/>
  <c r="AL83" i="1"/>
  <c r="AM83" i="1" s="1"/>
  <c r="AD83" i="1"/>
  <c r="AE83" i="1"/>
  <c r="AJ83" i="1"/>
  <c r="AK83" i="1" s="1"/>
  <c r="AL82" i="1"/>
  <c r="AM82" i="1" s="1"/>
  <c r="AD82" i="1"/>
  <c r="AE82" i="1"/>
  <c r="AJ82" i="1"/>
  <c r="AK82" i="1" s="1"/>
  <c r="AL81" i="1"/>
  <c r="AD81" i="1"/>
  <c r="AE81" i="1"/>
  <c r="AL50" i="1"/>
  <c r="AM50" i="1" s="1"/>
  <c r="AD50" i="1"/>
  <c r="AE50" i="1"/>
  <c r="AJ50" i="1"/>
  <c r="AK50" i="1" s="1"/>
  <c r="AL79" i="1"/>
  <c r="AD79" i="1"/>
  <c r="AE79" i="1"/>
  <c r="AL77" i="1"/>
  <c r="AM77" i="1" s="1"/>
  <c r="AD77" i="1"/>
  <c r="AE77" i="1"/>
  <c r="AJ77" i="1"/>
  <c r="AK77" i="1" s="1"/>
  <c r="AL74" i="1"/>
  <c r="AM74" i="1" s="1"/>
  <c r="AD74" i="1"/>
  <c r="AE74" i="1"/>
  <c r="AJ74" i="1"/>
  <c r="AK74" i="1" s="1"/>
  <c r="AL71" i="1"/>
  <c r="AM71" i="1" s="1"/>
  <c r="AD71" i="1"/>
  <c r="AE71" i="1"/>
  <c r="AJ71" i="1"/>
  <c r="AK71" i="1" s="1"/>
  <c r="AL67" i="1"/>
  <c r="AD67" i="1"/>
  <c r="AE67" i="1"/>
  <c r="AL66" i="1"/>
  <c r="AD66" i="1"/>
  <c r="AE66" i="1"/>
  <c r="AL64" i="1"/>
  <c r="AD64" i="1"/>
  <c r="AE64" i="1"/>
  <c r="AL63" i="1"/>
  <c r="AM63" i="1" s="1"/>
  <c r="AD63" i="1"/>
  <c r="AE63" i="1"/>
  <c r="AJ63" i="1"/>
  <c r="AK63" i="1" s="1"/>
  <c r="AL62" i="1"/>
  <c r="AD62" i="1"/>
  <c r="AE62" i="1"/>
  <c r="AL61" i="1"/>
  <c r="AD61" i="1"/>
  <c r="AE61" i="1"/>
  <c r="AL60" i="1"/>
  <c r="AD60" i="1"/>
  <c r="AE60" i="1"/>
  <c r="AL251" i="1"/>
  <c r="AM251" i="1" s="1"/>
  <c r="AD251" i="1"/>
  <c r="AE251" i="1"/>
  <c r="AJ251" i="1"/>
  <c r="AK251" i="1" s="1"/>
  <c r="AL58" i="1"/>
  <c r="AD58" i="1"/>
  <c r="AE58" i="1"/>
  <c r="AL57" i="1"/>
  <c r="AD57" i="1"/>
  <c r="AE57" i="1"/>
  <c r="AL242" i="1"/>
  <c r="AM242" i="1" s="1"/>
  <c r="AD242" i="1"/>
  <c r="AE242" i="1"/>
  <c r="AJ242" i="1"/>
  <c r="AK242" i="1" s="1"/>
  <c r="AL55" i="1"/>
  <c r="AD55" i="1"/>
  <c r="AE55" i="1"/>
  <c r="AL54" i="1"/>
  <c r="AM54" i="1" s="1"/>
  <c r="AD54" i="1"/>
  <c r="AE54" i="1"/>
  <c r="AJ54" i="1"/>
  <c r="AK54" i="1" s="1"/>
  <c r="AL323" i="1"/>
  <c r="AM323" i="1" s="1"/>
  <c r="AD323" i="1"/>
  <c r="AE323" i="1"/>
  <c r="AJ323" i="1"/>
  <c r="AK323" i="1" s="1"/>
  <c r="AL80" i="1"/>
  <c r="AM80" i="1" s="1"/>
  <c r="AD80" i="1"/>
  <c r="AE80" i="1"/>
  <c r="AJ80" i="1"/>
  <c r="AK80" i="1" s="1"/>
  <c r="AL56" i="1"/>
  <c r="AM56" i="1" s="1"/>
  <c r="AD56" i="1"/>
  <c r="AE56" i="1"/>
  <c r="AJ56" i="1"/>
  <c r="AK56" i="1" s="1"/>
  <c r="AL120" i="1"/>
  <c r="AM120" i="1" s="1"/>
  <c r="AD120" i="1"/>
  <c r="AE120" i="1"/>
  <c r="AJ120" i="1"/>
  <c r="AK120" i="1" s="1"/>
  <c r="AL49" i="1"/>
  <c r="AD49" i="1"/>
  <c r="AE49" i="1"/>
  <c r="AL48" i="1"/>
  <c r="AD48" i="1"/>
  <c r="AE48" i="1"/>
  <c r="AL116" i="1"/>
  <c r="AM116" i="1" s="1"/>
  <c r="AD116" i="1"/>
  <c r="AE116" i="1"/>
  <c r="AJ116" i="1"/>
  <c r="AK116" i="1" s="1"/>
  <c r="AL46" i="1"/>
  <c r="AM46" i="1" s="1"/>
  <c r="AD46" i="1"/>
  <c r="AE46" i="1"/>
  <c r="AJ46" i="1"/>
  <c r="AK46" i="1" s="1"/>
  <c r="AL45" i="1"/>
  <c r="AM45" i="1" s="1"/>
  <c r="AD45" i="1"/>
  <c r="AE45" i="1"/>
  <c r="AJ45" i="1"/>
  <c r="AK45" i="1" s="1"/>
  <c r="AL44" i="1"/>
  <c r="AM44" i="1" s="1"/>
  <c r="AD44" i="1"/>
  <c r="AE44" i="1"/>
  <c r="AJ44" i="1"/>
  <c r="AK44" i="1" s="1"/>
  <c r="AL37" i="1"/>
  <c r="AD37" i="1"/>
  <c r="AE37" i="1"/>
  <c r="AL36" i="1"/>
  <c r="AD36" i="1"/>
  <c r="AE36" i="1"/>
  <c r="AL35" i="1"/>
  <c r="AM35" i="1" s="1"/>
  <c r="AD35" i="1"/>
  <c r="AE35" i="1"/>
  <c r="AJ35" i="1"/>
  <c r="AK35" i="1" s="1"/>
  <c r="AL34" i="1"/>
  <c r="AD34" i="1"/>
  <c r="AE34" i="1"/>
  <c r="AL30" i="1"/>
  <c r="AM30" i="1" s="1"/>
  <c r="AD30" i="1"/>
  <c r="AE30" i="1"/>
  <c r="AJ30" i="1"/>
  <c r="AK30" i="1" s="1"/>
  <c r="AL29" i="1"/>
  <c r="AM29" i="1" s="1"/>
  <c r="AD29" i="1"/>
  <c r="AE29" i="1"/>
  <c r="AJ29" i="1"/>
  <c r="AK29" i="1" s="1"/>
  <c r="AL28" i="1"/>
  <c r="AM28" i="1" s="1"/>
  <c r="AD28" i="1"/>
  <c r="AE28" i="1"/>
  <c r="AJ28" i="1"/>
  <c r="AK28" i="1" s="1"/>
  <c r="AL27" i="1"/>
  <c r="AM27" i="1" s="1"/>
  <c r="AD27" i="1"/>
  <c r="AE27" i="1"/>
  <c r="AJ27" i="1"/>
  <c r="AK27" i="1" s="1"/>
  <c r="AL25" i="1"/>
  <c r="AM25" i="1" s="1"/>
  <c r="AD25" i="1"/>
  <c r="AE25" i="1"/>
  <c r="AJ25" i="1"/>
  <c r="AK25" i="1" s="1"/>
  <c r="AL24" i="1"/>
  <c r="AM24" i="1" s="1"/>
  <c r="AD24" i="1"/>
  <c r="AE24" i="1"/>
  <c r="AJ24" i="1"/>
  <c r="AK24" i="1" s="1"/>
  <c r="AL22" i="1"/>
  <c r="AM22" i="1" s="1"/>
  <c r="AD22" i="1"/>
  <c r="AE22" i="1"/>
  <c r="AJ22" i="1"/>
  <c r="AK22" i="1" s="1"/>
  <c r="AL21" i="1"/>
  <c r="AM21" i="1" s="1"/>
  <c r="AD21" i="1"/>
  <c r="AE21" i="1"/>
  <c r="AJ21" i="1"/>
  <c r="AK21" i="1" s="1"/>
  <c r="AL20" i="1"/>
  <c r="AM20" i="1" s="1"/>
  <c r="AD20" i="1"/>
  <c r="AE20" i="1"/>
  <c r="AJ20" i="1"/>
  <c r="AK20" i="1" s="1"/>
  <c r="AL19" i="1"/>
  <c r="AD19" i="1"/>
  <c r="AE19" i="1"/>
  <c r="AL18" i="1"/>
  <c r="AM18" i="1" s="1"/>
  <c r="AD18" i="1"/>
  <c r="AE18" i="1"/>
  <c r="AJ18" i="1"/>
  <c r="AK18" i="1" s="1"/>
  <c r="AL15" i="1"/>
  <c r="AD15" i="1"/>
  <c r="AE15" i="1"/>
  <c r="AL11" i="1"/>
  <c r="AM11" i="1" s="1"/>
  <c r="AD11" i="1"/>
  <c r="AE11" i="1"/>
  <c r="AJ11" i="1"/>
  <c r="AK11" i="1" s="1"/>
  <c r="AL5" i="1"/>
  <c r="AD5" i="1"/>
  <c r="AE5" i="1"/>
  <c r="AL3" i="1"/>
  <c r="AM3" i="1" s="1"/>
  <c r="AD3" i="1"/>
  <c r="AE3" i="1"/>
  <c r="AJ3" i="1"/>
  <c r="AK3" i="1" s="1"/>
  <c r="AL321" i="1"/>
  <c r="AM321" i="1" s="1"/>
  <c r="AD321" i="1"/>
  <c r="AE321" i="1"/>
  <c r="AJ321" i="1"/>
  <c r="AK321" i="1" s="1"/>
  <c r="AL320" i="1"/>
  <c r="AM320" i="1" s="1"/>
  <c r="AD320" i="1"/>
  <c r="AE320" i="1"/>
  <c r="AJ320" i="1"/>
  <c r="AK320" i="1" s="1"/>
  <c r="AL319" i="1"/>
  <c r="AM319" i="1" s="1"/>
  <c r="AD319" i="1"/>
  <c r="AJ319" i="1"/>
  <c r="AK319" i="1" s="1"/>
  <c r="AL318" i="1"/>
  <c r="AM318" i="1" s="1"/>
  <c r="AD318" i="1"/>
  <c r="AJ318" i="1"/>
  <c r="AK318" i="1" s="1"/>
  <c r="AL316" i="1"/>
  <c r="AM316" i="1" s="1"/>
  <c r="AD316" i="1"/>
  <c r="AE316" i="1"/>
  <c r="AJ316" i="1"/>
  <c r="AK316" i="1" s="1"/>
  <c r="AL314" i="1"/>
  <c r="AM314" i="1" s="1"/>
  <c r="AD314" i="1"/>
  <c r="AE314" i="1"/>
  <c r="AJ314" i="1"/>
  <c r="AK314" i="1" s="1"/>
  <c r="AL310" i="1"/>
  <c r="AM310" i="1" s="1"/>
  <c r="AD310" i="1"/>
  <c r="AE310" i="1"/>
  <c r="AJ310" i="1"/>
  <c r="AK310" i="1" s="1"/>
  <c r="AL306" i="1"/>
  <c r="AM306" i="1" s="1"/>
  <c r="AD306" i="1"/>
  <c r="AE306" i="1"/>
  <c r="AJ306" i="1"/>
  <c r="AK306" i="1" s="1"/>
  <c r="AL303" i="1"/>
  <c r="AM303" i="1" s="1"/>
  <c r="AD303" i="1"/>
  <c r="AE303" i="1"/>
  <c r="AJ303" i="1"/>
  <c r="AK303" i="1" s="1"/>
  <c r="AL302" i="1"/>
  <c r="AM302" i="1" s="1"/>
  <c r="AD302" i="1"/>
  <c r="AJ302" i="1"/>
  <c r="AK302" i="1" s="1"/>
  <c r="AL301" i="1"/>
  <c r="AM301" i="1" s="1"/>
  <c r="AD301" i="1"/>
  <c r="AJ301" i="1"/>
  <c r="AK301" i="1" s="1"/>
  <c r="AL299" i="1"/>
  <c r="AM299" i="1" s="1"/>
  <c r="AD299" i="1"/>
  <c r="AE299" i="1"/>
  <c r="AJ299" i="1"/>
  <c r="AK299" i="1" s="1"/>
  <c r="AL296" i="1"/>
  <c r="AD296" i="1"/>
  <c r="AE296" i="1"/>
  <c r="AL291" i="1"/>
  <c r="AM291" i="1" s="1"/>
  <c r="AD291" i="1"/>
  <c r="AE291" i="1"/>
  <c r="AJ291" i="1"/>
  <c r="AK291" i="1" s="1"/>
  <c r="AL290" i="1"/>
  <c r="AM290" i="1" s="1"/>
  <c r="AD290" i="1"/>
  <c r="AE290" i="1"/>
  <c r="AJ290" i="1"/>
  <c r="AK290" i="1" s="1"/>
  <c r="AL288" i="1"/>
  <c r="AM288" i="1" s="1"/>
  <c r="AD288" i="1"/>
  <c r="AE288" i="1"/>
  <c r="AJ288" i="1"/>
  <c r="AK288" i="1" s="1"/>
  <c r="AL287" i="1"/>
  <c r="AD287" i="1"/>
  <c r="AE287" i="1"/>
  <c r="AL286" i="1"/>
  <c r="AM286" i="1" s="1"/>
  <c r="AD286" i="1"/>
  <c r="AE286" i="1"/>
  <c r="AJ286" i="1"/>
  <c r="AK286" i="1" s="1"/>
  <c r="AL285" i="1"/>
  <c r="AM285" i="1" s="1"/>
  <c r="AD285" i="1"/>
  <c r="AE285" i="1"/>
  <c r="AJ285" i="1"/>
  <c r="AK285" i="1" s="1"/>
  <c r="AL279" i="1"/>
  <c r="AD279" i="1"/>
  <c r="AE279" i="1"/>
  <c r="AL106" i="1"/>
  <c r="AM106" i="1" s="1"/>
  <c r="AD106" i="1"/>
  <c r="AE106" i="1"/>
  <c r="AJ106" i="1"/>
  <c r="AK106" i="1" s="1"/>
  <c r="AL277" i="1"/>
  <c r="AD277" i="1"/>
  <c r="AE277" i="1"/>
  <c r="AL270" i="1"/>
  <c r="AM270" i="1" s="1"/>
  <c r="AD270" i="1"/>
  <c r="AE270" i="1"/>
  <c r="AJ270" i="1"/>
  <c r="AK270" i="1" s="1"/>
  <c r="AL269" i="1"/>
  <c r="AM269" i="1" s="1"/>
  <c r="AD269" i="1"/>
  <c r="AE269" i="1"/>
  <c r="AJ269" i="1"/>
  <c r="AK269" i="1" s="1"/>
  <c r="AL268" i="1"/>
  <c r="AM268" i="1" s="1"/>
  <c r="AD268" i="1"/>
  <c r="AE268" i="1"/>
  <c r="AJ268" i="1"/>
  <c r="AK268" i="1" s="1"/>
  <c r="AL265" i="1"/>
  <c r="AM265" i="1" s="1"/>
  <c r="AD265" i="1"/>
  <c r="AE265" i="1"/>
  <c r="AJ265" i="1"/>
  <c r="AK265" i="1" s="1"/>
  <c r="AL264" i="1"/>
  <c r="AM264" i="1" s="1"/>
  <c r="AD264" i="1"/>
  <c r="AE264" i="1"/>
  <c r="AJ264" i="1"/>
  <c r="AK264" i="1" s="1"/>
  <c r="AL262" i="1"/>
  <c r="AM262" i="1" s="1"/>
  <c r="AD262" i="1"/>
  <c r="AE262" i="1"/>
  <c r="AJ262" i="1"/>
  <c r="AK262" i="1" s="1"/>
  <c r="AL261" i="1"/>
  <c r="AM261" i="1" s="1"/>
  <c r="AD261" i="1"/>
  <c r="AE261" i="1"/>
  <c r="AJ261" i="1"/>
  <c r="AK261" i="1" s="1"/>
  <c r="AL260" i="1"/>
  <c r="AM260" i="1" s="1"/>
  <c r="AD260" i="1"/>
  <c r="AE260" i="1"/>
  <c r="AJ260" i="1"/>
  <c r="AK260" i="1" s="1"/>
  <c r="AL254" i="1"/>
  <c r="AD254" i="1"/>
  <c r="AE254" i="1"/>
  <c r="AL332" i="1"/>
  <c r="AM332" i="1" s="1"/>
  <c r="AD332" i="1"/>
  <c r="AE332" i="1"/>
  <c r="AJ332" i="1"/>
  <c r="AK332" i="1" s="1"/>
  <c r="AL331" i="1"/>
  <c r="AM331" i="1" s="1"/>
  <c r="AD331" i="1"/>
  <c r="AE331" i="1"/>
  <c r="AJ331" i="1"/>
  <c r="AK331" i="1" s="1"/>
  <c r="AL329" i="1"/>
  <c r="AM329" i="1" s="1"/>
  <c r="AD329" i="1"/>
  <c r="AE329" i="1"/>
  <c r="AJ329" i="1"/>
  <c r="AK329" i="1" s="1"/>
  <c r="AL47" i="1"/>
  <c r="AD47" i="1"/>
  <c r="AE47" i="1"/>
  <c r="AJ272" i="1" l="1"/>
  <c r="AK272" i="1" s="1"/>
  <c r="AL272" i="1"/>
  <c r="AM272" i="1" s="1"/>
  <c r="AJ88" i="1"/>
  <c r="AK88" i="1" s="1"/>
  <c r="AL155" i="1"/>
  <c r="AM155" i="1" s="1"/>
  <c r="AJ155" i="1"/>
  <c r="AK155" i="1" s="1"/>
  <c r="AD197" i="1"/>
  <c r="AD88" i="1"/>
  <c r="AJ197" i="1"/>
  <c r="AK197" i="1" s="1"/>
  <c r="AD91" i="1"/>
  <c r="AL91" i="1"/>
  <c r="AM91" i="1" s="1"/>
  <c r="AD225" i="1"/>
  <c r="AL225" i="1"/>
  <c r="AM225" i="1" s="1"/>
  <c r="AL92" i="1"/>
  <c r="AM92" i="1" s="1"/>
  <c r="AD161" i="1"/>
  <c r="AD143" i="1"/>
  <c r="AD51" i="1"/>
  <c r="AJ14" i="1"/>
  <c r="AK14" i="1" s="1"/>
  <c r="AD84" i="1"/>
  <c r="AD2" i="1"/>
  <c r="AL84" i="1"/>
  <c r="AM84" i="1" s="1"/>
  <c r="AL181" i="1"/>
  <c r="AM181" i="1" s="1"/>
  <c r="AL76" i="1"/>
  <c r="AM76" i="1" s="1"/>
  <c r="AD76" i="1"/>
  <c r="AD105" i="1"/>
  <c r="AD92" i="1"/>
  <c r="AL143" i="1"/>
  <c r="AM143" i="1" s="1"/>
  <c r="AJ143" i="1"/>
  <c r="AK143" i="1" s="1"/>
  <c r="AE52" i="1"/>
  <c r="AD52" i="1"/>
  <c r="AJ76" i="1"/>
  <c r="AK76" i="1" s="1"/>
  <c r="AJ92" i="1"/>
  <c r="AK92" i="1" s="1"/>
  <c r="AD152" i="1"/>
  <c r="AD13" i="1"/>
  <c r="AJ181" i="1"/>
  <c r="AK181" i="1" s="1"/>
  <c r="AD160" i="1"/>
  <c r="AL161" i="1"/>
  <c r="AM161" i="1" s="1"/>
  <c r="AL304" i="1"/>
  <c r="AM304" i="1" s="1"/>
  <c r="AJ12" i="1"/>
  <c r="AK12" i="1" s="1"/>
  <c r="AD144" i="1"/>
  <c r="AL2" i="1"/>
  <c r="AM2" i="1" s="1"/>
  <c r="AD111" i="1"/>
  <c r="AD253" i="1"/>
  <c r="AL105" i="1"/>
  <c r="AM105" i="1" s="1"/>
  <c r="AL111" i="1"/>
  <c r="AM111" i="1" s="1"/>
  <c r="AJ13" i="1"/>
  <c r="AK13" i="1" s="1"/>
  <c r="AJ160" i="1"/>
  <c r="AK160" i="1" s="1"/>
  <c r="AJ152" i="1"/>
  <c r="AK152" i="1" s="1"/>
  <c r="AD75" i="1"/>
  <c r="AL144" i="1"/>
  <c r="AM144" i="1" s="1"/>
  <c r="AJ2" i="1"/>
  <c r="AK2" i="1" s="1"/>
  <c r="AJ253" i="1"/>
  <c r="AL13" i="1"/>
  <c r="AM13" i="1" s="1"/>
  <c r="AD181" i="1"/>
  <c r="AL160" i="1"/>
  <c r="AM160" i="1" s="1"/>
  <c r="AL152" i="1"/>
  <c r="AM152" i="1" s="1"/>
  <c r="AE253" i="1"/>
  <c r="AL12" i="1"/>
  <c r="AM12" i="1" s="1"/>
  <c r="AD14" i="1"/>
  <c r="AJ105" i="1"/>
  <c r="AK105" i="1" s="1"/>
  <c r="AJ84" i="1"/>
  <c r="AK84" i="1" s="1"/>
  <c r="AJ161" i="1"/>
  <c r="AK161" i="1" s="1"/>
  <c r="AJ144" i="1"/>
  <c r="AK144" i="1" s="1"/>
  <c r="AJ75" i="1"/>
  <c r="AK75" i="1" s="1"/>
  <c r="AL139" i="1"/>
  <c r="AM139" i="1" s="1"/>
  <c r="AE51" i="1"/>
  <c r="AL14" i="1"/>
  <c r="AM14" i="1" s="1"/>
  <c r="AJ111" i="1"/>
  <c r="AK111" i="1" s="1"/>
  <c r="AJ304" i="1"/>
  <c r="AK304" i="1" s="1"/>
  <c r="AD98" i="1"/>
  <c r="AL75" i="1"/>
  <c r="AM75" i="1" s="1"/>
  <c r="AJ98" i="1"/>
  <c r="AK98" i="1" s="1"/>
  <c r="AD139" i="1"/>
  <c r="AL98" i="1"/>
  <c r="AM98" i="1" s="1"/>
  <c r="AJ139" i="1"/>
  <c r="AK139" i="1" s="1"/>
  <c r="AD87" i="1"/>
  <c r="AJ87" i="1"/>
  <c r="AK87" i="1" s="1"/>
  <c r="AL87" i="1"/>
  <c r="AM87" i="1" s="1"/>
  <c r="AD99" i="1"/>
  <c r="AJ99" i="1"/>
  <c r="AK99" i="1" s="1"/>
  <c r="AL99" i="1"/>
  <c r="AM99" i="1" s="1"/>
  <c r="AD305" i="1"/>
  <c r="AJ305" i="1"/>
  <c r="AK305" i="1" s="1"/>
  <c r="AL305" i="1"/>
  <c r="AM305" i="1" s="1"/>
  <c r="AD6" i="1"/>
  <c r="AJ6" i="1"/>
  <c r="AK6" i="1" s="1"/>
  <c r="AL6" i="1"/>
  <c r="AM6" i="1" s="1"/>
  <c r="AE87" i="1"/>
  <c r="AE99" i="1"/>
  <c r="AE305" i="1"/>
  <c r="AE6" i="1"/>
  <c r="AI212" i="1" s="1"/>
  <c r="Z253" i="1"/>
  <c r="Z51" i="1"/>
  <c r="Z52" i="1"/>
  <c r="AI304" i="1" l="1"/>
  <c r="AI305" i="1"/>
  <c r="AI139" i="1"/>
  <c r="AI144" i="1"/>
  <c r="AI2" i="1"/>
  <c r="AI160" i="1"/>
  <c r="AI12" i="1"/>
  <c r="AI181" i="1"/>
  <c r="AI76" i="1"/>
  <c r="AI196" i="1"/>
  <c r="AI333" i="1"/>
  <c r="AI73" i="1"/>
  <c r="AI225" i="1"/>
  <c r="AI187" i="1"/>
  <c r="AI300" i="1"/>
  <c r="AI40" i="1"/>
  <c r="AI327" i="1"/>
  <c r="AI180" i="1"/>
  <c r="AI315" i="1"/>
  <c r="AI86" i="1"/>
  <c r="AI9" i="1"/>
  <c r="AI229" i="1"/>
  <c r="AI63" i="1"/>
  <c r="AI44" i="1"/>
  <c r="AI314" i="1"/>
  <c r="AI286" i="1"/>
  <c r="AI332" i="1"/>
  <c r="AI207" i="1"/>
  <c r="AI249" i="1"/>
  <c r="AI294" i="1"/>
  <c r="AI33" i="1"/>
  <c r="AI166" i="1"/>
  <c r="AI89" i="1"/>
  <c r="AI149" i="1"/>
  <c r="AI120" i="1"/>
  <c r="AI269" i="1"/>
  <c r="AI65" i="1"/>
  <c r="AI351" i="1"/>
  <c r="AI246" i="1"/>
  <c r="AI293" i="1"/>
  <c r="AI289" i="1"/>
  <c r="AI85" i="1"/>
  <c r="AI141" i="1"/>
  <c r="AI125" i="1"/>
  <c r="AI101" i="1"/>
  <c r="AI4" i="1"/>
  <c r="AI68" i="1"/>
  <c r="AI337" i="1"/>
  <c r="AI309" i="1"/>
  <c r="AI182" i="1"/>
  <c r="AI295" i="1"/>
  <c r="AI292" i="1"/>
  <c r="AI243" i="1"/>
  <c r="AI214" i="1"/>
  <c r="AI250" i="1"/>
  <c r="AI209" i="1"/>
  <c r="AI200" i="1"/>
  <c r="AI153" i="1"/>
  <c r="AI114" i="1"/>
  <c r="AI93" i="1"/>
  <c r="AI30" i="1"/>
  <c r="AI25" i="1"/>
  <c r="AI20" i="1"/>
  <c r="AI39" i="1"/>
  <c r="AI338" i="1"/>
  <c r="AI135" i="1"/>
  <c r="AI156" i="1"/>
  <c r="AI35" i="1"/>
  <c r="AI268" i="1"/>
  <c r="AI211" i="1"/>
  <c r="AI345" i="1"/>
  <c r="AI206" i="1"/>
  <c r="AI134" i="1"/>
  <c r="AI284" i="1"/>
  <c r="AI167" i="1"/>
  <c r="AI169" i="1"/>
  <c r="AI129" i="1"/>
  <c r="AI119" i="1"/>
  <c r="AI242" i="1"/>
  <c r="AI6" i="1"/>
  <c r="AI161" i="1"/>
  <c r="AI13" i="1"/>
  <c r="AI14" i="1"/>
  <c r="AI155" i="1"/>
  <c r="AI272" i="1"/>
  <c r="AI230" i="1"/>
  <c r="AI344" i="1"/>
  <c r="AI41" i="1"/>
  <c r="AI113" i="1"/>
  <c r="AI273" i="1"/>
  <c r="AI164" i="1"/>
  <c r="AI198" i="1"/>
  <c r="AI177" i="1"/>
  <c r="AI224" i="1"/>
  <c r="AI255" i="1"/>
  <c r="AI148" i="1"/>
  <c r="AI278" i="1"/>
  <c r="AI244" i="1"/>
  <c r="AI116" i="1"/>
  <c r="AI18" i="1"/>
  <c r="AI310" i="1"/>
  <c r="AI285" i="1"/>
  <c r="AI329" i="1"/>
  <c r="AI256" i="1"/>
  <c r="AI298" i="1"/>
  <c r="AI171" i="1"/>
  <c r="AI43" i="1"/>
  <c r="AI312" i="1"/>
  <c r="AI218" i="1"/>
  <c r="AI53" i="1"/>
  <c r="AI3" i="1"/>
  <c r="AI265" i="1"/>
  <c r="AI335" i="1"/>
  <c r="AI72" i="1"/>
  <c r="AI346" i="1"/>
  <c r="AI233" i="1"/>
  <c r="AI190" i="1"/>
  <c r="AI175" i="1"/>
  <c r="AI136" i="1"/>
  <c r="AI123" i="1"/>
  <c r="AI77" i="1"/>
  <c r="AI347" i="1"/>
  <c r="AI257" i="1"/>
  <c r="AI353" i="1"/>
  <c r="AI236" i="1"/>
  <c r="AI170" i="1"/>
  <c r="AI208" i="1"/>
  <c r="AI317" i="1"/>
  <c r="AI326" i="1"/>
  <c r="AI271" i="1"/>
  <c r="AI322" i="1"/>
  <c r="AI205" i="1"/>
  <c r="AI199" i="1"/>
  <c r="AI147" i="1"/>
  <c r="AI110" i="1"/>
  <c r="AI83" i="1"/>
  <c r="AI29" i="1"/>
  <c r="AI24" i="1"/>
  <c r="AI291" i="1"/>
  <c r="AI104" i="1"/>
  <c r="AI118" i="1"/>
  <c r="AI204" i="1"/>
  <c r="AI59" i="1"/>
  <c r="AI321" i="1"/>
  <c r="AI264" i="1"/>
  <c r="AI247" i="1"/>
  <c r="AI121" i="1"/>
  <c r="AI343" i="1"/>
  <c r="AI232" i="1"/>
  <c r="AI259" i="1"/>
  <c r="AI275" i="1"/>
  <c r="AI165" i="1"/>
  <c r="AI127" i="1"/>
  <c r="AI102" i="1"/>
  <c r="AI11" i="1"/>
  <c r="AI87" i="1"/>
  <c r="AI84" i="1"/>
  <c r="AI197" i="1"/>
  <c r="AI350" i="1"/>
  <c r="AI194" i="1"/>
  <c r="AI334" i="1"/>
  <c r="AI336" i="1"/>
  <c r="AI70" i="1"/>
  <c r="AI227" i="1"/>
  <c r="AI263" i="1"/>
  <c r="AI240" i="1"/>
  <c r="AI178" i="1"/>
  <c r="AI137" i="1"/>
  <c r="AI226" i="1"/>
  <c r="AI7" i="1"/>
  <c r="AI241" i="1"/>
  <c r="AI142" i="1"/>
  <c r="AI46" i="1"/>
  <c r="AI318" i="1"/>
  <c r="AI306" i="1"/>
  <c r="AI319" i="1"/>
  <c r="AI341" i="1"/>
  <c r="AI183" i="1"/>
  <c r="AI203" i="1"/>
  <c r="AI234" i="1"/>
  <c r="AI307" i="1"/>
  <c r="AI215" i="1"/>
  <c r="AI159" i="1"/>
  <c r="AI54" i="1"/>
  <c r="AI320" i="1"/>
  <c r="AI262" i="1"/>
  <c r="AI340" i="1"/>
  <c r="AI267" i="1"/>
  <c r="AI239" i="1"/>
  <c r="AI42" i="1"/>
  <c r="AI126" i="1"/>
  <c r="AI173" i="1"/>
  <c r="AI130" i="1"/>
  <c r="AI96" i="1"/>
  <c r="AI71" i="1"/>
  <c r="AI339" i="1"/>
  <c r="AI23" i="1"/>
  <c r="AI91" i="1"/>
  <c r="AI266" i="1"/>
  <c r="AI78" i="1"/>
  <c r="AI191" i="1"/>
  <c r="AI26" i="1"/>
  <c r="AI223" i="1"/>
  <c r="AI90" i="1"/>
  <c r="AI213" i="1"/>
  <c r="AI202" i="1"/>
  <c r="AI193" i="1"/>
  <c r="AI146" i="1"/>
  <c r="AI109" i="1"/>
  <c r="AI82" i="1"/>
  <c r="AI28" i="1"/>
  <c r="AI22" i="1"/>
  <c r="AI288" i="1"/>
  <c r="AI228" i="1"/>
  <c r="AI248" i="1"/>
  <c r="AI162" i="1"/>
  <c r="AI323" i="1"/>
  <c r="AI301" i="1"/>
  <c r="AI261" i="1"/>
  <c r="AI354" i="1"/>
  <c r="AI330" i="1"/>
  <c r="AI131" i="1"/>
  <c r="AI32" i="1"/>
  <c r="AI217" i="1"/>
  <c r="AI176" i="1"/>
  <c r="AI140" i="1"/>
  <c r="AI124" i="1"/>
  <c r="AI100" i="1"/>
  <c r="AI106" i="1"/>
  <c r="AI99" i="1"/>
  <c r="AI98" i="1"/>
  <c r="AI111" i="1"/>
  <c r="AI75" i="1"/>
  <c r="AI105" i="1"/>
  <c r="AI152" i="1"/>
  <c r="AI92" i="1"/>
  <c r="AI143" i="1"/>
  <c r="AI88" i="1"/>
  <c r="AI103" i="1"/>
  <c r="AI342" i="1"/>
  <c r="AI252" i="1"/>
  <c r="AI220" i="1"/>
  <c r="AI186" i="1"/>
  <c r="AI231" i="1"/>
  <c r="AI192" i="1"/>
  <c r="AI281" i="1"/>
  <c r="AI179" i="1"/>
  <c r="AI138" i="1"/>
  <c r="AI276" i="1"/>
  <c r="AI8" i="1"/>
  <c r="AI235" i="1"/>
  <c r="AI50" i="1"/>
  <c r="AI45" i="1"/>
  <c r="AI316" i="1"/>
  <c r="AI303" i="1"/>
  <c r="AI290" i="1"/>
  <c r="AI38" i="1"/>
  <c r="AI10" i="1"/>
  <c r="AI238" i="1"/>
  <c r="AI132" i="1"/>
  <c r="AI325" i="1"/>
  <c r="AI274" i="1"/>
  <c r="AI157" i="1"/>
  <c r="AI80" i="1"/>
  <c r="AI299" i="1"/>
  <c r="AI260" i="1"/>
  <c r="AI352" i="1"/>
  <c r="AI17" i="1"/>
  <c r="AI112" i="1"/>
  <c r="AI283" i="1"/>
  <c r="AI311" i="1"/>
  <c r="AI168" i="1"/>
  <c r="AI128" i="1"/>
  <c r="AI245" i="1"/>
  <c r="AI302" i="1"/>
  <c r="AI348" i="1"/>
  <c r="AI189" i="1"/>
  <c r="AI31" i="1"/>
  <c r="AI69" i="1"/>
  <c r="AI328" i="1"/>
  <c r="AI308" i="1"/>
  <c r="AI280" i="1"/>
  <c r="AI313" i="1"/>
  <c r="AI324" i="1"/>
  <c r="AI210" i="1"/>
  <c r="AI201" i="1"/>
  <c r="AI188" i="1"/>
  <c r="AI145" i="1"/>
  <c r="AI94" i="1"/>
  <c r="AI251" i="1"/>
  <c r="AI27" i="1"/>
  <c r="AI21" i="1"/>
  <c r="AI331" i="1"/>
  <c r="AI195" i="1"/>
  <c r="AI297" i="1"/>
  <c r="AI158" i="1"/>
  <c r="AI56" i="1"/>
  <c r="AI270" i="1"/>
  <c r="AI16" i="1"/>
  <c r="AI349" i="1"/>
  <c r="AI237" i="1"/>
  <c r="AI172" i="1"/>
  <c r="AI282" i="1"/>
  <c r="AI258" i="1"/>
  <c r="AI174" i="1"/>
  <c r="AI133" i="1"/>
  <c r="AI122" i="1"/>
  <c r="AI74" i="1"/>
  <c r="AF222" i="1"/>
  <c r="AF253" i="1"/>
  <c r="AM222" i="1" l="1"/>
  <c r="AJ222" i="1"/>
  <c r="AK222" i="1" s="1"/>
  <c r="AI222" i="1" s="1"/>
  <c r="AF34" i="1"/>
  <c r="AF221" i="1"/>
  <c r="AF219" i="1"/>
  <c r="AF216" i="1"/>
  <c r="AF185" i="1"/>
  <c r="AF184" i="1"/>
  <c r="AF163" i="1"/>
  <c r="AF154" i="1"/>
  <c r="AF151" i="1"/>
  <c r="AF150" i="1"/>
  <c r="AF117" i="1"/>
  <c r="AF115" i="1"/>
  <c r="AF107" i="1"/>
  <c r="AF108" i="1"/>
  <c r="AF97" i="1"/>
  <c r="AF95" i="1"/>
  <c r="AF81" i="1"/>
  <c r="AF79" i="1"/>
  <c r="AF67" i="1"/>
  <c r="AF66" i="1"/>
  <c r="AF64" i="1"/>
  <c r="AF62" i="1"/>
  <c r="AF61" i="1"/>
  <c r="AF60" i="1"/>
  <c r="AF58" i="1"/>
  <c r="AF57" i="1"/>
  <c r="AF55" i="1"/>
  <c r="AF49" i="1"/>
  <c r="AF48" i="1"/>
  <c r="AF37" i="1"/>
  <c r="AF36" i="1"/>
  <c r="AF19" i="1"/>
  <c r="AF15" i="1"/>
  <c r="AF5" i="1"/>
  <c r="AF296" i="1"/>
  <c r="AF287" i="1"/>
  <c r="AF279" i="1"/>
  <c r="AF277" i="1"/>
  <c r="AF254" i="1"/>
  <c r="AF47" i="1"/>
  <c r="AF52" i="1"/>
  <c r="AF51" i="1"/>
  <c r="AM51" i="1" l="1"/>
  <c r="AJ51" i="1"/>
  <c r="AM52" i="1"/>
  <c r="AJ52" i="1"/>
  <c r="AK52" i="1" s="1"/>
  <c r="AI52" i="1" s="1"/>
  <c r="AM47" i="1"/>
  <c r="AJ47" i="1"/>
  <c r="AK47" i="1" s="1"/>
  <c r="AI47" i="1" s="1"/>
  <c r="AM254" i="1"/>
  <c r="AJ254" i="1"/>
  <c r="AK254" i="1" s="1"/>
  <c r="AI254" i="1" s="1"/>
  <c r="AM277" i="1"/>
  <c r="AJ277" i="1"/>
  <c r="AK277" i="1" s="1"/>
  <c r="AI277" i="1" s="1"/>
  <c r="AM279" i="1"/>
  <c r="AJ279" i="1"/>
  <c r="AK279" i="1" s="1"/>
  <c r="AI279" i="1" s="1"/>
  <c r="AM287" i="1"/>
  <c r="AJ287" i="1"/>
  <c r="AK287" i="1" s="1"/>
  <c r="AI287" i="1" s="1"/>
  <c r="AM296" i="1"/>
  <c r="AJ296" i="1"/>
  <c r="AK296" i="1" s="1"/>
  <c r="AI296" i="1" s="1"/>
  <c r="AM5" i="1"/>
  <c r="AJ5" i="1"/>
  <c r="AK5" i="1" s="1"/>
  <c r="AI5" i="1" s="1"/>
  <c r="AM15" i="1"/>
  <c r="AJ15" i="1"/>
  <c r="AK15" i="1" s="1"/>
  <c r="AI15" i="1" s="1"/>
  <c r="AM19" i="1"/>
  <c r="AJ19" i="1"/>
  <c r="AK19" i="1" s="1"/>
  <c r="AI19" i="1" s="1"/>
  <c r="AM36" i="1"/>
  <c r="AJ36" i="1"/>
  <c r="AK36" i="1" s="1"/>
  <c r="AI36" i="1" s="1"/>
  <c r="AM37" i="1"/>
  <c r="AJ37" i="1"/>
  <c r="AK37" i="1" s="1"/>
  <c r="AI37" i="1" s="1"/>
  <c r="AM48" i="1"/>
  <c r="AJ48" i="1"/>
  <c r="AK48" i="1" s="1"/>
  <c r="AI48" i="1" s="1"/>
  <c r="AM49" i="1"/>
  <c r="AJ49" i="1"/>
  <c r="AK49" i="1" s="1"/>
  <c r="AI49" i="1" s="1"/>
  <c r="AM55" i="1"/>
  <c r="AJ55" i="1"/>
  <c r="AK55" i="1" s="1"/>
  <c r="AI55" i="1" s="1"/>
  <c r="AM57" i="1"/>
  <c r="AJ57" i="1"/>
  <c r="AK57" i="1" s="1"/>
  <c r="AI57" i="1" s="1"/>
  <c r="AM58" i="1"/>
  <c r="AJ58" i="1"/>
  <c r="AK58" i="1" s="1"/>
  <c r="AI58" i="1" s="1"/>
  <c r="AM60" i="1"/>
  <c r="AJ60" i="1"/>
  <c r="AK60" i="1" s="1"/>
  <c r="AI60" i="1" s="1"/>
  <c r="AM61" i="1"/>
  <c r="AJ61" i="1"/>
  <c r="AK61" i="1" s="1"/>
  <c r="AI61" i="1" s="1"/>
  <c r="AM62" i="1"/>
  <c r="AJ62" i="1"/>
  <c r="AK62" i="1" s="1"/>
  <c r="AI62" i="1" s="1"/>
  <c r="AM64" i="1"/>
  <c r="AJ64" i="1"/>
  <c r="AK64" i="1" s="1"/>
  <c r="AI64" i="1" s="1"/>
  <c r="AM66" i="1"/>
  <c r="AJ66" i="1"/>
  <c r="AK66" i="1" s="1"/>
  <c r="AI66" i="1" s="1"/>
  <c r="AM67" i="1"/>
  <c r="AJ67" i="1"/>
  <c r="AK67" i="1" s="1"/>
  <c r="AI67" i="1" s="1"/>
  <c r="AM79" i="1"/>
  <c r="AJ79" i="1"/>
  <c r="AK79" i="1" s="1"/>
  <c r="AI79" i="1" s="1"/>
  <c r="AM81" i="1"/>
  <c r="AJ81" i="1"/>
  <c r="AK81" i="1" s="1"/>
  <c r="AI81" i="1" s="1"/>
  <c r="AM95" i="1"/>
  <c r="AJ95" i="1"/>
  <c r="AK95" i="1" s="1"/>
  <c r="AI95" i="1" s="1"/>
  <c r="AM97" i="1"/>
  <c r="AJ97" i="1"/>
  <c r="AK97" i="1" s="1"/>
  <c r="AI97" i="1" s="1"/>
  <c r="AM107" i="1"/>
  <c r="AJ107" i="1"/>
  <c r="AK107" i="1" s="1"/>
  <c r="AI107" i="1" s="1"/>
  <c r="AM115" i="1"/>
  <c r="AJ115" i="1"/>
  <c r="AK115" i="1" s="1"/>
  <c r="AI115" i="1" s="1"/>
  <c r="AM117" i="1"/>
  <c r="AJ117" i="1"/>
  <c r="AK117" i="1" s="1"/>
  <c r="AI117" i="1" s="1"/>
  <c r="AM150" i="1"/>
  <c r="AJ150" i="1"/>
  <c r="AK150" i="1" s="1"/>
  <c r="AI150" i="1" s="1"/>
  <c r="AM151" i="1"/>
  <c r="AJ151" i="1"/>
  <c r="AK151" i="1" s="1"/>
  <c r="AI151" i="1" s="1"/>
  <c r="AM154" i="1"/>
  <c r="AJ154" i="1"/>
  <c r="AK154" i="1" s="1"/>
  <c r="AI154" i="1" s="1"/>
  <c r="AM163" i="1"/>
  <c r="AJ163" i="1"/>
  <c r="AK163" i="1" s="1"/>
  <c r="AI163" i="1" s="1"/>
  <c r="AM184" i="1"/>
  <c r="AJ184" i="1"/>
  <c r="AK184" i="1" s="1"/>
  <c r="AI184" i="1" s="1"/>
  <c r="AM185" i="1"/>
  <c r="AJ185" i="1"/>
  <c r="AK185" i="1" s="1"/>
  <c r="AI185" i="1" s="1"/>
  <c r="AM216" i="1"/>
  <c r="AJ216" i="1"/>
  <c r="AK216" i="1" s="1"/>
  <c r="AI216" i="1" s="1"/>
  <c r="AM219" i="1"/>
  <c r="AJ219" i="1"/>
  <c r="AK219" i="1" s="1"/>
  <c r="AI219" i="1" s="1"/>
  <c r="AM221" i="1"/>
  <c r="AJ221" i="1"/>
  <c r="AK221" i="1" s="1"/>
  <c r="AI221" i="1" s="1"/>
  <c r="AM34" i="1"/>
  <c r="AJ34" i="1"/>
  <c r="AK34" i="1" s="1"/>
  <c r="AI34" i="1" s="1"/>
  <c r="AK253" i="1"/>
  <c r="AI253" i="1" s="1"/>
  <c r="AM253" i="1"/>
  <c r="AJ108" i="1"/>
  <c r="AK51" i="1"/>
  <c r="AI51" i="1" s="1"/>
  <c r="AK108" i="1" l="1"/>
  <c r="AI108" i="1" s="1"/>
  <c r="AM108" i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1" type="4" refreshedVersion="0" deleted="1" background="1" saveData="1">
    <webPr htmlTables="1" htmlFormat="all"/>
  </connection>
  <connection id="9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0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2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3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4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5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6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7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8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9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0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1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2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2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25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26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27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28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29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30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31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32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33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34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35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36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37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38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39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0" name="Conexão1131" type="4" refreshedVersion="0" deleted="1" background="1" saveData="1">
    <webPr htmlTables="1" htmlFormat="all"/>
  </connection>
  <connection id="41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" name="Conexão1141" type="4" refreshedVersion="0" deleted="1" background="1" saveData="1">
    <webPr htmlTables="1" htmlFormat="all"/>
  </connection>
  <connection id="43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44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45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46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7" name="Conexão1161" type="4" refreshedVersion="0" deleted="1" background="1" saveData="1">
    <webPr htmlTables="1" htmlFormat="all"/>
  </connection>
  <connection id="48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9" name="Conexão1171" type="4" refreshedVersion="0" deleted="1" background="1" saveData="1">
    <webPr htmlTables="1" htmlFormat="all"/>
  </connection>
  <connection id="50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1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2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3" name="Conexão119" type="4" refreshedVersion="0" background="1" saveData="1">
    <webPr url="http://download.finance.yahoo.com/d/quotes.csv?s=PITI3.SA&amp;f=nol1hgd1" htmlTables="1" htmlFormat="all"/>
  </connection>
  <connection id="54" name="Conexão1191" type="4" refreshedVersion="0" deleted="1" background="1" saveData="1">
    <webPr htmlTables="1" htmlFormat="all"/>
  </connection>
  <connection id="55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56" name="Conexão120" type="4" refreshedVersion="0" background="1" saveData="1">
    <webPr url="http://download.finance.yahoo.com/d/quotes.csv?s=PITI3.SA&amp;f=nol1hgd1" htmlTables="1" htmlFormat="all"/>
  </connection>
  <connection id="57" name="Conexão1201" type="4" refreshedVersion="3" deleted="1" background="1" saveData="1">
    <webPr xl2000="1" htmlTables="1" htmlFormat="all"/>
  </connection>
  <connection id="58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59" name="Conexão1211" type="4" refreshedVersion="0" deleted="1" background="1" saveData="1">
    <webPr htmlTables="1" htmlFormat="all"/>
  </connection>
  <connection id="60" name="Conexão122" type="4" refreshedVersion="0" deleted="1" background="1" saveData="1">
    <webPr htmlTables="1" htmlFormat="all"/>
  </connection>
  <connection id="61" name="Conexão1221" type="4" refreshedVersion="0" deleted="1" background="1" saveData="1">
    <webPr htmlTables="1" htmlFormat="all"/>
  </connection>
  <connection id="62" name="Conexão123" type="4" refreshedVersion="3" deleted="1" background="1" saveData="1">
    <webPr xl2000="1" htmlTables="1" htmlFormat="all"/>
  </connection>
  <connection id="63" name="Conexão1231" type="4" refreshedVersion="3" deleted="1" background="1" saveData="1">
    <webPr xl2000="1" htmlTables="1" htmlFormat="all"/>
  </connection>
  <connection id="64" name="Conexão124" type="4" refreshedVersion="3" deleted="1" background="1" saveData="1">
    <webPr xl2000="1" htmlTables="1" htmlFormat="all"/>
  </connection>
  <connection id="65" name="Conexão1241" type="4" refreshedVersion="3" deleted="1" background="1" saveData="1">
    <webPr xl2000="1" htmlTables="1" htmlFormat="all"/>
  </connection>
  <connection id="66" name="Conexão125" type="4" refreshedVersion="3" deleted="1" background="1" saveData="1">
    <webPr xl2000="1" htmlTables="1" htmlFormat="all"/>
  </connection>
  <connection id="67" name="Conexão1251" type="4" refreshedVersion="3" deleted="1" background="1" saveData="1">
    <webPr xl2000="1" htmlTables="1" htmlFormat="all"/>
  </connection>
  <connection id="68" name="Conexão126" type="4" refreshedVersion="3" deleted="1" background="1" saveData="1">
    <webPr xl2000="1" htmlTables="1" htmlFormat="all"/>
  </connection>
  <connection id="69" name="Conexão1261" type="4" refreshedVersion="3" deleted="1" background="1" saveData="1">
    <webPr xl2000="1" htmlTables="1" htmlFormat="all"/>
  </connection>
  <connection id="70" name="Conexão127" type="4" refreshedVersion="3" deleted="1" background="1" saveData="1">
    <webPr xl2000="1" htmlTables="1" htmlFormat="all"/>
  </connection>
  <connection id="71" name="Conexão1271" type="4" refreshedVersion="3" deleted="1" background="1" saveData="1">
    <webPr xl2000="1" htmlTables="1" htmlFormat="all"/>
  </connection>
  <connection id="72" name="Conexão128" type="4" refreshedVersion="3" deleted="1" background="1" saveData="1">
    <webPr xl2000="1" htmlTables="1" htmlFormat="all"/>
  </connection>
  <connection id="73" name="Conexão129" type="4" refreshedVersion="3" deleted="1" background="1" saveData="1">
    <webPr xl2000="1" htmlTables="1" htmlFormat="all"/>
  </connection>
  <connection id="74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75" name="Conexão130" type="4" refreshedVersion="3" deleted="1" background="1" saveData="1">
    <webPr xl2000="1" htmlTables="1" htmlFormat="all"/>
  </connection>
  <connection id="76" name="Conexão1301" type="4" refreshedVersion="3" deleted="1" background="1" saveData="1">
    <webPr xl2000="1" htmlTables="1" htmlFormat="all"/>
  </connection>
  <connection id="77" name="Conexão131" type="4" refreshedVersion="0" deleted="1" background="1" saveData="1">
    <webPr htmlTables="1" htmlFormat="all"/>
  </connection>
  <connection id="78" name="Conexão1311" type="4" refreshedVersion="0" deleted="1" background="1" saveData="1">
    <webPr htmlTables="1" htmlFormat="all"/>
  </connection>
  <connection id="79" name="Conexão132" type="4" refreshedVersion="0" deleted="1" background="1" saveData="1">
    <webPr htmlTables="1" htmlFormat="all"/>
  </connection>
  <connection id="80" name="Conexão1321" type="4" refreshedVersion="0" deleted="1" background="1" saveData="1">
    <webPr htmlTables="1" htmlFormat="all"/>
  </connection>
  <connection id="81" name="Conexão133" type="4" refreshedVersion="3" deleted="1" background="1" saveData="1">
    <webPr xl2000="1" htmlTables="1" htmlFormat="all"/>
  </connection>
  <connection id="82" name="Conexão134" type="4" refreshedVersion="3" deleted="1" background="1" saveData="1">
    <webPr xl2000="1" htmlTables="1" htmlFormat="all"/>
  </connection>
  <connection id="83" name="Conexão1341" type="4" refreshedVersion="3" deleted="1" background="1" saveData="1">
    <webPr xl2000="1" htmlTables="1" htmlFormat="all"/>
  </connection>
  <connection id="84" name="Conexão135" type="4" refreshedVersion="3" deleted="1" background="1" saveData="1">
    <webPr xl2000="1" htmlTables="1" htmlFormat="all"/>
  </connection>
  <connection id="85" name="Conexão1351" type="4" refreshedVersion="3" deleted="1" background="1" saveData="1">
    <webPr xl2000="1" htmlTables="1" htmlFormat="all"/>
  </connection>
  <connection id="86" name="Conexão136" type="4" refreshedVersion="3" deleted="1" background="1" saveData="1">
    <webPr xl2000="1" htmlTables="1" htmlFormat="all"/>
  </connection>
  <connection id="87" name="Conexão137" type="4" refreshedVersion="3" deleted="1" background="1" saveData="1">
    <webPr xl2000="1" htmlTables="1" htmlFormat="all"/>
  </connection>
  <connection id="88" name="Conexão138" type="4" refreshedVersion="3" deleted="1" background="1" saveData="1">
    <webPr xl2000="1" htmlTables="1" htmlFormat="all"/>
  </connection>
  <connection id="89" name="Conexão1381" type="4" refreshedVersion="3" deleted="1" background="1" saveData="1">
    <webPr xl2000="1" htmlTables="1" htmlFormat="all"/>
  </connection>
  <connection id="90" name="Conexão139" type="4" refreshedVersion="3" deleted="1" background="1" saveData="1">
    <webPr xl2000="1" htmlTables="1" htmlFormat="all"/>
  </connection>
  <connection id="91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2" name="Conexão140" type="4" refreshedVersion="3" deleted="1" background="1" saveData="1">
    <webPr xl2000="1" htmlTables="1" htmlFormat="all"/>
  </connection>
  <connection id="93" name="Conexão141" type="4" refreshedVersion="0" deleted="1" background="1" saveData="1">
    <webPr htmlTables="1" htmlFormat="all"/>
  </connection>
  <connection id="94" name="Conexão1411" type="4" refreshedVersion="0" deleted="1" background="1" saveData="1">
    <webPr htmlTables="1" htmlFormat="all"/>
  </connection>
  <connection id="95" name="Conexão142" type="4" refreshedVersion="0" deleted="1" background="1" saveData="1">
    <webPr htmlTables="1" htmlFormat="all"/>
  </connection>
  <connection id="96" name="Conexão1421" type="4" refreshedVersion="0" deleted="1" background="1" saveData="1">
    <webPr htmlTables="1" htmlFormat="all"/>
  </connection>
  <connection id="97" name="Conexão143" type="4" refreshedVersion="3" deleted="1" background="1" saveData="1">
    <webPr xl2000="1" htmlTables="1" htmlFormat="all"/>
  </connection>
  <connection id="98" name="Conexão1431" type="4" refreshedVersion="3" deleted="1" background="1" saveData="1">
    <webPr xl2000="1" htmlTables="1" htmlFormat="all"/>
  </connection>
  <connection id="99" name="Conexão144" type="4" refreshedVersion="3" deleted="1" background="1" saveData="1">
    <webPr xl2000="1" htmlTables="1" htmlFormat="all"/>
  </connection>
  <connection id="100" name="Conexão145" type="4" refreshedVersion="3" deleted="1" background="1" saveData="1">
    <webPr xl2000="1" htmlTables="1" htmlFormat="all"/>
  </connection>
  <connection id="101" name="Conexão1451" type="4" refreshedVersion="3" deleted="1" background="1" saveData="1">
    <webPr xl2000="1" htmlTables="1" htmlFormat="all"/>
  </connection>
  <connection id="102" name="Conexão146" type="4" refreshedVersion="3" deleted="1" background="1" saveData="1">
    <webPr xl2000="1" htmlTables="1" htmlFormat="all"/>
  </connection>
  <connection id="103" name="Conexão147" type="4" refreshedVersion="3" deleted="1" background="1" saveData="1">
    <webPr xl2000="1" htmlTables="1" htmlFormat="all"/>
  </connection>
  <connection id="104" name="Conexão1471" type="4" refreshedVersion="3" deleted="1" background="1" saveData="1">
    <webPr xl2000="1" htmlTables="1" htmlFormat="all"/>
  </connection>
  <connection id="105" name="Conexão148" type="4" refreshedVersion="3" deleted="1" background="1" saveData="1">
    <webPr xl2000="1" htmlTables="1" htmlFormat="all"/>
  </connection>
  <connection id="106" name="Conexão149" type="4" refreshedVersion="3" deleted="1" background="1" saveData="1">
    <webPr xl2000="1" htmlTables="1" htmlFormat="all"/>
  </connection>
  <connection id="107" name="Conexão1491" type="4" refreshedVersion="3" deleted="1" background="1" saveData="1">
    <webPr xl2000="1" htmlTables="1" htmlFormat="all"/>
  </connection>
  <connection id="108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9" name="Conexão150" type="4" refreshedVersion="3" deleted="1" background="1" saveData="1">
    <webPr xl2000="1" htmlTables="1" htmlFormat="all"/>
  </connection>
  <connection id="110" name="Conexão1501" type="4" refreshedVersion="3" deleted="1" background="1" saveData="1">
    <webPr xl2000="1" htmlTables="1" htmlFormat="all"/>
  </connection>
  <connection id="111" name="Conexão151" type="4" refreshedVersion="0" deleted="1" background="1" saveData="1">
    <webPr htmlTables="1" htmlFormat="all"/>
  </connection>
  <connection id="112" name="Conexão1511" type="4" refreshedVersion="0" deleted="1" background="1" saveData="1">
    <webPr htmlTables="1" htmlFormat="all"/>
  </connection>
  <connection id="113" name="Conexão152" type="4" refreshedVersion="0" deleted="1" background="1" saveData="1">
    <webPr htmlTables="1" htmlFormat="all"/>
  </connection>
  <connection id="114" name="Conexão1521" type="4" refreshedVersion="0" deleted="1" background="1" saveData="1">
    <webPr htmlTables="1" htmlFormat="all"/>
  </connection>
  <connection id="115" name="Conexão153" type="4" refreshedVersion="3" deleted="1" background="1" saveData="1">
    <webPr xl2000="1" htmlTables="1" htmlFormat="all"/>
  </connection>
  <connection id="116" name="Conexão1531" type="4" refreshedVersion="3" deleted="1" background="1" saveData="1">
    <webPr xl2000="1" htmlTables="1" htmlFormat="all"/>
  </connection>
  <connection id="117" name="Conexão154" type="4" refreshedVersion="3" deleted="1" background="1" saveData="1">
    <webPr xl2000="1" htmlTables="1" htmlFormat="all"/>
  </connection>
  <connection id="118" name="Conexão1541" type="4" refreshedVersion="3" deleted="1" background="1" saveData="1">
    <webPr xl2000="1" htmlTables="1" htmlFormat="all"/>
  </connection>
  <connection id="119" name="Conexão155" type="4" refreshedVersion="3" deleted="1" background="1" saveData="1">
    <webPr xl2000="1" htmlTables="1" htmlFormat="all"/>
  </connection>
  <connection id="120" name="Conexão1551" type="4" refreshedVersion="3" deleted="1" background="1" saveData="1">
    <webPr xl2000="1" htmlTables="1" htmlFormat="all"/>
  </connection>
  <connection id="121" name="Conexão156" type="4" refreshedVersion="3" deleted="1" background="1" saveData="1">
    <webPr xl2000="1" htmlTables="1" htmlFormat="all"/>
  </connection>
  <connection id="122" name="Conexão1561" type="4" refreshedVersion="3" deleted="1" background="1" saveData="1">
    <webPr xl2000="1" htmlTables="1" htmlFormat="all"/>
  </connection>
  <connection id="123" name="Conexão157" type="4" refreshedVersion="3" deleted="1" background="1" saveData="1">
    <webPr xl2000="1" htmlTables="1" htmlFormat="all"/>
  </connection>
  <connection id="124" name="Conexão1571" type="4" refreshedVersion="3" deleted="1" background="1" saveData="1">
    <webPr xl2000="1" htmlTables="1" htmlFormat="all"/>
  </connection>
  <connection id="125" name="Conexão158" type="4" refreshedVersion="3" deleted="1" background="1" saveData="1">
    <webPr xl2000="1" htmlTables="1" htmlFormat="all"/>
  </connection>
  <connection id="126" name="Conexão1581" type="4" refreshedVersion="3" deleted="1" background="1" saveData="1">
    <webPr xl2000="1" htmlTables="1" htmlFormat="all"/>
  </connection>
  <connection id="127" name="Conexão159" type="4" refreshedVersion="3" deleted="1" background="1" saveData="1">
    <webPr xl2000="1" htmlTables="1" htmlFormat="all"/>
  </connection>
  <connection id="128" name="Conexão1591" type="4" refreshedVersion="3" deleted="1" background="1" saveData="1">
    <webPr xl2000="1" htmlTables="1" htmlFormat="all"/>
  </connection>
  <connection id="129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0" name="Conexão160" type="4" refreshedVersion="3" deleted="1" background="1" saveData="1">
    <webPr xl2000="1" htmlTables="1" htmlFormat="all"/>
  </connection>
  <connection id="131" name="Conexão1601" type="4" refreshedVersion="3" deleted="1" background="1" saveData="1">
    <webPr xl2000="1" htmlTables="1" htmlFormat="all"/>
  </connection>
  <connection id="132" name="Conexão161" type="4" refreshedVersion="0" deleted="1" background="1" saveData="1">
    <webPr htmlTables="1" htmlFormat="all"/>
  </connection>
  <connection id="133" name="Conexão1611" type="4" refreshedVersion="0" deleted="1" background="1" saveData="1">
    <webPr htmlTables="1" htmlFormat="all"/>
  </connection>
  <connection id="134" name="Conexão162" type="4" refreshedVersion="0" deleted="1" background="1" saveData="1">
    <webPr htmlTables="1" htmlFormat="all"/>
  </connection>
  <connection id="135" name="Conexão1621" type="4" refreshedVersion="0" deleted="1" background="1" saveData="1">
    <webPr htmlTables="1" htmlFormat="all"/>
  </connection>
  <connection id="136" name="Conexão163" type="4" refreshedVersion="3" deleted="1" background="1" saveData="1">
    <webPr xl2000="1" htmlTables="1" htmlFormat="all"/>
  </connection>
  <connection id="137" name="Conexão1631" type="4" refreshedVersion="3" deleted="1" background="1" saveData="1">
    <webPr xl2000="1" htmlTables="1" htmlFormat="all"/>
  </connection>
  <connection id="138" name="Conexão164" type="4" refreshedVersion="3" deleted="1" background="1" saveData="1">
    <webPr xl2000="1" htmlTables="1" htmlFormat="all"/>
  </connection>
  <connection id="139" name="Conexão1641" type="4" refreshedVersion="3" deleted="1" background="1" saveData="1">
    <webPr xl2000="1" htmlTables="1" htmlFormat="all"/>
  </connection>
  <connection id="140" name="Conexão165" type="4" refreshedVersion="3" deleted="1" background="1" saveData="1">
    <webPr xl2000="1" htmlTables="1" htmlFormat="all"/>
  </connection>
  <connection id="141" name="Conexão166" type="4" refreshedVersion="3" deleted="1" background="1" saveData="1">
    <webPr xl2000="1" htmlTables="1" htmlFormat="all"/>
  </connection>
  <connection id="142" name="Conexão1661" type="4" refreshedVersion="3" deleted="1" background="1" saveData="1">
    <webPr xl2000="1" htmlTables="1" htmlFormat="all"/>
  </connection>
  <connection id="143" name="Conexão168" type="4" refreshedVersion="3" deleted="1" background="1" saveData="1">
    <webPr xl2000="1" htmlTables="1" htmlFormat="all"/>
  </connection>
  <connection id="144" name="Conexão1681" type="4" refreshedVersion="3" deleted="1" background="1" saveData="1">
    <webPr xl2000="1" htmlTables="1" htmlFormat="all"/>
  </connection>
  <connection id="145" name="Conexão169" type="4" refreshedVersion="3" deleted="1" background="1" saveData="1">
    <webPr xl2000="1" htmlTables="1" htmlFormat="all"/>
  </connection>
  <connection id="14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47" name="Conexão170" type="4" refreshedVersion="3" deleted="1" background="1" saveData="1">
    <webPr xl2000="1" htmlTables="1" htmlFormat="all"/>
  </connection>
  <connection id="148" name="Conexão171" type="4" refreshedVersion="0" deleted="1" background="1" saveData="1">
    <webPr htmlTables="1" htmlFormat="all"/>
  </connection>
  <connection id="149" name="Conexão1711" type="4" refreshedVersion="0" deleted="1" background="1" saveData="1">
    <webPr htmlTables="1" htmlFormat="all"/>
  </connection>
  <connection id="150" name="Conexão172" type="4" refreshedVersion="0" deleted="1" background="1" saveData="1">
    <webPr htmlTables="1" htmlFormat="all"/>
  </connection>
  <connection id="151" name="Conexão1721" type="4" refreshedVersion="0" deleted="1" background="1" saveData="1">
    <webPr htmlTables="1" htmlFormat="all"/>
  </connection>
  <connection id="152" name="Conexão173" type="4" refreshedVersion="3" deleted="1" background="1" saveData="1">
    <webPr xl2000="1" htmlTables="1" htmlFormat="all"/>
  </connection>
  <connection id="153" name="Conexão1731" type="4" refreshedVersion="3" deleted="1" background="1" saveData="1">
    <webPr xl2000="1" htmlTables="1" htmlFormat="all"/>
  </connection>
  <connection id="154" name="Conexão174" type="4" refreshedVersion="3" deleted="1" background="1" saveData="1">
    <webPr xl2000="1" htmlTables="1" htmlFormat="all"/>
  </connection>
  <connection id="155" name="Conexão175" type="4" refreshedVersion="3" deleted="1" background="1" saveData="1">
    <webPr xl2000="1" htmlTables="1" htmlFormat="all"/>
  </connection>
  <connection id="156" name="Conexão1751" type="4" refreshedVersion="3" deleted="1" background="1" saveData="1">
    <webPr xl2000="1" htmlTables="1" htmlFormat="all"/>
  </connection>
  <connection id="157" name="Conexão176" type="4" refreshedVersion="3" deleted="1" background="1" saveData="1">
    <webPr xl2000="1" htmlTables="1" htmlFormat="all"/>
  </connection>
  <connection id="158" name="Conexão1761" type="4" refreshedVersion="3" deleted="1" background="1" saveData="1">
    <webPr xl2000="1" htmlTables="1" htmlFormat="all"/>
  </connection>
  <connection id="159" name="Conexão177" type="4" refreshedVersion="3" deleted="1" background="1" saveData="1">
    <webPr xl2000="1" htmlTables="1" htmlFormat="all"/>
  </connection>
  <connection id="160" name="Conexão1771" type="4" refreshedVersion="3" deleted="1" background="1" saveData="1">
    <webPr xl2000="1" htmlTables="1" htmlFormat="all"/>
  </connection>
  <connection id="161" name="Conexão178" type="4" refreshedVersion="3" deleted="1" background="1" saveData="1">
    <webPr xl2000="1" htmlTables="1" htmlFormat="all"/>
  </connection>
  <connection id="162" name="Conexão1781" type="4" refreshedVersion="3" deleted="1" background="1" saveData="1">
    <webPr xl2000="1" htmlTables="1" htmlFormat="all"/>
  </connection>
  <connection id="163" name="Conexão179" type="4" refreshedVersion="3" deleted="1" background="1" saveData="1">
    <webPr xl2000="1" htmlTables="1" htmlFormat="all"/>
  </connection>
  <connection id="164" name="Conexão1791" type="4" refreshedVersion="3" deleted="1" background="1" saveData="1">
    <webPr xl2000="1" htmlTables="1" htmlFormat="all"/>
  </connection>
  <connection id="16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66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67" name="Conexão1811" type="4" refreshedVersion="0" deleted="1" background="1" saveData="1">
    <webPr htmlTables="1" htmlFormat="all"/>
  </connection>
  <connection id="168" name="Conexão182" type="4" refreshedVersion="0" deleted="1" background="1" saveData="1">
    <webPr htmlTables="1" htmlFormat="all"/>
  </connection>
  <connection id="169" name="Conexão1821" type="4" refreshedVersion="0" deleted="1" background="1" saveData="1">
    <webPr htmlTables="1" htmlFormat="all"/>
  </connection>
  <connection id="170" name="Conexão183" type="4" refreshedVersion="3" deleted="1" background="1" saveData="1">
    <webPr xl2000="1" htmlTables="1" htmlFormat="all"/>
  </connection>
  <connection id="171" name="Conexão1831" type="4" refreshedVersion="3" deleted="1" background="1" saveData="1">
    <webPr xl2000="1" htmlTables="1" htmlFormat="all"/>
  </connection>
  <connection id="172" name="Conexão184" type="4" refreshedVersion="3" deleted="1" background="1" saveData="1">
    <webPr xl2000="1" htmlTables="1" htmlFormat="all"/>
  </connection>
  <connection id="173" name="Conexão1841" type="4" refreshedVersion="3" deleted="1" background="1" saveData="1">
    <webPr xl2000="1" htmlTables="1" htmlFormat="all"/>
  </connection>
  <connection id="174" name="Conexão185" type="4" refreshedVersion="3" deleted="1" background="1" saveData="1">
    <webPr xl2000="1" htmlTables="1" htmlFormat="all"/>
  </connection>
  <connection id="175" name="Conexão1851" type="4" refreshedVersion="3" deleted="1" background="1" saveData="1">
    <webPr xl2000="1" htmlTables="1" htmlFormat="all"/>
  </connection>
  <connection id="176" name="Conexão186" type="4" refreshedVersion="3" deleted="1" background="1" saveData="1">
    <webPr xl2000="1" htmlTables="1" htmlFormat="all"/>
  </connection>
  <connection id="177" name="Conexão1861" type="4" refreshedVersion="3" deleted="1" background="1" saveData="1">
    <webPr xl2000="1" htmlTables="1" htmlFormat="all"/>
  </connection>
  <connection id="178" name="Conexão189" type="4" refreshedVersion="3" deleted="1" background="1" saveData="1">
    <webPr xl2000="1" htmlTables="1" htmlFormat="all"/>
  </connection>
  <connection id="179" name="Conexão1891" type="4" refreshedVersion="3" deleted="1" background="1" saveData="1">
    <webPr xl2000="1" htmlTables="1" htmlFormat="all"/>
  </connection>
  <connection id="18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81" name="Conexão190" type="4" refreshedVersion="3" deleted="1" background="1" saveData="1">
    <webPr xl2000="1" htmlTables="1" htmlFormat="all"/>
  </connection>
  <connection id="182" name="Conexão1901" type="4" refreshedVersion="3" deleted="1" background="1" saveData="1">
    <webPr xl2000="1" htmlTables="1" htmlFormat="all"/>
  </connection>
  <connection id="18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84" name="Conexão1911" type="4" refreshedVersion="0" deleted="1" background="1" saveData="1">
    <webPr htmlTables="1" htmlFormat="all"/>
  </connection>
  <connection id="185" name="Conexão192" type="4" refreshedVersion="0" deleted="1" background="1" saveData="1">
    <webPr htmlTables="1" htmlFormat="all"/>
  </connection>
  <connection id="186" name="Conexão1921" type="4" refreshedVersion="0" deleted="1" background="1" saveData="1">
    <webPr htmlTables="1" htmlFormat="all"/>
  </connection>
  <connection id="187" name="Conexão193" type="4" refreshedVersion="3" deleted="1" background="1" saveData="1">
    <webPr xl2000="1" htmlTables="1" htmlFormat="all"/>
  </connection>
  <connection id="188" name="Conexão1931" type="4" refreshedVersion="3" deleted="1" background="1" saveData="1">
    <webPr xl2000="1" htmlTables="1" htmlFormat="all"/>
  </connection>
  <connection id="189" name="Conexão195" type="4" refreshedVersion="3" deleted="1" background="1" saveData="1">
    <webPr xl2000="1" htmlTables="1" htmlFormat="all"/>
  </connection>
  <connection id="190" name="Conexão1951" type="4" refreshedVersion="3" deleted="1" background="1" saveData="1">
    <webPr xl2000="1" htmlTables="1" htmlFormat="all"/>
  </connection>
  <connection id="191" name="Conexão196" type="4" refreshedVersion="3" deleted="1" background="1" saveData="1">
    <webPr xl2000="1" htmlTables="1" htmlFormat="all"/>
  </connection>
  <connection id="192" name="Conexão1961" type="4" refreshedVersion="3" deleted="1" background="1" saveData="1">
    <webPr xl2000="1" htmlTables="1" htmlFormat="all"/>
  </connection>
  <connection id="193" name="Conexão197" type="4" refreshedVersion="3" deleted="1" background="1" saveData="1">
    <webPr xl2000="1" htmlTables="1" htmlFormat="all"/>
  </connection>
  <connection id="194" name="Conexão1971" type="4" refreshedVersion="3" deleted="1" background="1" saveData="1">
    <webPr xl2000="1" htmlTables="1" htmlFormat="all"/>
  </connection>
  <connection id="195" name="Conexão199" type="4" refreshedVersion="3" deleted="1" background="1" saveData="1">
    <webPr xl2000="1" htmlTables="1" htmlFormat="all"/>
  </connection>
  <connection id="196" name="Conexão2" type="4" refreshedVersion="0" background="1" saveData="1">
    <webPr url="http://download.finance.yahoo.com/d/quotes.csv?s=PITI3.SA+BPAC3.SA+BPAC5.SA&amp;f=nol1hgd1" htmlTables="1" htmlFormat="all"/>
  </connection>
  <connection id="19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98" name="Conexão200" type="4" refreshedVersion="3" deleted="1" background="1" saveData="1">
    <webPr xl2000="1" htmlTables="1" htmlFormat="all"/>
  </connection>
  <connection id="199" name="Conexão2001" type="4" refreshedVersion="3" deleted="1" background="1" saveData="1">
    <webPr xl2000="1" htmlTables="1" htmlFormat="all"/>
  </connection>
  <connection id="20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01" name="Conexão2011" type="4" refreshedVersion="0" deleted="1" background="1" saveData="1">
    <webPr htmlTables="1" htmlFormat="all"/>
  </connection>
  <connection id="202" name="Conexão202" type="4" refreshedVersion="0" deleted="1" background="1" saveData="1">
    <webPr htmlTables="1" htmlFormat="all"/>
  </connection>
  <connection id="203" name="Conexão2021" type="4" refreshedVersion="0" deleted="1" background="1" saveData="1">
    <webPr htmlTables="1" htmlFormat="all"/>
  </connection>
  <connection id="204" name="Conexão203" type="4" refreshedVersion="3" deleted="1" background="1" saveData="1">
    <webPr xl2000="1" htmlTables="1" htmlFormat="all"/>
  </connection>
  <connection id="205" name="Conexão2031" type="4" refreshedVersion="3" deleted="1" background="1" saveData="1">
    <webPr xl2000="1" htmlTables="1" htmlFormat="all"/>
  </connection>
  <connection id="206" name="Conexão204" type="4" refreshedVersion="3" deleted="1" background="1" saveData="1">
    <webPr xl2000="1" htmlTables="1" htmlFormat="all"/>
  </connection>
  <connection id="207" name="Conexão205" type="4" refreshedVersion="3" deleted="1" background="1" saveData="1">
    <webPr xl2000="1" htmlTables="1" htmlFormat="all"/>
  </connection>
  <connection id="208" name="Conexão206" type="4" refreshedVersion="3" deleted="1" background="1" saveData="1">
    <webPr xl2000="1" htmlTables="1" htmlFormat="all"/>
  </connection>
  <connection id="209" name="Conexão2061" type="4" refreshedVersion="3" deleted="1" background="1" saveData="1">
    <webPr xl2000="1" htmlTables="1" htmlFormat="all"/>
  </connection>
  <connection id="210" name="Conexão207" type="4" refreshedVersion="3" deleted="1" background="1" saveData="1">
    <webPr xl2000="1" htmlTables="1" htmlFormat="all"/>
  </connection>
  <connection id="211" name="Conexão208" type="4" refreshedVersion="3" deleted="1" background="1" saveData="1">
    <webPr xl2000="1" htmlTables="1" htmlFormat="all"/>
  </connection>
  <connection id="212" name="Conexão2081" type="4" refreshedVersion="3" deleted="1" background="1" saveData="1">
    <webPr xl2000="1" htmlTables="1" htmlFormat="all"/>
  </connection>
  <connection id="213" name="Conexão209" type="4" refreshedVersion="3" deleted="1" background="1" saveData="1">
    <webPr xl2000="1" htmlTables="1" htmlFormat="all"/>
  </connection>
  <connection id="21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15" name="Conexão210" type="4" refreshedVersion="0" background="1" saveData="1">
    <webPr url="http://download.finance.yahoo.com/d/quotes.csv?s=PITI3.SA+BPAC3.SA+BPAC5.SA&amp;f=nol1hgd1" htmlTables="1" htmlFormat="all"/>
  </connection>
  <connection id="216" name="Conexão2101" type="4" refreshedVersion="0" deleted="1" background="1" saveData="1">
    <webPr htmlTables="1" htmlFormat="all"/>
  </connection>
  <connection id="217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18" name="Conexão2111" type="4" refreshedVersion="0" deleted="1" background="1" saveData="1">
    <webPr htmlTables="1" htmlFormat="all"/>
  </connection>
  <connection id="219" name="Conexão212" type="4" refreshedVersion="0" deleted="1" background="1" saveData="1">
    <webPr htmlTables="1" htmlFormat="all"/>
  </connection>
  <connection id="220" name="Conexão2121" type="4" refreshedVersion="0" deleted="1" background="1" saveData="1">
    <webPr htmlTables="1" htmlFormat="all"/>
  </connection>
  <connection id="221" name="Conexão213" type="4" refreshedVersion="0" deleted="1" background="1" saveData="1">
    <webPr htmlTables="1" htmlFormat="all"/>
  </connection>
  <connection id="222" name="Conexão2131" type="4" refreshedVersion="0" deleted="1" background="1" saveData="1">
    <webPr htmlTables="1" htmlFormat="all"/>
  </connection>
  <connection id="223" name="Conexão214" type="4" refreshedVersion="0" deleted="1" background="1" saveData="1">
    <webPr htmlTables="1" htmlFormat="all"/>
  </connection>
  <connection id="224" name="Conexão2141" type="4" refreshedVersion="0" deleted="1" background="1" saveData="1">
    <webPr htmlTables="1" htmlFormat="all"/>
  </connection>
  <connection id="225" name="Conexão215" type="4" refreshedVersion="0" deleted="1" background="1" saveData="1">
    <webPr htmlTables="1" htmlFormat="all"/>
  </connection>
  <connection id="226" name="Conexão2151" type="4" refreshedVersion="0" deleted="1" background="1" saveData="1">
    <webPr htmlTables="1" htmlFormat="all"/>
  </connection>
  <connection id="227" name="Conexão216" type="4" refreshedVersion="0" deleted="1" background="1" saveData="1">
    <webPr htmlTables="1" htmlFormat="all"/>
  </connection>
  <connection id="228" name="Conexão2161" type="4" refreshedVersion="0" deleted="1" background="1" saveData="1">
    <webPr htmlTables="1" htmlFormat="all"/>
  </connection>
  <connection id="229" name="Conexão217" type="4" refreshedVersion="3" deleted="1" background="1" saveData="1">
    <webPr xl2000="1" htmlTables="1" htmlFormat="all"/>
  </connection>
  <connection id="230" name="Conexão2171" type="4" refreshedVersion="3" deleted="1" background="1" saveData="1">
    <webPr xl2000="1" htmlTables="1" htmlFormat="all"/>
  </connection>
  <connection id="231" name="Conexão218" type="4" refreshedVersion="3" deleted="1" background="1" saveData="1">
    <webPr xl2000="1" htmlTables="1" htmlFormat="all"/>
  </connection>
  <connection id="232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33" name="Conexão220" type="4" refreshedVersion="3" deleted="1" background="1" saveData="1">
    <webPr xl2000="1" htmlTables="1" htmlFormat="all"/>
  </connection>
  <connection id="234" name="Conexão2201" type="4" refreshedVersion="3" deleted="1" background="1" saveData="1">
    <webPr xl2000="1" htmlTables="1" htmlFormat="all"/>
  </connection>
  <connection id="235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36" name="Conexão2211" type="4" refreshedVersion="0" deleted="1" background="1" saveData="1">
    <webPr htmlTables="1" htmlFormat="all"/>
  </connection>
  <connection id="237" name="Conexão222" type="4" refreshedVersion="0" deleted="1" background="1" saveData="1">
    <webPr htmlTables="1" htmlFormat="all"/>
  </connection>
  <connection id="238" name="Conexão2221" type="4" refreshedVersion="0" deleted="1" background="1" saveData="1">
    <webPr htmlTables="1" htmlFormat="all"/>
  </connection>
  <connection id="239" name="Conexão223" type="4" refreshedVersion="3" deleted="1" background="1" saveData="1">
    <webPr xl2000="1" htmlTables="1" htmlFormat="all"/>
  </connection>
  <connection id="240" name="Conexão226" type="4" refreshedVersion="3" deleted="1" background="1" saveData="1">
    <webPr xl2000="1" htmlTables="1" htmlFormat="all"/>
  </connection>
  <connection id="241" name="Conexão2261" type="4" refreshedVersion="3" deleted="1" background="1" saveData="1">
    <webPr xl2000="1" htmlTables="1" htmlFormat="all"/>
  </connection>
  <connection id="242" name="Conexão227" type="4" refreshedVersion="3" deleted="1" background="1" saveData="1">
    <webPr xl2000="1" htmlTables="1" htmlFormat="all"/>
  </connection>
  <connection id="243" name="Conexão2271" type="4" refreshedVersion="3" deleted="1" background="1" saveData="1">
    <webPr xl2000="1" htmlTables="1" htmlFormat="all"/>
  </connection>
  <connection id="244" name="Conexão228" type="4" refreshedVersion="3" deleted="1" background="1" saveData="1">
    <webPr xl2000="1" htmlTables="1" htmlFormat="all"/>
  </connection>
  <connection id="245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46" name="Conexão230" type="4" refreshedVersion="3" deleted="1" background="1" saveData="1">
    <webPr xl2000="1" htmlTables="1" htmlFormat="all"/>
  </connection>
  <connection id="247" name="Conexão231" type="4" refreshedVersion="0" deleted="1" background="1" saveData="1">
    <webPr htmlTables="1" htmlFormat="all"/>
  </connection>
  <connection id="248" name="Conexão2311" type="4" refreshedVersion="0" deleted="1" background="1" saveData="1">
    <webPr htmlTables="1" htmlFormat="all"/>
  </connection>
  <connection id="249" name="Conexão232" type="4" refreshedVersion="0" deleted="1" background="1" saveData="1">
    <webPr htmlTables="1" htmlFormat="all"/>
  </connection>
  <connection id="250" name="Conexão2321" type="4" refreshedVersion="0" deleted="1" background="1" saveData="1">
    <webPr htmlTables="1" htmlFormat="all"/>
  </connection>
  <connection id="251" name="Conexão233" type="4" refreshedVersion="3" deleted="1" background="1" saveData="1">
    <webPr xl2000="1" htmlTables="1" htmlFormat="all"/>
  </connection>
  <connection id="252" name="Conexão2331" type="4" refreshedVersion="3" deleted="1" background="1" saveData="1">
    <webPr xl2000="1" htmlTables="1" htmlFormat="all"/>
  </connection>
  <connection id="253" name="Conexão235" type="4" refreshedVersion="3" deleted="1" background="1" saveData="1">
    <webPr xl2000="1" htmlTables="1" htmlFormat="all"/>
  </connection>
  <connection id="254" name="Conexão2351" type="4" refreshedVersion="3" deleted="1" background="1" saveData="1">
    <webPr xl2000="1" htmlTables="1" htmlFormat="all"/>
  </connection>
  <connection id="255" name="Conexão238" type="4" refreshedVersion="3" deleted="1" background="1" saveData="1">
    <webPr xl2000="1" htmlTables="1" htmlFormat="all"/>
  </connection>
  <connection id="256" name="Conexão2381" type="4" refreshedVersion="3" deleted="1" background="1" saveData="1">
    <webPr xl2000="1" htmlTables="1" htmlFormat="all"/>
  </connection>
  <connection id="257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58" name="Conexão240" type="4" refreshedVersion="3" deleted="1" background="1" saveData="1">
    <webPr xl2000="1" htmlTables="1" htmlFormat="all"/>
  </connection>
  <connection id="259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60" name="Conexão2411" type="4" refreshedVersion="0" deleted="1" background="1" saveData="1">
    <webPr htmlTables="1" htmlFormat="all"/>
  </connection>
  <connection id="261" name="Conexão242" type="4" refreshedVersion="0" deleted="1" background="1" saveData="1">
    <webPr htmlTables="1" htmlFormat="all"/>
  </connection>
  <connection id="262" name="Conexão2421" type="4" refreshedVersion="0" deleted="1" background="1" saveData="1">
    <webPr htmlTables="1" htmlFormat="all"/>
  </connection>
  <connection id="263" name="Conexão243" type="4" refreshedVersion="3" deleted="1" background="1" saveData="1">
    <webPr xl2000="1" htmlTables="1" htmlFormat="all"/>
  </connection>
  <connection id="264" name="Conexão2431" type="4" refreshedVersion="3" deleted="1" background="1" saveData="1">
    <webPr xl2000="1" htmlTables="1" htmlFormat="all"/>
  </connection>
  <connection id="265" name="Conexão244" type="4" refreshedVersion="3" deleted="1" background="1" saveData="1">
    <webPr xl2000="1" htmlTables="1" htmlFormat="all"/>
  </connection>
  <connection id="266" name="Conexão245" type="4" refreshedVersion="3" deleted="1" background="1" saveData="1">
    <webPr xl2000="1" htmlTables="1" htmlFormat="all"/>
  </connection>
  <connection id="267" name="Conexão246" type="4" refreshedVersion="3" deleted="1" background="1" saveData="1">
    <webPr xl2000="1" htmlTables="1" htmlFormat="all"/>
  </connection>
  <connection id="268" name="Conexão2461" type="4" refreshedVersion="3" deleted="1" background="1" saveData="1">
    <webPr xl2000="1" htmlTables="1" htmlFormat="all"/>
  </connection>
  <connection id="269" name="Conexão248" type="4" refreshedVersion="3" deleted="1" background="1" saveData="1">
    <webPr xl2000="1" htmlTables="1" htmlFormat="all"/>
  </connection>
  <connection id="270" name="Conexão249" type="4" refreshedVersion="3" deleted="1" background="1" saveData="1">
    <webPr xl2000="1" htmlTables="1" htmlFormat="all"/>
  </connection>
  <connection id="271" name="Conexão2491" type="4" refreshedVersion="3" deleted="1" background="1" saveData="1">
    <webPr xl2000="1" htmlTables="1" htmlFormat="all"/>
  </connection>
  <connection id="272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3" name="Conexão250" type="4" refreshedVersion="3" deleted="1" background="1" saveData="1">
    <webPr xl2000="1" htmlTables="1" htmlFormat="all"/>
  </connection>
  <connection id="274" name="Conexão251" type="4" refreshedVersion="0" deleted="1" background="1" saveData="1">
    <webPr htmlTables="1" htmlFormat="all"/>
  </connection>
  <connection id="275" name="Conexão2511" type="4" refreshedVersion="0" deleted="1" background="1" saveData="1">
    <webPr htmlTables="1" htmlFormat="all"/>
  </connection>
  <connection id="276" name="Conexão252" type="4" refreshedVersion="0" deleted="1" background="1" saveData="1">
    <webPr htmlTables="1" htmlFormat="all"/>
  </connection>
  <connection id="277" name="Conexão2521" type="4" refreshedVersion="0" deleted="1" background="1" saveData="1">
    <webPr htmlTables="1" htmlFormat="all"/>
  </connection>
  <connection id="278" name="Conexão253" type="4" refreshedVersion="3" deleted="1" background="1" saveData="1">
    <webPr xl2000="1" htmlTables="1" htmlFormat="all"/>
  </connection>
  <connection id="279" name="Conexão2531" type="4" refreshedVersion="3" deleted="1" background="1" saveData="1">
    <webPr xl2000="1" htmlTables="1" htmlFormat="all"/>
  </connection>
  <connection id="280" name="Conexão254" type="4" refreshedVersion="3" deleted="1" background="1" saveData="1">
    <webPr xl2000="1" htmlTables="1" htmlFormat="all"/>
  </connection>
  <connection id="281" name="Conexão255" type="4" refreshedVersion="3" deleted="1" background="1" saveData="1">
    <webPr xl2000="1" htmlTables="1" htmlFormat="all"/>
  </connection>
  <connection id="282" name="Conexão2551" type="4" refreshedVersion="3" deleted="1" background="1" saveData="1">
    <webPr xl2000="1" htmlTables="1" htmlFormat="all"/>
  </connection>
  <connection id="283" name="Conexão256" type="4" refreshedVersion="3" deleted="1" background="1" saveData="1">
    <webPr xl2000="1" htmlTables="1" htmlFormat="all"/>
  </connection>
  <connection id="284" name="Conexão257" type="4" refreshedVersion="3" deleted="1" background="1" saveData="1">
    <webPr xl2000="1" htmlTables="1" htmlFormat="all"/>
  </connection>
  <connection id="285" name="Conexão2571" type="4" refreshedVersion="3" deleted="1" background="1" saveData="1">
    <webPr xl2000="1" htmlTables="1" htmlFormat="all"/>
  </connection>
  <connection id="286" name="Conexão258" type="4" refreshedVersion="3" deleted="1" background="1" saveData="1">
    <webPr xl2000="1" htmlTables="1" htmlFormat="all"/>
  </connection>
  <connection id="287" name="Conexão259" type="4" refreshedVersion="3" deleted="1" background="1" saveData="1">
    <webPr xl2000="1" htmlTables="1" htmlFormat="all"/>
  </connection>
  <connection id="288" name="Conexão2591" type="4" refreshedVersion="3" deleted="1" background="1" saveData="1">
    <webPr xl2000="1" htmlTables="1" htmlFormat="all"/>
  </connection>
  <connection id="289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0" name="Conexão260" type="4" refreshedVersion="3" deleted="1" background="1" saveData="1">
    <webPr xl2000="1" htmlTables="1" htmlFormat="all"/>
  </connection>
  <connection id="291" name="Conexão261" type="4" refreshedVersion="0" deleted="1" background="1" saveData="1">
    <webPr htmlTables="1" htmlFormat="all"/>
  </connection>
  <connection id="292" name="Conexão2611" type="4" refreshedVersion="0" deleted="1" background="1" saveData="1">
    <webPr htmlTables="1" htmlFormat="all"/>
  </connection>
  <connection id="293" name="Conexão262" type="4" refreshedVersion="0" deleted="1" background="1" saveData="1">
    <webPr htmlTables="1" htmlFormat="all"/>
  </connection>
  <connection id="294" name="Conexão2621" type="4" refreshedVersion="0" deleted="1" background="1" saveData="1">
    <webPr htmlTables="1" htmlFormat="all"/>
  </connection>
  <connection id="295" name="Conexão264" type="4" refreshedVersion="3" deleted="1" background="1" saveData="1">
    <webPr xl2000="1" htmlTables="1" htmlFormat="all"/>
  </connection>
  <connection id="296" name="Conexão2641" type="4" refreshedVersion="3" deleted="1" background="1" saveData="1">
    <webPr xl2000="1" htmlTables="1" htmlFormat="all"/>
  </connection>
  <connection id="297" name="Conexão265" type="4" refreshedVersion="3" deleted="1" background="1" saveData="1">
    <webPr xl2000="1" htmlTables="1" htmlFormat="all"/>
  </connection>
  <connection id="298" name="Conexão266" type="4" refreshedVersion="3" deleted="1" background="1" saveData="1">
    <webPr xl2000="1" htmlTables="1" htmlFormat="all"/>
  </connection>
  <connection id="299" name="Conexão269" type="4" refreshedVersion="3" deleted="1" background="1" saveData="1">
    <webPr xl2000="1" htmlTables="1" htmlFormat="all"/>
  </connection>
  <connection id="300" name="Conexão2691" type="4" refreshedVersion="3" deleted="1" background="1" saveData="1">
    <webPr xl2000="1" htmlTables="1" htmlFormat="all"/>
  </connection>
  <connection id="301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2" name="Conexão270" type="4" refreshedVersion="3" deleted="1" background="1" saveData="1">
    <webPr xl2000="1" htmlTables="1" htmlFormat="all"/>
  </connection>
  <connection id="303" name="Conexão2701" type="4" refreshedVersion="3" deleted="1" background="1" saveData="1">
    <webPr xl2000="1" htmlTables="1" htmlFormat="all"/>
  </connection>
  <connection id="304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5" name="Conexão2711" type="4" refreshedVersion="0" deleted="1" background="1" saveData="1">
    <webPr htmlTables="1" htmlFormat="all"/>
  </connection>
  <connection id="306" name="Conexão272" type="4" refreshedVersion="0" deleted="1" background="1" saveData="1">
    <webPr htmlTables="1" htmlFormat="all"/>
  </connection>
  <connection id="307" name="Conexão2721" type="4" refreshedVersion="0" deleted="1" background="1" saveData="1">
    <webPr htmlTables="1" htmlFormat="all"/>
  </connection>
  <connection id="308" name="Conexão274" type="4" refreshedVersion="3" deleted="1" background="1" saveData="1">
    <webPr xl2000="1" htmlTables="1" htmlFormat="all"/>
  </connection>
  <connection id="309" name="Conexão275" type="4" refreshedVersion="3" deleted="1" background="1" saveData="1">
    <webPr xl2000="1" htmlTables="1" htmlFormat="all"/>
  </connection>
  <connection id="310" name="Conexão276" type="4" refreshedVersion="3" deleted="1" background="1" saveData="1">
    <webPr xl2000="1" htmlTables="1" htmlFormat="all"/>
  </connection>
  <connection id="311" name="Conexão2761" type="4" refreshedVersion="3" deleted="1" background="1" saveData="1">
    <webPr xl2000="1" htmlTables="1" htmlFormat="all"/>
  </connection>
  <connection id="312" name="Conexão277" type="4" refreshedVersion="3" deleted="1" background="1" saveData="1">
    <webPr xl2000="1" htmlTables="1" htmlFormat="all"/>
  </connection>
  <connection id="313" name="Conexão278" type="4" refreshedVersion="3" deleted="1" background="1" saveData="1">
    <webPr xl2000="1" htmlTables="1" htmlFormat="all"/>
  </connection>
  <connection id="314" name="Conexão2781" type="4" refreshedVersion="3" deleted="1" background="1" saveData="1">
    <webPr xl2000="1" htmlTables="1" htmlFormat="all"/>
  </connection>
  <connection id="315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16" name="Conexão280" type="4" refreshedVersion="3" deleted="1" background="1" saveData="1">
    <webPr xl2000="1" htmlTables="1" htmlFormat="all"/>
  </connection>
  <connection id="317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18" name="Conexão2811" type="4" refreshedVersion="0" deleted="1" background="1" saveData="1">
    <webPr htmlTables="1" htmlFormat="all"/>
  </connection>
  <connection id="319" name="Conexão282" type="4" refreshedVersion="0" deleted="1" background="1" saveData="1">
    <webPr htmlTables="1" htmlFormat="all"/>
  </connection>
  <connection id="320" name="Conexão2821" type="4" refreshedVersion="0" deleted="1" background="1" saveData="1">
    <webPr htmlTables="1" htmlFormat="all"/>
  </connection>
  <connection id="321" name="Conexão283" type="4" refreshedVersion="3" deleted="1" background="1" saveData="1">
    <webPr xl2000="1" htmlTables="1" htmlFormat="all"/>
  </connection>
  <connection id="322" name="Conexão2831" type="4" refreshedVersion="3" deleted="1" background="1" saveData="1">
    <webPr xl2000="1" htmlTables="1" htmlFormat="all"/>
  </connection>
  <connection id="323" name="Conexão284" type="4" refreshedVersion="3" deleted="1" background="1" saveData="1">
    <webPr xl2000="1" htmlTables="1" htmlFormat="all"/>
  </connection>
  <connection id="324" name="Conexão287" type="4" refreshedVersion="3" deleted="1" background="1" saveData="1">
    <webPr xl2000="1" htmlTables="1" htmlFormat="all"/>
  </connection>
  <connection id="325" name="Conexão2871" type="4" refreshedVersion="3" deleted="1" background="1" saveData="1">
    <webPr xl2000="1" htmlTables="1" htmlFormat="all"/>
  </connection>
  <connection id="326" name="Conexão288" type="4" refreshedVersion="3" deleted="1" background="1" saveData="1">
    <webPr xl2000="1" htmlTables="1" htmlFormat="all"/>
  </connection>
  <connection id="327" name="Conexão289" type="4" refreshedVersion="3" deleted="1" background="1" saveData="1">
    <webPr xl2000="1" htmlTables="1" htmlFormat="all"/>
  </connection>
  <connection id="328" name="Conexão2891" type="4" refreshedVersion="3" deleted="1" background="1" saveData="1">
    <webPr xl2000="1" htmlTables="1" htmlFormat="all"/>
  </connection>
  <connection id="329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0" name="Conexão290" type="4" refreshedVersion="3" deleted="1" background="1" saveData="1">
    <webPr xl2000="1" htmlTables="1" htmlFormat="all"/>
  </connection>
  <connection id="331" name="Conexão291" type="4" refreshedVersion="0" deleted="1" background="1" saveData="1">
    <webPr htmlTables="1" htmlFormat="all"/>
  </connection>
  <connection id="332" name="Conexão2911" type="4" refreshedVersion="0" deleted="1" background="1" saveData="1">
    <webPr htmlTables="1" htmlFormat="all"/>
  </connection>
  <connection id="333" name="Conexão292" type="4" refreshedVersion="0" deleted="1" background="1" saveData="1">
    <webPr htmlTables="1" htmlFormat="all"/>
  </connection>
  <connection id="334" name="Conexão2921" type="4" refreshedVersion="0" deleted="1" background="1" saveData="1">
    <webPr htmlTables="1" htmlFormat="all"/>
  </connection>
  <connection id="335" name="Conexão293" type="4" refreshedVersion="3" deleted="1" background="1" saveData="1">
    <webPr xl2000="1" htmlTables="1" htmlFormat="all"/>
  </connection>
  <connection id="336" name="Conexão2931" type="4" refreshedVersion="3" deleted="1" background="1" saveData="1">
    <webPr xl2000="1" htmlTables="1" htmlFormat="all"/>
  </connection>
  <connection id="337" name="Conexão294" type="4" refreshedVersion="3" deleted="1" background="1" saveData="1">
    <webPr xl2000="1" htmlTables="1" htmlFormat="all"/>
  </connection>
  <connection id="338" name="Conexão295" type="4" refreshedVersion="3" deleted="1" background="1" saveData="1">
    <webPr xl2000="1" htmlTables="1" htmlFormat="all"/>
  </connection>
  <connection id="339" name="Conexão2951" type="4" refreshedVersion="3" deleted="1" background="1" saveData="1">
    <webPr xl2000="1" htmlTables="1" htmlFormat="all"/>
  </connection>
  <connection id="340" name="Conexão296" type="4" refreshedVersion="3" deleted="1" background="1" saveData="1">
    <webPr xl2000="1" htmlTables="1" htmlFormat="all"/>
  </connection>
  <connection id="341" name="Conexão297" type="4" refreshedVersion="3" deleted="1" background="1" saveData="1">
    <webPr xl2000="1" htmlTables="1" htmlFormat="all"/>
  </connection>
  <connection id="342" name="Conexão2971" type="4" refreshedVersion="3" deleted="1" background="1" saveData="1">
    <webPr xl2000="1" htmlTables="1" htmlFormat="all"/>
  </connection>
  <connection id="343" name="Conexão298" type="4" refreshedVersion="3" deleted="1" background="1" saveData="1">
    <webPr xl2000="1" htmlTables="1" htmlFormat="all"/>
  </connection>
  <connection id="344" name="Conexão2981" type="4" refreshedVersion="3" deleted="1" background="1" saveData="1">
    <webPr xl2000="1" htmlTables="1" htmlFormat="all"/>
  </connection>
  <connection id="345" name="Conexão3" type="4" refreshedVersion="3" background="1" saveData="1">
    <webPr xl2000="1" url="http://download.finance.yahoo.com/d/quotes.csv?s=PITI3.SA+BPAC3.SA+BPAC5.SA&amp;f=nol1hgd1" htmlFormat="all"/>
  </connection>
  <connection id="346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47" name="Conexão300" type="4" refreshedVersion="3" deleted="1" background="1" saveData="1">
    <webPr xl2000="1" htmlTables="1" htmlFormat="all"/>
  </connection>
  <connection id="348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49" name="Conexão3011" type="4" refreshedVersion="0" deleted="1" background="1" saveData="1">
    <webPr htmlTables="1" htmlFormat="all"/>
  </connection>
  <connection id="350" name="Conexão302" type="4" refreshedVersion="0" deleted="1" background="1" saveData="1">
    <webPr htmlTables="1" htmlFormat="all"/>
  </connection>
  <connection id="351" name="Conexão3021" type="4" refreshedVersion="0" deleted="1" background="1" saveData="1">
    <webPr htmlTables="1" htmlFormat="all"/>
  </connection>
  <connection id="352" name="Conexão303" type="4" refreshedVersion="3" deleted="1" background="1" saveData="1">
    <webPr xl2000="1" htmlTables="1" htmlFormat="all"/>
  </connection>
  <connection id="353" name="Conexão3031" type="4" refreshedVersion="3" deleted="1" background="1" saveData="1">
    <webPr xl2000="1" htmlTables="1" htmlFormat="all"/>
  </connection>
  <connection id="354" name="Conexão305" type="4" refreshedVersion="3" deleted="1" background="1" saveData="1">
    <webPr xl2000="1" htmlTables="1" htmlFormat="all"/>
  </connection>
  <connection id="355" name="Conexão306" type="4" refreshedVersion="3" deleted="1" background="1" saveData="1">
    <webPr xl2000="1" htmlTables="1" htmlFormat="all"/>
  </connection>
  <connection id="356" name="Conexão3061" type="4" refreshedVersion="3" deleted="1" background="1" saveData="1">
    <webPr xl2000="1" htmlTables="1" htmlFormat="all"/>
  </connection>
  <connection id="357" name="Conexão307" type="4" refreshedVersion="3" deleted="1" background="1" saveData="1">
    <webPr xl2000="1" htmlTables="1" htmlFormat="all"/>
  </connection>
  <connection id="358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59" name="Conexão310" type="4" refreshedVersion="3" background="1" saveData="1">
    <webPr xl2000="1" url="http://download.finance.yahoo.com/d/quotes.csv?s=PITI3.SA+BPAC3.SA+BPAC5.SA&amp;f=nol1hgd1" htmlFormat="all"/>
  </connection>
  <connection id="360" name="Conexão3101" type="4" refreshedVersion="0" deleted="1" background="1" saveData="1">
    <webPr htmlTables="1" htmlFormat="all"/>
  </connection>
  <connection id="361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62" name="Conexão3111" type="4" refreshedVersion="0" deleted="1" background="1" saveData="1">
    <webPr htmlTables="1" htmlFormat="all"/>
  </connection>
  <connection id="363" name="Conexão312" type="4" refreshedVersion="0" deleted="1" background="1" saveData="1">
    <webPr htmlTables="1" htmlFormat="all"/>
  </connection>
  <connection id="364" name="Conexão3121" type="4" refreshedVersion="0" deleted="1" background="1" saveData="1">
    <webPr htmlTables="1" htmlFormat="all"/>
  </connection>
  <connection id="365" name="Conexão313" type="4" refreshedVersion="0" deleted="1" background="1" saveData="1">
    <webPr htmlTables="1" htmlFormat="all"/>
  </connection>
  <connection id="366" name="Conexão3131" type="4" refreshedVersion="0" deleted="1" background="1" saveData="1">
    <webPr htmlTables="1" htmlFormat="all"/>
  </connection>
  <connection id="367" name="Conexão314" type="4" refreshedVersion="0" deleted="1" background="1" saveData="1">
    <webPr htmlTables="1" htmlFormat="all"/>
  </connection>
  <connection id="368" name="Conexão3141" type="4" refreshedVersion="0" deleted="1" background="1" saveData="1">
    <webPr htmlTables="1" htmlFormat="all"/>
  </connection>
  <connection id="369" name="Conexão315" type="4" refreshedVersion="0" deleted="1" background="1" saveData="1">
    <webPr htmlTables="1" htmlFormat="all"/>
  </connection>
  <connection id="370" name="Conexão3151" type="4" refreshedVersion="0" deleted="1" background="1" saveData="1">
    <webPr htmlTables="1" htmlFormat="all"/>
  </connection>
  <connection id="371" name="Conexão318" type="4" refreshedVersion="3" deleted="1" background="1" saveData="1">
    <webPr xl2000="1" htmlTables="1" htmlFormat="all"/>
  </connection>
  <connection id="372" name="Conexão3181" type="4" refreshedVersion="3" deleted="1" background="1" saveData="1">
    <webPr xl2000="1" htmlTables="1" htmlFormat="all"/>
  </connection>
  <connection id="373" name="Conexão319" type="4" refreshedVersion="3" deleted="1" background="1" saveData="1">
    <webPr xl2000="1" htmlTables="1" htmlFormat="all"/>
  </connection>
  <connection id="374" name="Conexão3191" type="4" refreshedVersion="3" deleted="1" background="1" saveData="1">
    <webPr xl2000="1" htmlTables="1" htmlFormat="all"/>
  </connection>
  <connection id="375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76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77" name="Conexão3211" type="4" refreshedVersion="0" deleted="1" background="1" saveData="1">
    <webPr htmlTables="1" htmlFormat="all"/>
  </connection>
  <connection id="378" name="Conexão322" type="4" refreshedVersion="0" deleted="1" background="1" saveData="1">
    <webPr htmlTables="1" htmlFormat="all"/>
  </connection>
  <connection id="379" name="Conexão3221" type="4" refreshedVersion="0" deleted="1" background="1" saveData="1">
    <webPr htmlTables="1" htmlFormat="all"/>
  </connection>
  <connection id="380" name="Conexão323" type="4" refreshedVersion="3" deleted="1" background="1" saveData="1">
    <webPr xl2000="1" htmlTables="1" htmlFormat="all"/>
  </connection>
  <connection id="381" name="Conexão325" type="4" refreshedVersion="3" deleted="1" background="1" saveData="1">
    <webPr xl2000="1" htmlTables="1" htmlFormat="all"/>
  </connection>
  <connection id="382" name="Conexão3251" type="4" refreshedVersion="3" deleted="1" background="1" saveData="1">
    <webPr xl2000="1" htmlTables="1" htmlFormat="all"/>
  </connection>
  <connection id="383" name="Conexão326" type="4" refreshedVersion="3" deleted="1" background="1" saveData="1">
    <webPr xl2000="1" htmlTables="1" htmlFormat="all"/>
  </connection>
  <connection id="384" name="Conexão327" type="4" refreshedVersion="3" deleted="1" background="1" saveData="1">
    <webPr xl2000="1" htmlTables="1" htmlFormat="all"/>
  </connection>
  <connection id="385" name="Conexão3271" type="4" refreshedVersion="3" deleted="1" background="1" saveData="1">
    <webPr xl2000="1" htmlTables="1" htmlFormat="all"/>
  </connection>
  <connection id="386" name="Conexão329" type="4" refreshedVersion="3" deleted="1" background="1" saveData="1">
    <webPr xl2000="1" htmlTables="1" htmlFormat="all"/>
  </connection>
  <connection id="387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88" name="Conexão330" type="4" refreshedVersion="3" deleted="1" background="1" saveData="1">
    <webPr xl2000="1" htmlTables="1" htmlFormat="all"/>
  </connection>
  <connection id="389" name="Conexão3301" type="4" refreshedVersion="3" deleted="1" background="1" saveData="1">
    <webPr xl2000="1" htmlTables="1" htmlFormat="all"/>
  </connection>
  <connection id="390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91" name="Conexão3311" type="4" refreshedVersion="0" deleted="1" background="1" saveData="1">
    <webPr htmlTables="1" htmlFormat="all"/>
  </connection>
  <connection id="392" name="Conexão332" type="4" refreshedVersion="0" deleted="1" background="1" saveData="1">
    <webPr htmlTables="1" htmlFormat="all"/>
  </connection>
  <connection id="393" name="Conexão3321" type="4" refreshedVersion="0" deleted="1" background="1" saveData="1">
    <webPr htmlTables="1" htmlFormat="all"/>
  </connection>
  <connection id="394" name="Conexão333" type="4" refreshedVersion="3" deleted="1" background="1" saveData="1">
    <webPr xl2000="1" htmlTables="1" htmlFormat="all"/>
  </connection>
  <connection id="395" name="Conexão334" type="4" refreshedVersion="3" deleted="1" background="1" saveData="1">
    <webPr xl2000="1" htmlTables="1" htmlFormat="all"/>
  </connection>
  <connection id="396" name="Conexão3341" type="4" refreshedVersion="3" deleted="1" background="1" saveData="1">
    <webPr xl2000="1" htmlTables="1" htmlFormat="all"/>
  </connection>
  <connection id="397" name="Conexão335" type="4" refreshedVersion="3" deleted="1" background="1" saveData="1">
    <webPr xl2000="1" htmlTables="1" htmlFormat="all"/>
  </connection>
  <connection id="398" name="Conexão3351" type="4" refreshedVersion="3" deleted="1" background="1" saveData="1">
    <webPr xl2000="1" htmlTables="1" htmlFormat="all"/>
  </connection>
  <connection id="399" name="Conexão336" type="4" refreshedVersion="3" deleted="1" background="1" saveData="1">
    <webPr xl2000="1" htmlTables="1" htmlFormat="all"/>
  </connection>
  <connection id="400" name="Conexão337" type="4" refreshedVersion="3" deleted="1" background="1" saveData="1">
    <webPr xl2000="1" htmlTables="1" htmlFormat="all"/>
  </connection>
  <connection id="401" name="Conexão3371" type="4" refreshedVersion="3" deleted="1" background="1" saveData="1">
    <webPr xl2000="1" htmlTables="1" htmlFormat="all"/>
  </connection>
  <connection id="402" name="Conexão338" type="4" refreshedVersion="3" deleted="1" background="1" saveData="1">
    <webPr xl2000="1" htmlTables="1" htmlFormat="all"/>
  </connection>
  <connection id="403" name="Conexão3381" type="4" refreshedVersion="3" deleted="1" background="1" saveData="1">
    <webPr xl2000="1" htmlTables="1" htmlFormat="all"/>
  </connection>
  <connection id="404" name="Conexão339" type="4" refreshedVersion="3" deleted="1" background="1" saveData="1">
    <webPr xl2000="1" htmlTables="1" htmlFormat="all"/>
  </connection>
  <connection id="405" name="Conexão3391" type="4" refreshedVersion="3" deleted="1" background="1" saveData="1">
    <webPr xl2000="1" htmlTables="1" htmlFormat="all"/>
  </connection>
  <connection id="406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07" name="Conexão340" type="4" refreshedVersion="3" deleted="1" background="1" saveData="1">
    <webPr xl2000="1" htmlTables="1" htmlFormat="all"/>
  </connection>
  <connection id="408" name="Conexão3401" type="4" refreshedVersion="3" deleted="1" background="1" saveData="1">
    <webPr xl2000="1" htmlTables="1" htmlFormat="all"/>
  </connection>
  <connection id="409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10" name="Conexão3411" type="4" refreshedVersion="0" deleted="1" background="1" saveData="1">
    <webPr htmlTables="1" htmlFormat="all"/>
  </connection>
  <connection id="411" name="Conexão342" type="4" refreshedVersion="0" deleted="1" background="1" saveData="1">
    <webPr htmlTables="1" htmlFormat="all"/>
  </connection>
  <connection id="412" name="Conexão3421" type="4" refreshedVersion="0" deleted="1" background="1" saveData="1">
    <webPr htmlTables="1" htmlFormat="all"/>
  </connection>
  <connection id="413" name="Conexão343" type="4" refreshedVersion="3" deleted="1" background="1" saveData="1">
    <webPr xl2000="1" htmlTables="1" htmlFormat="all"/>
  </connection>
  <connection id="414" name="Conexão3431" type="4" refreshedVersion="3" deleted="1" background="1" saveData="1">
    <webPr xl2000="1" htmlTables="1" htmlFormat="all"/>
  </connection>
  <connection id="415" name="Conexão344" type="4" refreshedVersion="3" deleted="1" background="1" saveData="1">
    <webPr xl2000="1" htmlTables="1" htmlFormat="all"/>
  </connection>
  <connection id="416" name="Conexão3441" type="4" refreshedVersion="3" deleted="1" background="1" saveData="1">
    <webPr xl2000="1" htmlTables="1" htmlFormat="all"/>
  </connection>
  <connection id="417" name="Conexão346" type="4" refreshedVersion="3" deleted="1" background="1" saveData="1">
    <webPr xl2000="1" htmlTables="1" htmlFormat="all"/>
  </connection>
  <connection id="418" name="Conexão3461" type="4" refreshedVersion="3" deleted="1" background="1" saveData="1">
    <webPr xl2000="1" htmlTables="1" htmlFormat="all"/>
  </connection>
  <connection id="419" name="Conexão348" type="4" refreshedVersion="3" deleted="1" background="1" saveData="1">
    <webPr xl2000="1" htmlTables="1" htmlFormat="all"/>
  </connection>
  <connection id="420" name="Conexão3481" type="4" refreshedVersion="3" deleted="1" background="1" saveData="1">
    <webPr xl2000="1" htmlTables="1" htmlFormat="all"/>
  </connection>
  <connection id="421" name="Conexão349" type="4" refreshedVersion="3" deleted="1" background="1" saveData="1">
    <webPr xl2000="1" htmlTables="1" htmlFormat="all"/>
  </connection>
  <connection id="422" name="Conexão3491" type="4" refreshedVersion="3" deleted="1" background="1" saveData="1">
    <webPr xl2000="1" htmlTables="1" htmlFormat="all"/>
  </connection>
  <connection id="423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4" name="Conexão351" type="4" refreshedVersion="0" deleted="1" background="1" saveData="1">
    <webPr htmlTables="1" htmlFormat="all"/>
  </connection>
  <connection id="425" name="Conexão3511" type="4" refreshedVersion="0" deleted="1" background="1" saveData="1">
    <webPr htmlTables="1" htmlFormat="all"/>
  </connection>
  <connection id="426" name="Conexão352" type="4" refreshedVersion="0" deleted="1" background="1" saveData="1">
    <webPr htmlTables="1" htmlFormat="all"/>
  </connection>
  <connection id="427" name="Conexão3521" type="4" refreshedVersion="0" deleted="1" background="1" saveData="1">
    <webPr htmlTables="1" htmlFormat="all"/>
  </connection>
  <connection id="428" name="Conexão353" type="4" refreshedVersion="3" deleted="1" background="1" saveData="1">
    <webPr xl2000="1" htmlTables="1" htmlFormat="all"/>
  </connection>
  <connection id="429" name="Conexão3531" type="4" refreshedVersion="3" deleted="1" background="1" saveData="1">
    <webPr xl2000="1" htmlTables="1" htmlFormat="all"/>
  </connection>
  <connection id="430" name="Conexão354" type="4" refreshedVersion="3" deleted="1" background="1" saveData="1">
    <webPr xl2000="1" htmlTables="1" htmlFormat="all"/>
  </connection>
  <connection id="431" name="Conexão3541" type="4" refreshedVersion="3" deleted="1" background="1" saveData="1">
    <webPr xl2000="1" htmlTables="1" htmlFormat="all"/>
  </connection>
  <connection id="432" name="Conexão355" type="4" refreshedVersion="3" deleted="1" background="1" saveData="1">
    <webPr xl2000="1" htmlTables="1" htmlFormat="all"/>
  </connection>
  <connection id="433" name="Conexão3551" type="4" refreshedVersion="3" deleted="1" background="1" saveData="1">
    <webPr xl2000="1" htmlTables="1" htmlFormat="all"/>
  </connection>
  <connection id="434" name="Conexão357" type="4" refreshedVersion="3" deleted="1" background="1" saveData="1">
    <webPr xl2000="1" htmlTables="1" htmlFormat="all"/>
  </connection>
  <connection id="435" name="Conexão3571" type="4" refreshedVersion="3" deleted="1" background="1" saveData="1">
    <webPr xl2000="1" htmlTables="1" htmlFormat="all"/>
  </connection>
  <connection id="436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37" name="Conexão361" type="4" refreshedVersion="0" deleted="1" background="1" saveData="1">
    <webPr htmlTables="1" htmlFormat="all"/>
  </connection>
  <connection id="438" name="Conexão3611" type="4" refreshedVersion="0" deleted="1" background="1" saveData="1">
    <webPr htmlTables="1" htmlFormat="all"/>
  </connection>
  <connection id="439" name="Conexão362" type="4" refreshedVersion="0" deleted="1" background="1" saveData="1">
    <webPr htmlTables="1" htmlFormat="all"/>
  </connection>
  <connection id="440" name="Conexão3621" type="4" refreshedVersion="0" deleted="1" background="1" saveData="1">
    <webPr htmlTables="1" htmlFormat="all"/>
  </connection>
  <connection id="441" name="Conexão363" type="4" refreshedVersion="3" deleted="1" background="1" saveData="1">
    <webPr xl2000="1" htmlTables="1" htmlFormat="all"/>
  </connection>
  <connection id="442" name="Conexão3631" type="4" refreshedVersion="3" deleted="1" background="1" saveData="1">
    <webPr xl2000="1" htmlTables="1" htmlFormat="all"/>
  </connection>
  <connection id="443" name="Conexão365" type="4" refreshedVersion="3" deleted="1" background="1" saveData="1">
    <webPr xl2000="1" htmlTables="1" htmlFormat="all"/>
  </connection>
  <connection id="444" name="Conexão3651" type="4" refreshedVersion="3" deleted="1" background="1" saveData="1">
    <webPr xl2000="1" htmlTables="1" htmlFormat="all"/>
  </connection>
  <connection id="445" name="Conexão366" type="4" refreshedVersion="3" deleted="1" background="1" saveData="1">
    <webPr xl2000="1" htmlTables="1" htmlFormat="all"/>
  </connection>
  <connection id="446" name="Conexão3661" type="4" refreshedVersion="3" deleted="1" background="1" saveData="1">
    <webPr xl2000="1" htmlTables="1" htmlFormat="all"/>
  </connection>
  <connection id="447" name="Conexão368" type="4" refreshedVersion="3" deleted="1" background="1" saveData="1">
    <webPr xl2000="1" htmlTables="1" htmlFormat="all"/>
  </connection>
  <connection id="448" name="Conexão369" type="4" refreshedVersion="3" deleted="1" background="1" saveData="1">
    <webPr xl2000="1" htmlTables="1" htmlFormat="all"/>
  </connection>
  <connection id="449" name="Conexão3691" type="4" refreshedVersion="3" deleted="1" background="1" saveData="1">
    <webPr xl2000="1" htmlTables="1" htmlFormat="all"/>
  </connection>
  <connection id="450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1" name="Conexão370" type="4" refreshedVersion="3" deleted="1" background="1" saveData="1">
    <webPr xl2000="1" htmlTables="1" htmlFormat="all"/>
  </connection>
  <connection id="452" name="Conexão3701" type="4" refreshedVersion="3" deleted="1" background="1" saveData="1">
    <webPr xl2000="1" htmlTables="1" htmlFormat="all"/>
  </connection>
  <connection id="453" name="Conexão371" type="4" refreshedVersion="0" deleted="1" background="1" saveData="1">
    <webPr htmlTables="1" htmlFormat="all"/>
  </connection>
  <connection id="454" name="Conexão3711" type="4" refreshedVersion="0" deleted="1" background="1" saveData="1">
    <webPr htmlTables="1" htmlFormat="all"/>
  </connection>
  <connection id="455" name="Conexão372" type="4" refreshedVersion="0" deleted="1" background="1" saveData="1">
    <webPr htmlTables="1" htmlFormat="all"/>
  </connection>
  <connection id="456" name="Conexão3721" type="4" refreshedVersion="0" deleted="1" background="1" saveData="1">
    <webPr htmlTables="1" htmlFormat="all"/>
  </connection>
  <connection id="457" name="Conexão375" type="4" refreshedVersion="3" deleted="1" background="1" saveData="1">
    <webPr xl2000="1" htmlTables="1" htmlFormat="all"/>
  </connection>
  <connection id="458" name="Conexão3751" type="4" refreshedVersion="3" deleted="1" background="1" saveData="1">
    <webPr xl2000="1" htmlTables="1" htmlFormat="all"/>
  </connection>
  <connection id="459" name="Conexão376" type="4" refreshedVersion="3" deleted="1" background="1" saveData="1">
    <webPr xl2000="1" htmlTables="1" htmlFormat="all"/>
  </connection>
  <connection id="460" name="Conexão3761" type="4" refreshedVersion="3" deleted="1" background="1" saveData="1">
    <webPr xl2000="1" htmlTables="1" htmlFormat="all"/>
  </connection>
  <connection id="461" name="Conexão377" type="4" refreshedVersion="3" deleted="1" background="1" saveData="1">
    <webPr xl2000="1" htmlTables="1" htmlFormat="all"/>
  </connection>
  <connection id="462" name="Conexão3771" type="4" refreshedVersion="3" deleted="1" background="1" saveData="1">
    <webPr xl2000="1" htmlTables="1" htmlFormat="all"/>
  </connection>
  <connection id="463" name="Conexão378" type="4" refreshedVersion="3" deleted="1" background="1" saveData="1">
    <webPr xl2000="1" htmlTables="1" htmlFormat="all"/>
  </connection>
  <connection id="464" name="Conexão3781" type="4" refreshedVersion="3" deleted="1" background="1" saveData="1">
    <webPr xl2000="1" htmlTables="1" htmlFormat="all"/>
  </connection>
  <connection id="465" name="Conexão379" type="4" refreshedVersion="3" deleted="1" background="1" saveData="1">
    <webPr xl2000="1" htmlTables="1" htmlFormat="all"/>
  </connection>
  <connection id="466" name="Conexão3791" type="4" refreshedVersion="3" deleted="1" background="1" saveData="1">
    <webPr xl2000="1" htmlTables="1" htmlFormat="all"/>
  </connection>
  <connection id="467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8" name="Conexão380" type="4" refreshedVersion="3" deleted="1" background="1" saveData="1">
    <webPr xl2000="1" htmlTables="1" htmlFormat="all"/>
  </connection>
  <connection id="469" name="Conexão3801" type="4" refreshedVersion="3" deleted="1" background="1" saveData="1">
    <webPr xl2000="1" htmlTables="1" htmlFormat="all"/>
  </connection>
  <connection id="470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811" type="4" refreshedVersion="0" deleted="1" background="1" saveData="1">
    <webPr htmlTables="1" htmlFormat="all"/>
  </connection>
  <connection id="472" name="Conexão382" type="4" refreshedVersion="0" deleted="1" background="1" saveData="1">
    <webPr htmlTables="1" htmlFormat="all"/>
  </connection>
  <connection id="473" name="Conexão3821" type="4" refreshedVersion="0" deleted="1" background="1" saveData="1">
    <webPr htmlTables="1" htmlFormat="all"/>
  </connection>
  <connection id="474" name="Conexão383" type="4" refreshedVersion="3" deleted="1" background="1" saveData="1">
    <webPr xl2000="1" htmlTables="1" htmlFormat="all"/>
  </connection>
  <connection id="475" name="Conexão3831" type="4" refreshedVersion="3" deleted="1" background="1" saveData="1">
    <webPr xl2000="1" htmlTables="1" htmlFormat="all"/>
  </connection>
  <connection id="476" name="Conexão384" type="4" refreshedVersion="3" deleted="1" background="1" saveData="1">
    <webPr xl2000="1" htmlTables="1" htmlFormat="all"/>
  </connection>
  <connection id="477" name="Conexão3841" type="4" refreshedVersion="3" deleted="1" background="1" saveData="1">
    <webPr xl2000="1" htmlTables="1" htmlFormat="all"/>
  </connection>
  <connection id="478" name="Conexão385" type="4" refreshedVersion="3" deleted="1" background="1" saveData="1">
    <webPr xl2000="1" htmlTables="1" htmlFormat="all"/>
  </connection>
  <connection id="479" name="Conexão3851" type="4" refreshedVersion="3" deleted="1" background="1" saveData="1">
    <webPr xl2000="1" htmlTables="1" htmlFormat="all"/>
  </connection>
  <connection id="480" name="Conexão387" type="4" refreshedVersion="3" deleted="1" background="1" saveData="1">
    <webPr xl2000="1" htmlTables="1" htmlFormat="all"/>
  </connection>
  <connection id="481" name="Conexão3871" type="4" refreshedVersion="3" deleted="1" background="1" saveData="1">
    <webPr xl2000="1" htmlTables="1" htmlFormat="all"/>
  </connection>
  <connection id="48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83" name="Conexão390" type="4" refreshedVersion="3" deleted="1" background="1" saveData="1">
    <webPr xl2000="1" htmlTables="1" htmlFormat="all"/>
  </connection>
  <connection id="484" name="Conexão3901" type="4" refreshedVersion="3" deleted="1" background="1" saveData="1">
    <webPr xl2000="1" htmlTables="1" htmlFormat="all"/>
  </connection>
  <connection id="48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86" name="Conexão3911" type="4" refreshedVersion="0" deleted="1" background="1" saveData="1">
    <webPr htmlTables="1" htmlFormat="all"/>
  </connection>
  <connection id="487" name="Conexão392" type="4" refreshedVersion="0" deleted="1" background="1" saveData="1">
    <webPr htmlTables="1" htmlFormat="all"/>
  </connection>
  <connection id="488" name="Conexão3921" type="4" refreshedVersion="0" deleted="1" background="1" saveData="1">
    <webPr htmlTables="1" htmlFormat="all"/>
  </connection>
  <connection id="489" name="Conexão393" type="4" refreshedVersion="3" deleted="1" background="1" saveData="1">
    <webPr xl2000="1" htmlTables="1" htmlFormat="all"/>
  </connection>
  <connection id="490" name="Conexão3931" type="4" refreshedVersion="3" deleted="1" background="1" saveData="1">
    <webPr xl2000="1" htmlTables="1" htmlFormat="all"/>
  </connection>
  <connection id="491" name="Conexão394" type="4" refreshedVersion="3" deleted="1" background="1" saveData="1">
    <webPr xl2000="1" htmlTables="1" htmlFormat="all"/>
  </connection>
  <connection id="492" name="Conexão3941" type="4" refreshedVersion="3" deleted="1" background="1" saveData="1">
    <webPr xl2000="1" htmlTables="1" htmlFormat="all"/>
  </connection>
  <connection id="493" name="Conexão395" type="4" refreshedVersion="3" deleted="1" background="1" saveData="1">
    <webPr xl2000="1" htmlTables="1" htmlFormat="all"/>
  </connection>
  <connection id="494" name="Conexão3951" type="4" refreshedVersion="3" deleted="1" background="1" saveData="1">
    <webPr xl2000="1" htmlTables="1" htmlFormat="all"/>
  </connection>
  <connection id="495" name="Conexão398" type="4" refreshedVersion="3" deleted="1" background="1" saveData="1">
    <webPr xl2000="1" htmlTables="1" htmlFormat="all"/>
  </connection>
  <connection id="496" name="Conexão3981" type="4" refreshedVersion="3" deleted="1" background="1" saveData="1">
    <webPr xl2000="1" htmlTables="1" htmlFormat="all"/>
  </connection>
  <connection id="497" name="Conexão399" type="4" refreshedVersion="3" deleted="1" background="1" saveData="1">
    <webPr xl2000="1" htmlTables="1" htmlFormat="all"/>
  </connection>
  <connection id="498" name="Conexão3991" type="4" refreshedVersion="3" deleted="1" background="1" saveData="1">
    <webPr xl2000="1" htmlTables="1" htmlFormat="all"/>
  </connection>
  <connection id="499" name="Conexão4" type="4" refreshedVersion="3" background="1" saveData="1">
    <webPr xl2000="1" url="http://download.finance.yahoo.com/d/quotes.csv?s=PITI3.SA+BPAC3.SA+BPAC5.SA&amp;f=nol1hgd1" htmlFormat="all"/>
  </connection>
  <connection id="500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01" name="Conexão400" type="4" refreshedVersion="3" deleted="1" background="1" saveData="1">
    <webPr xl2000="1" htmlTables="1" htmlFormat="all"/>
  </connection>
  <connection id="502" name="Conexão4001" type="4" refreshedVersion="3" deleted="1" background="1" saveData="1">
    <webPr xl2000="1" htmlTables="1" htmlFormat="all"/>
  </connection>
  <connection id="503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04" name="Conexão4011" type="4" refreshedVersion="0" deleted="1" background="1" saveData="1">
    <webPr htmlTables="1" htmlFormat="all"/>
  </connection>
  <connection id="505" name="Conexão402" type="4" refreshedVersion="0" deleted="1" background="1" saveData="1">
    <webPr htmlTables="1" htmlFormat="all"/>
  </connection>
  <connection id="506" name="Conexão4021" type="4" refreshedVersion="0" deleted="1" background="1" saveData="1">
    <webPr htmlTables="1" htmlFormat="all"/>
  </connection>
  <connection id="507" name="Conexão403" type="4" refreshedVersion="3" deleted="1" background="1" saveData="1">
    <webPr xl2000="1" htmlTables="1" htmlFormat="all"/>
  </connection>
  <connection id="508" name="Conexão4031" type="4" refreshedVersion="3" deleted="1" background="1" saveData="1">
    <webPr xl2000="1" htmlTables="1" htmlFormat="all"/>
  </connection>
  <connection id="509" name="Conexão407" type="4" refreshedVersion="3" deleted="1" background="1" saveData="1">
    <webPr xl2000="1" htmlTables="1" htmlFormat="all"/>
  </connection>
  <connection id="510" name="Conexão4071" type="4" refreshedVersion="3" deleted="1" background="1" saveData="1">
    <webPr xl2000="1" htmlTables="1" htmlFormat="all"/>
  </connection>
  <connection id="511" name="Conexão408" type="4" refreshedVersion="3" deleted="1" background="1" saveData="1">
    <webPr xl2000="1" htmlTables="1" htmlFormat="all"/>
  </connection>
  <connection id="512" name="Conexão4081" type="4" refreshedVersion="3" deleted="1" background="1" saveData="1">
    <webPr xl2000="1" htmlTables="1" htmlFormat="all"/>
  </connection>
  <connection id="513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14" name="Conexão410" type="4" refreshedVersion="3" background="1" saveData="1">
    <webPr xl2000="1" url="http://download.finance.yahoo.com/d/quotes.csv?s=PITI3.SA+BPAC3.SA+BPAC5.SA&amp;f=nol1hgd1" htmlFormat="all"/>
  </connection>
  <connection id="515" name="Conexão4101" type="4" refreshedVersion="0" deleted="1" background="1" saveData="1">
    <webPr htmlTables="1" htmlFormat="all"/>
  </connection>
  <connection id="516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17" name="Conexão4111" type="4" refreshedVersion="3" deleted="1" background="1" saveData="1">
    <webPr xl2000="1" htmlTables="1" htmlFormat="all"/>
  </connection>
  <connection id="518" name="Conexão412" type="4" refreshedVersion="0" deleted="1" background="1" saveData="1">
    <webPr htmlTables="1" htmlFormat="all"/>
  </connection>
  <connection id="519" name="Conexão4121" type="4" refreshedVersion="0" deleted="1" background="1" saveData="1">
    <webPr htmlTables="1" htmlFormat="all"/>
  </connection>
  <connection id="520" name="Conexão413" type="4" refreshedVersion="3" deleted="1" background="1" saveData="1">
    <webPr xl2000="1" htmlTables="1" htmlFormat="all"/>
  </connection>
  <connection id="521" name="Conexão4131" type="4" refreshedVersion="3" deleted="1" background="1" saveData="1">
    <webPr xl2000="1" htmlTables="1" htmlFormat="all"/>
  </connection>
  <connection id="522" name="Conexão414" type="4" refreshedVersion="3" deleted="1" background="1" saveData="1">
    <webPr xl2000="1" htmlTables="1" htmlFormat="all"/>
  </connection>
  <connection id="523" name="Conexão4141" type="4" refreshedVersion="3" deleted="1" background="1" saveData="1">
    <webPr xl2000="1" htmlTables="1" htmlFormat="all"/>
  </connection>
  <connection id="524" name="Conexão417" type="4" refreshedVersion="3" deleted="1" background="1" saveData="1">
    <webPr xl2000="1" htmlTables="1" htmlFormat="all"/>
  </connection>
  <connection id="525" name="Conexão4171" type="4" refreshedVersion="3" deleted="1" background="1" saveData="1">
    <webPr xl2000="1" htmlTables="1" htmlFormat="all"/>
  </connection>
  <connection id="526" name="Conexão419" type="4" refreshedVersion="3" deleted="1" background="1" saveData="1">
    <webPr xl2000="1" htmlTables="1" htmlFormat="all"/>
  </connection>
  <connection id="527" name="Conexão4191" type="4" refreshedVersion="3" deleted="1" background="1" saveData="1">
    <webPr xl2000="1" htmlTables="1" htmlFormat="all"/>
  </connection>
  <connection id="528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29" name="Conexão421" type="4" refreshedVersion="3" deleted="1" background="1" saveData="1">
    <webPr xl2000="1" htmlTables="1" htmlFormat="all"/>
  </connection>
  <connection id="530" name="Conexão4211" type="4" refreshedVersion="3" deleted="1" background="1" saveData="1">
    <webPr xl2000="1" htmlTables="1" htmlFormat="all"/>
  </connection>
  <connection id="531" name="Conexão422" type="4" refreshedVersion="3" deleted="1" background="1" saveData="1">
    <webPr xl2000="1" htmlTables="1" htmlFormat="all"/>
  </connection>
  <connection id="532" name="Conexão4221" type="4" refreshedVersion="3" deleted="1" background="1" saveData="1">
    <webPr xl2000="1" htmlTables="1" htmlFormat="all"/>
  </connection>
  <connection id="533" name="Conexão423" type="4" refreshedVersion="3" deleted="1" background="1" saveData="1">
    <webPr xl2000="1" htmlTables="1" htmlFormat="all"/>
  </connection>
  <connection id="534" name="Conexão4231" type="4" refreshedVersion="3" deleted="1" background="1" saveData="1">
    <webPr xl2000="1" htmlTables="1" htmlFormat="all"/>
  </connection>
  <connection id="535" name="Conexão424" type="4" refreshedVersion="3" deleted="1" background="1" saveData="1">
    <webPr xl2000="1" htmlTables="1" htmlFormat="all"/>
  </connection>
  <connection id="536" name="Conexão4241" type="4" refreshedVersion="3" deleted="1" background="1" saveData="1">
    <webPr xl2000="1" htmlTables="1" htmlFormat="all"/>
  </connection>
  <connection id="537" name="Conexão425" type="4" refreshedVersion="3" deleted="1" background="1" saveData="1">
    <webPr xl2000="1" htmlTables="1" htmlFormat="all"/>
  </connection>
  <connection id="538" name="Conexão4251" type="4" refreshedVersion="3" deleted="1" background="1" saveData="1">
    <webPr xl2000="1" htmlTables="1" htmlFormat="all"/>
  </connection>
  <connection id="539" name="Conexão427" type="4" refreshedVersion="3" deleted="1" background="1" saveData="1">
    <webPr xl2000="1" htmlTables="1" htmlFormat="all"/>
  </connection>
  <connection id="540" name="Conexão4271" type="4" refreshedVersion="3" deleted="1" background="1" saveData="1">
    <webPr xl2000="1" htmlTables="1" htmlFormat="all"/>
  </connection>
  <connection id="541" name="Conexão429" type="4" refreshedVersion="3" deleted="1" background="1" saveData="1">
    <webPr xl2000="1" htmlTables="1" htmlFormat="all"/>
  </connection>
  <connection id="542" name="Conexão4291" type="4" refreshedVersion="3" deleted="1" background="1" saveData="1">
    <webPr xl2000="1" htmlTables="1" htmlFormat="all"/>
  </connection>
  <connection id="543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44" name="Conexão431" type="4" refreshedVersion="3" deleted="1" background="1" saveData="1">
    <webPr xl2000="1" htmlTables="1" htmlFormat="all"/>
  </connection>
  <connection id="545" name="Conexão4311" type="4" refreshedVersion="3" deleted="1" background="1" saveData="1">
    <webPr xl2000="1" htmlTables="1" htmlFormat="all"/>
  </connection>
  <connection id="546" name="Conexão432" type="4" refreshedVersion="3" deleted="1" background="1" saveData="1">
    <webPr xl2000="1" htmlTables="1" htmlFormat="all"/>
  </connection>
  <connection id="547" name="Conexão4321" type="4" refreshedVersion="3" deleted="1" background="1" saveData="1">
    <webPr xl2000="1" htmlTables="1" htmlFormat="all"/>
  </connection>
  <connection id="548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49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50" name="Conexão4411" type="4" refreshedVersion="3" deleted="1" background="1" saveData="1">
    <webPr xl2000="1" htmlTables="1" htmlFormat="all"/>
  </connection>
  <connection id="551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52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53" name="Conexão4511" type="4" refreshedVersion="3" deleted="1" background="1" saveData="1">
    <webPr xl2000="1" htmlTables="1" htmlFormat="all"/>
  </connection>
  <connection id="554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55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56" name="Conexão4611" type="4" refreshedVersion="3" deleted="1" background="1" saveData="1">
    <webPr xl2000="1" htmlTables="1" htmlFormat="all"/>
  </connection>
  <connection id="55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58" name="Conexão471" type="4" refreshedVersion="3" deleted="1" background="1" saveData="1">
    <webPr xl2000="1" htmlTables="1" htmlFormat="all"/>
  </connection>
  <connection id="559" name="Conexão4711" type="4" refreshedVersion="3" deleted="1" background="1" saveData="1">
    <webPr xl2000="1" htmlTables="1" htmlFormat="all"/>
  </connection>
  <connection id="56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61" name="Conexão481" type="4" refreshedVersion="3" deleted="1" background="1" saveData="1">
    <webPr xl2000="1" htmlTables="1" htmlFormat="all"/>
  </connection>
  <connection id="562" name="Conexão4811" type="4" refreshedVersion="3" deleted="1" background="1" saveData="1">
    <webPr xl2000="1" htmlTables="1" htmlFormat="all"/>
  </connection>
  <connection id="56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64" name="Conexão491" type="4" refreshedVersion="3" deleted="1" background="1" saveData="1">
    <webPr xl2000="1" htmlTables="1" htmlFormat="all"/>
  </connection>
  <connection id="565" name="Conexão4911" type="4" refreshedVersion="3" deleted="1" background="1" saveData="1">
    <webPr xl2000="1" htmlTables="1" htmlFormat="all"/>
  </connection>
  <connection id="566" name="Conexão5" type="4" refreshedVersion="0" background="1" saveData="1">
    <webPr url="http://download.finance.yahoo.com/d/quotes.csv?s=BPAR3.SA&amp;f=nol1hgd1" htmlTables="1" htmlFormat="all"/>
  </connection>
  <connection id="56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68" name="Conexão501" type="4" refreshedVersion="3" deleted="1" background="1" saveData="1">
    <webPr xl2000="1" htmlTables="1" htmlFormat="all"/>
  </connection>
  <connection id="569" name="Conexão5011" type="4" refreshedVersion="3" deleted="1" background="1" saveData="1">
    <webPr xl2000="1" htmlTables="1" htmlFormat="all"/>
  </connection>
  <connection id="57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71" name="Conexão510" type="4" refreshedVersion="0" deleted="1" background="1" saveData="1">
    <webPr htmlTables="1" htmlFormat="all"/>
  </connection>
  <connection id="572" name="Conexão5101" type="4" refreshedVersion="0" deleted="1" background="1" saveData="1">
    <webPr htmlTables="1" htmlFormat="all"/>
  </connection>
  <connection id="57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74" name="Conexão5111" type="4" refreshedVersion="3" deleted="1" background="1" saveData="1">
    <webPr xl2000="1" htmlTables="1" htmlFormat="all"/>
  </connection>
  <connection id="575" name="Conexão512" type="4" refreshedVersion="0" deleted="1" background="1" saveData="1">
    <webPr htmlTables="1" htmlFormat="all"/>
  </connection>
  <connection id="576" name="Conexão5121" type="4" refreshedVersion="0" deleted="1" background="1" saveData="1">
    <webPr htmlTables="1" htmlFormat="all"/>
  </connection>
  <connection id="577" name="Conexão513" type="4" refreshedVersion="0" deleted="1" background="1" saveData="1">
    <webPr htmlTables="1" htmlFormat="all"/>
  </connection>
  <connection id="578" name="Conexão5131" type="4" refreshedVersion="0" deleted="1" background="1" saveData="1">
    <webPr htmlTables="1" htmlFormat="all"/>
  </connection>
  <connection id="579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80" name="Conexão521" type="4" refreshedVersion="3" deleted="1" background="1" saveData="1">
    <webPr xl2000="1" htmlTables="1" htmlFormat="all"/>
  </connection>
  <connection id="581" name="Conexão5211" type="4" refreshedVersion="3" deleted="1" background="1" saveData="1">
    <webPr xl2000="1" htmlTables="1" htmlFormat="all"/>
  </connection>
  <connection id="582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83" name="Conexão531" type="4" refreshedVersion="3" deleted="1" background="1" saveData="1">
    <webPr xl2000="1" htmlTables="1" htmlFormat="all"/>
  </connection>
  <connection id="584" name="Conexão5311" type="4" refreshedVersion="3" deleted="1" background="1" saveData="1">
    <webPr xl2000="1" htmlTables="1" htmlFormat="all"/>
  </connection>
  <connection id="585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86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87" name="Conexão5411" type="4" refreshedVersion="3" deleted="1" background="1" saveData="1">
    <webPr xl2000="1" htmlTables="1" htmlFormat="all"/>
  </connection>
  <connection id="588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89" name="Conexão551" type="4" refreshedVersion="3" deleted="1" background="1" saveData="1">
    <webPr xl2000="1" htmlTables="1" htmlFormat="all"/>
  </connection>
  <connection id="590" name="Conexão5511" type="4" refreshedVersion="3" deleted="1" background="1" saveData="1">
    <webPr xl2000="1" htmlTables="1" htmlFormat="all"/>
  </connection>
  <connection id="591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92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93" name="Conexão5611" type="4" refreshedVersion="3" deleted="1" background="1" saveData="1">
    <webPr xl2000="1" htmlTables="1" htmlFormat="all"/>
  </connection>
  <connection id="594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95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96" name="Conexão5711" type="4" refreshedVersion="3" deleted="1" background="1" saveData="1">
    <webPr xl2000="1" htmlTables="1" htmlFormat="all"/>
  </connection>
  <connection id="597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98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99" name="Conexão5811" type="4" refreshedVersion="3" deleted="1" background="1" saveData="1">
    <webPr xl2000="1" htmlTables="1" htmlFormat="all"/>
  </connection>
  <connection id="600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01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02" name="Conexão5911" type="4" refreshedVersion="3" deleted="1" background="1" saveData="1">
    <webPr xl2000="1" htmlTables="1" htmlFormat="all"/>
  </connection>
  <connection id="603" name="Conexão6" type="4" refreshedVersion="0" background="1" saveData="1">
    <webPr url="http://download.finance.yahoo.com/d/quotes.csv?s=BPAR3.SA&amp;f=nol1hgd1" htmlTables="1" htmlFormat="all"/>
  </connection>
  <connection id="604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05" name="Conexão601" type="4" refreshedVersion="3" deleted="1" background="1" saveData="1">
    <webPr xl2000="1" htmlTables="1" htmlFormat="all"/>
  </connection>
  <connection id="606" name="Conexão6011" type="4" refreshedVersion="3" deleted="1" background="1" saveData="1">
    <webPr xl2000="1" htmlTables="1" htmlFormat="all"/>
  </connection>
  <connection id="607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08" name="Conexão610" type="4" refreshedVersion="0" background="1" saveData="1">
    <webPr url="http://download.finance.yahoo.com/d/quotes.csv?s=BPAR3.SA&amp;f=nol1hgd1" htmlTables="1" htmlFormat="all"/>
  </connection>
  <connection id="609" name="Conexão6101" type="4" refreshedVersion="0" deleted="1" background="1" saveData="1">
    <webPr htmlTables="1" htmlFormat="all"/>
  </connection>
  <connection id="610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11" name="Conexão6111" type="4" refreshedVersion="0" deleted="1" background="1" saveData="1">
    <webPr htmlTables="1" htmlFormat="all"/>
  </connection>
  <connection id="612" name="Conexão612" type="4" refreshedVersion="0" deleted="1" background="1" saveData="1">
    <webPr htmlTables="1" htmlFormat="all"/>
  </connection>
  <connection id="613" name="Conexão6121" type="4" refreshedVersion="0" deleted="1" background="1" saveData="1">
    <webPr htmlTables="1" htmlFormat="all"/>
  </connection>
  <connection id="614" name="Conexão613" type="4" refreshedVersion="3" deleted="1" background="1" saveData="1">
    <webPr xl2000="1" htmlTables="1" htmlFormat="all"/>
  </connection>
  <connection id="615" name="Conexão6131" type="4" refreshedVersion="3" deleted="1" background="1" saveData="1">
    <webPr xl2000="1" htmlTables="1" htmlFormat="all"/>
  </connection>
  <connection id="616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17" name="Conexão621" type="4" refreshedVersion="3" deleted="1" background="1" saveData="1">
    <webPr xl2000="1" htmlTables="1" htmlFormat="all"/>
  </connection>
  <connection id="618" name="Conexão6211" type="4" refreshedVersion="3" deleted="1" background="1" saveData="1">
    <webPr xl2000="1" htmlTables="1" htmlFormat="all"/>
  </connection>
  <connection id="619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20" name="Conexão631" type="4" refreshedVersion="3" deleted="1" background="1" saveData="1">
    <webPr xl2000="1" htmlTables="1" htmlFormat="all"/>
  </connection>
  <connection id="621" name="Conexão6311" type="4" refreshedVersion="3" deleted="1" background="1" saveData="1">
    <webPr xl2000="1" htmlTables="1" htmlFormat="all"/>
  </connection>
  <connection id="622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23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24" name="Conexão6411" type="4" refreshedVersion="3" deleted="1" background="1" saveData="1">
    <webPr xl2000="1" htmlTables="1" htmlFormat="all"/>
  </connection>
  <connection id="625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26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27" name="Conexão6511" type="4" refreshedVersion="3" deleted="1" background="1" saveData="1">
    <webPr xl2000="1" htmlTables="1" htmlFormat="all"/>
  </connection>
  <connection id="628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29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30" name="Conexão6611" type="4" refreshedVersion="3" deleted="1" background="1" saveData="1">
    <webPr xl2000="1" htmlTables="1" htmlFormat="all"/>
  </connection>
  <connection id="631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32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33" name="Conexão6711" type="4" refreshedVersion="3" deleted="1" background="1" saveData="1">
    <webPr xl2000="1" htmlTables="1" htmlFormat="all"/>
  </connection>
  <connection id="634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35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36" name="Conexão6811" type="4" refreshedVersion="3" deleted="1" background="1" saveData="1">
    <webPr xl2000="1" htmlTables="1" htmlFormat="all"/>
  </connection>
  <connection id="637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38" name="Conexão691" type="4" refreshedVersion="3" deleted="1" background="1" saveData="1">
    <webPr xl2000="1" htmlTables="1" htmlFormat="all"/>
  </connection>
  <connection id="639" name="Conexão6911" type="4" refreshedVersion="3" deleted="1" background="1" saveData="1">
    <webPr xl2000="1" htmlTables="1" htmlFormat="all"/>
  </connection>
  <connection id="640" name="Conexão7" type="4" refreshedVersion="0" background="1" saveData="1">
    <webPr url="http://download.finance.yahoo.com/d/quotes.csv?s=BPAR3.SA&amp;f=nol1hgd1" htmlTables="1" htmlFormat="all"/>
  </connection>
  <connection id="641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42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43" name="Conexão7011" type="4" refreshedVersion="3" deleted="1" background="1" saveData="1">
    <webPr xl2000="1" htmlTables="1" htmlFormat="all"/>
  </connection>
  <connection id="644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45" name="Conexão710" type="4" refreshedVersion="0" background="1" saveData="1">
    <webPr url="http://download.finance.yahoo.com/d/quotes.csv?s=BPAR3.SA&amp;f=nol1hgd1" htmlTables="1" htmlFormat="all"/>
  </connection>
  <connection id="646" name="Conexão7101" type="4" refreshedVersion="0" deleted="1" background="1" saveData="1">
    <webPr htmlTables="1" htmlFormat="all"/>
  </connection>
  <connection id="647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48" name="Conexão7111" type="4" refreshedVersion="0" deleted="1" background="1" saveData="1">
    <webPr htmlTables="1" htmlFormat="all"/>
  </connection>
  <connection id="649" name="Conexão712" type="4" refreshedVersion="3" deleted="1" background="1" saveData="1">
    <webPr xl2000="1" htmlTables="1" htmlFormat="all"/>
  </connection>
  <connection id="650" name="Conexão7121" type="4" refreshedVersion="3" deleted="1" background="1" saveData="1">
    <webPr xl2000="1" htmlTables="1" htmlFormat="all"/>
  </connection>
  <connection id="651" name="Conexão713" type="4" refreshedVersion="0" deleted="1" background="1" saveData="1">
    <webPr htmlTables="1" htmlFormat="all"/>
  </connection>
  <connection id="652" name="Conexão7131" type="4" refreshedVersion="0" deleted="1" background="1" saveData="1">
    <webPr htmlTables="1" htmlFormat="all"/>
  </connection>
  <connection id="65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5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55" name="Conexão7211" type="4" refreshedVersion="3" deleted="1" background="1" saveData="1">
    <webPr xl2000="1" htmlTables="1" htmlFormat="all"/>
  </connection>
  <connection id="656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57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58" name="Conexão7311" type="4" refreshedVersion="3" deleted="1" background="1" saveData="1">
    <webPr xl2000="1" htmlTables="1" htmlFormat="all"/>
  </connection>
  <connection id="659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60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61" name="Conexão7411" type="4" refreshedVersion="3" deleted="1" background="1" saveData="1">
    <webPr xl2000="1" htmlTables="1" htmlFormat="all"/>
  </connection>
  <connection id="662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3" name="Conexão751" type="4" refreshedVersion="3" deleted="1" background="1" saveData="1">
    <webPr xl2000="1" htmlTables="1" htmlFormat="all"/>
  </connection>
  <connection id="664" name="Conexão7511" type="4" refreshedVersion="3" deleted="1" background="1" saveData="1">
    <webPr xl2000="1" htmlTables="1" htmlFormat="all"/>
  </connection>
  <connection id="665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6" name="Conexão761" type="4" refreshedVersion="3" deleted="1" background="1" saveData="1">
    <webPr xl2000="1" htmlTables="1" htmlFormat="all"/>
  </connection>
  <connection id="667" name="Conexão7611" type="4" refreshedVersion="3" deleted="1" background="1" saveData="1">
    <webPr xl2000="1" htmlTables="1" htmlFormat="all"/>
  </connection>
  <connection id="668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9" name="Conexão771" type="4" refreshedVersion="3" deleted="1" background="1" saveData="1">
    <webPr xl2000="1" htmlTables="1" htmlFormat="all"/>
  </connection>
  <connection id="670" name="Conexão7711" type="4" refreshedVersion="3" deleted="1" background="1" saveData="1">
    <webPr xl2000="1" htmlTables="1" htmlFormat="all"/>
  </connection>
  <connection id="671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72" name="Conexão781" type="4" refreshedVersion="3" deleted="1" background="1" saveData="1">
    <webPr xl2000="1" htmlTables="1" htmlFormat="all"/>
  </connection>
  <connection id="673" name="Conexão7811" type="4" refreshedVersion="3" deleted="1" background="1" saveData="1">
    <webPr xl2000="1" htmlTables="1" htmlFormat="all"/>
  </connection>
  <connection id="674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75" name="Conexão791" type="4" refreshedVersion="3" deleted="1" background="1" saveData="1">
    <webPr xl2000="1" htmlTables="1" htmlFormat="all"/>
  </connection>
  <connection id="676" name="Conexão7911" type="4" refreshedVersion="3" deleted="1" background="1" saveData="1">
    <webPr xl2000="1" htmlTables="1" htmlFormat="all"/>
  </connection>
  <connection id="677" name="Conexão8" type="4" refreshedVersion="0" background="1" saveData="1">
    <webPr url="http://download.finance.yahoo.com/d/quotes.csv?s=IDVL3.SA+IDVL4.SA+IDVL11.SA&amp;f=nol1hgd1" htmlTables="1" htmlFormat="all"/>
  </connection>
  <connection id="678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79" name="Conexão801" type="4" refreshedVersion="3" deleted="1" background="1" saveData="1">
    <webPr xl2000="1" htmlTables="1" htmlFormat="all"/>
  </connection>
  <connection id="680" name="Conexão8011" type="4" refreshedVersion="3" deleted="1" background="1" saveData="1">
    <webPr xl2000="1" htmlTables="1" htmlFormat="all"/>
  </connection>
  <connection id="681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82" name="Conexão810" type="4" refreshedVersion="0" background="1" saveData="1">
    <webPr url="http://download.finance.yahoo.com/d/quotes.csv?s=IDVL3.SA+IDVL4.SA+IDVL11.SA&amp;f=nol1hgd1" htmlTables="1" htmlFormat="all"/>
  </connection>
  <connection id="683" name="Conexão8101" type="4" refreshedVersion="0" deleted="1" background="1" saveData="1">
    <webPr htmlTables="1" htmlFormat="all"/>
  </connection>
  <connection id="684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85" name="Conexão8111" type="4" refreshedVersion="0" deleted="1" background="1" saveData="1">
    <webPr htmlTables="1" htmlFormat="all"/>
  </connection>
  <connection id="686" name="Conexão812" type="4" refreshedVersion="3" deleted="1" background="1" saveData="1">
    <webPr xl2000="1" htmlTables="1" htmlFormat="all"/>
  </connection>
  <connection id="687" name="Conexão8121" type="4" refreshedVersion="3" deleted="1" background="1" saveData="1">
    <webPr xl2000="1" htmlTables="1" htmlFormat="all"/>
  </connection>
  <connection id="688" name="Conexão813" type="4" refreshedVersion="0" deleted="1" background="1" saveData="1">
    <webPr htmlTables="1" htmlFormat="all"/>
  </connection>
  <connection id="689" name="Conexão8131" type="4" refreshedVersion="0" deleted="1" background="1" saveData="1">
    <webPr htmlTables="1" htmlFormat="all"/>
  </connection>
  <connection id="690" name="Conexão814" type="4" refreshedVersion="0" deleted="1" background="1" saveData="1">
    <webPr htmlTables="1" htmlFormat="all"/>
  </connection>
  <connection id="691" name="Conexão8141" type="4" refreshedVersion="0" deleted="1" background="1" saveData="1">
    <webPr htmlTables="1" htmlFormat="all"/>
  </connection>
  <connection id="692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693" name="Conexão821" type="4" refreshedVersion="3" deleted="1" background="1" saveData="1">
    <webPr xl2000="1" htmlTables="1" htmlFormat="all"/>
  </connection>
  <connection id="694" name="Conexão8211" type="4" refreshedVersion="3" deleted="1" background="1" saveData="1">
    <webPr xl2000="1" htmlTables="1" htmlFormat="all"/>
  </connection>
  <connection id="695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96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97" name="Conexão8311" type="4" refreshedVersion="3" deleted="1" background="1" saveData="1">
    <webPr xl2000="1" htmlTables="1" htmlFormat="all"/>
  </connection>
  <connection id="698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699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00" name="Conexão8411" type="4" refreshedVersion="3" deleted="1" background="1" saveData="1">
    <webPr xl2000="1" htmlTables="1" htmlFormat="all"/>
  </connection>
  <connection id="701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02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03" name="Conexão8511" type="4" refreshedVersion="3" deleted="1" background="1" saveData="1">
    <webPr xl2000="1" htmlTables="1" htmlFormat="all"/>
  </connection>
  <connection id="704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05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06" name="Conexão8611" type="4" refreshedVersion="3" deleted="1" background="1" saveData="1">
    <webPr xl2000="1" htmlTables="1" htmlFormat="all"/>
  </connection>
  <connection id="707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08" name="Conexão871" type="4" refreshedVersion="3" deleted="1" background="1" saveData="1">
    <webPr xl2000="1" htmlTables="1" htmlFormat="all"/>
  </connection>
  <connection id="709" name="Conexão8711" type="4" refreshedVersion="3" deleted="1" background="1" saveData="1">
    <webPr xl2000="1" htmlTables="1" htmlFormat="all"/>
  </connection>
  <connection id="710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11" name="Conexão881" type="4" refreshedVersion="0" deleted="1" background="1" saveData="1">
    <webPr htmlTables="1" htmlFormat="all"/>
  </connection>
  <connection id="712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13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14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15" name="Conexão9" type="4" refreshedVersion="0" background="1" saveData="1">
    <webPr url="http://download.finance.yahoo.com/d/quotes.csv?s=IDVL3.SA+IDVL4.SA+BMEB3.SA+BMEB4.SA&amp;f=nol1hgd1" htmlTables="1" htmlFormat="all"/>
  </connection>
  <connection id="716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17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18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19" name="Conexão910" type="4" refreshedVersion="0" background="1" saveData="1">
    <webPr url="http://download.finance.yahoo.com/d/quotes.csv?s=IDVL3.SA+IDVL4.SA+BMEB3.SA+BMEB4.SA&amp;f=nol1hgd1" htmlTables="1" htmlFormat="all"/>
  </connection>
  <connection id="720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21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921" type="4" refreshedVersion="0" deleted="1" background="1" saveData="1">
    <webPr htmlTables="1" htmlFormat="all"/>
  </connection>
  <connection id="723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4" name="Conexão931" type="4" refreshedVersion="0" deleted="1" background="1" saveData="1">
    <webPr htmlTables="1" htmlFormat="all"/>
  </connection>
  <connection id="725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6" name="Conexão941" type="4" refreshedVersion="0" deleted="1" background="1" saveData="1">
    <webPr htmlTables="1" htmlFormat="all"/>
  </connection>
  <connection id="727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28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29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30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31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32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33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34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35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36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37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38" name="Conexão991" type="4" refreshedVersion="3" deleted="1" background="1" saveData="1">
    <webPr xl2000="1" htmlTables="1" htmlFormat="all"/>
  </connection>
  <connection id="739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40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1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74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74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744" name="Connection102" type="4" refreshedVersion="0" deleted="1" background="1" saveData="1">
    <webPr htmlTables="1" htmlFormat="all"/>
  </connection>
  <connection id="745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746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747" name="Connection1111" type="4" refreshedVersion="0" deleted="1" background="1" saveData="1">
    <webPr htmlTables="1" htmlFormat="all"/>
  </connection>
  <connection id="748" name="Connection112" type="4" refreshedVersion="0" deleted="1" background="1" saveData="1">
    <webPr htmlTables="1" htmlFormat="all"/>
  </connection>
  <connection id="749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750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751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752" name="Connection122" type="4" refreshedVersion="0" deleted="1" background="1" saveData="1">
    <webPr htmlTables="1" htmlFormat="all"/>
  </connection>
  <connection id="753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754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755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756" name="Connection132" type="4" refreshedVersion="0" deleted="1" background="1" saveData="1">
    <webPr htmlTables="1" htmlFormat="all"/>
  </connection>
  <connection id="757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758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759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760" name="Connection142" type="4" refreshedVersion="4" deleted="1" background="1" saveData="1">
    <webPr xl2000="1" htmlTables="1" htmlFormat="all"/>
  </connection>
  <connection id="761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762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763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764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765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766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767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768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769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770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771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772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773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774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775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776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777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778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779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780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781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782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783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784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785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786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787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788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789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790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791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792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3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4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5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6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7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798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799" name="Connection271" type="4" refreshedVersion="4" deleted="1" background="1" saveData="1">
    <webPr xl2000="1" htmlTables="1" htmlFormat="all"/>
  </connection>
  <connection id="800" name="Connection28" type="4" refreshedVersion="4" background="1" saveData="1">
    <webPr xl2000="1" url="http://download.finance.yahoo.com/d/quotes.csv?s=IGUA3.SA+IGUA5.SA+IGUA6.SA&amp;f=nol1hgd1" htmlFormat="all"/>
  </connection>
  <connection id="801" name="Connection281" type="4" refreshedVersion="4" deleted="1" background="1" saveData="1">
    <webPr xl2000="1" htmlTables="1" htmlFormat="all"/>
  </connection>
  <connection id="802" name="Connection29" type="4" refreshedVersion="4" background="1" saveData="1">
    <webPr xl2000="1" url="http://download.finance.yahoo.com/d/quotes.csv?s=IGUA3.SA+IGUA5.SA+IGUA6.SA+ODER3.SA+ODER4.SA&amp;f=nol1hgd1" htmlFormat="all"/>
  </connection>
  <connection id="803" name="Connection291" type="4" refreshedVersion="4" deleted="1" background="1" saveData="1">
    <webPr xl2000="1" htmlTables="1" htmlFormat="all"/>
  </connection>
  <connection id="804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5" name="Connection30" type="4" refreshedVersion="4" background="1" saveData="1">
    <webPr xl2000="1" url="http://download.finance.yahoo.com/d/quotes.csv?s=IGUA3.SA+IGUA5.SA+IGUA6.SA+JOPA3.SA+JOPA4.SA&amp;f=nol1hgd1" htmlFormat="all"/>
  </connection>
  <connection id="806" name="Connection301" type="4" refreshedVersion="4" deleted="1" background="1" saveData="1">
    <webPr xl2000="1" htmlTables="1" htmlFormat="all"/>
  </connection>
  <connection id="807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808" name="Connection311" type="4" refreshedVersion="0" deleted="1" background="1" saveData="1">
    <webPr htmlTables="1" htmlFormat="all"/>
  </connection>
  <connection id="809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810" name="Connection321" type="4" refreshedVersion="0" deleted="1" background="1" saveData="1">
    <webPr htmlTables="1" htmlFormat="all"/>
  </connection>
  <connection id="811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812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813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814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815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816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8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818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19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820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821" name="Connection411" type="4" refreshedVersion="0" deleted="1" background="1" saveData="1">
    <webPr htmlTables="1" htmlFormat="all"/>
  </connection>
  <connection id="822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823" name="Connection421" type="4" refreshedVersion="0" deleted="1" background="1" saveData="1">
    <webPr htmlTables="1" htmlFormat="all"/>
  </connection>
  <connection id="824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825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826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827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828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829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830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83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83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833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34" name="Connection511" type="4" refreshedVersion="0" deleted="1" background="1" saveData="1">
    <webPr htmlTables="1" htmlFormat="all"/>
  </connection>
  <connection id="835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836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37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8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39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84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84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842" name="Connection62" type="4" refreshedVersion="0" deleted="1" background="1" saveData="1">
    <webPr htmlTables="1" htmlFormat="all"/>
  </connection>
  <connection id="843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844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845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846" name="Connection72" type="4" refreshedVersion="0" deleted="1" background="1" saveData="1">
    <webPr htmlTables="1" htmlFormat="all"/>
  </connection>
  <connection id="847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848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849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850" name="Connection82" type="4" refreshedVersion="0" deleted="1" background="1" saveData="1">
    <webPr htmlTables="1" htmlFormat="all"/>
  </connection>
  <connection id="851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852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853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854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<sst xmlns="http://schemas.openxmlformats.org/spreadsheetml/2006/main" count="2953" uniqueCount="1466">
  <si>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</si>
  <si>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</si>
  <si>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</si>
  <si>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</si>
  <si>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</si>
  <si>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</si>
  <si>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</si>
  <si>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</si>
  <si>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</si>
  <si>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</si>
  <si>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</si>
  <si>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</si>
  <si>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</si>
  <si>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</si>
  <si>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</si>
  <si>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</si>
  <si>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</si>
  <si>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</si>
  <si>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</si>
  <si>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</si>
  <si>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</si>
  <si>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</si>
  <si>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</si>
  <si>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</si>
  <si>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</si>
  <si>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</si>
  <si>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</si>
  <si>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</si>
  <si>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</si>
  <si>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</si>
  <si>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</si>
  <si>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</si>
  <si>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</si>
  <si>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</si>
  <si>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</si>
  <si>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</si>
  <si>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</si>
  <si>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</si>
  <si>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</si>
  <si>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</si>
  <si>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</si>
  <si>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</si>
  <si>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</si>
  <si>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</si>
  <si>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</si>
  <si>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</si>
  <si>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</si>
  <si>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</si>
  <si>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</si>
  <si>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</si>
  <si>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</si>
  <si>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</si>
  <si>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</si>
  <si>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</si>
  <si>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</si>
  <si>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</si>
  <si>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</si>
  <si>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</si>
  <si>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</si>
  <si>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</si>
  <si>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</si>
  <si>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</si>
  <si>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</si>
  <si>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</si>
  <si>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</si>
  <si>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</si>
  <si>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</si>
  <si>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</si>
  <si>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</si>
  <si>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</si>
  <si>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</si>
  <si>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</si>
  <si>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</si>
  <si>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</si>
  <si>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</si>
  <si>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</si>
  <si>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</si>
  <si>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</si>
  <si>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</si>
  <si>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</si>
  <si>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</si>
  <si>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</si>
  <si>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</si>
  <si>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</si>
  <si>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</si>
  <si>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</si>
  <si>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</si>
  <si>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</si>
  <si>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</si>
  <si>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</si>
  <si>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</si>
  <si>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</si>
  <si>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</si>
  <si>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</si>
  <si>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</si>
  <si>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</si>
  <si>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</si>
  <si>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</si>
  <si>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</si>
  <si>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</si>
  <si>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</si>
  <si>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</si>
  <si>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</si>
  <si>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</si>
  <si>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</si>
  <si>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</si>
  <si>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</si>
  <si>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</si>
  <si>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</si>
  <si>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</si>
  <si>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</si>
  <si>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</si>
  <si>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</si>
  <si>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</si>
  <si>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</si>
  <si>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18.00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</si>
  <si>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</si>
  <si>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</si>
  <si>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</si>
  <si>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</si>
  <si>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</si>
  <si>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</si>
  <si>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</si>
  <si>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</si>
  <si>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</si>
  <si>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</si>
  <si>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</si>
  <si>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</si>
  <si>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</si>
  <si>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</si>
  <si>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</si>
  <si>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</si>
  <si>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</si>
  <si>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</si>
  <si>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</si>
  <si>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</si>
  <si>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</si>
  <si>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</si>
  <si>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</si>
  <si>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</si>
  <si>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</si>
  <si>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</si>
  <si>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</si>
  <si>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</si>
  <si>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</si>
  <si>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</si>
  <si>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</si>
  <si>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</si>
  <si>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</si>
  <si>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</si>
  <si>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</si>
  <si>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</si>
  <si>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</si>
  <si>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</si>
  <si>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</si>
  <si>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</si>
  <si>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</si>
  <si>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</si>
  <si>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</si>
  <si>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</si>
  <si>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</si>
  <si>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</si>
  <si>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</si>
  <si>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</si>
  <si>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</si>
  <si>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</si>
  <si>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</si>
  <si>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</si>
  <si>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</si>
  <si>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</si>
  <si>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</si>
  <si>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</si>
  <si>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</si>
  <si>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</si>
  <si>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</si>
  <si>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</si>
  <si>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</si>
  <si>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</si>
  <si>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</si>
  <si>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</si>
  <si>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</si>
  <si>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</si>
  <si>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</si>
  <si>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</si>
  <si>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</si>
  <si>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</si>
  <si>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</si>
  <si>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</si>
  <si>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</si>
  <si>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</si>
  <si>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</si>
  <si>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</si>
  <si>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</si>
  <si>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</si>
  <si>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</si>
  <si>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</si>
  <si>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</si>
  <si>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</si>
  <si>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</si>
  <si>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</si>
  <si>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</si>
  <si>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</si>
  <si>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</si>
  <si>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</si>
  <si>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</si>
  <si>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</si>
  <si>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</si>
  <si>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</si>
  <si>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</si>
  <si>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</si>
  <si>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</si>
  <si>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</si>
  <si>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</si>
  <si>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</si>
  <si>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</si>
  <si>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</si>
  <si>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</si>
  <si>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</si>
  <si>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</si>
  <si>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</si>
  <si>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</si>
  <si>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</si>
  <si>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</si>
  <si>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</si>
  <si>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</si>
  <si>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</si>
  <si>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</si>
  <si>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</si>
  <si>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</si>
  <si>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</si>
  <si>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</si>
  <si>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</si>
  <si>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</si>
  <si>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</si>
  <si>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</si>
  <si>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</si>
  <si>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</si>
  <si>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</si>
  <si>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</si>
  <si>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</si>
  <si>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</si>
  <si>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</si>
  <si>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</si>
  <si>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</si>
  <si>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</si>
  <si>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</si>
  <si>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</si>
  <si>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</si>
  <si>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</si>
  <si>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</si>
  <si>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</si>
  <si>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</si>
  <si>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</si>
  <si>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</si>
  <si>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</si>
  <si>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</si>
  <si>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</si>
  <si>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</si>
  <si>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</si>
  <si>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</si>
  <si>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</si>
  <si>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</si>
  <si>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</si>
  <si>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</si>
  <si>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</si>
  <si>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</si>
  <si>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</si>
  <si>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</si>
  <si>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</si>
  <si>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</si>
  <si>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</si>
  <si>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</si>
  <si>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</si>
  <si>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</si>
  <si>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</si>
  <si>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</si>
  <si>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</si>
  <si>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</si>
  <si>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</si>
  <si>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</si>
  <si>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</si>
  <si>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</si>
  <si>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</si>
  <si>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</si>
  <si>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</si>
  <si>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</si>
  <si>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</si>
  <si>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</si>
  <si>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</si>
  <si>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</si>
  <si>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</si>
  <si>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</si>
  <si>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</si>
  <si>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</si>
  <si>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</si>
  <si>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</si>
  <si>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</si>
  <si>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</si>
  <si>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</si>
  <si>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</si>
  <si>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</si>
  <si>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</si>
  <si>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</si>
  <si>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</si>
  <si>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</si>
  <si>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</si>
  <si>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</si>
  <si>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</si>
  <si>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</si>
  <si>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</si>
  <si>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</si>
  <si>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</si>
  <si>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</si>
  <si>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</si>
  <si>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</si>
  <si>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</si>
  <si>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</si>
  <si>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</si>
  <si>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</si>
  <si>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</si>
  <si>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</si>
  <si>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</si>
  <si>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</si>
  <si>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</si>
  <si>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</si>
  <si>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</si>
  <si>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</si>
  <si>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</si>
  <si>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</si>
  <si>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</si>
  <si>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</si>
  <si>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</si>
  <si>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</si>
  <si>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</si>
  <si>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</si>
  <si>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</si>
  <si>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</si>
  <si>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</si>
  <si>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</si>
  <si>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</si>
  <si>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</si>
  <si>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</si>
  <si>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</si>
  <si>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</si>
  <si>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</si>
  <si>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</si>
  <si>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</si>
  <si>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</si>
  <si>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</si>
  <si>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</si>
  <si>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</si>
  <si>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</si>
  <si>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</si>
  <si>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</si>
  <si>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</si>
  <si>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</si>
  <si>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</si>
  <si>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</si>
  <si>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</si>
  <si>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</si>
  <si>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</si>
  <si>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</si>
  <si>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</si>
  <si>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</si>
  <si>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</si>
  <si>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</si>
  <si>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</si>
  <si>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</si>
  <si>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</si>
  <si>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</si>
  <si>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</si>
  <si>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</si>
  <si>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</si>
  <si>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</si>
  <si>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</si>
  <si>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</si>
  <si>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</si>
  <si>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</si>
  <si>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</si>
  <si>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</si>
  <si>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</si>
  <si>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</si>
  <si>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</si>
  <si>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</si>
  <si>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</si>
  <si>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</si>
  <si>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</si>
  <si>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</si>
  <si>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</si>
  <si>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</si>
  <si>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</si>
  <si>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</si>
  <si>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</si>
  <si>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</si>
  <si>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</si>
  <si>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</si>
  <si>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</si>
  <si>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</si>
  <si>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</si>
  <si>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</si>
  <si>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</si>
  <si>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</si>
  <si>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</si>
  <si>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</si>
  <si>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</si>
  <si>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</si>
  <si>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</si>
  <si>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</si>
  <si>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</si>
  <si>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6.58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</si>
  <si>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</si>
  <si>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</si>
  <si>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</si>
  <si>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</si>
  <si>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</si>
  <si>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</si>
  <si>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</si>
  <si>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</si>
  <si>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</si>
  <si>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</si>
  <si>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</si>
  <si>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</si>
  <si>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27.50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</si>
  <si>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</si>
  <si>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</si>
  <si>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</si>
  <si>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</si>
  <si>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</si>
  <si>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</si>
  <si>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</si>
  <si>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</si>
  <si>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</si>
  <si>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</si>
  <si>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</si>
  <si>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</si>
  <si>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</si>
  <si>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</si>
  <si>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</si>
  <si>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</si>
  <si>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</si>
  <si>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</si>
  <si>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27.00</t>
  </si>
  <si>
    <t>Lucro</t>
  </si>
  <si>
    <t>Lucro Dist./Ação</t>
  </si>
  <si>
    <t>Lucro Payout</t>
  </si>
  <si>
    <t>PINE3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</si>
  <si>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</si>
  <si>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</si>
  <si>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</si>
  <si>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</si>
  <si>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</si>
  <si>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</si>
  <si>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</si>
  <si>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</si>
  <si>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</si>
  <si>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</si>
  <si>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</si>
  <si>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</si>
  <si>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</si>
  <si>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</si>
  <si>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</si>
  <si>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</si>
  <si>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</si>
  <si>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</si>
  <si>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</si>
  <si>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</si>
  <si>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</si>
  <si>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</si>
  <si>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</si>
  <si>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</si>
  <si>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</si>
  <si>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</si>
  <si>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</si>
  <si>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</si>
  <si>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</si>
  <si>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</si>
  <si>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</si>
  <si>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</si>
  <si>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</si>
  <si>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</si>
  <si>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</si>
  <si>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</si>
  <si>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</si>
  <si>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</si>
  <si>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</si>
  <si>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</si>
  <si>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</si>
  <si>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</si>
  <si>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</si>
  <si>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</si>
  <si>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</si>
  <si>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</si>
  <si>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</si>
  <si>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</si>
  <si>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</si>
  <si>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</si>
  <si>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</si>
  <si>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</si>
  <si>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</si>
  <si>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</si>
  <si>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</si>
  <si>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</si>
  <si>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</si>
  <si>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</si>
  <si>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</si>
  <si>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</si>
  <si>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</si>
  <si>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</si>
  <si>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</si>
  <si>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</si>
  <si>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</si>
  <si>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</si>
  <si>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</si>
  <si>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</si>
  <si>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</si>
  <si>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</si>
  <si>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</si>
  <si>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</si>
  <si>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</si>
  <si>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</si>
  <si>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</si>
  <si>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</si>
  <si>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</si>
  <si>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</si>
  <si>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</si>
  <si>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</si>
  <si>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</si>
  <si>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</si>
  <si>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</si>
  <si>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</si>
  <si>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</si>
  <si>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</si>
  <si>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</si>
  <si>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</si>
  <si>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</si>
  <si>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</si>
  <si>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</si>
  <si>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</si>
  <si>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</si>
  <si>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</si>
  <si>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</si>
  <si>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</si>
  <si>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</si>
  <si>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</si>
  <si>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</si>
  <si>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</si>
  <si>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</si>
  <si>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</si>
  <si>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</si>
  <si>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</si>
  <si>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</si>
  <si>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</si>
  <si>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</si>
  <si>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</si>
  <si>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</si>
  <si>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</si>
  <si>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</si>
  <si>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</si>
  <si>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</si>
  <si>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</si>
  <si>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</si>
  <si>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</si>
  <si>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</si>
  <si>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</si>
  <si>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</si>
  <si>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</si>
  <si>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</si>
  <si>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</si>
  <si>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</si>
  <si>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</si>
  <si>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</si>
  <si>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</si>
  <si>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</si>
  <si>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</si>
  <si>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</si>
  <si>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</si>
  <si>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</si>
  <si>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</si>
  <si>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</si>
  <si>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</si>
  <si>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</si>
  <si>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</si>
  <si>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</si>
  <si>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</si>
  <si>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</si>
  <si>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</si>
  <si>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</si>
  <si>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</si>
  <si>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</si>
  <si>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</si>
  <si>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</si>
  <si>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</si>
  <si>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</si>
  <si>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</si>
  <si>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</si>
  <si>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</si>
  <si>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</si>
  <si>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</si>
  <si>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</si>
  <si>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</si>
  <si>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</si>
  <si>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</si>
  <si>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</si>
  <si>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</si>
  <si>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</si>
  <si>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</si>
  <si>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</si>
  <si>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</si>
  <si>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</si>
  <si>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</si>
  <si>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</si>
  <si>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</si>
  <si>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</si>
  <si>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</si>
  <si>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</si>
  <si>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</si>
  <si>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</si>
  <si>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</si>
  <si>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</si>
  <si>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</si>
  <si>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</si>
  <si>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</si>
  <si>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</si>
  <si>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</si>
  <si>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</si>
  <si>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</si>
  <si>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</si>
  <si>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</si>
  <si>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</si>
  <si>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</si>
  <si>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</si>
  <si>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</si>
  <si>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</si>
  <si>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</si>
  <si>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</si>
  <si>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</si>
  <si>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</si>
  <si>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</si>
  <si>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</si>
  <si>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</si>
  <si>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</si>
  <si>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</si>
  <si>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</si>
  <si>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</si>
  <si>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</si>
  <si>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</si>
  <si>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</si>
  <si>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</si>
  <si>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</si>
  <si>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</si>
  <si>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</si>
  <si>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</si>
  <si>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</si>
  <si>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</si>
  <si>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</si>
  <si>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</si>
  <si>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</si>
  <si>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</si>
  <si>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</si>
  <si>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</si>
  <si>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</si>
  <si>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</si>
  <si>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</si>
  <si>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</si>
  <si>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</si>
  <si>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</si>
  <si>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</si>
  <si>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</si>
  <si>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</si>
  <si>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</si>
  <si>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27.95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</si>
  <si>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</si>
  <si>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</si>
  <si>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</si>
  <si>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</si>
  <si>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</si>
  <si>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</si>
  <si>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</si>
  <si>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</si>
  <si>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</si>
  <si>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</si>
  <si>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</si>
  <si>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</si>
  <si>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</si>
  <si>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</si>
  <si>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</si>
  <si>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</si>
  <si>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</si>
  <si>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</si>
  <si>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</si>
  <si>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</si>
  <si>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</si>
  <si>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</si>
  <si>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</si>
  <si>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</si>
  <si>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</si>
  <si>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</si>
  <si>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</si>
  <si>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</si>
  <si>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</si>
  <si>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</si>
  <si>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</si>
  <si>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</si>
  <si>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</si>
  <si>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</si>
  <si>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</si>
  <si>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</si>
  <si>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</si>
  <si>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</si>
  <si>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</si>
  <si>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</si>
  <si>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</si>
  <si>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</si>
  <si>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</si>
  <si>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</si>
  <si>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</si>
  <si>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</si>
  <si>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</si>
  <si>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</si>
  <si>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0.45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</si>
  <si>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</si>
  <si>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</si>
  <si>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</si>
  <si>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</si>
  <si>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</si>
  <si>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</si>
  <si>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</si>
  <si>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</si>
  <si>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</si>
  <si>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</si>
  <si>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</si>
  <si>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</si>
  <si>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</si>
  <si>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</si>
  <si>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</si>
  <si>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</si>
  <si>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</si>
  <si>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</si>
  <si>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</si>
  <si>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</si>
  <si>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</si>
  <si>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</si>
  <si>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</si>
  <si>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</si>
  <si>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</si>
  <si>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</si>
  <si>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</si>
  <si>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0.31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</si>
  <si>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</si>
  <si>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</si>
  <si>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</si>
  <si>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</si>
  <si>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</si>
  <si>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</si>
  <si>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</si>
  <si>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</si>
  <si>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</si>
  <si>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</si>
  <si>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</si>
  <si>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0.44</t>
  </si>
  <si>
    <t>0.43</t>
  </si>
  <si>
    <t>6.61</t>
  </si>
  <si>
    <t>8.00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</si>
  <si>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</si>
  <si>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</si>
  <si>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</si>
  <si>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</si>
  <si>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</si>
  <si>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</si>
  <si>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</si>
  <si>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</si>
  <si>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</si>
  <si>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</si>
  <si>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</si>
  <si>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</si>
  <si>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</si>
  <si>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</si>
  <si>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</si>
  <si>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</si>
  <si>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</si>
  <si>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</si>
  <si>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</si>
  <si>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</si>
  <si>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</si>
  <si>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</si>
  <si>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</si>
  <si>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</si>
  <si>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5.04</t>
  </si>
  <si>
    <t>12.40</t>
  </si>
  <si>
    <t>4.75</t>
  </si>
  <si>
    <t>11.50</t>
  </si>
  <si>
    <t>0.27</t>
  </si>
  <si>
    <t>7.60</t>
  </si>
  <si>
    <t>18.60</t>
  </si>
  <si>
    <t>23.00</t>
  </si>
  <si>
    <t>4.40</t>
  </si>
  <si>
    <t>16.00</t>
  </si>
  <si>
    <t>1.22</t>
  </si>
  <si>
    <t>25.99</t>
  </si>
  <si>
    <t>3.65</t>
  </si>
  <si>
    <t>11.84</t>
  </si>
  <si>
    <t>40.00</t>
  </si>
  <si>
    <t>7.21</t>
  </si>
  <si>
    <t>ALFA CONSORC-PNE</t>
  </si>
  <si>
    <t>3.80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</si>
  <si>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</si>
  <si>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</si>
  <si>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</si>
  <si>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</si>
  <si>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</si>
  <si>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</si>
  <si>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</si>
  <si>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</si>
  <si>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10.68</t>
  </si>
  <si>
    <t xml:space="preserve">BRB BANCO   -ON  </t>
  </si>
  <si>
    <t xml:space="preserve">BRB BANCO   -PN  </t>
  </si>
  <si>
    <t>17.09</t>
  </si>
  <si>
    <t>17.60</t>
  </si>
  <si>
    <t>18.11</t>
  </si>
  <si>
    <t>19.30</t>
  </si>
  <si>
    <t>22.00</t>
  </si>
  <si>
    <t>13.74</t>
  </si>
  <si>
    <t>48.09</t>
  </si>
  <si>
    <t>48.49</t>
  </si>
  <si>
    <t>48.55</t>
  </si>
  <si>
    <t>48.02</t>
  </si>
  <si>
    <t>1.56</t>
  </si>
  <si>
    <t>1.79</t>
  </si>
  <si>
    <t>10.99</t>
  </si>
  <si>
    <t>9.72</t>
  </si>
  <si>
    <t>3.39</t>
  </si>
  <si>
    <t>15.50</t>
  </si>
  <si>
    <t>61.50</t>
  </si>
  <si>
    <t>0.10</t>
  </si>
  <si>
    <t>9.55</t>
  </si>
  <si>
    <t>12.52</t>
  </si>
  <si>
    <t>7.92</t>
  </si>
  <si>
    <t>11.30</t>
  </si>
  <si>
    <t xml:space="preserve">CELUL IRANI -ON  </t>
  </si>
  <si>
    <t>3.30</t>
  </si>
  <si>
    <t xml:space="preserve">CELUL IRANI -PN  </t>
  </si>
  <si>
    <t>ALFA HOLDING-PNA</t>
  </si>
  <si>
    <t>5.19</t>
  </si>
  <si>
    <t>2.84</t>
  </si>
  <si>
    <t>5.13</t>
  </si>
  <si>
    <t>2.78</t>
  </si>
  <si>
    <t>17.51</t>
  </si>
  <si>
    <t>0.65</t>
  </si>
  <si>
    <t>0.47</t>
  </si>
  <si>
    <t>17.10</t>
  </si>
  <si>
    <t>22.60</t>
  </si>
  <si>
    <t>1.19</t>
  </si>
  <si>
    <t>19.71</t>
  </si>
  <si>
    <t>1.24</t>
  </si>
  <si>
    <t>3.99</t>
  </si>
  <si>
    <t>ALFA FINANC -PN</t>
  </si>
  <si>
    <t>3.54</t>
  </si>
  <si>
    <t>7.02</t>
  </si>
  <si>
    <t>16.49</t>
  </si>
  <si>
    <t>17.01</t>
  </si>
  <si>
    <t>4.79</t>
  </si>
  <si>
    <t xml:space="preserve">MONT ARANHA -ON  </t>
  </si>
  <si>
    <t>156.00</t>
  </si>
  <si>
    <t>8.22</t>
  </si>
  <si>
    <t>89.05</t>
  </si>
  <si>
    <t>14.31</t>
  </si>
  <si>
    <t>7.29</t>
  </si>
  <si>
    <t>47.00</t>
  </si>
  <si>
    <t>7.40</t>
  </si>
  <si>
    <t>4.70</t>
  </si>
  <si>
    <t>10.40</t>
  </si>
  <si>
    <t>10.17</t>
  </si>
  <si>
    <t>19.03</t>
  </si>
  <si>
    <t>0.34</t>
  </si>
  <si>
    <t>0.20</t>
  </si>
  <si>
    <t>9.75</t>
  </si>
  <si>
    <t>15.01</t>
  </si>
  <si>
    <t>15.35</t>
  </si>
  <si>
    <t>Row Labels</t>
  </si>
  <si>
    <t>Grand Total</t>
  </si>
  <si>
    <t>12.25</t>
  </si>
  <si>
    <t>7.10</t>
  </si>
  <si>
    <t>22.41</t>
  </si>
  <si>
    <t>13.25</t>
  </si>
  <si>
    <t>9.40</t>
  </si>
  <si>
    <t>9.65</t>
  </si>
  <si>
    <t>16.02</t>
  </si>
  <si>
    <t>8.02</t>
  </si>
  <si>
    <t>8.05</t>
  </si>
  <si>
    <t>28.81</t>
  </si>
  <si>
    <t>9.25</t>
  </si>
  <si>
    <t>9.35</t>
  </si>
  <si>
    <t>9.23</t>
  </si>
  <si>
    <t>9.58</t>
  </si>
  <si>
    <t>35.30</t>
  </si>
  <si>
    <t>11.91</t>
  </si>
  <si>
    <t>20.47</t>
  </si>
  <si>
    <t>7.95</t>
  </si>
  <si>
    <t>4.49</t>
  </si>
  <si>
    <t>4.47</t>
  </si>
  <si>
    <t>8.60</t>
  </si>
  <si>
    <t>33.00</t>
  </si>
  <si>
    <t>30.77</t>
  </si>
  <si>
    <t>2.80</t>
  </si>
  <si>
    <t>3.85</t>
  </si>
  <si>
    <t>12.19</t>
  </si>
  <si>
    <t>1.01</t>
  </si>
  <si>
    <t>18.20</t>
  </si>
  <si>
    <t>Consumo não Cíclico / Produtos de Uso Pessoal e de Limpeza / Produtos de Uso Pessoal</t>
  </si>
  <si>
    <t>NATU3</t>
  </si>
  <si>
    <t>0.35</t>
  </si>
  <si>
    <t>11.31</t>
  </si>
  <si>
    <t>13.64</t>
  </si>
  <si>
    <t>3.96</t>
  </si>
  <si>
    <t>3.90</t>
  </si>
  <si>
    <t>0.07</t>
  </si>
  <si>
    <t>7.97</t>
  </si>
  <si>
    <t>6.96</t>
  </si>
  <si>
    <t>6.90</t>
  </si>
  <si>
    <t>8.92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</si>
  <si>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</si>
  <si>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</si>
  <si>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</si>
  <si>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</si>
  <si>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</si>
  <si>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</si>
  <si>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6.27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</si>
  <si>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</si>
  <si>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</si>
  <si>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</si>
  <si>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</si>
  <si>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</si>
  <si>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</si>
  <si>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</si>
  <si>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</si>
  <si>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</si>
  <si>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>1.38</t>
  </si>
  <si>
    <t xml:space="preserve">B2W DIGITAL -ON  </t>
  </si>
  <si>
    <t>HYPE3</t>
  </si>
  <si>
    <t xml:space="preserve">HYPERMARCAS -ON  </t>
  </si>
  <si>
    <t>15.55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</si>
  <si>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</si>
  <si>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</si>
  <si>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</si>
  <si>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</si>
  <si>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</si>
  <si>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</si>
  <si>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</si>
  <si>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</si>
  <si>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</si>
  <si>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188.00</t>
  </si>
  <si>
    <t>190.00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</si>
  <si>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</si>
  <si>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</si>
  <si>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</si>
  <si>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</si>
  <si>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</si>
  <si>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</si>
  <si>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</si>
  <si>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</si>
  <si>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</si>
  <si>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</si>
  <si>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0.36</t>
  </si>
  <si>
    <t>AMBEV S/A   -ON</t>
  </si>
  <si>
    <t>11.60</t>
  </si>
  <si>
    <t>0.54</t>
  </si>
  <si>
    <t>CLAN3</t>
  </si>
  <si>
    <t>CLAN4</t>
  </si>
  <si>
    <t>16.22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</si>
  <si>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</si>
  <si>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</si>
  <si>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</si>
  <si>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</si>
  <si>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</si>
  <si>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</si>
  <si>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</si>
  <si>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</si>
  <si>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</si>
  <si>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9.90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</si>
  <si>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</si>
  <si>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</si>
  <si>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</si>
  <si>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</si>
  <si>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</si>
  <si>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</si>
  <si>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10.65</t>
  </si>
  <si>
    <t>16.16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</si>
  <si>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</si>
  <si>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</si>
  <si>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</si>
  <si>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14.30</t>
  </si>
  <si>
    <t>15.77</t>
  </si>
  <si>
    <t>IGUA3</t>
  </si>
  <si>
    <t>IGUA5</t>
  </si>
  <si>
    <t>IGUA6</t>
  </si>
  <si>
    <t>IGUACU CAFE -ON</t>
  </si>
  <si>
    <t>3.75</t>
  </si>
  <si>
    <t>IGUACU CAFE -PNA</t>
  </si>
  <si>
    <t>2.86</t>
  </si>
  <si>
    <t>IGUACU CAFE -PNB</t>
  </si>
  <si>
    <t>Cotação 4</t>
  </si>
  <si>
    <t>MDIA3</t>
  </si>
  <si>
    <t>BSEV3</t>
  </si>
  <si>
    <t xml:space="preserve">BIOSEV      -ON  </t>
  </si>
  <si>
    <t>9.95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</si>
  <si>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</si>
  <si>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</si>
  <si>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</si>
  <si>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</si>
  <si>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</si>
  <si>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</si>
  <si>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</si>
  <si>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</si>
  <si>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</si>
  <si>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>27.10</t>
  </si>
  <si>
    <t>3.11</t>
  </si>
  <si>
    <t>3.14</t>
  </si>
  <si>
    <t>0.16</t>
  </si>
  <si>
    <t>17.68</t>
  </si>
  <si>
    <t>17.49</t>
  </si>
  <si>
    <t xml:space="preserve">CVC BRASIL  -ON  </t>
  </si>
  <si>
    <t>13.34</t>
  </si>
  <si>
    <t>AHEB3</t>
  </si>
  <si>
    <t>AHEB5</t>
  </si>
  <si>
    <t>AHEB6</t>
  </si>
  <si>
    <t>3.16</t>
  </si>
  <si>
    <t>17.50</t>
  </si>
  <si>
    <t>13.15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</si>
  <si>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</si>
  <si>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</si>
  <si>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</si>
  <si>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</si>
  <si>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</si>
  <si>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</si>
  <si>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</si>
  <si>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>13.21</t>
  </si>
  <si>
    <t xml:space="preserve">TIME FOR FUN-ON  </t>
  </si>
  <si>
    <t>4.36</t>
  </si>
  <si>
    <t>BMKS3</t>
  </si>
  <si>
    <t>BIC MONARK  -ON</t>
  </si>
  <si>
    <t>340.00</t>
  </si>
  <si>
    <t>341.00</t>
  </si>
  <si>
    <t>350.00</t>
  </si>
  <si>
    <t>Consumo Cíclico / Viagens e Lazer / Bicicletas</t>
  </si>
  <si>
    <t>Consumo Cíclico / Utilidades Domésticas / Móveis</t>
  </si>
  <si>
    <t>UCAS3</t>
  </si>
  <si>
    <t>4.41</t>
  </si>
  <si>
    <t xml:space="preserve">UNICASA     -ON  </t>
  </si>
  <si>
    <t>4.80</t>
  </si>
  <si>
    <t>4.96</t>
  </si>
  <si>
    <t>Consumo Cíclico / Utilidades Domésticas / Eletrodomésticos</t>
  </si>
  <si>
    <t>WHRL3</t>
  </si>
  <si>
    <t>WHRL4</t>
  </si>
  <si>
    <t>WHIRLPOOL   -ON</t>
  </si>
  <si>
    <t>WHIRLPOOL   -PN</t>
  </si>
  <si>
    <t>4.05</t>
  </si>
  <si>
    <t>BMTO3</t>
  </si>
  <si>
    <t>BMTO4</t>
  </si>
  <si>
    <t>26.94</t>
  </si>
  <si>
    <t>26.92</t>
  </si>
  <si>
    <t>13.24</t>
  </si>
  <si>
    <t>BRASMOTOR   -ON</t>
  </si>
  <si>
    <t>BRASMOTOR   -PN</t>
  </si>
  <si>
    <t>0.80</t>
  </si>
  <si>
    <t>MGLU3</t>
  </si>
  <si>
    <t xml:space="preserve">MAGAZ LUIZA -ON  </t>
  </si>
  <si>
    <t>7.98</t>
  </si>
  <si>
    <t>VVAR11</t>
  </si>
  <si>
    <t>VVAR3</t>
  </si>
  <si>
    <t>VVAR4</t>
  </si>
  <si>
    <t>7.99</t>
  </si>
  <si>
    <t xml:space="preserve">VIAVAREJO   -UNT </t>
  </si>
  <si>
    <t>24.55</t>
  </si>
  <si>
    <t>24.73</t>
  </si>
  <si>
    <t>24.20</t>
  </si>
  <si>
    <t xml:space="preserve">VIAVAREJO   -ON  </t>
  </si>
  <si>
    <t>6.20</t>
  </si>
  <si>
    <t>6.22</t>
  </si>
  <si>
    <t xml:space="preserve">VIAVAREJO   -PN  </t>
  </si>
  <si>
    <t>IGBR3</t>
  </si>
  <si>
    <t>17.45</t>
  </si>
  <si>
    <t>IGB S/A     -ON</t>
  </si>
  <si>
    <t>3.84</t>
  </si>
  <si>
    <t>3.81</t>
  </si>
  <si>
    <t>HGTX3</t>
  </si>
  <si>
    <t>26.93</t>
  </si>
  <si>
    <t xml:space="preserve">CIA HERING  -ON  </t>
  </si>
  <si>
    <t>25.42</t>
  </si>
  <si>
    <t>25.54</t>
  </si>
  <si>
    <t>24.76</t>
  </si>
  <si>
    <t>Consumo Cíclico / Tecidos. Vestuário e Calçados / Fios e Tecidos</t>
  </si>
  <si>
    <t>CEDO3</t>
  </si>
  <si>
    <t>CEDO4</t>
  </si>
  <si>
    <t>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</t>
  </si>
  <si>
    <t>17.46</t>
  </si>
  <si>
    <t>24.33</t>
  </si>
  <si>
    <t>24.86</t>
  </si>
  <si>
    <t xml:space="preserve">CEDRO       -ON  </t>
  </si>
  <si>
    <t xml:space="preserve">CEDRO       -PN  </t>
  </si>
  <si>
    <t>11.10</t>
  </si>
  <si>
    <t>7.68</t>
  </si>
  <si>
    <t>22.24</t>
  </si>
  <si>
    <t>21.87</t>
  </si>
  <si>
    <t>21.77</t>
  </si>
  <si>
    <t>28.48</t>
  </si>
  <si>
    <t>28.13</t>
  </si>
  <si>
    <t>28.62</t>
  </si>
  <si>
    <t>28.02</t>
  </si>
  <si>
    <t>26.39</t>
  </si>
  <si>
    <t>26.17</t>
  </si>
  <si>
    <t>26.48</t>
  </si>
  <si>
    <t>26.06</t>
  </si>
  <si>
    <t>0.42</t>
  </si>
  <si>
    <t>41.39</t>
  </si>
  <si>
    <t>41.50</t>
  </si>
  <si>
    <t>7.20</t>
  </si>
  <si>
    <t>7.16</t>
  </si>
  <si>
    <t>5.66</t>
  </si>
  <si>
    <t>10.51</t>
  </si>
  <si>
    <t>10.48</t>
  </si>
  <si>
    <t>10.31</t>
  </si>
  <si>
    <t>19.45</t>
  </si>
  <si>
    <t>22.75</t>
  </si>
  <si>
    <t>22.68</t>
  </si>
  <si>
    <t>22.90</t>
  </si>
  <si>
    <t>15.52</t>
  </si>
  <si>
    <t>13.18</t>
  </si>
  <si>
    <t>13.39</t>
  </si>
  <si>
    <t>13.05</t>
  </si>
  <si>
    <t>13.11</t>
  </si>
  <si>
    <t>12.91</t>
  </si>
  <si>
    <t>47.72</t>
  </si>
  <si>
    <t>47.90</t>
  </si>
  <si>
    <t>48.00</t>
  </si>
  <si>
    <t>17.74</t>
  </si>
  <si>
    <t>17.78</t>
  </si>
  <si>
    <t>17.82</t>
  </si>
  <si>
    <t>18.90</t>
  </si>
  <si>
    <t>18.69</t>
  </si>
  <si>
    <t>18.91</t>
  </si>
  <si>
    <t>25.90</t>
  </si>
  <si>
    <t>25.98</t>
  </si>
  <si>
    <t>26.18</t>
  </si>
  <si>
    <t>25.74</t>
  </si>
  <si>
    <t>31.35</t>
  </si>
  <si>
    <t>32.86</t>
  </si>
  <si>
    <t>33.18</t>
  </si>
  <si>
    <t>7.58</t>
  </si>
  <si>
    <t>7.67</t>
  </si>
  <si>
    <t>5.03</t>
  </si>
  <si>
    <t>5.08</t>
  </si>
  <si>
    <t>4.99</t>
  </si>
  <si>
    <t>9.30</t>
  </si>
  <si>
    <t>9.31</t>
  </si>
  <si>
    <t>8.68</t>
  </si>
  <si>
    <t>8.74</t>
  </si>
  <si>
    <t>8.79</t>
  </si>
  <si>
    <t>9.28</t>
  </si>
  <si>
    <t>9.19</t>
  </si>
  <si>
    <t>2.25</t>
  </si>
  <si>
    <t>2.11</t>
  </si>
  <si>
    <t>14.90</t>
  </si>
  <si>
    <t>21.88</t>
  </si>
  <si>
    <t>21.49</t>
  </si>
  <si>
    <t>21.97</t>
  </si>
  <si>
    <t>21.38</t>
  </si>
  <si>
    <t>12.60</t>
  </si>
  <si>
    <t>15.80</t>
  </si>
  <si>
    <t>15.82</t>
  </si>
  <si>
    <t>15.92</t>
  </si>
  <si>
    <t>17.33</t>
  </si>
  <si>
    <t>17.40</t>
  </si>
  <si>
    <t>9.17</t>
  </si>
  <si>
    <t>9.34</t>
  </si>
  <si>
    <t>8.78</t>
  </si>
  <si>
    <t>8.65</t>
  </si>
  <si>
    <t>8.81</t>
  </si>
  <si>
    <t>29.07</t>
  </si>
  <si>
    <t>28.93</t>
  </si>
  <si>
    <t>29.16</t>
  </si>
  <si>
    <t>32.00</t>
  </si>
  <si>
    <t>31.58</t>
  </si>
  <si>
    <t>31.36</t>
  </si>
  <si>
    <t>12.12</t>
  </si>
  <si>
    <t>12.14</t>
  </si>
  <si>
    <t>11.85</t>
  </si>
  <si>
    <t>18.13</t>
  </si>
  <si>
    <t>17.72</t>
  </si>
  <si>
    <t>8.08</t>
  </si>
  <si>
    <t>8.14</t>
  </si>
  <si>
    <t>29.40</t>
  </si>
  <si>
    <t>29.51</t>
  </si>
  <si>
    <t>29.56</t>
  </si>
  <si>
    <t>29.14</t>
  </si>
  <si>
    <t>3.32</t>
  </si>
  <si>
    <t>3.68</t>
  </si>
  <si>
    <t>5.42</t>
  </si>
  <si>
    <t>2.38</t>
  </si>
  <si>
    <t>2.26</t>
  </si>
  <si>
    <t>4.98</t>
  </si>
  <si>
    <t>22.32</t>
  </si>
  <si>
    <t>23.34</t>
  </si>
  <si>
    <t>23.74</t>
  </si>
  <si>
    <t>22.15</t>
  </si>
  <si>
    <t>2.79</t>
  </si>
  <si>
    <t>9.10</t>
  </si>
  <si>
    <t>9.07</t>
  </si>
  <si>
    <t>9.15</t>
  </si>
  <si>
    <t>17.38</t>
  </si>
  <si>
    <t>34.81</t>
  </si>
  <si>
    <t>34.46</t>
  </si>
  <si>
    <t>34.34</t>
  </si>
  <si>
    <t>23.28</t>
  </si>
  <si>
    <t>23.18</t>
  </si>
  <si>
    <t>23.49</t>
  </si>
  <si>
    <t>17.17</t>
  </si>
  <si>
    <t>17.13</t>
  </si>
  <si>
    <t>17.26</t>
  </si>
  <si>
    <t>17.07</t>
  </si>
  <si>
    <t>16.10</t>
  </si>
  <si>
    <t>16.15</t>
  </si>
  <si>
    <t>16.36</t>
  </si>
  <si>
    <t>16.07</t>
  </si>
  <si>
    <t>5.20</t>
  </si>
  <si>
    <t>24.50</t>
  </si>
  <si>
    <t>24.39</t>
  </si>
  <si>
    <t>24.60</t>
  </si>
  <si>
    <t>23.87</t>
  </si>
  <si>
    <t>18.48</t>
  </si>
  <si>
    <t>18.24</t>
  </si>
  <si>
    <t>21.80</t>
  </si>
  <si>
    <t>21.68</t>
  </si>
  <si>
    <t>21.95</t>
  </si>
  <si>
    <t>21.61</t>
  </si>
  <si>
    <t>41.12</t>
  </si>
  <si>
    <t>40.53</t>
  </si>
  <si>
    <t>41.24</t>
  </si>
  <si>
    <t>40.09</t>
  </si>
  <si>
    <t>17.90</t>
  </si>
  <si>
    <t>17.79</t>
  </si>
  <si>
    <t>13.35</t>
  </si>
  <si>
    <t>17.84</t>
  </si>
  <si>
    <t>17.93</t>
  </si>
  <si>
    <t>17.43</t>
  </si>
  <si>
    <t>16.08</t>
  </si>
  <si>
    <t>16.25</t>
  </si>
  <si>
    <t>16.68</t>
  </si>
  <si>
    <t>16.93</t>
  </si>
  <si>
    <t>16.61</t>
  </si>
  <si>
    <t>19.31</t>
  </si>
  <si>
    <t>65.05</t>
  </si>
  <si>
    <t>64.99</t>
  </si>
  <si>
    <t>65.14</t>
  </si>
  <si>
    <t>64.50</t>
  </si>
  <si>
    <t>12.50</t>
  </si>
  <si>
    <t>3.53</t>
  </si>
  <si>
    <t>35.11</t>
  </si>
  <si>
    <t>34.63</t>
  </si>
  <si>
    <t>34.38</t>
  </si>
  <si>
    <t>24.57</t>
  </si>
  <si>
    <t>24.77</t>
  </si>
  <si>
    <t>24.82</t>
  </si>
  <si>
    <t>24.54</t>
  </si>
  <si>
    <t>11.72</t>
  </si>
  <si>
    <t>11.69</t>
  </si>
  <si>
    <t>11.52</t>
  </si>
  <si>
    <t>9.80</t>
  </si>
  <si>
    <t>7.91</t>
  </si>
  <si>
    <t>7.83</t>
  </si>
  <si>
    <t>7.82</t>
  </si>
  <si>
    <t>5.91</t>
  </si>
  <si>
    <t>5.89</t>
  </si>
  <si>
    <t>5.98</t>
  </si>
  <si>
    <t>20.46</t>
  </si>
  <si>
    <t>20.41</t>
  </si>
  <si>
    <t>20.68</t>
  </si>
  <si>
    <t>20.31</t>
  </si>
  <si>
    <t>7.88</t>
  </si>
  <si>
    <t>7.86</t>
  </si>
  <si>
    <t>4.56</t>
  </si>
  <si>
    <t>4.48</t>
  </si>
  <si>
    <t>4.64</t>
  </si>
  <si>
    <t>5.27</t>
  </si>
  <si>
    <t>5.18</t>
  </si>
  <si>
    <t>44.26</t>
  </si>
  <si>
    <t>43.81</t>
  </si>
  <si>
    <t>44.79</t>
  </si>
  <si>
    <t>43.54</t>
  </si>
  <si>
    <t>4.63</t>
  </si>
  <si>
    <t>4.60</t>
  </si>
  <si>
    <t>4.67</t>
  </si>
  <si>
    <t>4.25</t>
  </si>
  <si>
    <t>4.31</t>
  </si>
  <si>
    <t>4.20</t>
  </si>
  <si>
    <t>20.50</t>
  </si>
  <si>
    <t>13.75</t>
  </si>
  <si>
    <t>13.83</t>
  </si>
  <si>
    <t>14.71</t>
  </si>
  <si>
    <t>14.79</t>
  </si>
  <si>
    <t>14.82</t>
  </si>
  <si>
    <t>14.64</t>
  </si>
  <si>
    <t>8.20</t>
  </si>
  <si>
    <t>8.15</t>
  </si>
  <si>
    <t>8.29</t>
  </si>
  <si>
    <t>8.16</t>
  </si>
  <si>
    <t>8.47</t>
  </si>
  <si>
    <t>8.09</t>
  </si>
  <si>
    <t>33.14</t>
  </si>
  <si>
    <t>33.42</t>
  </si>
  <si>
    <t>15.16</t>
  </si>
  <si>
    <t>15.04</t>
  </si>
  <si>
    <t>14.20</t>
  </si>
  <si>
    <t>14.19</t>
  </si>
  <si>
    <t>14.08</t>
  </si>
  <si>
    <t>2.24</t>
  </si>
  <si>
    <t>2.29</t>
  </si>
  <si>
    <t>2.23</t>
  </si>
  <si>
    <t>12.84</t>
  </si>
  <si>
    <t>12.63</t>
  </si>
  <si>
    <t>12.35</t>
  </si>
  <si>
    <t>14.32</t>
  </si>
  <si>
    <t>51.74</t>
  </si>
  <si>
    <t>51.33</t>
  </si>
  <si>
    <t>51.97</t>
  </si>
  <si>
    <t>51.02</t>
  </si>
  <si>
    <t>30.71</t>
  </si>
  <si>
    <t>30.51</t>
  </si>
  <si>
    <t>30.37</t>
  </si>
  <si>
    <t>39.70</t>
  </si>
  <si>
    <t>39.28</t>
  </si>
  <si>
    <t>39.20</t>
  </si>
  <si>
    <t>45.50</t>
  </si>
  <si>
    <t>45.43</t>
  </si>
  <si>
    <t>45.71</t>
  </si>
  <si>
    <t>45.05</t>
  </si>
  <si>
    <t>2.66</t>
  </si>
  <si>
    <t>2.69</t>
  </si>
  <si>
    <t>2.74</t>
  </si>
  <si>
    <t>0.96</t>
  </si>
  <si>
    <t>0.93</t>
  </si>
  <si>
    <t>44.50</t>
  </si>
  <si>
    <t>51.48</t>
  </si>
  <si>
    <t>51.79</t>
  </si>
  <si>
    <t>51.80</t>
  </si>
  <si>
    <t>0.19</t>
  </si>
  <si>
    <t>0.21</t>
  </si>
  <si>
    <t>6.91</t>
  </si>
  <si>
    <t>1.54</t>
  </si>
  <si>
    <t>5.15</t>
  </si>
  <si>
    <t>3.70</t>
  </si>
  <si>
    <t>11.49</t>
  </si>
  <si>
    <t>11.63</t>
  </si>
  <si>
    <t>11.45</t>
  </si>
  <si>
    <t>1.37</t>
  </si>
  <si>
    <t>41.99</t>
  </si>
  <si>
    <t>2.55</t>
  </si>
  <si>
    <t>2.53</t>
  </si>
  <si>
    <t>32.12</t>
  </si>
  <si>
    <t>32.04</t>
  </si>
  <si>
    <t>32.13</t>
  </si>
  <si>
    <t>31.93</t>
  </si>
  <si>
    <t>2.72</t>
  </si>
  <si>
    <t>11.35</t>
  </si>
  <si>
    <t>11.43</t>
  </si>
  <si>
    <t>11.12</t>
  </si>
  <si>
    <t>10.70</t>
  </si>
  <si>
    <t>10.82</t>
  </si>
  <si>
    <t>10.63</t>
  </si>
  <si>
    <t>11.79</t>
  </si>
  <si>
    <t>11.64</t>
  </si>
  <si>
    <t>13.30</t>
  </si>
  <si>
    <t>16.53</t>
  </si>
  <si>
    <t>16.40</t>
  </si>
  <si>
    <t>16.58</t>
  </si>
  <si>
    <t>16.24</t>
  </si>
  <si>
    <t>16.80</t>
  </si>
  <si>
    <t>20.42</t>
  </si>
  <si>
    <t>20.52</t>
  </si>
  <si>
    <t>20.11</t>
  </si>
  <si>
    <t>0.55</t>
  </si>
  <si>
    <t>3.88</t>
  </si>
  <si>
    <t>3.92</t>
  </si>
  <si>
    <t>1.07</t>
  </si>
  <si>
    <t>1.09</t>
  </si>
  <si>
    <t>1.11</t>
  </si>
  <si>
    <t>1.06</t>
  </si>
  <si>
    <t>2.85</t>
  </si>
  <si>
    <t>2.91</t>
  </si>
  <si>
    <t>2.95</t>
  </si>
  <si>
    <t>0.76</t>
  </si>
  <si>
    <t>0.74</t>
  </si>
  <si>
    <t>25.96</t>
  </si>
  <si>
    <t>26.47</t>
  </si>
  <si>
    <t>25.56</t>
  </si>
  <si>
    <t>60.49</t>
  </si>
  <si>
    <t>59.03</t>
  </si>
  <si>
    <t>61.00</t>
  </si>
  <si>
    <t>58.66</t>
  </si>
  <si>
    <t>0.77</t>
  </si>
  <si>
    <t>0.78</t>
  </si>
  <si>
    <t>7.78</t>
  </si>
  <si>
    <t>7.00</t>
  </si>
  <si>
    <t>3.52</t>
  </si>
  <si>
    <t>3.64</t>
  </si>
  <si>
    <t>3.46</t>
  </si>
  <si>
    <t>15.20</t>
  </si>
  <si>
    <t>15.38</t>
  </si>
  <si>
    <t>18.03</t>
  </si>
  <si>
    <t>18.08</t>
  </si>
  <si>
    <t>18.35</t>
  </si>
  <si>
    <t>17.98</t>
  </si>
  <si>
    <t>8.95</t>
  </si>
  <si>
    <t>8.98</t>
  </si>
  <si>
    <t>8.99</t>
  </si>
  <si>
    <t>20.61</t>
  </si>
  <si>
    <t>20.67</t>
  </si>
  <si>
    <t>20.26</t>
  </si>
  <si>
    <t>15.24</t>
  </si>
  <si>
    <t>39.05</t>
  </si>
  <si>
    <t>38.78</t>
  </si>
  <si>
    <t>39.41</t>
  </si>
  <si>
    <t>38.70</t>
  </si>
  <si>
    <t>20.24</t>
  </si>
  <si>
    <t>20.16</t>
  </si>
  <si>
    <t>19.90</t>
  </si>
  <si>
    <t>12.46</t>
  </si>
  <si>
    <t>12.47</t>
  </si>
  <si>
    <t>14.57</t>
  </si>
  <si>
    <t>14.18</t>
  </si>
  <si>
    <t>23.05</t>
  </si>
  <si>
    <t>22.89</t>
  </si>
  <si>
    <t>23.16</t>
  </si>
  <si>
    <t>22.70</t>
  </si>
  <si>
    <t>15.46</t>
  </si>
  <si>
    <t>15.49</t>
  </si>
  <si>
    <t>14.25</t>
  </si>
  <si>
    <t>14.13</t>
  </si>
  <si>
    <t>4.82</t>
  </si>
  <si>
    <t>4.74</t>
  </si>
  <si>
    <t>180.01</t>
  </si>
  <si>
    <t>185.00</t>
  </si>
  <si>
    <t>15.98</t>
  </si>
  <si>
    <t>16.06</t>
  </si>
  <si>
    <t>15.96</t>
  </si>
  <si>
    <t>93.84</t>
  </si>
  <si>
    <t>93.98</t>
  </si>
  <si>
    <t>94.69</t>
  </si>
  <si>
    <t>93.26</t>
  </si>
  <si>
    <t>16.27</t>
  </si>
  <si>
    <t>10.41</t>
  </si>
  <si>
    <t>10.20</t>
  </si>
  <si>
    <t>10.57</t>
  </si>
  <si>
    <t>10.16</t>
  </si>
  <si>
    <t>3.91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</si>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</sst>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70" formatCode="_-* #,##0.0000_-;\-* #,##0.0000_-;_-* &quot;-&quot;??_-;_-@_-"/>
    <numFmt numFmtId="173" formatCode="0.0000%"/>
    <numFmt numFmtId="174" formatCode="_-&quot;R$&quot;\ * #,##0.0000_-;\-&quot;R$&quot;\ * #,##0.0000_-;_-&quot;R$&quot;\ * &quot;-&quot;??_-;_-@_-"/>
    <numFmt numFmtId="176" formatCode="d/m/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73" fontId="2" fillId="0" borderId="0" xfId="3" applyNumberFormat="1" applyFont="1"/>
    <xf numFmtId="44" fontId="0" fillId="0" borderId="0" xfId="0" applyNumberForma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44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165" fontId="2" fillId="0" borderId="0" xfId="2" applyNumberFormat="1" applyFont="1" applyBorder="1"/>
    <xf numFmtId="165" fontId="4" fillId="0" borderId="0" xfId="2" applyNumberFormat="1" applyFont="1" applyBorder="1"/>
    <xf numFmtId="165" fontId="2" fillId="0" borderId="0" xfId="3" applyNumberFormat="1" applyFont="1"/>
    <xf numFmtId="165" fontId="2" fillId="0" borderId="0" xfId="1" applyNumberFormat="1" applyFont="1" applyBorder="1"/>
    <xf numFmtId="165" fontId="2" fillId="0" borderId="0" xfId="3" applyNumberFormat="1" applyFont="1" applyBorder="1"/>
    <xf numFmtId="165" fontId="2" fillId="0" borderId="0" xfId="0" applyNumberFormat="1" applyFont="1" applyBorder="1"/>
    <xf numFmtId="165" fontId="4" fillId="0" borderId="0" xfId="2" applyNumberFormat="1" applyFont="1"/>
    <xf numFmtId="176" fontId="2" fillId="0" borderId="0" xfId="2" applyNumberFormat="1" applyFont="1"/>
    <xf numFmtId="8" fontId="2" fillId="0" borderId="0" xfId="0" applyNumberFormat="1" applyFont="1"/>
    <xf numFmtId="165" fontId="2" fillId="0" borderId="2" xfId="2" applyNumberFormat="1" applyFont="1" applyBorder="1"/>
    <xf numFmtId="44" fontId="2" fillId="0" borderId="2" xfId="2" applyFont="1" applyBorder="1"/>
    <xf numFmtId="0" fontId="12" fillId="0" borderId="0" xfId="0" applyFont="1"/>
    <xf numFmtId="44" fontId="0" fillId="0" borderId="0" xfId="2" applyFont="1"/>
    <xf numFmtId="9" fontId="12" fillId="0" borderId="0" xfId="0" applyNumberFormat="1" applyFont="1"/>
    <xf numFmtId="44" fontId="12" fillId="0" borderId="0" xfId="2" applyFont="1"/>
    <xf numFmtId="166" fontId="0" fillId="0" borderId="0" xfId="1" applyNumberFormat="1" applyFont="1"/>
    <xf numFmtId="10" fontId="0" fillId="0" borderId="0" xfId="3" applyNumberFormat="1" applyFon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165">
      <sharedItems containsSemiMixedTypes="0" containsString="0" containsNumber="1" minValue="315.86" maxValue="940.06"/>
    </cacheField>
    <cacheField name="Taxas" numFmtId="165">
      <sharedItems containsSemiMixedTypes="0" containsString="0" containsNumber="1" containsInteger="1" minValue="0" maxValue="0"/>
    </cacheField>
    <cacheField name="Resgates" numFmtId="165">
      <sharedItems containsSemiMixedTypes="0" containsString="0" containsNumber="1" containsInteger="1" minValue="0" maxValue="0"/>
    </cacheField>
    <cacheField name="Dividendo" numFmtId="165">
      <sharedItems containsSemiMixedTypes="0" containsString="0" containsNumber="1" containsInteger="1" minValue="0" maxValue="0"/>
    </cacheField>
    <cacheField name="JPC" numFmtId="44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70">
      <sharedItems containsSemiMixedTypes="0" containsString="0" containsNumber="1" minValue="0.52643333333333331" maxValue="9.400599999999999"/>
    </cacheField>
    <cacheField name="Lucro p/ Ação" numFmtId="170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/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8" connectionId="19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04" connectionId="2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33" connectionId="3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40" connectionId="38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1" connectionId="10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33" connectionId="64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17" connectionId="23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55" connectionId="60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60" connectionId="62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61" connectionId="42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" connectionId="8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28" connectionId="31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90" connectionId="7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" connectionId="73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11" connectionId="25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8" connectionId="7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7" connectionId="6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37" connectionId="3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67" connectionId="65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43" connectionId="5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42" connectionId="12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87" connectionId="8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03" connectionId="67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31" connectionId="4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94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" connectionId="81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9" connectionId="67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59" connectionId="38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83" connectionId="7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3" connectionId="1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9" connectionId="6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05" connectionId="2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3" connectionId="80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50" connectionId="66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02" connectionId="20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68" connectionId="65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01" connectionId="20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75" connectionId="6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47" connectionId="57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34" connectionId="48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47" connectionId="2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22" connectionId="29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90" connectionId="9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66" connectionId="50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32" connectionId="3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97" connectionId="1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" connectionId="8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22" connectionId="3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89" connectionId="8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24" connectionId="3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09" connectionId="24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15" connectionId="19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41" connectionId="5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15" connectionId="2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" connectionId="74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47" connectionId="44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73" connectionId="67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44" connectionId="39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58" connectionId="37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41" connectionId="38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61" connectionId="6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52" connectionId="28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45" connectionId="56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25" connectionId="3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63" connectionId="63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20" connectionId="80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19" connectionId="25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53" connectionId="30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13" connectionId="2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37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23" connectionId="31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58" connectionId="61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07" connectionId="5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0" connectionId="40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31" connectionId="5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91" connectionId="9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71" connectionId="66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69" connectionId="65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88" connectionId="8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56" connectionId="60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29" connectionId="32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30" connectionId="49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52" connectionId="59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30" connectionId="42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24" connectionId="30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55" connectionId="3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66" connectionId="6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26" connectionId="31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5" connectionId="7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10" connectionId="10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56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4" connectionId="77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6" connectionId="2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38" connectionId="54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72" connectionId="66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72" connectionId="56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21" connectionId="28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6" connectionId="68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54" connectionId="60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55" connectionId="32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45" connectionId="39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3" connectionId="14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51" connectionId="72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98" connectionId="15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51" connectionId="27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38" connectionId="5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07" connectionId="24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62" connectionId="63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5" connectionId="71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71" connectionId="49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4" connectionId="34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2" connectionId="73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44" connectionId="56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65" connectionId="64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16" connectionId="21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08" connectionId="7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8" connectionId="19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18" connectionId="24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43" connectionId="38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56" connectionId="34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13" connectionId="16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38" connectionId="35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62" connectionId="43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5" connectionId="80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15" connectionId="75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6" connectionId="75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65" connectionId="48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7" connectionId="60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49" connectionId="56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70" connectionId="66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40" connectionId="55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93" connectionId="10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29" connectionId="40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00" connectionId="19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98" connectionId="34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78" connectionId="69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86" connectionId="7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79" connectionId="69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20" connectionId="29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25" connectionId="30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39" connectionId="5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4" connectionId="46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40" connectionId="9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31" connectionId="33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3" connectionId="45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57" connectionId="35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2" connectionId="74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33" connectionId="46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42" connectionId="55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96" connectionId="14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14" connectionId="18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46" connectionId="57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64" connectionId="63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0" connectionId="84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37" connectionId="52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69" connectionId="19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95" connectionId="14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27" connectionId="37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17" connectionId="28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49" connectionId="58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24" connectionId="83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97" connectionId="14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54" connectionId="31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4" connectionId="67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35" connectionId="50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50" connectionId="58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70" connectionId="34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36" connectionId="51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20" connectionId="27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9" connectionId="84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45" connectionId="18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21" connectionId="81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92" connectionId="9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16" connectionId="27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48" connectionId="23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4" connectionId="67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19" connectionId="28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03" connectionId="21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46" connectionId="19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12" connectionId="26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48" connectionId="58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18" connectionId="28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53" connectionId="59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06" connectionId="23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80" connectionId="70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28" connectionId="38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2" connectionId="45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39" connectionId="7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9" connectionId="34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14" connectionId="74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19" connectionId="77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32" connectionId="60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81" connectionId="70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04" connectionId="71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17" connectionId="73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1" connectionId="73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50" connectionId="25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1" connectionId="59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0" connectionId="71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13" connectionId="74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8" connectionId="64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84" connectionId="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11" connectionId="12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49" connectionId="24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1" connectionId="85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77" connectionId="69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26" connectionId="35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12" connectionId="1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53" connectionId="73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21" connectionId="29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73" connectionId="60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09" connectionId="9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52" connectionId="72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2" connectionId="70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35" connectionId="34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44" connectionId="16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30" connectionId="32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04" connectionId="1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344" connectionId="50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34" connectionId="18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93" connectionId="6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76" connectionId="68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44" connectionId="16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4" connectionId="65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67" connectionId="65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28" connectionId="17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21" connectionId="29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15" connectionId="20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00" connectionId="8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67" connectionId="54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44" connectionId="22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75" connectionId="67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40" connectionId="55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46" connectionId="5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06" connectionId="109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53" connectionId="59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39" connectionId="19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27" connectionId="76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02" connectionId="9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19" connectionId="259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27" connectionId="46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92" connectionId="5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51" connectionId="27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14" connectionId="18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37" connectionId="4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33" connectionId="78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29" connectionId="47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07" connectionId="6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12" connectionId="14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" connectionId="21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70" connectionId="55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58" connectionId="62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13" connectionId="16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10" connectionId="11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4" connectionId="74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56" connectionId="34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43" connectionId="21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59" connectionId="27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94" connectionId="39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37" connectionId="18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15" connectionId="75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46" connectionId="23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42" connectionId="20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32" connectionId="45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94" connectionId="6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64" connectionId="63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87" connectionId="37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78" connectionId="69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82" connectionId="35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07" connectionId="11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88" connectionId="37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09" connectionId="43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30" connectionId="47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56" connectionId="25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35" connectionId="79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7" connectionId="83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02" connectionId="41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13" connectionId="12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9" connectionId="36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304" connectionId="41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17" connectionId="14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65" connectionId="64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5" connectionId="80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71" connectionId="31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03" connectionId="68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96" connectionId="40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37" connectionId="79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83" connectionId="73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41" connectionId="20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43" connectionId="49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48" connectionId="58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33" connectionId="47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31" connectionId="43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" connectionId="72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25" connectionId="16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62" connectionId="28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28" connectionId="764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35" connectionId="18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25" connectionId="35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31" connectionId="47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86" connectionId="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40" connectionId="80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04" connectionId="71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61" connectionId="62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9" connectionId="68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7" connectionId="3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38" connectionId="19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25" connectionId="46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22" connectionId="15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61" connectionId="28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70" connectionId="36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09" connectionId="11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42" connectionId="49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66" connectionId="50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" connectionId="71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82" connectionId="70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4" connectionId="69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52" connectionId="52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71" connectionId="66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16" connectionId="13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78" connectionId="33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20" connectionId="27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65" connectionId="29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60" connectionId="27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7" connectionId="4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45" connectionId="56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272" connectionId="32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17" connectionId="83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55" connectionId="60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17" connectionId="23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4" connectionId="78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71" connectionId="51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56" connectionId="61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08" connectionId="43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47" connectionId="22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09" connectionId="9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37" connectionId="48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60" connectionId="62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05" connectionId="10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10" connectionId="84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06" connectionId="4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45" connectionId="18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28" connectionId="46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6" connectionId="79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324" connectionId="45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50" connectionId="26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6" connectionId="57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50" connectionId="58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03" connectionId="10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15" connectionId="44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99" connectionId="8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30" connectionId="17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41" connectionId="1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16" connectionId="22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24" connectionId="16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1" connectionId="3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30" connectionId="42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57" connectionId="26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27" connectionId="37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2" connectionId="60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68" connectionId="29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97" connectionId="40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18" connectionId="44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95" connectionId="400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91" connectionId="2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15" connectionId="13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22" connectionId="30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5" connectionId="72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57" connectionId="61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9" connectionId="7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25" connectionId="75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2" connectionId="5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69" connectionId="30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87" connectionId="1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62" connectionId="63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10" connectionId="12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64" connectionId="47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57" connectionId="36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30" connectionId="77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59" connectionId="39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11" connectionId="43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00" connectionId="41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38" connectionId="54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3" connectionId="64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29" connectionId="41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23" connectionId="15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0" connectionId="73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18" connectionId="24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38" connectionId="80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8" connectionId="22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63" connectionId="28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4" connectionId="36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52" connectionId="29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77" connectionId="69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5" connectionId="68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23" connectionId="31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58" connectionId="26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68" connectionId="65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42" connectionId="13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365" connectionId="53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29" connectionId="76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14" connectionId="13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75" connectionId="67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96" connectionId="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13" connectionId="74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39" connectionId="49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51" connectionId="59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51" connectionId="25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97" connectionId="7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72" connectionId="66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39" connectionId="54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63" connectionId="4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76" connectionId="72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12" connectionId="741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54" connectionId="60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92" connectionId="38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98" connectionId="35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8" connectionId="5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43" connectionId="15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36" connectionId="51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85" connectionId="1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49" connectionId="24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3" connectionId="74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26" connectionId="75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75" connectionId="32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70" connectionId="31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07" connectionId="42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53" connectionId="30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35" connectionId="50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0" connectionId="51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81" connectionId="70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4" connectionId="3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42" connectionId="81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90" connectionId="72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1" connectionId="73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60" connectionId="53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2" connectionId="83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4" connectionId="78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81" connectionId="35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8" connectionId="839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98" connectionId="40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46" connectionId="20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7" connectionId="17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20" connectionId="4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33" connectionId="17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9" connectionId="843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73" connectionId="67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98" connectionId="7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90" connectionId="2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96" connectionId="5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29" connectionId="17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71" connectionId="66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26" connectionId="46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59" connectionId="623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26" connectionId="36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11" connectionId="85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88" connectionId="1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31" connectionId="77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8" connectionId="64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66" connectionId="64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78" connectionId="4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1" connectionId="843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79" connectionId="69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24" connectionId="33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8" connectionId="21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" connectionId="4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60" connectionId="40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49" connectionId="58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41" connectionId="74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72" connectionId="57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11" connectionId="13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58" connectionId="37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6" connectionId="71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68" connectionId="3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58" connectionId="52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55" connectionId="33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362" connectionId="535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53" connectionId="52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95" connectionId="6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350" connectionId="51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79" connectionId="4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36" connectionId="48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38" connectionId="49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142" connectionId="55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47" connectionId="58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20" connectionId="80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137" connectionId="52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34" connectionId="48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89" connectionId="2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43" connectionId="83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28" connectionId="39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70" connectionId="66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50" connectionId="24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279" connectionId="34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69" connectionId="54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23" connectionId="85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90" connectionId="38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22" connectionId="84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16" connectionId="75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74" connectionId="67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21" connectionId="15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54" connectionId="319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97" connectionId="22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53" connectionId="25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61" connectionId="42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49" connectionId="24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6" connectionId="82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62" connectionId="43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345" connectionId="50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08" connectionId="7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17" connectionId="44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63" connectionId="53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40" connectionId="9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14" connectionId="74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19" connectionId="78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18" connectionId="74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11" connectionId="12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49" connectionId="50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33" connectionId="48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1" connectionId="57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08" connectionId="11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69" connectionId="66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0" connectionId="72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12" connectionId="12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93" connectionId="39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7" connectionId="61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67" connectionId="71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323" connectionId="45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39" connectionId="80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01" connectionId="8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21" connectionId="82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32" connectionId="777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356" connectionId="52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77" connectionId="33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220" connectionId="15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73" connectionId="61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19" connectionId="44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19" connectionId="14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80" connectionId="70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91" connectionId="38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8" connectionId="23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05" connectionId="42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141" connectionId="55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69" connectionId="21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80" connectionId="343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43" connectionId="56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44" connectionId="56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52" connectionId="59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65" connectionId="48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61" connectionId="533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40" connectionId="198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299" connectionId="413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63" connectionId="63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76" connectionId="32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415" connectionId="55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56" connectionId="25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52" connectionId="59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36" connectionId="51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82" connectionId="70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90" connectionId="2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58" connectionId="78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37" connectionId="799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53" connectionId="25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97" connectionId="7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42" connectionId="68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278" connectionId="33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15" connectionId="44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6" connectionId="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18" connectionId="25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56" connectionId="52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38" connectionId="19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47" connectionId="74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34" connectionId="18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41" connectionId="11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409" connectionId="48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12" connectionId="12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33" connectionId="17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87" connectionId="37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6" connectionId="20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62" connectionId="28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61" connectionId="42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402" connectionId="37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414" connectionId="54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04" connectionId="42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04" connectionId="40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1" connectionId="73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8" connectionId="64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7" connectionId="44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9" connectionId="68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25" connectionId="35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54" connectionId="32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7" connectionId="61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276" connectionId="32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2" connectionId="13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230" connectionId="17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74" connectionId="67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19" connectionId="14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61" connectionId="63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59" connectionId="78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39" connectionId="19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98" connectionId="40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55" connectionId="770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59" connectionId="1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06" connectionId="11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16" connectionId="13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01" connectionId="8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63" connectionId="45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49" connectionId="510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461" connectionId="1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63" connectionId="538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94" connectionId="6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37" connectionId="49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198" connectionId="7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29" connectionId="41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431" connectionId="62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294" connectionId="39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70" connectionId="36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80" connectionId="344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90" connectionId="38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61" connectionId="53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15" connectionId="20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94" connectionId="25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302" connectionId="41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42" connectionId="55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85" connectionId="1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91" connectionId="214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71" connectionId="66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90" connectionId="72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31" connectionId="57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98" connectionId="36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215" connectionId="13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03" connectionId="38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51" connectionId="27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87" connectionId="1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73" connectionId="34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69" connectionId="30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70" connectionId="66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1" connectionId="84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67" connectionId="3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438" connectionId="64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86" connectionId="14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35" connectionId="79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67" connectionId="54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50" connectionId="59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97" connectionId="30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48" connectionId="74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51" connectionId="25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15" connectionId="754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77" connectionId="69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179" connectionId="70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50" connectionId="24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69" connectionId="661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45" connectionId="56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42" connectionId="83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83" connectionId="73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81" connectionId="29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43" connectionId="49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36" connectionId="79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62" connectionId="79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27" connectionId="37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01" connectionId="35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424" connectionId="59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28" connectionId="76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34" connectionId="79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3" connectionId="64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43" connectionId="21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249" connectionId="24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19" connectionId="44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78" connectionId="69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7" connectionId="22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99" connectionId="41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41" connectionId="77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29" connectionId="17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72" connectionId="670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67" connectionId="65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59" connectionId="39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68" connectionId="4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192" connectionId="5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40" connectionId="199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5" connectionId="68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350" connectionId="51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421" connectionId="58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08" connectionId="46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23" connectionId="16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50" connectionId="75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43" connectionId="56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13" connectionId="74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9" connectionId="370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24" connectionId="3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416" connectionId="55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14" connectionId="18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6" connectionId="57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43" connectionId="15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308" connectionId="43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17" connectionId="83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44" connectionId="56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68" connectionId="3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13" connectionId="16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8" connectionId="84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60" connectionId="53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56" connectionId="61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07" connectionId="11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39" connectionId="80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31" connectionId="47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320" connectionId="45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35" connectionId="72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189" connectionId="2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7" connectionId="83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82" connectionId="35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71" connectionId="51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372" connectionId="19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60" connectionId="78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12" connectionId="14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30" connectionId="42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165" connectionId="64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18" connectionId="75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48" connectionId="58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13" connectionId="12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34" connectionId="48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45" connectionId="84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54" connectionId="60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38" connectionId="49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24" connectionId="16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4" connectionId="16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49" connectionId="74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65" connectionId="3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64" connectionId="63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5" connectionId="18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62" connectionId="43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33" connectionId="48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62" connectionId="63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00" connectionId="346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57" connectionId="618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60" connectionId="1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70" connectionId="31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23" connectionId="31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61" connectionId="28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81" connectionId="35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28" connectionId="39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42" connectionId="49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21" connectionId="29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96" connectionId="40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79" connectionId="71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44" connectionId="50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455" connectionId="73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41" connectionId="556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228" connectionId="17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33" connectionId="78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37" connectionId="64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246" connectionId="23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56" connectionId="34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72" connectionId="32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311" connectionId="43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59" connectionId="27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328" connectionId="46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82" connectionId="55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305" connectionId="42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03" connectionId="68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7" connectionId="3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11" connectionId="51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72" connectionId="57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90" connectionId="197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63" connectionId="636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30" connectionId="51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464" connectionId="2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66" connectionId="650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92" connectionId="23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300" connectionId="41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17" connectionId="142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96" connectionId="6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16" connectionId="76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45" connectionId="69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40" connectionId="80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25" connectionId="75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362" connectionId="53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434" connectionId="63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69" connectionId="54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09" connectionId="43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16" connectionId="228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52" connectionId="29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92" connectionId="38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47" connectionId="58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55" connectionId="60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17" connectionId="44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03" connectionId="10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97" connectionId="40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279" connectionId="34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53" connectionId="72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05" connectionId="10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99" connectionId="8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57" connectionId="364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200" connectionId="8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95" connectionId="401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9" connectionId="7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27" connectionId="76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80" connectionId="70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91" connectionId="2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35" connectionId="18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53" connectionId="59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46" connectionId="70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58" connectionId="62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6" connectionId="82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96" connectionId="5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04" connectionId="72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51" connectionId="75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30" connectionId="47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23" connectionId="85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64" connectionId="47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6" connectionId="71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26" connectionId="36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0" connectionId="731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29" connectionId="76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50" connectionId="71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139" connectionId="55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60" connectionId="62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62" connectionId="22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89" connectionId="18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345" connectionId="50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30" connectionId="77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63" connectionId="79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10" connectionId="850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58" connectionId="1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22" connectionId="158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55" connectionId="33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58" connectionId="52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33" connectionId="47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110" connectionId="112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21" connectionId="82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14" connectionId="752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8" connectionId="22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31" connectionId="77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93" connectionId="6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22" connectionId="84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5" connectionId="80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25" connectionId="16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08" connectionId="8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22" connectionId="30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53" connectionId="76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69" connectionId="5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88" connectionId="37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25" connectionId="59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33" connectionId="62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" connectionId="21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52" connectionId="76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11" connectionId="124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42" connectionId="209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17" connectionId="23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81" connectionId="70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44" connectionId="230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36" connectionId="48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28" connectionId="60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54" connectionId="73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76" connectionId="68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21" connectionId="15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51" connectionId="71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67" connectionId="71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77" connectionId="64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8" connectionId="22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07" connectionId="42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426" connectionId="600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8" connectionId="5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6" connectionId="71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9" connectionId="24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327" connectionId="466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73" connectionId="67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40" connectionId="9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2" connectionId="84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68" connectionId="30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258" connectionId="26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20" connectionId="27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50" connectionId="262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4" connectionId="65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38" connectionId="54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91" connectionId="38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" connectionId="362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95" connectionId="6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56" connectionId="73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09" connectionId="9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54" connectionId="76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43" connectionId="839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10" connectionId="50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37" connectionId="53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27" connectionId="171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39" connectionId="65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35" connectionId="506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60" connectionId="41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59" connectionId="62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44" connectionId="69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63" connectionId="2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68" connectionId="65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26" connectionId="75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48" connectionId="23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09" connectionId="12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18" connectionId="570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1" connectionId="40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2" connectionId="60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11" connectionId="85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65" connectionId="54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18" connectionId="44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57" connectionId="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2" connectionId="5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65" connectionId="29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49" connectionId="58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7" connectionId="4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41" connectionId="20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441" connectionId="65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376" connectionId="60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40" connectionId="55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2" connectionId="4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46" connectionId="57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1" connectionId="72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208" connectionId="11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88" connectionId="2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14" connectionId="13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26" connectionId="46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51" connectionId="59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34" connectionId="69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44" connectionId="84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52" connectionId="718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06" connectionId="4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20" connectionId="81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53" connectionId="305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220" connectionId="15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339" connectionId="49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ExternalData_64" connectionId="83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38" connectionId="801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57" connectionId="77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57" connectionId="26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66" connectionId="3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19" connectionId="78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69" connectionId="21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24" connectionId="46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10" connectionId="12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32" connectionId="62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63" connectionId="288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56" connectionId="77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93" connectionId="39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75" connectionId="680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29" connectionId="47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60" connectionId="27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73" connectionId="61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31" connectionId="44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374" connectionId="499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237" connectionId="19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423" connectionId="59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202" connectionId="9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277" connectionId="33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32" connectionId="45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24" connectionId="33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447" connectionId="70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53" connectionId="52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58" connectionId="379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61" connectionId="78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66" connectionId="50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440" connectionId="65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12" connectionId="74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75" connectionId="32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65" connectionId="48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4" connectionId="784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71" connectionId="31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46" connectionId="85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23" connectionId="45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352" connectionId="52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9" connectionId="84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32" connectionId="778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325" connectionId="46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19" connectionId="26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11" connectionId="13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24" connectionId="74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35" connectionId="634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07" connectionId="6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0" connectionId="72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3" connectionId="74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378" connectionId="67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204" connectionId="10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398" connectionId="31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47" connectionId="74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97" connectionId="7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02" connectionId="376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372" connectionId="215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55" connectionId="77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67" connectionId="71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18" connectionId="25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73" connectionId="61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93" connectionId="6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379" connectionId="71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8" connectionId="84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68" connectionId="38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42" connectionId="55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70" connectionId="81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244" connectionId="23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52" connectionId="720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26" connectionId="60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57" connectionId="778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18" connectionId="57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65" connectionId="48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51" connectionId="27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261" connectionId="28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35" connectionId="506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58" connectionId="37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53" connectionId="52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451" connectionId="71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21" connectionId="821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18" connectionId="44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82" connectionId="82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293" connectionId="39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5" connectionId="72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1" connectionId="72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96" connectionId="5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13" connectionId="16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287" connectionId="37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71" connectionId="51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241" connectionId="20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12" connectionId="12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90" connectionId="38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24" connectionId="59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34" connectionId="79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15" connectionId="755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177" connectionId="69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56" connectionId="736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36" connectionId="51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227" connectionId="17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18" connectionId="75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76" connectionId="32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36" connectionId="48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446" connectionId="70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26" connectionId="46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36" connectionId="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377" connectionId="64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28" connectionId="61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5" connectionId="80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79" connectionId="34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94" connectionId="65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63" connectionId="53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32" connectionId="60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41" connectionId="55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83" connectionId="82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6" connectionId="717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4" connectionId="652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50" connectionId="26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233" connectionId="179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56" connectionId="349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72" connectionId="57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391" connectionId="217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239" connectionId="19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263" connectionId="28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432" connectionId="626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86" connectionId="1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143" connectionId="56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26" connectionId="36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415" connectionId="55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05" connectionId="42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02" connectionId="41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66" connectionId="805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73" connectionId="815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423" connectionId="592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349" connectionId="510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63" connectionId="45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61" connectionId="42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319" connectionId="44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11" connectionId="43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76" connectionId="68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31" connectionId="77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22" connectionId="15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268" connectionId="300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82" connectionId="70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23" connectionId="45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34" connectionId="63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10" connectionId="12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40" connectionId="80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08" connectionId="80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60" connectionId="41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217" connectionId="14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39" connectionId="65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32" connectionId="454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160" connectionId="62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15" connectionId="203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61" connectionId="53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53" connectionId="72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250" connectionId="24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27" connectionId="76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33" connectionId="48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57" connectionId="26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21" connectionId="15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3" connectionId="15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0" connectionId="73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95" connectionId="6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19" connectionId="26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352" connectionId="521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74" connectionId="676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74" connectionId="816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47" connectionId="581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230" connectionId="17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85" connectionId="1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331" connectionId="47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211" connectionId="12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10" connectionId="85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6" connectionId="714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25" connectionId="46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109" connectionId="9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28" connectionId="76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46" connectionId="574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40" connectionId="94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441" connectionId="66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130" connectionId="42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23" connectionId="31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48" connectionId="238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68" connectionId="80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20" connectionId="45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28" connectionId="46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55" connectionId="60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304" connectionId="420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32" connectionId="77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3" connectionId="218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67" connectionId="80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25" connectionId="75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30" connectionId="77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189" connectionId="2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54" connectionId="73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251" connectionId="25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75" connectionId="32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52" connectionId="76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42" connectionId="83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447" connectionId="70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154" connectionId="602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459" connectionId="1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179" connectionId="700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07" connectionId="429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129" connectionId="41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81" connectionId="353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06" connectionId="4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75" connectionId="81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215" connectionId="137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167" connectionId="65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62" connectionId="63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178" connectionId="69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51" connectionId="59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173" connectionId="673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292" connectionId="38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45" connectionId="56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38" connectionId="801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12" connectionId="74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90" connectionId="26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2" connectionId="842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431" connectionId="623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7" connectionId="47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23" connectionId="85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369" connectionId="547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410" connectionId="503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4" connectionId="3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60" connectionId="53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50" connectionId="713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400" connectionId="34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168" connectionId="65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298" connectionId="40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378" connectionId="68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14" connectionId="18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442" connectionId="68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60" connectionId="17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7" connectionId="83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243" connectionId="21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34" connectionId="691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20" connectionId="15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64" connectionId="639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224" connectionId="16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63" connectionId="63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345" connectionId="508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11" connectionId="85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329" connectionId="475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40" connectionId="65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49" connectionId="58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365" connectionId="54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76" connectionId="81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121" connectionId="294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58" connectionId="62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144" connectionId="565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7" connectionId="835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110" connectionId="112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1" connectionId="57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20" connectionId="277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53" connectionId="25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15" connectionId="68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99" connectionId="83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214" connectionId="13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88" connectionId="2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20" connectionId="72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49" connectionId="24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14" connectionId="75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20" connectionId="81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216" connectionId="13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24" connectionId="743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19" connectionId="78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394" connectionId="25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202" connectionId="9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46" connectionId="23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425" connectionId="59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30" connectionId="47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42" connectionId="20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104" connectionId="72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26" connectionId="75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390" connectionId="20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265" connectionId="29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49" connectionId="24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445" connectionId="699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03" connectionId="683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223" connectionId="16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08" connectionId="47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62" connectionId="536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371" connectionId="5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338" connectionId="49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22" connectionId="30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27" connectionId="466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112" connectionId="14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259" connectionId="271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466" connectionId="3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6" connectionId="823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97" connectionId="30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191" connectionId="2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172" connectionId="67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4" connectionId="169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77" connectionId="82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433" connectionId="62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89" connectionId="183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58" connectionId="781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297" connectionId="405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28" connectionId="173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31" connectionId="44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70" connectionId="66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203" connectionId="101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38" connectionId="5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53" connectionId="305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96" connectionId="6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57" connectionId="36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256" connectionId="25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17" connectionId="23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54" connectionId="32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53" connectionId="59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60" connectionId="78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50" connectionId="75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61" connectionId="79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51" connectionId="75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70" connectionId="31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200" connectionId="85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175" connectionId="68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92" connectionId="5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62" connectionId="79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84" connectionId="829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71" connectionId="81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7" connectionId="32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48" connectionId="584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288" connectionId="37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35" connectionId="794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21" connectionId="586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350" connectionId="51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58" connectionId="12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25" connectionId="16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91" connectionId="385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59" connectionId="78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33" connectionId="78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" connectionId="36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208" connectionId="11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308" connectionId="43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78" connectionId="82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39" connectionId="80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269" connectionId="303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229" connectionId="17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295" connectionId="401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64" connectionId="800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48" connectionId="74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392" connectionId="23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59" connectionId="391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409" connectionId="485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374" connectionId="51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296" connectionId="403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183" connectionId="738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272" connectionId="32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7" connectionId="61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8" connectionId="224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258" connectionId="268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81" connectionId="70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166" connectionId="65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376" connectionId="608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22" connectionId="849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69" connectionId="21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64" connectionId="2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381" connectionId="3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56" connectionId="77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315" connectionId="44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16" connectionId="76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388" connectionId="16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213" connectionId="12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78" connectionId="339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63" connectionId="79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53" connectionId="76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43" connectionId="840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87" connectionId="1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205" connectionId="10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85" connectionId="83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299" connectionId="41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37" connectionId="53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49" connectionId="75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21" connectionId="40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3" connectionId="748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9" connectionId="845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373" connectionId="35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403" connectionId="39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79" connectionId="824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238" connectionId="19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61" connectionId="63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309" connectionId="433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98" connectionId="36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34" connectionId="48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294" connectionId="39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45" connectionId="184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44" connectionId="69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71" connectionId="66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207" connectionId="11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29" connectionId="76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414" connectionId="54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69" connectionId="811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25" connectionId="35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16" connectionId="228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356" connectionId="52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300" connectionId="416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1" connectionId="11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90" connectionId="72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46" connectionId="201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64" connectionId="473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33" connectionId="64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343" connectionId="49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282" connectionId="35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358" connectionId="52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55" connectionId="33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57" connectionId="618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209" connectionId="12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80" connectionId="70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337" connectionId="490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235" connectionId="188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86" connectionId="83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9" connectionId="68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4" connectionId="78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39" connectionId="7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80" connectionId="34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66" connectionId="50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438" connectionId="647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30" connectionId="515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324" connectionId="46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37" connectionId="79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8" connectionId="220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370" connectionId="5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467" connectionId="38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367" connectionId="54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80" connectionId="825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6" connectionId="57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13" connectionId="747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8" connectionId="64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70" connectionId="366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28" connectionId="393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06" connectionId="11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98" connectionId="317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04" connectionId="409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237" connectionId="190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234" connectionId="18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59" connectionId="624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271" connectionId="31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124" connectionId="33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44" connectionId="50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411" connectionId="51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465" connectionId="3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07" connectionId="61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47" connectionId="222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36" connectionId="79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55" connectionId="733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65" connectionId="64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17" connectionId="44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63" connectionId="26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65" connectionId="802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42" connectionId="133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16" connectionId="55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87" connectionId="83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52" connectionId="29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468" connectionId="4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382" connectionId="58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44" connectionId="84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45" connectionId="84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339" connectionId="494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1" connectionId="73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60" connectionId="27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81" connectionId="82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219" connectionId="14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42" connectionId="496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240" connectionId="199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98" connectionId="7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437" connectionId="642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38" connectionId="54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62" connectionId="43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277" connectionId="336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461" connectionId="20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69" connectionId="661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04" connectionId="104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69" connectionId="5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29" connectionId="37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41" connectionId="79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140" connectionId="553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2" connectionId="52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1" connectionId="84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33" connectionId="471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52" connectionId="596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139" connectionId="550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50" connectionId="59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27" connectionId="45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46" connectionId="85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127" connectionId="377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401" connectionId="361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435" connectionId="635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262" connectionId="28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111" connectionId="13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201" connectionId="89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62" connectionId="2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156" connectionId="615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72" connectionId="81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" connectionId="4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54" connectionId="76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Q354">
  <autoFilter ref="A1:AQ354">
    <filterColumn colId="34">
      <filters>
        <filter val="Sim"/>
      </filters>
    </filterColumn>
  </autoFilter>
  <sortState ref="A47:AQ324">
    <sortCondition descending="1" ref="AJ1:AJ354"/>
  </sortState>
  <tableColumns count="43">
    <tableColumn id="10" name="Classificação Setorial" totalsRowFunction="count" dataDxfId="139" totalsRowDxfId="138"/>
    <tableColumn id="9" name="PAPEL" dataDxfId="137" totalsRowDxfId="136"/>
    <tableColumn id="34" name="Nome" dataDxfId="135">
      <calculatedColumnFormula>LEFT(Tabela3[PAPEL],LEN(Tabela3[PAPEL])-(LEN(Tabela3[PAPEL])-4))</calculatedColumnFormula>
    </tableColumn>
    <tableColumn id="24" name="Ref"/>
    <tableColumn id="1" name="Capital Social" dataDxfId="134"/>
    <tableColumn id="7" name="Ações" dataDxfId="133"/>
    <tableColumn id="25" name="%Div" dataDxfId="132"/>
    <tableColumn id="29" name="% PNA (PL)" dataDxfId="131"/>
    <tableColumn id="30" name="% PNA (CS)" dataDxfId="130"/>
    <tableColumn id="47" name="% Pref. / ON" dataDxfId="129"/>
    <tableColumn id="27" name="Unit ON" dataDxfId="128"/>
    <tableColumn id="31" name="Unit PN" dataDxfId="127"/>
    <tableColumn id="2" name="Patrimônio Líquido" dataDxfId="126" totalsRowDxfId="125"/>
    <tableColumn id="13" name="Lucro Líquido" dataDxfId="124" totalsRowDxfId="123"/>
    <tableColumn id="39" name="Teto R. Legal" dataDxfId="122" totalsRowDxfId="121">
      <calculatedColumnFormula>Tabela3[[#This Row],[Capital Social]]*20%</calculatedColumnFormula>
    </tableColumn>
    <tableColumn id="36" name="Reserva Legal" dataDxfId="120" totalsRowDxfId="119">
      <calculatedColumnFormula>IF((Tabela3[Lucro Líquido]*5%)&gt;Tabela3[Teto R. Legal],Tabela3[Teto R. Legal],Tabela3[Lucro Líquido]*5%)</calculatedColumnFormula>
    </tableColumn>
    <tableColumn id="37" name="Lucro Distribuir" dataDxfId="118" totalsRowDxfId="117">
      <calculatedColumnFormula>IF(Tabela3[Lucro Líquido]&lt;0,0,Tabela3[Lucro Líquido]-Tabela3[Reserva Legal])</calculatedColumnFormula>
    </tableColumn>
    <tableColumn id="23" name="25 % Div" dataDxfId="116" totalsRowDxfId="115">
      <calculatedColumnFormula>Tabela3[[#This Row],[Lucro Distribuir]]*Tabela3[%Div]</calculatedColumnFormula>
    </tableColumn>
    <tableColumn id="3" name="Total Ações" dataDxfId="114" totalsRowDxfId="113"/>
    <tableColumn id="44" name="VN" dataDxfId="112" totalsRowDxfId="111">
      <calculatedColumnFormula>Tabela3[Capital Social]/Tabela3[Total Ações]</calculatedColumnFormula>
    </tableColumn>
    <tableColumn id="19" name="Lucro/Ação" dataDxfId="110" totalsRowDxfId="109">
      <calculatedColumnFormula>Tabela3[[#This Row],[Lucro Líquido]]/Tabela3[[#This Row],[Total Ações]]</calculatedColumnFormula>
    </tableColumn>
    <tableColumn id="40" name="Div. Mínimo" dataDxfId="108" totalsRowDxfId="107">
      <calculatedColumnFormula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calculatedColumnFormula>
    </tableColumn>
    <tableColumn id="28" name="Div PNA (PL)" dataDxfId="106" totalsRowDxfId="105">
      <calculatedColumnFormula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calculatedColumnFormula>
    </tableColumn>
    <tableColumn id="33" name="Div PNA (CS)" dataDxfId="104" totalsRowDxfId="103">
      <calculatedColumnFormula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calculatedColumnFormula>
    </tableColumn>
    <tableColumn id="41" name="Div Base" dataDxfId="102" totalsRowDxfId="101">
      <calculatedColumnFormula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calculatedColumnFormula>
    </tableColumn>
    <tableColumn id="42" name="Total Div. Pref." dataDxfId="100" totalsRowDxfId="99">
      <calculatedColumnFormula>Tabela3[Div Base]*Tabela3[Ações]</calculatedColumnFormula>
    </tableColumn>
    <tableColumn id="22" name="Total" dataDxfId="98" totalsRowDxfId="97">
      <calculatedColumnFormula>SUMPRODUCT(N(Tabela3[Nome]=Tabela3[[#This Row],[Nome]]),Tabela3[Div Base]*Tabela3[Ações])</calculatedColumnFormula>
    </tableColumn>
    <tableColumn id="4" name="VPA" dataDxfId="96" totalsRowDxfId="95">
      <calculatedColumnFormula>Tabela3[Patrimônio Líquido]/Tabela3[Total Ações]</calculatedColumnFormula>
    </tableColumn>
    <tableColumn id="5" name="Cotação" dataDxfId="94" totalsRowDxfId="93">
      <calculatedColumnFormula>MAX(Tabela3[[#This Row],[Cotação 1]:[Cotação 4]])</calculatedColumnFormula>
    </tableColumn>
    <tableColumn id="6" name="PVPA" dataDxfId="92" totalsRowDxfId="91">
      <calculatedColumnFormula>Tabela3[Cotação]/Tabela3[VPA]</calculatedColumnFormula>
    </tableColumn>
    <tableColumn id="16" name="PL" dataDxfId="90">
      <calculatedColumnFormula>IF(Tabela3[[#This Row],[Lucro/Ação]]&gt;0,Tabela3[[#This Row],[Cotação]]/(Tabela3[[#This Row],[Lucro/Ação]]/Tabela3[Ref]*4),0)</calculatedColumnFormula>
    </tableColumn>
    <tableColumn id="51" name="Lucro Payout" dataDxfId="89">
      <calculatedColumnFormula>IF(Tabela3[Div. Mínimo]=0,0,Tabela3[Lucro Distribuir]*#REF!/Tabela3[Total Ações])</calculatedColumnFormula>
    </tableColumn>
    <tableColumn id="53" name="Lucro Dist./Ação" dataDxfId="88" totalsRowDxfId="87">
      <calculatedColumnFormula>Tabela3[Lucro Distribuir]/Tabela3[Total Ações]</calculatedColumnFormula>
    </tableColumn>
    <tableColumn id="52" name="Lucro" dataDxfId="86" totalsRowDxfId="85">
      <calculatedColumnFormula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calculatedColumnFormula>
    </tableColumn>
    <tableColumn id="8" name="Comprar ?" dataDxfId="84" totalsRowDxfId="83">
      <calculatedColumnFormula>IF(AND(Tabela3[% A.A.]&gt;=7%,SUMPRODUCT(N(Tabela3[Nome]=Tabela3[[#This Row],[Nome]]),Tabela3[PL])&gt;0),"Sim","Não")</calculatedColumnFormula>
    </tableColumn>
    <tableColumn id="14" name="% Yield" dataDxfId="82" totalsRowDxfId="81">
      <calculatedColumnFormula>IF(Tabela3[Cotação]&gt;0,Tabela3[[#This Row],[Lucro]]/Tabela3[[#This Row],[Cotação]],0)</calculatedColumnFormula>
    </tableColumn>
    <tableColumn id="12" name="% A.A." dataDxfId="80" totalsRowDxfId="79">
      <calculatedColumnFormula>((1+Tabela3[[#This Row],[% Yield]])^(1/(3*Tabela3[[#This Row],[Ref]])))^(12)-1</calculatedColumnFormula>
    </tableColumn>
    <tableColumn id="17" name="Ativos" dataDxfId="78" totalsRowDxfId="77">
      <calculatedColumnFormula>IF(Tabela3[Cotação]&gt;0,($AS$1/Tabela3[[#This Row],[Cotação]]-MOD($AS$1/Tabela3[[#This Row],[Cotação]],100)),)</calculatedColumnFormula>
    </tableColumn>
    <tableColumn id="18" name="Lucro Med A.A" totalsRowFunction="sum" dataDxfId="76" totalsRowDxfId="75">
      <calculatedColumnFormula>Tabela3[[#This Row],[Ativos]]*Tabela3[Lucro]</calculatedColumnFormula>
    </tableColumn>
    <tableColumn id="15" name="Cotação 1" dataDxfId="74" totalsRowDxfId="73">
      <calculatedColumnFormula>SUMPRODUCT(N(Tabela1[Código]=Tabela3[[#This Row],[PAPEL]]),Tabela1[Fechamento])</calculatedColumnFormula>
    </tableColumn>
    <tableColumn id="20" name="Cotação 2" totalsRowFunction="sum" dataDxfId="72" totalsRowDxfId="71">
      <calculatedColumnFormula>SUMPRODUCT(N(Tabela17[Código]=Tabela3[[#This Row],[PAPEL]]),Tabela17[Fechamento])</calculatedColumnFormula>
    </tableColumn>
    <tableColumn id="11" name="Cotação 3" dataDxfId="70" totalsRowDxfId="69">
      <calculatedColumnFormula>SUMPRODUCT(N(Tabela176[Código]=Tabela3[[#This Row],[PAPEL]]),Tabela176[Fechamento])</calculatedColumnFormula>
    </tableColumn>
    <tableColumn id="21" name="Cotação 4" dataDxfId="68" totalsRowDxfId="67">
      <calculatedColumnFormula>SUMPRODUCT(N(Tabela1768[Código]=Tabela3[[#This Row],[PAPEL]]),Tabela1768[Fechamento])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7" dataDxfId="56">
  <autoFilter ref="P6:V112"/>
  <sortState ref="P7:V112">
    <sortCondition ref="P6:P112"/>
  </sortState>
  <tableColumns count="7">
    <tableColumn id="1" name="Código" dataDxfId="55"/>
    <tableColumn id="2" name="Ativo" dataDxfId="54">
      <calculatedColumnFormula>IF(A7="","",C7)</calculatedColumnFormula>
    </tableColumn>
    <tableColumn id="3" name="Data" dataDxfId="53">
      <calculatedColumnFormula>IF(A7="","",H7)</calculatedColumnFormula>
    </tableColumn>
    <tableColumn id="4" name="Abertura" dataDxfId="52">
      <calculatedColumnFormula>J7</calculatedColumnFormula>
    </tableColumn>
    <tableColumn id="5" name="Fechamento" dataDxfId="51">
      <calculatedColumnFormula>K7</calculatedColumnFormula>
    </tableColumn>
    <tableColumn id="6" name="Máxima" dataDxfId="50">
      <calculatedColumnFormula>L7</calculatedColumnFormula>
    </tableColumn>
    <tableColumn id="7" name="Mínima" dataDxfId="49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48" dataDxfId="47">
  <autoFilter ref="P6:V112"/>
  <sortState ref="P7:V112">
    <sortCondition ref="P6:P112"/>
  </sortState>
  <tableColumns count="7">
    <tableColumn id="1" name="Código" dataDxfId="46"/>
    <tableColumn id="2" name="Ativo" dataDxfId="45">
      <calculatedColumnFormula>IF(A7="","",C7)</calculatedColumnFormula>
    </tableColumn>
    <tableColumn id="3" name="Data" dataDxfId="44">
      <calculatedColumnFormula>IF(A7="","",H7)</calculatedColumnFormula>
    </tableColumn>
    <tableColumn id="4" name="Abertura" dataDxfId="43">
      <calculatedColumnFormula>J7</calculatedColumnFormula>
    </tableColumn>
    <tableColumn id="5" name="Fechamento" dataDxfId="42">
      <calculatedColumnFormula>K7</calculatedColumnFormula>
    </tableColumn>
    <tableColumn id="6" name="Máxima" dataDxfId="41">
      <calculatedColumnFormula>L7</calculatedColumnFormula>
    </tableColumn>
    <tableColumn id="7" name="Mínima" dataDxfId="40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39" dataDxfId="38">
  <autoFilter ref="P6:V112"/>
  <sortState ref="P7:V112">
    <sortCondition ref="P6:P112"/>
  </sortState>
  <tableColumns count="7">
    <tableColumn id="1" name="Código" dataDxfId="37"/>
    <tableColumn id="2" name="Ativo" dataDxfId="36">
      <calculatedColumnFormula>IF(A7="","",C7)</calculatedColumnFormula>
    </tableColumn>
    <tableColumn id="3" name="Data" dataDxfId="35">
      <calculatedColumnFormula>IF(A7="","",H7)</calculatedColumnFormula>
    </tableColumn>
    <tableColumn id="4" name="Abertura" dataDxfId="34">
      <calculatedColumnFormula>J7</calculatedColumnFormula>
    </tableColumn>
    <tableColumn id="5" name="Fechamento" dataDxfId="33">
      <calculatedColumnFormula>K7</calculatedColumnFormula>
    </tableColumn>
    <tableColumn id="6" name="Máxima" dataDxfId="32">
      <calculatedColumnFormula>L7</calculatedColumnFormula>
    </tableColumn>
    <tableColumn id="7" name="Mínima" dataDxfId="31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4" totalsRowCount="1" headerRowDxfId="30" dataDxfId="29" totalsRowDxfId="28">
  <autoFilter ref="A1:N3"/>
  <tableColumns count="14">
    <tableColumn id="1" name="Data Liquidação" totalsRowLabel="Total" dataDxfId="27" totalsRowDxfId="26"/>
    <tableColumn id="16" name="Dia" dataDxfId="25" totalsRowDxfId="24">
      <calculatedColumnFormula>DAY(Table4[Data Liquidação])</calculatedColumnFormula>
    </tableColumn>
    <tableColumn id="15" name="Mês" dataDxfId="23" totalsRowDxfId="22">
      <calculatedColumnFormula>MONTH(Table4[Data Liquidação])</calculatedColumnFormula>
    </tableColumn>
    <tableColumn id="14" name="Ano" dataDxfId="21" totalsRowDxfId="20">
      <calculatedColumnFormula>YEAR(Table4[Data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calculatedColumnFormula>
    </tableColumn>
    <tableColumn id="13" name="Lucro p/ Ação" dataDxfId="3" totalsRowDxfId="2">
      <calculatedColumnFormula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calculatedColumnFormula>
    </tableColumn>
    <tableColumn id="6" name="Rentabilidade" totalsRowFunction="custom" dataDxfId="1" totalsRowDxfId="0">
      <calculatedColumnFormula>IF(Table4[Lucro p/ Ação]&gt;0,Table4[Lucro p/ Ação]/Table4[Preço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99" Type="http://schemas.openxmlformats.org/officeDocument/2006/relationships/hyperlink" Target="http://www.bmfbovespa.com.br/cias-listadas/empresas-listadas/ResumoEmpresaPrincipal.aspx?codigoCvm=22780&amp;idioma=pt-br" TargetMode="External"/><Relationship Id="rId303" Type="http://schemas.openxmlformats.org/officeDocument/2006/relationships/hyperlink" Target="http://www.bmfbovespa.com.br/cias-listadas/empresas-listadas/ResumoEmpresaPrincipal.aspx?codigoCvm=1970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11258&amp;idioma=pt-br" TargetMode="External"/><Relationship Id="rId191" Type="http://schemas.openxmlformats.org/officeDocument/2006/relationships/hyperlink" Target="http://www.bmfbovespa.com.br/cias-listadas/empresas-listadas/ResumoEmpresaPrincipal.aspx?codigoCvm=8656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247" Type="http://schemas.openxmlformats.org/officeDocument/2006/relationships/hyperlink" Target="http://www.bmfbovespa.com.br/cias-listadas/empresas-listadas/ResumoEmpresaPrincipal.aspx?codigoCvm=21008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268" Type="http://schemas.openxmlformats.org/officeDocument/2006/relationships/hyperlink" Target="http://www.bmfbovespa.com.br/cias-listadas/empresas-listadas/ResumoEmpresaPrincipal.aspx?codigoCvm=20346&amp;idioma=pt-br" TargetMode="External"/><Relationship Id="rId289" Type="http://schemas.openxmlformats.org/officeDocument/2006/relationships/hyperlink" Target="http://www.bmfbovespa.com.br/cias-listadas/empresas-listadas/ResumoEmpresaPrincipal.aspx?codigoCvm=22845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0010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680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2429&amp;idioma=pt-br" TargetMode="External"/><Relationship Id="rId237" Type="http://schemas.openxmlformats.org/officeDocument/2006/relationships/hyperlink" Target="http://www.bmfbovespa.com.br/cias-listadas/empresas-listadas/ResumoEmpresaPrincipal.aspx?codigoCvm=15458&amp;idioma=pt-br" TargetMode="External"/><Relationship Id="rId258" Type="http://schemas.openxmlformats.org/officeDocument/2006/relationships/hyperlink" Target="http://www.bmfbovespa.com.br/cias-listadas/empresas-listadas/ResumoEmpresaPrincipal.aspx?codigoCvm=12190&amp;idioma=pt-br" TargetMode="External"/><Relationship Id="rId279" Type="http://schemas.openxmlformats.org/officeDocument/2006/relationships/hyperlink" Target="http://www.bmfbovespa.com.br/cias-listadas/empresas-listadas/ResumoEmpresaPrincipal.aspx?codigoCvm=20788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118" Type="http://schemas.openxmlformats.org/officeDocument/2006/relationships/hyperlink" Target="http://www.bmfbovespa.com.br/cias-listadas/empresas-listadas/ResumoEmpresaPrincipal.aspx?codigoCvm=21393&amp;idioma=pt-br" TargetMode="External"/><Relationship Id="rId139" Type="http://schemas.openxmlformats.org/officeDocument/2006/relationships/hyperlink" Target="http://www.bmfbovespa.com.br/cias-listadas/empresas-listadas/ResumoEmpresaPrincipal.aspx?codigoCvm=15636&amp;idioma=pt-br" TargetMode="External"/><Relationship Id="rId290" Type="http://schemas.openxmlformats.org/officeDocument/2006/relationships/hyperlink" Target="http://www.bmfbovespa.com.br/cias-listadas/empresas-listadas/ResumoEmpresaPrincipal.aspx?codigoCvm=20354&amp;idioma=pt-br" TargetMode="External"/><Relationship Id="rId304" Type="http://schemas.openxmlformats.org/officeDocument/2006/relationships/hyperlink" Target="http://www.bmfbovespa.com.br/cias-listadas/empresas-listadas/ResumoEmpresaPrincipal.aspx?codigoCvm=22470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885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206" Type="http://schemas.openxmlformats.org/officeDocument/2006/relationships/hyperlink" Target="http://www.bmfbovespa.com.br/cias-listadas/empresas-listadas/ResumoEmpresaPrincipal.aspx?codigoCvm=16632&amp;idioma=pt-br" TargetMode="External"/><Relationship Id="rId227" Type="http://schemas.openxmlformats.org/officeDocument/2006/relationships/hyperlink" Target="http://www.bmfbovespa.com.br/cias-listadas/empresas-listadas/ResumoEmpresaPrincipal.aspx?codigoCvm=5770&amp;idioma=pt-br" TargetMode="External"/><Relationship Id="rId248" Type="http://schemas.openxmlformats.org/officeDocument/2006/relationships/hyperlink" Target="http://www.bmfbovespa.com.br/cias-listadas/empresas-listadas/ResumoEmpresaPrincipal.aspx?codigoCvm=20982&amp;idioma=pt-br" TargetMode="External"/><Relationship Id="rId269" Type="http://schemas.openxmlformats.org/officeDocument/2006/relationships/hyperlink" Target="http://www.bmfbovespa.com.br/cias-listadas/empresas-listadas/ResumoEmpresaPrincipal.aspx?codigoCvm=14826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08" Type="http://schemas.openxmlformats.org/officeDocument/2006/relationships/hyperlink" Target="http://www.bmfbovespa.com.br/Cias-Listadas/Empresas-Listadas/ResumoEmpresaPrincipal.aspx?codigoCvm=21113&amp;idioma=pt-BR" TargetMode="External"/><Relationship Id="rId129" Type="http://schemas.openxmlformats.org/officeDocument/2006/relationships/hyperlink" Target="http://www.bmfbovespa.com.br/cias-listadas/empresas-listadas/ResumoEmpresaPrincipal.aspx?codigoCvm=17329&amp;idioma=pt-br" TargetMode="External"/><Relationship Id="rId280" Type="http://schemas.openxmlformats.org/officeDocument/2006/relationships/hyperlink" Target="http://www.bmfbovespa.com.br/cias-listadas/empresas-listadas/ResumoEmpresaPrincipal.aspx?codigoCvm=2062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82" Type="http://schemas.openxmlformats.org/officeDocument/2006/relationships/hyperlink" Target="http://www.bmfbovespa.com.br/cias-listadas/empresas-listadas/ResumoEmpresaPrincipal.aspx?codigoCvm=21342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3298&amp;idioma=pt-br" TargetMode="External"/><Relationship Id="rId259" Type="http://schemas.openxmlformats.org/officeDocument/2006/relationships/hyperlink" Target="http://www.bmfbovespa.com.br/cias-listadas/empresas-listadas/ResumoEmpresaPrincipal.aspx?codigoCvm=4057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4524&amp;idioma=pt-br" TargetMode="External"/><Relationship Id="rId270" Type="http://schemas.openxmlformats.org/officeDocument/2006/relationships/hyperlink" Target="http://www.bmfbovespa.com.br/cias-listadas/empresas-listadas/ResumoEmpresaPrincipal.aspx?codigoCvm=14826&amp;idioma=pt-br" TargetMode="External"/><Relationship Id="rId291" Type="http://schemas.openxmlformats.org/officeDocument/2006/relationships/hyperlink" Target="http://www.bmfbovespa.com.br/cias-listadas/empresas-listadas/ResumoEmpresaPrincipal.aspx?codigoCvm=19658&amp;idioma=pt-br" TargetMode="External"/><Relationship Id="rId305" Type="http://schemas.openxmlformats.org/officeDocument/2006/relationships/hyperlink" Target="http://www.bmfbovespa.com.br/cias-listadas/empresas-listadas/ResumoEmpresaPrincipal.aspx?codigoCvm=6505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8376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72" Type="http://schemas.openxmlformats.org/officeDocument/2006/relationships/hyperlink" Target="http://www.bmfbovespa.com.br/cias-listadas/empresas-listadas/ResumoEmpresaPrincipal.aspx?codigoCvm=22799&amp;idioma=pt-br" TargetMode="External"/><Relationship Id="rId193" Type="http://schemas.openxmlformats.org/officeDocument/2006/relationships/hyperlink" Target="http://www.bmfbovespa.com.br/cias-listadas/empresas-listadas/ResumoEmpresaPrincipal.aspx?codigoCvm=6017&amp;idioma=pt-br" TargetMode="External"/><Relationship Id="rId207" Type="http://schemas.openxmlformats.org/officeDocument/2006/relationships/hyperlink" Target="http://www.bmfbovespa.com.br/cias-listadas/empresas-listadas/ResumoEmpresaPrincipal.aspx?codigoCvm=14559&amp;idioma=pt-br" TargetMode="External"/><Relationship Id="rId228" Type="http://schemas.openxmlformats.org/officeDocument/2006/relationships/hyperlink" Target="http://www.bmfbovespa.com.br/cias-listadas/empresas-listadas/ResumoEmpresaPrincipal.aspx?codigoCvm=13412&amp;idioma=pt-br" TargetMode="External"/><Relationship Id="rId249" Type="http://schemas.openxmlformats.org/officeDocument/2006/relationships/hyperlink" Target="http://www.bmfbovespa.com.br/cias-listadas/empresas-listadas/ResumoEmpresaPrincipal.aspx?codigoCvm=19917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260" Type="http://schemas.openxmlformats.org/officeDocument/2006/relationships/hyperlink" Target="http://www.bmfbovespa.com.br/cias-listadas/empresas-listadas/ResumoEmpresaPrincipal.aspx?codigoCvm=8087&amp;idioma=pt-br" TargetMode="External"/><Relationship Id="rId281" Type="http://schemas.openxmlformats.org/officeDocument/2006/relationships/hyperlink" Target="http://www.bmfbovespa.com.br/cias-listadas/empresas-listadas/ResumoEmpresaPrincipal.aspx?codigoCvm=2062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20" Type="http://schemas.openxmlformats.org/officeDocument/2006/relationships/hyperlink" Target="http://www.bmfbovespa.com.br/cias-listadas/empresas-listadas/ResumoEmpresaPrincipal.aspx?codigoCvm=14362&amp;idioma=pt-br" TargetMode="External"/><Relationship Id="rId141" Type="http://schemas.openxmlformats.org/officeDocument/2006/relationships/hyperlink" Target="http://www.bmfbovespa.com.br/cias-listadas/empresas-listadas/ResumoEmpresaPrincipal.aspx?codigoCvm=16616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9348&amp;idioma=pt-br" TargetMode="External"/><Relationship Id="rId183" Type="http://schemas.openxmlformats.org/officeDocument/2006/relationships/hyperlink" Target="http://www.bmfbovespa.com.br/cias-listadas/empresas-listadas/ResumoEmpresaPrincipal.aspx?codigoCvm=3069&amp;idioma=pt-br" TargetMode="External"/><Relationship Id="rId218" Type="http://schemas.openxmlformats.org/officeDocument/2006/relationships/hyperlink" Target="http://www.bmfbovespa.com.br/cias-listadas/empresas-listadas/ResumoEmpresaPrincipal.aspx?codigoCvm=3654&amp;idioma=pt-br" TargetMode="External"/><Relationship Id="rId239" Type="http://schemas.openxmlformats.org/officeDocument/2006/relationships/hyperlink" Target="http://www.bmfbovespa.com.br/cias-listadas/empresas-listadas/ResumoEmpresaPrincipal.aspx?codigoCvm=3298&amp;idioma=pt-br" TargetMode="External"/><Relationship Id="rId250" Type="http://schemas.openxmlformats.org/officeDocument/2006/relationships/hyperlink" Target="http://www.bmfbovespa.com.br/cias-listadas/empresas-listadas/ResumoEmpresaPrincipal.aspx?codigoCvm=19623&amp;idioma=pt-br" TargetMode="External"/><Relationship Id="rId271" Type="http://schemas.openxmlformats.org/officeDocument/2006/relationships/hyperlink" Target="http://www.bmfbovespa.com.br/cias-listadas/empresas-listadas/ResumoEmpresaPrincipal.aspx?codigoCvm=23264&amp;idioma=pt-br" TargetMode="External"/><Relationship Id="rId292" Type="http://schemas.openxmlformats.org/officeDocument/2006/relationships/hyperlink" Target="http://www.bmfbovespa.com.br/cias-listadas/empresas-listadas/ResumoEmpresaPrincipal.aspx?codigoCvm=20745&amp;idioma=pt-br" TargetMode="External"/><Relationship Id="rId306" Type="http://schemas.openxmlformats.org/officeDocument/2006/relationships/hyperlink" Target="http://www.bmfbovespa.com.br/cias-listadas/empresas-listadas/ResumoEmpresaPrincipal.aspx?codigoCvm=6505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15253&amp;idioma=pt-br" TargetMode="External"/><Relationship Id="rId131" Type="http://schemas.openxmlformats.org/officeDocument/2006/relationships/hyperlink" Target="http://www.bmfbovespa.com.br/cias-listadas/empresas-listadas/ResumoEmpresaPrincipal.aspx?codigoCvm=20257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1325&amp;idioma=pt-br" TargetMode="External"/><Relationship Id="rId173" Type="http://schemas.openxmlformats.org/officeDocument/2006/relationships/hyperlink" Target="http://www.bmfbovespa.com.br/cias-listadas/empresas-listadas/ResumoEmpresaPrincipal.aspx?codigoCvm=19992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11231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20621&amp;idioma=pt-br" TargetMode="External"/><Relationship Id="rId229" Type="http://schemas.openxmlformats.org/officeDocument/2006/relationships/hyperlink" Target="http://www.bmfbovespa.com.br/cias-listadas/empresas-listadas/ResumoEmpresaPrincipal.aspx?codigoCvm=8605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3986&amp;idioma=pt-br" TargetMode="External"/><Relationship Id="rId240" Type="http://schemas.openxmlformats.org/officeDocument/2006/relationships/hyperlink" Target="http://www.bmfbovespa.com.br/cias-listadas/empresas-listadas/ResumoEmpresaPrincipal.aspx?codigoCvm=3182&amp;idioma=pt-br" TargetMode="External"/><Relationship Id="rId245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8087&amp;idioma=pt-br" TargetMode="External"/><Relationship Id="rId266" Type="http://schemas.openxmlformats.org/officeDocument/2006/relationships/hyperlink" Target="http://www.bmfbovespa.com.br/cias-listadas/empresas-listadas/ResumoEmpresaPrincipal.aspx?codigoCvm=9342&amp;idioma=pt-br" TargetMode="External"/><Relationship Id="rId287" Type="http://schemas.openxmlformats.org/officeDocument/2006/relationships/hyperlink" Target="http://www.bmfbovespa.com.br/cias-listadas/empresas-listadas/ResumoEmpresaPrincipal.aspx?codigoCvm=13285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6993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18414&amp;idioma=pt-br" TargetMode="External"/><Relationship Id="rId282" Type="http://schemas.openxmlformats.org/officeDocument/2006/relationships/hyperlink" Target="http://www.bmfbovespa.com.br/cias-listadas/empresas-listadas/ResumoEmpresaPrincipal.aspx?codigoCvm=3336&amp;idioma=pt-br" TargetMode="External"/><Relationship Id="rId312" Type="http://schemas.openxmlformats.org/officeDocument/2006/relationships/printerSettings" Target="../printerSettings/printerSettings1.bin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11592&amp;idioma=pt-br" TargetMode="External"/><Relationship Id="rId121" Type="http://schemas.openxmlformats.org/officeDocument/2006/relationships/hyperlink" Target="http://www.bmfbovespa.com.br/cias-listadas/empresas-listadas/ResumoEmpresaPrincipal.aspx?codigoCvm=14869&amp;idioma=pt-br" TargetMode="External"/><Relationship Id="rId142" Type="http://schemas.openxmlformats.org/officeDocument/2006/relationships/hyperlink" Target="http://www.bmfbovespa.com.br/cias-listadas/empresas-listadas/ResumoEmpresaPrincipal.aspx?codigoCvm=15423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35" Type="http://schemas.openxmlformats.org/officeDocument/2006/relationships/hyperlink" Target="http://www.bmfbovespa.com.br/cias-listadas/empresas-listadas/ResumoEmpresaPrincipal.aspx?codigoCvm=21121&amp;idioma=pt-br" TargetMode="External"/><Relationship Id="rId251" Type="http://schemas.openxmlformats.org/officeDocument/2006/relationships/hyperlink" Target="http://www.bmfbovespa.com.br/cias-listadas/empresas-listadas/ResumoEmpresaPrincipal.aspx?codigoCvm=21881&amp;idioma=pt-br" TargetMode="External"/><Relationship Id="rId256" Type="http://schemas.openxmlformats.org/officeDocument/2006/relationships/hyperlink" Target="http://www.bmfbovespa.com.br/cias-listadas/empresas-listadas/ResumoEmpresaPrincipal.aspx?codigoCvm=19550&amp;idioma=pt-br" TargetMode="External"/><Relationship Id="rId277" Type="http://schemas.openxmlformats.org/officeDocument/2006/relationships/hyperlink" Target="http://www.bmfbovespa.com.br/cias-listadas/empresas-listadas/ResumoEmpresaPrincipal.aspx?codigoCvm=1570&amp;idioma=pt-br" TargetMode="External"/><Relationship Id="rId298" Type="http://schemas.openxmlformats.org/officeDocument/2006/relationships/hyperlink" Target="http://www.bmfbovespa.com.br/cias-listadas/empresas-listadas/ResumoEmpresaPrincipal.aspx?codigoCvm=1694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om.br/cias-listadas/empresas-listadas/ResumoEmpresaPrincipal.aspx?codigoCvm=2461&amp;idioma=pt-br" TargetMode="External"/><Relationship Id="rId137" Type="http://schemas.openxmlformats.org/officeDocument/2006/relationships/hyperlink" Target="http://www.bmfbovespa.com.br/cias-listadas/empresas-listadas/ResumoEmpresaPrincipal.aspx?codigoCvm=18627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72" Type="http://schemas.openxmlformats.org/officeDocument/2006/relationships/hyperlink" Target="http://www.bmfbovespa.com.br/cias-listadas/empresas-listadas/ResumoEmpresaPrincipal.aspx?codigoCvm=22772&amp;idioma=pt-br" TargetMode="External"/><Relationship Id="rId293" Type="http://schemas.openxmlformats.org/officeDocument/2006/relationships/hyperlink" Target="http://www.bmfbovespa.com.br/cias-listadas/empresas-listadas/ResumoEmpresaPrincipal.aspx?codigoCvm=23310&amp;idioma=pt-br" TargetMode="External"/><Relationship Id="rId302" Type="http://schemas.openxmlformats.org/officeDocument/2006/relationships/hyperlink" Target="http://www.bmfbovespa.com.br/cias-listadas/empresas-listadas/ResumoEmpresaPrincipal.aspx?codigoCvm=1970&amp;idioma=pt-br" TargetMode="External"/><Relationship Id="rId307" Type="http://schemas.openxmlformats.org/officeDocument/2006/relationships/hyperlink" Target="http://www.bmfbovespa.com.br/cias-listadas/empresas-listadas/ResumoEmpresaPrincipal.aspx?codigoCvm=6505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3204&amp;idioma=pt-BR" TargetMode="External"/><Relationship Id="rId132" Type="http://schemas.openxmlformats.org/officeDocument/2006/relationships/hyperlink" Target="http://www.bmfbovespa.com.br/Cias-Listadas/Empresas-Listadas/ResumoEmpresaPrincipal.aspx?codigoCvm=22128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20656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8397&amp;idioma=pt-br" TargetMode="External"/><Relationship Id="rId209" Type="http://schemas.openxmlformats.org/officeDocument/2006/relationships/hyperlink" Target="http://www.bmfbovespa.com.br/cias-listadas/empresas-listadas/ResumoEmpresaPrincipal.aspx?codigoCvm=21334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4359&amp;idioma=pt-br" TargetMode="External"/><Relationship Id="rId220" Type="http://schemas.openxmlformats.org/officeDocument/2006/relationships/hyperlink" Target="http://www.bmfbovespa.com.br/cias-listadas/empresas-listadas/ResumoEmpresaPrincipal.aspx?codigoCvm=12793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3182&amp;idioma=pt-br" TargetMode="External"/><Relationship Id="rId246" Type="http://schemas.openxmlformats.org/officeDocument/2006/relationships/hyperlink" Target="http://www.bmfbovespa.com.br/cias-listadas/empresas-listadas/ResumoEmpresaPrincipal.aspx?codigoCvm=4863&amp;idioma=pt-br" TargetMode="External"/><Relationship Id="rId267" Type="http://schemas.openxmlformats.org/officeDocument/2006/relationships/hyperlink" Target="http://www.bmfbovespa.com.br/cias-listadas/empresas-listadas/ResumoEmpresaPrincipal.aspx?codigoCvm=9342&amp;idioma=pt-br" TargetMode="External"/><Relationship Id="rId288" Type="http://schemas.openxmlformats.org/officeDocument/2006/relationships/hyperlink" Target="http://www.bmfbovespa.com.br/cias-listadas/empresas-listadas/ResumoEmpresaPrincipal.aspx?codigoCvm=20338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20&amp;idioma=pt-BR" TargetMode="External"/><Relationship Id="rId127" Type="http://schemas.openxmlformats.org/officeDocument/2006/relationships/hyperlink" Target="http://www.bmfbovespa.com.br/cias-listadas/empresas-listadas/ResumoEmpresaPrincipal.aspx?codigoCvm=21237&amp;idioma=pt-br" TargetMode="External"/><Relationship Id="rId262" Type="http://schemas.openxmlformats.org/officeDocument/2006/relationships/hyperlink" Target="http://www.bmfbovespa.com.br/cias-listadas/empresas-listadas/ResumoEmpresaPrincipal.aspx?codigoCvm=20990&amp;idioma=pt-br" TargetMode="External"/><Relationship Id="rId283" Type="http://schemas.openxmlformats.org/officeDocument/2006/relationships/hyperlink" Target="http://www.bmfbovespa.com.br/cias-listadas/empresas-listadas/ResumoEmpresaPrincipal.aspx?codigoCvm=3336&amp;idioma=pt-br" TargetMode="External"/><Relationship Id="rId313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20958&amp;idioma=pt-br" TargetMode="External"/><Relationship Id="rId101" Type="http://schemas.openxmlformats.org/officeDocument/2006/relationships/hyperlink" Target="http://www.bmfbovespa.com.br/Cias-Listadas/Empresas-Listadas/ResumoEmpresaPrincipal.aspx?codigoCvm=906&amp;idioma=pt-br" TargetMode="External"/><Relationship Id="rId122" Type="http://schemas.openxmlformats.org/officeDocument/2006/relationships/hyperlink" Target="http://www.bmfbovespa.com.br/cias-listadas/empresas-listadas/ResumoEmpresaPrincipal.aspx?codigoCvm=16608&amp;idioma=pt-br" TargetMode="External"/><Relationship Id="rId143" Type="http://schemas.openxmlformats.org/officeDocument/2006/relationships/hyperlink" Target="http://www.bmfbovespa.com.br/Cias-Listadas/Empresas-Listadas/ResumoEmpresaPrincipal.aspx?codigoCvm=17647&amp;idioma=pt-BR" TargetMode="External"/><Relationship Id="rId148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20729&amp;idioma=pt-br" TargetMode="External"/><Relationship Id="rId169" Type="http://schemas.openxmlformats.org/officeDocument/2006/relationships/hyperlink" Target="http://www.bmfbovespa.com.br/cias-listadas/empresas-listadas/ResumoEmpresaPrincipal.aspx?codigoCvm=23035&amp;idioma=pt-br" TargetMode="External"/><Relationship Id="rId185" Type="http://schemas.openxmlformats.org/officeDocument/2006/relationships/hyperlink" Target="http://www.bmfbovespa.com.br/cias-listadas/empresas-listadas/ResumoEmpresaPrincipal.aspx?codigoCvm=403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989&amp;idioma=pt-br" TargetMode="External"/><Relationship Id="rId210" Type="http://schemas.openxmlformats.org/officeDocument/2006/relationships/hyperlink" Target="http://www.bmfbovespa.com.br/cias-listadas/empresas-listadas/ResumoEmpresaPrincipal.aspx?codigoCvm=2018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36" Type="http://schemas.openxmlformats.org/officeDocument/2006/relationships/hyperlink" Target="http://www.bmfbovespa.com.br/cias-listadas/empresas-listadas/ResumoEmpresaPrincipal.aspx?codigoCvm=15458&amp;idioma=pt-br" TargetMode="External"/><Relationship Id="rId257" Type="http://schemas.openxmlformats.org/officeDocument/2006/relationships/hyperlink" Target="http://www.bmfbovespa.com.br/cias-listadas/empresas-listadas/ResumoEmpresaPrincipal.aspx?codigoCvm=12190&amp;idioma=pt-br" TargetMode="External"/><Relationship Id="rId278" Type="http://schemas.openxmlformats.org/officeDocument/2006/relationships/hyperlink" Target="http://www.bmfbovespa.com.br/cias-listadas/empresas-listadas/ResumoEmpresaPrincipal.aspx?codigoCvm=20931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18708&amp;idioma=pt-br" TargetMode="External"/><Relationship Id="rId252" Type="http://schemas.openxmlformats.org/officeDocument/2006/relationships/hyperlink" Target="http://www.bmfbovespa.com.br/cias-listadas/empresas-listadas/ResumoEmpresaPrincipal.aspx?codigoCvm=20125&amp;idioma=pt-br" TargetMode="External"/><Relationship Id="rId273" Type="http://schemas.openxmlformats.org/officeDocument/2006/relationships/hyperlink" Target="http://www.bmfbovespa.com.br/cias-listadas/empresas-listadas/ResumoEmpresaPrincipal.aspx?codigoCvm=18490&amp;idioma=pt-br" TargetMode="External"/><Relationship Id="rId294" Type="http://schemas.openxmlformats.org/officeDocument/2006/relationships/hyperlink" Target="http://www.bmfbovespa.com.br/cias-listadas/empresas-listadas/ResumoEmpresaPrincipal.aspx?codigoCvm=9415&amp;idioma=pt-br" TargetMode="External"/><Relationship Id="rId308" Type="http://schemas.openxmlformats.org/officeDocument/2006/relationships/hyperlink" Target="http://www.bmfbovespa.com.br/cias-listadas/empresas-listadas/ResumoEmpresaPrincipal.aspx?codigoCvm=6815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18350&amp;idioma=pt-br" TargetMode="External"/><Relationship Id="rId133" Type="http://schemas.openxmlformats.org/officeDocument/2006/relationships/hyperlink" Target="http://www.bmfbovespa.com.br/cias-listadas/empresas-listadas/ResumoEmpresaPrincipal.aspx?codigoCvm=17485&amp;idioma=pt-br" TargetMode="External"/><Relationship Id="rId154" Type="http://schemas.openxmlformats.org/officeDocument/2006/relationships/hyperlink" Target="http://www.bmfbovespa.com.br/cias-listadas/empresas-listadas/ResumoEmpresaPrincipal.aspx?codigoCvm=21199&amp;idioma=pt-br" TargetMode="External"/><Relationship Id="rId175" Type="http://schemas.openxmlformats.org/officeDocument/2006/relationships/hyperlink" Target="http://www.bmfbovespa.com.br/cias-listadas/empresas-listadas/ResumoEmpresaPrincipal.aspx?codigoCvm=12530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9393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653&amp;idioma=pt-br" TargetMode="External"/><Relationship Id="rId242" Type="http://schemas.openxmlformats.org/officeDocument/2006/relationships/hyperlink" Target="http://www.bmfbovespa.com.br/cias-listadas/empresas-listadas/ResumoEmpresaPrincipal.aspx?codigoCvm=12319&amp;idioma=pt-br" TargetMode="External"/><Relationship Id="rId263" Type="http://schemas.openxmlformats.org/officeDocument/2006/relationships/hyperlink" Target="http://www.bmfbovespa.com.br/cias-listadas/empresas-listadas/ResumoEmpresaPrincipal.aspx?codigoCvm=21431&amp;idioma=pt-br" TargetMode="External"/><Relationship Id="rId284" Type="http://schemas.openxmlformats.org/officeDocument/2006/relationships/hyperlink" Target="http://www.bmfbovespa.com.br/cias-listadas/empresas-listadas/ResumoEmpresaPrincipal.aspx?codigoCvm=3336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8660&amp;idioma=pt-br" TargetMode="External"/><Relationship Id="rId144" Type="http://schemas.openxmlformats.org/officeDocument/2006/relationships/hyperlink" Target="http://www.bmfbovespa.com.br/cias-listadas/empresas-listadas/ResumoEmpresaPrincipal.aspx?codigoCvm=8672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14320&amp;idioma=pt-br" TargetMode="External"/><Relationship Id="rId211" Type="http://schemas.openxmlformats.org/officeDocument/2006/relationships/hyperlink" Target="http://www.bmfbovespa.com.br/cias-listadas/empresas-listadas/ResumoEmpresaPrincipal.aspx?codigoCvm=4170&amp;idioma=pt-br" TargetMode="External"/><Relationship Id="rId232" Type="http://schemas.openxmlformats.org/officeDocument/2006/relationships/hyperlink" Target="http://www.bmfbovespa.com.br/cias-listadas/empresas-listadas/ResumoEmpresaPrincipal.aspx?codigoCvm=18708&amp;idioma=pt-br" TargetMode="External"/><Relationship Id="rId253" Type="http://schemas.openxmlformats.org/officeDocument/2006/relationships/hyperlink" Target="http://www.bmfbovespa.com.br/cias-listadas/empresas-listadas/ResumoEmpresaPrincipal.aspx?codigoCvm=22497&amp;idioma=pt-br" TargetMode="External"/><Relationship Id="rId274" Type="http://schemas.openxmlformats.org/officeDocument/2006/relationships/hyperlink" Target="http://www.bmfbovespa.com.br/cias-listadas/empresas-listadas/ResumoEmpresaPrincipal.aspx?codigoCvm=18490&amp;idioma=pt-br" TargetMode="External"/><Relationship Id="rId295" Type="http://schemas.openxmlformats.org/officeDocument/2006/relationships/hyperlink" Target="http://www.bmfbovespa.com.br/cias-listadas/empresas-listadas/ResumoEmpresaPrincipal.aspx?codigoCvm=9415&amp;idioma=pt-br" TargetMode="External"/><Relationship Id="rId309" Type="http://schemas.openxmlformats.org/officeDocument/2006/relationships/hyperlink" Target="http://www.bmfbovespa.com.br/cias-listadas/empresas-listadas/ResumoEmpresaPrincipal.aspx?codigoCvm=14761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22179&amp;idioma=pt-br" TargetMode="External"/><Relationship Id="rId134" Type="http://schemas.openxmlformats.org/officeDocument/2006/relationships/hyperlink" Target="http://www.bmfbovespa.com.br/cias-listadas/empresas-listadas/ResumoEmpresaPrincipal.aspx?codigoCvm=16861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6" Type="http://schemas.openxmlformats.org/officeDocument/2006/relationships/hyperlink" Target="http://www.bmfbovespa.com.br/cias-listadas/empresas-listadas/ResumoEmpresaPrincipal.aspx?codigoCvm=20362&amp;idioma=pt-br" TargetMode="External"/><Relationship Id="rId197" Type="http://schemas.openxmlformats.org/officeDocument/2006/relationships/hyperlink" Target="http://www.bmfbovespa.com.br/cias-listadas/empresas-listadas/ResumoEmpresaPrincipal.aspx?codigoCvm=8648&amp;idioma=pt-br" TargetMode="External"/><Relationship Id="rId201" Type="http://schemas.openxmlformats.org/officeDocument/2006/relationships/hyperlink" Target="http://www.bmfbovespa.com.br/cias-listadas/empresas-listadas/ResumoEmpresaPrincipal.aspx?codigoCvm=11398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243" Type="http://schemas.openxmlformats.org/officeDocument/2006/relationships/hyperlink" Target="http://www.bmfbovespa.com.br/cias-listadas/empresas-listadas/ResumoEmpresaPrincipal.aspx?codigoCvm=12319&amp;idioma=pt-br" TargetMode="External"/><Relationship Id="rId264" Type="http://schemas.openxmlformats.org/officeDocument/2006/relationships/hyperlink" Target="http://www.bmfbovespa.com.br/cias-listadas/empresas-listadas/ResumoEmpresaPrincipal.aspx?codigoCvm=5258&amp;idioma=pt-br" TargetMode="External"/><Relationship Id="rId285" Type="http://schemas.openxmlformats.org/officeDocument/2006/relationships/hyperlink" Target="http://www.bmfbovespa.com.br/cias-listadas/empresas-listadas/ResumoEmpresaPrincipal.aspx?codigoCvm=22136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22&amp;idioma=pt-br" TargetMode="External"/><Relationship Id="rId124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10" Type="http://schemas.openxmlformats.org/officeDocument/2006/relationships/hyperlink" Target="http://www.bmfbovespa.com.br/cias-listadas/empresas-listadas/ResumoEmpresaPrincipal.aspx?codigoCvm=3077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6" Type="http://schemas.openxmlformats.org/officeDocument/2006/relationships/hyperlink" Target="http://www.bmfbovespa.com.br/cias-listadas/empresas-listadas/ResumoEmpresaPrincipal.aspx?codigoCvm=7617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7914&amp;idioma=pt-br" TargetMode="External"/><Relationship Id="rId233" Type="http://schemas.openxmlformats.org/officeDocument/2006/relationships/hyperlink" Target="http://www.bmfbovespa.com.br/cias-listadas/empresas-listadas/ResumoEmpresaPrincipal.aspx?codigoCvm=16659&amp;idioma=pt-br" TargetMode="External"/><Relationship Id="rId254" Type="http://schemas.openxmlformats.org/officeDocument/2006/relationships/hyperlink" Target="http://www.bmfbovespa.com.br/cias-listadas/empresas-listadas/ResumoEmpresaPrincipal.aspx?codigoCvm=2014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3050&amp;idioma=pt-br" TargetMode="External"/><Relationship Id="rId275" Type="http://schemas.openxmlformats.org/officeDocument/2006/relationships/hyperlink" Target="http://www.bmfbovespa.com.br/cias-listadas/empresas-listadas/ResumoEmpresaPrincipal.aspx?codigoCvm=13765&amp;idioma=pt-br" TargetMode="External"/><Relationship Id="rId296" Type="http://schemas.openxmlformats.org/officeDocument/2006/relationships/hyperlink" Target="http://www.bmfbovespa.com.br/cias-listadas/empresas-listadas/ResumoEmpresaPrincipal.aspx?codigoCvm=9415&amp;idioma=pt-br" TargetMode="External"/><Relationship Id="rId300" Type="http://schemas.openxmlformats.org/officeDocument/2006/relationships/hyperlink" Target="http://www.bmfbovespa.com.br/cias-listadas/empresas-listadas/ResumoEmpresaPrincipal.aspx?codigoCvm=14346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6" Type="http://schemas.openxmlformats.org/officeDocument/2006/relationships/hyperlink" Target="http://www.bmfbovespa.com.br/cias-listadas/empresas-listadas/ResumoEmpresaPrincipal.aspx?codigoCvm=80063&amp;idioma=pt-br" TargetMode="External"/><Relationship Id="rId177" Type="http://schemas.openxmlformats.org/officeDocument/2006/relationships/hyperlink" Target="http://www.bmfbovespa.com.br/cias-listadas/empresas-listadas/ResumoEmpresaPrincipal.aspx?codigoCvm=20168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44" Type="http://schemas.openxmlformats.org/officeDocument/2006/relationships/hyperlink" Target="http://www.bmfbovespa.com.br/cias-listadas/empresas-listadas/ResumoEmpresaPrincipal.aspx?codigoCvm=2003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65" Type="http://schemas.openxmlformats.org/officeDocument/2006/relationships/hyperlink" Target="http://www.bmfbovespa.com.br/cias-listadas/empresas-listadas/ResumoEmpresaPrincipal.aspx?codigoCvm=22500&amp;idioma=pt-br" TargetMode="External"/><Relationship Id="rId286" Type="http://schemas.openxmlformats.org/officeDocument/2006/relationships/hyperlink" Target="http://www.bmfbovespa.com.br/cias-listadas/empresas-listadas/ResumoEmpresaPrincipal.aspx?codigoCvm=13285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104" Type="http://schemas.openxmlformats.org/officeDocument/2006/relationships/hyperlink" Target="http://www.bmfbovespa.com.br/Cias-Listadas/Empresas-Listadas/ResumoEmpresaPrincipal.aspx?codigoCvm=1155&amp;idioma=pt-BR" TargetMode="External"/><Relationship Id="rId125" Type="http://schemas.openxmlformats.org/officeDocument/2006/relationships/hyperlink" Target="http://www.bmfbovespa.com.br/cias-listadas/empresas-listadas/ResumoEmpresaPrincipal.aspx?codigoCvm=15784&amp;idioma=pt-br" TargetMode="External"/><Relationship Id="rId146" Type="http://schemas.openxmlformats.org/officeDocument/2006/relationships/hyperlink" Target="http://www.bmfbovespa.com.br/cias-listadas/empresas-listadas/ResumoEmpresaPrincipal.aspx?codigoCvm=1226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311" Type="http://schemas.openxmlformats.org/officeDocument/2006/relationships/hyperlink" Target="http://www.bmfbovespa.com.br/cias-listadas/empresas-listadas/ResumoEmpresaPrincipal.aspx?codigoCvm=3077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213" Type="http://schemas.openxmlformats.org/officeDocument/2006/relationships/hyperlink" Target="http://www.bmfbovespa.com.br/cias-listadas/empresas-listadas/ResumoEmpresaPrincipal.aspx?codigoCvm=12696&amp;idioma=pt-br" TargetMode="External"/><Relationship Id="rId234" Type="http://schemas.openxmlformats.org/officeDocument/2006/relationships/hyperlink" Target="http://www.bmfbovespa.com.br/cias-listadas/empresas-listadas/ResumoEmpresaPrincipal.aspx?codigoCvm=21121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5" Type="http://schemas.openxmlformats.org/officeDocument/2006/relationships/hyperlink" Target="http://www.bmfbovespa.com.br/cias-listadas/empresas-listadas/ResumoEmpresaPrincipal.aspx?codigoCvm=19305&amp;idioma=pt-br" TargetMode="External"/><Relationship Id="rId276" Type="http://schemas.openxmlformats.org/officeDocument/2006/relationships/hyperlink" Target="http://www.bmfbovespa.com.br/cias-listadas/empresas-listadas/ResumoEmpresaPrincipal.aspx?codigoCvm=1570&amp;idioma=pt-br" TargetMode="External"/><Relationship Id="rId297" Type="http://schemas.openxmlformats.org/officeDocument/2006/relationships/hyperlink" Target="http://www.bmfbovespa.com.br/cias-listadas/empresas-listadas/ResumoEmpresaPrincipal.aspx?codigoCvm=22454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115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6" Type="http://schemas.openxmlformats.org/officeDocument/2006/relationships/hyperlink" Target="http://www.bmfbovespa.com.br/cias-listadas/empresas-listadas/ResumoEmpresaPrincipal.aspx?codigoCvm=19445&amp;idioma=pt-br" TargetMode="External"/><Relationship Id="rId157" Type="http://schemas.openxmlformats.org/officeDocument/2006/relationships/hyperlink" Target="http://www.bmfbovespa.com.br/cias-listadas/empresas-listadas/ResumoEmpresaPrincipal.aspx?codigoCvm=20532&amp;idioma=pt-br" TargetMode="External"/><Relationship Id="rId178" Type="http://schemas.openxmlformats.org/officeDocument/2006/relationships/hyperlink" Target="http://www.bmfbovespa.com.br/cias-listadas/empresas-listadas/ResumoEmpresaPrincipal.aspx?codigoCvm=9512&amp;idioma=pt-br" TargetMode="External"/><Relationship Id="rId301" Type="http://schemas.openxmlformats.org/officeDocument/2006/relationships/hyperlink" Target="http://www.bmfbovespa.com.br/cias-listadas/empresas-listadas/ResumoEmpresaPrincipal.aspx?codigoCvm=14346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26" Type="http://schemas.openxmlformats.org/officeDocument/2006/relationships/queryTable" Target="../queryTables/queryTable22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2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82" Type="http://schemas.openxmlformats.org/officeDocument/2006/relationships/queryTable" Target="../queryTables/queryTable177.xml"/><Relationship Id="rId187" Type="http://schemas.openxmlformats.org/officeDocument/2006/relationships/queryTable" Target="../queryTables/queryTable182.xml"/><Relationship Id="rId217" Type="http://schemas.openxmlformats.org/officeDocument/2006/relationships/queryTable" Target="../queryTables/queryTable21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38" Type="http://schemas.openxmlformats.org/officeDocument/2006/relationships/queryTable" Target="../queryTables/queryTable233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44" Type="http://schemas.openxmlformats.org/officeDocument/2006/relationships/queryTable" Target="../queryTables/queryTable39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2" Type="http://schemas.openxmlformats.org/officeDocument/2006/relationships/queryTable" Target="../queryTables/queryTable197.xml"/><Relationship Id="rId207" Type="http://schemas.openxmlformats.org/officeDocument/2006/relationships/queryTable" Target="../queryTables/queryTable202.xml"/><Relationship Id="rId223" Type="http://schemas.openxmlformats.org/officeDocument/2006/relationships/queryTable" Target="../queryTables/queryTable218.xml"/><Relationship Id="rId228" Type="http://schemas.openxmlformats.org/officeDocument/2006/relationships/queryTable" Target="../queryTables/queryTable22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3" Type="http://schemas.openxmlformats.org/officeDocument/2006/relationships/queryTable" Target="../queryTables/queryTable208.xml"/><Relationship Id="rId218" Type="http://schemas.openxmlformats.org/officeDocument/2006/relationships/queryTable" Target="../queryTables/queryTable213.xml"/><Relationship Id="rId234" Type="http://schemas.openxmlformats.org/officeDocument/2006/relationships/queryTable" Target="../queryTables/queryTable229.xml"/><Relationship Id="rId239" Type="http://schemas.openxmlformats.org/officeDocument/2006/relationships/queryTable" Target="../queryTables/queryTable23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0" Type="http://schemas.openxmlformats.org/officeDocument/2006/relationships/queryTable" Target="../queryTables/queryTable235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9.xml"/><Relationship Id="rId230" Type="http://schemas.openxmlformats.org/officeDocument/2006/relationships/queryTable" Target="../queryTables/queryTable225.xml"/><Relationship Id="rId235" Type="http://schemas.openxmlformats.org/officeDocument/2006/relationships/queryTable" Target="../queryTables/queryTable230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241" Type="http://schemas.openxmlformats.org/officeDocument/2006/relationships/queryTable" Target="../queryTables/queryTable236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8.xml"/><Relationship Id="rId299" Type="http://schemas.openxmlformats.org/officeDocument/2006/relationships/queryTable" Target="../queryTables/queryTable530.xml"/><Relationship Id="rId303" Type="http://schemas.openxmlformats.org/officeDocument/2006/relationships/queryTable" Target="../queryTables/queryTable534.xml"/><Relationship Id="rId21" Type="http://schemas.openxmlformats.org/officeDocument/2006/relationships/queryTable" Target="../queryTables/queryTable252.xml"/><Relationship Id="rId42" Type="http://schemas.openxmlformats.org/officeDocument/2006/relationships/queryTable" Target="../queryTables/queryTable273.xml"/><Relationship Id="rId63" Type="http://schemas.openxmlformats.org/officeDocument/2006/relationships/queryTable" Target="../queryTables/queryTable294.xml"/><Relationship Id="rId84" Type="http://schemas.openxmlformats.org/officeDocument/2006/relationships/queryTable" Target="../queryTables/queryTable315.xml"/><Relationship Id="rId138" Type="http://schemas.openxmlformats.org/officeDocument/2006/relationships/queryTable" Target="../queryTables/queryTable369.xml"/><Relationship Id="rId159" Type="http://schemas.openxmlformats.org/officeDocument/2006/relationships/queryTable" Target="../queryTables/queryTable390.xml"/><Relationship Id="rId324" Type="http://schemas.openxmlformats.org/officeDocument/2006/relationships/queryTable" Target="../queryTables/queryTable555.xml"/><Relationship Id="rId345" Type="http://schemas.openxmlformats.org/officeDocument/2006/relationships/queryTable" Target="../queryTables/queryTable576.xml"/><Relationship Id="rId170" Type="http://schemas.openxmlformats.org/officeDocument/2006/relationships/queryTable" Target="../queryTables/queryTable401.xml"/><Relationship Id="rId191" Type="http://schemas.openxmlformats.org/officeDocument/2006/relationships/queryTable" Target="../queryTables/queryTable422.xml"/><Relationship Id="rId205" Type="http://schemas.openxmlformats.org/officeDocument/2006/relationships/queryTable" Target="../queryTables/queryTable436.xml"/><Relationship Id="rId226" Type="http://schemas.openxmlformats.org/officeDocument/2006/relationships/queryTable" Target="../queryTables/queryTable457.xml"/><Relationship Id="rId247" Type="http://schemas.openxmlformats.org/officeDocument/2006/relationships/queryTable" Target="../queryTables/queryTable478.xml"/><Relationship Id="rId107" Type="http://schemas.openxmlformats.org/officeDocument/2006/relationships/queryTable" Target="../queryTables/queryTable338.xml"/><Relationship Id="rId268" Type="http://schemas.openxmlformats.org/officeDocument/2006/relationships/queryTable" Target="../queryTables/queryTable499.xml"/><Relationship Id="rId289" Type="http://schemas.openxmlformats.org/officeDocument/2006/relationships/queryTable" Target="../queryTables/queryTable520.xml"/><Relationship Id="rId11" Type="http://schemas.openxmlformats.org/officeDocument/2006/relationships/queryTable" Target="../queryTables/queryTable242.xml"/><Relationship Id="rId32" Type="http://schemas.openxmlformats.org/officeDocument/2006/relationships/queryTable" Target="../queryTables/queryTable263.xml"/><Relationship Id="rId53" Type="http://schemas.openxmlformats.org/officeDocument/2006/relationships/queryTable" Target="../queryTables/queryTable284.xml"/><Relationship Id="rId74" Type="http://schemas.openxmlformats.org/officeDocument/2006/relationships/queryTable" Target="../queryTables/queryTable305.xml"/><Relationship Id="rId128" Type="http://schemas.openxmlformats.org/officeDocument/2006/relationships/queryTable" Target="../queryTables/queryTable359.xml"/><Relationship Id="rId149" Type="http://schemas.openxmlformats.org/officeDocument/2006/relationships/queryTable" Target="../queryTables/queryTable380.xml"/><Relationship Id="rId314" Type="http://schemas.openxmlformats.org/officeDocument/2006/relationships/queryTable" Target="../queryTables/queryTable545.xml"/><Relationship Id="rId335" Type="http://schemas.openxmlformats.org/officeDocument/2006/relationships/queryTable" Target="../queryTables/queryTable566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326.xml"/><Relationship Id="rId160" Type="http://schemas.openxmlformats.org/officeDocument/2006/relationships/queryTable" Target="../queryTables/queryTable391.xml"/><Relationship Id="rId181" Type="http://schemas.openxmlformats.org/officeDocument/2006/relationships/queryTable" Target="../queryTables/queryTable412.xml"/><Relationship Id="rId216" Type="http://schemas.openxmlformats.org/officeDocument/2006/relationships/queryTable" Target="../queryTables/queryTable447.xml"/><Relationship Id="rId237" Type="http://schemas.openxmlformats.org/officeDocument/2006/relationships/queryTable" Target="../queryTables/queryTable468.xml"/><Relationship Id="rId258" Type="http://schemas.openxmlformats.org/officeDocument/2006/relationships/queryTable" Target="../queryTables/queryTable489.xml"/><Relationship Id="rId279" Type="http://schemas.openxmlformats.org/officeDocument/2006/relationships/queryTable" Target="../queryTables/queryTable510.xml"/><Relationship Id="rId22" Type="http://schemas.openxmlformats.org/officeDocument/2006/relationships/queryTable" Target="../queryTables/queryTable253.xml"/><Relationship Id="rId43" Type="http://schemas.openxmlformats.org/officeDocument/2006/relationships/queryTable" Target="../queryTables/queryTable274.xml"/><Relationship Id="rId64" Type="http://schemas.openxmlformats.org/officeDocument/2006/relationships/queryTable" Target="../queryTables/queryTable295.xml"/><Relationship Id="rId118" Type="http://schemas.openxmlformats.org/officeDocument/2006/relationships/queryTable" Target="../queryTables/queryTable349.xml"/><Relationship Id="rId139" Type="http://schemas.openxmlformats.org/officeDocument/2006/relationships/queryTable" Target="../queryTables/queryTable370.xml"/><Relationship Id="rId290" Type="http://schemas.openxmlformats.org/officeDocument/2006/relationships/queryTable" Target="../queryTables/queryTable521.xml"/><Relationship Id="rId304" Type="http://schemas.openxmlformats.org/officeDocument/2006/relationships/queryTable" Target="../queryTables/queryTable535.xml"/><Relationship Id="rId325" Type="http://schemas.openxmlformats.org/officeDocument/2006/relationships/queryTable" Target="../queryTables/queryTable556.xml"/><Relationship Id="rId85" Type="http://schemas.openxmlformats.org/officeDocument/2006/relationships/queryTable" Target="../queryTables/queryTable316.xml"/><Relationship Id="rId150" Type="http://schemas.openxmlformats.org/officeDocument/2006/relationships/queryTable" Target="../queryTables/queryTable381.xml"/><Relationship Id="rId171" Type="http://schemas.openxmlformats.org/officeDocument/2006/relationships/queryTable" Target="../queryTables/queryTable402.xml"/><Relationship Id="rId192" Type="http://schemas.openxmlformats.org/officeDocument/2006/relationships/queryTable" Target="../queryTables/queryTable423.xml"/><Relationship Id="rId206" Type="http://schemas.openxmlformats.org/officeDocument/2006/relationships/queryTable" Target="../queryTables/queryTable437.xml"/><Relationship Id="rId227" Type="http://schemas.openxmlformats.org/officeDocument/2006/relationships/queryTable" Target="../queryTables/queryTable458.xml"/><Relationship Id="rId248" Type="http://schemas.openxmlformats.org/officeDocument/2006/relationships/queryTable" Target="../queryTables/queryTable479.xml"/><Relationship Id="rId269" Type="http://schemas.openxmlformats.org/officeDocument/2006/relationships/queryTable" Target="../queryTables/queryTable500.xml"/><Relationship Id="rId12" Type="http://schemas.openxmlformats.org/officeDocument/2006/relationships/queryTable" Target="../queryTables/queryTable243.xml"/><Relationship Id="rId33" Type="http://schemas.openxmlformats.org/officeDocument/2006/relationships/queryTable" Target="../queryTables/queryTable264.xml"/><Relationship Id="rId108" Type="http://schemas.openxmlformats.org/officeDocument/2006/relationships/queryTable" Target="../queryTables/queryTable339.xml"/><Relationship Id="rId129" Type="http://schemas.openxmlformats.org/officeDocument/2006/relationships/queryTable" Target="../queryTables/queryTable360.xml"/><Relationship Id="rId280" Type="http://schemas.openxmlformats.org/officeDocument/2006/relationships/queryTable" Target="../queryTables/queryTable511.xml"/><Relationship Id="rId315" Type="http://schemas.openxmlformats.org/officeDocument/2006/relationships/queryTable" Target="../queryTables/queryTable546.xml"/><Relationship Id="rId336" Type="http://schemas.openxmlformats.org/officeDocument/2006/relationships/queryTable" Target="../queryTables/queryTable567.xml"/><Relationship Id="rId54" Type="http://schemas.openxmlformats.org/officeDocument/2006/relationships/queryTable" Target="../queryTables/queryTable285.xml"/><Relationship Id="rId75" Type="http://schemas.openxmlformats.org/officeDocument/2006/relationships/queryTable" Target="../queryTables/queryTable306.xml"/><Relationship Id="rId96" Type="http://schemas.openxmlformats.org/officeDocument/2006/relationships/queryTable" Target="../queryTables/queryTable327.xml"/><Relationship Id="rId140" Type="http://schemas.openxmlformats.org/officeDocument/2006/relationships/queryTable" Target="../queryTables/queryTable371.xml"/><Relationship Id="rId161" Type="http://schemas.openxmlformats.org/officeDocument/2006/relationships/queryTable" Target="../queryTables/queryTable392.xml"/><Relationship Id="rId182" Type="http://schemas.openxmlformats.org/officeDocument/2006/relationships/queryTable" Target="../queryTables/queryTable413.xml"/><Relationship Id="rId217" Type="http://schemas.openxmlformats.org/officeDocument/2006/relationships/queryTable" Target="../queryTables/queryTable448.xml"/><Relationship Id="rId6" Type="http://schemas.openxmlformats.org/officeDocument/2006/relationships/queryTable" Target="../queryTables/queryTable237.xml"/><Relationship Id="rId238" Type="http://schemas.openxmlformats.org/officeDocument/2006/relationships/queryTable" Target="../queryTables/queryTable469.xml"/><Relationship Id="rId259" Type="http://schemas.openxmlformats.org/officeDocument/2006/relationships/queryTable" Target="../queryTables/queryTable490.xml"/><Relationship Id="rId23" Type="http://schemas.openxmlformats.org/officeDocument/2006/relationships/queryTable" Target="../queryTables/queryTable254.xml"/><Relationship Id="rId119" Type="http://schemas.openxmlformats.org/officeDocument/2006/relationships/queryTable" Target="../queryTables/queryTable350.xml"/><Relationship Id="rId270" Type="http://schemas.openxmlformats.org/officeDocument/2006/relationships/queryTable" Target="../queryTables/queryTable501.xml"/><Relationship Id="rId291" Type="http://schemas.openxmlformats.org/officeDocument/2006/relationships/queryTable" Target="../queryTables/queryTable522.xml"/><Relationship Id="rId305" Type="http://schemas.openxmlformats.org/officeDocument/2006/relationships/queryTable" Target="../queryTables/queryTable536.xml"/><Relationship Id="rId326" Type="http://schemas.openxmlformats.org/officeDocument/2006/relationships/queryTable" Target="../queryTables/queryTable557.xml"/><Relationship Id="rId44" Type="http://schemas.openxmlformats.org/officeDocument/2006/relationships/queryTable" Target="../queryTables/queryTable275.xml"/><Relationship Id="rId65" Type="http://schemas.openxmlformats.org/officeDocument/2006/relationships/queryTable" Target="../queryTables/queryTable296.xml"/><Relationship Id="rId86" Type="http://schemas.openxmlformats.org/officeDocument/2006/relationships/queryTable" Target="../queryTables/queryTable317.xml"/><Relationship Id="rId130" Type="http://schemas.openxmlformats.org/officeDocument/2006/relationships/queryTable" Target="../queryTables/queryTable361.xml"/><Relationship Id="rId151" Type="http://schemas.openxmlformats.org/officeDocument/2006/relationships/queryTable" Target="../queryTables/queryTable382.xml"/><Relationship Id="rId172" Type="http://schemas.openxmlformats.org/officeDocument/2006/relationships/queryTable" Target="../queryTables/queryTable403.xml"/><Relationship Id="rId193" Type="http://schemas.openxmlformats.org/officeDocument/2006/relationships/queryTable" Target="../queryTables/queryTable424.xml"/><Relationship Id="rId207" Type="http://schemas.openxmlformats.org/officeDocument/2006/relationships/queryTable" Target="../queryTables/queryTable438.xml"/><Relationship Id="rId228" Type="http://schemas.openxmlformats.org/officeDocument/2006/relationships/queryTable" Target="../queryTables/queryTable459.xml"/><Relationship Id="rId249" Type="http://schemas.openxmlformats.org/officeDocument/2006/relationships/queryTable" Target="../queryTables/queryTable480.xml"/><Relationship Id="rId13" Type="http://schemas.openxmlformats.org/officeDocument/2006/relationships/queryTable" Target="../queryTables/queryTable244.xml"/><Relationship Id="rId109" Type="http://schemas.openxmlformats.org/officeDocument/2006/relationships/queryTable" Target="../queryTables/queryTable340.xml"/><Relationship Id="rId260" Type="http://schemas.openxmlformats.org/officeDocument/2006/relationships/queryTable" Target="../queryTables/queryTable491.xml"/><Relationship Id="rId281" Type="http://schemas.openxmlformats.org/officeDocument/2006/relationships/queryTable" Target="../queryTables/queryTable512.xml"/><Relationship Id="rId316" Type="http://schemas.openxmlformats.org/officeDocument/2006/relationships/queryTable" Target="../queryTables/queryTable547.xml"/><Relationship Id="rId337" Type="http://schemas.openxmlformats.org/officeDocument/2006/relationships/queryTable" Target="../queryTables/queryTable568.xml"/><Relationship Id="rId34" Type="http://schemas.openxmlformats.org/officeDocument/2006/relationships/queryTable" Target="../queryTables/queryTable265.xml"/><Relationship Id="rId55" Type="http://schemas.openxmlformats.org/officeDocument/2006/relationships/queryTable" Target="../queryTables/queryTable286.xml"/><Relationship Id="rId76" Type="http://schemas.openxmlformats.org/officeDocument/2006/relationships/queryTable" Target="../queryTables/queryTable307.xml"/><Relationship Id="rId97" Type="http://schemas.openxmlformats.org/officeDocument/2006/relationships/queryTable" Target="../queryTables/queryTable328.xml"/><Relationship Id="rId120" Type="http://schemas.openxmlformats.org/officeDocument/2006/relationships/queryTable" Target="../queryTables/queryTable351.xml"/><Relationship Id="rId141" Type="http://schemas.openxmlformats.org/officeDocument/2006/relationships/queryTable" Target="../queryTables/queryTable372.xml"/><Relationship Id="rId7" Type="http://schemas.openxmlformats.org/officeDocument/2006/relationships/queryTable" Target="../queryTables/queryTable238.xml"/><Relationship Id="rId162" Type="http://schemas.openxmlformats.org/officeDocument/2006/relationships/queryTable" Target="../queryTables/queryTable393.xml"/><Relationship Id="rId183" Type="http://schemas.openxmlformats.org/officeDocument/2006/relationships/queryTable" Target="../queryTables/queryTable414.xml"/><Relationship Id="rId218" Type="http://schemas.openxmlformats.org/officeDocument/2006/relationships/queryTable" Target="../queryTables/queryTable449.xml"/><Relationship Id="rId239" Type="http://schemas.openxmlformats.org/officeDocument/2006/relationships/queryTable" Target="../queryTables/queryTable470.xml"/><Relationship Id="rId250" Type="http://schemas.openxmlformats.org/officeDocument/2006/relationships/queryTable" Target="../queryTables/queryTable481.xml"/><Relationship Id="rId271" Type="http://schemas.openxmlformats.org/officeDocument/2006/relationships/queryTable" Target="../queryTables/queryTable502.xml"/><Relationship Id="rId292" Type="http://schemas.openxmlformats.org/officeDocument/2006/relationships/queryTable" Target="../queryTables/queryTable523.xml"/><Relationship Id="rId306" Type="http://schemas.openxmlformats.org/officeDocument/2006/relationships/queryTable" Target="../queryTables/queryTable537.xml"/><Relationship Id="rId24" Type="http://schemas.openxmlformats.org/officeDocument/2006/relationships/queryTable" Target="../queryTables/queryTable255.xml"/><Relationship Id="rId45" Type="http://schemas.openxmlformats.org/officeDocument/2006/relationships/queryTable" Target="../queryTables/queryTable276.xml"/><Relationship Id="rId66" Type="http://schemas.openxmlformats.org/officeDocument/2006/relationships/queryTable" Target="../queryTables/queryTable297.xml"/><Relationship Id="rId87" Type="http://schemas.openxmlformats.org/officeDocument/2006/relationships/queryTable" Target="../queryTables/queryTable318.xml"/><Relationship Id="rId110" Type="http://schemas.openxmlformats.org/officeDocument/2006/relationships/queryTable" Target="../queryTables/queryTable341.xml"/><Relationship Id="rId131" Type="http://schemas.openxmlformats.org/officeDocument/2006/relationships/queryTable" Target="../queryTables/queryTable362.xml"/><Relationship Id="rId327" Type="http://schemas.openxmlformats.org/officeDocument/2006/relationships/queryTable" Target="../queryTables/queryTable558.xml"/><Relationship Id="rId152" Type="http://schemas.openxmlformats.org/officeDocument/2006/relationships/queryTable" Target="../queryTables/queryTable383.xml"/><Relationship Id="rId173" Type="http://schemas.openxmlformats.org/officeDocument/2006/relationships/queryTable" Target="../queryTables/queryTable404.xml"/><Relationship Id="rId194" Type="http://schemas.openxmlformats.org/officeDocument/2006/relationships/queryTable" Target="../queryTables/queryTable425.xml"/><Relationship Id="rId208" Type="http://schemas.openxmlformats.org/officeDocument/2006/relationships/queryTable" Target="../queryTables/queryTable439.xml"/><Relationship Id="rId229" Type="http://schemas.openxmlformats.org/officeDocument/2006/relationships/queryTable" Target="../queryTables/queryTable460.xml"/><Relationship Id="rId240" Type="http://schemas.openxmlformats.org/officeDocument/2006/relationships/queryTable" Target="../queryTables/queryTable471.xml"/><Relationship Id="rId261" Type="http://schemas.openxmlformats.org/officeDocument/2006/relationships/queryTable" Target="../queryTables/queryTable492.xml"/><Relationship Id="rId14" Type="http://schemas.openxmlformats.org/officeDocument/2006/relationships/queryTable" Target="../queryTables/queryTable245.xml"/><Relationship Id="rId35" Type="http://schemas.openxmlformats.org/officeDocument/2006/relationships/queryTable" Target="../queryTables/queryTable266.xml"/><Relationship Id="rId56" Type="http://schemas.openxmlformats.org/officeDocument/2006/relationships/queryTable" Target="../queryTables/queryTable287.xml"/><Relationship Id="rId77" Type="http://schemas.openxmlformats.org/officeDocument/2006/relationships/queryTable" Target="../queryTables/queryTable308.xml"/><Relationship Id="rId100" Type="http://schemas.openxmlformats.org/officeDocument/2006/relationships/queryTable" Target="../queryTables/queryTable331.xml"/><Relationship Id="rId282" Type="http://schemas.openxmlformats.org/officeDocument/2006/relationships/queryTable" Target="../queryTables/queryTable513.xml"/><Relationship Id="rId317" Type="http://schemas.openxmlformats.org/officeDocument/2006/relationships/queryTable" Target="../queryTables/queryTable548.xml"/><Relationship Id="rId338" Type="http://schemas.openxmlformats.org/officeDocument/2006/relationships/queryTable" Target="../queryTables/queryTable569.xml"/><Relationship Id="rId8" Type="http://schemas.openxmlformats.org/officeDocument/2006/relationships/queryTable" Target="../queryTables/queryTable239.xml"/><Relationship Id="rId98" Type="http://schemas.openxmlformats.org/officeDocument/2006/relationships/queryTable" Target="../queryTables/queryTable329.xml"/><Relationship Id="rId121" Type="http://schemas.openxmlformats.org/officeDocument/2006/relationships/queryTable" Target="../queryTables/queryTable352.xml"/><Relationship Id="rId142" Type="http://schemas.openxmlformats.org/officeDocument/2006/relationships/queryTable" Target="../queryTables/queryTable373.xml"/><Relationship Id="rId163" Type="http://schemas.openxmlformats.org/officeDocument/2006/relationships/queryTable" Target="../queryTables/queryTable394.xml"/><Relationship Id="rId184" Type="http://schemas.openxmlformats.org/officeDocument/2006/relationships/queryTable" Target="../queryTables/queryTable415.xml"/><Relationship Id="rId219" Type="http://schemas.openxmlformats.org/officeDocument/2006/relationships/queryTable" Target="../queryTables/queryTable450.xml"/><Relationship Id="rId230" Type="http://schemas.openxmlformats.org/officeDocument/2006/relationships/queryTable" Target="../queryTables/queryTable461.xml"/><Relationship Id="rId251" Type="http://schemas.openxmlformats.org/officeDocument/2006/relationships/queryTable" Target="../queryTables/queryTable482.xml"/><Relationship Id="rId25" Type="http://schemas.openxmlformats.org/officeDocument/2006/relationships/queryTable" Target="../queryTables/queryTable256.xml"/><Relationship Id="rId46" Type="http://schemas.openxmlformats.org/officeDocument/2006/relationships/queryTable" Target="../queryTables/queryTable277.xml"/><Relationship Id="rId67" Type="http://schemas.openxmlformats.org/officeDocument/2006/relationships/queryTable" Target="../queryTables/queryTable298.xml"/><Relationship Id="rId116" Type="http://schemas.openxmlformats.org/officeDocument/2006/relationships/queryTable" Target="../queryTables/queryTable347.xml"/><Relationship Id="rId137" Type="http://schemas.openxmlformats.org/officeDocument/2006/relationships/queryTable" Target="../queryTables/queryTable368.xml"/><Relationship Id="rId158" Type="http://schemas.openxmlformats.org/officeDocument/2006/relationships/queryTable" Target="../queryTables/queryTable389.xml"/><Relationship Id="rId272" Type="http://schemas.openxmlformats.org/officeDocument/2006/relationships/queryTable" Target="../queryTables/queryTable503.xml"/><Relationship Id="rId293" Type="http://schemas.openxmlformats.org/officeDocument/2006/relationships/queryTable" Target="../queryTables/queryTable524.xml"/><Relationship Id="rId302" Type="http://schemas.openxmlformats.org/officeDocument/2006/relationships/queryTable" Target="../queryTables/queryTable533.xml"/><Relationship Id="rId307" Type="http://schemas.openxmlformats.org/officeDocument/2006/relationships/queryTable" Target="../queryTables/queryTable538.xml"/><Relationship Id="rId323" Type="http://schemas.openxmlformats.org/officeDocument/2006/relationships/queryTable" Target="../queryTables/queryTable554.xml"/><Relationship Id="rId328" Type="http://schemas.openxmlformats.org/officeDocument/2006/relationships/queryTable" Target="../queryTables/queryTable559.xml"/><Relationship Id="rId344" Type="http://schemas.openxmlformats.org/officeDocument/2006/relationships/queryTable" Target="../queryTables/queryTable575.xml"/><Relationship Id="rId20" Type="http://schemas.openxmlformats.org/officeDocument/2006/relationships/queryTable" Target="../queryTables/queryTable251.xml"/><Relationship Id="rId41" Type="http://schemas.openxmlformats.org/officeDocument/2006/relationships/queryTable" Target="../queryTables/queryTable272.xml"/><Relationship Id="rId62" Type="http://schemas.openxmlformats.org/officeDocument/2006/relationships/queryTable" Target="../queryTables/queryTable293.xml"/><Relationship Id="rId83" Type="http://schemas.openxmlformats.org/officeDocument/2006/relationships/queryTable" Target="../queryTables/queryTable314.xml"/><Relationship Id="rId88" Type="http://schemas.openxmlformats.org/officeDocument/2006/relationships/queryTable" Target="../queryTables/queryTable319.xml"/><Relationship Id="rId111" Type="http://schemas.openxmlformats.org/officeDocument/2006/relationships/queryTable" Target="../queryTables/queryTable342.xml"/><Relationship Id="rId132" Type="http://schemas.openxmlformats.org/officeDocument/2006/relationships/queryTable" Target="../queryTables/queryTable363.xml"/><Relationship Id="rId153" Type="http://schemas.openxmlformats.org/officeDocument/2006/relationships/queryTable" Target="../queryTables/queryTable384.xml"/><Relationship Id="rId174" Type="http://schemas.openxmlformats.org/officeDocument/2006/relationships/queryTable" Target="../queryTables/queryTable405.xml"/><Relationship Id="rId179" Type="http://schemas.openxmlformats.org/officeDocument/2006/relationships/queryTable" Target="../queryTables/queryTable410.xml"/><Relationship Id="rId195" Type="http://schemas.openxmlformats.org/officeDocument/2006/relationships/queryTable" Target="../queryTables/queryTable426.xml"/><Relationship Id="rId209" Type="http://schemas.openxmlformats.org/officeDocument/2006/relationships/queryTable" Target="../queryTables/queryTable440.xml"/><Relationship Id="rId190" Type="http://schemas.openxmlformats.org/officeDocument/2006/relationships/queryTable" Target="../queryTables/queryTable421.xml"/><Relationship Id="rId204" Type="http://schemas.openxmlformats.org/officeDocument/2006/relationships/queryTable" Target="../queryTables/queryTable435.xml"/><Relationship Id="rId220" Type="http://schemas.openxmlformats.org/officeDocument/2006/relationships/queryTable" Target="../queryTables/queryTable451.xml"/><Relationship Id="rId225" Type="http://schemas.openxmlformats.org/officeDocument/2006/relationships/queryTable" Target="../queryTables/queryTable456.xml"/><Relationship Id="rId241" Type="http://schemas.openxmlformats.org/officeDocument/2006/relationships/queryTable" Target="../queryTables/queryTable472.xml"/><Relationship Id="rId246" Type="http://schemas.openxmlformats.org/officeDocument/2006/relationships/queryTable" Target="../queryTables/queryTable477.xml"/><Relationship Id="rId267" Type="http://schemas.openxmlformats.org/officeDocument/2006/relationships/queryTable" Target="../queryTables/queryTable498.xml"/><Relationship Id="rId288" Type="http://schemas.openxmlformats.org/officeDocument/2006/relationships/queryTable" Target="../queryTables/queryTable519.xml"/><Relationship Id="rId15" Type="http://schemas.openxmlformats.org/officeDocument/2006/relationships/queryTable" Target="../queryTables/queryTable246.xml"/><Relationship Id="rId36" Type="http://schemas.openxmlformats.org/officeDocument/2006/relationships/queryTable" Target="../queryTables/queryTable267.xml"/><Relationship Id="rId57" Type="http://schemas.openxmlformats.org/officeDocument/2006/relationships/queryTable" Target="../queryTables/queryTable288.xml"/><Relationship Id="rId106" Type="http://schemas.openxmlformats.org/officeDocument/2006/relationships/queryTable" Target="../queryTables/queryTable337.xml"/><Relationship Id="rId127" Type="http://schemas.openxmlformats.org/officeDocument/2006/relationships/queryTable" Target="../queryTables/queryTable358.xml"/><Relationship Id="rId262" Type="http://schemas.openxmlformats.org/officeDocument/2006/relationships/queryTable" Target="../queryTables/queryTable493.xml"/><Relationship Id="rId283" Type="http://schemas.openxmlformats.org/officeDocument/2006/relationships/queryTable" Target="../queryTables/queryTable514.xml"/><Relationship Id="rId313" Type="http://schemas.openxmlformats.org/officeDocument/2006/relationships/queryTable" Target="../queryTables/queryTable544.xml"/><Relationship Id="rId318" Type="http://schemas.openxmlformats.org/officeDocument/2006/relationships/queryTable" Target="../queryTables/queryTable549.xml"/><Relationship Id="rId339" Type="http://schemas.openxmlformats.org/officeDocument/2006/relationships/queryTable" Target="../queryTables/queryTable570.xml"/><Relationship Id="rId10" Type="http://schemas.openxmlformats.org/officeDocument/2006/relationships/queryTable" Target="../queryTables/queryTable241.xml"/><Relationship Id="rId31" Type="http://schemas.openxmlformats.org/officeDocument/2006/relationships/queryTable" Target="../queryTables/queryTable262.xml"/><Relationship Id="rId52" Type="http://schemas.openxmlformats.org/officeDocument/2006/relationships/queryTable" Target="../queryTables/queryTable283.xml"/><Relationship Id="rId73" Type="http://schemas.openxmlformats.org/officeDocument/2006/relationships/queryTable" Target="../queryTables/queryTable304.xml"/><Relationship Id="rId78" Type="http://schemas.openxmlformats.org/officeDocument/2006/relationships/queryTable" Target="../queryTables/queryTable309.xml"/><Relationship Id="rId94" Type="http://schemas.openxmlformats.org/officeDocument/2006/relationships/queryTable" Target="../queryTables/queryTable325.xml"/><Relationship Id="rId99" Type="http://schemas.openxmlformats.org/officeDocument/2006/relationships/queryTable" Target="../queryTables/queryTable330.xml"/><Relationship Id="rId101" Type="http://schemas.openxmlformats.org/officeDocument/2006/relationships/queryTable" Target="../queryTables/queryTable332.xml"/><Relationship Id="rId122" Type="http://schemas.openxmlformats.org/officeDocument/2006/relationships/queryTable" Target="../queryTables/queryTable353.xml"/><Relationship Id="rId143" Type="http://schemas.openxmlformats.org/officeDocument/2006/relationships/queryTable" Target="../queryTables/queryTable374.xml"/><Relationship Id="rId148" Type="http://schemas.openxmlformats.org/officeDocument/2006/relationships/queryTable" Target="../queryTables/queryTable379.xml"/><Relationship Id="rId164" Type="http://schemas.openxmlformats.org/officeDocument/2006/relationships/queryTable" Target="../queryTables/queryTable395.xml"/><Relationship Id="rId169" Type="http://schemas.openxmlformats.org/officeDocument/2006/relationships/queryTable" Target="../queryTables/queryTable400.xml"/><Relationship Id="rId185" Type="http://schemas.openxmlformats.org/officeDocument/2006/relationships/queryTable" Target="../queryTables/queryTable416.xml"/><Relationship Id="rId334" Type="http://schemas.openxmlformats.org/officeDocument/2006/relationships/queryTable" Target="../queryTables/queryTable565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240.xml"/><Relationship Id="rId180" Type="http://schemas.openxmlformats.org/officeDocument/2006/relationships/queryTable" Target="../queryTables/queryTable411.xml"/><Relationship Id="rId210" Type="http://schemas.openxmlformats.org/officeDocument/2006/relationships/queryTable" Target="../queryTables/queryTable441.xml"/><Relationship Id="rId215" Type="http://schemas.openxmlformats.org/officeDocument/2006/relationships/queryTable" Target="../queryTables/queryTable446.xml"/><Relationship Id="rId236" Type="http://schemas.openxmlformats.org/officeDocument/2006/relationships/queryTable" Target="../queryTables/queryTable467.xml"/><Relationship Id="rId257" Type="http://schemas.openxmlformats.org/officeDocument/2006/relationships/queryTable" Target="../queryTables/queryTable488.xml"/><Relationship Id="rId278" Type="http://schemas.openxmlformats.org/officeDocument/2006/relationships/queryTable" Target="../queryTables/queryTable509.xml"/><Relationship Id="rId26" Type="http://schemas.openxmlformats.org/officeDocument/2006/relationships/queryTable" Target="../queryTables/queryTable257.xml"/><Relationship Id="rId231" Type="http://schemas.openxmlformats.org/officeDocument/2006/relationships/queryTable" Target="../queryTables/queryTable462.xml"/><Relationship Id="rId252" Type="http://schemas.openxmlformats.org/officeDocument/2006/relationships/queryTable" Target="../queryTables/queryTable483.xml"/><Relationship Id="rId273" Type="http://schemas.openxmlformats.org/officeDocument/2006/relationships/queryTable" Target="../queryTables/queryTable504.xml"/><Relationship Id="rId294" Type="http://schemas.openxmlformats.org/officeDocument/2006/relationships/queryTable" Target="../queryTables/queryTable525.xml"/><Relationship Id="rId308" Type="http://schemas.openxmlformats.org/officeDocument/2006/relationships/queryTable" Target="../queryTables/queryTable539.xml"/><Relationship Id="rId329" Type="http://schemas.openxmlformats.org/officeDocument/2006/relationships/queryTable" Target="../queryTables/queryTable560.xml"/><Relationship Id="rId47" Type="http://schemas.openxmlformats.org/officeDocument/2006/relationships/queryTable" Target="../queryTables/queryTable278.xml"/><Relationship Id="rId68" Type="http://schemas.openxmlformats.org/officeDocument/2006/relationships/queryTable" Target="../queryTables/queryTable299.xml"/><Relationship Id="rId89" Type="http://schemas.openxmlformats.org/officeDocument/2006/relationships/queryTable" Target="../queryTables/queryTable320.xml"/><Relationship Id="rId112" Type="http://schemas.openxmlformats.org/officeDocument/2006/relationships/queryTable" Target="../queryTables/queryTable343.xml"/><Relationship Id="rId133" Type="http://schemas.openxmlformats.org/officeDocument/2006/relationships/queryTable" Target="../queryTables/queryTable364.xml"/><Relationship Id="rId154" Type="http://schemas.openxmlformats.org/officeDocument/2006/relationships/queryTable" Target="../queryTables/queryTable385.xml"/><Relationship Id="rId175" Type="http://schemas.openxmlformats.org/officeDocument/2006/relationships/queryTable" Target="../queryTables/queryTable406.xml"/><Relationship Id="rId340" Type="http://schemas.openxmlformats.org/officeDocument/2006/relationships/queryTable" Target="../queryTables/queryTable571.xml"/><Relationship Id="rId196" Type="http://schemas.openxmlformats.org/officeDocument/2006/relationships/queryTable" Target="../queryTables/queryTable427.xml"/><Relationship Id="rId200" Type="http://schemas.openxmlformats.org/officeDocument/2006/relationships/queryTable" Target="../queryTables/queryTable431.xml"/><Relationship Id="rId16" Type="http://schemas.openxmlformats.org/officeDocument/2006/relationships/queryTable" Target="../queryTables/queryTable247.xml"/><Relationship Id="rId221" Type="http://schemas.openxmlformats.org/officeDocument/2006/relationships/queryTable" Target="../queryTables/queryTable452.xml"/><Relationship Id="rId242" Type="http://schemas.openxmlformats.org/officeDocument/2006/relationships/queryTable" Target="../queryTables/queryTable473.xml"/><Relationship Id="rId263" Type="http://schemas.openxmlformats.org/officeDocument/2006/relationships/queryTable" Target="../queryTables/queryTable494.xml"/><Relationship Id="rId284" Type="http://schemas.openxmlformats.org/officeDocument/2006/relationships/queryTable" Target="../queryTables/queryTable515.xml"/><Relationship Id="rId319" Type="http://schemas.openxmlformats.org/officeDocument/2006/relationships/queryTable" Target="../queryTables/queryTable550.xml"/><Relationship Id="rId37" Type="http://schemas.openxmlformats.org/officeDocument/2006/relationships/queryTable" Target="../queryTables/queryTable268.xml"/><Relationship Id="rId58" Type="http://schemas.openxmlformats.org/officeDocument/2006/relationships/queryTable" Target="../queryTables/queryTable289.xml"/><Relationship Id="rId79" Type="http://schemas.openxmlformats.org/officeDocument/2006/relationships/queryTable" Target="../queryTables/queryTable310.xml"/><Relationship Id="rId102" Type="http://schemas.openxmlformats.org/officeDocument/2006/relationships/queryTable" Target="../queryTables/queryTable333.xml"/><Relationship Id="rId123" Type="http://schemas.openxmlformats.org/officeDocument/2006/relationships/queryTable" Target="../queryTables/queryTable354.xml"/><Relationship Id="rId144" Type="http://schemas.openxmlformats.org/officeDocument/2006/relationships/queryTable" Target="../queryTables/queryTable375.xml"/><Relationship Id="rId330" Type="http://schemas.openxmlformats.org/officeDocument/2006/relationships/queryTable" Target="../queryTables/queryTable561.xml"/><Relationship Id="rId90" Type="http://schemas.openxmlformats.org/officeDocument/2006/relationships/queryTable" Target="../queryTables/queryTable321.xml"/><Relationship Id="rId165" Type="http://schemas.openxmlformats.org/officeDocument/2006/relationships/queryTable" Target="../queryTables/queryTable396.xml"/><Relationship Id="rId186" Type="http://schemas.openxmlformats.org/officeDocument/2006/relationships/queryTable" Target="../queryTables/queryTable417.xml"/><Relationship Id="rId211" Type="http://schemas.openxmlformats.org/officeDocument/2006/relationships/queryTable" Target="../queryTables/queryTable442.xml"/><Relationship Id="rId232" Type="http://schemas.openxmlformats.org/officeDocument/2006/relationships/queryTable" Target="../queryTables/queryTable463.xml"/><Relationship Id="rId253" Type="http://schemas.openxmlformats.org/officeDocument/2006/relationships/queryTable" Target="../queryTables/queryTable484.xml"/><Relationship Id="rId274" Type="http://schemas.openxmlformats.org/officeDocument/2006/relationships/queryTable" Target="../queryTables/queryTable505.xml"/><Relationship Id="rId295" Type="http://schemas.openxmlformats.org/officeDocument/2006/relationships/queryTable" Target="../queryTables/queryTable526.xml"/><Relationship Id="rId309" Type="http://schemas.openxmlformats.org/officeDocument/2006/relationships/queryTable" Target="../queryTables/queryTable540.xml"/><Relationship Id="rId27" Type="http://schemas.openxmlformats.org/officeDocument/2006/relationships/queryTable" Target="../queryTables/queryTable258.xml"/><Relationship Id="rId48" Type="http://schemas.openxmlformats.org/officeDocument/2006/relationships/queryTable" Target="../queryTables/queryTable279.xml"/><Relationship Id="rId69" Type="http://schemas.openxmlformats.org/officeDocument/2006/relationships/queryTable" Target="../queryTables/queryTable300.xml"/><Relationship Id="rId113" Type="http://schemas.openxmlformats.org/officeDocument/2006/relationships/queryTable" Target="../queryTables/queryTable344.xml"/><Relationship Id="rId134" Type="http://schemas.openxmlformats.org/officeDocument/2006/relationships/queryTable" Target="../queryTables/queryTable365.xml"/><Relationship Id="rId320" Type="http://schemas.openxmlformats.org/officeDocument/2006/relationships/queryTable" Target="../queryTables/queryTable551.xml"/><Relationship Id="rId80" Type="http://schemas.openxmlformats.org/officeDocument/2006/relationships/queryTable" Target="../queryTables/queryTable311.xml"/><Relationship Id="rId155" Type="http://schemas.openxmlformats.org/officeDocument/2006/relationships/queryTable" Target="../queryTables/queryTable386.xml"/><Relationship Id="rId176" Type="http://schemas.openxmlformats.org/officeDocument/2006/relationships/queryTable" Target="../queryTables/queryTable407.xml"/><Relationship Id="rId197" Type="http://schemas.openxmlformats.org/officeDocument/2006/relationships/queryTable" Target="../queryTables/queryTable428.xml"/><Relationship Id="rId341" Type="http://schemas.openxmlformats.org/officeDocument/2006/relationships/queryTable" Target="../queryTables/queryTable572.xml"/><Relationship Id="rId201" Type="http://schemas.openxmlformats.org/officeDocument/2006/relationships/queryTable" Target="../queryTables/queryTable432.xml"/><Relationship Id="rId222" Type="http://schemas.openxmlformats.org/officeDocument/2006/relationships/queryTable" Target="../queryTables/queryTable453.xml"/><Relationship Id="rId243" Type="http://schemas.openxmlformats.org/officeDocument/2006/relationships/queryTable" Target="../queryTables/queryTable474.xml"/><Relationship Id="rId264" Type="http://schemas.openxmlformats.org/officeDocument/2006/relationships/queryTable" Target="../queryTables/queryTable495.xml"/><Relationship Id="rId285" Type="http://schemas.openxmlformats.org/officeDocument/2006/relationships/queryTable" Target="../queryTables/queryTable516.xml"/><Relationship Id="rId17" Type="http://schemas.openxmlformats.org/officeDocument/2006/relationships/queryTable" Target="../queryTables/queryTable248.xml"/><Relationship Id="rId38" Type="http://schemas.openxmlformats.org/officeDocument/2006/relationships/queryTable" Target="../queryTables/queryTable269.xml"/><Relationship Id="rId59" Type="http://schemas.openxmlformats.org/officeDocument/2006/relationships/queryTable" Target="../queryTables/queryTable290.xml"/><Relationship Id="rId103" Type="http://schemas.openxmlformats.org/officeDocument/2006/relationships/queryTable" Target="../queryTables/queryTable334.xml"/><Relationship Id="rId124" Type="http://schemas.openxmlformats.org/officeDocument/2006/relationships/queryTable" Target="../queryTables/queryTable355.xml"/><Relationship Id="rId310" Type="http://schemas.openxmlformats.org/officeDocument/2006/relationships/queryTable" Target="../queryTables/queryTable541.xml"/><Relationship Id="rId70" Type="http://schemas.openxmlformats.org/officeDocument/2006/relationships/queryTable" Target="../queryTables/queryTable301.xml"/><Relationship Id="rId91" Type="http://schemas.openxmlformats.org/officeDocument/2006/relationships/queryTable" Target="../queryTables/queryTable322.xml"/><Relationship Id="rId145" Type="http://schemas.openxmlformats.org/officeDocument/2006/relationships/queryTable" Target="../queryTables/queryTable376.xml"/><Relationship Id="rId166" Type="http://schemas.openxmlformats.org/officeDocument/2006/relationships/queryTable" Target="../queryTables/queryTable397.xml"/><Relationship Id="rId187" Type="http://schemas.openxmlformats.org/officeDocument/2006/relationships/queryTable" Target="../queryTables/queryTable418.xml"/><Relationship Id="rId331" Type="http://schemas.openxmlformats.org/officeDocument/2006/relationships/queryTable" Target="../queryTables/queryTable562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43.xml"/><Relationship Id="rId233" Type="http://schemas.openxmlformats.org/officeDocument/2006/relationships/queryTable" Target="../queryTables/queryTable464.xml"/><Relationship Id="rId254" Type="http://schemas.openxmlformats.org/officeDocument/2006/relationships/queryTable" Target="../queryTables/queryTable485.xml"/><Relationship Id="rId28" Type="http://schemas.openxmlformats.org/officeDocument/2006/relationships/queryTable" Target="../queryTables/queryTable259.xml"/><Relationship Id="rId49" Type="http://schemas.openxmlformats.org/officeDocument/2006/relationships/queryTable" Target="../queryTables/queryTable280.xml"/><Relationship Id="rId114" Type="http://schemas.openxmlformats.org/officeDocument/2006/relationships/queryTable" Target="../queryTables/queryTable345.xml"/><Relationship Id="rId275" Type="http://schemas.openxmlformats.org/officeDocument/2006/relationships/queryTable" Target="../queryTables/queryTable506.xml"/><Relationship Id="rId296" Type="http://schemas.openxmlformats.org/officeDocument/2006/relationships/queryTable" Target="../queryTables/queryTable527.xml"/><Relationship Id="rId300" Type="http://schemas.openxmlformats.org/officeDocument/2006/relationships/queryTable" Target="../queryTables/queryTable531.xml"/><Relationship Id="rId60" Type="http://schemas.openxmlformats.org/officeDocument/2006/relationships/queryTable" Target="../queryTables/queryTable291.xml"/><Relationship Id="rId81" Type="http://schemas.openxmlformats.org/officeDocument/2006/relationships/queryTable" Target="../queryTables/queryTable312.xml"/><Relationship Id="rId135" Type="http://schemas.openxmlformats.org/officeDocument/2006/relationships/queryTable" Target="../queryTables/queryTable366.xml"/><Relationship Id="rId156" Type="http://schemas.openxmlformats.org/officeDocument/2006/relationships/queryTable" Target="../queryTables/queryTable387.xml"/><Relationship Id="rId177" Type="http://schemas.openxmlformats.org/officeDocument/2006/relationships/queryTable" Target="../queryTables/queryTable408.xml"/><Relationship Id="rId198" Type="http://schemas.openxmlformats.org/officeDocument/2006/relationships/queryTable" Target="../queryTables/queryTable429.xml"/><Relationship Id="rId321" Type="http://schemas.openxmlformats.org/officeDocument/2006/relationships/queryTable" Target="../queryTables/queryTable552.xml"/><Relationship Id="rId342" Type="http://schemas.openxmlformats.org/officeDocument/2006/relationships/queryTable" Target="../queryTables/queryTable573.xml"/><Relationship Id="rId202" Type="http://schemas.openxmlformats.org/officeDocument/2006/relationships/queryTable" Target="../queryTables/queryTable433.xml"/><Relationship Id="rId223" Type="http://schemas.openxmlformats.org/officeDocument/2006/relationships/queryTable" Target="../queryTables/queryTable454.xml"/><Relationship Id="rId244" Type="http://schemas.openxmlformats.org/officeDocument/2006/relationships/queryTable" Target="../queryTables/queryTable475.xml"/><Relationship Id="rId18" Type="http://schemas.openxmlformats.org/officeDocument/2006/relationships/queryTable" Target="../queryTables/queryTable249.xml"/><Relationship Id="rId39" Type="http://schemas.openxmlformats.org/officeDocument/2006/relationships/queryTable" Target="../queryTables/queryTable270.xml"/><Relationship Id="rId265" Type="http://schemas.openxmlformats.org/officeDocument/2006/relationships/queryTable" Target="../queryTables/queryTable496.xml"/><Relationship Id="rId286" Type="http://schemas.openxmlformats.org/officeDocument/2006/relationships/queryTable" Target="../queryTables/queryTable517.xml"/><Relationship Id="rId50" Type="http://schemas.openxmlformats.org/officeDocument/2006/relationships/queryTable" Target="../queryTables/queryTable281.xml"/><Relationship Id="rId104" Type="http://schemas.openxmlformats.org/officeDocument/2006/relationships/queryTable" Target="../queryTables/queryTable335.xml"/><Relationship Id="rId125" Type="http://schemas.openxmlformats.org/officeDocument/2006/relationships/queryTable" Target="../queryTables/queryTable356.xml"/><Relationship Id="rId146" Type="http://schemas.openxmlformats.org/officeDocument/2006/relationships/queryTable" Target="../queryTables/queryTable377.xml"/><Relationship Id="rId167" Type="http://schemas.openxmlformats.org/officeDocument/2006/relationships/queryTable" Target="../queryTables/queryTable398.xml"/><Relationship Id="rId188" Type="http://schemas.openxmlformats.org/officeDocument/2006/relationships/queryTable" Target="../queryTables/queryTable419.xml"/><Relationship Id="rId311" Type="http://schemas.openxmlformats.org/officeDocument/2006/relationships/queryTable" Target="../queryTables/queryTable542.xml"/><Relationship Id="rId332" Type="http://schemas.openxmlformats.org/officeDocument/2006/relationships/queryTable" Target="../queryTables/queryTable563.xml"/><Relationship Id="rId71" Type="http://schemas.openxmlformats.org/officeDocument/2006/relationships/queryTable" Target="../queryTables/queryTable302.xml"/><Relationship Id="rId92" Type="http://schemas.openxmlformats.org/officeDocument/2006/relationships/queryTable" Target="../queryTables/queryTable323.xml"/><Relationship Id="rId213" Type="http://schemas.openxmlformats.org/officeDocument/2006/relationships/queryTable" Target="../queryTables/queryTable444.xml"/><Relationship Id="rId234" Type="http://schemas.openxmlformats.org/officeDocument/2006/relationships/queryTable" Target="../queryTables/queryTable465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60.xml"/><Relationship Id="rId255" Type="http://schemas.openxmlformats.org/officeDocument/2006/relationships/queryTable" Target="../queryTables/queryTable486.xml"/><Relationship Id="rId276" Type="http://schemas.openxmlformats.org/officeDocument/2006/relationships/queryTable" Target="../queryTables/queryTable507.xml"/><Relationship Id="rId297" Type="http://schemas.openxmlformats.org/officeDocument/2006/relationships/queryTable" Target="../queryTables/queryTable528.xml"/><Relationship Id="rId40" Type="http://schemas.openxmlformats.org/officeDocument/2006/relationships/queryTable" Target="../queryTables/queryTable271.xml"/><Relationship Id="rId115" Type="http://schemas.openxmlformats.org/officeDocument/2006/relationships/queryTable" Target="../queryTables/queryTable346.xml"/><Relationship Id="rId136" Type="http://schemas.openxmlformats.org/officeDocument/2006/relationships/queryTable" Target="../queryTables/queryTable367.xml"/><Relationship Id="rId157" Type="http://schemas.openxmlformats.org/officeDocument/2006/relationships/queryTable" Target="../queryTables/queryTable388.xml"/><Relationship Id="rId178" Type="http://schemas.openxmlformats.org/officeDocument/2006/relationships/queryTable" Target="../queryTables/queryTable409.xml"/><Relationship Id="rId301" Type="http://schemas.openxmlformats.org/officeDocument/2006/relationships/queryTable" Target="../queryTables/queryTable532.xml"/><Relationship Id="rId322" Type="http://schemas.openxmlformats.org/officeDocument/2006/relationships/queryTable" Target="../queryTables/queryTable553.xml"/><Relationship Id="rId343" Type="http://schemas.openxmlformats.org/officeDocument/2006/relationships/queryTable" Target="../queryTables/queryTable574.xml"/><Relationship Id="rId61" Type="http://schemas.openxmlformats.org/officeDocument/2006/relationships/queryTable" Target="../queryTables/queryTable292.xml"/><Relationship Id="rId82" Type="http://schemas.openxmlformats.org/officeDocument/2006/relationships/queryTable" Target="../queryTables/queryTable313.xml"/><Relationship Id="rId199" Type="http://schemas.openxmlformats.org/officeDocument/2006/relationships/queryTable" Target="../queryTables/queryTable430.xml"/><Relationship Id="rId203" Type="http://schemas.openxmlformats.org/officeDocument/2006/relationships/queryTable" Target="../queryTables/queryTable434.xml"/><Relationship Id="rId19" Type="http://schemas.openxmlformats.org/officeDocument/2006/relationships/queryTable" Target="../queryTables/queryTable250.xml"/><Relationship Id="rId224" Type="http://schemas.openxmlformats.org/officeDocument/2006/relationships/queryTable" Target="../queryTables/queryTable455.xml"/><Relationship Id="rId245" Type="http://schemas.openxmlformats.org/officeDocument/2006/relationships/queryTable" Target="../queryTables/queryTable476.xml"/><Relationship Id="rId266" Type="http://schemas.openxmlformats.org/officeDocument/2006/relationships/queryTable" Target="../queryTables/queryTable497.xml"/><Relationship Id="rId287" Type="http://schemas.openxmlformats.org/officeDocument/2006/relationships/queryTable" Target="../queryTables/queryTable518.xml"/><Relationship Id="rId30" Type="http://schemas.openxmlformats.org/officeDocument/2006/relationships/queryTable" Target="../queryTables/queryTable261.xml"/><Relationship Id="rId105" Type="http://schemas.openxmlformats.org/officeDocument/2006/relationships/queryTable" Target="../queryTables/queryTable336.xml"/><Relationship Id="rId126" Type="http://schemas.openxmlformats.org/officeDocument/2006/relationships/queryTable" Target="../queryTables/queryTable357.xml"/><Relationship Id="rId147" Type="http://schemas.openxmlformats.org/officeDocument/2006/relationships/queryTable" Target="../queryTables/queryTable378.xml"/><Relationship Id="rId168" Type="http://schemas.openxmlformats.org/officeDocument/2006/relationships/queryTable" Target="../queryTables/queryTable399.xml"/><Relationship Id="rId312" Type="http://schemas.openxmlformats.org/officeDocument/2006/relationships/queryTable" Target="../queryTables/queryTable543.xml"/><Relationship Id="rId333" Type="http://schemas.openxmlformats.org/officeDocument/2006/relationships/queryTable" Target="../queryTables/queryTable564.xml"/><Relationship Id="rId51" Type="http://schemas.openxmlformats.org/officeDocument/2006/relationships/queryTable" Target="../queryTables/queryTable282.xml"/><Relationship Id="rId72" Type="http://schemas.openxmlformats.org/officeDocument/2006/relationships/queryTable" Target="../queryTables/queryTable303.xml"/><Relationship Id="rId93" Type="http://schemas.openxmlformats.org/officeDocument/2006/relationships/queryTable" Target="../queryTables/queryTable324.xml"/><Relationship Id="rId189" Type="http://schemas.openxmlformats.org/officeDocument/2006/relationships/queryTable" Target="../queryTables/queryTable420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445.xml"/><Relationship Id="rId235" Type="http://schemas.openxmlformats.org/officeDocument/2006/relationships/queryTable" Target="../queryTables/queryTable466.xml"/><Relationship Id="rId256" Type="http://schemas.openxmlformats.org/officeDocument/2006/relationships/queryTable" Target="../queryTables/queryTable487.xml"/><Relationship Id="rId277" Type="http://schemas.openxmlformats.org/officeDocument/2006/relationships/queryTable" Target="../queryTables/queryTable508.xml"/><Relationship Id="rId298" Type="http://schemas.openxmlformats.org/officeDocument/2006/relationships/queryTable" Target="../queryTables/queryTable529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88.xml"/><Relationship Id="rId299" Type="http://schemas.openxmlformats.org/officeDocument/2006/relationships/queryTable" Target="../queryTables/queryTable870.xml"/><Relationship Id="rId21" Type="http://schemas.openxmlformats.org/officeDocument/2006/relationships/queryTable" Target="../queryTables/queryTable592.xml"/><Relationship Id="rId63" Type="http://schemas.openxmlformats.org/officeDocument/2006/relationships/queryTable" Target="../queryTables/queryTable634.xml"/><Relationship Id="rId159" Type="http://schemas.openxmlformats.org/officeDocument/2006/relationships/queryTable" Target="../queryTables/queryTable730.xml"/><Relationship Id="rId324" Type="http://schemas.openxmlformats.org/officeDocument/2006/relationships/queryTable" Target="../queryTables/queryTable895.xml"/><Relationship Id="rId366" Type="http://schemas.openxmlformats.org/officeDocument/2006/relationships/queryTable" Target="../queryTables/queryTable937.xml"/><Relationship Id="rId170" Type="http://schemas.openxmlformats.org/officeDocument/2006/relationships/queryTable" Target="../queryTables/queryTable741.xml"/><Relationship Id="rId226" Type="http://schemas.openxmlformats.org/officeDocument/2006/relationships/queryTable" Target="../queryTables/queryTable797.xml"/><Relationship Id="rId433" Type="http://schemas.openxmlformats.org/officeDocument/2006/relationships/queryTable" Target="../queryTables/queryTable1004.xml"/><Relationship Id="rId268" Type="http://schemas.openxmlformats.org/officeDocument/2006/relationships/queryTable" Target="../queryTables/queryTable839.xml"/><Relationship Id="rId32" Type="http://schemas.openxmlformats.org/officeDocument/2006/relationships/queryTable" Target="../queryTables/queryTable603.xml"/><Relationship Id="rId74" Type="http://schemas.openxmlformats.org/officeDocument/2006/relationships/queryTable" Target="../queryTables/queryTable645.xml"/><Relationship Id="rId128" Type="http://schemas.openxmlformats.org/officeDocument/2006/relationships/queryTable" Target="../queryTables/queryTable699.xml"/><Relationship Id="rId335" Type="http://schemas.openxmlformats.org/officeDocument/2006/relationships/queryTable" Target="../queryTables/queryTable906.xml"/><Relationship Id="rId377" Type="http://schemas.openxmlformats.org/officeDocument/2006/relationships/queryTable" Target="../queryTables/queryTable948.xml"/><Relationship Id="rId5" Type="http://schemas.openxmlformats.org/officeDocument/2006/relationships/table" Target="../tables/table4.xml"/><Relationship Id="rId181" Type="http://schemas.openxmlformats.org/officeDocument/2006/relationships/queryTable" Target="../queryTables/queryTable752.xml"/><Relationship Id="rId237" Type="http://schemas.openxmlformats.org/officeDocument/2006/relationships/queryTable" Target="../queryTables/queryTable808.xml"/><Relationship Id="rId402" Type="http://schemas.openxmlformats.org/officeDocument/2006/relationships/queryTable" Target="../queryTables/queryTable973.xml"/><Relationship Id="rId279" Type="http://schemas.openxmlformats.org/officeDocument/2006/relationships/queryTable" Target="../queryTables/queryTable850.xml"/><Relationship Id="rId43" Type="http://schemas.openxmlformats.org/officeDocument/2006/relationships/queryTable" Target="../queryTables/queryTable614.xml"/><Relationship Id="rId139" Type="http://schemas.openxmlformats.org/officeDocument/2006/relationships/queryTable" Target="../queryTables/queryTable710.xml"/><Relationship Id="rId290" Type="http://schemas.openxmlformats.org/officeDocument/2006/relationships/queryTable" Target="../queryTables/queryTable861.xml"/><Relationship Id="rId304" Type="http://schemas.openxmlformats.org/officeDocument/2006/relationships/queryTable" Target="../queryTables/queryTable875.xml"/><Relationship Id="rId346" Type="http://schemas.openxmlformats.org/officeDocument/2006/relationships/queryTable" Target="../queryTables/queryTable917.xml"/><Relationship Id="rId388" Type="http://schemas.openxmlformats.org/officeDocument/2006/relationships/queryTable" Target="../queryTables/queryTable959.xml"/><Relationship Id="rId85" Type="http://schemas.openxmlformats.org/officeDocument/2006/relationships/queryTable" Target="../queryTables/queryTable656.xml"/><Relationship Id="rId150" Type="http://schemas.openxmlformats.org/officeDocument/2006/relationships/queryTable" Target="../queryTables/queryTable721.xml"/><Relationship Id="rId192" Type="http://schemas.openxmlformats.org/officeDocument/2006/relationships/queryTable" Target="../queryTables/queryTable763.xml"/><Relationship Id="rId206" Type="http://schemas.openxmlformats.org/officeDocument/2006/relationships/queryTable" Target="../queryTables/queryTable777.xml"/><Relationship Id="rId413" Type="http://schemas.openxmlformats.org/officeDocument/2006/relationships/queryTable" Target="../queryTables/queryTable984.xml"/><Relationship Id="rId248" Type="http://schemas.openxmlformats.org/officeDocument/2006/relationships/queryTable" Target="../queryTables/queryTable819.xml"/><Relationship Id="rId269" Type="http://schemas.openxmlformats.org/officeDocument/2006/relationships/queryTable" Target="../queryTables/queryTable840.xml"/><Relationship Id="rId12" Type="http://schemas.openxmlformats.org/officeDocument/2006/relationships/queryTable" Target="../queryTables/queryTable583.xml"/><Relationship Id="rId33" Type="http://schemas.openxmlformats.org/officeDocument/2006/relationships/queryTable" Target="../queryTables/queryTable604.xml"/><Relationship Id="rId108" Type="http://schemas.openxmlformats.org/officeDocument/2006/relationships/queryTable" Target="../queryTables/queryTable679.xml"/><Relationship Id="rId129" Type="http://schemas.openxmlformats.org/officeDocument/2006/relationships/queryTable" Target="../queryTables/queryTable700.xml"/><Relationship Id="rId280" Type="http://schemas.openxmlformats.org/officeDocument/2006/relationships/queryTable" Target="../queryTables/queryTable851.xml"/><Relationship Id="rId315" Type="http://schemas.openxmlformats.org/officeDocument/2006/relationships/queryTable" Target="../queryTables/queryTable886.xml"/><Relationship Id="rId336" Type="http://schemas.openxmlformats.org/officeDocument/2006/relationships/queryTable" Target="../queryTables/queryTable907.xml"/><Relationship Id="rId357" Type="http://schemas.openxmlformats.org/officeDocument/2006/relationships/queryTable" Target="../queryTables/queryTable928.xml"/><Relationship Id="rId54" Type="http://schemas.openxmlformats.org/officeDocument/2006/relationships/queryTable" Target="../queryTables/queryTable625.xml"/><Relationship Id="rId75" Type="http://schemas.openxmlformats.org/officeDocument/2006/relationships/queryTable" Target="../queryTables/queryTable646.xml"/><Relationship Id="rId96" Type="http://schemas.openxmlformats.org/officeDocument/2006/relationships/queryTable" Target="../queryTables/queryTable667.xml"/><Relationship Id="rId140" Type="http://schemas.openxmlformats.org/officeDocument/2006/relationships/queryTable" Target="../queryTables/queryTable711.xml"/><Relationship Id="rId161" Type="http://schemas.openxmlformats.org/officeDocument/2006/relationships/queryTable" Target="../queryTables/queryTable732.xml"/><Relationship Id="rId182" Type="http://schemas.openxmlformats.org/officeDocument/2006/relationships/queryTable" Target="../queryTables/queryTable753.xml"/><Relationship Id="rId217" Type="http://schemas.openxmlformats.org/officeDocument/2006/relationships/queryTable" Target="../queryTables/queryTable788.xml"/><Relationship Id="rId378" Type="http://schemas.openxmlformats.org/officeDocument/2006/relationships/queryTable" Target="../queryTables/queryTable949.xml"/><Relationship Id="rId399" Type="http://schemas.openxmlformats.org/officeDocument/2006/relationships/queryTable" Target="../queryTables/queryTable970.xml"/><Relationship Id="rId403" Type="http://schemas.openxmlformats.org/officeDocument/2006/relationships/queryTable" Target="../queryTables/queryTable974.xml"/><Relationship Id="rId6" Type="http://schemas.openxmlformats.org/officeDocument/2006/relationships/queryTable" Target="../queryTables/queryTable577.xml"/><Relationship Id="rId238" Type="http://schemas.openxmlformats.org/officeDocument/2006/relationships/queryTable" Target="../queryTables/queryTable809.xml"/><Relationship Id="rId259" Type="http://schemas.openxmlformats.org/officeDocument/2006/relationships/queryTable" Target="../queryTables/queryTable830.xml"/><Relationship Id="rId424" Type="http://schemas.openxmlformats.org/officeDocument/2006/relationships/queryTable" Target="../queryTables/queryTable995.xml"/><Relationship Id="rId23" Type="http://schemas.openxmlformats.org/officeDocument/2006/relationships/queryTable" Target="../queryTables/queryTable594.xml"/><Relationship Id="rId119" Type="http://schemas.openxmlformats.org/officeDocument/2006/relationships/queryTable" Target="../queryTables/queryTable690.xml"/><Relationship Id="rId270" Type="http://schemas.openxmlformats.org/officeDocument/2006/relationships/queryTable" Target="../queryTables/queryTable841.xml"/><Relationship Id="rId291" Type="http://schemas.openxmlformats.org/officeDocument/2006/relationships/queryTable" Target="../queryTables/queryTable862.xml"/><Relationship Id="rId305" Type="http://schemas.openxmlformats.org/officeDocument/2006/relationships/queryTable" Target="../queryTables/queryTable876.xml"/><Relationship Id="rId326" Type="http://schemas.openxmlformats.org/officeDocument/2006/relationships/queryTable" Target="../queryTables/queryTable897.xml"/><Relationship Id="rId347" Type="http://schemas.openxmlformats.org/officeDocument/2006/relationships/queryTable" Target="../queryTables/queryTable918.xml"/><Relationship Id="rId44" Type="http://schemas.openxmlformats.org/officeDocument/2006/relationships/queryTable" Target="../queryTables/queryTable615.xml"/><Relationship Id="rId65" Type="http://schemas.openxmlformats.org/officeDocument/2006/relationships/queryTable" Target="../queryTables/queryTable636.xml"/><Relationship Id="rId86" Type="http://schemas.openxmlformats.org/officeDocument/2006/relationships/queryTable" Target="../queryTables/queryTable657.xml"/><Relationship Id="rId130" Type="http://schemas.openxmlformats.org/officeDocument/2006/relationships/queryTable" Target="../queryTables/queryTable701.xml"/><Relationship Id="rId151" Type="http://schemas.openxmlformats.org/officeDocument/2006/relationships/queryTable" Target="../queryTables/queryTable722.xml"/><Relationship Id="rId368" Type="http://schemas.openxmlformats.org/officeDocument/2006/relationships/queryTable" Target="../queryTables/queryTable939.xml"/><Relationship Id="rId389" Type="http://schemas.openxmlformats.org/officeDocument/2006/relationships/queryTable" Target="../queryTables/queryTable960.xml"/><Relationship Id="rId172" Type="http://schemas.openxmlformats.org/officeDocument/2006/relationships/queryTable" Target="../queryTables/queryTable743.xml"/><Relationship Id="rId193" Type="http://schemas.openxmlformats.org/officeDocument/2006/relationships/queryTable" Target="../queryTables/queryTable764.xml"/><Relationship Id="rId207" Type="http://schemas.openxmlformats.org/officeDocument/2006/relationships/queryTable" Target="../queryTables/queryTable778.xml"/><Relationship Id="rId228" Type="http://schemas.openxmlformats.org/officeDocument/2006/relationships/queryTable" Target="../queryTables/queryTable799.xml"/><Relationship Id="rId249" Type="http://schemas.openxmlformats.org/officeDocument/2006/relationships/queryTable" Target="../queryTables/queryTable820.xml"/><Relationship Id="rId414" Type="http://schemas.openxmlformats.org/officeDocument/2006/relationships/queryTable" Target="../queryTables/queryTable985.xml"/><Relationship Id="rId13" Type="http://schemas.openxmlformats.org/officeDocument/2006/relationships/queryTable" Target="../queryTables/queryTable584.xml"/><Relationship Id="rId109" Type="http://schemas.openxmlformats.org/officeDocument/2006/relationships/queryTable" Target="../queryTables/queryTable680.xml"/><Relationship Id="rId260" Type="http://schemas.openxmlformats.org/officeDocument/2006/relationships/queryTable" Target="../queryTables/queryTable831.xml"/><Relationship Id="rId281" Type="http://schemas.openxmlformats.org/officeDocument/2006/relationships/queryTable" Target="../queryTables/queryTable852.xml"/><Relationship Id="rId316" Type="http://schemas.openxmlformats.org/officeDocument/2006/relationships/queryTable" Target="../queryTables/queryTable887.xml"/><Relationship Id="rId337" Type="http://schemas.openxmlformats.org/officeDocument/2006/relationships/queryTable" Target="../queryTables/queryTable908.xml"/><Relationship Id="rId34" Type="http://schemas.openxmlformats.org/officeDocument/2006/relationships/queryTable" Target="../queryTables/queryTable605.xml"/><Relationship Id="rId55" Type="http://schemas.openxmlformats.org/officeDocument/2006/relationships/queryTable" Target="../queryTables/queryTable626.xml"/><Relationship Id="rId76" Type="http://schemas.openxmlformats.org/officeDocument/2006/relationships/queryTable" Target="../queryTables/queryTable647.xml"/><Relationship Id="rId97" Type="http://schemas.openxmlformats.org/officeDocument/2006/relationships/queryTable" Target="../queryTables/queryTable668.xml"/><Relationship Id="rId120" Type="http://schemas.openxmlformats.org/officeDocument/2006/relationships/queryTable" Target="../queryTables/queryTable691.xml"/><Relationship Id="rId141" Type="http://schemas.openxmlformats.org/officeDocument/2006/relationships/queryTable" Target="../queryTables/queryTable712.xml"/><Relationship Id="rId358" Type="http://schemas.openxmlformats.org/officeDocument/2006/relationships/queryTable" Target="../queryTables/queryTable929.xml"/><Relationship Id="rId379" Type="http://schemas.openxmlformats.org/officeDocument/2006/relationships/queryTable" Target="../queryTables/queryTable950.xml"/><Relationship Id="rId7" Type="http://schemas.openxmlformats.org/officeDocument/2006/relationships/queryTable" Target="../queryTables/queryTable578.xml"/><Relationship Id="rId162" Type="http://schemas.openxmlformats.org/officeDocument/2006/relationships/queryTable" Target="../queryTables/queryTable733.xml"/><Relationship Id="rId183" Type="http://schemas.openxmlformats.org/officeDocument/2006/relationships/queryTable" Target="../queryTables/queryTable754.xml"/><Relationship Id="rId218" Type="http://schemas.openxmlformats.org/officeDocument/2006/relationships/queryTable" Target="../queryTables/queryTable789.xml"/><Relationship Id="rId239" Type="http://schemas.openxmlformats.org/officeDocument/2006/relationships/queryTable" Target="../queryTables/queryTable810.xml"/><Relationship Id="rId390" Type="http://schemas.openxmlformats.org/officeDocument/2006/relationships/queryTable" Target="../queryTables/queryTable961.xml"/><Relationship Id="rId404" Type="http://schemas.openxmlformats.org/officeDocument/2006/relationships/queryTable" Target="../queryTables/queryTable975.xml"/><Relationship Id="rId425" Type="http://schemas.openxmlformats.org/officeDocument/2006/relationships/queryTable" Target="../queryTables/queryTable996.xml"/><Relationship Id="rId250" Type="http://schemas.openxmlformats.org/officeDocument/2006/relationships/queryTable" Target="../queryTables/queryTable821.xml"/><Relationship Id="rId271" Type="http://schemas.openxmlformats.org/officeDocument/2006/relationships/queryTable" Target="../queryTables/queryTable842.xml"/><Relationship Id="rId292" Type="http://schemas.openxmlformats.org/officeDocument/2006/relationships/queryTable" Target="../queryTables/queryTable863.xml"/><Relationship Id="rId306" Type="http://schemas.openxmlformats.org/officeDocument/2006/relationships/queryTable" Target="../queryTables/queryTable877.xml"/><Relationship Id="rId24" Type="http://schemas.openxmlformats.org/officeDocument/2006/relationships/queryTable" Target="../queryTables/queryTable595.xml"/><Relationship Id="rId45" Type="http://schemas.openxmlformats.org/officeDocument/2006/relationships/queryTable" Target="../queryTables/queryTable616.xml"/><Relationship Id="rId66" Type="http://schemas.openxmlformats.org/officeDocument/2006/relationships/queryTable" Target="../queryTables/queryTable637.xml"/><Relationship Id="rId87" Type="http://schemas.openxmlformats.org/officeDocument/2006/relationships/queryTable" Target="../queryTables/queryTable658.xml"/><Relationship Id="rId110" Type="http://schemas.openxmlformats.org/officeDocument/2006/relationships/queryTable" Target="../queryTables/queryTable681.xml"/><Relationship Id="rId131" Type="http://schemas.openxmlformats.org/officeDocument/2006/relationships/queryTable" Target="../queryTables/queryTable702.xml"/><Relationship Id="rId327" Type="http://schemas.openxmlformats.org/officeDocument/2006/relationships/queryTable" Target="../queryTables/queryTable898.xml"/><Relationship Id="rId348" Type="http://schemas.openxmlformats.org/officeDocument/2006/relationships/queryTable" Target="../queryTables/queryTable919.xml"/><Relationship Id="rId369" Type="http://schemas.openxmlformats.org/officeDocument/2006/relationships/queryTable" Target="../queryTables/queryTable940.xml"/><Relationship Id="rId152" Type="http://schemas.openxmlformats.org/officeDocument/2006/relationships/queryTable" Target="../queryTables/queryTable723.xml"/><Relationship Id="rId173" Type="http://schemas.openxmlformats.org/officeDocument/2006/relationships/queryTable" Target="../queryTables/queryTable744.xml"/><Relationship Id="rId194" Type="http://schemas.openxmlformats.org/officeDocument/2006/relationships/queryTable" Target="../queryTables/queryTable765.xml"/><Relationship Id="rId208" Type="http://schemas.openxmlformats.org/officeDocument/2006/relationships/queryTable" Target="../queryTables/queryTable779.xml"/><Relationship Id="rId229" Type="http://schemas.openxmlformats.org/officeDocument/2006/relationships/queryTable" Target="../queryTables/queryTable800.xml"/><Relationship Id="rId380" Type="http://schemas.openxmlformats.org/officeDocument/2006/relationships/queryTable" Target="../queryTables/queryTable951.xml"/><Relationship Id="rId415" Type="http://schemas.openxmlformats.org/officeDocument/2006/relationships/queryTable" Target="../queryTables/queryTable986.xml"/><Relationship Id="rId240" Type="http://schemas.openxmlformats.org/officeDocument/2006/relationships/queryTable" Target="../queryTables/queryTable811.xml"/><Relationship Id="rId261" Type="http://schemas.openxmlformats.org/officeDocument/2006/relationships/queryTable" Target="../queryTables/queryTable832.xml"/><Relationship Id="rId14" Type="http://schemas.openxmlformats.org/officeDocument/2006/relationships/queryTable" Target="../queryTables/queryTable585.xml"/><Relationship Id="rId35" Type="http://schemas.openxmlformats.org/officeDocument/2006/relationships/queryTable" Target="../queryTables/queryTable606.xml"/><Relationship Id="rId56" Type="http://schemas.openxmlformats.org/officeDocument/2006/relationships/queryTable" Target="../queryTables/queryTable627.xml"/><Relationship Id="rId77" Type="http://schemas.openxmlformats.org/officeDocument/2006/relationships/queryTable" Target="../queryTables/queryTable648.xml"/><Relationship Id="rId100" Type="http://schemas.openxmlformats.org/officeDocument/2006/relationships/queryTable" Target="../queryTables/queryTable671.xml"/><Relationship Id="rId282" Type="http://schemas.openxmlformats.org/officeDocument/2006/relationships/queryTable" Target="../queryTables/queryTable853.xml"/><Relationship Id="rId317" Type="http://schemas.openxmlformats.org/officeDocument/2006/relationships/queryTable" Target="../queryTables/queryTable888.xml"/><Relationship Id="rId338" Type="http://schemas.openxmlformats.org/officeDocument/2006/relationships/queryTable" Target="../queryTables/queryTable909.xml"/><Relationship Id="rId359" Type="http://schemas.openxmlformats.org/officeDocument/2006/relationships/queryTable" Target="../queryTables/queryTable930.xml"/><Relationship Id="rId8" Type="http://schemas.openxmlformats.org/officeDocument/2006/relationships/queryTable" Target="../queryTables/queryTable579.xml"/><Relationship Id="rId98" Type="http://schemas.openxmlformats.org/officeDocument/2006/relationships/queryTable" Target="../queryTables/queryTable669.xml"/><Relationship Id="rId121" Type="http://schemas.openxmlformats.org/officeDocument/2006/relationships/queryTable" Target="../queryTables/queryTable692.xml"/><Relationship Id="rId142" Type="http://schemas.openxmlformats.org/officeDocument/2006/relationships/queryTable" Target="../queryTables/queryTable713.xml"/><Relationship Id="rId163" Type="http://schemas.openxmlformats.org/officeDocument/2006/relationships/queryTable" Target="../queryTables/queryTable734.xml"/><Relationship Id="rId184" Type="http://schemas.openxmlformats.org/officeDocument/2006/relationships/queryTable" Target="../queryTables/queryTable755.xml"/><Relationship Id="rId219" Type="http://schemas.openxmlformats.org/officeDocument/2006/relationships/queryTable" Target="../queryTables/queryTable790.xml"/><Relationship Id="rId370" Type="http://schemas.openxmlformats.org/officeDocument/2006/relationships/queryTable" Target="../queryTables/queryTable941.xml"/><Relationship Id="rId391" Type="http://schemas.openxmlformats.org/officeDocument/2006/relationships/queryTable" Target="../queryTables/queryTable962.xml"/><Relationship Id="rId405" Type="http://schemas.openxmlformats.org/officeDocument/2006/relationships/queryTable" Target="../queryTables/queryTable976.xml"/><Relationship Id="rId426" Type="http://schemas.openxmlformats.org/officeDocument/2006/relationships/queryTable" Target="../queryTables/queryTable997.xml"/><Relationship Id="rId230" Type="http://schemas.openxmlformats.org/officeDocument/2006/relationships/queryTable" Target="../queryTables/queryTable801.xml"/><Relationship Id="rId251" Type="http://schemas.openxmlformats.org/officeDocument/2006/relationships/queryTable" Target="../queryTables/queryTable822.xml"/><Relationship Id="rId25" Type="http://schemas.openxmlformats.org/officeDocument/2006/relationships/queryTable" Target="../queryTables/queryTable596.xml"/><Relationship Id="rId46" Type="http://schemas.openxmlformats.org/officeDocument/2006/relationships/queryTable" Target="../queryTables/queryTable617.xml"/><Relationship Id="rId67" Type="http://schemas.openxmlformats.org/officeDocument/2006/relationships/queryTable" Target="../queryTables/queryTable638.xml"/><Relationship Id="rId272" Type="http://schemas.openxmlformats.org/officeDocument/2006/relationships/queryTable" Target="../queryTables/queryTable843.xml"/><Relationship Id="rId293" Type="http://schemas.openxmlformats.org/officeDocument/2006/relationships/queryTable" Target="../queryTables/queryTable864.xml"/><Relationship Id="rId307" Type="http://schemas.openxmlformats.org/officeDocument/2006/relationships/queryTable" Target="../queryTables/queryTable878.xml"/><Relationship Id="rId328" Type="http://schemas.openxmlformats.org/officeDocument/2006/relationships/queryTable" Target="../queryTables/queryTable899.xml"/><Relationship Id="rId349" Type="http://schemas.openxmlformats.org/officeDocument/2006/relationships/queryTable" Target="../queryTables/queryTable920.xml"/><Relationship Id="rId88" Type="http://schemas.openxmlformats.org/officeDocument/2006/relationships/queryTable" Target="../queryTables/queryTable659.xml"/><Relationship Id="rId111" Type="http://schemas.openxmlformats.org/officeDocument/2006/relationships/queryTable" Target="../queryTables/queryTable682.xml"/><Relationship Id="rId132" Type="http://schemas.openxmlformats.org/officeDocument/2006/relationships/queryTable" Target="../queryTables/queryTable703.xml"/><Relationship Id="rId153" Type="http://schemas.openxmlformats.org/officeDocument/2006/relationships/queryTable" Target="../queryTables/queryTable724.xml"/><Relationship Id="rId174" Type="http://schemas.openxmlformats.org/officeDocument/2006/relationships/queryTable" Target="../queryTables/queryTable745.xml"/><Relationship Id="rId195" Type="http://schemas.openxmlformats.org/officeDocument/2006/relationships/queryTable" Target="../queryTables/queryTable766.xml"/><Relationship Id="rId209" Type="http://schemas.openxmlformats.org/officeDocument/2006/relationships/queryTable" Target="../queryTables/queryTable780.xml"/><Relationship Id="rId360" Type="http://schemas.openxmlformats.org/officeDocument/2006/relationships/queryTable" Target="../queryTables/queryTable931.xml"/><Relationship Id="rId381" Type="http://schemas.openxmlformats.org/officeDocument/2006/relationships/queryTable" Target="../queryTables/queryTable952.xml"/><Relationship Id="rId416" Type="http://schemas.openxmlformats.org/officeDocument/2006/relationships/queryTable" Target="../queryTables/queryTable987.xml"/><Relationship Id="rId220" Type="http://schemas.openxmlformats.org/officeDocument/2006/relationships/queryTable" Target="../queryTables/queryTable791.xml"/><Relationship Id="rId241" Type="http://schemas.openxmlformats.org/officeDocument/2006/relationships/queryTable" Target="../queryTables/queryTable812.xml"/><Relationship Id="rId15" Type="http://schemas.openxmlformats.org/officeDocument/2006/relationships/queryTable" Target="../queryTables/queryTable586.xml"/><Relationship Id="rId36" Type="http://schemas.openxmlformats.org/officeDocument/2006/relationships/queryTable" Target="../queryTables/queryTable607.xml"/><Relationship Id="rId57" Type="http://schemas.openxmlformats.org/officeDocument/2006/relationships/queryTable" Target="../queryTables/queryTable628.xml"/><Relationship Id="rId262" Type="http://schemas.openxmlformats.org/officeDocument/2006/relationships/queryTable" Target="../queryTables/queryTable833.xml"/><Relationship Id="rId283" Type="http://schemas.openxmlformats.org/officeDocument/2006/relationships/queryTable" Target="../queryTables/queryTable854.xml"/><Relationship Id="rId318" Type="http://schemas.openxmlformats.org/officeDocument/2006/relationships/queryTable" Target="../queryTables/queryTable889.xml"/><Relationship Id="rId339" Type="http://schemas.openxmlformats.org/officeDocument/2006/relationships/queryTable" Target="../queryTables/queryTable910.xml"/><Relationship Id="rId78" Type="http://schemas.openxmlformats.org/officeDocument/2006/relationships/queryTable" Target="../queryTables/queryTable649.xml"/><Relationship Id="rId99" Type="http://schemas.openxmlformats.org/officeDocument/2006/relationships/queryTable" Target="../queryTables/queryTable670.xml"/><Relationship Id="rId101" Type="http://schemas.openxmlformats.org/officeDocument/2006/relationships/queryTable" Target="../queryTables/queryTable672.xml"/><Relationship Id="rId122" Type="http://schemas.openxmlformats.org/officeDocument/2006/relationships/queryTable" Target="../queryTables/queryTable693.xml"/><Relationship Id="rId143" Type="http://schemas.openxmlformats.org/officeDocument/2006/relationships/queryTable" Target="../queryTables/queryTable714.xml"/><Relationship Id="rId164" Type="http://schemas.openxmlformats.org/officeDocument/2006/relationships/queryTable" Target="../queryTables/queryTable735.xml"/><Relationship Id="rId185" Type="http://schemas.openxmlformats.org/officeDocument/2006/relationships/queryTable" Target="../queryTables/queryTable756.xml"/><Relationship Id="rId350" Type="http://schemas.openxmlformats.org/officeDocument/2006/relationships/queryTable" Target="../queryTables/queryTable921.xml"/><Relationship Id="rId371" Type="http://schemas.openxmlformats.org/officeDocument/2006/relationships/queryTable" Target="../queryTables/queryTable942.xml"/><Relationship Id="rId406" Type="http://schemas.openxmlformats.org/officeDocument/2006/relationships/queryTable" Target="../queryTables/queryTable977.xml"/><Relationship Id="rId9" Type="http://schemas.openxmlformats.org/officeDocument/2006/relationships/queryTable" Target="../queryTables/queryTable580.xml"/><Relationship Id="rId210" Type="http://schemas.openxmlformats.org/officeDocument/2006/relationships/queryTable" Target="../queryTables/queryTable781.xml"/><Relationship Id="rId392" Type="http://schemas.openxmlformats.org/officeDocument/2006/relationships/queryTable" Target="../queryTables/queryTable963.xml"/><Relationship Id="rId427" Type="http://schemas.openxmlformats.org/officeDocument/2006/relationships/queryTable" Target="../queryTables/queryTable998.xml"/><Relationship Id="rId26" Type="http://schemas.openxmlformats.org/officeDocument/2006/relationships/queryTable" Target="../queryTables/queryTable597.xml"/><Relationship Id="rId231" Type="http://schemas.openxmlformats.org/officeDocument/2006/relationships/queryTable" Target="../queryTables/queryTable802.xml"/><Relationship Id="rId252" Type="http://schemas.openxmlformats.org/officeDocument/2006/relationships/queryTable" Target="../queryTables/queryTable823.xml"/><Relationship Id="rId273" Type="http://schemas.openxmlformats.org/officeDocument/2006/relationships/queryTable" Target="../queryTables/queryTable844.xml"/><Relationship Id="rId294" Type="http://schemas.openxmlformats.org/officeDocument/2006/relationships/queryTable" Target="../queryTables/queryTable865.xml"/><Relationship Id="rId308" Type="http://schemas.openxmlformats.org/officeDocument/2006/relationships/queryTable" Target="../queryTables/queryTable879.xml"/><Relationship Id="rId329" Type="http://schemas.openxmlformats.org/officeDocument/2006/relationships/queryTable" Target="../queryTables/queryTable900.xml"/><Relationship Id="rId47" Type="http://schemas.openxmlformats.org/officeDocument/2006/relationships/queryTable" Target="../queryTables/queryTable618.xml"/><Relationship Id="rId68" Type="http://schemas.openxmlformats.org/officeDocument/2006/relationships/queryTable" Target="../queryTables/queryTable639.xml"/><Relationship Id="rId89" Type="http://schemas.openxmlformats.org/officeDocument/2006/relationships/queryTable" Target="../queryTables/queryTable660.xml"/><Relationship Id="rId112" Type="http://schemas.openxmlformats.org/officeDocument/2006/relationships/queryTable" Target="../queryTables/queryTable683.xml"/><Relationship Id="rId133" Type="http://schemas.openxmlformats.org/officeDocument/2006/relationships/queryTable" Target="../queryTables/queryTable704.xml"/><Relationship Id="rId154" Type="http://schemas.openxmlformats.org/officeDocument/2006/relationships/queryTable" Target="../queryTables/queryTable725.xml"/><Relationship Id="rId175" Type="http://schemas.openxmlformats.org/officeDocument/2006/relationships/queryTable" Target="../queryTables/queryTable746.xml"/><Relationship Id="rId340" Type="http://schemas.openxmlformats.org/officeDocument/2006/relationships/queryTable" Target="../queryTables/queryTable911.xml"/><Relationship Id="rId361" Type="http://schemas.openxmlformats.org/officeDocument/2006/relationships/queryTable" Target="../queryTables/queryTable932.xml"/><Relationship Id="rId196" Type="http://schemas.openxmlformats.org/officeDocument/2006/relationships/queryTable" Target="../queryTables/queryTable767.xml"/><Relationship Id="rId200" Type="http://schemas.openxmlformats.org/officeDocument/2006/relationships/queryTable" Target="../queryTables/queryTable771.xml"/><Relationship Id="rId382" Type="http://schemas.openxmlformats.org/officeDocument/2006/relationships/queryTable" Target="../queryTables/queryTable953.xml"/><Relationship Id="rId417" Type="http://schemas.openxmlformats.org/officeDocument/2006/relationships/queryTable" Target="../queryTables/queryTable988.xml"/><Relationship Id="rId16" Type="http://schemas.openxmlformats.org/officeDocument/2006/relationships/queryTable" Target="../queryTables/queryTable587.xml"/><Relationship Id="rId221" Type="http://schemas.openxmlformats.org/officeDocument/2006/relationships/queryTable" Target="../queryTables/queryTable792.xml"/><Relationship Id="rId242" Type="http://schemas.openxmlformats.org/officeDocument/2006/relationships/queryTable" Target="../queryTables/queryTable813.xml"/><Relationship Id="rId263" Type="http://schemas.openxmlformats.org/officeDocument/2006/relationships/queryTable" Target="../queryTables/queryTable834.xml"/><Relationship Id="rId284" Type="http://schemas.openxmlformats.org/officeDocument/2006/relationships/queryTable" Target="../queryTables/queryTable855.xml"/><Relationship Id="rId319" Type="http://schemas.openxmlformats.org/officeDocument/2006/relationships/queryTable" Target="../queryTables/queryTable890.xml"/><Relationship Id="rId37" Type="http://schemas.openxmlformats.org/officeDocument/2006/relationships/queryTable" Target="../queryTables/queryTable608.xml"/><Relationship Id="rId58" Type="http://schemas.openxmlformats.org/officeDocument/2006/relationships/queryTable" Target="../queryTables/queryTable629.xml"/><Relationship Id="rId79" Type="http://schemas.openxmlformats.org/officeDocument/2006/relationships/queryTable" Target="../queryTables/queryTable650.xml"/><Relationship Id="rId102" Type="http://schemas.openxmlformats.org/officeDocument/2006/relationships/queryTable" Target="../queryTables/queryTable673.xml"/><Relationship Id="rId123" Type="http://schemas.openxmlformats.org/officeDocument/2006/relationships/queryTable" Target="../queryTables/queryTable694.xml"/><Relationship Id="rId144" Type="http://schemas.openxmlformats.org/officeDocument/2006/relationships/queryTable" Target="../queryTables/queryTable715.xml"/><Relationship Id="rId330" Type="http://schemas.openxmlformats.org/officeDocument/2006/relationships/queryTable" Target="../queryTables/queryTable901.xml"/><Relationship Id="rId90" Type="http://schemas.openxmlformats.org/officeDocument/2006/relationships/queryTable" Target="../queryTables/queryTable661.xml"/><Relationship Id="rId165" Type="http://schemas.openxmlformats.org/officeDocument/2006/relationships/queryTable" Target="../queryTables/queryTable736.xml"/><Relationship Id="rId186" Type="http://schemas.openxmlformats.org/officeDocument/2006/relationships/queryTable" Target="../queryTables/queryTable757.xml"/><Relationship Id="rId351" Type="http://schemas.openxmlformats.org/officeDocument/2006/relationships/queryTable" Target="../queryTables/queryTable922.xml"/><Relationship Id="rId372" Type="http://schemas.openxmlformats.org/officeDocument/2006/relationships/queryTable" Target="../queryTables/queryTable943.xml"/><Relationship Id="rId393" Type="http://schemas.openxmlformats.org/officeDocument/2006/relationships/queryTable" Target="../queryTables/queryTable964.xml"/><Relationship Id="rId407" Type="http://schemas.openxmlformats.org/officeDocument/2006/relationships/queryTable" Target="../queryTables/queryTable978.xml"/><Relationship Id="rId428" Type="http://schemas.openxmlformats.org/officeDocument/2006/relationships/queryTable" Target="../queryTables/queryTable999.xml"/><Relationship Id="rId211" Type="http://schemas.openxmlformats.org/officeDocument/2006/relationships/queryTable" Target="../queryTables/queryTable782.xml"/><Relationship Id="rId232" Type="http://schemas.openxmlformats.org/officeDocument/2006/relationships/queryTable" Target="../queryTables/queryTable803.xml"/><Relationship Id="rId253" Type="http://schemas.openxmlformats.org/officeDocument/2006/relationships/queryTable" Target="../queryTables/queryTable824.xml"/><Relationship Id="rId274" Type="http://schemas.openxmlformats.org/officeDocument/2006/relationships/queryTable" Target="../queryTables/queryTable845.xml"/><Relationship Id="rId295" Type="http://schemas.openxmlformats.org/officeDocument/2006/relationships/queryTable" Target="../queryTables/queryTable866.xml"/><Relationship Id="rId309" Type="http://schemas.openxmlformats.org/officeDocument/2006/relationships/queryTable" Target="../queryTables/queryTable880.xml"/><Relationship Id="rId27" Type="http://schemas.openxmlformats.org/officeDocument/2006/relationships/queryTable" Target="../queryTables/queryTable598.xml"/><Relationship Id="rId48" Type="http://schemas.openxmlformats.org/officeDocument/2006/relationships/queryTable" Target="../queryTables/queryTable619.xml"/><Relationship Id="rId69" Type="http://schemas.openxmlformats.org/officeDocument/2006/relationships/queryTable" Target="../queryTables/queryTable640.xml"/><Relationship Id="rId113" Type="http://schemas.openxmlformats.org/officeDocument/2006/relationships/queryTable" Target="../queryTables/queryTable684.xml"/><Relationship Id="rId134" Type="http://schemas.openxmlformats.org/officeDocument/2006/relationships/queryTable" Target="../queryTables/queryTable705.xml"/><Relationship Id="rId320" Type="http://schemas.openxmlformats.org/officeDocument/2006/relationships/queryTable" Target="../queryTables/queryTable891.xml"/><Relationship Id="rId80" Type="http://schemas.openxmlformats.org/officeDocument/2006/relationships/queryTable" Target="../queryTables/queryTable651.xml"/><Relationship Id="rId155" Type="http://schemas.openxmlformats.org/officeDocument/2006/relationships/queryTable" Target="../queryTables/queryTable726.xml"/><Relationship Id="rId176" Type="http://schemas.openxmlformats.org/officeDocument/2006/relationships/queryTable" Target="../queryTables/queryTable747.xml"/><Relationship Id="rId197" Type="http://schemas.openxmlformats.org/officeDocument/2006/relationships/queryTable" Target="../queryTables/queryTable768.xml"/><Relationship Id="rId341" Type="http://schemas.openxmlformats.org/officeDocument/2006/relationships/queryTable" Target="../queryTables/queryTable912.xml"/><Relationship Id="rId362" Type="http://schemas.openxmlformats.org/officeDocument/2006/relationships/queryTable" Target="../queryTables/queryTable933.xml"/><Relationship Id="rId383" Type="http://schemas.openxmlformats.org/officeDocument/2006/relationships/queryTable" Target="../queryTables/queryTable954.xml"/><Relationship Id="rId418" Type="http://schemas.openxmlformats.org/officeDocument/2006/relationships/queryTable" Target="../queryTables/queryTable989.xml"/><Relationship Id="rId201" Type="http://schemas.openxmlformats.org/officeDocument/2006/relationships/queryTable" Target="../queryTables/queryTable772.xml"/><Relationship Id="rId222" Type="http://schemas.openxmlformats.org/officeDocument/2006/relationships/queryTable" Target="../queryTables/queryTable793.xml"/><Relationship Id="rId243" Type="http://schemas.openxmlformats.org/officeDocument/2006/relationships/queryTable" Target="../queryTables/queryTable814.xml"/><Relationship Id="rId264" Type="http://schemas.openxmlformats.org/officeDocument/2006/relationships/queryTable" Target="../queryTables/queryTable835.xml"/><Relationship Id="rId285" Type="http://schemas.openxmlformats.org/officeDocument/2006/relationships/queryTable" Target="../queryTables/queryTable856.xml"/><Relationship Id="rId17" Type="http://schemas.openxmlformats.org/officeDocument/2006/relationships/queryTable" Target="../queryTables/queryTable588.xml"/><Relationship Id="rId38" Type="http://schemas.openxmlformats.org/officeDocument/2006/relationships/queryTable" Target="../queryTables/queryTable609.xml"/><Relationship Id="rId59" Type="http://schemas.openxmlformats.org/officeDocument/2006/relationships/queryTable" Target="../queryTables/queryTable630.xml"/><Relationship Id="rId103" Type="http://schemas.openxmlformats.org/officeDocument/2006/relationships/queryTable" Target="../queryTables/queryTable674.xml"/><Relationship Id="rId124" Type="http://schemas.openxmlformats.org/officeDocument/2006/relationships/queryTable" Target="../queryTables/queryTable695.xml"/><Relationship Id="rId310" Type="http://schemas.openxmlformats.org/officeDocument/2006/relationships/queryTable" Target="../queryTables/queryTable881.xml"/><Relationship Id="rId70" Type="http://schemas.openxmlformats.org/officeDocument/2006/relationships/queryTable" Target="../queryTables/queryTable641.xml"/><Relationship Id="rId91" Type="http://schemas.openxmlformats.org/officeDocument/2006/relationships/queryTable" Target="../queryTables/queryTable662.xml"/><Relationship Id="rId145" Type="http://schemas.openxmlformats.org/officeDocument/2006/relationships/queryTable" Target="../queryTables/queryTable716.xml"/><Relationship Id="rId166" Type="http://schemas.openxmlformats.org/officeDocument/2006/relationships/queryTable" Target="../queryTables/queryTable737.xml"/><Relationship Id="rId187" Type="http://schemas.openxmlformats.org/officeDocument/2006/relationships/queryTable" Target="../queryTables/queryTable758.xml"/><Relationship Id="rId331" Type="http://schemas.openxmlformats.org/officeDocument/2006/relationships/queryTable" Target="../queryTables/queryTable902.xml"/><Relationship Id="rId352" Type="http://schemas.openxmlformats.org/officeDocument/2006/relationships/queryTable" Target="../queryTables/queryTable923.xml"/><Relationship Id="rId373" Type="http://schemas.openxmlformats.org/officeDocument/2006/relationships/queryTable" Target="../queryTables/queryTable944.xml"/><Relationship Id="rId394" Type="http://schemas.openxmlformats.org/officeDocument/2006/relationships/queryTable" Target="../queryTables/queryTable965.xml"/><Relationship Id="rId408" Type="http://schemas.openxmlformats.org/officeDocument/2006/relationships/queryTable" Target="../queryTables/queryTable979.xml"/><Relationship Id="rId429" Type="http://schemas.openxmlformats.org/officeDocument/2006/relationships/queryTable" Target="../queryTables/queryTable100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83.xml"/><Relationship Id="rId233" Type="http://schemas.openxmlformats.org/officeDocument/2006/relationships/queryTable" Target="../queryTables/queryTable804.xml"/><Relationship Id="rId254" Type="http://schemas.openxmlformats.org/officeDocument/2006/relationships/queryTable" Target="../queryTables/queryTable825.xml"/><Relationship Id="rId28" Type="http://schemas.openxmlformats.org/officeDocument/2006/relationships/queryTable" Target="../queryTables/queryTable599.xml"/><Relationship Id="rId49" Type="http://schemas.openxmlformats.org/officeDocument/2006/relationships/queryTable" Target="../queryTables/queryTable620.xml"/><Relationship Id="rId114" Type="http://schemas.openxmlformats.org/officeDocument/2006/relationships/queryTable" Target="../queryTables/queryTable685.xml"/><Relationship Id="rId275" Type="http://schemas.openxmlformats.org/officeDocument/2006/relationships/queryTable" Target="../queryTables/queryTable846.xml"/><Relationship Id="rId296" Type="http://schemas.openxmlformats.org/officeDocument/2006/relationships/queryTable" Target="../queryTables/queryTable867.xml"/><Relationship Id="rId300" Type="http://schemas.openxmlformats.org/officeDocument/2006/relationships/queryTable" Target="../queryTables/queryTable871.xml"/><Relationship Id="rId60" Type="http://schemas.openxmlformats.org/officeDocument/2006/relationships/queryTable" Target="../queryTables/queryTable631.xml"/><Relationship Id="rId81" Type="http://schemas.openxmlformats.org/officeDocument/2006/relationships/queryTable" Target="../queryTables/queryTable652.xml"/><Relationship Id="rId135" Type="http://schemas.openxmlformats.org/officeDocument/2006/relationships/queryTable" Target="../queryTables/queryTable706.xml"/><Relationship Id="rId156" Type="http://schemas.openxmlformats.org/officeDocument/2006/relationships/queryTable" Target="../queryTables/queryTable727.xml"/><Relationship Id="rId177" Type="http://schemas.openxmlformats.org/officeDocument/2006/relationships/queryTable" Target="../queryTables/queryTable748.xml"/><Relationship Id="rId198" Type="http://schemas.openxmlformats.org/officeDocument/2006/relationships/queryTable" Target="../queryTables/queryTable769.xml"/><Relationship Id="rId321" Type="http://schemas.openxmlformats.org/officeDocument/2006/relationships/queryTable" Target="../queryTables/queryTable892.xml"/><Relationship Id="rId342" Type="http://schemas.openxmlformats.org/officeDocument/2006/relationships/queryTable" Target="../queryTables/queryTable913.xml"/><Relationship Id="rId363" Type="http://schemas.openxmlformats.org/officeDocument/2006/relationships/queryTable" Target="../queryTables/queryTable934.xml"/><Relationship Id="rId384" Type="http://schemas.openxmlformats.org/officeDocument/2006/relationships/queryTable" Target="../queryTables/queryTable955.xml"/><Relationship Id="rId419" Type="http://schemas.openxmlformats.org/officeDocument/2006/relationships/queryTable" Target="../queryTables/queryTable990.xml"/><Relationship Id="rId202" Type="http://schemas.openxmlformats.org/officeDocument/2006/relationships/queryTable" Target="../queryTables/queryTable773.xml"/><Relationship Id="rId223" Type="http://schemas.openxmlformats.org/officeDocument/2006/relationships/queryTable" Target="../queryTables/queryTable794.xml"/><Relationship Id="rId244" Type="http://schemas.openxmlformats.org/officeDocument/2006/relationships/queryTable" Target="../queryTables/queryTable815.xml"/><Relationship Id="rId430" Type="http://schemas.openxmlformats.org/officeDocument/2006/relationships/queryTable" Target="../queryTables/queryTable1001.xml"/><Relationship Id="rId18" Type="http://schemas.openxmlformats.org/officeDocument/2006/relationships/queryTable" Target="../queryTables/queryTable589.xml"/><Relationship Id="rId39" Type="http://schemas.openxmlformats.org/officeDocument/2006/relationships/queryTable" Target="../queryTables/queryTable610.xml"/><Relationship Id="rId265" Type="http://schemas.openxmlformats.org/officeDocument/2006/relationships/queryTable" Target="../queryTables/queryTable836.xml"/><Relationship Id="rId286" Type="http://schemas.openxmlformats.org/officeDocument/2006/relationships/queryTable" Target="../queryTables/queryTable857.xml"/><Relationship Id="rId50" Type="http://schemas.openxmlformats.org/officeDocument/2006/relationships/queryTable" Target="../queryTables/queryTable621.xml"/><Relationship Id="rId104" Type="http://schemas.openxmlformats.org/officeDocument/2006/relationships/queryTable" Target="../queryTables/queryTable675.xml"/><Relationship Id="rId125" Type="http://schemas.openxmlformats.org/officeDocument/2006/relationships/queryTable" Target="../queryTables/queryTable696.xml"/><Relationship Id="rId146" Type="http://schemas.openxmlformats.org/officeDocument/2006/relationships/queryTable" Target="../queryTables/queryTable717.xml"/><Relationship Id="rId167" Type="http://schemas.openxmlformats.org/officeDocument/2006/relationships/queryTable" Target="../queryTables/queryTable738.xml"/><Relationship Id="rId188" Type="http://schemas.openxmlformats.org/officeDocument/2006/relationships/queryTable" Target="../queryTables/queryTable759.xml"/><Relationship Id="rId311" Type="http://schemas.openxmlformats.org/officeDocument/2006/relationships/queryTable" Target="../queryTables/queryTable882.xml"/><Relationship Id="rId332" Type="http://schemas.openxmlformats.org/officeDocument/2006/relationships/queryTable" Target="../queryTables/queryTable903.xml"/><Relationship Id="rId353" Type="http://schemas.openxmlformats.org/officeDocument/2006/relationships/queryTable" Target="../queryTables/queryTable924.xml"/><Relationship Id="rId374" Type="http://schemas.openxmlformats.org/officeDocument/2006/relationships/queryTable" Target="../queryTables/queryTable945.xml"/><Relationship Id="rId395" Type="http://schemas.openxmlformats.org/officeDocument/2006/relationships/queryTable" Target="../queryTables/queryTable966.xml"/><Relationship Id="rId409" Type="http://schemas.openxmlformats.org/officeDocument/2006/relationships/queryTable" Target="../queryTables/queryTable980.xml"/><Relationship Id="rId71" Type="http://schemas.openxmlformats.org/officeDocument/2006/relationships/queryTable" Target="../queryTables/queryTable642.xml"/><Relationship Id="rId92" Type="http://schemas.openxmlformats.org/officeDocument/2006/relationships/queryTable" Target="../queryTables/queryTable663.xml"/><Relationship Id="rId213" Type="http://schemas.openxmlformats.org/officeDocument/2006/relationships/queryTable" Target="../queryTables/queryTable784.xml"/><Relationship Id="rId234" Type="http://schemas.openxmlformats.org/officeDocument/2006/relationships/queryTable" Target="../queryTables/queryTable805.xml"/><Relationship Id="rId420" Type="http://schemas.openxmlformats.org/officeDocument/2006/relationships/queryTable" Target="../queryTables/queryTable991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600.xml"/><Relationship Id="rId255" Type="http://schemas.openxmlformats.org/officeDocument/2006/relationships/queryTable" Target="../queryTables/queryTable826.xml"/><Relationship Id="rId276" Type="http://schemas.openxmlformats.org/officeDocument/2006/relationships/queryTable" Target="../queryTables/queryTable847.xml"/><Relationship Id="rId297" Type="http://schemas.openxmlformats.org/officeDocument/2006/relationships/queryTable" Target="../queryTables/queryTable868.xml"/><Relationship Id="rId40" Type="http://schemas.openxmlformats.org/officeDocument/2006/relationships/queryTable" Target="../queryTables/queryTable611.xml"/><Relationship Id="rId115" Type="http://schemas.openxmlformats.org/officeDocument/2006/relationships/queryTable" Target="../queryTables/queryTable686.xml"/><Relationship Id="rId136" Type="http://schemas.openxmlformats.org/officeDocument/2006/relationships/queryTable" Target="../queryTables/queryTable707.xml"/><Relationship Id="rId157" Type="http://schemas.openxmlformats.org/officeDocument/2006/relationships/queryTable" Target="../queryTables/queryTable728.xml"/><Relationship Id="rId178" Type="http://schemas.openxmlformats.org/officeDocument/2006/relationships/queryTable" Target="../queryTables/queryTable749.xml"/><Relationship Id="rId301" Type="http://schemas.openxmlformats.org/officeDocument/2006/relationships/queryTable" Target="../queryTables/queryTable872.xml"/><Relationship Id="rId322" Type="http://schemas.openxmlformats.org/officeDocument/2006/relationships/queryTable" Target="../queryTables/queryTable893.xml"/><Relationship Id="rId343" Type="http://schemas.openxmlformats.org/officeDocument/2006/relationships/queryTable" Target="../queryTables/queryTable914.xml"/><Relationship Id="rId364" Type="http://schemas.openxmlformats.org/officeDocument/2006/relationships/queryTable" Target="../queryTables/queryTable935.xml"/><Relationship Id="rId61" Type="http://schemas.openxmlformats.org/officeDocument/2006/relationships/queryTable" Target="../queryTables/queryTable632.xml"/><Relationship Id="rId82" Type="http://schemas.openxmlformats.org/officeDocument/2006/relationships/queryTable" Target="../queryTables/queryTable653.xml"/><Relationship Id="rId199" Type="http://schemas.openxmlformats.org/officeDocument/2006/relationships/queryTable" Target="../queryTables/queryTable770.xml"/><Relationship Id="rId203" Type="http://schemas.openxmlformats.org/officeDocument/2006/relationships/queryTable" Target="../queryTables/queryTable774.xml"/><Relationship Id="rId385" Type="http://schemas.openxmlformats.org/officeDocument/2006/relationships/queryTable" Target="../queryTables/queryTable956.xml"/><Relationship Id="rId19" Type="http://schemas.openxmlformats.org/officeDocument/2006/relationships/queryTable" Target="../queryTables/queryTable590.xml"/><Relationship Id="rId224" Type="http://schemas.openxmlformats.org/officeDocument/2006/relationships/queryTable" Target="../queryTables/queryTable795.xml"/><Relationship Id="rId245" Type="http://schemas.openxmlformats.org/officeDocument/2006/relationships/queryTable" Target="../queryTables/queryTable816.xml"/><Relationship Id="rId266" Type="http://schemas.openxmlformats.org/officeDocument/2006/relationships/queryTable" Target="../queryTables/queryTable837.xml"/><Relationship Id="rId287" Type="http://schemas.openxmlformats.org/officeDocument/2006/relationships/queryTable" Target="../queryTables/queryTable858.xml"/><Relationship Id="rId410" Type="http://schemas.openxmlformats.org/officeDocument/2006/relationships/queryTable" Target="../queryTables/queryTable981.xml"/><Relationship Id="rId431" Type="http://schemas.openxmlformats.org/officeDocument/2006/relationships/queryTable" Target="../queryTables/queryTable1002.xml"/><Relationship Id="rId30" Type="http://schemas.openxmlformats.org/officeDocument/2006/relationships/queryTable" Target="../queryTables/queryTable601.xml"/><Relationship Id="rId105" Type="http://schemas.openxmlformats.org/officeDocument/2006/relationships/queryTable" Target="../queryTables/queryTable676.xml"/><Relationship Id="rId126" Type="http://schemas.openxmlformats.org/officeDocument/2006/relationships/queryTable" Target="../queryTables/queryTable697.xml"/><Relationship Id="rId147" Type="http://schemas.openxmlformats.org/officeDocument/2006/relationships/queryTable" Target="../queryTables/queryTable718.xml"/><Relationship Id="rId168" Type="http://schemas.openxmlformats.org/officeDocument/2006/relationships/queryTable" Target="../queryTables/queryTable739.xml"/><Relationship Id="rId312" Type="http://schemas.openxmlformats.org/officeDocument/2006/relationships/queryTable" Target="../queryTables/queryTable883.xml"/><Relationship Id="rId333" Type="http://schemas.openxmlformats.org/officeDocument/2006/relationships/queryTable" Target="../queryTables/queryTable904.xml"/><Relationship Id="rId354" Type="http://schemas.openxmlformats.org/officeDocument/2006/relationships/queryTable" Target="../queryTables/queryTable925.xml"/><Relationship Id="rId51" Type="http://schemas.openxmlformats.org/officeDocument/2006/relationships/queryTable" Target="../queryTables/queryTable622.xml"/><Relationship Id="rId72" Type="http://schemas.openxmlformats.org/officeDocument/2006/relationships/queryTable" Target="../queryTables/queryTable643.xml"/><Relationship Id="rId93" Type="http://schemas.openxmlformats.org/officeDocument/2006/relationships/queryTable" Target="../queryTables/queryTable664.xml"/><Relationship Id="rId189" Type="http://schemas.openxmlformats.org/officeDocument/2006/relationships/queryTable" Target="../queryTables/queryTable760.xml"/><Relationship Id="rId375" Type="http://schemas.openxmlformats.org/officeDocument/2006/relationships/queryTable" Target="../queryTables/queryTable946.xml"/><Relationship Id="rId396" Type="http://schemas.openxmlformats.org/officeDocument/2006/relationships/queryTable" Target="../queryTables/queryTable967.xml"/><Relationship Id="rId3" Type="http://schemas.openxmlformats.org/officeDocument/2006/relationships/vmlDrawing" Target="../drawings/vmlDrawing3.vml"/><Relationship Id="rId214" Type="http://schemas.openxmlformats.org/officeDocument/2006/relationships/queryTable" Target="../queryTables/queryTable785.xml"/><Relationship Id="rId235" Type="http://schemas.openxmlformats.org/officeDocument/2006/relationships/queryTable" Target="../queryTables/queryTable806.xml"/><Relationship Id="rId256" Type="http://schemas.openxmlformats.org/officeDocument/2006/relationships/queryTable" Target="../queryTables/queryTable827.xml"/><Relationship Id="rId277" Type="http://schemas.openxmlformats.org/officeDocument/2006/relationships/queryTable" Target="../queryTables/queryTable848.xml"/><Relationship Id="rId298" Type="http://schemas.openxmlformats.org/officeDocument/2006/relationships/queryTable" Target="../queryTables/queryTable869.xml"/><Relationship Id="rId400" Type="http://schemas.openxmlformats.org/officeDocument/2006/relationships/queryTable" Target="../queryTables/queryTable971.xml"/><Relationship Id="rId421" Type="http://schemas.openxmlformats.org/officeDocument/2006/relationships/queryTable" Target="../queryTables/queryTable992.xml"/><Relationship Id="rId116" Type="http://schemas.openxmlformats.org/officeDocument/2006/relationships/queryTable" Target="../queryTables/queryTable687.xml"/><Relationship Id="rId137" Type="http://schemas.openxmlformats.org/officeDocument/2006/relationships/queryTable" Target="../queryTables/queryTable708.xml"/><Relationship Id="rId158" Type="http://schemas.openxmlformats.org/officeDocument/2006/relationships/queryTable" Target="../queryTables/queryTable729.xml"/><Relationship Id="rId302" Type="http://schemas.openxmlformats.org/officeDocument/2006/relationships/queryTable" Target="../queryTables/queryTable873.xml"/><Relationship Id="rId323" Type="http://schemas.openxmlformats.org/officeDocument/2006/relationships/queryTable" Target="../queryTables/queryTable894.xml"/><Relationship Id="rId344" Type="http://schemas.openxmlformats.org/officeDocument/2006/relationships/queryTable" Target="../queryTables/queryTable915.xml"/><Relationship Id="rId20" Type="http://schemas.openxmlformats.org/officeDocument/2006/relationships/queryTable" Target="../queryTables/queryTable591.xml"/><Relationship Id="rId41" Type="http://schemas.openxmlformats.org/officeDocument/2006/relationships/queryTable" Target="../queryTables/queryTable612.xml"/><Relationship Id="rId62" Type="http://schemas.openxmlformats.org/officeDocument/2006/relationships/queryTable" Target="../queryTables/queryTable633.xml"/><Relationship Id="rId83" Type="http://schemas.openxmlformats.org/officeDocument/2006/relationships/queryTable" Target="../queryTables/queryTable654.xml"/><Relationship Id="rId179" Type="http://schemas.openxmlformats.org/officeDocument/2006/relationships/queryTable" Target="../queryTables/queryTable750.xml"/><Relationship Id="rId365" Type="http://schemas.openxmlformats.org/officeDocument/2006/relationships/queryTable" Target="../queryTables/queryTable936.xml"/><Relationship Id="rId386" Type="http://schemas.openxmlformats.org/officeDocument/2006/relationships/queryTable" Target="../queryTables/queryTable957.xml"/><Relationship Id="rId190" Type="http://schemas.openxmlformats.org/officeDocument/2006/relationships/queryTable" Target="../queryTables/queryTable761.xml"/><Relationship Id="rId204" Type="http://schemas.openxmlformats.org/officeDocument/2006/relationships/queryTable" Target="../queryTables/queryTable775.xml"/><Relationship Id="rId225" Type="http://schemas.openxmlformats.org/officeDocument/2006/relationships/queryTable" Target="../queryTables/queryTable796.xml"/><Relationship Id="rId246" Type="http://schemas.openxmlformats.org/officeDocument/2006/relationships/queryTable" Target="../queryTables/queryTable817.xml"/><Relationship Id="rId267" Type="http://schemas.openxmlformats.org/officeDocument/2006/relationships/queryTable" Target="../queryTables/queryTable838.xml"/><Relationship Id="rId288" Type="http://schemas.openxmlformats.org/officeDocument/2006/relationships/queryTable" Target="../queryTables/queryTable859.xml"/><Relationship Id="rId411" Type="http://schemas.openxmlformats.org/officeDocument/2006/relationships/queryTable" Target="../queryTables/queryTable982.xml"/><Relationship Id="rId432" Type="http://schemas.openxmlformats.org/officeDocument/2006/relationships/queryTable" Target="../queryTables/queryTable1003.xml"/><Relationship Id="rId106" Type="http://schemas.openxmlformats.org/officeDocument/2006/relationships/queryTable" Target="../queryTables/queryTable677.xml"/><Relationship Id="rId127" Type="http://schemas.openxmlformats.org/officeDocument/2006/relationships/queryTable" Target="../queryTables/queryTable698.xml"/><Relationship Id="rId313" Type="http://schemas.openxmlformats.org/officeDocument/2006/relationships/queryTable" Target="../queryTables/queryTable884.xml"/><Relationship Id="rId10" Type="http://schemas.openxmlformats.org/officeDocument/2006/relationships/queryTable" Target="../queryTables/queryTable581.xml"/><Relationship Id="rId31" Type="http://schemas.openxmlformats.org/officeDocument/2006/relationships/queryTable" Target="../queryTables/queryTable602.xml"/><Relationship Id="rId52" Type="http://schemas.openxmlformats.org/officeDocument/2006/relationships/queryTable" Target="../queryTables/queryTable623.xml"/><Relationship Id="rId73" Type="http://schemas.openxmlformats.org/officeDocument/2006/relationships/queryTable" Target="../queryTables/queryTable644.xml"/><Relationship Id="rId94" Type="http://schemas.openxmlformats.org/officeDocument/2006/relationships/queryTable" Target="../queryTables/queryTable665.xml"/><Relationship Id="rId148" Type="http://schemas.openxmlformats.org/officeDocument/2006/relationships/queryTable" Target="../queryTables/queryTable719.xml"/><Relationship Id="rId169" Type="http://schemas.openxmlformats.org/officeDocument/2006/relationships/queryTable" Target="../queryTables/queryTable740.xml"/><Relationship Id="rId334" Type="http://schemas.openxmlformats.org/officeDocument/2006/relationships/queryTable" Target="../queryTables/queryTable905.xml"/><Relationship Id="rId355" Type="http://schemas.openxmlformats.org/officeDocument/2006/relationships/queryTable" Target="../queryTables/queryTable926.xml"/><Relationship Id="rId376" Type="http://schemas.openxmlformats.org/officeDocument/2006/relationships/queryTable" Target="../queryTables/queryTable947.xml"/><Relationship Id="rId397" Type="http://schemas.openxmlformats.org/officeDocument/2006/relationships/queryTable" Target="../queryTables/queryTable968.xml"/><Relationship Id="rId4" Type="http://schemas.openxmlformats.org/officeDocument/2006/relationships/ctrlProp" Target="../ctrlProps/ctrlProp3.xml"/><Relationship Id="rId180" Type="http://schemas.openxmlformats.org/officeDocument/2006/relationships/queryTable" Target="../queryTables/queryTable751.xml"/><Relationship Id="rId215" Type="http://schemas.openxmlformats.org/officeDocument/2006/relationships/queryTable" Target="../queryTables/queryTable786.xml"/><Relationship Id="rId236" Type="http://schemas.openxmlformats.org/officeDocument/2006/relationships/queryTable" Target="../queryTables/queryTable807.xml"/><Relationship Id="rId257" Type="http://schemas.openxmlformats.org/officeDocument/2006/relationships/queryTable" Target="../queryTables/queryTable828.xml"/><Relationship Id="rId278" Type="http://schemas.openxmlformats.org/officeDocument/2006/relationships/queryTable" Target="../queryTables/queryTable849.xml"/><Relationship Id="rId401" Type="http://schemas.openxmlformats.org/officeDocument/2006/relationships/queryTable" Target="../queryTables/queryTable972.xml"/><Relationship Id="rId422" Type="http://schemas.openxmlformats.org/officeDocument/2006/relationships/queryTable" Target="../queryTables/queryTable993.xml"/><Relationship Id="rId303" Type="http://schemas.openxmlformats.org/officeDocument/2006/relationships/queryTable" Target="../queryTables/queryTable874.xml"/><Relationship Id="rId42" Type="http://schemas.openxmlformats.org/officeDocument/2006/relationships/queryTable" Target="../queryTables/queryTable613.xml"/><Relationship Id="rId84" Type="http://schemas.openxmlformats.org/officeDocument/2006/relationships/queryTable" Target="../queryTables/queryTable655.xml"/><Relationship Id="rId138" Type="http://schemas.openxmlformats.org/officeDocument/2006/relationships/queryTable" Target="../queryTables/queryTable709.xml"/><Relationship Id="rId345" Type="http://schemas.openxmlformats.org/officeDocument/2006/relationships/queryTable" Target="../queryTables/queryTable916.xml"/><Relationship Id="rId387" Type="http://schemas.openxmlformats.org/officeDocument/2006/relationships/queryTable" Target="../queryTables/queryTable958.xml"/><Relationship Id="rId191" Type="http://schemas.openxmlformats.org/officeDocument/2006/relationships/queryTable" Target="../queryTables/queryTable762.xml"/><Relationship Id="rId205" Type="http://schemas.openxmlformats.org/officeDocument/2006/relationships/queryTable" Target="../queryTables/queryTable776.xml"/><Relationship Id="rId247" Type="http://schemas.openxmlformats.org/officeDocument/2006/relationships/queryTable" Target="../queryTables/queryTable818.xml"/><Relationship Id="rId412" Type="http://schemas.openxmlformats.org/officeDocument/2006/relationships/queryTable" Target="../queryTables/queryTable983.xml"/><Relationship Id="rId107" Type="http://schemas.openxmlformats.org/officeDocument/2006/relationships/queryTable" Target="../queryTables/queryTable678.xml"/><Relationship Id="rId289" Type="http://schemas.openxmlformats.org/officeDocument/2006/relationships/queryTable" Target="../queryTables/queryTable860.xml"/><Relationship Id="rId11" Type="http://schemas.openxmlformats.org/officeDocument/2006/relationships/queryTable" Target="../queryTables/queryTable582.xml"/><Relationship Id="rId53" Type="http://schemas.openxmlformats.org/officeDocument/2006/relationships/queryTable" Target="../queryTables/queryTable624.xml"/><Relationship Id="rId149" Type="http://schemas.openxmlformats.org/officeDocument/2006/relationships/queryTable" Target="../queryTables/queryTable720.xml"/><Relationship Id="rId314" Type="http://schemas.openxmlformats.org/officeDocument/2006/relationships/queryTable" Target="../queryTables/queryTable885.xml"/><Relationship Id="rId356" Type="http://schemas.openxmlformats.org/officeDocument/2006/relationships/queryTable" Target="../queryTables/queryTable927.xml"/><Relationship Id="rId398" Type="http://schemas.openxmlformats.org/officeDocument/2006/relationships/queryTable" Target="../queryTables/queryTable969.xml"/><Relationship Id="rId95" Type="http://schemas.openxmlformats.org/officeDocument/2006/relationships/queryTable" Target="../queryTables/queryTable666.xml"/><Relationship Id="rId160" Type="http://schemas.openxmlformats.org/officeDocument/2006/relationships/queryTable" Target="../queryTables/queryTable731.xml"/><Relationship Id="rId216" Type="http://schemas.openxmlformats.org/officeDocument/2006/relationships/queryTable" Target="../queryTables/queryTable787.xml"/><Relationship Id="rId423" Type="http://schemas.openxmlformats.org/officeDocument/2006/relationships/queryTable" Target="../queryTables/queryTable994.xml"/><Relationship Id="rId258" Type="http://schemas.openxmlformats.org/officeDocument/2006/relationships/queryTable" Target="../queryTables/queryTable829.xml"/><Relationship Id="rId22" Type="http://schemas.openxmlformats.org/officeDocument/2006/relationships/queryTable" Target="../queryTables/queryTable593.xml"/><Relationship Id="rId64" Type="http://schemas.openxmlformats.org/officeDocument/2006/relationships/queryTable" Target="../queryTables/queryTable635.xml"/><Relationship Id="rId118" Type="http://schemas.openxmlformats.org/officeDocument/2006/relationships/queryTable" Target="../queryTables/queryTable689.xml"/><Relationship Id="rId325" Type="http://schemas.openxmlformats.org/officeDocument/2006/relationships/queryTable" Target="../queryTables/queryTable896.xml"/><Relationship Id="rId367" Type="http://schemas.openxmlformats.org/officeDocument/2006/relationships/queryTable" Target="../queryTables/queryTable938.xml"/><Relationship Id="rId171" Type="http://schemas.openxmlformats.org/officeDocument/2006/relationships/queryTable" Target="../queryTables/queryTable742.xml"/><Relationship Id="rId227" Type="http://schemas.openxmlformats.org/officeDocument/2006/relationships/queryTable" Target="../queryTables/queryTable79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6.xml"/><Relationship Id="rId299" Type="http://schemas.openxmlformats.org/officeDocument/2006/relationships/queryTable" Target="../queryTables/queryTable1298.xml"/><Relationship Id="rId21" Type="http://schemas.openxmlformats.org/officeDocument/2006/relationships/queryTable" Target="../queryTables/queryTable1020.xml"/><Relationship Id="rId63" Type="http://schemas.openxmlformats.org/officeDocument/2006/relationships/queryTable" Target="../queryTables/queryTable1062.xml"/><Relationship Id="rId159" Type="http://schemas.openxmlformats.org/officeDocument/2006/relationships/queryTable" Target="../queryTables/queryTable1158.xml"/><Relationship Id="rId324" Type="http://schemas.openxmlformats.org/officeDocument/2006/relationships/queryTable" Target="../queryTables/queryTable1323.xml"/><Relationship Id="rId366" Type="http://schemas.openxmlformats.org/officeDocument/2006/relationships/queryTable" Target="../queryTables/queryTable1365.xml"/><Relationship Id="rId170" Type="http://schemas.openxmlformats.org/officeDocument/2006/relationships/queryTable" Target="../queryTables/queryTable1169.xml"/><Relationship Id="rId226" Type="http://schemas.openxmlformats.org/officeDocument/2006/relationships/queryTable" Target="../queryTables/queryTable1225.xml"/><Relationship Id="rId433" Type="http://schemas.openxmlformats.org/officeDocument/2006/relationships/queryTable" Target="../queryTables/queryTable1432.xml"/><Relationship Id="rId268" Type="http://schemas.openxmlformats.org/officeDocument/2006/relationships/queryTable" Target="../queryTables/queryTable1267.xml"/><Relationship Id="rId32" Type="http://schemas.openxmlformats.org/officeDocument/2006/relationships/queryTable" Target="../queryTables/queryTable1031.xml"/><Relationship Id="rId74" Type="http://schemas.openxmlformats.org/officeDocument/2006/relationships/queryTable" Target="../queryTables/queryTable1073.xml"/><Relationship Id="rId128" Type="http://schemas.openxmlformats.org/officeDocument/2006/relationships/queryTable" Target="../queryTables/queryTable1127.xml"/><Relationship Id="rId335" Type="http://schemas.openxmlformats.org/officeDocument/2006/relationships/queryTable" Target="../queryTables/queryTable1334.xml"/><Relationship Id="rId377" Type="http://schemas.openxmlformats.org/officeDocument/2006/relationships/queryTable" Target="../queryTables/queryTable1376.xml"/><Relationship Id="rId5" Type="http://schemas.openxmlformats.org/officeDocument/2006/relationships/table" Target="../tables/table5.xml"/><Relationship Id="rId181" Type="http://schemas.openxmlformats.org/officeDocument/2006/relationships/queryTable" Target="../queryTables/queryTable1180.xml"/><Relationship Id="rId237" Type="http://schemas.openxmlformats.org/officeDocument/2006/relationships/queryTable" Target="../queryTables/queryTable1236.xml"/><Relationship Id="rId402" Type="http://schemas.openxmlformats.org/officeDocument/2006/relationships/queryTable" Target="../queryTables/queryTable1401.xml"/><Relationship Id="rId279" Type="http://schemas.openxmlformats.org/officeDocument/2006/relationships/queryTable" Target="../queryTables/queryTable1278.xml"/><Relationship Id="rId444" Type="http://schemas.openxmlformats.org/officeDocument/2006/relationships/queryTable" Target="../queryTables/queryTable1443.xml"/><Relationship Id="rId43" Type="http://schemas.openxmlformats.org/officeDocument/2006/relationships/queryTable" Target="../queryTables/queryTable1042.xml"/><Relationship Id="rId139" Type="http://schemas.openxmlformats.org/officeDocument/2006/relationships/queryTable" Target="../queryTables/queryTable1138.xml"/><Relationship Id="rId290" Type="http://schemas.openxmlformats.org/officeDocument/2006/relationships/queryTable" Target="../queryTables/queryTable1289.xml"/><Relationship Id="rId304" Type="http://schemas.openxmlformats.org/officeDocument/2006/relationships/queryTable" Target="../queryTables/queryTable1303.xml"/><Relationship Id="rId346" Type="http://schemas.openxmlformats.org/officeDocument/2006/relationships/queryTable" Target="../queryTables/queryTable1345.xml"/><Relationship Id="rId388" Type="http://schemas.openxmlformats.org/officeDocument/2006/relationships/queryTable" Target="../queryTables/queryTable1387.xml"/><Relationship Id="rId85" Type="http://schemas.openxmlformats.org/officeDocument/2006/relationships/queryTable" Target="../queryTables/queryTable1084.xml"/><Relationship Id="rId150" Type="http://schemas.openxmlformats.org/officeDocument/2006/relationships/queryTable" Target="../queryTables/queryTable1149.xml"/><Relationship Id="rId192" Type="http://schemas.openxmlformats.org/officeDocument/2006/relationships/queryTable" Target="../queryTables/queryTable1191.xml"/><Relationship Id="rId206" Type="http://schemas.openxmlformats.org/officeDocument/2006/relationships/queryTable" Target="../queryTables/queryTable1205.xml"/><Relationship Id="rId413" Type="http://schemas.openxmlformats.org/officeDocument/2006/relationships/queryTable" Target="../queryTables/queryTable1412.xml"/><Relationship Id="rId248" Type="http://schemas.openxmlformats.org/officeDocument/2006/relationships/queryTable" Target="../queryTables/queryTable1247.xml"/><Relationship Id="rId455" Type="http://schemas.openxmlformats.org/officeDocument/2006/relationships/queryTable" Target="../queryTables/queryTable1454.xml"/><Relationship Id="rId12" Type="http://schemas.openxmlformats.org/officeDocument/2006/relationships/queryTable" Target="../queryTables/queryTable1011.xml"/><Relationship Id="rId108" Type="http://schemas.openxmlformats.org/officeDocument/2006/relationships/queryTable" Target="../queryTables/queryTable1107.xml"/><Relationship Id="rId315" Type="http://schemas.openxmlformats.org/officeDocument/2006/relationships/queryTable" Target="../queryTables/queryTable1314.xml"/><Relationship Id="rId357" Type="http://schemas.openxmlformats.org/officeDocument/2006/relationships/queryTable" Target="../queryTables/queryTable1356.xml"/><Relationship Id="rId54" Type="http://schemas.openxmlformats.org/officeDocument/2006/relationships/queryTable" Target="../queryTables/queryTable1053.xml"/><Relationship Id="rId96" Type="http://schemas.openxmlformats.org/officeDocument/2006/relationships/queryTable" Target="../queryTables/queryTable1095.xml"/><Relationship Id="rId161" Type="http://schemas.openxmlformats.org/officeDocument/2006/relationships/queryTable" Target="../queryTables/queryTable1160.xml"/><Relationship Id="rId217" Type="http://schemas.openxmlformats.org/officeDocument/2006/relationships/queryTable" Target="../queryTables/queryTable1216.xml"/><Relationship Id="rId399" Type="http://schemas.openxmlformats.org/officeDocument/2006/relationships/queryTable" Target="../queryTables/queryTable1398.xml"/><Relationship Id="rId6" Type="http://schemas.openxmlformats.org/officeDocument/2006/relationships/queryTable" Target="../queryTables/queryTable1005.xml"/><Relationship Id="rId238" Type="http://schemas.openxmlformats.org/officeDocument/2006/relationships/queryTable" Target="../queryTables/queryTable1237.xml"/><Relationship Id="rId259" Type="http://schemas.openxmlformats.org/officeDocument/2006/relationships/queryTable" Target="../queryTables/queryTable1258.xml"/><Relationship Id="rId424" Type="http://schemas.openxmlformats.org/officeDocument/2006/relationships/queryTable" Target="../queryTables/queryTable1423.xml"/><Relationship Id="rId445" Type="http://schemas.openxmlformats.org/officeDocument/2006/relationships/queryTable" Target="../queryTables/queryTable1444.xml"/><Relationship Id="rId23" Type="http://schemas.openxmlformats.org/officeDocument/2006/relationships/queryTable" Target="../queryTables/queryTable1022.xml"/><Relationship Id="rId119" Type="http://schemas.openxmlformats.org/officeDocument/2006/relationships/queryTable" Target="../queryTables/queryTable1118.xml"/><Relationship Id="rId270" Type="http://schemas.openxmlformats.org/officeDocument/2006/relationships/queryTable" Target="../queryTables/queryTable1269.xml"/><Relationship Id="rId291" Type="http://schemas.openxmlformats.org/officeDocument/2006/relationships/queryTable" Target="../queryTables/queryTable1290.xml"/><Relationship Id="rId305" Type="http://schemas.openxmlformats.org/officeDocument/2006/relationships/queryTable" Target="../queryTables/queryTable1304.xml"/><Relationship Id="rId326" Type="http://schemas.openxmlformats.org/officeDocument/2006/relationships/queryTable" Target="../queryTables/queryTable1325.xml"/><Relationship Id="rId347" Type="http://schemas.openxmlformats.org/officeDocument/2006/relationships/queryTable" Target="../queryTables/queryTable1346.xml"/><Relationship Id="rId44" Type="http://schemas.openxmlformats.org/officeDocument/2006/relationships/queryTable" Target="../queryTables/queryTable1043.xml"/><Relationship Id="rId65" Type="http://schemas.openxmlformats.org/officeDocument/2006/relationships/queryTable" Target="../queryTables/queryTable1064.xml"/><Relationship Id="rId86" Type="http://schemas.openxmlformats.org/officeDocument/2006/relationships/queryTable" Target="../queryTables/queryTable1085.xml"/><Relationship Id="rId130" Type="http://schemas.openxmlformats.org/officeDocument/2006/relationships/queryTable" Target="../queryTables/queryTable1129.xml"/><Relationship Id="rId151" Type="http://schemas.openxmlformats.org/officeDocument/2006/relationships/queryTable" Target="../queryTables/queryTable1150.xml"/><Relationship Id="rId368" Type="http://schemas.openxmlformats.org/officeDocument/2006/relationships/queryTable" Target="../queryTables/queryTable1367.xml"/><Relationship Id="rId389" Type="http://schemas.openxmlformats.org/officeDocument/2006/relationships/queryTable" Target="../queryTables/queryTable1388.xml"/><Relationship Id="rId172" Type="http://schemas.openxmlformats.org/officeDocument/2006/relationships/queryTable" Target="../queryTables/queryTable1171.xml"/><Relationship Id="rId193" Type="http://schemas.openxmlformats.org/officeDocument/2006/relationships/queryTable" Target="../queryTables/queryTable1192.xml"/><Relationship Id="rId207" Type="http://schemas.openxmlformats.org/officeDocument/2006/relationships/queryTable" Target="../queryTables/queryTable1206.xml"/><Relationship Id="rId228" Type="http://schemas.openxmlformats.org/officeDocument/2006/relationships/queryTable" Target="../queryTables/queryTable1227.xml"/><Relationship Id="rId249" Type="http://schemas.openxmlformats.org/officeDocument/2006/relationships/queryTable" Target="../queryTables/queryTable1248.xml"/><Relationship Id="rId414" Type="http://schemas.openxmlformats.org/officeDocument/2006/relationships/queryTable" Target="../queryTables/queryTable1413.xml"/><Relationship Id="rId435" Type="http://schemas.openxmlformats.org/officeDocument/2006/relationships/queryTable" Target="../queryTables/queryTable1434.xml"/><Relationship Id="rId456" Type="http://schemas.openxmlformats.org/officeDocument/2006/relationships/queryTable" Target="../queryTables/queryTable1455.xml"/><Relationship Id="rId13" Type="http://schemas.openxmlformats.org/officeDocument/2006/relationships/queryTable" Target="../queryTables/queryTable1012.xml"/><Relationship Id="rId109" Type="http://schemas.openxmlformats.org/officeDocument/2006/relationships/queryTable" Target="../queryTables/queryTable1108.xml"/><Relationship Id="rId260" Type="http://schemas.openxmlformats.org/officeDocument/2006/relationships/queryTable" Target="../queryTables/queryTable1259.xml"/><Relationship Id="rId281" Type="http://schemas.openxmlformats.org/officeDocument/2006/relationships/queryTable" Target="../queryTables/queryTable1280.xml"/><Relationship Id="rId316" Type="http://schemas.openxmlformats.org/officeDocument/2006/relationships/queryTable" Target="../queryTables/queryTable1315.xml"/><Relationship Id="rId337" Type="http://schemas.openxmlformats.org/officeDocument/2006/relationships/queryTable" Target="../queryTables/queryTable1336.xml"/><Relationship Id="rId34" Type="http://schemas.openxmlformats.org/officeDocument/2006/relationships/queryTable" Target="../queryTables/queryTable1033.xml"/><Relationship Id="rId55" Type="http://schemas.openxmlformats.org/officeDocument/2006/relationships/queryTable" Target="../queryTables/queryTable1054.xml"/><Relationship Id="rId76" Type="http://schemas.openxmlformats.org/officeDocument/2006/relationships/queryTable" Target="../queryTables/queryTable1075.xml"/><Relationship Id="rId97" Type="http://schemas.openxmlformats.org/officeDocument/2006/relationships/queryTable" Target="../queryTables/queryTable1096.xml"/><Relationship Id="rId120" Type="http://schemas.openxmlformats.org/officeDocument/2006/relationships/queryTable" Target="../queryTables/queryTable1119.xml"/><Relationship Id="rId141" Type="http://schemas.openxmlformats.org/officeDocument/2006/relationships/queryTable" Target="../queryTables/queryTable1140.xml"/><Relationship Id="rId358" Type="http://schemas.openxmlformats.org/officeDocument/2006/relationships/queryTable" Target="../queryTables/queryTable1357.xml"/><Relationship Id="rId379" Type="http://schemas.openxmlformats.org/officeDocument/2006/relationships/queryTable" Target="../queryTables/queryTable1378.xml"/><Relationship Id="rId7" Type="http://schemas.openxmlformats.org/officeDocument/2006/relationships/queryTable" Target="../queryTables/queryTable1006.xml"/><Relationship Id="rId162" Type="http://schemas.openxmlformats.org/officeDocument/2006/relationships/queryTable" Target="../queryTables/queryTable1161.xml"/><Relationship Id="rId183" Type="http://schemas.openxmlformats.org/officeDocument/2006/relationships/queryTable" Target="../queryTables/queryTable1182.xml"/><Relationship Id="rId218" Type="http://schemas.openxmlformats.org/officeDocument/2006/relationships/queryTable" Target="../queryTables/queryTable1217.xml"/><Relationship Id="rId239" Type="http://schemas.openxmlformats.org/officeDocument/2006/relationships/queryTable" Target="../queryTables/queryTable1238.xml"/><Relationship Id="rId390" Type="http://schemas.openxmlformats.org/officeDocument/2006/relationships/queryTable" Target="../queryTables/queryTable1389.xml"/><Relationship Id="rId404" Type="http://schemas.openxmlformats.org/officeDocument/2006/relationships/queryTable" Target="../queryTables/queryTable1403.xml"/><Relationship Id="rId425" Type="http://schemas.openxmlformats.org/officeDocument/2006/relationships/queryTable" Target="../queryTables/queryTable1424.xml"/><Relationship Id="rId446" Type="http://schemas.openxmlformats.org/officeDocument/2006/relationships/queryTable" Target="../queryTables/queryTable1445.xml"/><Relationship Id="rId250" Type="http://schemas.openxmlformats.org/officeDocument/2006/relationships/queryTable" Target="../queryTables/queryTable1249.xml"/><Relationship Id="rId271" Type="http://schemas.openxmlformats.org/officeDocument/2006/relationships/queryTable" Target="../queryTables/queryTable1270.xml"/><Relationship Id="rId292" Type="http://schemas.openxmlformats.org/officeDocument/2006/relationships/queryTable" Target="../queryTables/queryTable1291.xml"/><Relationship Id="rId306" Type="http://schemas.openxmlformats.org/officeDocument/2006/relationships/queryTable" Target="../queryTables/queryTable1305.xml"/><Relationship Id="rId24" Type="http://schemas.openxmlformats.org/officeDocument/2006/relationships/queryTable" Target="../queryTables/queryTable1023.xml"/><Relationship Id="rId45" Type="http://schemas.openxmlformats.org/officeDocument/2006/relationships/queryTable" Target="../queryTables/queryTable1044.xml"/><Relationship Id="rId66" Type="http://schemas.openxmlformats.org/officeDocument/2006/relationships/queryTable" Target="../queryTables/queryTable1065.xml"/><Relationship Id="rId87" Type="http://schemas.openxmlformats.org/officeDocument/2006/relationships/queryTable" Target="../queryTables/queryTable1086.xml"/><Relationship Id="rId110" Type="http://schemas.openxmlformats.org/officeDocument/2006/relationships/queryTable" Target="../queryTables/queryTable1109.xml"/><Relationship Id="rId131" Type="http://schemas.openxmlformats.org/officeDocument/2006/relationships/queryTable" Target="../queryTables/queryTable1130.xml"/><Relationship Id="rId327" Type="http://schemas.openxmlformats.org/officeDocument/2006/relationships/queryTable" Target="../queryTables/queryTable1326.xml"/><Relationship Id="rId348" Type="http://schemas.openxmlformats.org/officeDocument/2006/relationships/queryTable" Target="../queryTables/queryTable1347.xml"/><Relationship Id="rId369" Type="http://schemas.openxmlformats.org/officeDocument/2006/relationships/queryTable" Target="../queryTables/queryTable1368.xml"/><Relationship Id="rId152" Type="http://schemas.openxmlformats.org/officeDocument/2006/relationships/queryTable" Target="../queryTables/queryTable1151.xml"/><Relationship Id="rId173" Type="http://schemas.openxmlformats.org/officeDocument/2006/relationships/queryTable" Target="../queryTables/queryTable1172.xml"/><Relationship Id="rId194" Type="http://schemas.openxmlformats.org/officeDocument/2006/relationships/queryTable" Target="../queryTables/queryTable1193.xml"/><Relationship Id="rId208" Type="http://schemas.openxmlformats.org/officeDocument/2006/relationships/queryTable" Target="../queryTables/queryTable1207.xml"/><Relationship Id="rId229" Type="http://schemas.openxmlformats.org/officeDocument/2006/relationships/queryTable" Target="../queryTables/queryTable1228.xml"/><Relationship Id="rId380" Type="http://schemas.openxmlformats.org/officeDocument/2006/relationships/queryTable" Target="../queryTables/queryTable1379.xml"/><Relationship Id="rId415" Type="http://schemas.openxmlformats.org/officeDocument/2006/relationships/queryTable" Target="../queryTables/queryTable1414.xml"/><Relationship Id="rId436" Type="http://schemas.openxmlformats.org/officeDocument/2006/relationships/queryTable" Target="../queryTables/queryTable1435.xml"/><Relationship Id="rId240" Type="http://schemas.openxmlformats.org/officeDocument/2006/relationships/queryTable" Target="../queryTables/queryTable1239.xml"/><Relationship Id="rId261" Type="http://schemas.openxmlformats.org/officeDocument/2006/relationships/queryTable" Target="../queryTables/queryTable1260.xml"/><Relationship Id="rId14" Type="http://schemas.openxmlformats.org/officeDocument/2006/relationships/queryTable" Target="../queryTables/queryTable1013.xml"/><Relationship Id="rId35" Type="http://schemas.openxmlformats.org/officeDocument/2006/relationships/queryTable" Target="../queryTables/queryTable1034.xml"/><Relationship Id="rId56" Type="http://schemas.openxmlformats.org/officeDocument/2006/relationships/queryTable" Target="../queryTables/queryTable1055.xml"/><Relationship Id="rId77" Type="http://schemas.openxmlformats.org/officeDocument/2006/relationships/queryTable" Target="../queryTables/queryTable1076.xml"/><Relationship Id="rId100" Type="http://schemas.openxmlformats.org/officeDocument/2006/relationships/queryTable" Target="../queryTables/queryTable1099.xml"/><Relationship Id="rId282" Type="http://schemas.openxmlformats.org/officeDocument/2006/relationships/queryTable" Target="../queryTables/queryTable1281.xml"/><Relationship Id="rId317" Type="http://schemas.openxmlformats.org/officeDocument/2006/relationships/queryTable" Target="../queryTables/queryTable1316.xml"/><Relationship Id="rId338" Type="http://schemas.openxmlformats.org/officeDocument/2006/relationships/queryTable" Target="../queryTables/queryTable1337.xml"/><Relationship Id="rId359" Type="http://schemas.openxmlformats.org/officeDocument/2006/relationships/queryTable" Target="../queryTables/queryTable1358.xml"/><Relationship Id="rId8" Type="http://schemas.openxmlformats.org/officeDocument/2006/relationships/queryTable" Target="../queryTables/queryTable1007.xml"/><Relationship Id="rId98" Type="http://schemas.openxmlformats.org/officeDocument/2006/relationships/queryTable" Target="../queryTables/queryTable1097.xml"/><Relationship Id="rId121" Type="http://schemas.openxmlformats.org/officeDocument/2006/relationships/queryTable" Target="../queryTables/queryTable1120.xml"/><Relationship Id="rId142" Type="http://schemas.openxmlformats.org/officeDocument/2006/relationships/queryTable" Target="../queryTables/queryTable1141.xml"/><Relationship Id="rId163" Type="http://schemas.openxmlformats.org/officeDocument/2006/relationships/queryTable" Target="../queryTables/queryTable1162.xml"/><Relationship Id="rId184" Type="http://schemas.openxmlformats.org/officeDocument/2006/relationships/queryTable" Target="../queryTables/queryTable1183.xml"/><Relationship Id="rId219" Type="http://schemas.openxmlformats.org/officeDocument/2006/relationships/queryTable" Target="../queryTables/queryTable1218.xml"/><Relationship Id="rId370" Type="http://schemas.openxmlformats.org/officeDocument/2006/relationships/queryTable" Target="../queryTables/queryTable1369.xml"/><Relationship Id="rId391" Type="http://schemas.openxmlformats.org/officeDocument/2006/relationships/queryTable" Target="../queryTables/queryTable1390.xml"/><Relationship Id="rId405" Type="http://schemas.openxmlformats.org/officeDocument/2006/relationships/queryTable" Target="../queryTables/queryTable1404.xml"/><Relationship Id="rId426" Type="http://schemas.openxmlformats.org/officeDocument/2006/relationships/queryTable" Target="../queryTables/queryTable1425.xml"/><Relationship Id="rId447" Type="http://schemas.openxmlformats.org/officeDocument/2006/relationships/queryTable" Target="../queryTables/queryTable1446.xml"/><Relationship Id="rId230" Type="http://schemas.openxmlformats.org/officeDocument/2006/relationships/queryTable" Target="../queryTables/queryTable1229.xml"/><Relationship Id="rId251" Type="http://schemas.openxmlformats.org/officeDocument/2006/relationships/queryTable" Target="../queryTables/queryTable1250.xml"/><Relationship Id="rId25" Type="http://schemas.openxmlformats.org/officeDocument/2006/relationships/queryTable" Target="../queryTables/queryTable1024.xml"/><Relationship Id="rId46" Type="http://schemas.openxmlformats.org/officeDocument/2006/relationships/queryTable" Target="../queryTables/queryTable1045.xml"/><Relationship Id="rId67" Type="http://schemas.openxmlformats.org/officeDocument/2006/relationships/queryTable" Target="../queryTables/queryTable1066.xml"/><Relationship Id="rId272" Type="http://schemas.openxmlformats.org/officeDocument/2006/relationships/queryTable" Target="../queryTables/queryTable1271.xml"/><Relationship Id="rId293" Type="http://schemas.openxmlformats.org/officeDocument/2006/relationships/queryTable" Target="../queryTables/queryTable1292.xml"/><Relationship Id="rId307" Type="http://schemas.openxmlformats.org/officeDocument/2006/relationships/queryTable" Target="../queryTables/queryTable1306.xml"/><Relationship Id="rId328" Type="http://schemas.openxmlformats.org/officeDocument/2006/relationships/queryTable" Target="../queryTables/queryTable1327.xml"/><Relationship Id="rId349" Type="http://schemas.openxmlformats.org/officeDocument/2006/relationships/queryTable" Target="../queryTables/queryTable1348.xml"/><Relationship Id="rId88" Type="http://schemas.openxmlformats.org/officeDocument/2006/relationships/queryTable" Target="../queryTables/queryTable1087.xml"/><Relationship Id="rId111" Type="http://schemas.openxmlformats.org/officeDocument/2006/relationships/queryTable" Target="../queryTables/queryTable1110.xml"/><Relationship Id="rId132" Type="http://schemas.openxmlformats.org/officeDocument/2006/relationships/queryTable" Target="../queryTables/queryTable1131.xml"/><Relationship Id="rId153" Type="http://schemas.openxmlformats.org/officeDocument/2006/relationships/queryTable" Target="../queryTables/queryTable1152.xml"/><Relationship Id="rId174" Type="http://schemas.openxmlformats.org/officeDocument/2006/relationships/queryTable" Target="../queryTables/queryTable1173.xml"/><Relationship Id="rId195" Type="http://schemas.openxmlformats.org/officeDocument/2006/relationships/queryTable" Target="../queryTables/queryTable1194.xml"/><Relationship Id="rId209" Type="http://schemas.openxmlformats.org/officeDocument/2006/relationships/queryTable" Target="../queryTables/queryTable1208.xml"/><Relationship Id="rId360" Type="http://schemas.openxmlformats.org/officeDocument/2006/relationships/queryTable" Target="../queryTables/queryTable1359.xml"/><Relationship Id="rId381" Type="http://schemas.openxmlformats.org/officeDocument/2006/relationships/queryTable" Target="../queryTables/queryTable1380.xml"/><Relationship Id="rId416" Type="http://schemas.openxmlformats.org/officeDocument/2006/relationships/queryTable" Target="../queryTables/queryTable1415.xml"/><Relationship Id="rId220" Type="http://schemas.openxmlformats.org/officeDocument/2006/relationships/queryTable" Target="../queryTables/queryTable1219.xml"/><Relationship Id="rId241" Type="http://schemas.openxmlformats.org/officeDocument/2006/relationships/queryTable" Target="../queryTables/queryTable1240.xml"/><Relationship Id="rId437" Type="http://schemas.openxmlformats.org/officeDocument/2006/relationships/queryTable" Target="../queryTables/queryTable1436.xml"/><Relationship Id="rId15" Type="http://schemas.openxmlformats.org/officeDocument/2006/relationships/queryTable" Target="../queryTables/queryTable1014.xml"/><Relationship Id="rId36" Type="http://schemas.openxmlformats.org/officeDocument/2006/relationships/queryTable" Target="../queryTables/queryTable1035.xml"/><Relationship Id="rId57" Type="http://schemas.openxmlformats.org/officeDocument/2006/relationships/queryTable" Target="../queryTables/queryTable1056.xml"/><Relationship Id="rId262" Type="http://schemas.openxmlformats.org/officeDocument/2006/relationships/queryTable" Target="../queryTables/queryTable1261.xml"/><Relationship Id="rId283" Type="http://schemas.openxmlformats.org/officeDocument/2006/relationships/queryTable" Target="../queryTables/queryTable1282.xml"/><Relationship Id="rId318" Type="http://schemas.openxmlformats.org/officeDocument/2006/relationships/queryTable" Target="../queryTables/queryTable1317.xml"/><Relationship Id="rId339" Type="http://schemas.openxmlformats.org/officeDocument/2006/relationships/queryTable" Target="../queryTables/queryTable1338.xml"/><Relationship Id="rId78" Type="http://schemas.openxmlformats.org/officeDocument/2006/relationships/queryTable" Target="../queryTables/queryTable1077.xml"/><Relationship Id="rId99" Type="http://schemas.openxmlformats.org/officeDocument/2006/relationships/queryTable" Target="../queryTables/queryTable1098.xml"/><Relationship Id="rId101" Type="http://schemas.openxmlformats.org/officeDocument/2006/relationships/queryTable" Target="../queryTables/queryTable1100.xml"/><Relationship Id="rId122" Type="http://schemas.openxmlformats.org/officeDocument/2006/relationships/queryTable" Target="../queryTables/queryTable1121.xml"/><Relationship Id="rId143" Type="http://schemas.openxmlformats.org/officeDocument/2006/relationships/queryTable" Target="../queryTables/queryTable1142.xml"/><Relationship Id="rId164" Type="http://schemas.openxmlformats.org/officeDocument/2006/relationships/queryTable" Target="../queryTables/queryTable1163.xml"/><Relationship Id="rId185" Type="http://schemas.openxmlformats.org/officeDocument/2006/relationships/queryTable" Target="../queryTables/queryTable1184.xml"/><Relationship Id="rId350" Type="http://schemas.openxmlformats.org/officeDocument/2006/relationships/queryTable" Target="../queryTables/queryTable1349.xml"/><Relationship Id="rId371" Type="http://schemas.openxmlformats.org/officeDocument/2006/relationships/queryTable" Target="../queryTables/queryTable1370.xml"/><Relationship Id="rId406" Type="http://schemas.openxmlformats.org/officeDocument/2006/relationships/queryTable" Target="../queryTables/queryTable1405.xml"/><Relationship Id="rId9" Type="http://schemas.openxmlformats.org/officeDocument/2006/relationships/queryTable" Target="../queryTables/queryTable1008.xml"/><Relationship Id="rId210" Type="http://schemas.openxmlformats.org/officeDocument/2006/relationships/queryTable" Target="../queryTables/queryTable1209.xml"/><Relationship Id="rId392" Type="http://schemas.openxmlformats.org/officeDocument/2006/relationships/queryTable" Target="../queryTables/queryTable1391.xml"/><Relationship Id="rId427" Type="http://schemas.openxmlformats.org/officeDocument/2006/relationships/queryTable" Target="../queryTables/queryTable1426.xml"/><Relationship Id="rId448" Type="http://schemas.openxmlformats.org/officeDocument/2006/relationships/queryTable" Target="../queryTables/queryTable1447.xml"/><Relationship Id="rId26" Type="http://schemas.openxmlformats.org/officeDocument/2006/relationships/queryTable" Target="../queryTables/queryTable1025.xml"/><Relationship Id="rId231" Type="http://schemas.openxmlformats.org/officeDocument/2006/relationships/queryTable" Target="../queryTables/queryTable1230.xml"/><Relationship Id="rId252" Type="http://schemas.openxmlformats.org/officeDocument/2006/relationships/queryTable" Target="../queryTables/queryTable1251.xml"/><Relationship Id="rId273" Type="http://schemas.openxmlformats.org/officeDocument/2006/relationships/queryTable" Target="../queryTables/queryTable1272.xml"/><Relationship Id="rId294" Type="http://schemas.openxmlformats.org/officeDocument/2006/relationships/queryTable" Target="../queryTables/queryTable1293.xml"/><Relationship Id="rId308" Type="http://schemas.openxmlformats.org/officeDocument/2006/relationships/queryTable" Target="../queryTables/queryTable1307.xml"/><Relationship Id="rId329" Type="http://schemas.openxmlformats.org/officeDocument/2006/relationships/queryTable" Target="../queryTables/queryTable1328.xml"/><Relationship Id="rId47" Type="http://schemas.openxmlformats.org/officeDocument/2006/relationships/queryTable" Target="../queryTables/queryTable1046.xml"/><Relationship Id="rId68" Type="http://schemas.openxmlformats.org/officeDocument/2006/relationships/queryTable" Target="../queryTables/queryTable1067.xml"/><Relationship Id="rId89" Type="http://schemas.openxmlformats.org/officeDocument/2006/relationships/queryTable" Target="../queryTables/queryTable1088.xml"/><Relationship Id="rId112" Type="http://schemas.openxmlformats.org/officeDocument/2006/relationships/queryTable" Target="../queryTables/queryTable1111.xml"/><Relationship Id="rId133" Type="http://schemas.openxmlformats.org/officeDocument/2006/relationships/queryTable" Target="../queryTables/queryTable1132.xml"/><Relationship Id="rId154" Type="http://schemas.openxmlformats.org/officeDocument/2006/relationships/queryTable" Target="../queryTables/queryTable1153.xml"/><Relationship Id="rId175" Type="http://schemas.openxmlformats.org/officeDocument/2006/relationships/queryTable" Target="../queryTables/queryTable1174.xml"/><Relationship Id="rId340" Type="http://schemas.openxmlformats.org/officeDocument/2006/relationships/queryTable" Target="../queryTables/queryTable1339.xml"/><Relationship Id="rId361" Type="http://schemas.openxmlformats.org/officeDocument/2006/relationships/queryTable" Target="../queryTables/queryTable1360.xml"/><Relationship Id="rId196" Type="http://schemas.openxmlformats.org/officeDocument/2006/relationships/queryTable" Target="../queryTables/queryTable1195.xml"/><Relationship Id="rId200" Type="http://schemas.openxmlformats.org/officeDocument/2006/relationships/queryTable" Target="../queryTables/queryTable1199.xml"/><Relationship Id="rId382" Type="http://schemas.openxmlformats.org/officeDocument/2006/relationships/queryTable" Target="../queryTables/queryTable1381.xml"/><Relationship Id="rId417" Type="http://schemas.openxmlformats.org/officeDocument/2006/relationships/queryTable" Target="../queryTables/queryTable1416.xml"/><Relationship Id="rId438" Type="http://schemas.openxmlformats.org/officeDocument/2006/relationships/queryTable" Target="../queryTables/queryTable1437.xml"/><Relationship Id="rId16" Type="http://schemas.openxmlformats.org/officeDocument/2006/relationships/queryTable" Target="../queryTables/queryTable1015.xml"/><Relationship Id="rId221" Type="http://schemas.openxmlformats.org/officeDocument/2006/relationships/queryTable" Target="../queryTables/queryTable1220.xml"/><Relationship Id="rId242" Type="http://schemas.openxmlformats.org/officeDocument/2006/relationships/queryTable" Target="../queryTables/queryTable1241.xml"/><Relationship Id="rId263" Type="http://schemas.openxmlformats.org/officeDocument/2006/relationships/queryTable" Target="../queryTables/queryTable1262.xml"/><Relationship Id="rId284" Type="http://schemas.openxmlformats.org/officeDocument/2006/relationships/queryTable" Target="../queryTables/queryTable1283.xml"/><Relationship Id="rId319" Type="http://schemas.openxmlformats.org/officeDocument/2006/relationships/queryTable" Target="../queryTables/queryTable1318.xml"/><Relationship Id="rId37" Type="http://schemas.openxmlformats.org/officeDocument/2006/relationships/queryTable" Target="../queryTables/queryTable1036.xml"/><Relationship Id="rId58" Type="http://schemas.openxmlformats.org/officeDocument/2006/relationships/queryTable" Target="../queryTables/queryTable1057.xml"/><Relationship Id="rId79" Type="http://schemas.openxmlformats.org/officeDocument/2006/relationships/queryTable" Target="../queryTables/queryTable1078.xml"/><Relationship Id="rId102" Type="http://schemas.openxmlformats.org/officeDocument/2006/relationships/queryTable" Target="../queryTables/queryTable1101.xml"/><Relationship Id="rId123" Type="http://schemas.openxmlformats.org/officeDocument/2006/relationships/queryTable" Target="../queryTables/queryTable1122.xml"/><Relationship Id="rId144" Type="http://schemas.openxmlformats.org/officeDocument/2006/relationships/queryTable" Target="../queryTables/queryTable1143.xml"/><Relationship Id="rId330" Type="http://schemas.openxmlformats.org/officeDocument/2006/relationships/queryTable" Target="../queryTables/queryTable1329.xml"/><Relationship Id="rId90" Type="http://schemas.openxmlformats.org/officeDocument/2006/relationships/queryTable" Target="../queryTables/queryTable1089.xml"/><Relationship Id="rId165" Type="http://schemas.openxmlformats.org/officeDocument/2006/relationships/queryTable" Target="../queryTables/queryTable1164.xml"/><Relationship Id="rId186" Type="http://schemas.openxmlformats.org/officeDocument/2006/relationships/queryTable" Target="../queryTables/queryTable1185.xml"/><Relationship Id="rId351" Type="http://schemas.openxmlformats.org/officeDocument/2006/relationships/queryTable" Target="../queryTables/queryTable1350.xml"/><Relationship Id="rId372" Type="http://schemas.openxmlformats.org/officeDocument/2006/relationships/queryTable" Target="../queryTables/queryTable1371.xml"/><Relationship Id="rId393" Type="http://schemas.openxmlformats.org/officeDocument/2006/relationships/queryTable" Target="../queryTables/queryTable1392.xml"/><Relationship Id="rId407" Type="http://schemas.openxmlformats.org/officeDocument/2006/relationships/queryTable" Target="../queryTables/queryTable1406.xml"/><Relationship Id="rId428" Type="http://schemas.openxmlformats.org/officeDocument/2006/relationships/queryTable" Target="../queryTables/queryTable1427.xml"/><Relationship Id="rId449" Type="http://schemas.openxmlformats.org/officeDocument/2006/relationships/queryTable" Target="../queryTables/queryTable1448.xml"/><Relationship Id="rId211" Type="http://schemas.openxmlformats.org/officeDocument/2006/relationships/queryTable" Target="../queryTables/queryTable1210.xml"/><Relationship Id="rId232" Type="http://schemas.openxmlformats.org/officeDocument/2006/relationships/queryTable" Target="../queryTables/queryTable1231.xml"/><Relationship Id="rId253" Type="http://schemas.openxmlformats.org/officeDocument/2006/relationships/queryTable" Target="../queryTables/queryTable1252.xml"/><Relationship Id="rId274" Type="http://schemas.openxmlformats.org/officeDocument/2006/relationships/queryTable" Target="../queryTables/queryTable1273.xml"/><Relationship Id="rId295" Type="http://schemas.openxmlformats.org/officeDocument/2006/relationships/queryTable" Target="../queryTables/queryTable1294.xml"/><Relationship Id="rId309" Type="http://schemas.openxmlformats.org/officeDocument/2006/relationships/queryTable" Target="../queryTables/queryTable1308.xml"/><Relationship Id="rId27" Type="http://schemas.openxmlformats.org/officeDocument/2006/relationships/queryTable" Target="../queryTables/queryTable1026.xml"/><Relationship Id="rId48" Type="http://schemas.openxmlformats.org/officeDocument/2006/relationships/queryTable" Target="../queryTables/queryTable1047.xml"/><Relationship Id="rId69" Type="http://schemas.openxmlformats.org/officeDocument/2006/relationships/queryTable" Target="../queryTables/queryTable1068.xml"/><Relationship Id="rId113" Type="http://schemas.openxmlformats.org/officeDocument/2006/relationships/queryTable" Target="../queryTables/queryTable1112.xml"/><Relationship Id="rId134" Type="http://schemas.openxmlformats.org/officeDocument/2006/relationships/queryTable" Target="../queryTables/queryTable1133.xml"/><Relationship Id="rId320" Type="http://schemas.openxmlformats.org/officeDocument/2006/relationships/queryTable" Target="../queryTables/queryTable1319.xml"/><Relationship Id="rId80" Type="http://schemas.openxmlformats.org/officeDocument/2006/relationships/queryTable" Target="../queryTables/queryTable1079.xml"/><Relationship Id="rId155" Type="http://schemas.openxmlformats.org/officeDocument/2006/relationships/queryTable" Target="../queryTables/queryTable1154.xml"/><Relationship Id="rId176" Type="http://schemas.openxmlformats.org/officeDocument/2006/relationships/queryTable" Target="../queryTables/queryTable1175.xml"/><Relationship Id="rId197" Type="http://schemas.openxmlformats.org/officeDocument/2006/relationships/queryTable" Target="../queryTables/queryTable1196.xml"/><Relationship Id="rId341" Type="http://schemas.openxmlformats.org/officeDocument/2006/relationships/queryTable" Target="../queryTables/queryTable1340.xml"/><Relationship Id="rId362" Type="http://schemas.openxmlformats.org/officeDocument/2006/relationships/queryTable" Target="../queryTables/queryTable1361.xml"/><Relationship Id="rId383" Type="http://schemas.openxmlformats.org/officeDocument/2006/relationships/queryTable" Target="../queryTables/queryTable1382.xml"/><Relationship Id="rId418" Type="http://schemas.openxmlformats.org/officeDocument/2006/relationships/queryTable" Target="../queryTables/queryTable1417.xml"/><Relationship Id="rId439" Type="http://schemas.openxmlformats.org/officeDocument/2006/relationships/queryTable" Target="../queryTables/queryTable1438.xml"/><Relationship Id="rId201" Type="http://schemas.openxmlformats.org/officeDocument/2006/relationships/queryTable" Target="../queryTables/queryTable1200.xml"/><Relationship Id="rId222" Type="http://schemas.openxmlformats.org/officeDocument/2006/relationships/queryTable" Target="../queryTables/queryTable1221.xml"/><Relationship Id="rId243" Type="http://schemas.openxmlformats.org/officeDocument/2006/relationships/queryTable" Target="../queryTables/queryTable1242.xml"/><Relationship Id="rId264" Type="http://schemas.openxmlformats.org/officeDocument/2006/relationships/queryTable" Target="../queryTables/queryTable1263.xml"/><Relationship Id="rId285" Type="http://schemas.openxmlformats.org/officeDocument/2006/relationships/queryTable" Target="../queryTables/queryTable1284.xml"/><Relationship Id="rId450" Type="http://schemas.openxmlformats.org/officeDocument/2006/relationships/queryTable" Target="../queryTables/queryTable1449.xml"/><Relationship Id="rId17" Type="http://schemas.openxmlformats.org/officeDocument/2006/relationships/queryTable" Target="../queryTables/queryTable1016.xml"/><Relationship Id="rId38" Type="http://schemas.openxmlformats.org/officeDocument/2006/relationships/queryTable" Target="../queryTables/queryTable1037.xml"/><Relationship Id="rId59" Type="http://schemas.openxmlformats.org/officeDocument/2006/relationships/queryTable" Target="../queryTables/queryTable1058.xml"/><Relationship Id="rId103" Type="http://schemas.openxmlformats.org/officeDocument/2006/relationships/queryTable" Target="../queryTables/queryTable1102.xml"/><Relationship Id="rId124" Type="http://schemas.openxmlformats.org/officeDocument/2006/relationships/queryTable" Target="../queryTables/queryTable1123.xml"/><Relationship Id="rId310" Type="http://schemas.openxmlformats.org/officeDocument/2006/relationships/queryTable" Target="../queryTables/queryTable1309.xml"/><Relationship Id="rId70" Type="http://schemas.openxmlformats.org/officeDocument/2006/relationships/queryTable" Target="../queryTables/queryTable1069.xml"/><Relationship Id="rId91" Type="http://schemas.openxmlformats.org/officeDocument/2006/relationships/queryTable" Target="../queryTables/queryTable1090.xml"/><Relationship Id="rId145" Type="http://schemas.openxmlformats.org/officeDocument/2006/relationships/queryTable" Target="../queryTables/queryTable1144.xml"/><Relationship Id="rId166" Type="http://schemas.openxmlformats.org/officeDocument/2006/relationships/queryTable" Target="../queryTables/queryTable1165.xml"/><Relationship Id="rId187" Type="http://schemas.openxmlformats.org/officeDocument/2006/relationships/queryTable" Target="../queryTables/queryTable1186.xml"/><Relationship Id="rId331" Type="http://schemas.openxmlformats.org/officeDocument/2006/relationships/queryTable" Target="../queryTables/queryTable1330.xml"/><Relationship Id="rId352" Type="http://schemas.openxmlformats.org/officeDocument/2006/relationships/queryTable" Target="../queryTables/queryTable1351.xml"/><Relationship Id="rId373" Type="http://schemas.openxmlformats.org/officeDocument/2006/relationships/queryTable" Target="../queryTables/queryTable1372.xml"/><Relationship Id="rId394" Type="http://schemas.openxmlformats.org/officeDocument/2006/relationships/queryTable" Target="../queryTables/queryTable1393.xml"/><Relationship Id="rId408" Type="http://schemas.openxmlformats.org/officeDocument/2006/relationships/queryTable" Target="../queryTables/queryTable1407.xml"/><Relationship Id="rId429" Type="http://schemas.openxmlformats.org/officeDocument/2006/relationships/queryTable" Target="../queryTables/queryTable1428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11.xml"/><Relationship Id="rId233" Type="http://schemas.openxmlformats.org/officeDocument/2006/relationships/queryTable" Target="../queryTables/queryTable1232.xml"/><Relationship Id="rId254" Type="http://schemas.openxmlformats.org/officeDocument/2006/relationships/queryTable" Target="../queryTables/queryTable1253.xml"/><Relationship Id="rId440" Type="http://schemas.openxmlformats.org/officeDocument/2006/relationships/queryTable" Target="../queryTables/queryTable1439.xml"/><Relationship Id="rId28" Type="http://schemas.openxmlformats.org/officeDocument/2006/relationships/queryTable" Target="../queryTables/queryTable1027.xml"/><Relationship Id="rId49" Type="http://schemas.openxmlformats.org/officeDocument/2006/relationships/queryTable" Target="../queryTables/queryTable1048.xml"/><Relationship Id="rId114" Type="http://schemas.openxmlformats.org/officeDocument/2006/relationships/queryTable" Target="../queryTables/queryTable1113.xml"/><Relationship Id="rId275" Type="http://schemas.openxmlformats.org/officeDocument/2006/relationships/queryTable" Target="../queryTables/queryTable1274.xml"/><Relationship Id="rId296" Type="http://schemas.openxmlformats.org/officeDocument/2006/relationships/queryTable" Target="../queryTables/queryTable1295.xml"/><Relationship Id="rId300" Type="http://schemas.openxmlformats.org/officeDocument/2006/relationships/queryTable" Target="../queryTables/queryTable1299.xml"/><Relationship Id="rId60" Type="http://schemas.openxmlformats.org/officeDocument/2006/relationships/queryTable" Target="../queryTables/queryTable1059.xml"/><Relationship Id="rId81" Type="http://schemas.openxmlformats.org/officeDocument/2006/relationships/queryTable" Target="../queryTables/queryTable1080.xml"/><Relationship Id="rId135" Type="http://schemas.openxmlformats.org/officeDocument/2006/relationships/queryTable" Target="../queryTables/queryTable1134.xml"/><Relationship Id="rId156" Type="http://schemas.openxmlformats.org/officeDocument/2006/relationships/queryTable" Target="../queryTables/queryTable1155.xml"/><Relationship Id="rId177" Type="http://schemas.openxmlformats.org/officeDocument/2006/relationships/queryTable" Target="../queryTables/queryTable1176.xml"/><Relationship Id="rId198" Type="http://schemas.openxmlformats.org/officeDocument/2006/relationships/queryTable" Target="../queryTables/queryTable1197.xml"/><Relationship Id="rId321" Type="http://schemas.openxmlformats.org/officeDocument/2006/relationships/queryTable" Target="../queryTables/queryTable1320.xml"/><Relationship Id="rId342" Type="http://schemas.openxmlformats.org/officeDocument/2006/relationships/queryTable" Target="../queryTables/queryTable1341.xml"/><Relationship Id="rId363" Type="http://schemas.openxmlformats.org/officeDocument/2006/relationships/queryTable" Target="../queryTables/queryTable1362.xml"/><Relationship Id="rId384" Type="http://schemas.openxmlformats.org/officeDocument/2006/relationships/queryTable" Target="../queryTables/queryTable1383.xml"/><Relationship Id="rId419" Type="http://schemas.openxmlformats.org/officeDocument/2006/relationships/queryTable" Target="../queryTables/queryTable1418.xml"/><Relationship Id="rId202" Type="http://schemas.openxmlformats.org/officeDocument/2006/relationships/queryTable" Target="../queryTables/queryTable1201.xml"/><Relationship Id="rId223" Type="http://schemas.openxmlformats.org/officeDocument/2006/relationships/queryTable" Target="../queryTables/queryTable1222.xml"/><Relationship Id="rId244" Type="http://schemas.openxmlformats.org/officeDocument/2006/relationships/queryTable" Target="../queryTables/queryTable1243.xml"/><Relationship Id="rId430" Type="http://schemas.openxmlformats.org/officeDocument/2006/relationships/queryTable" Target="../queryTables/queryTable1429.xml"/><Relationship Id="rId18" Type="http://schemas.openxmlformats.org/officeDocument/2006/relationships/queryTable" Target="../queryTables/queryTable1017.xml"/><Relationship Id="rId39" Type="http://schemas.openxmlformats.org/officeDocument/2006/relationships/queryTable" Target="../queryTables/queryTable1038.xml"/><Relationship Id="rId265" Type="http://schemas.openxmlformats.org/officeDocument/2006/relationships/queryTable" Target="../queryTables/queryTable1264.xml"/><Relationship Id="rId286" Type="http://schemas.openxmlformats.org/officeDocument/2006/relationships/queryTable" Target="../queryTables/queryTable1285.xml"/><Relationship Id="rId451" Type="http://schemas.openxmlformats.org/officeDocument/2006/relationships/queryTable" Target="../queryTables/queryTable1450.xml"/><Relationship Id="rId50" Type="http://schemas.openxmlformats.org/officeDocument/2006/relationships/queryTable" Target="../queryTables/queryTable1049.xml"/><Relationship Id="rId104" Type="http://schemas.openxmlformats.org/officeDocument/2006/relationships/queryTable" Target="../queryTables/queryTable1103.xml"/><Relationship Id="rId125" Type="http://schemas.openxmlformats.org/officeDocument/2006/relationships/queryTable" Target="../queryTables/queryTable1124.xml"/><Relationship Id="rId146" Type="http://schemas.openxmlformats.org/officeDocument/2006/relationships/queryTable" Target="../queryTables/queryTable1145.xml"/><Relationship Id="rId167" Type="http://schemas.openxmlformats.org/officeDocument/2006/relationships/queryTable" Target="../queryTables/queryTable1166.xml"/><Relationship Id="rId188" Type="http://schemas.openxmlformats.org/officeDocument/2006/relationships/queryTable" Target="../queryTables/queryTable1187.xml"/><Relationship Id="rId311" Type="http://schemas.openxmlformats.org/officeDocument/2006/relationships/queryTable" Target="../queryTables/queryTable1310.xml"/><Relationship Id="rId332" Type="http://schemas.openxmlformats.org/officeDocument/2006/relationships/queryTable" Target="../queryTables/queryTable1331.xml"/><Relationship Id="rId353" Type="http://schemas.openxmlformats.org/officeDocument/2006/relationships/queryTable" Target="../queryTables/queryTable1352.xml"/><Relationship Id="rId374" Type="http://schemas.openxmlformats.org/officeDocument/2006/relationships/queryTable" Target="../queryTables/queryTable1373.xml"/><Relationship Id="rId395" Type="http://schemas.openxmlformats.org/officeDocument/2006/relationships/queryTable" Target="../queryTables/queryTable1394.xml"/><Relationship Id="rId409" Type="http://schemas.openxmlformats.org/officeDocument/2006/relationships/queryTable" Target="../queryTables/queryTable1408.xml"/><Relationship Id="rId71" Type="http://schemas.openxmlformats.org/officeDocument/2006/relationships/queryTable" Target="../queryTables/queryTable1070.xml"/><Relationship Id="rId92" Type="http://schemas.openxmlformats.org/officeDocument/2006/relationships/queryTable" Target="../queryTables/queryTable1091.xml"/><Relationship Id="rId213" Type="http://schemas.openxmlformats.org/officeDocument/2006/relationships/queryTable" Target="../queryTables/queryTable1212.xml"/><Relationship Id="rId234" Type="http://schemas.openxmlformats.org/officeDocument/2006/relationships/queryTable" Target="../queryTables/queryTable1233.xml"/><Relationship Id="rId420" Type="http://schemas.openxmlformats.org/officeDocument/2006/relationships/queryTable" Target="../queryTables/queryTable1419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028.xml"/><Relationship Id="rId255" Type="http://schemas.openxmlformats.org/officeDocument/2006/relationships/queryTable" Target="../queryTables/queryTable1254.xml"/><Relationship Id="rId276" Type="http://schemas.openxmlformats.org/officeDocument/2006/relationships/queryTable" Target="../queryTables/queryTable1275.xml"/><Relationship Id="rId297" Type="http://schemas.openxmlformats.org/officeDocument/2006/relationships/queryTable" Target="../queryTables/queryTable1296.xml"/><Relationship Id="rId441" Type="http://schemas.openxmlformats.org/officeDocument/2006/relationships/queryTable" Target="../queryTables/queryTable1440.xml"/><Relationship Id="rId40" Type="http://schemas.openxmlformats.org/officeDocument/2006/relationships/queryTable" Target="../queryTables/queryTable1039.xml"/><Relationship Id="rId115" Type="http://schemas.openxmlformats.org/officeDocument/2006/relationships/queryTable" Target="../queryTables/queryTable1114.xml"/><Relationship Id="rId136" Type="http://schemas.openxmlformats.org/officeDocument/2006/relationships/queryTable" Target="../queryTables/queryTable1135.xml"/><Relationship Id="rId157" Type="http://schemas.openxmlformats.org/officeDocument/2006/relationships/queryTable" Target="../queryTables/queryTable1156.xml"/><Relationship Id="rId178" Type="http://schemas.openxmlformats.org/officeDocument/2006/relationships/queryTable" Target="../queryTables/queryTable1177.xml"/><Relationship Id="rId301" Type="http://schemas.openxmlformats.org/officeDocument/2006/relationships/queryTable" Target="../queryTables/queryTable1300.xml"/><Relationship Id="rId322" Type="http://schemas.openxmlformats.org/officeDocument/2006/relationships/queryTable" Target="../queryTables/queryTable1321.xml"/><Relationship Id="rId343" Type="http://schemas.openxmlformats.org/officeDocument/2006/relationships/queryTable" Target="../queryTables/queryTable1342.xml"/><Relationship Id="rId364" Type="http://schemas.openxmlformats.org/officeDocument/2006/relationships/queryTable" Target="../queryTables/queryTable1363.xml"/><Relationship Id="rId61" Type="http://schemas.openxmlformats.org/officeDocument/2006/relationships/queryTable" Target="../queryTables/queryTable1060.xml"/><Relationship Id="rId82" Type="http://schemas.openxmlformats.org/officeDocument/2006/relationships/queryTable" Target="../queryTables/queryTable1081.xml"/><Relationship Id="rId199" Type="http://schemas.openxmlformats.org/officeDocument/2006/relationships/queryTable" Target="../queryTables/queryTable1198.xml"/><Relationship Id="rId203" Type="http://schemas.openxmlformats.org/officeDocument/2006/relationships/queryTable" Target="../queryTables/queryTable1202.xml"/><Relationship Id="rId385" Type="http://schemas.openxmlformats.org/officeDocument/2006/relationships/queryTable" Target="../queryTables/queryTable1384.xml"/><Relationship Id="rId19" Type="http://schemas.openxmlformats.org/officeDocument/2006/relationships/queryTable" Target="../queryTables/queryTable1018.xml"/><Relationship Id="rId224" Type="http://schemas.openxmlformats.org/officeDocument/2006/relationships/queryTable" Target="../queryTables/queryTable1223.xml"/><Relationship Id="rId245" Type="http://schemas.openxmlformats.org/officeDocument/2006/relationships/queryTable" Target="../queryTables/queryTable1244.xml"/><Relationship Id="rId266" Type="http://schemas.openxmlformats.org/officeDocument/2006/relationships/queryTable" Target="../queryTables/queryTable1265.xml"/><Relationship Id="rId287" Type="http://schemas.openxmlformats.org/officeDocument/2006/relationships/queryTable" Target="../queryTables/queryTable1286.xml"/><Relationship Id="rId410" Type="http://schemas.openxmlformats.org/officeDocument/2006/relationships/queryTable" Target="../queryTables/queryTable1409.xml"/><Relationship Id="rId431" Type="http://schemas.openxmlformats.org/officeDocument/2006/relationships/queryTable" Target="../queryTables/queryTable1430.xml"/><Relationship Id="rId452" Type="http://schemas.openxmlformats.org/officeDocument/2006/relationships/queryTable" Target="../queryTables/queryTable1451.xml"/><Relationship Id="rId30" Type="http://schemas.openxmlformats.org/officeDocument/2006/relationships/queryTable" Target="../queryTables/queryTable1029.xml"/><Relationship Id="rId105" Type="http://schemas.openxmlformats.org/officeDocument/2006/relationships/queryTable" Target="../queryTables/queryTable1104.xml"/><Relationship Id="rId126" Type="http://schemas.openxmlformats.org/officeDocument/2006/relationships/queryTable" Target="../queryTables/queryTable1125.xml"/><Relationship Id="rId147" Type="http://schemas.openxmlformats.org/officeDocument/2006/relationships/queryTable" Target="../queryTables/queryTable1146.xml"/><Relationship Id="rId168" Type="http://schemas.openxmlformats.org/officeDocument/2006/relationships/queryTable" Target="../queryTables/queryTable1167.xml"/><Relationship Id="rId312" Type="http://schemas.openxmlformats.org/officeDocument/2006/relationships/queryTable" Target="../queryTables/queryTable1311.xml"/><Relationship Id="rId333" Type="http://schemas.openxmlformats.org/officeDocument/2006/relationships/queryTable" Target="../queryTables/queryTable1332.xml"/><Relationship Id="rId354" Type="http://schemas.openxmlformats.org/officeDocument/2006/relationships/queryTable" Target="../queryTables/queryTable1353.xml"/><Relationship Id="rId51" Type="http://schemas.openxmlformats.org/officeDocument/2006/relationships/queryTable" Target="../queryTables/queryTable1050.xml"/><Relationship Id="rId72" Type="http://schemas.openxmlformats.org/officeDocument/2006/relationships/queryTable" Target="../queryTables/queryTable1071.xml"/><Relationship Id="rId93" Type="http://schemas.openxmlformats.org/officeDocument/2006/relationships/queryTable" Target="../queryTables/queryTable1092.xml"/><Relationship Id="rId189" Type="http://schemas.openxmlformats.org/officeDocument/2006/relationships/queryTable" Target="../queryTables/queryTable1188.xml"/><Relationship Id="rId375" Type="http://schemas.openxmlformats.org/officeDocument/2006/relationships/queryTable" Target="../queryTables/queryTable1374.xml"/><Relationship Id="rId396" Type="http://schemas.openxmlformats.org/officeDocument/2006/relationships/queryTable" Target="../queryTables/queryTable1395.xml"/><Relationship Id="rId3" Type="http://schemas.openxmlformats.org/officeDocument/2006/relationships/vmlDrawing" Target="../drawings/vmlDrawing4.vml"/><Relationship Id="rId214" Type="http://schemas.openxmlformats.org/officeDocument/2006/relationships/queryTable" Target="../queryTables/queryTable1213.xml"/><Relationship Id="rId235" Type="http://schemas.openxmlformats.org/officeDocument/2006/relationships/queryTable" Target="../queryTables/queryTable1234.xml"/><Relationship Id="rId256" Type="http://schemas.openxmlformats.org/officeDocument/2006/relationships/queryTable" Target="../queryTables/queryTable1255.xml"/><Relationship Id="rId277" Type="http://schemas.openxmlformats.org/officeDocument/2006/relationships/queryTable" Target="../queryTables/queryTable1276.xml"/><Relationship Id="rId298" Type="http://schemas.openxmlformats.org/officeDocument/2006/relationships/queryTable" Target="../queryTables/queryTable1297.xml"/><Relationship Id="rId400" Type="http://schemas.openxmlformats.org/officeDocument/2006/relationships/queryTable" Target="../queryTables/queryTable1399.xml"/><Relationship Id="rId421" Type="http://schemas.openxmlformats.org/officeDocument/2006/relationships/queryTable" Target="../queryTables/queryTable1420.xml"/><Relationship Id="rId442" Type="http://schemas.openxmlformats.org/officeDocument/2006/relationships/queryTable" Target="../queryTables/queryTable1441.xml"/><Relationship Id="rId116" Type="http://schemas.openxmlformats.org/officeDocument/2006/relationships/queryTable" Target="../queryTables/queryTable1115.xml"/><Relationship Id="rId137" Type="http://schemas.openxmlformats.org/officeDocument/2006/relationships/queryTable" Target="../queryTables/queryTable1136.xml"/><Relationship Id="rId158" Type="http://schemas.openxmlformats.org/officeDocument/2006/relationships/queryTable" Target="../queryTables/queryTable1157.xml"/><Relationship Id="rId302" Type="http://schemas.openxmlformats.org/officeDocument/2006/relationships/queryTable" Target="../queryTables/queryTable1301.xml"/><Relationship Id="rId323" Type="http://schemas.openxmlformats.org/officeDocument/2006/relationships/queryTable" Target="../queryTables/queryTable1322.xml"/><Relationship Id="rId344" Type="http://schemas.openxmlformats.org/officeDocument/2006/relationships/queryTable" Target="../queryTables/queryTable1343.xml"/><Relationship Id="rId20" Type="http://schemas.openxmlformats.org/officeDocument/2006/relationships/queryTable" Target="../queryTables/queryTable1019.xml"/><Relationship Id="rId41" Type="http://schemas.openxmlformats.org/officeDocument/2006/relationships/queryTable" Target="../queryTables/queryTable1040.xml"/><Relationship Id="rId62" Type="http://schemas.openxmlformats.org/officeDocument/2006/relationships/queryTable" Target="../queryTables/queryTable1061.xml"/><Relationship Id="rId83" Type="http://schemas.openxmlformats.org/officeDocument/2006/relationships/queryTable" Target="../queryTables/queryTable1082.xml"/><Relationship Id="rId179" Type="http://schemas.openxmlformats.org/officeDocument/2006/relationships/queryTable" Target="../queryTables/queryTable1178.xml"/><Relationship Id="rId365" Type="http://schemas.openxmlformats.org/officeDocument/2006/relationships/queryTable" Target="../queryTables/queryTable1364.xml"/><Relationship Id="rId386" Type="http://schemas.openxmlformats.org/officeDocument/2006/relationships/queryTable" Target="../queryTables/queryTable1385.xml"/><Relationship Id="rId190" Type="http://schemas.openxmlformats.org/officeDocument/2006/relationships/queryTable" Target="../queryTables/queryTable1189.xml"/><Relationship Id="rId204" Type="http://schemas.openxmlformats.org/officeDocument/2006/relationships/queryTable" Target="../queryTables/queryTable1203.xml"/><Relationship Id="rId225" Type="http://schemas.openxmlformats.org/officeDocument/2006/relationships/queryTable" Target="../queryTables/queryTable1224.xml"/><Relationship Id="rId246" Type="http://schemas.openxmlformats.org/officeDocument/2006/relationships/queryTable" Target="../queryTables/queryTable1245.xml"/><Relationship Id="rId267" Type="http://schemas.openxmlformats.org/officeDocument/2006/relationships/queryTable" Target="../queryTables/queryTable1266.xml"/><Relationship Id="rId288" Type="http://schemas.openxmlformats.org/officeDocument/2006/relationships/queryTable" Target="../queryTables/queryTable1287.xml"/><Relationship Id="rId411" Type="http://schemas.openxmlformats.org/officeDocument/2006/relationships/queryTable" Target="../queryTables/queryTable1410.xml"/><Relationship Id="rId432" Type="http://schemas.openxmlformats.org/officeDocument/2006/relationships/queryTable" Target="../queryTables/queryTable1431.xml"/><Relationship Id="rId453" Type="http://schemas.openxmlformats.org/officeDocument/2006/relationships/queryTable" Target="../queryTables/queryTable1452.xml"/><Relationship Id="rId106" Type="http://schemas.openxmlformats.org/officeDocument/2006/relationships/queryTable" Target="../queryTables/queryTable1105.xml"/><Relationship Id="rId127" Type="http://schemas.openxmlformats.org/officeDocument/2006/relationships/queryTable" Target="../queryTables/queryTable1126.xml"/><Relationship Id="rId313" Type="http://schemas.openxmlformats.org/officeDocument/2006/relationships/queryTable" Target="../queryTables/queryTable1312.xml"/><Relationship Id="rId10" Type="http://schemas.openxmlformats.org/officeDocument/2006/relationships/queryTable" Target="../queryTables/queryTable1009.xml"/><Relationship Id="rId31" Type="http://schemas.openxmlformats.org/officeDocument/2006/relationships/queryTable" Target="../queryTables/queryTable1030.xml"/><Relationship Id="rId52" Type="http://schemas.openxmlformats.org/officeDocument/2006/relationships/queryTable" Target="../queryTables/queryTable1051.xml"/><Relationship Id="rId73" Type="http://schemas.openxmlformats.org/officeDocument/2006/relationships/queryTable" Target="../queryTables/queryTable1072.xml"/><Relationship Id="rId94" Type="http://schemas.openxmlformats.org/officeDocument/2006/relationships/queryTable" Target="../queryTables/queryTable1093.xml"/><Relationship Id="rId148" Type="http://schemas.openxmlformats.org/officeDocument/2006/relationships/queryTable" Target="../queryTables/queryTable1147.xml"/><Relationship Id="rId169" Type="http://schemas.openxmlformats.org/officeDocument/2006/relationships/queryTable" Target="../queryTables/queryTable1168.xml"/><Relationship Id="rId334" Type="http://schemas.openxmlformats.org/officeDocument/2006/relationships/queryTable" Target="../queryTables/queryTable1333.xml"/><Relationship Id="rId355" Type="http://schemas.openxmlformats.org/officeDocument/2006/relationships/queryTable" Target="../queryTables/queryTable1354.xml"/><Relationship Id="rId376" Type="http://schemas.openxmlformats.org/officeDocument/2006/relationships/queryTable" Target="../queryTables/queryTable1375.xml"/><Relationship Id="rId397" Type="http://schemas.openxmlformats.org/officeDocument/2006/relationships/queryTable" Target="../queryTables/queryTable1396.xml"/><Relationship Id="rId4" Type="http://schemas.openxmlformats.org/officeDocument/2006/relationships/ctrlProp" Target="../ctrlProps/ctrlProp4.xml"/><Relationship Id="rId180" Type="http://schemas.openxmlformats.org/officeDocument/2006/relationships/queryTable" Target="../queryTables/queryTable1179.xml"/><Relationship Id="rId215" Type="http://schemas.openxmlformats.org/officeDocument/2006/relationships/queryTable" Target="../queryTables/queryTable1214.xml"/><Relationship Id="rId236" Type="http://schemas.openxmlformats.org/officeDocument/2006/relationships/queryTable" Target="../queryTables/queryTable1235.xml"/><Relationship Id="rId257" Type="http://schemas.openxmlformats.org/officeDocument/2006/relationships/queryTable" Target="../queryTables/queryTable1256.xml"/><Relationship Id="rId278" Type="http://schemas.openxmlformats.org/officeDocument/2006/relationships/queryTable" Target="../queryTables/queryTable1277.xml"/><Relationship Id="rId401" Type="http://schemas.openxmlformats.org/officeDocument/2006/relationships/queryTable" Target="../queryTables/queryTable1400.xml"/><Relationship Id="rId422" Type="http://schemas.openxmlformats.org/officeDocument/2006/relationships/queryTable" Target="../queryTables/queryTable1421.xml"/><Relationship Id="rId443" Type="http://schemas.openxmlformats.org/officeDocument/2006/relationships/queryTable" Target="../queryTables/queryTable1442.xml"/><Relationship Id="rId303" Type="http://schemas.openxmlformats.org/officeDocument/2006/relationships/queryTable" Target="../queryTables/queryTable1302.xml"/><Relationship Id="rId42" Type="http://schemas.openxmlformats.org/officeDocument/2006/relationships/queryTable" Target="../queryTables/queryTable1041.xml"/><Relationship Id="rId84" Type="http://schemas.openxmlformats.org/officeDocument/2006/relationships/queryTable" Target="../queryTables/queryTable1083.xml"/><Relationship Id="rId138" Type="http://schemas.openxmlformats.org/officeDocument/2006/relationships/queryTable" Target="../queryTables/queryTable1137.xml"/><Relationship Id="rId345" Type="http://schemas.openxmlformats.org/officeDocument/2006/relationships/queryTable" Target="../queryTables/queryTable1344.xml"/><Relationship Id="rId387" Type="http://schemas.openxmlformats.org/officeDocument/2006/relationships/queryTable" Target="../queryTables/queryTable1386.xml"/><Relationship Id="rId191" Type="http://schemas.openxmlformats.org/officeDocument/2006/relationships/queryTable" Target="../queryTables/queryTable1190.xml"/><Relationship Id="rId205" Type="http://schemas.openxmlformats.org/officeDocument/2006/relationships/queryTable" Target="../queryTables/queryTable1204.xml"/><Relationship Id="rId247" Type="http://schemas.openxmlformats.org/officeDocument/2006/relationships/queryTable" Target="../queryTables/queryTable1246.xml"/><Relationship Id="rId412" Type="http://schemas.openxmlformats.org/officeDocument/2006/relationships/queryTable" Target="../queryTables/queryTable1411.xml"/><Relationship Id="rId107" Type="http://schemas.openxmlformats.org/officeDocument/2006/relationships/queryTable" Target="../queryTables/queryTable1106.xml"/><Relationship Id="rId289" Type="http://schemas.openxmlformats.org/officeDocument/2006/relationships/queryTable" Target="../queryTables/queryTable1288.xml"/><Relationship Id="rId454" Type="http://schemas.openxmlformats.org/officeDocument/2006/relationships/queryTable" Target="../queryTables/queryTable1453.xml"/><Relationship Id="rId11" Type="http://schemas.openxmlformats.org/officeDocument/2006/relationships/queryTable" Target="../queryTables/queryTable1010.xml"/><Relationship Id="rId53" Type="http://schemas.openxmlformats.org/officeDocument/2006/relationships/queryTable" Target="../queryTables/queryTable1052.xml"/><Relationship Id="rId149" Type="http://schemas.openxmlformats.org/officeDocument/2006/relationships/queryTable" Target="../queryTables/queryTable1148.xml"/><Relationship Id="rId314" Type="http://schemas.openxmlformats.org/officeDocument/2006/relationships/queryTable" Target="../queryTables/queryTable1313.xml"/><Relationship Id="rId356" Type="http://schemas.openxmlformats.org/officeDocument/2006/relationships/queryTable" Target="../queryTables/queryTable1355.xml"/><Relationship Id="rId398" Type="http://schemas.openxmlformats.org/officeDocument/2006/relationships/queryTable" Target="../queryTables/queryTable1397.xml"/><Relationship Id="rId95" Type="http://schemas.openxmlformats.org/officeDocument/2006/relationships/queryTable" Target="../queryTables/queryTable1094.xml"/><Relationship Id="rId160" Type="http://schemas.openxmlformats.org/officeDocument/2006/relationships/queryTable" Target="../queryTables/queryTable1159.xml"/><Relationship Id="rId216" Type="http://schemas.openxmlformats.org/officeDocument/2006/relationships/queryTable" Target="../queryTables/queryTable1215.xml"/><Relationship Id="rId423" Type="http://schemas.openxmlformats.org/officeDocument/2006/relationships/queryTable" Target="../queryTables/queryTable1422.xml"/><Relationship Id="rId258" Type="http://schemas.openxmlformats.org/officeDocument/2006/relationships/queryTable" Target="../queryTables/queryTable1257.xml"/><Relationship Id="rId22" Type="http://schemas.openxmlformats.org/officeDocument/2006/relationships/queryTable" Target="../queryTables/queryTable1021.xml"/><Relationship Id="rId64" Type="http://schemas.openxmlformats.org/officeDocument/2006/relationships/queryTable" Target="../queryTables/queryTable1063.xml"/><Relationship Id="rId118" Type="http://schemas.openxmlformats.org/officeDocument/2006/relationships/queryTable" Target="../queryTables/queryTable1117.xml"/><Relationship Id="rId325" Type="http://schemas.openxmlformats.org/officeDocument/2006/relationships/queryTable" Target="../queryTables/queryTable1324.xml"/><Relationship Id="rId367" Type="http://schemas.openxmlformats.org/officeDocument/2006/relationships/queryTable" Target="../queryTables/queryTable1366.xml"/><Relationship Id="rId171" Type="http://schemas.openxmlformats.org/officeDocument/2006/relationships/queryTable" Target="../queryTables/queryTable1170.xml"/><Relationship Id="rId227" Type="http://schemas.openxmlformats.org/officeDocument/2006/relationships/queryTable" Target="../queryTables/queryTable1226.xml"/><Relationship Id="rId269" Type="http://schemas.openxmlformats.org/officeDocument/2006/relationships/queryTable" Target="../queryTables/queryTable1268.xml"/><Relationship Id="rId434" Type="http://schemas.openxmlformats.org/officeDocument/2006/relationships/queryTable" Target="../queryTables/queryTable1433.xml"/><Relationship Id="rId33" Type="http://schemas.openxmlformats.org/officeDocument/2006/relationships/queryTable" Target="../queryTables/queryTable1032.xml"/><Relationship Id="rId129" Type="http://schemas.openxmlformats.org/officeDocument/2006/relationships/queryTable" Target="../queryTables/queryTable1128.xml"/><Relationship Id="rId280" Type="http://schemas.openxmlformats.org/officeDocument/2006/relationships/queryTable" Target="../queryTables/queryTable1279.xml"/><Relationship Id="rId336" Type="http://schemas.openxmlformats.org/officeDocument/2006/relationships/queryTable" Target="../queryTables/queryTable1335.xml"/><Relationship Id="rId75" Type="http://schemas.openxmlformats.org/officeDocument/2006/relationships/queryTable" Target="../queryTables/queryTable1074.xml"/><Relationship Id="rId140" Type="http://schemas.openxmlformats.org/officeDocument/2006/relationships/queryTable" Target="../queryTables/queryTable1139.xml"/><Relationship Id="rId182" Type="http://schemas.openxmlformats.org/officeDocument/2006/relationships/queryTable" Target="../queryTables/queryTable1181.xml"/><Relationship Id="rId378" Type="http://schemas.openxmlformats.org/officeDocument/2006/relationships/queryTable" Target="../queryTables/queryTable1377.xml"/><Relationship Id="rId403" Type="http://schemas.openxmlformats.org/officeDocument/2006/relationships/queryTable" Target="../queryTables/queryTable140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S354"/>
  <sheetViews>
    <sheetView tabSelected="1" workbookViewId="0">
      <pane xSplit="2" topLeftCell="X1" activePane="topRight" state="frozen"/>
      <selection activeCell="B1" sqref="B1"/>
      <selection pane="topRight" activeCell="AJ56" sqref="AJ56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12" bestFit="1" customWidth="1"/>
    <col min="6" max="6" width="13.5703125" style="56" bestFit="1" customWidth="1"/>
    <col min="7" max="7" width="6.42578125" style="83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79" customWidth="1"/>
    <col min="12" max="12" width="5.5703125" style="75" customWidth="1"/>
    <col min="13" max="13" width="17.85546875" style="94" bestFit="1" customWidth="1"/>
    <col min="14" max="14" width="16.85546875" style="73" customWidth="1"/>
    <col min="15" max="15" width="16.85546875" style="3" hidden="1" customWidth="1"/>
    <col min="16" max="16" width="14.7109375" style="5" hidden="1" customWidth="1"/>
    <col min="17" max="17" width="17.28515625" style="72" bestFit="1" customWidth="1"/>
    <col min="18" max="18" width="16.42578125" style="72" bestFit="1" customWidth="1"/>
    <col min="19" max="19" width="13.5703125" style="56" bestFit="1" customWidth="1"/>
    <col min="20" max="21" width="12" style="87" bestFit="1" customWidth="1"/>
    <col min="22" max="23" width="12" style="3" bestFit="1" customWidth="1"/>
    <col min="24" max="24" width="12" style="79" bestFit="1" customWidth="1"/>
    <col min="25" max="25" width="9.42578125" style="3" bestFit="1" customWidth="1"/>
    <col min="26" max="27" width="16" style="3" bestFit="1" customWidth="1"/>
    <col min="28" max="28" width="9.85546875" style="74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43" width="9.140625" style="3"/>
    <col min="44" max="44" width="9.85546875" style="3" bestFit="1" customWidth="1"/>
    <col min="45" max="45" width="11.5703125" style="3" bestFit="1" customWidth="1"/>
    <col min="46" max="16384" width="9.140625" style="3"/>
  </cols>
  <sheetData>
    <row r="1" spans="1:45" x14ac:dyDescent="0.2">
      <c r="A1" s="5" t="s">
        <v>13</v>
      </c>
      <c r="B1" s="16" t="s">
        <v>9</v>
      </c>
      <c r="C1" s="16" t="s">
        <v>393</v>
      </c>
      <c r="D1" s="16" t="s">
        <v>63</v>
      </c>
      <c r="E1" s="5" t="s">
        <v>424</v>
      </c>
      <c r="F1" s="56" t="s">
        <v>430</v>
      </c>
      <c r="G1" s="83" t="s">
        <v>456</v>
      </c>
      <c r="H1" s="23" t="s">
        <v>425</v>
      </c>
      <c r="I1" s="23" t="s">
        <v>426</v>
      </c>
      <c r="J1" s="18" t="s">
        <v>440</v>
      </c>
      <c r="K1" s="18" t="s">
        <v>457</v>
      </c>
      <c r="L1" s="18" t="s">
        <v>458</v>
      </c>
      <c r="M1" s="72" t="s">
        <v>3</v>
      </c>
      <c r="N1" s="72" t="s">
        <v>53</v>
      </c>
      <c r="O1" s="5" t="s">
        <v>435</v>
      </c>
      <c r="P1" s="5" t="s">
        <v>433</v>
      </c>
      <c r="Q1" s="72" t="s">
        <v>434</v>
      </c>
      <c r="R1" s="72" t="s">
        <v>448</v>
      </c>
      <c r="S1" s="56" t="s">
        <v>4</v>
      </c>
      <c r="T1" s="5" t="s">
        <v>450</v>
      </c>
      <c r="U1" s="79" t="s">
        <v>84</v>
      </c>
      <c r="V1" s="79" t="s">
        <v>436</v>
      </c>
      <c r="W1" s="79" t="s">
        <v>427</v>
      </c>
      <c r="X1" s="79" t="s">
        <v>428</v>
      </c>
      <c r="Y1" s="79" t="s">
        <v>449</v>
      </c>
      <c r="Z1" s="5" t="s">
        <v>437</v>
      </c>
      <c r="AA1" s="5" t="s">
        <v>318</v>
      </c>
      <c r="AB1" s="72" t="s">
        <v>5</v>
      </c>
      <c r="AC1" s="12" t="s">
        <v>6</v>
      </c>
      <c r="AD1" s="23" t="s">
        <v>7</v>
      </c>
      <c r="AE1" s="34" t="s">
        <v>52</v>
      </c>
      <c r="AF1" s="67" t="s">
        <v>444</v>
      </c>
      <c r="AG1" s="79" t="s">
        <v>443</v>
      </c>
      <c r="AH1" s="79" t="s">
        <v>442</v>
      </c>
      <c r="AI1" s="3" t="s">
        <v>8</v>
      </c>
      <c r="AJ1" s="3" t="s">
        <v>306</v>
      </c>
      <c r="AK1" s="18" t="s">
        <v>423</v>
      </c>
      <c r="AL1" s="3" t="s">
        <v>41</v>
      </c>
      <c r="AM1" s="5" t="s">
        <v>60</v>
      </c>
      <c r="AN1" s="5" t="s">
        <v>246</v>
      </c>
      <c r="AO1" s="5" t="s">
        <v>247</v>
      </c>
      <c r="AP1" s="3" t="s">
        <v>561</v>
      </c>
      <c r="AQ1" s="3" t="s">
        <v>1000</v>
      </c>
      <c r="AS1" s="5">
        <v>1000</v>
      </c>
    </row>
    <row r="2" spans="1:45" hidden="1" x14ac:dyDescent="0.2">
      <c r="A2" s="4" t="s">
        <v>14</v>
      </c>
      <c r="B2" s="57" t="s">
        <v>451</v>
      </c>
      <c r="C2" s="16" t="str">
        <f>LEFT(Tabela3[PAPEL],LEN(Tabela3[PAPEL])-(LEN(Tabela3[PAPEL])-4))</f>
        <v>ABCB</v>
      </c>
      <c r="D2" s="16">
        <v>3</v>
      </c>
      <c r="E2" s="5">
        <v>1113919943.79</v>
      </c>
      <c r="F2" s="56">
        <v>73697646</v>
      </c>
      <c r="G2" s="83">
        <v>0.25</v>
      </c>
      <c r="H2" s="16"/>
      <c r="I2" s="18"/>
      <c r="K2" s="89"/>
      <c r="L2" s="89"/>
      <c r="M2" s="6">
        <v>1864725000</v>
      </c>
      <c r="N2" s="6">
        <v>192096000</v>
      </c>
      <c r="O2" s="47">
        <f>Tabela3[[#This Row],[Capital Social]]*20%</f>
        <v>222783988.75800002</v>
      </c>
      <c r="P2" s="47">
        <f>IF((Tabela3[Lucro Líquido]*5%)&gt;Tabela3[Teto R. Legal],Tabela3[Teto R. Legal],Tabela3[Lucro Líquido]*5%)</f>
        <v>9604800</v>
      </c>
      <c r="Q2" s="47">
        <f>IF(Tabela3[Lucro Líquido]&lt;0,0,Tabela3[Lucro Líquido]-Tabela3[Reserva Legal])</f>
        <v>182491200</v>
      </c>
      <c r="R2" s="47">
        <f>Tabela3[[#This Row],[Lucro Distribuir]]*Tabela3[%Div]</f>
        <v>45622800</v>
      </c>
      <c r="S2" s="21">
        <f>SUMPRODUCT(N(Tabela3[Nome]=Tabela3[[#This Row],[Nome]]),Tabela3[Ações])</f>
        <v>147232649</v>
      </c>
      <c r="T2" s="5">
        <f>Tabela3[Capital Social]/Tabela3[Total Ações]</f>
        <v>7.5657128453214204</v>
      </c>
      <c r="U2" s="79">
        <f>Tabela3[[#This Row],[Lucro Líquido]]/Tabela3[[#This Row],[Total Ações]]</f>
        <v>1.3047106148310896</v>
      </c>
      <c r="V2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0.30986877102238375</v>
      </c>
      <c r="W2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0.30986877102238375</v>
      </c>
      <c r="Z2" s="47">
        <f>Tabela3[Div Base]*Tabela3[Ações]</f>
        <v>22836598.993262697</v>
      </c>
      <c r="AA2" s="47">
        <f>SUMPRODUCT(N(Tabela3[Nome]=Tabela3[[#This Row],[Nome]]),Tabela3[Div Base]*Tabela3[Ações])</f>
        <v>45622800</v>
      </c>
      <c r="AB2" s="5">
        <f>Tabela3[Patrimônio Líquido]/Tabela3[Total Ações]</f>
        <v>12.665159614155961</v>
      </c>
      <c r="AC2" s="82">
        <f>MAX(Tabela3[[#This Row],[Cotação 1]:[Cotação 4]])</f>
        <v>0</v>
      </c>
      <c r="AD2" s="83">
        <f>Tabela3[Cotação]/Tabela3[VPA]</f>
        <v>0</v>
      </c>
      <c r="AE2" s="34">
        <f>IF(Tabela3[[#This Row],[Lucro/Ação]]&gt;0,Tabela3[[#This Row],[Cotação]]/(Tabela3[[#This Row],[Lucro/Ação]]/Tabela3[Ref]*4),0)</f>
        <v>0</v>
      </c>
      <c r="AF2" s="67" t="e">
        <f>IF(Tabela3[Div. Mínimo]=0,0,Tabela3[Lucro Distribuir]*#REF!/Tabela3[Total Ações])</f>
        <v>#REF!</v>
      </c>
      <c r="AG2" s="79">
        <f>Tabela3[Lucro Distribuir]/Tabela3[Total Ações]</f>
        <v>1.239475084089535</v>
      </c>
      <c r="AH2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0.30986877102238375</v>
      </c>
      <c r="AI2" s="10" t="str">
        <f>IF(AND(Tabela3[% A.A.]&gt;=7%,SUMPRODUCT(N(Tabela3[Nome]=Tabela3[[#This Row],[Nome]]),Tabela3[PL])&gt;0),"Sim","Não")</f>
        <v>Não</v>
      </c>
      <c r="AJ2" s="22">
        <f>IF(Tabela3[Cotação]&gt;0,Tabela3[[#This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IF(Tabela3[Cotação]&gt;0,($AS$1/Tabela3[[#This Row],[Cotação]]-MOD($AS$1/Tabela3[[#This Row],[Cotação]],100)),)</f>
        <v>0</v>
      </c>
      <c r="AM2" s="47">
        <f>Tabela3[[#This Row],[Ativos]]*Tabela3[Lucro]</f>
        <v>0</v>
      </c>
      <c r="AN2" s="47">
        <f>SUMPRODUCT(N(Tabela1[Código]=Tabela3[[#This Row],[PAPEL]]),Tabela1[Fechamento])</f>
        <v>0</v>
      </c>
      <c r="AO2" s="47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  <c r="AQ2" s="7">
        <f>SUMPRODUCT(N(Tabela1768[Código]=Tabela3[[#This Row],[PAPEL]]),Tabela1768[Fechamento])</f>
        <v>0</v>
      </c>
    </row>
    <row r="3" spans="1:45" hidden="1" x14ac:dyDescent="0.2">
      <c r="A3" s="4" t="s">
        <v>14</v>
      </c>
      <c r="B3" s="57" t="s">
        <v>22</v>
      </c>
      <c r="C3" s="14" t="str">
        <f>LEFT(Tabela3[PAPEL],LEN(Tabela3[PAPEL])-(LEN(Tabela3[PAPEL])-4))</f>
        <v>ABCB</v>
      </c>
      <c r="D3" s="15">
        <v>3</v>
      </c>
      <c r="E3" s="5">
        <v>1113919943.79</v>
      </c>
      <c r="F3" s="8">
        <v>73535003</v>
      </c>
      <c r="G3" s="88">
        <v>0.25</v>
      </c>
      <c r="H3" s="15"/>
      <c r="I3" s="19"/>
      <c r="J3" s="19"/>
      <c r="K3" s="90"/>
      <c r="L3" s="90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IF((Tabela3[Lucro Líquido]*5%)&gt;Tabela3[Teto R. Legal],Tabela3[Teto R. Legal],Tabela3[Lucro Líquido]*5%)</f>
        <v>9604800</v>
      </c>
      <c r="Q3" s="6">
        <f>IF(Tabela3[Lucro Líquido]&lt;0,0,Tabela3[Lucro Líquido]-Tabela3[Reserva Legal])</f>
        <v>182491200</v>
      </c>
      <c r="R3" s="6">
        <f>Tabela3[[#This Row],[Lucro Distribuir]]*Tabela3[%Div]</f>
        <v>45622800</v>
      </c>
      <c r="S3" s="21">
        <f>SUMPRODUCT(N(Tabela3[Nome]=Tabela3[[#This Row],[Nome]]),Tabela3[Ações])</f>
        <v>147232649</v>
      </c>
      <c r="T3" s="6">
        <f>Tabela3[Capital Social]/Tabela3[Total Ações]</f>
        <v>7.5657128453214204</v>
      </c>
      <c r="U3" s="80">
        <f>Tabela3[[#This Row],[Lucro Líquido]]/Tabela3[[#This Row],[Total Ações]]</f>
        <v>1.3047106148310896</v>
      </c>
      <c r="V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0.30986877102238375</v>
      </c>
      <c r="W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0.30986877102238375</v>
      </c>
      <c r="Z3" s="6">
        <f>Tabela3[Div Base]*Tabela3[Ações]</f>
        <v>22786201.006737303</v>
      </c>
      <c r="AA3" s="6">
        <f>SUMPRODUCT(N(Tabela3[Nome]=Tabela3[[#This Row],[Nome]]),Tabela3[Div Base]*Tabela3[Ações])</f>
        <v>45622800</v>
      </c>
      <c r="AB3" s="6">
        <f>Tabela3[Patrimônio Líquido]/Tabela3[Total Ações]</f>
        <v>12.665159614155961</v>
      </c>
      <c r="AC3" s="48">
        <f>MAX(Tabela3[[#This Row],[Cotação 1]:[Cotação 4]])</f>
        <v>12.2</v>
      </c>
      <c r="AD3" s="44">
        <f>Tabela3[Cotação]/Tabela3[VPA]</f>
        <v>0.96327250280872512</v>
      </c>
      <c r="AE3" s="40">
        <f>IF(Tabela3[[#This Row],[Lucro/Ação]]&gt;0,Tabela3[[#This Row],[Cotação]]/(Tabela3[[#This Row],[Lucro/Ação]]/Tabela3[Ref]*4),0)</f>
        <v>7.0130494042041471</v>
      </c>
      <c r="AF3" s="40" t="e">
        <f>IF(Tabela3[Div. Mínimo]=0,0,Tabela3[Lucro Distribuir]*#REF!/Tabela3[Total Ações])</f>
        <v>#REF!</v>
      </c>
      <c r="AG3" s="80">
        <f>Tabela3[Lucro Distribuir]/Tabela3[Total Ações]</f>
        <v>1.239475084089535</v>
      </c>
      <c r="AH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0.30986877102238375</v>
      </c>
      <c r="AI3" s="15" t="str">
        <f>IF(AND(Tabela3[% A.A.]&gt;=7%,SUMPRODUCT(N(Tabela3[Nome]=Tabela3[[#This Row],[Nome]]),Tabela3[PL])&gt;0),"Sim","Não")</f>
        <v>Não</v>
      </c>
      <c r="AJ3" s="42">
        <f>IF(Tabela3[Cotação]&gt;0,Tabela3[[#This Row],[Lucro]]/Tabela3[[#This Row],[Cotação]],0)</f>
        <v>2.539907959199867E-2</v>
      </c>
      <c r="AK3" s="19">
        <f>((1+Tabela3[[#This Row],[% Yield]])^(1/(3*Tabela3[[#This Row],[Ref]])))^(12)-1</f>
        <v>3.4007997253895139E-2</v>
      </c>
      <c r="AL3" s="14">
        <f>IF(Tabela3[Cotação]&gt;0,($AS$1/Tabela3[[#This Row],[Cotação]]-MOD($AS$1/Tabela3[[#This Row],[Cotação]],100)),)</f>
        <v>0</v>
      </c>
      <c r="AM3" s="17">
        <f>Tabela3[[#This Row],[Ativos]]*Tabela3[Lucro]</f>
        <v>0</v>
      </c>
      <c r="AN3" s="5">
        <f>SUMPRODUCT(N(Tabela1[Código]=Tabela3[[#This Row],[PAPEL]]),Tabela1[Fechamento])</f>
        <v>12.2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Q3" s="7">
        <f>SUMPRODUCT(N(Tabela1768[Código]=Tabela3[[#This Row],[PAPEL]]),Tabela1768[Fechamento])</f>
        <v>0</v>
      </c>
      <c r="AS3" s="5"/>
    </row>
    <row r="4" spans="1:45" hidden="1" x14ac:dyDescent="0.2">
      <c r="A4" s="3" t="s">
        <v>960</v>
      </c>
      <c r="B4" s="58" t="s">
        <v>961</v>
      </c>
      <c r="C4" s="16" t="str">
        <f>LEFT(Tabela3[PAPEL],LEN(Tabela3[PAPEL])-(LEN(Tabela3[PAPEL])-4))</f>
        <v>ABEV</v>
      </c>
      <c r="D4" s="16">
        <v>3</v>
      </c>
      <c r="E4" s="5">
        <v>56983340778.779999</v>
      </c>
      <c r="F4" s="56">
        <v>15664342206</v>
      </c>
      <c r="G4" s="83">
        <v>0.4</v>
      </c>
      <c r="H4" s="89"/>
      <c r="I4" s="18"/>
      <c r="K4" s="16"/>
      <c r="L4" s="89"/>
      <c r="M4" s="94">
        <v>38633977000</v>
      </c>
      <c r="N4" s="73">
        <v>4869507000</v>
      </c>
      <c r="O4" s="7">
        <f>Tabela3[[#This Row],[Capital Social]]*20%</f>
        <v>11396668155.756001</v>
      </c>
      <c r="P4" s="47">
        <f>IF((Tabela3[Lucro Líquido]*5%)&gt;Tabela3[Teto R. Legal],Tabela3[Teto R. Legal],Tabela3[Lucro Líquido]*5%)</f>
        <v>243475350</v>
      </c>
      <c r="Q4" s="47">
        <f>IF(Tabela3[Lucro Líquido]&lt;0,0,Tabela3[Lucro Líquido]-Tabela3[Reserva Legal])</f>
        <v>4626031650</v>
      </c>
      <c r="R4" s="47">
        <f>Tabela3[[#This Row],[Lucro Distribuir]]*Tabela3[%Div]</f>
        <v>1850412660</v>
      </c>
      <c r="S4" s="56">
        <f>SUMPRODUCT(N(Tabela3[Nome]=Tabela3[[#This Row],[Nome]]),Tabela3[Ações])</f>
        <v>15664342206</v>
      </c>
      <c r="T4" s="87">
        <f>Tabela3[Capital Social]/Tabela3[Total Ações]</f>
        <v>3.6377742537412998</v>
      </c>
      <c r="U4" s="87">
        <f>Tabela3[[#This Row],[Lucro Líquido]]/Tabela3[[#This Row],[Total Ações]]</f>
        <v>0.31086571883847158</v>
      </c>
      <c r="V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0.11812897315861921</v>
      </c>
      <c r="W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0.11812897315861921</v>
      </c>
      <c r="Z4" s="7">
        <f>Tabela3[Div Base]*Tabela3[Ações]</f>
        <v>1850412660</v>
      </c>
      <c r="AA4" s="7">
        <f>SUMPRODUCT(N(Tabela3[Nome]=Tabela3[[#This Row],[Nome]]),Tabela3[Div Base]*Tabela3[Ações])</f>
        <v>1850412660</v>
      </c>
      <c r="AB4" s="74">
        <f>Tabela3[Patrimônio Líquido]/Tabela3[Total Ações]</f>
        <v>2.4663644659909059</v>
      </c>
      <c r="AC4" s="52">
        <f>MAX(Tabela3[[#This Row],[Cotação 1]:[Cotação 4]])</f>
        <v>16.27</v>
      </c>
      <c r="AD4" s="53">
        <f>Tabela3[Cotação]/Tabela3[VPA]</f>
        <v>6.5967541392805611</v>
      </c>
      <c r="AE4" s="37">
        <f>IF(Tabela3[[#This Row],[Lucro/Ação]]&gt;0,Tabela3[[#This Row],[Cotação]]/(Tabela3[[#This Row],[Lucro/Ação]]/Tabela3[Ref]*4),0)</f>
        <v>39.253282882377007</v>
      </c>
      <c r="AF4" s="59" t="e">
        <f>IF(Tabela3[Div. Mínimo]=0,0,Tabela3[Lucro Distribuir]*#REF!/Tabela3[Total Ações])</f>
        <v>#REF!</v>
      </c>
      <c r="AG4" s="87">
        <f>Tabela3[Lucro Distribuir]/Tabela3[Total Ações]</f>
        <v>0.29532243289654803</v>
      </c>
      <c r="AH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0.11812897315861921</v>
      </c>
      <c r="AI4" s="10" t="str">
        <f>IF(AND(Tabela3[% A.A.]&gt;=7%,SUMPRODUCT(N(Tabela3[Nome]=Tabela3[[#This Row],[Nome]]),Tabela3[PL])&gt;0),"Sim","Não")</f>
        <v>Não</v>
      </c>
      <c r="AJ4" s="22">
        <f>IF(Tabela3[Cotação]&gt;0,Tabela3[[#This Row],[Lucro]]/Tabela3[[#This Row],[Cotação]],0)</f>
        <v>7.2605392230251512E-3</v>
      </c>
      <c r="AK4" s="22">
        <f>((1+Tabela3[[#This Row],[% Yield]])^(1/(3*Tabela3[[#This Row],[Ref]])))^(12)-1</f>
        <v>9.6924146600898542E-3</v>
      </c>
      <c r="AL4" s="10">
        <f>IF(Tabela3[Cotação]&gt;0,($AS$1/Tabela3[[#This Row],[Cotação]]-MOD($AS$1/Tabela3[[#This Row],[Cotação]],100)),)</f>
        <v>0</v>
      </c>
      <c r="AM4" s="7">
        <f>Tabela3[[#This Row],[Ativos]]*Tabela3[Lucro]</f>
        <v>0</v>
      </c>
      <c r="AN4" s="7">
        <f>SUMPRODUCT(N(Tabela1[Código]=Tabela3[[#This Row],[PAPEL]]),Tabela1[Fechamento])</f>
        <v>0</v>
      </c>
      <c r="AO4" s="7">
        <f>SUMPRODUCT(N(Tabela17[Código]=Tabela3[[#This Row],[PAPEL]]),Tabela17[Fechamento])</f>
        <v>0</v>
      </c>
      <c r="AP4" s="7">
        <f>SUMPRODUCT(N(Tabela176[Código]=Tabela3[[#This Row],[PAPEL]]),Tabela176[Fechamento])</f>
        <v>16.27</v>
      </c>
      <c r="AQ4" s="7">
        <f>SUMPRODUCT(N(Tabela1768[Código]=Tabela3[[#This Row],[PAPEL]]),Tabela1768[Fechamento])</f>
        <v>0</v>
      </c>
    </row>
    <row r="5" spans="1:45" hidden="1" x14ac:dyDescent="0.2">
      <c r="A5" s="4" t="s">
        <v>12</v>
      </c>
      <c r="B5" s="57" t="s">
        <v>67</v>
      </c>
      <c r="C5" s="84" t="str">
        <f>LEFT(Tabela3[PAPEL],LEN(Tabela3[PAPEL])-(LEN(Tabela3[PAPEL])-4))</f>
        <v>AELP</v>
      </c>
      <c r="D5" s="15">
        <v>3</v>
      </c>
      <c r="E5" s="6">
        <v>958781908.12</v>
      </c>
      <c r="F5" s="8">
        <v>95061053</v>
      </c>
      <c r="G5" s="83">
        <v>0.25</v>
      </c>
      <c r="H5" s="15"/>
      <c r="I5" s="19"/>
      <c r="J5" s="19"/>
      <c r="K5" s="90"/>
      <c r="L5" s="90"/>
      <c r="M5" s="92">
        <v>1476720000</v>
      </c>
      <c r="N5" s="92">
        <v>48170000</v>
      </c>
      <c r="O5" s="6">
        <f>Tabela3[[#This Row],[Capital Social]]*20%</f>
        <v>191756381.62400001</v>
      </c>
      <c r="P5" s="6">
        <f>IF((Tabela3[Lucro Líquido]*5%)&gt;Tabela3[Teto R. Legal],Tabela3[Teto R. Legal],Tabela3[Lucro Líquido]*5%)</f>
        <v>2408500</v>
      </c>
      <c r="Q5" s="92">
        <f>IF(Tabela3[Lucro Líquido]&lt;0,0,Tabela3[Lucro Líquido]-Tabela3[Reserva Legal])</f>
        <v>45761500</v>
      </c>
      <c r="R5" s="92">
        <f>Tabela3[[#This Row],[Lucro Distribuir]]*Tabela3[%Div]</f>
        <v>11440375</v>
      </c>
      <c r="S5" s="56">
        <f>SUMPRODUCT(N(Tabela3[Nome]=Tabela3[[#This Row],[Nome]]),Tabela3[Ações])</f>
        <v>95061053</v>
      </c>
      <c r="T5" s="6">
        <f>Tabela3[Capital Social]/Tabela3[Total Ações]</f>
        <v>10.085959263674473</v>
      </c>
      <c r="U5" s="80">
        <f>Tabela3[[#This Row],[Lucro Líquido]]/Tabela3[[#This Row],[Total Ações]]</f>
        <v>0.50672697681983392</v>
      </c>
      <c r="V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0.12034765699471055</v>
      </c>
      <c r="W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0.12034765699471055</v>
      </c>
      <c r="Z5" s="6">
        <f>Tabela3[Div Base]*Tabela3[Ações]</f>
        <v>11440375</v>
      </c>
      <c r="AA5" s="6">
        <f>SUMPRODUCT(N(Tabela3[Nome]=Tabela3[[#This Row],[Nome]]),Tabela3[Div Base]*Tabela3[Ações])</f>
        <v>11440375</v>
      </c>
      <c r="AB5" s="92">
        <f>Tabela3[Patrimônio Líquido]/Tabela3[Total Ações]</f>
        <v>15.53443764188053</v>
      </c>
      <c r="AC5" s="48">
        <f>MAX(Tabela3[[#This Row],[Cotação 1]:[Cotação 4]])</f>
        <v>7.68</v>
      </c>
      <c r="AD5" s="44">
        <f>Tabela3[Cotação]/Tabela3[VPA]</f>
        <v>0.49438545359986996</v>
      </c>
      <c r="AE5" s="40">
        <f>IF(Tabela3[[#This Row],[Lucro/Ação]]&gt;0,Tabela3[[#This Row],[Cotação]]/(Tabela3[[#This Row],[Lucro/Ação]]/Tabela3[Ref]*4),0)</f>
        <v>11.367067994187252</v>
      </c>
      <c r="AF5" s="40" t="e">
        <f>IF(Tabela3[Div. Mínimo]=0,0,Tabela3[Lucro Distribuir]*#REF!/Tabela3[Total Ações])</f>
        <v>#REF!</v>
      </c>
      <c r="AG5" s="80">
        <f>Tabela3[Lucro Distribuir]/Tabela3[Total Ações]</f>
        <v>0.48139062797884219</v>
      </c>
      <c r="AH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0.12034765699471055</v>
      </c>
      <c r="AI5" s="14" t="str">
        <f>IF(AND(Tabela3[% A.A.]&gt;=7%,SUMPRODUCT(N(Tabela3[Nome]=Tabela3[[#This Row],[Nome]]),Tabela3[PL])&gt;0),"Sim","Não")</f>
        <v>Não</v>
      </c>
      <c r="AJ5" s="42">
        <f>IF(Tabela3[Cotação]&gt;0,Tabela3[[#This Row],[Lucro]]/Tabela3[[#This Row],[Cotação]],0)</f>
        <v>1.5670267837852938E-2</v>
      </c>
      <c r="AK5" s="19">
        <f>((1+Tabela3[[#This Row],[% Yield]])^(1/(3*Tabela3[[#This Row],[Ref]])))^(12)-1</f>
        <v>2.0948069946336467E-2</v>
      </c>
      <c r="AL5" s="14">
        <f>IF(Tabela3[Cotação]&gt;0,($AS$1/Tabela3[[#This Row],[Cotação]]-MOD($AS$1/Tabela3[[#This Row],[Cotação]],100)),)</f>
        <v>100</v>
      </c>
      <c r="AM5" s="17">
        <f>Tabela3[[#This Row],[Ativos]]*Tabela3[Lucro]</f>
        <v>12.034765699471055</v>
      </c>
      <c r="AN5" s="5">
        <f>SUMPRODUCT(N(Tabela1[Código]=Tabela3[[#This Row],[PAPEL]]),Tabela1[Fechamento])</f>
        <v>7.68</v>
      </c>
      <c r="AO5" s="5">
        <f>SUMPRODUCT(N(Tabela17[Código]=Tabela3[[#This Row],[PAPEL]]),Tabela17[Fechamento])</f>
        <v>0</v>
      </c>
      <c r="AP5" s="7">
        <f>SUMPRODUCT(N(Tabela176[Código]=Tabela3[[#This Row],[PAPEL]]),Tabela176[Fechamento])</f>
        <v>0</v>
      </c>
      <c r="AQ5" s="7">
        <f>SUMPRODUCT(N(Tabela1768[Código]=Tabela3[[#This Row],[PAPEL]]),Tabela1768[Fechamento])</f>
        <v>0</v>
      </c>
    </row>
    <row r="6" spans="1:45" hidden="1" x14ac:dyDescent="0.2">
      <c r="A6" s="4" t="s">
        <v>12</v>
      </c>
      <c r="B6" s="57" t="s">
        <v>466</v>
      </c>
      <c r="C6" s="15" t="str">
        <f>LEFT(Tabela3[PAPEL],LEN(Tabela3[PAPEL])-(LEN(Tabela3[PAPEL])-4))</f>
        <v>AFLT</v>
      </c>
      <c r="D6" s="15">
        <v>3</v>
      </c>
      <c r="E6" s="6">
        <v>63084700</v>
      </c>
      <c r="F6" s="8">
        <v>63084700</v>
      </c>
      <c r="G6" s="83">
        <v>0.25</v>
      </c>
      <c r="H6" s="15"/>
      <c r="I6" s="19"/>
      <c r="J6" s="19"/>
      <c r="K6" s="90"/>
      <c r="L6" s="90"/>
      <c r="M6" s="96">
        <v>72786000</v>
      </c>
      <c r="N6" s="97">
        <v>14725000</v>
      </c>
      <c r="O6" s="13">
        <f>Tabela3[[#This Row],[Capital Social]]*20%</f>
        <v>12616940</v>
      </c>
      <c r="P6" s="13">
        <f>IF((Tabela3[Lucro Líquido]*5%)&gt;Tabela3[Teto R. Legal],Tabela3[Teto R. Legal],Tabela3[Lucro Líquido]*5%)</f>
        <v>736250</v>
      </c>
      <c r="Q6" s="13">
        <f>IF(Tabela3[Lucro Líquido]&lt;0,0,Tabela3[Lucro Líquido]-Tabela3[Reserva Legal])</f>
        <v>13988750</v>
      </c>
      <c r="R6" s="13">
        <f>Tabela3[[#This Row],[Lucro Distribuir]]*Tabela3[%Div]</f>
        <v>3497187.5</v>
      </c>
      <c r="S6" s="56">
        <f>SUMPRODUCT(N(Tabela3[Nome]=Tabela3[[#This Row],[Nome]]),Tabela3[Ações])</f>
        <v>63084700</v>
      </c>
      <c r="T6" s="6">
        <f>Tabela3[Capital Social]/Tabela3[Total Ações]</f>
        <v>1</v>
      </c>
      <c r="U6" s="80">
        <f>Tabela3[[#This Row],[Lucro Líquido]]/Tabela3[[#This Row],[Total Ações]]</f>
        <v>0.23341634342399981</v>
      </c>
      <c r="V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5.5436381563199952E-2</v>
      </c>
      <c r="W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5.5436381563199952E-2</v>
      </c>
      <c r="Z6" s="13">
        <f>Tabela3[Div Base]*Tabela3[Ações]</f>
        <v>3497187.5</v>
      </c>
      <c r="AA6" s="13">
        <f>SUMPRODUCT(N(Tabela3[Nome]=Tabela3[[#This Row],[Nome]]),Tabela3[Div Base]*Tabela3[Ações])</f>
        <v>3497187.5</v>
      </c>
      <c r="AB6" s="95">
        <f>Tabela3[Patrimônio Líquido]/Tabela3[Total Ações]</f>
        <v>1.1537821373486756</v>
      </c>
      <c r="AC6" s="48">
        <f>MAX(Tabela3[[#This Row],[Cotação 1]:[Cotação 4]])</f>
        <v>3.5</v>
      </c>
      <c r="AD6" s="44">
        <f>Tabela3[Cotação]/Tabela3[VPA]</f>
        <v>3.0335016349297943</v>
      </c>
      <c r="AE6" s="40">
        <f>IF(Tabela3[[#This Row],[Lucro/Ação]]&gt;0,Tabela3[[#This Row],[Cotação]]/(Tabela3[[#This Row],[Lucro/Ação]]/Tabela3[Ref]*4),0)</f>
        <v>11.245999151103566</v>
      </c>
      <c r="AF6" s="91" t="e">
        <f>IF(Tabela3[Div. Mínimo]=0,0,Tabela3[Lucro Distribuir]*#REF!/Tabela3[Total Ações])</f>
        <v>#REF!</v>
      </c>
      <c r="AG6" s="80">
        <f>Tabela3[Lucro Distribuir]/Tabela3[Total Ações]</f>
        <v>0.22174552625279981</v>
      </c>
      <c r="AH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5.5436381563199952E-2</v>
      </c>
      <c r="AI6" s="14" t="str">
        <f>IF(AND(Tabela3[% A.A.]&gt;=7%,SUMPRODUCT(N(Tabela3[Nome]=Tabela3[[#This Row],[Nome]]),Tabela3[PL])&gt;0),"Sim","Não")</f>
        <v>Não</v>
      </c>
      <c r="AJ6" s="42">
        <f>IF(Tabela3[Cotação]&gt;0,Tabela3[[#This Row],[Lucro]]/Tabela3[[#This Row],[Cotação]],0)</f>
        <v>1.5838966160914271E-2</v>
      </c>
      <c r="AK6" s="42">
        <f>((1+Tabela3[[#This Row],[% Yield]])^(1/(3*Tabela3[[#This Row],[Ref]])))^(12)-1</f>
        <v>2.11741761285551E-2</v>
      </c>
      <c r="AL6" s="14">
        <f>IF(Tabela3[Cotação]&gt;0,($AS$1/Tabela3[[#This Row],[Cotação]]-MOD($AS$1/Tabela3[[#This Row],[Cotação]],100)),)</f>
        <v>200</v>
      </c>
      <c r="AM6" s="17">
        <f>Tabela3[[#This Row],[Ativos]]*Tabela3[Lucro]</f>
        <v>11.08727631263999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3.5</v>
      </c>
      <c r="AP6" s="7">
        <f>SUMPRODUCT(N(Tabela176[Código]=Tabela3[[#This Row],[PAPEL]]),Tabela176[Fechamento])</f>
        <v>0</v>
      </c>
      <c r="AQ6" s="7">
        <f>SUMPRODUCT(N(Tabela1768[Código]=Tabela3[[#This Row],[PAPEL]]),Tabela1768[Fechamento])</f>
        <v>0</v>
      </c>
    </row>
    <row r="7" spans="1:45" hidden="1" x14ac:dyDescent="0.2">
      <c r="A7" s="4" t="s">
        <v>12</v>
      </c>
      <c r="B7" s="57" t="s">
        <v>459</v>
      </c>
      <c r="C7" s="15" t="str">
        <f>LEFT(Tabela3[PAPEL],LEN(Tabela3[PAPEL])-(LEN(Tabela3[PAPEL])-4))</f>
        <v>AFLU</v>
      </c>
      <c r="D7" s="15">
        <v>3</v>
      </c>
      <c r="E7" s="6">
        <v>30916200</v>
      </c>
      <c r="F7" s="8">
        <v>10930451</v>
      </c>
      <c r="G7" s="83">
        <v>0.25</v>
      </c>
      <c r="H7" s="15"/>
      <c r="I7" s="19"/>
      <c r="J7" s="19"/>
      <c r="K7" s="90"/>
      <c r="L7" s="90"/>
      <c r="M7" s="92">
        <v>41755000</v>
      </c>
      <c r="N7" s="92">
        <v>6373000</v>
      </c>
      <c r="O7" s="13">
        <f>Tabela3[[#This Row],[Capital Social]]*20%</f>
        <v>6183240</v>
      </c>
      <c r="P7" s="13">
        <f>IF((Tabela3[Lucro Líquido]*5%)&gt;Tabela3[Teto R. Legal],Tabela3[Teto R. Legal],Tabela3[Lucro Líquido]*5%)</f>
        <v>318650</v>
      </c>
      <c r="Q7" s="92">
        <f>IF(Tabela3[Lucro Líquido]&lt;0,0,Tabela3[Lucro Líquido]-Tabela3[Reserva Legal])</f>
        <v>6054350</v>
      </c>
      <c r="R7" s="92">
        <f>Tabela3[[#This Row],[Lucro Distribuir]]*Tabela3[%Div]</f>
        <v>1513587.5</v>
      </c>
      <c r="S7" s="56">
        <f>SUMPRODUCT(N(Tabela3[Nome]=Tabela3[[#This Row],[Nome]]),Tabela3[Ações])</f>
        <v>18817732</v>
      </c>
      <c r="T7" s="6">
        <f>Tabela3[Capital Social]/Tabela3[Total Ações]</f>
        <v>1.6429291266343893</v>
      </c>
      <c r="U7" s="80">
        <f>Tabela3[[#This Row],[Lucro Líquido]]/Tabela3[[#This Row],[Total Ações]]</f>
        <v>0.33866993110540633</v>
      </c>
      <c r="V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7.7931497659078822E-2</v>
      </c>
      <c r="W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7.0707652761827167E-2</v>
      </c>
      <c r="Y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7.0707652761827167E-2</v>
      </c>
      <c r="Z7" s="13">
        <f>Tabela3[Div Base]*Tabela3[Ações]</f>
        <v>772866.53383816651</v>
      </c>
      <c r="AA7" s="13">
        <f>SUMPRODUCT(N(Tabela3[Nome]=Tabela3[[#This Row],[Nome]]),Tabela3[Div Base]*Tabela3[Ações])</f>
        <v>1513587.5000000002</v>
      </c>
      <c r="AB7" s="95">
        <f>Tabela3[Patrimônio Líquido]/Tabela3[Total Ações]</f>
        <v>2.2189177739379007</v>
      </c>
      <c r="AC7" s="48">
        <f>MAX(Tabela3[[#This Row],[Cotação 1]:[Cotação 4]])</f>
        <v>5.55</v>
      </c>
      <c r="AD7" s="44">
        <f>Tabela3[Cotação]/Tabela3[VPA]</f>
        <v>2.5012193174470121</v>
      </c>
      <c r="AE7" s="40">
        <f>IF(Tabela3[[#This Row],[Lucro/Ação]]&gt;0,Tabela3[[#This Row],[Cotação]]/(Tabela3[[#This Row],[Lucro/Ação]]/Tabela3[Ref]*4),0)</f>
        <v>12.290727985250275</v>
      </c>
      <c r="AF7" s="91" t="e">
        <f>IF(Tabela3[Div. Mínimo]=0,0,Tabela3[Lucro Distribuir]*#REF!/Tabela3[Total Ações])</f>
        <v>#REF!</v>
      </c>
      <c r="AG7" s="80">
        <f>Tabela3[Lucro Distribuir]/Tabela3[Total Ações]</f>
        <v>0.32173643455013601</v>
      </c>
      <c r="AH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7.0707652761827167E-2</v>
      </c>
      <c r="AI7" s="14" t="str">
        <f>IF(AND(Tabela3[% A.A.]&gt;=7%,SUMPRODUCT(N(Tabela3[Nome]=Tabela3[[#This Row],[Nome]]),Tabela3[PL])&gt;0),"Sim","Não")</f>
        <v>Não</v>
      </c>
      <c r="AJ7" s="42">
        <f>IF(Tabela3[Cotação]&gt;0,Tabela3[[#This Row],[Lucro]]/Tabela3[[#This Row],[Cotação]],0)</f>
        <v>1.2740117614743633E-2</v>
      </c>
      <c r="AK7" s="42">
        <f>((1+Tabela3[[#This Row],[% Yield]])^(1/(3*Tabela3[[#This Row],[Ref]])))^(12)-1</f>
        <v>1.7022790929911435E-2</v>
      </c>
      <c r="AL7" s="14">
        <f>IF(Tabela3[Cotação]&gt;0,($AS$1/Tabela3[[#This Row],[Cotação]]-MOD($AS$1/Tabela3[[#This Row],[Cotação]],100)),)</f>
        <v>100</v>
      </c>
      <c r="AM7" s="17">
        <f>Tabela3[[#This Row],[Ativos]]*Tabela3[Lucro]</f>
        <v>7.0707652761827164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5.55</v>
      </c>
      <c r="AP7" s="7">
        <f>SUMPRODUCT(N(Tabela176[Código]=Tabela3[[#This Row],[PAPEL]]),Tabela176[Fechamento])</f>
        <v>0</v>
      </c>
      <c r="AQ7" s="7">
        <f>SUMPRODUCT(N(Tabela1768[Código]=Tabela3[[#This Row],[PAPEL]]),Tabela1768[Fechamento])</f>
        <v>0</v>
      </c>
    </row>
    <row r="8" spans="1:45" hidden="1" x14ac:dyDescent="0.2">
      <c r="A8" s="4" t="s">
        <v>12</v>
      </c>
      <c r="B8" s="57" t="s">
        <v>460</v>
      </c>
      <c r="C8" s="15" t="str">
        <f>LEFT(Tabela3[PAPEL],LEN(Tabela3[PAPEL])-(LEN(Tabela3[PAPEL])-4))</f>
        <v>AFLU</v>
      </c>
      <c r="D8" s="15">
        <v>3</v>
      </c>
      <c r="E8" s="6">
        <v>30916200</v>
      </c>
      <c r="F8" s="8">
        <v>1955755</v>
      </c>
      <c r="G8" s="83">
        <v>0.25</v>
      </c>
      <c r="H8" s="15"/>
      <c r="I8" s="19">
        <v>0.1</v>
      </c>
      <c r="J8" s="19"/>
      <c r="K8" s="90"/>
      <c r="L8" s="90"/>
      <c r="M8" s="92">
        <v>41755000</v>
      </c>
      <c r="N8" s="92">
        <v>6373000</v>
      </c>
      <c r="O8" s="13">
        <f>Tabela3[[#This Row],[Capital Social]]*20%</f>
        <v>6183240</v>
      </c>
      <c r="P8" s="13">
        <f>IF((Tabela3[Lucro Líquido]*5%)&gt;Tabela3[Teto R. Legal],Tabela3[Teto R. Legal],Tabela3[Lucro Líquido]*5%)</f>
        <v>318650</v>
      </c>
      <c r="Q8" s="92">
        <f>IF(Tabela3[Lucro Líquido]&lt;0,0,Tabela3[Lucro Líquido]-Tabela3[Reserva Legal])</f>
        <v>6054350</v>
      </c>
      <c r="R8" s="92">
        <f>Tabela3[[#This Row],[Lucro Distribuir]]*Tabela3[%Div]</f>
        <v>1513587.5</v>
      </c>
      <c r="S8" s="56">
        <f>SUMPRODUCT(N(Tabela3[Nome]=Tabela3[[#This Row],[Nome]]),Tabela3[Ações])</f>
        <v>18817732</v>
      </c>
      <c r="T8" s="6">
        <f>Tabela3[Capital Social]/Tabela3[Total Ações]</f>
        <v>1.6429291266343893</v>
      </c>
      <c r="U8" s="80">
        <f>Tabela3[[#This Row],[Lucro Líquido]]/Tabela3[[#This Row],[Total Ações]]</f>
        <v>0.33866993110540633</v>
      </c>
      <c r="V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7.7931497659078822E-2</v>
      </c>
      <c r="W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0.16429291266343893</v>
      </c>
      <c r="Y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0.16429291266343893</v>
      </c>
      <c r="Z8" s="13">
        <f>Tabela3[Div Base]*Tabela3[Ações]</f>
        <v>321316.685406084</v>
      </c>
      <c r="AA8" s="13">
        <f>SUMPRODUCT(N(Tabela3[Nome]=Tabela3[[#This Row],[Nome]]),Tabela3[Div Base]*Tabela3[Ações])</f>
        <v>1513587.5000000002</v>
      </c>
      <c r="AB8" s="95">
        <f>Tabela3[Patrimônio Líquido]/Tabela3[Total Ações]</f>
        <v>2.2189177739379007</v>
      </c>
      <c r="AC8" s="48">
        <f>MAX(Tabela3[[#This Row],[Cotação 1]:[Cotação 4]])</f>
        <v>0</v>
      </c>
      <c r="AD8" s="44">
        <f>Tabela3[Cotação]/Tabela3[VPA]</f>
        <v>0</v>
      </c>
      <c r="AE8" s="40">
        <f>IF(Tabela3[[#This Row],[Lucro/Ação]]&gt;0,Tabela3[[#This Row],[Cotação]]/(Tabela3[[#This Row],[Lucro/Ação]]/Tabela3[Ref]*4),0)</f>
        <v>0</v>
      </c>
      <c r="AF8" s="91" t="e">
        <f>IF(Tabela3[Div. Mínimo]=0,0,Tabela3[Lucro Distribuir]*#REF!/Tabela3[Total Ações])</f>
        <v>#REF!</v>
      </c>
      <c r="AG8" s="80">
        <f>Tabela3[Lucro Distribuir]/Tabela3[Total Ações]</f>
        <v>0.32173643455013601</v>
      </c>
      <c r="AH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0.16429291266343893</v>
      </c>
      <c r="AI8" s="14" t="str">
        <f>IF(AND(Tabela3[% A.A.]&gt;=7%,SUMPRODUCT(N(Tabela3[Nome]=Tabela3[[#This Row],[Nome]]),Tabela3[PL])&gt;0),"Sim","Não")</f>
        <v>Não</v>
      </c>
      <c r="AJ8" s="42">
        <f>IF(Tabela3[Cotação]&gt;0,Tabela3[[#This Row],[Lucro]]/Tabela3[[#This Row],[Cotação]],0)</f>
        <v>0</v>
      </c>
      <c r="AK8" s="42">
        <f>((1+Tabela3[[#This Row],[% Yield]])^(1/(3*Tabela3[[#This Row],[Ref]])))^(12)-1</f>
        <v>0</v>
      </c>
      <c r="AL8" s="14">
        <f>IF(Tabela3[Cotação]&gt;0,($AS$1/Tabela3[[#This Row],[Cotação]]-MOD($AS$1/Tabela3[[#This Row],[Cotação]],100)),)</f>
        <v>0</v>
      </c>
      <c r="AM8" s="17">
        <f>Tabela3[[#This Row],[Ativos]]*Tabela3[Lucro]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  <c r="AQ8" s="7">
        <f>SUMPRODUCT(N(Tabela1768[Código]=Tabela3[[#This Row],[PAPEL]]),Tabela1768[Fechamento])</f>
        <v>0</v>
      </c>
    </row>
    <row r="9" spans="1:45" hidden="1" x14ac:dyDescent="0.2">
      <c r="A9" s="4" t="s">
        <v>12</v>
      </c>
      <c r="B9" s="57" t="s">
        <v>461</v>
      </c>
      <c r="C9" s="15" t="str">
        <f>LEFT(Tabela3[PAPEL],LEN(Tabela3[PAPEL])-(LEN(Tabela3[PAPEL])-4))</f>
        <v>AFLU</v>
      </c>
      <c r="D9" s="15">
        <v>3</v>
      </c>
      <c r="E9" s="6">
        <v>30916200</v>
      </c>
      <c r="F9" s="8">
        <v>5931526</v>
      </c>
      <c r="G9" s="83">
        <v>0.25</v>
      </c>
      <c r="H9" s="15"/>
      <c r="I9" s="19"/>
      <c r="J9" s="19">
        <v>0.1</v>
      </c>
      <c r="K9" s="90"/>
      <c r="L9" s="90"/>
      <c r="M9" s="92">
        <v>41755000</v>
      </c>
      <c r="N9" s="92">
        <v>6373000</v>
      </c>
      <c r="O9" s="13">
        <f>Tabela3[[#This Row],[Capital Social]]*20%</f>
        <v>6183240</v>
      </c>
      <c r="P9" s="13">
        <f>IF((Tabela3[Lucro Líquido]*5%)&gt;Tabela3[Teto R. Legal],Tabela3[Teto R. Legal],Tabela3[Lucro Líquido]*5%)</f>
        <v>318650</v>
      </c>
      <c r="Q9" s="92">
        <f>IF(Tabela3[Lucro Líquido]&lt;0,0,Tabela3[Lucro Líquido]-Tabela3[Reserva Legal])</f>
        <v>6054350</v>
      </c>
      <c r="R9" s="92">
        <f>Tabela3[[#This Row],[Lucro Distribuir]]*Tabela3[%Div]</f>
        <v>1513587.5</v>
      </c>
      <c r="S9" s="56">
        <f>SUMPRODUCT(N(Tabela3[Nome]=Tabela3[[#This Row],[Nome]]),Tabela3[Ações])</f>
        <v>18817732</v>
      </c>
      <c r="T9" s="6">
        <f>Tabela3[Capital Social]/Tabela3[Total Ações]</f>
        <v>1.6429291266343893</v>
      </c>
      <c r="U9" s="80">
        <f>Tabela3[[#This Row],[Lucro Líquido]]/Tabela3[[#This Row],[Total Ações]]</f>
        <v>0.33866993110540633</v>
      </c>
      <c r="V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8.5724647542420498E-2</v>
      </c>
      <c r="W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7.0707652761827167E-2</v>
      </c>
      <c r="Y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7.0707652761827167E-2</v>
      </c>
      <c r="Z9" s="13">
        <f>Tabela3[Div Base]*Tabela3[Ações]</f>
        <v>419404.28075574967</v>
      </c>
      <c r="AA9" s="13">
        <f>SUMPRODUCT(N(Tabela3[Nome]=Tabela3[[#This Row],[Nome]]),Tabela3[Div Base]*Tabela3[Ações])</f>
        <v>1513587.5000000002</v>
      </c>
      <c r="AB9" s="95">
        <f>Tabela3[Patrimônio Líquido]/Tabela3[Total Ações]</f>
        <v>2.2189177739379007</v>
      </c>
      <c r="AC9" s="48">
        <f>MAX(Tabela3[[#This Row],[Cotação 1]:[Cotação 4]])</f>
        <v>0</v>
      </c>
      <c r="AD9" s="44">
        <f>Tabela3[Cotação]/Tabela3[VPA]</f>
        <v>0</v>
      </c>
      <c r="AE9" s="40">
        <f>IF(Tabela3[[#This Row],[Lucro/Ação]]&gt;0,Tabela3[[#This Row],[Cotação]]/(Tabela3[[#This Row],[Lucro/Ação]]/Tabela3[Ref]*4),0)</f>
        <v>0</v>
      </c>
      <c r="AF9" s="91" t="e">
        <f>IF(Tabela3[Div. Mínimo]=0,0,Tabela3[Lucro Distribuir]*#REF!/Tabela3[Total Ações])</f>
        <v>#REF!</v>
      </c>
      <c r="AG9" s="80">
        <f>Tabela3[Lucro Distribuir]/Tabela3[Total Ações]</f>
        <v>0.32173643455013601</v>
      </c>
      <c r="AH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7.0707652761827167E-2</v>
      </c>
      <c r="AI9" s="14" t="str">
        <f>IF(AND(Tabela3[% A.A.]&gt;=7%,SUMPRODUCT(N(Tabela3[Nome]=Tabela3[[#This Row],[Nome]]),Tabela3[PL])&gt;0),"Sim","Não")</f>
        <v>Não</v>
      </c>
      <c r="AJ9" s="42">
        <f>IF(Tabela3[Cotação]&gt;0,Tabela3[[#This Row],[Lucro]]/Tabela3[[#This Row],[Cotação]],0)</f>
        <v>0</v>
      </c>
      <c r="AK9" s="42">
        <f>((1+Tabela3[[#This Row],[% Yield]])^(1/(3*Tabela3[[#This Row],[Ref]])))^(12)-1</f>
        <v>0</v>
      </c>
      <c r="AL9" s="14">
        <f>IF(Tabela3[Cotação]&gt;0,($AS$1/Tabela3[[#This Row],[Cotação]]-MOD($AS$1/Tabela3[[#This Row],[Cotação]],100)),)</f>
        <v>0</v>
      </c>
      <c r="AM9" s="17">
        <f>Tabela3[[#This Row],[Ativos]]*Tabela3[Lucro]</f>
        <v>0</v>
      </c>
      <c r="AN9" s="17">
        <f>SUMPRODUCT(N(Tabela1[Código]=Tabela3[[#This Row],[PAPEL]]),Tabela1[Fechamento])</f>
        <v>0</v>
      </c>
      <c r="AO9" s="17">
        <f>SUMPRODUCT(N(Tabela17[Código]=Tabela3[[#This Row],[PAPEL]]),Tabela17[Fechamento])</f>
        <v>0</v>
      </c>
      <c r="AP9" s="7">
        <f>SUMPRODUCT(N(Tabela176[Código]=Tabela3[[#This Row],[PAPEL]]),Tabela176[Fechamento])</f>
        <v>0</v>
      </c>
      <c r="AQ9" s="7">
        <f>SUMPRODUCT(N(Tabela1768[Código]=Tabela3[[#This Row],[PAPEL]]),Tabela1768[Fechamento])</f>
        <v>0</v>
      </c>
    </row>
    <row r="10" spans="1:45" hidden="1" x14ac:dyDescent="0.2">
      <c r="A10" s="3" t="s">
        <v>351</v>
      </c>
      <c r="B10" s="57" t="s">
        <v>749</v>
      </c>
      <c r="C10" s="15" t="str">
        <f>LEFT(Tabela3[PAPEL],LEN(Tabela3[PAPEL])-(LEN(Tabela3[PAPEL])-4))</f>
        <v>AGRO</v>
      </c>
      <c r="D10" s="15">
        <v>3</v>
      </c>
      <c r="E10" s="6">
        <v>584224000</v>
      </c>
      <c r="F10" s="8">
        <v>58422400</v>
      </c>
      <c r="G10" s="83">
        <v>0.25</v>
      </c>
      <c r="H10" s="15"/>
      <c r="I10" s="19"/>
      <c r="J10" s="19"/>
      <c r="K10" s="90"/>
      <c r="L10" s="90"/>
      <c r="M10" s="6">
        <v>583286000</v>
      </c>
      <c r="N10" s="97">
        <v>-3069000</v>
      </c>
      <c r="O10" s="13">
        <f>Tabela3[[#This Row],[Capital Social]]*20%</f>
        <v>116844800</v>
      </c>
      <c r="P10" s="13">
        <f>IF((Tabela3[Lucro Líquido]*5%)&gt;Tabela3[Teto R. Legal],Tabela3[Teto R. Legal],Tabela3[Lucro Líquido]*5%)</f>
        <v>-153450</v>
      </c>
      <c r="Q10" s="13">
        <f>IF(Tabela3[Lucro Líquido]&lt;0,0,Tabela3[Lucro Líquido]-Tabela3[Reserva Legal])</f>
        <v>0</v>
      </c>
      <c r="R10" s="13">
        <f>Tabela3[[#This Row],[Lucro Distribuir]]*Tabela3[%Div]</f>
        <v>0</v>
      </c>
      <c r="S10" s="21">
        <f>SUMPRODUCT(N(Tabela3[Nome]=Tabela3[[#This Row],[Nome]]),Tabela3[Ações])</f>
        <v>58422400</v>
      </c>
      <c r="T10" s="6">
        <f>Tabela3[Capital Social]/Tabela3[Total Ações]</f>
        <v>10</v>
      </c>
      <c r="U10" s="80">
        <f>Tabela3[[#This Row],[Lucro Líquido]]/Tabela3[[#This Row],[Total Ações]]</f>
        <v>-5.2531220901572001E-2</v>
      </c>
      <c r="V1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0" s="13">
        <f>Tabela3[Div Base]*Tabela3[Ações]</f>
        <v>0</v>
      </c>
      <c r="AA10" s="13">
        <f>SUMPRODUCT(N(Tabela3[Nome]=Tabela3[[#This Row],[Nome]]),Tabela3[Div Base]*Tabela3[Ações])</f>
        <v>0</v>
      </c>
      <c r="AB10" s="95">
        <f>Tabela3[Patrimônio Líquido]/Tabela3[Total Ações]</f>
        <v>9.9839445144328209</v>
      </c>
      <c r="AC10" s="48">
        <f>MAX(Tabela3[[#This Row],[Cotação 1]:[Cotação 4]])</f>
        <v>7.92</v>
      </c>
      <c r="AD10" s="44">
        <f>Tabela3[Cotação]/Tabela3[VPA]</f>
        <v>0.79327363934673556</v>
      </c>
      <c r="AE10" s="40">
        <f>IF(Tabela3[[#This Row],[Lucro/Ação]]&gt;0,Tabela3[[#This Row],[Cotação]]/(Tabela3[[#This Row],[Lucro/Ação]]/Tabela3[Ref]*4),0)</f>
        <v>0</v>
      </c>
      <c r="AF10" s="91">
        <f>IF(Tabela3[Div. Mínimo]=0,0,Tabela3[Lucro Distribuir]*#REF!/Tabela3[Total Ações])</f>
        <v>0</v>
      </c>
      <c r="AG10" s="80">
        <f>Tabela3[Lucro Distribuir]/Tabela3[Total Ações]</f>
        <v>0</v>
      </c>
      <c r="AH1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0" s="14" t="str">
        <f>IF(AND(Tabela3[% A.A.]&gt;=7%,SUMPRODUCT(N(Tabela3[Nome]=Tabela3[[#This Row],[Nome]]),Tabela3[PL])&gt;0),"Sim","Não")</f>
        <v>Não</v>
      </c>
      <c r="AJ10" s="42">
        <f>IF(Tabela3[Cotação]&gt;0,Tabela3[[#This Row],[Lucro]]/Tabela3[[#This Row],[Cotação]],0)</f>
        <v>0</v>
      </c>
      <c r="AK10" s="42">
        <f>((1+Tabela3[[#This Row],[% Yield]])^(1/(3*Tabela3[[#This Row],[Ref]])))^(12)-1</f>
        <v>0</v>
      </c>
      <c r="AL10" s="14">
        <f>IF(Tabela3[Cotação]&gt;0,($AS$1/Tabela3[[#This Row],[Cotação]]-MOD($AS$1/Tabela3[[#This Row],[Cotação]],100)),)</f>
        <v>100</v>
      </c>
      <c r="AM10" s="17">
        <f>Tabela3[[#This Row],[Ativos]]*Tabela3[Lucro]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0</v>
      </c>
      <c r="AP10" s="17">
        <f>SUMPRODUCT(N(Tabela176[Código]=Tabela3[[#This Row],[PAPEL]]),Tabela176[Fechamento])</f>
        <v>7.92</v>
      </c>
      <c r="AQ10" s="17">
        <f>SUMPRODUCT(N(Tabela1768[Código]=Tabela3[[#This Row],[PAPEL]]),Tabela1768[Fechamento])</f>
        <v>0</v>
      </c>
    </row>
    <row r="11" spans="1:45" hidden="1" x14ac:dyDescent="0.2">
      <c r="A11" s="3" t="s">
        <v>351</v>
      </c>
      <c r="B11" s="58" t="s">
        <v>352</v>
      </c>
      <c r="C11" s="85" t="str">
        <f>LEFT(Tabela3[PAPEL],LEN(Tabela3[PAPEL])-(LEN(Tabela3[PAPEL])-4))</f>
        <v>ALSC</v>
      </c>
      <c r="D11" s="16">
        <v>3</v>
      </c>
      <c r="E11" s="5">
        <v>1367420581.99</v>
      </c>
      <c r="F11" s="56">
        <v>159025920</v>
      </c>
      <c r="G11" s="88">
        <v>0.25</v>
      </c>
      <c r="H11" s="16"/>
      <c r="I11" s="18"/>
      <c r="K11" s="89"/>
      <c r="L11" s="89"/>
      <c r="M11" s="5">
        <v>1645312000</v>
      </c>
      <c r="N11" s="5">
        <v>40163000</v>
      </c>
      <c r="O11" s="5">
        <f>Tabela3[[#This Row],[Capital Social]]*20%</f>
        <v>273484116.398</v>
      </c>
      <c r="P11" s="5">
        <f>IF((Tabela3[Lucro Líquido]*5%)&gt;Tabela3[Teto R. Legal],Tabela3[Teto R. Legal],Tabela3[Lucro Líquido]*5%)</f>
        <v>2008150</v>
      </c>
      <c r="Q11" s="5">
        <f>IF(Tabela3[Lucro Líquido]&lt;0,0,Tabela3[Lucro Líquido]-Tabela3[Reserva Legal])</f>
        <v>38154850</v>
      </c>
      <c r="R11" s="5">
        <f>Tabela3[[#This Row],[Lucro Distribuir]]*Tabela3[%Div]</f>
        <v>9538712.5</v>
      </c>
      <c r="S11" s="21">
        <f>SUMPRODUCT(N(Tabela3[Nome]=Tabela3[[#This Row],[Nome]]),Tabela3[Ações])</f>
        <v>159025920</v>
      </c>
      <c r="T11" s="5">
        <f>Tabela3[Capital Social]/Tabela3[Total Ações]</f>
        <v>8.5987276916241075</v>
      </c>
      <c r="U11" s="79">
        <f>Tabela3[[#This Row],[Lucro Líquido]]/Tabela3[[#This Row],[Total Ações]]</f>
        <v>0.25255631283252439</v>
      </c>
      <c r="V1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5.9982124297724544E-2</v>
      </c>
      <c r="W1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5.9982124297724544E-2</v>
      </c>
      <c r="Z11" s="5">
        <f>Tabela3[Div Base]*Tabela3[Ações]</f>
        <v>9538712.5</v>
      </c>
      <c r="AA11" s="5">
        <f>SUMPRODUCT(N(Tabela3[Nome]=Tabela3[[#This Row],[Nome]]),Tabela3[Div Base]*Tabela3[Ações])</f>
        <v>9538712.5</v>
      </c>
      <c r="AB11" s="5">
        <f>Tabela3[Patrimônio Líquido]/Tabela3[Total Ações]</f>
        <v>10.346187590048213</v>
      </c>
      <c r="AC11" s="52">
        <f>MAX(Tabela3[[#This Row],[Cotação 1]:[Cotação 4]])</f>
        <v>17.13</v>
      </c>
      <c r="AD11" s="53">
        <f>Tabela3[Cotação]/Tabela3[VPA]</f>
        <v>1.6556823323479073</v>
      </c>
      <c r="AE11" s="37">
        <f>IF(Tabela3[[#This Row],[Lucro/Ação]]&gt;0,Tabela3[[#This Row],[Cotação]]/(Tabela3[[#This Row],[Lucro/Ação]]/Tabela3[Ref]*4),0)</f>
        <v>50.869843069491822</v>
      </c>
      <c r="AF11" s="37" t="e">
        <f>IF(Tabela3[Div. Mínimo]=0,0,Tabela3[Lucro Distribuir]*#REF!/Tabela3[Total Ações])</f>
        <v>#REF!</v>
      </c>
      <c r="AG11" s="79">
        <f>Tabela3[Lucro Distribuir]/Tabela3[Total Ações]</f>
        <v>0.23992849719089818</v>
      </c>
      <c r="AH1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5.9982124297724544E-2</v>
      </c>
      <c r="AI11" s="16" t="str">
        <f>IF(AND(Tabela3[% A.A.]&gt;=7%,SUMPRODUCT(N(Tabela3[Nome]=Tabela3[[#This Row],[Nome]]),Tabela3[PL])&gt;0),"Sim","Não")</f>
        <v>Não</v>
      </c>
      <c r="AJ11" s="22">
        <f>IF(Tabela3[Cotação]&gt;0,Tabela3[[#This Row],[Lucro]]/Tabela3[[#This Row],[Cotação]],0)</f>
        <v>3.5015834382793082E-3</v>
      </c>
      <c r="AK11" s="18">
        <f>((1+Tabela3[[#This Row],[% Yield]])^(1/(3*Tabela3[[#This Row],[Ref]])))^(12)-1</f>
        <v>4.671500486539637E-3</v>
      </c>
      <c r="AL11" s="10">
        <f>IF(Tabela3[Cotação]&gt;0,($AS$1/Tabela3[[#This Row],[Cotação]]-MOD($AS$1/Tabela3[[#This Row],[Cotação]],100)),)</f>
        <v>0</v>
      </c>
      <c r="AM11" s="7">
        <f>Tabela3[[#This Row],[Ativos]]*Tabela3[Lucro]</f>
        <v>0</v>
      </c>
      <c r="AN11" s="47">
        <f>SUMPRODUCT(N(Tabela1[Código]=Tabela3[[#This Row],[PAPEL]]),Tabela1[Fechamento])</f>
        <v>0</v>
      </c>
      <c r="AO11" s="54">
        <f>SUMPRODUCT(N(Tabela17[Código]=Tabela3[[#This Row],[PAPEL]]),Tabela17[Fechamento])</f>
        <v>17.13</v>
      </c>
      <c r="AP11" s="7">
        <f>SUMPRODUCT(N(Tabela176[Código]=Tabela3[[#This Row],[PAPEL]]),Tabela176[Fechamento])</f>
        <v>0</v>
      </c>
      <c r="AQ11" s="7">
        <f>SUMPRODUCT(N(Tabela1768[Código]=Tabela3[[#This Row],[PAPEL]]),Tabela1768[Fechamento])</f>
        <v>0</v>
      </c>
    </row>
    <row r="12" spans="1:45" hidden="1" x14ac:dyDescent="0.2">
      <c r="A12" s="4" t="s">
        <v>12</v>
      </c>
      <c r="B12" s="57" t="s">
        <v>469</v>
      </c>
      <c r="C12" s="15" t="str">
        <f>LEFT(Tabela3[PAPEL],LEN(Tabela3[PAPEL])-(LEN(Tabela3[PAPEL])-4))</f>
        <v>ALUP</v>
      </c>
      <c r="D12" s="15">
        <v>3</v>
      </c>
      <c r="E12" s="6"/>
      <c r="F12" s="8"/>
      <c r="G12" s="83">
        <v>0.5</v>
      </c>
      <c r="H12" s="15"/>
      <c r="I12" s="19"/>
      <c r="J12" s="19"/>
      <c r="K12" s="90">
        <v>1</v>
      </c>
      <c r="L12" s="90">
        <v>2</v>
      </c>
      <c r="M12" s="96"/>
      <c r="N12" s="97"/>
      <c r="O12" s="13">
        <f>Tabela3[[#This Row],[Capital Social]]*20%</f>
        <v>0</v>
      </c>
      <c r="P12" s="13">
        <f>IF((Tabela3[Lucro Líquido]*5%)&gt;Tabela3[Teto R. Legal],Tabela3[Teto R. Legal],Tabela3[Lucro Líquido]*5%)</f>
        <v>0</v>
      </c>
      <c r="Q12" s="13">
        <f>IF(Tabela3[Lucro Líquido]&lt;0,0,Tabela3[Lucro Líquido]-Tabela3[Reserva Legal])</f>
        <v>0</v>
      </c>
      <c r="R12" s="13">
        <f>Tabela3[[#This Row],[Lucro Distribuir]]*Tabela3[%Div]</f>
        <v>0</v>
      </c>
      <c r="S12" s="56">
        <f>SUMPRODUCT(N(Tabela3[Nome]=Tabela3[[#This Row],[Nome]]),Tabela3[Ações])</f>
        <v>624901800</v>
      </c>
      <c r="T12" s="6">
        <f>Tabela3[Capital Social]/Tabela3[Total Ações]</f>
        <v>0</v>
      </c>
      <c r="U12" s="80">
        <f>Tabela3[[#This Row],[Lucro Líquido]]/Tabela3[[#This Row],[Total Ações]]</f>
        <v>0</v>
      </c>
      <c r="V1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2" s="13">
        <f>Tabela3[Div Base]*Tabela3[Ações]</f>
        <v>0</v>
      </c>
      <c r="AA12" s="13">
        <f>SUMPRODUCT(N(Tabela3[Nome]=Tabela3[[#This Row],[Nome]]),Tabela3[Div Base]*Tabela3[Ações])</f>
        <v>105380650</v>
      </c>
      <c r="AB12" s="95">
        <f>Tabela3[Patrimônio Líquido]/Tabela3[Total Ações]</f>
        <v>0</v>
      </c>
      <c r="AC12" s="48">
        <f>MAX(Tabela3[[#This Row],[Cotação 1]:[Cotação 4]])</f>
        <v>16.149999999999999</v>
      </c>
      <c r="AD12" s="44" t="e">
        <f>Tabela3[Cotação]/Tabela3[VPA]</f>
        <v>#DIV/0!</v>
      </c>
      <c r="AE12" s="40">
        <f>IF(Tabela3[[#This Row],[Lucro/Ação]]&gt;0,Tabela3[[#This Row],[Cotação]]/(Tabela3[[#This Row],[Lucro/Ação]]/Tabela3[Ref]*4),0)</f>
        <v>0</v>
      </c>
      <c r="AF12" s="91">
        <f>IF(Tabela3[Div. Mínimo]=0,0,Tabela3[Lucro Distribuir]*#REF!/Tabela3[Total Ações])</f>
        <v>0</v>
      </c>
      <c r="AG12" s="80">
        <f>Tabela3[Lucro Distribuir]/Tabela3[Total Ações]</f>
        <v>0</v>
      </c>
      <c r="AH1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0.5059066080462562</v>
      </c>
      <c r="AI12" s="14" t="str">
        <f>IF(AND(Tabela3[% A.A.]&gt;=7%,SUMPRODUCT(N(Tabela3[Nome]=Tabela3[[#This Row],[Nome]]),Tabela3[PL])&gt;0),"Sim","Não")</f>
        <v>Não</v>
      </c>
      <c r="AJ12" s="42">
        <f>IF(Tabela3[Cotação]&gt;0,Tabela3[[#This Row],[Lucro]]/Tabela3[[#This Row],[Cotação]],0)</f>
        <v>3.1325486566331655E-2</v>
      </c>
      <c r="AK12" s="42">
        <f>((1+Tabela3[[#This Row],[% Yield]])^(1/(3*Tabela3[[#This Row],[Ref]])))^(12)-1</f>
        <v>4.1983880501488935E-2</v>
      </c>
      <c r="AL12" s="14">
        <f>IF(Tabela3[Cotação]&gt;0,($AS$1/Tabela3[[#This Row],[Cotação]]-MOD($AS$1/Tabela3[[#This Row],[Cotação]],100)),)</f>
        <v>0</v>
      </c>
      <c r="AM12" s="17">
        <f>Tabela3[[#This Row],[Ativos]]*Tabela3[Lucro]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16.149999999999999</v>
      </c>
      <c r="AP12" s="7">
        <f>SUMPRODUCT(N(Tabela176[Código]=Tabela3[[#This Row],[PAPEL]]),Tabela176[Fechamento])</f>
        <v>0</v>
      </c>
      <c r="AQ12" s="7">
        <f>SUMPRODUCT(N(Tabela1768[Código]=Tabela3[[#This Row],[PAPEL]]),Tabela1768[Fechamento])</f>
        <v>0</v>
      </c>
    </row>
    <row r="13" spans="1:45" hidden="1" x14ac:dyDescent="0.2">
      <c r="A13" s="4" t="s">
        <v>12</v>
      </c>
      <c r="B13" s="57" t="s">
        <v>470</v>
      </c>
      <c r="C13" s="15" t="str">
        <f>LEFT(Tabela3[PAPEL],LEN(Tabela3[PAPEL])-(LEN(Tabela3[PAPEL])-4))</f>
        <v>ALUP</v>
      </c>
      <c r="D13" s="15">
        <v>3</v>
      </c>
      <c r="E13" s="6">
        <v>1625227100</v>
      </c>
      <c r="F13" s="8">
        <v>461243600</v>
      </c>
      <c r="G13" s="83">
        <v>0.5</v>
      </c>
      <c r="H13" s="15"/>
      <c r="I13" s="19"/>
      <c r="J13" s="19"/>
      <c r="K13" s="90"/>
      <c r="L13" s="90"/>
      <c r="M13" s="96">
        <v>2637769000</v>
      </c>
      <c r="N13" s="97">
        <v>221854000</v>
      </c>
      <c r="O13" s="13">
        <f>Tabela3[[#This Row],[Capital Social]]*20%</f>
        <v>325045420</v>
      </c>
      <c r="P13" s="13">
        <f>IF((Tabela3[Lucro Líquido]*5%)&gt;Tabela3[Teto R. Legal],Tabela3[Teto R. Legal],Tabela3[Lucro Líquido]*5%)</f>
        <v>11092700</v>
      </c>
      <c r="Q13" s="13">
        <f>IF(Tabela3[Lucro Líquido]&lt;0,0,Tabela3[Lucro Líquido]-Tabela3[Reserva Legal])</f>
        <v>210761300</v>
      </c>
      <c r="R13" s="13">
        <f>Tabela3[[#This Row],[Lucro Distribuir]]*Tabela3[%Div]</f>
        <v>105380650</v>
      </c>
      <c r="S13" s="56">
        <f>SUMPRODUCT(N(Tabela3[Nome]=Tabela3[[#This Row],[Nome]]),Tabela3[Ações])</f>
        <v>624901800</v>
      </c>
      <c r="T13" s="6">
        <f>Tabela3[Capital Social]/Tabela3[Total Ações]</f>
        <v>2.6007719932955866</v>
      </c>
      <c r="U13" s="80">
        <f>Tabela3[[#This Row],[Lucro Líquido]]/Tabela3[[#This Row],[Total Ações]]</f>
        <v>0.35502218108509209</v>
      </c>
      <c r="V1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0.16863553601541875</v>
      </c>
      <c r="W1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0.16863553601541875</v>
      </c>
      <c r="Z13" s="13">
        <f>Tabela3[Div Base]*Tabela3[Ações]</f>
        <v>77782061.719681397</v>
      </c>
      <c r="AA13" s="13">
        <f>SUMPRODUCT(N(Tabela3[Nome]=Tabela3[[#This Row],[Nome]]),Tabela3[Div Base]*Tabela3[Ações])</f>
        <v>105380650</v>
      </c>
      <c r="AB13" s="95">
        <f>Tabela3[Patrimônio Líquido]/Tabela3[Total Ações]</f>
        <v>4.221093618229296</v>
      </c>
      <c r="AC13" s="48">
        <f>MAX(Tabela3[[#This Row],[Cotação 1]:[Cotação 4]])</f>
        <v>0</v>
      </c>
      <c r="AD13" s="44">
        <f>Tabela3[Cotação]/Tabela3[VPA]</f>
        <v>0</v>
      </c>
      <c r="AE13" s="40">
        <f>IF(Tabela3[[#This Row],[Lucro/Ação]]&gt;0,Tabela3[[#This Row],[Cotação]]/(Tabela3[[#This Row],[Lucro/Ação]]/Tabela3[Ref]*4),0)</f>
        <v>0</v>
      </c>
      <c r="AF13" s="91" t="e">
        <f>IF(Tabela3[Div. Mínimo]=0,0,Tabela3[Lucro Distribuir]*#REF!/Tabela3[Total Ações])</f>
        <v>#REF!</v>
      </c>
      <c r="AG13" s="80">
        <f>Tabela3[Lucro Distribuir]/Tabela3[Total Ações]</f>
        <v>0.3372710720308375</v>
      </c>
      <c r="AH1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0.16863553601541875</v>
      </c>
      <c r="AI13" s="14" t="str">
        <f>IF(AND(Tabela3[% A.A.]&gt;=7%,SUMPRODUCT(N(Tabela3[Nome]=Tabela3[[#This Row],[Nome]]),Tabela3[PL])&gt;0),"Sim","Não")</f>
        <v>Não</v>
      </c>
      <c r="AJ13" s="42">
        <f>IF(Tabela3[Cotação]&gt;0,Tabela3[[#This Row],[Lucro]]/Tabela3[[#This Row],[Cotação]],0)</f>
        <v>0</v>
      </c>
      <c r="AK13" s="42">
        <f>((1+Tabela3[[#This Row],[% Yield]])^(1/(3*Tabela3[[#This Row],[Ref]])))^(12)-1</f>
        <v>0</v>
      </c>
      <c r="AL13" s="14">
        <f>IF(Tabela3[Cotação]&gt;0,($AS$1/Tabela3[[#This Row],[Cotação]]-MOD($AS$1/Tabela3[[#This Row],[Cotação]],100)),)</f>
        <v>0</v>
      </c>
      <c r="AM13" s="17">
        <f>Tabela3[[#This Row],[Ativos]]*Tabela3[Lucro]</f>
        <v>0</v>
      </c>
      <c r="AN13" s="17">
        <f>SUMPRODUCT(N(Tabela1[Código]=Tabela3[[#This Row],[PAPEL]]),Tabela1[Fechamento])</f>
        <v>0</v>
      </c>
      <c r="AO13" s="17">
        <f>SUMPRODUCT(N(Tabela17[Código]=Tabela3[[#This Row],[PAPEL]]),Tabela17[Fechamento])</f>
        <v>0</v>
      </c>
      <c r="AP13" s="7">
        <f>SUMPRODUCT(N(Tabela176[Código]=Tabela3[[#This Row],[PAPEL]]),Tabela176[Fechamento])</f>
        <v>0</v>
      </c>
      <c r="AQ13" s="7">
        <f>SUMPRODUCT(N(Tabela1768[Código]=Tabela3[[#This Row],[PAPEL]]),Tabela1768[Fechamento])</f>
        <v>0</v>
      </c>
    </row>
    <row r="14" spans="1:45" hidden="1" x14ac:dyDescent="0.2">
      <c r="A14" s="4" t="s">
        <v>12</v>
      </c>
      <c r="B14" s="57" t="s">
        <v>471</v>
      </c>
      <c r="C14" s="15" t="str">
        <f>LEFT(Tabela3[PAPEL],LEN(Tabela3[PAPEL])-(LEN(Tabela3[PAPEL])-4))</f>
        <v>ALUP</v>
      </c>
      <c r="D14" s="15">
        <v>3</v>
      </c>
      <c r="E14" s="6">
        <v>1625227100</v>
      </c>
      <c r="F14" s="8">
        <v>163658200</v>
      </c>
      <c r="G14" s="83">
        <v>0.5</v>
      </c>
      <c r="H14" s="15"/>
      <c r="I14" s="19"/>
      <c r="J14" s="19"/>
      <c r="K14" s="90"/>
      <c r="L14" s="90"/>
      <c r="M14" s="96">
        <v>2637769000</v>
      </c>
      <c r="N14" s="97">
        <v>221854000</v>
      </c>
      <c r="O14" s="13">
        <f>Tabela3[[#This Row],[Capital Social]]*20%</f>
        <v>325045420</v>
      </c>
      <c r="P14" s="13">
        <f>IF((Tabela3[Lucro Líquido]*5%)&gt;Tabela3[Teto R. Legal],Tabela3[Teto R. Legal],Tabela3[Lucro Líquido]*5%)</f>
        <v>11092700</v>
      </c>
      <c r="Q14" s="13">
        <f>IF(Tabela3[Lucro Líquido]&lt;0,0,Tabela3[Lucro Líquido]-Tabela3[Reserva Legal])</f>
        <v>210761300</v>
      </c>
      <c r="R14" s="13">
        <f>Tabela3[[#This Row],[Lucro Distribuir]]*Tabela3[%Div]</f>
        <v>105380650</v>
      </c>
      <c r="S14" s="56">
        <f>SUMPRODUCT(N(Tabela3[Nome]=Tabela3[[#This Row],[Nome]]),Tabela3[Ações])</f>
        <v>624901800</v>
      </c>
      <c r="T14" s="6">
        <f>Tabela3[Capital Social]/Tabela3[Total Ações]</f>
        <v>2.6007719932955866</v>
      </c>
      <c r="U14" s="80">
        <f>Tabela3[[#This Row],[Lucro Líquido]]/Tabela3[[#This Row],[Total Ações]]</f>
        <v>0.35502218108509209</v>
      </c>
      <c r="V1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0.16863553601541875</v>
      </c>
      <c r="W1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0.16863553601541875</v>
      </c>
      <c r="Z14" s="13">
        <f>Tabela3[Div Base]*Tabela3[Ações]</f>
        <v>27598588.280318607</v>
      </c>
      <c r="AA14" s="13">
        <f>SUMPRODUCT(N(Tabela3[Nome]=Tabela3[[#This Row],[Nome]]),Tabela3[Div Base]*Tabela3[Ações])</f>
        <v>105380650</v>
      </c>
      <c r="AB14" s="95">
        <f>Tabela3[Patrimônio Líquido]/Tabela3[Total Ações]</f>
        <v>4.221093618229296</v>
      </c>
      <c r="AC14" s="48">
        <f>MAX(Tabela3[[#This Row],[Cotação 1]:[Cotação 4]])</f>
        <v>0</v>
      </c>
      <c r="AD14" s="44">
        <f>Tabela3[Cotação]/Tabela3[VPA]</f>
        <v>0</v>
      </c>
      <c r="AE14" s="40">
        <f>IF(Tabela3[[#This Row],[Lucro/Ação]]&gt;0,Tabela3[[#This Row],[Cotação]]/(Tabela3[[#This Row],[Lucro/Ação]]/Tabela3[Ref]*4),0)</f>
        <v>0</v>
      </c>
      <c r="AF14" s="91" t="e">
        <f>IF(Tabela3[Div. Mínimo]=0,0,Tabela3[Lucro Distribuir]*#REF!/Tabela3[Total Ações])</f>
        <v>#REF!</v>
      </c>
      <c r="AG14" s="80">
        <f>Tabela3[Lucro Distribuir]/Tabela3[Total Ações]</f>
        <v>0.3372710720308375</v>
      </c>
      <c r="AH1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0.16863553601541875</v>
      </c>
      <c r="AI14" s="14" t="str">
        <f>IF(AND(Tabela3[% A.A.]&gt;=7%,SUMPRODUCT(N(Tabela3[Nome]=Tabela3[[#This Row],[Nome]]),Tabela3[PL])&gt;0),"Sim","Não")</f>
        <v>Não</v>
      </c>
      <c r="AJ14" s="42">
        <f>IF(Tabela3[Cotação]&gt;0,Tabela3[[#This Row],[Lucro]]/Tabela3[[#This Row],[Cotação]],0)</f>
        <v>0</v>
      </c>
      <c r="AK14" s="42">
        <f>((1+Tabela3[[#This Row],[% Yield]])^(1/(3*Tabela3[[#This Row],[Ref]])))^(12)-1</f>
        <v>0</v>
      </c>
      <c r="AL14" s="14">
        <f>IF(Tabela3[Cotação]&gt;0,($AS$1/Tabela3[[#This Row],[Cotação]]-MOD($AS$1/Tabela3[[#This Row],[Cotação]],100)),)</f>
        <v>0</v>
      </c>
      <c r="AM14" s="17">
        <f>Tabela3[[#This Row],[Ativos]]*Tabela3[Lucro]</f>
        <v>0</v>
      </c>
      <c r="AN14" s="17">
        <f>SUMPRODUCT(N(Tabela1[Código]=Tabela3[[#This Row],[PAPEL]]),Tabela1[Fechamento])</f>
        <v>0</v>
      </c>
      <c r="AO14" s="17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  <c r="AQ14" s="7">
        <f>SUMPRODUCT(N(Tabela1768[Código]=Tabela3[[#This Row],[PAPEL]]),Tabela1768[Fechamento])</f>
        <v>0</v>
      </c>
    </row>
    <row r="15" spans="1:45" hidden="1" x14ac:dyDescent="0.2">
      <c r="A15" s="3" t="s">
        <v>303</v>
      </c>
      <c r="B15" s="58" t="s">
        <v>312</v>
      </c>
      <c r="C15" s="85" t="str">
        <f>LEFT(Tabela3[PAPEL],LEN(Tabela3[PAPEL])-(LEN(Tabela3[PAPEL])-4))</f>
        <v>BAHI</v>
      </c>
      <c r="D15" s="16">
        <v>3</v>
      </c>
      <c r="E15" s="5">
        <v>26186518.66</v>
      </c>
      <c r="F15" s="56">
        <v>5996334</v>
      </c>
      <c r="G15" s="83">
        <v>0.25</v>
      </c>
      <c r="H15" s="16"/>
      <c r="I15" s="18"/>
      <c r="K15" s="89"/>
      <c r="L15" s="89"/>
      <c r="M15" s="5">
        <v>43741000</v>
      </c>
      <c r="N15" s="5">
        <v>2583000</v>
      </c>
      <c r="O15" s="5">
        <f>Tabela3[[#This Row],[Capital Social]]*20%</f>
        <v>5237303.7320000008</v>
      </c>
      <c r="P15" s="5">
        <f>IF((Tabela3[Lucro Líquido]*5%)&gt;Tabela3[Teto R. Legal],Tabela3[Teto R. Legal],Tabela3[Lucro Líquido]*5%)</f>
        <v>129150</v>
      </c>
      <c r="Q15" s="5">
        <f>IF(Tabela3[Lucro Líquido]&lt;0,0,Tabela3[Lucro Líquido]-Tabela3[Reserva Legal])</f>
        <v>2453850</v>
      </c>
      <c r="R15" s="5">
        <f>Tabela3[[#This Row],[Lucro Distribuir]]*Tabela3[%Div]</f>
        <v>613462.5</v>
      </c>
      <c r="S15" s="21">
        <f>SUMPRODUCT(N(Tabela3[Nome]=Tabela3[[#This Row],[Nome]]),Tabela3[Ações])</f>
        <v>5996334</v>
      </c>
      <c r="T15" s="5">
        <f>Tabela3[Capital Social]/Tabela3[Total Ações]</f>
        <v>4.3670880674758941</v>
      </c>
      <c r="U15" s="79">
        <f>Tabela3[[#This Row],[Lucro Líquido]]/Tabela3[[#This Row],[Total Ações]]</f>
        <v>0.43076319631294718</v>
      </c>
      <c r="V1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0.10230625912432496</v>
      </c>
      <c r="W1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0.10230625912432496</v>
      </c>
      <c r="Z15" s="5">
        <f>Tabela3[Div Base]*Tabela3[Ações]</f>
        <v>613462.5</v>
      </c>
      <c r="AA15" s="5">
        <f>SUMPRODUCT(N(Tabela3[Nome]=Tabela3[[#This Row],[Nome]]),Tabela3[Div Base]*Tabela3[Ações])</f>
        <v>613462.5</v>
      </c>
      <c r="AB15" s="5">
        <f>Tabela3[Patrimônio Líquido]/Tabela3[Total Ações]</f>
        <v>7.2946236817362076</v>
      </c>
      <c r="AC15" s="52">
        <f>MAX(Tabela3[[#This Row],[Cotação 1]:[Cotação 4]])</f>
        <v>5.2</v>
      </c>
      <c r="AD15" s="53">
        <f>Tabela3[Cotação]/Tabela3[VPA]</f>
        <v>0.71285377106147552</v>
      </c>
      <c r="AE15" s="37">
        <f>IF(Tabela3[[#This Row],[Lucro/Ação]]&gt;0,Tabela3[[#This Row],[Cotação]]/(Tabela3[[#This Row],[Lucro/Ação]]/Tabela3[Ref]*4),0)</f>
        <v>9.0536982578397236</v>
      </c>
      <c r="AF15" s="67" t="e">
        <f>IF(Tabela3[Div. Mínimo]=0,0,Tabela3[Lucro Distribuir]*#REF!/Tabela3[Total Ações])</f>
        <v>#REF!</v>
      </c>
      <c r="AG15" s="79">
        <f>Tabela3[Lucro Distribuir]/Tabela3[Total Ações]</f>
        <v>0.40922503649729985</v>
      </c>
      <c r="AH1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0.10230625912432496</v>
      </c>
      <c r="AI15" s="16" t="str">
        <f>IF(AND(Tabela3[% A.A.]&gt;=7%,SUMPRODUCT(N(Tabela3[Nome]=Tabela3[[#This Row],[Nome]]),Tabela3[PL])&gt;0),"Sim","Não")</f>
        <v>Não</v>
      </c>
      <c r="AJ15" s="22">
        <f>IF(Tabela3[Cotação]&gt;0,Tabela3[[#This Row],[Lucro]]/Tabela3[[#This Row],[Cotação]],0)</f>
        <v>1.9674280600831724E-2</v>
      </c>
      <c r="AK15" s="18">
        <f>((1+Tabela3[[#This Row],[% Yield]])^(1/(3*Tabela3[[#This Row],[Ref]])))^(12)-1</f>
        <v>2.6318018294485324E-2</v>
      </c>
      <c r="AL15" s="10">
        <f>IF(Tabela3[Cotação]&gt;0,($AS$1/Tabela3[[#This Row],[Cotação]]-MOD($AS$1/Tabela3[[#This Row],[Cotação]],100)),)</f>
        <v>100</v>
      </c>
      <c r="AM15" s="7">
        <f>Tabela3[[#This Row],[Ativos]]*Tabela3[Lucro]</f>
        <v>10.230625912432496</v>
      </c>
      <c r="AN15" s="47">
        <f>SUMPRODUCT(N(Tabela1[Código]=Tabela3[[#This Row],[PAPEL]]),Tabela1[Fechamento])</f>
        <v>0</v>
      </c>
      <c r="AO15" s="54">
        <f>SUMPRODUCT(N(Tabela17[Código]=Tabela3[[#This Row],[PAPEL]]),Tabela17[Fechamento])</f>
        <v>5.2</v>
      </c>
      <c r="AP15" s="7">
        <f>SUMPRODUCT(N(Tabela176[Código]=Tabela3[[#This Row],[PAPEL]]),Tabela176[Fechamento])</f>
        <v>0</v>
      </c>
      <c r="AQ15" s="7">
        <f>SUMPRODUCT(N(Tabela1768[Código]=Tabela3[[#This Row],[PAPEL]]),Tabela1768[Fechamento])</f>
        <v>0</v>
      </c>
    </row>
    <row r="16" spans="1:45" hidden="1" x14ac:dyDescent="0.2">
      <c r="A16" s="3" t="s">
        <v>284</v>
      </c>
      <c r="B16" s="58" t="s">
        <v>974</v>
      </c>
      <c r="C16" s="16" t="str">
        <f>LEFT(Tabela3[PAPEL],LEN(Tabela3[PAPEL])-(LEN(Tabela3[PAPEL])-4))</f>
        <v>BAUH</v>
      </c>
      <c r="D16" s="16">
        <v>3</v>
      </c>
      <c r="E16" s="5">
        <v>14000000</v>
      </c>
      <c r="F16" s="56">
        <v>2846929</v>
      </c>
      <c r="G16" s="83">
        <v>0.25</v>
      </c>
      <c r="H16" s="89"/>
      <c r="I16" s="18"/>
      <c r="K16" s="16"/>
      <c r="L16" s="89"/>
      <c r="M16" s="94">
        <v>14950000</v>
      </c>
      <c r="N16" s="73">
        <v>6719000</v>
      </c>
      <c r="O16" s="7">
        <f>Tabela3[[#This Row],[Capital Social]]*20%</f>
        <v>2800000</v>
      </c>
      <c r="P16" s="47">
        <f>IF((Tabela3[Lucro Líquido]*5%)&gt;Tabela3[Teto R. Legal],Tabela3[Teto R. Legal],Tabela3[Lucro Líquido]*5%)</f>
        <v>335950</v>
      </c>
      <c r="Q16" s="47">
        <f>IF(Tabela3[Lucro Líquido]&lt;0,0,Tabela3[Lucro Líquido]-Tabela3[Reserva Legal])</f>
        <v>6383050</v>
      </c>
      <c r="R16" s="47">
        <f>Tabela3[[#This Row],[Lucro Distribuir]]*Tabela3[%Div]</f>
        <v>1595762.5</v>
      </c>
      <c r="S16" s="56">
        <f>SUMPRODUCT(N(Tabela3[Nome]=Tabela3[[#This Row],[Nome]]),Tabela3[Ações])</f>
        <v>5222222</v>
      </c>
      <c r="T16" s="87">
        <f>Tabela3[Capital Social]/Tabela3[Total Ações]</f>
        <v>2.6808511779085609</v>
      </c>
      <c r="U16" s="87">
        <f>Tabela3[[#This Row],[Lucro Líquido]]/Tabela3[[#This Row],[Total Ações]]</f>
        <v>1.2866170760262585</v>
      </c>
      <c r="V1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0.2960640624964847</v>
      </c>
      <c r="W1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0.2960640624964847</v>
      </c>
      <c r="Z16" s="7">
        <f>Tabela3[Div Base]*Tabela3[Ações]</f>
        <v>842873.36537905468</v>
      </c>
      <c r="AA16" s="7">
        <f>SUMPRODUCT(N(Tabela3[Nome]=Tabela3[[#This Row],[Nome]]),Tabela3[Div Base]*Tabela3[Ações])</f>
        <v>1616436.1511581638</v>
      </c>
      <c r="AB16" s="74">
        <f>Tabela3[Patrimônio Líquido]/Tabela3[Total Ações]</f>
        <v>2.8627660792666418</v>
      </c>
      <c r="AC16" s="52">
        <f>MAX(Tabela3[[#This Row],[Cotação 1]:[Cotação 4]])</f>
        <v>0</v>
      </c>
      <c r="AD16" s="53">
        <f>Tabela3[Cotação]/Tabela3[VPA]</f>
        <v>0</v>
      </c>
      <c r="AE16" s="37">
        <f>IF(Tabela3[[#This Row],[Lucro/Ação]]&gt;0,Tabela3[[#This Row],[Cotação]]/(Tabela3[[#This Row],[Lucro/Ação]]/Tabela3[Ref]*4),0)</f>
        <v>0</v>
      </c>
      <c r="AF16" s="59" t="e">
        <f>IF(Tabela3[Div. Mínimo]=0,0,Tabela3[Lucro Distribuir]*#REF!/Tabela3[Total Ações])</f>
        <v>#REF!</v>
      </c>
      <c r="AG16" s="87">
        <f>Tabela3[Lucro Distribuir]/Tabela3[Total Ações]</f>
        <v>1.2222862222249455</v>
      </c>
      <c r="AH1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0.2960640624964847</v>
      </c>
      <c r="AI16" s="10" t="str">
        <f>IF(AND(Tabela3[% A.A.]&gt;=7%,SUMPRODUCT(N(Tabela3[Nome]=Tabela3[[#This Row],[Nome]]),Tabela3[PL])&gt;0),"Sim","Não")</f>
        <v>Não</v>
      </c>
      <c r="AJ16" s="22">
        <f>IF(Tabela3[Cotação]&gt;0,Tabela3[[#This Row],[Lucro]]/Tabela3[[#This Row],[Cotação]],0)</f>
        <v>0</v>
      </c>
      <c r="AK16" s="22">
        <f>((1+Tabela3[[#This Row],[% Yield]])^(1/(3*Tabela3[[#This Row],[Ref]])))^(12)-1</f>
        <v>0</v>
      </c>
      <c r="AL16" s="10">
        <f>IF(Tabela3[Cotação]&gt;0,($AS$1/Tabela3[[#This Row],[Cotação]]-MOD($AS$1/Tabela3[[#This Row],[Cotação]],100)),)</f>
        <v>0</v>
      </c>
      <c r="AM16" s="7">
        <f>Tabela3[[#This Row],[Ativos]]*Tabela3[Lucro]</f>
        <v>0</v>
      </c>
      <c r="AN16" s="7">
        <f>SUMPRODUCT(N(Tabela1[Código]=Tabela3[[#This Row],[PAPEL]]),Tabela1[Fechamento])</f>
        <v>0</v>
      </c>
      <c r="AO16" s="7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  <c r="AQ16" s="7">
        <f>SUMPRODUCT(N(Tabela1768[Código]=Tabela3[[#This Row],[PAPEL]]),Tabela1768[Fechamento])</f>
        <v>0</v>
      </c>
    </row>
    <row r="17" spans="1:43" hidden="1" x14ac:dyDescent="0.2">
      <c r="A17" s="3" t="s">
        <v>284</v>
      </c>
      <c r="B17" s="58" t="s">
        <v>975</v>
      </c>
      <c r="C17" s="16" t="str">
        <f>LEFT(Tabela3[PAPEL],LEN(Tabela3[PAPEL])-(LEN(Tabela3[PAPEL])-4))</f>
        <v>BAUH</v>
      </c>
      <c r="D17" s="16">
        <v>3</v>
      </c>
      <c r="E17" s="5">
        <v>14000000</v>
      </c>
      <c r="F17" s="56">
        <v>2375293</v>
      </c>
      <c r="G17" s="83">
        <v>0.25</v>
      </c>
      <c r="H17" s="89"/>
      <c r="I17" s="18"/>
      <c r="J17" s="18">
        <v>0.1</v>
      </c>
      <c r="K17" s="16"/>
      <c r="L17" s="89"/>
      <c r="M17" s="94">
        <v>14950000</v>
      </c>
      <c r="N17" s="73">
        <v>6719000</v>
      </c>
      <c r="O17" s="7">
        <f>Tabela3[[#This Row],[Capital Social]]*20%</f>
        <v>2800000</v>
      </c>
      <c r="P17" s="47">
        <f>IF((Tabela3[Lucro Líquido]*5%)&gt;Tabela3[Teto R. Legal],Tabela3[Teto R. Legal],Tabela3[Lucro Líquido]*5%)</f>
        <v>335950</v>
      </c>
      <c r="Q17" s="47">
        <f>IF(Tabela3[Lucro Líquido]&lt;0,0,Tabela3[Lucro Líquido]-Tabela3[Reserva Legal])</f>
        <v>6383050</v>
      </c>
      <c r="R17" s="47">
        <f>Tabela3[[#This Row],[Lucro Distribuir]]*Tabela3[%Div]</f>
        <v>1595762.5</v>
      </c>
      <c r="S17" s="56">
        <f>SUMPRODUCT(N(Tabela3[Nome]=Tabela3[[#This Row],[Nome]]),Tabela3[Ações])</f>
        <v>5222222</v>
      </c>
      <c r="T17" s="87">
        <f>Tabela3[Capital Social]/Tabela3[Total Ações]</f>
        <v>2.6808511779085609</v>
      </c>
      <c r="U17" s="87">
        <f>Tabela3[[#This Row],[Lucro Líquido]]/Tabela3[[#This Row],[Total Ações]]</f>
        <v>1.2866170760262585</v>
      </c>
      <c r="V1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0.32567046919226766</v>
      </c>
      <c r="W1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0.32567046919226766</v>
      </c>
      <c r="Z17" s="7">
        <f>Tabela3[Div Base]*Tabela3[Ações]</f>
        <v>773562.78577910899</v>
      </c>
      <c r="AA17" s="7">
        <f>SUMPRODUCT(N(Tabela3[Nome]=Tabela3[[#This Row],[Nome]]),Tabela3[Div Base]*Tabela3[Ações])</f>
        <v>1616436.1511581638</v>
      </c>
      <c r="AB17" s="74">
        <f>Tabela3[Patrimônio Líquido]/Tabela3[Total Ações]</f>
        <v>2.8627660792666418</v>
      </c>
      <c r="AC17" s="52">
        <f>MAX(Tabela3[[#This Row],[Cotação 1]:[Cotação 4]])</f>
        <v>9.4</v>
      </c>
      <c r="AD17" s="53">
        <f>Tabela3[Cotação]/Tabela3[VPA]</f>
        <v>3.2835375785953178</v>
      </c>
      <c r="AE17" s="37">
        <f>IF(Tabela3[[#This Row],[Lucro/Ação]]&gt;0,Tabela3[[#This Row],[Cotação]]/(Tabela3[[#This Row],[Lucro/Ação]]/Tabela3[Ref]*4),0)</f>
        <v>5.4794858014585506</v>
      </c>
      <c r="AF17" s="59" t="e">
        <f>IF(Tabela3[Div. Mínimo]=0,0,Tabela3[Lucro Distribuir]*#REF!/Tabela3[Total Ações])</f>
        <v>#REF!</v>
      </c>
      <c r="AG17" s="87">
        <f>Tabela3[Lucro Distribuir]/Tabela3[Total Ações]</f>
        <v>1.2222862222249455</v>
      </c>
      <c r="AH1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0.32567046919226766</v>
      </c>
      <c r="AI17" s="10" t="str">
        <f>IF(AND(Tabela3[% A.A.]&gt;=7%,SUMPRODUCT(N(Tabela3[Nome]=Tabela3[[#This Row],[Nome]]),Tabela3[PL])&gt;0),"Sim","Não")</f>
        <v>Não</v>
      </c>
      <c r="AJ17" s="22">
        <f>IF(Tabela3[Cotação]&gt;0,Tabela3[[#This Row],[Lucro]]/Tabela3[[#This Row],[Cotação]],0)</f>
        <v>3.4645794594922091E-2</v>
      </c>
      <c r="AK17" s="22">
        <f>((1+Tabela3[[#This Row],[% Yield]])^(1/(3*Tabela3[[#This Row],[Ref]])))^(12)-1</f>
        <v>4.6459108492874046E-2</v>
      </c>
      <c r="AL17" s="10">
        <f>IF(Tabela3[Cotação]&gt;0,($AS$1/Tabela3[[#This Row],[Cotação]]-MOD($AS$1/Tabela3[[#This Row],[Cotação]],100)),)</f>
        <v>100</v>
      </c>
      <c r="AM17" s="7">
        <f>Tabela3[[#This Row],[Ativos]]*Tabela3[Lucro]</f>
        <v>32.567046919226769</v>
      </c>
      <c r="AN17" s="7">
        <f>SUMPRODUCT(N(Tabela1[Código]=Tabela3[[#This Row],[PAPEL]]),Tabela1[Fechamento])</f>
        <v>0</v>
      </c>
      <c r="AO17" s="7">
        <f>SUMPRODUCT(N(Tabela17[Código]=Tabela3[[#This Row],[PAPEL]]),Tabela17[Fechamento])</f>
        <v>0</v>
      </c>
      <c r="AP17" s="7">
        <f>SUMPRODUCT(N(Tabela176[Código]=Tabela3[[#This Row],[PAPEL]]),Tabela176[Fechamento])</f>
        <v>9.4</v>
      </c>
      <c r="AQ17" s="7">
        <f>SUMPRODUCT(N(Tabela1768[Código]=Tabela3[[#This Row],[PAPEL]]),Tabela1768[Fechamento])</f>
        <v>0</v>
      </c>
    </row>
    <row r="18" spans="1:43" hidden="1" x14ac:dyDescent="0.2">
      <c r="A18" s="4" t="s">
        <v>14</v>
      </c>
      <c r="B18" s="57" t="s">
        <v>62</v>
      </c>
      <c r="C18" s="14" t="str">
        <f>LEFT(Tabela3[PAPEL],LEN(Tabela3[PAPEL])-(LEN(Tabela3[PAPEL])-4))</f>
        <v>BAZA</v>
      </c>
      <c r="D18" s="15">
        <v>3</v>
      </c>
      <c r="E18" s="6">
        <v>1219669840.8399999</v>
      </c>
      <c r="F18" s="8">
        <v>2964596762</v>
      </c>
      <c r="G18" s="88">
        <v>0.25</v>
      </c>
      <c r="H18" s="15"/>
      <c r="I18" s="19"/>
      <c r="J18" s="19"/>
      <c r="K18" s="90"/>
      <c r="L18" s="90"/>
      <c r="M18" s="6">
        <v>1550119000</v>
      </c>
      <c r="N18" s="6">
        <v>56710000</v>
      </c>
      <c r="O18" s="6">
        <f>Tabela3[[#This Row],[Capital Social]]*20%</f>
        <v>243933968.16799998</v>
      </c>
      <c r="P18" s="6">
        <f>IF((Tabela3[Lucro Líquido]*5%)&gt;Tabela3[Teto R. Legal],Tabela3[Teto R. Legal],Tabela3[Lucro Líquido]*5%)</f>
        <v>2835500</v>
      </c>
      <c r="Q18" s="6">
        <f>IF(Tabela3[Lucro Líquido]&lt;0,0,Tabela3[Lucro Líquido]-Tabela3[Reserva Legal])</f>
        <v>53874500</v>
      </c>
      <c r="R18" s="6">
        <f>Tabela3[[#This Row],[Lucro Distribuir]]*Tabela3[%Div]</f>
        <v>13468625</v>
      </c>
      <c r="S18" s="21">
        <f>SUMPRODUCT(N(Tabela3[Nome]=Tabela3[[#This Row],[Nome]]),Tabela3[Ações])</f>
        <v>2964596762</v>
      </c>
      <c r="T18" s="6">
        <f>Tabela3[Capital Social]/Tabela3[Total Ações]</f>
        <v>0.4114117159114673</v>
      </c>
      <c r="U18" s="80">
        <f>Tabela3[[#This Row],[Lucro Líquido]]/Tabela3[[#This Row],[Total Ações]]</f>
        <v>1.9129077089641643E-2</v>
      </c>
      <c r="V1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4.5431558087898902E-3</v>
      </c>
      <c r="W1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4.5431558087898902E-3</v>
      </c>
      <c r="Z18" s="6">
        <f>Tabela3[Div Base]*Tabela3[Ações]</f>
        <v>13468625</v>
      </c>
      <c r="AA18" s="6">
        <f>SUMPRODUCT(N(Tabela3[Nome]=Tabela3[[#This Row],[Nome]]),Tabela3[Div Base]*Tabela3[Ações])</f>
        <v>13468625</v>
      </c>
      <c r="AB18" s="6">
        <f>Tabela3[Patrimônio Líquido]/Tabela3[Total Ações]</f>
        <v>0.52287684445632543</v>
      </c>
      <c r="AC18" s="48">
        <f>MAX(Tabela3[[#This Row],[Cotação 1]:[Cotação 4]])</f>
        <v>0.31</v>
      </c>
      <c r="AD18" s="44">
        <f>Tabela3[Cotação]/Tabela3[VPA]</f>
        <v>0.59287383498944268</v>
      </c>
      <c r="AE18" s="40">
        <f>IF(Tabela3[[#This Row],[Lucro/Ação]]&gt;0,Tabela3[[#This Row],[Cotação]]/(Tabela3[[#This Row],[Lucro/Ação]]/Tabela3[Ref]*4),0)</f>
        <v>12.154271683389174</v>
      </c>
      <c r="AF18" s="40" t="e">
        <f>IF(Tabela3[Div. Mínimo]=0,0,Tabela3[Lucro Distribuir]*#REF!/Tabela3[Total Ações])</f>
        <v>#REF!</v>
      </c>
      <c r="AG18" s="80">
        <f>Tabela3[Lucro Distribuir]/Tabela3[Total Ações]</f>
        <v>1.8172623235159561E-2</v>
      </c>
      <c r="AH1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4.5431558087898902E-3</v>
      </c>
      <c r="AI18" s="15" t="str">
        <f>IF(AND(Tabela3[% A.A.]&gt;=7%,SUMPRODUCT(N(Tabela3[Nome]=Tabela3[[#This Row],[Nome]]),Tabela3[PL])&gt;0),"Sim","Não")</f>
        <v>Não</v>
      </c>
      <c r="AJ18" s="42">
        <f>IF(Tabela3[Cotação]&gt;0,Tabela3[[#This Row],[Lucro]]/Tabela3[[#This Row],[Cotação]],0)</f>
        <v>1.4655341318677064E-2</v>
      </c>
      <c r="AK18" s="19">
        <f>((1+Tabela3[[#This Row],[% Yield]])^(1/(3*Tabela3[[#This Row],[Ref]])))^(12)-1</f>
        <v>1.958802926654335E-2</v>
      </c>
      <c r="AL18" s="14">
        <f>IF(Tabela3[Cotação]&gt;0,($AS$1/Tabela3[[#This Row],[Cotação]]-MOD($AS$1/Tabela3[[#This Row],[Cotação]],100)),)</f>
        <v>3200</v>
      </c>
      <c r="AM18" s="17">
        <f>Tabela3[[#This Row],[Ativos]]*Tabela3[Lucro]</f>
        <v>14.538098588127649</v>
      </c>
      <c r="AN18" s="5">
        <f>SUMPRODUCT(N(Tabela1[Código]=Tabela3[[#This Row],[PAPEL]]),Tabela1[Fechamento])</f>
        <v>0.31</v>
      </c>
      <c r="AO18" s="5">
        <f>SUMPRODUCT(N(Tabela17[Código]=Tabela3[[#This Row],[PAPEL]]),Tabela17[Fechamento])</f>
        <v>0</v>
      </c>
      <c r="AP18" s="7">
        <f>SUMPRODUCT(N(Tabela176[Código]=Tabela3[[#This Row],[PAPEL]]),Tabela176[Fechamento])</f>
        <v>0</v>
      </c>
      <c r="AQ18" s="7">
        <f>SUMPRODUCT(N(Tabela1768[Código]=Tabela3[[#This Row],[PAPEL]]),Tabela1768[Fechamento])</f>
        <v>0</v>
      </c>
    </row>
    <row r="19" spans="1:43" hidden="1" x14ac:dyDescent="0.2">
      <c r="A19" s="4" t="s">
        <v>14</v>
      </c>
      <c r="B19" s="57" t="s">
        <v>24</v>
      </c>
      <c r="C19" s="14" t="str">
        <f>LEFT(Tabela3[PAPEL],LEN(Tabela3[PAPEL])-(LEN(Tabela3[PAPEL])-4))</f>
        <v>BBAS</v>
      </c>
      <c r="D19" s="15">
        <v>3</v>
      </c>
      <c r="E19" s="6">
        <v>54000000000</v>
      </c>
      <c r="F19" s="8">
        <v>2865417020</v>
      </c>
      <c r="G19" s="83">
        <v>0.25</v>
      </c>
      <c r="H19" s="19"/>
      <c r="I19" s="19"/>
      <c r="J19" s="19"/>
      <c r="K19" s="90"/>
      <c r="L19" s="90"/>
      <c r="M19" s="6">
        <v>63802635000</v>
      </c>
      <c r="N19" s="6">
        <v>12718352000</v>
      </c>
      <c r="O19" s="6">
        <f>Tabela3[[#This Row],[Capital Social]]*20%</f>
        <v>10800000000</v>
      </c>
      <c r="P19" s="6">
        <f>IF((Tabela3[Lucro Líquido]*5%)&gt;Tabela3[Teto R. Legal],Tabela3[Teto R. Legal],Tabela3[Lucro Líquido]*5%)</f>
        <v>635917600</v>
      </c>
      <c r="Q19" s="6">
        <f>IF(Tabela3[Lucro Líquido]&lt;0,0,Tabela3[Lucro Líquido]-Tabela3[Reserva Legal])</f>
        <v>12082434400</v>
      </c>
      <c r="R19" s="6">
        <f>Tabela3[[#This Row],[Lucro Distribuir]]*Tabela3[%Div]</f>
        <v>3020608600</v>
      </c>
      <c r="S19" s="21">
        <f>SUMPRODUCT(N(Tabela3[Nome]=Tabela3[[#This Row],[Nome]]),Tabela3[Ações])</f>
        <v>2865417020</v>
      </c>
      <c r="T19" s="6">
        <f>Tabela3[Capital Social]/Tabela3[Total Ações]</f>
        <v>18.845424461113865</v>
      </c>
      <c r="U19" s="80">
        <f>Tabela3[[#This Row],[Lucro Líquido]]/Tabela3[[#This Row],[Total Ações]]</f>
        <v>4.4385692941825274</v>
      </c>
      <c r="V1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1.0541602073683503</v>
      </c>
      <c r="W1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1.0541602073683503</v>
      </c>
      <c r="Z19" s="6">
        <f>Tabela3[Div Base]*Tabela3[Ações]</f>
        <v>3020608600</v>
      </c>
      <c r="AA19" s="6">
        <f>SUMPRODUCT(N(Tabela3[Nome]=Tabela3[[#This Row],[Nome]]),Tabela3[Div Base]*Tabela3[Ações])</f>
        <v>3020608600</v>
      </c>
      <c r="AB19" s="6">
        <f>Tabela3[Patrimônio Líquido]/Tabela3[Total Ações]</f>
        <v>22.266439598379993</v>
      </c>
      <c r="AC19" s="48">
        <f>MAX(Tabela3[[#This Row],[Cotação 1]:[Cotação 4]])</f>
        <v>21.87</v>
      </c>
      <c r="AD19" s="44">
        <f>Tabela3[Cotação]/Tabela3[VPA]</f>
        <v>0.98219564485698763</v>
      </c>
      <c r="AE19" s="40">
        <f>IF(Tabela3[[#This Row],[Lucro/Ação]]&gt;0,Tabela3[[#This Row],[Cotação]]/(Tabela3[[#This Row],[Lucro/Ação]]/Tabela3[Ref]*4),0)</f>
        <v>3.6954475446622328</v>
      </c>
      <c r="AF19" s="77" t="e">
        <f>IF(Tabela3[Div. Mínimo]=0,0,Tabela3[Lucro Distribuir]*#REF!/Tabela3[Total Ações])</f>
        <v>#REF!</v>
      </c>
      <c r="AG19" s="80">
        <f>Tabela3[Lucro Distribuir]/Tabela3[Total Ações]</f>
        <v>4.216640829473401</v>
      </c>
      <c r="AH1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1.0541602073683503</v>
      </c>
      <c r="AI19" s="15" t="str">
        <f>IF(AND(Tabela3[% A.A.]&gt;=7%,SUMPRODUCT(N(Tabela3[Nome]=Tabela3[[#This Row],[Nome]]),Tabela3[PL])&gt;0),"Sim","Não")</f>
        <v>Não</v>
      </c>
      <c r="AJ19" s="42">
        <f>IF(Tabela3[Cotação]&gt;0,Tabela3[[#This Row],[Lucro]]/Tabela3[[#This Row],[Cotação]],0)</f>
        <v>4.8201198325027443E-2</v>
      </c>
      <c r="AK19" s="19">
        <f>((1+Tabela3[[#This Row],[% Yield]])^(1/(3*Tabela3[[#This Row],[Ref]])))^(12)-1</f>
        <v>6.4779143658495686E-2</v>
      </c>
      <c r="AL19" s="14">
        <f>IF(Tabela3[Cotação]&gt;0,($AS$1/Tabela3[[#This Row],[Cotação]]-MOD($AS$1/Tabela3[[#This Row],[Cotação]],100)),)</f>
        <v>0</v>
      </c>
      <c r="AM19" s="17">
        <f>Tabela3[[#This Row],[Ativos]]*Tabela3[Lucro]</f>
        <v>0</v>
      </c>
      <c r="AN19" s="5">
        <f>SUMPRODUCT(N(Tabela1[Código]=Tabela3[[#This Row],[PAPEL]]),Tabela1[Fechamento])</f>
        <v>21.87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  <c r="AQ19" s="7">
        <f>SUMPRODUCT(N(Tabela1768[Código]=Tabela3[[#This Row],[PAPEL]]),Tabela1768[Fechamento])</f>
        <v>0</v>
      </c>
    </row>
    <row r="20" spans="1:43" hidden="1" x14ac:dyDescent="0.2">
      <c r="A20" s="4" t="s">
        <v>14</v>
      </c>
      <c r="B20" s="57" t="s">
        <v>202</v>
      </c>
      <c r="C20" s="14" t="str">
        <f>LEFT(Tabela3[PAPEL],LEN(Tabela3[PAPEL])-(LEN(Tabela3[PAPEL])-4))</f>
        <v>BBDC</v>
      </c>
      <c r="D20" s="15">
        <v>3</v>
      </c>
      <c r="E20" s="6">
        <v>38100000000</v>
      </c>
      <c r="F20" s="8">
        <v>2103637129</v>
      </c>
      <c r="G20" s="88">
        <v>0.25</v>
      </c>
      <c r="H20" s="15"/>
      <c r="I20" s="19"/>
      <c r="J20" s="19"/>
      <c r="K20" s="90"/>
      <c r="L20" s="90"/>
      <c r="M20" s="6">
        <v>67033392000</v>
      </c>
      <c r="N20" s="6">
        <v>8931828000</v>
      </c>
      <c r="O20" s="6">
        <f>Tabela3[[#This Row],[Capital Social]]*20%</f>
        <v>7620000000</v>
      </c>
      <c r="P20" s="6">
        <f>IF((Tabela3[Lucro Líquido]*5%)&gt;Tabela3[Teto R. Legal],Tabela3[Teto R. Legal],Tabela3[Lucro Líquido]*5%)</f>
        <v>446591400</v>
      </c>
      <c r="Q20" s="6">
        <f>IF(Tabela3[Lucro Líquido]&lt;0,0,Tabela3[Lucro Líquido]-Tabela3[Reserva Legal])</f>
        <v>8485236600</v>
      </c>
      <c r="R20" s="6">
        <f>Tabela3[[#This Row],[Lucro Distribuir]]*Tabela3[%Div]</f>
        <v>2121309150</v>
      </c>
      <c r="S20" s="21">
        <f>SUMPRODUCT(N(Tabela3[Nome]=Tabela3[[#This Row],[Nome]]),Tabela3[Ações])</f>
        <v>4207274039</v>
      </c>
      <c r="T20" s="6">
        <f>Tabela3[Capital Social]/Tabela3[Total Ações]</f>
        <v>9.0557447997981484</v>
      </c>
      <c r="U20" s="80">
        <f>Tabela3[[#This Row],[Lucro Líquido]]/Tabela3[[#This Row],[Total Ações]]</f>
        <v>2.1229489491782543</v>
      </c>
      <c r="V2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0.48851278447786567</v>
      </c>
      <c r="W2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0.48851278447786567</v>
      </c>
      <c r="Z20" s="6">
        <f>Tabela3[Div Base]*Tabela3[Ações]</f>
        <v>1027653631.4188131</v>
      </c>
      <c r="AA20" s="6">
        <f>SUMPRODUCT(N(Tabela3[Nome]=Tabela3[[#This Row],[Nome]]),Tabela3[Div Base]*Tabela3[Ações])</f>
        <v>2158072509.8453336</v>
      </c>
      <c r="AB20" s="6">
        <f>Tabela3[Patrimônio Líquido]/Tabela3[Total Ações]</f>
        <v>15.932737297029679</v>
      </c>
      <c r="AC20" s="48">
        <f>MAX(Tabela3[[#This Row],[Cotação 1]:[Cotação 4]])</f>
        <v>28.13</v>
      </c>
      <c r="AD20" s="44">
        <f>Tabela3[Cotação]/Tabela3[VPA]</f>
        <v>1.7655472173789146</v>
      </c>
      <c r="AE20" s="40">
        <f>IF(Tabela3[[#This Row],[Lucro/Ação]]&gt;0,Tabela3[[#This Row],[Cotação]]/(Tabela3[[#This Row],[Lucro/Ação]]/Tabela3[Ref]*4),0)</f>
        <v>9.9378272888598502</v>
      </c>
      <c r="AF20" s="40" t="e">
        <f>IF(Tabela3[Div. Mínimo]=0,0,Tabela3[Lucro Distribuir]*#REF!/Tabela3[Total Ações])</f>
        <v>#REF!</v>
      </c>
      <c r="AG20" s="80">
        <f>Tabela3[Lucro Distribuir]/Tabela3[Total Ações]</f>
        <v>2.0168015017193417</v>
      </c>
      <c r="AH2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0.48851278447786567</v>
      </c>
      <c r="AI20" s="15" t="str">
        <f>IF(AND(Tabela3[% A.A.]&gt;=7%,SUMPRODUCT(N(Tabela3[Nome]=Tabela3[[#This Row],[Nome]]),Tabela3[PL])&gt;0),"Sim","Não")</f>
        <v>Não</v>
      </c>
      <c r="AJ20" s="42">
        <f>IF(Tabela3[Cotação]&gt;0,Tabela3[[#This Row],[Lucro]]/Tabela3[[#This Row],[Cotação]],0)</f>
        <v>1.7366256113681682E-2</v>
      </c>
      <c r="AK20" s="19">
        <f>((1+Tabela3[[#This Row],[% Yield]])^(1/(3*Tabela3[[#This Row],[Ref]])))^(12)-1</f>
        <v>2.3221770667489761E-2</v>
      </c>
      <c r="AL20" s="14">
        <f>IF(Tabela3[Cotação]&gt;0,($AS$1/Tabela3[[#This Row],[Cotação]]-MOD($AS$1/Tabela3[[#This Row],[Cotação]],100)),)</f>
        <v>0</v>
      </c>
      <c r="AM20" s="17">
        <f>Tabela3[[#This Row],[Ativos]]*Tabela3[Lucro]</f>
        <v>0</v>
      </c>
      <c r="AN20" s="5">
        <f>SUMPRODUCT(N(Tabela1[Código]=Tabela3[[#This Row],[PAPEL]]),Tabela1[Fechamento])</f>
        <v>28.13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  <c r="AQ20" s="7">
        <f>SUMPRODUCT(N(Tabela1768[Código]=Tabela3[[#This Row],[PAPEL]]),Tabela1768[Fechamento])</f>
        <v>0</v>
      </c>
    </row>
    <row r="21" spans="1:43" hidden="1" x14ac:dyDescent="0.2">
      <c r="A21" s="4" t="s">
        <v>14</v>
      </c>
      <c r="B21" s="57" t="s">
        <v>203</v>
      </c>
      <c r="C21" s="14" t="str">
        <f>LEFT(Tabela3[PAPEL],LEN(Tabela3[PAPEL])-(LEN(Tabela3[PAPEL])-4))</f>
        <v>BBDC</v>
      </c>
      <c r="D21" s="15">
        <v>3</v>
      </c>
      <c r="E21" s="6">
        <v>38100000000</v>
      </c>
      <c r="F21" s="8">
        <v>2103636910</v>
      </c>
      <c r="G21" s="83">
        <v>0.25</v>
      </c>
      <c r="H21" s="15"/>
      <c r="I21" s="19"/>
      <c r="J21" s="19">
        <v>0.1</v>
      </c>
      <c r="K21" s="90"/>
      <c r="L21" s="90"/>
      <c r="M21" s="6">
        <v>67033392000</v>
      </c>
      <c r="N21" s="6">
        <v>8931828000</v>
      </c>
      <c r="O21" s="6">
        <f>Tabela3[[#This Row],[Capital Social]]*20%</f>
        <v>7620000000</v>
      </c>
      <c r="P21" s="6">
        <f>IF((Tabela3[Lucro Líquido]*5%)&gt;Tabela3[Teto R. Legal],Tabela3[Teto R. Legal],Tabela3[Lucro Líquido]*5%)</f>
        <v>446591400</v>
      </c>
      <c r="Q21" s="6">
        <f>IF(Tabela3[Lucro Líquido]&lt;0,0,Tabela3[Lucro Líquido]-Tabela3[Reserva Legal])</f>
        <v>8485236600</v>
      </c>
      <c r="R21" s="6">
        <f>Tabela3[[#This Row],[Lucro Distribuir]]*Tabela3[%Div]</f>
        <v>2121309150</v>
      </c>
      <c r="S21" s="21">
        <f>SUMPRODUCT(N(Tabela3[Nome]=Tabela3[[#This Row],[Nome]]),Tabela3[Ações])</f>
        <v>4207274039</v>
      </c>
      <c r="T21" s="6">
        <f>Tabela3[Capital Social]/Tabela3[Total Ações]</f>
        <v>9.0557447997981484</v>
      </c>
      <c r="U21" s="80">
        <f>Tabela3[[#This Row],[Lucro Líquido]]/Tabela3[[#This Row],[Total Ações]]</f>
        <v>2.1229489491782543</v>
      </c>
      <c r="V2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0.5373640636617848</v>
      </c>
      <c r="W2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0.5373640636617848</v>
      </c>
      <c r="Z21" s="6">
        <f>Tabela3[Div Base]*Tabela3[Ações]</f>
        <v>1130418878.4265203</v>
      </c>
      <c r="AA21" s="6">
        <f>SUMPRODUCT(N(Tabela3[Nome]=Tabela3[[#This Row],[Nome]]),Tabela3[Div Base]*Tabela3[Ações])</f>
        <v>2158072509.8453336</v>
      </c>
      <c r="AB21" s="6">
        <f>Tabela3[Patrimônio Líquido]/Tabela3[Total Ações]</f>
        <v>15.932737297029679</v>
      </c>
      <c r="AC21" s="48">
        <f>MAX(Tabela3[[#This Row],[Cotação 1]:[Cotação 4]])</f>
        <v>26.17</v>
      </c>
      <c r="AD21" s="44">
        <f>Tabela3[Cotação]/Tabela3[VPA]</f>
        <v>1.6425300632352009</v>
      </c>
      <c r="AE21" s="40">
        <f>IF(Tabela3[[#This Row],[Lucro/Ação]]&gt;0,Tabela3[[#This Row],[Cotação]]/(Tabela3[[#This Row],[Lucro/Ação]]/Tabela3[Ref]*4),0)</f>
        <v>9.2453942463370886</v>
      </c>
      <c r="AF21" s="40" t="e">
        <f>IF(Tabela3[Div. Mínimo]=0,0,Tabela3[Lucro Distribuir]*#REF!/Tabela3[Total Ações])</f>
        <v>#REF!</v>
      </c>
      <c r="AG21" s="80">
        <f>Tabela3[Lucro Distribuir]/Tabela3[Total Ações]</f>
        <v>2.0168015017193417</v>
      </c>
      <c r="AH2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0.5373640636617848</v>
      </c>
      <c r="AI21" s="15" t="str">
        <f>IF(AND(Tabela3[% A.A.]&gt;=7%,SUMPRODUCT(N(Tabela3[Nome]=Tabela3[[#This Row],[Nome]]),Tabela3[PL])&gt;0),"Sim","Não")</f>
        <v>Não</v>
      </c>
      <c r="AJ21" s="42">
        <f>IF(Tabela3[Cotação]&gt;0,Tabela3[[#This Row],[Lucro]]/Tabela3[[#This Row],[Cotação]],0)</f>
        <v>2.0533590510576415E-2</v>
      </c>
      <c r="AK21" s="19">
        <f>((1+Tabela3[[#This Row],[% Yield]])^(1/(3*Tabela3[[#This Row],[Ref]])))^(12)-1</f>
        <v>2.74713919525158E-2</v>
      </c>
      <c r="AL21" s="14">
        <f>IF(Tabela3[Cotação]&gt;0,($AS$1/Tabela3[[#This Row],[Cotação]]-MOD($AS$1/Tabela3[[#This Row],[Cotação]],100)),)</f>
        <v>0</v>
      </c>
      <c r="AM21" s="17">
        <f>Tabela3[[#This Row],[Ativos]]*Tabela3[Lucro]</f>
        <v>0</v>
      </c>
      <c r="AN21" s="5">
        <f>SUMPRODUCT(N(Tabela1[Código]=Tabela3[[#This Row],[PAPEL]]),Tabela1[Fechamento])</f>
        <v>26.17</v>
      </c>
      <c r="AO21" s="5">
        <f>SUMPRODUCT(N(Tabela17[Código]=Tabela3[[#This Row],[PAPEL]]),Tabela17[Fechamento])</f>
        <v>0</v>
      </c>
      <c r="AP21" s="7">
        <f>SUMPRODUCT(N(Tabela176[Código]=Tabela3[[#This Row],[PAPEL]]),Tabela176[Fechamento])</f>
        <v>0</v>
      </c>
      <c r="AQ21" s="7">
        <f>SUMPRODUCT(N(Tabela1768[Código]=Tabela3[[#This Row],[PAPEL]]),Tabela1768[Fechamento])</f>
        <v>0</v>
      </c>
    </row>
    <row r="22" spans="1:43" hidden="1" x14ac:dyDescent="0.2">
      <c r="A22" s="4" t="s">
        <v>26</v>
      </c>
      <c r="B22" s="57" t="s">
        <v>25</v>
      </c>
      <c r="C22" s="84" t="str">
        <f>LEFT(Tabela3[PAPEL],LEN(Tabela3[PAPEL])-(LEN(Tabela3[PAPEL])-4))</f>
        <v>BBSE</v>
      </c>
      <c r="D22" s="15">
        <v>4</v>
      </c>
      <c r="E22" s="6">
        <v>5646767124.9300003</v>
      </c>
      <c r="F22" s="8">
        <v>2000000000</v>
      </c>
      <c r="G22" s="88">
        <v>0.25</v>
      </c>
      <c r="H22" s="15"/>
      <c r="I22" s="19"/>
      <c r="J22" s="19"/>
      <c r="K22" s="90"/>
      <c r="L22" s="90"/>
      <c r="M22" s="6">
        <v>6941273000</v>
      </c>
      <c r="N22" s="6">
        <v>2473752000</v>
      </c>
      <c r="O22" s="6">
        <f>Tabela3[[#This Row],[Capital Social]]*20%</f>
        <v>1129353424.9860001</v>
      </c>
      <c r="P22" s="6">
        <f>IF((Tabela3[Lucro Líquido]*5%)&gt;Tabela3[Teto R. Legal],Tabela3[Teto R. Legal],Tabela3[Lucro Líquido]*5%)</f>
        <v>123687600</v>
      </c>
      <c r="Q22" s="6">
        <f>IF(Tabela3[Lucro Líquido]&lt;0,0,Tabela3[Lucro Líquido]-Tabela3[Reserva Legal])</f>
        <v>2350064400</v>
      </c>
      <c r="R22" s="6">
        <f>Tabela3[[#This Row],[Lucro Distribuir]]*Tabela3[%Div]</f>
        <v>587516100</v>
      </c>
      <c r="S22" s="21">
        <f>SUMPRODUCT(N(Tabela3[Nome]=Tabela3[[#This Row],[Nome]]),Tabela3[Ações])</f>
        <v>2000000000</v>
      </c>
      <c r="T22" s="6">
        <f>Tabela3[Capital Social]/Tabela3[Total Ações]</f>
        <v>2.8233835624650001</v>
      </c>
      <c r="U22" s="80">
        <f>Tabela3[[#This Row],[Lucro Líquido]]/Tabela3[[#This Row],[Total Ações]]</f>
        <v>1.2368760000000001</v>
      </c>
      <c r="V2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0.29375804999999999</v>
      </c>
      <c r="W2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0.29375804999999999</v>
      </c>
      <c r="Z22" s="6">
        <f>Tabela3[Div Base]*Tabela3[Ações]</f>
        <v>587516100</v>
      </c>
      <c r="AA22" s="6">
        <f>SUMPRODUCT(N(Tabela3[Nome]=Tabela3[[#This Row],[Nome]]),Tabela3[Div Base]*Tabela3[Ações])</f>
        <v>587516100</v>
      </c>
      <c r="AB22" s="6">
        <f>Tabela3[Patrimônio Líquido]/Tabela3[Total Ações]</f>
        <v>3.4706364999999999</v>
      </c>
      <c r="AC22" s="48">
        <f>MAX(Tabela3[[#This Row],[Cotação 1]:[Cotação 4]])</f>
        <v>24.39</v>
      </c>
      <c r="AD22" s="44">
        <f>Tabela3[Cotação]/Tabela3[VPA]</f>
        <v>7.0275293883413035</v>
      </c>
      <c r="AE22" s="40">
        <f>IF(Tabela3[[#This Row],[Lucro/Ação]]&gt;0,Tabela3[[#This Row],[Cotação]]/(Tabela3[[#This Row],[Lucro/Ação]]/Tabela3[Ref]*4),0)</f>
        <v>19.719034082640459</v>
      </c>
      <c r="AF22" s="40" t="e">
        <f>IF(Tabela3[Div. Mínimo]=0,0,Tabela3[Lucro Distribuir]*#REF!/Tabela3[Total Ações])</f>
        <v>#REF!</v>
      </c>
      <c r="AG22" s="80">
        <f>Tabela3[Lucro Distribuir]/Tabela3[Total Ações]</f>
        <v>1.1750322</v>
      </c>
      <c r="AH2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0.29375804999999999</v>
      </c>
      <c r="AI22" s="15" t="str">
        <f>IF(AND(Tabela3[% A.A.]&gt;=7%,SUMPRODUCT(N(Tabela3[Nome]=Tabela3[[#This Row],[Nome]]),Tabela3[PL])&gt;0),"Sim","Não")</f>
        <v>Não</v>
      </c>
      <c r="AJ22" s="42">
        <f>IF(Tabela3[Cotação]&gt;0,Tabela3[[#This Row],[Lucro]]/Tabela3[[#This Row],[Cotação]],0)</f>
        <v>1.2044200492004919E-2</v>
      </c>
      <c r="AK22" s="19">
        <f>((1+Tabela3[[#This Row],[% Yield]])^(1/(3*Tabela3[[#This Row],[Ref]])))^(12)-1</f>
        <v>1.2044200492004942E-2</v>
      </c>
      <c r="AL22" s="14">
        <f>IF(Tabela3[Cotação]&gt;0,($AS$1/Tabela3[[#This Row],[Cotação]]-MOD($AS$1/Tabela3[[#This Row],[Cotação]],100)),)</f>
        <v>0</v>
      </c>
      <c r="AM22" s="17">
        <f>Tabela3[[#This Row],[Ativos]]*Tabela3[Lucro]</f>
        <v>0</v>
      </c>
      <c r="AN22" s="13">
        <f>SUMPRODUCT(N(Tabela1[Código]=Tabela3[[#This Row],[PAPEL]]),Tabela1[Fechamento])</f>
        <v>0</v>
      </c>
      <c r="AO22" s="13">
        <f>SUMPRODUCT(N(Tabela17[Código]=Tabela3[[#This Row],[PAPEL]]),Tabela17[Fechamento])</f>
        <v>24.39</v>
      </c>
      <c r="AP22" s="7">
        <f>SUMPRODUCT(N(Tabela176[Código]=Tabela3[[#This Row],[PAPEL]]),Tabela176[Fechamento])</f>
        <v>0</v>
      </c>
      <c r="AQ22" s="7">
        <f>SUMPRODUCT(N(Tabela1768[Código]=Tabela3[[#This Row],[PAPEL]]),Tabela1768[Fechamento])</f>
        <v>0</v>
      </c>
    </row>
    <row r="23" spans="1:43" hidden="1" x14ac:dyDescent="0.2">
      <c r="A23" s="3" t="s">
        <v>284</v>
      </c>
      <c r="B23" s="58" t="s">
        <v>980</v>
      </c>
      <c r="C23" s="16" t="str">
        <f>LEFT(Tabela3[PAPEL],LEN(Tabela3[PAPEL])-(LEN(Tabela3[PAPEL])-4))</f>
        <v>BEEF</v>
      </c>
      <c r="D23" s="16">
        <v>3</v>
      </c>
      <c r="E23" s="5">
        <v>744141845.75</v>
      </c>
      <c r="F23" s="56">
        <v>145056023</v>
      </c>
      <c r="G23" s="83">
        <v>0.25</v>
      </c>
      <c r="H23" s="89"/>
      <c r="I23" s="18"/>
      <c r="K23" s="16"/>
      <c r="L23" s="89"/>
      <c r="M23" s="94">
        <v>536987000</v>
      </c>
      <c r="N23" s="73">
        <v>-189214000</v>
      </c>
      <c r="O23" s="7">
        <f>Tabela3[[#This Row],[Capital Social]]*20%</f>
        <v>148828369.15000001</v>
      </c>
      <c r="P23" s="47">
        <f>IF((Tabela3[Lucro Líquido]*5%)&gt;Tabela3[Teto R. Legal],Tabela3[Teto R. Legal],Tabela3[Lucro Líquido]*5%)</f>
        <v>-9460700</v>
      </c>
      <c r="Q23" s="47">
        <f>IF(Tabela3[Lucro Líquido]&lt;0,0,Tabela3[Lucro Líquido]-Tabela3[Reserva Legal])</f>
        <v>0</v>
      </c>
      <c r="R23" s="47">
        <f>Tabela3[[#This Row],[Lucro Distribuir]]*Tabela3[%Div]</f>
        <v>0</v>
      </c>
      <c r="S23" s="56">
        <f>SUMPRODUCT(N(Tabela3[Nome]=Tabela3[[#This Row],[Nome]]),Tabela3[Ações])</f>
        <v>145056023</v>
      </c>
      <c r="T23" s="87">
        <f>Tabela3[Capital Social]/Tabela3[Total Ações]</f>
        <v>5.130030662360018</v>
      </c>
      <c r="U23" s="87">
        <f>Tabela3[[#This Row],[Lucro Líquido]]/Tabela3[[#This Row],[Total Ações]]</f>
        <v>-1.304420154963162</v>
      </c>
      <c r="V2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" s="7">
        <f>Tabela3[Div Base]*Tabela3[Ações]</f>
        <v>0</v>
      </c>
      <c r="AA23" s="7">
        <f>SUMPRODUCT(N(Tabela3[Nome]=Tabela3[[#This Row],[Nome]]),Tabela3[Div Base]*Tabela3[Ações])</f>
        <v>0</v>
      </c>
      <c r="AB23" s="74">
        <f>Tabela3[Patrimônio Líquido]/Tabela3[Total Ações]</f>
        <v>3.7019283232382567</v>
      </c>
      <c r="AC23" s="52">
        <f>MAX(Tabela3[[#This Row],[Cotação 1]:[Cotação 4]])</f>
        <v>10.199999999999999</v>
      </c>
      <c r="AD23" s="53">
        <f>Tabela3[Cotação]/Tabela3[VPA]</f>
        <v>2.7553207705214464</v>
      </c>
      <c r="AE23" s="37">
        <f>IF(Tabela3[[#This Row],[Lucro/Ação]]&gt;0,Tabela3[[#This Row],[Cotação]]/(Tabela3[[#This Row],[Lucro/Ação]]/Tabela3[Ref]*4),0)</f>
        <v>0</v>
      </c>
      <c r="AF23" s="59">
        <f>IF(Tabela3[Div. Mínimo]=0,0,Tabela3[Lucro Distribuir]*#REF!/Tabela3[Total Ações])</f>
        <v>0</v>
      </c>
      <c r="AG23" s="87">
        <f>Tabela3[Lucro Distribuir]/Tabela3[Total Ações]</f>
        <v>0</v>
      </c>
      <c r="AH2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" s="10" t="str">
        <f>IF(AND(Tabela3[% A.A.]&gt;=7%,SUMPRODUCT(N(Tabela3[Nome]=Tabela3[[#This Row],[Nome]]),Tabela3[PL])&gt;0),"Sim","Não")</f>
        <v>Não</v>
      </c>
      <c r="AJ23" s="22">
        <f>IF(Tabela3[Cotação]&gt;0,Tabela3[[#This Row],[Lucro]]/Tabela3[[#This Row],[Cotação]],0)</f>
        <v>0</v>
      </c>
      <c r="AK23" s="22">
        <f>((1+Tabela3[[#This Row],[% Yield]])^(1/(3*Tabela3[[#This Row],[Ref]])))^(12)-1</f>
        <v>0</v>
      </c>
      <c r="AL23" s="10">
        <f>IF(Tabela3[Cotação]&gt;0,($AS$1/Tabela3[[#This Row],[Cotação]]-MOD($AS$1/Tabela3[[#This Row],[Cotação]],100)),)</f>
        <v>0</v>
      </c>
      <c r="AM23" s="7">
        <f>Tabela3[[#This Row],[Ativos]]*Tabela3[Lucro]</f>
        <v>0</v>
      </c>
      <c r="AN23" s="7">
        <f>SUMPRODUCT(N(Tabela1[Código]=Tabela3[[#This Row],[PAPEL]]),Tabela1[Fechamento])</f>
        <v>0</v>
      </c>
      <c r="AO23" s="7">
        <f>SUMPRODUCT(N(Tabela17[Código]=Tabela3[[#This Row],[PAPEL]]),Tabela17[Fechamento])</f>
        <v>0</v>
      </c>
      <c r="AP23" s="7">
        <f>SUMPRODUCT(N(Tabela176[Código]=Tabela3[[#This Row],[PAPEL]]),Tabela176[Fechamento])</f>
        <v>10.199999999999999</v>
      </c>
      <c r="AQ23" s="7">
        <f>SUMPRODUCT(N(Tabela1768[Código]=Tabela3[[#This Row],[PAPEL]]),Tabela1768[Fechamento])</f>
        <v>0</v>
      </c>
    </row>
    <row r="24" spans="1:43" hidden="1" x14ac:dyDescent="0.2">
      <c r="A24" s="4" t="s">
        <v>14</v>
      </c>
      <c r="B24" s="57" t="s">
        <v>58</v>
      </c>
      <c r="C24" s="14" t="str">
        <f>LEFT(Tabela3[PAPEL],LEN(Tabela3[PAPEL])-(LEN(Tabela3[PAPEL])-4))</f>
        <v>BEES</v>
      </c>
      <c r="D24" s="15">
        <v>3</v>
      </c>
      <c r="E24" s="6">
        <v>725702304.53999996</v>
      </c>
      <c r="F24" s="8">
        <v>1157732303</v>
      </c>
      <c r="G24" s="83">
        <v>0.25</v>
      </c>
      <c r="H24" s="15"/>
      <c r="I24" s="19"/>
      <c r="J24" s="19"/>
      <c r="K24" s="90"/>
      <c r="L24" s="90"/>
      <c r="M24" s="6">
        <v>901919000</v>
      </c>
      <c r="N24" s="6">
        <v>77892000</v>
      </c>
      <c r="O24" s="6">
        <f>Tabela3[[#This Row],[Capital Social]]*20%</f>
        <v>145140460.90799999</v>
      </c>
      <c r="P24" s="6">
        <f>IF((Tabela3[Lucro Líquido]*5%)&gt;Tabela3[Teto R. Legal],Tabela3[Teto R. Legal],Tabela3[Lucro Líquido]*5%)</f>
        <v>3894600</v>
      </c>
      <c r="Q24" s="6">
        <f>IF(Tabela3[Lucro Líquido]&lt;0,0,Tabela3[Lucro Líquido]-Tabela3[Reserva Legal])</f>
        <v>73997400</v>
      </c>
      <c r="R24" s="6">
        <f>Tabela3[[#This Row],[Lucro Distribuir]]*Tabela3[%Div]</f>
        <v>18499350</v>
      </c>
      <c r="S24" s="21">
        <f>SUMPRODUCT(N(Tabela3[Nome]=Tabela3[[#This Row],[Nome]]),Tabela3[Ações])</f>
        <v>1579564303</v>
      </c>
      <c r="T24" s="6">
        <f>Tabela3[Capital Social]/Tabela3[Total Ações]</f>
        <v>0.45943194788696107</v>
      </c>
      <c r="U24" s="80">
        <f>Tabela3[[#This Row],[Lucro Líquido]]/Tabela3[[#This Row],[Total Ações]]</f>
        <v>4.931233242740609E-2</v>
      </c>
      <c r="V2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1.1711678951508946E-2</v>
      </c>
      <c r="W2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1.1711678951508946E-2</v>
      </c>
      <c r="Z24" s="6">
        <f>Tabela3[Div Base]*Tabela3[Ações]</f>
        <v>13558989.044527078</v>
      </c>
      <c r="AA24" s="6">
        <f>SUMPRODUCT(N(Tabela3[Nome]=Tabela3[[#This Row],[Nome]]),Tabela3[Div Base]*Tabela3[Ações])</f>
        <v>18499350</v>
      </c>
      <c r="AB24" s="6">
        <f>Tabela3[Patrimônio Líquido]/Tabela3[Total Ações]</f>
        <v>0.57099226558046623</v>
      </c>
      <c r="AC24" s="48">
        <f>MAX(Tabela3[[#This Row],[Cotação 1]:[Cotação 4]])</f>
        <v>0.44</v>
      </c>
      <c r="AD24" s="44">
        <f>Tabela3[Cotação]/Tabela3[VPA]</f>
        <v>0.7705883713725955</v>
      </c>
      <c r="AE24" s="40">
        <f>IF(Tabela3[[#This Row],[Lucro/Ação]]&gt;0,Tabela3[[#This Row],[Cotação]]/(Tabela3[[#This Row],[Lucro/Ação]]/Tabela3[Ref]*4),0)</f>
        <v>6.6920379498536438</v>
      </c>
      <c r="AF24" s="40" t="e">
        <f>IF(Tabela3[Div. Mínimo]=0,0,Tabela3[Lucro Distribuir]*#REF!/Tabela3[Total Ações])</f>
        <v>#REF!</v>
      </c>
      <c r="AG24" s="80">
        <f>Tabela3[Lucro Distribuir]/Tabela3[Total Ações]</f>
        <v>4.6846715806035784E-2</v>
      </c>
      <c r="AH2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1.1711678951508946E-2</v>
      </c>
      <c r="AI24" s="15" t="str">
        <f>IF(AND(Tabela3[% A.A.]&gt;=7%,SUMPRODUCT(N(Tabela3[Nome]=Tabela3[[#This Row],[Nome]]),Tabela3[PL])&gt;0),"Sim","Não")</f>
        <v>Não</v>
      </c>
      <c r="AJ24" s="42">
        <f>IF(Tabela3[Cotação]&gt;0,Tabela3[[#This Row],[Lucro]]/Tabela3[[#This Row],[Cotação]],0)</f>
        <v>2.661745216252033E-2</v>
      </c>
      <c r="AK24" s="19">
        <f>((1+Tabela3[[#This Row],[% Yield]])^(1/(3*Tabela3[[#This Row],[Ref]])))^(12)-1</f>
        <v>3.5646457079880234E-2</v>
      </c>
      <c r="AL24" s="14">
        <f>IF(Tabela3[Cotação]&gt;0,($AS$1/Tabela3[[#This Row],[Cotação]]-MOD($AS$1/Tabela3[[#This Row],[Cotação]],100)),)</f>
        <v>2200</v>
      </c>
      <c r="AM24" s="17">
        <f>Tabela3[[#This Row],[Ativos]]*Tabela3[Lucro]</f>
        <v>25.76569369331968</v>
      </c>
      <c r="AN24" s="5">
        <f>SUMPRODUCT(N(Tabela1[Código]=Tabela3[[#This Row],[PAPEL]]),Tabela1[Fechamento])</f>
        <v>0.44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  <c r="AQ24" s="7">
        <f>SUMPRODUCT(N(Tabela1768[Código]=Tabela3[[#This Row],[PAPEL]]),Tabela1768[Fechamento])</f>
        <v>0</v>
      </c>
    </row>
    <row r="25" spans="1:43" hidden="1" x14ac:dyDescent="0.2">
      <c r="A25" s="4" t="s">
        <v>14</v>
      </c>
      <c r="B25" s="57" t="s">
        <v>59</v>
      </c>
      <c r="C25" s="14" t="str">
        <f>LEFT(Tabela3[PAPEL],LEN(Tabela3[PAPEL])-(LEN(Tabela3[PAPEL])-4))</f>
        <v>BEES</v>
      </c>
      <c r="D25" s="15">
        <v>3</v>
      </c>
      <c r="E25" s="6">
        <v>725702304.53999996</v>
      </c>
      <c r="F25" s="8">
        <v>421832000</v>
      </c>
      <c r="G25" s="88">
        <v>0.25</v>
      </c>
      <c r="H25" s="15"/>
      <c r="I25" s="19"/>
      <c r="J25" s="19"/>
      <c r="K25" s="90"/>
      <c r="L25" s="90"/>
      <c r="M25" s="6">
        <v>901919000</v>
      </c>
      <c r="N25" s="6">
        <v>77892000</v>
      </c>
      <c r="O25" s="6">
        <f>Tabela3[[#This Row],[Capital Social]]*20%</f>
        <v>145140460.90799999</v>
      </c>
      <c r="P25" s="6">
        <f>IF((Tabela3[Lucro Líquido]*5%)&gt;Tabela3[Teto R. Legal],Tabela3[Teto R. Legal],Tabela3[Lucro Líquido]*5%)</f>
        <v>3894600</v>
      </c>
      <c r="Q25" s="6">
        <f>IF(Tabela3[Lucro Líquido]&lt;0,0,Tabela3[Lucro Líquido]-Tabela3[Reserva Legal])</f>
        <v>73997400</v>
      </c>
      <c r="R25" s="6">
        <f>Tabela3[[#This Row],[Lucro Distribuir]]*Tabela3[%Div]</f>
        <v>18499350</v>
      </c>
      <c r="S25" s="21">
        <f>SUMPRODUCT(N(Tabela3[Nome]=Tabela3[[#This Row],[Nome]]),Tabela3[Ações])</f>
        <v>1579564303</v>
      </c>
      <c r="T25" s="6">
        <f>Tabela3[Capital Social]/Tabela3[Total Ações]</f>
        <v>0.45943194788696107</v>
      </c>
      <c r="U25" s="80">
        <f>Tabela3[[#This Row],[Lucro Líquido]]/Tabela3[[#This Row],[Total Ações]]</f>
        <v>4.931233242740609E-2</v>
      </c>
      <c r="V2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1.1711678951508946E-2</v>
      </c>
      <c r="W2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1.1711678951508946E-2</v>
      </c>
      <c r="Z25" s="6">
        <f>Tabela3[Div Base]*Tabela3[Ações]</f>
        <v>4940360.955472922</v>
      </c>
      <c r="AA25" s="6">
        <f>SUMPRODUCT(N(Tabela3[Nome]=Tabela3[[#This Row],[Nome]]),Tabela3[Div Base]*Tabela3[Ações])</f>
        <v>18499350</v>
      </c>
      <c r="AB25" s="6">
        <f>Tabela3[Patrimônio Líquido]/Tabela3[Total Ações]</f>
        <v>0.57099226558046623</v>
      </c>
      <c r="AC25" s="48">
        <f>MAX(Tabela3[[#This Row],[Cotação 1]:[Cotação 4]])</f>
        <v>0.43</v>
      </c>
      <c r="AD25" s="44">
        <f>Tabela3[Cotação]/Tabela3[VPA]</f>
        <v>0.75307499929594557</v>
      </c>
      <c r="AE25" s="40">
        <f>IF(Tabela3[[#This Row],[Lucro/Ação]]&gt;0,Tabela3[[#This Row],[Cotação]]/(Tabela3[[#This Row],[Lucro/Ação]]/Tabela3[Ref]*4),0)</f>
        <v>6.5399461782660611</v>
      </c>
      <c r="AF25" s="40" t="e">
        <f>IF(Tabela3[Div. Mínimo]=0,0,Tabela3[Lucro Distribuir]*#REF!/Tabela3[Total Ações])</f>
        <v>#REF!</v>
      </c>
      <c r="AG25" s="80">
        <f>Tabela3[Lucro Distribuir]/Tabela3[Total Ações]</f>
        <v>4.6846715806035784E-2</v>
      </c>
      <c r="AH2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1.1711678951508946E-2</v>
      </c>
      <c r="AI25" s="15" t="str">
        <f>IF(AND(Tabela3[% A.A.]&gt;=7%,SUMPRODUCT(N(Tabela3[Nome]=Tabela3[[#This Row],[Nome]]),Tabela3[PL])&gt;0),"Sim","Não")</f>
        <v>Não</v>
      </c>
      <c r="AJ25" s="42">
        <f>IF(Tabela3[Cotação]&gt;0,Tabela3[[#This Row],[Lucro]]/Tabela3[[#This Row],[Cotação]],0)</f>
        <v>2.7236462677927783E-2</v>
      </c>
      <c r="AK25" s="19">
        <f>((1+Tabela3[[#This Row],[% Yield]])^(1/(3*Tabela3[[#This Row],[Ref]])))^(12)-1</f>
        <v>3.6479146947230534E-2</v>
      </c>
      <c r="AL25" s="14">
        <f>IF(Tabela3[Cotação]&gt;0,($AS$1/Tabela3[[#This Row],[Cotação]]-MOD($AS$1/Tabela3[[#This Row],[Cotação]],100)),)</f>
        <v>2300</v>
      </c>
      <c r="AM25" s="17">
        <f>Tabela3[[#This Row],[Ativos]]*Tabela3[Lucro]</f>
        <v>26.936861588470574</v>
      </c>
      <c r="AN25" s="5">
        <f>SUMPRODUCT(N(Tabela1[Código]=Tabela3[[#This Row],[PAPEL]]),Tabela1[Fechamento])</f>
        <v>0.43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  <c r="AQ25" s="7">
        <f>SUMPRODUCT(N(Tabela1768[Código]=Tabela3[[#This Row],[PAPEL]]),Tabela1768[Fechamento])</f>
        <v>0</v>
      </c>
    </row>
    <row r="26" spans="1:43" hidden="1" x14ac:dyDescent="0.2">
      <c r="A26" s="4" t="s">
        <v>603</v>
      </c>
      <c r="B26" s="57" t="s">
        <v>604</v>
      </c>
      <c r="C26" s="15" t="str">
        <f>LEFT(Tabela3[PAPEL],LEN(Tabela3[PAPEL])-(LEN(Tabela3[PAPEL])-4))</f>
        <v>BEMA</v>
      </c>
      <c r="D26" s="15">
        <v>3</v>
      </c>
      <c r="E26" s="6">
        <v>344601120.56</v>
      </c>
      <c r="F26" s="8">
        <v>51568270</v>
      </c>
      <c r="G26" s="88">
        <v>0.25</v>
      </c>
      <c r="H26" s="15"/>
      <c r="I26" s="19"/>
      <c r="J26" s="19"/>
      <c r="K26" s="90"/>
      <c r="L26" s="90"/>
      <c r="M26" s="96">
        <v>399626000</v>
      </c>
      <c r="N26" s="97">
        <v>30584000</v>
      </c>
      <c r="O26" s="13">
        <f>Tabela3[[#This Row],[Capital Social]]*20%</f>
        <v>68920224.112000003</v>
      </c>
      <c r="P26" s="13">
        <f>IF((Tabela3[Lucro Líquido]*5%)&gt;Tabela3[Teto R. Legal],Tabela3[Teto R. Legal],Tabela3[Lucro Líquido]*5%)</f>
        <v>1529200</v>
      </c>
      <c r="Q26" s="13">
        <f>IF(Tabela3[Lucro Líquido]&lt;0,0,Tabela3[Lucro Líquido]-Tabela3[Reserva Legal])</f>
        <v>29054800</v>
      </c>
      <c r="R26" s="13">
        <f>Tabela3[[#This Row],[Lucro Distribuir]]*Tabela3[%Div]</f>
        <v>7263700</v>
      </c>
      <c r="S26" s="56">
        <f>SUMPRODUCT(N(Tabela3[Nome]=Tabela3[[#This Row],[Nome]]),Tabela3[Ações])</f>
        <v>51568270</v>
      </c>
      <c r="T26" s="6">
        <f>Tabela3[Capital Social]/Tabela3[Total Ações]</f>
        <v>6.682425463565095</v>
      </c>
      <c r="U26" s="80">
        <f>Tabela3[[#This Row],[Lucro Líquido]]/Tabela3[[#This Row],[Total Ações]]</f>
        <v>0.59307787521280042</v>
      </c>
      <c r="V2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0.14085599536304011</v>
      </c>
      <c r="W2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0.14085599536304011</v>
      </c>
      <c r="Z26" s="13">
        <f>Tabela3[Div Base]*Tabela3[Ações]</f>
        <v>7263700</v>
      </c>
      <c r="AA26" s="13">
        <f>SUMPRODUCT(N(Tabela3[Nome]=Tabela3[[#This Row],[Nome]]),Tabela3[Div Base]*Tabela3[Ações])</f>
        <v>7263700</v>
      </c>
      <c r="AB26" s="95">
        <f>Tabela3[Patrimônio Líquido]/Tabela3[Total Ações]</f>
        <v>7.7494552367182381</v>
      </c>
      <c r="AC26" s="48">
        <f>MAX(Tabela3[[#This Row],[Cotação 1]:[Cotação 4]])</f>
        <v>8.0500000000000007</v>
      </c>
      <c r="AD26" s="44">
        <f>Tabela3[Cotação]/Tabela3[VPA]</f>
        <v>1.0387826955703583</v>
      </c>
      <c r="AE26" s="40">
        <f>IF(Tabela3[[#This Row],[Lucro/Ação]]&gt;0,Tabela3[[#This Row],[Cotação]]/(Tabela3[[#This Row],[Lucro/Ação]]/Tabela3[Ref]*4),0)</f>
        <v>10.179944746436046</v>
      </c>
      <c r="AF26" s="91" t="e">
        <f>IF(Tabela3[Div. Mínimo]=0,0,Tabela3[Lucro Distribuir]*#REF!/Tabela3[Total Ações])</f>
        <v>#REF!</v>
      </c>
      <c r="AG26" s="80">
        <f>Tabela3[Lucro Distribuir]/Tabela3[Total Ações]</f>
        <v>0.56342398145216044</v>
      </c>
      <c r="AH2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0.14085599536304011</v>
      </c>
      <c r="AI26" s="14" t="str">
        <f>IF(AND(Tabela3[% A.A.]&gt;=7%,SUMPRODUCT(N(Tabela3[Nome]=Tabela3[[#This Row],[Nome]]),Tabela3[PL])&gt;0),"Sim","Não")</f>
        <v>Não</v>
      </c>
      <c r="AJ26" s="42">
        <f>IF(Tabela3[Cotação]&gt;0,Tabela3[[#This Row],[Lucro]]/Tabela3[[#This Row],[Cotação]],0)</f>
        <v>1.7497639175532931E-2</v>
      </c>
      <c r="AK26" s="42">
        <f>((1+Tabela3[[#This Row],[% Yield]])^(1/(3*Tabela3[[#This Row],[Ref]])))^(12)-1</f>
        <v>2.3397960119771577E-2</v>
      </c>
      <c r="AL26" s="14">
        <f>IF(Tabela3[Cotação]&gt;0,($AS$1/Tabela3[[#This Row],[Cotação]]-MOD($AS$1/Tabela3[[#This Row],[Cotação]],100)),)</f>
        <v>100</v>
      </c>
      <c r="AM26" s="17">
        <f>Tabela3[[#This Row],[Ativos]]*Tabela3[Lucro]</f>
        <v>14.085599536304011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8.0500000000000007</v>
      </c>
      <c r="AQ26" s="17">
        <f>SUMPRODUCT(N(Tabela1768[Código]=Tabela3[[#This Row],[PAPEL]]),Tabela1768[Fechamento])</f>
        <v>0</v>
      </c>
    </row>
    <row r="27" spans="1:43" hidden="1" x14ac:dyDescent="0.2">
      <c r="A27" s="4" t="s">
        <v>14</v>
      </c>
      <c r="B27" s="57" t="s">
        <v>206</v>
      </c>
      <c r="C27" s="14" t="str">
        <f>LEFT(Tabela3[PAPEL],LEN(Tabela3[PAPEL])-(LEN(Tabela3[PAPEL])-4))</f>
        <v>BGIP</v>
      </c>
      <c r="D27" s="15">
        <v>3</v>
      </c>
      <c r="E27" s="6">
        <v>160000000</v>
      </c>
      <c r="F27" s="8">
        <v>5270721</v>
      </c>
      <c r="G27" s="83">
        <v>0.25</v>
      </c>
      <c r="H27" s="15"/>
      <c r="I27" s="19"/>
      <c r="J27" s="19"/>
      <c r="K27" s="90"/>
      <c r="L27" s="90"/>
      <c r="M27" s="6">
        <v>273287000</v>
      </c>
      <c r="N27" s="6">
        <v>47071000</v>
      </c>
      <c r="O27" s="6">
        <f>Tabela3[[#This Row],[Capital Social]]*20%</f>
        <v>32000000</v>
      </c>
      <c r="P27" s="6">
        <f>IF((Tabela3[Lucro Líquido]*5%)&gt;Tabela3[Teto R. Legal],Tabela3[Teto R. Legal],Tabela3[Lucro Líquido]*5%)</f>
        <v>2353550</v>
      </c>
      <c r="Q27" s="6">
        <f>IF(Tabela3[Lucro Líquido]&lt;0,0,Tabela3[Lucro Líquido]-Tabela3[Reserva Legal])</f>
        <v>44717450</v>
      </c>
      <c r="R27" s="6">
        <f>Tabela3[[#This Row],[Lucro Distribuir]]*Tabela3[%Div]</f>
        <v>11179362.5</v>
      </c>
      <c r="S27" s="21">
        <f>SUMPRODUCT(N(Tabela3[Nome]=Tabela3[[#This Row],[Nome]]),Tabela3[Ações])</f>
        <v>10541442</v>
      </c>
      <c r="T27" s="6">
        <f>Tabela3[Capital Social]/Tabela3[Total Ações]</f>
        <v>15.178189094053735</v>
      </c>
      <c r="U27" s="80">
        <f>Tabela3[[#This Row],[Lucro Líquido]]/Tabela3[[#This Row],[Total Ações]]</f>
        <v>4.4653283677887714</v>
      </c>
      <c r="V2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1.0275188178221877</v>
      </c>
      <c r="W2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1.0275188178221877</v>
      </c>
      <c r="Z27" s="6">
        <f>Tabela3[Div Base]*Tabela3[Ações]</f>
        <v>5415765.0109905787</v>
      </c>
      <c r="AA27" s="6">
        <f>SUMPRODUCT(N(Tabela3[Nome]=Tabela3[[#This Row],[Nome]]),Tabela3[Div Base]*Tabela3[Ações])</f>
        <v>11373106.531241151</v>
      </c>
      <c r="AB27" s="6">
        <f>Tabela3[Patrimônio Líquido]/Tabela3[Total Ações]</f>
        <v>25.925011018416644</v>
      </c>
      <c r="AC27" s="48">
        <f>MAX(Tabela3[[#This Row],[Cotação 1]:[Cotação 4]])</f>
        <v>43.25</v>
      </c>
      <c r="AD27" s="44">
        <f>Tabela3[Cotação]/Tabela3[VPA]</f>
        <v>1.6682731578889594</v>
      </c>
      <c r="AE27" s="40">
        <f>IF(Tabela3[[#This Row],[Lucro/Ação]]&gt;0,Tabela3[[#This Row],[Cotação]]/(Tabela3[[#This Row],[Lucro/Ação]]/Tabela3[Ref]*4),0)</f>
        <v>7.2643033900915635</v>
      </c>
      <c r="AF27" s="40" t="e">
        <f>IF(Tabela3[Div. Mínimo]=0,0,Tabela3[Lucro Distribuir]*#REF!/Tabela3[Total Ações])</f>
        <v>#REF!</v>
      </c>
      <c r="AG27" s="80">
        <f>Tabela3[Lucro Distribuir]/Tabela3[Total Ações]</f>
        <v>4.242061949399333</v>
      </c>
      <c r="AH2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1.0275188178221877</v>
      </c>
      <c r="AI27" s="15" t="str">
        <f>IF(AND(Tabela3[% A.A.]&gt;=7%,SUMPRODUCT(N(Tabela3[Nome]=Tabela3[[#This Row],[Nome]]),Tabela3[PL])&gt;0),"Sim","Não")</f>
        <v>Não</v>
      </c>
      <c r="AJ27" s="42">
        <f>IF(Tabela3[Cotação]&gt;0,Tabela3[[#This Row],[Lucro]]/Tabela3[[#This Row],[Cotação]],0)</f>
        <v>2.3757660527680639E-2</v>
      </c>
      <c r="AK27" s="19">
        <f>((1+Tabela3[[#This Row],[% Yield]])^(1/(3*Tabela3[[#This Row],[Ref]])))^(12)-1</f>
        <v>3.1801653078037395E-2</v>
      </c>
      <c r="AL27" s="14">
        <f>IF(Tabela3[Cotação]&gt;0,($AS$1/Tabela3[[#This Row],[Cotação]]-MOD($AS$1/Tabela3[[#This Row],[Cotação]],100)),)</f>
        <v>0</v>
      </c>
      <c r="AM27" s="17">
        <f>Tabela3[[#This Row],[Ativos]]*Tabela3[Lucro]</f>
        <v>0</v>
      </c>
      <c r="AN27" s="5">
        <f>SUMPRODUCT(N(Tabela1[Código]=Tabela3[[#This Row],[PAPEL]]),Tabela1[Fechamento])</f>
        <v>43.25</v>
      </c>
      <c r="AO27" s="5">
        <f>SUMPRODUCT(N(Tabela17[Código]=Tabela3[[#This Row],[PAPEL]]),Tabela17[Fechamento])</f>
        <v>0</v>
      </c>
      <c r="AP27" s="7">
        <f>SUMPRODUCT(N(Tabela176[Código]=Tabela3[[#This Row],[PAPEL]]),Tabela176[Fechamento])</f>
        <v>0</v>
      </c>
      <c r="AQ27" s="7">
        <f>SUMPRODUCT(N(Tabela1768[Código]=Tabela3[[#This Row],[PAPEL]]),Tabela1768[Fechamento])</f>
        <v>0</v>
      </c>
    </row>
    <row r="28" spans="1:43" hidden="1" x14ac:dyDescent="0.2">
      <c r="A28" s="4" t="s">
        <v>14</v>
      </c>
      <c r="B28" s="57" t="s">
        <v>207</v>
      </c>
      <c r="C28" s="14" t="str">
        <f>LEFT(Tabela3[PAPEL],LEN(Tabela3[PAPEL])-(LEN(Tabela3[PAPEL])-4))</f>
        <v>BGIP</v>
      </c>
      <c r="D28" s="15">
        <v>3</v>
      </c>
      <c r="E28" s="6">
        <v>160000000</v>
      </c>
      <c r="F28" s="8">
        <v>5270721</v>
      </c>
      <c r="G28" s="88">
        <v>0.25</v>
      </c>
      <c r="H28" s="15"/>
      <c r="I28" s="19"/>
      <c r="J28" s="19">
        <v>0.1</v>
      </c>
      <c r="K28" s="90"/>
      <c r="L28" s="90"/>
      <c r="M28" s="6">
        <v>273287000</v>
      </c>
      <c r="N28" s="6">
        <v>47071000</v>
      </c>
      <c r="O28" s="6">
        <f>Tabela3[[#This Row],[Capital Social]]*20%</f>
        <v>32000000</v>
      </c>
      <c r="P28" s="6">
        <f>IF((Tabela3[Lucro Líquido]*5%)&gt;Tabela3[Teto R. Legal],Tabela3[Teto R. Legal],Tabela3[Lucro Líquido]*5%)</f>
        <v>2353550</v>
      </c>
      <c r="Q28" s="6">
        <f>IF(Tabela3[Lucro Líquido]&lt;0,0,Tabela3[Lucro Líquido]-Tabela3[Reserva Legal])</f>
        <v>44717450</v>
      </c>
      <c r="R28" s="6">
        <f>Tabela3[[#This Row],[Lucro Distribuir]]*Tabela3[%Div]</f>
        <v>11179362.5</v>
      </c>
      <c r="S28" s="21">
        <f>SUMPRODUCT(N(Tabela3[Nome]=Tabela3[[#This Row],[Nome]]),Tabela3[Ações])</f>
        <v>10541442</v>
      </c>
      <c r="T28" s="6">
        <f>Tabela3[Capital Social]/Tabela3[Total Ações]</f>
        <v>15.178189094053735</v>
      </c>
      <c r="U28" s="80">
        <f>Tabela3[[#This Row],[Lucro Líquido]]/Tabela3[[#This Row],[Total Ações]]</f>
        <v>4.4653283677887714</v>
      </c>
      <c r="V2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1.1302707011527591</v>
      </c>
      <c r="W2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1.1302707011527591</v>
      </c>
      <c r="Z28" s="6">
        <f>Tabela3[Div Base]*Tabela3[Ações]</f>
        <v>5957341.5202505719</v>
      </c>
      <c r="AA28" s="6">
        <f>SUMPRODUCT(N(Tabela3[Nome]=Tabela3[[#This Row],[Nome]]),Tabela3[Div Base]*Tabela3[Ações])</f>
        <v>11373106.531241151</v>
      </c>
      <c r="AB28" s="6">
        <f>Tabela3[Patrimônio Líquido]/Tabela3[Total Ações]</f>
        <v>25.925011018416644</v>
      </c>
      <c r="AC28" s="48">
        <f>MAX(Tabela3[[#This Row],[Cotação 1]:[Cotação 4]])</f>
        <v>41.5</v>
      </c>
      <c r="AD28" s="44">
        <f>Tabela3[Cotação]/Tabela3[VPA]</f>
        <v>1.6007707757778453</v>
      </c>
      <c r="AE28" s="40">
        <f>IF(Tabela3[[#This Row],[Lucro/Ação]]&gt;0,Tabela3[[#This Row],[Cotação]]/(Tabela3[[#This Row],[Lucro/Ação]]/Tabela3[Ref]*4),0)</f>
        <v>6.9703720390473967</v>
      </c>
      <c r="AF28" s="40" t="e">
        <f>IF(Tabela3[Div. Mínimo]=0,0,Tabela3[Lucro Distribuir]*#REF!/Tabela3[Total Ações])</f>
        <v>#REF!</v>
      </c>
      <c r="AG28" s="80">
        <f>Tabela3[Lucro Distribuir]/Tabela3[Total Ações]</f>
        <v>4.242061949399333</v>
      </c>
      <c r="AH2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1.1302707011527591</v>
      </c>
      <c r="AI28" s="15" t="str">
        <f>IF(AND(Tabela3[% A.A.]&gt;=7%,SUMPRODUCT(N(Tabela3[Nome]=Tabela3[[#This Row],[Nome]]),Tabela3[PL])&gt;0),"Sim","Não")</f>
        <v>Não</v>
      </c>
      <c r="AJ28" s="42">
        <f>IF(Tabela3[Cotação]&gt;0,Tabela3[[#This Row],[Lucro]]/Tabela3[[#This Row],[Cotação]],0)</f>
        <v>2.7235438581994193E-2</v>
      </c>
      <c r="AK28" s="19">
        <f>((1+Tabela3[[#This Row],[% Yield]])^(1/(3*Tabela3[[#This Row],[Ref]])))^(12)-1</f>
        <v>3.6477769200312649E-2</v>
      </c>
      <c r="AL28" s="14">
        <f>IF(Tabela3[Cotação]&gt;0,($AS$1/Tabela3[[#This Row],[Cotação]]-MOD($AS$1/Tabela3[[#This Row],[Cotação]],100)),)</f>
        <v>0</v>
      </c>
      <c r="AM28" s="17">
        <f>Tabela3[[#This Row],[Ativos]]*Tabela3[Lucro]</f>
        <v>0</v>
      </c>
      <c r="AN28" s="5">
        <f>SUMPRODUCT(N(Tabela1[Código]=Tabela3[[#This Row],[PAPEL]]),Tabela1[Fechamento])</f>
        <v>41.5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  <c r="AQ28" s="7">
        <f>SUMPRODUCT(N(Tabela1768[Código]=Tabela3[[#This Row],[PAPEL]]),Tabela1768[Fechamento])</f>
        <v>0</v>
      </c>
    </row>
    <row r="29" spans="1:43" hidden="1" x14ac:dyDescent="0.2">
      <c r="A29" s="4" t="s">
        <v>14</v>
      </c>
      <c r="B29" s="57" t="s">
        <v>213</v>
      </c>
      <c r="C29" s="14" t="str">
        <f>LEFT(Tabela3[PAPEL],LEN(Tabela3[PAPEL])-(LEN(Tabela3[PAPEL])-4))</f>
        <v>BICB</v>
      </c>
      <c r="D29" s="15">
        <v>3</v>
      </c>
      <c r="E29" s="6">
        <v>1434205798</v>
      </c>
      <c r="F29" s="8">
        <v>160206833</v>
      </c>
      <c r="G29" s="83">
        <v>0.25</v>
      </c>
      <c r="H29" s="15"/>
      <c r="I29" s="19"/>
      <c r="J29" s="19"/>
      <c r="K29" s="90"/>
      <c r="L29" s="90"/>
      <c r="M29" s="6">
        <v>1922945000</v>
      </c>
      <c r="N29" s="6">
        <v>22434000</v>
      </c>
      <c r="O29" s="6">
        <f>Tabela3[[#This Row],[Capital Social]]*20%</f>
        <v>286841159.60000002</v>
      </c>
      <c r="P29" s="6">
        <f>IF((Tabela3[Lucro Líquido]*5%)&gt;Tabela3[Teto R. Legal],Tabela3[Teto R. Legal],Tabela3[Lucro Líquido]*5%)</f>
        <v>1121700</v>
      </c>
      <c r="Q29" s="6">
        <f>IF(Tabela3[Lucro Líquido]&lt;0,0,Tabela3[Lucro Líquido]-Tabela3[Reserva Legal])</f>
        <v>21312300</v>
      </c>
      <c r="R29" s="6">
        <f>Tabela3[[#This Row],[Lucro Distribuir]]*Tabela3[%Div]</f>
        <v>5328075</v>
      </c>
      <c r="S29" s="21">
        <f>SUMPRODUCT(N(Tabela3[Nome]=Tabela3[[#This Row],[Nome]]),Tabela3[Ações])</f>
        <v>252903569</v>
      </c>
      <c r="T29" s="6">
        <f>Tabela3[Capital Social]/Tabela3[Total Ações]</f>
        <v>5.6709591077380166</v>
      </c>
      <c r="U29" s="80">
        <f>Tabela3[[#This Row],[Lucro Líquido]]/Tabela3[[#This Row],[Total Ações]]</f>
        <v>8.8705746971882396E-2</v>
      </c>
      <c r="V2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2.1067614905822069E-2</v>
      </c>
      <c r="W2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2.1067614905822069E-2</v>
      </c>
      <c r="Z29" s="6">
        <f>Tabela3[Div Base]*Tabela3[Ações]</f>
        <v>3375175.8629253469</v>
      </c>
      <c r="AA29" s="6">
        <f>SUMPRODUCT(N(Tabela3[Nome]=Tabela3[[#This Row],[Nome]]),Tabela3[Div Base]*Tabela3[Ações])</f>
        <v>5328075</v>
      </c>
      <c r="AB29" s="6">
        <f>Tabela3[Patrimônio Líquido]/Tabela3[Total Ações]</f>
        <v>7.60347118707526</v>
      </c>
      <c r="AC29" s="48">
        <f>MAX(Tabela3[[#This Row],[Cotação 1]:[Cotação 4]])</f>
        <v>7.21</v>
      </c>
      <c r="AD29" s="44">
        <f>Tabela3[Cotação]/Tabela3[VPA]</f>
        <v>0.94825111092100922</v>
      </c>
      <c r="AE29" s="40">
        <f>IF(Tabela3[[#This Row],[Lucro/Ação]]&gt;0,Tabela3[[#This Row],[Cotação]]/(Tabela3[[#This Row],[Lucro/Ação]]/Tabela3[Ref]*4),0)</f>
        <v>60.959973672439155</v>
      </c>
      <c r="AF29" s="40" t="e">
        <f>IF(Tabela3[Div. Mínimo]=0,0,Tabela3[Lucro Distribuir]*#REF!/Tabela3[Total Ações])</f>
        <v>#REF!</v>
      </c>
      <c r="AG29" s="80">
        <f>Tabela3[Lucro Distribuir]/Tabela3[Total Ações]</f>
        <v>8.4270459623288274E-2</v>
      </c>
      <c r="AH2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2.1067614905822069E-2</v>
      </c>
      <c r="AI29" s="15" t="str">
        <f>IF(AND(Tabela3[% A.A.]&gt;=7%,SUMPRODUCT(N(Tabela3[Nome]=Tabela3[[#This Row],[Nome]]),Tabela3[PL])&gt;0),"Sim","Não")</f>
        <v>Não</v>
      </c>
      <c r="AJ29" s="42">
        <f>IF(Tabela3[Cotação]&gt;0,Tabela3[[#This Row],[Lucro]]/Tabela3[[#This Row],[Cotação]],0)</f>
        <v>2.9219992934565978E-3</v>
      </c>
      <c r="AK29" s="19">
        <f>((1+Tabela3[[#This Row],[% Yield]])^(1/(3*Tabela3[[#This Row],[Ref]])))^(12)-1</f>
        <v>3.8978951785080262E-3</v>
      </c>
      <c r="AL29" s="14">
        <f>IF(Tabela3[Cotação]&gt;0,($AS$1/Tabela3[[#This Row],[Cotação]]-MOD($AS$1/Tabela3[[#This Row],[Cotação]],100)),)</f>
        <v>100</v>
      </c>
      <c r="AM29" s="17">
        <f>Tabela3[[#This Row],[Ativos]]*Tabela3[Lucro]</f>
        <v>2.106761490582207</v>
      </c>
      <c r="AN29" s="5">
        <f>SUMPRODUCT(N(Tabela1[Código]=Tabela3[[#This Row],[PAPEL]]),Tabela1[Fechamento])</f>
        <v>7.21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  <c r="AQ29" s="7">
        <f>SUMPRODUCT(N(Tabela1768[Código]=Tabela3[[#This Row],[PAPEL]]),Tabela1768[Fechamento])</f>
        <v>0</v>
      </c>
    </row>
    <row r="30" spans="1:43" hidden="1" x14ac:dyDescent="0.2">
      <c r="A30" s="4" t="s">
        <v>14</v>
      </c>
      <c r="B30" s="57" t="s">
        <v>10</v>
      </c>
      <c r="C30" s="14" t="str">
        <f>LEFT(Tabela3[PAPEL],LEN(Tabela3[PAPEL])-(LEN(Tabela3[PAPEL])-4))</f>
        <v>BICB</v>
      </c>
      <c r="D30" s="15">
        <v>3</v>
      </c>
      <c r="E30" s="6">
        <v>1434205798</v>
      </c>
      <c r="F30" s="8">
        <v>92696736</v>
      </c>
      <c r="G30" s="88">
        <v>0.25</v>
      </c>
      <c r="H30" s="15"/>
      <c r="I30" s="19"/>
      <c r="J30" s="19"/>
      <c r="K30" s="90"/>
      <c r="L30" s="90"/>
      <c r="M30" s="6">
        <v>1922945000</v>
      </c>
      <c r="N30" s="6">
        <v>22434000</v>
      </c>
      <c r="O30" s="6">
        <f>Tabela3[[#This Row],[Capital Social]]*20%</f>
        <v>286841159.60000002</v>
      </c>
      <c r="P30" s="6">
        <f>IF((Tabela3[Lucro Líquido]*5%)&gt;Tabela3[Teto R. Legal],Tabela3[Teto R. Legal],Tabela3[Lucro Líquido]*5%)</f>
        <v>1121700</v>
      </c>
      <c r="Q30" s="6">
        <f>IF(Tabela3[Lucro Líquido]&lt;0,0,Tabela3[Lucro Líquido]-Tabela3[Reserva Legal])</f>
        <v>21312300</v>
      </c>
      <c r="R30" s="6">
        <f>Tabela3[[#This Row],[Lucro Distribuir]]*Tabela3[%Div]</f>
        <v>5328075</v>
      </c>
      <c r="S30" s="21">
        <f>SUMPRODUCT(N(Tabela3[Nome]=Tabela3[[#This Row],[Nome]]),Tabela3[Ações])</f>
        <v>252903569</v>
      </c>
      <c r="T30" s="6">
        <f>Tabela3[Capital Social]/Tabela3[Total Ações]</f>
        <v>5.6709591077380166</v>
      </c>
      <c r="U30" s="80">
        <f>Tabela3[[#This Row],[Lucro Líquido]]/Tabela3[[#This Row],[Total Ações]]</f>
        <v>8.8705746971882396E-2</v>
      </c>
      <c r="V3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2.1067614905822069E-2</v>
      </c>
      <c r="W3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2.1067614905822069E-2</v>
      </c>
      <c r="Z30" s="6">
        <f>Tabela3[Div Base]*Tabela3[Ações]</f>
        <v>1952899.1370746531</v>
      </c>
      <c r="AA30" s="6">
        <f>SUMPRODUCT(N(Tabela3[Nome]=Tabela3[[#This Row],[Nome]]),Tabela3[Div Base]*Tabela3[Ações])</f>
        <v>5328075</v>
      </c>
      <c r="AB30" s="6">
        <f>Tabela3[Patrimônio Líquido]/Tabela3[Total Ações]</f>
        <v>7.60347118707526</v>
      </c>
      <c r="AC30" s="48">
        <f>MAX(Tabela3[[#This Row],[Cotação 1]:[Cotação 4]])</f>
        <v>7.2</v>
      </c>
      <c r="AD30" s="44">
        <f>Tabela3[Cotação]/Tabela3[VPA]</f>
        <v>0.9469359221402589</v>
      </c>
      <c r="AE30" s="40">
        <f>IF(Tabela3[[#This Row],[Lucro/Ação]]&gt;0,Tabela3[[#This Row],[Cotação]]/(Tabela3[[#This Row],[Lucro/Ação]]/Tabela3[Ref]*4),0)</f>
        <v>60.875424471783901</v>
      </c>
      <c r="AF30" s="40" t="e">
        <f>IF(Tabela3[Div. Mínimo]=0,0,Tabela3[Lucro Distribuir]*#REF!/Tabela3[Total Ações])</f>
        <v>#REF!</v>
      </c>
      <c r="AG30" s="80">
        <f>Tabela3[Lucro Distribuir]/Tabela3[Total Ações]</f>
        <v>8.4270459623288274E-2</v>
      </c>
      <c r="AH3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2.1067614905822069E-2</v>
      </c>
      <c r="AI30" s="15" t="str">
        <f>IF(AND(Tabela3[% A.A.]&gt;=7%,SUMPRODUCT(N(Tabela3[Nome]=Tabela3[[#This Row],[Nome]]),Tabela3[PL])&gt;0),"Sim","Não")</f>
        <v>Não</v>
      </c>
      <c r="AJ30" s="42">
        <f>IF(Tabela3[Cotação]&gt;0,Tabela3[[#This Row],[Lucro]]/Tabela3[[#This Row],[Cotação]],0)</f>
        <v>2.9260576258086203E-3</v>
      </c>
      <c r="AK30" s="19">
        <f>((1+Tabela3[[#This Row],[% Yield]])^(1/(3*Tabela3[[#This Row],[Ref]])))^(12)-1</f>
        <v>3.9033115572586485E-3</v>
      </c>
      <c r="AL30" s="14">
        <f>IF(Tabela3[Cotação]&gt;0,($AS$1/Tabela3[[#This Row],[Cotação]]-MOD($AS$1/Tabela3[[#This Row],[Cotação]],100)),)</f>
        <v>100</v>
      </c>
      <c r="AM30" s="17">
        <f>Tabela3[[#This Row],[Ativos]]*Tabela3[Lucro]</f>
        <v>2.106761490582207</v>
      </c>
      <c r="AN30" s="5">
        <f>SUMPRODUCT(N(Tabela1[Código]=Tabela3[[#This Row],[PAPEL]]),Tabela1[Fechamento])</f>
        <v>7.2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  <c r="AQ30" s="7">
        <f>SUMPRODUCT(N(Tabela1768[Código]=Tabela3[[#This Row],[PAPEL]]),Tabela1768[Fechamento])</f>
        <v>0</v>
      </c>
    </row>
    <row r="31" spans="1:43" hidden="1" x14ac:dyDescent="0.2">
      <c r="A31" s="4" t="s">
        <v>785</v>
      </c>
      <c r="B31" s="57" t="s">
        <v>781</v>
      </c>
      <c r="C31" s="15" t="str">
        <f>LEFT(Tabela3[PAPEL],LEN(Tabela3[PAPEL])-(LEN(Tabela3[PAPEL])-4))</f>
        <v>BIOM</v>
      </c>
      <c r="D31" s="15">
        <v>3</v>
      </c>
      <c r="E31" s="6">
        <v>13062247.32</v>
      </c>
      <c r="F31" s="8">
        <v>17338833</v>
      </c>
      <c r="G31" s="88">
        <v>0.25</v>
      </c>
      <c r="H31" s="15"/>
      <c r="I31" s="19"/>
      <c r="J31" s="19"/>
      <c r="K31" s="90"/>
      <c r="L31" s="90"/>
      <c r="M31" s="96">
        <v>-30201000</v>
      </c>
      <c r="N31" s="97">
        <v>-8750000</v>
      </c>
      <c r="O31" s="13">
        <f>Tabela3[[#This Row],[Capital Social]]*20%</f>
        <v>2612449.4640000002</v>
      </c>
      <c r="P31" s="13">
        <f>IF((Tabela3[Lucro Líquido]*5%)&gt;Tabela3[Teto R. Legal],Tabela3[Teto R. Legal],Tabela3[Lucro Líquido]*5%)</f>
        <v>-437500</v>
      </c>
      <c r="Q31" s="13">
        <f>IF(Tabela3[Lucro Líquido]&lt;0,0,Tabela3[Lucro Líquido]-Tabela3[Reserva Legal])</f>
        <v>0</v>
      </c>
      <c r="R31" s="13">
        <f>Tabela3[[#This Row],[Lucro Distribuir]]*Tabela3[%Div]</f>
        <v>0</v>
      </c>
      <c r="S31" s="56">
        <f>SUMPRODUCT(N(Tabela3[Nome]=Tabela3[[#This Row],[Nome]]),Tabela3[Ações])</f>
        <v>17338833</v>
      </c>
      <c r="T31" s="6">
        <f>Tabela3[Capital Social]/Tabela3[Total Ações]</f>
        <v>0.75335216159011398</v>
      </c>
      <c r="U31" s="80">
        <f>Tabela3[[#This Row],[Lucro Líquido]]/Tabela3[[#This Row],[Total Ações]]</f>
        <v>-0.50464757345549149</v>
      </c>
      <c r="V3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1" s="13">
        <f>Tabela3[Div Base]*Tabela3[Ações]</f>
        <v>0</v>
      </c>
      <c r="AA31" s="13">
        <f>SUMPRODUCT(N(Tabela3[Nome]=Tabela3[[#This Row],[Nome]]),Tabela3[Div Base]*Tabela3[Ações])</f>
        <v>0</v>
      </c>
      <c r="AB31" s="95">
        <f>Tabela3[Patrimônio Líquido]/Tabela3[Total Ações]</f>
        <v>-1.741812727534777</v>
      </c>
      <c r="AC31" s="48">
        <f>MAX(Tabela3[[#This Row],[Cotação 1]:[Cotação 4]])</f>
        <v>9.75</v>
      </c>
      <c r="AD31" s="44">
        <f>Tabela3[Cotação]/Tabela3[VPA]</f>
        <v>-5.5976166931558557</v>
      </c>
      <c r="AE31" s="40">
        <f>IF(Tabela3[[#This Row],[Lucro/Ação]]&gt;0,Tabela3[[#This Row],[Cotação]]/(Tabela3[[#This Row],[Lucro/Ação]]/Tabela3[Ref]*4),0)</f>
        <v>0</v>
      </c>
      <c r="AF31" s="91">
        <f>IF(Tabela3[Div. Mínimo]=0,0,Tabela3[Lucro Distribuir]*#REF!/Tabela3[Total Ações])</f>
        <v>0</v>
      </c>
      <c r="AG31" s="80">
        <f>Tabela3[Lucro Distribuir]/Tabela3[Total Ações]</f>
        <v>0</v>
      </c>
      <c r="AH3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1" s="14" t="str">
        <f>IF(AND(Tabela3[% A.A.]&gt;=7%,SUMPRODUCT(N(Tabela3[Nome]=Tabela3[[#This Row],[Nome]]),Tabela3[PL])&gt;0),"Sim","Não")</f>
        <v>Não</v>
      </c>
      <c r="AJ31" s="42">
        <f>IF(Tabela3[Cotação]&gt;0,Tabela3[[#This Row],[Lucro]]/Tabela3[[#This Row],[Cotação]],0)</f>
        <v>0</v>
      </c>
      <c r="AK31" s="42">
        <f>((1+Tabela3[[#This Row],[% Yield]])^(1/(3*Tabela3[[#This Row],[Ref]])))^(12)-1</f>
        <v>0</v>
      </c>
      <c r="AL31" s="14">
        <f>IF(Tabela3[Cotação]&gt;0,($AS$1/Tabela3[[#This Row],[Cotação]]-MOD($AS$1/Tabela3[[#This Row],[Cotação]],100)),)</f>
        <v>100</v>
      </c>
      <c r="AM31" s="17">
        <f>Tabela3[[#This Row],[Ativos]]*Tabela3[Lucro]</f>
        <v>0</v>
      </c>
      <c r="AN31" s="17">
        <f>SUMPRODUCT(N(Tabela1[Código]=Tabela3[[#This Row],[PAPEL]]),Tabela1[Fechamento])</f>
        <v>0</v>
      </c>
      <c r="AO31" s="17">
        <f>SUMPRODUCT(N(Tabela17[Código]=Tabela3[[#This Row],[PAPEL]]),Tabela17[Fechamento])</f>
        <v>0</v>
      </c>
      <c r="AP31" s="17">
        <f>SUMPRODUCT(N(Tabela176[Código]=Tabela3[[#This Row],[PAPEL]]),Tabela176[Fechamento])</f>
        <v>9.75</v>
      </c>
      <c r="AQ31" s="17">
        <f>SUMPRODUCT(N(Tabela1768[Código]=Tabela3[[#This Row],[PAPEL]]),Tabela1768[Fechamento])</f>
        <v>0</v>
      </c>
    </row>
    <row r="32" spans="1:43" hidden="1" x14ac:dyDescent="0.2">
      <c r="A32" s="4" t="s">
        <v>14</v>
      </c>
      <c r="B32" s="57" t="s">
        <v>568</v>
      </c>
      <c r="C32" s="15" t="str">
        <f>LEFT(Tabela3[PAPEL],LEN(Tabela3[PAPEL])-(LEN(Tabela3[PAPEL])-4))</f>
        <v>BMEB</v>
      </c>
      <c r="D32" s="15">
        <v>3</v>
      </c>
      <c r="E32" s="6">
        <v>433340000</v>
      </c>
      <c r="F32" s="8">
        <v>26262082</v>
      </c>
      <c r="G32" s="88">
        <v>0.25</v>
      </c>
      <c r="H32" s="15"/>
      <c r="I32" s="19"/>
      <c r="J32" s="19"/>
      <c r="K32" s="90"/>
      <c r="L32" s="90"/>
      <c r="M32" s="96">
        <v>819449000</v>
      </c>
      <c r="N32" s="97">
        <v>-33881000</v>
      </c>
      <c r="O32" s="13">
        <f>Tabela3[[#This Row],[Capital Social]]*20%</f>
        <v>86668000</v>
      </c>
      <c r="P32" s="13">
        <f>IF((Tabela3[Lucro Líquido]*5%)&gt;Tabela3[Teto R. Legal],Tabela3[Teto R. Legal],Tabela3[Lucro Líquido]*5%)</f>
        <v>-1694050</v>
      </c>
      <c r="Q32" s="13">
        <f>IF(Tabela3[Lucro Líquido]&lt;0,0,Tabela3[Lucro Líquido]-Tabela3[Reserva Legal])</f>
        <v>0</v>
      </c>
      <c r="R32" s="13">
        <f>Tabela3[[#This Row],[Lucro Distribuir]]*Tabela3[%Div]</f>
        <v>0</v>
      </c>
      <c r="S32" s="56">
        <f>SUMPRODUCT(N(Tabela3[Nome]=Tabela3[[#This Row],[Nome]]),Tabela3[Ações])</f>
        <v>46100000</v>
      </c>
      <c r="T32" s="6">
        <f>Tabela3[Capital Social]/Tabela3[Total Ações]</f>
        <v>9.4</v>
      </c>
      <c r="U32" s="80">
        <f>Tabela3[[#This Row],[Lucro Líquido]]/Tabela3[[#This Row],[Total Ações]]</f>
        <v>-0.73494577006507589</v>
      </c>
      <c r="V3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2" s="13">
        <f>Tabela3[Div Base]*Tabela3[Ações]</f>
        <v>0</v>
      </c>
      <c r="AA32" s="13">
        <f>SUMPRODUCT(N(Tabela3[Nome]=Tabela3[[#This Row],[Nome]]),Tabela3[Div Base]*Tabela3[Ações])</f>
        <v>11188585.751999998</v>
      </c>
      <c r="AB32" s="95">
        <f>Tabela3[Patrimônio Líquido]/Tabela3[Total Ações]</f>
        <v>17.775466377440345</v>
      </c>
      <c r="AC32" s="48">
        <f>MAX(Tabela3[[#This Row],[Cotação 1]:[Cotação 4]])</f>
        <v>12.4</v>
      </c>
      <c r="AD32" s="44">
        <f>Tabela3[Cotação]/Tabela3[VPA]</f>
        <v>0.69759069813984775</v>
      </c>
      <c r="AE32" s="40">
        <f>IF(Tabela3[[#This Row],[Lucro/Ação]]&gt;0,Tabela3[[#This Row],[Cotação]]/(Tabela3[[#This Row],[Lucro/Ação]]/Tabela3[Ref]*4),0)</f>
        <v>0</v>
      </c>
      <c r="AF32" s="91">
        <f>IF(Tabela3[Div. Mínimo]=0,0,Tabela3[Lucro Distribuir]*#REF!/Tabela3[Total Ações])</f>
        <v>0</v>
      </c>
      <c r="AG32" s="80">
        <f>Tabela3[Lucro Distribuir]/Tabela3[Total Ações]</f>
        <v>0</v>
      </c>
      <c r="AH3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2" s="14" t="str">
        <f>IF(AND(Tabela3[% A.A.]&gt;=7%,SUMPRODUCT(N(Tabela3[Nome]=Tabela3[[#This Row],[Nome]]),Tabela3[PL])&gt;0),"Sim","Não")</f>
        <v>Não</v>
      </c>
      <c r="AJ32" s="42">
        <f>IF(Tabela3[Cotação]&gt;0,Tabela3[[#This Row],[Lucro]]/Tabela3[[#This Row],[Cotação]],0)</f>
        <v>0</v>
      </c>
      <c r="AK32" s="42">
        <f>((1+Tabela3[[#This Row],[% Yield]])^(1/(3*Tabela3[[#This Row],[Ref]])))^(12)-1</f>
        <v>0</v>
      </c>
      <c r="AL32" s="14">
        <f>IF(Tabela3[Cotação]&gt;0,($AS$1/Tabela3[[#This Row],[Cotação]]-MOD($AS$1/Tabela3[[#This Row],[Cotação]],100)),)</f>
        <v>0</v>
      </c>
      <c r="AM32" s="17">
        <f>Tabela3[[#This Row],[Ativos]]*Tabela3[Lucro]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12.4</v>
      </c>
      <c r="AQ32" s="17">
        <f>SUMPRODUCT(N(Tabela1768[Código]=Tabela3[[#This Row],[PAPEL]]),Tabela1768[Fechamento])</f>
        <v>0</v>
      </c>
    </row>
    <row r="33" spans="1:43" hidden="1" x14ac:dyDescent="0.2">
      <c r="A33" s="4" t="s">
        <v>14</v>
      </c>
      <c r="B33" s="57" t="s">
        <v>569</v>
      </c>
      <c r="C33" s="15" t="str">
        <f>LEFT(Tabela3[PAPEL],LEN(Tabela3[PAPEL])-(LEN(Tabela3[PAPEL])-4))</f>
        <v>BMEB</v>
      </c>
      <c r="D33" s="15">
        <v>3</v>
      </c>
      <c r="E33" s="6">
        <v>433340000</v>
      </c>
      <c r="F33" s="8">
        <v>19837918</v>
      </c>
      <c r="G33" s="88">
        <v>0.25</v>
      </c>
      <c r="H33" s="15"/>
      <c r="I33" s="19">
        <v>0.06</v>
      </c>
      <c r="J33" s="19">
        <v>0.1</v>
      </c>
      <c r="K33" s="90"/>
      <c r="L33" s="90"/>
      <c r="M33" s="96">
        <v>819449000</v>
      </c>
      <c r="N33" s="97">
        <v>-33881000</v>
      </c>
      <c r="O33" s="13">
        <f>Tabela3[[#This Row],[Capital Social]]*20%</f>
        <v>86668000</v>
      </c>
      <c r="P33" s="13">
        <f>IF((Tabela3[Lucro Líquido]*5%)&gt;Tabela3[Teto R. Legal],Tabela3[Teto R. Legal],Tabela3[Lucro Líquido]*5%)</f>
        <v>-1694050</v>
      </c>
      <c r="Q33" s="13">
        <f>IF(Tabela3[Lucro Líquido]&lt;0,0,Tabela3[Lucro Líquido]-Tabela3[Reserva Legal])</f>
        <v>0</v>
      </c>
      <c r="R33" s="13">
        <f>Tabela3[[#This Row],[Lucro Distribuir]]*Tabela3[%Div]</f>
        <v>0</v>
      </c>
      <c r="S33" s="56">
        <f>SUMPRODUCT(N(Tabela3[Nome]=Tabela3[[#This Row],[Nome]]),Tabela3[Ações])</f>
        <v>46100000</v>
      </c>
      <c r="T33" s="6">
        <f>Tabela3[Capital Social]/Tabela3[Total Ações]</f>
        <v>9.4</v>
      </c>
      <c r="U33" s="80">
        <f>Tabela3[[#This Row],[Lucro Líquido]]/Tabela3[[#This Row],[Total Ações]]</f>
        <v>-0.73494577006507589</v>
      </c>
      <c r="V3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0.56399999999999995</v>
      </c>
      <c r="Y3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0.56399999999999995</v>
      </c>
      <c r="Z33" s="13">
        <f>Tabela3[Div Base]*Tabela3[Ações]</f>
        <v>11188585.751999998</v>
      </c>
      <c r="AA33" s="13">
        <f>SUMPRODUCT(N(Tabela3[Nome]=Tabela3[[#This Row],[Nome]]),Tabela3[Div Base]*Tabela3[Ações])</f>
        <v>11188585.751999998</v>
      </c>
      <c r="AB33" s="95">
        <f>Tabela3[Patrimônio Líquido]/Tabela3[Total Ações]</f>
        <v>17.775466377440345</v>
      </c>
      <c r="AC33" s="48">
        <f>MAX(Tabela3[[#This Row],[Cotação 1]:[Cotação 4]])</f>
        <v>7.4</v>
      </c>
      <c r="AD33" s="44">
        <f>Tabela3[Cotação]/Tabela3[VPA]</f>
        <v>0.41630412630926394</v>
      </c>
      <c r="AE33" s="40">
        <f>IF(Tabela3[[#This Row],[Lucro/Ação]]&gt;0,Tabela3[[#This Row],[Cotação]]/(Tabela3[[#This Row],[Lucro/Ação]]/Tabela3[Ref]*4),0)</f>
        <v>0</v>
      </c>
      <c r="AF33" s="91">
        <f>IF(Tabela3[Div. Mínimo]=0,0,Tabela3[Lucro Distribuir]*#REF!/Tabela3[Total Ações])</f>
        <v>0</v>
      </c>
      <c r="AG33" s="80">
        <f>Tabela3[Lucro Distribuir]/Tabela3[Total Ações]</f>
        <v>0</v>
      </c>
      <c r="AH3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0.56399999999999995</v>
      </c>
      <c r="AI33" s="14" t="str">
        <f>IF(AND(Tabela3[% A.A.]&gt;=7%,SUMPRODUCT(N(Tabela3[Nome]=Tabela3[[#This Row],[Nome]]),Tabela3[PL])&gt;0),"Sim","Não")</f>
        <v>Não</v>
      </c>
      <c r="AJ33" s="42">
        <f>IF(Tabela3[Cotação]&gt;0,Tabela3[[#This Row],[Lucro]]/Tabela3[[#This Row],[Cotação]],0)</f>
        <v>7.6216216216216201E-2</v>
      </c>
      <c r="AK33" s="42">
        <f>((1+Tabela3[[#This Row],[% Yield]])^(1/(3*Tabela3[[#This Row],[Ref]])))^(12)-1</f>
        <v>0.10289129483635095</v>
      </c>
      <c r="AL33" s="14">
        <f>IF(Tabela3[Cotação]&gt;0,($AS$1/Tabela3[[#This Row],[Cotação]]-MOD($AS$1/Tabela3[[#This Row],[Cotação]],100)),)</f>
        <v>100</v>
      </c>
      <c r="AM33" s="17">
        <f>Tabela3[[#This Row],[Ativos]]*Tabela3[Lucro]</f>
        <v>56.399999999999991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7.4</v>
      </c>
      <c r="AQ33" s="17">
        <f>SUMPRODUCT(N(Tabela1768[Código]=Tabela3[[#This Row],[PAPEL]]),Tabela1768[Fechamento])</f>
        <v>0</v>
      </c>
    </row>
    <row r="34" spans="1:43" hidden="1" x14ac:dyDescent="0.2">
      <c r="A34" s="4" t="s">
        <v>14</v>
      </c>
      <c r="B34" s="57" t="s">
        <v>215</v>
      </c>
      <c r="C34" s="14" t="str">
        <f>LEFT(Tabela3[PAPEL],LEN(Tabela3[PAPEL])-(LEN(Tabela3[PAPEL])-4))</f>
        <v>BMIN</v>
      </c>
      <c r="D34" s="15">
        <v>3</v>
      </c>
      <c r="E34" s="6">
        <v>25552800</v>
      </c>
      <c r="F34" s="8">
        <v>111505680</v>
      </c>
      <c r="G34" s="83">
        <v>0.25</v>
      </c>
      <c r="H34" s="15"/>
      <c r="I34" s="19"/>
      <c r="J34" s="19"/>
      <c r="K34" s="90"/>
      <c r="L34" s="90"/>
      <c r="M34" s="6">
        <v>56483000</v>
      </c>
      <c r="N34" s="6">
        <v>1359000</v>
      </c>
      <c r="O34" s="6">
        <f>Tabela3[[#This Row],[Capital Social]]*20%</f>
        <v>5110560</v>
      </c>
      <c r="P34" s="6">
        <f>IF((Tabela3[Lucro Líquido]*5%)&gt;Tabela3[Teto R. Legal],Tabela3[Teto R. Legal],Tabela3[Lucro Líquido]*5%)</f>
        <v>67950</v>
      </c>
      <c r="Q34" s="6">
        <f>IF(Tabela3[Lucro Líquido]&lt;0,0,Tabela3[Lucro Líquido]-Tabela3[Reserva Legal])</f>
        <v>1291050</v>
      </c>
      <c r="R34" s="6">
        <f>Tabela3[[#This Row],[Lucro Distribuir]]*Tabela3[%Div]</f>
        <v>322762.5</v>
      </c>
      <c r="S34" s="21">
        <f>SUMPRODUCT(N(Tabela3[Nome]=Tabela3[[#This Row],[Nome]]),Tabela3[Ações])</f>
        <v>182520000</v>
      </c>
      <c r="T34" s="6">
        <f>Tabela3[Capital Social]/Tabela3[Total Ações]</f>
        <v>0.14000000000000001</v>
      </c>
      <c r="U34" s="80">
        <f>Tabela3[[#This Row],[Lucro Líquido]]/Tabela3[[#This Row],[Total Ações]]</f>
        <v>7.4457593688362919E-3</v>
      </c>
      <c r="V3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1.7683678500986194E-3</v>
      </c>
      <c r="W3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4" s="6">
        <f>Tabela3[Div Base]*Tabela3[Ações]</f>
        <v>0</v>
      </c>
      <c r="AA34" s="6">
        <f>SUMPRODUCT(N(Tabela3[Nome]=Tabela3[[#This Row],[Nome]]),Tabela3[Div Base]*Tabela3[Ações])</f>
        <v>695940.33600000013</v>
      </c>
      <c r="AB34" s="6">
        <f>Tabela3[Patrimônio Líquido]/Tabela3[Total Ações]</f>
        <v>0.30946197676966908</v>
      </c>
      <c r="AC34" s="48">
        <f>MAX(Tabela3[[#This Row],[Cotação 1]:[Cotação 4]])</f>
        <v>1.1000000000000001</v>
      </c>
      <c r="AD34" s="44">
        <f>Tabela3[Cotação]/Tabela3[VPA]</f>
        <v>3.5545562381601545</v>
      </c>
      <c r="AE34" s="40">
        <f>IF(Tabela3[[#This Row],[Lucro/Ação]]&gt;0,Tabela3[[#This Row],[Cotação]]/(Tabela3[[#This Row],[Lucro/Ação]]/Tabela3[Ref]*4),0)</f>
        <v>110.80132450331126</v>
      </c>
      <c r="AF34" s="40" t="e">
        <f>IF(Tabela3[Div. Mínimo]=0,0,Tabela3[Lucro Distribuir]*#REF!/Tabela3[Total Ações])</f>
        <v>#REF!</v>
      </c>
      <c r="AG34" s="80">
        <f>Tabela3[Lucro Distribuir]/Tabela3[Total Ações]</f>
        <v>7.0734714003944776E-3</v>
      </c>
      <c r="AH3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4" s="15" t="str">
        <f>IF(AND(Tabela3[% A.A.]&gt;=7%,SUMPRODUCT(N(Tabela3[Nome]=Tabela3[[#This Row],[Nome]]),Tabela3[PL])&gt;0),"Sim","Não")</f>
        <v>Não</v>
      </c>
      <c r="AJ34" s="42">
        <f>IF(Tabela3[Cotação]&gt;0,Tabela3[[#This Row],[Lucro]]/Tabela3[[#This Row],[Cotação]],0)</f>
        <v>0</v>
      </c>
      <c r="AK34" s="19">
        <f>((1+Tabela3[[#This Row],[% Yield]])^(1/(3*Tabela3[[#This Row],[Ref]])))^(12)-1</f>
        <v>0</v>
      </c>
      <c r="AL34" s="14">
        <f>IF(Tabela3[Cotação]&gt;0,($AS$1/Tabela3[[#This Row],[Cotação]]-MOD($AS$1/Tabela3[[#This Row],[Cotação]],100)),)</f>
        <v>900</v>
      </c>
      <c r="AM34" s="17">
        <f>Tabela3[[#This Row],[Ativos]]*Tabela3[Lucro]</f>
        <v>0</v>
      </c>
      <c r="AN34" s="5">
        <f>SUMPRODUCT(N(Tabela1[Código]=Tabela3[[#This Row],[PAPEL]]),Tabela1[Fechamento])</f>
        <v>1.1000000000000001</v>
      </c>
      <c r="AO34" s="5">
        <f>SUMPRODUCT(N(Tabela17[Código]=Tabela3[[#This Row],[PAPEL]]),Tabela17[Fechamento])</f>
        <v>0</v>
      </c>
      <c r="AP34" s="7">
        <f>SUMPRODUCT(N(Tabela176[Código]=Tabela3[[#This Row],[PAPEL]]),Tabela176[Fechamento])</f>
        <v>0</v>
      </c>
      <c r="AQ34" s="7">
        <f>SUMPRODUCT(N(Tabela1768[Código]=Tabela3[[#This Row],[PAPEL]]),Tabela1768[Fechamento])</f>
        <v>0</v>
      </c>
    </row>
    <row r="35" spans="1:43" hidden="1" x14ac:dyDescent="0.2">
      <c r="A35" s="4" t="s">
        <v>14</v>
      </c>
      <c r="B35" s="57" t="s">
        <v>61</v>
      </c>
      <c r="C35" s="14" t="str">
        <f>LEFT(Tabela3[PAPEL],LEN(Tabela3[PAPEL])-(LEN(Tabela3[PAPEL])-4))</f>
        <v>BMIN</v>
      </c>
      <c r="D35" s="15">
        <v>3</v>
      </c>
      <c r="E35" s="6">
        <v>25552800</v>
      </c>
      <c r="F35" s="8">
        <v>71014320</v>
      </c>
      <c r="G35" s="88">
        <v>0.25</v>
      </c>
      <c r="H35" s="15"/>
      <c r="I35" s="19">
        <v>7.0000000000000007E-2</v>
      </c>
      <c r="J35" s="19"/>
      <c r="K35" s="90"/>
      <c r="L35" s="90"/>
      <c r="M35" s="6">
        <v>56483000</v>
      </c>
      <c r="N35" s="6">
        <v>1359000</v>
      </c>
      <c r="O35" s="6">
        <f>Tabela3[[#This Row],[Capital Social]]*20%</f>
        <v>5110560</v>
      </c>
      <c r="P35" s="6">
        <f>IF((Tabela3[Lucro Líquido]*5%)&gt;Tabela3[Teto R. Legal],Tabela3[Teto R. Legal],Tabela3[Lucro Líquido]*5%)</f>
        <v>67950</v>
      </c>
      <c r="Q35" s="6">
        <f>IF(Tabela3[Lucro Líquido]&lt;0,0,Tabela3[Lucro Líquido]-Tabela3[Reserva Legal])</f>
        <v>1291050</v>
      </c>
      <c r="R35" s="6">
        <f>Tabela3[[#This Row],[Lucro Distribuir]]*Tabela3[%Div]</f>
        <v>322762.5</v>
      </c>
      <c r="S35" s="21">
        <f>SUMPRODUCT(N(Tabela3[Nome]=Tabela3[[#This Row],[Nome]]),Tabela3[Ações])</f>
        <v>182520000</v>
      </c>
      <c r="T35" s="6">
        <f>Tabela3[Capital Social]/Tabela3[Total Ações]</f>
        <v>0.14000000000000001</v>
      </c>
      <c r="U35" s="80">
        <f>Tabela3[[#This Row],[Lucro Líquido]]/Tabela3[[#This Row],[Total Ações]]</f>
        <v>7.4457593688362919E-3</v>
      </c>
      <c r="V3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1.7683678500986194E-3</v>
      </c>
      <c r="W3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9.8000000000000014E-3</v>
      </c>
      <c r="Y3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9.8000000000000014E-3</v>
      </c>
      <c r="Z35" s="6">
        <f>Tabela3[Div Base]*Tabela3[Ações]</f>
        <v>695940.33600000013</v>
      </c>
      <c r="AA35" s="6">
        <f>SUMPRODUCT(N(Tabela3[Nome]=Tabela3[[#This Row],[Nome]]),Tabela3[Div Base]*Tabela3[Ações])</f>
        <v>695940.33600000013</v>
      </c>
      <c r="AB35" s="6">
        <f>Tabela3[Patrimônio Líquido]/Tabela3[Total Ações]</f>
        <v>0.30946197676966908</v>
      </c>
      <c r="AC35" s="48">
        <f>MAX(Tabela3[[#This Row],[Cotação 1]:[Cotação 4]])</f>
        <v>0.25</v>
      </c>
      <c r="AD35" s="44">
        <f>Tabela3[Cotação]/Tabela3[VPA]</f>
        <v>0.80785369049094413</v>
      </c>
      <c r="AE35" s="40">
        <f>IF(Tabela3[[#This Row],[Lucro/Ação]]&gt;0,Tabela3[[#This Row],[Cotação]]/(Tabela3[[#This Row],[Lucro/Ação]]/Tabela3[Ref]*4),0)</f>
        <v>25.182119205298012</v>
      </c>
      <c r="AF35" s="40" t="e">
        <f>IF(Tabela3[Div. Mínimo]=0,0,Tabela3[Lucro Distribuir]*#REF!/Tabela3[Total Ações])</f>
        <v>#REF!</v>
      </c>
      <c r="AG35" s="80">
        <f>Tabela3[Lucro Distribuir]/Tabela3[Total Ações]</f>
        <v>7.0734714003944776E-3</v>
      </c>
      <c r="AH3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9.8000000000000014E-3</v>
      </c>
      <c r="AI35" s="15" t="str">
        <f>IF(AND(Tabela3[% A.A.]&gt;=7%,SUMPRODUCT(N(Tabela3[Nome]=Tabela3[[#This Row],[Nome]]),Tabela3[PL])&gt;0),"Sim","Não")</f>
        <v>Não</v>
      </c>
      <c r="AJ35" s="42">
        <f>IF(Tabela3[Cotação]&gt;0,Tabela3[[#This Row],[Lucro]]/Tabela3[[#This Row],[Cotação]],0)</f>
        <v>3.9200000000000006E-2</v>
      </c>
      <c r="AK35" s="19">
        <f>((1+Tabela3[[#This Row],[% Yield]])^(1/(3*Tabela3[[#This Row],[Ref]])))^(12)-1</f>
        <v>5.2605215184313936E-2</v>
      </c>
      <c r="AL35" s="14">
        <f>IF(Tabela3[Cotação]&gt;0,($AS$1/Tabela3[[#This Row],[Cotação]]-MOD($AS$1/Tabela3[[#This Row],[Cotação]],100)),)</f>
        <v>4000</v>
      </c>
      <c r="AM35" s="17">
        <f>Tabela3[[#This Row],[Ativos]]*Tabela3[Lucro]</f>
        <v>39.200000000000003</v>
      </c>
      <c r="AN35" s="5">
        <f>SUMPRODUCT(N(Tabela1[Código]=Tabela3[[#This Row],[PAPEL]]),Tabela1[Fechamento])</f>
        <v>0.25</v>
      </c>
      <c r="AO35" s="5">
        <f>SUMPRODUCT(N(Tabela17[Código]=Tabela3[[#This Row],[PAPEL]]),Tabela17[Fechamento])</f>
        <v>0</v>
      </c>
      <c r="AP35" s="7">
        <f>SUMPRODUCT(N(Tabela176[Código]=Tabela3[[#This Row],[PAPEL]]),Tabela176[Fechamento])</f>
        <v>0</v>
      </c>
      <c r="AQ35" s="7">
        <f>SUMPRODUCT(N(Tabela1768[Código]=Tabela3[[#This Row],[PAPEL]]),Tabela1768[Fechamento])</f>
        <v>0</v>
      </c>
    </row>
    <row r="36" spans="1:43" hidden="1" x14ac:dyDescent="0.2">
      <c r="A36" s="4" t="s">
        <v>14</v>
      </c>
      <c r="B36" s="57" t="s">
        <v>217</v>
      </c>
      <c r="C36" s="14" t="str">
        <f>LEFT(Tabela3[PAPEL],LEN(Tabela3[PAPEL])-(LEN(Tabela3[PAPEL])-4))</f>
        <v>BNBR</v>
      </c>
      <c r="D36" s="15">
        <v>3</v>
      </c>
      <c r="E36" s="6">
        <v>2437000000</v>
      </c>
      <c r="F36" s="8">
        <v>48484775</v>
      </c>
      <c r="G36" s="83">
        <v>0.25</v>
      </c>
      <c r="H36" s="15"/>
      <c r="I36" s="19"/>
      <c r="J36" s="19"/>
      <c r="K36" s="90"/>
      <c r="L36" s="90"/>
      <c r="M36" s="6">
        <v>2513911000</v>
      </c>
      <c r="N36" s="6">
        <v>303723000</v>
      </c>
      <c r="O36" s="6">
        <f>Tabela3[[#This Row],[Capital Social]]*20%</f>
        <v>487400000</v>
      </c>
      <c r="P36" s="6">
        <f>IF((Tabela3[Lucro Líquido]*5%)&gt;Tabela3[Teto R. Legal],Tabela3[Teto R. Legal],Tabela3[Lucro Líquido]*5%)</f>
        <v>15186150</v>
      </c>
      <c r="Q36" s="6">
        <f>IF(Tabela3[Lucro Líquido]&lt;0,0,Tabela3[Lucro Líquido]-Tabela3[Reserva Legal])</f>
        <v>288536850</v>
      </c>
      <c r="R36" s="6">
        <f>Tabela3[[#This Row],[Lucro Distribuir]]*Tabela3[%Div]</f>
        <v>72134212.5</v>
      </c>
      <c r="S36" s="21">
        <f>SUMPRODUCT(N(Tabela3[Nome]=Tabela3[[#This Row],[Nome]]),Tabela3[Ações])</f>
        <v>87001901</v>
      </c>
      <c r="T36" s="6">
        <f>Tabela3[Capital Social]/Tabela3[Total Ações]</f>
        <v>28.010882198999308</v>
      </c>
      <c r="U36" s="80">
        <f>Tabela3[[#This Row],[Lucro Líquido]]/Tabela3[[#This Row],[Total Ações]]</f>
        <v>3.4909926853207494</v>
      </c>
      <c r="V3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0.82911076276367801</v>
      </c>
      <c r="W3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0.82911076276367801</v>
      </c>
      <c r="Z36" s="6">
        <f>Tabela3[Div Base]*Tabela3[Ações]</f>
        <v>40199248.782675304</v>
      </c>
      <c r="AA36" s="6">
        <f>SUMPRODUCT(N(Tabela3[Nome]=Tabela3[[#This Row],[Nome]]),Tabela3[Div Base]*Tabela3[Ações])</f>
        <v>72134212.5</v>
      </c>
      <c r="AB36" s="6">
        <f>Tabela3[Patrimônio Líquido]/Tabela3[Total Ações]</f>
        <v>28.894897365518485</v>
      </c>
      <c r="AC36" s="48">
        <f>MAX(Tabela3[[#This Row],[Cotação 1]:[Cotação 4]])</f>
        <v>27</v>
      </c>
      <c r="AD36" s="44">
        <f>Tabela3[Cotação]/Tabela3[VPA]</f>
        <v>0.93442103837407131</v>
      </c>
      <c r="AE36" s="40">
        <f>IF(Tabela3[[#This Row],[Lucro/Ação]]&gt;0,Tabela3[[#This Row],[Cotação]]/(Tabela3[[#This Row],[Lucro/Ação]]/Tabela3[Ref]*4),0)</f>
        <v>5.8006423459863097</v>
      </c>
      <c r="AF36" s="40" t="e">
        <f>IF(Tabela3[Div. Mínimo]=0,0,Tabela3[Lucro Distribuir]*#REF!/Tabela3[Total Ações])</f>
        <v>#REF!</v>
      </c>
      <c r="AG36" s="80">
        <f>Tabela3[Lucro Distribuir]/Tabela3[Total Ações]</f>
        <v>3.316443051054712</v>
      </c>
      <c r="AH3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0.82911076276367801</v>
      </c>
      <c r="AI36" s="15" t="str">
        <f>IF(AND(Tabela3[% A.A.]&gt;=7%,SUMPRODUCT(N(Tabela3[Nome]=Tabela3[[#This Row],[Nome]]),Tabela3[PL])&gt;0),"Sim","Não")</f>
        <v>Não</v>
      </c>
      <c r="AJ36" s="42">
        <f>IF(Tabela3[Cotação]&gt;0,Tabela3[[#This Row],[Lucro]]/Tabela3[[#This Row],[Cotação]],0)</f>
        <v>3.0707806028284372E-2</v>
      </c>
      <c r="AK36" s="19">
        <f>((1+Tabela3[[#This Row],[% Yield]])^(1/(3*Tabela3[[#This Row],[Ref]])))^(12)-1</f>
        <v>4.1151878166107103E-2</v>
      </c>
      <c r="AL36" s="14">
        <f>IF(Tabela3[Cotação]&gt;0,($AS$1/Tabela3[[#This Row],[Cotação]]-MOD($AS$1/Tabela3[[#This Row],[Cotação]],100)),)</f>
        <v>0</v>
      </c>
      <c r="AM36" s="17">
        <f>Tabela3[[#This Row],[Ativos]]*Tabela3[Lucro]</f>
        <v>0</v>
      </c>
      <c r="AN36" s="5">
        <f>SUMPRODUCT(N(Tabela1[Código]=Tabela3[[#This Row],[PAPEL]]),Tabela1[Fechamento])</f>
        <v>27</v>
      </c>
      <c r="AO36" s="5">
        <f>SUMPRODUCT(N(Tabela17[Código]=Tabela3[[#This Row],[PAPEL]]),Tabela17[Fechamento])</f>
        <v>0</v>
      </c>
      <c r="AP36" s="7">
        <f>SUMPRODUCT(N(Tabela176[Código]=Tabela3[[#This Row],[PAPEL]]),Tabela176[Fechamento])</f>
        <v>0</v>
      </c>
      <c r="AQ36" s="7">
        <f>SUMPRODUCT(N(Tabela1768[Código]=Tabela3[[#This Row],[PAPEL]]),Tabela1768[Fechamento])</f>
        <v>0</v>
      </c>
    </row>
    <row r="37" spans="1:43" hidden="1" x14ac:dyDescent="0.2">
      <c r="A37" s="4" t="s">
        <v>14</v>
      </c>
      <c r="B37" s="57" t="s">
        <v>218</v>
      </c>
      <c r="C37" s="14" t="str">
        <f>LEFT(Tabela3[PAPEL],LEN(Tabela3[PAPEL])-(LEN(Tabela3[PAPEL])-4))</f>
        <v>BNBR</v>
      </c>
      <c r="D37" s="15">
        <v>3</v>
      </c>
      <c r="E37" s="6">
        <v>2437000000</v>
      </c>
      <c r="F37" s="8">
        <v>38517126</v>
      </c>
      <c r="G37" s="88">
        <v>0.25</v>
      </c>
      <c r="H37" s="19"/>
      <c r="I37" s="19"/>
      <c r="J37" s="19"/>
      <c r="K37" s="90"/>
      <c r="L37" s="90"/>
      <c r="M37" s="6">
        <v>2513911000</v>
      </c>
      <c r="N37" s="6">
        <v>303723000</v>
      </c>
      <c r="O37" s="6">
        <f>Tabela3[[#This Row],[Capital Social]]*20%</f>
        <v>487400000</v>
      </c>
      <c r="P37" s="6">
        <f>IF((Tabela3[Lucro Líquido]*5%)&gt;Tabela3[Teto R. Legal],Tabela3[Teto R. Legal],Tabela3[Lucro Líquido]*5%)</f>
        <v>15186150</v>
      </c>
      <c r="Q37" s="6">
        <f>IF(Tabela3[Lucro Líquido]&lt;0,0,Tabela3[Lucro Líquido]-Tabela3[Reserva Legal])</f>
        <v>288536850</v>
      </c>
      <c r="R37" s="6">
        <f>Tabela3[[#This Row],[Lucro Distribuir]]*Tabela3[%Div]</f>
        <v>72134212.5</v>
      </c>
      <c r="S37" s="21">
        <f>SUMPRODUCT(N(Tabela3[Nome]=Tabela3[[#This Row],[Nome]]),Tabela3[Ações])</f>
        <v>87001901</v>
      </c>
      <c r="T37" s="6">
        <f>Tabela3[Capital Social]/Tabela3[Total Ações]</f>
        <v>28.010882198999308</v>
      </c>
      <c r="U37" s="80">
        <f>Tabela3[[#This Row],[Lucro Líquido]]/Tabela3[[#This Row],[Total Ações]]</f>
        <v>3.4909926853207494</v>
      </c>
      <c r="V3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0.82911076276367801</v>
      </c>
      <c r="W3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0.82911076276367801</v>
      </c>
      <c r="Z37" s="6">
        <f>Tabela3[Div Base]*Tabela3[Ações]</f>
        <v>31934963.717324693</v>
      </c>
      <c r="AA37" s="6">
        <f>SUMPRODUCT(N(Tabela3[Nome]=Tabela3[[#This Row],[Nome]]),Tabela3[Div Base]*Tabela3[Ações])</f>
        <v>72134212.5</v>
      </c>
      <c r="AB37" s="6">
        <f>Tabela3[Patrimônio Líquido]/Tabela3[Total Ações]</f>
        <v>28.894897365518485</v>
      </c>
      <c r="AC37" s="48">
        <f>MAX(Tabela3[[#This Row],[Cotação 1]:[Cotação 4]])</f>
        <v>28</v>
      </c>
      <c r="AD37" s="44">
        <f>Tabela3[Cotação]/Tabela3[VPA]</f>
        <v>0.96902922498051836</v>
      </c>
      <c r="AE37" s="40">
        <f>IF(Tabela3[[#This Row],[Lucro/Ação]]&gt;0,Tabela3[[#This Row],[Cotação]]/(Tabela3[[#This Row],[Lucro/Ação]]/Tabela3[Ref]*4),0)</f>
        <v>6.0154809513932097</v>
      </c>
      <c r="AF37" s="77" t="e">
        <f>IF(Tabela3[Div. Mínimo]=0,0,Tabela3[Lucro Distribuir]*#REF!/Tabela3[Total Ações])</f>
        <v>#REF!</v>
      </c>
      <c r="AG37" s="80">
        <f>Tabela3[Lucro Distribuir]/Tabela3[Total Ações]</f>
        <v>3.316443051054712</v>
      </c>
      <c r="AH3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0.82911076276367801</v>
      </c>
      <c r="AI37" s="15" t="str">
        <f>IF(AND(Tabela3[% A.A.]&gt;=7%,SUMPRODUCT(N(Tabela3[Nome]=Tabela3[[#This Row],[Nome]]),Tabela3[PL])&gt;0),"Sim","Não")</f>
        <v>Não</v>
      </c>
      <c r="AJ37" s="42">
        <f>IF(Tabela3[Cotação]&gt;0,Tabela3[[#This Row],[Lucro]]/Tabela3[[#This Row],[Cotação]],0)</f>
        <v>2.9611098670131359E-2</v>
      </c>
      <c r="AK37" s="19">
        <f>((1+Tabela3[[#This Row],[% Yield]])^(1/(3*Tabela3[[#This Row],[Ref]])))^(12)-1</f>
        <v>3.9675046576872042E-2</v>
      </c>
      <c r="AL37" s="14">
        <f>IF(Tabela3[Cotação]&gt;0,($AS$1/Tabela3[[#This Row],[Cotação]]-MOD($AS$1/Tabela3[[#This Row],[Cotação]],100)),)</f>
        <v>0</v>
      </c>
      <c r="AM37" s="17">
        <f>Tabela3[[#This Row],[Ativos]]*Tabela3[Lucro]</f>
        <v>0</v>
      </c>
      <c r="AN37" s="5">
        <f>SUMPRODUCT(N(Tabela1[Código]=Tabela3[[#This Row],[PAPEL]]),Tabela1[Fechamento])</f>
        <v>28</v>
      </c>
      <c r="AO37" s="5">
        <f>SUMPRODUCT(N(Tabela17[Código]=Tabela3[[#This Row],[PAPEL]]),Tabela17[Fechamento])</f>
        <v>0</v>
      </c>
      <c r="AP37" s="7">
        <f>SUMPRODUCT(N(Tabela176[Código]=Tabela3[[#This Row],[PAPEL]]),Tabela176[Fechamento])</f>
        <v>0</v>
      </c>
      <c r="AQ37" s="7">
        <f>SUMPRODUCT(N(Tabela1768[Código]=Tabela3[[#This Row],[PAPEL]]),Tabela1768[Fechamento])</f>
        <v>0</v>
      </c>
    </row>
    <row r="38" spans="1:43" hidden="1" x14ac:dyDescent="0.2">
      <c r="A38" s="3" t="s">
        <v>921</v>
      </c>
      <c r="B38" s="58" t="s">
        <v>922</v>
      </c>
      <c r="C38" s="16" t="str">
        <f>LEFT(Tabela3[PAPEL],LEN(Tabela3[PAPEL])-(LEN(Tabela3[PAPEL])-4))</f>
        <v>BOBR</v>
      </c>
      <c r="D38" s="16">
        <v>3</v>
      </c>
      <c r="E38" s="5">
        <v>795142427.63999999</v>
      </c>
      <c r="F38" s="56">
        <v>20000000</v>
      </c>
      <c r="G38" s="83">
        <v>0.25</v>
      </c>
      <c r="H38" s="89"/>
      <c r="I38" s="18"/>
      <c r="K38" s="16"/>
      <c r="L38" s="89"/>
      <c r="M38" s="94">
        <v>-37030000</v>
      </c>
      <c r="N38" s="73">
        <v>-45486000</v>
      </c>
      <c r="O38" s="7">
        <f>Tabela3[[#This Row],[Capital Social]]*20%</f>
        <v>159028485.528</v>
      </c>
      <c r="P38" s="47">
        <f>IF((Tabela3[Lucro Líquido]*5%)&gt;Tabela3[Teto R. Legal],Tabela3[Teto R. Legal],Tabela3[Lucro Líquido]*5%)</f>
        <v>-2274300</v>
      </c>
      <c r="Q38" s="47">
        <f>IF(Tabela3[Lucro Líquido]&lt;0,0,Tabela3[Lucro Líquido]-Tabela3[Reserva Legal])</f>
        <v>0</v>
      </c>
      <c r="R38" s="47">
        <f>Tabela3[[#This Row],[Lucro Distribuir]]*Tabela3[%Div]</f>
        <v>0</v>
      </c>
      <c r="S38" s="56">
        <f>SUMPRODUCT(N(Tabela3[Nome]=Tabela3[[#This Row],[Nome]]),Tabela3[Ações])</f>
        <v>54064588</v>
      </c>
      <c r="T38" s="87">
        <f>Tabela3[Capital Social]/Tabela3[Total Ações]</f>
        <v>14.70726878821309</v>
      </c>
      <c r="U38" s="87">
        <f>Tabela3[[#This Row],[Lucro Líquido]]/Tabela3[[#This Row],[Total Ações]]</f>
        <v>-0.841327043868345</v>
      </c>
      <c r="V38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8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8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8" s="7">
        <f>Tabela3[Div Base]*Tabela3[Ações]</f>
        <v>0</v>
      </c>
      <c r="AA38" s="7">
        <f>SUMPRODUCT(N(Tabela3[Nome]=Tabela3[[#This Row],[Nome]]),Tabela3[Div Base]*Tabela3[Ações])</f>
        <v>0</v>
      </c>
      <c r="AB38" s="74">
        <f>Tabela3[Patrimônio Líquido]/Tabela3[Total Ações]</f>
        <v>-0.68492152386327254</v>
      </c>
      <c r="AC38" s="52">
        <f>MAX(Tabela3[[#This Row],[Cotação 1]:[Cotação 4]])</f>
        <v>0</v>
      </c>
      <c r="AD38" s="53">
        <f>Tabela3[Cotação]/Tabela3[VPA]</f>
        <v>0</v>
      </c>
      <c r="AE38" s="37">
        <f>IF(Tabela3[[#This Row],[Lucro/Ação]]&gt;0,Tabela3[[#This Row],[Cotação]]/(Tabela3[[#This Row],[Lucro/Ação]]/Tabela3[Ref]*4),0)</f>
        <v>0</v>
      </c>
      <c r="AF38" s="59">
        <f>IF(Tabela3[Div. Mínimo]=0,0,Tabela3[Lucro Distribuir]*#REF!/Tabela3[Total Ações])</f>
        <v>0</v>
      </c>
      <c r="AG38" s="87">
        <f>Tabela3[Lucro Distribuir]/Tabela3[Total Ações]</f>
        <v>0</v>
      </c>
      <c r="AH38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8" s="10" t="str">
        <f>IF(AND(Tabela3[% A.A.]&gt;=7%,SUMPRODUCT(N(Tabela3[Nome]=Tabela3[[#This Row],[Nome]]),Tabela3[PL])&gt;0),"Sim","Não")</f>
        <v>Não</v>
      </c>
      <c r="AJ38" s="22">
        <f>IF(Tabela3[Cotação]&gt;0,Tabela3[[#This Row],[Lucro]]/Tabela3[[#This Row],[Cotação]],0)</f>
        <v>0</v>
      </c>
      <c r="AK38" s="22">
        <f>((1+Tabela3[[#This Row],[% Yield]])^(1/(3*Tabela3[[#This Row],[Ref]])))^(12)-1</f>
        <v>0</v>
      </c>
      <c r="AL38" s="10">
        <f>IF(Tabela3[Cotação]&gt;0,($AS$1/Tabela3[[#This Row],[Cotação]]-MOD($AS$1/Tabela3[[#This Row],[Cotação]],100)),)</f>
        <v>0</v>
      </c>
      <c r="AM38" s="7">
        <f>Tabela3[[#This Row],[Ativos]]*Tabela3[Lucro]</f>
        <v>0</v>
      </c>
      <c r="AN38" s="7">
        <f>SUMPRODUCT(N(Tabela1[Código]=Tabela3[[#This Row],[PAPEL]]),Tabela1[Fechamento])</f>
        <v>0</v>
      </c>
      <c r="AO38" s="7">
        <f>SUMPRODUCT(N(Tabela17[Código]=Tabela3[[#This Row],[PAPEL]]),Tabela17[Fechamento])</f>
        <v>0</v>
      </c>
      <c r="AP38" s="7">
        <f>SUMPRODUCT(N(Tabela176[Código]=Tabela3[[#This Row],[PAPEL]]),Tabela176[Fechamento])</f>
        <v>0</v>
      </c>
      <c r="AQ38" s="7">
        <f>SUMPRODUCT(N(Tabela1768[Código]=Tabela3[[#This Row],[PAPEL]]),Tabela1768[Fechamento])</f>
        <v>0</v>
      </c>
    </row>
    <row r="39" spans="1:43" hidden="1" x14ac:dyDescent="0.2">
      <c r="A39" s="3" t="s">
        <v>921</v>
      </c>
      <c r="B39" s="58" t="s">
        <v>923</v>
      </c>
      <c r="C39" s="16" t="str">
        <f>LEFT(Tabela3[PAPEL],LEN(Tabela3[PAPEL])-(LEN(Tabela3[PAPEL])-4))</f>
        <v>BOBR</v>
      </c>
      <c r="D39" s="16">
        <v>3</v>
      </c>
      <c r="E39" s="5">
        <v>795142427.63999999</v>
      </c>
      <c r="F39" s="56">
        <v>34064588</v>
      </c>
      <c r="G39" s="83">
        <v>0.25</v>
      </c>
      <c r="H39" s="89"/>
      <c r="I39" s="18"/>
      <c r="J39" s="18">
        <v>0.1</v>
      </c>
      <c r="K39" s="16"/>
      <c r="L39" s="89"/>
      <c r="M39" s="94">
        <v>-37030000</v>
      </c>
      <c r="N39" s="73">
        <v>-45486000</v>
      </c>
      <c r="O39" s="7">
        <f>Tabela3[[#This Row],[Capital Social]]*20%</f>
        <v>159028485.528</v>
      </c>
      <c r="P39" s="47">
        <f>IF((Tabela3[Lucro Líquido]*5%)&gt;Tabela3[Teto R. Legal],Tabela3[Teto R. Legal],Tabela3[Lucro Líquido]*5%)</f>
        <v>-2274300</v>
      </c>
      <c r="Q39" s="47">
        <f>IF(Tabela3[Lucro Líquido]&lt;0,0,Tabela3[Lucro Líquido]-Tabela3[Reserva Legal])</f>
        <v>0</v>
      </c>
      <c r="R39" s="47">
        <f>Tabela3[[#This Row],[Lucro Distribuir]]*Tabela3[%Div]</f>
        <v>0</v>
      </c>
      <c r="S39" s="56">
        <f>SUMPRODUCT(N(Tabela3[Nome]=Tabela3[[#This Row],[Nome]]),Tabela3[Ações])</f>
        <v>54064588</v>
      </c>
      <c r="T39" s="87">
        <f>Tabela3[Capital Social]/Tabela3[Total Ações]</f>
        <v>14.70726878821309</v>
      </c>
      <c r="U39" s="87">
        <f>Tabela3[[#This Row],[Lucro Líquido]]/Tabela3[[#This Row],[Total Ações]]</f>
        <v>-0.841327043868345</v>
      </c>
      <c r="V39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9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9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9" s="7">
        <f>Tabela3[Div Base]*Tabela3[Ações]</f>
        <v>0</v>
      </c>
      <c r="AA39" s="7">
        <f>SUMPRODUCT(N(Tabela3[Nome]=Tabela3[[#This Row],[Nome]]),Tabela3[Div Base]*Tabela3[Ações])</f>
        <v>0</v>
      </c>
      <c r="AB39" s="74">
        <f>Tabela3[Patrimônio Líquido]/Tabela3[Total Ações]</f>
        <v>-0.68492152386327254</v>
      </c>
      <c r="AC39" s="52">
        <f>MAX(Tabela3[[#This Row],[Cotação 1]:[Cotação 4]])</f>
        <v>6.27</v>
      </c>
      <c r="AD39" s="53">
        <f>Tabela3[Cotação]/Tabela3[VPA]</f>
        <v>-9.1543334258709148</v>
      </c>
      <c r="AE39" s="37">
        <f>IF(Tabela3[[#This Row],[Lucro/Ação]]&gt;0,Tabela3[[#This Row],[Cotação]]/(Tabela3[[#This Row],[Lucro/Ação]]/Tabela3[Ref]*4),0)</f>
        <v>0</v>
      </c>
      <c r="AF39" s="59">
        <f>IF(Tabela3[Div. Mínimo]=0,0,Tabela3[Lucro Distribuir]*#REF!/Tabela3[Total Ações])</f>
        <v>0</v>
      </c>
      <c r="AG39" s="87">
        <f>Tabela3[Lucro Distribuir]/Tabela3[Total Ações]</f>
        <v>0</v>
      </c>
      <c r="AH39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9" s="10" t="str">
        <f>IF(AND(Tabela3[% A.A.]&gt;=7%,SUMPRODUCT(N(Tabela3[Nome]=Tabela3[[#This Row],[Nome]]),Tabela3[PL])&gt;0),"Sim","Não")</f>
        <v>Não</v>
      </c>
      <c r="AJ39" s="22">
        <f>IF(Tabela3[Cotação]&gt;0,Tabela3[[#This Row],[Lucro]]/Tabela3[[#This Row],[Cotação]],0)</f>
        <v>0</v>
      </c>
      <c r="AK39" s="22">
        <f>((1+Tabela3[[#This Row],[% Yield]])^(1/(3*Tabela3[[#This Row],[Ref]])))^(12)-1</f>
        <v>0</v>
      </c>
      <c r="AL39" s="10">
        <f>IF(Tabela3[Cotação]&gt;0,($AS$1/Tabela3[[#This Row],[Cotação]]-MOD($AS$1/Tabela3[[#This Row],[Cotação]],100)),)</f>
        <v>100</v>
      </c>
      <c r="AM39" s="7">
        <f>Tabela3[[#This Row],[Ativos]]*Tabela3[Lucro]</f>
        <v>0</v>
      </c>
      <c r="AN39" s="7">
        <f>SUMPRODUCT(N(Tabela1[Código]=Tabela3[[#This Row],[PAPEL]]),Tabela1[Fechamento])</f>
        <v>0</v>
      </c>
      <c r="AO39" s="7">
        <f>SUMPRODUCT(N(Tabela17[Código]=Tabela3[[#This Row],[PAPEL]]),Tabela17[Fechamento])</f>
        <v>0</v>
      </c>
      <c r="AP39" s="7">
        <f>SUMPRODUCT(N(Tabela176[Código]=Tabela3[[#This Row],[PAPEL]]),Tabela176[Fechamento])</f>
        <v>6.27</v>
      </c>
      <c r="AQ39" s="7">
        <f>SUMPRODUCT(N(Tabela1768[Código]=Tabela3[[#This Row],[PAPEL]]),Tabela1768[Fechamento])</f>
        <v>0</v>
      </c>
    </row>
    <row r="40" spans="1:43" hidden="1" x14ac:dyDescent="0.2">
      <c r="A40" s="4" t="s">
        <v>14</v>
      </c>
      <c r="B40" s="57" t="s">
        <v>578</v>
      </c>
      <c r="C40" s="15" t="str">
        <f>LEFT(Tabela3[PAPEL],LEN(Tabela3[PAPEL])-(LEN(Tabela3[PAPEL])-4))</f>
        <v>BPAT</v>
      </c>
      <c r="D40" s="15">
        <v>3</v>
      </c>
      <c r="E40" s="6">
        <v>719264737</v>
      </c>
      <c r="F40" s="8">
        <v>719264737</v>
      </c>
      <c r="G40" s="88">
        <v>0.25</v>
      </c>
      <c r="H40" s="15"/>
      <c r="I40" s="19"/>
      <c r="J40" s="19"/>
      <c r="K40" s="90"/>
      <c r="L40" s="90"/>
      <c r="M40" s="96">
        <v>1734484000</v>
      </c>
      <c r="N40" s="97">
        <v>373475000</v>
      </c>
      <c r="O40" s="13">
        <f>Tabela3[[#This Row],[Capital Social]]*20%</f>
        <v>143852947.40000001</v>
      </c>
      <c r="P40" s="13">
        <f>IF((Tabela3[Lucro Líquido]*5%)&gt;Tabela3[Teto R. Legal],Tabela3[Teto R. Legal],Tabela3[Lucro Líquido]*5%)</f>
        <v>18673750</v>
      </c>
      <c r="Q40" s="13">
        <f>IF(Tabela3[Lucro Líquido]&lt;0,0,Tabela3[Lucro Líquido]-Tabela3[Reserva Legal])</f>
        <v>354801250</v>
      </c>
      <c r="R40" s="13">
        <f>Tabela3[[#This Row],[Lucro Distribuir]]*Tabela3[%Div]</f>
        <v>88700312.5</v>
      </c>
      <c r="S40" s="56">
        <f>SUMPRODUCT(N(Tabela3[Nome]=Tabela3[[#This Row],[Nome]]),Tabela3[Ações])</f>
        <v>719264737</v>
      </c>
      <c r="T40" s="6">
        <f>Tabela3[Capital Social]/Tabela3[Total Ações]</f>
        <v>1</v>
      </c>
      <c r="U40" s="80">
        <f>Tabela3[[#This Row],[Lucro Líquido]]/Tabela3[[#This Row],[Total Ações]]</f>
        <v>0.51924553059244438</v>
      </c>
      <c r="V4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0.12332081351570555</v>
      </c>
      <c r="W4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0.12332081351570555</v>
      </c>
      <c r="Z40" s="13">
        <f>Tabela3[Div Base]*Tabela3[Ações]</f>
        <v>88700312.5</v>
      </c>
      <c r="AA40" s="13">
        <f>SUMPRODUCT(N(Tabela3[Nome]=Tabela3[[#This Row],[Nome]]),Tabela3[Div Base]*Tabela3[Ações])</f>
        <v>88700312.5</v>
      </c>
      <c r="AB40" s="95">
        <f>Tabela3[Patrimônio Líquido]/Tabela3[Total Ações]</f>
        <v>2.4114681434744103</v>
      </c>
      <c r="AC40" s="48">
        <f>MAX(Tabela3[[#This Row],[Cotação 1]:[Cotação 4]])</f>
        <v>20</v>
      </c>
      <c r="AD40" s="44">
        <f>Tabela3[Cotação]/Tabela3[VPA]</f>
        <v>8.29370276116701</v>
      </c>
      <c r="AE40" s="40">
        <f>IF(Tabela3[[#This Row],[Lucro/Ação]]&gt;0,Tabela3[[#This Row],[Cotação]]/(Tabela3[[#This Row],[Lucro/Ação]]/Tabela3[Ref]*4),0)</f>
        <v>28.888067621661428</v>
      </c>
      <c r="AF40" s="91" t="e">
        <f>IF(Tabela3[Div. Mínimo]=0,0,Tabela3[Lucro Distribuir]*#REF!/Tabela3[Total Ações])</f>
        <v>#REF!</v>
      </c>
      <c r="AG40" s="80">
        <f>Tabela3[Lucro Distribuir]/Tabela3[Total Ações]</f>
        <v>0.4932832540628222</v>
      </c>
      <c r="AH4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0.12332081351570555</v>
      </c>
      <c r="AI40" s="14" t="str">
        <f>IF(AND(Tabela3[% A.A.]&gt;=7%,SUMPRODUCT(N(Tabela3[Nome]=Tabela3[[#This Row],[Nome]]),Tabela3[PL])&gt;0),"Sim","Não")</f>
        <v>Não</v>
      </c>
      <c r="AJ40" s="42">
        <f>IF(Tabela3[Cotação]&gt;0,Tabela3[[#This Row],[Lucro]]/Tabela3[[#This Row],[Cotação]],0)</f>
        <v>6.1660406757852778E-3</v>
      </c>
      <c r="AK40" s="42">
        <f>((1+Tabela3[[#This Row],[% Yield]])^(1/(3*Tabela3[[#This Row],[Ref]])))^(12)-1</f>
        <v>8.2298249221024466E-3</v>
      </c>
      <c r="AL40" s="14">
        <f>IF(Tabela3[Cotação]&gt;0,($AS$1/Tabela3[[#This Row],[Cotação]]-MOD($AS$1/Tabela3[[#This Row],[Cotação]],100)),)</f>
        <v>0</v>
      </c>
      <c r="AM40" s="17">
        <f>Tabela3[[#This Row],[Ativos]]*Tabela3[Lucro]</f>
        <v>0</v>
      </c>
      <c r="AN40" s="17">
        <f>SUMPRODUCT(N(Tabela1[Código]=Tabela3[[#This Row],[PAPEL]]),Tabela1[Fechamento])</f>
        <v>0</v>
      </c>
      <c r="AO40" s="17">
        <f>SUMPRODUCT(N(Tabela17[Código]=Tabela3[[#This Row],[PAPEL]]),Tabela17[Fechamento])</f>
        <v>0</v>
      </c>
      <c r="AP40" s="17">
        <f>SUMPRODUCT(N(Tabela176[Código]=Tabela3[[#This Row],[PAPEL]]),Tabela176[Fechamento])</f>
        <v>20</v>
      </c>
      <c r="AQ40" s="17">
        <f>SUMPRODUCT(N(Tabela1768[Código]=Tabela3[[#This Row],[PAPEL]]),Tabela1768[Fechamento])</f>
        <v>0</v>
      </c>
    </row>
    <row r="41" spans="1:43" hidden="1" x14ac:dyDescent="0.2">
      <c r="A41" s="3" t="s">
        <v>942</v>
      </c>
      <c r="B41" s="58" t="s">
        <v>944</v>
      </c>
      <c r="C41" s="16" t="str">
        <f>LEFT(Tabela3[PAPEL],LEN(Tabela3[PAPEL])-(LEN(Tabela3[PAPEL])-4))</f>
        <v>BPHA</v>
      </c>
      <c r="D41" s="16">
        <v>3</v>
      </c>
      <c r="E41" s="5">
        <v>1441641845.74</v>
      </c>
      <c r="F41" s="56">
        <v>256384419</v>
      </c>
      <c r="G41" s="83">
        <v>0.25</v>
      </c>
      <c r="H41" s="89"/>
      <c r="I41" s="18"/>
      <c r="K41" s="16"/>
      <c r="L41" s="89"/>
      <c r="M41" s="94">
        <v>1592861000</v>
      </c>
      <c r="N41" s="73">
        <v>36867000</v>
      </c>
      <c r="O41" s="7">
        <f>Tabela3[[#This Row],[Capital Social]]*20%</f>
        <v>288328369.148</v>
      </c>
      <c r="P41" s="47">
        <f>IF((Tabela3[Lucro Líquido]*5%)&gt;Tabela3[Teto R. Legal],Tabela3[Teto R. Legal],Tabela3[Lucro Líquido]*5%)</f>
        <v>1843350</v>
      </c>
      <c r="Q41" s="47">
        <f>IF(Tabela3[Lucro Líquido]&lt;0,0,Tabela3[Lucro Líquido]-Tabela3[Reserva Legal])</f>
        <v>35023650</v>
      </c>
      <c r="R41" s="47">
        <f>Tabela3[[#This Row],[Lucro Distribuir]]*Tabela3[%Div]</f>
        <v>8755912.5</v>
      </c>
      <c r="S41" s="56">
        <f>SUMPRODUCT(N(Tabela3[Nome]=Tabela3[[#This Row],[Nome]]),Tabela3[Ações])</f>
        <v>256384419</v>
      </c>
      <c r="T41" s="87">
        <f>Tabela3[Capital Social]/Tabela3[Total Ações]</f>
        <v>5.6229698019987708</v>
      </c>
      <c r="U41" s="87">
        <f>Tabela3[[#This Row],[Lucro Líquido]]/Tabela3[[#This Row],[Total Ações]]</f>
        <v>0.14379578971216656</v>
      </c>
      <c r="V41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3.4151500056639555E-2</v>
      </c>
      <c r="W41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1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3.4151500056639555E-2</v>
      </c>
      <c r="Z41" s="7">
        <f>Tabela3[Div Base]*Tabela3[Ações]</f>
        <v>8755912.5</v>
      </c>
      <c r="AA41" s="7">
        <f>SUMPRODUCT(N(Tabela3[Nome]=Tabela3[[#This Row],[Nome]]),Tabela3[Div Base]*Tabela3[Ações])</f>
        <v>8755912.5</v>
      </c>
      <c r="AB41" s="74">
        <f>Tabela3[Patrimônio Líquido]/Tabela3[Total Ações]</f>
        <v>6.212783936764894</v>
      </c>
      <c r="AC41" s="52">
        <f>MAX(Tabela3[[#This Row],[Cotação 1]:[Cotação 4]])</f>
        <v>4.75</v>
      </c>
      <c r="AD41" s="53">
        <f>Tabela3[Cotação]/Tabela3[VPA]</f>
        <v>0.76455258195787323</v>
      </c>
      <c r="AE41" s="37">
        <f>IF(Tabela3[[#This Row],[Lucro/Ação]]&gt;0,Tabela3[[#This Row],[Cotação]]/(Tabela3[[#This Row],[Lucro/Ação]]/Tabela3[Ref]*4),0)</f>
        <v>24.774717028440069</v>
      </c>
      <c r="AF41" s="59" t="e">
        <f>IF(Tabela3[Div. Mínimo]=0,0,Tabela3[Lucro Distribuir]*#REF!/Tabela3[Total Ações])</f>
        <v>#REF!</v>
      </c>
      <c r="AG41" s="87">
        <f>Tabela3[Lucro Distribuir]/Tabela3[Total Ações]</f>
        <v>0.13660600022655822</v>
      </c>
      <c r="AH41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3.4151500056639555E-2</v>
      </c>
      <c r="AI41" s="10" t="str">
        <f>IF(AND(Tabela3[% A.A.]&gt;=7%,SUMPRODUCT(N(Tabela3[Nome]=Tabela3[[#This Row],[Nome]]),Tabela3[PL])&gt;0),"Sim","Não")</f>
        <v>Não</v>
      </c>
      <c r="AJ41" s="22">
        <f>IF(Tabela3[Cotação]&gt;0,Tabela3[[#This Row],[Lucro]]/Tabela3[[#This Row],[Cotação]],0)</f>
        <v>7.1897894856083272E-3</v>
      </c>
      <c r="AK41" s="22">
        <f>((1+Tabela3[[#This Row],[% Yield]])^(1/(3*Tabela3[[#This Row],[Ref]])))^(12)-1</f>
        <v>9.5978550314113065E-3</v>
      </c>
      <c r="AL41" s="10">
        <f>IF(Tabela3[Cotação]&gt;0,($AS$1/Tabela3[[#This Row],[Cotação]]-MOD($AS$1/Tabela3[[#This Row],[Cotação]],100)),)</f>
        <v>200</v>
      </c>
      <c r="AM41" s="7">
        <f>Tabela3[[#This Row],[Ativos]]*Tabela3[Lucro]</f>
        <v>6.8303000113279113</v>
      </c>
      <c r="AN41" s="7">
        <f>SUMPRODUCT(N(Tabela1[Código]=Tabela3[[#This Row],[PAPEL]]),Tabela1[Fechamento])</f>
        <v>0</v>
      </c>
      <c r="AO41" s="7">
        <f>SUMPRODUCT(N(Tabela17[Código]=Tabela3[[#This Row],[PAPEL]]),Tabela17[Fechamento])</f>
        <v>0</v>
      </c>
      <c r="AP41" s="7">
        <f>SUMPRODUCT(N(Tabela176[Código]=Tabela3[[#This Row],[PAPEL]]),Tabela176[Fechamento])</f>
        <v>4.75</v>
      </c>
      <c r="AQ41" s="7">
        <f>SUMPRODUCT(N(Tabela1768[Código]=Tabela3[[#This Row],[PAPEL]]),Tabela1768[Fechamento])</f>
        <v>0</v>
      </c>
    </row>
    <row r="42" spans="1:43" hidden="1" x14ac:dyDescent="0.2">
      <c r="A42" s="4" t="s">
        <v>14</v>
      </c>
      <c r="B42" s="57" t="s">
        <v>576</v>
      </c>
      <c r="C42" s="15" t="str">
        <f>LEFT(Tabela3[PAPEL],LEN(Tabela3[PAPEL])-(LEN(Tabela3[PAPEL])-4))</f>
        <v>BPMN</v>
      </c>
      <c r="D42" s="15">
        <v>3</v>
      </c>
      <c r="E42" s="6">
        <v>2867020093.0500002</v>
      </c>
      <c r="F42" s="8">
        <v>292463400</v>
      </c>
      <c r="G42" s="88">
        <v>0.25</v>
      </c>
      <c r="H42" s="15"/>
      <c r="I42" s="19"/>
      <c r="J42" s="19"/>
      <c r="K42" s="90"/>
      <c r="L42" s="90"/>
      <c r="M42" s="96">
        <v>2518256000</v>
      </c>
      <c r="N42" s="97">
        <v>-45867000</v>
      </c>
      <c r="O42" s="13">
        <f>Tabela3[[#This Row],[Capital Social]]*20%</f>
        <v>573404018.61000001</v>
      </c>
      <c r="P42" s="13">
        <f>IF((Tabela3[Lucro Líquido]*5%)&gt;Tabela3[Teto R. Legal],Tabela3[Teto R. Legal],Tabela3[Lucro Líquido]*5%)</f>
        <v>-2293350</v>
      </c>
      <c r="Q42" s="13">
        <f>IF(Tabela3[Lucro Líquido]&lt;0,0,Tabela3[Lucro Líquido]-Tabela3[Reserva Legal])</f>
        <v>0</v>
      </c>
      <c r="R42" s="13">
        <f>Tabela3[[#This Row],[Lucro Distribuir]]*Tabela3[%Div]</f>
        <v>0</v>
      </c>
      <c r="S42" s="56">
        <f>SUMPRODUCT(N(Tabela3[Nome]=Tabela3[[#This Row],[Nome]]),Tabela3[Ações])</f>
        <v>535076075</v>
      </c>
      <c r="T42" s="6">
        <f>Tabela3[Capital Social]/Tabela3[Total Ações]</f>
        <v>5.3581541522857288</v>
      </c>
      <c r="U42" s="80">
        <f>Tabela3[[#This Row],[Lucro Líquido]]/Tabela3[[#This Row],[Total Ações]]</f>
        <v>-8.5720521142717887E-2</v>
      </c>
      <c r="V4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4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42" s="13">
        <f>Tabela3[Div Base]*Tabela3[Ações]</f>
        <v>0</v>
      </c>
      <c r="AA42" s="13">
        <f>SUMPRODUCT(N(Tabela3[Nome]=Tabela3[[#This Row],[Nome]]),Tabela3[Div Base]*Tabela3[Ações])</f>
        <v>0</v>
      </c>
      <c r="AB42" s="95">
        <f>Tabela3[Patrimônio Líquido]/Tabela3[Total Ações]</f>
        <v>4.7063513351816377</v>
      </c>
      <c r="AC42" s="48">
        <f>MAX(Tabela3[[#This Row],[Cotação 1]:[Cotação 4]])</f>
        <v>0</v>
      </c>
      <c r="AD42" s="44">
        <f>Tabela3[Cotação]/Tabela3[VPA]</f>
        <v>0</v>
      </c>
      <c r="AE42" s="40">
        <f>IF(Tabela3[[#This Row],[Lucro/Ação]]&gt;0,Tabela3[[#This Row],[Cotação]]/(Tabela3[[#This Row],[Lucro/Ação]]/Tabela3[Ref]*4),0)</f>
        <v>0</v>
      </c>
      <c r="AF42" s="91">
        <f>IF(Tabela3[Div. Mínimo]=0,0,Tabela3[Lucro Distribuir]*#REF!/Tabela3[Total Ações])</f>
        <v>0</v>
      </c>
      <c r="AG42" s="80">
        <f>Tabela3[Lucro Distribuir]/Tabela3[Total Ações]</f>
        <v>0</v>
      </c>
      <c r="AH4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42" s="14" t="str">
        <f>IF(AND(Tabela3[% A.A.]&gt;=7%,SUMPRODUCT(N(Tabela3[Nome]=Tabela3[[#This Row],[Nome]]),Tabela3[PL])&gt;0),"Sim","Não")</f>
        <v>Não</v>
      </c>
      <c r="AJ42" s="42">
        <f>IF(Tabela3[Cotação]&gt;0,Tabela3[[#This Row],[Lucro]]/Tabela3[[#This Row],[Cotação]],0)</f>
        <v>0</v>
      </c>
      <c r="AK42" s="42">
        <f>((1+Tabela3[[#This Row],[% Yield]])^(1/(3*Tabela3[[#This Row],[Ref]])))^(12)-1</f>
        <v>0</v>
      </c>
      <c r="AL42" s="14">
        <f>IF(Tabela3[Cotação]&gt;0,($AS$1/Tabela3[[#This Row],[Cotação]]-MOD($AS$1/Tabela3[[#This Row],[Cotação]],100)),)</f>
        <v>0</v>
      </c>
      <c r="AM42" s="17">
        <f>Tabela3[[#This Row],[Ativos]]*Tabela3[Lucro]</f>
        <v>0</v>
      </c>
      <c r="AN42" s="17">
        <f>SUMPRODUCT(N(Tabela1[Código]=Tabela3[[#This Row],[PAPEL]]),Tabela1[Fechamento])</f>
        <v>0</v>
      </c>
      <c r="AO42" s="17">
        <f>SUMPRODUCT(N(Tabela17[Código]=Tabela3[[#This Row],[PAPEL]]),Tabela17[Fechamento])</f>
        <v>0</v>
      </c>
      <c r="AP42" s="17">
        <f>SUMPRODUCT(N(Tabela176[Código]=Tabela3[[#This Row],[PAPEL]]),Tabela176[Fechamento])</f>
        <v>0</v>
      </c>
      <c r="AQ42" s="17">
        <f>SUMPRODUCT(N(Tabela1768[Código]=Tabela3[[#This Row],[PAPEL]]),Tabela1768[Fechamento])</f>
        <v>0</v>
      </c>
    </row>
    <row r="43" spans="1:43" hidden="1" x14ac:dyDescent="0.2">
      <c r="A43" s="4" t="s">
        <v>14</v>
      </c>
      <c r="B43" s="57" t="s">
        <v>577</v>
      </c>
      <c r="C43" s="15" t="str">
        <f>LEFT(Tabela3[PAPEL],LEN(Tabela3[PAPEL])-(LEN(Tabela3[PAPEL])-4))</f>
        <v>BPMN</v>
      </c>
      <c r="D43" s="15">
        <v>3</v>
      </c>
      <c r="E43" s="6">
        <v>2867020093.0500002</v>
      </c>
      <c r="F43" s="8">
        <v>242612675</v>
      </c>
      <c r="G43" s="88">
        <v>0.25</v>
      </c>
      <c r="H43" s="15"/>
      <c r="I43" s="19"/>
      <c r="J43" s="19"/>
      <c r="K43" s="90"/>
      <c r="L43" s="90"/>
      <c r="M43" s="96">
        <v>2518256000</v>
      </c>
      <c r="N43" s="97">
        <v>-45867000</v>
      </c>
      <c r="O43" s="13">
        <f>Tabela3[[#This Row],[Capital Social]]*20%</f>
        <v>573404018.61000001</v>
      </c>
      <c r="P43" s="13">
        <f>IF((Tabela3[Lucro Líquido]*5%)&gt;Tabela3[Teto R. Legal],Tabela3[Teto R. Legal],Tabela3[Lucro Líquido]*5%)</f>
        <v>-2293350</v>
      </c>
      <c r="Q43" s="13">
        <f>IF(Tabela3[Lucro Líquido]&lt;0,0,Tabela3[Lucro Líquido]-Tabela3[Reserva Legal])</f>
        <v>0</v>
      </c>
      <c r="R43" s="13">
        <f>Tabela3[[#This Row],[Lucro Distribuir]]*Tabela3[%Div]</f>
        <v>0</v>
      </c>
      <c r="S43" s="56">
        <f>SUMPRODUCT(N(Tabela3[Nome]=Tabela3[[#This Row],[Nome]]),Tabela3[Ações])</f>
        <v>535076075</v>
      </c>
      <c r="T43" s="6">
        <f>Tabela3[Capital Social]/Tabela3[Total Ações]</f>
        <v>5.3581541522857288</v>
      </c>
      <c r="U43" s="80">
        <f>Tabela3[[#This Row],[Lucro Líquido]]/Tabela3[[#This Row],[Total Ações]]</f>
        <v>-8.5720521142717887E-2</v>
      </c>
      <c r="V4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4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43" s="13">
        <f>Tabela3[Div Base]*Tabela3[Ações]</f>
        <v>0</v>
      </c>
      <c r="AA43" s="13">
        <f>SUMPRODUCT(N(Tabela3[Nome]=Tabela3[[#This Row],[Nome]]),Tabela3[Div Base]*Tabela3[Ações])</f>
        <v>0</v>
      </c>
      <c r="AB43" s="95">
        <f>Tabela3[Patrimônio Líquido]/Tabela3[Total Ações]</f>
        <v>4.7063513351816377</v>
      </c>
      <c r="AC43" s="48">
        <f>MAX(Tabela3[[#This Row],[Cotação 1]:[Cotação 4]])</f>
        <v>0</v>
      </c>
      <c r="AD43" s="44">
        <f>Tabela3[Cotação]/Tabela3[VPA]</f>
        <v>0</v>
      </c>
      <c r="AE43" s="40">
        <f>IF(Tabela3[[#This Row],[Lucro/Ação]]&gt;0,Tabela3[[#This Row],[Cotação]]/(Tabela3[[#This Row],[Lucro/Ação]]/Tabela3[Ref]*4),0)</f>
        <v>0</v>
      </c>
      <c r="AF43" s="91">
        <f>IF(Tabela3[Div. Mínimo]=0,0,Tabela3[Lucro Distribuir]*#REF!/Tabela3[Total Ações])</f>
        <v>0</v>
      </c>
      <c r="AG43" s="80">
        <f>Tabela3[Lucro Distribuir]/Tabela3[Total Ações]</f>
        <v>0</v>
      </c>
      <c r="AH4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43" s="14" t="str">
        <f>IF(AND(Tabela3[% A.A.]&gt;=7%,SUMPRODUCT(N(Tabela3[Nome]=Tabela3[[#This Row],[Nome]]),Tabela3[PL])&gt;0),"Sim","Não")</f>
        <v>Não</v>
      </c>
      <c r="AJ43" s="42">
        <f>IF(Tabela3[Cotação]&gt;0,Tabela3[[#This Row],[Lucro]]/Tabela3[[#This Row],[Cotação]],0)</f>
        <v>0</v>
      </c>
      <c r="AK43" s="42">
        <f>((1+Tabela3[[#This Row],[% Yield]])^(1/(3*Tabela3[[#This Row],[Ref]])))^(12)-1</f>
        <v>0</v>
      </c>
      <c r="AL43" s="14">
        <f>IF(Tabela3[Cotação]&gt;0,($AS$1/Tabela3[[#This Row],[Cotação]]-MOD($AS$1/Tabela3[[#This Row],[Cotação]],100)),)</f>
        <v>0</v>
      </c>
      <c r="AM43" s="17">
        <f>Tabela3[[#This Row],[Ativos]]*Tabela3[Lucro]</f>
        <v>0</v>
      </c>
      <c r="AN43" s="17">
        <f>SUMPRODUCT(N(Tabela1[Código]=Tabela3[[#This Row],[PAPEL]]),Tabela1[Fechamento])</f>
        <v>0</v>
      </c>
      <c r="AO43" s="17">
        <f>SUMPRODUCT(N(Tabela17[Código]=Tabela3[[#This Row],[PAPEL]]),Tabela17[Fechamento])</f>
        <v>0</v>
      </c>
      <c r="AP43" s="17">
        <f>SUMPRODUCT(N(Tabela176[Código]=Tabela3[[#This Row],[PAPEL]]),Tabela176[Fechamento])</f>
        <v>0</v>
      </c>
      <c r="AQ43" s="17">
        <f>SUMPRODUCT(N(Tabela1768[Código]=Tabela3[[#This Row],[PAPEL]]),Tabela1768[Fechamento])</f>
        <v>0</v>
      </c>
    </row>
    <row r="44" spans="1:43" hidden="1" x14ac:dyDescent="0.2">
      <c r="A44" s="3" t="s">
        <v>303</v>
      </c>
      <c r="B44" s="58" t="s">
        <v>301</v>
      </c>
      <c r="C44" s="85" t="str">
        <f>LEFT(Tabela3[PAPEL],LEN(Tabela3[PAPEL])-(LEN(Tabela3[PAPEL])-4))</f>
        <v>BRAP</v>
      </c>
      <c r="D44" s="16">
        <v>3</v>
      </c>
      <c r="E44" s="5">
        <v>4100000000</v>
      </c>
      <c r="F44" s="56">
        <v>122523049</v>
      </c>
      <c r="G44" s="83">
        <v>0.25</v>
      </c>
      <c r="H44" s="16"/>
      <c r="I44" s="18"/>
      <c r="K44" s="89"/>
      <c r="L44" s="89"/>
      <c r="M44" s="5">
        <v>10031194000</v>
      </c>
      <c r="N44" s="5">
        <v>852679000</v>
      </c>
      <c r="O44" s="5">
        <f>Tabela3[[#This Row],[Capital Social]]*20%</f>
        <v>820000000</v>
      </c>
      <c r="P44" s="5">
        <f>IF((Tabela3[Lucro Líquido]*5%)&gt;Tabela3[Teto R. Legal],Tabela3[Teto R. Legal],Tabela3[Lucro Líquido]*5%)</f>
        <v>42633950</v>
      </c>
      <c r="Q44" s="5">
        <f>IF(Tabela3[Lucro Líquido]&lt;0,0,Tabela3[Lucro Líquido]-Tabela3[Reserva Legal])</f>
        <v>810045050</v>
      </c>
      <c r="R44" s="5">
        <f>Tabela3[[#This Row],[Lucro Distribuir]]*Tabela3[%Div]</f>
        <v>202511262.5</v>
      </c>
      <c r="S44" s="21">
        <f>SUMPRODUCT(N(Tabela3[Nome]=Tabela3[[#This Row],[Nome]]),Tabela3[Ações])</f>
        <v>349547945</v>
      </c>
      <c r="T44" s="5">
        <f>Tabela3[Capital Social]/Tabela3[Total Ações]</f>
        <v>11.729435285336894</v>
      </c>
      <c r="U44" s="79">
        <f>Tabela3[[#This Row],[Lucro Líquido]]/Tabela3[[#This Row],[Total Ações]]</f>
        <v>2.439376377967263</v>
      </c>
      <c r="V4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0.56132604943307063</v>
      </c>
      <c r="W4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0.56132604943307063</v>
      </c>
      <c r="Z44" s="5">
        <f>Tabela3[Div Base]*Tabela3[Ações]</f>
        <v>68775379.059664533</v>
      </c>
      <c r="AA44" s="5">
        <f>SUMPRODUCT(N(Tabela3[Nome]=Tabela3[[#This Row],[Nome]]),Tabela3[Div Base]*Tabela3[Ações])</f>
        <v>208953866.04579151</v>
      </c>
      <c r="AB44" s="5">
        <f>Tabela3[Patrimônio Líquido]/Tabela3[Total Ações]</f>
        <v>28.697619721380423</v>
      </c>
      <c r="AC44" s="52">
        <f>MAX(Tabela3[[#This Row],[Cotação 1]:[Cotação 4]])</f>
        <v>18.239999999999998</v>
      </c>
      <c r="AD44" s="53">
        <f>Tabela3[Cotação]/Tabela3[VPA]</f>
        <v>0.63559278355099103</v>
      </c>
      <c r="AE44" s="37">
        <f>IF(Tabela3[[#This Row],[Lucro/Ação]]&gt;0,Tabela3[[#This Row],[Cotação]]/(Tabela3[[#This Row],[Lucro/Ação]]/Tabela3[Ref]*4),0)</f>
        <v>5.6079906830120123</v>
      </c>
      <c r="AF44" s="37" t="e">
        <f>IF(Tabela3[Div. Mínimo]=0,0,Tabela3[Lucro Distribuir]*#REF!/Tabela3[Total Ações])</f>
        <v>#REF!</v>
      </c>
      <c r="AG44" s="79">
        <f>Tabela3[Lucro Distribuir]/Tabela3[Total Ações]</f>
        <v>2.3174075590688998</v>
      </c>
      <c r="AH44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0.56132604943307063</v>
      </c>
      <c r="AI44" s="16" t="str">
        <f>IF(AND(Tabela3[% A.A.]&gt;=7%,SUMPRODUCT(N(Tabela3[Nome]=Tabela3[[#This Row],[Nome]]),Tabela3[PL])&gt;0),"Sim","Não")</f>
        <v>Não</v>
      </c>
      <c r="AJ44" s="22">
        <f>IF(Tabela3[Cotação]&gt;0,Tabela3[[#This Row],[Lucro]]/Tabela3[[#This Row],[Cotação]],0)</f>
        <v>3.0774454464532384E-2</v>
      </c>
      <c r="AK44" s="18">
        <f>((1+Tabela3[[#This Row],[% Yield]])^(1/(3*Tabela3[[#This Row],[Ref]])))^(12)-1</f>
        <v>4.1241644172207881E-2</v>
      </c>
      <c r="AL44" s="10">
        <f>IF(Tabela3[Cotação]&gt;0,($AS$1/Tabela3[[#This Row],[Cotação]]-MOD($AS$1/Tabela3[[#This Row],[Cotação]],100)),)</f>
        <v>0</v>
      </c>
      <c r="AM44" s="7">
        <f>Tabela3[[#This Row],[Ativos]]*Tabela3[Lucro]</f>
        <v>0</v>
      </c>
      <c r="AN44" s="47">
        <f>SUMPRODUCT(N(Tabela1[Código]=Tabela3[[#This Row],[PAPEL]]),Tabela1[Fechamento])</f>
        <v>0</v>
      </c>
      <c r="AO44" s="54">
        <f>SUMPRODUCT(N(Tabela17[Código]=Tabela3[[#This Row],[PAPEL]]),Tabela17[Fechamento])</f>
        <v>18.239999999999998</v>
      </c>
      <c r="AP44" s="7">
        <f>SUMPRODUCT(N(Tabela176[Código]=Tabela3[[#This Row],[PAPEL]]),Tabela176[Fechamento])</f>
        <v>0</v>
      </c>
      <c r="AQ44" s="7">
        <f>SUMPRODUCT(N(Tabela1768[Código]=Tabela3[[#This Row],[PAPEL]]),Tabela1768[Fechamento])</f>
        <v>0</v>
      </c>
    </row>
    <row r="45" spans="1:43" hidden="1" x14ac:dyDescent="0.2">
      <c r="A45" s="3" t="s">
        <v>303</v>
      </c>
      <c r="B45" s="60" t="s">
        <v>302</v>
      </c>
      <c r="C45" s="85" t="str">
        <f>LEFT(Tabela3[PAPEL],LEN(Tabela3[PAPEL])-(LEN(Tabela3[PAPEL])-4))</f>
        <v>BRAP</v>
      </c>
      <c r="D45" s="16">
        <v>3</v>
      </c>
      <c r="E45" s="5">
        <v>4100000000</v>
      </c>
      <c r="F45" s="56">
        <v>227024896</v>
      </c>
      <c r="G45" s="88">
        <v>0.25</v>
      </c>
      <c r="H45" s="16"/>
      <c r="I45" s="18"/>
      <c r="J45" s="18">
        <v>0.1</v>
      </c>
      <c r="K45" s="89"/>
      <c r="L45" s="89"/>
      <c r="M45" s="5">
        <v>10031194000</v>
      </c>
      <c r="N45" s="5">
        <v>852679000</v>
      </c>
      <c r="O45" s="5">
        <f>Tabela3[[#This Row],[Capital Social]]*20%</f>
        <v>820000000</v>
      </c>
      <c r="P45" s="5">
        <f>IF((Tabela3[Lucro Líquido]*5%)&gt;Tabela3[Teto R. Legal],Tabela3[Teto R. Legal],Tabela3[Lucro Líquido]*5%)</f>
        <v>42633950</v>
      </c>
      <c r="Q45" s="5">
        <f>IF(Tabela3[Lucro Líquido]&lt;0,0,Tabela3[Lucro Líquido]-Tabela3[Reserva Legal])</f>
        <v>810045050</v>
      </c>
      <c r="R45" s="5">
        <f>Tabela3[[#This Row],[Lucro Distribuir]]*Tabela3[%Div]</f>
        <v>202511262.5</v>
      </c>
      <c r="S45" s="21">
        <f>SUMPRODUCT(N(Tabela3[Nome]=Tabela3[[#This Row],[Nome]]),Tabela3[Ações])</f>
        <v>349547945</v>
      </c>
      <c r="T45" s="5">
        <f>Tabela3[Capital Social]/Tabela3[Total Ações]</f>
        <v>11.729435285336894</v>
      </c>
      <c r="U45" s="79">
        <f>Tabela3[[#This Row],[Lucro Líquido]]/Tabela3[[#This Row],[Total Ações]]</f>
        <v>2.439376377967263</v>
      </c>
      <c r="V4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0.61745865522223142</v>
      </c>
      <c r="W4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0.61745865522223142</v>
      </c>
      <c r="Z45" s="5">
        <f>Tabela3[Div Base]*Tabela3[Ações]</f>
        <v>140178486.98612696</v>
      </c>
      <c r="AA45" s="5">
        <f>SUMPRODUCT(N(Tabela3[Nome]=Tabela3[[#This Row],[Nome]]),Tabela3[Div Base]*Tabela3[Ações])</f>
        <v>208953866.04579151</v>
      </c>
      <c r="AB45" s="5">
        <f>Tabela3[Patrimônio Líquido]/Tabela3[Total Ações]</f>
        <v>28.697619721380423</v>
      </c>
      <c r="AC45" s="52">
        <f>MAX(Tabela3[[#This Row],[Cotação 1]:[Cotação 4]])</f>
        <v>21.68</v>
      </c>
      <c r="AD45" s="53">
        <f>Tabela3[Cotação]/Tabela3[VPA]</f>
        <v>0.7554633523785903</v>
      </c>
      <c r="AE45" s="37">
        <f>IF(Tabela3[[#This Row],[Lucro/Ação]]&gt;0,Tabela3[[#This Row],[Cotação]]/(Tabela3[[#This Row],[Lucro/Ação]]/Tabela3[Ref]*4),0)</f>
        <v>6.6656380486677866</v>
      </c>
      <c r="AF45" s="37" t="e">
        <f>IF(Tabela3[Div. Mínimo]=0,0,Tabela3[Lucro Distribuir]*#REF!/Tabela3[Total Ações])</f>
        <v>#REF!</v>
      </c>
      <c r="AG45" s="79">
        <f>Tabela3[Lucro Distribuir]/Tabela3[Total Ações]</f>
        <v>2.3174075590688998</v>
      </c>
      <c r="AH4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0.61745865522223142</v>
      </c>
      <c r="AI45" s="16" t="str">
        <f>IF(AND(Tabela3[% A.A.]&gt;=7%,SUMPRODUCT(N(Tabela3[Nome]=Tabela3[[#This Row],[Nome]]),Tabela3[PL])&gt;0),"Sim","Não")</f>
        <v>Não</v>
      </c>
      <c r="AJ45" s="22">
        <f>IF(Tabela3[Cotação]&gt;0,Tabela3[[#This Row],[Lucro]]/Tabela3[[#This Row],[Cotação]],0)</f>
        <v>2.8480565277778203E-2</v>
      </c>
      <c r="AK45" s="18">
        <f>((1+Tabela3[[#This Row],[% Yield]])^(1/(3*Tabela3[[#This Row],[Ref]])))^(12)-1</f>
        <v>3.81532134541962E-2</v>
      </c>
      <c r="AL45" s="10">
        <f>IF(Tabela3[Cotação]&gt;0,($AS$1/Tabela3[[#This Row],[Cotação]]-MOD($AS$1/Tabela3[[#This Row],[Cotação]],100)),)</f>
        <v>0</v>
      </c>
      <c r="AM45" s="7">
        <f>Tabela3[[#This Row],[Ativos]]*Tabela3[Lucro]</f>
        <v>0</v>
      </c>
      <c r="AN45" s="47">
        <f>SUMPRODUCT(N(Tabela1[Código]=Tabela3[[#This Row],[PAPEL]]),Tabela1[Fechamento])</f>
        <v>0</v>
      </c>
      <c r="AO45" s="54">
        <f>SUMPRODUCT(N(Tabela17[Código]=Tabela3[[#This Row],[PAPEL]]),Tabela17[Fechamento])</f>
        <v>21.68</v>
      </c>
      <c r="AP45" s="7">
        <f>SUMPRODUCT(N(Tabela176[Código]=Tabela3[[#This Row],[PAPEL]]),Tabela176[Fechamento])</f>
        <v>0</v>
      </c>
      <c r="AQ45" s="7">
        <f>SUMPRODUCT(N(Tabela1768[Código]=Tabela3[[#This Row],[PAPEL]]),Tabela1768[Fechamento])</f>
        <v>0</v>
      </c>
    </row>
    <row r="46" spans="1:43" hidden="1" x14ac:dyDescent="0.2">
      <c r="A46" s="3" t="s">
        <v>284</v>
      </c>
      <c r="B46" s="58" t="s">
        <v>283</v>
      </c>
      <c r="C46" s="85" t="str">
        <f>LEFT(Tabela3[PAPEL],LEN(Tabela3[PAPEL])-(LEN(Tabela3[PAPEL])-4))</f>
        <v>BRFS</v>
      </c>
      <c r="D46" s="16">
        <v>3</v>
      </c>
      <c r="E46" s="5">
        <v>12553417953.360001</v>
      </c>
      <c r="F46" s="56">
        <v>872473246</v>
      </c>
      <c r="G46" s="83">
        <v>0.25</v>
      </c>
      <c r="H46" s="16"/>
      <c r="I46" s="18"/>
      <c r="K46" s="89"/>
      <c r="L46" s="89"/>
      <c r="M46" s="5">
        <v>14822624000</v>
      </c>
      <c r="N46" s="5">
        <v>853987000</v>
      </c>
      <c r="O46" s="5">
        <f>Tabela3[[#This Row],[Capital Social]]*20%</f>
        <v>2510683590.6720004</v>
      </c>
      <c r="P46" s="5">
        <f>IF((Tabela3[Lucro Líquido]*5%)&gt;Tabela3[Teto R. Legal],Tabela3[Teto R. Legal],Tabela3[Lucro Líquido]*5%)</f>
        <v>42699350</v>
      </c>
      <c r="Q46" s="5">
        <f>IF(Tabela3[Lucro Líquido]&lt;0,0,Tabela3[Lucro Líquido]-Tabela3[Reserva Legal])</f>
        <v>811287650</v>
      </c>
      <c r="R46" s="5">
        <f>Tabela3[[#This Row],[Lucro Distribuir]]*Tabela3[%Div]</f>
        <v>202821912.5</v>
      </c>
      <c r="S46" s="21">
        <f>SUMPRODUCT(N(Tabela3[Nome]=Tabela3[[#This Row],[Nome]]),Tabela3[Ações])</f>
        <v>872473246</v>
      </c>
      <c r="T46" s="5">
        <f>Tabela3[Capital Social]/Tabela3[Total Ações]</f>
        <v>14.388312777398335</v>
      </c>
      <c r="U46" s="79">
        <f>Tabela3[[#This Row],[Lucro Líquido]]/Tabela3[[#This Row],[Total Ações]]</f>
        <v>0.97881167579091588</v>
      </c>
      <c r="V4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0.23246777300034252</v>
      </c>
      <c r="W4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4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0.23246777300034252</v>
      </c>
      <c r="Z46" s="5">
        <f>Tabela3[Div Base]*Tabela3[Ações]</f>
        <v>202821912.5</v>
      </c>
      <c r="AA46" s="5">
        <f>SUMPRODUCT(N(Tabela3[Nome]=Tabela3[[#This Row],[Nome]]),Tabela3[Div Base]*Tabela3[Ações])</f>
        <v>202821912.5</v>
      </c>
      <c r="AB46" s="5">
        <f>Tabela3[Patrimônio Líquido]/Tabela3[Total Ações]</f>
        <v>16.989201752554369</v>
      </c>
      <c r="AC46" s="52">
        <f>MAX(Tabela3[[#This Row],[Cotação 1]:[Cotação 4]])</f>
        <v>40.53</v>
      </c>
      <c r="AD46" s="53">
        <f>Tabela3[Cotação]/Tabela3[VPA]</f>
        <v>2.3856329797193805</v>
      </c>
      <c r="AE46" s="37">
        <f>IF(Tabela3[[#This Row],[Lucro/Ação]]&gt;0,Tabela3[[#This Row],[Cotação]]/(Tabela3[[#This Row],[Lucro/Ação]]/Tabela3[Ref]*4),0)</f>
        <v>31.05551430558662</v>
      </c>
      <c r="AF46" s="37" t="e">
        <f>IF(Tabela3[Div. Mínimo]=0,0,Tabela3[Lucro Distribuir]*#REF!/Tabela3[Total Ações])</f>
        <v>#REF!</v>
      </c>
      <c r="AG46" s="79">
        <f>Tabela3[Lucro Distribuir]/Tabela3[Total Ações]</f>
        <v>0.92987109200137008</v>
      </c>
      <c r="AH4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0.23246777300034252</v>
      </c>
      <c r="AI46" s="16" t="str">
        <f>IF(AND(Tabela3[% A.A.]&gt;=7%,SUMPRODUCT(N(Tabela3[Nome]=Tabela3[[#This Row],[Nome]]),Tabela3[PL])&gt;0),"Sim","Não")</f>
        <v>Não</v>
      </c>
      <c r="AJ46" s="22">
        <f>IF(Tabela3[Cotação]&gt;0,Tabela3[[#This Row],[Lucro]]/Tabela3[[#This Row],[Cotação]],0)</f>
        <v>5.7356963483923638E-3</v>
      </c>
      <c r="AK46" s="18">
        <f>((1+Tabela3[[#This Row],[% Yield]])^(1/(3*Tabela3[[#This Row],[Ref]])))^(12)-1</f>
        <v>7.6548965490732535E-3</v>
      </c>
      <c r="AL46" s="10">
        <f>IF(Tabela3[Cotação]&gt;0,($AS$1/Tabela3[[#This Row],[Cotação]]-MOD($AS$1/Tabela3[[#This Row],[Cotação]],100)),)</f>
        <v>0</v>
      </c>
      <c r="AM46" s="7">
        <f>Tabela3[[#This Row],[Ativos]]*Tabela3[Lucro]</f>
        <v>0</v>
      </c>
      <c r="AN46" s="47">
        <f>SUMPRODUCT(N(Tabela1[Código]=Tabela3[[#This Row],[PAPEL]]),Tabela1[Fechamento])</f>
        <v>0</v>
      </c>
      <c r="AO46" s="54">
        <f>SUMPRODUCT(N(Tabela17[Código]=Tabela3[[#This Row],[PAPEL]]),Tabela17[Fechamento])</f>
        <v>40.53</v>
      </c>
      <c r="AP46" s="7">
        <f>SUMPRODUCT(N(Tabela176[Código]=Tabela3[[#This Row],[PAPEL]]),Tabela176[Fechamento])</f>
        <v>0</v>
      </c>
      <c r="AQ46" s="7">
        <f>SUMPRODUCT(N(Tabela1768[Código]=Tabela3[[#This Row],[PAPEL]]),Tabela1768[Fechamento])</f>
        <v>0</v>
      </c>
    </row>
    <row r="47" spans="1:43" x14ac:dyDescent="0.2">
      <c r="A47" s="24" t="s">
        <v>40</v>
      </c>
      <c r="B47" s="57" t="s">
        <v>39</v>
      </c>
      <c r="C47" s="84" t="str">
        <f>LEFT(Tabela3[PAPEL],LEN(Tabela3[PAPEL])-(LEN(Tabela3[PAPEL])-4))</f>
        <v>UNIP</v>
      </c>
      <c r="D47" s="15">
        <v>3</v>
      </c>
      <c r="E47" s="6">
        <v>384330953.12</v>
      </c>
      <c r="F47" s="8">
        <v>531094273</v>
      </c>
      <c r="G47" s="88">
        <v>0.25</v>
      </c>
      <c r="H47" s="19"/>
      <c r="I47" s="19">
        <v>0.1</v>
      </c>
      <c r="J47" s="19"/>
      <c r="K47" s="90"/>
      <c r="L47" s="90"/>
      <c r="M47" s="28">
        <v>740932000</v>
      </c>
      <c r="N47" s="28">
        <v>342727000</v>
      </c>
      <c r="O47" s="28">
        <f>Tabela3[[#This Row],[Capital Social]]*20%</f>
        <v>76866190.623999998</v>
      </c>
      <c r="P47" s="28">
        <f>IF((Tabela3[Lucro Líquido]*5%)&gt;Tabela3[Teto R. Legal],Tabela3[Teto R. Legal],Tabela3[Lucro Líquido]*5%)</f>
        <v>17136350</v>
      </c>
      <c r="Q47" s="28">
        <f>IF(Tabela3[Lucro Líquido]&lt;0,0,Tabela3[Lucro Líquido]-Tabela3[Reserva Legal])</f>
        <v>325590650</v>
      </c>
      <c r="R47" s="28">
        <f>Tabela3[[#This Row],[Lucro Distribuir]]*Tabela3[%Div]</f>
        <v>81397662.5</v>
      </c>
      <c r="S47" s="21">
        <f>SUMPRODUCT(N(Tabela3[Nome]=Tabela3[[#This Row],[Nome]]),Tabela3[Ações])</f>
        <v>835502072</v>
      </c>
      <c r="T47" s="5">
        <f>Tabela3[Capital Social]/Tabela3[Total Ações]</f>
        <v>0.46</v>
      </c>
      <c r="U47" s="80">
        <f>Tabela3[[#This Row],[Lucro Líquido]]/Tabela3[[#This Row],[Total Ações]]</f>
        <v>0.4102048474632628</v>
      </c>
      <c r="V4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W47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7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4.5999999999999999E-2</v>
      </c>
      <c r="Y47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Z47" s="28">
        <f>Tabela3[Div Base]*Tabela3[Ações]</f>
        <v>51741143.24558714</v>
      </c>
      <c r="AA47" s="28">
        <f>SUMPRODUCT(N(Tabela3[Nome]=Tabela3[[#This Row],[Nome]]),Tabela3[Div Base]*Tabela3[Ações])</f>
        <v>81397662.5</v>
      </c>
      <c r="AB47" s="6">
        <f>Tabela3[Patrimônio Líquido]/Tabela3[Total Ações]</f>
        <v>0.88681048776621108</v>
      </c>
      <c r="AC47" s="48">
        <f>MAX(Tabela3[[#This Row],[Cotação 1]:[Cotação 4]])</f>
        <v>0.46</v>
      </c>
      <c r="AD47" s="44">
        <f>Tabela3[Cotação]/Tabela3[VPA]</f>
        <v>0.51871285505282538</v>
      </c>
      <c r="AE47" s="40">
        <f>IF(Tabela3[[#This Row],[Lucro/Ação]]&gt;0,Tabela3[[#This Row],[Cotação]]/(Tabela3[[#This Row],[Lucro/Ação]]/Tabela3[Ref]*4),0)</f>
        <v>0.84104320593358561</v>
      </c>
      <c r="AF47" s="77" t="e">
        <f>IF(Tabela3[Div. Mínimo]=0,0,Tabela3[Lucro Distribuir]*#REF!/Tabela3[Total Ações])</f>
        <v>#REF!</v>
      </c>
      <c r="AG47" s="80">
        <f>Tabela3[Lucro Distribuir]/Tabela3[Total Ações]</f>
        <v>0.38969460509009962</v>
      </c>
      <c r="AH4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I47" s="14" t="str">
        <f>IF(AND(Tabela3[% A.A.]&gt;=7%,SUMPRODUCT(N(Tabela3[Nome]=Tabela3[[#This Row],[Nome]]),Tabela3[PL])&gt;0),"Sim","Não")</f>
        <v>Sim</v>
      </c>
      <c r="AJ47" s="42">
        <f>IF(Tabela3[Cotação]&gt;0,Tabela3[[#This Row],[Lucro]]/Tabela3[[#This Row],[Cotação]],0)</f>
        <v>0.21179054624461935</v>
      </c>
      <c r="AK47" s="19">
        <f>((1+Tabela3[[#This Row],[% Yield]])^(1/(3*Tabela3[[#This Row],[Ref]])))^(12)-1</f>
        <v>0.29192334716019697</v>
      </c>
      <c r="AL47" s="14">
        <f>IF(Tabela3[Cotação]&gt;0,($AS$1/Tabela3[[#This Row],[Cotação]]-MOD($AS$1/Tabela3[[#This Row],[Cotação]],100)),)</f>
        <v>2100</v>
      </c>
      <c r="AM47" s="17">
        <f>Tabela3[[#This Row],[Ativos]]*Tabela3[Lucro]</f>
        <v>204.58966767230231</v>
      </c>
      <c r="AN47" s="17">
        <f>SUMPRODUCT(N(Tabela1[Código]=Tabela3[[#This Row],[PAPEL]]),Tabela1[Fechamento])</f>
        <v>0.46</v>
      </c>
      <c r="AO47" s="17">
        <f>SUMPRODUCT(N(Tabela17[Código]=Tabela3[[#This Row],[PAPEL]]),Tabela17[Fechamento])</f>
        <v>0</v>
      </c>
      <c r="AP47" s="7">
        <f>SUMPRODUCT(N(Tabela176[Código]=Tabela3[[#This Row],[PAPEL]]),Tabela176[Fechamento])</f>
        <v>0</v>
      </c>
      <c r="AQ47" s="7">
        <f>SUMPRODUCT(N(Tabela1768[Código]=Tabela3[[#This Row],[PAPEL]]),Tabela1768[Fechamento])</f>
        <v>0</v>
      </c>
    </row>
    <row r="48" spans="1:43" hidden="1" x14ac:dyDescent="0.2">
      <c r="A48" s="4" t="s">
        <v>14</v>
      </c>
      <c r="B48" s="57" t="s">
        <v>229</v>
      </c>
      <c r="C48" s="14" t="str">
        <f>LEFT(Tabela3[PAPEL],LEN(Tabela3[PAPEL])-(LEN(Tabela3[PAPEL])-4))</f>
        <v>BRGE</v>
      </c>
      <c r="D48" s="15">
        <v>3</v>
      </c>
      <c r="E48" s="5">
        <v>303375520</v>
      </c>
      <c r="F48" s="8">
        <v>21717524</v>
      </c>
      <c r="G48" s="83">
        <v>0.25</v>
      </c>
      <c r="H48" s="15"/>
      <c r="I48" s="19"/>
      <c r="J48" s="19"/>
      <c r="K48" s="90"/>
      <c r="L48" s="90"/>
      <c r="M48" s="5">
        <v>843867000</v>
      </c>
      <c r="N48" s="5">
        <v>34502000</v>
      </c>
      <c r="O48" s="5">
        <f>Tabela3[[#This Row],[Capital Social]]*20%</f>
        <v>60675104</v>
      </c>
      <c r="P48" s="5">
        <f>IF((Tabela3[Lucro Líquido]*5%)&gt;Tabela3[Teto R. Legal],Tabela3[Teto R. Legal],Tabela3[Lucro Líquido]*5%)</f>
        <v>1725100</v>
      </c>
      <c r="Q48" s="5">
        <f>IF(Tabela3[Lucro Líquido]&lt;0,0,Tabela3[Lucro Líquido]-Tabela3[Reserva Legal])</f>
        <v>32776900</v>
      </c>
      <c r="R48" s="5">
        <f>Tabela3[[#This Row],[Lucro Distribuir]]*Tabela3[%Div]</f>
        <v>8194225</v>
      </c>
      <c r="S48" s="21">
        <f>SUMPRODUCT(N(Tabela3[Nome]=Tabela3[[#This Row],[Nome]]),Tabela3[Ações])</f>
        <v>73646388</v>
      </c>
      <c r="T48" s="5">
        <f>Tabela3[Capital Social]/Tabela3[Total Ações]</f>
        <v>4.1193536877871049</v>
      </c>
      <c r="U48" s="80">
        <f>Tabela3[[#This Row],[Lucro Líquido]]/Tabela3[[#This Row],[Total Ações]]</f>
        <v>0.46848190300928266</v>
      </c>
      <c r="V4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4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7.8085912537628019E-2</v>
      </c>
      <c r="Y4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7.8085912537628019E-2</v>
      </c>
      <c r="Z48" s="5">
        <f>Tabela3[Div Base]*Tabela3[Ações]</f>
        <v>1695832.6795978374</v>
      </c>
      <c r="AA48" s="5">
        <f>SUMPRODUCT(N(Tabela3[Nome]=Tabela3[[#This Row],[Nome]]),Tabela3[Div Base]*Tabela3[Ações])</f>
        <v>8194224.9999999991</v>
      </c>
      <c r="AB48" s="6">
        <f>Tabela3[Patrimônio Líquido]/Tabela3[Total Ações]</f>
        <v>11.45836235716</v>
      </c>
      <c r="AC48" s="48">
        <f>MAX(Tabela3[[#This Row],[Cotação 1]:[Cotação 4]])</f>
        <v>3.82</v>
      </c>
      <c r="AD48" s="44">
        <f>Tabela3[Cotação]/Tabela3[VPA]</f>
        <v>0.33338097373164255</v>
      </c>
      <c r="AE48" s="40">
        <f>IF(Tabela3[[#This Row],[Lucro/Ação]]&gt;0,Tabela3[[#This Row],[Cotação]]/(Tabela3[[#This Row],[Lucro/Ação]]/Tabela3[Ref]*4),0)</f>
        <v>6.1154976992638108</v>
      </c>
      <c r="AF48" s="40" t="e">
        <f>IF(Tabela3[Div. Mínimo]=0,0,Tabela3[Lucro Distribuir]*#REF!/Tabela3[Total Ações])</f>
        <v>#REF!</v>
      </c>
      <c r="AG48" s="80">
        <f>Tabela3[Lucro Distribuir]/Tabela3[Total Ações]</f>
        <v>0.44505780785881854</v>
      </c>
      <c r="AH4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7.8085912537628019E-2</v>
      </c>
      <c r="AI48" s="15" t="str">
        <f>IF(AND(Tabela3[% A.A.]&gt;=7%,SUMPRODUCT(N(Tabela3[Nome]=Tabela3[[#This Row],[Nome]]),Tabela3[PL])&gt;0),"Sim","Não")</f>
        <v>Não</v>
      </c>
      <c r="AJ48" s="42">
        <f>IF(Tabela3[Cotação]&gt;0,Tabela3[[#This Row],[Lucro]]/Tabela3[[#This Row],[Cotação]],0)</f>
        <v>2.0441338360635608E-2</v>
      </c>
      <c r="AK48" s="19">
        <f>((1+Tabela3[[#This Row],[% Yield]])^(1/(3*Tabela3[[#This Row],[Ref]])))^(12)-1</f>
        <v>2.7347554752432668E-2</v>
      </c>
      <c r="AL48" s="14">
        <f>IF(Tabela3[Cotação]&gt;0,($AS$1/Tabela3[[#This Row],[Cotação]]-MOD($AS$1/Tabela3[[#This Row],[Cotação]],100)),)</f>
        <v>200</v>
      </c>
      <c r="AM48" s="17">
        <f>Tabela3[[#This Row],[Ativos]]*Tabela3[Lucro]</f>
        <v>15.617182507525603</v>
      </c>
      <c r="AN48" s="5">
        <f>SUMPRODUCT(N(Tabela1[Código]=Tabela3[[#This Row],[PAPEL]]),Tabela1[Fechamento])</f>
        <v>3.82</v>
      </c>
      <c r="AO48" s="5">
        <f>SUMPRODUCT(N(Tabela17[Código]=Tabela3[[#This Row],[PAPEL]]),Tabela17[Fechamento])</f>
        <v>0</v>
      </c>
      <c r="AP48" s="7">
        <f>SUMPRODUCT(N(Tabela176[Código]=Tabela3[[#This Row],[PAPEL]]),Tabela176[Fechamento])</f>
        <v>0</v>
      </c>
      <c r="AQ48" s="7">
        <f>SUMPRODUCT(N(Tabela1768[Código]=Tabela3[[#This Row],[PAPEL]]),Tabela1768[Fechamento])</f>
        <v>0</v>
      </c>
    </row>
    <row r="49" spans="1:43" hidden="1" x14ac:dyDescent="0.2">
      <c r="A49" s="4" t="s">
        <v>14</v>
      </c>
      <c r="B49" s="57" t="s">
        <v>224</v>
      </c>
      <c r="C49" s="15" t="str">
        <f>LEFT(Tabela3[PAPEL],LEN(Tabela3[PAPEL])-(LEN(Tabela3[PAPEL])-4))</f>
        <v>BRGE</v>
      </c>
      <c r="D49" s="16">
        <v>3</v>
      </c>
      <c r="E49" s="5">
        <v>303375520</v>
      </c>
      <c r="F49" s="56">
        <v>40394932</v>
      </c>
      <c r="G49" s="88">
        <v>0.25</v>
      </c>
      <c r="H49" s="16"/>
      <c r="I49" s="18"/>
      <c r="K49" s="89"/>
      <c r="L49" s="89"/>
      <c r="M49" s="5">
        <v>843867000</v>
      </c>
      <c r="N49" s="5">
        <v>34502000</v>
      </c>
      <c r="O49" s="5">
        <f>Tabela3[[#This Row],[Capital Social]]*20%</f>
        <v>60675104</v>
      </c>
      <c r="P49" s="5">
        <f>IF((Tabela3[Lucro Líquido]*5%)&gt;Tabela3[Teto R. Legal],Tabela3[Teto R. Legal],Tabela3[Lucro Líquido]*5%)</f>
        <v>1725100</v>
      </c>
      <c r="Q49" s="5">
        <f>IF(Tabela3[Lucro Líquido]&lt;0,0,Tabela3[Lucro Líquido]-Tabela3[Reserva Legal])</f>
        <v>32776900</v>
      </c>
      <c r="R49" s="5">
        <f>Tabela3[[#This Row],[Lucro Distribuir]]*Tabela3[%Div]</f>
        <v>8194225</v>
      </c>
      <c r="S49" s="21">
        <f>SUMPRODUCT(N(Tabela3[Nome]=Tabela3[[#This Row],[Nome]]),Tabela3[Ações])</f>
        <v>73646388</v>
      </c>
      <c r="T49" s="5">
        <f>Tabela3[Capital Social]/Tabela3[Total Ações]</f>
        <v>4.1193536877871049</v>
      </c>
      <c r="U49" s="79">
        <f>Tabela3[[#This Row],[Lucro Líquido]]/Tabela3[[#This Row],[Total Ações]]</f>
        <v>0.46848190300928266</v>
      </c>
      <c r="V4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4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4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7.8085912537628019E-2</v>
      </c>
      <c r="Y4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7.8085912537628019E-2</v>
      </c>
      <c r="Z49" s="5">
        <f>Tabela3[Div Base]*Tabela3[Ações]</f>
        <v>3154275.1271154312</v>
      </c>
      <c r="AA49" s="5">
        <f>SUMPRODUCT(N(Tabela3[Nome]=Tabela3[[#This Row],[Nome]]),Tabela3[Div Base]*Tabela3[Ações])</f>
        <v>8194224.9999999991</v>
      </c>
      <c r="AB49" s="5">
        <f>Tabela3[Patrimônio Líquido]/Tabela3[Total Ações]</f>
        <v>11.45836235716</v>
      </c>
      <c r="AC49" s="52">
        <f>MAX(Tabela3[[#This Row],[Cotação 1]:[Cotação 4]])</f>
        <v>3.8</v>
      </c>
      <c r="AD49" s="53">
        <f>Tabela3[Cotação]/Tabela3[VPA]</f>
        <v>0.33163552360739312</v>
      </c>
      <c r="AE49" s="37">
        <f>IF(Tabela3[[#This Row],[Lucro/Ação]]&gt;0,Tabela3[[#This Row],[Cotação]]/(Tabela3[[#This Row],[Lucro/Ação]]/Tabela3[Ref]*4),0)</f>
        <v>6.0834793867022201</v>
      </c>
      <c r="AF49" s="37" t="e">
        <f>IF(Tabela3[Div. Mínimo]=0,0,Tabela3[Lucro Distribuir]*#REF!/Tabela3[Total Ações])</f>
        <v>#REF!</v>
      </c>
      <c r="AG49" s="79">
        <f>Tabela3[Lucro Distribuir]/Tabela3[Total Ações]</f>
        <v>0.44505780785881854</v>
      </c>
      <c r="AH49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7.8085912537628019E-2</v>
      </c>
      <c r="AI49" s="16" t="str">
        <f>IF(AND(Tabela3[% A.A.]&gt;=7%,SUMPRODUCT(N(Tabela3[Nome]=Tabela3[[#This Row],[Nome]]),Tabela3[PL])&gt;0),"Sim","Não")</f>
        <v>Não</v>
      </c>
      <c r="AJ49" s="22">
        <f>IF(Tabela3[Cotação]&gt;0,Tabela3[[#This Row],[Lucro]]/Tabela3[[#This Row],[Cotação]],0)</f>
        <v>2.0548924352007374E-2</v>
      </c>
      <c r="AK49" s="18">
        <f>((1+Tabela3[[#This Row],[% Yield]])^(1/(3*Tabela3[[#This Row],[Ref]])))^(12)-1</f>
        <v>2.7491976116197803E-2</v>
      </c>
      <c r="AL49" s="10">
        <f>IF(Tabela3[Cotação]&gt;0,($AS$1/Tabela3[[#This Row],[Cotação]]-MOD($AS$1/Tabela3[[#This Row],[Cotação]],100)),)</f>
        <v>200</v>
      </c>
      <c r="AM49" s="7">
        <f>Tabela3[[#This Row],[Ativos]]*Tabela3[Lucro]</f>
        <v>15.617182507525603</v>
      </c>
      <c r="AN49" s="5">
        <f>SUMPRODUCT(N(Tabela1[Código]=Tabela3[[#This Row],[PAPEL]]),Tabela1[Fechamento])</f>
        <v>3.8</v>
      </c>
      <c r="AO49" s="5">
        <f>SUMPRODUCT(N(Tabela17[Código]=Tabela3[[#This Row],[PAPEL]]),Tabela17[Fechamento])</f>
        <v>0</v>
      </c>
      <c r="AP49" s="7">
        <f>SUMPRODUCT(N(Tabela176[Código]=Tabela3[[#This Row],[PAPEL]]),Tabela176[Fechamento])</f>
        <v>0</v>
      </c>
      <c r="AQ49" s="7">
        <f>SUMPRODUCT(N(Tabela1768[Código]=Tabela3[[#This Row],[PAPEL]]),Tabela1768[Fechamento])</f>
        <v>0</v>
      </c>
    </row>
    <row r="50" spans="1:43" x14ac:dyDescent="0.2">
      <c r="A50" s="4" t="s">
        <v>12</v>
      </c>
      <c r="B50" s="57" t="s">
        <v>91</v>
      </c>
      <c r="C50" s="14" t="str">
        <f>LEFT(Tabela3[PAPEL],LEN(Tabela3[PAPEL])-(LEN(Tabela3[PAPEL])-4))</f>
        <v>CEBR</v>
      </c>
      <c r="D50" s="15">
        <v>3</v>
      </c>
      <c r="E50" s="6">
        <v>342056165.62</v>
      </c>
      <c r="F50" s="8">
        <v>1313002</v>
      </c>
      <c r="G50" s="88">
        <v>0.25</v>
      </c>
      <c r="H50" s="15"/>
      <c r="I50" s="19">
        <v>0.1</v>
      </c>
      <c r="J50" s="19"/>
      <c r="K50" s="90"/>
      <c r="L50" s="90"/>
      <c r="M50" s="92">
        <v>465994000</v>
      </c>
      <c r="N50" s="92">
        <v>17904000</v>
      </c>
      <c r="O50" s="6">
        <f>Tabela3[[#This Row],[Capital Social]]*20%</f>
        <v>68411233.123999998</v>
      </c>
      <c r="P50" s="6">
        <f>IF((Tabela3[Lucro Líquido]*5%)&gt;Tabela3[Teto R. Legal],Tabela3[Teto R. Legal],Tabela3[Lucro Líquido]*5%)</f>
        <v>895200</v>
      </c>
      <c r="Q50" s="92">
        <f>IF(Tabela3[Lucro Líquido]&lt;0,0,Tabela3[Lucro Líquido]-Tabela3[Reserva Legal])</f>
        <v>17008800</v>
      </c>
      <c r="R50" s="92">
        <f>Tabela3[[#This Row],[Lucro Distribuir]]*Tabela3[%Div]</f>
        <v>4252200</v>
      </c>
      <c r="S50" s="56">
        <f>SUMPRODUCT(N(Tabela3[Nome]=Tabela3[[#This Row],[Nome]]),Tabela3[Ações])</f>
        <v>9183458</v>
      </c>
      <c r="T50" s="6">
        <f>Tabela3[Capital Social]/Tabela3[Total Ações]</f>
        <v>37.246989709105222</v>
      </c>
      <c r="U50" s="80">
        <f>Tabela3[[#This Row],[Lucro Líquido]]/Tabela3[[#This Row],[Total Ações]]</f>
        <v>1.9495924084369962</v>
      </c>
      <c r="V5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W5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3.7246989709105218</v>
      </c>
      <c r="Y5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3.7246989709105218</v>
      </c>
      <c r="Z50" s="6">
        <f>Tabela3[Div Base]*Tabela3[Ações]</f>
        <v>4890537.1982034566</v>
      </c>
      <c r="AA50" s="6">
        <f>SUMPRODUCT(N(Tabela3[Nome]=Tabela3[[#This Row],[Nome]]),Tabela3[Div Base]*Tabela3[Ações])</f>
        <v>4890537.1982034566</v>
      </c>
      <c r="AB50" s="92">
        <f>Tabela3[Patrimônio Líquido]/Tabela3[Total Ações]</f>
        <v>50.742759426786726</v>
      </c>
      <c r="AC50" s="48">
        <f>MAX(Tabela3[[#This Row],[Cotação 1]:[Cotação 4]])</f>
        <v>23</v>
      </c>
      <c r="AD50" s="44">
        <f>Tabela3[Cotação]/Tabela3[VPA]</f>
        <v>0.45326663862624844</v>
      </c>
      <c r="AE50" s="40">
        <f>IF(Tabela3[[#This Row],[Lucro/Ação]]&gt;0,Tabela3[[#This Row],[Cotação]]/(Tabela3[[#This Row],[Lucro/Ação]]/Tabela3[Ref]*4),0)</f>
        <v>8.8480032674262734</v>
      </c>
      <c r="AF50" s="77" t="e">
        <f>IF(Tabela3[Div. Mínimo]=0,0,Tabela3[Lucro Distribuir]*#REF!/Tabela3[Total Ações])</f>
        <v>#REF!</v>
      </c>
      <c r="AG50" s="80">
        <f>Tabela3[Lucro Distribuir]/Tabela3[Total Ações]</f>
        <v>1.8521127880151464</v>
      </c>
      <c r="AH5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3.7246989709105218</v>
      </c>
      <c r="AI50" s="15" t="str">
        <f>IF(AND(Tabela3[% A.A.]&gt;=7%,SUMPRODUCT(N(Tabela3[Nome]=Tabela3[[#This Row],[Nome]]),Tabela3[PL])&gt;0),"Sim","Não")</f>
        <v>Sim</v>
      </c>
      <c r="AJ50" s="42">
        <f>IF(Tabela3[Cotação]&gt;0,Tabela3[[#This Row],[Lucro]]/Tabela3[[#This Row],[Cotação]],0)</f>
        <v>0.16194343351784876</v>
      </c>
      <c r="AK50" s="19">
        <f>((1+Tabela3[[#This Row],[% Yield]])^(1/(3*Tabela3[[#This Row],[Ref]])))^(12)-1</f>
        <v>0.22155581271887548</v>
      </c>
      <c r="AL50" s="14">
        <f>IF(Tabela3[Cotação]&gt;0,($AS$1/Tabela3[[#This Row],[Cotação]]-MOD($AS$1/Tabela3[[#This Row],[Cotação]],100)),)</f>
        <v>0</v>
      </c>
      <c r="AM50" s="17">
        <f>Tabela3[[#This Row],[Ativos]]*Tabela3[Lucro]</f>
        <v>0</v>
      </c>
      <c r="AN50" s="5">
        <f>SUMPRODUCT(N(Tabela1[Código]=Tabela3[[#This Row],[PAPEL]]),Tabela1[Fechamento])</f>
        <v>23</v>
      </c>
      <c r="AO50" s="5">
        <f>SUMPRODUCT(N(Tabela17[Código]=Tabela3[[#This Row],[PAPEL]]),Tabela17[Fechamento])</f>
        <v>0</v>
      </c>
      <c r="AP50" s="7">
        <f>SUMPRODUCT(N(Tabela176[Código]=Tabela3[[#This Row],[PAPEL]]),Tabela176[Fechamento])</f>
        <v>0</v>
      </c>
      <c r="AQ50" s="7">
        <f>SUMPRODUCT(N(Tabela1768[Código]=Tabela3[[#This Row],[PAPEL]]),Tabela1768[Fechamento])</f>
        <v>0</v>
      </c>
    </row>
    <row r="51" spans="1:43" x14ac:dyDescent="0.2">
      <c r="A51" s="24" t="s">
        <v>40</v>
      </c>
      <c r="B51" s="57" t="s">
        <v>438</v>
      </c>
      <c r="C51" s="86" t="str">
        <f>LEFT(Tabela3[PAPEL],LEN(Tabela3[PAPEL])-(LEN(Tabela3[PAPEL])-4))</f>
        <v>UNIP</v>
      </c>
      <c r="D51" s="15">
        <v>3</v>
      </c>
      <c r="E51" s="6">
        <v>384330953.12</v>
      </c>
      <c r="F51" s="8">
        <v>278500690</v>
      </c>
      <c r="G51" s="88">
        <v>0.25</v>
      </c>
      <c r="H51" s="15"/>
      <c r="I51" s="19"/>
      <c r="J51" s="19"/>
      <c r="K51" s="90"/>
      <c r="L51" s="90"/>
      <c r="M51" s="28">
        <v>740932000</v>
      </c>
      <c r="N51" s="28">
        <v>342727000</v>
      </c>
      <c r="O51" s="13">
        <f>Tabela3[[#This Row],[Capital Social]]*20%</f>
        <v>76866190.623999998</v>
      </c>
      <c r="P51" s="13">
        <f>IF((Tabela3[Lucro Líquido]*5%)&gt;Tabela3[Teto R. Legal],Tabela3[Teto R. Legal],Tabela3[Lucro Líquido]*5%)</f>
        <v>17136350</v>
      </c>
      <c r="Q51" s="13">
        <f>IF(Tabela3[Lucro Líquido]&lt;0,0,Tabela3[Lucro Líquido]-Tabela3[Reserva Legal])</f>
        <v>325590650</v>
      </c>
      <c r="R51" s="13">
        <f>Tabela3[[#This Row],[Lucro Distribuir]]*Tabela3[%Div]</f>
        <v>81397662.5</v>
      </c>
      <c r="S51" s="21">
        <f>SUMPRODUCT(N(Tabela3[Nome]=Tabela3[[#This Row],[Nome]]),Tabela3[Ações])</f>
        <v>835502072</v>
      </c>
      <c r="T51" s="5">
        <f>Tabela3[Capital Social]/Tabela3[Total Ações]</f>
        <v>0.46</v>
      </c>
      <c r="U51" s="80">
        <f>Tabela3[[#This Row],[Lucro Líquido]]/Tabela3[[#This Row],[Total Ações]]</f>
        <v>0.4102048474632628</v>
      </c>
      <c r="V5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W5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0.20027095418686397</v>
      </c>
      <c r="Y5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Z51" s="13">
        <f>Tabela3[Div Base]*Tabela3[Ações]</f>
        <v>27132554.101717565</v>
      </c>
      <c r="AA51" s="13">
        <f>SUMPRODUCT(N(Tabela3[Nome]=Tabela3[[#This Row],[Nome]]),Tabela3[Div Base]*Tabela3[Ações])</f>
        <v>81397662.5</v>
      </c>
      <c r="AB51" s="6">
        <f>Tabela3[Patrimônio Líquido]/Tabela3[Total Ações]</f>
        <v>0.88681048776621108</v>
      </c>
      <c r="AC51" s="48">
        <f>MAX(Tabela3[[#This Row],[Cotação 1]:[Cotação 4]])</f>
        <v>0.61</v>
      </c>
      <c r="AD51" s="44">
        <f>Tabela3[Cotação]/Tabela3[VPA]</f>
        <v>0.68785835126570316</v>
      </c>
      <c r="AE51" s="40">
        <f>IF(Tabela3[[#This Row],[Lucro/Ação]]&gt;0,Tabela3[[#This Row],[Cotação]]/(Tabela3[[#This Row],[Lucro/Ação]]/Tabela3[Ref]*4),0)</f>
        <v>1.1152964252597548</v>
      </c>
      <c r="AF51" s="77" t="e">
        <f>IF(Tabela3[Div. Mínimo]=0,0,Tabela3[Lucro Distribuir]*#REF!/Tabela3[Total Ações])</f>
        <v>#REF!</v>
      </c>
      <c r="AG51" s="80">
        <f>Tabela3[Lucro Distribuir]/Tabela3[Total Ações]</f>
        <v>0.38969460509009962</v>
      </c>
      <c r="AH5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I51" s="15" t="str">
        <f>IF(AND(Tabela3[% A.A.]&gt;=7%,SUMPRODUCT(N(Tabela3[Nome]=Tabela3[[#This Row],[Nome]]),Tabela3[PL])&gt;0),"Sim","Não")</f>
        <v>Sim</v>
      </c>
      <c r="AJ51" s="42">
        <f>IF(Tabela3[Cotação]&gt;0,Tabela3[[#This Row],[Lucro]]/Tabela3[[#This Row],[Cotação]],0)</f>
        <v>0.15971090372545066</v>
      </c>
      <c r="AK51" s="19">
        <f>((1+Tabela3[[#This Row],[% Yield]])^(1/(3*Tabela3[[#This Row],[Ref]])))^(12)-1</f>
        <v>0.21842739186031612</v>
      </c>
      <c r="AL51" s="14">
        <f>IF(Tabela3[Cotação]&gt;0,($AS$1/Tabela3[[#This Row],[Cotação]]-MOD($AS$1/Tabela3[[#This Row],[Cotação]],100)),)</f>
        <v>1600</v>
      </c>
      <c r="AM51" s="17">
        <f>Tabela3[[#This Row],[Ativos]]*Tabela3[Lucro]</f>
        <v>155.87784203603985</v>
      </c>
      <c r="AN51" s="13">
        <f>SUMPRODUCT(N(Tabela1[Código]=Tabela3[[#This Row],[PAPEL]]),Tabela1[Fechamento])</f>
        <v>0</v>
      </c>
      <c r="AO51" s="55">
        <f>SUMPRODUCT(N(Tabela17[Código]=Tabela3[[#This Row],[PAPEL]]),Tabela17[Fechamento])</f>
        <v>0.61</v>
      </c>
      <c r="AP51" s="7">
        <f>SUMPRODUCT(N(Tabela176[Código]=Tabela3[[#This Row],[PAPEL]]),Tabela176[Fechamento])</f>
        <v>0</v>
      </c>
      <c r="AQ51" s="7">
        <f>SUMPRODUCT(N(Tabela1768[Código]=Tabela3[[#This Row],[PAPEL]]),Tabela1768[Fechamento])</f>
        <v>0</v>
      </c>
    </row>
    <row r="52" spans="1:43" x14ac:dyDescent="0.2">
      <c r="A52" s="24" t="s">
        <v>40</v>
      </c>
      <c r="B52" s="57" t="s">
        <v>73</v>
      </c>
      <c r="C52" s="86" t="str">
        <f>LEFT(Tabela3[PAPEL],LEN(Tabela3[PAPEL])-(LEN(Tabela3[PAPEL])-4))</f>
        <v>UNIP</v>
      </c>
      <c r="D52" s="15">
        <v>3</v>
      </c>
      <c r="E52" s="6">
        <v>384330953.12</v>
      </c>
      <c r="F52" s="8">
        <v>25907109</v>
      </c>
      <c r="G52" s="83">
        <v>0.25</v>
      </c>
      <c r="H52" s="15"/>
      <c r="I52" s="19">
        <v>0.1</v>
      </c>
      <c r="J52" s="19"/>
      <c r="K52" s="90"/>
      <c r="L52" s="90"/>
      <c r="M52" s="28">
        <v>740932000</v>
      </c>
      <c r="N52" s="28">
        <v>342727000</v>
      </c>
      <c r="O52" s="13">
        <f>Tabela3[[#This Row],[Capital Social]]*20%</f>
        <v>76866190.623999998</v>
      </c>
      <c r="P52" s="13">
        <f>IF((Tabela3[Lucro Líquido]*5%)&gt;Tabela3[Teto R. Legal],Tabela3[Teto R. Legal],Tabela3[Lucro Líquido]*5%)</f>
        <v>17136350</v>
      </c>
      <c r="Q52" s="13">
        <f>IF(Tabela3[Lucro Líquido]&lt;0,0,Tabela3[Lucro Líquido]-Tabela3[Reserva Legal])</f>
        <v>325590650</v>
      </c>
      <c r="R52" s="13">
        <f>Tabela3[[#This Row],[Lucro Distribuir]]*Tabela3[%Div]</f>
        <v>81397662.5</v>
      </c>
      <c r="S52" s="21">
        <f>SUMPRODUCT(N(Tabela3[Nome]=Tabela3[[#This Row],[Nome]]),Tabela3[Ações])</f>
        <v>835502072</v>
      </c>
      <c r="T52" s="5">
        <f>Tabela3[Capital Social]/Tabela3[Total Ações]</f>
        <v>0.46</v>
      </c>
      <c r="U52" s="80">
        <f>Tabela3[[#This Row],[Lucro Líquido]]/Tabela3[[#This Row],[Total Ações]]</f>
        <v>0.4102048474632628</v>
      </c>
      <c r="V5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W5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4.5999999999999999E-2</v>
      </c>
      <c r="Y5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Z52" s="13">
        <f>Tabela3[Div Base]*Tabela3[Ações]</f>
        <v>2523965.1526952912</v>
      </c>
      <c r="AA52" s="13">
        <f>SUMPRODUCT(N(Tabela3[Nome]=Tabela3[[#This Row],[Nome]]),Tabela3[Div Base]*Tabela3[Ações])</f>
        <v>81397662.5</v>
      </c>
      <c r="AB52" s="6">
        <f>Tabela3[Patrimônio Líquido]/Tabela3[Total Ações]</f>
        <v>0.88681048776621108</v>
      </c>
      <c r="AC52" s="48">
        <f>MAX(Tabela3[[#This Row],[Cotação 1]:[Cotação 4]])</f>
        <v>0.65</v>
      </c>
      <c r="AD52" s="44">
        <f>Tabela3[Cotação]/Tabela3[VPA]</f>
        <v>0.73296381692247059</v>
      </c>
      <c r="AE52" s="40">
        <f>IF(Tabela3[[#This Row],[Lucro/Ação]]&gt;0,Tabela3[[#This Row],[Cotação]]/(Tabela3[[#This Row],[Lucro/Ação]]/Tabela3[Ref]*4),0)</f>
        <v>1.1884306170800665</v>
      </c>
      <c r="AF52" s="77" t="e">
        <f>IF(Tabela3[Div. Mínimo]=0,0,Tabela3[Lucro Distribuir]*#REF!/Tabela3[Total Ações])</f>
        <v>#REF!</v>
      </c>
      <c r="AG52" s="80">
        <f>Tabela3[Lucro Distribuir]/Tabela3[Total Ações]</f>
        <v>0.38969460509009962</v>
      </c>
      <c r="AH5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I52" s="15" t="str">
        <f>IF(AND(Tabela3[% A.A.]&gt;=7%,SUMPRODUCT(N(Tabela3[Nome]=Tabela3[[#This Row],[Nome]]),Tabela3[PL])&gt;0),"Sim","Não")</f>
        <v>Sim</v>
      </c>
      <c r="AJ52" s="42">
        <f>IF(Tabela3[Cotação]&gt;0,Tabela3[[#This Row],[Lucro]]/Tabela3[[#This Row],[Cotação]],0)</f>
        <v>0.14988254041926907</v>
      </c>
      <c r="AK52" s="19">
        <f>((1+Tabela3[[#This Row],[% Yield]])^(1/(3*Tabela3[[#This Row],[Ref]])))^(12)-1</f>
        <v>0.20467890737310479</v>
      </c>
      <c r="AL52" s="14">
        <f>IF(Tabela3[Cotação]&gt;0,($AS$1/Tabela3[[#This Row],[Cotação]]-MOD($AS$1/Tabela3[[#This Row],[Cotação]],100)),)</f>
        <v>1500</v>
      </c>
      <c r="AM52" s="17">
        <f>Tabela3[[#This Row],[Ativos]]*Tabela3[Lucro]</f>
        <v>146.13547690878735</v>
      </c>
      <c r="AN52" s="13">
        <f>SUMPRODUCT(N(Tabela1[Código]=Tabela3[[#This Row],[PAPEL]]),Tabela1[Fechamento])</f>
        <v>0.65</v>
      </c>
      <c r="AO52" s="55">
        <f>SUMPRODUCT(N(Tabela17[Código]=Tabela3[[#This Row],[PAPEL]]),Tabela17[Fechamento])</f>
        <v>0</v>
      </c>
      <c r="AP52" s="7">
        <f>SUMPRODUCT(N(Tabela176[Código]=Tabela3[[#This Row],[PAPEL]]),Tabela176[Fechamento])</f>
        <v>0</v>
      </c>
      <c r="AQ52" s="7">
        <f>SUMPRODUCT(N(Tabela1768[Código]=Tabela3[[#This Row],[PAPEL]]),Tabela1768[Fechamento])</f>
        <v>0</v>
      </c>
    </row>
    <row r="53" spans="1:43" x14ac:dyDescent="0.2">
      <c r="A53" s="4" t="s">
        <v>12</v>
      </c>
      <c r="B53" s="57" t="s">
        <v>99</v>
      </c>
      <c r="C53" s="14" t="str">
        <f>LEFT(Tabela3[PAPEL],LEN(Tabela3[PAPEL])-(LEN(Tabela3[PAPEL])-4))</f>
        <v>CPLE</v>
      </c>
      <c r="D53" s="15">
        <v>3</v>
      </c>
      <c r="E53" s="6">
        <v>6910000000</v>
      </c>
      <c r="F53" s="8">
        <v>381702</v>
      </c>
      <c r="G53" s="83">
        <v>0.25</v>
      </c>
      <c r="H53" s="19"/>
      <c r="I53" s="19">
        <v>0.1</v>
      </c>
      <c r="J53" s="19"/>
      <c r="K53" s="90"/>
      <c r="L53" s="90"/>
      <c r="M53" s="93">
        <v>12828375000</v>
      </c>
      <c r="N53" s="98">
        <v>898498000</v>
      </c>
      <c r="O53" s="28">
        <f>Tabela3[[#This Row],[Capital Social]]*20%</f>
        <v>1382000000</v>
      </c>
      <c r="P53" s="28">
        <f>IF((Tabela3[Lucro Líquido]*5%)&gt;Tabela3[Teto R. Legal],Tabela3[Teto R. Legal],Tabela3[Lucro Líquido]*5%)</f>
        <v>44924900</v>
      </c>
      <c r="Q53" s="93">
        <f>IF(Tabela3[Lucro Líquido]&lt;0,0,Tabela3[Lucro Líquido]-Tabela3[Reserva Legal])</f>
        <v>853573100</v>
      </c>
      <c r="R53" s="93">
        <f>Tabela3[[#This Row],[Lucro Distribuir]]*Tabela3[%Div]</f>
        <v>213393275</v>
      </c>
      <c r="S53" s="56">
        <f>SUMPRODUCT(N(Tabela3[Nome]=Tabela3[[#This Row],[Nome]]),Tabela3[Ações])</f>
        <v>273655375</v>
      </c>
      <c r="T53" s="6">
        <f>Tabela3[Capital Social]/Tabela3[Total Ações]</f>
        <v>25.250737355332415</v>
      </c>
      <c r="U53" s="80">
        <f>Tabela3[[#This Row],[Lucro Líquido]]/Tabela3[[#This Row],[Total Ações]]</f>
        <v>3.2833193939640322</v>
      </c>
      <c r="V5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0.75552617508602748</v>
      </c>
      <c r="W5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2.5250737355332413</v>
      </c>
      <c r="Y5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2.5250737355332413</v>
      </c>
      <c r="Z53" s="6">
        <f>Tabela3[Div Base]*Tabela3[Ações]</f>
        <v>963825.69500050927</v>
      </c>
      <c r="AA53" s="6">
        <f>SUMPRODUCT(N(Tabela3[Nome]=Tabela3[[#This Row],[Nome]]),Tabela3[Div Base]*Tabela3[Ações])</f>
        <v>216148879.24719858</v>
      </c>
      <c r="AB53" s="92">
        <f>Tabela3[Patrimônio Líquido]/Tabela3[Total Ações]</f>
        <v>46.877847730927996</v>
      </c>
      <c r="AC53" s="48">
        <f>MAX(Tabela3[[#This Row],[Cotação 1]:[Cotação 4]])</f>
        <v>30</v>
      </c>
      <c r="AD53" s="44">
        <f>Tabela3[Cotação]/Tabela3[VPA]</f>
        <v>0.63996112134233685</v>
      </c>
      <c r="AE53" s="40">
        <f>IF(Tabela3[[#This Row],[Lucro/Ação]]&gt;0,Tabela3[[#This Row],[Cotação]]/(Tabela3[[#This Row],[Lucro/Ação]]/Tabela3[Ref]*4),0)</f>
        <v>6.8528209717773443</v>
      </c>
      <c r="AF53" s="77" t="e">
        <f>IF(Tabela3[Div. Mínimo]=0,0,Tabela3[Lucro Distribuir]*#REF!/Tabela3[Total Ações])</f>
        <v>#REF!</v>
      </c>
      <c r="AG53" s="80">
        <f>Tabela3[Lucro Distribuir]/Tabela3[Total Ações]</f>
        <v>3.1191534242658308</v>
      </c>
      <c r="AH5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2.5250737355332413</v>
      </c>
      <c r="AI53" s="15" t="str">
        <f>IF(AND(Tabela3[% A.A.]&gt;=7%,SUMPRODUCT(N(Tabela3[Nome]=Tabela3[[#This Row],[Nome]]),Tabela3[PL])&gt;0),"Sim","Não")</f>
        <v>Sim</v>
      </c>
      <c r="AJ53" s="42">
        <f>IF(Tabela3[Cotação]&gt;0,Tabela3[[#This Row],[Lucro]]/Tabela3[[#This Row],[Cotação]],0)</f>
        <v>8.416912451777471E-2</v>
      </c>
      <c r="AK53" s="19">
        <f>((1+Tabela3[[#This Row],[% Yield]])^(1/(3*Tabela3[[#This Row],[Ref]])))^(12)-1</f>
        <v>0.11377136181616954</v>
      </c>
      <c r="AL53" s="14">
        <f>IF(Tabela3[Cotação]&gt;0,($AS$1/Tabela3[[#This Row],[Cotação]]-MOD($AS$1/Tabela3[[#This Row],[Cotação]],100)),)</f>
        <v>0</v>
      </c>
      <c r="AM53" s="17">
        <f>Tabela3[[#This Row],[Ativos]]*Tabela3[Lucro]</f>
        <v>0</v>
      </c>
      <c r="AN53" s="5">
        <f>SUMPRODUCT(N(Tabela1[Código]=Tabela3[[#This Row],[PAPEL]]),Tabela1[Fechamento])</f>
        <v>30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  <c r="AQ53" s="7">
        <f>SUMPRODUCT(N(Tabela1768[Código]=Tabela3[[#This Row],[PAPEL]]),Tabela1768[Fechamento])</f>
        <v>0</v>
      </c>
    </row>
    <row r="54" spans="1:43" hidden="1" x14ac:dyDescent="0.2">
      <c r="A54" s="4" t="s">
        <v>378</v>
      </c>
      <c r="B54" s="57" t="s">
        <v>377</v>
      </c>
      <c r="C54" s="84" t="str">
        <f>LEFT(Tabela3[PAPEL],LEN(Tabela3[PAPEL])-(LEN(Tabela3[PAPEL])-4))</f>
        <v>BRIN</v>
      </c>
      <c r="D54" s="15">
        <v>3</v>
      </c>
      <c r="E54" s="6">
        <v>348895784.44999999</v>
      </c>
      <c r="F54" s="8">
        <v>98042555</v>
      </c>
      <c r="G54" s="83">
        <v>0.25</v>
      </c>
      <c r="H54" s="15"/>
      <c r="I54" s="19"/>
      <c r="J54" s="19"/>
      <c r="K54" s="90"/>
      <c r="L54" s="90"/>
      <c r="M54" s="6">
        <v>496428000</v>
      </c>
      <c r="N54" s="6">
        <v>88119000</v>
      </c>
      <c r="O54" s="6">
        <f>Tabela3[[#This Row],[Capital Social]]*20%</f>
        <v>69779156.890000001</v>
      </c>
      <c r="P54" s="6">
        <f>IF((Tabela3[Lucro Líquido]*5%)&gt;Tabela3[Teto R. Legal],Tabela3[Teto R. Legal],Tabela3[Lucro Líquido]*5%)</f>
        <v>4405950</v>
      </c>
      <c r="Q54" s="6">
        <f>IF(Tabela3[Lucro Líquido]&lt;0,0,Tabela3[Lucro Líquido]-Tabela3[Reserva Legal])</f>
        <v>83713050</v>
      </c>
      <c r="R54" s="6">
        <f>Tabela3[[#This Row],[Lucro Distribuir]]*Tabela3[%Div]</f>
        <v>20928262.5</v>
      </c>
      <c r="S54" s="56">
        <f>SUMPRODUCT(N(Tabela3[Nome]=Tabela3[[#This Row],[Nome]]),Tabela3[Ações])</f>
        <v>98042555</v>
      </c>
      <c r="T54" s="6">
        <f>Tabela3[Capital Social]/Tabela3[Total Ações]</f>
        <v>3.5586157913775298</v>
      </c>
      <c r="U54" s="80">
        <f>Tabela3[[#This Row],[Lucro Líquido]]/Tabela3[[#This Row],[Total Ações]]</f>
        <v>0.89878318654588307</v>
      </c>
      <c r="V5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0.21346100680464722</v>
      </c>
      <c r="W5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5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0.21346100680464722</v>
      </c>
      <c r="Z54" s="6">
        <f>Tabela3[Div Base]*Tabela3[Ações]</f>
        <v>20928262.5</v>
      </c>
      <c r="AA54" s="6">
        <f>SUMPRODUCT(N(Tabela3[Nome]=Tabela3[[#This Row],[Nome]]),Tabela3[Div Base]*Tabela3[Ações])</f>
        <v>20928262.5</v>
      </c>
      <c r="AB54" s="6">
        <f>Tabela3[Patrimônio Líquido]/Tabela3[Total Ações]</f>
        <v>5.063393135766403</v>
      </c>
      <c r="AC54" s="48">
        <f>MAX(Tabela3[[#This Row],[Cotação 1]:[Cotação 4]])</f>
        <v>17.899999999999999</v>
      </c>
      <c r="AD54" s="44">
        <f>Tabela3[Cotação]/Tabela3[VPA]</f>
        <v>3.5351787862489621</v>
      </c>
      <c r="AE54" s="40">
        <f>IF(Tabela3[[#This Row],[Lucro/Ação]]&gt;0,Tabela3[[#This Row],[Cotação]]/(Tabela3[[#This Row],[Lucro/Ação]]/Tabela3[Ref]*4),0)</f>
        <v>14.936861526742243</v>
      </c>
      <c r="AF54" s="40" t="e">
        <f>IF(Tabela3[Div. Mínimo]=0,0,Tabela3[Lucro Distribuir]*#REF!/Tabela3[Total Ações])</f>
        <v>#REF!</v>
      </c>
      <c r="AG54" s="80">
        <f>Tabela3[Lucro Distribuir]/Tabela3[Total Ações]</f>
        <v>0.85384402721858887</v>
      </c>
      <c r="AH5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0.21346100680464722</v>
      </c>
      <c r="AI54" s="15" t="str">
        <f>IF(AND(Tabela3[% A.A.]&gt;=7%,SUMPRODUCT(N(Tabela3[Nome]=Tabela3[[#This Row],[Nome]]),Tabela3[PL])&gt;0),"Sim","Não")</f>
        <v>Não</v>
      </c>
      <c r="AJ54" s="42">
        <f>IF(Tabela3[Cotação]&gt;0,Tabela3[[#This Row],[Lucro]]/Tabela3[[#This Row],[Cotação]],0)</f>
        <v>1.1925195910874146E-2</v>
      </c>
      <c r="AK54" s="19">
        <f>((1+Tabela3[[#This Row],[% Yield]])^(1/(3*Tabela3[[#This Row],[Ref]])))^(12)-1</f>
        <v>1.5931780168896292E-2</v>
      </c>
      <c r="AL54" s="14">
        <f>IF(Tabela3[Cotação]&gt;0,($AS$1/Tabela3[[#This Row],[Cotação]]-MOD($AS$1/Tabela3[[#This Row],[Cotação]],100)),)</f>
        <v>0</v>
      </c>
      <c r="AM54" s="17">
        <f>Tabela3[[#This Row],[Ativos]]*Tabela3[Lucro]</f>
        <v>0</v>
      </c>
      <c r="AN54" s="13">
        <f>SUMPRODUCT(N(Tabela1[Código]=Tabela3[[#This Row],[PAPEL]]),Tabela1[Fechamento])</f>
        <v>0</v>
      </c>
      <c r="AO54" s="55">
        <f>SUMPRODUCT(N(Tabela17[Código]=Tabela3[[#This Row],[PAPEL]]),Tabela17[Fechamento])</f>
        <v>17.899999999999999</v>
      </c>
      <c r="AP54" s="7">
        <f>SUMPRODUCT(N(Tabela176[Código]=Tabela3[[#This Row],[PAPEL]]),Tabela176[Fechamento])</f>
        <v>0</v>
      </c>
      <c r="AQ54" s="7">
        <f>SUMPRODUCT(N(Tabela1768[Código]=Tabela3[[#This Row],[PAPEL]]),Tabela1768[Fechamento])</f>
        <v>0</v>
      </c>
    </row>
    <row r="55" spans="1:43" hidden="1" x14ac:dyDescent="0.2">
      <c r="A55" s="4" t="s">
        <v>14</v>
      </c>
      <c r="B55" s="57" t="s">
        <v>200</v>
      </c>
      <c r="C55" s="14" t="str">
        <f>LEFT(Tabela3[PAPEL],LEN(Tabela3[PAPEL])-(LEN(Tabela3[PAPEL])-4))</f>
        <v>BRIV</v>
      </c>
      <c r="D55" s="15">
        <v>3</v>
      </c>
      <c r="E55" s="6">
        <v>524000000</v>
      </c>
      <c r="F55" s="8">
        <v>53948999</v>
      </c>
      <c r="G55" s="88">
        <v>0.25</v>
      </c>
      <c r="H55" s="15"/>
      <c r="I55" s="19"/>
      <c r="J55" s="19"/>
      <c r="K55" s="90"/>
      <c r="L55" s="90"/>
      <c r="M55" s="6">
        <v>1179411000</v>
      </c>
      <c r="N55" s="6">
        <v>46761000</v>
      </c>
      <c r="O55" s="6">
        <f>Tabela3[[#This Row],[Capital Social]]*20%</f>
        <v>104800000</v>
      </c>
      <c r="P55" s="6">
        <f>IF((Tabela3[Lucro Líquido]*5%)&gt;Tabela3[Teto R. Legal],Tabela3[Teto R. Legal],Tabela3[Lucro Líquido]*5%)</f>
        <v>2338050</v>
      </c>
      <c r="Q55" s="6">
        <f>IF(Tabela3[Lucro Líquido]&lt;0,0,Tabela3[Lucro Líquido]-Tabela3[Reserva Legal])</f>
        <v>44422950</v>
      </c>
      <c r="R55" s="6">
        <f>Tabela3[[#This Row],[Lucro Distribuir]]*Tabela3[%Div]</f>
        <v>11105737.5</v>
      </c>
      <c r="S55" s="21">
        <f>SUMPRODUCT(N(Tabela3[Nome]=Tabela3[[#This Row],[Nome]]),Tabela3[Ações])</f>
        <v>90224492</v>
      </c>
      <c r="T55" s="6">
        <f>Tabela3[Capital Social]/Tabela3[Total Ações]</f>
        <v>5.8077356645022729</v>
      </c>
      <c r="U55" s="80">
        <f>Tabela3[[#This Row],[Lucro Líquido]]/Tabela3[[#This Row],[Total Ações]]</f>
        <v>0.51827390726677625</v>
      </c>
      <c r="V5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0.12309005297585937</v>
      </c>
      <c r="W5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5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55" s="6">
        <f>Tabela3[Div Base]*Tabela3[Ações]</f>
        <v>0</v>
      </c>
      <c r="AA55" s="6">
        <f>SUMPRODUCT(N(Tabela3[Nome]=Tabela3[[#This Row],[Nome]]),Tabela3[Div Base]*Tabela3[Ações])</f>
        <v>12640708.466610152</v>
      </c>
      <c r="AB55" s="6">
        <f>Tabela3[Patrimônio Líquido]/Tabela3[Total Ações]</f>
        <v>13.071960549248645</v>
      </c>
      <c r="AC55" s="48">
        <f>MAX(Tabela3[[#This Row],[Cotação 1]:[Cotação 4]])</f>
        <v>6.61</v>
      </c>
      <c r="AD55" s="44">
        <f>Tabela3[Cotação]/Tabela3[VPA]</f>
        <v>0.50566248078066089</v>
      </c>
      <c r="AE55" s="40">
        <f>IF(Tabela3[[#This Row],[Lucro/Ação]]&gt;0,Tabela3[[#This Row],[Cotação]]/(Tabela3[[#This Row],[Lucro/Ação]]/Tabela3[Ref]*4),0)</f>
        <v>9.5654053397061674</v>
      </c>
      <c r="AF55" s="40" t="e">
        <f>IF(Tabela3[Div. Mínimo]=0,0,Tabela3[Lucro Distribuir]*#REF!/Tabela3[Total Ações])</f>
        <v>#REF!</v>
      </c>
      <c r="AG55" s="80">
        <f>Tabela3[Lucro Distribuir]/Tabela3[Total Ações]</f>
        <v>0.49236021190343748</v>
      </c>
      <c r="AH5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55" s="15" t="str">
        <f>IF(AND(Tabela3[% A.A.]&gt;=7%,SUMPRODUCT(N(Tabela3[Nome]=Tabela3[[#This Row],[Nome]]),Tabela3[PL])&gt;0),"Sim","Não")</f>
        <v>Não</v>
      </c>
      <c r="AJ55" s="42">
        <f>IF(Tabela3[Cotação]&gt;0,Tabela3[[#This Row],[Lucro]]/Tabela3[[#This Row],[Cotação]],0)</f>
        <v>0</v>
      </c>
      <c r="AK55" s="19">
        <f>((1+Tabela3[[#This Row],[% Yield]])^(1/(3*Tabela3[[#This Row],[Ref]])))^(12)-1</f>
        <v>0</v>
      </c>
      <c r="AL55" s="14">
        <f>IF(Tabela3[Cotação]&gt;0,($AS$1/Tabela3[[#This Row],[Cotação]]-MOD($AS$1/Tabela3[[#This Row],[Cotação]],100)),)</f>
        <v>100</v>
      </c>
      <c r="AM55" s="17">
        <f>Tabela3[[#This Row],[Ativos]]*Tabela3[Lucro]</f>
        <v>0</v>
      </c>
      <c r="AN55" s="5">
        <f>SUMPRODUCT(N(Tabela1[Código]=Tabela3[[#This Row],[PAPEL]]),Tabela1[Fechamento])</f>
        <v>6.61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  <c r="AQ55" s="7">
        <f>SUMPRODUCT(N(Tabela1768[Código]=Tabela3[[#This Row],[PAPEL]]),Tabela1768[Fechamento])</f>
        <v>0</v>
      </c>
    </row>
    <row r="56" spans="1:43" x14ac:dyDescent="0.2">
      <c r="A56" s="4" t="s">
        <v>14</v>
      </c>
      <c r="B56" s="57" t="s">
        <v>77</v>
      </c>
      <c r="C56" s="15" t="str">
        <f>LEFT(Tabela3[PAPEL],LEN(Tabela3[PAPEL])-(LEN(Tabela3[PAPEL])-4))</f>
        <v>BRGE</v>
      </c>
      <c r="D56" s="16">
        <v>3</v>
      </c>
      <c r="E56" s="5">
        <v>303375520</v>
      </c>
      <c r="F56" s="56">
        <v>2330271</v>
      </c>
      <c r="G56" s="88">
        <v>0.25</v>
      </c>
      <c r="H56" s="16"/>
      <c r="I56" s="18">
        <v>0.12</v>
      </c>
      <c r="K56" s="89"/>
      <c r="L56" s="89"/>
      <c r="M56" s="5">
        <v>843867000</v>
      </c>
      <c r="N56" s="5">
        <v>34502000</v>
      </c>
      <c r="O56" s="5">
        <f>Tabela3[[#This Row],[Capital Social]]*20%</f>
        <v>60675104</v>
      </c>
      <c r="P56" s="5">
        <f>IF((Tabela3[Lucro Líquido]*5%)&gt;Tabela3[Teto R. Legal],Tabela3[Teto R. Legal],Tabela3[Lucro Líquido]*5%)</f>
        <v>1725100</v>
      </c>
      <c r="Q56" s="5">
        <f>IF(Tabela3[Lucro Líquido]&lt;0,0,Tabela3[Lucro Líquido]-Tabela3[Reserva Legal])</f>
        <v>32776900</v>
      </c>
      <c r="R56" s="5">
        <f>Tabela3[[#This Row],[Lucro Distribuir]]*Tabela3[%Div]</f>
        <v>8194225</v>
      </c>
      <c r="S56" s="21">
        <f>SUMPRODUCT(N(Tabela3[Nome]=Tabela3[[#This Row],[Nome]]),Tabela3[Ações])</f>
        <v>73646388</v>
      </c>
      <c r="T56" s="5">
        <f>Tabela3[Capital Social]/Tabela3[Total Ações]</f>
        <v>4.1193536877871049</v>
      </c>
      <c r="U56" s="79">
        <f>Tabela3[[#This Row],[Lucro Líquido]]/Tabela3[[#This Row],[Total Ações]]</f>
        <v>0.46848190300928266</v>
      </c>
      <c r="V5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5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0.49432244253445257</v>
      </c>
      <c r="Y5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0.49432244253445257</v>
      </c>
      <c r="Z56" s="5">
        <f>Tabela3[Div Base]*Tabela3[Ações]</f>
        <v>1151905.2524872012</v>
      </c>
      <c r="AA56" s="5">
        <f>SUMPRODUCT(N(Tabela3[Nome]=Tabela3[[#This Row],[Nome]]),Tabela3[Div Base]*Tabela3[Ações])</f>
        <v>8194224.9999999991</v>
      </c>
      <c r="AB56" s="5">
        <f>Tabela3[Patrimônio Líquido]/Tabela3[Total Ações]</f>
        <v>11.45836235716</v>
      </c>
      <c r="AC56" s="52">
        <f>MAX(Tabela3[[#This Row],[Cotação 1]:[Cotação 4]])</f>
        <v>5.96</v>
      </c>
      <c r="AD56" s="53">
        <f>Tabela3[Cotação]/Tabela3[VPA]</f>
        <v>0.52014413702633233</v>
      </c>
      <c r="AE56" s="37">
        <f>IF(Tabela3[[#This Row],[Lucro/Ação]]&gt;0,Tabela3[[#This Row],[Cotação]]/(Tabela3[[#This Row],[Lucro/Ação]]/Tabela3[Ref]*4),0)</f>
        <v>9.541457143354009</v>
      </c>
      <c r="AF56" s="37" t="e">
        <f>IF(Tabela3[Div. Mínimo]=0,0,Tabela3[Lucro Distribuir]*#REF!/Tabela3[Total Ações])</f>
        <v>#REF!</v>
      </c>
      <c r="AG56" s="79">
        <f>Tabela3[Lucro Distribuir]/Tabela3[Total Ações]</f>
        <v>0.44505780785881854</v>
      </c>
      <c r="AH5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0.49432244253445257</v>
      </c>
      <c r="AI56" s="16" t="str">
        <f>IF(AND(Tabela3[% A.A.]&gt;=7%,SUMPRODUCT(N(Tabela3[Nome]=Tabela3[[#This Row],[Nome]]),Tabela3[PL])&gt;0),"Sim","Não")</f>
        <v>Sim</v>
      </c>
      <c r="AJ56" s="22">
        <f>IF(Tabela3[Cotação]&gt;0,Tabela3[[#This Row],[Lucro]]/Tabela3[[#This Row],[Cotação]],0)</f>
        <v>8.2940007136653116E-2</v>
      </c>
      <c r="AK56" s="18">
        <f>((1+Tabela3[[#This Row],[% Yield]])^(1/(3*Tabela3[[#This Row],[Ref]])))^(12)-1</f>
        <v>0.11208811027646859</v>
      </c>
      <c r="AL56" s="10">
        <f>IF(Tabela3[Cotação]&gt;0,($AS$1/Tabela3[[#This Row],[Cotação]]-MOD($AS$1/Tabela3[[#This Row],[Cotação]],100)),)</f>
        <v>100</v>
      </c>
      <c r="AM56" s="7">
        <f>Tabela3[[#This Row],[Ativos]]*Tabela3[Lucro]</f>
        <v>49.432244253445255</v>
      </c>
      <c r="AN56" s="5">
        <f>SUMPRODUCT(N(Tabela1[Código]=Tabela3[[#This Row],[PAPEL]]),Tabela1[Fechamento])</f>
        <v>5.96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  <c r="AQ56" s="7">
        <f>SUMPRODUCT(N(Tabela1768[Código]=Tabela3[[#This Row],[PAPEL]]),Tabela1768[Fechamento])</f>
        <v>0</v>
      </c>
    </row>
    <row r="57" spans="1:43" hidden="1" x14ac:dyDescent="0.2">
      <c r="A57" s="4" t="s">
        <v>40</v>
      </c>
      <c r="B57" s="57" t="s">
        <v>268</v>
      </c>
      <c r="C57" s="84" t="str">
        <f>LEFT(Tabela3[PAPEL],LEN(Tabela3[PAPEL])-(LEN(Tabela3[PAPEL])-4))</f>
        <v>BRKM</v>
      </c>
      <c r="D57" s="16">
        <v>3</v>
      </c>
      <c r="E57" s="5">
        <v>8043222080.5</v>
      </c>
      <c r="F57" s="56">
        <v>451668652</v>
      </c>
      <c r="G57" s="88">
        <v>0.25</v>
      </c>
      <c r="H57" s="16"/>
      <c r="I57" s="18"/>
      <c r="K57" s="89"/>
      <c r="L57" s="89"/>
      <c r="M57" s="5">
        <v>8048177000</v>
      </c>
      <c r="N57" s="6">
        <v>485601000</v>
      </c>
      <c r="O57" s="5">
        <f>Tabela3[[#This Row],[Capital Social]]*20%</f>
        <v>1608644416.1000001</v>
      </c>
      <c r="P57" s="5">
        <f>IF((Tabela3[Lucro Líquido]*5%)&gt;Tabela3[Teto R. Legal],Tabela3[Teto R. Legal],Tabela3[Lucro Líquido]*5%)</f>
        <v>24280050</v>
      </c>
      <c r="Q57" s="5">
        <f>IF(Tabela3[Lucro Líquido]&lt;0,0,Tabela3[Lucro Líquido]-Tabela3[Reserva Legal])</f>
        <v>461320950</v>
      </c>
      <c r="R57" s="5">
        <f>Tabela3[[#This Row],[Lucro Distribuir]]*Tabela3[%Div]</f>
        <v>115330237.5</v>
      </c>
      <c r="S57" s="21">
        <f>SUMPRODUCT(N(Tabela3[Nome]=Tabela3[[#This Row],[Nome]]),Tabela3[Ações])</f>
        <v>797265348</v>
      </c>
      <c r="T57" s="5">
        <f>Tabela3[Capital Social]/Tabela3[Total Ações]</f>
        <v>10.088513317024283</v>
      </c>
      <c r="U57" s="79">
        <f>Tabela3[[#This Row],[Lucro Líquido]]/Tabela3[[#This Row],[Total Ações]]</f>
        <v>0.60908328854147065</v>
      </c>
      <c r="V57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0.14465728102859929</v>
      </c>
      <c r="W57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57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57" s="5">
        <f>Tabela3[Div Base]*Tabela3[Ações]</f>
        <v>0</v>
      </c>
      <c r="AA57" s="5">
        <f>SUMPRODUCT(N(Tabela3[Nome]=Tabela3[[#This Row],[Nome]]),Tabela3[Div Base]*Tabela3[Ações])</f>
        <v>209193412.19493559</v>
      </c>
      <c r="AB57" s="5">
        <f>Tabela3[Patrimônio Líquido]/Tabela3[Total Ações]</f>
        <v>10.094728210864121</v>
      </c>
      <c r="AC57" s="52">
        <f>MAX(Tabela3[[#This Row],[Cotação 1]:[Cotação 4]])</f>
        <v>13.35</v>
      </c>
      <c r="AD57" s="53">
        <f>Tabela3[Cotação]/Tabela3[VPA]</f>
        <v>1.322472455041682</v>
      </c>
      <c r="AE57" s="37">
        <f>IF(Tabela3[[#This Row],[Lucro/Ação]]&gt;0,Tabela3[[#This Row],[Cotação]]/(Tabela3[[#This Row],[Lucro/Ação]]/Tabela3[Ref]*4),0)</f>
        <v>16.43863850537787</v>
      </c>
      <c r="AF57" s="37" t="e">
        <f>IF(Tabela3[Div. Mínimo]=0,0,Tabela3[Lucro Distribuir]*#REF!/Tabela3[Total Ações])</f>
        <v>#REF!</v>
      </c>
      <c r="AG57" s="79">
        <f>Tabela3[Lucro Distribuir]/Tabela3[Total Ações]</f>
        <v>0.57862912411439715</v>
      </c>
      <c r="AH57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57" s="16" t="str">
        <f>IF(AND(Tabela3[% A.A.]&gt;=7%,SUMPRODUCT(N(Tabela3[Nome]=Tabela3[[#This Row],[Nome]]),Tabela3[PL])&gt;0),"Sim","Não")</f>
        <v>Não</v>
      </c>
      <c r="AJ57" s="22">
        <f>IF(Tabela3[Cotação]&gt;0,Tabela3[[#This Row],[Lucro]]/Tabela3[[#This Row],[Cotação]],0)</f>
        <v>0</v>
      </c>
      <c r="AK57" s="18">
        <f>((1+Tabela3[[#This Row],[% Yield]])^(1/(3*Tabela3[[#This Row],[Ref]])))^(12)-1</f>
        <v>0</v>
      </c>
      <c r="AL57" s="10">
        <f>IF(Tabela3[Cotação]&gt;0,($AS$1/Tabela3[[#This Row],[Cotação]]-MOD($AS$1/Tabela3[[#This Row],[Cotação]],100)),)</f>
        <v>0</v>
      </c>
      <c r="AM57" s="7">
        <f>Tabela3[[#This Row],[Ativos]]*Tabela3[Lucro]</f>
        <v>0</v>
      </c>
      <c r="AN57" s="47">
        <f>SUMPRODUCT(N(Tabela1[Código]=Tabela3[[#This Row],[PAPEL]]),Tabela1[Fechamento])</f>
        <v>0</v>
      </c>
      <c r="AO57" s="47">
        <f>SUMPRODUCT(N(Tabela17[Código]=Tabela3[[#This Row],[PAPEL]]),Tabela17[Fechamento])</f>
        <v>13.35</v>
      </c>
      <c r="AP57" s="7">
        <f>SUMPRODUCT(N(Tabela176[Código]=Tabela3[[#This Row],[PAPEL]]),Tabela176[Fechamento])</f>
        <v>0</v>
      </c>
      <c r="AQ57" s="7">
        <f>SUMPRODUCT(N(Tabela1768[Código]=Tabela3[[#This Row],[PAPEL]]),Tabela1768[Fechamento])</f>
        <v>0</v>
      </c>
    </row>
    <row r="58" spans="1:43" hidden="1" x14ac:dyDescent="0.2">
      <c r="A58" s="4" t="s">
        <v>40</v>
      </c>
      <c r="B58" s="57" t="s">
        <v>269</v>
      </c>
      <c r="C58" s="14" t="str">
        <f>LEFT(Tabela3[PAPEL],LEN(Tabela3[PAPEL])-(LEN(Tabela3[PAPEL])-4))</f>
        <v>BRKM</v>
      </c>
      <c r="D58" s="16">
        <v>3</v>
      </c>
      <c r="E58" s="5">
        <v>8043222080.5</v>
      </c>
      <c r="F58" s="56">
        <v>345002878</v>
      </c>
      <c r="G58" s="83">
        <v>0.25</v>
      </c>
      <c r="H58" s="16"/>
      <c r="I58" s="18">
        <v>0.06</v>
      </c>
      <c r="K58" s="89"/>
      <c r="L58" s="89"/>
      <c r="M58" s="5">
        <v>8048177000</v>
      </c>
      <c r="N58" s="5">
        <v>485601000</v>
      </c>
      <c r="O58" s="5">
        <f>Tabela3[[#This Row],[Capital Social]]*20%</f>
        <v>1608644416.1000001</v>
      </c>
      <c r="P58" s="5">
        <f>IF((Tabela3[Lucro Líquido]*5%)&gt;Tabela3[Teto R. Legal],Tabela3[Teto R. Legal],Tabela3[Lucro Líquido]*5%)</f>
        <v>24280050</v>
      </c>
      <c r="Q58" s="5">
        <f>IF(Tabela3[Lucro Líquido]&lt;0,0,Tabela3[Lucro Líquido]-Tabela3[Reserva Legal])</f>
        <v>461320950</v>
      </c>
      <c r="R58" s="5">
        <f>Tabela3[[#This Row],[Lucro Distribuir]]*Tabela3[%Div]</f>
        <v>115330237.5</v>
      </c>
      <c r="S58" s="21">
        <f>SUMPRODUCT(N(Tabela3[Nome]=Tabela3[[#This Row],[Nome]]),Tabela3[Ações])</f>
        <v>797265348</v>
      </c>
      <c r="T58" s="5">
        <f>Tabela3[Capital Social]/Tabela3[Total Ações]</f>
        <v>10.088513317024283</v>
      </c>
      <c r="U58" s="79">
        <f>Tabela3[[#This Row],[Lucro Líquido]]/Tabela3[[#This Row],[Total Ações]]</f>
        <v>0.60908328854147065</v>
      </c>
      <c r="V5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0.14465728102859929</v>
      </c>
      <c r="W5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0.60531079902145701</v>
      </c>
      <c r="Y5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0.60531079902145701</v>
      </c>
      <c r="Z58" s="5">
        <f>Tabela3[Div Base]*Tabela3[Ações]</f>
        <v>208833967.74688226</v>
      </c>
      <c r="AA58" s="5">
        <f>SUMPRODUCT(N(Tabela3[Nome]=Tabela3[[#This Row],[Nome]]),Tabela3[Div Base]*Tabela3[Ações])</f>
        <v>209193412.19493559</v>
      </c>
      <c r="AB58" s="5">
        <f>Tabela3[Patrimônio Líquido]/Tabela3[Total Ações]</f>
        <v>10.094728210864121</v>
      </c>
      <c r="AC58" s="52">
        <f>MAX(Tabela3[[#This Row],[Cotação 1]:[Cotação 4]])</f>
        <v>17.82</v>
      </c>
      <c r="AD58" s="53">
        <f>Tabela3[Cotação]/Tabela3[VPA]</f>
        <v>1.7652778388646273</v>
      </c>
      <c r="AE58" s="37">
        <f>IF(Tabela3[[#This Row],[Lucro/Ação]]&gt;0,Tabela3[[#This Row],[Cotação]]/(Tabela3[[#This Row],[Lucro/Ação]]/Tabela3[Ref]*4),0)</f>
        <v>21.942811847627993</v>
      </c>
      <c r="AF58" s="37" t="e">
        <f>IF(Tabela3[Div. Mínimo]=0,0,Tabela3[Lucro Distribuir]*#REF!/Tabela3[Total Ações])</f>
        <v>#REF!</v>
      </c>
      <c r="AG58" s="79">
        <f>Tabela3[Lucro Distribuir]/Tabela3[Total Ações]</f>
        <v>0.57862912411439715</v>
      </c>
      <c r="AH5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0.60531079902145701</v>
      </c>
      <c r="AI58" s="16" t="str">
        <f>IF(AND(Tabela3[% A.A.]&gt;=7%,SUMPRODUCT(N(Tabela3[Nome]=Tabela3[[#This Row],[Nome]]),Tabela3[PL])&gt;0),"Sim","Não")</f>
        <v>Não</v>
      </c>
      <c r="AJ58" s="22">
        <f>IF(Tabela3[Cotação]&gt;0,Tabela3[[#This Row],[Lucro]]/Tabela3[[#This Row],[Cotação]],0)</f>
        <v>3.3968058306479067E-2</v>
      </c>
      <c r="AK58" s="18">
        <f>((1+Tabela3[[#This Row],[% Yield]])^(1/(3*Tabela3[[#This Row],[Ref]])))^(12)-1</f>
        <v>4.5545242283925091E-2</v>
      </c>
      <c r="AL58" s="10">
        <f>IF(Tabela3[Cotação]&gt;0,($AS$1/Tabela3[[#This Row],[Cotação]]-MOD($AS$1/Tabela3[[#This Row],[Cotação]],100)),)</f>
        <v>0</v>
      </c>
      <c r="AM58" s="7">
        <f>Tabela3[[#This Row],[Ativos]]*Tabela3[Lucro]</f>
        <v>0</v>
      </c>
      <c r="AN58" s="47">
        <f>SUMPRODUCT(N(Tabela1[Código]=Tabela3[[#This Row],[PAPEL]]),Tabela1[Fechamento])</f>
        <v>0</v>
      </c>
      <c r="AO58" s="47">
        <f>SUMPRODUCT(N(Tabela17[Código]=Tabela3[[#This Row],[PAPEL]]),Tabela17[Fechamento])</f>
        <v>17.82</v>
      </c>
      <c r="AP58" s="7">
        <f>SUMPRODUCT(N(Tabela176[Código]=Tabela3[[#This Row],[PAPEL]]),Tabela176[Fechamento])</f>
        <v>0</v>
      </c>
      <c r="AQ58" s="7">
        <f>SUMPRODUCT(N(Tabela1768[Código]=Tabela3[[#This Row],[PAPEL]]),Tabela1768[Fechamento])</f>
        <v>0</v>
      </c>
    </row>
    <row r="59" spans="1:43" x14ac:dyDescent="0.2">
      <c r="A59" s="4" t="s">
        <v>12</v>
      </c>
      <c r="B59" s="57" t="s">
        <v>86</v>
      </c>
      <c r="C59" s="86" t="str">
        <f>LEFT(Tabela3[PAPEL],LEN(Tabela3[PAPEL])-(LEN(Tabela3[PAPEL])-4))</f>
        <v>CESP</v>
      </c>
      <c r="D59" s="15">
        <v>3</v>
      </c>
      <c r="E59" s="6">
        <v>5975433454.4300003</v>
      </c>
      <c r="F59" s="8">
        <v>7702726</v>
      </c>
      <c r="G59" s="83">
        <v>0.25</v>
      </c>
      <c r="H59" s="15"/>
      <c r="I59" s="19">
        <v>0.1</v>
      </c>
      <c r="J59" s="19"/>
      <c r="K59" s="90"/>
      <c r="L59" s="90"/>
      <c r="M59" s="92">
        <v>10479149000</v>
      </c>
      <c r="N59" s="92">
        <v>795212000</v>
      </c>
      <c r="O59" s="13">
        <f>Tabela3[[#This Row],[Capital Social]]*20%</f>
        <v>1195086690.8860002</v>
      </c>
      <c r="P59" s="13">
        <f>IF((Tabela3[Lucro Líquido]*5%)&gt;Tabela3[Teto R. Legal],Tabela3[Teto R. Legal],Tabela3[Lucro Líquido]*5%)</f>
        <v>39760600</v>
      </c>
      <c r="Q59" s="92">
        <f>IF(Tabela3[Lucro Líquido]&lt;0,0,Tabela3[Lucro Líquido]-Tabela3[Reserva Legal])</f>
        <v>755451400</v>
      </c>
      <c r="R59" s="92">
        <f>Tabela3[[#This Row],[Lucro Distribuir]]*Tabela3[%Div]</f>
        <v>188862850</v>
      </c>
      <c r="S59" s="56">
        <f>SUMPRODUCT(N(Tabela3[Nome]=Tabela3[[#This Row],[Nome]]),Tabela3[Ações])</f>
        <v>327502673</v>
      </c>
      <c r="T59" s="6">
        <f>Tabela3[Capital Social]/Tabela3[Total Ações]</f>
        <v>18.245449417843378</v>
      </c>
      <c r="U59" s="80">
        <f>Tabela3[[#This Row],[Lucro Líquido]]/Tabela3[[#This Row],[Total Ações]]</f>
        <v>2.4281084264616064</v>
      </c>
      <c r="V5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W5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5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1.824544941784338</v>
      </c>
      <c r="Y5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1.824544941784338</v>
      </c>
      <c r="Z59" s="13">
        <f>Tabela3[Div Base]*Tabela3[Ações]</f>
        <v>14053969.761250706</v>
      </c>
      <c r="AA59" s="13">
        <f>SUMPRODUCT(N(Tabela3[Nome]=Tabela3[[#This Row],[Nome]]),Tabela3[Div Base]*Tabela3[Ações])</f>
        <v>188862850</v>
      </c>
      <c r="AB59" s="92">
        <f>Tabela3[Patrimônio Líquido]/Tabela3[Total Ações]</f>
        <v>31.99714037143141</v>
      </c>
      <c r="AC59" s="48">
        <f>MAX(Tabela3[[#This Row],[Cotação 1]:[Cotação 4]])</f>
        <v>22</v>
      </c>
      <c r="AD59" s="44">
        <f>Tabela3[Cotação]/Tabela3[VPA]</f>
        <v>0.68756144282326748</v>
      </c>
      <c r="AE59" s="40">
        <f>IF(Tabela3[[#This Row],[Lucro/Ação]]&gt;0,Tabela3[[#This Row],[Cotação]]/(Tabela3[[#This Row],[Lucro/Ação]]/Tabela3[Ref]*4),0)</f>
        <v>6.7954131784983121</v>
      </c>
      <c r="AF59" s="77" t="e">
        <f>IF(Tabela3[Div. Mínimo]=0,0,Tabela3[Lucro Distribuir]*#REF!/Tabela3[Total Ações])</f>
        <v>#REF!</v>
      </c>
      <c r="AG59" s="80">
        <f>Tabela3[Lucro Distribuir]/Tabela3[Total Ações]</f>
        <v>2.3067030051385262</v>
      </c>
      <c r="AH5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1.824544941784338</v>
      </c>
      <c r="AI59" s="14" t="str">
        <f>IF(AND(Tabela3[% A.A.]&gt;=7%,SUMPRODUCT(N(Tabela3[Nome]=Tabela3[[#This Row],[Nome]]),Tabela3[PL])&gt;0),"Sim","Não")</f>
        <v>Sim</v>
      </c>
      <c r="AJ59" s="42">
        <f>IF(Tabela3[Cotação]&gt;0,Tabela3[[#This Row],[Lucro]]/Tabela3[[#This Row],[Cotação]],0)</f>
        <v>8.2933860990197186E-2</v>
      </c>
      <c r="AK59" s="19">
        <f>((1+Tabela3[[#This Row],[% Yield]])^(1/(3*Tabela3[[#This Row],[Ref]])))^(12)-1</f>
        <v>0.1120796948519307</v>
      </c>
      <c r="AL59" s="14">
        <f>IF(Tabela3[Cotação]&gt;0,($AS$1/Tabela3[[#This Row],[Cotação]]-MOD($AS$1/Tabela3[[#This Row],[Cotação]],100)),)</f>
        <v>0</v>
      </c>
      <c r="AM59" s="17">
        <f>Tabela3[[#This Row],[Ativos]]*Tabela3[Lucro]</f>
        <v>0</v>
      </c>
      <c r="AN59" s="47">
        <f>SUMPRODUCT(N(Tabela1[Código]=Tabela3[[#This Row],[PAPEL]]),Tabela1[Fechamento])</f>
        <v>22</v>
      </c>
      <c r="AO59" s="47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  <c r="AQ59" s="7">
        <f>SUMPRODUCT(N(Tabela1768[Código]=Tabela3[[#This Row],[PAPEL]]),Tabela1768[Fechamento])</f>
        <v>0</v>
      </c>
    </row>
    <row r="60" spans="1:43" hidden="1" x14ac:dyDescent="0.2">
      <c r="A60" s="3" t="s">
        <v>351</v>
      </c>
      <c r="B60" s="58" t="s">
        <v>354</v>
      </c>
      <c r="C60" s="85" t="str">
        <f>LEFT(Tabela3[PAPEL],LEN(Tabela3[PAPEL])-(LEN(Tabela3[PAPEL])-4))</f>
        <v>BRML</v>
      </c>
      <c r="D60" s="16">
        <v>3</v>
      </c>
      <c r="E60" s="5">
        <v>4293276979.0900002</v>
      </c>
      <c r="F60" s="56">
        <v>457057334</v>
      </c>
      <c r="G60" s="83">
        <v>0.25</v>
      </c>
      <c r="H60" s="16"/>
      <c r="I60" s="18"/>
      <c r="K60" s="89"/>
      <c r="L60" s="89"/>
      <c r="M60" s="5">
        <v>8579316000</v>
      </c>
      <c r="N60" s="5">
        <v>334866000</v>
      </c>
      <c r="O60" s="5">
        <f>Tabela3[[#This Row],[Capital Social]]*20%</f>
        <v>858655395.81800008</v>
      </c>
      <c r="P60" s="5">
        <f>IF((Tabela3[Lucro Líquido]*5%)&gt;Tabela3[Teto R. Legal],Tabela3[Teto R. Legal],Tabela3[Lucro Líquido]*5%)</f>
        <v>16743300</v>
      </c>
      <c r="Q60" s="5">
        <f>IF(Tabela3[Lucro Líquido]&lt;0,0,Tabela3[Lucro Líquido]-Tabela3[Reserva Legal])</f>
        <v>318122700</v>
      </c>
      <c r="R60" s="5">
        <f>Tabela3[[#This Row],[Lucro Distribuir]]*Tabela3[%Div]</f>
        <v>79530675</v>
      </c>
      <c r="S60" s="21">
        <f>SUMPRODUCT(N(Tabela3[Nome]=Tabela3[[#This Row],[Nome]]),Tabela3[Ações])</f>
        <v>457057334</v>
      </c>
      <c r="T60" s="5">
        <f>Tabela3[Capital Social]/Tabela3[Total Ações]</f>
        <v>9.3933007080682795</v>
      </c>
      <c r="U60" s="79">
        <f>Tabela3[[#This Row],[Lucro Líquido]]/Tabela3[[#This Row],[Total Ações]]</f>
        <v>0.73265644174085176</v>
      </c>
      <c r="V60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0.17400590491345228</v>
      </c>
      <c r="W60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0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0.17400590491345228</v>
      </c>
      <c r="Z60" s="5">
        <f>Tabela3[Div Base]*Tabela3[Ações]</f>
        <v>79530675</v>
      </c>
      <c r="AA60" s="5">
        <f>SUMPRODUCT(N(Tabela3[Nome]=Tabela3[[#This Row],[Nome]]),Tabela3[Div Base]*Tabela3[Ações])</f>
        <v>79530675</v>
      </c>
      <c r="AB60" s="5">
        <f>Tabela3[Patrimônio Líquido]/Tabela3[Total Ações]</f>
        <v>18.770765419989957</v>
      </c>
      <c r="AC60" s="52">
        <f>MAX(Tabela3[[#This Row],[Cotação 1]:[Cotação 4]])</f>
        <v>16.22</v>
      </c>
      <c r="AD60" s="53">
        <f>Tabela3[Cotação]/Tabela3[VPA]</f>
        <v>0.86410967465005362</v>
      </c>
      <c r="AE60" s="37">
        <f>IF(Tabela3[[#This Row],[Lucro/Ação]]&gt;0,Tabela3[[#This Row],[Cotação]]/(Tabela3[[#This Row],[Lucro/Ação]]/Tabela3[Ref]*4),0)</f>
        <v>16.603962385282468</v>
      </c>
      <c r="AF60" s="37" t="e">
        <f>IF(Tabela3[Div. Mínimo]=0,0,Tabela3[Lucro Distribuir]*#REF!/Tabela3[Total Ações])</f>
        <v>#REF!</v>
      </c>
      <c r="AG60" s="79">
        <f>Tabela3[Lucro Distribuir]/Tabela3[Total Ações]</f>
        <v>0.6960236196538091</v>
      </c>
      <c r="AH60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0.17400590491345228</v>
      </c>
      <c r="AI60" s="16" t="str">
        <f>IF(AND(Tabela3[% A.A.]&gt;=7%,SUMPRODUCT(N(Tabela3[Nome]=Tabela3[[#This Row],[Nome]]),Tabela3[PL])&gt;0),"Sim","Não")</f>
        <v>Não</v>
      </c>
      <c r="AJ60" s="22">
        <f>IF(Tabela3[Cotação]&gt;0,Tabela3[[#This Row],[Lucro]]/Tabela3[[#This Row],[Cotação]],0)</f>
        <v>1.0727860968770177E-2</v>
      </c>
      <c r="AK60" s="18">
        <f>((1+Tabela3[[#This Row],[% Yield]])^(1/(3*Tabela3[[#This Row],[Ref]])))^(12)-1</f>
        <v>1.4329328815366749E-2</v>
      </c>
      <c r="AL60" s="10">
        <f>IF(Tabela3[Cotação]&gt;0,($AS$1/Tabela3[[#This Row],[Cotação]]-MOD($AS$1/Tabela3[[#This Row],[Cotação]],100)),)</f>
        <v>0</v>
      </c>
      <c r="AM60" s="7">
        <f>Tabela3[[#This Row],[Ativos]]*Tabela3[Lucro]</f>
        <v>0</v>
      </c>
      <c r="AN60" s="47">
        <f>SUMPRODUCT(N(Tabela1[Código]=Tabela3[[#This Row],[PAPEL]]),Tabela1[Fechamento])</f>
        <v>0</v>
      </c>
      <c r="AO60" s="54">
        <f>SUMPRODUCT(N(Tabela17[Código]=Tabela3[[#This Row],[PAPEL]]),Tabela17[Fechamento])</f>
        <v>16.22</v>
      </c>
      <c r="AP60" s="7">
        <f>SUMPRODUCT(N(Tabela176[Código]=Tabela3[[#This Row],[PAPEL]]),Tabela176[Fechamento])</f>
        <v>0</v>
      </c>
      <c r="AQ60" s="7">
        <f>SUMPRODUCT(N(Tabela1768[Código]=Tabela3[[#This Row],[PAPEL]]),Tabela1768[Fechamento])</f>
        <v>0</v>
      </c>
    </row>
    <row r="61" spans="1:43" hidden="1" x14ac:dyDescent="0.2">
      <c r="A61" s="3" t="s">
        <v>351</v>
      </c>
      <c r="B61" s="58" t="s">
        <v>356</v>
      </c>
      <c r="C61" s="85" t="str">
        <f>LEFT(Tabela3[PAPEL],LEN(Tabela3[PAPEL])-(LEN(Tabela3[PAPEL])-4))</f>
        <v>BRPR</v>
      </c>
      <c r="D61" s="16">
        <v>3</v>
      </c>
      <c r="E61" s="5">
        <v>2346986526</v>
      </c>
      <c r="F61" s="56">
        <v>311612886</v>
      </c>
      <c r="G61" s="88">
        <v>0.25</v>
      </c>
      <c r="H61" s="16"/>
      <c r="I61" s="18"/>
      <c r="K61" s="89"/>
      <c r="L61" s="89"/>
      <c r="M61" s="5">
        <v>8025139000</v>
      </c>
      <c r="N61" s="5">
        <v>230295000</v>
      </c>
      <c r="O61" s="5">
        <f>Tabela3[[#This Row],[Capital Social]]*20%</f>
        <v>469397305.20000005</v>
      </c>
      <c r="P61" s="5">
        <f>IF((Tabela3[Lucro Líquido]*5%)&gt;Tabela3[Teto R. Legal],Tabela3[Teto R. Legal],Tabela3[Lucro Líquido]*5%)</f>
        <v>11514750</v>
      </c>
      <c r="Q61" s="5">
        <f>IF(Tabela3[Lucro Líquido]&lt;0,0,Tabela3[Lucro Líquido]-Tabela3[Reserva Legal])</f>
        <v>218780250</v>
      </c>
      <c r="R61" s="5">
        <f>Tabela3[[#This Row],[Lucro Distribuir]]*Tabela3[%Div]</f>
        <v>54695062.5</v>
      </c>
      <c r="S61" s="21">
        <f>SUMPRODUCT(N(Tabela3[Nome]=Tabela3[[#This Row],[Nome]]),Tabela3[Ações])</f>
        <v>311612886</v>
      </c>
      <c r="T61" s="5">
        <f>Tabela3[Capital Social]/Tabela3[Total Ações]</f>
        <v>7.5317377151084823</v>
      </c>
      <c r="U61" s="79">
        <f>Tabela3[[#This Row],[Lucro Líquido]]/Tabela3[[#This Row],[Total Ações]]</f>
        <v>0.7390419663197112</v>
      </c>
      <c r="V6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0.17552246700093141</v>
      </c>
      <c r="W6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0.17552246700093141</v>
      </c>
      <c r="Z61" s="5">
        <f>Tabela3[Div Base]*Tabela3[Ações]</f>
        <v>54695062.5</v>
      </c>
      <c r="AA61" s="5">
        <f>SUMPRODUCT(N(Tabela3[Nome]=Tabela3[[#This Row],[Nome]]),Tabela3[Div Base]*Tabela3[Ações])</f>
        <v>54695062.5</v>
      </c>
      <c r="AB61" s="5">
        <f>Tabela3[Patrimônio Líquido]/Tabela3[Total Ações]</f>
        <v>25.753553079958316</v>
      </c>
      <c r="AC61" s="52">
        <f>MAX(Tabela3[[#This Row],[Cotação 1]:[Cotação 4]])</f>
        <v>16.93</v>
      </c>
      <c r="AD61" s="53">
        <f>Tabela3[Cotação]/Tabela3[VPA]</f>
        <v>0.65738501974607544</v>
      </c>
      <c r="AE61" s="37">
        <f>IF(Tabela3[[#This Row],[Lucro/Ação]]&gt;0,Tabela3[[#This Row],[Cotação]]/(Tabela3[[#This Row],[Lucro/Ação]]/Tabela3[Ref]*4),0)</f>
        <v>17.181027030482642</v>
      </c>
      <c r="AF61" s="37" t="e">
        <f>IF(Tabela3[Div. Mínimo]=0,0,Tabela3[Lucro Distribuir]*#REF!/Tabela3[Total Ações])</f>
        <v>#REF!</v>
      </c>
      <c r="AG61" s="79">
        <f>Tabela3[Lucro Distribuir]/Tabela3[Total Ações]</f>
        <v>0.70208986800372564</v>
      </c>
      <c r="AH6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0.17552246700093141</v>
      </c>
      <c r="AI61" s="16" t="str">
        <f>IF(AND(Tabela3[% A.A.]&gt;=7%,SUMPRODUCT(N(Tabela3[Nome]=Tabela3[[#This Row],[Nome]]),Tabela3[PL])&gt;0),"Sim","Não")</f>
        <v>Não</v>
      </c>
      <c r="AJ61" s="22">
        <f>IF(Tabela3[Cotação]&gt;0,Tabela3[[#This Row],[Lucro]]/Tabela3[[#This Row],[Cotação]],0)</f>
        <v>1.0367540874242848E-2</v>
      </c>
      <c r="AK61" s="18">
        <f>((1+Tabela3[[#This Row],[% Yield]])^(1/(3*Tabela3[[#This Row],[Ref]])))^(12)-1</f>
        <v>1.3847218794786009E-2</v>
      </c>
      <c r="AL61" s="10">
        <f>IF(Tabela3[Cotação]&gt;0,($AS$1/Tabela3[[#This Row],[Cotação]]-MOD($AS$1/Tabela3[[#This Row],[Cotação]],100)),)</f>
        <v>0</v>
      </c>
      <c r="AM61" s="7">
        <f>Tabela3[[#This Row],[Ativos]]*Tabela3[Lucro]</f>
        <v>0</v>
      </c>
      <c r="AN61" s="47">
        <f>SUMPRODUCT(N(Tabela1[Código]=Tabela3[[#This Row],[PAPEL]]),Tabela1[Fechamento])</f>
        <v>0</v>
      </c>
      <c r="AO61" s="54">
        <f>SUMPRODUCT(N(Tabela17[Código]=Tabela3[[#This Row],[PAPEL]]),Tabela17[Fechamento])</f>
        <v>16.93</v>
      </c>
      <c r="AP61" s="7">
        <f>SUMPRODUCT(N(Tabela176[Código]=Tabela3[[#This Row],[PAPEL]]),Tabela176[Fechamento])</f>
        <v>0</v>
      </c>
      <c r="AQ61" s="7">
        <f>SUMPRODUCT(N(Tabela1768[Código]=Tabela3[[#This Row],[PAPEL]]),Tabela1768[Fechamento])</f>
        <v>0</v>
      </c>
    </row>
    <row r="62" spans="1:43" hidden="1" x14ac:dyDescent="0.2">
      <c r="A62" s="4" t="s">
        <v>14</v>
      </c>
      <c r="B62" s="57" t="s">
        <v>208</v>
      </c>
      <c r="C62" s="14" t="str">
        <f>LEFT(Tabela3[PAPEL],LEN(Tabela3[PAPEL])-(LEN(Tabela3[PAPEL])-4))</f>
        <v>BRSR</v>
      </c>
      <c r="D62" s="15">
        <v>3</v>
      </c>
      <c r="E62" s="6">
        <v>3750000000</v>
      </c>
      <c r="F62" s="8">
        <v>205043374</v>
      </c>
      <c r="G62" s="83">
        <v>0.25</v>
      </c>
      <c r="H62" s="15"/>
      <c r="I62" s="19"/>
      <c r="J62" s="19"/>
      <c r="K62" s="90"/>
      <c r="L62" s="90"/>
      <c r="M62" s="6">
        <v>5008604000</v>
      </c>
      <c r="N62" s="6">
        <v>602652000</v>
      </c>
      <c r="O62" s="6">
        <f>Tabela3[[#This Row],[Capital Social]]*20%</f>
        <v>750000000</v>
      </c>
      <c r="P62" s="6">
        <f>IF((Tabela3[Lucro Líquido]*5%)&gt;Tabela3[Teto R. Legal],Tabela3[Teto R. Legal],Tabela3[Lucro Líquido]*5%)</f>
        <v>30132600</v>
      </c>
      <c r="Q62" s="6">
        <f>IF(Tabela3[Lucro Líquido]&lt;0,0,Tabela3[Lucro Líquido]-Tabela3[Reserva Legal])</f>
        <v>572519400</v>
      </c>
      <c r="R62" s="6">
        <f>Tabela3[[#This Row],[Lucro Distribuir]]*Tabela3[%Div]</f>
        <v>143129850</v>
      </c>
      <c r="S62" s="38">
        <v>408974477</v>
      </c>
      <c r="T62" s="6">
        <f>Tabela3[Capital Social]/Tabela3[Total Ações]</f>
        <v>9.1692763507097776</v>
      </c>
      <c r="U62" s="80">
        <f>Tabela3[[#This Row],[Lucro Líquido]]/Tabela3[[#This Row],[Total Ações]]</f>
        <v>1.4735687283487864</v>
      </c>
      <c r="V6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0.33908359543163474</v>
      </c>
      <c r="W6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0.34822350766235854</v>
      </c>
      <c r="Y6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0.34822350766235854</v>
      </c>
      <c r="Z62" s="6">
        <f>Tabela3[Div Base]*Tabela3[Ações]</f>
        <v>71400922.917204842</v>
      </c>
      <c r="AA62" s="6">
        <f>SUMPRODUCT(N(Tabela3[Nome]=Tabela3[[#This Row],[Nome]]),Tabela3[Div Base]*Tabela3[Ações])</f>
        <v>143129850</v>
      </c>
      <c r="AB62" s="6">
        <f>Tabela3[Patrimônio Líquido]/Tabela3[Total Ações]</f>
        <v>12.246739788605439</v>
      </c>
      <c r="AC62" s="48">
        <f>MAX(Tabela3[[#This Row],[Cotação 1]:[Cotação 4]])</f>
        <v>12.2</v>
      </c>
      <c r="AD62" s="44">
        <f>Tabela3[Cotação]/Tabela3[VPA]</f>
        <v>0.99618349132812256</v>
      </c>
      <c r="AE62" s="40">
        <f>IF(Tabela3[[#This Row],[Lucro/Ação]]&gt;0,Tabela3[[#This Row],[Cotação]]/(Tabela3[[#This Row],[Lucro/Ação]]/Tabela3[Ref]*4),0)</f>
        <v>6.2094151592461317</v>
      </c>
      <c r="AF62" s="40" t="e">
        <f>IF(Tabela3[Div. Mínimo]=0,0,Tabela3[Lucro Distribuir]*#REF!/Tabela3[Total Ações])</f>
        <v>#REF!</v>
      </c>
      <c r="AG62" s="80">
        <f>Tabela3[Lucro Distribuir]/Tabela3[Total Ações]</f>
        <v>1.3998902919313472</v>
      </c>
      <c r="AH6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0.34822350766235854</v>
      </c>
      <c r="AI62" s="15" t="str">
        <f>IF(AND(Tabela3[% A.A.]&gt;=7%,SUMPRODUCT(N(Tabela3[Nome]=Tabela3[[#This Row],[Nome]]),Tabela3[PL])&gt;0),"Sim","Não")</f>
        <v>Não</v>
      </c>
      <c r="AJ62" s="42">
        <f>IF(Tabela3[Cotação]&gt;0,Tabela3[[#This Row],[Lucro]]/Tabela3[[#This Row],[Cotação]],0)</f>
        <v>2.8542910464127751E-2</v>
      </c>
      <c r="AK62" s="19">
        <f>((1+Tabela3[[#This Row],[% Yield]])^(1/(3*Tabela3[[#This Row],[Ref]])))^(12)-1</f>
        <v>3.823712300859472E-2</v>
      </c>
      <c r="AL62" s="14">
        <f>IF(Tabela3[Cotação]&gt;0,($AS$1/Tabela3[[#This Row],[Cotação]]-MOD($AS$1/Tabela3[[#This Row],[Cotação]],100)),)</f>
        <v>0</v>
      </c>
      <c r="AM62" s="17">
        <f>Tabela3[[#This Row],[Ativos]]*Tabela3[Lucro]</f>
        <v>0</v>
      </c>
      <c r="AN62" s="5">
        <f>SUMPRODUCT(N(Tabela1[Código]=Tabela3[[#This Row],[PAPEL]]),Tabela1[Fechamento])</f>
        <v>12.2</v>
      </c>
      <c r="AO62" s="5">
        <f>SUMPRODUCT(N(Tabela17[Código]=Tabela3[[#This Row],[PAPEL]]),Tabela17[Fechamento])</f>
        <v>0</v>
      </c>
      <c r="AP62" s="7">
        <f>SUMPRODUCT(N(Tabela176[Código]=Tabela3[[#This Row],[PAPEL]]),Tabela176[Fechamento])</f>
        <v>0</v>
      </c>
      <c r="AQ62" s="7">
        <f>SUMPRODUCT(N(Tabela1768[Código]=Tabela3[[#This Row],[PAPEL]]),Tabela1768[Fechamento])</f>
        <v>0</v>
      </c>
    </row>
    <row r="63" spans="1:43" hidden="1" x14ac:dyDescent="0.2">
      <c r="A63" s="4" t="s">
        <v>14</v>
      </c>
      <c r="B63" s="57" t="s">
        <v>209</v>
      </c>
      <c r="C63" s="14" t="str">
        <f>LEFT(Tabela3[PAPEL],LEN(Tabela3[PAPEL])-(LEN(Tabela3[PAPEL])-4))</f>
        <v>BRSR</v>
      </c>
      <c r="D63" s="15">
        <v>3</v>
      </c>
      <c r="E63" s="6">
        <v>3750000000</v>
      </c>
      <c r="F63" s="8">
        <v>3542377</v>
      </c>
      <c r="G63" s="88">
        <v>0.25</v>
      </c>
      <c r="H63" s="15"/>
      <c r="I63" s="19">
        <v>0.06</v>
      </c>
      <c r="J63" s="19"/>
      <c r="K63" s="90"/>
      <c r="L63" s="90"/>
      <c r="M63" s="6">
        <v>5008604000</v>
      </c>
      <c r="N63" s="6">
        <v>602652000</v>
      </c>
      <c r="O63" s="6">
        <f>Tabela3[[#This Row],[Capital Social]]*20%</f>
        <v>750000000</v>
      </c>
      <c r="P63" s="6">
        <f>IF((Tabela3[Lucro Líquido]*5%)&gt;Tabela3[Teto R. Legal],Tabela3[Teto R. Legal],Tabela3[Lucro Líquido]*5%)</f>
        <v>30132600</v>
      </c>
      <c r="Q63" s="6">
        <f>IF(Tabela3[Lucro Líquido]&lt;0,0,Tabela3[Lucro Líquido]-Tabela3[Reserva Legal])</f>
        <v>572519400</v>
      </c>
      <c r="R63" s="6">
        <f>Tabela3[[#This Row],[Lucro Distribuir]]*Tabela3[%Div]</f>
        <v>143129850</v>
      </c>
      <c r="S63" s="38">
        <v>408974477</v>
      </c>
      <c r="T63" s="6">
        <f>Tabela3[Capital Social]/Tabela3[Total Ações]</f>
        <v>9.1692763507097776</v>
      </c>
      <c r="U63" s="80">
        <f>Tabela3[[#This Row],[Lucro Líquido]]/Tabela3[[#This Row],[Total Ações]]</f>
        <v>1.4735687283487864</v>
      </c>
      <c r="V6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0.33908359543163474</v>
      </c>
      <c r="W6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0.55015658104258669</v>
      </c>
      <c r="Y6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0.55015658104258669</v>
      </c>
      <c r="Z63" s="6">
        <f>Tabela3[Div Base]*Tabela3[Ações]</f>
        <v>1948862.019083895</v>
      </c>
      <c r="AA63" s="6">
        <f>SUMPRODUCT(N(Tabela3[Nome]=Tabela3[[#This Row],[Nome]]),Tabela3[Div Base]*Tabela3[Ações])</f>
        <v>143129850</v>
      </c>
      <c r="AB63" s="6">
        <f>Tabela3[Patrimônio Líquido]/Tabela3[Total Ações]</f>
        <v>12.246739788605439</v>
      </c>
      <c r="AC63" s="48">
        <f>MAX(Tabela3[[#This Row],[Cotação 1]:[Cotação 4]])</f>
        <v>15.72</v>
      </c>
      <c r="AD63" s="44">
        <f>Tabela3[Cotação]/Tabela3[VPA]</f>
        <v>1.2836069248916466</v>
      </c>
      <c r="AE63" s="40">
        <f>IF(Tabela3[[#This Row],[Lucro/Ação]]&gt;0,Tabela3[[#This Row],[Cotação]]/(Tabela3[[#This Row],[Lucro/Ação]]/Tabela3[Ref]*4),0)</f>
        <v>8.0009841232253454</v>
      </c>
      <c r="AF63" s="40" t="e">
        <f>IF(Tabela3[Div. Mínimo]=0,0,Tabela3[Lucro Distribuir]*#REF!/Tabela3[Total Ações])</f>
        <v>#REF!</v>
      </c>
      <c r="AG63" s="80">
        <f>Tabela3[Lucro Distribuir]/Tabela3[Total Ações]</f>
        <v>1.3998902919313472</v>
      </c>
      <c r="AH6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0.55015658104258669</v>
      </c>
      <c r="AI63" s="15" t="str">
        <f>IF(AND(Tabela3[% A.A.]&gt;=7%,SUMPRODUCT(N(Tabela3[Nome]=Tabela3[[#This Row],[Nome]]),Tabela3[PL])&gt;0),"Sim","Não")</f>
        <v>Não</v>
      </c>
      <c r="AJ63" s="42">
        <f>IF(Tabela3[Cotação]&gt;0,Tabela3[[#This Row],[Lucro]]/Tabela3[[#This Row],[Cotação]],0)</f>
        <v>3.4997237979808311E-2</v>
      </c>
      <c r="AK63" s="19">
        <f>((1+Tabela3[[#This Row],[% Yield]])^(1/(3*Tabela3[[#This Row],[Ref]])))^(12)-1</f>
        <v>4.6933076752710745E-2</v>
      </c>
      <c r="AL63" s="14">
        <f>IF(Tabela3[Cotação]&gt;0,($AS$1/Tabela3[[#This Row],[Cotação]]-MOD($AS$1/Tabela3[[#This Row],[Cotação]],100)),)</f>
        <v>0</v>
      </c>
      <c r="AM63" s="17">
        <f>Tabela3[[#This Row],[Ativos]]*Tabela3[Lucro]</f>
        <v>0</v>
      </c>
      <c r="AN63" s="5">
        <f>SUMPRODUCT(N(Tabela1[Código]=Tabela3[[#This Row],[PAPEL]]),Tabela1[Fechamento])</f>
        <v>15.72</v>
      </c>
      <c r="AO63" s="5">
        <f>SUMPRODUCT(N(Tabela17[Código]=Tabela3[[#This Row],[PAPEL]]),Tabela17[Fechamento])</f>
        <v>0</v>
      </c>
      <c r="AP63" s="7">
        <f>SUMPRODUCT(N(Tabela176[Código]=Tabela3[[#This Row],[PAPEL]]),Tabela176[Fechamento])</f>
        <v>0</v>
      </c>
      <c r="AQ63" s="7">
        <f>SUMPRODUCT(N(Tabela1768[Código]=Tabela3[[#This Row],[PAPEL]]),Tabela1768[Fechamento])</f>
        <v>0</v>
      </c>
    </row>
    <row r="64" spans="1:43" hidden="1" x14ac:dyDescent="0.2">
      <c r="A64" s="4" t="s">
        <v>14</v>
      </c>
      <c r="B64" s="57" t="s">
        <v>23</v>
      </c>
      <c r="C64" s="14" t="str">
        <f>LEFT(Tabela3[PAPEL],LEN(Tabela3[PAPEL])-(LEN(Tabela3[PAPEL])-4))</f>
        <v>BRSR</v>
      </c>
      <c r="D64" s="15">
        <v>3</v>
      </c>
      <c r="E64" s="6">
        <v>3750000000</v>
      </c>
      <c r="F64" s="8">
        <v>200388726</v>
      </c>
      <c r="G64" s="83">
        <v>0.25</v>
      </c>
      <c r="H64" s="15"/>
      <c r="I64" s="19"/>
      <c r="J64" s="19">
        <v>0.1</v>
      </c>
      <c r="K64" s="90"/>
      <c r="L64" s="90"/>
      <c r="M64" s="6">
        <v>5008604000</v>
      </c>
      <c r="N64" s="6">
        <v>602652000</v>
      </c>
      <c r="O64" s="6">
        <f>Tabela3[[#This Row],[Capital Social]]*20%</f>
        <v>750000000</v>
      </c>
      <c r="P64" s="6">
        <f>IF((Tabela3[Lucro Líquido]*5%)&gt;Tabela3[Teto R. Legal],Tabela3[Teto R. Legal],Tabela3[Lucro Líquido]*5%)</f>
        <v>30132600</v>
      </c>
      <c r="Q64" s="6">
        <f>IF(Tabela3[Lucro Líquido]&lt;0,0,Tabela3[Lucro Líquido]-Tabela3[Reserva Legal])</f>
        <v>572519400</v>
      </c>
      <c r="R64" s="6">
        <f>Tabela3[[#This Row],[Lucro Distribuir]]*Tabela3[%Div]</f>
        <v>143129850</v>
      </c>
      <c r="S64" s="38">
        <v>408974477</v>
      </c>
      <c r="T64" s="6">
        <f>Tabela3[Capital Social]/Tabela3[Total Ações]</f>
        <v>9.1692763507097776</v>
      </c>
      <c r="U64" s="80">
        <f>Tabela3[[#This Row],[Lucro Líquido]]/Tabela3[[#This Row],[Total Ações]]</f>
        <v>1.4735687283487864</v>
      </c>
      <c r="V6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0.37299195548575814</v>
      </c>
      <c r="W6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0.34822350766235854</v>
      </c>
      <c r="Y6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0.34822350766235854</v>
      </c>
      <c r="Z64" s="6">
        <f>Tabela3[Div Base]*Tabela3[Ações]</f>
        <v>69780065.063711271</v>
      </c>
      <c r="AA64" s="6">
        <f>SUMPRODUCT(N(Tabela3[Nome]=Tabela3[[#This Row],[Nome]]),Tabela3[Div Base]*Tabela3[Ações])</f>
        <v>143129850</v>
      </c>
      <c r="AB64" s="6">
        <f>Tabela3[Patrimônio Líquido]/Tabela3[Total Ações]</f>
        <v>12.246739788605439</v>
      </c>
      <c r="AC64" s="48">
        <f>MAX(Tabela3[[#This Row],[Cotação 1]:[Cotação 4]])</f>
        <v>10.48</v>
      </c>
      <c r="AD64" s="44">
        <f>Tabela3[Cotação]/Tabela3[VPA]</f>
        <v>0.85573794992776442</v>
      </c>
      <c r="AE64" s="40">
        <f>IF(Tabela3[[#This Row],[Lucro/Ação]]&gt;0,Tabela3[[#This Row],[Cotação]]/(Tabela3[[#This Row],[Lucro/Ação]]/Tabela3[Ref]*4),0)</f>
        <v>5.333989415483563</v>
      </c>
      <c r="AF64" s="40" t="e">
        <f>IF(Tabela3[Div. Mínimo]=0,0,Tabela3[Lucro Distribuir]*#REF!/Tabela3[Total Ações])</f>
        <v>#REF!</v>
      </c>
      <c r="AG64" s="80">
        <f>Tabela3[Lucro Distribuir]/Tabela3[Total Ações]</f>
        <v>1.3998902919313472</v>
      </c>
      <c r="AH6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0.34822350766235854</v>
      </c>
      <c r="AI64" s="15" t="str">
        <f>IF(AND(Tabela3[% A.A.]&gt;=7%,SUMPRODUCT(N(Tabela3[Nome]=Tabela3[[#This Row],[Nome]]),Tabela3[PL])&gt;0),"Sim","Não")</f>
        <v>Não</v>
      </c>
      <c r="AJ64" s="42">
        <f>IF(Tabela3[Cotação]&gt;0,Tabela3[[#This Row],[Lucro]]/Tabela3[[#This Row],[Cotação]],0)</f>
        <v>3.3227433937247954E-2</v>
      </c>
      <c r="AK64" s="19">
        <f>((1+Tabela3[[#This Row],[% Yield]])^(1/(3*Tabela3[[#This Row],[Ref]])))^(12)-1</f>
        <v>4.4546805475021323E-2</v>
      </c>
      <c r="AL64" s="14">
        <f>IF(Tabela3[Cotação]&gt;0,($AS$1/Tabela3[[#This Row],[Cotação]]-MOD($AS$1/Tabela3[[#This Row],[Cotação]],100)),)</f>
        <v>0</v>
      </c>
      <c r="AM64" s="17">
        <f>Tabela3[[#This Row],[Ativos]]*Tabela3[Lucro]</f>
        <v>0</v>
      </c>
      <c r="AN64" s="5">
        <f>SUMPRODUCT(N(Tabela1[Código]=Tabela3[[#This Row],[PAPEL]]),Tabela1[Fechamento])</f>
        <v>10.48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  <c r="AQ64" s="7">
        <f>SUMPRODUCT(N(Tabela1768[Código]=Tabela3[[#This Row],[PAPEL]]),Tabela1768[Fechamento])</f>
        <v>0</v>
      </c>
    </row>
    <row r="65" spans="1:43" hidden="1" x14ac:dyDescent="0.2">
      <c r="A65" s="3" t="s">
        <v>274</v>
      </c>
      <c r="B65" s="58" t="s">
        <v>1002</v>
      </c>
      <c r="C65" s="16" t="str">
        <f>LEFT(Tabela3[PAPEL],LEN(Tabela3[PAPEL])-(LEN(Tabela3[PAPEL])-4))</f>
        <v>BSEV</v>
      </c>
      <c r="D65" s="16">
        <v>3</v>
      </c>
      <c r="E65" s="5">
        <v>2490036011.5700002</v>
      </c>
      <c r="F65" s="56">
        <v>206810613</v>
      </c>
      <c r="G65" s="83">
        <v>0.25</v>
      </c>
      <c r="H65" s="89"/>
      <c r="I65" s="18"/>
      <c r="K65" s="16"/>
      <c r="L65" s="89"/>
      <c r="M65" s="94">
        <v>2734567000</v>
      </c>
      <c r="N65" s="73">
        <v>-245177000</v>
      </c>
      <c r="O65" s="7">
        <f>Tabela3[[#This Row],[Capital Social]]*20%</f>
        <v>498007202.31400007</v>
      </c>
      <c r="P65" s="47">
        <f>IF((Tabela3[Lucro Líquido]*5%)&gt;Tabela3[Teto R. Legal],Tabela3[Teto R. Legal],Tabela3[Lucro Líquido]*5%)</f>
        <v>-12258850</v>
      </c>
      <c r="Q65" s="47">
        <f>IF(Tabela3[Lucro Líquido]&lt;0,0,Tabela3[Lucro Líquido]-Tabela3[Reserva Legal])</f>
        <v>0</v>
      </c>
      <c r="R65" s="47">
        <f>Tabela3[[#This Row],[Lucro Distribuir]]*Tabela3[%Div]</f>
        <v>0</v>
      </c>
      <c r="S65" s="56">
        <f>SUMPRODUCT(N(Tabela3[Nome]=Tabela3[[#This Row],[Nome]]),Tabela3[Ações])</f>
        <v>206810613</v>
      </c>
      <c r="T65" s="87">
        <f>Tabela3[Capital Social]/Tabela3[Total Ações]</f>
        <v>12.040175189510222</v>
      </c>
      <c r="U65" s="87">
        <f>Tabela3[[#This Row],[Lucro Líquido]]/Tabela3[[#This Row],[Total Ações]]</f>
        <v>-1.1855145944565233</v>
      </c>
      <c r="V65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65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5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65" s="7">
        <f>Tabela3[Div Base]*Tabela3[Ações]</f>
        <v>0</v>
      </c>
      <c r="AA65" s="7">
        <f>SUMPRODUCT(N(Tabela3[Nome]=Tabela3[[#This Row],[Nome]]),Tabela3[Div Base]*Tabela3[Ações])</f>
        <v>0</v>
      </c>
      <c r="AB65" s="74">
        <f>Tabela3[Patrimônio Líquido]/Tabela3[Total Ações]</f>
        <v>13.222566097224421</v>
      </c>
      <c r="AC65" s="52">
        <f>MAX(Tabela3[[#This Row],[Cotação 1]:[Cotação 4]])</f>
        <v>9.9499999999999993</v>
      </c>
      <c r="AD65" s="53">
        <f>Tabela3[Cotação]/Tabela3[VPA]</f>
        <v>0.75250143783275369</v>
      </c>
      <c r="AE65" s="37">
        <f>IF(Tabela3[[#This Row],[Lucro/Ação]]&gt;0,Tabela3[[#This Row],[Cotação]]/(Tabela3[[#This Row],[Lucro/Ação]]/Tabela3[Ref]*4),0)</f>
        <v>0</v>
      </c>
      <c r="AF65" s="59">
        <f>IF(Tabela3[Div. Mínimo]=0,0,Tabela3[Lucro Distribuir]*#REF!/Tabela3[Total Ações])</f>
        <v>0</v>
      </c>
      <c r="AG65" s="87">
        <f>Tabela3[Lucro Distribuir]/Tabela3[Total Ações]</f>
        <v>0</v>
      </c>
      <c r="AH65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65" s="10" t="str">
        <f>IF(AND(Tabela3[% A.A.]&gt;=7%,SUMPRODUCT(N(Tabela3[Nome]=Tabela3[[#This Row],[Nome]]),Tabela3[PL])&gt;0),"Sim","Não")</f>
        <v>Não</v>
      </c>
      <c r="AJ65" s="22">
        <f>IF(Tabela3[Cotação]&gt;0,Tabela3[[#This Row],[Lucro]]/Tabela3[[#This Row],[Cotação]],0)</f>
        <v>0</v>
      </c>
      <c r="AK65" s="22">
        <f>((1+Tabela3[[#This Row],[% Yield]])^(1/(3*Tabela3[[#This Row],[Ref]])))^(12)-1</f>
        <v>0</v>
      </c>
      <c r="AL65" s="10">
        <f>IF(Tabela3[Cotação]&gt;0,($AS$1/Tabela3[[#This Row],[Cotação]]-MOD($AS$1/Tabela3[[#This Row],[Cotação]],100)),)</f>
        <v>100</v>
      </c>
      <c r="AM65" s="7">
        <f>Tabela3[[#This Row],[Ativos]]*Tabela3[Lucro]</f>
        <v>0</v>
      </c>
      <c r="AN65" s="7">
        <f>SUMPRODUCT(N(Tabela1[Código]=Tabela3[[#This Row],[PAPEL]]),Tabela1[Fechamento])</f>
        <v>0</v>
      </c>
      <c r="AO65" s="7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  <c r="AQ65" s="7">
        <f>SUMPRODUCT(N(Tabela1768[Código]=Tabela3[[#This Row],[PAPEL]]),Tabela1768[Fechamento])</f>
        <v>9.9499999999999993</v>
      </c>
    </row>
    <row r="66" spans="1:43" hidden="1" x14ac:dyDescent="0.2">
      <c r="A66" s="4" t="s">
        <v>14</v>
      </c>
      <c r="B66" s="57" t="s">
        <v>221</v>
      </c>
      <c r="C66" s="15" t="str">
        <f>LEFT(Tabela3[PAPEL],LEN(Tabela3[PAPEL])-(LEN(Tabela3[PAPEL])-4))</f>
        <v>BSLI</v>
      </c>
      <c r="D66" s="16">
        <v>3</v>
      </c>
      <c r="E66" s="5">
        <v>500000000</v>
      </c>
      <c r="F66" s="56">
        <v>28014650</v>
      </c>
      <c r="G66" s="88">
        <v>0.25</v>
      </c>
      <c r="H66" s="16"/>
      <c r="I66" s="18"/>
      <c r="K66" s="89"/>
      <c r="L66" s="89"/>
      <c r="M66" s="5">
        <v>1002748000</v>
      </c>
      <c r="N66" s="5">
        <v>143437000</v>
      </c>
      <c r="O66" s="5">
        <f>Tabela3[[#This Row],[Capital Social]]*20%</f>
        <v>100000000</v>
      </c>
      <c r="P66" s="5">
        <f>IF((Tabela3[Lucro Líquido]*5%)&gt;Tabela3[Teto R. Legal],Tabela3[Teto R. Legal],Tabela3[Lucro Líquido]*5%)</f>
        <v>7171850</v>
      </c>
      <c r="Q66" s="5">
        <f>IF(Tabela3[Lucro Líquido]&lt;0,0,Tabela3[Lucro Líquido]-Tabela3[Reserva Legal])</f>
        <v>136265150</v>
      </c>
      <c r="R66" s="5">
        <f>Tabela3[[#This Row],[Lucro Distribuir]]*Tabela3[%Div]</f>
        <v>34066287.5</v>
      </c>
      <c r="S66" s="21">
        <f>SUMPRODUCT(N(Tabela3[Nome]=Tabela3[[#This Row],[Nome]]),Tabela3[Ações])</f>
        <v>36304650</v>
      </c>
      <c r="T66" s="5">
        <f>Tabela3[Capital Social]/Tabela3[Total Ações]</f>
        <v>13.772340457765052</v>
      </c>
      <c r="U66" s="79">
        <f>Tabela3[[#This Row],[Lucro Líquido]]/Tabela3[[#This Row],[Total Ações]]</f>
        <v>3.9509263964808916</v>
      </c>
      <c r="V6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0.90914953746724325</v>
      </c>
      <c r="W6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0.90914953746724325</v>
      </c>
      <c r="Z66" s="5">
        <f>Tabela3[Div Base]*Tabela3[Ações]</f>
        <v>25469506.089806706</v>
      </c>
      <c r="AA66" s="5">
        <f>SUMPRODUCT(N(Tabela3[Nome]=Tabela3[[#This Row],[Nome]]),Tabela3[Div Base]*Tabela3[Ações])</f>
        <v>33760040.733327664</v>
      </c>
      <c r="AB66" s="5">
        <f>Tabela3[Patrimônio Líquido]/Tabela3[Total Ações]</f>
        <v>27.620373698685981</v>
      </c>
      <c r="AC66" s="52">
        <f>MAX(Tabela3[[#This Row],[Cotação 1]:[Cotação 4]])</f>
        <v>27.5</v>
      </c>
      <c r="AD66" s="53">
        <f>Tabela3[Cotação]/Tabela3[VPA]</f>
        <v>0.99564185119292181</v>
      </c>
      <c r="AE66" s="37">
        <f>IF(Tabela3[[#This Row],[Lucro/Ação]]&gt;0,Tabela3[[#This Row],[Cotação]]/(Tabela3[[#This Row],[Lucro/Ação]]/Tabela3[Ref]*4),0)</f>
        <v>5.2202946676938309</v>
      </c>
      <c r="AF66" s="37" t="e">
        <f>IF(Tabela3[Div. Mínimo]=0,0,Tabela3[Lucro Distribuir]*#REF!/Tabela3[Total Ações])</f>
        <v>#REF!</v>
      </c>
      <c r="AG66" s="79">
        <f>Tabela3[Lucro Distribuir]/Tabela3[Total Ações]</f>
        <v>3.753380076656847</v>
      </c>
      <c r="AH6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0.90914953746724325</v>
      </c>
      <c r="AI66" s="16" t="str">
        <f>IF(AND(Tabela3[% A.A.]&gt;=7%,SUMPRODUCT(N(Tabela3[Nome]=Tabela3[[#This Row],[Nome]]),Tabela3[PL])&gt;0),"Sim","Não")</f>
        <v>Não</v>
      </c>
      <c r="AJ66" s="22">
        <f>IF(Tabela3[Cotação]&gt;0,Tabela3[[#This Row],[Lucro]]/Tabela3[[#This Row],[Cotação]],0)</f>
        <v>3.3059983180627028E-2</v>
      </c>
      <c r="AK66" s="18">
        <f>((1+Tabela3[[#This Row],[% Yield]])^(1/(3*Tabela3[[#This Row],[Ref]])))^(12)-1</f>
        <v>4.4321097920229091E-2</v>
      </c>
      <c r="AL66" s="10">
        <f>IF(Tabela3[Cotação]&gt;0,($AS$1/Tabela3[[#This Row],[Cotação]]-MOD($AS$1/Tabela3[[#This Row],[Cotação]],100)),)</f>
        <v>0</v>
      </c>
      <c r="AM66" s="7">
        <f>Tabela3[[#This Row],[Ativos]]*Tabela3[Lucro]</f>
        <v>0</v>
      </c>
      <c r="AN66" s="5">
        <f>SUMPRODUCT(N(Tabela1[Código]=Tabela3[[#This Row],[PAPEL]]),Tabela1[Fechamento])</f>
        <v>27.5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  <c r="AQ66" s="7">
        <f>SUMPRODUCT(N(Tabela1768[Código]=Tabela3[[#This Row],[PAPEL]]),Tabela1768[Fechamento])</f>
        <v>0</v>
      </c>
    </row>
    <row r="67" spans="1:43" hidden="1" x14ac:dyDescent="0.2">
      <c r="A67" s="4" t="s">
        <v>14</v>
      </c>
      <c r="B67" s="57" t="s">
        <v>222</v>
      </c>
      <c r="C67" s="14" t="str">
        <f>LEFT(Tabela3[PAPEL],LEN(Tabela3[PAPEL])-(LEN(Tabela3[PAPEL])-4))</f>
        <v>BSLI</v>
      </c>
      <c r="D67" s="15">
        <v>3</v>
      </c>
      <c r="E67" s="5">
        <v>500000000</v>
      </c>
      <c r="F67" s="8">
        <v>8290000</v>
      </c>
      <c r="G67" s="83">
        <v>0.25</v>
      </c>
      <c r="H67" s="15"/>
      <c r="I67" s="19"/>
      <c r="J67" s="19">
        <v>0.1</v>
      </c>
      <c r="K67" s="90"/>
      <c r="L67" s="90"/>
      <c r="M67" s="5">
        <v>1002748000</v>
      </c>
      <c r="N67" s="5">
        <v>143437000</v>
      </c>
      <c r="O67" s="5">
        <f>Tabela3[[#This Row],[Capital Social]]*20%</f>
        <v>100000000</v>
      </c>
      <c r="P67" s="5">
        <f>IF((Tabela3[Lucro Líquido]*5%)&gt;Tabela3[Teto R. Legal],Tabela3[Teto R. Legal],Tabela3[Lucro Líquido]*5%)</f>
        <v>7171850</v>
      </c>
      <c r="Q67" s="5">
        <f>IF(Tabela3[Lucro Líquido]&lt;0,0,Tabela3[Lucro Líquido]-Tabela3[Reserva Legal])</f>
        <v>136265150</v>
      </c>
      <c r="R67" s="5">
        <f>Tabela3[[#This Row],[Lucro Distribuir]]*Tabela3[%Div]</f>
        <v>34066287.5</v>
      </c>
      <c r="S67" s="21">
        <f>SUMPRODUCT(N(Tabela3[Nome]=Tabela3[[#This Row],[Nome]]),Tabela3[Ações])</f>
        <v>36304650</v>
      </c>
      <c r="T67" s="5">
        <f>Tabela3[Capital Social]/Tabela3[Total Ações]</f>
        <v>13.772340457765052</v>
      </c>
      <c r="U67" s="80">
        <f>Tabela3[[#This Row],[Lucro Líquido]]/Tabela3[[#This Row],[Total Ações]]</f>
        <v>3.9509263964808916</v>
      </c>
      <c r="V6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1.0000644925839512</v>
      </c>
      <c r="W67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7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1.0000644925839512</v>
      </c>
      <c r="Z67" s="5">
        <f>Tabela3[Div Base]*Tabela3[Ações]</f>
        <v>8290534.6435209559</v>
      </c>
      <c r="AA67" s="5">
        <f>SUMPRODUCT(N(Tabela3[Nome]=Tabela3[[#This Row],[Nome]]),Tabela3[Div Base]*Tabela3[Ações])</f>
        <v>33760040.733327664</v>
      </c>
      <c r="AB67" s="6">
        <f>Tabela3[Patrimônio Líquido]/Tabela3[Total Ações]</f>
        <v>27.620373698685981</v>
      </c>
      <c r="AC67" s="48">
        <f>MAX(Tabela3[[#This Row],[Cotação 1]:[Cotação 4]])</f>
        <v>29.99</v>
      </c>
      <c r="AD67" s="44">
        <f>Tabela3[Cotação]/Tabela3[VPA]</f>
        <v>1.0857926951736627</v>
      </c>
      <c r="AE67" s="40">
        <f>IF(Tabela3[[#This Row],[Lucro/Ação]]&gt;0,Tabela3[[#This Row],[Cotação]]/(Tabela3[[#This Row],[Lucro/Ação]]/Tabela3[Ref]*4),0)</f>
        <v>5.6929686212413806</v>
      </c>
      <c r="AF67" s="40" t="e">
        <f>IF(Tabela3[Div. Mínimo]=0,0,Tabela3[Lucro Distribuir]*#REF!/Tabela3[Total Ações])</f>
        <v>#REF!</v>
      </c>
      <c r="AG67" s="80">
        <f>Tabela3[Lucro Distribuir]/Tabela3[Total Ações]</f>
        <v>3.753380076656847</v>
      </c>
      <c r="AH6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1.0000644925839512</v>
      </c>
      <c r="AI67" s="15" t="str">
        <f>IF(AND(Tabela3[% A.A.]&gt;=7%,SUMPRODUCT(N(Tabela3[Nome]=Tabela3[[#This Row],[Nome]]),Tabela3[PL])&gt;0),"Sim","Não")</f>
        <v>Não</v>
      </c>
      <c r="AJ67" s="42">
        <f>IF(Tabela3[Cotação]&gt;0,Tabela3[[#This Row],[Lucro]]/Tabela3[[#This Row],[Cotação]],0)</f>
        <v>3.3346598619004714E-2</v>
      </c>
      <c r="AK67" s="19">
        <f>((1+Tabela3[[#This Row],[% Yield]])^(1/(3*Tabela3[[#This Row],[Ref]])))^(12)-1</f>
        <v>4.4707435459782952E-2</v>
      </c>
      <c r="AL67" s="14">
        <f>IF(Tabela3[Cotação]&gt;0,($AS$1/Tabela3[[#This Row],[Cotação]]-MOD($AS$1/Tabela3[[#This Row],[Cotação]],100)),)</f>
        <v>0</v>
      </c>
      <c r="AM67" s="17">
        <f>Tabela3[[#This Row],[Ativos]]*Tabela3[Lucro]</f>
        <v>0</v>
      </c>
      <c r="AN67" s="5">
        <f>SUMPRODUCT(N(Tabela1[Código]=Tabela3[[#This Row],[PAPEL]]),Tabela1[Fechamento])</f>
        <v>29.99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  <c r="AQ67" s="7">
        <f>SUMPRODUCT(N(Tabela1768[Código]=Tabela3[[#This Row],[PAPEL]]),Tabela1768[Fechamento])</f>
        <v>0</v>
      </c>
    </row>
    <row r="68" spans="1:43" hidden="1" x14ac:dyDescent="0.2">
      <c r="A68" s="3" t="s">
        <v>930</v>
      </c>
      <c r="B68" s="58" t="s">
        <v>935</v>
      </c>
      <c r="C68" s="16" t="str">
        <f>LEFT(Tabela3[PAPEL],LEN(Tabela3[PAPEL])-(LEN(Tabela3[PAPEL])-4))</f>
        <v>BTOW</v>
      </c>
      <c r="D68" s="16">
        <v>3</v>
      </c>
      <c r="E68" s="5">
        <v>1198991738.6400001</v>
      </c>
      <c r="F68" s="56">
        <v>158999202</v>
      </c>
      <c r="G68" s="83">
        <v>0.25</v>
      </c>
      <c r="H68" s="89"/>
      <c r="I68" s="18"/>
      <c r="K68" s="16"/>
      <c r="L68" s="89"/>
      <c r="M68" s="94">
        <v>832936000</v>
      </c>
      <c r="N68" s="73">
        <v>-149050000</v>
      </c>
      <c r="O68" s="7">
        <f>Tabela3[[#This Row],[Capital Social]]*20%</f>
        <v>239798347.72800004</v>
      </c>
      <c r="P68" s="47">
        <f>IF((Tabela3[Lucro Líquido]*5%)&gt;Tabela3[Teto R. Legal],Tabela3[Teto R. Legal],Tabela3[Lucro Líquido]*5%)</f>
        <v>-7452500</v>
      </c>
      <c r="Q68" s="47">
        <f>IF(Tabela3[Lucro Líquido]&lt;0,0,Tabela3[Lucro Líquido]-Tabela3[Reserva Legal])</f>
        <v>0</v>
      </c>
      <c r="R68" s="47">
        <f>Tabela3[[#This Row],[Lucro Distribuir]]*Tabela3[%Div]</f>
        <v>0</v>
      </c>
      <c r="S68" s="56">
        <f>SUMPRODUCT(N(Tabela3[Nome]=Tabela3[[#This Row],[Nome]]),Tabela3[Ações])</f>
        <v>158999202</v>
      </c>
      <c r="T68" s="87">
        <f>Tabela3[Capital Social]/Tabela3[Total Ações]</f>
        <v>7.5408663915181169</v>
      </c>
      <c r="U68" s="87">
        <f>Tabela3[[#This Row],[Lucro Líquido]]/Tabela3[[#This Row],[Total Ações]]</f>
        <v>-0.93742608846552578</v>
      </c>
      <c r="V68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68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8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68" s="7">
        <f>Tabela3[Div Base]*Tabela3[Ações]</f>
        <v>0</v>
      </c>
      <c r="AA68" s="7">
        <f>SUMPRODUCT(N(Tabela3[Nome]=Tabela3[[#This Row],[Nome]]),Tabela3[Div Base]*Tabela3[Ações])</f>
        <v>0</v>
      </c>
      <c r="AB68" s="74">
        <f>Tabela3[Patrimônio Líquido]/Tabela3[Total Ações]</f>
        <v>5.2386174868978275</v>
      </c>
      <c r="AC68" s="52">
        <f>MAX(Tabela3[[#This Row],[Cotação 1]:[Cotação 4]])</f>
        <v>22.89</v>
      </c>
      <c r="AD68" s="53">
        <f>Tabela3[Cotação]/Tabela3[VPA]</f>
        <v>4.3694734454748021</v>
      </c>
      <c r="AE68" s="37">
        <f>IF(Tabela3[[#This Row],[Lucro/Ação]]&gt;0,Tabela3[[#This Row],[Cotação]]/(Tabela3[[#This Row],[Lucro/Ação]]/Tabela3[Ref]*4),0)</f>
        <v>0</v>
      </c>
      <c r="AF68" s="59">
        <f>IF(Tabela3[Div. Mínimo]=0,0,Tabela3[Lucro Distribuir]*#REF!/Tabela3[Total Ações])</f>
        <v>0</v>
      </c>
      <c r="AG68" s="87">
        <f>Tabela3[Lucro Distribuir]/Tabela3[Total Ações]</f>
        <v>0</v>
      </c>
      <c r="AH68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68" s="10" t="str">
        <f>IF(AND(Tabela3[% A.A.]&gt;=7%,SUMPRODUCT(N(Tabela3[Nome]=Tabela3[[#This Row],[Nome]]),Tabela3[PL])&gt;0),"Sim","Não")</f>
        <v>Não</v>
      </c>
      <c r="AJ68" s="22">
        <f>IF(Tabela3[Cotação]&gt;0,Tabela3[[#This Row],[Lucro]]/Tabela3[[#This Row],[Cotação]],0)</f>
        <v>0</v>
      </c>
      <c r="AK68" s="22">
        <f>((1+Tabela3[[#This Row],[% Yield]])^(1/(3*Tabela3[[#This Row],[Ref]])))^(12)-1</f>
        <v>0</v>
      </c>
      <c r="AL68" s="10">
        <f>IF(Tabela3[Cotação]&gt;0,($AS$1/Tabela3[[#This Row],[Cotação]]-MOD($AS$1/Tabela3[[#This Row],[Cotação]],100)),)</f>
        <v>0</v>
      </c>
      <c r="AM68" s="7">
        <f>Tabela3[[#This Row],[Ativos]]*Tabela3[Lucro]</f>
        <v>0</v>
      </c>
      <c r="AN68" s="7">
        <f>SUMPRODUCT(N(Tabela1[Código]=Tabela3[[#This Row],[PAPEL]]),Tabela1[Fechamento])</f>
        <v>0</v>
      </c>
      <c r="AO68" s="7">
        <f>SUMPRODUCT(N(Tabela17[Código]=Tabela3[[#This Row],[PAPEL]]),Tabela17[Fechamento])</f>
        <v>0</v>
      </c>
      <c r="AP68" s="7">
        <f>SUMPRODUCT(N(Tabela176[Código]=Tabela3[[#This Row],[PAPEL]]),Tabela176[Fechamento])</f>
        <v>22.89</v>
      </c>
      <c r="AQ68" s="7">
        <f>SUMPRODUCT(N(Tabela1768[Código]=Tabela3[[#This Row],[PAPEL]]),Tabela1768[Fechamento])</f>
        <v>0</v>
      </c>
    </row>
    <row r="69" spans="1:43" hidden="1" x14ac:dyDescent="0.2">
      <c r="A69" s="4" t="s">
        <v>303</v>
      </c>
      <c r="B69" s="57" t="s">
        <v>729</v>
      </c>
      <c r="C69" s="15" t="str">
        <f>LEFT(Tabela3[PAPEL],LEN(Tabela3[PAPEL])-(LEN(Tabela3[PAPEL])-4))</f>
        <v>BTTL</v>
      </c>
      <c r="D69" s="16">
        <v>3</v>
      </c>
      <c r="E69" s="6">
        <v>151555970</v>
      </c>
      <c r="F69" s="8">
        <v>49911902</v>
      </c>
      <c r="G69" s="83">
        <v>0.25</v>
      </c>
      <c r="H69" s="15"/>
      <c r="I69" s="19"/>
      <c r="J69" s="19"/>
      <c r="K69" s="90"/>
      <c r="L69" s="90"/>
      <c r="M69" s="96">
        <v>-68334000</v>
      </c>
      <c r="N69" s="97">
        <v>-3348000</v>
      </c>
      <c r="O69" s="13">
        <f>Tabela3[[#This Row],[Capital Social]]*20%</f>
        <v>30311194</v>
      </c>
      <c r="P69" s="13">
        <f>IF((Tabela3[Lucro Líquido]*5%)&gt;Tabela3[Teto R. Legal],Tabela3[Teto R. Legal],Tabela3[Lucro Líquido]*5%)</f>
        <v>-167400</v>
      </c>
      <c r="Q69" s="13">
        <f>IF(Tabela3[Lucro Líquido]&lt;0,0,Tabela3[Lucro Líquido]-Tabela3[Reserva Legal])</f>
        <v>0</v>
      </c>
      <c r="R69" s="13">
        <f>Tabela3[[#This Row],[Lucro Distribuir]]*Tabela3[%Div]</f>
        <v>0</v>
      </c>
      <c r="S69" s="21">
        <f>SUMPRODUCT(N(Tabela3[Nome]=Tabela3[[#This Row],[Nome]]),Tabela3[Ações])</f>
        <v>149677728</v>
      </c>
      <c r="T69" s="6">
        <f>Tabela3[Capital Social]/Tabela3[Total Ações]</f>
        <v>1.0125485736929412</v>
      </c>
      <c r="U69" s="80">
        <f>Tabela3[[#This Row],[Lucro Líquido]]/Tabela3[[#This Row],[Total Ações]]</f>
        <v>-2.2368057323799036E-2</v>
      </c>
      <c r="V6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6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6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6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69" s="13">
        <f>Tabela3[Div Base]*Tabela3[Ações]</f>
        <v>0</v>
      </c>
      <c r="AA69" s="13">
        <f>SUMPRODUCT(N(Tabela3[Nome]=Tabela3[[#This Row],[Nome]]),Tabela3[Div Base]*Tabela3[Ações])</f>
        <v>0</v>
      </c>
      <c r="AB69" s="95">
        <f>Tabela3[Patrimônio Líquido]/Tabela3[Total Ações]</f>
        <v>-0.45654086892607026</v>
      </c>
      <c r="AC69" s="48">
        <f>MAX(Tabela3[[#This Row],[Cotação 1]:[Cotação 4]])</f>
        <v>0.77</v>
      </c>
      <c r="AD69" s="44">
        <f>Tabela3[Cotação]/Tabela3[VPA]</f>
        <v>-1.6865959926244622</v>
      </c>
      <c r="AE69" s="40">
        <f>IF(Tabela3[[#This Row],[Lucro/Ação]]&gt;0,Tabela3[[#This Row],[Cotação]]/(Tabela3[[#This Row],[Lucro/Ação]]/Tabela3[Ref]*4),0)</f>
        <v>0</v>
      </c>
      <c r="AF69" s="91">
        <f>IF(Tabela3[Div. Mínimo]=0,0,Tabela3[Lucro Distribuir]*#REF!/Tabela3[Total Ações])</f>
        <v>0</v>
      </c>
      <c r="AG69" s="80">
        <f>Tabela3[Lucro Distribuir]/Tabela3[Total Ações]</f>
        <v>0</v>
      </c>
      <c r="AH6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69" s="14" t="str">
        <f>IF(AND(Tabela3[% A.A.]&gt;=7%,SUMPRODUCT(N(Tabela3[Nome]=Tabela3[[#This Row],[Nome]]),Tabela3[PL])&gt;0),"Sim","Não")</f>
        <v>Não</v>
      </c>
      <c r="AJ69" s="42">
        <f>IF(Tabela3[Cotação]&gt;0,Tabela3[[#This Row],[Lucro]]/Tabela3[[#This Row],[Cotação]],0)</f>
        <v>0</v>
      </c>
      <c r="AK69" s="42">
        <f>((1+Tabela3[[#This Row],[% Yield]])^(1/(3*Tabela3[[#This Row],[Ref]])))^(12)-1</f>
        <v>0</v>
      </c>
      <c r="AL69" s="14">
        <f>IF(Tabela3[Cotação]&gt;0,($AS$1/Tabela3[[#This Row],[Cotação]]-MOD($AS$1/Tabela3[[#This Row],[Cotação]],100)),)</f>
        <v>1200</v>
      </c>
      <c r="AM69" s="17">
        <f>Tabela3[[#This Row],[Ativos]]*Tabela3[Lucro]</f>
        <v>0</v>
      </c>
      <c r="AN69" s="17">
        <f>SUMPRODUCT(N(Tabela1[Código]=Tabela3[[#This Row],[PAPEL]]),Tabela1[Fechamento])</f>
        <v>0</v>
      </c>
      <c r="AO69" s="17">
        <f>SUMPRODUCT(N(Tabela17[Código]=Tabela3[[#This Row],[PAPEL]]),Tabela17[Fechamento])</f>
        <v>0</v>
      </c>
      <c r="AP69" s="17">
        <f>SUMPRODUCT(N(Tabela176[Código]=Tabela3[[#This Row],[PAPEL]]),Tabela176[Fechamento])</f>
        <v>0.77</v>
      </c>
      <c r="AQ69" s="17">
        <f>SUMPRODUCT(N(Tabela1768[Código]=Tabela3[[#This Row],[PAPEL]]),Tabela1768[Fechamento])</f>
        <v>0</v>
      </c>
    </row>
    <row r="70" spans="1:43" hidden="1" x14ac:dyDescent="0.2">
      <c r="A70" s="4" t="s">
        <v>303</v>
      </c>
      <c r="B70" s="57" t="s">
        <v>730</v>
      </c>
      <c r="C70" s="15" t="str">
        <f>LEFT(Tabela3[PAPEL],LEN(Tabela3[PAPEL])-(LEN(Tabela3[PAPEL])-4))</f>
        <v>BTTL</v>
      </c>
      <c r="D70" s="16">
        <v>3</v>
      </c>
      <c r="E70" s="6">
        <v>151555970</v>
      </c>
      <c r="F70" s="8">
        <v>99765826</v>
      </c>
      <c r="G70" s="83">
        <v>0.25</v>
      </c>
      <c r="H70" s="15"/>
      <c r="I70" s="19"/>
      <c r="J70" s="19"/>
      <c r="K70" s="90"/>
      <c r="L70" s="90"/>
      <c r="M70" s="96">
        <v>-68334000</v>
      </c>
      <c r="N70" s="97">
        <v>-3348000</v>
      </c>
      <c r="O70" s="13">
        <f>Tabela3[[#This Row],[Capital Social]]*20%</f>
        <v>30311194</v>
      </c>
      <c r="P70" s="13">
        <f>IF((Tabela3[Lucro Líquido]*5%)&gt;Tabela3[Teto R. Legal],Tabela3[Teto R. Legal],Tabela3[Lucro Líquido]*5%)</f>
        <v>-167400</v>
      </c>
      <c r="Q70" s="13">
        <f>IF(Tabela3[Lucro Líquido]&lt;0,0,Tabela3[Lucro Líquido]-Tabela3[Reserva Legal])</f>
        <v>0</v>
      </c>
      <c r="R70" s="13">
        <f>Tabela3[[#This Row],[Lucro Distribuir]]*Tabela3[%Div]</f>
        <v>0</v>
      </c>
      <c r="S70" s="21">
        <f>SUMPRODUCT(N(Tabela3[Nome]=Tabela3[[#This Row],[Nome]]),Tabela3[Ações])</f>
        <v>149677728</v>
      </c>
      <c r="T70" s="6">
        <f>Tabela3[Capital Social]/Tabela3[Total Ações]</f>
        <v>1.0125485736929412</v>
      </c>
      <c r="U70" s="80">
        <f>Tabela3[[#This Row],[Lucro Líquido]]/Tabela3[[#This Row],[Total Ações]]</f>
        <v>-2.2368057323799036E-2</v>
      </c>
      <c r="V7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7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70" s="13">
        <f>Tabela3[Div Base]*Tabela3[Ações]</f>
        <v>0</v>
      </c>
      <c r="AA70" s="13">
        <f>SUMPRODUCT(N(Tabela3[Nome]=Tabela3[[#This Row],[Nome]]),Tabela3[Div Base]*Tabela3[Ações])</f>
        <v>0</v>
      </c>
      <c r="AB70" s="95">
        <f>Tabela3[Patrimônio Líquido]/Tabela3[Total Ações]</f>
        <v>-0.45654086892607026</v>
      </c>
      <c r="AC70" s="48">
        <f>MAX(Tabela3[[#This Row],[Cotação 1]:[Cotação 4]])</f>
        <v>0.8</v>
      </c>
      <c r="AD70" s="44">
        <f>Tabela3[Cotação]/Tabela3[VPA]</f>
        <v>-1.7523075248046363</v>
      </c>
      <c r="AE70" s="40">
        <f>IF(Tabela3[[#This Row],[Lucro/Ação]]&gt;0,Tabela3[[#This Row],[Cotação]]/(Tabela3[[#This Row],[Lucro/Ação]]/Tabela3[Ref]*4),0)</f>
        <v>0</v>
      </c>
      <c r="AF70" s="91">
        <f>IF(Tabela3[Div. Mínimo]=0,0,Tabela3[Lucro Distribuir]*#REF!/Tabela3[Total Ações])</f>
        <v>0</v>
      </c>
      <c r="AG70" s="80">
        <f>Tabela3[Lucro Distribuir]/Tabela3[Total Ações]</f>
        <v>0</v>
      </c>
      <c r="AH7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70" s="14" t="str">
        <f>IF(AND(Tabela3[% A.A.]&gt;=7%,SUMPRODUCT(N(Tabela3[Nome]=Tabela3[[#This Row],[Nome]]),Tabela3[PL])&gt;0),"Sim","Não")</f>
        <v>Não</v>
      </c>
      <c r="AJ70" s="42">
        <f>IF(Tabela3[Cotação]&gt;0,Tabela3[[#This Row],[Lucro]]/Tabela3[[#This Row],[Cotação]],0)</f>
        <v>0</v>
      </c>
      <c r="AK70" s="42">
        <f>((1+Tabela3[[#This Row],[% Yield]])^(1/(3*Tabela3[[#This Row],[Ref]])))^(12)-1</f>
        <v>0</v>
      </c>
      <c r="AL70" s="14">
        <f>IF(Tabela3[Cotação]&gt;0,($AS$1/Tabela3[[#This Row],[Cotação]]-MOD($AS$1/Tabela3[[#This Row],[Cotação]],100)),)</f>
        <v>1200</v>
      </c>
      <c r="AM70" s="17">
        <f>Tabela3[[#This Row],[Ativos]]*Tabela3[Lucro]</f>
        <v>0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0</v>
      </c>
      <c r="AP70" s="17">
        <f>SUMPRODUCT(N(Tabela176[Código]=Tabela3[[#This Row],[PAPEL]]),Tabela176[Fechamento])</f>
        <v>0.8</v>
      </c>
      <c r="AQ70" s="17">
        <f>SUMPRODUCT(N(Tabela1768[Código]=Tabela3[[#This Row],[PAPEL]]),Tabela1768[Fechamento])</f>
        <v>0</v>
      </c>
    </row>
    <row r="71" spans="1:43" hidden="1" x14ac:dyDescent="0.2">
      <c r="A71" s="4" t="s">
        <v>384</v>
      </c>
      <c r="B71" s="57" t="s">
        <v>383</v>
      </c>
      <c r="C71" s="84" t="str">
        <f>LEFT(Tabela3[PAPEL],LEN(Tabela3[PAPEL])-(LEN(Tabela3[PAPEL])-4))</f>
        <v>BVMF</v>
      </c>
      <c r="D71" s="15">
        <v>3</v>
      </c>
      <c r="E71" s="6">
        <v>2540239563.8800001</v>
      </c>
      <c r="F71" s="38">
        <v>1980000000</v>
      </c>
      <c r="G71" s="88">
        <v>0.25</v>
      </c>
      <c r="H71" s="15"/>
      <c r="I71" s="19"/>
      <c r="J71" s="19"/>
      <c r="K71" s="90"/>
      <c r="L71" s="90"/>
      <c r="M71" s="6">
        <v>19321802000</v>
      </c>
      <c r="N71" s="6">
        <v>899387000</v>
      </c>
      <c r="O71" s="6">
        <f>Tabela3[[#This Row],[Capital Social]]*20%</f>
        <v>508047912.77600002</v>
      </c>
      <c r="P71" s="6">
        <f>IF((Tabela3[Lucro Líquido]*5%)&gt;Tabela3[Teto R. Legal],Tabela3[Teto R. Legal],Tabela3[Lucro Líquido]*5%)</f>
        <v>44969350</v>
      </c>
      <c r="Q71" s="6">
        <f>IF(Tabela3[Lucro Líquido]&lt;0,0,Tabela3[Lucro Líquido]-Tabela3[Reserva Legal])</f>
        <v>854417650</v>
      </c>
      <c r="R71" s="6">
        <f>Tabela3[[#This Row],[Lucro Distribuir]]*Tabela3[%Div]</f>
        <v>213604412.5</v>
      </c>
      <c r="S71" s="56">
        <f>SUMPRODUCT(N(Tabela3[Nome]=Tabela3[[#This Row],[Nome]]),Tabela3[Ações])</f>
        <v>1980000000</v>
      </c>
      <c r="T71" s="6">
        <f>Tabela3[Capital Social]/Tabela3[Total Ações]</f>
        <v>1.2829492746868687</v>
      </c>
      <c r="U71" s="80">
        <f>Tabela3[[#This Row],[Lucro Líquido]]/Tabela3[[#This Row],[Total Ações]]</f>
        <v>0.45423585858585858</v>
      </c>
      <c r="V7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0.10788101641414141</v>
      </c>
      <c r="W7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0.10788101641414141</v>
      </c>
      <c r="Z71" s="6">
        <f>Tabela3[Div Base]*Tabela3[Ações]</f>
        <v>213604412.5</v>
      </c>
      <c r="AA71" s="6">
        <f>SUMPRODUCT(N(Tabela3[Nome]=Tabela3[[#This Row],[Nome]]),Tabela3[Div Base]*Tabela3[Ações])</f>
        <v>213604412.5</v>
      </c>
      <c r="AB71" s="6">
        <f>Tabela3[Patrimônio Líquido]/Tabela3[Total Ações]</f>
        <v>9.7584858585858587</v>
      </c>
      <c r="AC71" s="48">
        <f>MAX(Tabela3[[#This Row],[Cotação 1]:[Cotação 4]])</f>
        <v>9.5500000000000007</v>
      </c>
      <c r="AD71" s="44">
        <f>Tabela3[Cotação]/Tabela3[VPA]</f>
        <v>0.97863542955258531</v>
      </c>
      <c r="AE71" s="40">
        <f>IF(Tabela3[[#This Row],[Lucro/Ação]]&gt;0,Tabela3[[#This Row],[Cotação]]/(Tabela3[[#This Row],[Lucro/Ação]]/Tabela3[Ref]*4),0)</f>
        <v>15.768239923414505</v>
      </c>
      <c r="AF71" s="40" t="e">
        <f>IF(Tabela3[Div. Mínimo]=0,0,Tabela3[Lucro Distribuir]*#REF!/Tabela3[Total Ações])</f>
        <v>#REF!</v>
      </c>
      <c r="AG71" s="80">
        <f>Tabela3[Lucro Distribuir]/Tabela3[Total Ações]</f>
        <v>0.43152406565656565</v>
      </c>
      <c r="AH7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0.10788101641414141</v>
      </c>
      <c r="AI71" s="15" t="str">
        <f>IF(AND(Tabela3[% A.A.]&gt;=7%,SUMPRODUCT(N(Tabela3[Nome]=Tabela3[[#This Row],[Nome]]),Tabela3[PL])&gt;0),"Sim","Não")</f>
        <v>Não</v>
      </c>
      <c r="AJ71" s="42">
        <f>IF(Tabela3[Cotação]&gt;0,Tabela3[[#This Row],[Lucro]]/Tabela3[[#This Row],[Cotação]],0)</f>
        <v>1.1296441509334178E-2</v>
      </c>
      <c r="AK71" s="19">
        <f>((1+Tabela3[[#This Row],[% Yield]])^(1/(3*Tabela3[[#This Row],[Ref]])))^(12)-1</f>
        <v>1.5090208845467856E-2</v>
      </c>
      <c r="AL71" s="14">
        <f>IF(Tabela3[Cotação]&gt;0,($AS$1/Tabela3[[#This Row],[Cotação]]-MOD($AS$1/Tabela3[[#This Row],[Cotação]],100)),)</f>
        <v>100</v>
      </c>
      <c r="AM71" s="17">
        <f>Tabela3[[#This Row],[Ativos]]*Tabela3[Lucro]</f>
        <v>10.788101641414141</v>
      </c>
      <c r="AN71" s="13">
        <f>SUMPRODUCT(N(Tabela1[Código]=Tabela3[[#This Row],[PAPEL]]),Tabela1[Fechamento])</f>
        <v>0</v>
      </c>
      <c r="AO71" s="55">
        <f>SUMPRODUCT(N(Tabela17[Código]=Tabela3[[#This Row],[PAPEL]]),Tabela17[Fechamento])</f>
        <v>9.5500000000000007</v>
      </c>
      <c r="AP71" s="7">
        <f>SUMPRODUCT(N(Tabela176[Código]=Tabela3[[#This Row],[PAPEL]]),Tabela176[Fechamento])</f>
        <v>0</v>
      </c>
      <c r="AQ71" s="7">
        <f>SUMPRODUCT(N(Tabela1768[Código]=Tabela3[[#This Row],[PAPEL]]),Tabela1768[Fechamento])</f>
        <v>0</v>
      </c>
    </row>
    <row r="72" spans="1:43" hidden="1" x14ac:dyDescent="0.2">
      <c r="A72" s="3" t="s">
        <v>282</v>
      </c>
      <c r="B72" s="58" t="s">
        <v>983</v>
      </c>
      <c r="C72" s="16" t="str">
        <f>LEFT(Tabela3[PAPEL],LEN(Tabela3[PAPEL])-(LEN(Tabela3[PAPEL])-4))</f>
        <v>CAFE</v>
      </c>
      <c r="D72" s="16">
        <v>4</v>
      </c>
      <c r="E72" s="5">
        <v>47993981.079999998</v>
      </c>
      <c r="F72" s="56">
        <v>728180600</v>
      </c>
      <c r="G72" s="83">
        <v>0.25</v>
      </c>
      <c r="H72" s="89"/>
      <c r="I72" s="18"/>
      <c r="K72" s="16"/>
      <c r="L72" s="89"/>
      <c r="M72" s="94">
        <v>-377387000</v>
      </c>
      <c r="N72" s="73">
        <v>242156000</v>
      </c>
      <c r="O72" s="7">
        <f>Tabela3[[#This Row],[Capital Social]]*20%</f>
        <v>9598796.216</v>
      </c>
      <c r="P72" s="47">
        <f>IF((Tabela3[Lucro Líquido]*5%)&gt;Tabela3[Teto R. Legal],Tabela3[Teto R. Legal],Tabela3[Lucro Líquido]*5%)</f>
        <v>9598796.216</v>
      </c>
      <c r="Q72" s="47">
        <f>IF(Tabela3[Lucro Líquido]&lt;0,0,Tabela3[Lucro Líquido]-Tabela3[Reserva Legal])</f>
        <v>232557203.78400001</v>
      </c>
      <c r="R72" s="47">
        <f>Tabela3[[#This Row],[Lucro Distribuir]]*Tabela3[%Div]</f>
        <v>58139300.946000002</v>
      </c>
      <c r="S72" s="56">
        <f>SUMPRODUCT(N(Tabela3[Nome]=Tabela3[[#This Row],[Nome]]),Tabela3[Ações])</f>
        <v>2184541800</v>
      </c>
      <c r="T72" s="87">
        <f>Tabela3[Capital Social]/Tabela3[Total Ações]</f>
        <v>2.1969815857952452E-2</v>
      </c>
      <c r="U72" s="87">
        <f>Tabela3[[#This Row],[Lucro Líquido]]/Tabela3[[#This Row],[Total Ações]]</f>
        <v>0.11084979010243705</v>
      </c>
      <c r="V72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2.578589533652511E-2</v>
      </c>
      <c r="W72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2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2.578589533652511E-2</v>
      </c>
      <c r="Z72" s="7">
        <f>Tabela3[Div Base]*Tabela3[Ações]</f>
        <v>18776788.737688057</v>
      </c>
      <c r="AA72" s="7">
        <f>SUMPRODUCT(N(Tabela3[Nome]=Tabela3[[#This Row],[Nome]]),Tabela3[Div Base]*Tabela3[Ações])</f>
        <v>60085724.017190702</v>
      </c>
      <c r="AB72" s="74">
        <f>Tabela3[Patrimônio Líquido]/Tabela3[Total Ações]</f>
        <v>-0.17275338929197875</v>
      </c>
      <c r="AC72" s="52">
        <f>MAX(Tabela3[[#This Row],[Cotação 1]:[Cotação 4]])</f>
        <v>2</v>
      </c>
      <c r="AD72" s="53">
        <f>Tabela3[Cotação]/Tabela3[VPA]</f>
        <v>-11.577196882775507</v>
      </c>
      <c r="AE72" s="37">
        <f>IF(Tabela3[[#This Row],[Lucro/Ação]]&gt;0,Tabela3[[#This Row],[Cotação]]/(Tabela3[[#This Row],[Lucro/Ação]]/Tabela3[Ref]*4),0)</f>
        <v>18.042433803003021</v>
      </c>
      <c r="AF72" s="59" t="e">
        <f>IF(Tabela3[Div. Mínimo]=0,0,Tabela3[Lucro Distribuir]*#REF!/Tabela3[Total Ações])</f>
        <v>#REF!</v>
      </c>
      <c r="AG72" s="87">
        <f>Tabela3[Lucro Distribuir]/Tabela3[Total Ações]</f>
        <v>0.10645582693084656</v>
      </c>
      <c r="AH72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2.578589533652511E-2</v>
      </c>
      <c r="AI72" s="10" t="str">
        <f>IF(AND(Tabela3[% A.A.]&gt;=7%,SUMPRODUCT(N(Tabela3[Nome]=Tabela3[[#This Row],[Nome]]),Tabela3[PL])&gt;0),"Sim","Não")</f>
        <v>Não</v>
      </c>
      <c r="AJ72" s="22">
        <f>IF(Tabela3[Cotação]&gt;0,Tabela3[[#This Row],[Lucro]]/Tabela3[[#This Row],[Cotação]],0)</f>
        <v>1.2892947668262555E-2</v>
      </c>
      <c r="AK72" s="22">
        <f>((1+Tabela3[[#This Row],[% Yield]])^(1/(3*Tabela3[[#This Row],[Ref]])))^(12)-1</f>
        <v>1.2892947668262433E-2</v>
      </c>
      <c r="AL72" s="10">
        <f>IF(Tabela3[Cotação]&gt;0,($AS$1/Tabela3[[#This Row],[Cotação]]-MOD($AS$1/Tabela3[[#This Row],[Cotação]],100)),)</f>
        <v>500</v>
      </c>
      <c r="AM72" s="7">
        <f>Tabela3[[#This Row],[Ativos]]*Tabela3[Lucro]</f>
        <v>12.892947668262554</v>
      </c>
      <c r="AN72" s="7">
        <f>SUMPRODUCT(N(Tabela1[Código]=Tabela3[[#This Row],[PAPEL]]),Tabela1[Fechamento])</f>
        <v>0</v>
      </c>
      <c r="AO72" s="7">
        <f>SUMPRODUCT(N(Tabela17[Código]=Tabela3[[#This Row],[PAPEL]]),Tabela17[Fechamento])</f>
        <v>0</v>
      </c>
      <c r="AP72" s="7">
        <f>SUMPRODUCT(N(Tabela176[Código]=Tabela3[[#This Row],[PAPEL]]),Tabela176[Fechamento])</f>
        <v>2</v>
      </c>
      <c r="AQ72" s="7">
        <f>SUMPRODUCT(N(Tabela1768[Código]=Tabela3[[#This Row],[PAPEL]]),Tabela1768[Fechamento])</f>
        <v>0</v>
      </c>
    </row>
    <row r="73" spans="1:43" hidden="1" x14ac:dyDescent="0.2">
      <c r="A73" s="3" t="s">
        <v>282</v>
      </c>
      <c r="B73" s="58" t="s">
        <v>984</v>
      </c>
      <c r="C73" s="16" t="str">
        <f>LEFT(Tabela3[PAPEL],LEN(Tabela3[PAPEL])-(LEN(Tabela3[PAPEL])-4))</f>
        <v>CAFE</v>
      </c>
      <c r="D73" s="16">
        <v>4</v>
      </c>
      <c r="E73" s="5">
        <v>47993981.079999998</v>
      </c>
      <c r="F73" s="56">
        <v>1456361200</v>
      </c>
      <c r="G73" s="83">
        <v>0.25</v>
      </c>
      <c r="H73" s="89"/>
      <c r="I73" s="18"/>
      <c r="J73" s="18">
        <v>0.1</v>
      </c>
      <c r="K73" s="16"/>
      <c r="L73" s="89"/>
      <c r="M73" s="94">
        <v>-377387000</v>
      </c>
      <c r="N73" s="73">
        <v>242156000</v>
      </c>
      <c r="O73" s="7">
        <f>Tabela3[[#This Row],[Capital Social]]*20%</f>
        <v>9598796.216</v>
      </c>
      <c r="P73" s="47">
        <f>IF((Tabela3[Lucro Líquido]*5%)&gt;Tabela3[Teto R. Legal],Tabela3[Teto R. Legal],Tabela3[Lucro Líquido]*5%)</f>
        <v>9598796.216</v>
      </c>
      <c r="Q73" s="47">
        <f>IF(Tabela3[Lucro Líquido]&lt;0,0,Tabela3[Lucro Líquido]-Tabela3[Reserva Legal])</f>
        <v>232557203.78400001</v>
      </c>
      <c r="R73" s="47">
        <f>Tabela3[[#This Row],[Lucro Distribuir]]*Tabela3[%Div]</f>
        <v>58139300.946000002</v>
      </c>
      <c r="S73" s="56">
        <f>SUMPRODUCT(N(Tabela3[Nome]=Tabela3[[#This Row],[Nome]]),Tabela3[Ações])</f>
        <v>2184541800</v>
      </c>
      <c r="T73" s="87">
        <f>Tabela3[Capital Social]/Tabela3[Total Ações]</f>
        <v>2.1969815857952452E-2</v>
      </c>
      <c r="U73" s="87">
        <f>Tabela3[[#This Row],[Lucro Líquido]]/Tabela3[[#This Row],[Total Ações]]</f>
        <v>0.11084979010243705</v>
      </c>
      <c r="V7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2.8364484909033996E-2</v>
      </c>
      <c r="W7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2.8364484909033996E-2</v>
      </c>
      <c r="Z73" s="7">
        <f>Tabela3[Div Base]*Tabela3[Ações]</f>
        <v>41308935.279502645</v>
      </c>
      <c r="AA73" s="7">
        <f>SUMPRODUCT(N(Tabela3[Nome]=Tabela3[[#This Row],[Nome]]),Tabela3[Div Base]*Tabela3[Ações])</f>
        <v>60085724.017190702</v>
      </c>
      <c r="AB73" s="74">
        <f>Tabela3[Patrimônio Líquido]/Tabela3[Total Ações]</f>
        <v>-0.17275338929197875</v>
      </c>
      <c r="AC73" s="52">
        <f>MAX(Tabela3[[#This Row],[Cotação 1]:[Cotação 4]])</f>
        <v>0.5</v>
      </c>
      <c r="AD73" s="53">
        <f>Tabela3[Cotação]/Tabela3[VPA]</f>
        <v>-2.8942992206938767</v>
      </c>
      <c r="AE73" s="37">
        <f>IF(Tabela3[[#This Row],[Lucro/Ação]]&gt;0,Tabela3[[#This Row],[Cotação]]/(Tabela3[[#This Row],[Lucro/Ação]]/Tabela3[Ref]*4),0)</f>
        <v>4.5106084507507553</v>
      </c>
      <c r="AF73" s="59" t="e">
        <f>IF(Tabela3[Div. Mínimo]=0,0,Tabela3[Lucro Distribuir]*#REF!/Tabela3[Total Ações])</f>
        <v>#REF!</v>
      </c>
      <c r="AG73" s="87">
        <f>Tabela3[Lucro Distribuir]/Tabela3[Total Ações]</f>
        <v>0.10645582693084656</v>
      </c>
      <c r="AH7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2.8364484909033996E-2</v>
      </c>
      <c r="AI73" s="10" t="str">
        <f>IF(AND(Tabela3[% A.A.]&gt;=7%,SUMPRODUCT(N(Tabela3[Nome]=Tabela3[[#This Row],[Nome]]),Tabela3[PL])&gt;0),"Sim","Não")</f>
        <v>Não</v>
      </c>
      <c r="AJ73" s="22">
        <f>IF(Tabela3[Cotação]&gt;0,Tabela3[[#This Row],[Lucro]]/Tabela3[[#This Row],[Cotação]],0)</f>
        <v>5.6728969818067992E-2</v>
      </c>
      <c r="AK73" s="22">
        <f>((1+Tabela3[[#This Row],[% Yield]])^(1/(3*Tabela3[[#This Row],[Ref]])))^(12)-1</f>
        <v>5.6728969818066854E-2</v>
      </c>
      <c r="AL73" s="10">
        <f>IF(Tabela3[Cotação]&gt;0,($AS$1/Tabela3[[#This Row],[Cotação]]-MOD($AS$1/Tabela3[[#This Row],[Cotação]],100)),)</f>
        <v>2000</v>
      </c>
      <c r="AM73" s="7">
        <f>Tabela3[[#This Row],[Ativos]]*Tabela3[Lucro]</f>
        <v>56.728969818067995</v>
      </c>
      <c r="AN73" s="7">
        <f>SUMPRODUCT(N(Tabela1[Código]=Tabela3[[#This Row],[PAPEL]]),Tabela1[Fechamento])</f>
        <v>0</v>
      </c>
      <c r="AO73" s="7">
        <f>SUMPRODUCT(N(Tabela17[Código]=Tabela3[[#This Row],[PAPEL]]),Tabela17[Fechamento])</f>
        <v>0</v>
      </c>
      <c r="AP73" s="7">
        <f>SUMPRODUCT(N(Tabela176[Código]=Tabela3[[#This Row],[PAPEL]]),Tabela176[Fechamento])</f>
        <v>0.5</v>
      </c>
      <c r="AQ73" s="7">
        <f>SUMPRODUCT(N(Tabela1768[Código]=Tabela3[[#This Row],[PAPEL]]),Tabela1768[Fechamento])</f>
        <v>0</v>
      </c>
    </row>
    <row r="74" spans="1:43" hidden="1" x14ac:dyDescent="0.2">
      <c r="A74" s="4" t="s">
        <v>37</v>
      </c>
      <c r="B74" s="57" t="s">
        <v>182</v>
      </c>
      <c r="C74" s="14" t="str">
        <f>LEFT(Tabela3[PAPEL],LEN(Tabela3[PAPEL])-(LEN(Tabela3[PAPEL])-4))</f>
        <v>CASN</v>
      </c>
      <c r="D74" s="15">
        <v>3</v>
      </c>
      <c r="E74" s="6">
        <v>842266637.82000005</v>
      </c>
      <c r="F74" s="8">
        <v>357547216</v>
      </c>
      <c r="G74" s="83">
        <v>0.25</v>
      </c>
      <c r="H74" s="15"/>
      <c r="I74" s="19"/>
      <c r="J74" s="19"/>
      <c r="K74" s="90"/>
      <c r="L74" s="90"/>
      <c r="M74" s="6">
        <v>1255450000</v>
      </c>
      <c r="N74" s="6">
        <v>19870000</v>
      </c>
      <c r="O74" s="6">
        <f>Tabela3[[#This Row],[Capital Social]]*20%</f>
        <v>168453327.56400001</v>
      </c>
      <c r="P74" s="6">
        <f>IF((Tabela3[Lucro Líquido]*5%)&gt;Tabela3[Teto R. Legal],Tabela3[Teto R. Legal],Tabela3[Lucro Líquido]*5%)</f>
        <v>993500</v>
      </c>
      <c r="Q74" s="6">
        <f>IF(Tabela3[Lucro Líquido]&lt;0,0,Tabela3[Lucro Líquido]-Tabela3[Reserva Legal])</f>
        <v>18876500</v>
      </c>
      <c r="R74" s="6">
        <f>Tabela3[[#This Row],[Lucro Distribuir]]*Tabela3[%Div]</f>
        <v>4719125</v>
      </c>
      <c r="S74" s="21">
        <f>SUMPRODUCT(N(Tabela3[Nome]=Tabela3[[#This Row],[Nome]]),Tabela3[Ações])</f>
        <v>715094432</v>
      </c>
      <c r="T74" s="6">
        <f>Tabela3[Capital Social]/Tabela3[Total Ações]</f>
        <v>1.1778397371439748</v>
      </c>
      <c r="U74" s="80">
        <f>Tabela3[[#This Row],[Lucro Líquido]]/Tabela3[[#This Row],[Total Ações]]</f>
        <v>2.7786539946097637E-2</v>
      </c>
      <c r="V7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6.3939738189784639E-3</v>
      </c>
      <c r="W7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6.3939738189784639E-3</v>
      </c>
      <c r="Z74" s="6">
        <f>Tabela3[Div Base]*Tabela3[Ações]</f>
        <v>2286147.5381526379</v>
      </c>
      <c r="AA74" s="6">
        <f>SUMPRODUCT(N(Tabela3[Nome]=Tabela3[[#This Row],[Nome]]),Tabela3[Div Base]*Tabela3[Ações])</f>
        <v>4800909.8335655006</v>
      </c>
      <c r="AB74" s="6">
        <f>Tabela3[Patrimônio Líquido]/Tabela3[Total Ações]</f>
        <v>1.7556422534136022</v>
      </c>
      <c r="AC74" s="48">
        <f>MAX(Tabela3[[#This Row],[Cotação 1]:[Cotação 4]])</f>
        <v>4.12</v>
      </c>
      <c r="AD74" s="44">
        <f>Tabela3[Cotação]/Tabela3[VPA]</f>
        <v>2.3467195506312479</v>
      </c>
      <c r="AE74" s="40">
        <f>IF(Tabela3[[#This Row],[Lucro/Ação]]&gt;0,Tabela3[[#This Row],[Cotação]]/(Tabela3[[#This Row],[Lucro/Ação]]/Tabela3[Ref]*4),0)</f>
        <v>111.20492173527931</v>
      </c>
      <c r="AF74" s="40" t="e">
        <f>IF(Tabela3[Div. Mínimo]=0,0,Tabela3[Lucro Distribuir]*#REF!/Tabela3[Total Ações])</f>
        <v>#REF!</v>
      </c>
      <c r="AG74" s="80">
        <f>Tabela3[Lucro Distribuir]/Tabela3[Total Ações]</f>
        <v>2.6397212948792756E-2</v>
      </c>
      <c r="AH7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6.3939738189784639E-3</v>
      </c>
      <c r="AI74" s="15" t="str">
        <f>IF(AND(Tabela3[% A.A.]&gt;=7%,SUMPRODUCT(N(Tabela3[Nome]=Tabela3[[#This Row],[Nome]]),Tabela3[PL])&gt;0),"Sim","Não")</f>
        <v>Não</v>
      </c>
      <c r="AJ74" s="42">
        <f>IF(Tabela3[Cotação]&gt;0,Tabela3[[#This Row],[Lucro]]/Tabela3[[#This Row],[Cotação]],0)</f>
        <v>1.5519353929559377E-3</v>
      </c>
      <c r="AK74" s="19">
        <f>((1+Tabela3[[#This Row],[% Yield]])^(1/(3*Tabela3[[#This Row],[Ref]])))^(12)-1</f>
        <v>2.0697822291331214E-3</v>
      </c>
      <c r="AL74" s="14">
        <f>IF(Tabela3[Cotação]&gt;0,($AS$1/Tabela3[[#This Row],[Cotação]]-MOD($AS$1/Tabela3[[#This Row],[Cotação]],100)),)</f>
        <v>200</v>
      </c>
      <c r="AM74" s="17">
        <f>Tabela3[[#This Row],[Ativos]]*Tabela3[Lucro]</f>
        <v>1.2787947637956927</v>
      </c>
      <c r="AN74" s="5">
        <f>SUMPRODUCT(N(Tabela1[Código]=Tabela3[[#This Row],[PAPEL]]),Tabela1[Fechamento])</f>
        <v>4.12</v>
      </c>
      <c r="AO74" s="5">
        <f>SUMPRODUCT(N(Tabela17[Código]=Tabela3[[#This Row],[PAPEL]]),Tabela17[Fechamento])</f>
        <v>0</v>
      </c>
      <c r="AP74" s="7">
        <f>SUMPRODUCT(N(Tabela176[Código]=Tabela3[[#This Row],[PAPEL]]),Tabela176[Fechamento])</f>
        <v>0</v>
      </c>
      <c r="AQ74" s="7">
        <f>SUMPRODUCT(N(Tabela1768[Código]=Tabela3[[#This Row],[PAPEL]]),Tabela1768[Fechamento])</f>
        <v>0</v>
      </c>
    </row>
    <row r="75" spans="1:43" hidden="1" x14ac:dyDescent="0.2">
      <c r="A75" s="4" t="s">
        <v>37</v>
      </c>
      <c r="B75" s="57" t="s">
        <v>533</v>
      </c>
      <c r="C75" s="85" t="str">
        <f>LEFT(Tabela3[PAPEL],LEN(Tabela3[PAPEL])-(LEN(Tabela3[PAPEL])-4))</f>
        <v>CASN</v>
      </c>
      <c r="D75" s="16">
        <v>3</v>
      </c>
      <c r="E75" s="6">
        <v>842266637.82000005</v>
      </c>
      <c r="F75" s="56">
        <v>357547216</v>
      </c>
      <c r="G75" s="83">
        <v>0.25</v>
      </c>
      <c r="H75" s="16"/>
      <c r="I75" s="18"/>
      <c r="J75" s="18">
        <v>0.1</v>
      </c>
      <c r="K75" s="89"/>
      <c r="L75" s="89"/>
      <c r="M75" s="6">
        <v>1255450000</v>
      </c>
      <c r="N75" s="6">
        <v>19870000</v>
      </c>
      <c r="O75" s="5">
        <f>Tabela3[[#This Row],[Capital Social]]*20%</f>
        <v>168453327.56400001</v>
      </c>
      <c r="P75" s="5">
        <f>IF((Tabela3[Lucro Líquido]*5%)&gt;Tabela3[Teto R. Legal],Tabela3[Teto R. Legal],Tabela3[Lucro Líquido]*5%)</f>
        <v>993500</v>
      </c>
      <c r="Q75" s="5">
        <f>IF(Tabela3[Lucro Líquido]&lt;0,0,Tabela3[Lucro Líquido]-Tabela3[Reserva Legal])</f>
        <v>18876500</v>
      </c>
      <c r="R75" s="5">
        <f>Tabela3[[#This Row],[Lucro Distribuir]]*Tabela3[%Div]</f>
        <v>4719125</v>
      </c>
      <c r="S75" s="21">
        <f>SUMPRODUCT(N(Tabela3[Nome]=Tabela3[[#This Row],[Nome]]),Tabela3[Ações])</f>
        <v>715094432</v>
      </c>
      <c r="T75" s="5">
        <f>Tabela3[Capital Social]/Tabela3[Total Ações]</f>
        <v>1.1778397371439748</v>
      </c>
      <c r="U75" s="79">
        <f>Tabela3[[#This Row],[Lucro Líquido]]/Tabela3[[#This Row],[Total Ações]]</f>
        <v>2.7786539946097637E-2</v>
      </c>
      <c r="V7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7.0333712105112925E-3</v>
      </c>
      <c r="W7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7.0333712105112925E-3</v>
      </c>
      <c r="Z75" s="5">
        <f>Tabela3[Div Base]*Tabela3[Ações]</f>
        <v>2514762.2954128627</v>
      </c>
      <c r="AA75" s="5">
        <f>SUMPRODUCT(N(Tabela3[Nome]=Tabela3[[#This Row],[Nome]]),Tabela3[Div Base]*Tabela3[Ações])</f>
        <v>4800909.8335655006</v>
      </c>
      <c r="AB75" s="5">
        <f>Tabela3[Patrimônio Líquido]/Tabela3[Total Ações]</f>
        <v>1.7556422534136022</v>
      </c>
      <c r="AC75" s="52">
        <f>MAX(Tabela3[[#This Row],[Cotação 1]:[Cotação 4]])</f>
        <v>0</v>
      </c>
      <c r="AD75" s="53">
        <f>Tabela3[Cotação]/Tabela3[VPA]</f>
        <v>0</v>
      </c>
      <c r="AE75" s="37">
        <f>IF(Tabela3[[#This Row],[Lucro/Ação]]&gt;0,Tabela3[[#This Row],[Cotação]]/(Tabela3[[#This Row],[Lucro/Ação]]/Tabela3[Ref]*4),0)</f>
        <v>0</v>
      </c>
      <c r="AF75" s="37" t="e">
        <f>IF(Tabela3[Div. Mínimo]=0,0,Tabela3[Lucro Distribuir]*#REF!/Tabela3[Total Ações])</f>
        <v>#REF!</v>
      </c>
      <c r="AG75" s="79">
        <f>Tabela3[Lucro Distribuir]/Tabela3[Total Ações]</f>
        <v>2.6397212948792756E-2</v>
      </c>
      <c r="AH7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7.0333712105112925E-3</v>
      </c>
      <c r="AI75" s="16" t="str">
        <f>IF(AND(Tabela3[% A.A.]&gt;=7%,SUMPRODUCT(N(Tabela3[Nome]=Tabela3[[#This Row],[Nome]]),Tabela3[PL])&gt;0),"Sim","Não")</f>
        <v>Não</v>
      </c>
      <c r="AJ75" s="22">
        <f>IF(Tabela3[Cotação]&gt;0,Tabela3[[#This Row],[Lucro]]/Tabela3[[#This Row],[Cotação]],0)</f>
        <v>0</v>
      </c>
      <c r="AK75" s="18">
        <f>((1+Tabela3[[#This Row],[% Yield]])^(1/(3*Tabela3[[#This Row],[Ref]])))^(12)-1</f>
        <v>0</v>
      </c>
      <c r="AL75" s="10">
        <f>IF(Tabela3[Cotação]&gt;0,($AS$1/Tabela3[[#This Row],[Cotação]]-MOD($AS$1/Tabela3[[#This Row],[Cotação]],100)),)</f>
        <v>0</v>
      </c>
      <c r="AM75" s="7">
        <f>Tabela3[[#This Row],[Ativos]]*Tabela3[Lucro]</f>
        <v>0</v>
      </c>
      <c r="AN75" s="47">
        <f>SUMPRODUCT(N(Tabela1[Código]=Tabela3[[#This Row],[PAPEL]]),Tabela1[Fechamento])</f>
        <v>0</v>
      </c>
      <c r="AO75" s="54">
        <f>SUMPRODUCT(N(Tabela17[Código]=Tabela3[[#This Row],[PAPEL]]),Tabela17[Fechamento])</f>
        <v>0</v>
      </c>
      <c r="AP75" s="7">
        <f>SUMPRODUCT(N(Tabela176[Código]=Tabela3[[#This Row],[PAPEL]]),Tabela176[Fechamento])</f>
        <v>0</v>
      </c>
      <c r="AQ75" s="7">
        <f>SUMPRODUCT(N(Tabela1768[Código]=Tabela3[[#This Row],[PAPEL]]),Tabela1768[Fechamento])</f>
        <v>0</v>
      </c>
    </row>
    <row r="76" spans="1:43" hidden="1" x14ac:dyDescent="0.2">
      <c r="A76" s="4" t="s">
        <v>12</v>
      </c>
      <c r="B76" s="57" t="s">
        <v>475</v>
      </c>
      <c r="C76" s="15" t="str">
        <f>LEFT(Tabela3[PAPEL],LEN(Tabela3[PAPEL])-(LEN(Tabela3[PAPEL])-4))</f>
        <v>CBEE</v>
      </c>
      <c r="D76" s="15">
        <v>3</v>
      </c>
      <c r="E76" s="6">
        <v>1298230386.6500001</v>
      </c>
      <c r="F76" s="8">
        <v>3922515918</v>
      </c>
      <c r="G76" s="83">
        <v>0.25</v>
      </c>
      <c r="H76" s="15"/>
      <c r="I76" s="19"/>
      <c r="J76" s="19"/>
      <c r="K76" s="90"/>
      <c r="L76" s="90"/>
      <c r="M76" s="96">
        <v>2374534000</v>
      </c>
      <c r="N76" s="97">
        <v>312405000</v>
      </c>
      <c r="O76" s="13">
        <f>Tabela3[[#This Row],[Capital Social]]*20%</f>
        <v>259646077.33000004</v>
      </c>
      <c r="P76" s="13">
        <f>IF((Tabela3[Lucro Líquido]*5%)&gt;Tabela3[Teto R. Legal],Tabela3[Teto R. Legal],Tabela3[Lucro Líquido]*5%)</f>
        <v>15620250</v>
      </c>
      <c r="Q76" s="13">
        <f>IF(Tabela3[Lucro Líquido]&lt;0,0,Tabela3[Lucro Líquido]-Tabela3[Reserva Legal])</f>
        <v>296784750</v>
      </c>
      <c r="R76" s="13">
        <f>Tabela3[[#This Row],[Lucro Distribuir]]*Tabela3[%Div]</f>
        <v>74196187.5</v>
      </c>
      <c r="S76" s="56">
        <f>SUMPRODUCT(N(Tabela3[Nome]=Tabela3[[#This Row],[Nome]]),Tabela3[Ações])</f>
        <v>3922515918</v>
      </c>
      <c r="T76" s="6">
        <f>Tabela3[Capital Social]/Tabela3[Total Ações]</f>
        <v>0.33096880007358587</v>
      </c>
      <c r="U76" s="80">
        <f>Tabela3[[#This Row],[Lucro Líquido]]/Tabela3[[#This Row],[Total Ações]]</f>
        <v>7.964403625907733E-2</v>
      </c>
      <c r="V7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1.8915458611530867E-2</v>
      </c>
      <c r="W7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1.8915458611530867E-2</v>
      </c>
      <c r="Z76" s="13">
        <f>Tabela3[Div Base]*Tabela3[Ações]</f>
        <v>74196187.5</v>
      </c>
      <c r="AA76" s="13">
        <f>SUMPRODUCT(N(Tabela3[Nome]=Tabela3[[#This Row],[Nome]]),Tabela3[Div Base]*Tabela3[Ações])</f>
        <v>74196187.5</v>
      </c>
      <c r="AB76" s="95">
        <f>Tabela3[Patrimônio Líquido]/Tabela3[Total Ações]</f>
        <v>0.60535993980381853</v>
      </c>
      <c r="AC76" s="48">
        <f>MAX(Tabela3[[#This Row],[Cotação 1]:[Cotação 4]])</f>
        <v>1.19</v>
      </c>
      <c r="AD76" s="44">
        <f>Tabela3[Cotação]/Tabela3[VPA]</f>
        <v>1.9657726284062473</v>
      </c>
      <c r="AE76" s="40">
        <f>IF(Tabela3[[#This Row],[Lucro/Ação]]&gt;0,Tabela3[[#This Row],[Cotação]]/(Tabela3[[#This Row],[Lucro/Ação]]/Tabela3[Ref]*4),0)</f>
        <v>11.206112119892447</v>
      </c>
      <c r="AF76" s="91" t="e">
        <f>IF(Tabela3[Div. Mínimo]=0,0,Tabela3[Lucro Distribuir]*#REF!/Tabela3[Total Ações])</f>
        <v>#REF!</v>
      </c>
      <c r="AG76" s="80">
        <f>Tabela3[Lucro Distribuir]/Tabela3[Total Ações]</f>
        <v>7.5661834446123469E-2</v>
      </c>
      <c r="AH7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1.8915458611530867E-2</v>
      </c>
      <c r="AI76" s="14" t="str">
        <f>IF(AND(Tabela3[% A.A.]&gt;=7%,SUMPRODUCT(N(Tabela3[Nome]=Tabela3[[#This Row],[Nome]]),Tabela3[PL])&gt;0),"Sim","Não")</f>
        <v>Não</v>
      </c>
      <c r="AJ76" s="42">
        <f>IF(Tabela3[Cotação]&gt;0,Tabela3[[#This Row],[Lucro]]/Tabela3[[#This Row],[Cotação]],0)</f>
        <v>1.5895343371034341E-2</v>
      </c>
      <c r="AK76" s="42">
        <f>((1+Tabela3[[#This Row],[% Yield]])^(1/(3*Tabela3[[#This Row],[Ref]])))^(12)-1</f>
        <v>2.124974123355261E-2</v>
      </c>
      <c r="AL76" s="14">
        <f>IF(Tabela3[Cotação]&gt;0,($AS$1/Tabela3[[#This Row],[Cotação]]-MOD($AS$1/Tabela3[[#This Row],[Cotação]],100)),)</f>
        <v>800</v>
      </c>
      <c r="AM76" s="17">
        <f>Tabela3[[#This Row],[Ativos]]*Tabela3[Lucro]</f>
        <v>15.132366889224693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1.19</v>
      </c>
      <c r="AP76" s="7">
        <f>SUMPRODUCT(N(Tabela176[Código]=Tabela3[[#This Row],[PAPEL]]),Tabela176[Fechamento])</f>
        <v>0</v>
      </c>
      <c r="AQ76" s="7">
        <f>SUMPRODUCT(N(Tabela1768[Código]=Tabela3[[#This Row],[PAPEL]]),Tabela1768[Fechamento])</f>
        <v>0</v>
      </c>
    </row>
    <row r="77" spans="1:43" hidden="1" x14ac:dyDescent="0.2">
      <c r="A77" s="3" t="s">
        <v>351</v>
      </c>
      <c r="B77" s="58" t="s">
        <v>358</v>
      </c>
      <c r="C77" s="85" t="str">
        <f>LEFT(Tabela3[PAPEL],LEN(Tabela3[PAPEL])-(LEN(Tabela3[PAPEL])-4))</f>
        <v>CCPR</v>
      </c>
      <c r="D77" s="16">
        <v>3</v>
      </c>
      <c r="E77" s="5">
        <v>330695395.88999999</v>
      </c>
      <c r="F77" s="56">
        <v>83000000</v>
      </c>
      <c r="G77" s="88">
        <v>0.25</v>
      </c>
      <c r="H77" s="16"/>
      <c r="I77" s="18"/>
      <c r="K77" s="89"/>
      <c r="L77" s="89"/>
      <c r="M77" s="5">
        <v>709804000</v>
      </c>
      <c r="N77" s="5">
        <v>124200000</v>
      </c>
      <c r="O77" s="5">
        <f>Tabela3[[#This Row],[Capital Social]]*20%</f>
        <v>66139079.178000003</v>
      </c>
      <c r="P77" s="5">
        <f>IF((Tabela3[Lucro Líquido]*5%)&gt;Tabela3[Teto R. Legal],Tabela3[Teto R. Legal],Tabela3[Lucro Líquido]*5%)</f>
        <v>6210000</v>
      </c>
      <c r="Q77" s="5">
        <f>IF(Tabela3[Lucro Líquido]&lt;0,0,Tabela3[Lucro Líquido]-Tabela3[Reserva Legal])</f>
        <v>117990000</v>
      </c>
      <c r="R77" s="5">
        <f>Tabela3[[#This Row],[Lucro Distribuir]]*Tabela3[%Div]</f>
        <v>29497500</v>
      </c>
      <c r="S77" s="56">
        <f>SUMPRODUCT(N(Tabela3[Nome]=Tabela3[[#This Row],[Nome]]),Tabela3[Ações])</f>
        <v>83000000</v>
      </c>
      <c r="T77" s="5">
        <f>Tabela3[Capital Social]/Tabela3[Total Ações]</f>
        <v>3.9842818781927711</v>
      </c>
      <c r="U77" s="79">
        <f>Tabela3[[#This Row],[Lucro Líquido]]/Tabela3[[#This Row],[Total Ações]]</f>
        <v>1.4963855421686747</v>
      </c>
      <c r="V77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0.35539156626506024</v>
      </c>
      <c r="W77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7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0.35539156626506024</v>
      </c>
      <c r="Z77" s="5">
        <f>Tabela3[Div Base]*Tabela3[Ações]</f>
        <v>29497500</v>
      </c>
      <c r="AA77" s="5">
        <f>SUMPRODUCT(N(Tabela3[Nome]=Tabela3[[#This Row],[Nome]]),Tabela3[Div Base]*Tabela3[Ações])</f>
        <v>29497500</v>
      </c>
      <c r="AB77" s="5">
        <f>Tabela3[Patrimônio Líquido]/Tabela3[Total Ações]</f>
        <v>8.5518554216867475</v>
      </c>
      <c r="AC77" s="52">
        <f>MAX(Tabela3[[#This Row],[Cotação 1]:[Cotação 4]])</f>
        <v>19.3</v>
      </c>
      <c r="AD77" s="53">
        <f>Tabela3[Cotação]/Tabela3[VPA]</f>
        <v>2.2568201926165532</v>
      </c>
      <c r="AE77" s="37">
        <f>IF(Tabela3[[#This Row],[Lucro/Ação]]&gt;0,Tabela3[[#This Row],[Cotação]]/(Tabela3[[#This Row],[Lucro/Ação]]/Tabela3[Ref]*4),0)</f>
        <v>9.6733091787439616</v>
      </c>
      <c r="AF77" s="37" t="e">
        <f>IF(Tabela3[Div. Mínimo]=0,0,Tabela3[Lucro Distribuir]*#REF!/Tabela3[Total Ações])</f>
        <v>#REF!</v>
      </c>
      <c r="AG77" s="79">
        <f>Tabela3[Lucro Distribuir]/Tabela3[Total Ações]</f>
        <v>1.421566265060241</v>
      </c>
      <c r="AH77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0.35539156626506024</v>
      </c>
      <c r="AI77" s="16" t="str">
        <f>IF(AND(Tabela3[% A.A.]&gt;=7%,SUMPRODUCT(N(Tabela3[Nome]=Tabela3[[#This Row],[Nome]]),Tabela3[PL])&gt;0),"Sim","Não")</f>
        <v>Não</v>
      </c>
      <c r="AJ77" s="22">
        <f>IF(Tabela3[Cotação]&gt;0,Tabela3[[#This Row],[Lucro]]/Tabela3[[#This Row],[Cotação]],0)</f>
        <v>1.8414070790935762E-2</v>
      </c>
      <c r="AK77" s="18">
        <f>((1+Tabela3[[#This Row],[% Yield]])^(1/(3*Tabela3[[#This Row],[Ref]])))^(12)-1</f>
        <v>2.4627139061895287E-2</v>
      </c>
      <c r="AL77" s="10">
        <f>IF(Tabela3[Cotação]&gt;0,($AS$1/Tabela3[[#This Row],[Cotação]]-MOD($AS$1/Tabela3[[#This Row],[Cotação]],100)),)</f>
        <v>0</v>
      </c>
      <c r="AM77" s="7">
        <f>Tabela3[[#This Row],[Ativos]]*Tabela3[Lucro]</f>
        <v>0</v>
      </c>
      <c r="AN77" s="47">
        <f>SUMPRODUCT(N(Tabela1[Código]=Tabela3[[#This Row],[PAPEL]]),Tabela1[Fechamento])</f>
        <v>0</v>
      </c>
      <c r="AO77" s="54">
        <f>SUMPRODUCT(N(Tabela17[Código]=Tabela3[[#This Row],[PAPEL]]),Tabela17[Fechamento])</f>
        <v>19.3</v>
      </c>
      <c r="AP77" s="7">
        <f>SUMPRODUCT(N(Tabela176[Código]=Tabela3[[#This Row],[PAPEL]]),Tabela176[Fechamento])</f>
        <v>0</v>
      </c>
      <c r="AQ77" s="7">
        <f>SUMPRODUCT(N(Tabela1768[Código]=Tabela3[[#This Row],[PAPEL]]),Tabela1768[Fechamento])</f>
        <v>0</v>
      </c>
    </row>
    <row r="78" spans="1:43" hidden="1" x14ac:dyDescent="0.2">
      <c r="A78" s="4" t="s">
        <v>684</v>
      </c>
      <c r="B78" s="57" t="s">
        <v>685</v>
      </c>
      <c r="C78" s="15" t="str">
        <f>LEFT(Tabela3[PAPEL],LEN(Tabela3[PAPEL])-(LEN(Tabela3[PAPEL])-4))</f>
        <v>CCXC</v>
      </c>
      <c r="D78" s="15">
        <v>3</v>
      </c>
      <c r="E78" s="6">
        <v>742186771.17999995</v>
      </c>
      <c r="F78" s="8">
        <v>170122934</v>
      </c>
      <c r="G78" s="88">
        <v>0.25</v>
      </c>
      <c r="H78" s="15"/>
      <c r="I78" s="19"/>
      <c r="J78" s="19"/>
      <c r="K78" s="90"/>
      <c r="L78" s="90"/>
      <c r="M78" s="96">
        <v>740069000</v>
      </c>
      <c r="N78" s="97">
        <v>-15716000</v>
      </c>
      <c r="O78" s="13">
        <f>Tabela3[[#This Row],[Capital Social]]*20%</f>
        <v>148437354.236</v>
      </c>
      <c r="P78" s="13">
        <f>IF((Tabela3[Lucro Líquido]*5%)&gt;Tabela3[Teto R. Legal],Tabela3[Teto R. Legal],Tabela3[Lucro Líquido]*5%)</f>
        <v>-785800</v>
      </c>
      <c r="Q78" s="13">
        <f>IF(Tabela3[Lucro Líquido]&lt;0,0,Tabela3[Lucro Líquido]-Tabela3[Reserva Legal])</f>
        <v>0</v>
      </c>
      <c r="R78" s="13">
        <f>Tabela3[[#This Row],[Lucro Distribuir]]*Tabela3[%Div]</f>
        <v>0</v>
      </c>
      <c r="S78" s="56">
        <f>SUMPRODUCT(N(Tabela3[Nome]=Tabela3[[#This Row],[Nome]]),Tabela3[Ações])</f>
        <v>170122934</v>
      </c>
      <c r="T78" s="6">
        <f>Tabela3[Capital Social]/Tabela3[Total Ações]</f>
        <v>4.3626497246984934</v>
      </c>
      <c r="U78" s="80">
        <f>Tabela3[[#This Row],[Lucro Líquido]]/Tabela3[[#This Row],[Total Ações]]</f>
        <v>-9.2380254857349214E-2</v>
      </c>
      <c r="V7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7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78" s="13">
        <f>Tabela3[Div Base]*Tabela3[Ações]</f>
        <v>0</v>
      </c>
      <c r="AA78" s="13">
        <f>SUMPRODUCT(N(Tabela3[Nome]=Tabela3[[#This Row],[Nome]]),Tabela3[Div Base]*Tabela3[Ações])</f>
        <v>0</v>
      </c>
      <c r="AB78" s="95">
        <f>Tabela3[Patrimônio Líquido]/Tabela3[Total Ações]</f>
        <v>4.3502012491743178</v>
      </c>
      <c r="AC78" s="48">
        <f>MAX(Tabela3[[#This Row],[Cotação 1]:[Cotação 4]])</f>
        <v>1.0900000000000001</v>
      </c>
      <c r="AD78" s="44">
        <f>Tabela3[Cotação]/Tabela3[VPA]</f>
        <v>0.25056312054686791</v>
      </c>
      <c r="AE78" s="40">
        <f>IF(Tabela3[[#This Row],[Lucro/Ação]]&gt;0,Tabela3[[#This Row],[Cotação]]/(Tabela3[[#This Row],[Lucro/Ação]]/Tabela3[Ref]*4),0)</f>
        <v>0</v>
      </c>
      <c r="AF78" s="91">
        <f>IF(Tabela3[Div. Mínimo]=0,0,Tabela3[Lucro Distribuir]*#REF!/Tabela3[Total Ações])</f>
        <v>0</v>
      </c>
      <c r="AG78" s="80">
        <f>Tabela3[Lucro Distribuir]/Tabela3[Total Ações]</f>
        <v>0</v>
      </c>
      <c r="AH7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78" s="14" t="str">
        <f>IF(AND(Tabela3[% A.A.]&gt;=7%,SUMPRODUCT(N(Tabela3[Nome]=Tabela3[[#This Row],[Nome]]),Tabela3[PL])&gt;0),"Sim","Não")</f>
        <v>Não</v>
      </c>
      <c r="AJ78" s="42">
        <f>IF(Tabela3[Cotação]&gt;0,Tabela3[[#This Row],[Lucro]]/Tabela3[[#This Row],[Cotação]],0)</f>
        <v>0</v>
      </c>
      <c r="AK78" s="42">
        <f>((1+Tabela3[[#This Row],[% Yield]])^(1/(3*Tabela3[[#This Row],[Ref]])))^(12)-1</f>
        <v>0</v>
      </c>
      <c r="AL78" s="14">
        <f>IF(Tabela3[Cotação]&gt;0,($AS$1/Tabela3[[#This Row],[Cotação]]-MOD($AS$1/Tabela3[[#This Row],[Cotação]],100)),)</f>
        <v>900</v>
      </c>
      <c r="AM78" s="17">
        <f>Tabela3[[#This Row],[Ativos]]*Tabela3[Lucro]</f>
        <v>0</v>
      </c>
      <c r="AN78" s="17">
        <f>SUMPRODUCT(N(Tabela1[Código]=Tabela3[[#This Row],[PAPEL]]),Tabela1[Fechamento])</f>
        <v>0</v>
      </c>
      <c r="AO78" s="17">
        <f>SUMPRODUCT(N(Tabela17[Código]=Tabela3[[#This Row],[PAPEL]]),Tabela17[Fechamento])</f>
        <v>0</v>
      </c>
      <c r="AP78" s="17">
        <f>SUMPRODUCT(N(Tabela176[Código]=Tabela3[[#This Row],[PAPEL]]),Tabela176[Fechamento])</f>
        <v>1.0900000000000001</v>
      </c>
      <c r="AQ78" s="17">
        <f>SUMPRODUCT(N(Tabela1768[Código]=Tabela3[[#This Row],[PAPEL]]),Tabela1768[Fechamento])</f>
        <v>0</v>
      </c>
    </row>
    <row r="79" spans="1:43" hidden="1" x14ac:dyDescent="0.2">
      <c r="A79" s="4" t="s">
        <v>12</v>
      </c>
      <c r="B79" s="57" t="s">
        <v>90</v>
      </c>
      <c r="C79" s="14" t="str">
        <f>LEFT(Tabela3[PAPEL],LEN(Tabela3[PAPEL])-(LEN(Tabela3[PAPEL])-4))</f>
        <v>CEBR</v>
      </c>
      <c r="D79" s="15">
        <v>3</v>
      </c>
      <c r="E79" s="6">
        <v>342056165.62</v>
      </c>
      <c r="F79" s="8">
        <v>4576432</v>
      </c>
      <c r="G79" s="83">
        <v>0.25</v>
      </c>
      <c r="H79" s="15"/>
      <c r="I79" s="19"/>
      <c r="J79" s="19"/>
      <c r="K79" s="90"/>
      <c r="L79" s="90"/>
      <c r="M79" s="92">
        <v>465994000</v>
      </c>
      <c r="N79" s="92">
        <v>17904000</v>
      </c>
      <c r="O79" s="6">
        <f>Tabela3[[#This Row],[Capital Social]]*20%</f>
        <v>68411233.123999998</v>
      </c>
      <c r="P79" s="6">
        <f>IF((Tabela3[Lucro Líquido]*5%)&gt;Tabela3[Teto R. Legal],Tabela3[Teto R. Legal],Tabela3[Lucro Líquido]*5%)</f>
        <v>895200</v>
      </c>
      <c r="Q79" s="92">
        <f>IF(Tabela3[Lucro Líquido]&lt;0,0,Tabela3[Lucro Líquido]-Tabela3[Reserva Legal])</f>
        <v>17008800</v>
      </c>
      <c r="R79" s="92">
        <f>Tabela3[[#This Row],[Lucro Distribuir]]*Tabela3[%Div]</f>
        <v>4252200</v>
      </c>
      <c r="S79" s="56">
        <f>SUMPRODUCT(N(Tabela3[Nome]=Tabela3[[#This Row],[Nome]]),Tabela3[Ações])</f>
        <v>9183458</v>
      </c>
      <c r="T79" s="6">
        <f>Tabela3[Capital Social]/Tabela3[Total Ações]</f>
        <v>37.246989709105222</v>
      </c>
      <c r="U79" s="80">
        <f>Tabela3[[#This Row],[Lucro Líquido]]/Tabela3[[#This Row],[Total Ações]]</f>
        <v>1.9495924084369962</v>
      </c>
      <c r="V7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W7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7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7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79" s="6">
        <f>Tabela3[Div Base]*Tabela3[Ações]</f>
        <v>0</v>
      </c>
      <c r="AA79" s="6">
        <f>SUMPRODUCT(N(Tabela3[Nome]=Tabela3[[#This Row],[Nome]]),Tabela3[Div Base]*Tabela3[Ações])</f>
        <v>4890537.1982034566</v>
      </c>
      <c r="AB79" s="92">
        <f>Tabela3[Patrimônio Líquido]/Tabela3[Total Ações]</f>
        <v>50.742759426786726</v>
      </c>
      <c r="AC79" s="48">
        <f>MAX(Tabela3[[#This Row],[Cotação 1]:[Cotação 4]])</f>
        <v>16</v>
      </c>
      <c r="AD79" s="44">
        <f>Tabela3[Cotação]/Tabela3[VPA]</f>
        <v>0.31531592252260759</v>
      </c>
      <c r="AE79" s="40">
        <f>IF(Tabela3[[#This Row],[Lucro/Ação]]&gt;0,Tabela3[[#This Row],[Cotação]]/(Tabela3[[#This Row],[Lucro/Ação]]/Tabela3[Ref]*4),0)</f>
        <v>6.1551327077747988</v>
      </c>
      <c r="AF79" s="40" t="e">
        <f>IF(Tabela3[Div. Mínimo]=0,0,Tabela3[Lucro Distribuir]*#REF!/Tabela3[Total Ações])</f>
        <v>#REF!</v>
      </c>
      <c r="AG79" s="80">
        <f>Tabela3[Lucro Distribuir]/Tabela3[Total Ações]</f>
        <v>1.8521127880151464</v>
      </c>
      <c r="AH7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79" s="15" t="str">
        <f>IF(AND(Tabela3[% A.A.]&gt;=7%,SUMPRODUCT(N(Tabela3[Nome]=Tabela3[[#This Row],[Nome]]),Tabela3[PL])&gt;0),"Sim","Não")</f>
        <v>Não</v>
      </c>
      <c r="AJ79" s="42">
        <f>IF(Tabela3[Cotação]&gt;0,Tabela3[[#This Row],[Lucro]]/Tabela3[[#This Row],[Cotação]],0)</f>
        <v>0</v>
      </c>
      <c r="AK79" s="19">
        <f>((1+Tabela3[[#This Row],[% Yield]])^(1/(3*Tabela3[[#This Row],[Ref]])))^(12)-1</f>
        <v>0</v>
      </c>
      <c r="AL79" s="14">
        <f>IF(Tabela3[Cotação]&gt;0,($AS$1/Tabela3[[#This Row],[Cotação]]-MOD($AS$1/Tabela3[[#This Row],[Cotação]],100)),)</f>
        <v>0</v>
      </c>
      <c r="AM79" s="17">
        <f>Tabela3[[#This Row],[Ativos]]*Tabela3[Lucro]</f>
        <v>0</v>
      </c>
      <c r="AN79" s="5">
        <f>SUMPRODUCT(N(Tabela1[Código]=Tabela3[[#This Row],[PAPEL]]),Tabela1[Fechamento])</f>
        <v>16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  <c r="AQ79" s="7">
        <f>SUMPRODUCT(N(Tabela1768[Código]=Tabela3[[#This Row],[PAPEL]]),Tabela1768[Fechamento])</f>
        <v>0</v>
      </c>
    </row>
    <row r="80" spans="1:43" x14ac:dyDescent="0.2">
      <c r="A80" s="4" t="s">
        <v>14</v>
      </c>
      <c r="B80" s="57" t="s">
        <v>226</v>
      </c>
      <c r="C80" s="15" t="str">
        <f>LEFT(Tabela3[PAPEL],LEN(Tabela3[PAPEL])-(LEN(Tabela3[PAPEL])-4))</f>
        <v>BRGE</v>
      </c>
      <c r="D80" s="16">
        <v>3</v>
      </c>
      <c r="E80" s="5">
        <v>303375520</v>
      </c>
      <c r="F80" s="56">
        <v>219863</v>
      </c>
      <c r="G80" s="83">
        <v>0.25</v>
      </c>
      <c r="H80" s="16"/>
      <c r="I80" s="18">
        <v>7.0000000000000007E-2</v>
      </c>
      <c r="K80" s="89"/>
      <c r="L80" s="89"/>
      <c r="M80" s="5">
        <v>843867000</v>
      </c>
      <c r="N80" s="6">
        <v>34502000</v>
      </c>
      <c r="O80" s="5">
        <f>Tabela3[[#This Row],[Capital Social]]*20%</f>
        <v>60675104</v>
      </c>
      <c r="P80" s="5">
        <f>IF((Tabela3[Lucro Líquido]*5%)&gt;Tabela3[Teto R. Legal],Tabela3[Teto R. Legal],Tabela3[Lucro Líquido]*5%)</f>
        <v>1725100</v>
      </c>
      <c r="Q80" s="5">
        <f>IF(Tabela3[Lucro Líquido]&lt;0,0,Tabela3[Lucro Líquido]-Tabela3[Reserva Legal])</f>
        <v>32776900</v>
      </c>
      <c r="R80" s="5">
        <f>Tabela3[[#This Row],[Lucro Distribuir]]*Tabela3[%Div]</f>
        <v>8194225</v>
      </c>
      <c r="S80" s="21">
        <f>SUMPRODUCT(N(Tabela3[Nome]=Tabela3[[#This Row],[Nome]]),Tabela3[Ações])</f>
        <v>73646388</v>
      </c>
      <c r="T80" s="5">
        <f>Tabela3[Capital Social]/Tabela3[Total Ações]</f>
        <v>4.1193536877871049</v>
      </c>
      <c r="U80" s="79">
        <f>Tabela3[[#This Row],[Lucro Líquido]]/Tabela3[[#This Row],[Total Ações]]</f>
        <v>0.46848190300928266</v>
      </c>
      <c r="V80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80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0.28835475814509737</v>
      </c>
      <c r="Y80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0.28835475814509737</v>
      </c>
      <c r="Z80" s="5">
        <f>Tabela3[Div Base]*Tabela3[Ações]</f>
        <v>63398.542190055545</v>
      </c>
      <c r="AA80" s="5">
        <f>SUMPRODUCT(N(Tabela3[Nome]=Tabela3[[#This Row],[Nome]]),Tabela3[Div Base]*Tabela3[Ações])</f>
        <v>8194224.9999999991</v>
      </c>
      <c r="AB80" s="5">
        <f>Tabela3[Patrimônio Líquido]/Tabela3[Total Ações]</f>
        <v>11.45836235716</v>
      </c>
      <c r="AC80" s="52">
        <f>MAX(Tabela3[[#This Row],[Cotação 1]:[Cotação 4]])</f>
        <v>3.6</v>
      </c>
      <c r="AD80" s="53">
        <f>Tabela3[Cotação]/Tabela3[VPA]</f>
        <v>0.31418102236489875</v>
      </c>
      <c r="AE80" s="37">
        <f>IF(Tabela3[[#This Row],[Lucro/Ação]]&gt;0,Tabela3[[#This Row],[Cotação]]/(Tabela3[[#This Row],[Lucro/Ação]]/Tabela3[Ref]*4),0)</f>
        <v>5.7632962610863148</v>
      </c>
      <c r="AF80" s="37" t="e">
        <f>IF(Tabela3[Div. Mínimo]=0,0,Tabela3[Lucro Distribuir]*#REF!/Tabela3[Total Ações])</f>
        <v>#REF!</v>
      </c>
      <c r="AG80" s="79">
        <f>Tabela3[Lucro Distribuir]/Tabela3[Total Ações]</f>
        <v>0.44505780785881854</v>
      </c>
      <c r="AH80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0.28835475814509737</v>
      </c>
      <c r="AI80" s="16" t="str">
        <f>IF(AND(Tabela3[% A.A.]&gt;=7%,SUMPRODUCT(N(Tabela3[Nome]=Tabela3[[#This Row],[Nome]]),Tabela3[PL])&gt;0),"Sim","Não")</f>
        <v>Sim</v>
      </c>
      <c r="AJ80" s="22">
        <f>IF(Tabela3[Cotação]&gt;0,Tabela3[[#This Row],[Lucro]]/Tabela3[[#This Row],[Cotação]],0)</f>
        <v>8.0098543929193716E-2</v>
      </c>
      <c r="AK80" s="18">
        <f>((1+Tabela3[[#This Row],[% Yield]])^(1/(3*Tabela3[[#This Row],[Ref]])))^(12)-1</f>
        <v>0.10819922169540064</v>
      </c>
      <c r="AL80" s="10">
        <f>IF(Tabela3[Cotação]&gt;0,($AS$1/Tabela3[[#This Row],[Cotação]]-MOD($AS$1/Tabela3[[#This Row],[Cotação]],100)),)</f>
        <v>200</v>
      </c>
      <c r="AM80" s="7">
        <f>Tabela3[[#This Row],[Ativos]]*Tabela3[Lucro]</f>
        <v>57.67095162901947</v>
      </c>
      <c r="AN80" s="5">
        <f>SUMPRODUCT(N(Tabela1[Código]=Tabela3[[#This Row],[PAPEL]]),Tabela1[Fechamento])</f>
        <v>3.6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  <c r="AQ80" s="7">
        <f>SUMPRODUCT(N(Tabela1768[Código]=Tabela3[[#This Row],[PAPEL]]),Tabela1768[Fechamento])</f>
        <v>0</v>
      </c>
    </row>
    <row r="81" spans="1:43" hidden="1" x14ac:dyDescent="0.2">
      <c r="A81" s="4" t="s">
        <v>12</v>
      </c>
      <c r="B81" s="57" t="s">
        <v>69</v>
      </c>
      <c r="C81" s="14" t="str">
        <f>LEFT(Tabela3[PAPEL],LEN(Tabela3[PAPEL])-(LEN(Tabela3[PAPEL])-4))</f>
        <v>CEBR</v>
      </c>
      <c r="D81" s="15">
        <v>3</v>
      </c>
      <c r="E81" s="6">
        <v>342056165.62</v>
      </c>
      <c r="F81" s="8">
        <v>3294024</v>
      </c>
      <c r="G81" s="83">
        <v>0.25</v>
      </c>
      <c r="H81" s="19"/>
      <c r="I81" s="19"/>
      <c r="J81" s="19"/>
      <c r="K81" s="90"/>
      <c r="L81" s="90"/>
      <c r="M81" s="92">
        <v>465994000</v>
      </c>
      <c r="N81" s="92">
        <v>17904000</v>
      </c>
      <c r="O81" s="6">
        <f>Tabela3[[#This Row],[Capital Social]]*20%</f>
        <v>68411233.123999998</v>
      </c>
      <c r="P81" s="6">
        <f>IF((Tabela3[Lucro Líquido]*5%)&gt;Tabela3[Teto R. Legal],Tabela3[Teto R. Legal],Tabela3[Lucro Líquido]*5%)</f>
        <v>895200</v>
      </c>
      <c r="Q81" s="92">
        <f>IF(Tabela3[Lucro Líquido]&lt;0,0,Tabela3[Lucro Líquido]-Tabela3[Reserva Legal])</f>
        <v>17008800</v>
      </c>
      <c r="R81" s="92">
        <f>Tabela3[[#This Row],[Lucro Distribuir]]*Tabela3[%Div]</f>
        <v>4252200</v>
      </c>
      <c r="S81" s="56">
        <f>SUMPRODUCT(N(Tabela3[Nome]=Tabela3[[#This Row],[Nome]]),Tabela3[Ações])</f>
        <v>9183458</v>
      </c>
      <c r="T81" s="6">
        <f>Tabela3[Capital Social]/Tabela3[Total Ações]</f>
        <v>37.246989709105222</v>
      </c>
      <c r="U81" s="80">
        <f>Tabela3[[#This Row],[Lucro Líquido]]/Tabela3[[#This Row],[Total Ações]]</f>
        <v>1.9495924084369962</v>
      </c>
      <c r="V8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W8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8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81" s="6">
        <f>Tabela3[Div Base]*Tabela3[Ações]</f>
        <v>0</v>
      </c>
      <c r="AA81" s="6">
        <f>SUMPRODUCT(N(Tabela3[Nome]=Tabela3[[#This Row],[Nome]]),Tabela3[Div Base]*Tabela3[Ações])</f>
        <v>4890537.1982034566</v>
      </c>
      <c r="AB81" s="92">
        <f>Tabela3[Patrimônio Líquido]/Tabela3[Total Ações]</f>
        <v>50.742759426786726</v>
      </c>
      <c r="AC81" s="48">
        <f>MAX(Tabela3[[#This Row],[Cotação 1]:[Cotação 4]])</f>
        <v>17.600000000000001</v>
      </c>
      <c r="AD81" s="44">
        <f>Tabela3[Cotação]/Tabela3[VPA]</f>
        <v>0.34684751477486842</v>
      </c>
      <c r="AE81" s="40">
        <f>IF(Tabela3[[#This Row],[Lucro/Ação]]&gt;0,Tabela3[[#This Row],[Cotação]]/(Tabela3[[#This Row],[Lucro/Ação]]/Tabela3[Ref]*4),0)</f>
        <v>6.7706459785522792</v>
      </c>
      <c r="AF81" s="77" t="e">
        <f>IF(Tabela3[Div. Mínimo]=0,0,Tabela3[Lucro Distribuir]*#REF!/Tabela3[Total Ações])</f>
        <v>#REF!</v>
      </c>
      <c r="AG81" s="80">
        <f>Tabela3[Lucro Distribuir]/Tabela3[Total Ações]</f>
        <v>1.8521127880151464</v>
      </c>
      <c r="AH8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81" s="14" t="str">
        <f>IF(AND(Tabela3[% A.A.]&gt;=7%,SUMPRODUCT(N(Tabela3[Nome]=Tabela3[[#This Row],[Nome]]),Tabela3[PL])&gt;0),"Sim","Não")</f>
        <v>Não</v>
      </c>
      <c r="AJ81" s="42">
        <f>IF(Tabela3[Cotação]&gt;0,Tabela3[[#This Row],[Lucro]]/Tabela3[[#This Row],[Cotação]],0)</f>
        <v>0</v>
      </c>
      <c r="AK81" s="19">
        <f>((1+Tabela3[[#This Row],[% Yield]])^(1/(3*Tabela3[[#This Row],[Ref]])))^(12)-1</f>
        <v>0</v>
      </c>
      <c r="AL81" s="14">
        <f>IF(Tabela3[Cotação]&gt;0,($AS$1/Tabela3[[#This Row],[Cotação]]-MOD($AS$1/Tabela3[[#This Row],[Cotação]],100)),)</f>
        <v>0</v>
      </c>
      <c r="AM81" s="17">
        <f>Tabela3[[#This Row],[Ativos]]*Tabela3[Lucro]</f>
        <v>0</v>
      </c>
      <c r="AN81" s="5">
        <f>SUMPRODUCT(N(Tabela1[Código]=Tabela3[[#This Row],[PAPEL]]),Tabela1[Fechamento])</f>
        <v>17.600000000000001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  <c r="AQ81" s="7">
        <f>SUMPRODUCT(N(Tabela1768[Código]=Tabela3[[#This Row],[PAPEL]]),Tabela1768[Fechamento])</f>
        <v>0</v>
      </c>
    </row>
    <row r="82" spans="1:43" hidden="1" x14ac:dyDescent="0.2">
      <c r="A82" s="4" t="s">
        <v>12</v>
      </c>
      <c r="B82" s="57" t="s">
        <v>88</v>
      </c>
      <c r="C82" s="14" t="str">
        <f>LEFT(Tabela3[PAPEL],LEN(Tabela3[PAPEL])-(LEN(Tabela3[PAPEL])-4))</f>
        <v>CEEB</v>
      </c>
      <c r="D82" s="15">
        <v>3</v>
      </c>
      <c r="E82" s="6">
        <v>542163250.52999997</v>
      </c>
      <c r="F82" s="8">
        <v>109304516</v>
      </c>
      <c r="G82" s="88">
        <v>0.25</v>
      </c>
      <c r="H82" s="15"/>
      <c r="I82" s="19"/>
      <c r="J82" s="19"/>
      <c r="K82" s="90"/>
      <c r="L82" s="90"/>
      <c r="M82" s="92">
        <v>2778571000</v>
      </c>
      <c r="N82" s="92">
        <v>434008000</v>
      </c>
      <c r="O82" s="6">
        <f>Tabela3[[#This Row],[Capital Social]]*20%</f>
        <v>108432650.10600001</v>
      </c>
      <c r="P82" s="6">
        <f>IF((Tabela3[Lucro Líquido]*5%)&gt;Tabela3[Teto R. Legal],Tabela3[Teto R. Legal],Tabela3[Lucro Líquido]*5%)</f>
        <v>21700400</v>
      </c>
      <c r="Q82" s="92">
        <f>IF(Tabela3[Lucro Líquido]&lt;0,0,Tabela3[Lucro Líquido]-Tabela3[Reserva Legal])</f>
        <v>412307600</v>
      </c>
      <c r="R82" s="92">
        <f>Tabela3[[#This Row],[Lucro Distribuir]]*Tabela3[%Div]</f>
        <v>103076900</v>
      </c>
      <c r="S82" s="56">
        <f>SUMPRODUCT(N(Tabela3[Nome]=Tabela3[[#This Row],[Nome]]),Tabela3[Ações])</f>
        <v>188177338</v>
      </c>
      <c r="T82" s="6">
        <f>Tabela3[Capital Social]/Tabela3[Total Ações]</f>
        <v>2.8811293447566997</v>
      </c>
      <c r="U82" s="80">
        <f>Tabela3[[#This Row],[Lucro Líquido]]/Tabela3[[#This Row],[Total Ações]]</f>
        <v>2.3063776149283184</v>
      </c>
      <c r="V8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0.53072164131039024</v>
      </c>
      <c r="W8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0.5778806851361471</v>
      </c>
      <c r="Y8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0.53072164131039024</v>
      </c>
      <c r="Z82" s="6">
        <f>Tabela3[Div Base]*Tabela3[Ações]</f>
        <v>58010272.134157814</v>
      </c>
      <c r="AA82" s="6">
        <f>SUMPRODUCT(N(Tabela3[Nome]=Tabela3[[#This Row],[Nome]]),Tabela3[Div Base]*Tabela3[Ações])</f>
        <v>103017775.26084489</v>
      </c>
      <c r="AB82" s="92">
        <f>Tabela3[Patrimônio Líquido]/Tabela3[Total Ações]</f>
        <v>14.765704677999006</v>
      </c>
      <c r="AC82" s="48">
        <f>MAX(Tabela3[[#This Row],[Cotação 1]:[Cotação 4]])</f>
        <v>30</v>
      </c>
      <c r="AD82" s="44">
        <f>Tabela3[Cotação]/Tabela3[VPA]</f>
        <v>2.0317350681339437</v>
      </c>
      <c r="AE82" s="40">
        <f>IF(Tabela3[[#This Row],[Lucro/Ação]]&gt;0,Tabela3[[#This Row],[Cotação]]/(Tabela3[[#This Row],[Lucro/Ação]]/Tabela3[Ref]*4),0)</f>
        <v>9.75555774317524</v>
      </c>
      <c r="AF82" s="40" t="e">
        <f>IF(Tabela3[Div. Mínimo]=0,0,Tabela3[Lucro Distribuir]*#REF!/Tabela3[Total Ações])</f>
        <v>#REF!</v>
      </c>
      <c r="AG82" s="80">
        <f>Tabela3[Lucro Distribuir]/Tabela3[Total Ações]</f>
        <v>2.1910587341819023</v>
      </c>
      <c r="AH8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0.53072164131039024</v>
      </c>
      <c r="AI82" s="15" t="str">
        <f>IF(AND(Tabela3[% A.A.]&gt;=7%,SUMPRODUCT(N(Tabela3[Nome]=Tabela3[[#This Row],[Nome]]),Tabela3[PL])&gt;0),"Sim","Não")</f>
        <v>Não</v>
      </c>
      <c r="AJ82" s="42">
        <f>IF(Tabela3[Cotação]&gt;0,Tabela3[[#This Row],[Lucro]]/Tabela3[[#This Row],[Cotação]],0)</f>
        <v>1.7690721377013007E-2</v>
      </c>
      <c r="AK82" s="19">
        <f>((1+Tabela3[[#This Row],[% Yield]])^(1/(3*Tabela3[[#This Row],[Ref]])))^(12)-1</f>
        <v>2.3656904118256827E-2</v>
      </c>
      <c r="AL82" s="14">
        <f>IF(Tabela3[Cotação]&gt;0,($AS$1/Tabela3[[#This Row],[Cotação]]-MOD($AS$1/Tabela3[[#This Row],[Cotação]],100)),)</f>
        <v>0</v>
      </c>
      <c r="AM82" s="17">
        <f>Tabela3[[#This Row],[Ativos]]*Tabela3[Lucro]</f>
        <v>0</v>
      </c>
      <c r="AN82" s="5">
        <f>SUMPRODUCT(N(Tabela1[Código]=Tabela3[[#This Row],[PAPEL]]),Tabela1[Fechamento])</f>
        <v>30</v>
      </c>
      <c r="AO82" s="5">
        <f>SUMPRODUCT(N(Tabela17[Código]=Tabela3[[#This Row],[PAPEL]]),Tabela17[Fechamento])</f>
        <v>0</v>
      </c>
      <c r="AP82" s="7">
        <f>SUMPRODUCT(N(Tabela176[Código]=Tabela3[[#This Row],[PAPEL]]),Tabela176[Fechamento])</f>
        <v>0</v>
      </c>
      <c r="AQ82" s="7">
        <f>SUMPRODUCT(N(Tabela1768[Código]=Tabela3[[#This Row],[PAPEL]]),Tabela1768[Fechamento])</f>
        <v>0</v>
      </c>
    </row>
    <row r="83" spans="1:43" hidden="1" x14ac:dyDescent="0.2">
      <c r="A83" s="4" t="s">
        <v>12</v>
      </c>
      <c r="B83" s="57" t="s">
        <v>89</v>
      </c>
      <c r="C83" s="14" t="str">
        <f>LEFT(Tabela3[PAPEL],LEN(Tabela3[PAPEL])-(LEN(Tabela3[PAPEL])-4))</f>
        <v>CEEB</v>
      </c>
      <c r="D83" s="15">
        <v>3</v>
      </c>
      <c r="E83" s="6">
        <v>542163250.52999997</v>
      </c>
      <c r="F83" s="8">
        <v>19557556</v>
      </c>
      <c r="G83" s="83">
        <v>0.25</v>
      </c>
      <c r="H83" s="15"/>
      <c r="I83" s="19">
        <v>0.1</v>
      </c>
      <c r="J83" s="19"/>
      <c r="K83" s="90"/>
      <c r="L83" s="90"/>
      <c r="M83" s="92">
        <v>2778571000</v>
      </c>
      <c r="N83" s="92">
        <v>434008000</v>
      </c>
      <c r="O83" s="6">
        <f>Tabela3[[#This Row],[Capital Social]]*20%</f>
        <v>108432650.10600001</v>
      </c>
      <c r="P83" s="6">
        <f>IF((Tabela3[Lucro Líquido]*5%)&gt;Tabela3[Teto R. Legal],Tabela3[Teto R. Legal],Tabela3[Lucro Líquido]*5%)</f>
        <v>21700400</v>
      </c>
      <c r="Q83" s="92">
        <f>IF(Tabela3[Lucro Líquido]&lt;0,0,Tabela3[Lucro Líquido]-Tabela3[Reserva Legal])</f>
        <v>412307600</v>
      </c>
      <c r="R83" s="92">
        <f>Tabela3[[#This Row],[Lucro Distribuir]]*Tabela3[%Div]</f>
        <v>103076900</v>
      </c>
      <c r="S83" s="56">
        <f>SUMPRODUCT(N(Tabela3[Nome]=Tabela3[[#This Row],[Nome]]),Tabela3[Ações])</f>
        <v>188177338</v>
      </c>
      <c r="T83" s="6">
        <f>Tabela3[Capital Social]/Tabela3[Total Ações]</f>
        <v>2.8811293447566997</v>
      </c>
      <c r="U83" s="80">
        <f>Tabela3[[#This Row],[Lucro Líquido]]/Tabela3[[#This Row],[Total Ações]]</f>
        <v>2.3063776149283184</v>
      </c>
      <c r="V8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0.53072164131039024</v>
      </c>
      <c r="W8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0.28811293447566999</v>
      </c>
      <c r="Y8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0.53072164131039024</v>
      </c>
      <c r="Z83" s="6">
        <f>Tabela3[Div Base]*Tabela3[Ações]</f>
        <v>10379618.22033987</v>
      </c>
      <c r="AA83" s="6">
        <f>SUMPRODUCT(N(Tabela3[Nome]=Tabela3[[#This Row],[Nome]]),Tabela3[Div Base]*Tabela3[Ações])</f>
        <v>103017775.26084489</v>
      </c>
      <c r="AB83" s="92">
        <f>Tabela3[Patrimônio Líquido]/Tabela3[Total Ações]</f>
        <v>14.765704677999006</v>
      </c>
      <c r="AC83" s="48">
        <f>MAX(Tabela3[[#This Row],[Cotação 1]:[Cotação 4]])</f>
        <v>32.01</v>
      </c>
      <c r="AD83" s="44">
        <f>Tabela3[Cotação]/Tabela3[VPA]</f>
        <v>2.1678613176989177</v>
      </c>
      <c r="AE83" s="40">
        <f>IF(Tabela3[[#This Row],[Lucro/Ação]]&gt;0,Tabela3[[#This Row],[Cotação]]/(Tabela3[[#This Row],[Lucro/Ação]]/Tabela3[Ref]*4),0)</f>
        <v>10.409180111967981</v>
      </c>
      <c r="AF83" s="40" t="e">
        <f>IF(Tabela3[Div. Mínimo]=0,0,Tabela3[Lucro Distribuir]*#REF!/Tabela3[Total Ações])</f>
        <v>#REF!</v>
      </c>
      <c r="AG83" s="80">
        <f>Tabela3[Lucro Distribuir]/Tabela3[Total Ações]</f>
        <v>2.1910587341819023</v>
      </c>
      <c r="AH8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0.53072164131039024</v>
      </c>
      <c r="AI83" s="15" t="str">
        <f>IF(AND(Tabela3[% A.A.]&gt;=7%,SUMPRODUCT(N(Tabela3[Nome]=Tabela3[[#This Row],[Nome]]),Tabela3[PL])&gt;0),"Sim","Não")</f>
        <v>Não</v>
      </c>
      <c r="AJ83" s="42">
        <f>IF(Tabela3[Cotação]&gt;0,Tabela3[[#This Row],[Lucro]]/Tabela3[[#This Row],[Cotação]],0)</f>
        <v>1.6579870081549212E-2</v>
      </c>
      <c r="AK83" s="19">
        <f>((1+Tabela3[[#This Row],[% Yield]])^(1/(3*Tabela3[[#This Row],[Ref]])))^(12)-1</f>
        <v>2.2167357044462044E-2</v>
      </c>
      <c r="AL83" s="14">
        <f>IF(Tabela3[Cotação]&gt;0,($AS$1/Tabela3[[#This Row],[Cotação]]-MOD($AS$1/Tabela3[[#This Row],[Cotação]],100)),)</f>
        <v>0</v>
      </c>
      <c r="AM83" s="17">
        <f>Tabela3[[#This Row],[Ativos]]*Tabela3[Lucro]</f>
        <v>0</v>
      </c>
      <c r="AN83" s="5">
        <f>SUMPRODUCT(N(Tabela1[Código]=Tabela3[[#This Row],[PAPEL]]),Tabela1[Fechamento])</f>
        <v>32.01</v>
      </c>
      <c r="AO83" s="5">
        <f>SUMPRODUCT(N(Tabela17[Código]=Tabela3[[#This Row],[PAPEL]]),Tabela17[Fechamento])</f>
        <v>0</v>
      </c>
      <c r="AP83" s="7">
        <f>SUMPRODUCT(N(Tabela176[Código]=Tabela3[[#This Row],[PAPEL]]),Tabela176[Fechamento])</f>
        <v>0</v>
      </c>
      <c r="AQ83" s="7">
        <f>SUMPRODUCT(N(Tabela1768[Código]=Tabela3[[#This Row],[PAPEL]]),Tabela1768[Fechamento])</f>
        <v>0</v>
      </c>
    </row>
    <row r="84" spans="1:43" hidden="1" x14ac:dyDescent="0.2">
      <c r="A84" s="4" t="s">
        <v>12</v>
      </c>
      <c r="B84" s="57" t="s">
        <v>496</v>
      </c>
      <c r="C84" s="14" t="str">
        <f>LEFT(Tabela3[PAPEL],LEN(Tabela3[PAPEL])-(LEN(Tabela3[PAPEL])-4))</f>
        <v>CEEB</v>
      </c>
      <c r="D84" s="15">
        <v>3</v>
      </c>
      <c r="E84" s="6">
        <v>542163250.52999997</v>
      </c>
      <c r="F84" s="8">
        <v>59315266</v>
      </c>
      <c r="G84" s="83">
        <v>0.25</v>
      </c>
      <c r="H84" s="15"/>
      <c r="I84" s="19"/>
      <c r="J84" s="19">
        <v>0.1</v>
      </c>
      <c r="K84" s="90"/>
      <c r="L84" s="90"/>
      <c r="M84" s="92">
        <v>2778571000</v>
      </c>
      <c r="N84" s="92">
        <v>434008000</v>
      </c>
      <c r="O84" s="6">
        <f>Tabela3[[#This Row],[Capital Social]]*20%</f>
        <v>108432650.10600001</v>
      </c>
      <c r="P84" s="6">
        <f>IF((Tabela3[Lucro Líquido]*5%)&gt;Tabela3[Teto R. Legal],Tabela3[Teto R. Legal],Tabela3[Lucro Líquido]*5%)</f>
        <v>21700400</v>
      </c>
      <c r="Q84" s="92">
        <f>IF(Tabela3[Lucro Líquido]&lt;0,0,Tabela3[Lucro Líquido]-Tabela3[Reserva Legal])</f>
        <v>412307600</v>
      </c>
      <c r="R84" s="92">
        <f>Tabela3[[#This Row],[Lucro Distribuir]]*Tabela3[%Div]</f>
        <v>103076900</v>
      </c>
      <c r="S84" s="56">
        <f>SUMPRODUCT(N(Tabela3[Nome]=Tabela3[[#This Row],[Nome]]),Tabela3[Ações])</f>
        <v>188177338</v>
      </c>
      <c r="T84" s="6">
        <f>Tabela3[Capital Social]/Tabela3[Total Ações]</f>
        <v>2.8811293447566997</v>
      </c>
      <c r="U84" s="80">
        <f>Tabela3[[#This Row],[Lucro Líquido]]/Tabela3[[#This Row],[Total Ações]]</f>
        <v>2.3063776149283184</v>
      </c>
      <c r="V8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0.58379380624116561</v>
      </c>
      <c r="W8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0.5778806851361471</v>
      </c>
      <c r="Y8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0.58379380624116561</v>
      </c>
      <c r="Z84" s="6">
        <f>Tabela3[Div Base]*Tabela3[Ações]</f>
        <v>34627884.9063472</v>
      </c>
      <c r="AA84" s="6">
        <f>SUMPRODUCT(N(Tabela3[Nome]=Tabela3[[#This Row],[Nome]]),Tabela3[Div Base]*Tabela3[Ações])</f>
        <v>103017775.26084489</v>
      </c>
      <c r="AB84" s="92">
        <f>Tabela3[Patrimônio Líquido]/Tabela3[Total Ações]</f>
        <v>14.765704677999006</v>
      </c>
      <c r="AC84" s="48">
        <f>MAX(Tabela3[[#This Row],[Cotação 1]:[Cotação 4]])</f>
        <v>0</v>
      </c>
      <c r="AD84" s="44">
        <f>Tabela3[Cotação]/Tabela3[VPA]</f>
        <v>0</v>
      </c>
      <c r="AE84" s="40">
        <f>IF(Tabela3[[#This Row],[Lucro/Ação]]&gt;0,Tabela3[[#This Row],[Cotação]]/(Tabela3[[#This Row],[Lucro/Ação]]/Tabela3[Ref]*4),0)</f>
        <v>0</v>
      </c>
      <c r="AF84" s="40" t="e">
        <f>IF(Tabela3[Div. Mínimo]=0,0,Tabela3[Lucro Distribuir]*#REF!/Tabela3[Total Ações])</f>
        <v>#REF!</v>
      </c>
      <c r="AG84" s="80">
        <f>Tabela3[Lucro Distribuir]/Tabela3[Total Ações]</f>
        <v>2.1910587341819023</v>
      </c>
      <c r="AH8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0.58379380624116561</v>
      </c>
      <c r="AI84" s="15" t="str">
        <f>IF(AND(Tabela3[% A.A.]&gt;=7%,SUMPRODUCT(N(Tabela3[Nome]=Tabela3[[#This Row],[Nome]]),Tabela3[PL])&gt;0),"Sim","Não")</f>
        <v>Não</v>
      </c>
      <c r="AJ84" s="42">
        <f>IF(Tabela3[Cotação]&gt;0,Tabela3[[#This Row],[Lucro]]/Tabela3[[#This Row],[Cotação]],0)</f>
        <v>0</v>
      </c>
      <c r="AK84" s="19">
        <f>((1+Tabela3[[#This Row],[% Yield]])^(1/(3*Tabela3[[#This Row],[Ref]])))^(12)-1</f>
        <v>0</v>
      </c>
      <c r="AL84" s="14">
        <f>IF(Tabela3[Cotação]&gt;0,($AS$1/Tabela3[[#This Row],[Cotação]]-MOD($AS$1/Tabela3[[#This Row],[Cotação]],100)),)</f>
        <v>0</v>
      </c>
      <c r="AM84" s="17">
        <f>Tabela3[[#This Row],[Ativos]]*Tabela3[Lucro]</f>
        <v>0</v>
      </c>
      <c r="AN84" s="5">
        <f>SUMPRODUCT(N(Tabela1[Código]=Tabela3[[#This Row],[PAPEL]]),Tabela1[Fechamento])</f>
        <v>0</v>
      </c>
      <c r="AO84" s="5">
        <f>SUMPRODUCT(N(Tabela17[Código]=Tabela3[[#This Row],[PAPEL]]),Tabela17[Fechamento])</f>
        <v>0</v>
      </c>
      <c r="AP84" s="7">
        <f>SUMPRODUCT(N(Tabela176[Código]=Tabela3[[#This Row],[PAPEL]]),Tabela176[Fechamento])</f>
        <v>0</v>
      </c>
      <c r="AQ84" s="7">
        <f>SUMPRODUCT(N(Tabela1768[Código]=Tabela3[[#This Row],[PAPEL]]),Tabela1768[Fechamento])</f>
        <v>0</v>
      </c>
    </row>
    <row r="85" spans="1:43" hidden="1" x14ac:dyDescent="0.2">
      <c r="A85" s="4" t="s">
        <v>12</v>
      </c>
      <c r="B85" s="57" t="s">
        <v>507</v>
      </c>
      <c r="C85" s="15" t="str">
        <f>LEFT(Tabela3[PAPEL],LEN(Tabela3[PAPEL])-(LEN(Tabela3[PAPEL])-4))</f>
        <v>CEED</v>
      </c>
      <c r="D85" s="15">
        <v>3</v>
      </c>
      <c r="E85" s="6">
        <v>23702962.149999999</v>
      </c>
      <c r="F85" s="8">
        <v>380669270</v>
      </c>
      <c r="G85" s="88">
        <v>0.5</v>
      </c>
      <c r="H85" s="15"/>
      <c r="I85" s="19"/>
      <c r="J85" s="19"/>
      <c r="K85" s="90"/>
      <c r="L85" s="90"/>
      <c r="M85" s="96">
        <v>435830000</v>
      </c>
      <c r="N85" s="97">
        <v>-212063000</v>
      </c>
      <c r="O85" s="13">
        <f>Tabela3[[#This Row],[Capital Social]]*20%</f>
        <v>4740592.43</v>
      </c>
      <c r="P85" s="13">
        <f>IF((Tabela3[Lucro Líquido]*5%)&gt;Tabela3[Teto R. Legal],Tabela3[Teto R. Legal],Tabela3[Lucro Líquido]*5%)</f>
        <v>-10603150</v>
      </c>
      <c r="Q85" s="13">
        <f>IF(Tabela3[Lucro Líquido]&lt;0,0,Tabela3[Lucro Líquido]-Tabela3[Reserva Legal])</f>
        <v>0</v>
      </c>
      <c r="R85" s="13">
        <f>Tabela3[[#This Row],[Lucro Distribuir]]*Tabela3[%Div]</f>
        <v>0</v>
      </c>
      <c r="S85" s="56">
        <f>SUMPRODUCT(N(Tabela3[Nome]=Tabela3[[#This Row],[Nome]]),Tabela3[Ações])</f>
        <v>387229828</v>
      </c>
      <c r="T85" s="6">
        <f>Tabela3[Capital Social]/Tabela3[Total Ações]</f>
        <v>6.1211612422584341E-2</v>
      </c>
      <c r="U85" s="80">
        <f>Tabela3[[#This Row],[Lucro Líquido]]/Tabela3[[#This Row],[Total Ações]]</f>
        <v>-0.54764118016239183</v>
      </c>
      <c r="V8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8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8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85" s="13">
        <f>Tabela3[Div Base]*Tabela3[Ações]</f>
        <v>0</v>
      </c>
      <c r="AA85" s="13">
        <f>SUMPRODUCT(N(Tabela3[Nome]=Tabela3[[#This Row],[Nome]]),Tabela3[Div Base]*Tabela3[Ações])</f>
        <v>40158.23335718851</v>
      </c>
      <c r="AB85" s="95">
        <f>Tabela3[Patrimônio Líquido]/Tabela3[Total Ações]</f>
        <v>1.1255073046697219</v>
      </c>
      <c r="AC85" s="48">
        <f>MAX(Tabela3[[#This Row],[Cotação 1]:[Cotação 4]])</f>
        <v>1</v>
      </c>
      <c r="AD85" s="44">
        <f>Tabela3[Cotação]/Tabela3[VPA]</f>
        <v>0.8884882362389005</v>
      </c>
      <c r="AE85" s="40">
        <f>IF(Tabela3[[#This Row],[Lucro/Ação]]&gt;0,Tabela3[[#This Row],[Cotação]]/(Tabela3[[#This Row],[Lucro/Ação]]/Tabela3[Ref]*4),0)</f>
        <v>0</v>
      </c>
      <c r="AF85" s="91">
        <f>IF(Tabela3[Div. Mínimo]=0,0,Tabela3[Lucro Distribuir]*#REF!/Tabela3[Total Ações])</f>
        <v>0</v>
      </c>
      <c r="AG85" s="80">
        <f>Tabela3[Lucro Distribuir]/Tabela3[Total Ações]</f>
        <v>0</v>
      </c>
      <c r="AH8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85" s="14" t="str">
        <f>IF(AND(Tabela3[% A.A.]&gt;=7%,SUMPRODUCT(N(Tabela3[Nome]=Tabela3[[#This Row],[Nome]]),Tabela3[PL])&gt;0),"Sim","Não")</f>
        <v>Não</v>
      </c>
      <c r="AJ85" s="42">
        <f>IF(Tabela3[Cotação]&gt;0,Tabela3[[#This Row],[Lucro]]/Tabela3[[#This Row],[Cotação]],0)</f>
        <v>0</v>
      </c>
      <c r="AK85" s="42">
        <f>((1+Tabela3[[#This Row],[% Yield]])^(1/(3*Tabela3[[#This Row],[Ref]])))^(12)-1</f>
        <v>0</v>
      </c>
      <c r="AL85" s="14">
        <f>IF(Tabela3[Cotação]&gt;0,($AS$1/Tabela3[[#This Row],[Cotação]]-MOD($AS$1/Tabela3[[#This Row],[Cotação]],100)),)</f>
        <v>1000</v>
      </c>
      <c r="AM85" s="17">
        <f>Tabela3[[#This Row],[Ativos]]*Tabela3[Lucro]</f>
        <v>0</v>
      </c>
      <c r="AN85" s="17">
        <f>SUMPRODUCT(N(Tabela1[Código]=Tabela3[[#This Row],[PAPEL]]),Tabela1[Fechamento])</f>
        <v>0</v>
      </c>
      <c r="AO85" s="17">
        <f>SUMPRODUCT(N(Tabela17[Código]=Tabela3[[#This Row],[PAPEL]]),Tabela17[Fechamento])</f>
        <v>1</v>
      </c>
      <c r="AP85" s="7">
        <f>SUMPRODUCT(N(Tabela176[Código]=Tabela3[[#This Row],[PAPEL]]),Tabela176[Fechamento])</f>
        <v>0</v>
      </c>
      <c r="AQ85" s="7">
        <f>SUMPRODUCT(N(Tabela1768[Código]=Tabela3[[#This Row],[PAPEL]]),Tabela1768[Fechamento])</f>
        <v>0</v>
      </c>
    </row>
    <row r="86" spans="1:43" hidden="1" x14ac:dyDescent="0.2">
      <c r="A86" s="4" t="s">
        <v>12</v>
      </c>
      <c r="B86" s="57" t="s">
        <v>508</v>
      </c>
      <c r="C86" s="15" t="str">
        <f>LEFT(Tabela3[PAPEL],LEN(Tabela3[PAPEL])-(LEN(Tabela3[PAPEL])-4))</f>
        <v>CEED</v>
      </c>
      <c r="D86" s="15">
        <v>3</v>
      </c>
      <c r="E86" s="6">
        <v>23702962.149999999</v>
      </c>
      <c r="F86" s="8">
        <v>6560558</v>
      </c>
      <c r="G86" s="88">
        <v>0.5</v>
      </c>
      <c r="H86" s="15"/>
      <c r="I86" s="19">
        <v>0.1</v>
      </c>
      <c r="J86" s="19"/>
      <c r="K86" s="90"/>
      <c r="L86" s="90"/>
      <c r="M86" s="96">
        <v>435830000</v>
      </c>
      <c r="N86" s="97">
        <v>-212063000</v>
      </c>
      <c r="O86" s="13">
        <f>Tabela3[[#This Row],[Capital Social]]*20%</f>
        <v>4740592.43</v>
      </c>
      <c r="P86" s="13">
        <f>IF((Tabela3[Lucro Líquido]*5%)&gt;Tabela3[Teto R. Legal],Tabela3[Teto R. Legal],Tabela3[Lucro Líquido]*5%)</f>
        <v>-10603150</v>
      </c>
      <c r="Q86" s="13">
        <f>IF(Tabela3[Lucro Líquido]&lt;0,0,Tabela3[Lucro Líquido]-Tabela3[Reserva Legal])</f>
        <v>0</v>
      </c>
      <c r="R86" s="13">
        <f>Tabela3[[#This Row],[Lucro Distribuir]]*Tabela3[%Div]</f>
        <v>0</v>
      </c>
      <c r="S86" s="56">
        <f>SUMPRODUCT(N(Tabela3[Nome]=Tabela3[[#This Row],[Nome]]),Tabela3[Ações])</f>
        <v>387229828</v>
      </c>
      <c r="T86" s="6">
        <f>Tabela3[Capital Social]/Tabela3[Total Ações]</f>
        <v>6.1211612422584341E-2</v>
      </c>
      <c r="U86" s="80">
        <f>Tabela3[[#This Row],[Lucro Líquido]]/Tabela3[[#This Row],[Total Ações]]</f>
        <v>-0.54764118016239183</v>
      </c>
      <c r="V8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8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6.1211612422584346E-3</v>
      </c>
      <c r="Y8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6.1211612422584346E-3</v>
      </c>
      <c r="Z86" s="13">
        <f>Tabela3[Div Base]*Tabela3[Ações]</f>
        <v>40158.23335718851</v>
      </c>
      <c r="AA86" s="13">
        <f>SUMPRODUCT(N(Tabela3[Nome]=Tabela3[[#This Row],[Nome]]),Tabela3[Div Base]*Tabela3[Ações])</f>
        <v>40158.23335718851</v>
      </c>
      <c r="AB86" s="95">
        <f>Tabela3[Patrimônio Líquido]/Tabela3[Total Ações]</f>
        <v>1.1255073046697219</v>
      </c>
      <c r="AC86" s="48">
        <f>MAX(Tabela3[[#This Row],[Cotação 1]:[Cotação 4]])</f>
        <v>1.6</v>
      </c>
      <c r="AD86" s="44">
        <f>Tabela3[Cotação]/Tabela3[VPA]</f>
        <v>1.4215811779822407</v>
      </c>
      <c r="AE86" s="40">
        <f>IF(Tabela3[[#This Row],[Lucro/Ação]]&gt;0,Tabela3[[#This Row],[Cotação]]/(Tabela3[[#This Row],[Lucro/Ação]]/Tabela3[Ref]*4),0)</f>
        <v>0</v>
      </c>
      <c r="AF86" s="91">
        <f>IF(Tabela3[Div. Mínimo]=0,0,Tabela3[Lucro Distribuir]*#REF!/Tabela3[Total Ações])</f>
        <v>0</v>
      </c>
      <c r="AG86" s="80">
        <f>Tabela3[Lucro Distribuir]/Tabela3[Total Ações]</f>
        <v>0</v>
      </c>
      <c r="AH8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6.1211612422584346E-3</v>
      </c>
      <c r="AI86" s="14" t="str">
        <f>IF(AND(Tabela3[% A.A.]&gt;=7%,SUMPRODUCT(N(Tabela3[Nome]=Tabela3[[#This Row],[Nome]]),Tabela3[PL])&gt;0),"Sim","Não")</f>
        <v>Não</v>
      </c>
      <c r="AJ86" s="42">
        <f>IF(Tabela3[Cotação]&gt;0,Tabela3[[#This Row],[Lucro]]/Tabela3[[#This Row],[Cotação]],0)</f>
        <v>3.8257257764115213E-3</v>
      </c>
      <c r="AK86" s="42">
        <f>((1+Tabela3[[#This Row],[% Yield]])^(1/(3*Tabela3[[#This Row],[Ref]])))^(12)-1</f>
        <v>5.1042174250828243E-3</v>
      </c>
      <c r="AL86" s="14">
        <f>IF(Tabela3[Cotação]&gt;0,($AS$1/Tabela3[[#This Row],[Cotação]]-MOD($AS$1/Tabela3[[#This Row],[Cotação]],100)),)</f>
        <v>600</v>
      </c>
      <c r="AM86" s="17">
        <f>Tabela3[[#This Row],[Ativos]]*Tabela3[Lucro]</f>
        <v>3.672696745355061</v>
      </c>
      <c r="AN86" s="17">
        <f>SUMPRODUCT(N(Tabela1[Código]=Tabela3[[#This Row],[PAPEL]]),Tabela1[Fechamento])</f>
        <v>0</v>
      </c>
      <c r="AO86" s="17">
        <f>SUMPRODUCT(N(Tabela17[Código]=Tabela3[[#This Row],[PAPEL]]),Tabela17[Fechamento])</f>
        <v>1.6</v>
      </c>
      <c r="AP86" s="7">
        <f>SUMPRODUCT(N(Tabela176[Código]=Tabela3[[#This Row],[PAPEL]]),Tabela176[Fechamento])</f>
        <v>0</v>
      </c>
      <c r="AQ86" s="7">
        <f>SUMPRODUCT(N(Tabela1768[Código]=Tabela3[[#This Row],[PAPEL]]),Tabela1768[Fechamento])</f>
        <v>0</v>
      </c>
    </row>
    <row r="87" spans="1:43" hidden="1" x14ac:dyDescent="0.2">
      <c r="A87" s="4" t="s">
        <v>536</v>
      </c>
      <c r="B87" s="57" t="s">
        <v>541</v>
      </c>
      <c r="C87" s="15" t="str">
        <f>LEFT(Tabela3[PAPEL],LEN(Tabela3[PAPEL])-(LEN(Tabela3[PAPEL])-4))</f>
        <v>CEGR</v>
      </c>
      <c r="D87" s="15">
        <v>3</v>
      </c>
      <c r="E87" s="6">
        <v>362342011.75999999</v>
      </c>
      <c r="F87" s="8">
        <v>51927546</v>
      </c>
      <c r="G87" s="88">
        <v>0.25</v>
      </c>
      <c r="H87" s="15"/>
      <c r="I87" s="19"/>
      <c r="J87" s="19"/>
      <c r="K87" s="90"/>
      <c r="L87" s="90"/>
      <c r="M87" s="96">
        <v>922580000</v>
      </c>
      <c r="N87" s="97">
        <v>252179000</v>
      </c>
      <c r="O87" s="13">
        <f>Tabela3[[#This Row],[Capital Social]]*20%</f>
        <v>72468402.351999998</v>
      </c>
      <c r="P87" s="13">
        <f>IF((Tabela3[Lucro Líquido]*5%)&gt;Tabela3[Teto R. Legal],Tabela3[Teto R. Legal],Tabela3[Lucro Líquido]*5%)</f>
        <v>12608950</v>
      </c>
      <c r="Q87" s="13">
        <f>IF(Tabela3[Lucro Líquido]&lt;0,0,Tabela3[Lucro Líquido]-Tabela3[Reserva Legal])</f>
        <v>239570050</v>
      </c>
      <c r="R87" s="13">
        <f>Tabela3[[#This Row],[Lucro Distribuir]]*Tabela3[%Div]</f>
        <v>59892512.5</v>
      </c>
      <c r="S87" s="56">
        <f>SUMPRODUCT(N(Tabela3[Nome]=Tabela3[[#This Row],[Nome]]),Tabela3[Ações])</f>
        <v>51927546</v>
      </c>
      <c r="T87" s="6">
        <f>Tabela3[Capital Social]/Tabela3[Total Ações]</f>
        <v>6.9778381547242763</v>
      </c>
      <c r="U87" s="80">
        <f>Tabela3[[#This Row],[Lucro Líquido]]/Tabela3[[#This Row],[Total Ações]]</f>
        <v>4.8563627482030443</v>
      </c>
      <c r="V8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1.153386152698223</v>
      </c>
      <c r="W8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8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1.153386152698223</v>
      </c>
      <c r="Z87" s="13">
        <f>Tabela3[Div Base]*Tabela3[Ações]</f>
        <v>59892512.5</v>
      </c>
      <c r="AA87" s="13">
        <f>SUMPRODUCT(N(Tabela3[Nome]=Tabela3[[#This Row],[Nome]]),Tabela3[Div Base]*Tabela3[Ações])</f>
        <v>59892512.5</v>
      </c>
      <c r="AB87" s="95">
        <f>Tabela3[Patrimônio Líquido]/Tabela3[Total Ações]</f>
        <v>17.766678209673149</v>
      </c>
      <c r="AC87" s="48">
        <f>MAX(Tabela3[[#This Row],[Cotação 1]:[Cotação 4]])</f>
        <v>90</v>
      </c>
      <c r="AD87" s="44">
        <f>Tabela3[Cotação]/Tabela3[VPA]</f>
        <v>5.0656627501138107</v>
      </c>
      <c r="AE87" s="40">
        <f>IF(Tabela3[[#This Row],[Lucro/Ação]]&gt;0,Tabela3[[#This Row],[Cotação]]/(Tabela3[[#This Row],[Lucro/Ação]]/Tabela3[Ref]*4),0)</f>
        <v>13.899291197918938</v>
      </c>
      <c r="AF87" s="91" t="e">
        <f>IF(Tabela3[Div. Mínimo]=0,0,Tabela3[Lucro Distribuir]*#REF!/Tabela3[Total Ações])</f>
        <v>#REF!</v>
      </c>
      <c r="AG87" s="80">
        <f>Tabela3[Lucro Distribuir]/Tabela3[Total Ações]</f>
        <v>4.6135446107928919</v>
      </c>
      <c r="AH8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1.153386152698223</v>
      </c>
      <c r="AI87" s="14" t="str">
        <f>IF(AND(Tabela3[% A.A.]&gt;=7%,SUMPRODUCT(N(Tabela3[Nome]=Tabela3[[#This Row],[Nome]]),Tabela3[PL])&gt;0),"Sim","Não")</f>
        <v>Não</v>
      </c>
      <c r="AJ87" s="42">
        <f>IF(Tabela3[Cotação]&gt;0,Tabela3[[#This Row],[Lucro]]/Tabela3[[#This Row],[Cotação]],0)</f>
        <v>1.2815401696646921E-2</v>
      </c>
      <c r="AK87" s="42">
        <f>((1+Tabela3[[#This Row],[% Yield]])^(1/(3*Tabela3[[#This Row],[Ref]])))^(12)-1</f>
        <v>1.7123595436225214E-2</v>
      </c>
      <c r="AL87" s="14">
        <f>IF(Tabela3[Cotação]&gt;0,($AS$1/Tabela3[[#This Row],[Cotação]]-MOD($AS$1/Tabela3[[#This Row],[Cotação]],100)),)</f>
        <v>0</v>
      </c>
      <c r="AM87" s="17">
        <f>Tabela3[[#This Row],[Ativos]]*Tabela3[Lucro]</f>
        <v>0</v>
      </c>
      <c r="AN87" s="17">
        <f>SUMPRODUCT(N(Tabela1[Código]=Tabela3[[#This Row],[PAPEL]]),Tabela1[Fechamento])</f>
        <v>0</v>
      </c>
      <c r="AO87" s="17">
        <f>SUMPRODUCT(N(Tabela17[Código]=Tabela3[[#This Row],[PAPEL]]),Tabela17[Fechamento])</f>
        <v>90</v>
      </c>
      <c r="AP87" s="7">
        <f>SUMPRODUCT(N(Tabela176[Código]=Tabela3[[#This Row],[PAPEL]]),Tabela176[Fechamento])</f>
        <v>0</v>
      </c>
      <c r="AQ87" s="7">
        <f>SUMPRODUCT(N(Tabela1768[Código]=Tabela3[[#This Row],[PAPEL]]),Tabela1768[Fechamento])</f>
        <v>0</v>
      </c>
    </row>
    <row r="88" spans="1:43" hidden="1" x14ac:dyDescent="0.2">
      <c r="A88" s="4" t="s">
        <v>12</v>
      </c>
      <c r="B88" s="57" t="s">
        <v>484</v>
      </c>
      <c r="C88" s="15" t="str">
        <f>LEFT(Tabela3[PAPEL],LEN(Tabela3[PAPEL])-(LEN(Tabela3[PAPEL])-4))</f>
        <v>CELP</v>
      </c>
      <c r="D88" s="15">
        <v>3</v>
      </c>
      <c r="E88" s="6">
        <v>924523856.14999998</v>
      </c>
      <c r="F88" s="8">
        <v>1902996369</v>
      </c>
      <c r="G88" s="83">
        <v>0.25</v>
      </c>
      <c r="H88" s="15"/>
      <c r="I88" s="19"/>
      <c r="J88" s="19"/>
      <c r="K88" s="90"/>
      <c r="L88" s="90"/>
      <c r="M88" s="96">
        <v>474823000</v>
      </c>
      <c r="N88" s="97">
        <v>-117999000</v>
      </c>
      <c r="O88" s="13">
        <f>Tabela3[[#This Row],[Capital Social]]*20%</f>
        <v>184904771.23000002</v>
      </c>
      <c r="P88" s="13">
        <f>IF((Tabela3[Lucro Líquido]*5%)&gt;Tabela3[Teto R. Legal],Tabela3[Teto R. Legal],Tabela3[Lucro Líquido]*5%)</f>
        <v>-5899950</v>
      </c>
      <c r="Q88" s="13">
        <f>IF(Tabela3[Lucro Líquido]&lt;0,0,Tabela3[Lucro Líquido]-Tabela3[Reserva Legal])</f>
        <v>0</v>
      </c>
      <c r="R88" s="13">
        <f>Tabela3[[#This Row],[Lucro Distribuir]]*Tabela3[%Div]</f>
        <v>0</v>
      </c>
      <c r="S88" s="56">
        <f>SUMPRODUCT(N(Tabela3[Nome]=Tabela3[[#This Row],[Nome]]),Tabela3[Ações])</f>
        <v>1907449807</v>
      </c>
      <c r="T88" s="6">
        <f>Tabela3[Capital Social]/Tabela3[Total Ações]</f>
        <v>0.4846910533410434</v>
      </c>
      <c r="U88" s="80">
        <f>Tabela3[[#This Row],[Lucro Líquido]]/Tabela3[[#This Row],[Total Ações]]</f>
        <v>-6.1862178269102938E-2</v>
      </c>
      <c r="V8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8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8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88" s="13">
        <f>Tabela3[Div Base]*Tabela3[Ações]</f>
        <v>0</v>
      </c>
      <c r="AA88" s="13">
        <f>SUMPRODUCT(N(Tabela3[Nome]=Tabela3[[#This Row],[Nome]]),Tabela3[Div Base]*Tabela3[Ações])</f>
        <v>133088.27732401268</v>
      </c>
      <c r="AB88" s="95">
        <f>Tabela3[Patrimônio Líquido]/Tabela3[Total Ações]</f>
        <v>0.24893079663616019</v>
      </c>
      <c r="AC88" s="48">
        <f>MAX(Tabela3[[#This Row],[Cotação 1]:[Cotação 4]])</f>
        <v>1.24</v>
      </c>
      <c r="AD88" s="44">
        <f>Tabela3[Cotação]/Tabela3[VPA]</f>
        <v>4.9813041084361958</v>
      </c>
      <c r="AE88" s="40">
        <f>IF(Tabela3[[#This Row],[Lucro/Ação]]&gt;0,Tabela3[[#This Row],[Cotação]]/(Tabela3[[#This Row],[Lucro/Ação]]/Tabela3[Ref]*4),0)</f>
        <v>0</v>
      </c>
      <c r="AF88" s="91">
        <f>IF(Tabela3[Div. Mínimo]=0,0,Tabela3[Lucro Distribuir]*#REF!/Tabela3[Total Ações])</f>
        <v>0</v>
      </c>
      <c r="AG88" s="80">
        <f>Tabela3[Lucro Distribuir]/Tabela3[Total Ações]</f>
        <v>0</v>
      </c>
      <c r="AH8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88" s="14" t="str">
        <f>IF(AND(Tabela3[% A.A.]&gt;=7%,SUMPRODUCT(N(Tabela3[Nome]=Tabela3[[#This Row],[Nome]]),Tabela3[PL])&gt;0),"Sim","Não")</f>
        <v>Não</v>
      </c>
      <c r="AJ88" s="42">
        <f>IF(Tabela3[Cotação]&gt;0,Tabela3[[#This Row],[Lucro]]/Tabela3[[#This Row],[Cotação]],0)</f>
        <v>0</v>
      </c>
      <c r="AK88" s="42">
        <f>((1+Tabela3[[#This Row],[% Yield]])^(1/(3*Tabela3[[#This Row],[Ref]])))^(12)-1</f>
        <v>0</v>
      </c>
      <c r="AL88" s="14">
        <f>IF(Tabela3[Cotação]&gt;0,($AS$1/Tabela3[[#This Row],[Cotação]]-MOD($AS$1/Tabela3[[#This Row],[Cotação]],100)),)</f>
        <v>800</v>
      </c>
      <c r="AM88" s="17">
        <f>Tabela3[[#This Row],[Ativos]]*Tabela3[Lucro]</f>
        <v>0</v>
      </c>
      <c r="AN88" s="17">
        <f>SUMPRODUCT(N(Tabela1[Código]=Tabela3[[#This Row],[PAPEL]]),Tabela1[Fechamento])</f>
        <v>0</v>
      </c>
      <c r="AO88" s="17">
        <f>SUMPRODUCT(N(Tabela17[Código]=Tabela3[[#This Row],[PAPEL]]),Tabela17[Fechamento])</f>
        <v>1.24</v>
      </c>
      <c r="AP88" s="7">
        <f>SUMPRODUCT(N(Tabela176[Código]=Tabela3[[#This Row],[PAPEL]]),Tabela176[Fechamento])</f>
        <v>0</v>
      </c>
      <c r="AQ88" s="7">
        <f>SUMPRODUCT(N(Tabela1768[Código]=Tabela3[[#This Row],[PAPEL]]),Tabela1768[Fechamento])</f>
        <v>0</v>
      </c>
    </row>
    <row r="89" spans="1:43" hidden="1" x14ac:dyDescent="0.2">
      <c r="A89" s="4" t="s">
        <v>12</v>
      </c>
      <c r="B89" s="57" t="s">
        <v>485</v>
      </c>
      <c r="C89" s="15" t="str">
        <f>LEFT(Tabela3[PAPEL],LEN(Tabela3[PAPEL])-(LEN(Tabela3[PAPEL])-4))</f>
        <v>CELP</v>
      </c>
      <c r="D89" s="15">
        <v>3</v>
      </c>
      <c r="E89" s="6">
        <v>924523856.14999998</v>
      </c>
      <c r="F89" s="8">
        <v>2166816</v>
      </c>
      <c r="G89" s="83">
        <v>0.25</v>
      </c>
      <c r="H89" s="15"/>
      <c r="I89" s="19">
        <v>0.06</v>
      </c>
      <c r="J89" s="19"/>
      <c r="K89" s="90"/>
      <c r="L89" s="90"/>
      <c r="M89" s="96">
        <v>474823000</v>
      </c>
      <c r="N89" s="97">
        <v>-117999000</v>
      </c>
      <c r="O89" s="13">
        <f>Tabela3[[#This Row],[Capital Social]]*20%</f>
        <v>184904771.23000002</v>
      </c>
      <c r="P89" s="13">
        <f>IF((Tabela3[Lucro Líquido]*5%)&gt;Tabela3[Teto R. Legal],Tabela3[Teto R. Legal],Tabela3[Lucro Líquido]*5%)</f>
        <v>-5899950</v>
      </c>
      <c r="Q89" s="13">
        <f>IF(Tabela3[Lucro Líquido]&lt;0,0,Tabela3[Lucro Líquido]-Tabela3[Reserva Legal])</f>
        <v>0</v>
      </c>
      <c r="R89" s="13">
        <f>Tabela3[[#This Row],[Lucro Distribuir]]*Tabela3[%Div]</f>
        <v>0</v>
      </c>
      <c r="S89" s="56">
        <f>SUMPRODUCT(N(Tabela3[Nome]=Tabela3[[#This Row],[Nome]]),Tabela3[Ações])</f>
        <v>1907449807</v>
      </c>
      <c r="T89" s="6">
        <f>Tabela3[Capital Social]/Tabela3[Total Ações]</f>
        <v>0.4846910533410434</v>
      </c>
      <c r="U89" s="80">
        <f>Tabela3[[#This Row],[Lucro Líquido]]/Tabela3[[#This Row],[Total Ações]]</f>
        <v>-6.1862178269102938E-2</v>
      </c>
      <c r="V8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8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8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2.9081463200462603E-2</v>
      </c>
      <c r="Y8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2.9081463200462603E-2</v>
      </c>
      <c r="Z89" s="13">
        <f>Tabela3[Div Base]*Tabela3[Ações]</f>
        <v>63014.179766173576</v>
      </c>
      <c r="AA89" s="13">
        <f>SUMPRODUCT(N(Tabela3[Nome]=Tabela3[[#This Row],[Nome]]),Tabela3[Div Base]*Tabela3[Ações])</f>
        <v>133088.27732401268</v>
      </c>
      <c r="AB89" s="95">
        <f>Tabela3[Patrimônio Líquido]/Tabela3[Total Ações]</f>
        <v>0.24893079663616019</v>
      </c>
      <c r="AC89" s="48">
        <f>MAX(Tabela3[[#This Row],[Cotação 1]:[Cotação 4]])</f>
        <v>1</v>
      </c>
      <c r="AD89" s="44">
        <f>Tabela3[Cotação]/Tabela3[VPA]</f>
        <v>4.0171807326098357</v>
      </c>
      <c r="AE89" s="40">
        <f>IF(Tabela3[[#This Row],[Lucro/Ação]]&gt;0,Tabela3[[#This Row],[Cotação]]/(Tabela3[[#This Row],[Lucro/Ação]]/Tabela3[Ref]*4),0)</f>
        <v>0</v>
      </c>
      <c r="AF89" s="91">
        <f>IF(Tabela3[Div. Mínimo]=0,0,Tabela3[Lucro Distribuir]*#REF!/Tabela3[Total Ações])</f>
        <v>0</v>
      </c>
      <c r="AG89" s="80">
        <f>Tabela3[Lucro Distribuir]/Tabela3[Total Ações]</f>
        <v>0</v>
      </c>
      <c r="AH8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2.9081463200462603E-2</v>
      </c>
      <c r="AI89" s="14" t="str">
        <f>IF(AND(Tabela3[% A.A.]&gt;=7%,SUMPRODUCT(N(Tabela3[Nome]=Tabela3[[#This Row],[Nome]]),Tabela3[PL])&gt;0),"Sim","Não")</f>
        <v>Não</v>
      </c>
      <c r="AJ89" s="42">
        <f>IF(Tabela3[Cotação]&gt;0,Tabela3[[#This Row],[Lucro]]/Tabela3[[#This Row],[Cotação]],0)</f>
        <v>2.9081463200462603E-2</v>
      </c>
      <c r="AK89" s="42">
        <f>((1+Tabela3[[#This Row],[% Yield]])^(1/(3*Tabela3[[#This Row],[Ref]])))^(12)-1</f>
        <v>3.8962024520756255E-2</v>
      </c>
      <c r="AL89" s="14">
        <f>IF(Tabela3[Cotação]&gt;0,($AS$1/Tabela3[[#This Row],[Cotação]]-MOD($AS$1/Tabela3[[#This Row],[Cotação]],100)),)</f>
        <v>1000</v>
      </c>
      <c r="AM89" s="17">
        <f>Tabela3[[#This Row],[Ativos]]*Tabela3[Lucro]</f>
        <v>29.081463200462604</v>
      </c>
      <c r="AN89" s="17">
        <f>SUMPRODUCT(N(Tabela1[Código]=Tabela3[[#This Row],[PAPEL]]),Tabela1[Fechamento])</f>
        <v>0</v>
      </c>
      <c r="AO89" s="17">
        <f>SUMPRODUCT(N(Tabela17[Código]=Tabela3[[#This Row],[PAPEL]]),Tabela17[Fechamento])</f>
        <v>1</v>
      </c>
      <c r="AP89" s="7">
        <f>SUMPRODUCT(N(Tabela176[Código]=Tabela3[[#This Row],[PAPEL]]),Tabela176[Fechamento])</f>
        <v>0</v>
      </c>
      <c r="AQ89" s="7">
        <f>SUMPRODUCT(N(Tabela1768[Código]=Tabela3[[#This Row],[PAPEL]]),Tabela1768[Fechamento])</f>
        <v>0</v>
      </c>
    </row>
    <row r="90" spans="1:43" hidden="1" x14ac:dyDescent="0.2">
      <c r="A90" s="4" t="s">
        <v>12</v>
      </c>
      <c r="B90" s="57" t="s">
        <v>486</v>
      </c>
      <c r="C90" s="15" t="str">
        <f>LEFT(Tabela3[PAPEL],LEN(Tabela3[PAPEL])-(LEN(Tabela3[PAPEL])-4))</f>
        <v>CELP</v>
      </c>
      <c r="D90" s="15">
        <v>3</v>
      </c>
      <c r="E90" s="6">
        <v>924523856.14999998</v>
      </c>
      <c r="F90" s="8">
        <v>1085373</v>
      </c>
      <c r="G90" s="83">
        <v>0.25</v>
      </c>
      <c r="H90" s="15"/>
      <c r="I90" s="19">
        <v>0.1</v>
      </c>
      <c r="J90" s="19"/>
      <c r="K90" s="90"/>
      <c r="L90" s="90"/>
      <c r="M90" s="96">
        <v>474823000</v>
      </c>
      <c r="N90" s="97">
        <v>-117999000</v>
      </c>
      <c r="O90" s="13">
        <f>Tabela3[[#This Row],[Capital Social]]*20%</f>
        <v>184904771.23000002</v>
      </c>
      <c r="P90" s="13">
        <f>IF((Tabela3[Lucro Líquido]*5%)&gt;Tabela3[Teto R. Legal],Tabela3[Teto R. Legal],Tabela3[Lucro Líquido]*5%)</f>
        <v>-5899950</v>
      </c>
      <c r="Q90" s="13">
        <f>IF(Tabela3[Lucro Líquido]&lt;0,0,Tabela3[Lucro Líquido]-Tabela3[Reserva Legal])</f>
        <v>0</v>
      </c>
      <c r="R90" s="13">
        <f>Tabela3[[#This Row],[Lucro Distribuir]]*Tabela3[%Div]</f>
        <v>0</v>
      </c>
      <c r="S90" s="56">
        <f>SUMPRODUCT(N(Tabela3[Nome]=Tabela3[[#This Row],[Nome]]),Tabela3[Ações])</f>
        <v>1907449807</v>
      </c>
      <c r="T90" s="6">
        <f>Tabela3[Capital Social]/Tabela3[Total Ações]</f>
        <v>0.4846910533410434</v>
      </c>
      <c r="U90" s="80">
        <f>Tabela3[[#This Row],[Lucro Líquido]]/Tabela3[[#This Row],[Total Ações]]</f>
        <v>-6.1862178269102938E-2</v>
      </c>
      <c r="V9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9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4.8469105334104347E-2</v>
      </c>
      <c r="Y9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4.8469105334104347E-2</v>
      </c>
      <c r="Z90" s="13">
        <f>Tabela3[Div Base]*Tabela3[Ações]</f>
        <v>52607.058263792838</v>
      </c>
      <c r="AA90" s="13">
        <f>SUMPRODUCT(N(Tabela3[Nome]=Tabela3[[#This Row],[Nome]]),Tabela3[Div Base]*Tabela3[Ações])</f>
        <v>133088.27732401268</v>
      </c>
      <c r="AB90" s="95">
        <f>Tabela3[Patrimônio Líquido]/Tabela3[Total Ações]</f>
        <v>0.24893079663616019</v>
      </c>
      <c r="AC90" s="48">
        <f>MAX(Tabela3[[#This Row],[Cotação 1]:[Cotação 4]])</f>
        <v>0.75</v>
      </c>
      <c r="AD90" s="44">
        <f>Tabela3[Cotação]/Tabela3[VPA]</f>
        <v>3.0128855494573767</v>
      </c>
      <c r="AE90" s="40">
        <f>IF(Tabela3[[#This Row],[Lucro/Ação]]&gt;0,Tabela3[[#This Row],[Cotação]]/(Tabela3[[#This Row],[Lucro/Ação]]/Tabela3[Ref]*4),0)</f>
        <v>0</v>
      </c>
      <c r="AF90" s="91">
        <f>IF(Tabela3[Div. Mínimo]=0,0,Tabela3[Lucro Distribuir]*#REF!/Tabela3[Total Ações])</f>
        <v>0</v>
      </c>
      <c r="AG90" s="80">
        <f>Tabela3[Lucro Distribuir]/Tabela3[Total Ações]</f>
        <v>0</v>
      </c>
      <c r="AH9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4.8469105334104347E-2</v>
      </c>
      <c r="AI90" s="14" t="str">
        <f>IF(AND(Tabela3[% A.A.]&gt;=7%,SUMPRODUCT(N(Tabela3[Nome]=Tabela3[[#This Row],[Nome]]),Tabela3[PL])&gt;0),"Sim","Não")</f>
        <v>Não</v>
      </c>
      <c r="AJ90" s="42">
        <f>IF(Tabela3[Cotação]&gt;0,Tabela3[[#This Row],[Lucro]]/Tabela3[[#This Row],[Cotação]],0)</f>
        <v>6.46254737788058E-2</v>
      </c>
      <c r="AK90" s="42">
        <f>((1+Tabela3[[#This Row],[% Yield]])^(1/(3*Tabela3[[#This Row],[Ref]])))^(12)-1</f>
        <v>8.7082417136864709E-2</v>
      </c>
      <c r="AL90" s="14">
        <f>IF(Tabela3[Cotação]&gt;0,($AS$1/Tabela3[[#This Row],[Cotação]]-MOD($AS$1/Tabela3[[#This Row],[Cotação]],100)),)</f>
        <v>1300</v>
      </c>
      <c r="AM90" s="17">
        <f>Tabela3[[#This Row],[Ativos]]*Tabela3[Lucro]</f>
        <v>63.009836934335652</v>
      </c>
      <c r="AN90" s="17">
        <f>SUMPRODUCT(N(Tabela1[Código]=Tabela3[[#This Row],[PAPEL]]),Tabela1[Fechamento])</f>
        <v>0</v>
      </c>
      <c r="AO90" s="17">
        <f>SUMPRODUCT(N(Tabela17[Código]=Tabela3[[#This Row],[PAPEL]]),Tabela17[Fechamento])</f>
        <v>0.75</v>
      </c>
      <c r="AP90" s="7">
        <f>SUMPRODUCT(N(Tabela176[Código]=Tabela3[[#This Row],[PAPEL]]),Tabela176[Fechamento])</f>
        <v>0</v>
      </c>
      <c r="AQ90" s="7">
        <f>SUMPRODUCT(N(Tabela1768[Código]=Tabela3[[#This Row],[PAPEL]]),Tabela1768[Fechamento])</f>
        <v>0</v>
      </c>
    </row>
    <row r="91" spans="1:43" hidden="1" x14ac:dyDescent="0.2">
      <c r="A91" s="4" t="s">
        <v>12</v>
      </c>
      <c r="B91" s="57" t="s">
        <v>487</v>
      </c>
      <c r="C91" s="15" t="str">
        <f>LEFT(Tabela3[PAPEL],LEN(Tabela3[PAPEL])-(LEN(Tabela3[PAPEL])-4))</f>
        <v>CELP</v>
      </c>
      <c r="D91" s="15">
        <v>3</v>
      </c>
      <c r="E91" s="6">
        <v>924523856.14999998</v>
      </c>
      <c r="F91" s="8">
        <v>1201249</v>
      </c>
      <c r="G91" s="83">
        <v>0.25</v>
      </c>
      <c r="H91" s="15"/>
      <c r="I91" s="19">
        <v>0.03</v>
      </c>
      <c r="J91" s="19"/>
      <c r="K91" s="90"/>
      <c r="L91" s="90"/>
      <c r="M91" s="96">
        <v>474823000</v>
      </c>
      <c r="N91" s="97">
        <v>-117999000</v>
      </c>
      <c r="O91" s="13">
        <f>Tabela3[[#This Row],[Capital Social]]*20%</f>
        <v>184904771.23000002</v>
      </c>
      <c r="P91" s="13">
        <f>IF((Tabela3[Lucro Líquido]*5%)&gt;Tabela3[Teto R. Legal],Tabela3[Teto R. Legal],Tabela3[Lucro Líquido]*5%)</f>
        <v>-5899950</v>
      </c>
      <c r="Q91" s="13">
        <f>IF(Tabela3[Lucro Líquido]&lt;0,0,Tabela3[Lucro Líquido]-Tabela3[Reserva Legal])</f>
        <v>0</v>
      </c>
      <c r="R91" s="13">
        <f>Tabela3[[#This Row],[Lucro Distribuir]]*Tabela3[%Div]</f>
        <v>0</v>
      </c>
      <c r="S91" s="56">
        <f>SUMPRODUCT(N(Tabela3[Nome]=Tabela3[[#This Row],[Nome]]),Tabela3[Ações])</f>
        <v>1907449807</v>
      </c>
      <c r="T91" s="6">
        <f>Tabela3[Capital Social]/Tabela3[Total Ações]</f>
        <v>0.4846910533410434</v>
      </c>
      <c r="U91" s="80">
        <f>Tabela3[[#This Row],[Lucro Líquido]]/Tabela3[[#This Row],[Total Ações]]</f>
        <v>-6.1862178269102938E-2</v>
      </c>
      <c r="V9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9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1.4540731600231302E-2</v>
      </c>
      <c r="Y9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1.4540731600231302E-2</v>
      </c>
      <c r="Z91" s="13">
        <f>Tabela3[Div Base]*Tabela3[Ações]</f>
        <v>17467.039294046252</v>
      </c>
      <c r="AA91" s="13">
        <f>SUMPRODUCT(N(Tabela3[Nome]=Tabela3[[#This Row],[Nome]]),Tabela3[Div Base]*Tabela3[Ações])</f>
        <v>133088.27732401268</v>
      </c>
      <c r="AB91" s="95">
        <f>Tabela3[Patrimônio Líquido]/Tabela3[Total Ações]</f>
        <v>0.24893079663616019</v>
      </c>
      <c r="AC91" s="48">
        <f>MAX(Tabela3[[#This Row],[Cotação 1]:[Cotação 4]])</f>
        <v>0.5</v>
      </c>
      <c r="AD91" s="44">
        <f>Tabela3[Cotação]/Tabela3[VPA]</f>
        <v>2.0085903663049178</v>
      </c>
      <c r="AE91" s="40">
        <f>IF(Tabela3[[#This Row],[Lucro/Ação]]&gt;0,Tabela3[[#This Row],[Cotação]]/(Tabela3[[#This Row],[Lucro/Ação]]/Tabela3[Ref]*4),0)</f>
        <v>0</v>
      </c>
      <c r="AF91" s="91">
        <f>IF(Tabela3[Div. Mínimo]=0,0,Tabela3[Lucro Distribuir]*#REF!/Tabela3[Total Ações])</f>
        <v>0</v>
      </c>
      <c r="AG91" s="80">
        <f>Tabela3[Lucro Distribuir]/Tabela3[Total Ações]</f>
        <v>0</v>
      </c>
      <c r="AH9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1.4540731600231302E-2</v>
      </c>
      <c r="AI91" s="14" t="str">
        <f>IF(AND(Tabela3[% A.A.]&gt;=7%,SUMPRODUCT(N(Tabela3[Nome]=Tabela3[[#This Row],[Nome]]),Tabela3[PL])&gt;0),"Sim","Não")</f>
        <v>Não</v>
      </c>
      <c r="AJ91" s="42">
        <f>IF(Tabela3[Cotação]&gt;0,Tabela3[[#This Row],[Lucro]]/Tabela3[[#This Row],[Cotação]],0)</f>
        <v>2.9081463200462603E-2</v>
      </c>
      <c r="AK91" s="42">
        <f>((1+Tabela3[[#This Row],[% Yield]])^(1/(3*Tabela3[[#This Row],[Ref]])))^(12)-1</f>
        <v>3.8962024520756255E-2</v>
      </c>
      <c r="AL91" s="14">
        <f>IF(Tabela3[Cotação]&gt;0,($AS$1/Tabela3[[#This Row],[Cotação]]-MOD($AS$1/Tabela3[[#This Row],[Cotação]],100)),)</f>
        <v>2000</v>
      </c>
      <c r="AM91" s="17">
        <f>Tabela3[[#This Row],[Ativos]]*Tabela3[Lucro]</f>
        <v>29.081463200462604</v>
      </c>
      <c r="AN91" s="17">
        <f>SUMPRODUCT(N(Tabela1[Código]=Tabela3[[#This Row],[PAPEL]]),Tabela1[Fechamento])</f>
        <v>0</v>
      </c>
      <c r="AO91" s="17">
        <f>SUMPRODUCT(N(Tabela17[Código]=Tabela3[[#This Row],[PAPEL]]),Tabela17[Fechamento])</f>
        <v>0.5</v>
      </c>
      <c r="AP91" s="7">
        <f>SUMPRODUCT(N(Tabela176[Código]=Tabela3[[#This Row],[PAPEL]]),Tabela176[Fechamento])</f>
        <v>0</v>
      </c>
      <c r="AQ91" s="7">
        <f>SUMPRODUCT(N(Tabela1768[Código]=Tabela3[[#This Row],[PAPEL]]),Tabela1768[Fechamento])</f>
        <v>0</v>
      </c>
    </row>
    <row r="92" spans="1:43" hidden="1" x14ac:dyDescent="0.2">
      <c r="A92" s="4" t="s">
        <v>12</v>
      </c>
      <c r="B92" s="57" t="s">
        <v>497</v>
      </c>
      <c r="C92" s="15" t="str">
        <f>LEFT(Tabela3[PAPEL],LEN(Tabela3[PAPEL])-(LEN(Tabela3[PAPEL])-4))</f>
        <v>CEPE</v>
      </c>
      <c r="D92" s="15">
        <v>3</v>
      </c>
      <c r="E92" s="6">
        <v>590173759.38999999</v>
      </c>
      <c r="F92" s="8">
        <v>66302693</v>
      </c>
      <c r="G92" s="88">
        <v>0.25</v>
      </c>
      <c r="H92" s="15"/>
      <c r="I92" s="19"/>
      <c r="J92" s="19"/>
      <c r="K92" s="90"/>
      <c r="L92" s="90"/>
      <c r="M92" s="92">
        <v>3707916000</v>
      </c>
      <c r="N92" s="92">
        <v>63180000</v>
      </c>
      <c r="O92" s="13">
        <f>Tabela3[[#This Row],[Capital Social]]*20%</f>
        <v>118034751.87800001</v>
      </c>
      <c r="P92" s="13">
        <f>IF((Tabela3[Lucro Líquido]*5%)&gt;Tabela3[Teto R. Legal],Tabela3[Teto R. Legal],Tabela3[Lucro Líquido]*5%)</f>
        <v>3159000</v>
      </c>
      <c r="Q92" s="13">
        <f>IF(Tabela3[Lucro Líquido]&lt;0,0,Tabela3[Lucro Líquido]-Tabela3[Reserva Legal])</f>
        <v>60021000</v>
      </c>
      <c r="R92" s="13">
        <f>Tabela3[[#This Row],[Lucro Distribuir]]*Tabela3[%Div]</f>
        <v>15005250</v>
      </c>
      <c r="S92" s="56">
        <f>SUMPRODUCT(N(Tabela3[Nome]=Tabela3[[#This Row],[Nome]]),Tabela3[Ações])</f>
        <v>74612388</v>
      </c>
      <c r="T92" s="6">
        <f>Tabela3[Capital Social]/Tabela3[Total Ações]</f>
        <v>7.9098628955556283</v>
      </c>
      <c r="U92" s="80">
        <f>Tabela3[[#This Row],[Lucro Líquido]]/Tabela3[[#This Row],[Total Ações]]</f>
        <v>0.84677627527482435</v>
      </c>
      <c r="V9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0.19485208828239556</v>
      </c>
      <c r="W9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9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0.19485208828239556</v>
      </c>
      <c r="Z92" s="13">
        <f>Tabela3[Div Base]*Tabela3[Ações]</f>
        <v>12919218.189796571</v>
      </c>
      <c r="AA92" s="13">
        <f>SUMPRODUCT(N(Tabela3[Nome]=Tabela3[[#This Row],[Nome]]),Tabela3[Div Base]*Tabela3[Ações])</f>
        <v>13668149.085004007</v>
      </c>
      <c r="AB92" s="95">
        <f>Tabela3[Patrimônio Líquido]/Tabela3[Total Ações]</f>
        <v>49.69571540854583</v>
      </c>
      <c r="AC92" s="48">
        <f>MAX(Tabela3[[#This Row],[Cotação 1]:[Cotação 4]])</f>
        <v>24.53</v>
      </c>
      <c r="AD92" s="44">
        <f>Tabela3[Cotação]/Tabela3[VPA]</f>
        <v>0.49360392135096914</v>
      </c>
      <c r="AE92" s="40">
        <f>IF(Tabela3[[#This Row],[Lucro/Ação]]&gt;0,Tabela3[[#This Row],[Cotação]]/(Tabela3[[#This Row],[Lucro/Ação]]/Tabela3[Ref]*4),0)</f>
        <v>21.726518015669516</v>
      </c>
      <c r="AF92" s="91" t="e">
        <f>IF(Tabela3[Div. Mínimo]=0,0,Tabela3[Lucro Distribuir]*#REF!/Tabela3[Total Ações])</f>
        <v>#REF!</v>
      </c>
      <c r="AG92" s="80">
        <f>Tabela3[Lucro Distribuir]/Tabela3[Total Ações]</f>
        <v>0.80443746151108309</v>
      </c>
      <c r="AH9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0.19485208828239556</v>
      </c>
      <c r="AI92" s="14" t="str">
        <f>IF(AND(Tabela3[% A.A.]&gt;=7%,SUMPRODUCT(N(Tabela3[Nome]=Tabela3[[#This Row],[Nome]]),Tabela3[PL])&gt;0),"Sim","Não")</f>
        <v>Não</v>
      </c>
      <c r="AJ92" s="42">
        <f>IF(Tabela3[Cotação]&gt;0,Tabela3[[#This Row],[Lucro]]/Tabela3[[#This Row],[Cotação]],0)</f>
        <v>7.9434198239867731E-3</v>
      </c>
      <c r="AK92" s="42">
        <f>((1+Tabela3[[#This Row],[% Yield]])^(1/(3*Tabela3[[#This Row],[Ref]])))^(12)-1</f>
        <v>1.0605223521953366E-2</v>
      </c>
      <c r="AL92" s="14">
        <f>IF(Tabela3[Cotação]&gt;0,($AS$1/Tabela3[[#This Row],[Cotação]]-MOD($AS$1/Tabela3[[#This Row],[Cotação]],100)),)</f>
        <v>0</v>
      </c>
      <c r="AM92" s="17">
        <f>Tabela3[[#This Row],[Ativos]]*Tabela3[Lucro]</f>
        <v>0</v>
      </c>
      <c r="AN92" s="17">
        <f>SUMPRODUCT(N(Tabela1[Código]=Tabela3[[#This Row],[PAPEL]]),Tabela1[Fechamento])</f>
        <v>0</v>
      </c>
      <c r="AO92" s="17">
        <f>SUMPRODUCT(N(Tabela17[Código]=Tabela3[[#This Row],[PAPEL]]),Tabela17[Fechamento])</f>
        <v>24.53</v>
      </c>
      <c r="AP92" s="7">
        <f>SUMPRODUCT(N(Tabela176[Código]=Tabela3[[#This Row],[PAPEL]]),Tabela176[Fechamento])</f>
        <v>0</v>
      </c>
      <c r="AQ92" s="7">
        <f>SUMPRODUCT(N(Tabela1768[Código]=Tabela3[[#This Row],[PAPEL]]),Tabela1768[Fechamento])</f>
        <v>0</v>
      </c>
    </row>
    <row r="93" spans="1:43" hidden="1" x14ac:dyDescent="0.2">
      <c r="A93" s="4" t="s">
        <v>12</v>
      </c>
      <c r="B93" s="57" t="s">
        <v>70</v>
      </c>
      <c r="C93" s="14" t="str">
        <f>LEFT(Tabela3[PAPEL],LEN(Tabela3[PAPEL])-(LEN(Tabela3[PAPEL])-4))</f>
        <v>CEPE</v>
      </c>
      <c r="D93" s="15">
        <v>3</v>
      </c>
      <c r="E93" s="6">
        <v>590173759.38999999</v>
      </c>
      <c r="F93" s="8">
        <v>7567254</v>
      </c>
      <c r="G93" s="88">
        <v>0.1</v>
      </c>
      <c r="H93" s="15"/>
      <c r="I93" s="19"/>
      <c r="J93" s="19"/>
      <c r="K93" s="90"/>
      <c r="L93" s="90"/>
      <c r="M93" s="92">
        <v>3707916000</v>
      </c>
      <c r="N93" s="92">
        <v>63180000</v>
      </c>
      <c r="O93" s="6">
        <f>Tabela3[[#This Row],[Capital Social]]*20%</f>
        <v>118034751.87800001</v>
      </c>
      <c r="P93" s="6">
        <f>IF((Tabela3[Lucro Líquido]*5%)&gt;Tabela3[Teto R. Legal],Tabela3[Teto R. Legal],Tabela3[Lucro Líquido]*5%)</f>
        <v>3159000</v>
      </c>
      <c r="Q93" s="92">
        <f>IF(Tabela3[Lucro Líquido]&lt;0,0,Tabela3[Lucro Líquido]-Tabela3[Reserva Legal])</f>
        <v>60021000</v>
      </c>
      <c r="R93" s="92">
        <f>Tabela3[[#This Row],[Lucro Distribuir]]*Tabela3[%Div]</f>
        <v>6002100</v>
      </c>
      <c r="S93" s="56">
        <f>SUMPRODUCT(N(Tabela3[Nome]=Tabela3[[#This Row],[Nome]]),Tabela3[Ações])</f>
        <v>74612388</v>
      </c>
      <c r="T93" s="6">
        <f>Tabela3[Capital Social]/Tabela3[Total Ações]</f>
        <v>7.9098628955556283</v>
      </c>
      <c r="U93" s="80">
        <f>Tabela3[[#This Row],[Lucro Líquido]]/Tabela3[[#This Row],[Total Ações]]</f>
        <v>0.84677627527482435</v>
      </c>
      <c r="V9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7.7940835312958229E-2</v>
      </c>
      <c r="W9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9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7.7940835312958229E-2</v>
      </c>
      <c r="Z93" s="6">
        <f>Tabela3[Div Base]*Tabela3[Ações]</f>
        <v>589798.09778532444</v>
      </c>
      <c r="AA93" s="6">
        <f>SUMPRODUCT(N(Tabela3[Nome]=Tabela3[[#This Row],[Nome]]),Tabela3[Div Base]*Tabela3[Ações])</f>
        <v>13668149.085004007</v>
      </c>
      <c r="AB93" s="92">
        <f>Tabela3[Patrimônio Líquido]/Tabela3[Total Ações]</f>
        <v>49.69571540854583</v>
      </c>
      <c r="AC93" s="48">
        <f>MAX(Tabela3[[#This Row],[Cotação 1]:[Cotação 4]])</f>
        <v>18</v>
      </c>
      <c r="AD93" s="44">
        <f>Tabela3[Cotação]/Tabela3[VPA]</f>
        <v>0.36220426352700547</v>
      </c>
      <c r="AE93" s="40">
        <f>IF(Tabela3[[#This Row],[Lucro/Ação]]&gt;0,Tabela3[[#This Row],[Cotação]]/(Tabela3[[#This Row],[Lucro/Ação]]/Tabela3[Ref]*4),0)</f>
        <v>15.942817948717947</v>
      </c>
      <c r="AF93" s="40" t="e">
        <f>IF(Tabela3[Div. Mínimo]=0,0,Tabela3[Lucro Distribuir]*#REF!/Tabela3[Total Ações])</f>
        <v>#REF!</v>
      </c>
      <c r="AG93" s="80">
        <f>Tabela3[Lucro Distribuir]/Tabela3[Total Ações]</f>
        <v>0.80443746151108309</v>
      </c>
      <c r="AH9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7.7940835312958229E-2</v>
      </c>
      <c r="AI93" s="14" t="str">
        <f>IF(AND(Tabela3[% A.A.]&gt;=7%,SUMPRODUCT(N(Tabela3[Nome]=Tabela3[[#This Row],[Nome]]),Tabela3[PL])&gt;0),"Sim","Não")</f>
        <v>Não</v>
      </c>
      <c r="AJ93" s="42">
        <f>IF(Tabela3[Cotação]&gt;0,Tabela3[[#This Row],[Lucro]]/Tabela3[[#This Row],[Cotação]],0)</f>
        <v>4.3300464062754574E-3</v>
      </c>
      <c r="AK93" s="19">
        <f>((1+Tabela3[[#This Row],[% Yield]])^(1/(3*Tabela3[[#This Row],[Ref]])))^(12)-1</f>
        <v>5.7775577179606241E-3</v>
      </c>
      <c r="AL93" s="14">
        <f>IF(Tabela3[Cotação]&gt;0,($AS$1/Tabela3[[#This Row],[Cotação]]-MOD($AS$1/Tabela3[[#This Row],[Cotação]],100)),)</f>
        <v>0</v>
      </c>
      <c r="AM93" s="17">
        <f>Tabela3[[#This Row],[Ativos]]*Tabela3[Lucro]</f>
        <v>0</v>
      </c>
      <c r="AN93" s="5">
        <f>SUMPRODUCT(N(Tabela1[Código]=Tabela3[[#This Row],[PAPEL]]),Tabela1[Fechamento])</f>
        <v>18</v>
      </c>
      <c r="AO93" s="5">
        <f>SUMPRODUCT(N(Tabela17[Código]=Tabela3[[#This Row],[PAPEL]]),Tabela17[Fechamento])</f>
        <v>0</v>
      </c>
      <c r="AP93" s="7">
        <f>SUMPRODUCT(N(Tabela176[Código]=Tabela3[[#This Row],[PAPEL]]),Tabela176[Fechamento])</f>
        <v>0</v>
      </c>
      <c r="AQ93" s="7">
        <f>SUMPRODUCT(N(Tabela1768[Código]=Tabela3[[#This Row],[PAPEL]]),Tabela1768[Fechamento])</f>
        <v>0</v>
      </c>
    </row>
    <row r="94" spans="1:43" hidden="1" x14ac:dyDescent="0.2">
      <c r="A94" s="4" t="s">
        <v>12</v>
      </c>
      <c r="B94" s="57" t="s">
        <v>92</v>
      </c>
      <c r="C94" s="14" t="str">
        <f>LEFT(Tabela3[PAPEL],LEN(Tabela3[PAPEL])-(LEN(Tabela3[PAPEL])-4))</f>
        <v>CEPE</v>
      </c>
      <c r="D94" s="15">
        <v>3</v>
      </c>
      <c r="E94" s="6">
        <v>590173759.38999999</v>
      </c>
      <c r="F94" s="8">
        <v>742441</v>
      </c>
      <c r="G94" s="83">
        <v>0.25</v>
      </c>
      <c r="H94" s="15"/>
      <c r="I94" s="19"/>
      <c r="J94" s="19">
        <v>0.1</v>
      </c>
      <c r="K94" s="90"/>
      <c r="L94" s="90"/>
      <c r="M94" s="92">
        <v>3707916000</v>
      </c>
      <c r="N94" s="92">
        <v>63180000</v>
      </c>
      <c r="O94" s="6">
        <f>Tabela3[[#This Row],[Capital Social]]*20%</f>
        <v>118034751.87800001</v>
      </c>
      <c r="P94" s="6">
        <f>IF((Tabela3[Lucro Líquido]*5%)&gt;Tabela3[Teto R. Legal],Tabela3[Teto R. Legal],Tabela3[Lucro Líquido]*5%)</f>
        <v>3159000</v>
      </c>
      <c r="Q94" s="92">
        <f>IF(Tabela3[Lucro Líquido]&lt;0,0,Tabela3[Lucro Líquido]-Tabela3[Reserva Legal])</f>
        <v>60021000</v>
      </c>
      <c r="R94" s="92">
        <f>Tabela3[[#This Row],[Lucro Distribuir]]*Tabela3[%Div]</f>
        <v>15005250</v>
      </c>
      <c r="S94" s="56">
        <f>SUMPRODUCT(N(Tabela3[Nome]=Tabela3[[#This Row],[Nome]]),Tabela3[Ações])</f>
        <v>74612388</v>
      </c>
      <c r="T94" s="6">
        <f>Tabela3[Capital Social]/Tabela3[Total Ações]</f>
        <v>7.9098628955556283</v>
      </c>
      <c r="U94" s="80">
        <f>Tabela3[[#This Row],[Lucro Líquido]]/Tabela3[[#This Row],[Total Ações]]</f>
        <v>0.84677627527482435</v>
      </c>
      <c r="V9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0.21433729740425478</v>
      </c>
      <c r="W9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9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0.21433729740425478</v>
      </c>
      <c r="Z94" s="6">
        <f>Tabela3[Div Base]*Tabela3[Ações]</f>
        <v>159132.79742211231</v>
      </c>
      <c r="AA94" s="6">
        <f>SUMPRODUCT(N(Tabela3[Nome]=Tabela3[[#This Row],[Nome]]),Tabela3[Div Base]*Tabela3[Ações])</f>
        <v>13668149.085004007</v>
      </c>
      <c r="AB94" s="92">
        <f>Tabela3[Patrimônio Líquido]/Tabela3[Total Ações]</f>
        <v>49.69571540854583</v>
      </c>
      <c r="AC94" s="48">
        <f>MAX(Tabela3[[#This Row],[Cotação 1]:[Cotação 4]])</f>
        <v>18.11</v>
      </c>
      <c r="AD94" s="44">
        <f>Tabela3[Cotação]/Tabela3[VPA]</f>
        <v>0.36441773402633715</v>
      </c>
      <c r="AE94" s="40">
        <f>IF(Tabela3[[#This Row],[Lucro/Ação]]&gt;0,Tabela3[[#This Row],[Cotação]]/(Tabela3[[#This Row],[Lucro/Ação]]/Tabela3[Ref]*4),0)</f>
        <v>16.040246280626778</v>
      </c>
      <c r="AF94" s="40" t="e">
        <f>IF(Tabela3[Div. Mínimo]=0,0,Tabela3[Lucro Distribuir]*#REF!/Tabela3[Total Ações])</f>
        <v>#REF!</v>
      </c>
      <c r="AG94" s="80">
        <f>Tabela3[Lucro Distribuir]/Tabela3[Total Ações]</f>
        <v>0.80443746151108309</v>
      </c>
      <c r="AH9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0.21433729740425478</v>
      </c>
      <c r="AI94" s="15" t="str">
        <f>IF(AND(Tabela3[% A.A.]&gt;=7%,SUMPRODUCT(N(Tabela3[Nome]=Tabela3[[#This Row],[Nome]]),Tabela3[PL])&gt;0),"Sim","Não")</f>
        <v>Não</v>
      </c>
      <c r="AJ94" s="42">
        <f>IF(Tabela3[Cotação]&gt;0,Tabela3[[#This Row],[Lucro]]/Tabela3[[#This Row],[Cotação]],0)</f>
        <v>1.1835300795375748E-2</v>
      </c>
      <c r="AK94" s="19">
        <f>((1+Tabela3[[#This Row],[% Yield]])^(1/(3*Tabela3[[#This Row],[Ref]])))^(12)-1</f>
        <v>1.5811447226143027E-2</v>
      </c>
      <c r="AL94" s="14">
        <f>IF(Tabela3[Cotação]&gt;0,($AS$1/Tabela3[[#This Row],[Cotação]]-MOD($AS$1/Tabela3[[#This Row],[Cotação]],100)),)</f>
        <v>0</v>
      </c>
      <c r="AM94" s="17">
        <f>Tabela3[[#This Row],[Ativos]]*Tabela3[Lucro]</f>
        <v>0</v>
      </c>
      <c r="AN94" s="5">
        <f>SUMPRODUCT(N(Tabela1[Código]=Tabela3[[#This Row],[PAPEL]]),Tabela1[Fechamento])</f>
        <v>18.11</v>
      </c>
      <c r="AO94" s="5">
        <f>SUMPRODUCT(N(Tabela17[Código]=Tabela3[[#This Row],[PAPEL]]),Tabela17[Fechamento])</f>
        <v>0</v>
      </c>
      <c r="AP94" s="7">
        <f>SUMPRODUCT(N(Tabela176[Código]=Tabela3[[#This Row],[PAPEL]]),Tabela176[Fechamento])</f>
        <v>0</v>
      </c>
      <c r="AQ94" s="7">
        <f>SUMPRODUCT(N(Tabela1768[Código]=Tabela3[[#This Row],[PAPEL]]),Tabela1768[Fechamento])</f>
        <v>0</v>
      </c>
    </row>
    <row r="95" spans="1:43" hidden="1" x14ac:dyDescent="0.2">
      <c r="A95" s="4" t="s">
        <v>12</v>
      </c>
      <c r="B95" s="57" t="s">
        <v>72</v>
      </c>
      <c r="C95" s="84" t="str">
        <f>LEFT(Tabela3[PAPEL],LEN(Tabela3[PAPEL])-(LEN(Tabela3[PAPEL])-4))</f>
        <v>CESP</v>
      </c>
      <c r="D95" s="15">
        <v>3</v>
      </c>
      <c r="E95" s="6">
        <v>5975433454.4300003</v>
      </c>
      <c r="F95" s="8">
        <v>109167558</v>
      </c>
      <c r="G95" s="88">
        <v>0.25</v>
      </c>
      <c r="H95" s="19"/>
      <c r="I95" s="19"/>
      <c r="J95" s="19"/>
      <c r="K95" s="90"/>
      <c r="L95" s="90"/>
      <c r="M95" s="92">
        <v>10479149000</v>
      </c>
      <c r="N95" s="101">
        <v>795212000</v>
      </c>
      <c r="O95" s="6">
        <f>Tabela3[[#This Row],[Capital Social]]*20%</f>
        <v>1195086690.8860002</v>
      </c>
      <c r="P95" s="6">
        <f>IF((Tabela3[Lucro Líquido]*5%)&gt;Tabela3[Teto R. Legal],Tabela3[Teto R. Legal],Tabela3[Lucro Líquido]*5%)</f>
        <v>39760600</v>
      </c>
      <c r="Q95" s="92">
        <f>IF(Tabela3[Lucro Líquido]&lt;0,0,Tabela3[Lucro Líquido]-Tabela3[Reserva Legal])</f>
        <v>755451400</v>
      </c>
      <c r="R95" s="92">
        <f>Tabela3[[#This Row],[Lucro Distribuir]]*Tabela3[%Div]</f>
        <v>188862850</v>
      </c>
      <c r="S95" s="56">
        <f>SUMPRODUCT(N(Tabela3[Nome]=Tabela3[[#This Row],[Nome]]),Tabela3[Ações])</f>
        <v>327502673</v>
      </c>
      <c r="T95" s="6">
        <f>Tabela3[Capital Social]/Tabela3[Total Ações]</f>
        <v>18.245449417843378</v>
      </c>
      <c r="U95" s="80">
        <f>Tabela3[[#This Row],[Lucro Líquido]]/Tabela3[[#This Row],[Total Ações]]</f>
        <v>2.4281084264616064</v>
      </c>
      <c r="V9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W9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0.5466194784539764</v>
      </c>
      <c r="Y9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0.5466194784539764</v>
      </c>
      <c r="Z95" s="6">
        <f>Tabela3[Div Base]*Tabela3[Ações]</f>
        <v>59673113.618054219</v>
      </c>
      <c r="AA95" s="6">
        <f>SUMPRODUCT(N(Tabela3[Nome]=Tabela3[[#This Row],[Nome]]),Tabela3[Div Base]*Tabela3[Ações])</f>
        <v>188862850</v>
      </c>
      <c r="AB95" s="92">
        <f>Tabela3[Patrimônio Líquido]/Tabela3[Total Ações]</f>
        <v>31.99714037143141</v>
      </c>
      <c r="AC95" s="48">
        <f>MAX(Tabela3[[#This Row],[Cotação 1]:[Cotação 4]])</f>
        <v>19.71</v>
      </c>
      <c r="AD95" s="44">
        <f>Tabela3[Cotação]/Tabela3[VPA]</f>
        <v>0.61599254718393648</v>
      </c>
      <c r="AE95" s="40">
        <f>IF(Tabela3[[#This Row],[Lucro/Ação]]&gt;0,Tabela3[[#This Row],[Cotação]]/(Tabela3[[#This Row],[Lucro/Ação]]/Tabela3[Ref]*4),0)</f>
        <v>6.0880724431000788</v>
      </c>
      <c r="AF95" s="77" t="e">
        <f>IF(Tabela3[Div. Mínimo]=0,0,Tabela3[Lucro Distribuir]*#REF!/Tabela3[Total Ações])</f>
        <v>#REF!</v>
      </c>
      <c r="AG95" s="80">
        <f>Tabela3[Lucro Distribuir]/Tabela3[Total Ações]</f>
        <v>2.3067030051385262</v>
      </c>
      <c r="AH9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0.5466194784539764</v>
      </c>
      <c r="AI95" s="14" t="str">
        <f>IF(AND(Tabela3[% A.A.]&gt;=7%,SUMPRODUCT(N(Tabela3[Nome]=Tabela3[[#This Row],[Nome]]),Tabela3[PL])&gt;0),"Sim","Não")</f>
        <v>Não</v>
      </c>
      <c r="AJ95" s="42">
        <f>IF(Tabela3[Cotação]&gt;0,Tabela3[[#This Row],[Lucro]]/Tabela3[[#This Row],[Cotação]],0)</f>
        <v>2.7733103929679166E-2</v>
      </c>
      <c r="AK95" s="19">
        <f>((1+Tabela3[[#This Row],[% Yield]])^(1/(3*Tabela3[[#This Row],[Ref]])))^(12)-1</f>
        <v>3.7147347235204409E-2</v>
      </c>
      <c r="AL95" s="14">
        <f>IF(Tabela3[Cotação]&gt;0,($AS$1/Tabela3[[#This Row],[Cotação]]-MOD($AS$1/Tabela3[[#This Row],[Cotação]],100)),)</f>
        <v>0</v>
      </c>
      <c r="AM95" s="17">
        <f>Tabela3[[#This Row],[Ativos]]*Tabela3[Lucro]</f>
        <v>0</v>
      </c>
      <c r="AN95" s="5">
        <f>SUMPRODUCT(N(Tabela1[Código]=Tabela3[[#This Row],[PAPEL]]),Tabela1[Fechamento])</f>
        <v>19.71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  <c r="AQ95" s="7">
        <f>SUMPRODUCT(N(Tabela1768[Código]=Tabela3[[#This Row],[PAPEL]]),Tabela1768[Fechamento])</f>
        <v>0</v>
      </c>
    </row>
    <row r="96" spans="1:43" x14ac:dyDescent="0.2">
      <c r="A96" s="4" t="s">
        <v>370</v>
      </c>
      <c r="B96" s="57" t="s">
        <v>375</v>
      </c>
      <c r="C96" s="84" t="str">
        <f>LEFT(Tabela3[PAPEL],LEN(Tabela3[PAPEL])-(LEN(Tabela3[PAPEL])-4))</f>
        <v>CRIV</v>
      </c>
      <c r="D96" s="15">
        <v>3</v>
      </c>
      <c r="E96" s="6">
        <v>331000000</v>
      </c>
      <c r="F96" s="8">
        <v>46326898</v>
      </c>
      <c r="G96" s="88">
        <v>0.25</v>
      </c>
      <c r="H96" s="15"/>
      <c r="I96" s="19">
        <v>0.08</v>
      </c>
      <c r="J96" s="19"/>
      <c r="K96" s="90"/>
      <c r="L96" s="90"/>
      <c r="M96" s="6">
        <v>735745000</v>
      </c>
      <c r="N96" s="102">
        <v>39503000</v>
      </c>
      <c r="O96" s="6">
        <f>Tabela3[[#This Row],[Capital Social]]*20%</f>
        <v>66200000</v>
      </c>
      <c r="P96" s="6">
        <f>IF((Tabela3[Lucro Líquido]*5%)&gt;Tabela3[Teto R. Legal],Tabela3[Teto R. Legal],Tabela3[Lucro Líquido]*5%)</f>
        <v>1975150</v>
      </c>
      <c r="Q96" s="6">
        <f>IF(Tabela3[Lucro Líquido]&lt;0,0,Tabela3[Lucro Líquido]-Tabela3[Reserva Legal])</f>
        <v>37527850</v>
      </c>
      <c r="R96" s="6">
        <f>Tabela3[[#This Row],[Lucro Distribuir]]*Tabela3[%Div]</f>
        <v>9381962.5</v>
      </c>
      <c r="S96" s="56">
        <f>SUMPRODUCT(N(Tabela3[Nome]=Tabela3[[#This Row],[Nome]]),Tabela3[Ações])</f>
        <v>105765903</v>
      </c>
      <c r="T96" s="6">
        <f>Tabela3[Capital Social]/Tabela3[Total Ações]</f>
        <v>3.1295530091583483</v>
      </c>
      <c r="U96" s="80">
        <f>Tabela3[[#This Row],[Lucro Líquido]]/Tabela3[[#This Row],[Total Ações]]</f>
        <v>0.37349466018363214</v>
      </c>
      <c r="V9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8.8704981793612636E-2</v>
      </c>
      <c r="W9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0.25036424073266789</v>
      </c>
      <c r="Y9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0.25036424073266789</v>
      </c>
      <c r="Z96" s="6">
        <f>Tabela3[Div Base]*Tabela3[Ações]</f>
        <v>11598598.643269751</v>
      </c>
      <c r="AA96" s="6">
        <f>SUMPRODUCT(N(Tabela3[Nome]=Tabela3[[#This Row],[Nome]]),Tabela3[Div Base]*Tabela3[Ações])</f>
        <v>11598598.643269751</v>
      </c>
      <c r="AB96" s="6">
        <f>Tabela3[Patrimônio Líquido]/Tabela3[Total Ações]</f>
        <v>6.9563534100399069</v>
      </c>
      <c r="AC96" s="48">
        <f>MAX(Tabela3[[#This Row],[Cotação 1]:[Cotação 4]])</f>
        <v>3.53</v>
      </c>
      <c r="AD96" s="44">
        <f>Tabela3[Cotação]/Tabela3[VPA]</f>
        <v>0.5074497789179675</v>
      </c>
      <c r="AE96" s="40">
        <f>IF(Tabela3[[#This Row],[Lucro/Ação]]&gt;0,Tabela3[[#This Row],[Cotação]]/(Tabela3[[#This Row],[Lucro/Ação]]/Tabela3[Ref]*4),0)</f>
        <v>7.0884547551451789</v>
      </c>
      <c r="AF96" s="40" t="e">
        <f>IF(Tabela3[Div. Mínimo]=0,0,Tabela3[Lucro Distribuir]*#REF!/Tabela3[Total Ações])</f>
        <v>#REF!</v>
      </c>
      <c r="AG96" s="80">
        <f>Tabela3[Lucro Distribuir]/Tabela3[Total Ações]</f>
        <v>0.35481992717445054</v>
      </c>
      <c r="AH9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0.25036424073266789</v>
      </c>
      <c r="AI96" s="15" t="str">
        <f>IF(AND(Tabela3[% A.A.]&gt;=7%,SUMPRODUCT(N(Tabela3[Nome]=Tabela3[[#This Row],[Nome]]),Tabela3[PL])&gt;0),"Sim","Não")</f>
        <v>Sim</v>
      </c>
      <c r="AJ96" s="42">
        <f>IF(Tabela3[Cotação]&gt;0,Tabela3[[#This Row],[Lucro]]/Tabela3[[#This Row],[Cotação]],0)</f>
        <v>7.0924714088574481E-2</v>
      </c>
      <c r="AK96" s="19">
        <f>((1+Tabela3[[#This Row],[% Yield]])^(1/(3*Tabela3[[#This Row],[Ref]])))^(12)-1</f>
        <v>9.5667016572510422E-2</v>
      </c>
      <c r="AL96" s="14">
        <f>IF(Tabela3[Cotação]&gt;0,($AS$1/Tabela3[[#This Row],[Cotação]]-MOD($AS$1/Tabela3[[#This Row],[Cotação]],100)),)</f>
        <v>200</v>
      </c>
      <c r="AM96" s="17">
        <f>Tabela3[[#This Row],[Ativos]]*Tabela3[Lucro]</f>
        <v>50.07284814653358</v>
      </c>
      <c r="AN96" s="13">
        <f>SUMPRODUCT(N(Tabela1[Código]=Tabela3[[#This Row],[PAPEL]]),Tabela1[Fechamento])</f>
        <v>0</v>
      </c>
      <c r="AO96" s="55">
        <f>SUMPRODUCT(N(Tabela17[Código]=Tabela3[[#This Row],[PAPEL]]),Tabela17[Fechamento])</f>
        <v>3.53</v>
      </c>
      <c r="AP96" s="7">
        <f>SUMPRODUCT(N(Tabela176[Código]=Tabela3[[#This Row],[PAPEL]]),Tabela176[Fechamento])</f>
        <v>0</v>
      </c>
      <c r="AQ96" s="7">
        <f>SUMPRODUCT(N(Tabela1768[Código]=Tabela3[[#This Row],[PAPEL]]),Tabela1768[Fechamento])</f>
        <v>0</v>
      </c>
    </row>
    <row r="97" spans="1:43" hidden="1" x14ac:dyDescent="0.2">
      <c r="A97" s="4" t="s">
        <v>12</v>
      </c>
      <c r="B97" s="57" t="s">
        <v>87</v>
      </c>
      <c r="C97" s="14" t="str">
        <f>LEFT(Tabela3[PAPEL],LEN(Tabela3[PAPEL])-(LEN(Tabela3[PAPEL])-4))</f>
        <v>CESP</v>
      </c>
      <c r="D97" s="15">
        <v>3</v>
      </c>
      <c r="E97" s="6">
        <v>5975433454.4300003</v>
      </c>
      <c r="F97" s="8">
        <v>210632389</v>
      </c>
      <c r="G97" s="88">
        <v>0.25</v>
      </c>
      <c r="H97" s="19"/>
      <c r="I97" s="19"/>
      <c r="J97" s="19"/>
      <c r="K97" s="90"/>
      <c r="L97" s="90"/>
      <c r="M97" s="92">
        <v>10479149000</v>
      </c>
      <c r="N97" s="92">
        <v>795212000</v>
      </c>
      <c r="O97" s="6">
        <f>Tabela3[[#This Row],[Capital Social]]*20%</f>
        <v>1195086690.8860002</v>
      </c>
      <c r="P97" s="6">
        <f>IF((Tabela3[Lucro Líquido]*5%)&gt;Tabela3[Teto R. Legal],Tabela3[Teto R. Legal],Tabela3[Lucro Líquido]*5%)</f>
        <v>39760600</v>
      </c>
      <c r="Q97" s="92">
        <f>IF(Tabela3[Lucro Líquido]&lt;0,0,Tabela3[Lucro Líquido]-Tabela3[Reserva Legal])</f>
        <v>755451400</v>
      </c>
      <c r="R97" s="92">
        <f>Tabela3[[#This Row],[Lucro Distribuir]]*Tabela3[%Div]</f>
        <v>188862850</v>
      </c>
      <c r="S97" s="56">
        <f>SUMPRODUCT(N(Tabela3[Nome]=Tabela3[[#This Row],[Nome]]),Tabela3[Ações])</f>
        <v>327502673</v>
      </c>
      <c r="T97" s="6">
        <f>Tabela3[Capital Social]/Tabela3[Total Ações]</f>
        <v>18.245449417843378</v>
      </c>
      <c r="U97" s="80">
        <f>Tabela3[[#This Row],[Lucro Líquido]]/Tabela3[[#This Row],[Total Ações]]</f>
        <v>2.4281084264616064</v>
      </c>
      <c r="V9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W9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0.5466194784539764</v>
      </c>
      <c r="Y9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0.5466194784539764</v>
      </c>
      <c r="Z97" s="6">
        <f>Tabela3[Div Base]*Tabela3[Ações]</f>
        <v>115135766.62069507</v>
      </c>
      <c r="AA97" s="6">
        <f>SUMPRODUCT(N(Tabela3[Nome]=Tabela3[[#This Row],[Nome]]),Tabela3[Div Base]*Tabela3[Ações])</f>
        <v>188862850</v>
      </c>
      <c r="AB97" s="92">
        <f>Tabela3[Patrimônio Líquido]/Tabela3[Total Ações]</f>
        <v>31.99714037143141</v>
      </c>
      <c r="AC97" s="48">
        <f>MAX(Tabela3[[#This Row],[Cotação 1]:[Cotação 4]])</f>
        <v>22.68</v>
      </c>
      <c r="AD97" s="44">
        <f>Tabela3[Cotação]/Tabela3[VPA]</f>
        <v>0.7088133419650775</v>
      </c>
      <c r="AE97" s="40">
        <f>IF(Tabela3[[#This Row],[Lucro/Ação]]&gt;0,Tabela3[[#This Row],[Cotação]]/(Tabela3[[#This Row],[Lucro/Ação]]/Tabela3[Ref]*4),0)</f>
        <v>7.0054532221973504</v>
      </c>
      <c r="AF97" s="77" t="e">
        <f>IF(Tabela3[Div. Mínimo]=0,0,Tabela3[Lucro Distribuir]*#REF!/Tabela3[Total Ações])</f>
        <v>#REF!</v>
      </c>
      <c r="AG97" s="80">
        <f>Tabela3[Lucro Distribuir]/Tabela3[Total Ações]</f>
        <v>2.3067030051385262</v>
      </c>
      <c r="AH9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0.5466194784539764</v>
      </c>
      <c r="AI97" s="15" t="str">
        <f>IF(AND(Tabela3[% A.A.]&gt;=7%,SUMPRODUCT(N(Tabela3[Nome]=Tabela3[[#This Row],[Nome]]),Tabela3[PL])&gt;0),"Sim","Não")</f>
        <v>Não</v>
      </c>
      <c r="AJ97" s="42">
        <f>IF(Tabela3[Cotação]&gt;0,Tabela3[[#This Row],[Lucro]]/Tabela3[[#This Row],[Cotação]],0)</f>
        <v>2.4101387938887848E-2</v>
      </c>
      <c r="AK97" s="19">
        <f>((1+Tabela3[[#This Row],[% Yield]])^(1/(3*Tabela3[[#This Row],[Ref]])))^(12)-1</f>
        <v>3.2263583173972155E-2</v>
      </c>
      <c r="AL97" s="14">
        <f>IF(Tabela3[Cotação]&gt;0,($AS$1/Tabela3[[#This Row],[Cotação]]-MOD($AS$1/Tabela3[[#This Row],[Cotação]],100)),)</f>
        <v>0</v>
      </c>
      <c r="AM97" s="17">
        <f>Tabela3[[#This Row],[Ativos]]*Tabela3[Lucro]</f>
        <v>0</v>
      </c>
      <c r="AN97" s="5">
        <f>SUMPRODUCT(N(Tabela1[Código]=Tabela3[[#This Row],[PAPEL]]),Tabela1[Fechamento])</f>
        <v>22.68</v>
      </c>
      <c r="AO97" s="5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  <c r="AQ97" s="7">
        <f>SUMPRODUCT(N(Tabela1768[Código]=Tabela3[[#This Row],[PAPEL]]),Tabela1768[Fechamento])</f>
        <v>0</v>
      </c>
    </row>
    <row r="98" spans="1:43" hidden="1" x14ac:dyDescent="0.2">
      <c r="A98" s="4" t="s">
        <v>536</v>
      </c>
      <c r="B98" s="57" t="s">
        <v>537</v>
      </c>
      <c r="C98" s="15" t="str">
        <f>LEFT(Tabela3[PAPEL],LEN(Tabela3[PAPEL])-(LEN(Tabela3[PAPEL])-4))</f>
        <v>CGAS</v>
      </c>
      <c r="D98" s="15">
        <v>3</v>
      </c>
      <c r="E98" s="6">
        <v>764155232.40999997</v>
      </c>
      <c r="F98" s="8">
        <v>93910898</v>
      </c>
      <c r="G98" s="83">
        <v>0.25</v>
      </c>
      <c r="H98" s="15"/>
      <c r="I98" s="19"/>
      <c r="J98" s="19"/>
      <c r="K98" s="90"/>
      <c r="L98" s="90"/>
      <c r="M98" s="96">
        <v>2618526000</v>
      </c>
      <c r="N98" s="96">
        <v>445319000</v>
      </c>
      <c r="O98" s="13">
        <f>Tabela3[[#This Row],[Capital Social]]*20%</f>
        <v>152831046.48199999</v>
      </c>
      <c r="P98" s="13">
        <f>IF((Tabela3[Lucro Líquido]*5%)&gt;Tabela3[Teto R. Legal],Tabela3[Teto R. Legal],Tabela3[Lucro Líquido]*5%)</f>
        <v>22265950</v>
      </c>
      <c r="Q98" s="13">
        <f>IF(Tabela3[Lucro Líquido]&lt;0,0,Tabela3[Lucro Líquido]-Tabela3[Reserva Legal])</f>
        <v>423053050</v>
      </c>
      <c r="R98" s="13">
        <f>Tabela3[[#This Row],[Lucro Distribuir]]*Tabela3[%Div]</f>
        <v>105763262.5</v>
      </c>
      <c r="S98" s="56">
        <f>SUMPRODUCT(N(Tabela3[Nome]=Tabela3[[#This Row],[Nome]]),Tabela3[Ações])</f>
        <v>119822797</v>
      </c>
      <c r="T98" s="6">
        <f>Tabela3[Capital Social]/Tabela3[Total Ações]</f>
        <v>6.3773776905741899</v>
      </c>
      <c r="U98" s="80">
        <f>Tabela3[[#This Row],[Lucro Líquido]]/Tabela3[[#This Row],[Total Ações]]</f>
        <v>3.7164797613596017</v>
      </c>
      <c r="V9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0.88266394332290543</v>
      </c>
      <c r="W9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0.95024398382069386</v>
      </c>
      <c r="Y9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0.88266394332290543</v>
      </c>
      <c r="Z98" s="13">
        <f>Tabela3[Div Base]*Tabela3[Ações]</f>
        <v>82891763.549675152</v>
      </c>
      <c r="AA98" s="13">
        <f>SUMPRODUCT(N(Tabela3[Nome]=Tabela3[[#This Row],[Nome]]),Tabela3[Div Base]*Tabela3[Ações])</f>
        <v>105763262.5</v>
      </c>
      <c r="AB98" s="95">
        <f>Tabela3[Patrimônio Líquido]/Tabela3[Total Ações]</f>
        <v>21.853320616443298</v>
      </c>
      <c r="AC98" s="48">
        <f>MAX(Tabela3[[#This Row],[Cotação 1]:[Cotação 4]])</f>
        <v>47</v>
      </c>
      <c r="AD98" s="44">
        <f>Tabela3[Cotação]/Tabela3[VPA]</f>
        <v>2.1507028988828063</v>
      </c>
      <c r="AE98" s="40">
        <f>IF(Tabela3[[#This Row],[Lucro/Ação]]&gt;0,Tabela3[[#This Row],[Cotação]]/(Tabela3[[#This Row],[Lucro/Ação]]/Tabela3[Ref]*4),0)</f>
        <v>9.4847819074640878</v>
      </c>
      <c r="AF98" s="91" t="e">
        <f>IF(Tabela3[Div. Mínimo]=0,0,Tabela3[Lucro Distribuir]*#REF!/Tabela3[Total Ações])</f>
        <v>#REF!</v>
      </c>
      <c r="AG98" s="80">
        <f>Tabela3[Lucro Distribuir]/Tabela3[Total Ações]</f>
        <v>3.5306557732916217</v>
      </c>
      <c r="AH9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0.88266394332290543</v>
      </c>
      <c r="AI98" s="14" t="str">
        <f>IF(AND(Tabela3[% A.A.]&gt;=7%,SUMPRODUCT(N(Tabela3[Nome]=Tabela3[[#This Row],[Nome]]),Tabela3[PL])&gt;0),"Sim","Não")</f>
        <v>Não</v>
      </c>
      <c r="AJ98" s="42">
        <f>IF(Tabela3[Cotação]&gt;0,Tabela3[[#This Row],[Lucro]]/Tabela3[[#This Row],[Cotação]],0)</f>
        <v>1.8780083900487351E-2</v>
      </c>
      <c r="AK98" s="42">
        <f>((1+Tabela3[[#This Row],[% Yield]])^(1/(3*Tabela3[[#This Row],[Ref]])))^(12)-1</f>
        <v>2.5118163211537148E-2</v>
      </c>
      <c r="AL98" s="14">
        <f>IF(Tabela3[Cotação]&gt;0,($AS$1/Tabela3[[#This Row],[Cotação]]-MOD($AS$1/Tabela3[[#This Row],[Cotação]],100)),)</f>
        <v>0</v>
      </c>
      <c r="AM98" s="17">
        <f>Tabela3[[#This Row],[Ativos]]*Tabela3[Lucro]</f>
        <v>0</v>
      </c>
      <c r="AN98" s="17">
        <f>SUMPRODUCT(N(Tabela1[Código]=Tabela3[[#This Row],[PAPEL]]),Tabela1[Fechamento])</f>
        <v>0</v>
      </c>
      <c r="AO98" s="17">
        <f>SUMPRODUCT(N(Tabela17[Código]=Tabela3[[#This Row],[PAPEL]]),Tabela17[Fechamento])</f>
        <v>47</v>
      </c>
      <c r="AP98" s="7">
        <f>SUMPRODUCT(N(Tabela176[Código]=Tabela3[[#This Row],[PAPEL]]),Tabela176[Fechamento])</f>
        <v>0</v>
      </c>
      <c r="AQ98" s="7">
        <f>SUMPRODUCT(N(Tabela1768[Código]=Tabela3[[#This Row],[PAPEL]]),Tabela1768[Fechamento])</f>
        <v>0</v>
      </c>
    </row>
    <row r="99" spans="1:43" hidden="1" x14ac:dyDescent="0.2">
      <c r="A99" s="4" t="s">
        <v>536</v>
      </c>
      <c r="B99" s="57" t="s">
        <v>538</v>
      </c>
      <c r="C99" s="15" t="str">
        <f>LEFT(Tabela3[PAPEL],LEN(Tabela3[PAPEL])-(LEN(Tabela3[PAPEL])-4))</f>
        <v>CGAS</v>
      </c>
      <c r="D99" s="15">
        <v>3</v>
      </c>
      <c r="E99" s="6">
        <v>764155232.40999997</v>
      </c>
      <c r="F99" s="8">
        <v>25911899</v>
      </c>
      <c r="G99" s="83">
        <v>0.25</v>
      </c>
      <c r="H99" s="15"/>
      <c r="I99" s="19">
        <v>0.1</v>
      </c>
      <c r="J99" s="19"/>
      <c r="K99" s="90"/>
      <c r="L99" s="90"/>
      <c r="M99" s="96">
        <v>2618526000</v>
      </c>
      <c r="N99" s="96">
        <v>445319000</v>
      </c>
      <c r="O99" s="13">
        <f>Tabela3[[#This Row],[Capital Social]]*20%</f>
        <v>152831046.48199999</v>
      </c>
      <c r="P99" s="13">
        <f>IF((Tabela3[Lucro Líquido]*5%)&gt;Tabela3[Teto R. Legal],Tabela3[Teto R. Legal],Tabela3[Lucro Líquido]*5%)</f>
        <v>22265950</v>
      </c>
      <c r="Q99" s="13">
        <f>IF(Tabela3[Lucro Líquido]&lt;0,0,Tabela3[Lucro Líquido]-Tabela3[Reserva Legal])</f>
        <v>423053050</v>
      </c>
      <c r="R99" s="13">
        <f>Tabela3[[#This Row],[Lucro Distribuir]]*Tabela3[%Div]</f>
        <v>105763262.5</v>
      </c>
      <c r="S99" s="56">
        <f>SUMPRODUCT(N(Tabela3[Nome]=Tabela3[[#This Row],[Nome]]),Tabela3[Ações])</f>
        <v>119822797</v>
      </c>
      <c r="T99" s="6">
        <f>Tabela3[Capital Social]/Tabela3[Total Ações]</f>
        <v>6.3773776905741899</v>
      </c>
      <c r="U99" s="80">
        <f>Tabela3[[#This Row],[Lucro Líquido]]/Tabela3[[#This Row],[Total Ações]]</f>
        <v>3.7164797613596017</v>
      </c>
      <c r="V9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0.88266394332290543</v>
      </c>
      <c r="W9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9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0.63773776905741897</v>
      </c>
      <c r="Y9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0.88266394332290543</v>
      </c>
      <c r="Z99" s="13">
        <f>Tabela3[Div Base]*Tabela3[Ações]</f>
        <v>22871498.950324848</v>
      </c>
      <c r="AA99" s="13">
        <f>SUMPRODUCT(N(Tabela3[Nome]=Tabela3[[#This Row],[Nome]]),Tabela3[Div Base]*Tabela3[Ações])</f>
        <v>105763262.5</v>
      </c>
      <c r="AB99" s="95">
        <f>Tabela3[Patrimônio Líquido]/Tabela3[Total Ações]</f>
        <v>21.853320616443298</v>
      </c>
      <c r="AC99" s="48">
        <f>MAX(Tabela3[[#This Row],[Cotação 1]:[Cotação 4]])</f>
        <v>51.79</v>
      </c>
      <c r="AD99" s="44">
        <f>Tabela3[Cotação]/Tabela3[VPA]</f>
        <v>2.369891556024267</v>
      </c>
      <c r="AE99" s="40">
        <f>IF(Tabela3[[#This Row],[Lucro/Ação]]&gt;0,Tabela3[[#This Row],[Cotação]]/(Tabela3[[#This Row],[Lucro/Ação]]/Tabela3[Ref]*4),0)</f>
        <v>10.451422446543939</v>
      </c>
      <c r="AF99" s="91" t="e">
        <f>IF(Tabela3[Div. Mínimo]=0,0,Tabela3[Lucro Distribuir]*#REF!/Tabela3[Total Ações])</f>
        <v>#REF!</v>
      </c>
      <c r="AG99" s="80">
        <f>Tabela3[Lucro Distribuir]/Tabela3[Total Ações]</f>
        <v>3.5306557732916217</v>
      </c>
      <c r="AH9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0.88266394332290543</v>
      </c>
      <c r="AI99" s="14" t="str">
        <f>IF(AND(Tabela3[% A.A.]&gt;=7%,SUMPRODUCT(N(Tabela3[Nome]=Tabela3[[#This Row],[Nome]]),Tabela3[PL])&gt;0),"Sim","Não")</f>
        <v>Não</v>
      </c>
      <c r="AJ99" s="42">
        <f>IF(Tabela3[Cotação]&gt;0,Tabela3[[#This Row],[Lucro]]/Tabela3[[#This Row],[Cotação]],0)</f>
        <v>1.7043134646126772E-2</v>
      </c>
      <c r="AK99" s="42">
        <f>((1+Tabela3[[#This Row],[% Yield]])^(1/(3*Tabela3[[#This Row],[Ref]])))^(12)-1</f>
        <v>2.2788485321726837E-2</v>
      </c>
      <c r="AL99" s="14">
        <f>IF(Tabela3[Cotação]&gt;0,($AS$1/Tabela3[[#This Row],[Cotação]]-MOD($AS$1/Tabela3[[#This Row],[Cotação]],100)),)</f>
        <v>0</v>
      </c>
      <c r="AM99" s="17">
        <f>Tabela3[[#This Row],[Ativos]]*Tabela3[Lucro]</f>
        <v>0</v>
      </c>
      <c r="AN99" s="17">
        <f>SUMPRODUCT(N(Tabela1[Código]=Tabela3[[#This Row],[PAPEL]]),Tabela1[Fechamento])</f>
        <v>0</v>
      </c>
      <c r="AO99" s="17">
        <f>SUMPRODUCT(N(Tabela17[Código]=Tabela3[[#This Row],[PAPEL]]),Tabela17[Fechamento])</f>
        <v>51.79</v>
      </c>
      <c r="AP99" s="7">
        <f>SUMPRODUCT(N(Tabela176[Código]=Tabela3[[#This Row],[PAPEL]]),Tabela176[Fechamento])</f>
        <v>0</v>
      </c>
      <c r="AQ99" s="7">
        <f>SUMPRODUCT(N(Tabela1768[Código]=Tabela3[[#This Row],[PAPEL]]),Tabela1768[Fechamento])</f>
        <v>0</v>
      </c>
    </row>
    <row r="100" spans="1:43" hidden="1" x14ac:dyDescent="0.2">
      <c r="A100" s="4" t="s">
        <v>384</v>
      </c>
      <c r="B100" s="57" t="s">
        <v>387</v>
      </c>
      <c r="C100" s="84" t="str">
        <f>LEFT(Tabela3[PAPEL],LEN(Tabela3[PAPEL])-(LEN(Tabela3[PAPEL])-4))</f>
        <v>CIEL</v>
      </c>
      <c r="D100" s="15">
        <v>3</v>
      </c>
      <c r="E100" s="6">
        <v>1000000000</v>
      </c>
      <c r="F100" s="38">
        <v>786115469</v>
      </c>
      <c r="G100" s="83">
        <v>0.5</v>
      </c>
      <c r="H100" s="15"/>
      <c r="I100" s="19"/>
      <c r="J100" s="19"/>
      <c r="K100" s="90"/>
      <c r="L100" s="90"/>
      <c r="M100" s="6">
        <v>2947112000</v>
      </c>
      <c r="N100" s="6">
        <v>1953406000</v>
      </c>
      <c r="O100" s="6">
        <f>Tabela3[[#This Row],[Capital Social]]*20%</f>
        <v>200000000</v>
      </c>
      <c r="P100" s="6">
        <f>IF((Tabela3[Lucro Líquido]*5%)&gt;Tabela3[Teto R. Legal],Tabela3[Teto R. Legal],Tabela3[Lucro Líquido]*5%)</f>
        <v>97670300</v>
      </c>
      <c r="Q100" s="6">
        <f>IF(Tabela3[Lucro Líquido]&lt;0,0,Tabela3[Lucro Líquido]-Tabela3[Reserva Legal])</f>
        <v>1855735700</v>
      </c>
      <c r="R100" s="6">
        <f>Tabela3[[#This Row],[Lucro Distribuir]]*Tabela3[%Div]</f>
        <v>927867850</v>
      </c>
      <c r="S100" s="56">
        <f>SUMPRODUCT(N(Tabela3[Nome]=Tabela3[[#This Row],[Nome]]),Tabela3[Ações])</f>
        <v>786115469</v>
      </c>
      <c r="T100" s="6">
        <f>Tabela3[Capital Social]/Tabela3[Total Ações]</f>
        <v>1.2720777537580805</v>
      </c>
      <c r="U100" s="80">
        <f>Tabela3[[#This Row],[Lucro Líquido]]/Tabela3[[#This Row],[Total Ações]]</f>
        <v>2.4848843166575572</v>
      </c>
      <c r="V10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1.1803200504123397</v>
      </c>
      <c r="W10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1.1803200504123397</v>
      </c>
      <c r="Z100" s="6">
        <f>Tabela3[Div Base]*Tabela3[Ações]</f>
        <v>927867850</v>
      </c>
      <c r="AA100" s="6">
        <f>SUMPRODUCT(N(Tabela3[Nome]=Tabela3[[#This Row],[Nome]]),Tabela3[Div Base]*Tabela3[Ações])</f>
        <v>927867850</v>
      </c>
      <c r="AB100" s="6">
        <f>Tabela3[Patrimônio Líquido]/Tabela3[Total Ações]</f>
        <v>3.7489556130334845</v>
      </c>
      <c r="AC100" s="48">
        <f>MAX(Tabela3[[#This Row],[Cotação 1]:[Cotação 4]])</f>
        <v>64.989999999999995</v>
      </c>
      <c r="AD100" s="44">
        <f>Tabela3[Cotação]/Tabela3[VPA]</f>
        <v>17.335494657247501</v>
      </c>
      <c r="AE100" s="40">
        <f>IF(Tabela3[[#This Row],[Lucro/Ação]]&gt;0,Tabela3[[#This Row],[Cotação]]/(Tabela3[[#This Row],[Lucro/Ação]]/Tabela3[Ref]*4),0)</f>
        <v>19.615601287050669</v>
      </c>
      <c r="AF100" s="40" t="e">
        <f>IF(Tabela3[Div. Mínimo]=0,0,Tabela3[Lucro Distribuir]*#REF!/Tabela3[Total Ações])</f>
        <v>#REF!</v>
      </c>
      <c r="AG100" s="80">
        <f>Tabela3[Lucro Distribuir]/Tabela3[Total Ações]</f>
        <v>2.3606401008246793</v>
      </c>
      <c r="AH10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1.1803200504123397</v>
      </c>
      <c r="AI100" s="15" t="str">
        <f>IF(AND(Tabela3[% A.A.]&gt;=7%,SUMPRODUCT(N(Tabela3[Nome]=Tabela3[[#This Row],[Nome]]),Tabela3[PL])&gt;0),"Sim","Não")</f>
        <v>Não</v>
      </c>
      <c r="AJ100" s="42">
        <f>IF(Tabela3[Cotação]&gt;0,Tabela3[[#This Row],[Lucro]]/Tabela3[[#This Row],[Cotação]],0)</f>
        <v>1.8161564093127247E-2</v>
      </c>
      <c r="AK100" s="19">
        <f>((1+Tabela3[[#This Row],[% Yield]])^(1/(3*Tabela3[[#This Row],[Ref]])))^(12)-1</f>
        <v>2.4288423496501288E-2</v>
      </c>
      <c r="AL100" s="14">
        <f>IF(Tabela3[Cotação]&gt;0,($AS$1/Tabela3[[#This Row],[Cotação]]-MOD($AS$1/Tabela3[[#This Row],[Cotação]],100)),)</f>
        <v>0</v>
      </c>
      <c r="AM100" s="17">
        <f>Tabela3[[#This Row],[Ativos]]*Tabela3[Lucro]</f>
        <v>0</v>
      </c>
      <c r="AN100" s="13">
        <f>SUMPRODUCT(N(Tabela1[Código]=Tabela3[[#This Row],[PAPEL]]),Tabela1[Fechamento])</f>
        <v>0</v>
      </c>
      <c r="AO100" s="55">
        <f>SUMPRODUCT(N(Tabela17[Código]=Tabela3[[#This Row],[PAPEL]]),Tabela17[Fechamento])</f>
        <v>64.989999999999995</v>
      </c>
      <c r="AP100" s="7">
        <f>SUMPRODUCT(N(Tabela176[Código]=Tabela3[[#This Row],[PAPEL]]),Tabela176[Fechamento])</f>
        <v>0</v>
      </c>
      <c r="AQ100" s="7">
        <f>SUMPRODUCT(N(Tabela1768[Código]=Tabela3[[#This Row],[PAPEL]]),Tabela1768[Fechamento])</f>
        <v>0</v>
      </c>
    </row>
    <row r="101" spans="1:43" hidden="1" x14ac:dyDescent="0.2">
      <c r="A101" s="3" t="s">
        <v>282</v>
      </c>
      <c r="B101" s="58" t="s">
        <v>279</v>
      </c>
      <c r="C101" s="85" t="str">
        <f>LEFT(Tabela3[PAPEL],LEN(Tabela3[PAPEL])-(LEN(Tabela3[PAPEL])-4))</f>
        <v>CIQU</v>
      </c>
      <c r="D101" s="16">
        <v>3</v>
      </c>
      <c r="E101" s="5">
        <v>173000000</v>
      </c>
      <c r="F101" s="56">
        <v>8316000</v>
      </c>
      <c r="G101" s="88">
        <v>0.25</v>
      </c>
      <c r="H101" s="16"/>
      <c r="I101" s="18"/>
      <c r="K101" s="89"/>
      <c r="L101" s="89"/>
      <c r="M101" s="5">
        <v>264517000</v>
      </c>
      <c r="N101" s="5">
        <v>37183000</v>
      </c>
      <c r="O101" s="5">
        <f>Tabela3[[#This Row],[Capital Social]]*20%</f>
        <v>34600000</v>
      </c>
      <c r="P101" s="5">
        <f>IF((Tabela3[Lucro Líquido]*5%)&gt;Tabela3[Teto R. Legal],Tabela3[Teto R. Legal],Tabela3[Lucro Líquido]*5%)</f>
        <v>1859150</v>
      </c>
      <c r="Q101" s="5">
        <f>IF(Tabela3[Lucro Líquido]&lt;0,0,Tabela3[Lucro Líquido]-Tabela3[Reserva Legal])</f>
        <v>35323850</v>
      </c>
      <c r="R101" s="5">
        <f>Tabela3[[#This Row],[Lucro Distribuir]]*Tabela3[%Div]</f>
        <v>8830962.5</v>
      </c>
      <c r="S101" s="56">
        <f>SUMPRODUCT(N(Tabela3[Nome]=Tabela3[[#This Row],[Nome]]),Tabela3[Ações])</f>
        <v>24948000</v>
      </c>
      <c r="T101" s="5">
        <f>Tabela3[Capital Social]/Tabela3[Total Ações]</f>
        <v>6.934423601090268</v>
      </c>
      <c r="U101" s="79">
        <f>Tabela3[[#This Row],[Lucro Líquido]]/Tabela3[[#This Row],[Total Ações]]</f>
        <v>1.490420073753407</v>
      </c>
      <c r="V10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0.342961266474547</v>
      </c>
      <c r="W10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0.342961266474547</v>
      </c>
      <c r="Z101" s="5">
        <f>Tabela3[Div Base]*Tabela3[Ações]</f>
        <v>2852065.892002333</v>
      </c>
      <c r="AA101" s="5">
        <f>SUMPRODUCT(N(Tabela3[Nome]=Tabela3[[#This Row],[Nome]]),Tabela3[Div Base]*Tabela3[Ações])</f>
        <v>9126610.8630029354</v>
      </c>
      <c r="AB101" s="5">
        <f>Tabela3[Patrimônio Líquido]/Tabela3[Total Ações]</f>
        <v>10.602733686067019</v>
      </c>
      <c r="AC101" s="52">
        <f>MAX(Tabela3[[#This Row],[Cotação 1]:[Cotação 4]])</f>
        <v>7.08</v>
      </c>
      <c r="AD101" s="53">
        <f>Tabela3[Cotação]/Tabela3[VPA]</f>
        <v>0.66775231837651272</v>
      </c>
      <c r="AE101" s="37">
        <f>IF(Tabela3[[#This Row],[Lucro/Ação]]&gt;0,Tabela3[[#This Row],[Cotação]]/(Tabela3[[#This Row],[Lucro/Ação]]/Tabela3[Ref]*4),0)</f>
        <v>3.5627539466960707</v>
      </c>
      <c r="AF101" s="37" t="e">
        <f>IF(Tabela3[Div. Mínimo]=0,0,Tabela3[Lucro Distribuir]*#REF!/Tabela3[Total Ações])</f>
        <v>#REF!</v>
      </c>
      <c r="AG101" s="79">
        <f>Tabela3[Lucro Distribuir]/Tabela3[Total Ações]</f>
        <v>1.4158990700657368</v>
      </c>
      <c r="AH10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0.342961266474547</v>
      </c>
      <c r="AI101" s="16" t="str">
        <f>IF(AND(Tabela3[% A.A.]&gt;=7%,SUMPRODUCT(N(Tabela3[Nome]=Tabela3[[#This Row],[Nome]]),Tabela3[PL])&gt;0),"Sim","Não")</f>
        <v>Não</v>
      </c>
      <c r="AJ101" s="22">
        <f>IF(Tabela3[Cotação]&gt;0,Tabela3[[#This Row],[Lucro]]/Tabela3[[#This Row],[Cotação]],0)</f>
        <v>4.8440856846687426E-2</v>
      </c>
      <c r="AK101" s="18">
        <f>((1+Tabela3[[#This Row],[% Yield]])^(1/(3*Tabela3[[#This Row],[Ref]])))^(12)-1</f>
        <v>6.510375451816186E-2</v>
      </c>
      <c r="AL101" s="10">
        <f>IF(Tabela3[Cotação]&gt;0,($AS$1/Tabela3[[#This Row],[Cotação]]-MOD($AS$1/Tabela3[[#This Row],[Cotação]],100)),)</f>
        <v>100</v>
      </c>
      <c r="AM101" s="7">
        <f>Tabela3[[#This Row],[Ativos]]*Tabela3[Lucro]</f>
        <v>34.296126647454699</v>
      </c>
      <c r="AN101" s="47">
        <f>SUMPRODUCT(N(Tabela1[Código]=Tabela3[[#This Row],[PAPEL]]),Tabela1[Fechamento])</f>
        <v>0</v>
      </c>
      <c r="AO101" s="54">
        <f>SUMPRODUCT(N(Tabela17[Código]=Tabela3[[#This Row],[PAPEL]]),Tabela17[Fechamento])</f>
        <v>7.08</v>
      </c>
      <c r="AP101" s="7">
        <f>SUMPRODUCT(N(Tabela176[Código]=Tabela3[[#This Row],[PAPEL]]),Tabela176[Fechamento])</f>
        <v>0</v>
      </c>
      <c r="AQ101" s="7">
        <f>SUMPRODUCT(N(Tabela1768[Código]=Tabela3[[#This Row],[PAPEL]]),Tabela1768[Fechamento])</f>
        <v>0</v>
      </c>
    </row>
    <row r="102" spans="1:43" hidden="1" x14ac:dyDescent="0.2">
      <c r="A102" s="3" t="s">
        <v>282</v>
      </c>
      <c r="B102" s="58" t="s">
        <v>280</v>
      </c>
      <c r="C102" s="85" t="str">
        <f>LEFT(Tabela3[PAPEL],LEN(Tabela3[PAPEL])-(LEN(Tabela3[PAPEL])-4))</f>
        <v>CIQU</v>
      </c>
      <c r="D102" s="16">
        <v>3</v>
      </c>
      <c r="E102" s="5">
        <v>173000000</v>
      </c>
      <c r="F102" s="56">
        <v>16632000</v>
      </c>
      <c r="G102" s="83">
        <v>0.25</v>
      </c>
      <c r="H102" s="16"/>
      <c r="I102" s="18"/>
      <c r="J102" s="18">
        <v>0.1</v>
      </c>
      <c r="K102" s="89"/>
      <c r="L102" s="89"/>
      <c r="M102" s="5">
        <v>264517000</v>
      </c>
      <c r="N102" s="5">
        <v>37183000</v>
      </c>
      <c r="O102" s="5">
        <f>Tabela3[[#This Row],[Capital Social]]*20%</f>
        <v>34600000</v>
      </c>
      <c r="P102" s="5">
        <f>IF((Tabela3[Lucro Líquido]*5%)&gt;Tabela3[Teto R. Legal],Tabela3[Teto R. Legal],Tabela3[Lucro Líquido]*5%)</f>
        <v>1859150</v>
      </c>
      <c r="Q102" s="5">
        <f>IF(Tabela3[Lucro Líquido]&lt;0,0,Tabela3[Lucro Líquido]-Tabela3[Reserva Legal])</f>
        <v>35323850</v>
      </c>
      <c r="R102" s="5">
        <f>Tabela3[[#This Row],[Lucro Distribuir]]*Tabela3[%Div]</f>
        <v>8830962.5</v>
      </c>
      <c r="S102" s="56">
        <f>SUMPRODUCT(N(Tabela3[Nome]=Tabela3[[#This Row],[Nome]]),Tabela3[Ações])</f>
        <v>24948000</v>
      </c>
      <c r="T102" s="5">
        <f>Tabela3[Capital Social]/Tabela3[Total Ações]</f>
        <v>6.934423601090268</v>
      </c>
      <c r="U102" s="79">
        <f>Tabela3[[#This Row],[Lucro Líquido]]/Tabela3[[#This Row],[Total Ações]]</f>
        <v>1.490420073753407</v>
      </c>
      <c r="V102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0.37725739363880484</v>
      </c>
      <c r="W102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2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0.37725739363880484</v>
      </c>
      <c r="Z102" s="5">
        <f>Tabela3[Div Base]*Tabela3[Ações]</f>
        <v>6274544.9710006025</v>
      </c>
      <c r="AA102" s="5">
        <f>SUMPRODUCT(N(Tabela3[Nome]=Tabela3[[#This Row],[Nome]]),Tabela3[Div Base]*Tabela3[Ações])</f>
        <v>9126610.8630029354</v>
      </c>
      <c r="AB102" s="5">
        <f>Tabela3[Patrimônio Líquido]/Tabela3[Total Ações]</f>
        <v>10.602733686067019</v>
      </c>
      <c r="AC102" s="52">
        <f>MAX(Tabela3[[#This Row],[Cotação 1]:[Cotação 4]])</f>
        <v>12.5</v>
      </c>
      <c r="AD102" s="53">
        <f>Tabela3[Cotação]/Tabela3[VPA]</f>
        <v>1.1789412400715267</v>
      </c>
      <c r="AE102" s="37">
        <f>IF(Tabela3[[#This Row],[Lucro/Ação]]&gt;0,Tabela3[[#This Row],[Cotação]]/(Tabela3[[#This Row],[Lucro/Ação]]/Tabela3[Ref]*4),0)</f>
        <v>6.2901729284888255</v>
      </c>
      <c r="AF102" s="37" t="e">
        <f>IF(Tabela3[Div. Mínimo]=0,0,Tabela3[Lucro Distribuir]*#REF!/Tabela3[Total Ações])</f>
        <v>#REF!</v>
      </c>
      <c r="AG102" s="79">
        <f>Tabela3[Lucro Distribuir]/Tabela3[Total Ações]</f>
        <v>1.4158990700657368</v>
      </c>
      <c r="AH102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0.37725739363880484</v>
      </c>
      <c r="AI102" s="16" t="str">
        <f>IF(AND(Tabela3[% A.A.]&gt;=7%,SUMPRODUCT(N(Tabela3[Nome]=Tabela3[[#This Row],[Nome]]),Tabela3[PL])&gt;0),"Sim","Não")</f>
        <v>Não</v>
      </c>
      <c r="AJ102" s="22">
        <f>IF(Tabela3[Cotação]&gt;0,Tabela3[[#This Row],[Lucro]]/Tabela3[[#This Row],[Cotação]],0)</f>
        <v>3.0180591491104386E-2</v>
      </c>
      <c r="AK102" s="18">
        <f>((1+Tabela3[[#This Row],[% Yield]])^(1/(3*Tabela3[[#This Row],[Ref]])))^(12)-1</f>
        <v>4.0441863033111147E-2</v>
      </c>
      <c r="AL102" s="10">
        <f>IF(Tabela3[Cotação]&gt;0,($AS$1/Tabela3[[#This Row],[Cotação]]-MOD($AS$1/Tabela3[[#This Row],[Cotação]],100)),)</f>
        <v>0</v>
      </c>
      <c r="AM102" s="7">
        <f>Tabela3[[#This Row],[Ativos]]*Tabela3[Lucro]</f>
        <v>0</v>
      </c>
      <c r="AN102" s="47">
        <f>SUMPRODUCT(N(Tabela1[Código]=Tabela3[[#This Row],[PAPEL]]),Tabela1[Fechamento])</f>
        <v>0</v>
      </c>
      <c r="AO102" s="54">
        <f>SUMPRODUCT(N(Tabela17[Código]=Tabela3[[#This Row],[PAPEL]]),Tabela17[Fechamento])</f>
        <v>12.5</v>
      </c>
      <c r="AP102" s="7">
        <f>SUMPRODUCT(N(Tabela176[Código]=Tabela3[[#This Row],[PAPEL]]),Tabela176[Fechamento])</f>
        <v>0</v>
      </c>
      <c r="AQ102" s="7">
        <f>SUMPRODUCT(N(Tabela1768[Código]=Tabela3[[#This Row],[PAPEL]]),Tabela1768[Fechamento])</f>
        <v>0</v>
      </c>
    </row>
    <row r="103" spans="1:43" hidden="1" x14ac:dyDescent="0.2">
      <c r="A103" s="3" t="s">
        <v>971</v>
      </c>
      <c r="B103" s="58" t="s">
        <v>966</v>
      </c>
      <c r="C103" s="16" t="str">
        <f>LEFT(Tabela3[PAPEL],LEN(Tabela3[PAPEL])-(LEN(Tabela3[PAPEL])-4))</f>
        <v>CLAN</v>
      </c>
      <c r="D103" s="16">
        <v>2</v>
      </c>
      <c r="E103" s="5">
        <v>1000070000</v>
      </c>
      <c r="F103" s="56">
        <v>70759470</v>
      </c>
      <c r="G103" s="83">
        <v>0.25</v>
      </c>
      <c r="H103" s="89"/>
      <c r="I103" s="18"/>
      <c r="K103" s="16"/>
      <c r="L103" s="89"/>
      <c r="M103" s="94">
        <v>979640000</v>
      </c>
      <c r="N103" s="73">
        <v>-43203000</v>
      </c>
      <c r="O103" s="7">
        <f>Tabela3[[#This Row],[Capital Social]]*20%</f>
        <v>200014000</v>
      </c>
      <c r="P103" s="47">
        <f>IF((Tabela3[Lucro Líquido]*5%)&gt;Tabela3[Teto R. Legal],Tabela3[Teto R. Legal],Tabela3[Lucro Líquido]*5%)</f>
        <v>-2160150</v>
      </c>
      <c r="Q103" s="47">
        <f>IF(Tabela3[Lucro Líquido]&lt;0,0,Tabela3[Lucro Líquido]-Tabela3[Reserva Legal])</f>
        <v>0</v>
      </c>
      <c r="R103" s="47">
        <f>Tabela3[[#This Row],[Lucro Distribuir]]*Tabela3[%Div]</f>
        <v>0</v>
      </c>
      <c r="S103" s="56">
        <f>SUMPRODUCT(N(Tabela3[Nome]=Tabela3[[#This Row],[Nome]]),Tabela3[Ações])</f>
        <v>158703348</v>
      </c>
      <c r="T103" s="87">
        <f>Tabela3[Capital Social]/Tabela3[Total Ações]</f>
        <v>6.3015053721487968</v>
      </c>
      <c r="U103" s="87">
        <f>Tabela3[[#This Row],[Lucro Líquido]]/Tabela3[[#This Row],[Total Ações]]</f>
        <v>-0.27222488085128488</v>
      </c>
      <c r="V10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0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03" s="7">
        <f>Tabela3[Div Base]*Tabela3[Ações]</f>
        <v>0</v>
      </c>
      <c r="AA103" s="7">
        <f>SUMPRODUCT(N(Tabela3[Nome]=Tabela3[[#This Row],[Nome]]),Tabela3[Div Base]*Tabela3[Ações])</f>
        <v>0</v>
      </c>
      <c r="AB103" s="74">
        <f>Tabela3[Patrimônio Líquido]/Tabela3[Total Ações]</f>
        <v>6.1727746285478489</v>
      </c>
      <c r="AC103" s="52">
        <f>MAX(Tabela3[[#This Row],[Cotação 1]:[Cotação 4]])</f>
        <v>0</v>
      </c>
      <c r="AD103" s="53">
        <f>Tabela3[Cotação]/Tabela3[VPA]</f>
        <v>0</v>
      </c>
      <c r="AE103" s="37">
        <f>IF(Tabela3[[#This Row],[Lucro/Ação]]&gt;0,Tabela3[[#This Row],[Cotação]]/(Tabela3[[#This Row],[Lucro/Ação]]/Tabela3[Ref]*4),0)</f>
        <v>0</v>
      </c>
      <c r="AF103" s="59">
        <f>IF(Tabela3[Div. Mínimo]=0,0,Tabela3[Lucro Distribuir]*#REF!/Tabela3[Total Ações])</f>
        <v>0</v>
      </c>
      <c r="AG103" s="87">
        <f>Tabela3[Lucro Distribuir]/Tabela3[Total Ações]</f>
        <v>0</v>
      </c>
      <c r="AH10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03" s="10" t="str">
        <f>IF(AND(Tabela3[% A.A.]&gt;=7%,SUMPRODUCT(N(Tabela3[Nome]=Tabela3[[#This Row],[Nome]]),Tabela3[PL])&gt;0),"Sim","Não")</f>
        <v>Não</v>
      </c>
      <c r="AJ103" s="22">
        <f>IF(Tabela3[Cotação]&gt;0,Tabela3[[#This Row],[Lucro]]/Tabela3[[#This Row],[Cotação]],0)</f>
        <v>0</v>
      </c>
      <c r="AK103" s="22">
        <f>((1+Tabela3[[#This Row],[% Yield]])^(1/(3*Tabela3[[#This Row],[Ref]])))^(12)-1</f>
        <v>0</v>
      </c>
      <c r="AL103" s="10">
        <f>IF(Tabela3[Cotação]&gt;0,($AS$1/Tabela3[[#This Row],[Cotação]]-MOD($AS$1/Tabela3[[#This Row],[Cotação]],100)),)</f>
        <v>0</v>
      </c>
      <c r="AM103" s="7">
        <f>Tabela3[[#This Row],[Ativos]]*Tabela3[Lucro]</f>
        <v>0</v>
      </c>
      <c r="AN103" s="7">
        <f>SUMPRODUCT(N(Tabela1[Código]=Tabela3[[#This Row],[PAPEL]]),Tabela1[Fechamento])</f>
        <v>0</v>
      </c>
      <c r="AO103" s="7">
        <f>SUMPRODUCT(N(Tabela17[Código]=Tabela3[[#This Row],[PAPEL]]),Tabela17[Fechamento])</f>
        <v>0</v>
      </c>
      <c r="AP103" s="7">
        <f>SUMPRODUCT(N(Tabela176[Código]=Tabela3[[#This Row],[PAPEL]]),Tabela176[Fechamento])</f>
        <v>0</v>
      </c>
      <c r="AQ103" s="7">
        <f>SUMPRODUCT(N(Tabela1768[Código]=Tabela3[[#This Row],[PAPEL]]),Tabela1768[Fechamento])</f>
        <v>0</v>
      </c>
    </row>
    <row r="104" spans="1:43" hidden="1" x14ac:dyDescent="0.2">
      <c r="A104" s="3" t="s">
        <v>971</v>
      </c>
      <c r="B104" s="58" t="s">
        <v>967</v>
      </c>
      <c r="C104" s="16" t="str">
        <f>LEFT(Tabela3[PAPEL],LEN(Tabela3[PAPEL])-(LEN(Tabela3[PAPEL])-4))</f>
        <v>CLAN</v>
      </c>
      <c r="D104" s="16">
        <v>2</v>
      </c>
      <c r="E104" s="5">
        <v>1000070000</v>
      </c>
      <c r="F104" s="56">
        <v>87943878</v>
      </c>
      <c r="G104" s="83">
        <v>0.25</v>
      </c>
      <c r="H104" s="89"/>
      <c r="I104" s="18"/>
      <c r="J104" s="18">
        <v>0.1</v>
      </c>
      <c r="K104" s="16"/>
      <c r="L104" s="89"/>
      <c r="M104" s="94">
        <v>979640000</v>
      </c>
      <c r="N104" s="73">
        <v>-43203000</v>
      </c>
      <c r="O104" s="7">
        <f>Tabela3[[#This Row],[Capital Social]]*20%</f>
        <v>200014000</v>
      </c>
      <c r="P104" s="47">
        <f>IF((Tabela3[Lucro Líquido]*5%)&gt;Tabela3[Teto R. Legal],Tabela3[Teto R. Legal],Tabela3[Lucro Líquido]*5%)</f>
        <v>-2160150</v>
      </c>
      <c r="Q104" s="47">
        <f>IF(Tabela3[Lucro Líquido]&lt;0,0,Tabela3[Lucro Líquido]-Tabela3[Reserva Legal])</f>
        <v>0</v>
      </c>
      <c r="R104" s="47">
        <f>Tabela3[[#This Row],[Lucro Distribuir]]*Tabela3[%Div]</f>
        <v>0</v>
      </c>
      <c r="S104" s="56">
        <f>SUMPRODUCT(N(Tabela3[Nome]=Tabela3[[#This Row],[Nome]]),Tabela3[Ações])</f>
        <v>158703348</v>
      </c>
      <c r="T104" s="87">
        <f>Tabela3[Capital Social]/Tabela3[Total Ações]</f>
        <v>6.3015053721487968</v>
      </c>
      <c r="U104" s="87">
        <f>Tabela3[[#This Row],[Lucro Líquido]]/Tabela3[[#This Row],[Total Ações]]</f>
        <v>-0.27222488085128488</v>
      </c>
      <c r="V10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0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04" s="7">
        <f>Tabela3[Div Base]*Tabela3[Ações]</f>
        <v>0</v>
      </c>
      <c r="AA104" s="7">
        <f>SUMPRODUCT(N(Tabela3[Nome]=Tabela3[[#This Row],[Nome]]),Tabela3[Div Base]*Tabela3[Ações])</f>
        <v>0</v>
      </c>
      <c r="AB104" s="74">
        <f>Tabela3[Patrimônio Líquido]/Tabela3[Total Ações]</f>
        <v>6.1727746285478489</v>
      </c>
      <c r="AC104" s="52">
        <f>MAX(Tabela3[[#This Row],[Cotação 1]:[Cotação 4]])</f>
        <v>3</v>
      </c>
      <c r="AD104" s="53">
        <f>Tabela3[Cotação]/Tabela3[VPA]</f>
        <v>0.48600510799885671</v>
      </c>
      <c r="AE104" s="37">
        <f>IF(Tabela3[[#This Row],[Lucro/Ação]]&gt;0,Tabela3[[#This Row],[Cotação]]/(Tabela3[[#This Row],[Lucro/Ação]]/Tabela3[Ref]*4),0)</f>
        <v>0</v>
      </c>
      <c r="AF104" s="59">
        <f>IF(Tabela3[Div. Mínimo]=0,0,Tabela3[Lucro Distribuir]*#REF!/Tabela3[Total Ações])</f>
        <v>0</v>
      </c>
      <c r="AG104" s="87">
        <f>Tabela3[Lucro Distribuir]/Tabela3[Total Ações]</f>
        <v>0</v>
      </c>
      <c r="AH10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04" s="10" t="str">
        <f>IF(AND(Tabela3[% A.A.]&gt;=7%,SUMPRODUCT(N(Tabela3[Nome]=Tabela3[[#This Row],[Nome]]),Tabela3[PL])&gt;0),"Sim","Não")</f>
        <v>Não</v>
      </c>
      <c r="AJ104" s="22">
        <f>IF(Tabela3[Cotação]&gt;0,Tabela3[[#This Row],[Lucro]]/Tabela3[[#This Row],[Cotação]],0)</f>
        <v>0</v>
      </c>
      <c r="AK104" s="22">
        <f>((1+Tabela3[[#This Row],[% Yield]])^(1/(3*Tabela3[[#This Row],[Ref]])))^(12)-1</f>
        <v>0</v>
      </c>
      <c r="AL104" s="10">
        <f>IF(Tabela3[Cotação]&gt;0,($AS$1/Tabela3[[#This Row],[Cotação]]-MOD($AS$1/Tabela3[[#This Row],[Cotação]],100)),)</f>
        <v>300</v>
      </c>
      <c r="AM104" s="7">
        <f>Tabela3[[#This Row],[Ativos]]*Tabela3[Lucro]</f>
        <v>0</v>
      </c>
      <c r="AN104" s="7">
        <f>SUMPRODUCT(N(Tabela1[Código]=Tabela3[[#This Row],[PAPEL]]),Tabela1[Fechamento])</f>
        <v>0</v>
      </c>
      <c r="AO104" s="7">
        <f>SUMPRODUCT(N(Tabela17[Código]=Tabela3[[#This Row],[PAPEL]]),Tabela17[Fechamento])</f>
        <v>0</v>
      </c>
      <c r="AP104" s="7">
        <f>SUMPRODUCT(N(Tabela176[Código]=Tabela3[[#This Row],[PAPEL]]),Tabela176[Fechamento])</f>
        <v>3</v>
      </c>
      <c r="AQ104" s="7">
        <f>SUMPRODUCT(N(Tabela1768[Código]=Tabela3[[#This Row],[PAPEL]]),Tabela1768[Fechamento])</f>
        <v>0</v>
      </c>
    </row>
    <row r="105" spans="1:43" hidden="1" x14ac:dyDescent="0.2">
      <c r="A105" s="4" t="s">
        <v>12</v>
      </c>
      <c r="B105" s="57" t="s">
        <v>481</v>
      </c>
      <c r="C105" s="14" t="str">
        <f>LEFT(Tabela3[PAPEL],LEN(Tabela3[PAPEL])-(LEN(Tabela3[PAPEL])-4))</f>
        <v>CLSC</v>
      </c>
      <c r="D105" s="15">
        <v>3</v>
      </c>
      <c r="E105" s="6">
        <v>1017700000</v>
      </c>
      <c r="F105" s="8">
        <v>15527137</v>
      </c>
      <c r="G105" s="88">
        <v>0.25</v>
      </c>
      <c r="H105" s="19"/>
      <c r="I105" s="19"/>
      <c r="J105" s="19"/>
      <c r="K105" s="90"/>
      <c r="L105" s="90"/>
      <c r="M105" s="92">
        <v>1927248000</v>
      </c>
      <c r="N105" s="92">
        <v>149553000</v>
      </c>
      <c r="O105" s="6">
        <f>Tabela3[[#This Row],[Capital Social]]*20%</f>
        <v>203540000</v>
      </c>
      <c r="P105" s="6">
        <f>IF((Tabela3[Lucro Líquido]*5%)&gt;Tabela3[Teto R. Legal],Tabela3[Teto R. Legal],Tabela3[Lucro Líquido]*5%)</f>
        <v>7477650</v>
      </c>
      <c r="Q105" s="92">
        <f>IF(Tabela3[Lucro Líquido]&lt;0,0,Tabela3[Lucro Líquido]-Tabela3[Reserva Legal])</f>
        <v>142075350</v>
      </c>
      <c r="R105" s="92">
        <f>Tabela3[[#This Row],[Lucro Distribuir]]*Tabela3[%Div]</f>
        <v>35518837.5</v>
      </c>
      <c r="S105" s="56">
        <f>SUMPRODUCT(N(Tabela3[Nome]=Tabela3[[#This Row],[Nome]]),Tabela3[Ações])</f>
        <v>38571591</v>
      </c>
      <c r="T105" s="6">
        <f>Tabela3[Capital Social]/Tabela3[Total Ações]</f>
        <v>26.384703705895877</v>
      </c>
      <c r="U105" s="80">
        <f>Tabela3[[#This Row],[Lucro Líquido]]/Tabela3[[#This Row],[Total Ações]]</f>
        <v>3.8772836723276467</v>
      </c>
      <c r="V10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0.92085487217781603</v>
      </c>
      <c r="W10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0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0.92085487217781603</v>
      </c>
      <c r="Z105" s="6">
        <f>Tabela3[Div Base]*Tabela3[Ações]</f>
        <v>14298239.757422438</v>
      </c>
      <c r="AA105" s="6">
        <f>SUMPRODUCT(N(Tabela3[Nome]=Tabela3[[#This Row],[Nome]]),Tabela3[Div Base]*Tabela3[Ações])</f>
        <v>35518837.5</v>
      </c>
      <c r="AB105" s="92">
        <f>Tabela3[Patrimônio Líquido]/Tabela3[Total Ações]</f>
        <v>49.965478478707297</v>
      </c>
      <c r="AC105" s="48">
        <f>MAX(Tabela3[[#This Row],[Cotação 1]:[Cotação 4]])</f>
        <v>40</v>
      </c>
      <c r="AD105" s="44">
        <f>Tabela3[Cotação]/Tabela3[VPA]</f>
        <v>0.80055272595950289</v>
      </c>
      <c r="AE105" s="40">
        <f>IF(Tabela3[[#This Row],[Lucro/Ação]]&gt;0,Tabela3[[#This Row],[Cotação]]/(Tabela3[[#This Row],[Lucro/Ação]]/Tabela3[Ref]*4),0)</f>
        <v>7.7373755792260939</v>
      </c>
      <c r="AF105" s="77" t="e">
        <f>IF(Tabela3[Div. Mínimo]=0,0,Tabela3[Lucro Distribuir]*#REF!/Tabela3[Total Ações])</f>
        <v>#REF!</v>
      </c>
      <c r="AG105" s="80">
        <f>Tabela3[Lucro Distribuir]/Tabela3[Total Ações]</f>
        <v>3.6834194887112641</v>
      </c>
      <c r="AH10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0.92085487217781603</v>
      </c>
      <c r="AI105" s="15" t="str">
        <f>IF(AND(Tabela3[% A.A.]&gt;=7%,SUMPRODUCT(N(Tabela3[Nome]=Tabela3[[#This Row],[Nome]]),Tabela3[PL])&gt;0),"Sim","Não")</f>
        <v>Não</v>
      </c>
      <c r="AJ105" s="42">
        <f>IF(Tabela3[Cotação]&gt;0,Tabela3[[#This Row],[Lucro]]/Tabela3[[#This Row],[Cotação]],0)</f>
        <v>2.3021371804445401E-2</v>
      </c>
      <c r="AK105" s="19">
        <f>((1+Tabela3[[#This Row],[% Yield]])^(1/(3*Tabela3[[#This Row],[Ref]])))^(12)-1</f>
        <v>3.0812339723838456E-2</v>
      </c>
      <c r="AL105" s="14">
        <f>IF(Tabela3[Cotação]&gt;0,($AS$1/Tabela3[[#This Row],[Cotação]]-MOD($AS$1/Tabela3[[#This Row],[Cotação]],100)),)</f>
        <v>0</v>
      </c>
      <c r="AM105" s="17">
        <f>Tabela3[[#This Row],[Ativos]]*Tabela3[Lucro]</f>
        <v>0</v>
      </c>
      <c r="AN105" s="5">
        <f>SUMPRODUCT(N(Tabela1[Código]=Tabela3[[#This Row],[PAPEL]]),Tabela1[Fechamento])</f>
        <v>0</v>
      </c>
      <c r="AO105" s="5">
        <f>SUMPRODUCT(N(Tabela17[Código]=Tabela3[[#This Row],[PAPEL]]),Tabela17[Fechamento])</f>
        <v>40</v>
      </c>
      <c r="AP105" s="7">
        <f>SUMPRODUCT(N(Tabela176[Código]=Tabela3[[#This Row],[PAPEL]]),Tabela176[Fechamento])</f>
        <v>0</v>
      </c>
      <c r="AQ105" s="7">
        <f>SUMPRODUCT(N(Tabela1768[Código]=Tabela3[[#This Row],[PAPEL]]),Tabela1768[Fechamento])</f>
        <v>0</v>
      </c>
    </row>
    <row r="106" spans="1:43" x14ac:dyDescent="0.2">
      <c r="A106" s="4" t="s">
        <v>14</v>
      </c>
      <c r="B106" s="57" t="s">
        <v>76</v>
      </c>
      <c r="C106" s="14" t="str">
        <f>LEFT(Tabela3[PAPEL],LEN(Tabela3[PAPEL])-(LEN(Tabela3[PAPEL])-4))</f>
        <v>RPAD</v>
      </c>
      <c r="D106" s="15">
        <v>3</v>
      </c>
      <c r="E106" s="6">
        <v>267646990</v>
      </c>
      <c r="F106" s="8">
        <v>14313881</v>
      </c>
      <c r="G106" s="83">
        <v>0.25</v>
      </c>
      <c r="H106" s="15"/>
      <c r="I106" s="19">
        <v>0.12</v>
      </c>
      <c r="J106" s="19"/>
      <c r="K106" s="90"/>
      <c r="L106" s="90"/>
      <c r="M106" s="6">
        <v>727021000</v>
      </c>
      <c r="N106" s="6">
        <v>31097000</v>
      </c>
      <c r="O106" s="6">
        <f>Tabela3[[#This Row],[Capital Social]]*20%</f>
        <v>53529398</v>
      </c>
      <c r="P106" s="6">
        <f>IF((Tabela3[Lucro Líquido]*5%)&gt;Tabela3[Teto R. Legal],Tabela3[Teto R. Legal],Tabela3[Lucro Líquido]*5%)</f>
        <v>1554850</v>
      </c>
      <c r="Q106" s="6">
        <f>IF(Tabela3[Lucro Líquido]&lt;0,0,Tabela3[Lucro Líquido]-Tabela3[Reserva Legal])</f>
        <v>29542150</v>
      </c>
      <c r="R106" s="6">
        <f>Tabela3[[#This Row],[Lucro Distribuir]]*Tabela3[%Div]</f>
        <v>7385537.5</v>
      </c>
      <c r="S106" s="21">
        <f>SUMPRODUCT(N(Tabela3[Nome]=Tabela3[[#This Row],[Nome]]),Tabela3[Ações])</f>
        <v>84682269</v>
      </c>
      <c r="T106" s="6">
        <f>Tabela3[Capital Social]/Tabela3[Total Ações]</f>
        <v>3.1606024869267495</v>
      </c>
      <c r="U106" s="80">
        <f>Tabela3[[#This Row],[Lucro Líquido]]/Tabela3[[#This Row],[Total Ações]]</f>
        <v>0.36721973049635692</v>
      </c>
      <c r="V10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W10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0.37927229843120991</v>
      </c>
      <c r="Y10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0.37927229843120991</v>
      </c>
      <c r="Z106" s="6">
        <f>Tabela3[Div Base]*Tabela3[Ações]</f>
        <v>5428858.546340825</v>
      </c>
      <c r="AA106" s="6">
        <f>SUMPRODUCT(N(Tabela3[Nome]=Tabela3[[#This Row],[Nome]]),Tabela3[Div Base]*Tabela3[Ações])</f>
        <v>7385537.5</v>
      </c>
      <c r="AB106" s="6">
        <f>Tabela3[Patrimônio Líquido]/Tabela3[Total Ações]</f>
        <v>8.5852801133611578</v>
      </c>
      <c r="AC106" s="48">
        <f>MAX(Tabela3[[#This Row],[Cotação 1]:[Cotação 4]])</f>
        <v>5.42</v>
      </c>
      <c r="AD106" s="44">
        <f>Tabela3[Cotação]/Tabela3[VPA]</f>
        <v>0.63131312297719044</v>
      </c>
      <c r="AE106" s="40">
        <f>IF(Tabela3[[#This Row],[Lucro/Ação]]&gt;0,Tabela3[[#This Row],[Cotação]]/(Tabela3[[#This Row],[Lucro/Ação]]/Tabela3[Ref]*4),0)</f>
        <v>11.069666639386435</v>
      </c>
      <c r="AF106" s="40" t="e">
        <f>IF(Tabela3[Div. Mínimo]=0,0,Tabela3[Lucro Distribuir]*#REF!/Tabela3[Total Ações])</f>
        <v>#REF!</v>
      </c>
      <c r="AG106" s="80">
        <f>Tabela3[Lucro Distribuir]/Tabela3[Total Ações]</f>
        <v>0.3488587439715391</v>
      </c>
      <c r="AH10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0.37927229843120991</v>
      </c>
      <c r="AI106" s="15" t="str">
        <f>IF(AND(Tabela3[% A.A.]&gt;=7%,SUMPRODUCT(N(Tabela3[Nome]=Tabela3[[#This Row],[Nome]]),Tabela3[PL])&gt;0),"Sim","Não")</f>
        <v>Sim</v>
      </c>
      <c r="AJ106" s="42">
        <f>IF(Tabela3[Cotação]&gt;0,Tabela3[[#This Row],[Lucro]]/Tabela3[[#This Row],[Cotação]],0)</f>
        <v>6.9976438824946474E-2</v>
      </c>
      <c r="AK106" s="19">
        <f>((1+Tabela3[[#This Row],[% Yield]])^(1/(3*Tabela3[[#This Row],[Ref]])))^(12)-1</f>
        <v>9.437362896511825E-2</v>
      </c>
      <c r="AL106" s="14">
        <f>IF(Tabela3[Cotação]&gt;0,($AS$1/Tabela3[[#This Row],[Cotação]]-MOD($AS$1/Tabela3[[#This Row],[Cotação]],100)),)</f>
        <v>100</v>
      </c>
      <c r="AM106" s="17">
        <f>Tabela3[[#This Row],[Ativos]]*Tabela3[Lucro]</f>
        <v>37.92722984312099</v>
      </c>
      <c r="AN106" s="5">
        <f>SUMPRODUCT(N(Tabela1[Código]=Tabela3[[#This Row],[PAPEL]]),Tabela1[Fechamento])</f>
        <v>5.42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  <c r="AQ106" s="7">
        <f>SUMPRODUCT(N(Tabela1768[Código]=Tabela3[[#This Row],[PAPEL]]),Tabela1768[Fechamento])</f>
        <v>0</v>
      </c>
    </row>
    <row r="107" spans="1:43" x14ac:dyDescent="0.2">
      <c r="A107" s="24" t="s">
        <v>12</v>
      </c>
      <c r="B107" s="57" t="s">
        <v>30</v>
      </c>
      <c r="C107" s="84" t="str">
        <f>LEFT(Tabela3[PAPEL],LEN(Tabela3[PAPEL])-(LEN(Tabela3[PAPEL])-4))</f>
        <v>CMIG</v>
      </c>
      <c r="D107" s="15">
        <v>3</v>
      </c>
      <c r="E107" s="6">
        <v>6294208270</v>
      </c>
      <c r="F107" s="8">
        <v>838076946</v>
      </c>
      <c r="G107" s="88">
        <v>0.5</v>
      </c>
      <c r="H107" s="19">
        <v>0.03</v>
      </c>
      <c r="I107" s="19">
        <v>0.1</v>
      </c>
      <c r="J107" s="19"/>
      <c r="K107" s="90"/>
      <c r="L107" s="90"/>
      <c r="M107" s="93">
        <v>13197926000</v>
      </c>
      <c r="N107" s="93">
        <v>2271426000</v>
      </c>
      <c r="O107" s="28">
        <f>Tabela3[[#This Row],[Capital Social]]*20%</f>
        <v>1258841654</v>
      </c>
      <c r="P107" s="28">
        <f>IF((Tabela3[Lucro Líquido]*5%)&gt;Tabela3[Teto R. Legal],Tabela3[Teto R. Legal],Tabela3[Lucro Líquido]*5%)</f>
        <v>113571300</v>
      </c>
      <c r="Q107" s="93">
        <f>IF(Tabela3[Lucro Líquido]&lt;0,0,Tabela3[Lucro Líquido]-Tabela3[Reserva Legal])</f>
        <v>2157854700</v>
      </c>
      <c r="R107" s="93">
        <f>Tabela3[[#This Row],[Lucro Distribuir]]*Tabela3[%Div]</f>
        <v>1078927350</v>
      </c>
      <c r="S107" s="56">
        <f>SUMPRODUCT(N(Tabela3[Nome]=Tabela3[[#This Row],[Nome]]),Tabela3[Ações])</f>
        <v>1258841654</v>
      </c>
      <c r="T107" s="28">
        <f>Tabela3[Capital Social]/Tabela3[Total Ações]</f>
        <v>5</v>
      </c>
      <c r="U107" s="81">
        <f>Tabela3[[#This Row],[Lucro Líquido]]/Tabela3[[#This Row],[Total Ações]]</f>
        <v>1.8043778522759304</v>
      </c>
      <c r="V107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0.85707947983106703</v>
      </c>
      <c r="W107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0.31452548359986188</v>
      </c>
      <c r="X107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</v>
      </c>
      <c r="Y107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0.85707947983106703</v>
      </c>
      <c r="Z107" s="28">
        <f>Tabela3[Div Base]*Tabela3[Ações]</f>
        <v>718298552.93608928</v>
      </c>
      <c r="AA107" s="28">
        <f>SUMPRODUCT(N(Tabela3[Nome]=Tabela3[[#This Row],[Nome]]),Tabela3[Div Base]*Tabela3[Ações])</f>
        <v>1078927350</v>
      </c>
      <c r="AB107" s="93">
        <f>Tabela3[Patrimônio Líquido]/Tabela3[Total Ações]</f>
        <v>10.484182786662062</v>
      </c>
      <c r="AC107" s="29">
        <f>MAX(Tabela3[[#This Row],[Cotação 1]:[Cotação 4]])</f>
        <v>13.11</v>
      </c>
      <c r="AD107" s="30">
        <f>Tabela3[Cotação]/Tabela3[VPA]</f>
        <v>1.2504551157462165</v>
      </c>
      <c r="AE107" s="35">
        <f>IF(Tabela3[[#This Row],[Lucro/Ação]]&gt;0,Tabela3[[#This Row],[Cotação]]/(Tabela3[[#This Row],[Lucro/Ação]]/Tabela3[Ref]*4),0)</f>
        <v>5.4492466683726439</v>
      </c>
      <c r="AF107" s="78" t="e">
        <f>IF(Tabela3[Div. Mínimo]=0,0,Tabela3[Lucro Distribuir]*#REF!/Tabela3[Total Ações])</f>
        <v>#REF!</v>
      </c>
      <c r="AG107" s="80">
        <f>Tabela3[Lucro Distribuir]/Tabela3[Total Ações]</f>
        <v>1.7141589596621341</v>
      </c>
      <c r="AH10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0.85707947983106703</v>
      </c>
      <c r="AI107" s="25" t="str">
        <f>IF(AND(Tabela3[% A.A.]&gt;=7%,SUMPRODUCT(N(Tabela3[Nome]=Tabela3[[#This Row],[Nome]]),Tabela3[PL])&gt;0),"Sim","Não")</f>
        <v>Sim</v>
      </c>
      <c r="AJ107" s="27">
        <f>IF(Tabela3[Cotação]&gt;0,Tabela3[[#This Row],[Lucro]]/Tabela3[[#This Row],[Cotação]],0)</f>
        <v>6.5376009140432276E-2</v>
      </c>
      <c r="AK107" s="49">
        <f>((1+Tabela3[[#This Row],[% Yield]])^(1/(3*Tabela3[[#This Row],[Ref]])))^(12)-1</f>
        <v>8.8104359800458276E-2</v>
      </c>
      <c r="AL107" s="10">
        <f>IF(Tabela3[Cotação]&gt;0,($AS$1/Tabela3[[#This Row],[Cotação]]-MOD($AS$1/Tabela3[[#This Row],[Cotação]],100)),)</f>
        <v>0</v>
      </c>
      <c r="AM107" s="7">
        <f>Tabela3[[#This Row],[Ativos]]*Tabela3[Lucro]</f>
        <v>0</v>
      </c>
      <c r="AN107" s="5">
        <f>SUMPRODUCT(N(Tabela1[Código]=Tabela3[[#This Row],[PAPEL]]),Tabela1[Fechamento])</f>
        <v>13.11</v>
      </c>
      <c r="AO107" s="5">
        <f>SUMPRODUCT(N(Tabela17[Código]=Tabela3[[#This Row],[PAPEL]]),Tabela17[Fechamento])</f>
        <v>0</v>
      </c>
      <c r="AP107" s="7">
        <f>SUMPRODUCT(N(Tabela176[Código]=Tabela3[[#This Row],[PAPEL]]),Tabela176[Fechamento])</f>
        <v>0</v>
      </c>
      <c r="AQ107" s="7">
        <f>SUMPRODUCT(N(Tabela1768[Código]=Tabela3[[#This Row],[PAPEL]]),Tabela1768[Fechamento])</f>
        <v>0</v>
      </c>
    </row>
    <row r="108" spans="1:43" x14ac:dyDescent="0.2">
      <c r="A108" s="24" t="s">
        <v>12</v>
      </c>
      <c r="B108" s="57" t="s">
        <v>31</v>
      </c>
      <c r="C108" s="15" t="str">
        <f>LEFT(Tabela3[PAPEL],LEN(Tabela3[PAPEL])-(LEN(Tabela3[PAPEL])-4))</f>
        <v>CMIG</v>
      </c>
      <c r="D108" s="15">
        <v>3</v>
      </c>
      <c r="E108" s="6">
        <v>6294208270</v>
      </c>
      <c r="F108" s="8">
        <v>420764708</v>
      </c>
      <c r="G108" s="83">
        <v>0.5</v>
      </c>
      <c r="H108" s="15"/>
      <c r="I108" s="19">
        <v>0.1</v>
      </c>
      <c r="J108" s="19"/>
      <c r="K108" s="90"/>
      <c r="L108" s="90"/>
      <c r="M108" s="93">
        <v>13197926000</v>
      </c>
      <c r="N108" s="93">
        <v>2271426000</v>
      </c>
      <c r="O108" s="13">
        <f>Tabela3[[#This Row],[Capital Social]]*20%</f>
        <v>1258841654</v>
      </c>
      <c r="P108" s="13">
        <f>IF((Tabela3[Lucro Líquido]*5%)&gt;Tabela3[Teto R. Legal],Tabela3[Teto R. Legal],Tabela3[Lucro Líquido]*5%)</f>
        <v>113571300</v>
      </c>
      <c r="Q108" s="92">
        <f>IF(Tabela3[Lucro Líquido]&lt;0,0,Tabela3[Lucro Líquido]-Tabela3[Reserva Legal])</f>
        <v>2157854700</v>
      </c>
      <c r="R108" s="92">
        <f>Tabela3[[#This Row],[Lucro Distribuir]]*Tabela3[%Div]</f>
        <v>1078927350</v>
      </c>
      <c r="S108" s="56">
        <f>SUMPRODUCT(N(Tabela3[Nome]=Tabela3[[#This Row],[Nome]]),Tabela3[Ações])</f>
        <v>1258841654</v>
      </c>
      <c r="T108" s="6">
        <f>Tabela3[Capital Social]/Tabela3[Total Ações]</f>
        <v>5</v>
      </c>
      <c r="U108" s="80">
        <f>Tabela3[[#This Row],[Lucro Líquido]]/Tabela3[[#This Row],[Total Ações]]</f>
        <v>1.8043778522759304</v>
      </c>
      <c r="V10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0.85707947983106703</v>
      </c>
      <c r="W10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1.9377356935207946</v>
      </c>
      <c r="X10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</v>
      </c>
      <c r="Y10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0.85707947983106703</v>
      </c>
      <c r="Z108" s="13">
        <f>Tabela3[Div Base]*Tabela3[Ações]</f>
        <v>360628797.06391078</v>
      </c>
      <c r="AA108" s="13">
        <f>SUMPRODUCT(N(Tabela3[Nome]=Tabela3[[#This Row],[Nome]]),Tabela3[Div Base]*Tabela3[Ações])</f>
        <v>1078927350</v>
      </c>
      <c r="AB108" s="92">
        <f>Tabela3[Patrimônio Líquido]/Tabela3[Total Ações]</f>
        <v>10.484182786662062</v>
      </c>
      <c r="AC108" s="48">
        <f>MAX(Tabela3[[#This Row],[Cotação 1]:[Cotação 4]])</f>
        <v>13.24</v>
      </c>
      <c r="AD108" s="44">
        <f>Tabela3[Cotação]/Tabela3[VPA]</f>
        <v>1.2628547469473614</v>
      </c>
      <c r="AE108" s="40">
        <f>IF(Tabela3[[#This Row],[Lucro/Ação]]&gt;0,Tabela3[[#This Row],[Cotação]]/(Tabela3[[#This Row],[Lucro/Ação]]/Tabela3[Ref]*4),0)</f>
        <v>5.503281913749337</v>
      </c>
      <c r="AF108" s="77" t="e">
        <f>IF(Tabela3[Div. Mínimo]=0,0,Tabela3[Lucro Distribuir]*#REF!/Tabela3[Total Ações])</f>
        <v>#REF!</v>
      </c>
      <c r="AG108" s="80">
        <f>Tabela3[Lucro Distribuir]/Tabela3[Total Ações]</f>
        <v>1.7141589596621341</v>
      </c>
      <c r="AH10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0.85707947983106703</v>
      </c>
      <c r="AI108" s="14" t="str">
        <f>IF(AND(Tabela3[% A.A.]&gt;=7%,SUMPRODUCT(N(Tabela3[Nome]=Tabela3[[#This Row],[Nome]]),Tabela3[PL])&gt;0),"Sim","Não")</f>
        <v>Sim</v>
      </c>
      <c r="AJ108" s="42">
        <f>IF(Tabela3[Cotação]&gt;0,Tabela3[[#This Row],[Lucro]]/Tabela3[[#This Row],[Cotação]],0)</f>
        <v>6.4734099685125904E-2</v>
      </c>
      <c r="AK108" s="19">
        <f>((1+Tabela3[[#This Row],[% Yield]])^(1/(3*Tabela3[[#This Row],[Ref]])))^(12)-1</f>
        <v>8.72303092970661E-2</v>
      </c>
      <c r="AL108" s="14">
        <f>IF(Tabela3[Cotação]&gt;0,($AS$1/Tabela3[[#This Row],[Cotação]]-MOD($AS$1/Tabela3[[#This Row],[Cotação]],100)),)</f>
        <v>0</v>
      </c>
      <c r="AM108" s="17">
        <f>Tabela3[[#This Row],[Ativos]]*Tabela3[Lucro]</f>
        <v>0</v>
      </c>
      <c r="AN108" s="47">
        <f>SUMPRODUCT(N(Tabela1[Código]=Tabela3[[#This Row],[PAPEL]]),Tabela1[Fechamento])</f>
        <v>13.24</v>
      </c>
      <c r="AO108" s="47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  <c r="AQ108" s="7">
        <f>SUMPRODUCT(N(Tabela1768[Código]=Tabela3[[#This Row],[PAPEL]]),Tabela1768[Fechamento])</f>
        <v>0</v>
      </c>
    </row>
    <row r="109" spans="1:43" hidden="1" x14ac:dyDescent="0.2">
      <c r="A109" s="4" t="s">
        <v>12</v>
      </c>
      <c r="B109" s="57" t="s">
        <v>93</v>
      </c>
      <c r="C109" s="14" t="str">
        <f>LEFT(Tabela3[PAPEL],LEN(Tabela3[PAPEL])-(LEN(Tabela3[PAPEL])-4))</f>
        <v>COCE</v>
      </c>
      <c r="D109" s="15">
        <v>3</v>
      </c>
      <c r="E109" s="6">
        <v>442946885.76999998</v>
      </c>
      <c r="F109" s="8">
        <v>48067937</v>
      </c>
      <c r="G109" s="83">
        <v>0.25</v>
      </c>
      <c r="H109" s="15"/>
      <c r="I109" s="19"/>
      <c r="J109" s="19"/>
      <c r="K109" s="90"/>
      <c r="L109" s="90"/>
      <c r="M109" s="72">
        <v>1597704000</v>
      </c>
      <c r="N109" s="92">
        <v>150604000</v>
      </c>
      <c r="O109" s="5">
        <f>Tabela3[[#This Row],[Capital Social]]*20%</f>
        <v>88589377.153999999</v>
      </c>
      <c r="P109" s="5">
        <f>IF((Tabela3[Lucro Líquido]*5%)&gt;Tabela3[Teto R. Legal],Tabela3[Teto R. Legal],Tabela3[Lucro Líquido]*5%)</f>
        <v>7530200</v>
      </c>
      <c r="Q109" s="72">
        <f>IF(Tabela3[Lucro Líquido]&lt;0,0,Tabela3[Lucro Líquido]-Tabela3[Reserva Legal])</f>
        <v>143073800</v>
      </c>
      <c r="R109" s="72">
        <f>Tabela3[[#This Row],[Lucro Distribuir]]*Tabela3[%Div]</f>
        <v>35768450</v>
      </c>
      <c r="S109" s="56">
        <f>SUMPRODUCT(N(Tabela3[Nome]=Tabela3[[#This Row],[Nome]]),Tabela3[Ações])</f>
        <v>77855299</v>
      </c>
      <c r="T109" s="5">
        <f>Tabela3[Capital Social]/Tabela3[Total Ações]</f>
        <v>5.6893607944399518</v>
      </c>
      <c r="U109" s="80">
        <f>Tabela3[[#This Row],[Lucro Líquido]]/Tabela3[[#This Row],[Total Ações]]</f>
        <v>1.9344091145292499</v>
      </c>
      <c r="V10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0.45942216470069686</v>
      </c>
      <c r="W10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0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0.52490004719045746</v>
      </c>
      <c r="Y10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0.45942216470069686</v>
      </c>
      <c r="Z109" s="5">
        <f>Tabela3[Div Base]*Tabela3[Ações]</f>
        <v>22083475.66923672</v>
      </c>
      <c r="AA109" s="5">
        <f>SUMPRODUCT(N(Tabela3[Nome]=Tabela3[[#This Row],[Nome]]),Tabela3[Div Base]*Tabela3[Ações])</f>
        <v>35768450</v>
      </c>
      <c r="AB109" s="92">
        <f>Tabela3[Patrimônio Líquido]/Tabela3[Total Ações]</f>
        <v>20.52145480810497</v>
      </c>
      <c r="AC109" s="48">
        <f>MAX(Tabela3[[#This Row],[Cotação 1]:[Cotação 4]])</f>
        <v>48.49</v>
      </c>
      <c r="AD109" s="44">
        <f>Tabela3[Cotação]/Tabela3[VPA]</f>
        <v>2.3628929066397779</v>
      </c>
      <c r="AE109" s="40">
        <f>IF(Tabela3[[#This Row],[Lucro/Ação]]&gt;0,Tabela3[[#This Row],[Cotação]]/(Tabela3[[#This Row],[Lucro/Ação]]/Tabela3[Ref]*4),0)</f>
        <v>18.800314642257181</v>
      </c>
      <c r="AF109" s="40" t="e">
        <f>IF(Tabela3[Div. Mínimo]=0,0,Tabela3[Lucro Distribuir]*#REF!/Tabela3[Total Ações])</f>
        <v>#REF!</v>
      </c>
      <c r="AG109" s="80">
        <f>Tabela3[Lucro Distribuir]/Tabela3[Total Ações]</f>
        <v>1.8376886588027874</v>
      </c>
      <c r="AH10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0.45942216470069686</v>
      </c>
      <c r="AI109" s="15" t="str">
        <f>IF(AND(Tabela3[% A.A.]&gt;=7%,SUMPRODUCT(N(Tabela3[Nome]=Tabela3[[#This Row],[Nome]]),Tabela3[PL])&gt;0),"Sim","Não")</f>
        <v>Não</v>
      </c>
      <c r="AJ109" s="42">
        <f>IF(Tabela3[Cotação]&gt;0,Tabela3[[#This Row],[Lucro]]/Tabela3[[#This Row],[Cotação]],0)</f>
        <v>9.4745754733078329E-3</v>
      </c>
      <c r="AK109" s="19">
        <f>((1+Tabela3[[#This Row],[% Yield]])^(1/(3*Tabela3[[#This Row],[Ref]])))^(12)-1</f>
        <v>1.2652673813437598E-2</v>
      </c>
      <c r="AL109" s="14">
        <f>IF(Tabela3[Cotação]&gt;0,($AS$1/Tabela3[[#This Row],[Cotação]]-MOD($AS$1/Tabela3[[#This Row],[Cotação]],100)),)</f>
        <v>0</v>
      </c>
      <c r="AM109" s="17">
        <f>Tabela3[[#This Row],[Ativos]]*Tabela3[Lucro]</f>
        <v>0</v>
      </c>
      <c r="AN109" s="5">
        <f>SUMPRODUCT(N(Tabela1[Código]=Tabela3[[#This Row],[PAPEL]]),Tabela1[Fechamento])</f>
        <v>48.49</v>
      </c>
      <c r="AO109" s="5">
        <f>SUMPRODUCT(N(Tabela17[Código]=Tabela3[[#This Row],[PAPEL]]),Tabela17[Fechamento])</f>
        <v>0</v>
      </c>
      <c r="AP109" s="7">
        <f>SUMPRODUCT(N(Tabela176[Código]=Tabela3[[#This Row],[PAPEL]]),Tabela176[Fechamento])</f>
        <v>0</v>
      </c>
      <c r="AQ109" s="7">
        <f>SUMPRODUCT(N(Tabela1768[Código]=Tabela3[[#This Row],[PAPEL]]),Tabela1768[Fechamento])</f>
        <v>0</v>
      </c>
    </row>
    <row r="110" spans="1:43" hidden="1" x14ac:dyDescent="0.2">
      <c r="A110" s="3" t="s">
        <v>12</v>
      </c>
      <c r="B110" s="58" t="s">
        <v>81</v>
      </c>
      <c r="C110" s="10" t="str">
        <f>LEFT(Tabela3[PAPEL],LEN(Tabela3[PAPEL])-(LEN(Tabela3[PAPEL])-4))</f>
        <v>COCE</v>
      </c>
      <c r="D110" s="16">
        <v>3</v>
      </c>
      <c r="E110" s="6">
        <v>442946885.76999998</v>
      </c>
      <c r="F110" s="56">
        <v>28164488</v>
      </c>
      <c r="G110" s="88">
        <v>0.25</v>
      </c>
      <c r="H110" s="16"/>
      <c r="I110" s="18">
        <v>0.06</v>
      </c>
      <c r="K110" s="89"/>
      <c r="L110" s="89"/>
      <c r="M110" s="72">
        <v>1597704000</v>
      </c>
      <c r="N110" s="92">
        <v>150604000</v>
      </c>
      <c r="O110" s="5">
        <f>Tabela3[[#This Row],[Capital Social]]*20%</f>
        <v>88589377.153999999</v>
      </c>
      <c r="P110" s="5">
        <f>IF((Tabela3[Lucro Líquido]*5%)&gt;Tabela3[Teto R. Legal],Tabela3[Teto R. Legal],Tabela3[Lucro Líquido]*5%)</f>
        <v>7530200</v>
      </c>
      <c r="Q110" s="72">
        <f>IF(Tabela3[Lucro Líquido]&lt;0,0,Tabela3[Lucro Líquido]-Tabela3[Reserva Legal])</f>
        <v>143073800</v>
      </c>
      <c r="R110" s="72">
        <f>Tabela3[[#This Row],[Lucro Distribuir]]*Tabela3[%Div]</f>
        <v>35768450</v>
      </c>
      <c r="S110" s="56">
        <f>SUMPRODUCT(N(Tabela3[Nome]=Tabela3[[#This Row],[Nome]]),Tabela3[Ações])</f>
        <v>77855299</v>
      </c>
      <c r="T110" s="5">
        <f>Tabela3[Capital Social]/Tabela3[Total Ações]</f>
        <v>5.6893607944399518</v>
      </c>
      <c r="U110" s="79">
        <f>Tabela3[[#This Row],[Lucro Líquido]]/Tabela3[[#This Row],[Total Ações]]</f>
        <v>1.9344091145292499</v>
      </c>
      <c r="V110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0.45942216470069686</v>
      </c>
      <c r="W110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0.34136164766639709</v>
      </c>
      <c r="Y110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0.45942216470069686</v>
      </c>
      <c r="Z110" s="5">
        <f>Tabela3[Div Base]*Tabela3[Ações]</f>
        <v>12939390.0446468</v>
      </c>
      <c r="AA110" s="5">
        <f>SUMPRODUCT(N(Tabela3[Nome]=Tabela3[[#This Row],[Nome]]),Tabela3[Div Base]*Tabela3[Ações])</f>
        <v>35768450</v>
      </c>
      <c r="AB110" s="72">
        <f>Tabela3[Patrimônio Líquido]/Tabela3[Total Ações]</f>
        <v>20.52145480810497</v>
      </c>
      <c r="AC110" s="52">
        <f>MAX(Tabela3[[#This Row],[Cotação 1]:[Cotação 4]])</f>
        <v>47.9</v>
      </c>
      <c r="AD110" s="53">
        <f>Tabela3[Cotação]/Tabela3[VPA]</f>
        <v>2.3341425083119276</v>
      </c>
      <c r="AE110" s="37">
        <f>IF(Tabela3[[#This Row],[Lucro/Ação]]&gt;0,Tabela3[[#This Row],[Cotação]]/(Tabela3[[#This Row],[Lucro/Ação]]/Tabela3[Ref]*4),0)</f>
        <v>18.571562618356751</v>
      </c>
      <c r="AF110" s="37" t="e">
        <f>IF(Tabela3[Div. Mínimo]=0,0,Tabela3[Lucro Distribuir]*#REF!/Tabela3[Total Ações])</f>
        <v>#REF!</v>
      </c>
      <c r="AG110" s="79">
        <f>Tabela3[Lucro Distribuir]/Tabela3[Total Ações]</f>
        <v>1.8376886588027874</v>
      </c>
      <c r="AH110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0.45942216470069686</v>
      </c>
      <c r="AI110" s="10" t="str">
        <f>IF(AND(Tabela3[% A.A.]&gt;=7%,SUMPRODUCT(N(Tabela3[Nome]=Tabela3[[#This Row],[Nome]]),Tabela3[PL])&gt;0),"Sim","Não")</f>
        <v>Não</v>
      </c>
      <c r="AJ110" s="22">
        <f>IF(Tabela3[Cotação]&gt;0,Tabela3[[#This Row],[Lucro]]/Tabela3[[#This Row],[Cotação]],0)</f>
        <v>9.5912769248579725E-3</v>
      </c>
      <c r="AK110" s="18">
        <f>((1+Tabela3[[#This Row],[% Yield]])^(1/(3*Tabela3[[#This Row],[Ref]])))^(12)-1</f>
        <v>1.2808768633165046E-2</v>
      </c>
      <c r="AL110" s="10">
        <f>IF(Tabela3[Cotação]&gt;0,($AS$1/Tabela3[[#This Row],[Cotação]]-MOD($AS$1/Tabela3[[#This Row],[Cotação]],100)),)</f>
        <v>0</v>
      </c>
      <c r="AM110" s="7">
        <f>Tabela3[[#This Row],[Ativos]]*Tabela3[Lucro]</f>
        <v>0</v>
      </c>
      <c r="AN110" s="5">
        <f>SUMPRODUCT(N(Tabela1[Código]=Tabela3[[#This Row],[PAPEL]]),Tabela1[Fechamento])</f>
        <v>47.9</v>
      </c>
      <c r="AO110" s="5">
        <f>SUMPRODUCT(N(Tabela17[Código]=Tabela3[[#This Row],[PAPEL]]),Tabela17[Fechamento])</f>
        <v>0</v>
      </c>
      <c r="AP110" s="7">
        <f>SUMPRODUCT(N(Tabela176[Código]=Tabela3[[#This Row],[PAPEL]]),Tabela176[Fechamento])</f>
        <v>0</v>
      </c>
      <c r="AQ110" s="7">
        <f>SUMPRODUCT(N(Tabela1768[Código]=Tabela3[[#This Row],[PAPEL]]),Tabela1768[Fechamento])</f>
        <v>0</v>
      </c>
    </row>
    <row r="111" spans="1:43" hidden="1" x14ac:dyDescent="0.2">
      <c r="A111" s="3" t="s">
        <v>12</v>
      </c>
      <c r="B111" s="58" t="s">
        <v>500</v>
      </c>
      <c r="C111" s="10" t="str">
        <f>LEFT(Tabela3[PAPEL],LEN(Tabela3[PAPEL])-(LEN(Tabela3[PAPEL])-4))</f>
        <v>COCE</v>
      </c>
      <c r="D111" s="16">
        <v>3</v>
      </c>
      <c r="E111" s="6">
        <v>442946885.76999998</v>
      </c>
      <c r="F111" s="56">
        <v>1622874</v>
      </c>
      <c r="G111" s="88">
        <v>0.25</v>
      </c>
      <c r="H111" s="16"/>
      <c r="I111" s="18">
        <v>0.1</v>
      </c>
      <c r="K111" s="89"/>
      <c r="L111" s="89"/>
      <c r="M111" s="72">
        <v>1597704000</v>
      </c>
      <c r="N111" s="72">
        <v>150604000</v>
      </c>
      <c r="O111" s="5">
        <f>Tabela3[[#This Row],[Capital Social]]*20%</f>
        <v>88589377.153999999</v>
      </c>
      <c r="P111" s="5">
        <f>IF((Tabela3[Lucro Líquido]*5%)&gt;Tabela3[Teto R. Legal],Tabela3[Teto R. Legal],Tabela3[Lucro Líquido]*5%)</f>
        <v>7530200</v>
      </c>
      <c r="Q111" s="72">
        <f>IF(Tabela3[Lucro Líquido]&lt;0,0,Tabela3[Lucro Líquido]-Tabela3[Reserva Legal])</f>
        <v>143073800</v>
      </c>
      <c r="R111" s="72">
        <f>Tabela3[[#This Row],[Lucro Distribuir]]*Tabela3[%Div]</f>
        <v>35768450</v>
      </c>
      <c r="S111" s="56">
        <f>SUMPRODUCT(N(Tabela3[Nome]=Tabela3[[#This Row],[Nome]]),Tabela3[Ações])</f>
        <v>77855299</v>
      </c>
      <c r="T111" s="5">
        <f>Tabela3[Capital Social]/Tabela3[Total Ações]</f>
        <v>5.6893607944399518</v>
      </c>
      <c r="U111" s="79">
        <f>Tabela3[[#This Row],[Lucro Líquido]]/Tabela3[[#This Row],[Total Ações]]</f>
        <v>1.9344091145292499</v>
      </c>
      <c r="V11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0.45942216470069686</v>
      </c>
      <c r="W11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0.56893607944399516</v>
      </c>
      <c r="Y11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0.45942216470069686</v>
      </c>
      <c r="Z111" s="5">
        <f>Tabela3[Div Base]*Tabela3[Ações]</f>
        <v>745584.28611647873</v>
      </c>
      <c r="AA111" s="5">
        <f>SUMPRODUCT(N(Tabela3[Nome]=Tabela3[[#This Row],[Nome]]),Tabela3[Div Base]*Tabela3[Ações])</f>
        <v>35768450</v>
      </c>
      <c r="AB111" s="72">
        <f>Tabela3[Patrimônio Líquido]/Tabela3[Total Ações]</f>
        <v>20.52145480810497</v>
      </c>
      <c r="AC111" s="52">
        <f>MAX(Tabela3[[#This Row],[Cotação 1]:[Cotação 4]])</f>
        <v>35</v>
      </c>
      <c r="AD111" s="53">
        <f>Tabela3[Cotação]/Tabela3[VPA]</f>
        <v>1.7055321041945191</v>
      </c>
      <c r="AE111" s="37">
        <f>IF(Tabela3[[#This Row],[Lucro/Ação]]&gt;0,Tabela3[[#This Row],[Cotação]]/(Tabela3[[#This Row],[Lucro/Ação]]/Tabela3[Ref]*4),0)</f>
        <v>13.570035316127063</v>
      </c>
      <c r="AF111" s="37" t="e">
        <f>IF(Tabela3[Div. Mínimo]=0,0,Tabela3[Lucro Distribuir]*#REF!/Tabela3[Total Ações])</f>
        <v>#REF!</v>
      </c>
      <c r="AG111" s="79">
        <f>Tabela3[Lucro Distribuir]/Tabela3[Total Ações]</f>
        <v>1.8376886588027874</v>
      </c>
      <c r="AH11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0.45942216470069686</v>
      </c>
      <c r="AI111" s="10" t="str">
        <f>IF(AND(Tabela3[% A.A.]&gt;=7%,SUMPRODUCT(N(Tabela3[Nome]=Tabela3[[#This Row],[Nome]]),Tabela3[PL])&gt;0),"Sim","Não")</f>
        <v>Não</v>
      </c>
      <c r="AJ111" s="22">
        <f>IF(Tabela3[Cotação]&gt;0,Tabela3[[#This Row],[Lucro]]/Tabela3[[#This Row],[Cotação]],0)</f>
        <v>1.3126347562877052E-2</v>
      </c>
      <c r="AK111" s="18">
        <f>((1+Tabela3[[#This Row],[% Yield]])^(1/(3*Tabela3[[#This Row],[Ref]])))^(12)-1</f>
        <v>1.7539974780264478E-2</v>
      </c>
      <c r="AL111" s="10">
        <f>IF(Tabela3[Cotação]&gt;0,($AS$1/Tabela3[[#This Row],[Cotação]]-MOD($AS$1/Tabela3[[#This Row],[Cotação]],100)),)</f>
        <v>0</v>
      </c>
      <c r="AM111" s="7">
        <f>Tabela3[[#This Row],[Ativos]]*Tabela3[Lucro]</f>
        <v>0</v>
      </c>
      <c r="AN111" s="5">
        <f>SUMPRODUCT(N(Tabela1[Código]=Tabela3[[#This Row],[PAPEL]]),Tabela1[Fechamento])</f>
        <v>0</v>
      </c>
      <c r="AO111" s="5">
        <f>SUMPRODUCT(N(Tabela17[Código]=Tabela3[[#This Row],[PAPEL]]),Tabela17[Fechamento])</f>
        <v>35</v>
      </c>
      <c r="AP111" s="7">
        <f>SUMPRODUCT(N(Tabela176[Código]=Tabela3[[#This Row],[PAPEL]]),Tabela176[Fechamento])</f>
        <v>0</v>
      </c>
      <c r="AQ111" s="7">
        <f>SUMPRODUCT(N(Tabela1768[Código]=Tabela3[[#This Row],[PAPEL]]),Tabela1768[Fechamento])</f>
        <v>0</v>
      </c>
    </row>
    <row r="112" spans="1:43" hidden="1" x14ac:dyDescent="0.2">
      <c r="A112" s="3" t="s">
        <v>351</v>
      </c>
      <c r="B112" s="57" t="s">
        <v>750</v>
      </c>
      <c r="C112" s="15" t="str">
        <f>LEFT(Tabela3[PAPEL],LEN(Tabela3[PAPEL])-(LEN(Tabela3[PAPEL])-4))</f>
        <v>CORR</v>
      </c>
      <c r="D112" s="15">
        <v>3</v>
      </c>
      <c r="E112" s="6">
        <v>10000</v>
      </c>
      <c r="F112" s="8">
        <v>7815</v>
      </c>
      <c r="G112" s="83">
        <v>0.25</v>
      </c>
      <c r="H112" s="15"/>
      <c r="I112" s="19"/>
      <c r="J112" s="19"/>
      <c r="K112" s="90"/>
      <c r="L112" s="90"/>
      <c r="M112" s="96">
        <v>7227000</v>
      </c>
      <c r="N112" s="97">
        <v>-199000</v>
      </c>
      <c r="O112" s="13">
        <f>Tabela3[[#This Row],[Capital Social]]*20%</f>
        <v>2000</v>
      </c>
      <c r="P112" s="13">
        <f>IF((Tabela3[Lucro Líquido]*5%)&gt;Tabela3[Teto R. Legal],Tabela3[Teto R. Legal],Tabela3[Lucro Líquido]*5%)</f>
        <v>-9950</v>
      </c>
      <c r="Q112" s="13">
        <f>IF(Tabela3[Lucro Líquido]&lt;0,0,Tabela3[Lucro Líquido]-Tabela3[Reserva Legal])</f>
        <v>0</v>
      </c>
      <c r="R112" s="13">
        <f>Tabela3[[#This Row],[Lucro Distribuir]]*Tabela3[%Div]</f>
        <v>0</v>
      </c>
      <c r="S112" s="21">
        <f>SUMPRODUCT(N(Tabela3[Nome]=Tabela3[[#This Row],[Nome]]),Tabela3[Ações])</f>
        <v>23153</v>
      </c>
      <c r="T112" s="6">
        <f>Tabela3[Capital Social]/Tabela3[Total Ações]</f>
        <v>0.431909471774716</v>
      </c>
      <c r="U112" s="80">
        <f>Tabela3[[#This Row],[Lucro Líquido]]/Tabela3[[#This Row],[Total Ações]]</f>
        <v>-8.5949984883168487</v>
      </c>
      <c r="V11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1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1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12" s="13">
        <f>Tabela3[Div Base]*Tabela3[Ações]</f>
        <v>0</v>
      </c>
      <c r="AA112" s="13">
        <f>SUMPRODUCT(N(Tabela3[Nome]=Tabela3[[#This Row],[Nome]]),Tabela3[Div Base]*Tabela3[Ações])</f>
        <v>662.46274780805936</v>
      </c>
      <c r="AB112" s="95">
        <f>Tabela3[Patrimônio Líquido]/Tabela3[Total Ações]</f>
        <v>312.14097525158729</v>
      </c>
      <c r="AC112" s="48">
        <f>MAX(Tabela3[[#This Row],[Cotação 1]:[Cotação 4]])</f>
        <v>0</v>
      </c>
      <c r="AD112" s="44">
        <f>Tabela3[Cotação]/Tabela3[VPA]</f>
        <v>0</v>
      </c>
      <c r="AE112" s="40">
        <f>IF(Tabela3[[#This Row],[Lucro/Ação]]&gt;0,Tabela3[[#This Row],[Cotação]]/(Tabela3[[#This Row],[Lucro/Ação]]/Tabela3[Ref]*4),0)</f>
        <v>0</v>
      </c>
      <c r="AF112" s="91">
        <f>IF(Tabela3[Div. Mínimo]=0,0,Tabela3[Lucro Distribuir]*#REF!/Tabela3[Total Ações])</f>
        <v>0</v>
      </c>
      <c r="AG112" s="80">
        <f>Tabela3[Lucro Distribuir]/Tabela3[Total Ações]</f>
        <v>0</v>
      </c>
      <c r="AH11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12" s="14" t="str">
        <f>IF(AND(Tabela3[% A.A.]&gt;=7%,SUMPRODUCT(N(Tabela3[Nome]=Tabela3[[#This Row],[Nome]]),Tabela3[PL])&gt;0),"Sim","Não")</f>
        <v>Não</v>
      </c>
      <c r="AJ112" s="42">
        <f>IF(Tabela3[Cotação]&gt;0,Tabela3[[#This Row],[Lucro]]/Tabela3[[#This Row],[Cotação]],0)</f>
        <v>0</v>
      </c>
      <c r="AK112" s="42">
        <f>((1+Tabela3[[#This Row],[% Yield]])^(1/(3*Tabela3[[#This Row],[Ref]])))^(12)-1</f>
        <v>0</v>
      </c>
      <c r="AL112" s="14">
        <f>IF(Tabela3[Cotação]&gt;0,($AS$1/Tabela3[[#This Row],[Cotação]]-MOD($AS$1/Tabela3[[#This Row],[Cotação]],100)),)</f>
        <v>0</v>
      </c>
      <c r="AM112" s="17">
        <f>Tabela3[[#This Row],[Ativos]]*Tabela3[Lucro]</f>
        <v>0</v>
      </c>
      <c r="AN112" s="17">
        <f>SUMPRODUCT(N(Tabela1[Código]=Tabela3[[#This Row],[PAPEL]]),Tabela1[Fechamento])</f>
        <v>0</v>
      </c>
      <c r="AO112" s="17">
        <f>SUMPRODUCT(N(Tabela17[Código]=Tabela3[[#This Row],[PAPEL]]),Tabela17[Fechamento])</f>
        <v>0</v>
      </c>
      <c r="AP112" s="17">
        <f>SUMPRODUCT(N(Tabela176[Código]=Tabela3[[#This Row],[PAPEL]]),Tabela176[Fechamento])</f>
        <v>0</v>
      </c>
      <c r="AQ112" s="17">
        <f>SUMPRODUCT(N(Tabela1768[Código]=Tabela3[[#This Row],[PAPEL]]),Tabela1768[Fechamento])</f>
        <v>0</v>
      </c>
    </row>
    <row r="113" spans="1:43" hidden="1" x14ac:dyDescent="0.2">
      <c r="A113" s="3" t="s">
        <v>351</v>
      </c>
      <c r="B113" s="57" t="s">
        <v>751</v>
      </c>
      <c r="C113" s="15" t="str">
        <f>LEFT(Tabela3[PAPEL],LEN(Tabela3[PAPEL])-(LEN(Tabela3[PAPEL])-4))</f>
        <v>CORR</v>
      </c>
      <c r="D113" s="15">
        <v>3</v>
      </c>
      <c r="E113" s="6">
        <v>10000</v>
      </c>
      <c r="F113" s="8">
        <v>15338</v>
      </c>
      <c r="G113" s="83">
        <v>0.25</v>
      </c>
      <c r="H113" s="15"/>
      <c r="I113" s="19">
        <v>0.1</v>
      </c>
      <c r="J113" s="19"/>
      <c r="K113" s="90"/>
      <c r="L113" s="90"/>
      <c r="M113" s="96">
        <v>7227000</v>
      </c>
      <c r="N113" s="97">
        <v>-199000</v>
      </c>
      <c r="O113" s="13">
        <f>Tabela3[[#This Row],[Capital Social]]*20%</f>
        <v>2000</v>
      </c>
      <c r="P113" s="13">
        <f>IF((Tabela3[Lucro Líquido]*5%)&gt;Tabela3[Teto R. Legal],Tabela3[Teto R. Legal],Tabela3[Lucro Líquido]*5%)</f>
        <v>-9950</v>
      </c>
      <c r="Q113" s="13">
        <f>IF(Tabela3[Lucro Líquido]&lt;0,0,Tabela3[Lucro Líquido]-Tabela3[Reserva Legal])</f>
        <v>0</v>
      </c>
      <c r="R113" s="13">
        <f>Tabela3[[#This Row],[Lucro Distribuir]]*Tabela3[%Div]</f>
        <v>0</v>
      </c>
      <c r="S113" s="21">
        <f>SUMPRODUCT(N(Tabela3[Nome]=Tabela3[[#This Row],[Nome]]),Tabela3[Ações])</f>
        <v>23153</v>
      </c>
      <c r="T113" s="6">
        <f>Tabela3[Capital Social]/Tabela3[Total Ações]</f>
        <v>0.431909471774716</v>
      </c>
      <c r="U113" s="80">
        <f>Tabela3[[#This Row],[Lucro Líquido]]/Tabela3[[#This Row],[Total Ações]]</f>
        <v>-8.5949984883168487</v>
      </c>
      <c r="V11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1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4.31909471774716E-2</v>
      </c>
      <c r="Y11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4.31909471774716E-2</v>
      </c>
      <c r="Z113" s="13">
        <f>Tabela3[Div Base]*Tabela3[Ações]</f>
        <v>662.46274780805936</v>
      </c>
      <c r="AA113" s="13">
        <f>SUMPRODUCT(N(Tabela3[Nome]=Tabela3[[#This Row],[Nome]]),Tabela3[Div Base]*Tabela3[Ações])</f>
        <v>662.46274780805936</v>
      </c>
      <c r="AB113" s="95">
        <f>Tabela3[Patrimônio Líquido]/Tabela3[Total Ações]</f>
        <v>312.14097525158729</v>
      </c>
      <c r="AC113" s="48">
        <f>MAX(Tabela3[[#This Row],[Cotação 1]:[Cotação 4]])</f>
        <v>210.01</v>
      </c>
      <c r="AD113" s="44">
        <f>Tabela3[Cotação]/Tabela3[VPA]</f>
        <v>0.67280497163414965</v>
      </c>
      <c r="AE113" s="40">
        <f>IF(Tabela3[[#This Row],[Lucro/Ação]]&gt;0,Tabela3[[#This Row],[Cotação]]/(Tabela3[[#This Row],[Lucro/Ação]]/Tabela3[Ref]*4),0)</f>
        <v>0</v>
      </c>
      <c r="AF113" s="91">
        <f>IF(Tabela3[Div. Mínimo]=0,0,Tabela3[Lucro Distribuir]*#REF!/Tabela3[Total Ações])</f>
        <v>0</v>
      </c>
      <c r="AG113" s="80">
        <f>Tabela3[Lucro Distribuir]/Tabela3[Total Ações]</f>
        <v>0</v>
      </c>
      <c r="AH11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4.31909471774716E-2</v>
      </c>
      <c r="AI113" s="14" t="str">
        <f>IF(AND(Tabela3[% A.A.]&gt;=7%,SUMPRODUCT(N(Tabela3[Nome]=Tabela3[[#This Row],[Nome]]),Tabela3[PL])&gt;0),"Sim","Não")</f>
        <v>Não</v>
      </c>
      <c r="AJ113" s="42">
        <f>IF(Tabela3[Cotação]&gt;0,Tabela3[[#This Row],[Lucro]]/Tabela3[[#This Row],[Cotação]],0)</f>
        <v>2.0566138363635827E-4</v>
      </c>
      <c r="AK113" s="42">
        <f>((1+Tabela3[[#This Row],[% Yield]])^(1/(3*Tabela3[[#This Row],[Ref]])))^(12)-1</f>
        <v>2.7422457699688429E-4</v>
      </c>
      <c r="AL113" s="14">
        <f>IF(Tabela3[Cotação]&gt;0,($AS$1/Tabela3[[#This Row],[Cotação]]-MOD($AS$1/Tabela3[[#This Row],[Cotação]],100)),)</f>
        <v>0</v>
      </c>
      <c r="AM113" s="17">
        <f>Tabela3[[#This Row],[Ativos]]*Tabela3[Lucro]</f>
        <v>0</v>
      </c>
      <c r="AN113" s="17">
        <f>SUMPRODUCT(N(Tabela1[Código]=Tabela3[[#This Row],[PAPEL]]),Tabela1[Fechamento])</f>
        <v>0</v>
      </c>
      <c r="AO113" s="17">
        <f>SUMPRODUCT(N(Tabela17[Código]=Tabela3[[#This Row],[PAPEL]]),Tabela17[Fechamento])</f>
        <v>0</v>
      </c>
      <c r="AP113" s="17">
        <f>SUMPRODUCT(N(Tabela176[Código]=Tabela3[[#This Row],[PAPEL]]),Tabela176[Fechamento])</f>
        <v>210.01</v>
      </c>
      <c r="AQ113" s="17">
        <f>SUMPRODUCT(N(Tabela1768[Código]=Tabela3[[#This Row],[PAPEL]]),Tabela1768[Fechamento])</f>
        <v>0</v>
      </c>
    </row>
    <row r="114" spans="1:43" hidden="1" x14ac:dyDescent="0.2">
      <c r="A114" s="24" t="s">
        <v>12</v>
      </c>
      <c r="B114" s="57" t="s">
        <v>32</v>
      </c>
      <c r="C114" s="15" t="str">
        <f>LEFT(Tabela3[PAPEL],LEN(Tabela3[PAPEL])-(LEN(Tabela3[PAPEL])-4))</f>
        <v>CPFE</v>
      </c>
      <c r="D114" s="16">
        <v>3</v>
      </c>
      <c r="E114" s="5">
        <v>4793424356.6199999</v>
      </c>
      <c r="F114" s="56">
        <v>962274260</v>
      </c>
      <c r="G114" s="83">
        <v>0.25</v>
      </c>
      <c r="H114" s="16"/>
      <c r="I114" s="18"/>
      <c r="K114" s="89"/>
      <c r="L114" s="89"/>
      <c r="M114" s="93">
        <v>6763474000</v>
      </c>
      <c r="N114" s="93">
        <v>636489000</v>
      </c>
      <c r="O114" s="28">
        <f>Tabela3[[#This Row],[Capital Social]]*20%</f>
        <v>958684871.324</v>
      </c>
      <c r="P114" s="28">
        <f>IF((Tabela3[Lucro Líquido]*5%)&gt;Tabela3[Teto R. Legal],Tabela3[Teto R. Legal],Tabela3[Lucro Líquido]*5%)</f>
        <v>31824450</v>
      </c>
      <c r="Q114" s="93">
        <f>IF(Tabela3[Lucro Líquido]&lt;0,0,Tabela3[Lucro Líquido]-Tabela3[Reserva Legal])</f>
        <v>604664550</v>
      </c>
      <c r="R114" s="93">
        <f>Tabela3[[#This Row],[Lucro Distribuir]]*Tabela3[%Div]</f>
        <v>151166137.5</v>
      </c>
      <c r="S114" s="56">
        <f>SUMPRODUCT(N(Tabela3[Nome]=Tabela3[[#This Row],[Nome]]),Tabela3[Ações])</f>
        <v>962274260</v>
      </c>
      <c r="T114" s="28">
        <f>Tabela3[Capital Social]/Tabela3[Total Ações]</f>
        <v>4.9813494508519849</v>
      </c>
      <c r="U114" s="81">
        <f>Tabela3[[#This Row],[Lucro Líquido]]/Tabela3[[#This Row],[Total Ações]]</f>
        <v>0.6614424041644843</v>
      </c>
      <c r="V114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0.15709257098906501</v>
      </c>
      <c r="W114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4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14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0.15709257098906501</v>
      </c>
      <c r="Z114" s="28">
        <f>Tabela3[Div Base]*Tabela3[Ações]</f>
        <v>151166137.5</v>
      </c>
      <c r="AA114" s="28">
        <f>SUMPRODUCT(N(Tabela3[Nome]=Tabela3[[#This Row],[Nome]]),Tabela3[Div Base]*Tabela3[Ações])</f>
        <v>151166137.5</v>
      </c>
      <c r="AB114" s="93">
        <f>Tabela3[Patrimônio Líquido]/Tabela3[Total Ações]</f>
        <v>7.0286344352596526</v>
      </c>
      <c r="AC114" s="29">
        <f>MAX(Tabela3[[#This Row],[Cotação 1]:[Cotação 4]])</f>
        <v>17.78</v>
      </c>
      <c r="AD114" s="30">
        <f>Tabela3[Cotação]/Tabela3[VPA]</f>
        <v>2.529652120019978</v>
      </c>
      <c r="AE114" s="35">
        <f>IF(Tabela3[[#This Row],[Lucro/Ação]]&gt;0,Tabela3[[#This Row],[Cotação]]/(Tabela3[[#This Row],[Lucro/Ação]]/Tabela3[Ref]*4),0)</f>
        <v>20.160485502655977</v>
      </c>
      <c r="AF114" s="35" t="e">
        <f>IF(Tabela3[Div. Mínimo]=0,0,Tabela3[Lucro Distribuir]*#REF!/Tabela3[Total Ações])</f>
        <v>#REF!</v>
      </c>
      <c r="AG114" s="80">
        <f>Tabela3[Lucro Distribuir]/Tabela3[Total Ações]</f>
        <v>0.62837028395626005</v>
      </c>
      <c r="AH11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0.15709257098906501</v>
      </c>
      <c r="AI114" s="25" t="str">
        <f>IF(AND(Tabela3[% A.A.]&gt;=7%,SUMPRODUCT(N(Tabela3[Nome]=Tabela3[[#This Row],[Nome]]),Tabela3[PL])&gt;0),"Sim","Não")</f>
        <v>Não</v>
      </c>
      <c r="AJ114" s="27">
        <f>IF(Tabela3[Cotação]&gt;0,Tabela3[[#This Row],[Lucro]]/Tabela3[[#This Row],[Cotação]],0)</f>
        <v>8.8353526990475259E-3</v>
      </c>
      <c r="AK114" s="49">
        <f>((1+Tabela3[[#This Row],[% Yield]])^(1/(3*Tabela3[[#This Row],[Ref]])))^(12)-1</f>
        <v>1.1797783764999625E-2</v>
      </c>
      <c r="AL114" s="10">
        <f>IF(Tabela3[Cotação]&gt;0,($AS$1/Tabela3[[#This Row],[Cotação]]-MOD($AS$1/Tabela3[[#This Row],[Cotação]],100)),)</f>
        <v>0</v>
      </c>
      <c r="AM114" s="7">
        <f>Tabela3[[#This Row],[Ativos]]*Tabela3[Lucro]</f>
        <v>0</v>
      </c>
      <c r="AN114" s="5">
        <f>SUMPRODUCT(N(Tabela1[Código]=Tabela3[[#This Row],[PAPEL]]),Tabela1[Fechamento])</f>
        <v>17.78</v>
      </c>
      <c r="AO114" s="5">
        <f>SUMPRODUCT(N(Tabela17[Código]=Tabela3[[#This Row],[PAPEL]]),Tabela17[Fechamento])</f>
        <v>0</v>
      </c>
      <c r="AP114" s="7">
        <f>SUMPRODUCT(N(Tabela176[Código]=Tabela3[[#This Row],[PAPEL]]),Tabela176[Fechamento])</f>
        <v>0</v>
      </c>
      <c r="AQ114" s="7">
        <f>SUMPRODUCT(N(Tabela1768[Código]=Tabela3[[#This Row],[PAPEL]]),Tabela1768[Fechamento])</f>
        <v>0</v>
      </c>
    </row>
    <row r="115" spans="1:43" hidden="1" x14ac:dyDescent="0.2">
      <c r="A115" s="24" t="s">
        <v>12</v>
      </c>
      <c r="B115" s="57" t="s">
        <v>34</v>
      </c>
      <c r="C115" s="15" t="str">
        <f>LEFT(Tabela3[PAPEL],LEN(Tabela3[PAPEL])-(LEN(Tabela3[PAPEL])-4))</f>
        <v>CPLE</v>
      </c>
      <c r="D115" s="15">
        <v>3</v>
      </c>
      <c r="E115" s="6">
        <v>6910000000</v>
      </c>
      <c r="F115" s="8">
        <v>145031080</v>
      </c>
      <c r="G115" s="88">
        <v>0.25</v>
      </c>
      <c r="H115" s="15"/>
      <c r="I115" s="19"/>
      <c r="J115" s="19"/>
      <c r="K115" s="90"/>
      <c r="L115" s="90"/>
      <c r="M115" s="93">
        <v>12828375000</v>
      </c>
      <c r="N115" s="93">
        <v>898498000</v>
      </c>
      <c r="O115" s="28">
        <f>Tabela3[[#This Row],[Capital Social]]*20%</f>
        <v>1382000000</v>
      </c>
      <c r="P115" s="28">
        <f>IF((Tabela3[Lucro Líquido]*5%)&gt;Tabela3[Teto R. Legal],Tabela3[Teto R. Legal],Tabela3[Lucro Líquido]*5%)</f>
        <v>44924900</v>
      </c>
      <c r="Q115" s="93">
        <f>IF(Tabela3[Lucro Líquido]&lt;0,0,Tabela3[Lucro Líquido]-Tabela3[Reserva Legal])</f>
        <v>853573100</v>
      </c>
      <c r="R115" s="93">
        <f>Tabela3[[#This Row],[Lucro Distribuir]]*Tabela3[%Div]</f>
        <v>213393275</v>
      </c>
      <c r="S115" s="56">
        <f>SUMPRODUCT(N(Tabela3[Nome]=Tabela3[[#This Row],[Nome]]),Tabela3[Ações])</f>
        <v>273655375</v>
      </c>
      <c r="T115" s="28">
        <f>Tabela3[Capital Social]/Tabela3[Total Ações]</f>
        <v>25.250737355332415</v>
      </c>
      <c r="U115" s="81">
        <f>Tabela3[[#This Row],[Lucro Líquido]]/Tabela3[[#This Row],[Total Ações]]</f>
        <v>3.2833193939640322</v>
      </c>
      <c r="V115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0.75552617508602748</v>
      </c>
      <c r="W115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5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0.77735058402424118</v>
      </c>
      <c r="Y115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0.77735058402424118</v>
      </c>
      <c r="Z115" s="28">
        <f>Tabela3[Div Base]*Tabela3[Ações]</f>
        <v>112739994.73966645</v>
      </c>
      <c r="AA115" s="28">
        <f>SUMPRODUCT(N(Tabela3[Nome]=Tabela3[[#This Row],[Nome]]),Tabela3[Div Base]*Tabela3[Ações])</f>
        <v>216148879.24719858</v>
      </c>
      <c r="AB115" s="93">
        <f>Tabela3[Patrimônio Líquido]/Tabela3[Total Ações]</f>
        <v>46.877847730927996</v>
      </c>
      <c r="AC115" s="29">
        <f>MAX(Tabela3[[#This Row],[Cotação 1]:[Cotação 4]])</f>
        <v>18.690000000000001</v>
      </c>
      <c r="AD115" s="30">
        <f>Tabela3[Cotação]/Tabela3[VPA]</f>
        <v>0.39869577859627586</v>
      </c>
      <c r="AE115" s="35">
        <f>IF(Tabela3[[#This Row],[Lucro/Ação]]&gt;0,Tabela3[[#This Row],[Cotação]]/(Tabela3[[#This Row],[Lucro/Ação]]/Tabela3[Ref]*4),0)</f>
        <v>4.2693074654172856</v>
      </c>
      <c r="AF115" s="35" t="e">
        <f>IF(Tabela3[Div. Mínimo]=0,0,Tabela3[Lucro Distribuir]*#REF!/Tabela3[Total Ações])</f>
        <v>#REF!</v>
      </c>
      <c r="AG115" s="80">
        <f>Tabela3[Lucro Distribuir]/Tabela3[Total Ações]</f>
        <v>3.1191534242658308</v>
      </c>
      <c r="AH11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0.77735058402424118</v>
      </c>
      <c r="AI115" s="25" t="str">
        <f>IF(AND(Tabela3[% A.A.]&gt;=7%,SUMPRODUCT(N(Tabela3[Nome]=Tabela3[[#This Row],[Nome]]),Tabela3[PL])&gt;0),"Sim","Não")</f>
        <v>Não</v>
      </c>
      <c r="AJ115" s="27">
        <f>IF(Tabela3[Cotação]&gt;0,Tabela3[[#This Row],[Lucro]]/Tabela3[[#This Row],[Cotação]],0)</f>
        <v>4.1591791547578444E-2</v>
      </c>
      <c r="AK115" s="49">
        <f>((1+Tabela3[[#This Row],[% Yield]])^(1/(3*Tabela3[[#This Row],[Ref]])))^(12)-1</f>
        <v>5.5836646421964398E-2</v>
      </c>
      <c r="AL115" s="10">
        <f>IF(Tabela3[Cotação]&gt;0,($AS$1/Tabela3[[#This Row],[Cotação]]-MOD($AS$1/Tabela3[[#This Row],[Cotação]],100)),)</f>
        <v>0</v>
      </c>
      <c r="AM115" s="5">
        <f>Tabela3[[#This Row],[Ativos]]*Tabela3[Lucro]</f>
        <v>0</v>
      </c>
      <c r="AN115" s="5">
        <f>SUMPRODUCT(N(Tabela1[Código]=Tabela3[[#This Row],[PAPEL]]),Tabela1[Fechamento])</f>
        <v>18.690000000000001</v>
      </c>
      <c r="AO115" s="5">
        <f>SUMPRODUCT(N(Tabela17[Código]=Tabela3[[#This Row],[PAPEL]]),Tabela17[Fechamento])</f>
        <v>0</v>
      </c>
      <c r="AP115" s="7">
        <f>SUMPRODUCT(N(Tabela176[Código]=Tabela3[[#This Row],[PAPEL]]),Tabela176[Fechamento])</f>
        <v>0</v>
      </c>
      <c r="AQ115" s="7">
        <f>SUMPRODUCT(N(Tabela1768[Código]=Tabela3[[#This Row],[PAPEL]]),Tabela1768[Fechamento])</f>
        <v>0</v>
      </c>
    </row>
    <row r="116" spans="1:43" x14ac:dyDescent="0.2">
      <c r="A116" s="4" t="s">
        <v>14</v>
      </c>
      <c r="B116" s="57" t="s">
        <v>228</v>
      </c>
      <c r="C116" s="15" t="str">
        <f>LEFT(Tabela3[PAPEL],LEN(Tabela3[PAPEL])-(LEN(Tabela3[PAPEL])-4))</f>
        <v>BRGE</v>
      </c>
      <c r="D116" s="16">
        <v>3</v>
      </c>
      <c r="E116" s="5">
        <v>303375520</v>
      </c>
      <c r="F116" s="56">
        <v>6759345</v>
      </c>
      <c r="G116" s="88">
        <v>0.25</v>
      </c>
      <c r="H116" s="16"/>
      <c r="I116" s="18">
        <v>0.06</v>
      </c>
      <c r="K116" s="89"/>
      <c r="L116" s="89"/>
      <c r="M116" s="5">
        <v>843867000</v>
      </c>
      <c r="N116" s="5">
        <v>34502000</v>
      </c>
      <c r="O116" s="5">
        <f>Tabela3[[#This Row],[Capital Social]]*20%</f>
        <v>60675104</v>
      </c>
      <c r="P116" s="5">
        <f>IF((Tabela3[Lucro Líquido]*5%)&gt;Tabela3[Teto R. Legal],Tabela3[Teto R. Legal],Tabela3[Lucro Líquido]*5%)</f>
        <v>1725100</v>
      </c>
      <c r="Q116" s="5">
        <f>IF(Tabela3[Lucro Líquido]&lt;0,0,Tabela3[Lucro Líquido]-Tabela3[Reserva Legal])</f>
        <v>32776900</v>
      </c>
      <c r="R116" s="5">
        <f>Tabela3[[#This Row],[Lucro Distribuir]]*Tabela3[%Div]</f>
        <v>8194225</v>
      </c>
      <c r="S116" s="21">
        <f>SUMPRODUCT(N(Tabela3[Nome]=Tabela3[[#This Row],[Nome]]),Tabela3[Ações])</f>
        <v>73646388</v>
      </c>
      <c r="T116" s="5">
        <f>Tabela3[Capital Social]/Tabela3[Total Ações]</f>
        <v>4.1193536877871049</v>
      </c>
      <c r="U116" s="79">
        <f>Tabela3[[#This Row],[Lucro Líquido]]/Tabela3[[#This Row],[Total Ações]]</f>
        <v>0.46848190300928266</v>
      </c>
      <c r="V11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11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0.24716122126722628</v>
      </c>
      <c r="Y11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0.24716122126722628</v>
      </c>
      <c r="Z116" s="5">
        <f>Tabela3[Div Base]*Tabela3[Ações]</f>
        <v>1670647.9651665196</v>
      </c>
      <c r="AA116" s="5">
        <f>SUMPRODUCT(N(Tabela3[Nome]=Tabela3[[#This Row],[Nome]]),Tabela3[Div Base]*Tabela3[Ações])</f>
        <v>8194224.9999999991</v>
      </c>
      <c r="AB116" s="5">
        <f>Tabela3[Patrimônio Líquido]/Tabela3[Total Ações]</f>
        <v>11.45836235716</v>
      </c>
      <c r="AC116" s="52">
        <f>MAX(Tabela3[[#This Row],[Cotação 1]:[Cotação 4]])</f>
        <v>3.82</v>
      </c>
      <c r="AD116" s="53">
        <f>Tabela3[Cotação]/Tabela3[VPA]</f>
        <v>0.33338097373164255</v>
      </c>
      <c r="AE116" s="37">
        <f>IF(Tabela3[[#This Row],[Lucro/Ação]]&gt;0,Tabela3[[#This Row],[Cotação]]/(Tabela3[[#This Row],[Lucro/Ação]]/Tabela3[Ref]*4),0)</f>
        <v>6.1154976992638108</v>
      </c>
      <c r="AF116" s="37" t="e">
        <f>IF(Tabela3[Div. Mínimo]=0,0,Tabela3[Lucro Distribuir]*#REF!/Tabela3[Total Ações])</f>
        <v>#REF!</v>
      </c>
      <c r="AG116" s="79">
        <f>Tabela3[Lucro Distribuir]/Tabela3[Total Ações]</f>
        <v>0.44505780785881854</v>
      </c>
      <c r="AH11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0.24716122126722628</v>
      </c>
      <c r="AI116" s="16" t="str">
        <f>IF(AND(Tabela3[% A.A.]&gt;=7%,SUMPRODUCT(N(Tabela3[Nome]=Tabela3[[#This Row],[Nome]]),Tabela3[PL])&gt;0),"Sim","Não")</f>
        <v>Sim</v>
      </c>
      <c r="AJ116" s="22">
        <f>IF(Tabela3[Cotação]&gt;0,Tabela3[[#This Row],[Lucro]]/Tabela3[[#This Row],[Cotação]],0)</f>
        <v>6.4701890384090646E-2</v>
      </c>
      <c r="AK116" s="18">
        <f>((1+Tabela3[[#This Row],[% Yield]])^(1/(3*Tabela3[[#This Row],[Ref]])))^(12)-1</f>
        <v>8.7186456405498713E-2</v>
      </c>
      <c r="AL116" s="10">
        <f>IF(Tabela3[Cotação]&gt;0,($AS$1/Tabela3[[#This Row],[Cotação]]-MOD($AS$1/Tabela3[[#This Row],[Cotação]],100)),)</f>
        <v>200</v>
      </c>
      <c r="AM116" s="7">
        <f>Tabela3[[#This Row],[Ativos]]*Tabela3[Lucro]</f>
        <v>49.432244253445255</v>
      </c>
      <c r="AN116" s="5">
        <f>SUMPRODUCT(N(Tabela1[Código]=Tabela3[[#This Row],[PAPEL]]),Tabela1[Fechamento])</f>
        <v>3.82</v>
      </c>
      <c r="AO116" s="5">
        <f>SUMPRODUCT(N(Tabela17[Código]=Tabela3[[#This Row],[PAPEL]]),Tabela17[Fechamento])</f>
        <v>0</v>
      </c>
      <c r="AP116" s="7">
        <f>SUMPRODUCT(N(Tabela176[Código]=Tabela3[[#This Row],[PAPEL]]),Tabela176[Fechamento])</f>
        <v>0</v>
      </c>
      <c r="AQ116" s="7">
        <f>SUMPRODUCT(N(Tabela1768[Código]=Tabela3[[#This Row],[PAPEL]]),Tabela1768[Fechamento])</f>
        <v>0</v>
      </c>
    </row>
    <row r="117" spans="1:43" hidden="1" x14ac:dyDescent="0.2">
      <c r="A117" s="4" t="s">
        <v>12</v>
      </c>
      <c r="B117" s="57" t="s">
        <v>100</v>
      </c>
      <c r="C117" s="14" t="str">
        <f>LEFT(Tabela3[PAPEL],LEN(Tabela3[PAPEL])-(LEN(Tabela3[PAPEL])-4))</f>
        <v>CPLE</v>
      </c>
      <c r="D117" s="15">
        <v>3</v>
      </c>
      <c r="E117" s="6">
        <v>6910000000</v>
      </c>
      <c r="F117" s="8">
        <v>128242593</v>
      </c>
      <c r="G117" s="88">
        <v>0.25</v>
      </c>
      <c r="H117" s="15"/>
      <c r="I117" s="19"/>
      <c r="J117" s="19">
        <v>0.1</v>
      </c>
      <c r="K117" s="90"/>
      <c r="L117" s="90"/>
      <c r="M117" s="92">
        <v>13116477000</v>
      </c>
      <c r="N117" s="72">
        <v>923222000</v>
      </c>
      <c r="O117" s="6">
        <f>Tabela3[[#This Row],[Capital Social]]*20%</f>
        <v>1382000000</v>
      </c>
      <c r="P117" s="6">
        <f>IF((Tabela3[Lucro Líquido]*5%)&gt;Tabela3[Teto R. Legal],Tabela3[Teto R. Legal],Tabela3[Lucro Líquido]*5%)</f>
        <v>46161100</v>
      </c>
      <c r="Q117" s="92">
        <f>IF(Tabela3[Lucro Líquido]&lt;0,0,Tabela3[Lucro Líquido]-Tabela3[Reserva Legal])</f>
        <v>877060900</v>
      </c>
      <c r="R117" s="92">
        <f>Tabela3[[#This Row],[Lucro Distribuir]]*Tabela3[%Div]</f>
        <v>219265225</v>
      </c>
      <c r="S117" s="56">
        <f>SUMPRODUCT(N(Tabela3[Nome]=Tabela3[[#This Row],[Nome]]),Tabela3[Ações])</f>
        <v>273655375</v>
      </c>
      <c r="T117" s="6">
        <f>Tabela3[Capital Social]/Tabela3[Total Ações]</f>
        <v>25.250737355332415</v>
      </c>
      <c r="U117" s="80">
        <f>Tabela3[[#This Row],[Lucro Líquido]]/Tabela3[[#This Row],[Total Ações]]</f>
        <v>3.3736666053060351</v>
      </c>
      <c r="V11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0.85394761714314282</v>
      </c>
      <c r="W11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0.7988380179784077</v>
      </c>
      <c r="Y11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0.7988380179784077</v>
      </c>
      <c r="Z117" s="6">
        <f>Tabela3[Div Base]*Tabela3[Ações]</f>
        <v>102445058.81253162</v>
      </c>
      <c r="AA117" s="6">
        <f>SUMPRODUCT(N(Tabela3[Nome]=Tabela3[[#This Row],[Nome]]),Tabela3[Div Base]*Tabela3[Ações])</f>
        <v>216148879.24719858</v>
      </c>
      <c r="AB117" s="92">
        <f>Tabela3[Patrimônio Líquido]/Tabela3[Total Ações]</f>
        <v>47.930639038242902</v>
      </c>
      <c r="AC117" s="48">
        <f>MAX(Tabela3[[#This Row],[Cotação 1]:[Cotação 4]])</f>
        <v>25.98</v>
      </c>
      <c r="AD117" s="44">
        <f>Tabela3[Cotação]/Tabela3[VPA]</f>
        <v>0.54203324890517479</v>
      </c>
      <c r="AE117" s="40">
        <f>IF(Tabela3[[#This Row],[Lucro/Ação]]&gt;0,Tabela3[[#This Row],[Cotação]]/(Tabela3[[#This Row],[Lucro/Ação]]/Tabela3[Ref]*4),0)</f>
        <v>5.7756151628481556</v>
      </c>
      <c r="AF117" s="40" t="e">
        <f>IF(Tabela3[Div. Mínimo]=0,0,Tabela3[Lucro Distribuir]*#REF!/Tabela3[Total Ações])</f>
        <v>#REF!</v>
      </c>
      <c r="AG117" s="80">
        <f>Tabela3[Lucro Distribuir]/Tabela3[Total Ações]</f>
        <v>3.2049832750407332</v>
      </c>
      <c r="AH11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0.7988380179784077</v>
      </c>
      <c r="AI117" s="15" t="str">
        <f>IF(AND(Tabela3[% A.A.]&gt;=7%,SUMPRODUCT(N(Tabela3[Nome]=Tabela3[[#This Row],[Nome]]),Tabela3[PL])&gt;0),"Sim","Não")</f>
        <v>Não</v>
      </c>
      <c r="AJ117" s="42">
        <f>IF(Tabela3[Cotação]&gt;0,Tabela3[[#This Row],[Lucro]]/Tabela3[[#This Row],[Cotação]],0)</f>
        <v>3.0748191608098833E-2</v>
      </c>
      <c r="AK117" s="19">
        <f>((1+Tabela3[[#This Row],[% Yield]])^(1/(3*Tabela3[[#This Row],[Ref]])))^(12)-1</f>
        <v>4.1206271592469479E-2</v>
      </c>
      <c r="AL117" s="14">
        <f>IF(Tabela3[Cotação]&gt;0,($AS$1/Tabela3[[#This Row],[Cotação]]-MOD($AS$1/Tabela3[[#This Row],[Cotação]],100)),)</f>
        <v>0</v>
      </c>
      <c r="AM117" s="17">
        <f>Tabela3[[#This Row],[Ativos]]*Tabela3[Lucro]</f>
        <v>0</v>
      </c>
      <c r="AN117" s="5">
        <f>SUMPRODUCT(N(Tabela1[Código]=Tabela3[[#This Row],[PAPEL]]),Tabela1[Fechamento])</f>
        <v>25.98</v>
      </c>
      <c r="AO117" s="5">
        <f>SUMPRODUCT(N(Tabela17[Código]=Tabela3[[#This Row],[PAPEL]]),Tabela17[Fechamento])</f>
        <v>0</v>
      </c>
      <c r="AP117" s="7">
        <f>SUMPRODUCT(N(Tabela176[Código]=Tabela3[[#This Row],[PAPEL]]),Tabela176[Fechamento])</f>
        <v>0</v>
      </c>
      <c r="AQ117" s="7">
        <f>SUMPRODUCT(N(Tabela1768[Código]=Tabela3[[#This Row],[PAPEL]]),Tabela1768[Fechamento])</f>
        <v>0</v>
      </c>
    </row>
    <row r="118" spans="1:43" hidden="1" x14ac:dyDescent="0.2">
      <c r="A118" s="4" t="s">
        <v>785</v>
      </c>
      <c r="B118" s="57" t="s">
        <v>783</v>
      </c>
      <c r="C118" s="15" t="str">
        <f>LEFT(Tabela3[PAPEL],LEN(Tabela3[PAPEL])-(LEN(Tabela3[PAPEL])-4))</f>
        <v>CREM</v>
      </c>
      <c r="D118" s="15">
        <v>3</v>
      </c>
      <c r="E118" s="6">
        <v>98407570.090000004</v>
      </c>
      <c r="F118" s="8">
        <v>29286632</v>
      </c>
      <c r="G118" s="88">
        <v>0.35</v>
      </c>
      <c r="H118" s="15"/>
      <c r="I118" s="19"/>
      <c r="J118" s="19"/>
      <c r="K118" s="90"/>
      <c r="L118" s="90"/>
      <c r="M118" s="96">
        <v>285071000</v>
      </c>
      <c r="N118" s="97">
        <v>27479000</v>
      </c>
      <c r="O118" s="13">
        <f>Tabela3[[#This Row],[Capital Social]]*20%</f>
        <v>19681514.018000003</v>
      </c>
      <c r="P118" s="13">
        <f>IF((Tabela3[Lucro Líquido]*5%)&gt;Tabela3[Teto R. Legal],Tabela3[Teto R. Legal],Tabela3[Lucro Líquido]*5%)</f>
        <v>1373950</v>
      </c>
      <c r="Q118" s="13">
        <f>IF(Tabela3[Lucro Líquido]&lt;0,0,Tabela3[Lucro Líquido]-Tabela3[Reserva Legal])</f>
        <v>26105050</v>
      </c>
      <c r="R118" s="13">
        <f>Tabela3[[#This Row],[Lucro Distribuir]]*Tabela3[%Div]</f>
        <v>9136767.5</v>
      </c>
      <c r="S118" s="56">
        <f>SUMPRODUCT(N(Tabela3[Nome]=Tabela3[[#This Row],[Nome]]),Tabela3[Ações])</f>
        <v>29286632</v>
      </c>
      <c r="T118" s="6">
        <f>Tabela3[Capital Social]/Tabela3[Total Ações]</f>
        <v>3.3601531951506067</v>
      </c>
      <c r="U118" s="80">
        <f>Tabela3[[#This Row],[Lucro Líquido]]/Tabela3[[#This Row],[Total Ações]]</f>
        <v>0.93827791464720145</v>
      </c>
      <c r="V11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0.31197740662019452</v>
      </c>
      <c r="W11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1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0.31197740662019452</v>
      </c>
      <c r="Z118" s="13">
        <f>Tabela3[Div Base]*Tabela3[Ações]</f>
        <v>9136767.5</v>
      </c>
      <c r="AA118" s="13">
        <f>SUMPRODUCT(N(Tabela3[Nome]=Tabela3[[#This Row],[Nome]]),Tabela3[Div Base]*Tabela3[Ações])</f>
        <v>9136767.5</v>
      </c>
      <c r="AB118" s="95">
        <f>Tabela3[Patrimônio Líquido]/Tabela3[Total Ações]</f>
        <v>9.7338266824263027</v>
      </c>
      <c r="AC118" s="48">
        <f>MAX(Tabela3[[#This Row],[Cotação 1]:[Cotação 4]])</f>
        <v>15.24</v>
      </c>
      <c r="AD118" s="44">
        <f>Tabela3[Cotação]/Tabela3[VPA]</f>
        <v>1.5656740660396884</v>
      </c>
      <c r="AE118" s="40">
        <f>IF(Tabela3[[#This Row],[Lucro/Ação]]&gt;0,Tabela3[[#This Row],[Cotação]]/(Tabela3[[#This Row],[Lucro/Ação]]/Tabela3[Ref]*4),0)</f>
        <v>12.181891763164598</v>
      </c>
      <c r="AF118" s="91" t="e">
        <f>IF(Tabela3[Div. Mínimo]=0,0,Tabela3[Lucro Distribuir]*#REF!/Tabela3[Total Ações])</f>
        <v>#REF!</v>
      </c>
      <c r="AG118" s="80">
        <f>Tabela3[Lucro Distribuir]/Tabela3[Total Ações]</f>
        <v>0.89136401891484141</v>
      </c>
      <c r="AH11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0.31197740662019452</v>
      </c>
      <c r="AI118" s="14" t="str">
        <f>IF(AND(Tabela3[% A.A.]&gt;=7%,SUMPRODUCT(N(Tabela3[Nome]=Tabela3[[#This Row],[Nome]]),Tabela3[PL])&gt;0),"Sim","Não")</f>
        <v>Não</v>
      </c>
      <c r="AJ118" s="42">
        <f>IF(Tabela3[Cotação]&gt;0,Tabela3[[#This Row],[Lucro]]/Tabela3[[#This Row],[Cotação]],0)</f>
        <v>2.0470958439645311E-2</v>
      </c>
      <c r="AK118" s="42">
        <f>((1+Tabela3[[#This Row],[% Yield]])^(1/(3*Tabela3[[#This Row],[Ref]])))^(12)-1</f>
        <v>2.7387315670006185E-2</v>
      </c>
      <c r="AL118" s="14">
        <f>IF(Tabela3[Cotação]&gt;0,($AS$1/Tabela3[[#This Row],[Cotação]]-MOD($AS$1/Tabela3[[#This Row],[Cotação]],100)),)</f>
        <v>0</v>
      </c>
      <c r="AM118" s="17">
        <f>Tabela3[[#This Row],[Ativos]]*Tabela3[Lucro]</f>
        <v>0</v>
      </c>
      <c r="AN118" s="17">
        <f>SUMPRODUCT(N(Tabela1[Código]=Tabela3[[#This Row],[PAPEL]]),Tabela1[Fechamento])</f>
        <v>0</v>
      </c>
      <c r="AO118" s="17">
        <f>SUMPRODUCT(N(Tabela17[Código]=Tabela3[[#This Row],[PAPEL]]),Tabela17[Fechamento])</f>
        <v>0</v>
      </c>
      <c r="AP118" s="17">
        <f>SUMPRODUCT(N(Tabela176[Código]=Tabela3[[#This Row],[PAPEL]]),Tabela176[Fechamento])</f>
        <v>15.24</v>
      </c>
      <c r="AQ118" s="17">
        <f>SUMPRODUCT(N(Tabela1768[Código]=Tabela3[[#This Row],[PAPEL]]),Tabela1768[Fechamento])</f>
        <v>0</v>
      </c>
    </row>
    <row r="119" spans="1:43" hidden="1" x14ac:dyDescent="0.2">
      <c r="A119" s="4" t="s">
        <v>370</v>
      </c>
      <c r="B119" s="57" t="s">
        <v>374</v>
      </c>
      <c r="C119" s="84" t="str">
        <f>LEFT(Tabela3[PAPEL],LEN(Tabela3[PAPEL])-(LEN(Tabela3[PAPEL])-4))</f>
        <v>CRIV</v>
      </c>
      <c r="D119" s="15">
        <v>3</v>
      </c>
      <c r="E119" s="6">
        <v>331000000</v>
      </c>
      <c r="F119" s="8">
        <v>59439005</v>
      </c>
      <c r="G119" s="83">
        <v>0.25</v>
      </c>
      <c r="H119" s="15"/>
      <c r="I119" s="19"/>
      <c r="J119" s="19"/>
      <c r="K119" s="90"/>
      <c r="L119" s="90"/>
      <c r="M119" s="6">
        <v>735745000</v>
      </c>
      <c r="N119" s="6">
        <v>39503000</v>
      </c>
      <c r="O119" s="6">
        <f>Tabela3[[#This Row],[Capital Social]]*20%</f>
        <v>66200000</v>
      </c>
      <c r="P119" s="6">
        <f>IF((Tabela3[Lucro Líquido]*5%)&gt;Tabela3[Teto R. Legal],Tabela3[Teto R. Legal],Tabela3[Lucro Líquido]*5%)</f>
        <v>1975150</v>
      </c>
      <c r="Q119" s="6">
        <f>IF(Tabela3[Lucro Líquido]&lt;0,0,Tabela3[Lucro Líquido]-Tabela3[Reserva Legal])</f>
        <v>37527850</v>
      </c>
      <c r="R119" s="6">
        <f>Tabela3[[#This Row],[Lucro Distribuir]]*Tabela3[%Div]</f>
        <v>9381962.5</v>
      </c>
      <c r="S119" s="56">
        <f>SUMPRODUCT(N(Tabela3[Nome]=Tabela3[[#This Row],[Nome]]),Tabela3[Ações])</f>
        <v>105765903</v>
      </c>
      <c r="T119" s="6">
        <f>Tabela3[Capital Social]/Tabela3[Total Ações]</f>
        <v>3.1295530091583483</v>
      </c>
      <c r="U119" s="80">
        <f>Tabela3[[#This Row],[Lucro Líquido]]/Tabela3[[#This Row],[Total Ações]]</f>
        <v>0.37349466018363214</v>
      </c>
      <c r="V11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8.8704981793612636E-2</v>
      </c>
      <c r="W11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1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1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19" s="6">
        <f>Tabela3[Div Base]*Tabela3[Ações]</f>
        <v>0</v>
      </c>
      <c r="AA119" s="6">
        <f>SUMPRODUCT(N(Tabela3[Nome]=Tabela3[[#This Row],[Nome]]),Tabela3[Div Base]*Tabela3[Ações])</f>
        <v>11598598.643269751</v>
      </c>
      <c r="AB119" s="6">
        <f>Tabela3[Patrimônio Líquido]/Tabela3[Total Ações]</f>
        <v>6.9563534100399069</v>
      </c>
      <c r="AC119" s="48">
        <f>MAX(Tabela3[[#This Row],[Cotação 1]:[Cotação 4]])</f>
        <v>3.99</v>
      </c>
      <c r="AD119" s="44">
        <f>Tabela3[Cotação]/Tabela3[VPA]</f>
        <v>0.57357637900359504</v>
      </c>
      <c r="AE119" s="40">
        <f>IF(Tabela3[[#This Row],[Lucro/Ação]]&gt;0,Tabela3[[#This Row],[Cotação]]/(Tabela3[[#This Row],[Lucro/Ação]]/Tabela3[Ref]*4),0)</f>
        <v>8.0121627402349205</v>
      </c>
      <c r="AF119" s="40" t="e">
        <f>IF(Tabela3[Div. Mínimo]=0,0,Tabela3[Lucro Distribuir]*#REF!/Tabela3[Total Ações])</f>
        <v>#REF!</v>
      </c>
      <c r="AG119" s="80">
        <f>Tabela3[Lucro Distribuir]/Tabela3[Total Ações]</f>
        <v>0.35481992717445054</v>
      </c>
      <c r="AH11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19" s="15" t="str">
        <f>IF(AND(Tabela3[% A.A.]&gt;=7%,SUMPRODUCT(N(Tabela3[Nome]=Tabela3[[#This Row],[Nome]]),Tabela3[PL])&gt;0),"Sim","Não")</f>
        <v>Não</v>
      </c>
      <c r="AJ119" s="42">
        <f>IF(Tabela3[Cotação]&gt;0,Tabela3[[#This Row],[Lucro]]/Tabela3[[#This Row],[Cotação]],0)</f>
        <v>0</v>
      </c>
      <c r="AK119" s="19">
        <f>((1+Tabela3[[#This Row],[% Yield]])^(1/(3*Tabela3[[#This Row],[Ref]])))^(12)-1</f>
        <v>0</v>
      </c>
      <c r="AL119" s="14">
        <f>IF(Tabela3[Cotação]&gt;0,($AS$1/Tabela3[[#This Row],[Cotação]]-MOD($AS$1/Tabela3[[#This Row],[Cotação]],100)),)</f>
        <v>200</v>
      </c>
      <c r="AM119" s="17">
        <f>Tabela3[[#This Row],[Ativos]]*Tabela3[Lucro]</f>
        <v>0</v>
      </c>
      <c r="AN119" s="13">
        <f>SUMPRODUCT(N(Tabela1[Código]=Tabela3[[#This Row],[PAPEL]]),Tabela1[Fechamento])</f>
        <v>0</v>
      </c>
      <c r="AO119" s="55">
        <f>SUMPRODUCT(N(Tabela17[Código]=Tabela3[[#This Row],[PAPEL]]),Tabela17[Fechamento])</f>
        <v>3.99</v>
      </c>
      <c r="AP119" s="7">
        <f>SUMPRODUCT(N(Tabela176[Código]=Tabela3[[#This Row],[PAPEL]]),Tabela176[Fechamento])</f>
        <v>0</v>
      </c>
      <c r="AQ119" s="7">
        <f>SUMPRODUCT(N(Tabela1768[Código]=Tabela3[[#This Row],[PAPEL]]),Tabela1768[Fechamento])</f>
        <v>0</v>
      </c>
    </row>
    <row r="120" spans="1:43" x14ac:dyDescent="0.2">
      <c r="A120" s="4" t="s">
        <v>14</v>
      </c>
      <c r="B120" s="57" t="s">
        <v>225</v>
      </c>
      <c r="C120" s="10" t="str">
        <f>LEFT(Tabela3[PAPEL],LEN(Tabela3[PAPEL])-(LEN(Tabela3[PAPEL])-4))</f>
        <v>BRGE</v>
      </c>
      <c r="D120" s="16">
        <v>3</v>
      </c>
      <c r="E120" s="5">
        <v>303375520</v>
      </c>
      <c r="F120" s="56">
        <v>164936</v>
      </c>
      <c r="G120" s="83">
        <v>0.25</v>
      </c>
      <c r="H120" s="16"/>
      <c r="I120" s="18">
        <v>0.05</v>
      </c>
      <c r="K120" s="89"/>
      <c r="L120" s="89"/>
      <c r="M120" s="5">
        <v>843867000</v>
      </c>
      <c r="N120" s="5">
        <v>34502000</v>
      </c>
      <c r="O120" s="5">
        <f>Tabela3[[#This Row],[Capital Social]]*20%</f>
        <v>60675104</v>
      </c>
      <c r="P120" s="5">
        <f>IF((Tabela3[Lucro Líquido]*5%)&gt;Tabela3[Teto R. Legal],Tabela3[Teto R. Legal],Tabela3[Lucro Líquido]*5%)</f>
        <v>1725100</v>
      </c>
      <c r="Q120" s="5">
        <f>IF(Tabela3[Lucro Líquido]&lt;0,0,Tabela3[Lucro Líquido]-Tabela3[Reserva Legal])</f>
        <v>32776900</v>
      </c>
      <c r="R120" s="5">
        <f>Tabela3[[#This Row],[Lucro Distribuir]]*Tabela3[%Div]</f>
        <v>8194225</v>
      </c>
      <c r="S120" s="21">
        <f>SUMPRODUCT(N(Tabela3[Nome]=Tabela3[[#This Row],[Nome]]),Tabela3[Ações])</f>
        <v>73646388</v>
      </c>
      <c r="T120" s="5">
        <f>Tabela3[Capital Social]/Tabela3[Total Ações]</f>
        <v>4.1193536877871049</v>
      </c>
      <c r="U120" s="79">
        <f>Tabela3[[#This Row],[Lucro Líquido]]/Tabela3[[#This Row],[Total Ações]]</f>
        <v>0.46848190300928266</v>
      </c>
      <c r="V120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120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0.20596768438935525</v>
      </c>
      <c r="Y120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0.20596768438935525</v>
      </c>
      <c r="Z120" s="5">
        <f>Tabela3[Div Base]*Tabela3[Ações]</f>
        <v>33971.4859924427</v>
      </c>
      <c r="AA120" s="5">
        <f>SUMPRODUCT(N(Tabela3[Nome]=Tabela3[[#This Row],[Nome]]),Tabela3[Div Base]*Tabela3[Ações])</f>
        <v>8194224.9999999991</v>
      </c>
      <c r="AB120" s="5">
        <f>Tabela3[Patrimônio Líquido]/Tabela3[Total Ações]</f>
        <v>11.45836235716</v>
      </c>
      <c r="AC120" s="52">
        <f>MAX(Tabela3[[#This Row],[Cotação 1]:[Cotação 4]])</f>
        <v>3.27</v>
      </c>
      <c r="AD120" s="53">
        <f>Tabela3[Cotação]/Tabela3[VPA]</f>
        <v>0.28538109531478301</v>
      </c>
      <c r="AE120" s="37">
        <f>IF(Tabela3[[#This Row],[Lucro/Ação]]&gt;0,Tabela3[[#This Row],[Cotação]]/(Tabela3[[#This Row],[Lucro/Ação]]/Tabela3[Ref]*4),0)</f>
        <v>5.2349941038200694</v>
      </c>
      <c r="AF120" s="37" t="e">
        <f>IF(Tabela3[Div. Mínimo]=0,0,Tabela3[Lucro Distribuir]*#REF!/Tabela3[Total Ações])</f>
        <v>#REF!</v>
      </c>
      <c r="AG120" s="79">
        <f>Tabela3[Lucro Distribuir]/Tabela3[Total Ações]</f>
        <v>0.44505780785881854</v>
      </c>
      <c r="AH120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0.20596768438935525</v>
      </c>
      <c r="AI120" s="16" t="str">
        <f>IF(AND(Tabela3[% A.A.]&gt;=7%,SUMPRODUCT(N(Tabela3[Nome]=Tabela3[[#This Row],[Nome]]),Tabela3[PL])&gt;0),"Sim","Não")</f>
        <v>Sim</v>
      </c>
      <c r="AJ120" s="22">
        <f>IF(Tabela3[Cotação]&gt;0,Tabela3[[#This Row],[Lucro]]/Tabela3[[#This Row],[Cotação]],0)</f>
        <v>6.2987059446286006E-2</v>
      </c>
      <c r="AK120" s="18">
        <f>((1+Tabela3[[#This Row],[% Yield]])^(1/(3*Tabela3[[#This Row],[Ref]])))^(12)-1</f>
        <v>8.4852356628532188E-2</v>
      </c>
      <c r="AL120" s="10">
        <f>IF(Tabela3[Cotação]&gt;0,($AS$1/Tabela3[[#This Row],[Cotação]]-MOD($AS$1/Tabela3[[#This Row],[Cotação]],100)),)</f>
        <v>300</v>
      </c>
      <c r="AM120" s="7">
        <f>Tabela3[[#This Row],[Ativos]]*Tabela3[Lucro]</f>
        <v>61.790305316806574</v>
      </c>
      <c r="AN120" s="5">
        <f>SUMPRODUCT(N(Tabela1[Código]=Tabela3[[#This Row],[PAPEL]]),Tabela1[Fechamento])</f>
        <v>3.27</v>
      </c>
      <c r="AO120" s="5">
        <f>SUMPRODUCT(N(Tabela17[Código]=Tabela3[[#This Row],[PAPEL]]),Tabela17[Fechamento])</f>
        <v>0</v>
      </c>
      <c r="AP120" s="7">
        <f>SUMPRODUCT(N(Tabela176[Código]=Tabela3[[#This Row],[PAPEL]]),Tabela176[Fechamento])</f>
        <v>0</v>
      </c>
      <c r="AQ120" s="7">
        <f>SUMPRODUCT(N(Tabela1768[Código]=Tabela3[[#This Row],[PAPEL]]),Tabela1768[Fechamento])</f>
        <v>0</v>
      </c>
    </row>
    <row r="121" spans="1:43" hidden="1" x14ac:dyDescent="0.2">
      <c r="A121" s="3" t="s">
        <v>928</v>
      </c>
      <c r="B121" s="58" t="s">
        <v>927</v>
      </c>
      <c r="C121" s="16" t="str">
        <f>LEFT(Tabela3[PAPEL],LEN(Tabela3[PAPEL])-(LEN(Tabela3[PAPEL])-4))</f>
        <v>CRUZ</v>
      </c>
      <c r="D121" s="16">
        <v>4</v>
      </c>
      <c r="E121" s="5">
        <v>854755740.32000005</v>
      </c>
      <c r="F121" s="56">
        <v>1528450500</v>
      </c>
      <c r="G121" s="83">
        <v>0.25</v>
      </c>
      <c r="H121" s="89"/>
      <c r="I121" s="18"/>
      <c r="K121" s="16"/>
      <c r="L121" s="89"/>
      <c r="M121" s="94">
        <v>2440374000</v>
      </c>
      <c r="N121" s="73">
        <v>1694282000</v>
      </c>
      <c r="O121" s="7">
        <f>Tabela3[[#This Row],[Capital Social]]*20%</f>
        <v>170951148.06400001</v>
      </c>
      <c r="P121" s="47">
        <f>IF((Tabela3[Lucro Líquido]*5%)&gt;Tabela3[Teto R. Legal],Tabela3[Teto R. Legal],Tabela3[Lucro Líquido]*5%)</f>
        <v>84714100</v>
      </c>
      <c r="Q121" s="47">
        <f>IF(Tabela3[Lucro Líquido]&lt;0,0,Tabela3[Lucro Líquido]-Tabela3[Reserva Legal])</f>
        <v>1609567900</v>
      </c>
      <c r="R121" s="47">
        <f>Tabela3[[#This Row],[Lucro Distribuir]]*Tabela3[%Div]</f>
        <v>402391975</v>
      </c>
      <c r="S121" s="56">
        <f>SUMPRODUCT(N(Tabela3[Nome]=Tabela3[[#This Row],[Nome]]),Tabela3[Ações])</f>
        <v>1528450500</v>
      </c>
      <c r="T121" s="87">
        <f>Tabela3[Capital Social]/Tabela3[Total Ações]</f>
        <v>0.55923024024657653</v>
      </c>
      <c r="U121" s="87">
        <f>Tabela3[[#This Row],[Lucro Líquido]]/Tabela3[[#This Row],[Total Ações]]</f>
        <v>1.1084964805860575</v>
      </c>
      <c r="V121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0.26326791413918865</v>
      </c>
      <c r="W121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1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0.26326791413918865</v>
      </c>
      <c r="Z121" s="7">
        <f>Tabela3[Div Base]*Tabela3[Ações]</f>
        <v>402391974.99999994</v>
      </c>
      <c r="AA121" s="7">
        <f>SUMPRODUCT(N(Tabela3[Nome]=Tabela3[[#This Row],[Nome]]),Tabela3[Div Base]*Tabela3[Ações])</f>
        <v>402391974.99999994</v>
      </c>
      <c r="AB121" s="74">
        <f>Tabela3[Patrimônio Líquido]/Tabela3[Total Ações]</f>
        <v>1.5966326681825811</v>
      </c>
      <c r="AC121" s="52">
        <f>MAX(Tabela3[[#This Row],[Cotação 1]:[Cotação 4]])</f>
        <v>20.16</v>
      </c>
      <c r="AD121" s="53">
        <f>Tabela3[Cotação]/Tabela3[VPA]</f>
        <v>12.626573664528468</v>
      </c>
      <c r="AE121" s="37">
        <f>IF(Tabela3[[#This Row],[Lucro/Ação]]&gt;0,Tabela3[[#This Row],[Cotação]]/(Tabela3[[#This Row],[Lucro/Ação]]/Tabela3[Ref]*4),0)</f>
        <v>18.186796578137525</v>
      </c>
      <c r="AF121" s="59" t="e">
        <f>IF(Tabela3[Div. Mínimo]=0,0,Tabela3[Lucro Distribuir]*#REF!/Tabela3[Total Ações])</f>
        <v>#REF!</v>
      </c>
      <c r="AG121" s="87">
        <f>Tabela3[Lucro Distribuir]/Tabela3[Total Ações]</f>
        <v>1.0530716565567546</v>
      </c>
      <c r="AH121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0.26326791413918865</v>
      </c>
      <c r="AI121" s="10" t="str">
        <f>IF(AND(Tabela3[% A.A.]&gt;=7%,SUMPRODUCT(N(Tabela3[Nome]=Tabela3[[#This Row],[Nome]]),Tabela3[PL])&gt;0),"Sim","Não")</f>
        <v>Não</v>
      </c>
      <c r="AJ121" s="22">
        <f>IF(Tabela3[Cotação]&gt;0,Tabela3[[#This Row],[Lucro]]/Tabela3[[#This Row],[Cotação]],0)</f>
        <v>1.3058924312459754E-2</v>
      </c>
      <c r="AK121" s="22">
        <f>((1+Tabela3[[#This Row],[% Yield]])^(1/(3*Tabela3[[#This Row],[Ref]])))^(12)-1</f>
        <v>1.3058924312458586E-2</v>
      </c>
      <c r="AL121" s="10">
        <f>IF(Tabela3[Cotação]&gt;0,($AS$1/Tabela3[[#This Row],[Cotação]]-MOD($AS$1/Tabela3[[#This Row],[Cotação]],100)),)</f>
        <v>0</v>
      </c>
      <c r="AM121" s="7">
        <f>Tabela3[[#This Row],[Ativos]]*Tabela3[Lucro]</f>
        <v>0</v>
      </c>
      <c r="AN121" s="7">
        <f>SUMPRODUCT(N(Tabela1[Código]=Tabela3[[#This Row],[PAPEL]]),Tabela1[Fechamento])</f>
        <v>0</v>
      </c>
      <c r="AO121" s="7">
        <f>SUMPRODUCT(N(Tabela17[Código]=Tabela3[[#This Row],[PAPEL]]),Tabela17[Fechamento])</f>
        <v>0</v>
      </c>
      <c r="AP121" s="7">
        <f>SUMPRODUCT(N(Tabela176[Código]=Tabela3[[#This Row],[PAPEL]]),Tabela176[Fechamento])</f>
        <v>20.16</v>
      </c>
      <c r="AQ121" s="7">
        <f>SUMPRODUCT(N(Tabela1768[Código]=Tabela3[[#This Row],[PAPEL]]),Tabela1768[Fechamento])</f>
        <v>0</v>
      </c>
    </row>
    <row r="122" spans="1:43" hidden="1" x14ac:dyDescent="0.2">
      <c r="A122" s="4" t="s">
        <v>26</v>
      </c>
      <c r="B122" s="57" t="s">
        <v>253</v>
      </c>
      <c r="C122" s="84" t="str">
        <f>LEFT(Tabela3[PAPEL],LEN(Tabela3[PAPEL])-(LEN(Tabela3[PAPEL])-4))</f>
        <v>CSAB</v>
      </c>
      <c r="D122" s="15">
        <v>3</v>
      </c>
      <c r="E122" s="6">
        <v>100000000</v>
      </c>
      <c r="F122" s="8">
        <v>3840000</v>
      </c>
      <c r="G122" s="83">
        <v>0.25</v>
      </c>
      <c r="H122" s="15"/>
      <c r="I122" s="19"/>
      <c r="J122" s="19"/>
      <c r="K122" s="90"/>
      <c r="L122" s="90"/>
      <c r="M122" s="6">
        <v>168049000</v>
      </c>
      <c r="N122" s="6">
        <v>901000</v>
      </c>
      <c r="O122" s="6">
        <f>Tabela3[[#This Row],[Capital Social]]*20%</f>
        <v>20000000</v>
      </c>
      <c r="P122" s="6">
        <f>IF((Tabela3[Lucro Líquido]*5%)&gt;Tabela3[Teto R. Legal],Tabela3[Teto R. Legal],Tabela3[Lucro Líquido]*5%)</f>
        <v>45050</v>
      </c>
      <c r="Q122" s="6">
        <f>IF(Tabela3[Lucro Líquido]&lt;0,0,Tabela3[Lucro Líquido]-Tabela3[Reserva Legal])</f>
        <v>855950</v>
      </c>
      <c r="R122" s="6">
        <f>Tabela3[[#This Row],[Lucro Distribuir]]*Tabela3[%Div]</f>
        <v>213987.5</v>
      </c>
      <c r="S122" s="21">
        <f>SUMPRODUCT(N(Tabela3[Nome]=Tabela3[[#This Row],[Nome]]),Tabela3[Ações])</f>
        <v>7680000</v>
      </c>
      <c r="T122" s="6">
        <f>Tabela3[Capital Social]/Tabela3[Total Ações]</f>
        <v>13.020833333333334</v>
      </c>
      <c r="U122" s="80">
        <f>Tabela3[[#This Row],[Lucro Líquido]]/Tabela3[[#This Row],[Total Ações]]</f>
        <v>0.11731770833333334</v>
      </c>
      <c r="V12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2.7862955729166666E-2</v>
      </c>
      <c r="W12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2.7862955729166666E-2</v>
      </c>
      <c r="Z122" s="6">
        <f>Tabela3[Div Base]*Tabela3[Ações]</f>
        <v>106993.75</v>
      </c>
      <c r="AA122" s="6">
        <f>SUMPRODUCT(N(Tabela3[Nome]=Tabela3[[#This Row],[Nome]]),Tabela3[Div Base]*Tabela3[Ações])</f>
        <v>213987.5</v>
      </c>
      <c r="AB122" s="6">
        <f>Tabela3[Patrimônio Líquido]/Tabela3[Total Ações]</f>
        <v>21.881380208333333</v>
      </c>
      <c r="AC122" s="48">
        <f>MAX(Tabela3[[#This Row],[Cotação 1]:[Cotação 4]])</f>
        <v>30.01</v>
      </c>
      <c r="AD122" s="44">
        <f>Tabela3[Cotação]/Tabela3[VPA]</f>
        <v>1.3714856976239074</v>
      </c>
      <c r="AE122" s="40">
        <f>IF(Tabela3[[#This Row],[Lucro/Ação]]&gt;0,Tabela3[[#This Row],[Cotação]]/(Tabela3[[#This Row],[Lucro/Ação]]/Tabela3[Ref]*4),0)</f>
        <v>191.85083240843508</v>
      </c>
      <c r="AF122" s="40" t="e">
        <f>IF(Tabela3[Div. Mínimo]=0,0,Tabela3[Lucro Distribuir]*#REF!/Tabela3[Total Ações])</f>
        <v>#REF!</v>
      </c>
      <c r="AG122" s="80">
        <f>Tabela3[Lucro Distribuir]/Tabela3[Total Ações]</f>
        <v>0.11145182291666667</v>
      </c>
      <c r="AH12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2.7862955729166666E-2</v>
      </c>
      <c r="AI122" s="15" t="str">
        <f>IF(AND(Tabela3[% A.A.]&gt;=7%,SUMPRODUCT(N(Tabela3[Nome]=Tabela3[[#This Row],[Nome]]),Tabela3[PL])&gt;0),"Sim","Não")</f>
        <v>Não</v>
      </c>
      <c r="AJ122" s="42">
        <f>IF(Tabela3[Cotação]&gt;0,Tabela3[[#This Row],[Lucro]]/Tabela3[[#This Row],[Cotação]],0)</f>
        <v>9.2845570573697647E-4</v>
      </c>
      <c r="AK122" s="19">
        <f>((1+Tabela3[[#This Row],[% Yield]])^(1/(3*Tabela3[[#This Row],[Ref]])))^(12)-1</f>
        <v>1.2381324636974167E-3</v>
      </c>
      <c r="AL122" s="14">
        <f>IF(Tabela3[Cotação]&gt;0,($AS$1/Tabela3[[#This Row],[Cotação]]-MOD($AS$1/Tabela3[[#This Row],[Cotação]],100)),)</f>
        <v>0</v>
      </c>
      <c r="AM122" s="17">
        <f>Tabela3[[#This Row],[Ativos]]*Tabela3[Lucro]</f>
        <v>0</v>
      </c>
      <c r="AN122" s="13">
        <f>SUMPRODUCT(N(Tabela1[Código]=Tabela3[[#This Row],[PAPEL]]),Tabela1[Fechamento])</f>
        <v>0</v>
      </c>
      <c r="AO122" s="13">
        <f>SUMPRODUCT(N(Tabela17[Código]=Tabela3[[#This Row],[PAPEL]]),Tabela17[Fechamento])</f>
        <v>30.01</v>
      </c>
      <c r="AP122" s="7">
        <f>SUMPRODUCT(N(Tabela176[Código]=Tabela3[[#This Row],[PAPEL]]),Tabela176[Fechamento])</f>
        <v>0</v>
      </c>
      <c r="AQ122" s="7">
        <f>SUMPRODUCT(N(Tabela1768[Código]=Tabela3[[#This Row],[PAPEL]]),Tabela1768[Fechamento])</f>
        <v>0</v>
      </c>
    </row>
    <row r="123" spans="1:43" hidden="1" x14ac:dyDescent="0.2">
      <c r="A123" s="4" t="s">
        <v>26</v>
      </c>
      <c r="B123" s="57" t="s">
        <v>254</v>
      </c>
      <c r="C123" s="84" t="str">
        <f>LEFT(Tabela3[PAPEL],LEN(Tabela3[PAPEL])-(LEN(Tabela3[PAPEL])-4))</f>
        <v>CSAB</v>
      </c>
      <c r="D123" s="15">
        <v>3</v>
      </c>
      <c r="E123" s="6">
        <v>100000000</v>
      </c>
      <c r="F123" s="8">
        <v>3840000</v>
      </c>
      <c r="G123" s="88">
        <v>0.25</v>
      </c>
      <c r="H123" s="15"/>
      <c r="I123" s="19"/>
      <c r="J123" s="19"/>
      <c r="K123" s="90"/>
      <c r="L123" s="90"/>
      <c r="M123" s="6">
        <v>168049000</v>
      </c>
      <c r="N123" s="6">
        <v>901000</v>
      </c>
      <c r="O123" s="6">
        <f>Tabela3[[#This Row],[Capital Social]]*20%</f>
        <v>20000000</v>
      </c>
      <c r="P123" s="6">
        <f>IF((Tabela3[Lucro Líquido]*5%)&gt;Tabela3[Teto R. Legal],Tabela3[Teto R. Legal],Tabela3[Lucro Líquido]*5%)</f>
        <v>45050</v>
      </c>
      <c r="Q123" s="6">
        <f>IF(Tabela3[Lucro Líquido]&lt;0,0,Tabela3[Lucro Líquido]-Tabela3[Reserva Legal])</f>
        <v>855950</v>
      </c>
      <c r="R123" s="6">
        <f>Tabela3[[#This Row],[Lucro Distribuir]]*Tabela3[%Div]</f>
        <v>213987.5</v>
      </c>
      <c r="S123" s="21">
        <f>SUMPRODUCT(N(Tabela3[Nome]=Tabela3[[#This Row],[Nome]]),Tabela3[Ações])</f>
        <v>7680000</v>
      </c>
      <c r="T123" s="6">
        <f>Tabela3[Capital Social]/Tabela3[Total Ações]</f>
        <v>13.020833333333334</v>
      </c>
      <c r="U123" s="80">
        <f>Tabela3[[#This Row],[Lucro Líquido]]/Tabela3[[#This Row],[Total Ações]]</f>
        <v>0.11731770833333334</v>
      </c>
      <c r="V12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2.7862955729166666E-2</v>
      </c>
      <c r="W12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2.7862955729166666E-2</v>
      </c>
      <c r="Z123" s="6">
        <f>Tabela3[Div Base]*Tabela3[Ações]</f>
        <v>106993.75</v>
      </c>
      <c r="AA123" s="6">
        <f>SUMPRODUCT(N(Tabela3[Nome]=Tabela3[[#This Row],[Nome]]),Tabela3[Div Base]*Tabela3[Ações])</f>
        <v>213987.5</v>
      </c>
      <c r="AB123" s="6">
        <f>Tabela3[Patrimônio Líquido]/Tabela3[Total Ações]</f>
        <v>21.881380208333333</v>
      </c>
      <c r="AC123" s="48">
        <f>MAX(Tabela3[[#This Row],[Cotação 1]:[Cotação 4]])</f>
        <v>30</v>
      </c>
      <c r="AD123" s="44">
        <f>Tabela3[Cotação]/Tabela3[VPA]</f>
        <v>1.3710286880612204</v>
      </c>
      <c r="AE123" s="40">
        <f>IF(Tabela3[[#This Row],[Lucro/Ação]]&gt;0,Tabela3[[#This Row],[Cotação]]/(Tabela3[[#This Row],[Lucro/Ação]]/Tabela3[Ref]*4),0)</f>
        <v>191.78690344062153</v>
      </c>
      <c r="AF123" s="40" t="e">
        <f>IF(Tabela3[Div. Mínimo]=0,0,Tabela3[Lucro Distribuir]*#REF!/Tabela3[Total Ações])</f>
        <v>#REF!</v>
      </c>
      <c r="AG123" s="80">
        <f>Tabela3[Lucro Distribuir]/Tabela3[Total Ações]</f>
        <v>0.11145182291666667</v>
      </c>
      <c r="AH12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2.7862955729166666E-2</v>
      </c>
      <c r="AI123" s="15" t="str">
        <f>IF(AND(Tabela3[% A.A.]&gt;=7%,SUMPRODUCT(N(Tabela3[Nome]=Tabela3[[#This Row],[Nome]]),Tabela3[PL])&gt;0),"Sim","Não")</f>
        <v>Não</v>
      </c>
      <c r="AJ123" s="42">
        <f>IF(Tabela3[Cotação]&gt;0,Tabela3[[#This Row],[Lucro]]/Tabela3[[#This Row],[Cotação]],0)</f>
        <v>9.2876519097222221E-4</v>
      </c>
      <c r="AK123" s="19">
        <f>((1+Tabela3[[#This Row],[% Yield]])^(1/(3*Tabela3[[#This Row],[Ref]])))^(12)-1</f>
        <v>1.2385452383660844E-3</v>
      </c>
      <c r="AL123" s="14">
        <f>IF(Tabela3[Cotação]&gt;0,($AS$1/Tabela3[[#This Row],[Cotação]]-MOD($AS$1/Tabela3[[#This Row],[Cotação]],100)),)</f>
        <v>0</v>
      </c>
      <c r="AM123" s="17">
        <f>Tabela3[[#This Row],[Ativos]]*Tabela3[Lucro]</f>
        <v>0</v>
      </c>
      <c r="AN123" s="13">
        <f>SUMPRODUCT(N(Tabela1[Código]=Tabela3[[#This Row],[PAPEL]]),Tabela1[Fechamento])</f>
        <v>0</v>
      </c>
      <c r="AO123" s="13">
        <f>SUMPRODUCT(N(Tabela17[Código]=Tabela3[[#This Row],[PAPEL]]),Tabela17[Fechamento])</f>
        <v>30</v>
      </c>
      <c r="AP123" s="7">
        <f>SUMPRODUCT(N(Tabela176[Código]=Tabela3[[#This Row],[PAPEL]]),Tabela176[Fechamento])</f>
        <v>0</v>
      </c>
      <c r="AQ123" s="7">
        <f>SUMPRODUCT(N(Tabela1768[Código]=Tabela3[[#This Row],[PAPEL]]),Tabela1768[Fechamento])</f>
        <v>0</v>
      </c>
    </row>
    <row r="124" spans="1:43" hidden="1" x14ac:dyDescent="0.2">
      <c r="A124" s="3" t="s">
        <v>274</v>
      </c>
      <c r="B124" s="58" t="s">
        <v>275</v>
      </c>
      <c r="C124" s="85" t="str">
        <f>LEFT(Tabela3[PAPEL],LEN(Tabela3[PAPEL])-(LEN(Tabela3[PAPEL])-4))</f>
        <v>CSAN</v>
      </c>
      <c r="D124" s="16">
        <v>3</v>
      </c>
      <c r="E124" s="5">
        <v>4691822291.1300001</v>
      </c>
      <c r="F124" s="21">
        <v>407214353</v>
      </c>
      <c r="G124" s="83">
        <v>0.25</v>
      </c>
      <c r="H124" s="16"/>
      <c r="I124" s="18"/>
      <c r="K124" s="89"/>
      <c r="L124" s="89"/>
      <c r="M124" s="5">
        <v>9543805000</v>
      </c>
      <c r="N124" s="6">
        <v>10847000</v>
      </c>
      <c r="O124" s="5">
        <f>Tabela3[[#This Row],[Capital Social]]*20%</f>
        <v>938364458.22600007</v>
      </c>
      <c r="P124" s="5">
        <f>IF((Tabela3[Lucro Líquido]*5%)&gt;Tabela3[Teto R. Legal],Tabela3[Teto R. Legal],Tabela3[Lucro Líquido]*5%)</f>
        <v>542350</v>
      </c>
      <c r="Q124" s="5">
        <f>IF(Tabela3[Lucro Líquido]&lt;0,0,Tabela3[Lucro Líquido]-Tabela3[Reserva Legal])</f>
        <v>10304650</v>
      </c>
      <c r="R124" s="5">
        <f>Tabela3[[#This Row],[Lucro Distribuir]]*Tabela3[%Div]</f>
        <v>2576162.5</v>
      </c>
      <c r="S124" s="56">
        <f>SUMPRODUCT(N(Tabela3[Nome]=Tabela3[[#This Row],[Nome]]),Tabela3[Ações])</f>
        <v>407214353</v>
      </c>
      <c r="T124" s="5">
        <f>Tabela3[Capital Social]/Tabela3[Total Ações]</f>
        <v>11.521750784481803</v>
      </c>
      <c r="U124" s="79">
        <f>Tabela3[[#This Row],[Lucro Líquido]]/Tabela3[[#This Row],[Total Ações]]</f>
        <v>2.6637076812466874E-2</v>
      </c>
      <c r="V12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6.326305742960882E-3</v>
      </c>
      <c r="W12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6.326305742960882E-3</v>
      </c>
      <c r="Z124" s="5">
        <f>Tabela3[Div Base]*Tabela3[Ações]</f>
        <v>2576162.5</v>
      </c>
      <c r="AA124" s="5">
        <f>SUMPRODUCT(N(Tabela3[Nome]=Tabela3[[#This Row],[Nome]]),Tabela3[Div Base]*Tabela3[Ações])</f>
        <v>2576162.5</v>
      </c>
      <c r="AB124" s="5">
        <f>Tabela3[Patrimônio Líquido]/Tabela3[Total Ações]</f>
        <v>23.436808967290993</v>
      </c>
      <c r="AC124" s="52">
        <f>MAX(Tabela3[[#This Row],[Cotação 1]:[Cotação 4]])</f>
        <v>34.630000000000003</v>
      </c>
      <c r="AD124" s="53">
        <f>Tabela3[Cotação]/Tabela3[VPA]</f>
        <v>1.4775902320290493</v>
      </c>
      <c r="AE124" s="37">
        <f>IF(Tabela3[[#This Row],[Lucro/Ação]]&gt;0,Tabela3[[#This Row],[Cotação]]/(Tabela3[[#This Row],[Lucro/Ação]]/Tabela3[Ref]*4),0)</f>
        <v>975.05068528556285</v>
      </c>
      <c r="AF124" s="37" t="e">
        <f>IF(Tabela3[Div. Mínimo]=0,0,Tabela3[Lucro Distribuir]*#REF!/Tabela3[Total Ações])</f>
        <v>#REF!</v>
      </c>
      <c r="AG124" s="79">
        <f>Tabela3[Lucro Distribuir]/Tabela3[Total Ações]</f>
        <v>2.5305222971843528E-2</v>
      </c>
      <c r="AH124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6.326305742960882E-3</v>
      </c>
      <c r="AI124" s="16" t="str">
        <f>IF(AND(Tabela3[% A.A.]&gt;=7%,SUMPRODUCT(N(Tabela3[Nome]=Tabela3[[#This Row],[Nome]]),Tabela3[PL])&gt;0),"Sim","Não")</f>
        <v>Não</v>
      </c>
      <c r="AJ124" s="22">
        <f>IF(Tabela3[Cotação]&gt;0,Tabela3[[#This Row],[Lucro]]/Tabela3[[#This Row],[Cotação]],0)</f>
        <v>1.8268281094313836E-4</v>
      </c>
      <c r="AK124" s="18">
        <f>((1+Tabela3[[#This Row],[% Yield]])^(1/(3*Tabela3[[#This Row],[Ref]])))^(12)-1</f>
        <v>2.4358449718020481E-4</v>
      </c>
      <c r="AL124" s="10">
        <f>IF(Tabela3[Cotação]&gt;0,($AS$1/Tabela3[[#This Row],[Cotação]]-MOD($AS$1/Tabela3[[#This Row],[Cotação]],100)),)</f>
        <v>0</v>
      </c>
      <c r="AM124" s="7">
        <f>Tabela3[[#This Row],[Ativos]]*Tabela3[Lucro]</f>
        <v>0</v>
      </c>
      <c r="AN124" s="47">
        <f>SUMPRODUCT(N(Tabela1[Código]=Tabela3[[#This Row],[PAPEL]]),Tabela1[Fechamento])</f>
        <v>0</v>
      </c>
      <c r="AO124" s="54">
        <f>SUMPRODUCT(N(Tabela17[Código]=Tabela3[[#This Row],[PAPEL]]),Tabela17[Fechamento])</f>
        <v>34.630000000000003</v>
      </c>
      <c r="AP124" s="7">
        <f>SUMPRODUCT(N(Tabela176[Código]=Tabela3[[#This Row],[PAPEL]]),Tabela176[Fechamento])</f>
        <v>0</v>
      </c>
      <c r="AQ124" s="7">
        <f>SUMPRODUCT(N(Tabela1768[Código]=Tabela3[[#This Row],[PAPEL]]),Tabela1768[Fechamento])</f>
        <v>0</v>
      </c>
    </row>
    <row r="125" spans="1:43" hidden="1" x14ac:dyDescent="0.2">
      <c r="A125" s="4" t="s">
        <v>37</v>
      </c>
      <c r="B125" s="57" t="s">
        <v>184</v>
      </c>
      <c r="C125" s="14" t="str">
        <f>LEFT(Tabela3[PAPEL],LEN(Tabela3[PAPEL])-(LEN(Tabela3[PAPEL])-4))</f>
        <v>CSMG</v>
      </c>
      <c r="D125" s="15">
        <v>3</v>
      </c>
      <c r="E125" s="6">
        <v>2773985614.6599998</v>
      </c>
      <c r="F125" s="8">
        <v>119684430</v>
      </c>
      <c r="G125" s="88">
        <v>0.25</v>
      </c>
      <c r="H125" s="15"/>
      <c r="I125" s="19"/>
      <c r="J125" s="19"/>
      <c r="K125" s="90"/>
      <c r="L125" s="90"/>
      <c r="M125" s="6">
        <v>5136809000</v>
      </c>
      <c r="N125" s="6">
        <v>318427000</v>
      </c>
      <c r="O125" s="6">
        <f>Tabela3[[#This Row],[Capital Social]]*20%</f>
        <v>554797122.93200004</v>
      </c>
      <c r="P125" s="6">
        <f>IF((Tabela3[Lucro Líquido]*5%)&gt;Tabela3[Teto R. Legal],Tabela3[Teto R. Legal],Tabela3[Lucro Líquido]*5%)</f>
        <v>15921350</v>
      </c>
      <c r="Q125" s="6">
        <f>IF(Tabela3[Lucro Líquido]&lt;0,0,Tabela3[Lucro Líquido]-Tabela3[Reserva Legal])</f>
        <v>302505650</v>
      </c>
      <c r="R125" s="6">
        <f>Tabela3[[#This Row],[Lucro Distribuir]]*Tabela3[%Div]</f>
        <v>75626412.5</v>
      </c>
      <c r="S125" s="21">
        <f>SUMPRODUCT(N(Tabela3[Nome]=Tabela3[[#This Row],[Nome]]),Tabela3[Ações])</f>
        <v>119684430</v>
      </c>
      <c r="T125" s="6">
        <f>Tabela3[Capital Social]/Tabela3[Total Ações]</f>
        <v>23.177497813708932</v>
      </c>
      <c r="U125" s="80">
        <f>Tabela3[[#This Row],[Lucro Líquido]]/Tabela3[[#This Row],[Total Ações]]</f>
        <v>2.6605549276543323</v>
      </c>
      <c r="V12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0.63188179531790389</v>
      </c>
      <c r="W12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0.63188179531790389</v>
      </c>
      <c r="Z125" s="6">
        <f>Tabela3[Div Base]*Tabela3[Ações]</f>
        <v>75626412.5</v>
      </c>
      <c r="AA125" s="6">
        <f>SUMPRODUCT(N(Tabela3[Nome]=Tabela3[[#This Row],[Nome]]),Tabela3[Div Base]*Tabela3[Ações])</f>
        <v>75626412.5</v>
      </c>
      <c r="AB125" s="6">
        <f>Tabela3[Patrimônio Líquido]/Tabela3[Total Ações]</f>
        <v>42.919609509775</v>
      </c>
      <c r="AC125" s="48">
        <f>MAX(Tabela3[[#This Row],[Cotação 1]:[Cotação 4]])</f>
        <v>32.86</v>
      </c>
      <c r="AD125" s="44">
        <f>Tabela3[Cotação]/Tabela3[VPA]</f>
        <v>0.76561740368388231</v>
      </c>
      <c r="AE125" s="40">
        <f>IF(Tabela3[[#This Row],[Lucro/Ação]]&gt;0,Tabela3[[#This Row],[Cotação]]/(Tabela3[[#This Row],[Lucro/Ação]]/Tabela3[Ref]*4),0)</f>
        <v>9.2631051303752514</v>
      </c>
      <c r="AF125" s="40" t="e">
        <f>IF(Tabela3[Div. Mínimo]=0,0,Tabela3[Lucro Distribuir]*#REF!/Tabela3[Total Ações])</f>
        <v>#REF!</v>
      </c>
      <c r="AG125" s="80">
        <f>Tabela3[Lucro Distribuir]/Tabela3[Total Ações]</f>
        <v>2.5275271812716156</v>
      </c>
      <c r="AH12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0.63188179531790389</v>
      </c>
      <c r="AI125" s="15" t="str">
        <f>IF(AND(Tabela3[% A.A.]&gt;=7%,SUMPRODUCT(N(Tabela3[Nome]=Tabela3[[#This Row],[Nome]]),Tabela3[PL])&gt;0),"Sim","Não")</f>
        <v>Não</v>
      </c>
      <c r="AJ125" s="42">
        <f>IF(Tabela3[Cotação]&gt;0,Tabela3[[#This Row],[Lucro]]/Tabela3[[#This Row],[Cotação]],0)</f>
        <v>1.9229512943332437E-2</v>
      </c>
      <c r="AK125" s="19">
        <f>((1+Tabela3[[#This Row],[% Yield]])^(1/(3*Tabela3[[#This Row],[Ref]])))^(12)-1</f>
        <v>2.5721174273755754E-2</v>
      </c>
      <c r="AL125" s="14">
        <f>IF(Tabela3[Cotação]&gt;0,($AS$1/Tabela3[[#This Row],[Cotação]]-MOD($AS$1/Tabela3[[#This Row],[Cotação]],100)),)</f>
        <v>0</v>
      </c>
      <c r="AM125" s="17">
        <f>Tabela3[[#This Row],[Ativos]]*Tabela3[Lucro]</f>
        <v>0</v>
      </c>
      <c r="AN125" s="5">
        <f>SUMPRODUCT(N(Tabela1[Código]=Tabela3[[#This Row],[PAPEL]]),Tabela1[Fechamento])</f>
        <v>32.86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  <c r="AQ125" s="7">
        <f>SUMPRODUCT(N(Tabela1768[Código]=Tabela3[[#This Row],[PAPEL]]),Tabela1768[Fechamento])</f>
        <v>0</v>
      </c>
    </row>
    <row r="126" spans="1:43" hidden="1" x14ac:dyDescent="0.2">
      <c r="A126" s="4" t="s">
        <v>244</v>
      </c>
      <c r="B126" s="57" t="s">
        <v>618</v>
      </c>
      <c r="C126" s="15" t="str">
        <f>LEFT(Tabela3[PAPEL],LEN(Tabela3[PAPEL])-(LEN(Tabela3[PAPEL])-4))</f>
        <v>CSNA</v>
      </c>
      <c r="D126" s="15">
        <v>3</v>
      </c>
      <c r="E126" s="6">
        <v>4540000000</v>
      </c>
      <c r="F126" s="8">
        <v>1457970108</v>
      </c>
      <c r="G126" s="88">
        <v>0.25</v>
      </c>
      <c r="H126" s="15"/>
      <c r="I126" s="19"/>
      <c r="J126" s="19"/>
      <c r="K126" s="90"/>
      <c r="L126" s="90"/>
      <c r="M126" s="96">
        <v>8507300000</v>
      </c>
      <c r="N126" s="97">
        <v>1021477000</v>
      </c>
      <c r="O126" s="13">
        <f>Tabela3[[#This Row],[Capital Social]]*20%</f>
        <v>908000000</v>
      </c>
      <c r="P126" s="13">
        <f>IF((Tabela3[Lucro Líquido]*5%)&gt;Tabela3[Teto R. Legal],Tabela3[Teto R. Legal],Tabela3[Lucro Líquido]*5%)</f>
        <v>51073850</v>
      </c>
      <c r="Q126" s="13">
        <f>IF(Tabela3[Lucro Líquido]&lt;0,0,Tabela3[Lucro Líquido]-Tabela3[Reserva Legal])</f>
        <v>970403150</v>
      </c>
      <c r="R126" s="13">
        <f>Tabela3[[#This Row],[Lucro Distribuir]]*Tabela3[%Div]</f>
        <v>242600787.5</v>
      </c>
      <c r="S126" s="56">
        <f>SUMPRODUCT(N(Tabela3[Nome]=Tabela3[[#This Row],[Nome]]),Tabela3[Ações])</f>
        <v>1457970108</v>
      </c>
      <c r="T126" s="6">
        <f>Tabela3[Capital Social]/Tabela3[Total Ações]</f>
        <v>3.1139184370712765</v>
      </c>
      <c r="U126" s="80">
        <f>Tabela3[[#This Row],[Lucro Líquido]]/Tabela3[[#This Row],[Total Ações]]</f>
        <v>0.70061587298331629</v>
      </c>
      <c r="V12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0.16639626983353764</v>
      </c>
      <c r="W12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0.16639626983353764</v>
      </c>
      <c r="Z126" s="13">
        <f>Tabela3[Div Base]*Tabela3[Ações]</f>
        <v>242600787.50000003</v>
      </c>
      <c r="AA126" s="13">
        <f>SUMPRODUCT(N(Tabela3[Nome]=Tabela3[[#This Row],[Nome]]),Tabela3[Div Base]*Tabela3[Ações])</f>
        <v>242600787.50000003</v>
      </c>
      <c r="AB126" s="95">
        <f>Tabela3[Patrimônio Líquido]/Tabela3[Total Ações]</f>
        <v>5.8350304668934951</v>
      </c>
      <c r="AC126" s="48">
        <f>MAX(Tabela3[[#This Row],[Cotação 1]:[Cotação 4]])</f>
        <v>11.31</v>
      </c>
      <c r="AD126" s="44">
        <f>Tabela3[Cotação]/Tabela3[VPA]</f>
        <v>1.9382932212899511</v>
      </c>
      <c r="AE126" s="40">
        <f>IF(Tabela3[[#This Row],[Lucro/Ação]]&gt;0,Tabela3[[#This Row],[Cotação]]/(Tabela3[[#This Row],[Lucro/Ação]]/Tabela3[Ref]*4),0)</f>
        <v>12.107204999339194</v>
      </c>
      <c r="AF126" s="91" t="e">
        <f>IF(Tabela3[Div. Mínimo]=0,0,Tabela3[Lucro Distribuir]*#REF!/Tabela3[Total Ações])</f>
        <v>#REF!</v>
      </c>
      <c r="AG126" s="80">
        <f>Tabela3[Lucro Distribuir]/Tabela3[Total Ações]</f>
        <v>0.66558507933415056</v>
      </c>
      <c r="AH12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0.16639626983353764</v>
      </c>
      <c r="AI126" s="14" t="str">
        <f>IF(AND(Tabela3[% A.A.]&gt;=7%,SUMPRODUCT(N(Tabela3[Nome]=Tabela3[[#This Row],[Nome]]),Tabela3[PL])&gt;0),"Sim","Não")</f>
        <v>Não</v>
      </c>
      <c r="AJ126" s="42">
        <f>IF(Tabela3[Cotação]&gt;0,Tabela3[[#This Row],[Lucro]]/Tabela3[[#This Row],[Cotação]],0)</f>
        <v>1.471231386680262E-2</v>
      </c>
      <c r="AK126" s="42">
        <f>((1+Tabela3[[#This Row],[% Yield]])^(1/(3*Tabela3[[#This Row],[Ref]])))^(12)-1</f>
        <v>1.9664362670016811E-2</v>
      </c>
      <c r="AL126" s="14">
        <f>IF(Tabela3[Cotação]&gt;0,($AS$1/Tabela3[[#This Row],[Cotação]]-MOD($AS$1/Tabela3[[#This Row],[Cotação]],100)),)</f>
        <v>0</v>
      </c>
      <c r="AM126" s="17">
        <f>Tabela3[[#This Row],[Ativos]]*Tabela3[Lucro]</f>
        <v>0</v>
      </c>
      <c r="AN126" s="17">
        <f>SUMPRODUCT(N(Tabela1[Código]=Tabela3[[#This Row],[PAPEL]]),Tabela1[Fechamento])</f>
        <v>0</v>
      </c>
      <c r="AO126" s="17">
        <f>SUMPRODUCT(N(Tabela17[Código]=Tabela3[[#This Row],[PAPEL]]),Tabela17[Fechamento])</f>
        <v>0</v>
      </c>
      <c r="AP126" s="17">
        <f>SUMPRODUCT(N(Tabela176[Código]=Tabela3[[#This Row],[PAPEL]]),Tabela176[Fechamento])</f>
        <v>11.31</v>
      </c>
      <c r="AQ126" s="17">
        <f>SUMPRODUCT(N(Tabela1768[Código]=Tabela3[[#This Row],[PAPEL]]),Tabela1768[Fechamento])</f>
        <v>0</v>
      </c>
    </row>
    <row r="127" spans="1:43" hidden="1" x14ac:dyDescent="0.2">
      <c r="A127" s="4" t="s">
        <v>12</v>
      </c>
      <c r="B127" s="57" t="s">
        <v>95</v>
      </c>
      <c r="C127" s="14" t="str">
        <f>LEFT(Tabela3[PAPEL],LEN(Tabela3[PAPEL])-(LEN(Tabela3[PAPEL])-4))</f>
        <v>CSRN</v>
      </c>
      <c r="D127" s="15">
        <v>3</v>
      </c>
      <c r="E127" s="6">
        <v>179787268.58000001</v>
      </c>
      <c r="F127" s="8">
        <v>129746219</v>
      </c>
      <c r="G127" s="83">
        <v>0.25</v>
      </c>
      <c r="H127" s="15"/>
      <c r="I127" s="19"/>
      <c r="J127" s="19"/>
      <c r="K127" s="90"/>
      <c r="L127" s="90"/>
      <c r="M127" s="92">
        <v>884793000</v>
      </c>
      <c r="N127" s="92">
        <v>154604000</v>
      </c>
      <c r="O127" s="6">
        <f>Tabela3[[#This Row],[Capital Social]]*20%</f>
        <v>35957453.716000006</v>
      </c>
      <c r="P127" s="6">
        <f>IF((Tabela3[Lucro Líquido]*5%)&gt;Tabela3[Teto R. Legal],Tabela3[Teto R. Legal],Tabela3[Lucro Líquido]*5%)</f>
        <v>7730200</v>
      </c>
      <c r="Q127" s="92">
        <f>IF(Tabela3[Lucro Líquido]&lt;0,0,Tabela3[Lucro Líquido]-Tabela3[Reserva Legal])</f>
        <v>146873800</v>
      </c>
      <c r="R127" s="92">
        <f>Tabela3[[#This Row],[Lucro Distribuir]]*Tabela3[%Div]</f>
        <v>36718450</v>
      </c>
      <c r="S127" s="56">
        <f>SUMPRODUCT(N(Tabela3[Nome]=Tabela3[[#This Row],[Nome]]),Tabela3[Ações])</f>
        <v>168074028</v>
      </c>
      <c r="T127" s="6">
        <f>Tabela3[Capital Social]/Tabela3[Total Ações]</f>
        <v>1.0696909612947458</v>
      </c>
      <c r="U127" s="80">
        <f>Tabela3[[#This Row],[Lucro Líquido]]/Tabela3[[#This Row],[Total Ações]]</f>
        <v>0.91985657653186015</v>
      </c>
      <c r="V12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0.21166863088996732</v>
      </c>
      <c r="W12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0.21166863088996732</v>
      </c>
      <c r="Z127" s="6">
        <f>Tabela3[Div Base]*Tabela3[Ações]</f>
        <v>27463204.538879864</v>
      </c>
      <c r="AA127" s="6">
        <f>SUMPRODUCT(N(Tabela3[Nome]=Tabela3[[#This Row],[Nome]]),Tabela3[Div Base]*Tabela3[Ações])</f>
        <v>36387278.892751291</v>
      </c>
      <c r="AB127" s="92">
        <f>Tabela3[Patrimônio Líquido]/Tabela3[Total Ações]</f>
        <v>5.2643053214622784</v>
      </c>
      <c r="AC127" s="48">
        <f>MAX(Tabela3[[#This Row],[Cotação 1]:[Cotação 4]])</f>
        <v>9.5</v>
      </c>
      <c r="AD127" s="44">
        <f>Tabela3[Cotação]/Tabela3[VPA]</f>
        <v>1.8046065757753509</v>
      </c>
      <c r="AE127" s="40">
        <f>IF(Tabela3[[#This Row],[Lucro/Ação]]&gt;0,Tabela3[[#This Row],[Cotação]]/(Tabela3[[#This Row],[Lucro/Ação]]/Tabela3[Ref]*4),0)</f>
        <v>7.745772745207109</v>
      </c>
      <c r="AF127" s="40" t="e">
        <f>IF(Tabela3[Div. Mínimo]=0,0,Tabela3[Lucro Distribuir]*#REF!/Tabela3[Total Ações])</f>
        <v>#REF!</v>
      </c>
      <c r="AG127" s="80">
        <f>Tabela3[Lucro Distribuir]/Tabela3[Total Ações]</f>
        <v>0.87386374770526709</v>
      </c>
      <c r="AH12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0.21166863088996732</v>
      </c>
      <c r="AI127" s="15" t="str">
        <f>IF(AND(Tabela3[% A.A.]&gt;=7%,SUMPRODUCT(N(Tabela3[Nome]=Tabela3[[#This Row],[Nome]]),Tabela3[PL])&gt;0),"Sim","Não")</f>
        <v>Não</v>
      </c>
      <c r="AJ127" s="42">
        <f>IF(Tabela3[Cotação]&gt;0,Tabela3[[#This Row],[Lucro]]/Tabela3[[#This Row],[Cotação]],0)</f>
        <v>2.22809085147334E-2</v>
      </c>
      <c r="AK127" s="19">
        <f>((1+Tabela3[[#This Row],[% Yield]])^(1/(3*Tabela3[[#This Row],[Ref]])))^(12)-1</f>
        <v>2.9817656555644501E-2</v>
      </c>
      <c r="AL127" s="14">
        <f>IF(Tabela3[Cotação]&gt;0,($AS$1/Tabela3[[#This Row],[Cotação]]-MOD($AS$1/Tabela3[[#This Row],[Cotação]],100)),)</f>
        <v>100</v>
      </c>
      <c r="AM127" s="17">
        <f>Tabela3[[#This Row],[Ativos]]*Tabela3[Lucro]</f>
        <v>21.166863088996731</v>
      </c>
      <c r="AN127" s="5">
        <f>SUMPRODUCT(N(Tabela1[Código]=Tabela3[[#This Row],[PAPEL]]),Tabela1[Fechamento])</f>
        <v>9.5</v>
      </c>
      <c r="AO127" s="5">
        <f>SUMPRODUCT(N(Tabela17[Código]=Tabela3[[#This Row],[PAPEL]]),Tabela17[Fechamento])</f>
        <v>0</v>
      </c>
      <c r="AP127" s="7">
        <f>SUMPRODUCT(N(Tabela176[Código]=Tabela3[[#This Row],[PAPEL]]),Tabela176[Fechamento])</f>
        <v>0</v>
      </c>
      <c r="AQ127" s="7">
        <f>SUMPRODUCT(N(Tabela1768[Código]=Tabela3[[#This Row],[PAPEL]]),Tabela1768[Fechamento])</f>
        <v>0</v>
      </c>
    </row>
    <row r="128" spans="1:43" hidden="1" x14ac:dyDescent="0.2">
      <c r="A128" s="4" t="s">
        <v>12</v>
      </c>
      <c r="B128" s="57" t="s">
        <v>96</v>
      </c>
      <c r="C128" s="14" t="str">
        <f>LEFT(Tabela3[PAPEL],LEN(Tabela3[PAPEL])-(LEN(Tabela3[PAPEL])-4))</f>
        <v>CSRN</v>
      </c>
      <c r="D128" s="15">
        <v>3</v>
      </c>
      <c r="E128" s="6">
        <v>179787268.58000001</v>
      </c>
      <c r="F128" s="8">
        <v>20606128</v>
      </c>
      <c r="G128" s="88">
        <v>0.25</v>
      </c>
      <c r="H128" s="15"/>
      <c r="I128" s="19"/>
      <c r="J128" s="19">
        <v>0.1</v>
      </c>
      <c r="K128" s="90"/>
      <c r="L128" s="90"/>
      <c r="M128" s="92">
        <v>884793000</v>
      </c>
      <c r="N128" s="92">
        <v>154604000</v>
      </c>
      <c r="O128" s="6">
        <f>Tabela3[[#This Row],[Capital Social]]*20%</f>
        <v>35957453.716000006</v>
      </c>
      <c r="P128" s="6">
        <f>IF((Tabela3[Lucro Líquido]*5%)&gt;Tabela3[Teto R. Legal],Tabela3[Teto R. Legal],Tabela3[Lucro Líquido]*5%)</f>
        <v>7730200</v>
      </c>
      <c r="Q128" s="92">
        <f>IF(Tabela3[Lucro Líquido]&lt;0,0,Tabela3[Lucro Líquido]-Tabela3[Reserva Legal])</f>
        <v>146873800</v>
      </c>
      <c r="R128" s="92">
        <f>Tabela3[[#This Row],[Lucro Distribuir]]*Tabela3[%Div]</f>
        <v>36718450</v>
      </c>
      <c r="S128" s="56">
        <f>SUMPRODUCT(N(Tabela3[Nome]=Tabela3[[#This Row],[Nome]]),Tabela3[Ações])</f>
        <v>168074028</v>
      </c>
      <c r="T128" s="6">
        <f>Tabela3[Capital Social]/Tabela3[Total Ações]</f>
        <v>1.0696909612947458</v>
      </c>
      <c r="U128" s="80">
        <f>Tabela3[[#This Row],[Lucro Líquido]]/Tabela3[[#This Row],[Total Ações]]</f>
        <v>0.91985657653186015</v>
      </c>
      <c r="V12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0.2328354942979243</v>
      </c>
      <c r="W12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0.2328354942979243</v>
      </c>
      <c r="Z128" s="6">
        <f>Tabela3[Div Base]*Tabela3[Ações]</f>
        <v>4797837.9984462978</v>
      </c>
      <c r="AA128" s="6">
        <f>SUMPRODUCT(N(Tabela3[Nome]=Tabela3[[#This Row],[Nome]]),Tabela3[Div Base]*Tabela3[Ações])</f>
        <v>36387278.892751291</v>
      </c>
      <c r="AB128" s="92">
        <f>Tabela3[Patrimônio Líquido]/Tabela3[Total Ações]</f>
        <v>5.2643053214622784</v>
      </c>
      <c r="AC128" s="48">
        <f>MAX(Tabela3[[#This Row],[Cotação 1]:[Cotação 4]])</f>
        <v>10.119999999999999</v>
      </c>
      <c r="AD128" s="44">
        <f>Tabela3[Cotação]/Tabela3[VPA]</f>
        <v>1.9223808996680578</v>
      </c>
      <c r="AE128" s="40">
        <f>IF(Tabela3[[#This Row],[Lucro/Ação]]&gt;0,Tabela3[[#This Row],[Cotação]]/(Tabela3[[#This Row],[Lucro/Ação]]/Tabela3[Ref]*4),0)</f>
        <v>8.25128633489431</v>
      </c>
      <c r="AF128" s="40" t="e">
        <f>IF(Tabela3[Div. Mínimo]=0,0,Tabela3[Lucro Distribuir]*#REF!/Tabela3[Total Ações])</f>
        <v>#REF!</v>
      </c>
      <c r="AG128" s="80">
        <f>Tabela3[Lucro Distribuir]/Tabela3[Total Ações]</f>
        <v>0.87386374770526709</v>
      </c>
      <c r="AH12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0.2328354942979243</v>
      </c>
      <c r="AI128" s="15" t="str">
        <f>IF(AND(Tabela3[% A.A.]&gt;=7%,SUMPRODUCT(N(Tabela3[Nome]=Tabela3[[#This Row],[Nome]]),Tabela3[PL])&gt;0),"Sim","Não")</f>
        <v>Não</v>
      </c>
      <c r="AJ128" s="42">
        <f>IF(Tabela3[Cotação]&gt;0,Tabela3[[#This Row],[Lucro]]/Tabela3[[#This Row],[Cotação]],0)</f>
        <v>2.3007459910862088E-2</v>
      </c>
      <c r="AK128" s="19">
        <f>((1+Tabela3[[#This Row],[% Yield]])^(1/(3*Tabela3[[#This Row],[Ref]])))^(12)-1</f>
        <v>3.0793649310691951E-2</v>
      </c>
      <c r="AL128" s="14">
        <f>IF(Tabela3[Cotação]&gt;0,($AS$1/Tabela3[[#This Row],[Cotação]]-MOD($AS$1/Tabela3[[#This Row],[Cotação]],100)),)</f>
        <v>0</v>
      </c>
      <c r="AM128" s="17">
        <f>Tabela3[[#This Row],[Ativos]]*Tabela3[Lucro]</f>
        <v>0</v>
      </c>
      <c r="AN128" s="5">
        <f>SUMPRODUCT(N(Tabela1[Código]=Tabela3[[#This Row],[PAPEL]]),Tabela1[Fechamento])</f>
        <v>10.119999999999999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  <c r="AQ128" s="7">
        <f>SUMPRODUCT(N(Tabela1768[Código]=Tabela3[[#This Row],[PAPEL]]),Tabela1768[Fechamento])</f>
        <v>0</v>
      </c>
    </row>
    <row r="129" spans="1:43" hidden="1" x14ac:dyDescent="0.2">
      <c r="A129" s="4" t="s">
        <v>12</v>
      </c>
      <c r="B129" s="57" t="s">
        <v>68</v>
      </c>
      <c r="C129" s="14" t="str">
        <f>LEFT(Tabela3[PAPEL],LEN(Tabela3[PAPEL])-(LEN(Tabela3[PAPEL])-4))</f>
        <v>CSRN</v>
      </c>
      <c r="D129" s="15">
        <v>3</v>
      </c>
      <c r="E129" s="6">
        <v>179787268.58000001</v>
      </c>
      <c r="F129" s="8">
        <v>17721681</v>
      </c>
      <c r="G129" s="83">
        <v>0.25</v>
      </c>
      <c r="H129" s="15"/>
      <c r="I129" s="19"/>
      <c r="J129" s="19">
        <v>0.1</v>
      </c>
      <c r="K129" s="90"/>
      <c r="L129" s="90"/>
      <c r="M129" s="92">
        <v>884793000</v>
      </c>
      <c r="N129" s="92">
        <v>154604000</v>
      </c>
      <c r="O129" s="6">
        <f>Tabela3[[#This Row],[Capital Social]]*20%</f>
        <v>35957453.716000006</v>
      </c>
      <c r="P129" s="6">
        <f>IF((Tabela3[Lucro Líquido]*5%)&gt;Tabela3[Teto R. Legal],Tabela3[Teto R. Legal],Tabela3[Lucro Líquido]*5%)</f>
        <v>7730200</v>
      </c>
      <c r="Q129" s="92">
        <f>IF(Tabela3[Lucro Líquido]&lt;0,0,Tabela3[Lucro Líquido]-Tabela3[Reserva Legal])</f>
        <v>146873800</v>
      </c>
      <c r="R129" s="92">
        <f>Tabela3[[#This Row],[Lucro Distribuir]]*Tabela3[%Div]</f>
        <v>36718450</v>
      </c>
      <c r="S129" s="56">
        <f>SUMPRODUCT(N(Tabela3[Nome]=Tabela3[[#This Row],[Nome]]),Tabela3[Ações])</f>
        <v>168074028</v>
      </c>
      <c r="T129" s="6">
        <f>Tabela3[Capital Social]/Tabela3[Total Ações]</f>
        <v>1.0696909612947458</v>
      </c>
      <c r="U129" s="80">
        <f>Tabela3[[#This Row],[Lucro Líquido]]/Tabela3[[#This Row],[Total Ações]]</f>
        <v>0.91985657653186015</v>
      </c>
      <c r="V12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0.2328354942979243</v>
      </c>
      <c r="W12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2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2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0.2328354942979243</v>
      </c>
      <c r="Z129" s="6">
        <f>Tabela3[Div Base]*Tabela3[Ações]</f>
        <v>4126236.3554251334</v>
      </c>
      <c r="AA129" s="6">
        <f>SUMPRODUCT(N(Tabela3[Nome]=Tabela3[[#This Row],[Nome]]),Tabela3[Div Base]*Tabela3[Ações])</f>
        <v>36387278.892751291</v>
      </c>
      <c r="AB129" s="92">
        <f>Tabela3[Patrimônio Líquido]/Tabela3[Total Ações]</f>
        <v>5.2643053214622784</v>
      </c>
      <c r="AC129" s="48">
        <f>MAX(Tabela3[[#This Row],[Cotação 1]:[Cotação 4]])</f>
        <v>9</v>
      </c>
      <c r="AD129" s="44">
        <f>Tabela3[Cotação]/Tabela3[VPA]</f>
        <v>1.7096272823134904</v>
      </c>
      <c r="AE129" s="40">
        <f>IF(Tabela3[[#This Row],[Lucro/Ação]]&gt;0,Tabela3[[#This Row],[Cotação]]/(Tabela3[[#This Row],[Lucro/Ação]]/Tabela3[Ref]*4),0)</f>
        <v>7.3381004954593667</v>
      </c>
      <c r="AF129" s="77" t="e">
        <f>IF(Tabela3[Div. Mínimo]=0,0,Tabela3[Lucro Distribuir]*#REF!/Tabela3[Total Ações])</f>
        <v>#REF!</v>
      </c>
      <c r="AG129" s="80">
        <f>Tabela3[Lucro Distribuir]/Tabela3[Total Ações]</f>
        <v>0.87386374770526709</v>
      </c>
      <c r="AH12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0.2328354942979243</v>
      </c>
      <c r="AI129" s="14" t="str">
        <f>IF(AND(Tabela3[% A.A.]&gt;=7%,SUMPRODUCT(N(Tabela3[Nome]=Tabela3[[#This Row],[Nome]]),Tabela3[PL])&gt;0),"Sim","Não")</f>
        <v>Não</v>
      </c>
      <c r="AJ129" s="42">
        <f>IF(Tabela3[Cotação]&gt;0,Tabela3[[#This Row],[Lucro]]/Tabela3[[#This Row],[Cotação]],0)</f>
        <v>2.5870610477547143E-2</v>
      </c>
      <c r="AK129" s="19">
        <f>((1+Tabela3[[#This Row],[% Yield]])^(1/(3*Tabela3[[#This Row],[Ref]])))^(12)-1</f>
        <v>3.4642032113114229E-2</v>
      </c>
      <c r="AL129" s="14">
        <f>IF(Tabela3[Cotação]&gt;0,($AS$1/Tabela3[[#This Row],[Cotação]]-MOD($AS$1/Tabela3[[#This Row],[Cotação]],100)),)</f>
        <v>100</v>
      </c>
      <c r="AM129" s="17">
        <f>Tabela3[[#This Row],[Ativos]]*Tabela3[Lucro]</f>
        <v>23.28354942979243</v>
      </c>
      <c r="AN129" s="5">
        <f>SUMPRODUCT(N(Tabela1[Código]=Tabela3[[#This Row],[PAPEL]]),Tabela1[Fechamento])</f>
        <v>9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  <c r="AQ129" s="7">
        <f>SUMPRODUCT(N(Tabela1768[Código]=Tabela3[[#This Row],[PAPEL]]),Tabela1768[Fechamento])</f>
        <v>0</v>
      </c>
    </row>
    <row r="130" spans="1:43" hidden="1" x14ac:dyDescent="0.2">
      <c r="A130" s="4" t="s">
        <v>384</v>
      </c>
      <c r="B130" s="57" t="s">
        <v>386</v>
      </c>
      <c r="C130" s="84" t="str">
        <f>LEFT(Tabela3[PAPEL],LEN(Tabela3[PAPEL])-(LEN(Tabela3[PAPEL])-4))</f>
        <v>CTIP</v>
      </c>
      <c r="D130" s="15">
        <v>3</v>
      </c>
      <c r="E130" s="6">
        <v>588599499.64999998</v>
      </c>
      <c r="F130" s="38">
        <v>260498279</v>
      </c>
      <c r="G130" s="88">
        <v>0.25</v>
      </c>
      <c r="H130" s="15"/>
      <c r="I130" s="19"/>
      <c r="J130" s="19"/>
      <c r="K130" s="90"/>
      <c r="L130" s="90"/>
      <c r="M130" s="6">
        <v>1632971000</v>
      </c>
      <c r="N130" s="6">
        <v>264743000</v>
      </c>
      <c r="O130" s="6">
        <f>Tabela3[[#This Row],[Capital Social]]*20%</f>
        <v>117719899.93000001</v>
      </c>
      <c r="P130" s="6">
        <f>IF((Tabela3[Lucro Líquido]*5%)&gt;Tabela3[Teto R. Legal],Tabela3[Teto R. Legal],Tabela3[Lucro Líquido]*5%)</f>
        <v>13237150</v>
      </c>
      <c r="Q130" s="6">
        <f>IF(Tabela3[Lucro Líquido]&lt;0,0,Tabela3[Lucro Líquido]-Tabela3[Reserva Legal])</f>
        <v>251505850</v>
      </c>
      <c r="R130" s="6">
        <f>Tabela3[[#This Row],[Lucro Distribuir]]*Tabela3[%Div]</f>
        <v>62876462.5</v>
      </c>
      <c r="S130" s="56">
        <f>SUMPRODUCT(N(Tabela3[Nome]=Tabela3[[#This Row],[Nome]]),Tabela3[Ações])</f>
        <v>260498279</v>
      </c>
      <c r="T130" s="6">
        <f>Tabela3[Capital Social]/Tabela3[Total Ações]</f>
        <v>2.2595139665010993</v>
      </c>
      <c r="U130" s="80">
        <f>Tabela3[[#This Row],[Lucro Líquido]]/Tabela3[[#This Row],[Total Ações]]</f>
        <v>1.0162946220462363</v>
      </c>
      <c r="V13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0.2413699727359811</v>
      </c>
      <c r="W13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0.2413699727359811</v>
      </c>
      <c r="Z130" s="6">
        <f>Tabela3[Div Base]*Tabela3[Ações]</f>
        <v>62876462.5</v>
      </c>
      <c r="AA130" s="6">
        <f>SUMPRODUCT(N(Tabela3[Nome]=Tabela3[[#This Row],[Nome]]),Tabela3[Div Base]*Tabela3[Ações])</f>
        <v>62876462.5</v>
      </c>
      <c r="AB130" s="6">
        <f>Tabela3[Patrimônio Líquido]/Tabela3[Total Ações]</f>
        <v>6.2686441010998006</v>
      </c>
      <c r="AC130" s="48">
        <f>MAX(Tabela3[[#This Row],[Cotação 1]:[Cotação 4]])</f>
        <v>24.77</v>
      </c>
      <c r="AD130" s="44">
        <f>Tabela3[Cotação]/Tabela3[VPA]</f>
        <v>3.9514127139000017</v>
      </c>
      <c r="AE130" s="40">
        <f>IF(Tabela3[[#This Row],[Lucro/Ação]]&gt;0,Tabela3[[#This Row],[Cotação]]/(Tabela3[[#This Row],[Lucro/Ação]]/Tabela3[Ref]*4),0)</f>
        <v>18.279640172251955</v>
      </c>
      <c r="AF130" s="40" t="e">
        <f>IF(Tabela3[Div. Mínimo]=0,0,Tabela3[Lucro Distribuir]*#REF!/Tabela3[Total Ações])</f>
        <v>#REF!</v>
      </c>
      <c r="AG130" s="80">
        <f>Tabela3[Lucro Distribuir]/Tabela3[Total Ações]</f>
        <v>0.96547989094392439</v>
      </c>
      <c r="AH13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0.2413699727359811</v>
      </c>
      <c r="AI130" s="15" t="str">
        <f>IF(AND(Tabela3[% A.A.]&gt;=7%,SUMPRODUCT(N(Tabela3[Nome]=Tabela3[[#This Row],[Nome]]),Tabela3[PL])&gt;0),"Sim","Não")</f>
        <v>Não</v>
      </c>
      <c r="AJ130" s="42">
        <f>IF(Tabela3[Cotação]&gt;0,Tabela3[[#This Row],[Lucro]]/Tabela3[[#This Row],[Cotação]],0)</f>
        <v>9.7444478294703707E-3</v>
      </c>
      <c r="AK130" s="19">
        <f>((1+Tabela3[[#This Row],[% Yield]])^(1/(3*Tabela3[[#This Row],[Ref]])))^(12)-1</f>
        <v>1.3013652545282195E-2</v>
      </c>
      <c r="AL130" s="14">
        <f>IF(Tabela3[Cotação]&gt;0,($AS$1/Tabela3[[#This Row],[Cotação]]-MOD($AS$1/Tabela3[[#This Row],[Cotação]],100)),)</f>
        <v>0</v>
      </c>
      <c r="AM130" s="17">
        <f>Tabela3[[#This Row],[Ativos]]*Tabela3[Lucro]</f>
        <v>0</v>
      </c>
      <c r="AN130" s="13">
        <f>SUMPRODUCT(N(Tabela1[Código]=Tabela3[[#This Row],[PAPEL]]),Tabela1[Fechamento])</f>
        <v>0</v>
      </c>
      <c r="AO130" s="55">
        <f>SUMPRODUCT(N(Tabela17[Código]=Tabela3[[#This Row],[PAPEL]]),Tabela17[Fechamento])</f>
        <v>24.77</v>
      </c>
      <c r="AP130" s="7">
        <f>SUMPRODUCT(N(Tabela176[Código]=Tabela3[[#This Row],[PAPEL]]),Tabela176[Fechamento])</f>
        <v>0</v>
      </c>
      <c r="AQ130" s="7">
        <f>SUMPRODUCT(N(Tabela1768[Código]=Tabela3[[#This Row],[PAPEL]]),Tabela1768[Fechamento])</f>
        <v>0</v>
      </c>
    </row>
    <row r="131" spans="1:43" hidden="1" x14ac:dyDescent="0.2">
      <c r="A131" s="4" t="s">
        <v>771</v>
      </c>
      <c r="B131" s="57" t="s">
        <v>773</v>
      </c>
      <c r="C131" s="15" t="str">
        <f>LEFT(Tabela3[PAPEL],LEN(Tabela3[PAPEL])-(LEN(Tabela3[PAPEL])-4))</f>
        <v>DASA</v>
      </c>
      <c r="D131" s="15">
        <v>3</v>
      </c>
      <c r="E131" s="6">
        <v>2234134819.75</v>
      </c>
      <c r="F131" s="8">
        <v>311803015</v>
      </c>
      <c r="G131" s="88">
        <v>0.25</v>
      </c>
      <c r="H131" s="15"/>
      <c r="I131" s="19"/>
      <c r="J131" s="19"/>
      <c r="K131" s="90"/>
      <c r="L131" s="90"/>
      <c r="M131" s="96">
        <v>2701798000</v>
      </c>
      <c r="N131" s="97">
        <v>94591000</v>
      </c>
      <c r="O131" s="13">
        <f>Tabela3[[#This Row],[Capital Social]]*20%</f>
        <v>446826963.95000005</v>
      </c>
      <c r="P131" s="13">
        <f>IF((Tabela3[Lucro Líquido]*5%)&gt;Tabela3[Teto R. Legal],Tabela3[Teto R. Legal],Tabela3[Lucro Líquido]*5%)</f>
        <v>4729550</v>
      </c>
      <c r="Q131" s="13">
        <f>IF(Tabela3[Lucro Líquido]&lt;0,0,Tabela3[Lucro Líquido]-Tabela3[Reserva Legal])</f>
        <v>89861450</v>
      </c>
      <c r="R131" s="13">
        <f>Tabela3[[#This Row],[Lucro Distribuir]]*Tabela3[%Div]</f>
        <v>22465362.5</v>
      </c>
      <c r="S131" s="56">
        <f>SUMPRODUCT(N(Tabela3[Nome]=Tabela3[[#This Row],[Nome]]),Tabela3[Ações])</f>
        <v>311803015</v>
      </c>
      <c r="T131" s="6">
        <f>Tabela3[Capital Social]/Tabela3[Total Ações]</f>
        <v>7.1652123689374845</v>
      </c>
      <c r="U131" s="80">
        <f>Tabela3[[#This Row],[Lucro Líquido]]/Tabela3[[#This Row],[Total Ações]]</f>
        <v>0.30336781701742044</v>
      </c>
      <c r="V13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7.2049856541637355E-2</v>
      </c>
      <c r="W13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7.2049856541637355E-2</v>
      </c>
      <c r="Z131" s="13">
        <f>Tabela3[Div Base]*Tabela3[Ações]</f>
        <v>22465362.5</v>
      </c>
      <c r="AA131" s="13">
        <f>SUMPRODUCT(N(Tabela3[Nome]=Tabela3[[#This Row],[Nome]]),Tabela3[Div Base]*Tabela3[Ações])</f>
        <v>22465362.5</v>
      </c>
      <c r="AB131" s="95">
        <f>Tabela3[Patrimônio Líquido]/Tabela3[Total Ações]</f>
        <v>8.6650797780130517</v>
      </c>
      <c r="AC131" s="48">
        <f>MAX(Tabela3[[#This Row],[Cotação 1]:[Cotação 4]])</f>
        <v>15.01</v>
      </c>
      <c r="AD131" s="44">
        <f>Tabela3[Cotação]/Tabela3[VPA]</f>
        <v>1.732240254508294</v>
      </c>
      <c r="AE131" s="40">
        <f>IF(Tabela3[[#This Row],[Lucro/Ação]]&gt;0,Tabela3[[#This Row],[Cotação]]/(Tabela3[[#This Row],[Lucro/Ação]]/Tabela3[Ref]*4),0)</f>
        <v>37.108418785745997</v>
      </c>
      <c r="AF131" s="91" t="e">
        <f>IF(Tabela3[Div. Mínimo]=0,0,Tabela3[Lucro Distribuir]*#REF!/Tabela3[Total Ações])</f>
        <v>#REF!</v>
      </c>
      <c r="AG131" s="80">
        <f>Tabela3[Lucro Distribuir]/Tabela3[Total Ações]</f>
        <v>0.28819942616654942</v>
      </c>
      <c r="AH13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7.2049856541637355E-2</v>
      </c>
      <c r="AI131" s="14" t="str">
        <f>IF(AND(Tabela3[% A.A.]&gt;=7%,SUMPRODUCT(N(Tabela3[Nome]=Tabela3[[#This Row],[Nome]]),Tabela3[PL])&gt;0),"Sim","Não")</f>
        <v>Não</v>
      </c>
      <c r="AJ131" s="42">
        <f>IF(Tabela3[Cotação]&gt;0,Tabela3[[#This Row],[Lucro]]/Tabela3[[#This Row],[Cotação]],0)</f>
        <v>4.8001236869845004E-3</v>
      </c>
      <c r="AK131" s="42">
        <f>((1+Tabela3[[#This Row],[% Yield]])^(1/(3*Tabela3[[#This Row],[Ref]])))^(12)-1</f>
        <v>6.4052797289895214E-3</v>
      </c>
      <c r="AL131" s="14">
        <f>IF(Tabela3[Cotação]&gt;0,($AS$1/Tabela3[[#This Row],[Cotação]]-MOD($AS$1/Tabela3[[#This Row],[Cotação]],100)),)</f>
        <v>0</v>
      </c>
      <c r="AM131" s="17">
        <f>Tabela3[[#This Row],[Ativos]]*Tabela3[Lucro]</f>
        <v>0</v>
      </c>
      <c r="AN131" s="17">
        <f>SUMPRODUCT(N(Tabela1[Código]=Tabela3[[#This Row],[PAPEL]]),Tabela1[Fechamento])</f>
        <v>0</v>
      </c>
      <c r="AO131" s="17">
        <f>SUMPRODUCT(N(Tabela17[Código]=Tabela3[[#This Row],[PAPEL]]),Tabela17[Fechamento])</f>
        <v>0</v>
      </c>
      <c r="AP131" s="17">
        <f>SUMPRODUCT(N(Tabela176[Código]=Tabela3[[#This Row],[PAPEL]]),Tabela176[Fechamento])</f>
        <v>15.01</v>
      </c>
      <c r="AQ131" s="17">
        <f>SUMPRODUCT(N(Tabela1768[Código]=Tabela3[[#This Row],[PAPEL]]),Tabela1768[Fechamento])</f>
        <v>0</v>
      </c>
    </row>
    <row r="132" spans="1:43" hidden="1" x14ac:dyDescent="0.2">
      <c r="A132" s="4" t="s">
        <v>14</v>
      </c>
      <c r="B132" s="57" t="s">
        <v>562</v>
      </c>
      <c r="C132" s="84" t="str">
        <f>LEFT(Tabela3[PAPEL],LEN(Tabela3[PAPEL])-(LEN(Tabela3[PAPEL])-4))</f>
        <v>DAYC</v>
      </c>
      <c r="D132" s="15">
        <v>3</v>
      </c>
      <c r="E132" s="6">
        <v>1737409389.22</v>
      </c>
      <c r="F132" s="8">
        <v>160869792</v>
      </c>
      <c r="G132" s="83">
        <v>0.25</v>
      </c>
      <c r="H132" s="15"/>
      <c r="I132" s="19"/>
      <c r="J132" s="19"/>
      <c r="K132" s="90"/>
      <c r="L132" s="90"/>
      <c r="M132" s="6">
        <v>2365276000</v>
      </c>
      <c r="N132" s="6">
        <v>168016000</v>
      </c>
      <c r="O132" s="6">
        <f>Tabela3[[#This Row],[Capital Social]]*20%</f>
        <v>347481877.84400004</v>
      </c>
      <c r="P132" s="6">
        <f>IF((Tabela3[Lucro Líquido]*5%)&gt;Tabela3[Teto R. Legal],Tabela3[Teto R. Legal],Tabela3[Lucro Líquido]*5%)</f>
        <v>8400800</v>
      </c>
      <c r="Q132" s="6">
        <f>IF(Tabela3[Lucro Líquido]&lt;0,0,Tabela3[Lucro Líquido]-Tabela3[Reserva Legal])</f>
        <v>159615200</v>
      </c>
      <c r="R132" s="6">
        <f>Tabela3[[#This Row],[Lucro Distribuir]]*Tabela3[%Div]</f>
        <v>39903800</v>
      </c>
      <c r="S132" s="21">
        <f>SUMPRODUCT(N(Tabela3[Nome]=Tabela3[[#This Row],[Nome]]),Tabela3[Ações])</f>
        <v>255844293</v>
      </c>
      <c r="T132" s="6">
        <f>Tabela3[Capital Social]/Tabela3[Total Ações]</f>
        <v>6.7908858503245959</v>
      </c>
      <c r="U132" s="80">
        <f>Tabela3[[#This Row],[Lucro Líquido]]/Tabela3[[#This Row],[Total Ações]]</f>
        <v>0.65671193220635959</v>
      </c>
      <c r="V13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0.1559690838990104</v>
      </c>
      <c r="W13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0.1559690838990104</v>
      </c>
      <c r="Z132" s="6">
        <f>Tabela3[Div Base]*Tabela3[Ações]</f>
        <v>25090714.085264351</v>
      </c>
      <c r="AA132" s="6">
        <f>SUMPRODUCT(N(Tabela3[Nome]=Tabela3[[#This Row],[Nome]]),Tabela3[Div Base]*Tabela3[Ações])</f>
        <v>39903800</v>
      </c>
      <c r="AB132" s="6">
        <f>Tabela3[Patrimônio Líquido]/Tabela3[Total Ações]</f>
        <v>9.2449824550121971</v>
      </c>
      <c r="AC132" s="48">
        <f>MAX(Tabela3[[#This Row],[Cotação 1]:[Cotação 4]])</f>
        <v>0</v>
      </c>
      <c r="AD132" s="44">
        <f>Tabela3[Cotação]/Tabela3[VPA]</f>
        <v>0</v>
      </c>
      <c r="AE132" s="40">
        <f>IF(Tabela3[[#This Row],[Lucro/Ação]]&gt;0,Tabela3[[#This Row],[Cotação]]/(Tabela3[[#This Row],[Lucro/Ação]]/Tabela3[Ref]*4),0)</f>
        <v>0</v>
      </c>
      <c r="AF132" s="40" t="e">
        <f>IF(Tabela3[Div. Mínimo]=0,0,Tabela3[Lucro Distribuir]*#REF!/Tabela3[Total Ações])</f>
        <v>#REF!</v>
      </c>
      <c r="AG132" s="80">
        <f>Tabela3[Lucro Distribuir]/Tabela3[Total Ações]</f>
        <v>0.62387633559604161</v>
      </c>
      <c r="AH13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0.1559690838990104</v>
      </c>
      <c r="AI132" s="15" t="str">
        <f>IF(AND(Tabela3[% A.A.]&gt;=7%,SUMPRODUCT(N(Tabela3[Nome]=Tabela3[[#This Row],[Nome]]),Tabela3[PL])&gt;0),"Sim","Não")</f>
        <v>Não</v>
      </c>
      <c r="AJ132" s="42">
        <f>IF(Tabela3[Cotação]&gt;0,Tabela3[[#This Row],[Lucro]]/Tabela3[[#This Row],[Cotação]],0)</f>
        <v>0</v>
      </c>
      <c r="AK132" s="19">
        <f>((1+Tabela3[[#This Row],[% Yield]])^(1/(3*Tabela3[[#This Row],[Ref]])))^(12)-1</f>
        <v>0</v>
      </c>
      <c r="AL132" s="14">
        <f>IF(Tabela3[Cotação]&gt;0,($AS$1/Tabela3[[#This Row],[Cotação]]-MOD($AS$1/Tabela3[[#This Row],[Cotação]],100)),)</f>
        <v>0</v>
      </c>
      <c r="AM132" s="17">
        <f>Tabela3[[#This Row],[Ativos]]*Tabela3[Lucro]</f>
        <v>0</v>
      </c>
      <c r="AN132" s="13">
        <f>SUMPRODUCT(N(Tabela1[Código]=Tabela3[[#This Row],[PAPEL]]),Tabela1[Fechamento])</f>
        <v>0</v>
      </c>
      <c r="AO132" s="55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  <c r="AQ132" s="7">
        <f>SUMPRODUCT(N(Tabela1768[Código]=Tabela3[[#This Row],[PAPEL]]),Tabela1768[Fechamento])</f>
        <v>0</v>
      </c>
    </row>
    <row r="133" spans="1:43" hidden="1" x14ac:dyDescent="0.2">
      <c r="A133" s="4" t="s">
        <v>14</v>
      </c>
      <c r="B133" s="57" t="s">
        <v>15</v>
      </c>
      <c r="C133" s="14" t="str">
        <f>LEFT(Tabela3[PAPEL],LEN(Tabela3[PAPEL])-(LEN(Tabela3[PAPEL])-4))</f>
        <v>DAYC</v>
      </c>
      <c r="D133" s="15">
        <v>3</v>
      </c>
      <c r="E133" s="6">
        <v>1737409389.22</v>
      </c>
      <c r="F133" s="8">
        <v>94974501</v>
      </c>
      <c r="G133" s="83">
        <v>0.25</v>
      </c>
      <c r="H133" s="15"/>
      <c r="I133" s="19"/>
      <c r="J133" s="19"/>
      <c r="K133" s="90"/>
      <c r="L133" s="90"/>
      <c r="M133" s="6">
        <v>2365276000</v>
      </c>
      <c r="N133" s="6">
        <v>168016000</v>
      </c>
      <c r="O133" s="6">
        <f>Tabela3[[#This Row],[Capital Social]]*20%</f>
        <v>347481877.84400004</v>
      </c>
      <c r="P133" s="6">
        <f>IF((Tabela3[Lucro Líquido]*5%)&gt;Tabela3[Teto R. Legal],Tabela3[Teto R. Legal],Tabela3[Lucro Líquido]*5%)</f>
        <v>8400800</v>
      </c>
      <c r="Q133" s="6">
        <f>IF(Tabela3[Lucro Líquido]&lt;0,0,Tabela3[Lucro Líquido]-Tabela3[Reserva Legal])</f>
        <v>159615200</v>
      </c>
      <c r="R133" s="6">
        <f>Tabela3[[#This Row],[Lucro Distribuir]]*Tabela3[%Div]</f>
        <v>39903800</v>
      </c>
      <c r="S133" s="21">
        <f>SUMPRODUCT(N(Tabela3[Nome]=Tabela3[[#This Row],[Nome]]),Tabela3[Ações])</f>
        <v>255844293</v>
      </c>
      <c r="T133" s="6">
        <f>Tabela3[Capital Social]/Tabela3[Total Ações]</f>
        <v>6.7908858503245959</v>
      </c>
      <c r="U133" s="80">
        <f>Tabela3[[#This Row],[Lucro Líquido]]/Tabela3[[#This Row],[Total Ações]]</f>
        <v>0.65671193220635959</v>
      </c>
      <c r="V13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0.1559690838990104</v>
      </c>
      <c r="W13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0.1559690838990104</v>
      </c>
      <c r="Z133" s="6">
        <f>Tabela3[Div Base]*Tabela3[Ações]</f>
        <v>14813085.914735647</v>
      </c>
      <c r="AA133" s="6">
        <f>SUMPRODUCT(N(Tabela3[Nome]=Tabela3[[#This Row],[Nome]]),Tabela3[Div Base]*Tabela3[Ações])</f>
        <v>39903800</v>
      </c>
      <c r="AB133" s="6">
        <f>Tabela3[Patrimônio Líquido]/Tabela3[Total Ações]</f>
        <v>9.2449824550121971</v>
      </c>
      <c r="AC133" s="48">
        <f>MAX(Tabela3[[#This Row],[Cotação 1]:[Cotação 4]])</f>
        <v>7.6</v>
      </c>
      <c r="AD133" s="44">
        <f>Tabela3[Cotação]/Tabela3[VPA]</f>
        <v>0.82206754171606189</v>
      </c>
      <c r="AE133" s="40">
        <f>IF(Tabela3[[#This Row],[Lucro/Ação]]&gt;0,Tabela3[[#This Row],[Cotação]]/(Tabela3[[#This Row],[Lucro/Ação]]/Tabela3[Ref]*4),0)</f>
        <v>8.6796047406199399</v>
      </c>
      <c r="AF133" s="40" t="e">
        <f>IF(Tabela3[Div. Mínimo]=0,0,Tabela3[Lucro Distribuir]*#REF!/Tabela3[Total Ações])</f>
        <v>#REF!</v>
      </c>
      <c r="AG133" s="80">
        <f>Tabela3[Lucro Distribuir]/Tabela3[Total Ações]</f>
        <v>0.62387633559604161</v>
      </c>
      <c r="AH13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0.1559690838990104</v>
      </c>
      <c r="AI133" s="15" t="str">
        <f>IF(AND(Tabela3[% A.A.]&gt;=7%,SUMPRODUCT(N(Tabela3[Nome]=Tabela3[[#This Row],[Nome]]),Tabela3[PL])&gt;0),"Sim","Não")</f>
        <v>Não</v>
      </c>
      <c r="AJ133" s="42">
        <f>IF(Tabela3[Cotação]&gt;0,Tabela3[[#This Row],[Lucro]]/Tabela3[[#This Row],[Cotação]],0)</f>
        <v>2.0522247881448737E-2</v>
      </c>
      <c r="AK133" s="19">
        <f>((1+Tabela3[[#This Row],[% Yield]])^(1/(3*Tabela3[[#This Row],[Ref]])))^(12)-1</f>
        <v>2.7456165662453236E-2</v>
      </c>
      <c r="AL133" s="14">
        <f>IF(Tabela3[Cotação]&gt;0,($AS$1/Tabela3[[#This Row],[Cotação]]-MOD($AS$1/Tabela3[[#This Row],[Cotação]],100)),)</f>
        <v>100</v>
      </c>
      <c r="AM133" s="17">
        <f>Tabela3[[#This Row],[Ativos]]*Tabela3[Lucro]</f>
        <v>15.59690838990104</v>
      </c>
      <c r="AN133" s="5">
        <f>SUMPRODUCT(N(Tabela1[Código]=Tabela3[[#This Row],[PAPEL]]),Tabela1[Fechamento])</f>
        <v>7.6</v>
      </c>
      <c r="AO133" s="5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  <c r="AQ133" s="7">
        <f>SUMPRODUCT(N(Tabela1768[Código]=Tabela3[[#This Row],[PAPEL]]),Tabela1768[Fechamento])</f>
        <v>0</v>
      </c>
    </row>
    <row r="134" spans="1:43" hidden="1" x14ac:dyDescent="0.2">
      <c r="A134" s="4" t="s">
        <v>303</v>
      </c>
      <c r="B134" s="57" t="s">
        <v>737</v>
      </c>
      <c r="C134" s="15" t="str">
        <f>LEFT(Tabela3[PAPEL],LEN(Tabela3[PAPEL])-(LEN(Tabela3[PAPEL])-4))</f>
        <v>DOCA</v>
      </c>
      <c r="D134" s="15">
        <v>3</v>
      </c>
      <c r="E134" s="6">
        <v>231161118.28999999</v>
      </c>
      <c r="F134" s="8">
        <v>1100656</v>
      </c>
      <c r="G134" s="88">
        <v>0.25</v>
      </c>
      <c r="H134" s="15"/>
      <c r="I134" s="19"/>
      <c r="J134" s="19"/>
      <c r="K134" s="90"/>
      <c r="L134" s="90"/>
      <c r="M134" s="96">
        <v>-367598000</v>
      </c>
      <c r="N134" s="97">
        <v>-10261000</v>
      </c>
      <c r="O134" s="13">
        <f>Tabela3[[#This Row],[Capital Social]]*20%</f>
        <v>46232223.658</v>
      </c>
      <c r="P134" s="13">
        <f>IF((Tabela3[Lucro Líquido]*5%)&gt;Tabela3[Teto R. Legal],Tabela3[Teto R. Legal],Tabela3[Lucro Líquido]*5%)</f>
        <v>-513050</v>
      </c>
      <c r="Q134" s="13">
        <f>IF(Tabela3[Lucro Líquido]&lt;0,0,Tabela3[Lucro Líquido]-Tabela3[Reserva Legal])</f>
        <v>0</v>
      </c>
      <c r="R134" s="13">
        <f>Tabela3[[#This Row],[Lucro Distribuir]]*Tabela3[%Div]</f>
        <v>0</v>
      </c>
      <c r="S134" s="21">
        <f>SUMPRODUCT(N(Tabela3[Nome]=Tabela3[[#This Row],[Nome]]),Tabela3[Ações])</f>
        <v>1159044</v>
      </c>
      <c r="T134" s="6">
        <f>Tabela3[Capital Social]/Tabela3[Total Ações]</f>
        <v>199.4411931643665</v>
      </c>
      <c r="U134" s="80">
        <f>Tabela3[[#This Row],[Lucro Líquido]]/Tabela3[[#This Row],[Total Ações]]</f>
        <v>-8.8529857365207878</v>
      </c>
      <c r="V13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3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34" s="13">
        <f>Tabela3[Div Base]*Tabela3[Ações]</f>
        <v>0</v>
      </c>
      <c r="AA134" s="13">
        <f>SUMPRODUCT(N(Tabela3[Nome]=Tabela3[[#This Row],[Nome]]),Tabela3[Div Base]*Tabela3[Ações])</f>
        <v>0</v>
      </c>
      <c r="AB134" s="95">
        <f>Tabela3[Patrimônio Líquido]/Tabela3[Total Ações]</f>
        <v>-317.15620804732174</v>
      </c>
      <c r="AC134" s="48">
        <f>MAX(Tabela3[[#This Row],[Cotação 1]:[Cotação 4]])</f>
        <v>11</v>
      </c>
      <c r="AD134" s="44">
        <f>Tabela3[Cotação]/Tabela3[VPA]</f>
        <v>-3.4683224609491893E-2</v>
      </c>
      <c r="AE134" s="40">
        <f>IF(Tabela3[[#This Row],[Lucro/Ação]]&gt;0,Tabela3[[#This Row],[Cotação]]/(Tabela3[[#This Row],[Lucro/Ação]]/Tabela3[Ref]*4),0)</f>
        <v>0</v>
      </c>
      <c r="AF134" s="91">
        <f>IF(Tabela3[Div. Mínimo]=0,0,Tabela3[Lucro Distribuir]*#REF!/Tabela3[Total Ações])</f>
        <v>0</v>
      </c>
      <c r="AG134" s="80">
        <f>Tabela3[Lucro Distribuir]/Tabela3[Total Ações]</f>
        <v>0</v>
      </c>
      <c r="AH13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34" s="14" t="str">
        <f>IF(AND(Tabela3[% A.A.]&gt;=7%,SUMPRODUCT(N(Tabela3[Nome]=Tabela3[[#This Row],[Nome]]),Tabela3[PL])&gt;0),"Sim","Não")</f>
        <v>Não</v>
      </c>
      <c r="AJ134" s="42">
        <f>IF(Tabela3[Cotação]&gt;0,Tabela3[[#This Row],[Lucro]]/Tabela3[[#This Row],[Cotação]],0)</f>
        <v>0</v>
      </c>
      <c r="AK134" s="42">
        <f>((1+Tabela3[[#This Row],[% Yield]])^(1/(3*Tabela3[[#This Row],[Ref]])))^(12)-1</f>
        <v>0</v>
      </c>
      <c r="AL134" s="14">
        <f>IF(Tabela3[Cotação]&gt;0,($AS$1/Tabela3[[#This Row],[Cotação]]-MOD($AS$1/Tabela3[[#This Row],[Cotação]],100)),)</f>
        <v>0</v>
      </c>
      <c r="AM134" s="17">
        <f>Tabela3[[#This Row],[Ativos]]*Tabela3[Lucro]</f>
        <v>0</v>
      </c>
      <c r="AN134" s="17">
        <f>SUMPRODUCT(N(Tabela1[Código]=Tabela3[[#This Row],[PAPEL]]),Tabela1[Fechamento])</f>
        <v>0</v>
      </c>
      <c r="AO134" s="17">
        <f>SUMPRODUCT(N(Tabela17[Código]=Tabela3[[#This Row],[PAPEL]]),Tabela17[Fechamento])</f>
        <v>0</v>
      </c>
      <c r="AP134" s="17">
        <f>SUMPRODUCT(N(Tabela176[Código]=Tabela3[[#This Row],[PAPEL]]),Tabela176[Fechamento])</f>
        <v>11</v>
      </c>
      <c r="AQ134" s="17">
        <f>SUMPRODUCT(N(Tabela1768[Código]=Tabela3[[#This Row],[PAPEL]]),Tabela1768[Fechamento])</f>
        <v>0</v>
      </c>
    </row>
    <row r="135" spans="1:43" hidden="1" x14ac:dyDescent="0.2">
      <c r="A135" s="4" t="s">
        <v>303</v>
      </c>
      <c r="B135" s="57" t="s">
        <v>738</v>
      </c>
      <c r="C135" s="15" t="str">
        <f>LEFT(Tabela3[PAPEL],LEN(Tabela3[PAPEL])-(LEN(Tabela3[PAPEL])-4))</f>
        <v>DOCA</v>
      </c>
      <c r="D135" s="15">
        <v>3</v>
      </c>
      <c r="E135" s="6">
        <v>231161118.28999999</v>
      </c>
      <c r="F135" s="8">
        <v>58388</v>
      </c>
      <c r="G135" s="88">
        <v>0.25</v>
      </c>
      <c r="H135" s="15"/>
      <c r="I135" s="19"/>
      <c r="J135" s="19">
        <v>0.1</v>
      </c>
      <c r="K135" s="90"/>
      <c r="L135" s="90"/>
      <c r="M135" s="96">
        <v>-367598000</v>
      </c>
      <c r="N135" s="97">
        <v>-10261000</v>
      </c>
      <c r="O135" s="13">
        <f>Tabela3[[#This Row],[Capital Social]]*20%</f>
        <v>46232223.658</v>
      </c>
      <c r="P135" s="13">
        <f>IF((Tabela3[Lucro Líquido]*5%)&gt;Tabela3[Teto R. Legal],Tabela3[Teto R. Legal],Tabela3[Lucro Líquido]*5%)</f>
        <v>-513050</v>
      </c>
      <c r="Q135" s="13">
        <f>IF(Tabela3[Lucro Líquido]&lt;0,0,Tabela3[Lucro Líquido]-Tabela3[Reserva Legal])</f>
        <v>0</v>
      </c>
      <c r="R135" s="13">
        <f>Tabela3[[#This Row],[Lucro Distribuir]]*Tabela3[%Div]</f>
        <v>0</v>
      </c>
      <c r="S135" s="21">
        <f>SUMPRODUCT(N(Tabela3[Nome]=Tabela3[[#This Row],[Nome]]),Tabela3[Ações])</f>
        <v>1159044</v>
      </c>
      <c r="T135" s="6">
        <f>Tabela3[Capital Social]/Tabela3[Total Ações]</f>
        <v>199.4411931643665</v>
      </c>
      <c r="U135" s="80">
        <f>Tabela3[[#This Row],[Lucro Líquido]]/Tabela3[[#This Row],[Total Ações]]</f>
        <v>-8.8529857365207878</v>
      </c>
      <c r="V13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3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35" s="13">
        <f>Tabela3[Div Base]*Tabela3[Ações]</f>
        <v>0</v>
      </c>
      <c r="AA135" s="13">
        <f>SUMPRODUCT(N(Tabela3[Nome]=Tabela3[[#This Row],[Nome]]),Tabela3[Div Base]*Tabela3[Ações])</f>
        <v>0</v>
      </c>
      <c r="AB135" s="95">
        <f>Tabela3[Patrimônio Líquido]/Tabela3[Total Ações]</f>
        <v>-317.15620804732174</v>
      </c>
      <c r="AC135" s="48">
        <f>MAX(Tabela3[[#This Row],[Cotação 1]:[Cotação 4]])</f>
        <v>5.01</v>
      </c>
      <c r="AD135" s="44">
        <f>Tabela3[Cotação]/Tabela3[VPA]</f>
        <v>-1.5796632299414033E-2</v>
      </c>
      <c r="AE135" s="40">
        <f>IF(Tabela3[[#This Row],[Lucro/Ação]]&gt;0,Tabela3[[#This Row],[Cotação]]/(Tabela3[[#This Row],[Lucro/Ação]]/Tabela3[Ref]*4),0)</f>
        <v>0</v>
      </c>
      <c r="AF135" s="91">
        <f>IF(Tabela3[Div. Mínimo]=0,0,Tabela3[Lucro Distribuir]*#REF!/Tabela3[Total Ações])</f>
        <v>0</v>
      </c>
      <c r="AG135" s="80">
        <f>Tabela3[Lucro Distribuir]/Tabela3[Total Ações]</f>
        <v>0</v>
      </c>
      <c r="AH13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35" s="14" t="str">
        <f>IF(AND(Tabela3[% A.A.]&gt;=7%,SUMPRODUCT(N(Tabela3[Nome]=Tabela3[[#This Row],[Nome]]),Tabela3[PL])&gt;0),"Sim","Não")</f>
        <v>Não</v>
      </c>
      <c r="AJ135" s="42">
        <f>IF(Tabela3[Cotação]&gt;0,Tabela3[[#This Row],[Lucro]]/Tabela3[[#This Row],[Cotação]],0)</f>
        <v>0</v>
      </c>
      <c r="AK135" s="42">
        <f>((1+Tabela3[[#This Row],[% Yield]])^(1/(3*Tabela3[[#This Row],[Ref]])))^(12)-1</f>
        <v>0</v>
      </c>
      <c r="AL135" s="14">
        <f>IF(Tabela3[Cotação]&gt;0,($AS$1/Tabela3[[#This Row],[Cotação]]-MOD($AS$1/Tabela3[[#This Row],[Cotação]],100)),)</f>
        <v>100</v>
      </c>
      <c r="AM135" s="17">
        <f>Tabela3[[#This Row],[Ativos]]*Tabela3[Lucro]</f>
        <v>0</v>
      </c>
      <c r="AN135" s="17">
        <f>SUMPRODUCT(N(Tabela1[Código]=Tabela3[[#This Row],[PAPEL]]),Tabela1[Fechamento])</f>
        <v>0</v>
      </c>
      <c r="AO135" s="17">
        <f>SUMPRODUCT(N(Tabela17[Código]=Tabela3[[#This Row],[PAPEL]]),Tabela17[Fechamento])</f>
        <v>0</v>
      </c>
      <c r="AP135" s="17">
        <f>SUMPRODUCT(N(Tabela176[Código]=Tabela3[[#This Row],[PAPEL]]),Tabela176[Fechamento])</f>
        <v>5.01</v>
      </c>
      <c r="AQ135" s="17">
        <f>SUMPRODUCT(N(Tabela1768[Código]=Tabela3[[#This Row],[PAPEL]]),Tabela1768[Fechamento])</f>
        <v>0</v>
      </c>
    </row>
    <row r="136" spans="1:43" hidden="1" x14ac:dyDescent="0.2">
      <c r="A136" s="4" t="s">
        <v>325</v>
      </c>
      <c r="B136" s="57" t="s">
        <v>324</v>
      </c>
      <c r="C136" s="84" t="str">
        <f>LEFT(Tabela3[PAPEL],LEN(Tabela3[PAPEL])-(LEN(Tabela3[PAPEL])-4))</f>
        <v>DTEX</v>
      </c>
      <c r="D136" s="15">
        <v>3</v>
      </c>
      <c r="E136" s="6">
        <v>1705271709.4400001</v>
      </c>
      <c r="F136" s="38">
        <v>605059489</v>
      </c>
      <c r="G136" s="88">
        <v>0.3</v>
      </c>
      <c r="H136" s="15"/>
      <c r="I136" s="19"/>
      <c r="J136" s="19"/>
      <c r="K136" s="90"/>
      <c r="L136" s="90"/>
      <c r="M136" s="6">
        <v>4373556000</v>
      </c>
      <c r="N136" s="6">
        <v>449642000</v>
      </c>
      <c r="O136" s="6">
        <f>Tabela3[[#This Row],[Capital Social]]*20%</f>
        <v>341054341.88800001</v>
      </c>
      <c r="P136" s="6">
        <f>IF((Tabela3[Lucro Líquido]*5%)&gt;Tabela3[Teto R. Legal],Tabela3[Teto R. Legal],Tabela3[Lucro Líquido]*5%)</f>
        <v>22482100</v>
      </c>
      <c r="Q136" s="6">
        <f>IF(Tabela3[Lucro Líquido]&lt;0,0,Tabela3[Lucro Líquido]-Tabela3[Reserva Legal])</f>
        <v>427159900</v>
      </c>
      <c r="R136" s="6">
        <f>Tabela3[[#This Row],[Lucro Distribuir]]*Tabela3[%Div]</f>
        <v>128147970</v>
      </c>
      <c r="S136" s="38">
        <v>605059489</v>
      </c>
      <c r="T136" s="6">
        <f>Tabela3[Capital Social]/Tabela3[Total Ações]</f>
        <v>2.8183537989931433</v>
      </c>
      <c r="U136" s="80">
        <f>Tabela3[[#This Row],[Lucro Líquido]]/Tabela3[[#This Row],[Total Ações]]</f>
        <v>0.7431368455077646</v>
      </c>
      <c r="V13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0.2117940009697129</v>
      </c>
      <c r="W13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0.2117940009697129</v>
      </c>
      <c r="Z136" s="6">
        <f>Tabela3[Div Base]*Tabela3[Ações]</f>
        <v>128147970</v>
      </c>
      <c r="AA136" s="6">
        <f>SUMPRODUCT(N(Tabela3[Nome]=Tabela3[[#This Row],[Nome]]),Tabela3[Div Base]*Tabela3[Ações])</f>
        <v>128147970</v>
      </c>
      <c r="AB136" s="6">
        <f>Tabela3[Patrimônio Líquido]/Tabela3[Total Ações]</f>
        <v>7.2283074301145289</v>
      </c>
      <c r="AC136" s="48">
        <f>MAX(Tabela3[[#This Row],[Cotação 1]:[Cotação 4]])</f>
        <v>11.69</v>
      </c>
      <c r="AD136" s="44">
        <f>Tabela3[Cotação]/Tabela3[VPA]</f>
        <v>1.6172527404267831</v>
      </c>
      <c r="AE136" s="40">
        <f>IF(Tabela3[[#This Row],[Lucro/Ação]]&gt;0,Tabela3[[#This Row],[Cotação]]/(Tabela3[[#This Row],[Lucro/Ação]]/Tabela3[Ref]*4),0)</f>
        <v>11.797961644613936</v>
      </c>
      <c r="AF136" s="40" t="e">
        <f>IF(Tabela3[Div. Mínimo]=0,0,Tabela3[Lucro Distribuir]*#REF!/Tabela3[Total Ações])</f>
        <v>#REF!</v>
      </c>
      <c r="AG136" s="80">
        <f>Tabela3[Lucro Distribuir]/Tabela3[Total Ações]</f>
        <v>0.70598000323237642</v>
      </c>
      <c r="AH13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0.2117940009697129</v>
      </c>
      <c r="AI136" s="15" t="str">
        <f>IF(AND(Tabela3[% A.A.]&gt;=7%,SUMPRODUCT(N(Tabela3[Nome]=Tabela3[[#This Row],[Nome]]),Tabela3[PL])&gt;0),"Sim","Não")</f>
        <v>Não</v>
      </c>
      <c r="AJ136" s="42">
        <f>IF(Tabela3[Cotação]&gt;0,Tabela3[[#This Row],[Lucro]]/Tabela3[[#This Row],[Cotação]],0)</f>
        <v>1.8117536438812053E-2</v>
      </c>
      <c r="AK136" s="19">
        <f>((1+Tabela3[[#This Row],[% Yield]])^(1/(3*Tabela3[[#This Row],[Ref]])))^(12)-1</f>
        <v>2.42293671303353E-2</v>
      </c>
      <c r="AL136" s="14">
        <f>IF(Tabela3[Cotação]&gt;0,($AS$1/Tabela3[[#This Row],[Cotação]]-MOD($AS$1/Tabela3[[#This Row],[Cotação]],100)),)</f>
        <v>0</v>
      </c>
      <c r="AM136" s="17">
        <f>Tabela3[[#This Row],[Ativos]]*Tabela3[Lucro]</f>
        <v>0</v>
      </c>
      <c r="AN136" s="13">
        <f>SUMPRODUCT(N(Tabela1[Código]=Tabela3[[#This Row],[PAPEL]]),Tabela1[Fechamento])</f>
        <v>0</v>
      </c>
      <c r="AO136" s="55">
        <f>SUMPRODUCT(N(Tabela17[Código]=Tabela3[[#This Row],[PAPEL]]),Tabela17[Fechamento])</f>
        <v>11.69</v>
      </c>
      <c r="AP136" s="7">
        <f>SUMPRODUCT(N(Tabela176[Código]=Tabela3[[#This Row],[PAPEL]]),Tabela176[Fechamento])</f>
        <v>0</v>
      </c>
      <c r="AQ136" s="7">
        <f>SUMPRODUCT(N(Tabela1768[Código]=Tabela3[[#This Row],[PAPEL]]),Tabela1768[Fechamento])</f>
        <v>0</v>
      </c>
    </row>
    <row r="137" spans="1:43" hidden="1" x14ac:dyDescent="0.2">
      <c r="A137" s="4" t="s">
        <v>340</v>
      </c>
      <c r="B137" s="57" t="s">
        <v>645</v>
      </c>
      <c r="C137" s="15" t="str">
        <f>LEFT(Tabela3[PAPEL],LEN(Tabela3[PAPEL])-(LEN(Tabela3[PAPEL])-4))</f>
        <v>DUQE</v>
      </c>
      <c r="D137" s="15">
        <v>3</v>
      </c>
      <c r="E137" s="6">
        <v>45000000</v>
      </c>
      <c r="F137" s="8">
        <v>1077753</v>
      </c>
      <c r="G137" s="88">
        <v>0.25</v>
      </c>
      <c r="H137" s="9"/>
      <c r="I137" s="19"/>
      <c r="J137" s="19"/>
      <c r="K137" s="90"/>
      <c r="L137" s="90"/>
      <c r="M137" s="96">
        <v>78931000</v>
      </c>
      <c r="N137" s="97">
        <v>75000</v>
      </c>
      <c r="O137" s="13">
        <f>Tabela3[[#This Row],[Capital Social]]*20%</f>
        <v>9000000</v>
      </c>
      <c r="P137" s="13">
        <f>IF((Tabela3[Lucro Líquido]*5%)&gt;Tabela3[Teto R. Legal],Tabela3[Teto R. Legal],Tabela3[Lucro Líquido]*5%)</f>
        <v>3750</v>
      </c>
      <c r="Q137" s="13">
        <f>IF(Tabela3[Lucro Líquido]&lt;0,0,Tabela3[Lucro Líquido]-Tabela3[Reserva Legal])</f>
        <v>71250</v>
      </c>
      <c r="R137" s="13">
        <f>Tabela3[[#This Row],[Lucro Distribuir]]*Tabela3[%Div]</f>
        <v>17812.5</v>
      </c>
      <c r="S137" s="56">
        <f>SUMPRODUCT(N(Tabela3[Nome]=Tabela3[[#This Row],[Nome]]),Tabela3[Ações])</f>
        <v>2816004</v>
      </c>
      <c r="T137" s="6">
        <f>Tabela3[Capital Social]/Tabela3[Total Ações]</f>
        <v>15.980090937370827</v>
      </c>
      <c r="U137" s="80">
        <f>Tabela3[[#This Row],[Lucro Líquido]]/Tabela3[[#This Row],[Total Ações]]</f>
        <v>2.6633484895618047E-2</v>
      </c>
      <c r="V13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6.1286437772061046E-3</v>
      </c>
      <c r="W13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6.1286437772061046E-3</v>
      </c>
      <c r="Z137" s="13">
        <f>Tabela3[Div Base]*Tabela3[Ações]</f>
        <v>6605.1642168152111</v>
      </c>
      <c r="AA137" s="13">
        <f>SUMPRODUCT(N(Tabela3[Nome]=Tabela3[[#This Row],[Nome]]),Tabela3[Div Base]*Tabela3[Ações])</f>
        <v>18323.597524677756</v>
      </c>
      <c r="AB137" s="95">
        <f>Tabela3[Patrimônio Líquido]/Tabela3[Total Ações]</f>
        <v>28.029434617280373</v>
      </c>
      <c r="AC137" s="48">
        <f>MAX(Tabela3[[#This Row],[Cotação 1]:[Cotação 4]])</f>
        <v>28</v>
      </c>
      <c r="AD137" s="44">
        <f>Tabela3[Cotação]/Tabela3[VPA]</f>
        <v>0.99894986760588367</v>
      </c>
      <c r="AE137" s="40">
        <f>IF(Tabela3[[#This Row],[Lucro/Ação]]&gt;0,Tabela3[[#This Row],[Cotação]]/(Tabela3[[#This Row],[Lucro/Ação]]/Tabela3[Ref]*4),0)</f>
        <v>788.48112000000003</v>
      </c>
      <c r="AF137" s="91" t="e">
        <f>IF(Tabela3[Div. Mínimo]=0,0,Tabela3[Lucro Distribuir]*#REF!/Tabela3[Total Ações])</f>
        <v>#REF!</v>
      </c>
      <c r="AG137" s="80">
        <f>Tabela3[Lucro Distribuir]/Tabela3[Total Ações]</f>
        <v>2.5301810650837142E-2</v>
      </c>
      <c r="AH13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6.1286437772061046E-3</v>
      </c>
      <c r="AI137" s="14" t="str">
        <f>IF(AND(Tabela3[% A.A.]&gt;=7%,SUMPRODUCT(N(Tabela3[Nome]=Tabela3[[#This Row],[Nome]]),Tabela3[PL])&gt;0),"Sim","Não")</f>
        <v>Não</v>
      </c>
      <c r="AJ137" s="42">
        <f>IF(Tabela3[Cotação]&gt;0,Tabela3[[#This Row],[Lucro]]/Tabela3[[#This Row],[Cotação]],0)</f>
        <v>2.1888013490021802E-4</v>
      </c>
      <c r="AK137" s="42">
        <f>((1+Tabela3[[#This Row],[% Yield]])^(1/(3*Tabela3[[#This Row],[Ref]])))^(12)-1</f>
        <v>2.9185082568461418E-4</v>
      </c>
      <c r="AL137" s="14">
        <f>IF(Tabela3[Cotação]&gt;0,($AS$1/Tabela3[[#This Row],[Cotação]]-MOD($AS$1/Tabela3[[#This Row],[Cotação]],100)),)</f>
        <v>0</v>
      </c>
      <c r="AM137" s="17">
        <f>Tabela3[[#This Row],[Ativos]]*Tabela3[Lucro]</f>
        <v>0</v>
      </c>
      <c r="AN137" s="17">
        <f>SUMPRODUCT(N(Tabela1[Código]=Tabela3[[#This Row],[PAPEL]]),Tabela1[Fechamento])</f>
        <v>0</v>
      </c>
      <c r="AO137" s="17">
        <f>SUMPRODUCT(N(Tabela17[Código]=Tabela3[[#This Row],[PAPEL]]),Tabela17[Fechamento])</f>
        <v>0</v>
      </c>
      <c r="AP137" s="17">
        <f>SUMPRODUCT(N(Tabela176[Código]=Tabela3[[#This Row],[PAPEL]]),Tabela176[Fechamento])</f>
        <v>28</v>
      </c>
      <c r="AQ137" s="17">
        <f>SUMPRODUCT(N(Tabela1768[Código]=Tabela3[[#This Row],[PAPEL]]),Tabela1768[Fechamento])</f>
        <v>0</v>
      </c>
    </row>
    <row r="138" spans="1:43" hidden="1" x14ac:dyDescent="0.2">
      <c r="A138" s="4" t="s">
        <v>340</v>
      </c>
      <c r="B138" s="57" t="s">
        <v>646</v>
      </c>
      <c r="C138" s="15" t="str">
        <f>LEFT(Tabela3[PAPEL],LEN(Tabela3[PAPEL])-(LEN(Tabela3[PAPEL])-4))</f>
        <v>DUQE</v>
      </c>
      <c r="D138" s="15">
        <v>3</v>
      </c>
      <c r="E138" s="6">
        <v>45000000</v>
      </c>
      <c r="F138" s="8">
        <v>1738251</v>
      </c>
      <c r="G138" s="88">
        <v>0.25</v>
      </c>
      <c r="H138" s="9"/>
      <c r="I138" s="19"/>
      <c r="J138" s="19">
        <v>0.1</v>
      </c>
      <c r="K138" s="90"/>
      <c r="L138" s="90"/>
      <c r="M138" s="96">
        <v>78931000</v>
      </c>
      <c r="N138" s="97">
        <v>75000</v>
      </c>
      <c r="O138" s="13">
        <f>Tabela3[[#This Row],[Capital Social]]*20%</f>
        <v>9000000</v>
      </c>
      <c r="P138" s="13">
        <f>IF((Tabela3[Lucro Líquido]*5%)&gt;Tabela3[Teto R. Legal],Tabela3[Teto R. Legal],Tabela3[Lucro Líquido]*5%)</f>
        <v>3750</v>
      </c>
      <c r="Q138" s="13">
        <f>IF(Tabela3[Lucro Líquido]&lt;0,0,Tabela3[Lucro Líquido]-Tabela3[Reserva Legal])</f>
        <v>71250</v>
      </c>
      <c r="R138" s="13">
        <f>Tabela3[[#This Row],[Lucro Distribuir]]*Tabela3[%Div]</f>
        <v>17812.5</v>
      </c>
      <c r="S138" s="56">
        <f>SUMPRODUCT(N(Tabela3[Nome]=Tabela3[[#This Row],[Nome]]),Tabela3[Ações])</f>
        <v>2816004</v>
      </c>
      <c r="T138" s="6">
        <f>Tabela3[Capital Social]/Tabela3[Total Ações]</f>
        <v>15.980090937370827</v>
      </c>
      <c r="U138" s="80">
        <f>Tabela3[[#This Row],[Lucro Líquido]]/Tabela3[[#This Row],[Total Ações]]</f>
        <v>2.6633484895618047E-2</v>
      </c>
      <c r="V13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6.7415081641618762E-3</v>
      </c>
      <c r="W13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6.7415081641618762E-3</v>
      </c>
      <c r="Z138" s="13">
        <f>Tabela3[Div Base]*Tabela3[Ações]</f>
        <v>11718.433307862546</v>
      </c>
      <c r="AA138" s="13">
        <f>SUMPRODUCT(N(Tabela3[Nome]=Tabela3[[#This Row],[Nome]]),Tabela3[Div Base]*Tabela3[Ações])</f>
        <v>18323.597524677756</v>
      </c>
      <c r="AB138" s="95">
        <f>Tabela3[Patrimônio Líquido]/Tabela3[Total Ações]</f>
        <v>28.029434617280373</v>
      </c>
      <c r="AC138" s="48">
        <f>MAX(Tabela3[[#This Row],[Cotação 1]:[Cotação 4]])</f>
        <v>5</v>
      </c>
      <c r="AD138" s="44">
        <f>Tabela3[Cotação]/Tabela3[VPA]</f>
        <v>0.17838390492962208</v>
      </c>
      <c r="AE138" s="40">
        <f>IF(Tabela3[[#This Row],[Lucro/Ação]]&gt;0,Tabela3[[#This Row],[Cotação]]/(Tabela3[[#This Row],[Lucro/Ação]]/Tabela3[Ref]*4),0)</f>
        <v>140.80019999999999</v>
      </c>
      <c r="AF138" s="91" t="e">
        <f>IF(Tabela3[Div. Mínimo]=0,0,Tabela3[Lucro Distribuir]*#REF!/Tabela3[Total Ações])</f>
        <v>#REF!</v>
      </c>
      <c r="AG138" s="80">
        <f>Tabela3[Lucro Distribuir]/Tabela3[Total Ações]</f>
        <v>2.5301810650837142E-2</v>
      </c>
      <c r="AH13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6.7415081641618762E-3</v>
      </c>
      <c r="AI138" s="14" t="str">
        <f>IF(AND(Tabela3[% A.A.]&gt;=7%,SUMPRODUCT(N(Tabela3[Nome]=Tabela3[[#This Row],[Nome]]),Tabela3[PL])&gt;0),"Sim","Não")</f>
        <v>Não</v>
      </c>
      <c r="AJ138" s="42">
        <f>IF(Tabela3[Cotação]&gt;0,Tabela3[[#This Row],[Lucro]]/Tabela3[[#This Row],[Cotação]],0)</f>
        <v>1.3483016328323751E-3</v>
      </c>
      <c r="AK138" s="42">
        <f>((1+Tabela3[[#This Row],[% Yield]])^(1/(3*Tabela3[[#This Row],[Ref]])))^(12)-1</f>
        <v>1.7981393710906346E-3</v>
      </c>
      <c r="AL138" s="14">
        <f>IF(Tabela3[Cotação]&gt;0,($AS$1/Tabela3[[#This Row],[Cotação]]-MOD($AS$1/Tabela3[[#This Row],[Cotação]],100)),)</f>
        <v>200</v>
      </c>
      <c r="AM138" s="17">
        <f>Tabela3[[#This Row],[Ativos]]*Tabela3[Lucro]</f>
        <v>1.3483016328323751</v>
      </c>
      <c r="AN138" s="17">
        <f>SUMPRODUCT(N(Tabela1[Código]=Tabela3[[#This Row],[PAPEL]]),Tabela1[Fechamento])</f>
        <v>0</v>
      </c>
      <c r="AO138" s="17">
        <f>SUMPRODUCT(N(Tabela17[Código]=Tabela3[[#This Row],[PAPEL]]),Tabela17[Fechamento])</f>
        <v>0</v>
      </c>
      <c r="AP138" s="17">
        <f>SUMPRODUCT(N(Tabela176[Código]=Tabela3[[#This Row],[PAPEL]]),Tabela176[Fechamento])</f>
        <v>5</v>
      </c>
      <c r="AQ138" s="17">
        <f>SUMPRODUCT(N(Tabela1768[Código]=Tabela3[[#This Row],[PAPEL]]),Tabela1768[Fechamento])</f>
        <v>0</v>
      </c>
    </row>
    <row r="139" spans="1:43" hidden="1" x14ac:dyDescent="0.2">
      <c r="A139" s="4" t="s">
        <v>298</v>
      </c>
      <c r="B139" s="57" t="s">
        <v>547</v>
      </c>
      <c r="C139" s="84" t="str">
        <f>LEFT(Tabela3[PAPEL],LEN(Tabela3[PAPEL])-(LEN(Tabela3[PAPEL])-4))</f>
        <v>EBTP</v>
      </c>
      <c r="D139" s="15">
        <v>3</v>
      </c>
      <c r="E139" s="6">
        <v>7373355808.1999998</v>
      </c>
      <c r="F139" s="8">
        <v>638224661</v>
      </c>
      <c r="G139" s="88">
        <v>0.25</v>
      </c>
      <c r="H139" s="19"/>
      <c r="I139" s="19"/>
      <c r="J139" s="19"/>
      <c r="K139" s="90"/>
      <c r="L139" s="90"/>
      <c r="M139" s="6">
        <v>11657711000</v>
      </c>
      <c r="N139" s="6">
        <v>411188000</v>
      </c>
      <c r="O139" s="6">
        <f>Tabela3[[#This Row],[Capital Social]]*20%</f>
        <v>1474671161.6400001</v>
      </c>
      <c r="P139" s="6">
        <f>IF((Tabela3[Lucro Líquido]*5%)&gt;Tabela3[Teto R. Legal],Tabela3[Teto R. Legal],Tabela3[Lucro Líquido]*5%)</f>
        <v>20559400</v>
      </c>
      <c r="Q139" s="6">
        <f>IF(Tabela3[Lucro Líquido]&lt;0,0,Tabela3[Lucro Líquido]-Tabela3[Reserva Legal])</f>
        <v>390628600</v>
      </c>
      <c r="R139" s="6">
        <f>Tabela3[[#This Row],[Lucro Distribuir]]*Tabela3[%Div]</f>
        <v>97657150</v>
      </c>
      <c r="S139" s="56">
        <f>SUMPRODUCT(N(Tabela3[Nome]=Tabela3[[#This Row],[Nome]]),Tabela3[Ações])</f>
        <v>1231364635</v>
      </c>
      <c r="T139" s="6">
        <f>Tabela3[Capital Social]/Tabela3[Total Ações]</f>
        <v>5.9879548255825945</v>
      </c>
      <c r="U139" s="80">
        <f>Tabela3[[#This Row],[Lucro Líquido]]/Tabela3[[#This Row],[Total Ações]]</f>
        <v>0.33392870666616148</v>
      </c>
      <c r="V13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7.6840492266063348E-2</v>
      </c>
      <c r="W13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3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3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39" s="6">
        <f>Tabela3[Div Base]*Tabela3[Ações]</f>
        <v>0</v>
      </c>
      <c r="AA139" s="6">
        <f>SUMPRODUCT(N(Tabela3[Nome]=Tabela3[[#This Row],[Nome]]),Tabela3[Div Base]*Tabela3[Ações])</f>
        <v>213101722.17355406</v>
      </c>
      <c r="AB139" s="6">
        <f>Tabela3[Patrimônio Líquido]/Tabela3[Total Ações]</f>
        <v>9.4673102252932573</v>
      </c>
      <c r="AC139" s="48">
        <f>MAX(Tabela3[[#This Row],[Cotação 1]:[Cotação 4]])</f>
        <v>6.91</v>
      </c>
      <c r="AD139" s="44">
        <f>Tabela3[Cotação]/Tabela3[VPA]</f>
        <v>0.72987995909745917</v>
      </c>
      <c r="AE139" s="40">
        <f>IF(Tabela3[[#This Row],[Lucro/Ação]]&gt;0,Tabela3[[#This Row],[Cotação]]/(Tabela3[[#This Row],[Lucro/Ação]]/Tabela3[Ref]*4),0)</f>
        <v>15.519779810907663</v>
      </c>
      <c r="AF139" s="40" t="e">
        <f>IF(Tabela3[Div. Mínimo]=0,0,Tabela3[Lucro Distribuir]*#REF!/Tabela3[Total Ações])</f>
        <v>#REF!</v>
      </c>
      <c r="AG139" s="80">
        <f>Tabela3[Lucro Distribuir]/Tabela3[Total Ações]</f>
        <v>0.31723227133285342</v>
      </c>
      <c r="AH13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39" s="15" t="str">
        <f>IF(AND(Tabela3[% A.A.]&gt;=7%,SUMPRODUCT(N(Tabela3[Nome]=Tabela3[[#This Row],[Nome]]),Tabela3[PL])&gt;0),"Sim","Não")</f>
        <v>Não</v>
      </c>
      <c r="AJ139" s="42">
        <f>IF(Tabela3[Cotação]&gt;0,Tabela3[[#This Row],[Lucro]]/Tabela3[[#This Row],[Cotação]],0)</f>
        <v>0</v>
      </c>
      <c r="AK139" s="19">
        <f>((1+Tabela3[[#This Row],[% Yield]])^(1/(3*Tabela3[[#This Row],[Ref]])))^(12)-1</f>
        <v>0</v>
      </c>
      <c r="AL139" s="14">
        <f>IF(Tabela3[Cotação]&gt;0,($AS$1/Tabela3[[#This Row],[Cotação]]-MOD($AS$1/Tabela3[[#This Row],[Cotação]],100)),)</f>
        <v>100</v>
      </c>
      <c r="AM139" s="17">
        <f>Tabela3[[#This Row],[Ativos]]*Tabela3[Lucro]</f>
        <v>0</v>
      </c>
      <c r="AN139" s="13">
        <f>SUMPRODUCT(N(Tabela1[Código]=Tabela3[[#This Row],[PAPEL]]),Tabela1[Fechamento])</f>
        <v>0</v>
      </c>
      <c r="AO139" s="55">
        <f>SUMPRODUCT(N(Tabela17[Código]=Tabela3[[#This Row],[PAPEL]]),Tabela17[Fechamento])</f>
        <v>6.91</v>
      </c>
      <c r="AP139" s="55">
        <f>SUMPRODUCT(N(Tabela176[Código]=Tabela3[[#This Row],[PAPEL]]),Tabela176[Fechamento])</f>
        <v>0</v>
      </c>
      <c r="AQ139" s="55">
        <f>SUMPRODUCT(N(Tabela1768[Código]=Tabela3[[#This Row],[PAPEL]]),Tabela1768[Fechamento])</f>
        <v>0</v>
      </c>
    </row>
    <row r="140" spans="1:43" hidden="1" x14ac:dyDescent="0.2">
      <c r="A140" s="4" t="s">
        <v>298</v>
      </c>
      <c r="B140" s="57" t="s">
        <v>391</v>
      </c>
      <c r="C140" s="84" t="str">
        <f>LEFT(Tabela3[PAPEL],LEN(Tabela3[PAPEL])-(LEN(Tabela3[PAPEL])-4))</f>
        <v>EBTP</v>
      </c>
      <c r="D140" s="15">
        <v>3</v>
      </c>
      <c r="E140" s="6">
        <v>7373355808.1999998</v>
      </c>
      <c r="F140" s="8">
        <v>593139974</v>
      </c>
      <c r="G140" s="83">
        <v>0.25</v>
      </c>
      <c r="H140" s="19"/>
      <c r="I140" s="19">
        <v>0.06</v>
      </c>
      <c r="J140" s="19">
        <v>0.1</v>
      </c>
      <c r="K140" s="90"/>
      <c r="L140" s="90"/>
      <c r="M140" s="6">
        <v>11657711000</v>
      </c>
      <c r="N140" s="6">
        <v>411188000</v>
      </c>
      <c r="O140" s="6">
        <f>Tabela3[[#This Row],[Capital Social]]*20%</f>
        <v>1474671161.6400001</v>
      </c>
      <c r="P140" s="6">
        <f>IF((Tabela3[Lucro Líquido]*5%)&gt;Tabela3[Teto R. Legal],Tabela3[Teto R. Legal],Tabela3[Lucro Líquido]*5%)</f>
        <v>20559400</v>
      </c>
      <c r="Q140" s="6">
        <f>IF(Tabela3[Lucro Líquido]&lt;0,0,Tabela3[Lucro Líquido]-Tabela3[Reserva Legal])</f>
        <v>390628600</v>
      </c>
      <c r="R140" s="6">
        <f>Tabela3[[#This Row],[Lucro Distribuir]]*Tabela3[%Div]</f>
        <v>97657150</v>
      </c>
      <c r="S140" s="56">
        <f>SUMPRODUCT(N(Tabela3[Nome]=Tabela3[[#This Row],[Nome]]),Tabela3[Ações])</f>
        <v>1231364635</v>
      </c>
      <c r="T140" s="6">
        <f>Tabela3[Capital Social]/Tabela3[Total Ações]</f>
        <v>5.9879548255825945</v>
      </c>
      <c r="U140" s="80">
        <f>Tabela3[[#This Row],[Lucro Líquido]]/Tabela3[[#This Row],[Total Ações]]</f>
        <v>0.33392870666616148</v>
      </c>
      <c r="V14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8.4524541608459458E-2</v>
      </c>
      <c r="W14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0.35927728953495564</v>
      </c>
      <c r="Y14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0.35927728953495564</v>
      </c>
      <c r="Z140" s="6">
        <f>Tabela3[Div Base]*Tabela3[Ações]</f>
        <v>213101722.17355406</v>
      </c>
      <c r="AA140" s="6">
        <f>SUMPRODUCT(N(Tabela3[Nome]=Tabela3[[#This Row],[Nome]]),Tabela3[Div Base]*Tabela3[Ações])</f>
        <v>213101722.17355406</v>
      </c>
      <c r="AB140" s="6">
        <f>Tabela3[Patrimônio Líquido]/Tabela3[Total Ações]</f>
        <v>9.4673102252932573</v>
      </c>
      <c r="AC140" s="48">
        <f>MAX(Tabela3[[#This Row],[Cotação 1]:[Cotação 4]])</f>
        <v>7.02</v>
      </c>
      <c r="AD140" s="44">
        <f>Tabela3[Cotação]/Tabela3[VPA]</f>
        <v>0.74149888753461124</v>
      </c>
      <c r="AE140" s="40">
        <f>IF(Tabela3[[#This Row],[Lucro/Ação]]&gt;0,Tabela3[[#This Row],[Cotação]]/(Tabela3[[#This Row],[Lucro/Ação]]/Tabela3[Ref]*4),0)</f>
        <v>15.766838534380865</v>
      </c>
      <c r="AF140" s="40" t="e">
        <f>IF(Tabela3[Div. Mínimo]=0,0,Tabela3[Lucro Distribuir]*#REF!/Tabela3[Total Ações])</f>
        <v>#REF!</v>
      </c>
      <c r="AG140" s="80">
        <f>Tabela3[Lucro Distribuir]/Tabela3[Total Ações]</f>
        <v>0.31723227133285342</v>
      </c>
      <c r="AH14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0.35927728953495564</v>
      </c>
      <c r="AI140" s="15" t="str">
        <f>IF(AND(Tabela3[% A.A.]&gt;=7%,SUMPRODUCT(N(Tabela3[Nome]=Tabela3[[#This Row],[Nome]]),Tabela3[PL])&gt;0),"Sim","Não")</f>
        <v>Não</v>
      </c>
      <c r="AJ140" s="42">
        <f>IF(Tabela3[Cotação]&gt;0,Tabela3[[#This Row],[Lucro]]/Tabela3[[#This Row],[Cotação]],0)</f>
        <v>5.1179101073355507E-2</v>
      </c>
      <c r="AK140" s="19">
        <f>((1+Tabela3[[#This Row],[% Yield]])^(1/(3*Tabela3[[#This Row],[Ref]])))^(12)-1</f>
        <v>6.8814385691497781E-2</v>
      </c>
      <c r="AL140" s="14">
        <f>IF(Tabela3[Cotação]&gt;0,($AS$1/Tabela3[[#This Row],[Cotação]]-MOD($AS$1/Tabela3[[#This Row],[Cotação]],100)),)</f>
        <v>100</v>
      </c>
      <c r="AM140" s="13">
        <f>Tabela3[[#This Row],[Ativos]]*Tabela3[Lucro]</f>
        <v>35.92772895349556</v>
      </c>
      <c r="AN140" s="55">
        <f>SUMPRODUCT(N(Tabela1[Código]=Tabela3[[#This Row],[PAPEL]]),Tabela1[Fechamento])</f>
        <v>0</v>
      </c>
      <c r="AO140" s="17">
        <f>SUMPRODUCT(N(Tabela17[Código]=Tabela3[[#This Row],[PAPEL]]),Tabela17[Fechamento])</f>
        <v>7.02</v>
      </c>
      <c r="AP140" s="7">
        <f>SUMPRODUCT(N(Tabela176[Código]=Tabela3[[#This Row],[PAPEL]]),Tabela176[Fechamento])</f>
        <v>0</v>
      </c>
      <c r="AQ140" s="7">
        <f>SUMPRODUCT(N(Tabela1768[Código]=Tabela3[[#This Row],[PAPEL]]),Tabela1768[Fechamento])</f>
        <v>0</v>
      </c>
    </row>
    <row r="141" spans="1:43" hidden="1" x14ac:dyDescent="0.2">
      <c r="A141" s="4" t="s">
        <v>12</v>
      </c>
      <c r="B141" s="57" t="s">
        <v>97</v>
      </c>
      <c r="C141" s="14" t="str">
        <f>LEFT(Tabela3[PAPEL],LEN(Tabela3[PAPEL])-(LEN(Tabela3[PAPEL])-4))</f>
        <v>EEEL</v>
      </c>
      <c r="D141" s="15">
        <v>3</v>
      </c>
      <c r="E141" s="6">
        <v>588447186.05999994</v>
      </c>
      <c r="F141" s="8">
        <v>380669270</v>
      </c>
      <c r="G141" s="88">
        <v>0.5</v>
      </c>
      <c r="H141" s="15"/>
      <c r="I141" s="19"/>
      <c r="J141" s="19"/>
      <c r="K141" s="90"/>
      <c r="L141" s="90"/>
      <c r="M141" s="92">
        <v>1791505000</v>
      </c>
      <c r="N141" s="92">
        <v>-38094000</v>
      </c>
      <c r="O141" s="6">
        <f>Tabela3[[#This Row],[Capital Social]]*20%</f>
        <v>117689437.212</v>
      </c>
      <c r="P141" s="6">
        <f>IF((Tabela3[Lucro Líquido]*5%)&gt;Tabela3[Teto R. Legal],Tabela3[Teto R. Legal],Tabela3[Lucro Líquido]*5%)</f>
        <v>-1904700</v>
      </c>
      <c r="Q141" s="92">
        <f>IF(Tabela3[Lucro Líquido]&lt;0,0,Tabela3[Lucro Líquido]-Tabela3[Reserva Legal])</f>
        <v>0</v>
      </c>
      <c r="R141" s="92">
        <f>Tabela3[[#This Row],[Lucro Distribuir]]*Tabela3[%Div]</f>
        <v>0</v>
      </c>
      <c r="S141" s="8">
        <v>387229828</v>
      </c>
      <c r="T141" s="6">
        <f>Tabela3[Capital Social]/Tabela3[Total Ações]</f>
        <v>1.5196328988891836</v>
      </c>
      <c r="U141" s="80">
        <f>Tabela3[[#This Row],[Lucro Líquido]]/Tabela3[[#This Row],[Total Ações]]</f>
        <v>-9.8375686079637439E-2</v>
      </c>
      <c r="V14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4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41" s="6">
        <f>Tabela3[Div Base]*Tabela3[Ações]</f>
        <v>0</v>
      </c>
      <c r="AA141" s="6">
        <f>SUMPRODUCT(N(Tabela3[Nome]=Tabela3[[#This Row],[Nome]]),Tabela3[Div Base]*Tabela3[Ações])</f>
        <v>996963.97718706238</v>
      </c>
      <c r="AB141" s="92">
        <f>Tabela3[Patrimônio Líquido]/Tabela3[Total Ações]</f>
        <v>4.6264643642069849</v>
      </c>
      <c r="AC141" s="48">
        <f>MAX(Tabela3[[#This Row],[Cotação 1]:[Cotação 4]])</f>
        <v>1.56</v>
      </c>
      <c r="AD141" s="44">
        <f>Tabela3[Cotação]/Tabela3[VPA]</f>
        <v>0.33719053626978435</v>
      </c>
      <c r="AE141" s="40">
        <f>IF(Tabela3[[#This Row],[Lucro/Ação]]&gt;0,Tabela3[[#This Row],[Cotação]]/(Tabela3[[#This Row],[Lucro/Ação]]/Tabela3[Ref]*4),0)</f>
        <v>0</v>
      </c>
      <c r="AF141" s="40">
        <f>IF(Tabela3[Div. Mínimo]=0,0,Tabela3[Lucro Distribuir]*#REF!/Tabela3[Total Ações])</f>
        <v>0</v>
      </c>
      <c r="AG141" s="80">
        <f>Tabela3[Lucro Distribuir]/Tabela3[Total Ações]</f>
        <v>0</v>
      </c>
      <c r="AH14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41" s="15" t="str">
        <f>IF(AND(Tabela3[% A.A.]&gt;=7%,SUMPRODUCT(N(Tabela3[Nome]=Tabela3[[#This Row],[Nome]]),Tabela3[PL])&gt;0),"Sim","Não")</f>
        <v>Não</v>
      </c>
      <c r="AJ141" s="42">
        <f>IF(Tabela3[Cotação]&gt;0,Tabela3[[#This Row],[Lucro]]/Tabela3[[#This Row],[Cotação]],0)</f>
        <v>0</v>
      </c>
      <c r="AK141" s="19">
        <f>((1+Tabela3[[#This Row],[% Yield]])^(1/(3*Tabela3[[#This Row],[Ref]])))^(12)-1</f>
        <v>0</v>
      </c>
      <c r="AL141" s="14">
        <f>IF(Tabela3[Cotação]&gt;0,($AS$1/Tabela3[[#This Row],[Cotação]]-MOD($AS$1/Tabela3[[#This Row],[Cotação]],100)),)</f>
        <v>600</v>
      </c>
      <c r="AM141" s="17">
        <f>Tabela3[[#This Row],[Ativos]]*Tabela3[Lucro]</f>
        <v>0</v>
      </c>
      <c r="AN141" s="5">
        <f>SUMPRODUCT(N(Tabela1[Código]=Tabela3[[#This Row],[PAPEL]]),Tabela1[Fechamento])</f>
        <v>1.56</v>
      </c>
      <c r="AO141" s="5">
        <f>SUMPRODUCT(N(Tabela17[Código]=Tabela3[[#This Row],[PAPEL]]),Tabela17[Fechamento])</f>
        <v>0</v>
      </c>
      <c r="AP141" s="7">
        <f>SUMPRODUCT(N(Tabela176[Código]=Tabela3[[#This Row],[PAPEL]]),Tabela176[Fechamento])</f>
        <v>0</v>
      </c>
      <c r="AQ141" s="7">
        <f>SUMPRODUCT(N(Tabela1768[Código]=Tabela3[[#This Row],[PAPEL]]),Tabela1768[Fechamento])</f>
        <v>0</v>
      </c>
    </row>
    <row r="142" spans="1:43" hidden="1" x14ac:dyDescent="0.2">
      <c r="A142" s="4" t="s">
        <v>12</v>
      </c>
      <c r="B142" s="57" t="s">
        <v>98</v>
      </c>
      <c r="C142" s="14" t="str">
        <f>LEFT(Tabela3[PAPEL],LEN(Tabela3[PAPEL])-(LEN(Tabela3[PAPEL])-4))</f>
        <v>EEEL</v>
      </c>
      <c r="D142" s="15">
        <v>3</v>
      </c>
      <c r="E142" s="6">
        <v>588447186.05999994</v>
      </c>
      <c r="F142" s="8">
        <v>6560558</v>
      </c>
      <c r="G142" s="83">
        <v>0.5</v>
      </c>
      <c r="H142" s="15"/>
      <c r="I142" s="19">
        <v>0.1</v>
      </c>
      <c r="J142" s="19"/>
      <c r="K142" s="90"/>
      <c r="L142" s="90"/>
      <c r="M142" s="92">
        <v>1791505000</v>
      </c>
      <c r="N142" s="92">
        <v>-38094000</v>
      </c>
      <c r="O142" s="6">
        <f>Tabela3[[#This Row],[Capital Social]]*20%</f>
        <v>117689437.212</v>
      </c>
      <c r="P142" s="6">
        <f>IF((Tabela3[Lucro Líquido]*5%)&gt;Tabela3[Teto R. Legal],Tabela3[Teto R. Legal],Tabela3[Lucro Líquido]*5%)</f>
        <v>-1904700</v>
      </c>
      <c r="Q142" s="92">
        <f>IF(Tabela3[Lucro Líquido]&lt;0,0,Tabela3[Lucro Líquido]-Tabela3[Reserva Legal])</f>
        <v>0</v>
      </c>
      <c r="R142" s="92">
        <f>Tabela3[[#This Row],[Lucro Distribuir]]*Tabela3[%Div]</f>
        <v>0</v>
      </c>
      <c r="S142" s="8">
        <v>387229828</v>
      </c>
      <c r="T142" s="6">
        <f>Tabela3[Capital Social]/Tabela3[Total Ações]</f>
        <v>1.5196328988891836</v>
      </c>
      <c r="U142" s="80">
        <f>Tabela3[[#This Row],[Lucro Líquido]]/Tabela3[[#This Row],[Total Ações]]</f>
        <v>-9.8375686079637439E-2</v>
      </c>
      <c r="V14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4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0.15196328988891836</v>
      </c>
      <c r="Y14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0.15196328988891836</v>
      </c>
      <c r="Z142" s="6">
        <f>Tabela3[Div Base]*Tabela3[Ações]</f>
        <v>996963.97718706238</v>
      </c>
      <c r="AA142" s="6">
        <f>SUMPRODUCT(N(Tabela3[Nome]=Tabela3[[#This Row],[Nome]]),Tabela3[Div Base]*Tabela3[Ações])</f>
        <v>996963.97718706238</v>
      </c>
      <c r="AB142" s="92">
        <f>Tabela3[Patrimônio Líquido]/Tabela3[Total Ações]</f>
        <v>4.6264643642069849</v>
      </c>
      <c r="AC142" s="48">
        <f>MAX(Tabela3[[#This Row],[Cotação 1]:[Cotação 4]])</f>
        <v>1.79</v>
      </c>
      <c r="AD142" s="44">
        <f>Tabela3[Cotação]/Tabela3[VPA]</f>
        <v>0.38690452559161148</v>
      </c>
      <c r="AE142" s="40">
        <f>IF(Tabela3[[#This Row],[Lucro/Ação]]&gt;0,Tabela3[[#This Row],[Cotação]]/(Tabela3[[#This Row],[Lucro/Ação]]/Tabela3[Ref]*4),0)</f>
        <v>0</v>
      </c>
      <c r="AF142" s="40">
        <f>IF(Tabela3[Div. Mínimo]=0,0,Tabela3[Lucro Distribuir]*#REF!/Tabela3[Total Ações])</f>
        <v>0</v>
      </c>
      <c r="AG142" s="80">
        <f>Tabela3[Lucro Distribuir]/Tabela3[Total Ações]</f>
        <v>0</v>
      </c>
      <c r="AH14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0.15196328988891836</v>
      </c>
      <c r="AI142" s="15" t="str">
        <f>IF(AND(Tabela3[% A.A.]&gt;=7%,SUMPRODUCT(N(Tabela3[Nome]=Tabela3[[#This Row],[Nome]]),Tabela3[PL])&gt;0),"Sim","Não")</f>
        <v>Não</v>
      </c>
      <c r="AJ142" s="42">
        <f>IF(Tabela3[Cotação]&gt;0,Tabela3[[#This Row],[Lucro]]/Tabela3[[#This Row],[Cotação]],0)</f>
        <v>8.4895692675373377E-2</v>
      </c>
      <c r="AK142" s="19">
        <f>((1+Tabela3[[#This Row],[% Yield]])^(1/(3*Tabela3[[#This Row],[Ref]])))^(12)-1</f>
        <v>0.11476668153205627</v>
      </c>
      <c r="AL142" s="14">
        <f>IF(Tabela3[Cotação]&gt;0,($AS$1/Tabela3[[#This Row],[Cotação]]-MOD($AS$1/Tabela3[[#This Row],[Cotação]],100)),)</f>
        <v>500</v>
      </c>
      <c r="AM142" s="17">
        <f>Tabela3[[#This Row],[Ativos]]*Tabela3[Lucro]</f>
        <v>75.981644944459177</v>
      </c>
      <c r="AN142" s="5">
        <f>SUMPRODUCT(N(Tabela1[Código]=Tabela3[[#This Row],[PAPEL]]),Tabela1[Fechamento])</f>
        <v>1.79</v>
      </c>
      <c r="AO142" s="5">
        <f>SUMPRODUCT(N(Tabela17[Código]=Tabela3[[#This Row],[PAPEL]]),Tabela17[Fechamento])</f>
        <v>0</v>
      </c>
      <c r="AP142" s="7">
        <f>SUMPRODUCT(N(Tabela176[Código]=Tabela3[[#This Row],[PAPEL]]),Tabela176[Fechamento])</f>
        <v>0</v>
      </c>
      <c r="AQ142" s="7">
        <f>SUMPRODUCT(N(Tabela1768[Código]=Tabela3[[#This Row],[PAPEL]]),Tabela1768[Fechamento])</f>
        <v>0</v>
      </c>
    </row>
    <row r="143" spans="1:43" hidden="1" x14ac:dyDescent="0.2">
      <c r="A143" s="4" t="s">
        <v>12</v>
      </c>
      <c r="B143" s="57" t="s">
        <v>512</v>
      </c>
      <c r="C143" s="15" t="str">
        <f>LEFT(Tabela3[PAPEL],LEN(Tabela3[PAPEL])-(LEN(Tabela3[PAPEL])-4))</f>
        <v>EKTR</v>
      </c>
      <c r="D143" s="15">
        <v>3</v>
      </c>
      <c r="E143" s="6">
        <v>952491950.13999999</v>
      </c>
      <c r="F143" s="8">
        <v>91880972</v>
      </c>
      <c r="G143" s="83">
        <v>0.25</v>
      </c>
      <c r="H143" s="15"/>
      <c r="I143" s="19"/>
      <c r="J143" s="19"/>
      <c r="K143" s="90"/>
      <c r="L143" s="90"/>
      <c r="M143" s="96">
        <v>2125304000</v>
      </c>
      <c r="N143" s="96">
        <v>226464000</v>
      </c>
      <c r="O143" s="13">
        <f>Tabela3[[#This Row],[Capital Social]]*20%</f>
        <v>190498390.028</v>
      </c>
      <c r="P143" s="13">
        <f>IF((Tabela3[Lucro Líquido]*5%)&gt;Tabela3[Teto R. Legal],Tabela3[Teto R. Legal],Tabela3[Lucro Líquido]*5%)</f>
        <v>11323200</v>
      </c>
      <c r="Q143" s="13">
        <f>IF(Tabela3[Lucro Líquido]&lt;0,0,Tabela3[Lucro Líquido]-Tabela3[Reserva Legal])</f>
        <v>215140800</v>
      </c>
      <c r="R143" s="13">
        <f>Tabela3[[#This Row],[Lucro Distribuir]]*Tabela3[%Div]</f>
        <v>53785200</v>
      </c>
      <c r="S143" s="56">
        <f>SUMPRODUCT(N(Tabela3[Nome]=Tabela3[[#This Row],[Nome]]),Tabela3[Ações])</f>
        <v>193759265</v>
      </c>
      <c r="T143" s="6">
        <f>Tabela3[Capital Social]/Tabela3[Total Ações]</f>
        <v>4.9158524117027387</v>
      </c>
      <c r="U143" s="80">
        <f>Tabela3[[#This Row],[Lucro Líquido]]/Tabela3[[#This Row],[Total Ações]]</f>
        <v>1.1687905608023441</v>
      </c>
      <c r="V14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0.26895094747803922</v>
      </c>
      <c r="W14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0.26895094747803922</v>
      </c>
      <c r="Z143" s="13">
        <f>Tabela3[Div Base]*Tabela3[Ações]</f>
        <v>24711474.474603191</v>
      </c>
      <c r="AA143" s="13">
        <f>SUMPRODUCT(N(Tabela3[Nome]=Tabela3[[#This Row],[Nome]]),Tabela3[Div Base]*Tabela3[Ações])</f>
        <v>54851764.288667053</v>
      </c>
      <c r="AB143" s="95">
        <f>Tabela3[Patrimônio Líquido]/Tabela3[Total Ações]</f>
        <v>10.968786447450654</v>
      </c>
      <c r="AC143" s="48">
        <f>MAX(Tabela3[[#This Row],[Cotação 1]:[Cotação 4]])</f>
        <v>21</v>
      </c>
      <c r="AD143" s="44">
        <f>Tabela3[Cotação]/Tabela3[VPA]</f>
        <v>1.9145235528658491</v>
      </c>
      <c r="AE143" s="40">
        <f>IF(Tabela3[[#This Row],[Lucro/Ação]]&gt;0,Tabela3[[#This Row],[Cotação]]/(Tabela3[[#This Row],[Lucro/Ação]]/Tabela3[Ref]*4),0)</f>
        <v>13.475468170437685</v>
      </c>
      <c r="AF143" s="91" t="e">
        <f>IF(Tabela3[Div. Mínimo]=0,0,Tabela3[Lucro Distribuir]*#REF!/Tabela3[Total Ações])</f>
        <v>#REF!</v>
      </c>
      <c r="AG143" s="80">
        <f>Tabela3[Lucro Distribuir]/Tabela3[Total Ações]</f>
        <v>1.1103510327622268</v>
      </c>
      <c r="AH14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0.26895094747803922</v>
      </c>
      <c r="AI143" s="14" t="str">
        <f>IF(AND(Tabela3[% A.A.]&gt;=7%,SUMPRODUCT(N(Tabela3[Nome]=Tabela3[[#This Row],[Nome]]),Tabela3[PL])&gt;0),"Sim","Não")</f>
        <v>Não</v>
      </c>
      <c r="AJ143" s="42">
        <f>IF(Tabela3[Cotação]&gt;0,Tabela3[[#This Row],[Lucro]]/Tabela3[[#This Row],[Cotação]],0)</f>
        <v>1.2807187975144725E-2</v>
      </c>
      <c r="AK143" s="42">
        <f>((1+Tabela3[[#This Row],[% Yield]])^(1/(3*Tabela3[[#This Row],[Ref]])))^(12)-1</f>
        <v>1.7112597237684213E-2</v>
      </c>
      <c r="AL143" s="14">
        <f>IF(Tabela3[Cotação]&gt;0,($AS$1/Tabela3[[#This Row],[Cotação]]-MOD($AS$1/Tabela3[[#This Row],[Cotação]],100)),)</f>
        <v>0</v>
      </c>
      <c r="AM143" s="17">
        <f>Tabela3[[#This Row],[Ativos]]*Tabela3[Lucro]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21</v>
      </c>
      <c r="AP143" s="7">
        <f>SUMPRODUCT(N(Tabela176[Código]=Tabela3[[#This Row],[PAPEL]]),Tabela176[Fechamento])</f>
        <v>0</v>
      </c>
      <c r="AQ143" s="7">
        <f>SUMPRODUCT(N(Tabela1768[Código]=Tabela3[[#This Row],[PAPEL]]),Tabela1768[Fechamento])</f>
        <v>0</v>
      </c>
    </row>
    <row r="144" spans="1:43" hidden="1" x14ac:dyDescent="0.2">
      <c r="A144" s="4" t="s">
        <v>12</v>
      </c>
      <c r="B144" s="57" t="s">
        <v>513</v>
      </c>
      <c r="C144" s="15" t="str">
        <f>LEFT(Tabela3[PAPEL],LEN(Tabela3[PAPEL])-(LEN(Tabela3[PAPEL])-4))</f>
        <v>EKTR</v>
      </c>
      <c r="D144" s="15">
        <v>3</v>
      </c>
      <c r="E144" s="6">
        <v>952491950.13999999</v>
      </c>
      <c r="F144" s="8">
        <v>101878293</v>
      </c>
      <c r="G144" s="83">
        <v>0.25</v>
      </c>
      <c r="H144" s="15"/>
      <c r="I144" s="19"/>
      <c r="J144" s="19">
        <v>0.1</v>
      </c>
      <c r="K144" s="90"/>
      <c r="L144" s="90"/>
      <c r="M144" s="96">
        <v>2125304000</v>
      </c>
      <c r="N144" s="96">
        <v>226464000</v>
      </c>
      <c r="O144" s="13">
        <f>Tabela3[[#This Row],[Capital Social]]*20%</f>
        <v>190498390.028</v>
      </c>
      <c r="P144" s="13">
        <f>IF((Tabela3[Lucro Líquido]*5%)&gt;Tabela3[Teto R. Legal],Tabela3[Teto R. Legal],Tabela3[Lucro Líquido]*5%)</f>
        <v>11323200</v>
      </c>
      <c r="Q144" s="13">
        <f>IF(Tabela3[Lucro Líquido]&lt;0,0,Tabela3[Lucro Líquido]-Tabela3[Reserva Legal])</f>
        <v>215140800</v>
      </c>
      <c r="R144" s="13">
        <f>Tabela3[[#This Row],[Lucro Distribuir]]*Tabela3[%Div]</f>
        <v>53785200</v>
      </c>
      <c r="S144" s="56">
        <f>SUMPRODUCT(N(Tabela3[Nome]=Tabela3[[#This Row],[Nome]]),Tabela3[Ações])</f>
        <v>193759265</v>
      </c>
      <c r="T144" s="6">
        <f>Tabela3[Capital Social]/Tabela3[Total Ações]</f>
        <v>4.9158524117027387</v>
      </c>
      <c r="U144" s="80">
        <f>Tabela3[[#This Row],[Lucro Líquido]]/Tabela3[[#This Row],[Total Ações]]</f>
        <v>1.1687905608023441</v>
      </c>
      <c r="V14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0.29584604263112124</v>
      </c>
      <c r="W14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0.29584604263112124</v>
      </c>
      <c r="Z144" s="13">
        <f>Tabela3[Div Base]*Tabela3[Ações]</f>
        <v>30140289.814063862</v>
      </c>
      <c r="AA144" s="13">
        <f>SUMPRODUCT(N(Tabela3[Nome]=Tabela3[[#This Row],[Nome]]),Tabela3[Div Base]*Tabela3[Ações])</f>
        <v>54851764.288667053</v>
      </c>
      <c r="AB144" s="95">
        <f>Tabela3[Patrimônio Líquido]/Tabela3[Total Ações]</f>
        <v>10.968786447450654</v>
      </c>
      <c r="AC144" s="48">
        <f>MAX(Tabela3[[#This Row],[Cotação 1]:[Cotação 4]])</f>
        <v>17</v>
      </c>
      <c r="AD144" s="44">
        <f>Tabela3[Cotação]/Tabela3[VPA]</f>
        <v>1.5498523999390206</v>
      </c>
      <c r="AE144" s="40">
        <f>IF(Tabela3[[#This Row],[Lucro/Ação]]&gt;0,Tabela3[[#This Row],[Cotação]]/(Tabela3[[#This Row],[Lucro/Ação]]/Tabela3[Ref]*4),0)</f>
        <v>10.908712328449553</v>
      </c>
      <c r="AF144" s="91" t="e">
        <f>IF(Tabela3[Div. Mínimo]=0,0,Tabela3[Lucro Distribuir]*#REF!/Tabela3[Total Ações])</f>
        <v>#REF!</v>
      </c>
      <c r="AG144" s="80">
        <f>Tabela3[Lucro Distribuir]/Tabela3[Total Ações]</f>
        <v>1.1103510327622268</v>
      </c>
      <c r="AH14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0.29584604263112124</v>
      </c>
      <c r="AI144" s="14" t="str">
        <f>IF(AND(Tabela3[% A.A.]&gt;=7%,SUMPRODUCT(N(Tabela3[Nome]=Tabela3[[#This Row],[Nome]]),Tabela3[PL])&gt;0),"Sim","Não")</f>
        <v>Não</v>
      </c>
      <c r="AJ144" s="42">
        <f>IF(Tabela3[Cotação]&gt;0,Tabela3[[#This Row],[Lucro]]/Tabela3[[#This Row],[Cotação]],0)</f>
        <v>1.7402708390065955E-2</v>
      </c>
      <c r="AK144" s="42">
        <f>((1+Tabela3[[#This Row],[% Yield]])^(1/(3*Tabela3[[#This Row],[Ref]])))^(12)-1</f>
        <v>2.3270653732359481E-2</v>
      </c>
      <c r="AL144" s="14">
        <f>IF(Tabela3[Cotação]&gt;0,($AS$1/Tabela3[[#This Row],[Cotação]]-MOD($AS$1/Tabela3[[#This Row],[Cotação]],100)),)</f>
        <v>0</v>
      </c>
      <c r="AM144" s="17">
        <f>Tabela3[[#This Row],[Ativos]]*Tabela3[Lucro]</f>
        <v>0</v>
      </c>
      <c r="AN144" s="17">
        <f>SUMPRODUCT(N(Tabela1[Código]=Tabela3[[#This Row],[PAPEL]]),Tabela1[Fechamento])</f>
        <v>0</v>
      </c>
      <c r="AO144" s="17">
        <f>SUMPRODUCT(N(Tabela17[Código]=Tabela3[[#This Row],[PAPEL]]),Tabela17[Fechamento])</f>
        <v>17</v>
      </c>
      <c r="AP144" s="7">
        <f>SUMPRODUCT(N(Tabela176[Código]=Tabela3[[#This Row],[PAPEL]]),Tabela176[Fechamento])</f>
        <v>0</v>
      </c>
      <c r="AQ144" s="7">
        <f>SUMPRODUCT(N(Tabela1768[Código]=Tabela3[[#This Row],[PAPEL]]),Tabela1768[Fechamento])</f>
        <v>0</v>
      </c>
    </row>
    <row r="145" spans="1:43" hidden="1" x14ac:dyDescent="0.2">
      <c r="A145" s="3" t="s">
        <v>40</v>
      </c>
      <c r="B145" s="57" t="s">
        <v>265</v>
      </c>
      <c r="C145" s="14" t="str">
        <f>LEFT(Tabela3[PAPEL],LEN(Tabela3[PAPEL])-(LEN(Tabela3[PAPEL])-4))</f>
        <v>ELEK</v>
      </c>
      <c r="D145" s="16">
        <v>3</v>
      </c>
      <c r="E145" s="5">
        <v>321000000</v>
      </c>
      <c r="F145" s="56">
        <v>14518150</v>
      </c>
      <c r="G145" s="88">
        <v>0.25</v>
      </c>
      <c r="H145" s="16"/>
      <c r="I145" s="18"/>
      <c r="K145" s="89"/>
      <c r="L145" s="89"/>
      <c r="M145" s="5">
        <v>509526000</v>
      </c>
      <c r="N145" s="5">
        <v>33359000</v>
      </c>
      <c r="O145" s="5">
        <f>Tabela3[[#This Row],[Capital Social]]*20%</f>
        <v>64200000</v>
      </c>
      <c r="P145" s="5">
        <f>IF((Tabela3[Lucro Líquido]*5%)&gt;Tabela3[Teto R. Legal],Tabela3[Teto R. Legal],Tabela3[Lucro Líquido]*5%)</f>
        <v>1667950</v>
      </c>
      <c r="Q145" s="5">
        <f>IF(Tabela3[Lucro Líquido]&lt;0,0,Tabela3[Lucro Líquido]-Tabela3[Reserva Legal])</f>
        <v>31691050</v>
      </c>
      <c r="R145" s="5">
        <f>Tabela3[[#This Row],[Lucro Distribuir]]*Tabela3[%Div]</f>
        <v>7922762.5</v>
      </c>
      <c r="S145" s="21">
        <f>SUMPRODUCT(N(Tabela3[Nome]=Tabela3[[#This Row],[Nome]]),Tabela3[Ações])</f>
        <v>31485170</v>
      </c>
      <c r="T145" s="5">
        <f>Tabela3[Capital Social]/Tabela3[Total Ações]</f>
        <v>10.195276061714134</v>
      </c>
      <c r="U145" s="79">
        <f>Tabela3[[#This Row],[Lucro Líquido]]/Tabela3[[#This Row],[Total Ações]]</f>
        <v>1.0595146858028717</v>
      </c>
      <c r="V14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0.25163473787818202</v>
      </c>
      <c r="W14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0.25163473787818202</v>
      </c>
      <c r="Z145" s="5">
        <f>Tabela3[Div Base]*Tabela3[Ações]</f>
        <v>3653270.8697261284</v>
      </c>
      <c r="AA145" s="5">
        <f>SUMPRODUCT(N(Tabela3[Nome]=Tabela3[[#This Row],[Nome]]),Tabela3[Div Base]*Tabela3[Ações])</f>
        <v>7922762.5</v>
      </c>
      <c r="AB145" s="5">
        <f>Tabela3[Patrimônio Líquido]/Tabela3[Total Ações]</f>
        <v>16.183047447417309</v>
      </c>
      <c r="AC145" s="52">
        <f>MAX(Tabela3[[#This Row],[Cotação 1]:[Cotação 4]])</f>
        <v>10</v>
      </c>
      <c r="AD145" s="53">
        <f>Tabela3[Cotação]/Tabela3[VPA]</f>
        <v>0.61793058646663757</v>
      </c>
      <c r="AE145" s="37">
        <f>IF(Tabela3[[#This Row],[Lucro/Ação]]&gt;0,Tabela3[[#This Row],[Cotação]]/(Tabela3[[#This Row],[Lucro/Ação]]/Tabela3[Ref]*4),0)</f>
        <v>7.0787126412662245</v>
      </c>
      <c r="AF145" s="37" t="e">
        <f>IF(Tabela3[Div. Mínimo]=0,0,Tabela3[Lucro Distribuir]*#REF!/Tabela3[Total Ações])</f>
        <v>#REF!</v>
      </c>
      <c r="AG145" s="79">
        <f>Tabela3[Lucro Distribuir]/Tabela3[Total Ações]</f>
        <v>1.0065389515127281</v>
      </c>
      <c r="AH14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0.25163473787818202</v>
      </c>
      <c r="AI145" s="16" t="str">
        <f>IF(AND(Tabela3[% A.A.]&gt;=7%,SUMPRODUCT(N(Tabela3[Nome]=Tabela3[[#This Row],[Nome]]),Tabela3[PL])&gt;0),"Sim","Não")</f>
        <v>Não</v>
      </c>
      <c r="AJ145" s="22">
        <f>IF(Tabela3[Cotação]&gt;0,Tabela3[[#This Row],[Lucro]]/Tabela3[[#This Row],[Cotação]],0)</f>
        <v>2.5163473787818202E-2</v>
      </c>
      <c r="AK145" s="18">
        <f>((1+Tabela3[[#This Row],[% Yield]])^(1/(3*Tabela3[[#This Row],[Ref]])))^(12)-1</f>
        <v>3.3691230886878643E-2</v>
      </c>
      <c r="AL145" s="10">
        <f>IF(Tabela3[Cotação]&gt;0,($AS$1/Tabela3[[#This Row],[Cotação]]-MOD($AS$1/Tabela3[[#This Row],[Cotação]],100)),)</f>
        <v>100</v>
      </c>
      <c r="AM145" s="7">
        <f>Tabela3[[#This Row],[Ativos]]*Tabela3[Lucro]</f>
        <v>25.163473787818202</v>
      </c>
      <c r="AN145" s="47">
        <f>SUMPRODUCT(N(Tabela1[Código]=Tabela3[[#This Row],[PAPEL]]),Tabela1[Fechamento])</f>
        <v>0</v>
      </c>
      <c r="AO145" s="47">
        <f>SUMPRODUCT(N(Tabela17[Código]=Tabela3[[#This Row],[PAPEL]]),Tabela17[Fechamento])</f>
        <v>10</v>
      </c>
      <c r="AP145" s="7">
        <f>SUMPRODUCT(N(Tabela176[Código]=Tabela3[[#This Row],[PAPEL]]),Tabela176[Fechamento])</f>
        <v>0</v>
      </c>
      <c r="AQ145" s="7">
        <f>SUMPRODUCT(N(Tabela1768[Código]=Tabela3[[#This Row],[PAPEL]]),Tabela1768[Fechamento])</f>
        <v>0</v>
      </c>
    </row>
    <row r="146" spans="1:43" hidden="1" x14ac:dyDescent="0.2">
      <c r="A146" s="4" t="s">
        <v>40</v>
      </c>
      <c r="B146" s="57" t="s">
        <v>266</v>
      </c>
      <c r="C146" s="14" t="str">
        <f>LEFT(Tabela3[PAPEL],LEN(Tabela3[PAPEL])-(LEN(Tabela3[PAPEL])-4))</f>
        <v>ELEK</v>
      </c>
      <c r="D146" s="15">
        <v>3</v>
      </c>
      <c r="E146" s="5">
        <v>321000000</v>
      </c>
      <c r="F146" s="8">
        <v>16967020</v>
      </c>
      <c r="G146" s="83">
        <v>0.25</v>
      </c>
      <c r="H146" s="15"/>
      <c r="I146" s="19"/>
      <c r="J146" s="19"/>
      <c r="K146" s="90"/>
      <c r="L146" s="90"/>
      <c r="M146" s="5">
        <v>509526000</v>
      </c>
      <c r="N146" s="5">
        <v>33359000</v>
      </c>
      <c r="O146" s="5">
        <f>Tabela3[[#This Row],[Capital Social]]*20%</f>
        <v>64200000</v>
      </c>
      <c r="P146" s="5">
        <f>IF((Tabela3[Lucro Líquido]*5%)&gt;Tabela3[Teto R. Legal],Tabela3[Teto R. Legal],Tabela3[Lucro Líquido]*5%)</f>
        <v>1667950</v>
      </c>
      <c r="Q146" s="5">
        <f>IF(Tabela3[Lucro Líquido]&lt;0,0,Tabela3[Lucro Líquido]-Tabela3[Reserva Legal])</f>
        <v>31691050</v>
      </c>
      <c r="R146" s="5">
        <f>Tabela3[[#This Row],[Lucro Distribuir]]*Tabela3[%Div]</f>
        <v>7922762.5</v>
      </c>
      <c r="S146" s="21">
        <f>SUMPRODUCT(N(Tabela3[Nome]=Tabela3[[#This Row],[Nome]]),Tabela3[Ações])</f>
        <v>31485170</v>
      </c>
      <c r="T146" s="5">
        <f>Tabela3[Capital Social]/Tabela3[Total Ações]</f>
        <v>10.195276061714134</v>
      </c>
      <c r="U146" s="80">
        <f>Tabela3[[#This Row],[Lucro Líquido]]/Tabela3[[#This Row],[Total Ações]]</f>
        <v>1.0595146858028717</v>
      </c>
      <c r="V14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0.25163473787818202</v>
      </c>
      <c r="W14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0.25163473787818202</v>
      </c>
      <c r="Z146" s="5">
        <f>Tabela3[Div Base]*Tabela3[Ações]</f>
        <v>4269491.6302738721</v>
      </c>
      <c r="AA146" s="5">
        <f>SUMPRODUCT(N(Tabela3[Nome]=Tabela3[[#This Row],[Nome]]),Tabela3[Div Base]*Tabela3[Ações])</f>
        <v>7922762.5</v>
      </c>
      <c r="AB146" s="6">
        <f>Tabela3[Patrimônio Líquido]/Tabela3[Total Ações]</f>
        <v>16.183047447417309</v>
      </c>
      <c r="AC146" s="48">
        <f>MAX(Tabela3[[#This Row],[Cotação 1]:[Cotação 4]])</f>
        <v>9.8000000000000007</v>
      </c>
      <c r="AD146" s="44">
        <f>Tabela3[Cotação]/Tabela3[VPA]</f>
        <v>0.60557197473730484</v>
      </c>
      <c r="AE146" s="40">
        <f>IF(Tabela3[[#This Row],[Lucro/Ação]]&gt;0,Tabela3[[#This Row],[Cotação]]/(Tabela3[[#This Row],[Lucro/Ação]]/Tabela3[Ref]*4),0)</f>
        <v>6.9371383884409008</v>
      </c>
      <c r="AF146" s="40" t="e">
        <f>IF(Tabela3[Div. Mínimo]=0,0,Tabela3[Lucro Distribuir]*#REF!/Tabela3[Total Ações])</f>
        <v>#REF!</v>
      </c>
      <c r="AG146" s="80">
        <f>Tabela3[Lucro Distribuir]/Tabela3[Total Ações]</f>
        <v>1.0065389515127281</v>
      </c>
      <c r="AH14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0.25163473787818202</v>
      </c>
      <c r="AI146" s="15" t="str">
        <f>IF(AND(Tabela3[% A.A.]&gt;=7%,SUMPRODUCT(N(Tabela3[Nome]=Tabela3[[#This Row],[Nome]]),Tabela3[PL])&gt;0),"Sim","Não")</f>
        <v>Não</v>
      </c>
      <c r="AJ146" s="42">
        <f>IF(Tabela3[Cotação]&gt;0,Tabela3[[#This Row],[Lucro]]/Tabela3[[#This Row],[Cotação]],0)</f>
        <v>2.5677014069202246E-2</v>
      </c>
      <c r="AK146" s="19">
        <f>((1+Tabela3[[#This Row],[% Yield]])^(1/(3*Tabela3[[#This Row],[Ref]])))^(12)-1</f>
        <v>3.4381704700769511E-2</v>
      </c>
      <c r="AL146" s="14">
        <f>IF(Tabela3[Cotação]&gt;0,($AS$1/Tabela3[[#This Row],[Cotação]]-MOD($AS$1/Tabela3[[#This Row],[Cotação]],100)),)</f>
        <v>100</v>
      </c>
      <c r="AM146" s="17">
        <f>Tabela3[[#This Row],[Ativos]]*Tabela3[Lucro]</f>
        <v>25.163473787818202</v>
      </c>
      <c r="AN146" s="13">
        <f>SUMPRODUCT(N(Tabela1[Código]=Tabela3[[#This Row],[PAPEL]]),Tabela1[Fechamento])</f>
        <v>0</v>
      </c>
      <c r="AO146" s="13">
        <f>SUMPRODUCT(N(Tabela17[Código]=Tabela3[[#This Row],[PAPEL]]),Tabela17[Fechamento])</f>
        <v>9.8000000000000007</v>
      </c>
      <c r="AP146" s="7">
        <f>SUMPRODUCT(N(Tabela176[Código]=Tabela3[[#This Row],[PAPEL]]),Tabela176[Fechamento])</f>
        <v>0</v>
      </c>
      <c r="AQ146" s="7">
        <f>SUMPRODUCT(N(Tabela1768[Código]=Tabela3[[#This Row],[PAPEL]]),Tabela1768[Fechamento])</f>
        <v>0</v>
      </c>
    </row>
    <row r="147" spans="1:43" hidden="1" x14ac:dyDescent="0.2">
      <c r="A147" s="4" t="s">
        <v>12</v>
      </c>
      <c r="B147" s="57" t="s">
        <v>2</v>
      </c>
      <c r="C147" s="15" t="str">
        <f>LEFT(Tabela3[PAPEL],LEN(Tabela3[PAPEL])-(LEN(Tabela3[PAPEL])-4))</f>
        <v>ELET</v>
      </c>
      <c r="D147" s="15">
        <v>3</v>
      </c>
      <c r="E147" s="6">
        <v>31305331463.740002</v>
      </c>
      <c r="F147" s="8">
        <v>1087050297</v>
      </c>
      <c r="G147" s="88">
        <v>0.25</v>
      </c>
      <c r="H147" s="15"/>
      <c r="I147" s="19"/>
      <c r="J147" s="19"/>
      <c r="K147" s="90"/>
      <c r="L147" s="90"/>
      <c r="M147" s="92">
        <v>65493746000</v>
      </c>
      <c r="N147" s="92">
        <v>-787071000</v>
      </c>
      <c r="O147" s="6">
        <f>Tabela3[[#This Row],[Capital Social]]*20%</f>
        <v>6261066292.7480011</v>
      </c>
      <c r="P147" s="6">
        <f>IF((Tabela3[Lucro Líquido]*5%)&gt;Tabela3[Teto R. Legal],Tabela3[Teto R. Legal],Tabela3[Lucro Líquido]*5%)</f>
        <v>-39353550</v>
      </c>
      <c r="Q147" s="92">
        <f>IF(Tabela3[Lucro Líquido]&lt;0,0,Tabela3[Lucro Líquido]-Tabela3[Reserva Legal])</f>
        <v>0</v>
      </c>
      <c r="R147" s="92">
        <f>Tabela3[[#This Row],[Lucro Distribuir]]*Tabela3[%Div]</f>
        <v>0</v>
      </c>
      <c r="S147" s="56">
        <f>SUMPRODUCT(N(Tabela3[Nome]=Tabela3[[#This Row],[Nome]]),Tabela3[Ações])</f>
        <v>1352634100</v>
      </c>
      <c r="T147" s="6">
        <f>Tabela3[Capital Social]/Tabela3[Total Ações]</f>
        <v>23.143976234031069</v>
      </c>
      <c r="U147" s="80">
        <f>Tabela3[[#This Row],[Lucro Líquido]]/Tabela3[[#This Row],[Total Ações]]</f>
        <v>-0.58188019953067871</v>
      </c>
      <c r="V14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4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4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47" s="6">
        <f>Tabela3[Div Base]*Tabela3[Ações]</f>
        <v>0</v>
      </c>
      <c r="AA147" s="6">
        <f>SUMPRODUCT(N(Tabela3[Nome]=Tabela3[[#This Row],[Nome]]),Tabela3[Div Base]*Tabela3[Ações])</f>
        <v>368867919.74630135</v>
      </c>
      <c r="AB147" s="92">
        <f>Tabela3[Patrimônio Líquido]/Tabela3[Total Ações]</f>
        <v>48.419410689113931</v>
      </c>
      <c r="AC147" s="11">
        <f>MAX(Tabela3[[#This Row],[Cotação 1]:[Cotação 4]])</f>
        <v>5.03</v>
      </c>
      <c r="AD147" s="9">
        <f>Tabela3[Cotação]/Tabela3[VPA]</f>
        <v>0.1038839574545026</v>
      </c>
      <c r="AE147" s="36">
        <f>IF(Tabela3[[#This Row],[Lucro/Ação]]&gt;0,Tabela3[[#This Row],[Cotação]]/(Tabela3[[#This Row],[Lucro/Ação]]/Tabela3[Ref]*4),0)</f>
        <v>0</v>
      </c>
      <c r="AF147" s="36">
        <f>IF(Tabela3[Div. Mínimo]=0,0,Tabela3[Lucro Distribuir]*#REF!/Tabela3[Total Ações])</f>
        <v>0</v>
      </c>
      <c r="AG147" s="80">
        <f>Tabela3[Lucro Distribuir]/Tabela3[Total Ações]</f>
        <v>0</v>
      </c>
      <c r="AH14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47" s="14" t="str">
        <f>IF(AND(Tabela3[% A.A.]&gt;=7%,SUMPRODUCT(N(Tabela3[Nome]=Tabela3[[#This Row],[Nome]]),Tabela3[PL])&gt;0),"Sim","Não")</f>
        <v>Não</v>
      </c>
      <c r="AJ147" s="19">
        <f>IF(Tabela3[Cotação]&gt;0,Tabela3[[#This Row],[Lucro]]/Tabela3[[#This Row],[Cotação]],0)</f>
        <v>0</v>
      </c>
      <c r="AK147" s="19">
        <f>((1+Tabela3[[#This Row],[% Yield]])^(1/(3*Tabela3[[#This Row],[Ref]])))^(12)-1</f>
        <v>0</v>
      </c>
      <c r="AL147" s="10">
        <f>IF(Tabela3[Cotação]&gt;0,($AS$1/Tabela3[[#This Row],[Cotação]]-MOD($AS$1/Tabela3[[#This Row],[Cotação]],100)),)</f>
        <v>100</v>
      </c>
      <c r="AM147" s="5">
        <f>Tabela3[[#This Row],[Ativos]]*Tabela3[Lucro]</f>
        <v>0</v>
      </c>
      <c r="AN147" s="5">
        <f>SUMPRODUCT(N(Tabela1[Código]=Tabela3[[#This Row],[PAPEL]]),Tabela1[Fechamento])</f>
        <v>5.03</v>
      </c>
      <c r="AO147" s="5">
        <f>SUMPRODUCT(N(Tabela17[Código]=Tabela3[[#This Row],[PAPEL]]),Tabela17[Fechamento])</f>
        <v>0</v>
      </c>
      <c r="AP147" s="7">
        <f>SUMPRODUCT(N(Tabela176[Código]=Tabela3[[#This Row],[PAPEL]]),Tabela176[Fechamento])</f>
        <v>0</v>
      </c>
      <c r="AQ147" s="7">
        <f>SUMPRODUCT(N(Tabela1768[Código]=Tabela3[[#This Row],[PAPEL]]),Tabela1768[Fechamento])</f>
        <v>0</v>
      </c>
    </row>
    <row r="148" spans="1:43" hidden="1" x14ac:dyDescent="0.2">
      <c r="A148" s="4" t="s">
        <v>12</v>
      </c>
      <c r="B148" s="57" t="s">
        <v>480</v>
      </c>
      <c r="C148" s="15" t="str">
        <f>LEFT(Tabela3[PAPEL],LEN(Tabela3[PAPEL])-(LEN(Tabela3[PAPEL])-4))</f>
        <v>ELET</v>
      </c>
      <c r="D148" s="15">
        <v>3</v>
      </c>
      <c r="E148" s="6">
        <v>31305331463.740002</v>
      </c>
      <c r="F148" s="8">
        <v>146920</v>
      </c>
      <c r="G148" s="88">
        <v>0.25</v>
      </c>
      <c r="H148" s="15"/>
      <c r="I148" s="19">
        <v>0.08</v>
      </c>
      <c r="J148" s="19"/>
      <c r="K148" s="90"/>
      <c r="L148" s="90"/>
      <c r="M148" s="92">
        <v>65493746000</v>
      </c>
      <c r="N148" s="92">
        <v>-787071000</v>
      </c>
      <c r="O148" s="6">
        <f>Tabela3[[#This Row],[Capital Social]]*20%</f>
        <v>6261066292.7480011</v>
      </c>
      <c r="P148" s="6">
        <f>IF((Tabela3[Lucro Líquido]*5%)&gt;Tabela3[Teto R. Legal],Tabela3[Teto R. Legal],Tabela3[Lucro Líquido]*5%)</f>
        <v>-39353550</v>
      </c>
      <c r="Q148" s="92">
        <f>IF(Tabela3[Lucro Líquido]&lt;0,0,Tabela3[Lucro Líquido]-Tabela3[Reserva Legal])</f>
        <v>0</v>
      </c>
      <c r="R148" s="92">
        <f>Tabela3[[#This Row],[Lucro Distribuir]]*Tabela3[%Div]</f>
        <v>0</v>
      </c>
      <c r="S148" s="56">
        <f>SUMPRODUCT(N(Tabela3[Nome]=Tabela3[[#This Row],[Nome]]),Tabela3[Ações])</f>
        <v>1352634100</v>
      </c>
      <c r="T148" s="6">
        <f>Tabela3[Capital Social]/Tabela3[Total Ações]</f>
        <v>23.143976234031069</v>
      </c>
      <c r="U148" s="80">
        <f>Tabela3[[#This Row],[Lucro Líquido]]/Tabela3[[#This Row],[Total Ações]]</f>
        <v>-0.58188019953067871</v>
      </c>
      <c r="V14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4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1.8515180987224855</v>
      </c>
      <c r="Y14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1.8515180987224855</v>
      </c>
      <c r="Z148" s="6">
        <f>Tabela3[Div Base]*Tabela3[Ações]</f>
        <v>272025.03906430758</v>
      </c>
      <c r="AA148" s="6">
        <f>SUMPRODUCT(N(Tabela3[Nome]=Tabela3[[#This Row],[Nome]]),Tabela3[Div Base]*Tabela3[Ações])</f>
        <v>368867919.74630135</v>
      </c>
      <c r="AB148" s="92">
        <f>Tabela3[Patrimônio Líquido]/Tabela3[Total Ações]</f>
        <v>48.419410689113931</v>
      </c>
      <c r="AC148" s="11">
        <f>MAX(Tabela3[[#This Row],[Cotação 1]:[Cotação 4]])</f>
        <v>23.01</v>
      </c>
      <c r="AD148" s="9">
        <f>Tabela3[Cotação]/Tabela3[VPA]</f>
        <v>0.47522263638729723</v>
      </c>
      <c r="AE148" s="36">
        <f>IF(Tabela3[[#This Row],[Lucro/Ação]]&gt;0,Tabela3[[#This Row],[Cotação]]/(Tabela3[[#This Row],[Lucro/Ação]]/Tabela3[Ref]*4),0)</f>
        <v>0</v>
      </c>
      <c r="AF148" s="36">
        <f>IF(Tabela3[Div. Mínimo]=0,0,Tabela3[Lucro Distribuir]*#REF!/Tabela3[Total Ações])</f>
        <v>0</v>
      </c>
      <c r="AG148" s="80">
        <f>Tabela3[Lucro Distribuir]/Tabela3[Total Ações]</f>
        <v>0</v>
      </c>
      <c r="AH14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1.8515180987224855</v>
      </c>
      <c r="AI148" s="14" t="str">
        <f>IF(AND(Tabela3[% A.A.]&gt;=7%,SUMPRODUCT(N(Tabela3[Nome]=Tabela3[[#This Row],[Nome]]),Tabela3[PL])&gt;0),"Sim","Não")</f>
        <v>Não</v>
      </c>
      <c r="AJ148" s="19">
        <f>IF(Tabela3[Cotação]&gt;0,Tabela3[[#This Row],[Lucro]]/Tabela3[[#This Row],[Cotação]],0)</f>
        <v>8.0465801769773374E-2</v>
      </c>
      <c r="AK148" s="19">
        <f>((1+Tabela3[[#This Row],[% Yield]])^(1/(3*Tabela3[[#This Row],[Ref]])))^(12)-1</f>
        <v>0.10870166710430107</v>
      </c>
      <c r="AL148" s="10">
        <f>IF(Tabela3[Cotação]&gt;0,($AS$1/Tabela3[[#This Row],[Cotação]]-MOD($AS$1/Tabela3[[#This Row],[Cotação]],100)),)</f>
        <v>0</v>
      </c>
      <c r="AM148" s="5">
        <f>Tabela3[[#This Row],[Ativos]]*Tabela3[Lucro]</f>
        <v>0</v>
      </c>
      <c r="AN148" s="5">
        <f>SUMPRODUCT(N(Tabela1[Código]=Tabela3[[#This Row],[PAPEL]]),Tabela1[Fechamento])</f>
        <v>0</v>
      </c>
      <c r="AO148" s="5">
        <f>SUMPRODUCT(N(Tabela17[Código]=Tabela3[[#This Row],[PAPEL]]),Tabela17[Fechamento])</f>
        <v>23.01</v>
      </c>
      <c r="AP148" s="7">
        <f>SUMPRODUCT(N(Tabela176[Código]=Tabela3[[#This Row],[PAPEL]]),Tabela176[Fechamento])</f>
        <v>0</v>
      </c>
      <c r="AQ148" s="7">
        <f>SUMPRODUCT(N(Tabela1768[Código]=Tabela3[[#This Row],[PAPEL]]),Tabela1768[Fechamento])</f>
        <v>0</v>
      </c>
    </row>
    <row r="149" spans="1:43" hidden="1" x14ac:dyDescent="0.2">
      <c r="A149" s="4" t="s">
        <v>12</v>
      </c>
      <c r="B149" s="57" t="s">
        <v>27</v>
      </c>
      <c r="C149" s="15" t="str">
        <f>LEFT(Tabela3[PAPEL],LEN(Tabela3[PAPEL])-(LEN(Tabela3[PAPEL])-4))</f>
        <v>ELET</v>
      </c>
      <c r="D149" s="15">
        <v>3</v>
      </c>
      <c r="E149" s="6">
        <v>31305331463.740002</v>
      </c>
      <c r="F149" s="8">
        <v>265436883</v>
      </c>
      <c r="G149" s="83">
        <v>0.25</v>
      </c>
      <c r="H149" s="15"/>
      <c r="I149" s="19">
        <v>0.06</v>
      </c>
      <c r="J149" s="19"/>
      <c r="K149" s="90"/>
      <c r="L149" s="90"/>
      <c r="M149" s="92">
        <v>65493746000</v>
      </c>
      <c r="N149" s="92">
        <v>-787071000</v>
      </c>
      <c r="O149" s="6">
        <f>Tabela3[[#This Row],[Capital Social]]*20%</f>
        <v>6261066292.7480011</v>
      </c>
      <c r="P149" s="6">
        <f>IF((Tabela3[Lucro Líquido]*5%)&gt;Tabela3[Teto R. Legal],Tabela3[Teto R. Legal],Tabela3[Lucro Líquido]*5%)</f>
        <v>-39353550</v>
      </c>
      <c r="Q149" s="92">
        <f>IF(Tabela3[Lucro Líquido]&lt;0,0,Tabela3[Lucro Líquido]-Tabela3[Reserva Legal])</f>
        <v>0</v>
      </c>
      <c r="R149" s="92">
        <f>Tabela3[[#This Row],[Lucro Distribuir]]*Tabela3[%Div]</f>
        <v>0</v>
      </c>
      <c r="S149" s="56">
        <f>SUMPRODUCT(N(Tabela3[Nome]=Tabela3[[#This Row],[Nome]]),Tabela3[Ações])</f>
        <v>1352634100</v>
      </c>
      <c r="T149" s="6">
        <f>Tabela3[Capital Social]/Tabela3[Total Ações]</f>
        <v>23.143976234031069</v>
      </c>
      <c r="U149" s="80">
        <f>Tabela3[[#This Row],[Lucro Líquido]]/Tabela3[[#This Row],[Total Ações]]</f>
        <v>-0.58188019953067871</v>
      </c>
      <c r="V14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4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4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1.3886385740418639</v>
      </c>
      <c r="Y14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1.3886385740418639</v>
      </c>
      <c r="Z149" s="6">
        <f>Tabela3[Div Base]*Tabela3[Ações]</f>
        <v>368595894.70723706</v>
      </c>
      <c r="AA149" s="6">
        <f>SUMPRODUCT(N(Tabela3[Nome]=Tabela3[[#This Row],[Nome]]),Tabela3[Div Base]*Tabela3[Ações])</f>
        <v>368867919.74630135</v>
      </c>
      <c r="AB149" s="93">
        <f>Tabela3[Patrimônio Líquido]/Tabela3[Total Ações]</f>
        <v>48.419410689113931</v>
      </c>
      <c r="AC149" s="29">
        <f>MAX(Tabela3[[#This Row],[Cotação 1]:[Cotação 4]])</f>
        <v>9.31</v>
      </c>
      <c r="AD149" s="30">
        <f>Tabela3[Cotação]/Tabela3[VPA]</f>
        <v>0.19227825922493424</v>
      </c>
      <c r="AE149" s="35">
        <f>IF(Tabela3[[#This Row],[Lucro/Ação]]&gt;0,Tabela3[[#This Row],[Cotação]]/(Tabela3[[#This Row],[Lucro/Ação]]/Tabela3[Ref]*4),0)</f>
        <v>0</v>
      </c>
      <c r="AF149" s="35">
        <f>IF(Tabela3[Div. Mínimo]=0,0,Tabela3[Lucro Distribuir]*#REF!/Tabela3[Total Ações])</f>
        <v>0</v>
      </c>
      <c r="AG149" s="80">
        <f>Tabela3[Lucro Distribuir]/Tabela3[Total Ações]</f>
        <v>0</v>
      </c>
      <c r="AH14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1.3886385740418639</v>
      </c>
      <c r="AI149" s="25" t="str">
        <f>IF(AND(Tabela3[% A.A.]&gt;=7%,SUMPRODUCT(N(Tabela3[Nome]=Tabela3[[#This Row],[Nome]]),Tabela3[PL])&gt;0),"Sim","Não")</f>
        <v>Não</v>
      </c>
      <c r="AJ149" s="27">
        <f>IF(Tabela3[Cotação]&gt;0,Tabela3[[#This Row],[Lucro]]/Tabela3[[#This Row],[Cotação]],0)</f>
        <v>0.14915559334499073</v>
      </c>
      <c r="AK149" s="49">
        <f>((1+Tabela3[[#This Row],[% Yield]])^(1/(3*Tabela3[[#This Row],[Ref]])))^(12)-1</f>
        <v>0.20366356248242656</v>
      </c>
      <c r="AL149" s="10">
        <f>IF(Tabela3[Cotação]&gt;0,($AS$1/Tabela3[[#This Row],[Cotação]]-MOD($AS$1/Tabela3[[#This Row],[Cotação]],100)),)</f>
        <v>100</v>
      </c>
      <c r="AM149" s="5">
        <f>Tabela3[[#This Row],[Ativos]]*Tabela3[Lucro]</f>
        <v>138.86385740418638</v>
      </c>
      <c r="AN149" s="5">
        <f>SUMPRODUCT(N(Tabela1[Código]=Tabela3[[#This Row],[PAPEL]]),Tabela1[Fechamento])</f>
        <v>9.31</v>
      </c>
      <c r="AO149" s="5">
        <f>SUMPRODUCT(N(Tabela17[Código]=Tabela3[[#This Row],[PAPEL]]),Tabela17[Fechamento])</f>
        <v>0</v>
      </c>
      <c r="AP149" s="7">
        <f>SUMPRODUCT(N(Tabela176[Código]=Tabela3[[#This Row],[PAPEL]]),Tabela176[Fechamento])</f>
        <v>0</v>
      </c>
      <c r="AQ149" s="7">
        <f>SUMPRODUCT(N(Tabela1768[Código]=Tabela3[[#This Row],[PAPEL]]),Tabela1768[Fechamento])</f>
        <v>0</v>
      </c>
    </row>
    <row r="150" spans="1:43" hidden="1" x14ac:dyDescent="0.2">
      <c r="A150" s="4" t="s">
        <v>12</v>
      </c>
      <c r="B150" s="57" t="s">
        <v>170</v>
      </c>
      <c r="C150" s="86" t="str">
        <f>LEFT(Tabela3[PAPEL],LEN(Tabela3[PAPEL])-(LEN(Tabela3[PAPEL])-4))</f>
        <v>ELPL</v>
      </c>
      <c r="D150" s="15">
        <v>3</v>
      </c>
      <c r="E150" s="5">
        <v>1257629316.47</v>
      </c>
      <c r="F150" s="8">
        <v>66604817</v>
      </c>
      <c r="G150" s="88">
        <v>0.25</v>
      </c>
      <c r="H150" s="15"/>
      <c r="I150" s="19"/>
      <c r="J150" s="19"/>
      <c r="K150" s="90"/>
      <c r="L150" s="90"/>
      <c r="M150" s="92">
        <v>2577741000</v>
      </c>
      <c r="N150" s="92">
        <v>271448000</v>
      </c>
      <c r="O150" s="13">
        <f>Tabela3[[#This Row],[Capital Social]]*20%</f>
        <v>251525863.29400003</v>
      </c>
      <c r="P150" s="13">
        <f>IF((Tabela3[Lucro Líquido]*5%)&gt;Tabela3[Teto R. Legal],Tabela3[Teto R. Legal],Tabela3[Lucro Líquido]*5%)</f>
        <v>13572400</v>
      </c>
      <c r="Q150" s="92">
        <f>IF(Tabela3[Lucro Líquido]&lt;0,0,Tabela3[Lucro Líquido]-Tabela3[Reserva Legal])</f>
        <v>257875600</v>
      </c>
      <c r="R150" s="92">
        <f>Tabela3[[#This Row],[Lucro Distribuir]]*Tabela3[%Div]</f>
        <v>64468900</v>
      </c>
      <c r="S150" s="56">
        <f>SUMPRODUCT(N(Tabela3[Nome]=Tabela3[[#This Row],[Nome]]),Tabela3[Ações])</f>
        <v>167343887</v>
      </c>
      <c r="T150" s="5">
        <f>Tabela3[Capital Social]/Tabela3[Total Ações]</f>
        <v>7.5152390626016716</v>
      </c>
      <c r="U150" s="80">
        <f>Tabela3[[#This Row],[Lucro Líquido]]/Tabela3[[#This Row],[Total Ações]]</f>
        <v>1.6220968979882724</v>
      </c>
      <c r="V15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0.37326148263522085</v>
      </c>
      <c r="W15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0.37326148263522085</v>
      </c>
      <c r="Z150" s="13">
        <f>Tabela3[Div Base]*Tabela3[Ações]</f>
        <v>24861012.744067561</v>
      </c>
      <c r="AA150" s="13">
        <f>SUMPRODUCT(N(Tabela3[Nome]=Tabela3[[#This Row],[Nome]]),Tabela3[Div Base]*Tabela3[Ações])</f>
        <v>66223228.890972093</v>
      </c>
      <c r="AB150" s="92">
        <f>Tabela3[Patrimônio Líquido]/Tabela3[Total Ações]</f>
        <v>15.403855176377013</v>
      </c>
      <c r="AC150" s="48">
        <f>MAX(Tabela3[[#This Row],[Cotação 1]:[Cotação 4]])</f>
        <v>10.99</v>
      </c>
      <c r="AD150" s="44">
        <f>Tabela3[Cotação]/Tabela3[VPA]</f>
        <v>0.71345775938311884</v>
      </c>
      <c r="AE150" s="40">
        <f>IF(Tabela3[[#This Row],[Lucro/Ação]]&gt;0,Tabela3[[#This Row],[Cotação]]/(Tabela3[[#This Row],[Lucro/Ação]]/Tabela3[Ref]*4),0)</f>
        <v>5.0813857114346028</v>
      </c>
      <c r="AF150" s="77" t="e">
        <f>IF(Tabela3[Div. Mínimo]=0,0,Tabela3[Lucro Distribuir]*#REF!/Tabela3[Total Ações])</f>
        <v>#REF!</v>
      </c>
      <c r="AG150" s="80">
        <f>Tabela3[Lucro Distribuir]/Tabela3[Total Ações]</f>
        <v>1.5409920530888588</v>
      </c>
      <c r="AH15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0.37326148263522085</v>
      </c>
      <c r="AI150" s="14" t="str">
        <f>IF(AND(Tabela3[% A.A.]&gt;=7%,SUMPRODUCT(N(Tabela3[Nome]=Tabela3[[#This Row],[Nome]]),Tabela3[PL])&gt;0),"Sim","Não")</f>
        <v>Não</v>
      </c>
      <c r="AJ150" s="42">
        <f>IF(Tabela3[Cotação]&gt;0,Tabela3[[#This Row],[Lucro]]/Tabela3[[#This Row],[Cotação]],0)</f>
        <v>3.3963738183368591E-2</v>
      </c>
      <c r="AK150" s="19">
        <f>((1+Tabela3[[#This Row],[% Yield]])^(1/(3*Tabela3[[#This Row],[Ref]])))^(12)-1</f>
        <v>4.5539417628147616E-2</v>
      </c>
      <c r="AL150" s="14">
        <f>IF(Tabela3[Cotação]&gt;0,($AS$1/Tabela3[[#This Row],[Cotação]]-MOD($AS$1/Tabela3[[#This Row],[Cotação]],100)),)</f>
        <v>0</v>
      </c>
      <c r="AM150" s="17">
        <f>Tabela3[[#This Row],[Ativos]]*Tabela3[Lucro]</f>
        <v>0</v>
      </c>
      <c r="AN150" s="17">
        <f>SUMPRODUCT(N(Tabela1[Código]=Tabela3[[#This Row],[PAPEL]]),Tabela1[Fechamento])</f>
        <v>10.99</v>
      </c>
      <c r="AO150" s="17">
        <f>SUMPRODUCT(N(Tabela17[Código]=Tabela3[[#This Row],[PAPEL]]),Tabela17[Fechamento])</f>
        <v>0</v>
      </c>
      <c r="AP150" s="7">
        <f>SUMPRODUCT(N(Tabela176[Código]=Tabela3[[#This Row],[PAPEL]]),Tabela176[Fechamento])</f>
        <v>0</v>
      </c>
      <c r="AQ150" s="7">
        <f>SUMPRODUCT(N(Tabela1768[Código]=Tabela3[[#This Row],[PAPEL]]),Tabela1768[Fechamento])</f>
        <v>0</v>
      </c>
    </row>
    <row r="151" spans="1:43" hidden="1" x14ac:dyDescent="0.2">
      <c r="A151" s="4" t="s">
        <v>12</v>
      </c>
      <c r="B151" s="57" t="s">
        <v>1</v>
      </c>
      <c r="C151" s="84" t="str">
        <f>LEFT(Tabela3[PAPEL],LEN(Tabela3[PAPEL])-(LEN(Tabela3[PAPEL])-4))</f>
        <v>ELPL</v>
      </c>
      <c r="D151" s="16">
        <v>3</v>
      </c>
      <c r="E151" s="5">
        <v>1257629316.47</v>
      </c>
      <c r="F151" s="56">
        <v>100739070</v>
      </c>
      <c r="G151" s="83">
        <v>0.25</v>
      </c>
      <c r="H151" s="18"/>
      <c r="I151" s="18"/>
      <c r="J151" s="18">
        <v>0.1</v>
      </c>
      <c r="K151" s="89"/>
      <c r="L151" s="89"/>
      <c r="M151" s="92">
        <v>2577741000</v>
      </c>
      <c r="N151" s="92">
        <v>271448000</v>
      </c>
      <c r="O151" s="6">
        <f>Tabela3[[#This Row],[Capital Social]]*20%</f>
        <v>251525863.29400003</v>
      </c>
      <c r="P151" s="6">
        <f>IF((Tabela3[Lucro Líquido]*5%)&gt;Tabela3[Teto R. Legal],Tabela3[Teto R. Legal],Tabela3[Lucro Líquido]*5%)</f>
        <v>13572400</v>
      </c>
      <c r="Q151" s="92">
        <f>IF(Tabela3[Lucro Líquido]&lt;0,0,Tabela3[Lucro Líquido]-Tabela3[Reserva Legal])</f>
        <v>257875600</v>
      </c>
      <c r="R151" s="92">
        <f>Tabela3[[#This Row],[Lucro Distribuir]]*Tabela3[%Div]</f>
        <v>64468900</v>
      </c>
      <c r="S151" s="56">
        <f>SUMPRODUCT(N(Tabela3[Nome]=Tabela3[[#This Row],[Nome]]),Tabela3[Ações])</f>
        <v>167343887</v>
      </c>
      <c r="T151" s="6">
        <f>Tabela3[Capital Social]/Tabela3[Total Ações]</f>
        <v>7.5152390626016716</v>
      </c>
      <c r="U151" s="80">
        <f>Tabela3[[#This Row],[Lucro Líquido]]/Tabela3[[#This Row],[Total Ações]]</f>
        <v>1.6220968979882724</v>
      </c>
      <c r="V15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0.41058763146120503</v>
      </c>
      <c r="W15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0.41058763146120503</v>
      </c>
      <c r="Z151" s="6">
        <f>Tabela3[Div Base]*Tabela3[Ações]</f>
        <v>41362216.146904536</v>
      </c>
      <c r="AA151" s="6">
        <f>SUMPRODUCT(N(Tabela3[Nome]=Tabela3[[#This Row],[Nome]]),Tabela3[Div Base]*Tabela3[Ações])</f>
        <v>66223228.890972093</v>
      </c>
      <c r="AB151" s="92">
        <f>Tabela3[Patrimônio Líquido]/Tabela3[Total Ações]</f>
        <v>15.403855176377013</v>
      </c>
      <c r="AC151" s="11">
        <f>MAX(Tabela3[[#This Row],[Cotação 1]:[Cotação 4]])</f>
        <v>8.74</v>
      </c>
      <c r="AD151" s="9">
        <f>Tabela3[Cotação]/Tabela3[VPA]</f>
        <v>0.56739042920914096</v>
      </c>
      <c r="AE151" s="36">
        <f>IF(Tabela3[[#This Row],[Lucro/Ação]]&gt;0,Tabela3[[#This Row],[Cotação]]/(Tabela3[[#This Row],[Lucro/Ação]]/Tabela3[Ref]*4),0)</f>
        <v>4.0410656158269731</v>
      </c>
      <c r="AF151" s="77" t="e">
        <f>IF(Tabela3[Div. Mínimo]=0,0,Tabela3[Lucro Distribuir]*#REF!/Tabela3[Total Ações])</f>
        <v>#REF!</v>
      </c>
      <c r="AG151" s="80">
        <f>Tabela3[Lucro Distribuir]/Tabela3[Total Ações]</f>
        <v>1.5409920530888588</v>
      </c>
      <c r="AH15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0.41058763146120503</v>
      </c>
      <c r="AI151" s="14" t="str">
        <f>IF(AND(Tabela3[% A.A.]&gt;=7%,SUMPRODUCT(N(Tabela3[Nome]=Tabela3[[#This Row],[Nome]]),Tabela3[PL])&gt;0),"Sim","Não")</f>
        <v>Não</v>
      </c>
      <c r="AJ151" s="19">
        <f>IF(Tabela3[Cotação]&gt;0,Tabela3[[#This Row],[Lucro]]/Tabela3[[#This Row],[Cotação]],0)</f>
        <v>4.6977989869703092E-2</v>
      </c>
      <c r="AK151" s="19">
        <f>((1+Tabela3[[#This Row],[% Yield]])^(1/(3*Tabela3[[#This Row],[Ref]])))^(12)-1</f>
        <v>6.3122726969549792E-2</v>
      </c>
      <c r="AL151" s="10">
        <f>IF(Tabela3[Cotação]&gt;0,($AS$1/Tabela3[[#This Row],[Cotação]]-MOD($AS$1/Tabela3[[#This Row],[Cotação]],100)),)</f>
        <v>100</v>
      </c>
      <c r="AM151" s="5">
        <f>Tabela3[[#This Row],[Ativos]]*Tabela3[Lucro]</f>
        <v>41.058763146120505</v>
      </c>
      <c r="AN151" s="5">
        <f>SUMPRODUCT(N(Tabela1[Código]=Tabela3[[#This Row],[PAPEL]]),Tabela1[Fechamento])</f>
        <v>8.74</v>
      </c>
      <c r="AO151" s="5">
        <f>SUMPRODUCT(N(Tabela17[Código]=Tabela3[[#This Row],[PAPEL]]),Tabela17[Fechamento])</f>
        <v>0</v>
      </c>
      <c r="AP151" s="7">
        <f>SUMPRODUCT(N(Tabela176[Código]=Tabela3[[#This Row],[PAPEL]]),Tabela176[Fechamento])</f>
        <v>0</v>
      </c>
      <c r="AQ151" s="7">
        <f>SUMPRODUCT(N(Tabela1768[Código]=Tabela3[[#This Row],[PAPEL]]),Tabela1768[Fechamento])</f>
        <v>0</v>
      </c>
    </row>
    <row r="152" spans="1:43" hidden="1" x14ac:dyDescent="0.2">
      <c r="A152" s="4" t="s">
        <v>12</v>
      </c>
      <c r="B152" s="57" t="s">
        <v>516</v>
      </c>
      <c r="C152" s="84" t="str">
        <f>LEFT(Tabela3[PAPEL],LEN(Tabela3[PAPEL])-(LEN(Tabela3[PAPEL])-4))</f>
        <v>EMAE</v>
      </c>
      <c r="D152" s="16">
        <v>3</v>
      </c>
      <c r="E152" s="5">
        <v>285411308.35000002</v>
      </c>
      <c r="F152" s="56">
        <v>14705370</v>
      </c>
      <c r="G152" s="83">
        <v>0.25</v>
      </c>
      <c r="H152" s="18"/>
      <c r="I152" s="18"/>
      <c r="K152" s="89"/>
      <c r="L152" s="89"/>
      <c r="M152" s="92">
        <v>672379000</v>
      </c>
      <c r="N152" s="92">
        <v>25747000</v>
      </c>
      <c r="O152" s="6">
        <f>Tabela3[[#This Row],[Capital Social]]*20%</f>
        <v>57082261.670000009</v>
      </c>
      <c r="P152" s="6">
        <f>IF((Tabela3[Lucro Líquido]*5%)&gt;Tabela3[Teto R. Legal],Tabela3[Teto R. Legal],Tabela3[Lucro Líquido]*5%)</f>
        <v>1287350</v>
      </c>
      <c r="Q152" s="92">
        <f>IF(Tabela3[Lucro Líquido]&lt;0,0,Tabela3[Lucro Líquido]-Tabela3[Reserva Legal])</f>
        <v>24459650</v>
      </c>
      <c r="R152" s="92">
        <f>Tabela3[[#This Row],[Lucro Distribuir]]*Tabela3[%Div]</f>
        <v>6114912.5</v>
      </c>
      <c r="S152" s="56">
        <f>SUMPRODUCT(N(Tabela3[Nome]=Tabela3[[#This Row],[Nome]]),Tabela3[Ações])</f>
        <v>36947084</v>
      </c>
      <c r="T152" s="6">
        <f>Tabela3[Capital Social]/Tabela3[Total Ações]</f>
        <v>7.7248669570242683</v>
      </c>
      <c r="U152" s="80">
        <f>Tabela3[[#This Row],[Lucro Líquido]]/Tabela3[[#This Row],[Total Ações]]</f>
        <v>0.69686148979984452</v>
      </c>
      <c r="V15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0.16035512625458417</v>
      </c>
      <c r="W15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0.16035512625458417</v>
      </c>
      <c r="Z152" s="6">
        <f>Tabela3[Div Base]*Tabela3[Ações]</f>
        <v>2358081.4629703746</v>
      </c>
      <c r="AA152" s="6">
        <f>SUMPRODUCT(N(Tabela3[Nome]=Tabela3[[#This Row],[Nome]]),Tabela3[Div Base]*Tabela3[Ações])</f>
        <v>6281311.6105919778</v>
      </c>
      <c r="AB152" s="92">
        <f>Tabela3[Patrimônio Líquido]/Tabela3[Total Ações]</f>
        <v>18.198432114426133</v>
      </c>
      <c r="AC152" s="11">
        <f>MAX(Tabela3[[#This Row],[Cotação 1]:[Cotação 4]])</f>
        <v>0</v>
      </c>
      <c r="AD152" s="9">
        <f>Tabela3[Cotação]/Tabela3[VPA]</f>
        <v>0</v>
      </c>
      <c r="AE152" s="36">
        <f>IF(Tabela3[[#This Row],[Lucro/Ação]]&gt;0,Tabela3[[#This Row],[Cotação]]/(Tabela3[[#This Row],[Lucro/Ação]]/Tabela3[Ref]*4),0)</f>
        <v>0</v>
      </c>
      <c r="AF152" s="77" t="e">
        <f>IF(Tabela3[Div. Mínimo]=0,0,Tabela3[Lucro Distribuir]*#REF!/Tabela3[Total Ações])</f>
        <v>#REF!</v>
      </c>
      <c r="AG152" s="80">
        <f>Tabela3[Lucro Distribuir]/Tabela3[Total Ações]</f>
        <v>0.66201841530985228</v>
      </c>
      <c r="AH15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0.16035512625458417</v>
      </c>
      <c r="AI152" s="14" t="str">
        <f>IF(AND(Tabela3[% A.A.]&gt;=7%,SUMPRODUCT(N(Tabela3[Nome]=Tabela3[[#This Row],[Nome]]),Tabela3[PL])&gt;0),"Sim","Não")</f>
        <v>Não</v>
      </c>
      <c r="AJ152" s="19">
        <f>IF(Tabela3[Cotação]&gt;0,Tabela3[[#This Row],[Lucro]]/Tabela3[[#This Row],[Cotação]],0)</f>
        <v>0</v>
      </c>
      <c r="AK152" s="19">
        <f>((1+Tabela3[[#This Row],[% Yield]])^(1/(3*Tabela3[[#This Row],[Ref]])))^(12)-1</f>
        <v>0</v>
      </c>
      <c r="AL152" s="10">
        <f>IF(Tabela3[Cotação]&gt;0,($AS$1/Tabela3[[#This Row],[Cotação]]-MOD($AS$1/Tabela3[[#This Row],[Cotação]],100)),)</f>
        <v>0</v>
      </c>
      <c r="AM152" s="5">
        <f>Tabela3[[#This Row],[Ativos]]*Tabela3[Lucro]</f>
        <v>0</v>
      </c>
      <c r="AN152" s="5">
        <f>SUMPRODUCT(N(Tabela1[Código]=Tabela3[[#This Row],[PAPEL]]),Tabela1[Fechamento])</f>
        <v>0</v>
      </c>
      <c r="AO152" s="5">
        <f>SUMPRODUCT(N(Tabela17[Código]=Tabela3[[#This Row],[PAPEL]]),Tabela17[Fechamento])</f>
        <v>0</v>
      </c>
      <c r="AP152" s="7">
        <f>SUMPRODUCT(N(Tabela176[Código]=Tabela3[[#This Row],[PAPEL]]),Tabela176[Fechamento])</f>
        <v>0</v>
      </c>
      <c r="AQ152" s="7">
        <f>SUMPRODUCT(N(Tabela1768[Código]=Tabela3[[#This Row],[PAPEL]]),Tabela1768[Fechamento])</f>
        <v>0</v>
      </c>
    </row>
    <row r="153" spans="1:43" hidden="1" x14ac:dyDescent="0.2">
      <c r="A153" s="4" t="s">
        <v>12</v>
      </c>
      <c r="B153" s="57" t="s">
        <v>172</v>
      </c>
      <c r="C153" s="14" t="str">
        <f>LEFT(Tabela3[PAPEL],LEN(Tabela3[PAPEL])-(LEN(Tabela3[PAPEL])-4))</f>
        <v>EMAE</v>
      </c>
      <c r="D153" s="15">
        <v>3</v>
      </c>
      <c r="E153" s="5">
        <v>285411308.35000002</v>
      </c>
      <c r="F153" s="8">
        <v>22241714</v>
      </c>
      <c r="G153" s="88">
        <v>0.25</v>
      </c>
      <c r="H153" s="15"/>
      <c r="I153" s="19"/>
      <c r="J153" s="19">
        <v>0.1</v>
      </c>
      <c r="K153" s="90"/>
      <c r="L153" s="90"/>
      <c r="M153" s="92">
        <v>672379000</v>
      </c>
      <c r="N153" s="92">
        <v>25747000</v>
      </c>
      <c r="O153" s="6">
        <f>Tabela3[[#This Row],[Capital Social]]*20%</f>
        <v>57082261.670000009</v>
      </c>
      <c r="P153" s="6">
        <f>IF((Tabela3[Lucro Líquido]*5%)&gt;Tabela3[Teto R. Legal],Tabela3[Teto R. Legal],Tabela3[Lucro Líquido]*5%)</f>
        <v>1287350</v>
      </c>
      <c r="Q153" s="92">
        <f>IF(Tabela3[Lucro Líquido]&lt;0,0,Tabela3[Lucro Líquido]-Tabela3[Reserva Legal])</f>
        <v>24459650</v>
      </c>
      <c r="R153" s="92">
        <f>Tabela3[[#This Row],[Lucro Distribuir]]*Tabela3[%Div]</f>
        <v>6114912.5</v>
      </c>
      <c r="S153" s="56">
        <f>SUMPRODUCT(N(Tabela3[Nome]=Tabela3[[#This Row],[Nome]]),Tabela3[Ações])</f>
        <v>36947084</v>
      </c>
      <c r="T153" s="6">
        <f>Tabela3[Capital Social]/Tabela3[Total Ações]</f>
        <v>7.7248669570242683</v>
      </c>
      <c r="U153" s="80">
        <f>Tabela3[[#This Row],[Lucro Líquido]]/Tabela3[[#This Row],[Total Ações]]</f>
        <v>0.69686148979984452</v>
      </c>
      <c r="V15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0.17639063912167932</v>
      </c>
      <c r="W15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0.17639063912167932</v>
      </c>
      <c r="Z153" s="6">
        <f>Tabela3[Div Base]*Tabela3[Ações]</f>
        <v>3923230.1476216028</v>
      </c>
      <c r="AA153" s="6">
        <f>SUMPRODUCT(N(Tabela3[Nome]=Tabela3[[#This Row],[Nome]]),Tabela3[Div Base]*Tabela3[Ações])</f>
        <v>6281311.6105919778</v>
      </c>
      <c r="AB153" s="92">
        <f>Tabela3[Patrimônio Líquido]/Tabela3[Total Ações]</f>
        <v>18.198432114426133</v>
      </c>
      <c r="AC153" s="48">
        <f>MAX(Tabela3[[#This Row],[Cotação 1]:[Cotação 4]])</f>
        <v>5.5</v>
      </c>
      <c r="AD153" s="44">
        <f>Tabela3[Cotação]/Tabela3[VPA]</f>
        <v>0.30222383804372238</v>
      </c>
      <c r="AE153" s="40">
        <f>IF(Tabela3[[#This Row],[Lucro/Ação]]&gt;0,Tabela3[[#This Row],[Cotação]]/(Tabela3[[#This Row],[Lucro/Ação]]/Tabela3[Ref]*4),0)</f>
        <v>5.9193972695848069</v>
      </c>
      <c r="AF153" s="40" t="e">
        <f>IF(Tabela3[Div. Mínimo]=0,0,Tabela3[Lucro Distribuir]*#REF!/Tabela3[Total Ações])</f>
        <v>#REF!</v>
      </c>
      <c r="AG153" s="80">
        <f>Tabela3[Lucro Distribuir]/Tabela3[Total Ações]</f>
        <v>0.66201841530985228</v>
      </c>
      <c r="AH15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0.17639063912167932</v>
      </c>
      <c r="AI153" s="15" t="str">
        <f>IF(AND(Tabela3[% A.A.]&gt;=7%,SUMPRODUCT(N(Tabela3[Nome]=Tabela3[[#This Row],[Nome]]),Tabela3[PL])&gt;0),"Sim","Não")</f>
        <v>Não</v>
      </c>
      <c r="AJ153" s="42">
        <f>IF(Tabela3[Cotação]&gt;0,Tabela3[[#This Row],[Lucro]]/Tabela3[[#This Row],[Cotação]],0)</f>
        <v>3.2071025294850786E-2</v>
      </c>
      <c r="AK153" s="19">
        <f>((1+Tabela3[[#This Row],[% Yield]])^(1/(3*Tabela3[[#This Row],[Ref]])))^(12)-1</f>
        <v>4.2988326304974844E-2</v>
      </c>
      <c r="AL153" s="14">
        <f>IF(Tabela3[Cotação]&gt;0,($AS$1/Tabela3[[#This Row],[Cotação]]-MOD($AS$1/Tabela3[[#This Row],[Cotação]],100)),)</f>
        <v>100</v>
      </c>
      <c r="AM153" s="17">
        <f>Tabela3[[#This Row],[Ativos]]*Tabela3[Lucro]</f>
        <v>17.639063912167931</v>
      </c>
      <c r="AN153" s="5">
        <f>SUMPRODUCT(N(Tabela1[Código]=Tabela3[[#This Row],[PAPEL]]),Tabela1[Fechamento])</f>
        <v>5.5</v>
      </c>
      <c r="AO153" s="5">
        <f>SUMPRODUCT(N(Tabela17[Código]=Tabela3[[#This Row],[PAPEL]]),Tabela17[Fechamento])</f>
        <v>0</v>
      </c>
      <c r="AP153" s="7">
        <f>SUMPRODUCT(N(Tabela176[Código]=Tabela3[[#This Row],[PAPEL]]),Tabela176[Fechamento])</f>
        <v>0</v>
      </c>
      <c r="AQ153" s="7">
        <f>SUMPRODUCT(N(Tabela1768[Código]=Tabela3[[#This Row],[PAPEL]]),Tabela1768[Fechamento])</f>
        <v>0</v>
      </c>
    </row>
    <row r="154" spans="1:43" hidden="1" x14ac:dyDescent="0.2">
      <c r="A154" s="4" t="s">
        <v>12</v>
      </c>
      <c r="B154" s="57" t="s">
        <v>28</v>
      </c>
      <c r="C154" s="14" t="str">
        <f>LEFT(Tabela3[PAPEL],LEN(Tabela3[PAPEL])-(LEN(Tabela3[PAPEL])-4))</f>
        <v>ENBR</v>
      </c>
      <c r="D154" s="15">
        <v>3</v>
      </c>
      <c r="E154" s="6">
        <v>3182715945.1199999</v>
      </c>
      <c r="F154" s="8">
        <v>476415612</v>
      </c>
      <c r="G154" s="83">
        <v>0.25</v>
      </c>
      <c r="H154" s="19"/>
      <c r="I154" s="19"/>
      <c r="J154" s="19"/>
      <c r="K154" s="90"/>
      <c r="L154" s="90"/>
      <c r="M154" s="92">
        <v>6277330000</v>
      </c>
      <c r="N154" s="92">
        <v>451384000</v>
      </c>
      <c r="O154" s="6">
        <f>Tabela3[[#This Row],[Capital Social]]*20%</f>
        <v>636543189.02400005</v>
      </c>
      <c r="P154" s="6">
        <f>IF((Tabela3[Lucro Líquido]*5%)&gt;Tabela3[Teto R. Legal],Tabela3[Teto R. Legal],Tabela3[Lucro Líquido]*5%)</f>
        <v>22569200</v>
      </c>
      <c r="Q154" s="92">
        <f>IF(Tabela3[Lucro Líquido]&lt;0,0,Tabela3[Lucro Líquido]-Tabela3[Reserva Legal])</f>
        <v>428814800</v>
      </c>
      <c r="R154" s="92">
        <f>Tabela3[[#This Row],[Lucro Distribuir]]*Tabela3[%Div]</f>
        <v>107203700</v>
      </c>
      <c r="S154" s="56">
        <f>SUMPRODUCT(N(Tabela3[Nome]=Tabela3[[#This Row],[Nome]]),Tabela3[Ações])</f>
        <v>476415612</v>
      </c>
      <c r="T154" s="6">
        <f>Tabela3[Capital Social]/Tabela3[Total Ações]</f>
        <v>6.6805450219376938</v>
      </c>
      <c r="U154" s="80">
        <f>Tabela3[[#This Row],[Lucro Líquido]]/Tabela3[[#This Row],[Total Ações]]</f>
        <v>0.94745845566454689</v>
      </c>
      <c r="V15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0.22502138322032991</v>
      </c>
      <c r="W15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0.22502138322032991</v>
      </c>
      <c r="Z154" s="6">
        <f>Tabela3[Div Base]*Tabela3[Ações]</f>
        <v>107203700</v>
      </c>
      <c r="AA154" s="6">
        <f>SUMPRODUCT(N(Tabela3[Nome]=Tabela3[[#This Row],[Nome]]),Tabela3[Div Base]*Tabela3[Ações])</f>
        <v>107203700</v>
      </c>
      <c r="AB154" s="92">
        <f>Tabela3[Patrimônio Líquido]/Tabela3[Total Ações]</f>
        <v>13.176163504902101</v>
      </c>
      <c r="AC154" s="48">
        <f>MAX(Tabela3[[#This Row],[Cotação 1]:[Cotação 4]])</f>
        <v>9.2799999999999994</v>
      </c>
      <c r="AD154" s="44">
        <f>Tabela3[Cotação]/Tabela3[VPA]</f>
        <v>0.70430212835074779</v>
      </c>
      <c r="AE154" s="40">
        <f>IF(Tabela3[[#This Row],[Lucro/Ação]]&gt;0,Tabela3[[#This Row],[Cotação]]/(Tabela3[[#This Row],[Lucro/Ação]]/Tabela3[Ref]*4),0)</f>
        <v>7.3459685312727077</v>
      </c>
      <c r="AF154" s="77" t="e">
        <f>IF(Tabela3[Div. Mínimo]=0,0,Tabela3[Lucro Distribuir]*#REF!/Tabela3[Total Ações])</f>
        <v>#REF!</v>
      </c>
      <c r="AG154" s="80">
        <f>Tabela3[Lucro Distribuir]/Tabela3[Total Ações]</f>
        <v>0.90008553288131965</v>
      </c>
      <c r="AH15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0.22502138322032991</v>
      </c>
      <c r="AI154" s="15" t="str">
        <f>IF(AND(Tabela3[% A.A.]&gt;=7%,SUMPRODUCT(N(Tabela3[Nome]=Tabela3[[#This Row],[Nome]]),Tabela3[PL])&gt;0),"Sim","Não")</f>
        <v>Não</v>
      </c>
      <c r="AJ154" s="42">
        <f>IF(Tabela3[Cotação]&gt;0,Tabela3[[#This Row],[Lucro]]/Tabela3[[#This Row],[Cotação]],0)</f>
        <v>2.4247993881501069E-2</v>
      </c>
      <c r="AK154" s="19">
        <f>((1+Tabela3[[#This Row],[% Yield]])^(1/(3*Tabela3[[#This Row],[Ref]])))^(12)-1</f>
        <v>3.2460620417967379E-2</v>
      </c>
      <c r="AL154" s="14">
        <f>IF(Tabela3[Cotação]&gt;0,($AS$1/Tabela3[[#This Row],[Cotação]]-MOD($AS$1/Tabela3[[#This Row],[Cotação]],100)),)</f>
        <v>100</v>
      </c>
      <c r="AM154" s="17">
        <f>Tabela3[[#This Row],[Ativos]]*Tabela3[Lucro]</f>
        <v>22.502138322032991</v>
      </c>
      <c r="AN154" s="5">
        <f>SUMPRODUCT(N(Tabela1[Código]=Tabela3[[#This Row],[PAPEL]]),Tabela1[Fechamento])</f>
        <v>9.2799999999999994</v>
      </c>
      <c r="AO154" s="5">
        <f>SUMPRODUCT(N(Tabela17[Código]=Tabela3[[#This Row],[PAPEL]]),Tabela17[Fechamento])</f>
        <v>0</v>
      </c>
      <c r="AP154" s="7">
        <f>SUMPRODUCT(N(Tabela176[Código]=Tabela3[[#This Row],[PAPEL]]),Tabela176[Fechamento])</f>
        <v>0</v>
      </c>
      <c r="AQ154" s="7">
        <f>SUMPRODUCT(N(Tabela1768[Código]=Tabela3[[#This Row],[PAPEL]]),Tabela1768[Fechamento])</f>
        <v>0</v>
      </c>
    </row>
    <row r="155" spans="1:43" hidden="1" x14ac:dyDescent="0.2">
      <c r="A155" s="4" t="s">
        <v>12</v>
      </c>
      <c r="B155" s="57" t="s">
        <v>517</v>
      </c>
      <c r="C155" s="15" t="str">
        <f>LEFT(Tabela3[PAPEL],LEN(Tabela3[PAPEL])-(LEN(Tabela3[PAPEL])-4))</f>
        <v>ENEV</v>
      </c>
      <c r="D155" s="15">
        <v>3</v>
      </c>
      <c r="E155" s="6">
        <v>3736568320.8499999</v>
      </c>
      <c r="F155" s="8">
        <v>578479962</v>
      </c>
      <c r="G155" s="83">
        <v>0.25</v>
      </c>
      <c r="H155" s="15"/>
      <c r="I155" s="19"/>
      <c r="J155" s="19"/>
      <c r="K155" s="90"/>
      <c r="L155" s="90"/>
      <c r="M155" s="96">
        <v>2723103000</v>
      </c>
      <c r="N155" s="97">
        <v>-662181000</v>
      </c>
      <c r="O155" s="13">
        <f>Tabela3[[#This Row],[Capital Social]]*20%</f>
        <v>747313664.17000008</v>
      </c>
      <c r="P155" s="13">
        <f>IF((Tabela3[Lucro Líquido]*5%)&gt;Tabela3[Teto R. Legal],Tabela3[Teto R. Legal],Tabela3[Lucro Líquido]*5%)</f>
        <v>-33109050</v>
      </c>
      <c r="Q155" s="13">
        <f>IF(Tabela3[Lucro Líquido]&lt;0,0,Tabela3[Lucro Líquido]-Tabela3[Reserva Legal])</f>
        <v>0</v>
      </c>
      <c r="R155" s="13">
        <f>Tabela3[[#This Row],[Lucro Distribuir]]*Tabela3[%Div]</f>
        <v>0</v>
      </c>
      <c r="S155" s="56">
        <f>SUMPRODUCT(N(Tabela3[Nome]=Tabela3[[#This Row],[Nome]]),Tabela3[Ações])</f>
        <v>578479962</v>
      </c>
      <c r="T155" s="6">
        <f>Tabela3[Capital Social]/Tabela3[Total Ações]</f>
        <v>6.4592873847028773</v>
      </c>
      <c r="U155" s="80">
        <f>Tabela3[[#This Row],[Lucro Líquido]]/Tabela3[[#This Row],[Total Ações]]</f>
        <v>-1.1446913350474879</v>
      </c>
      <c r="V15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5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55" s="13">
        <f>Tabela3[Div Base]*Tabela3[Ações]</f>
        <v>0</v>
      </c>
      <c r="AA155" s="13">
        <f>SUMPRODUCT(N(Tabela3[Nome]=Tabela3[[#This Row],[Nome]]),Tabela3[Div Base]*Tabela3[Ações])</f>
        <v>0</v>
      </c>
      <c r="AB155" s="95">
        <f>Tabela3[Patrimônio Líquido]/Tabela3[Total Ações]</f>
        <v>4.707341963212202</v>
      </c>
      <c r="AC155" s="48">
        <f>MAX(Tabela3[[#This Row],[Cotação 1]:[Cotação 4]])</f>
        <v>2.69</v>
      </c>
      <c r="AD155" s="44">
        <f>Tabela3[Cotação]/Tabela3[VPA]</f>
        <v>0.57144775565962802</v>
      </c>
      <c r="AE155" s="40">
        <f>IF(Tabela3[[#This Row],[Lucro/Ação]]&gt;0,Tabela3[[#This Row],[Cotação]]/(Tabela3[[#This Row],[Lucro/Ação]]/Tabela3[Ref]*4),0)</f>
        <v>0</v>
      </c>
      <c r="AF155" s="91">
        <f>IF(Tabela3[Div. Mínimo]=0,0,Tabela3[Lucro Distribuir]*#REF!/Tabela3[Total Ações])</f>
        <v>0</v>
      </c>
      <c r="AG155" s="80">
        <f>Tabela3[Lucro Distribuir]/Tabela3[Total Ações]</f>
        <v>0</v>
      </c>
      <c r="AH15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55" s="14" t="str">
        <f>IF(AND(Tabela3[% A.A.]&gt;=7%,SUMPRODUCT(N(Tabela3[Nome]=Tabela3[[#This Row],[Nome]]),Tabela3[PL])&gt;0),"Sim","Não")</f>
        <v>Não</v>
      </c>
      <c r="AJ155" s="42">
        <f>IF(Tabela3[Cotação]&gt;0,Tabela3[[#This Row],[Lucro]]/Tabela3[[#This Row],[Cotação]],0)</f>
        <v>0</v>
      </c>
      <c r="AK155" s="42">
        <f>((1+Tabela3[[#This Row],[% Yield]])^(1/(3*Tabela3[[#This Row],[Ref]])))^(12)-1</f>
        <v>0</v>
      </c>
      <c r="AL155" s="14">
        <f>IF(Tabela3[Cotação]&gt;0,($AS$1/Tabela3[[#This Row],[Cotação]]-MOD($AS$1/Tabela3[[#This Row],[Cotação]],100)),)</f>
        <v>300</v>
      </c>
      <c r="AM155" s="17">
        <f>Tabela3[[#This Row],[Ativos]]*Tabela3[Lucro]</f>
        <v>0</v>
      </c>
      <c r="AN155" s="17">
        <f>SUMPRODUCT(N(Tabela1[Código]=Tabela3[[#This Row],[PAPEL]]),Tabela1[Fechamento])</f>
        <v>0</v>
      </c>
      <c r="AO155" s="17">
        <f>SUMPRODUCT(N(Tabela17[Código]=Tabela3[[#This Row],[PAPEL]]),Tabela17[Fechamento])</f>
        <v>2.69</v>
      </c>
      <c r="AP155" s="7">
        <f>SUMPRODUCT(N(Tabela176[Código]=Tabela3[[#This Row],[PAPEL]]),Tabela176[Fechamento])</f>
        <v>0</v>
      </c>
      <c r="AQ155" s="7">
        <f>SUMPRODUCT(N(Tabela1768[Código]=Tabela3[[#This Row],[PAPEL]]),Tabela1768[Fechamento])</f>
        <v>0</v>
      </c>
    </row>
    <row r="156" spans="1:43" hidden="1" x14ac:dyDescent="0.2">
      <c r="A156" s="4" t="s">
        <v>12</v>
      </c>
      <c r="B156" s="57" t="s">
        <v>85</v>
      </c>
      <c r="C156" s="14" t="str">
        <f>LEFT(Tabela3[PAPEL],LEN(Tabela3[PAPEL])-(LEN(Tabela3[PAPEL])-4))</f>
        <v>ENGI</v>
      </c>
      <c r="D156" s="15">
        <v>3</v>
      </c>
      <c r="E156" s="6"/>
      <c r="F156" s="8"/>
      <c r="G156" s="88">
        <v>0.25</v>
      </c>
      <c r="H156" s="15"/>
      <c r="I156" s="19"/>
      <c r="J156" s="19"/>
      <c r="K156" s="90">
        <v>1</v>
      </c>
      <c r="L156" s="90">
        <v>4</v>
      </c>
      <c r="M156" s="92"/>
      <c r="N156" s="92"/>
      <c r="O156" s="6"/>
      <c r="P156" s="6"/>
      <c r="Q156" s="92">
        <f>IF(Tabela3[Lucro Líquido]&lt;0,0,Tabela3[Lucro Líquido]-Tabela3[Reserva Legal])</f>
        <v>0</v>
      </c>
      <c r="R156" s="92">
        <f>Tabela3[[#This Row],[Lucro Distribuir]]*Tabela3[%Div]</f>
        <v>0</v>
      </c>
      <c r="S156" s="56">
        <f>SUMPRODUCT(N(Tabela3[Nome]=Tabela3[[#This Row],[Nome]]),Tabela3[Ações])</f>
        <v>1245690889</v>
      </c>
      <c r="T156" s="6">
        <f>Tabela3[Capital Social]/Tabela3[Total Ações]</f>
        <v>0</v>
      </c>
      <c r="U156" s="80">
        <f>Tabela3[[#This Row],[Lucro Líquido]]/Tabela3[[#This Row],[Total Ações]]</f>
        <v>0</v>
      </c>
      <c r="V15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5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56" s="6">
        <f>Tabela3[Div Base]*Tabela3[Ações]</f>
        <v>0</v>
      </c>
      <c r="AA156" s="6">
        <f>SUMPRODUCT(N(Tabela3[Nome]=Tabela3[[#This Row],[Nome]]),Tabela3[Div Base]*Tabela3[Ações])</f>
        <v>45131175</v>
      </c>
      <c r="AB156" s="92">
        <f>Tabela3[Patrimônio Líquido]/Tabela3[Total Ações]</f>
        <v>0</v>
      </c>
      <c r="AC156" s="48">
        <f>MAX(Tabela3[[#This Row],[Cotação 1]:[Cotação 4]])</f>
        <v>11.5</v>
      </c>
      <c r="AD156" s="44" t="e">
        <f>Tabela3[Cotação]/Tabela3[VPA]</f>
        <v>#DIV/0!</v>
      </c>
      <c r="AE156" s="40">
        <f>IF(Tabela3[[#This Row],[Lucro/Ação]]&gt;0,Tabela3[[#This Row],[Cotação]]/(Tabela3[[#This Row],[Lucro/Ação]]/Tabela3[Ref]*4),0)</f>
        <v>0</v>
      </c>
      <c r="AF156" s="40">
        <f>IF(Tabela3[Div. Mínimo]=0,0,Tabela3[Lucro Distribuir]*#REF!/Tabela3[Total Ações])</f>
        <v>0</v>
      </c>
      <c r="AG156" s="80">
        <f>Tabela3[Lucro Distribuir]/Tabela3[Total Ações]</f>
        <v>0</v>
      </c>
      <c r="AH15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0.18114917351699439</v>
      </c>
      <c r="AI156" s="14" t="str">
        <f>IF(AND(Tabela3[% A.A.]&gt;=7%,SUMPRODUCT(N(Tabela3[Nome]=Tabela3[[#This Row],[Nome]]),Tabela3[PL])&gt;0),"Sim","Não")</f>
        <v>Não</v>
      </c>
      <c r="AJ156" s="42">
        <f>IF(Tabela3[Cotação]&gt;0,Tabela3[[#This Row],[Lucro]]/Tabela3[[#This Row],[Cotação]],0)</f>
        <v>1.5752102044956032E-2</v>
      </c>
      <c r="AK156" s="19">
        <f>((1+Tabela3[[#This Row],[% Yield]])^(1/(3*Tabela3[[#This Row],[Ref]])))^(12)-1</f>
        <v>2.1057750683431076E-2</v>
      </c>
      <c r="AL156" s="14">
        <f>IF(Tabela3[Cotação]&gt;0,($AS$1/Tabela3[[#This Row],[Cotação]]-MOD($AS$1/Tabela3[[#This Row],[Cotação]],100)),)</f>
        <v>0</v>
      </c>
      <c r="AM156" s="17">
        <f>Tabela3[[#This Row],[Ativos]]*Tabela3[Lucro]</f>
        <v>0</v>
      </c>
      <c r="AN156" s="5">
        <f>SUMPRODUCT(N(Tabela1[Código]=Tabela3[[#This Row],[PAPEL]]),Tabela1[Fechamento])</f>
        <v>11.5</v>
      </c>
      <c r="AO156" s="5">
        <f>SUMPRODUCT(N(Tabela17[Código]=Tabela3[[#This Row],[PAPEL]]),Tabela17[Fechamento])</f>
        <v>0</v>
      </c>
      <c r="AP156" s="7">
        <f>SUMPRODUCT(N(Tabela176[Código]=Tabela3[[#This Row],[PAPEL]]),Tabela176[Fechamento])</f>
        <v>0</v>
      </c>
      <c r="AQ156" s="7">
        <f>SUMPRODUCT(N(Tabela1768[Código]=Tabela3[[#This Row],[PAPEL]]),Tabela1768[Fechamento])</f>
        <v>0</v>
      </c>
    </row>
    <row r="157" spans="1:43" hidden="1" x14ac:dyDescent="0.2">
      <c r="A157" s="4" t="s">
        <v>12</v>
      </c>
      <c r="B157" s="57" t="s">
        <v>174</v>
      </c>
      <c r="C157" s="14" t="str">
        <f>LEFT(Tabela3[PAPEL],LEN(Tabela3[PAPEL])-(LEN(Tabela3[PAPEL])-4))</f>
        <v>ENGI</v>
      </c>
      <c r="D157" s="15">
        <v>3</v>
      </c>
      <c r="E157" s="6">
        <v>1010000001.6</v>
      </c>
      <c r="F157" s="8">
        <v>592714397</v>
      </c>
      <c r="G157" s="83">
        <v>0.25</v>
      </c>
      <c r="H157" s="15"/>
      <c r="I157" s="19"/>
      <c r="J157" s="19"/>
      <c r="K157" s="90"/>
      <c r="L157" s="90"/>
      <c r="M157" s="92">
        <v>1825587000</v>
      </c>
      <c r="N157" s="92">
        <v>190026000</v>
      </c>
      <c r="O157" s="6">
        <f>Tabela3[[#This Row],[Capital Social]]*20%</f>
        <v>202000000.32000002</v>
      </c>
      <c r="P157" s="6">
        <f>IF((Tabela3[Lucro Líquido]*5%)&gt;Tabela3[Teto R. Legal],Tabela3[Teto R. Legal],Tabela3[Lucro Líquido]*5%)</f>
        <v>9501300</v>
      </c>
      <c r="Q157" s="92">
        <f>IF(Tabela3[Lucro Líquido]&lt;0,0,Tabela3[Lucro Líquido]-Tabela3[Reserva Legal])</f>
        <v>180524700</v>
      </c>
      <c r="R157" s="92">
        <f>Tabela3[[#This Row],[Lucro Distribuir]]*Tabela3[%Div]</f>
        <v>45131175</v>
      </c>
      <c r="S157" s="56">
        <f>SUMPRODUCT(N(Tabela3[Nome]=Tabela3[[#This Row],[Nome]]),Tabela3[Ações])</f>
        <v>1245690889</v>
      </c>
      <c r="T157" s="6">
        <f>Tabela3[Capital Social]/Tabela3[Total Ações]</f>
        <v>0.81079504596103702</v>
      </c>
      <c r="U157" s="80">
        <f>Tabela3[[#This Row],[Lucro Líquido]]/Tabela3[[#This Row],[Total Ações]]</f>
        <v>0.15254667243536371</v>
      </c>
      <c r="V15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3.6229834703398876E-2</v>
      </c>
      <c r="W15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3.6229834703398876E-2</v>
      </c>
      <c r="Z157" s="6">
        <f>Tabela3[Div Base]*Tabela3[Ações]</f>
        <v>21473944.629634738</v>
      </c>
      <c r="AA157" s="6">
        <f>SUMPRODUCT(N(Tabela3[Nome]=Tabela3[[#This Row],[Nome]]),Tabela3[Div Base]*Tabela3[Ações])</f>
        <v>45131175</v>
      </c>
      <c r="AB157" s="92">
        <f>Tabela3[Patrimônio Líquido]/Tabela3[Total Ações]</f>
        <v>1.4655216764614227</v>
      </c>
      <c r="AC157" s="48">
        <f>MAX(Tabela3[[#This Row],[Cotação 1]:[Cotação 4]])</f>
        <v>3.39</v>
      </c>
      <c r="AD157" s="44">
        <f>Tabela3[Cotação]/Tabela3[VPA]</f>
        <v>2.3131694702635373</v>
      </c>
      <c r="AE157" s="40">
        <f>IF(Tabela3[[#This Row],[Lucro/Ação]]&gt;0,Tabela3[[#This Row],[Cotação]]/(Tabela3[[#This Row],[Lucro/Ação]]/Tabela3[Ref]*4),0)</f>
        <v>16.66703022366676</v>
      </c>
      <c r="AF157" s="40" t="e">
        <f>IF(Tabela3[Div. Mínimo]=0,0,Tabela3[Lucro Distribuir]*#REF!/Tabela3[Total Ações])</f>
        <v>#REF!</v>
      </c>
      <c r="AG157" s="80">
        <f>Tabela3[Lucro Distribuir]/Tabela3[Total Ações]</f>
        <v>0.14491933881359551</v>
      </c>
      <c r="AH15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3.6229834703398876E-2</v>
      </c>
      <c r="AI157" s="15" t="str">
        <f>IF(AND(Tabela3[% A.A.]&gt;=7%,SUMPRODUCT(N(Tabela3[Nome]=Tabela3[[#This Row],[Nome]]),Tabela3[PL])&gt;0),"Sim","Não")</f>
        <v>Não</v>
      </c>
      <c r="AJ157" s="42">
        <f>IF(Tabela3[Cotação]&gt;0,Tabela3[[#This Row],[Lucro]]/Tabela3[[#This Row],[Cotação]],0)</f>
        <v>1.068726687415896E-2</v>
      </c>
      <c r="AK157" s="19">
        <f>((1+Tabela3[[#This Row],[% Yield]])^(1/(3*Tabela3[[#This Row],[Ref]])))^(12)-1</f>
        <v>1.4275010857385029E-2</v>
      </c>
      <c r="AL157" s="14">
        <f>IF(Tabela3[Cotação]&gt;0,($AS$1/Tabela3[[#This Row],[Cotação]]-MOD($AS$1/Tabela3[[#This Row],[Cotação]],100)),)</f>
        <v>200</v>
      </c>
      <c r="AM157" s="17">
        <f>Tabela3[[#This Row],[Ativos]]*Tabela3[Lucro]</f>
        <v>7.2459669406797751</v>
      </c>
      <c r="AN157" s="5">
        <f>SUMPRODUCT(N(Tabela1[Código]=Tabela3[[#This Row],[PAPEL]]),Tabela1[Fechamento])</f>
        <v>3.39</v>
      </c>
      <c r="AO157" s="5">
        <f>SUMPRODUCT(N(Tabela17[Código]=Tabela3[[#This Row],[PAPEL]]),Tabela17[Fechamento])</f>
        <v>0</v>
      </c>
      <c r="AP157" s="7">
        <f>SUMPRODUCT(N(Tabela176[Código]=Tabela3[[#This Row],[PAPEL]]),Tabela176[Fechamento])</f>
        <v>0</v>
      </c>
      <c r="AQ157" s="7">
        <f>SUMPRODUCT(N(Tabela1768[Código]=Tabela3[[#This Row],[PAPEL]]),Tabela1768[Fechamento])</f>
        <v>0</v>
      </c>
    </row>
    <row r="158" spans="1:43" hidden="1" x14ac:dyDescent="0.2">
      <c r="A158" s="4" t="s">
        <v>12</v>
      </c>
      <c r="B158" s="57" t="s">
        <v>64</v>
      </c>
      <c r="C158" s="14" t="str">
        <f>LEFT(Tabela3[PAPEL],LEN(Tabela3[PAPEL])-(LEN(Tabela3[PAPEL])-4))</f>
        <v>ENGI</v>
      </c>
      <c r="D158" s="15">
        <v>3</v>
      </c>
      <c r="E158" s="6">
        <v>1010000001.6</v>
      </c>
      <c r="F158" s="8">
        <v>652976492</v>
      </c>
      <c r="G158" s="88">
        <v>0.25</v>
      </c>
      <c r="H158" s="15"/>
      <c r="I158" s="19"/>
      <c r="J158" s="19"/>
      <c r="K158" s="90"/>
      <c r="L158" s="90"/>
      <c r="M158" s="92">
        <v>1825587000</v>
      </c>
      <c r="N158" s="92">
        <v>190026000</v>
      </c>
      <c r="O158" s="6">
        <f>Tabela3[[#This Row],[Capital Social]]*20%</f>
        <v>202000000.32000002</v>
      </c>
      <c r="P158" s="6">
        <f>IF((Tabela3[Lucro Líquido]*5%)&gt;Tabela3[Teto R. Legal],Tabela3[Teto R. Legal],Tabela3[Lucro Líquido]*5%)</f>
        <v>9501300</v>
      </c>
      <c r="Q158" s="92">
        <f>IF(Tabela3[Lucro Líquido]&lt;0,0,Tabela3[Lucro Líquido]-Tabela3[Reserva Legal])</f>
        <v>180524700</v>
      </c>
      <c r="R158" s="92">
        <f>Tabela3[[#This Row],[Lucro Distribuir]]*Tabela3[%Div]</f>
        <v>45131175</v>
      </c>
      <c r="S158" s="56">
        <f>SUMPRODUCT(N(Tabela3[Nome]=Tabela3[[#This Row],[Nome]]),Tabela3[Ações])</f>
        <v>1245690889</v>
      </c>
      <c r="T158" s="6">
        <f>Tabela3[Capital Social]/Tabela3[Total Ações]</f>
        <v>0.81079504596103702</v>
      </c>
      <c r="U158" s="80">
        <f>Tabela3[[#This Row],[Lucro Líquido]]/Tabela3[[#This Row],[Total Ações]]</f>
        <v>0.15254667243536371</v>
      </c>
      <c r="V15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3.6229834703398876E-2</v>
      </c>
      <c r="W15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5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3.6229834703398876E-2</v>
      </c>
      <c r="Z158" s="6">
        <f>Tabela3[Div Base]*Tabela3[Ações]</f>
        <v>23657230.370365258</v>
      </c>
      <c r="AA158" s="6">
        <f>SUMPRODUCT(N(Tabela3[Nome]=Tabela3[[#This Row],[Nome]]),Tabela3[Div Base]*Tabela3[Ações])</f>
        <v>45131175</v>
      </c>
      <c r="AB158" s="92">
        <f>Tabela3[Patrimônio Líquido]/Tabela3[Total Ações]</f>
        <v>1.4655216764614227</v>
      </c>
      <c r="AC158" s="48">
        <f>MAX(Tabela3[[#This Row],[Cotação 1]:[Cotação 4]])</f>
        <v>2.11</v>
      </c>
      <c r="AD158" s="44">
        <f>Tabela3[Cotação]/Tabela3[VPA]</f>
        <v>1.4397603487481012</v>
      </c>
      <c r="AE158" s="40">
        <f>IF(Tabela3[[#This Row],[Lucro/Ação]]&gt;0,Tabela3[[#This Row],[Cotação]]/(Tabela3[[#This Row],[Lucro/Ação]]/Tabela3[Ref]*4),0)</f>
        <v>10.373874269007924</v>
      </c>
      <c r="AF158" s="40" t="e">
        <f>IF(Tabela3[Div. Mínimo]=0,0,Tabela3[Lucro Distribuir]*#REF!/Tabela3[Total Ações])</f>
        <v>#REF!</v>
      </c>
      <c r="AG158" s="80">
        <f>Tabela3[Lucro Distribuir]/Tabela3[Total Ações]</f>
        <v>0.14491933881359551</v>
      </c>
      <c r="AH15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3.6229834703398876E-2</v>
      </c>
      <c r="AI158" s="14" t="str">
        <f>IF(AND(Tabela3[% A.A.]&gt;=7%,SUMPRODUCT(N(Tabela3[Nome]=Tabela3[[#This Row],[Nome]]),Tabela3[PL])&gt;0),"Sim","Não")</f>
        <v>Não</v>
      </c>
      <c r="AJ158" s="42">
        <f>IF(Tabela3[Cotação]&gt;0,Tabela3[[#This Row],[Lucro]]/Tabela3[[#This Row],[Cotação]],0)</f>
        <v>1.7170537774122693E-2</v>
      </c>
      <c r="AK158" s="19">
        <f>((1+Tabela3[[#This Row],[% Yield]])^(1/(3*Tabela3[[#This Row],[Ref]])))^(12)-1</f>
        <v>2.2959319338280659E-2</v>
      </c>
      <c r="AL158" s="14">
        <f>IF(Tabela3[Cotação]&gt;0,($AS$1/Tabela3[[#This Row],[Cotação]]-MOD($AS$1/Tabela3[[#This Row],[Cotação]],100)),)</f>
        <v>400</v>
      </c>
      <c r="AM158" s="17">
        <f>Tabela3[[#This Row],[Ativos]]*Tabela3[Lucro]</f>
        <v>14.49193388135955</v>
      </c>
      <c r="AN158" s="5">
        <f>SUMPRODUCT(N(Tabela1[Código]=Tabela3[[#This Row],[PAPEL]]),Tabela1[Fechamento])</f>
        <v>2.11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  <c r="AQ158" s="7">
        <f>SUMPRODUCT(N(Tabela1768[Código]=Tabela3[[#This Row],[PAPEL]]),Tabela1768[Fechamento])</f>
        <v>0</v>
      </c>
    </row>
    <row r="159" spans="1:43" hidden="1" x14ac:dyDescent="0.2">
      <c r="A159" s="4" t="s">
        <v>12</v>
      </c>
      <c r="B159" s="57" t="s">
        <v>94</v>
      </c>
      <c r="C159" s="14" t="str">
        <f>LEFT(Tabela3[PAPEL],LEN(Tabela3[PAPEL])-(LEN(Tabela3[PAPEL])-4))</f>
        <v>ENMA</v>
      </c>
      <c r="D159" s="15">
        <v>3</v>
      </c>
      <c r="E159" s="6">
        <v>618549815.79999995</v>
      </c>
      <c r="F159" s="8">
        <v>161318939</v>
      </c>
      <c r="G159" s="83">
        <v>0.25</v>
      </c>
      <c r="H159" s="15"/>
      <c r="I159" s="19"/>
      <c r="J159" s="19"/>
      <c r="K159" s="90"/>
      <c r="L159" s="90"/>
      <c r="M159" s="92">
        <v>1380983000</v>
      </c>
      <c r="N159" s="92">
        <v>154788000</v>
      </c>
      <c r="O159" s="6">
        <f>Tabela3[[#This Row],[Capital Social]]*20%</f>
        <v>123709963.16</v>
      </c>
      <c r="P159" s="6">
        <f>IF((Tabela3[Lucro Líquido]*5%)&gt;Tabela3[Teto R. Legal],Tabela3[Teto R. Legal],Tabela3[Lucro Líquido]*5%)</f>
        <v>7739400</v>
      </c>
      <c r="Q159" s="92">
        <f>IF(Tabela3[Lucro Líquido]&lt;0,0,Tabela3[Lucro Líquido]-Tabela3[Reserva Legal])</f>
        <v>147048600</v>
      </c>
      <c r="R159" s="92">
        <f>Tabela3[[#This Row],[Lucro Distribuir]]*Tabela3[%Div]</f>
        <v>36762150</v>
      </c>
      <c r="S159" s="56">
        <f>SUMPRODUCT(N(Tabela3[Nome]=Tabela3[[#This Row],[Nome]]),Tabela3[Ações])</f>
        <v>164183899</v>
      </c>
      <c r="T159" s="6">
        <f>Tabela3[Capital Social]/Tabela3[Total Ações]</f>
        <v>3.7674206762503548</v>
      </c>
      <c r="U159" s="80">
        <f>Tabela3[[#This Row],[Lucro Líquido]]/Tabela3[[#This Row],[Total Ações]]</f>
        <v>0.94277210458986604</v>
      </c>
      <c r="V15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W15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5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0.22235174275240552</v>
      </c>
      <c r="Y15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0.22235174275240552</v>
      </c>
      <c r="Z159" s="6">
        <f>Tabela3[Div Base]*Tabela3[Ações]</f>
        <v>35869547.225618996</v>
      </c>
      <c r="AA159" s="6">
        <f>SUMPRODUCT(N(Tabela3[Nome]=Tabela3[[#This Row],[Nome]]),Tabela3[Div Base]*Tabela3[Ações])</f>
        <v>36762150</v>
      </c>
      <c r="AB159" s="92">
        <f>Tabela3[Patrimônio Líquido]/Tabela3[Total Ações]</f>
        <v>8.4111962769260344</v>
      </c>
      <c r="AC159" s="48">
        <f>MAX(Tabela3[[#This Row],[Cotação 1]:[Cotação 4]])</f>
        <v>14.9</v>
      </c>
      <c r="AD159" s="44">
        <f>Tabela3[Cotação]/Tabela3[VPA]</f>
        <v>1.7714483777859684</v>
      </c>
      <c r="AE159" s="40">
        <f>IF(Tabela3[[#This Row],[Lucro/Ação]]&gt;0,Tabela3[[#This Row],[Cotação]]/(Tabela3[[#This Row],[Lucro/Ação]]/Tabela3[Ref]*4),0)</f>
        <v>11.853341805081788</v>
      </c>
      <c r="AF159" s="40" t="e">
        <f>IF(Tabela3[Div. Mínimo]=0,0,Tabela3[Lucro Distribuir]*#REF!/Tabela3[Total Ações])</f>
        <v>#REF!</v>
      </c>
      <c r="AG159" s="80">
        <f>Tabela3[Lucro Distribuir]/Tabela3[Total Ações]</f>
        <v>0.89563349936037273</v>
      </c>
      <c r="AH15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0.22235174275240552</v>
      </c>
      <c r="AI159" s="15" t="str">
        <f>IF(AND(Tabela3[% A.A.]&gt;=7%,SUMPRODUCT(N(Tabela3[Nome]=Tabela3[[#This Row],[Nome]]),Tabela3[PL])&gt;0),"Sim","Não")</f>
        <v>Não</v>
      </c>
      <c r="AJ159" s="42">
        <f>IF(Tabela3[Cotação]&gt;0,Tabela3[[#This Row],[Lucro]]/Tabela3[[#This Row],[Cotação]],0)</f>
        <v>1.4922935755195E-2</v>
      </c>
      <c r="AK159" s="19">
        <f>((1+Tabela3[[#This Row],[% Yield]])^(1/(3*Tabela3[[#This Row],[Ref]])))^(12)-1</f>
        <v>1.9946572133058726E-2</v>
      </c>
      <c r="AL159" s="14">
        <f>IF(Tabela3[Cotação]&gt;0,($AS$1/Tabela3[[#This Row],[Cotação]]-MOD($AS$1/Tabela3[[#This Row],[Cotação]],100)),)</f>
        <v>0</v>
      </c>
      <c r="AM159" s="17">
        <f>Tabela3[[#This Row],[Ativos]]*Tabela3[Lucro]</f>
        <v>0</v>
      </c>
      <c r="AN159" s="5">
        <f>SUMPRODUCT(N(Tabela1[Código]=Tabela3[[#This Row],[PAPEL]]),Tabela1[Fechamento])</f>
        <v>14.9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  <c r="AQ159" s="7">
        <f>SUMPRODUCT(N(Tabela1768[Código]=Tabela3[[#This Row],[PAPEL]]),Tabela1768[Fechamento])</f>
        <v>0</v>
      </c>
    </row>
    <row r="160" spans="1:43" hidden="1" x14ac:dyDescent="0.2">
      <c r="A160" s="4" t="s">
        <v>12</v>
      </c>
      <c r="B160" s="57" t="s">
        <v>503</v>
      </c>
      <c r="C160" s="84" t="str">
        <f>LEFT(Tabela3[PAPEL],LEN(Tabela3[PAPEL])-(LEN(Tabela3[PAPEL])-4))</f>
        <v>ENMA</v>
      </c>
      <c r="D160" s="15">
        <v>3</v>
      </c>
      <c r="E160" s="6">
        <v>618549815.79999995</v>
      </c>
      <c r="F160" s="8">
        <v>1239231</v>
      </c>
      <c r="G160" s="83">
        <v>0.25</v>
      </c>
      <c r="H160" s="15"/>
      <c r="I160" s="19">
        <v>0.06</v>
      </c>
      <c r="J160" s="19"/>
      <c r="K160" s="90"/>
      <c r="L160" s="90"/>
      <c r="M160" s="92">
        <v>1380983000</v>
      </c>
      <c r="N160" s="92">
        <v>154788000</v>
      </c>
      <c r="O160" s="6">
        <f>Tabela3[[#This Row],[Capital Social]]*20%</f>
        <v>123709963.16</v>
      </c>
      <c r="P160" s="6">
        <f>IF((Tabela3[Lucro Líquido]*5%)&gt;Tabela3[Teto R. Legal],Tabela3[Teto R. Legal],Tabela3[Lucro Líquido]*5%)</f>
        <v>7739400</v>
      </c>
      <c r="Q160" s="6">
        <f>IF(Tabela3[Lucro Líquido]&lt;0,0,Tabela3[Lucro Líquido]-Tabela3[Reserva Legal])</f>
        <v>147048600</v>
      </c>
      <c r="R160" s="6">
        <f>Tabela3[[#This Row],[Lucro Distribuir]]*Tabela3[%Div]</f>
        <v>36762150</v>
      </c>
      <c r="S160" s="56">
        <f>SUMPRODUCT(N(Tabela3[Nome]=Tabela3[[#This Row],[Nome]]),Tabela3[Ações])</f>
        <v>164183899</v>
      </c>
      <c r="T160" s="6">
        <f>Tabela3[Capital Social]/Tabela3[Total Ações]</f>
        <v>3.7674206762503548</v>
      </c>
      <c r="U160" s="80">
        <f>Tabela3[[#This Row],[Lucro Líquido]]/Tabela3[[#This Row],[Total Ações]]</f>
        <v>0.94277210458986604</v>
      </c>
      <c r="V16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W16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0.22604524057502129</v>
      </c>
      <c r="Y16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0.22604524057502129</v>
      </c>
      <c r="Z160" s="6">
        <f>Tabela3[Div Base]*Tabela3[Ações]</f>
        <v>280122.26952302421</v>
      </c>
      <c r="AA160" s="6">
        <f>SUMPRODUCT(N(Tabela3[Nome]=Tabela3[[#This Row],[Nome]]),Tabela3[Div Base]*Tabela3[Ações])</f>
        <v>36762150</v>
      </c>
      <c r="AB160" s="6">
        <f>Tabela3[Patrimônio Líquido]/Tabela3[Total Ações]</f>
        <v>8.4111962769260344</v>
      </c>
      <c r="AC160" s="48">
        <f>MAX(Tabela3[[#This Row],[Cotação 1]:[Cotação 4]])</f>
        <v>0</v>
      </c>
      <c r="AD160" s="44">
        <f>Tabela3[Cotação]/Tabela3[VPA]</f>
        <v>0</v>
      </c>
      <c r="AE160" s="40">
        <f>IF(Tabela3[[#This Row],[Lucro/Ação]]&gt;0,Tabela3[[#This Row],[Cotação]]/(Tabela3[[#This Row],[Lucro/Ação]]/Tabela3[Ref]*4),0)</f>
        <v>0</v>
      </c>
      <c r="AF160" s="40" t="e">
        <f>IF(Tabela3[Div. Mínimo]=0,0,Tabela3[Lucro Distribuir]*#REF!/Tabela3[Total Ações])</f>
        <v>#REF!</v>
      </c>
      <c r="AG160" s="80">
        <f>Tabela3[Lucro Distribuir]/Tabela3[Total Ações]</f>
        <v>0.89563349936037273</v>
      </c>
      <c r="AH16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0.22604524057502129</v>
      </c>
      <c r="AI160" s="15" t="str">
        <f>IF(AND(Tabela3[% A.A.]&gt;=7%,SUMPRODUCT(N(Tabela3[Nome]=Tabela3[[#This Row],[Nome]]),Tabela3[PL])&gt;0),"Sim","Não")</f>
        <v>Não</v>
      </c>
      <c r="AJ160" s="42">
        <f>IF(Tabela3[Cotação]&gt;0,Tabela3[[#This Row],[Lucro]]/Tabela3[[#This Row],[Cotação]],0)</f>
        <v>0</v>
      </c>
      <c r="AK160" s="19">
        <f>((1+Tabela3[[#This Row],[% Yield]])^(1/(3*Tabela3[[#This Row],[Ref]])))^(12)-1</f>
        <v>0</v>
      </c>
      <c r="AL160" s="14">
        <f>IF(Tabela3[Cotação]&gt;0,($AS$1/Tabela3[[#This Row],[Cotação]]-MOD($AS$1/Tabela3[[#This Row],[Cotação]],100)),)</f>
        <v>0</v>
      </c>
      <c r="AM160" s="17">
        <f>Tabela3[[#This Row],[Ativos]]*Tabela3[Lucro]</f>
        <v>0</v>
      </c>
      <c r="AN160" s="13">
        <f>SUMPRODUCT(N(Tabela1[Código]=Tabela3[[#This Row],[PAPEL]]),Tabela1[Fechamento])</f>
        <v>0</v>
      </c>
      <c r="AO160" s="5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  <c r="AQ160" s="7">
        <f>SUMPRODUCT(N(Tabela1768[Código]=Tabela3[[#This Row],[PAPEL]]),Tabela1768[Fechamento])</f>
        <v>0</v>
      </c>
    </row>
    <row r="161" spans="1:43" hidden="1" x14ac:dyDescent="0.2">
      <c r="A161" s="4" t="s">
        <v>12</v>
      </c>
      <c r="B161" s="57" t="s">
        <v>504</v>
      </c>
      <c r="C161" s="84" t="str">
        <f>LEFT(Tabela3[PAPEL],LEN(Tabela3[PAPEL])-(LEN(Tabela3[PAPEL])-4))</f>
        <v>ENMA</v>
      </c>
      <c r="D161" s="15">
        <v>3</v>
      </c>
      <c r="E161" s="6">
        <v>618549815.79999995</v>
      </c>
      <c r="F161" s="8">
        <v>1625729</v>
      </c>
      <c r="G161" s="83">
        <v>0.25</v>
      </c>
      <c r="H161" s="15"/>
      <c r="I161" s="19">
        <v>0.1</v>
      </c>
      <c r="J161" s="19"/>
      <c r="K161" s="90"/>
      <c r="L161" s="90"/>
      <c r="M161" s="92">
        <v>1380983000</v>
      </c>
      <c r="N161" s="92">
        <v>154788000</v>
      </c>
      <c r="O161" s="6">
        <f>Tabela3[[#This Row],[Capital Social]]*20%</f>
        <v>123709963.16</v>
      </c>
      <c r="P161" s="6">
        <f>IF((Tabela3[Lucro Líquido]*5%)&gt;Tabela3[Teto R. Legal],Tabela3[Teto R. Legal],Tabela3[Lucro Líquido]*5%)</f>
        <v>7739400</v>
      </c>
      <c r="Q161" s="6">
        <f>IF(Tabela3[Lucro Líquido]&lt;0,0,Tabela3[Lucro Líquido]-Tabela3[Reserva Legal])</f>
        <v>147048600</v>
      </c>
      <c r="R161" s="6">
        <f>Tabela3[[#This Row],[Lucro Distribuir]]*Tabela3[%Div]</f>
        <v>36762150</v>
      </c>
      <c r="S161" s="56">
        <f>SUMPRODUCT(N(Tabela3[Nome]=Tabela3[[#This Row],[Nome]]),Tabela3[Ações])</f>
        <v>164183899</v>
      </c>
      <c r="T161" s="6">
        <f>Tabela3[Capital Social]/Tabela3[Total Ações]</f>
        <v>3.7674206762503548</v>
      </c>
      <c r="U161" s="80">
        <f>Tabela3[[#This Row],[Lucro Líquido]]/Tabela3[[#This Row],[Total Ações]]</f>
        <v>0.94277210458986604</v>
      </c>
      <c r="V16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W16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0.37674206762503548</v>
      </c>
      <c r="Y16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0.37674206762503548</v>
      </c>
      <c r="Z161" s="6">
        <f>Tabela3[Div Base]*Tabela3[Ações]</f>
        <v>612480.50485798134</v>
      </c>
      <c r="AA161" s="6">
        <f>SUMPRODUCT(N(Tabela3[Nome]=Tabela3[[#This Row],[Nome]]),Tabela3[Div Base]*Tabela3[Ações])</f>
        <v>36762150</v>
      </c>
      <c r="AB161" s="6">
        <f>Tabela3[Patrimônio Líquido]/Tabela3[Total Ações]</f>
        <v>8.4111962769260344</v>
      </c>
      <c r="AC161" s="48">
        <f>MAX(Tabela3[[#This Row],[Cotação 1]:[Cotação 4]])</f>
        <v>0</v>
      </c>
      <c r="AD161" s="44">
        <f>Tabela3[Cotação]/Tabela3[VPA]</f>
        <v>0</v>
      </c>
      <c r="AE161" s="40">
        <f>IF(Tabela3[[#This Row],[Lucro/Ação]]&gt;0,Tabela3[[#This Row],[Cotação]]/(Tabela3[[#This Row],[Lucro/Ação]]/Tabela3[Ref]*4),0)</f>
        <v>0</v>
      </c>
      <c r="AF161" s="40" t="e">
        <f>IF(Tabela3[Div. Mínimo]=0,0,Tabela3[Lucro Distribuir]*#REF!/Tabela3[Total Ações])</f>
        <v>#REF!</v>
      </c>
      <c r="AG161" s="80">
        <f>Tabela3[Lucro Distribuir]/Tabela3[Total Ações]</f>
        <v>0.89563349936037273</v>
      </c>
      <c r="AH16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0.37674206762503548</v>
      </c>
      <c r="AI161" s="15" t="str">
        <f>IF(AND(Tabela3[% A.A.]&gt;=7%,SUMPRODUCT(N(Tabela3[Nome]=Tabela3[[#This Row],[Nome]]),Tabela3[PL])&gt;0),"Sim","Não")</f>
        <v>Não</v>
      </c>
      <c r="AJ161" s="42">
        <f>IF(Tabela3[Cotação]&gt;0,Tabela3[[#This Row],[Lucro]]/Tabela3[[#This Row],[Cotação]],0)</f>
        <v>0</v>
      </c>
      <c r="AK161" s="19">
        <f>((1+Tabela3[[#This Row],[% Yield]])^(1/(3*Tabela3[[#This Row],[Ref]])))^(12)-1</f>
        <v>0</v>
      </c>
      <c r="AL161" s="14">
        <f>IF(Tabela3[Cotação]&gt;0,($AS$1/Tabela3[[#This Row],[Cotação]]-MOD($AS$1/Tabela3[[#This Row],[Cotação]],100)),)</f>
        <v>0</v>
      </c>
      <c r="AM161" s="17">
        <f>Tabela3[[#This Row],[Ativos]]*Tabela3[Lucro]</f>
        <v>0</v>
      </c>
      <c r="AN161" s="13">
        <f>SUMPRODUCT(N(Tabela1[Código]=Tabela3[[#This Row],[PAPEL]]),Tabela1[Fechamento])</f>
        <v>0</v>
      </c>
      <c r="AO161" s="55">
        <f>SUMPRODUCT(N(Tabela17[Código]=Tabela3[[#This Row],[PAPEL]]),Tabela17[Fechamento])</f>
        <v>0</v>
      </c>
      <c r="AP161" s="7">
        <f>SUMPRODUCT(N(Tabela176[Código]=Tabela3[[#This Row],[PAPEL]]),Tabela176[Fechamento])</f>
        <v>0</v>
      </c>
      <c r="AQ161" s="7">
        <f>SUMPRODUCT(N(Tabela1768[Código]=Tabela3[[#This Row],[PAPEL]]),Tabela1768[Fechamento])</f>
        <v>0</v>
      </c>
    </row>
    <row r="162" spans="1:43" hidden="1" x14ac:dyDescent="0.2">
      <c r="A162" s="24" t="s">
        <v>12</v>
      </c>
      <c r="B162" s="60" t="s">
        <v>35</v>
      </c>
      <c r="C162" s="15" t="str">
        <f>LEFT(Tabela3[PAPEL],LEN(Tabela3[PAPEL])-(LEN(Tabela3[PAPEL])-4))</f>
        <v>EQTL</v>
      </c>
      <c r="D162" s="16">
        <v>3</v>
      </c>
      <c r="E162" s="5">
        <v>2011701957.72</v>
      </c>
      <c r="F162" s="56">
        <v>198447352</v>
      </c>
      <c r="G162" s="88">
        <v>0.25</v>
      </c>
      <c r="H162" s="16"/>
      <c r="I162" s="18"/>
      <c r="K162" s="89"/>
      <c r="L162" s="89"/>
      <c r="M162" s="93">
        <v>2881205000</v>
      </c>
      <c r="N162" s="93">
        <v>130778000</v>
      </c>
      <c r="O162" s="28">
        <f>Tabela3[[#This Row],[Capital Social]]*20%</f>
        <v>402340391.54400003</v>
      </c>
      <c r="P162" s="28">
        <f>IF((Tabela3[Lucro Líquido]*5%)&gt;Tabela3[Teto R. Legal],Tabela3[Teto R. Legal],Tabela3[Lucro Líquido]*5%)</f>
        <v>6538900</v>
      </c>
      <c r="Q162" s="93">
        <f>IF(Tabela3[Lucro Líquido]&lt;0,0,Tabela3[Lucro Líquido]-Tabela3[Reserva Legal])</f>
        <v>124239100</v>
      </c>
      <c r="R162" s="93">
        <f>Tabela3[[#This Row],[Lucro Distribuir]]*Tabela3[%Div]</f>
        <v>31059775</v>
      </c>
      <c r="S162" s="56">
        <f>SUMPRODUCT(N(Tabela3[Nome]=Tabela3[[#This Row],[Nome]]),Tabela3[Ações])</f>
        <v>198447352</v>
      </c>
      <c r="T162" s="28">
        <f>Tabela3[Capital Social]/Tabela3[Total Ações]</f>
        <v>10.137207362283171</v>
      </c>
      <c r="U162" s="81">
        <f>Tabela3[[#This Row],[Lucro Líquido]]/Tabela3[[#This Row],[Total Ações]]</f>
        <v>0.65900602190952895</v>
      </c>
      <c r="V162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0.15651393020351312</v>
      </c>
      <c r="W162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2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2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0.15651393020351312</v>
      </c>
      <c r="Z162" s="28">
        <f>Tabela3[Div Base]*Tabela3[Ações]</f>
        <v>31059775</v>
      </c>
      <c r="AA162" s="28">
        <f>SUMPRODUCT(N(Tabela3[Nome]=Tabela3[[#This Row],[Nome]]),Tabela3[Div Base]*Tabela3[Ações])</f>
        <v>31059775</v>
      </c>
      <c r="AB162" s="93">
        <f>Tabela3[Patrimônio Líquido]/Tabela3[Total Ações]</f>
        <v>14.518737443269083</v>
      </c>
      <c r="AC162" s="29">
        <f>MAX(Tabela3[[#This Row],[Cotação 1]:[Cotação 4]])</f>
        <v>21.49</v>
      </c>
      <c r="AD162" s="30">
        <f>Tabela3[Cotação]/Tabela3[VPA]</f>
        <v>1.4801562521514435</v>
      </c>
      <c r="AE162" s="35">
        <f>IF(Tabela3[[#This Row],[Lucro/Ação]]&gt;0,Tabela3[[#This Row],[Cotação]]/(Tabela3[[#This Row],[Lucro/Ação]]/Tabela3[Ref]*4),0)</f>
        <v>24.457287891388457</v>
      </c>
      <c r="AF162" s="35" t="e">
        <f>IF(Tabela3[Div. Mínimo]=0,0,Tabela3[Lucro Distribuir]*#REF!/Tabela3[Total Ações])</f>
        <v>#REF!</v>
      </c>
      <c r="AG162" s="80">
        <f>Tabela3[Lucro Distribuir]/Tabela3[Total Ações]</f>
        <v>0.62605572081405247</v>
      </c>
      <c r="AH16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0.15651393020351312</v>
      </c>
      <c r="AI162" s="25" t="str">
        <f>IF(AND(Tabela3[% A.A.]&gt;=7%,SUMPRODUCT(N(Tabela3[Nome]=Tabela3[[#This Row],[Nome]]),Tabela3[PL])&gt;0),"Sim","Não")</f>
        <v>Não</v>
      </c>
      <c r="AJ162" s="27">
        <f>IF(Tabela3[Cotação]&gt;0,Tabela3[[#This Row],[Lucro]]/Tabela3[[#This Row],[Cotação]],0)</f>
        <v>7.2831051746632446E-3</v>
      </c>
      <c r="AK162" s="49">
        <f>((1+Tabela3[[#This Row],[% Yield]])^(1/(3*Tabela3[[#This Row],[Ref]])))^(12)-1</f>
        <v>9.7225753509071478E-3</v>
      </c>
      <c r="AL162" s="10">
        <f>IF(Tabela3[Cotação]&gt;0,($AS$1/Tabela3[[#This Row],[Cotação]]-MOD($AS$1/Tabela3[[#This Row],[Cotação]],100)),)</f>
        <v>0</v>
      </c>
      <c r="AM162" s="7">
        <f>Tabela3[[#This Row],[Ativos]]*Tabela3[Lucro]</f>
        <v>0</v>
      </c>
      <c r="AN162" s="5">
        <f>SUMPRODUCT(N(Tabela1[Código]=Tabela3[[#This Row],[PAPEL]]),Tabela1[Fechamento])</f>
        <v>21.49</v>
      </c>
      <c r="AO162" s="5">
        <f>SUMPRODUCT(N(Tabela17[Código]=Tabela3[[#This Row],[PAPEL]]),Tabela17[Fechamento])</f>
        <v>0</v>
      </c>
      <c r="AP162" s="7">
        <f>SUMPRODUCT(N(Tabela176[Código]=Tabela3[[#This Row],[PAPEL]]),Tabela176[Fechamento])</f>
        <v>0</v>
      </c>
      <c r="AQ162" s="7">
        <f>SUMPRODUCT(N(Tabela1768[Código]=Tabela3[[#This Row],[PAPEL]]),Tabela1768[Fechamento])</f>
        <v>0</v>
      </c>
    </row>
    <row r="163" spans="1:43" hidden="1" x14ac:dyDescent="0.2">
      <c r="A163" s="4" t="s">
        <v>345</v>
      </c>
      <c r="B163" s="57" t="s">
        <v>344</v>
      </c>
      <c r="C163" s="84" t="str">
        <f>LEFT(Tabela3[PAPEL],LEN(Tabela3[PAPEL])-(LEN(Tabela3[PAPEL])-4))</f>
        <v>ETER</v>
      </c>
      <c r="D163" s="15">
        <v>3</v>
      </c>
      <c r="E163" s="6">
        <v>334251231.39999998</v>
      </c>
      <c r="F163" s="8">
        <v>89500000</v>
      </c>
      <c r="G163" s="83">
        <v>0.25</v>
      </c>
      <c r="H163" s="19"/>
      <c r="I163" s="19"/>
      <c r="J163" s="19"/>
      <c r="K163" s="90"/>
      <c r="L163" s="90"/>
      <c r="M163" s="6">
        <v>502819000</v>
      </c>
      <c r="N163" s="6">
        <v>76981000</v>
      </c>
      <c r="O163" s="6">
        <f>Tabela3[[#This Row],[Capital Social]]*20%</f>
        <v>66850246.280000001</v>
      </c>
      <c r="P163" s="6">
        <f>IF((Tabela3[Lucro Líquido]*5%)&gt;Tabela3[Teto R. Legal],Tabela3[Teto R. Legal],Tabela3[Lucro Líquido]*5%)</f>
        <v>3849050</v>
      </c>
      <c r="Q163" s="6">
        <f>IF(Tabela3[Lucro Líquido]&lt;0,0,Tabela3[Lucro Líquido]-Tabela3[Reserva Legal])</f>
        <v>73131950</v>
      </c>
      <c r="R163" s="6">
        <f>Tabela3[[#This Row],[Lucro Distribuir]]*Tabela3[%Div]</f>
        <v>18282987.5</v>
      </c>
      <c r="S163" s="21">
        <f>SUMPRODUCT(N(Tabela3[Nome]=Tabela3[[#This Row],[Nome]]),Tabela3[Ações])</f>
        <v>89500000</v>
      </c>
      <c r="T163" s="6">
        <f>Tabela3[Capital Social]/Tabela3[Total Ações]</f>
        <v>3.7346506301675975</v>
      </c>
      <c r="U163" s="80">
        <f>Tabela3[[#This Row],[Lucro Líquido]]/Tabela3[[#This Row],[Total Ações]]</f>
        <v>0.86012290502793298</v>
      </c>
      <c r="V16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0.20427918994413408</v>
      </c>
      <c r="W16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0.20427918994413408</v>
      </c>
      <c r="Z163" s="6">
        <f>Tabela3[Div Base]*Tabela3[Ações]</f>
        <v>18282987.5</v>
      </c>
      <c r="AA163" s="6">
        <f>SUMPRODUCT(N(Tabela3[Nome]=Tabela3[[#This Row],[Nome]]),Tabela3[Div Base]*Tabela3[Ações])</f>
        <v>18282987.5</v>
      </c>
      <c r="AB163" s="6">
        <f>Tabela3[Patrimônio Líquido]/Tabela3[Total Ações]</f>
        <v>5.6180893854748604</v>
      </c>
      <c r="AC163" s="48">
        <f>MAX(Tabela3[[#This Row],[Cotação 1]:[Cotação 4]])</f>
        <v>7.83</v>
      </c>
      <c r="AD163" s="44">
        <f>Tabela3[Cotação]/Tabela3[VPA]</f>
        <v>1.3937122503326247</v>
      </c>
      <c r="AE163" s="40">
        <f>IF(Tabela3[[#This Row],[Lucro/Ação]]&gt;0,Tabela3[[#This Row],[Cotação]]/(Tabela3[[#This Row],[Lucro/Ação]]/Tabela3[Ref]*4),0)</f>
        <v>6.8275126329873599</v>
      </c>
      <c r="AF163" s="77" t="e">
        <f>IF(Tabela3[Div. Mínimo]=0,0,Tabela3[Lucro Distribuir]*#REF!/Tabela3[Total Ações])</f>
        <v>#REF!</v>
      </c>
      <c r="AG163" s="80">
        <f>Tabela3[Lucro Distribuir]/Tabela3[Total Ações]</f>
        <v>0.81711675977653631</v>
      </c>
      <c r="AH16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0.20427918994413408</v>
      </c>
      <c r="AI163" s="15" t="str">
        <f>IF(AND(Tabela3[% A.A.]&gt;=7%,SUMPRODUCT(N(Tabela3[Nome]=Tabela3[[#This Row],[Nome]]),Tabela3[PL])&gt;0),"Sim","Não")</f>
        <v>Não</v>
      </c>
      <c r="AJ163" s="42">
        <f>IF(Tabela3[Cotação]&gt;0,Tabela3[[#This Row],[Lucro]]/Tabela3[[#This Row],[Cotação]],0)</f>
        <v>2.6089296289161439E-2</v>
      </c>
      <c r="AK163" s="19">
        <f>((1+Tabela3[[#This Row],[% Yield]])^(1/(3*Tabela3[[#This Row],[Ref]])))^(12)-1</f>
        <v>3.4936116725816424E-2</v>
      </c>
      <c r="AL163" s="14">
        <f>IF(Tabela3[Cotação]&gt;0,($AS$1/Tabela3[[#This Row],[Cotação]]-MOD($AS$1/Tabela3[[#This Row],[Cotação]],100)),)</f>
        <v>100</v>
      </c>
      <c r="AM163" s="17">
        <f>Tabela3[[#This Row],[Ativos]]*Tabela3[Lucro]</f>
        <v>20.427918994413407</v>
      </c>
      <c r="AN163" s="13">
        <f>SUMPRODUCT(N(Tabela1[Código]=Tabela3[[#This Row],[PAPEL]]),Tabela1[Fechamento])</f>
        <v>0</v>
      </c>
      <c r="AO163" s="55">
        <f>SUMPRODUCT(N(Tabela17[Código]=Tabela3[[#This Row],[PAPEL]]),Tabela17[Fechamento])</f>
        <v>7.83</v>
      </c>
      <c r="AP163" s="7">
        <f>SUMPRODUCT(N(Tabela176[Código]=Tabela3[[#This Row],[PAPEL]]),Tabela176[Fechamento])</f>
        <v>0</v>
      </c>
      <c r="AQ163" s="7">
        <f>SUMPRODUCT(N(Tabela1768[Código]=Tabela3[[#This Row],[PAPEL]]),Tabela1768[Fechamento])</f>
        <v>0</v>
      </c>
    </row>
    <row r="164" spans="1:43" hidden="1" x14ac:dyDescent="0.2">
      <c r="A164" s="4" t="s">
        <v>325</v>
      </c>
      <c r="B164" s="57" t="s">
        <v>711</v>
      </c>
      <c r="C164" s="84" t="str">
        <f>LEFT(Tabela3[PAPEL],LEN(Tabela3[PAPEL])-(LEN(Tabela3[PAPEL])-4))</f>
        <v>EUCA</v>
      </c>
      <c r="D164" s="15">
        <v>3</v>
      </c>
      <c r="E164" s="6">
        <v>488183378.76999998</v>
      </c>
      <c r="F164" s="8">
        <v>31257700</v>
      </c>
      <c r="G164" s="83">
        <v>0.25</v>
      </c>
      <c r="H164" s="19"/>
      <c r="I164" s="19"/>
      <c r="J164" s="19"/>
      <c r="K164" s="90"/>
      <c r="L164" s="90"/>
      <c r="M164" s="6">
        <v>1148966000</v>
      </c>
      <c r="N164" s="6">
        <v>80315000</v>
      </c>
      <c r="O164" s="6">
        <f>Tabela3[[#This Row],[Capital Social]]*20%</f>
        <v>97636675.754000008</v>
      </c>
      <c r="P164" s="6">
        <f>IF((Tabela3[Lucro Líquido]*5%)&gt;Tabela3[Teto R. Legal],Tabela3[Teto R. Legal],Tabela3[Lucro Líquido]*5%)</f>
        <v>4015750</v>
      </c>
      <c r="Q164" s="6">
        <f>IF(Tabela3[Lucro Líquido]&lt;0,0,Tabela3[Lucro Líquido]-Tabela3[Reserva Legal])</f>
        <v>76299250</v>
      </c>
      <c r="R164" s="6">
        <f>Tabela3[[#This Row],[Lucro Distribuir]]*Tabela3[%Div]</f>
        <v>19074812.5</v>
      </c>
      <c r="S164" s="56">
        <f>SUMPRODUCT(N(Tabela3[Nome]=Tabela3[[#This Row],[Nome]]),Tabela3[Ações])</f>
        <v>92619256</v>
      </c>
      <c r="T164" s="6">
        <f>Tabela3[Capital Social]/Tabela3[Total Ações]</f>
        <v>5.2708626678020387</v>
      </c>
      <c r="U164" s="80">
        <f>Tabela3[[#This Row],[Lucro Líquido]]/Tabela3[[#This Row],[Total Ações]]</f>
        <v>0.86715229066404942</v>
      </c>
      <c r="V16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0.1995408227986952</v>
      </c>
      <c r="W16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0.1995408227986952</v>
      </c>
      <c r="Z164" s="6">
        <f>Tabela3[Div Base]*Tabela3[Ações]</f>
        <v>6237187.1767947748</v>
      </c>
      <c r="AA164" s="6">
        <f>SUMPRODUCT(N(Tabela3[Nome]=Tabela3[[#This Row],[Nome]]),Tabela3[Div Base]*Tabela3[Ações])</f>
        <v>19705736.104938313</v>
      </c>
      <c r="AB164" s="6">
        <f>Tabela3[Patrimônio Líquido]/Tabela3[Total Ações]</f>
        <v>12.40526052163494</v>
      </c>
      <c r="AC164" s="48">
        <f>MAX(Tabela3[[#This Row],[Cotação 1]:[Cotação 4]])</f>
        <v>7.11</v>
      </c>
      <c r="AD164" s="44">
        <f>Tabela3[Cotação]/Tabela3[VPA]</f>
        <v>0.57314394869822083</v>
      </c>
      <c r="AE164" s="40">
        <f>IF(Tabela3[[#This Row],[Lucro/Ação]]&gt;0,Tabela3[[#This Row],[Cotação]]/(Tabela3[[#This Row],[Lucro/Ação]]/Tabela3[Ref]*4),0)</f>
        <v>6.1494388672103595</v>
      </c>
      <c r="AF164" s="77" t="e">
        <f>IF(Tabela3[Div. Mínimo]=0,0,Tabela3[Lucro Distribuir]*#REF!/Tabela3[Total Ações])</f>
        <v>#REF!</v>
      </c>
      <c r="AG164" s="80">
        <f>Tabela3[Lucro Distribuir]/Tabela3[Total Ações]</f>
        <v>0.82379467613084689</v>
      </c>
      <c r="AH16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0.1995408227986952</v>
      </c>
      <c r="AI164" s="15" t="str">
        <f>IF(AND(Tabela3[% A.A.]&gt;=7%,SUMPRODUCT(N(Tabela3[Nome]=Tabela3[[#This Row],[Nome]]),Tabela3[PL])&gt;0),"Sim","Não")</f>
        <v>Não</v>
      </c>
      <c r="AJ164" s="42">
        <f>IF(Tabela3[Cotação]&gt;0,Tabela3[[#This Row],[Lucro]]/Tabela3[[#This Row],[Cotação]],0)</f>
        <v>2.8064813333149814E-2</v>
      </c>
      <c r="AK164" s="19">
        <f>((1+Tabela3[[#This Row],[% Yield]])^(1/(3*Tabela3[[#This Row],[Ref]])))^(12)-1</f>
        <v>3.759370181465238E-2</v>
      </c>
      <c r="AL164" s="14">
        <f>IF(Tabela3[Cotação]&gt;0,($AS$1/Tabela3[[#This Row],[Cotação]]-MOD($AS$1/Tabela3[[#This Row],[Cotação]],100)),)</f>
        <v>100</v>
      </c>
      <c r="AM164" s="17">
        <f>Tabela3[[#This Row],[Ativos]]*Tabela3[Lucro]</f>
        <v>19.954082279869521</v>
      </c>
      <c r="AN164" s="13">
        <f>SUMPRODUCT(N(Tabela1[Código]=Tabela3[[#This Row],[PAPEL]]),Tabela1[Fechamento])</f>
        <v>0</v>
      </c>
      <c r="AO164" s="55">
        <f>SUMPRODUCT(N(Tabela17[Código]=Tabela3[[#This Row],[PAPEL]]),Tabela17[Fechamento])</f>
        <v>0</v>
      </c>
      <c r="AP164" s="7">
        <f>SUMPRODUCT(N(Tabela176[Código]=Tabela3[[#This Row],[PAPEL]]),Tabela176[Fechamento])</f>
        <v>7.11</v>
      </c>
      <c r="AQ164" s="7">
        <f>SUMPRODUCT(N(Tabela1768[Código]=Tabela3[[#This Row],[PAPEL]]),Tabela1768[Fechamento])</f>
        <v>0</v>
      </c>
    </row>
    <row r="165" spans="1:43" hidden="1" x14ac:dyDescent="0.2">
      <c r="A165" s="4" t="s">
        <v>325</v>
      </c>
      <c r="B165" s="57" t="s">
        <v>327</v>
      </c>
      <c r="C165" s="84" t="str">
        <f>LEFT(Tabela3[PAPEL],LEN(Tabela3[PAPEL])-(LEN(Tabela3[PAPEL])-4))</f>
        <v>EUCA</v>
      </c>
      <c r="D165" s="15">
        <v>3</v>
      </c>
      <c r="E165" s="6">
        <v>488183378.76999998</v>
      </c>
      <c r="F165" s="8">
        <v>61361556</v>
      </c>
      <c r="G165" s="88">
        <v>0.25</v>
      </c>
      <c r="H165" s="15"/>
      <c r="I165" s="19"/>
      <c r="J165" s="19">
        <v>0.1</v>
      </c>
      <c r="K165" s="90"/>
      <c r="L165" s="90"/>
      <c r="M165" s="6">
        <v>1148966000</v>
      </c>
      <c r="N165" s="6">
        <v>80315000</v>
      </c>
      <c r="O165" s="6">
        <f>Tabela3[[#This Row],[Capital Social]]*20%</f>
        <v>97636675.754000008</v>
      </c>
      <c r="P165" s="6">
        <f>IF((Tabela3[Lucro Líquido]*5%)&gt;Tabela3[Teto R. Legal],Tabela3[Teto R. Legal],Tabela3[Lucro Líquido]*5%)</f>
        <v>4015750</v>
      </c>
      <c r="Q165" s="6">
        <f>IF(Tabela3[Lucro Líquido]&lt;0,0,Tabela3[Lucro Líquido]-Tabela3[Reserva Legal])</f>
        <v>76299250</v>
      </c>
      <c r="R165" s="6">
        <f>Tabela3[[#This Row],[Lucro Distribuir]]*Tabela3[%Div]</f>
        <v>19074812.5</v>
      </c>
      <c r="S165" s="56">
        <f>SUMPRODUCT(N(Tabela3[Nome]=Tabela3[[#This Row],[Nome]]),Tabela3[Ações])</f>
        <v>92619256</v>
      </c>
      <c r="T165" s="6">
        <f>Tabela3[Capital Social]/Tabela3[Total Ações]</f>
        <v>5.2708626678020387</v>
      </c>
      <c r="U165" s="80">
        <f>Tabela3[[#This Row],[Lucro Líquido]]/Tabela3[[#This Row],[Total Ações]]</f>
        <v>0.86715229066404942</v>
      </c>
      <c r="V16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0.21949490537924979</v>
      </c>
      <c r="W16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0.21949490537924979</v>
      </c>
      <c r="Z165" s="6">
        <f>Tabela3[Div Base]*Tabela3[Ações]</f>
        <v>13468548.928143537</v>
      </c>
      <c r="AA165" s="6">
        <f>SUMPRODUCT(N(Tabela3[Nome]=Tabela3[[#This Row],[Nome]]),Tabela3[Div Base]*Tabela3[Ações])</f>
        <v>19705736.104938313</v>
      </c>
      <c r="AB165" s="6">
        <f>Tabela3[Patrimônio Líquido]/Tabela3[Total Ações]</f>
        <v>12.40526052163494</v>
      </c>
      <c r="AC165" s="48">
        <f>MAX(Tabela3[[#This Row],[Cotação 1]:[Cotação 4]])</f>
        <v>5.89</v>
      </c>
      <c r="AD165" s="44">
        <f>Tabela3[Cotação]/Tabela3[VPA]</f>
        <v>0.47479857353481297</v>
      </c>
      <c r="AE165" s="40">
        <f>IF(Tabela3[[#This Row],[Lucro/Ação]]&gt;0,Tabela3[[#This Row],[Cotação]]/(Tabela3[[#This Row],[Lucro/Ação]]/Tabela3[Ref]*4),0)</f>
        <v>5.0942608899956419</v>
      </c>
      <c r="AF165" s="40" t="e">
        <f>IF(Tabela3[Div. Mínimo]=0,0,Tabela3[Lucro Distribuir]*#REF!/Tabela3[Total Ações])</f>
        <v>#REF!</v>
      </c>
      <c r="AG165" s="80">
        <f>Tabela3[Lucro Distribuir]/Tabela3[Total Ações]</f>
        <v>0.82379467613084689</v>
      </c>
      <c r="AH16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0.21949490537924979</v>
      </c>
      <c r="AI165" s="15" t="str">
        <f>IF(AND(Tabela3[% A.A.]&gt;=7%,SUMPRODUCT(N(Tabela3[Nome]=Tabela3[[#This Row],[Nome]]),Tabela3[PL])&gt;0),"Sim","Não")</f>
        <v>Não</v>
      </c>
      <c r="AJ165" s="42">
        <f>IF(Tabela3[Cotação]&gt;0,Tabela3[[#This Row],[Lucro]]/Tabela3[[#This Row],[Cotação]],0)</f>
        <v>3.7265688519397253E-2</v>
      </c>
      <c r="AK165" s="19">
        <f>((1+Tabela3[[#This Row],[% Yield]])^(1/(3*Tabela3[[#This Row],[Ref]])))^(12)-1</f>
        <v>4.9993674956902323E-2</v>
      </c>
      <c r="AL165" s="14">
        <f>IF(Tabela3[Cotação]&gt;0,($AS$1/Tabela3[[#This Row],[Cotação]]-MOD($AS$1/Tabela3[[#This Row],[Cotação]],100)),)</f>
        <v>100</v>
      </c>
      <c r="AM165" s="17">
        <f>Tabela3[[#This Row],[Ativos]]*Tabela3[Lucro]</f>
        <v>21.94949053792498</v>
      </c>
      <c r="AN165" s="13">
        <f>SUMPRODUCT(N(Tabela1[Código]=Tabela3[[#This Row],[PAPEL]]),Tabela1[Fechamento])</f>
        <v>0</v>
      </c>
      <c r="AO165" s="55">
        <f>SUMPRODUCT(N(Tabela17[Código]=Tabela3[[#This Row],[PAPEL]]),Tabela17[Fechamento])</f>
        <v>5.89</v>
      </c>
      <c r="AP165" s="7">
        <f>SUMPRODUCT(N(Tabela176[Código]=Tabela3[[#This Row],[PAPEL]]),Tabela176[Fechamento])</f>
        <v>0</v>
      </c>
      <c r="AQ165" s="7">
        <f>SUMPRODUCT(N(Tabela1768[Código]=Tabela3[[#This Row],[PAPEL]]),Tabela1768[Fechamento])</f>
        <v>0</v>
      </c>
    </row>
    <row r="166" spans="1:43" hidden="1" x14ac:dyDescent="0.2">
      <c r="A166" s="4" t="s">
        <v>340</v>
      </c>
      <c r="B166" s="57" t="s">
        <v>635</v>
      </c>
      <c r="C166" s="16" t="str">
        <f>LEFT(Tabela3[PAPEL],LEN(Tabela3[PAPEL])-(LEN(Tabela3[PAPEL])-4))</f>
        <v>FBMC</v>
      </c>
      <c r="D166" s="16">
        <v>3</v>
      </c>
      <c r="E166" s="5">
        <v>23748768.84</v>
      </c>
      <c r="F166" s="56">
        <v>265160</v>
      </c>
      <c r="G166" s="83">
        <v>0.25</v>
      </c>
      <c r="I166" s="18"/>
      <c r="K166" s="89"/>
      <c r="L166" s="89"/>
      <c r="M166" s="94">
        <v>21037000</v>
      </c>
      <c r="N166" s="73">
        <v>-2365000</v>
      </c>
      <c r="O166" s="47">
        <f>Tabela3[[#This Row],[Capital Social]]*20%</f>
        <v>4749753.7680000002</v>
      </c>
      <c r="P166" s="47">
        <f>IF((Tabela3[Lucro Líquido]*5%)&gt;Tabela3[Teto R. Legal],Tabela3[Teto R. Legal],Tabela3[Lucro Líquido]*5%)</f>
        <v>-118250</v>
      </c>
      <c r="Q166" s="47">
        <f>IF(Tabela3[Lucro Líquido]&lt;0,0,Tabela3[Lucro Líquido]-Tabela3[Reserva Legal])</f>
        <v>0</v>
      </c>
      <c r="R166" s="47">
        <f>Tabela3[[#This Row],[Lucro Distribuir]]*Tabela3[%Div]</f>
        <v>0</v>
      </c>
      <c r="S166" s="56">
        <f>SUMPRODUCT(N(Tabela3[Nome]=Tabela3[[#This Row],[Nome]]),Tabela3[Ações])</f>
        <v>726514</v>
      </c>
      <c r="T166" s="5">
        <f>Tabela3[Capital Social]/Tabela3[Total Ações]</f>
        <v>32.688659599126787</v>
      </c>
      <c r="U166" s="79">
        <f>Tabela3[[#This Row],[Lucro Líquido]]/Tabela3[[#This Row],[Total Ações]]</f>
        <v>-3.2552710615349465</v>
      </c>
      <c r="V16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6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66" s="47">
        <f>Tabela3[Div Base]*Tabela3[Ações]</f>
        <v>0</v>
      </c>
      <c r="AA166" s="47">
        <f>SUMPRODUCT(N(Tabela3[Nome]=Tabela3[[#This Row],[Nome]]),Tabela3[Div Base]*Tabela3[Ações])</f>
        <v>1206483.5088556432</v>
      </c>
      <c r="AB166" s="74">
        <f>Tabela3[Patrimônio Líquido]/Tabela3[Total Ações]</f>
        <v>28.956083434042565</v>
      </c>
      <c r="AC166" s="52">
        <f>MAX(Tabela3[[#This Row],[Cotação 1]:[Cotação 4]])</f>
        <v>80</v>
      </c>
      <c r="AD166" s="53">
        <f>Tabela3[Cotação]/Tabela3[VPA]</f>
        <v>2.7628045824024339</v>
      </c>
      <c r="AE166" s="37">
        <f>IF(Tabela3[[#This Row],[Lucro/Ação]]&gt;0,Tabela3[[#This Row],[Cotação]]/(Tabela3[[#This Row],[Lucro/Ação]]/Tabela3[Ref]*4),0)</f>
        <v>0</v>
      </c>
      <c r="AF166" s="59">
        <f>IF(Tabela3[Div. Mínimo]=0,0,Tabela3[Lucro Distribuir]*#REF!/Tabela3[Total Ações])</f>
        <v>0</v>
      </c>
      <c r="AG166" s="79">
        <f>Tabela3[Lucro Distribuir]/Tabela3[Total Ações]</f>
        <v>0</v>
      </c>
      <c r="AH16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66" s="10" t="str">
        <f>IF(AND(Tabela3[% A.A.]&gt;=7%,SUMPRODUCT(N(Tabela3[Nome]=Tabela3[[#This Row],[Nome]]),Tabela3[PL])&gt;0),"Sim","Não")</f>
        <v>Não</v>
      </c>
      <c r="AJ166" s="22">
        <f>IF(Tabela3[Cotação]&gt;0,Tabela3[[#This Row],[Lucro]]/Tabela3[[#This Row],[Cotação]],0)</f>
        <v>0</v>
      </c>
      <c r="AK166" s="22">
        <f>((1+Tabela3[[#This Row],[% Yield]])^(1/(3*Tabela3[[#This Row],[Ref]])))^(12)-1</f>
        <v>0</v>
      </c>
      <c r="AL166" s="10">
        <f>IF(Tabela3[Cotação]&gt;0,($AS$1/Tabela3[[#This Row],[Cotação]]-MOD($AS$1/Tabela3[[#This Row],[Cotação]],100)),)</f>
        <v>0</v>
      </c>
      <c r="AM166" s="7">
        <f>Tabela3[[#This Row],[Ativos]]*Tabela3[Lucro]</f>
        <v>0</v>
      </c>
      <c r="AN166" s="7">
        <f>SUMPRODUCT(N(Tabela1[Código]=Tabela3[[#This Row],[PAPEL]]),Tabela1[Fechamento])</f>
        <v>0</v>
      </c>
      <c r="AO166" s="7">
        <f>SUMPRODUCT(N(Tabela17[Código]=Tabela3[[#This Row],[PAPEL]]),Tabela17[Fechamento])</f>
        <v>0</v>
      </c>
      <c r="AP166" s="7">
        <f>SUMPRODUCT(N(Tabela176[Código]=Tabela3[[#This Row],[PAPEL]]),Tabela176[Fechamento])</f>
        <v>80</v>
      </c>
      <c r="AQ166" s="7">
        <f>SUMPRODUCT(N(Tabela1768[Código]=Tabela3[[#This Row],[PAPEL]]),Tabela1768[Fechamento])</f>
        <v>0</v>
      </c>
    </row>
    <row r="167" spans="1:43" hidden="1" x14ac:dyDescent="0.2">
      <c r="A167" s="4" t="s">
        <v>340</v>
      </c>
      <c r="B167" s="57" t="s">
        <v>636</v>
      </c>
      <c r="C167" s="15" t="str">
        <f>LEFT(Tabela3[PAPEL],LEN(Tabela3[PAPEL])-(LEN(Tabela3[PAPEL])-4))</f>
        <v>FBMC</v>
      </c>
      <c r="D167" s="15">
        <v>3</v>
      </c>
      <c r="E167" s="5">
        <v>23748768.84</v>
      </c>
      <c r="F167" s="8">
        <v>461354</v>
      </c>
      <c r="G167" s="88">
        <v>0.25</v>
      </c>
      <c r="H167" s="9"/>
      <c r="I167" s="19">
        <v>0.08</v>
      </c>
      <c r="J167" s="19"/>
      <c r="K167" s="90"/>
      <c r="L167" s="90"/>
      <c r="M167" s="94">
        <v>21037000</v>
      </c>
      <c r="N167" s="73">
        <v>-2365000</v>
      </c>
      <c r="O167" s="13">
        <f>Tabela3[[#This Row],[Capital Social]]*20%</f>
        <v>4749753.7680000002</v>
      </c>
      <c r="P167" s="13">
        <f>IF((Tabela3[Lucro Líquido]*5%)&gt;Tabela3[Teto R. Legal],Tabela3[Teto R. Legal],Tabela3[Lucro Líquido]*5%)</f>
        <v>-118250</v>
      </c>
      <c r="Q167" s="13">
        <f>IF(Tabela3[Lucro Líquido]&lt;0,0,Tabela3[Lucro Líquido]-Tabela3[Reserva Legal])</f>
        <v>0</v>
      </c>
      <c r="R167" s="13">
        <f>Tabela3[[#This Row],[Lucro Distribuir]]*Tabela3[%Div]</f>
        <v>0</v>
      </c>
      <c r="S167" s="56">
        <f>SUMPRODUCT(N(Tabela3[Nome]=Tabela3[[#This Row],[Nome]]),Tabela3[Ações])</f>
        <v>726514</v>
      </c>
      <c r="T167" s="6">
        <f>Tabela3[Capital Social]/Tabela3[Total Ações]</f>
        <v>32.688659599126787</v>
      </c>
      <c r="U167" s="80">
        <f>Tabela3[[#This Row],[Lucro Líquido]]/Tabela3[[#This Row],[Total Ações]]</f>
        <v>-3.2552710615349465</v>
      </c>
      <c r="V16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6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2.6150927679301432</v>
      </c>
      <c r="Y16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2.6150927679301432</v>
      </c>
      <c r="Z167" s="13">
        <f>Tabela3[Div Base]*Tabela3[Ações]</f>
        <v>1206483.5088556432</v>
      </c>
      <c r="AA167" s="13">
        <f>SUMPRODUCT(N(Tabela3[Nome]=Tabela3[[#This Row],[Nome]]),Tabela3[Div Base]*Tabela3[Ações])</f>
        <v>1206483.5088556432</v>
      </c>
      <c r="AB167" s="95">
        <f>Tabela3[Patrimônio Líquido]/Tabela3[Total Ações]</f>
        <v>28.956083434042565</v>
      </c>
      <c r="AC167" s="48">
        <f>MAX(Tabela3[[#This Row],[Cotação 1]:[Cotação 4]])</f>
        <v>25.99</v>
      </c>
      <c r="AD167" s="44">
        <f>Tabela3[Cotação]/Tabela3[VPA]</f>
        <v>0.89756613870799062</v>
      </c>
      <c r="AE167" s="40">
        <f>IF(Tabela3[[#This Row],[Lucro/Ação]]&gt;0,Tabela3[[#This Row],[Cotação]]/(Tabela3[[#This Row],[Lucro/Ação]]/Tabela3[Ref]*4),0)</f>
        <v>0</v>
      </c>
      <c r="AF167" s="91">
        <f>IF(Tabela3[Div. Mínimo]=0,0,Tabela3[Lucro Distribuir]*#REF!/Tabela3[Total Ações])</f>
        <v>0</v>
      </c>
      <c r="AG167" s="80">
        <f>Tabela3[Lucro Distribuir]/Tabela3[Total Ações]</f>
        <v>0</v>
      </c>
      <c r="AH16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2.6150927679301432</v>
      </c>
      <c r="AI167" s="14" t="str">
        <f>IF(AND(Tabela3[% A.A.]&gt;=7%,SUMPRODUCT(N(Tabela3[Nome]=Tabela3[[#This Row],[Nome]]),Tabela3[PL])&gt;0),"Sim","Não")</f>
        <v>Não</v>
      </c>
      <c r="AJ167" s="42">
        <f>IF(Tabela3[Cotação]&gt;0,Tabela3[[#This Row],[Lucro]]/Tabela3[[#This Row],[Cotação]],0)</f>
        <v>0.10061919076299128</v>
      </c>
      <c r="AK167" s="42">
        <f>((1+Tabela3[[#This Row],[% Yield]])^(1/(3*Tabela3[[#This Row],[Ref]])))^(12)-1</f>
        <v>0.13636044469595454</v>
      </c>
      <c r="AL167" s="14">
        <f>IF(Tabela3[Cotação]&gt;0,($AS$1/Tabela3[[#This Row],[Cotação]]-MOD($AS$1/Tabela3[[#This Row],[Cotação]],100)),)</f>
        <v>0</v>
      </c>
      <c r="AM167" s="17">
        <f>Tabela3[[#This Row],[Ativos]]*Tabela3[Lucro]</f>
        <v>0</v>
      </c>
      <c r="AN167" s="17">
        <f>SUMPRODUCT(N(Tabela1[Código]=Tabela3[[#This Row],[PAPEL]]),Tabela1[Fechamento])</f>
        <v>0</v>
      </c>
      <c r="AO167" s="17">
        <f>SUMPRODUCT(N(Tabela17[Código]=Tabela3[[#This Row],[PAPEL]]),Tabela17[Fechamento])</f>
        <v>0</v>
      </c>
      <c r="AP167" s="17">
        <f>SUMPRODUCT(N(Tabela176[Código]=Tabela3[[#This Row],[PAPEL]]),Tabela176[Fechamento])</f>
        <v>25.99</v>
      </c>
      <c r="AQ167" s="17">
        <f>SUMPRODUCT(N(Tabela1768[Código]=Tabela3[[#This Row],[PAPEL]]),Tabela1768[Fechamento])</f>
        <v>0</v>
      </c>
    </row>
    <row r="168" spans="1:43" hidden="1" x14ac:dyDescent="0.2">
      <c r="A168" s="3" t="s">
        <v>244</v>
      </c>
      <c r="B168" s="57" t="s">
        <v>241</v>
      </c>
      <c r="C168" s="14" t="str">
        <f>LEFT(Tabela3[PAPEL],LEN(Tabela3[PAPEL])-(LEN(Tabela3[PAPEL])-4))</f>
        <v>FESA</v>
      </c>
      <c r="D168" s="16">
        <v>3</v>
      </c>
      <c r="E168" s="5">
        <v>897734673.07000005</v>
      </c>
      <c r="F168" s="56">
        <v>29440000</v>
      </c>
      <c r="G168" s="83">
        <v>0.25</v>
      </c>
      <c r="H168" s="16"/>
      <c r="I168" s="18"/>
      <c r="K168" s="89"/>
      <c r="L168" s="89"/>
      <c r="M168" s="5">
        <v>1206918000</v>
      </c>
      <c r="N168" s="5">
        <v>49929000</v>
      </c>
      <c r="O168" s="5">
        <f>Tabela3[[#This Row],[Capital Social]]*20%</f>
        <v>179546934.61400002</v>
      </c>
      <c r="P168" s="5">
        <f>IF((Tabela3[Lucro Líquido]*5%)&gt;Tabela3[Teto R. Legal],Tabela3[Teto R. Legal],Tabela3[Lucro Líquido]*5%)</f>
        <v>2496450</v>
      </c>
      <c r="Q168" s="5">
        <f>IF(Tabela3[Lucro Líquido]&lt;0,0,Tabela3[Lucro Líquido]-Tabela3[Reserva Legal])</f>
        <v>47432550</v>
      </c>
      <c r="R168" s="5">
        <f>Tabela3[[#This Row],[Lucro Distribuir]]*Tabela3[%Div]</f>
        <v>11858137.5</v>
      </c>
      <c r="S168" s="56">
        <f>SUMPRODUCT(N(Tabela3[Nome]=Tabela3[[#This Row],[Nome]]),Tabela3[Ações])</f>
        <v>88320000</v>
      </c>
      <c r="T168" s="5">
        <f>Tabela3[Capital Social]/Tabela3[Total Ações]</f>
        <v>10.164568309216486</v>
      </c>
      <c r="U168" s="79">
        <f>Tabela3[[#This Row],[Lucro Líquido]]/Tabela3[[#This Row],[Total Ações]]</f>
        <v>0.56531929347826082</v>
      </c>
      <c r="V16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0.13008588938656412</v>
      </c>
      <c r="W16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0.13008588938656412</v>
      </c>
      <c r="Z168" s="5">
        <f>Tabela3[Div Base]*Tabela3[Ações]</f>
        <v>3829728.583540448</v>
      </c>
      <c r="AA168" s="5">
        <f>SUMPRODUCT(N(Tabela3[Nome]=Tabela3[[#This Row],[Nome]]),Tabela3[Div Base]*Tabela3[Ações])</f>
        <v>12255131.478871353</v>
      </c>
      <c r="AB168" s="5">
        <f>Tabela3[Patrimônio Líquido]/Tabela3[Total Ações]</f>
        <v>13.665285326086957</v>
      </c>
      <c r="AC168" s="52">
        <f>MAX(Tabela3[[#This Row],[Cotação 1]:[Cotação 4]])</f>
        <v>19</v>
      </c>
      <c r="AD168" s="53">
        <f>Tabela3[Cotação]/Tabela3[VPA]</f>
        <v>1.3903844337394917</v>
      </c>
      <c r="AE168" s="37">
        <f>IF(Tabela3[[#This Row],[Lucro/Ação]]&gt;0,Tabela3[[#This Row],[Cotação]]/(Tabela3[[#This Row],[Lucro/Ação]]/Tabela3[Ref]*4),0)</f>
        <v>25.206993931382566</v>
      </c>
      <c r="AF168" s="37" t="e">
        <f>IF(Tabela3[Div. Mínimo]=0,0,Tabela3[Lucro Distribuir]*#REF!/Tabela3[Total Ações])</f>
        <v>#REF!</v>
      </c>
      <c r="AG168" s="79">
        <f>Tabela3[Lucro Distribuir]/Tabela3[Total Ações]</f>
        <v>0.53705332880434786</v>
      </c>
      <c r="AH16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0.13008588938656412</v>
      </c>
      <c r="AI168" s="16" t="str">
        <f>IF(AND(Tabela3[% A.A.]&gt;=7%,SUMPRODUCT(N(Tabela3[Nome]=Tabela3[[#This Row],[Nome]]),Tabela3[PL])&gt;0),"Sim","Não")</f>
        <v>Não</v>
      </c>
      <c r="AJ168" s="22">
        <f>IF(Tabela3[Cotação]&gt;0,Tabela3[[#This Row],[Lucro]]/Tabela3[[#This Row],[Cotação]],0)</f>
        <v>6.8466257571875855E-3</v>
      </c>
      <c r="AK168" s="18">
        <f>((1+Tabela3[[#This Row],[% Yield]])^(1/(3*Tabela3[[#This Row],[Ref]])))^(12)-1</f>
        <v>9.1392354909176632E-3</v>
      </c>
      <c r="AL168" s="10">
        <f>IF(Tabela3[Cotação]&gt;0,($AS$1/Tabela3[[#This Row],[Cotação]]-MOD($AS$1/Tabela3[[#This Row],[Cotação]],100)),)</f>
        <v>0</v>
      </c>
      <c r="AM168" s="7">
        <f>Tabela3[[#This Row],[Ativos]]*Tabela3[Lucro]</f>
        <v>0</v>
      </c>
      <c r="AN168" s="5">
        <f>SUMPRODUCT(N(Tabela1[Código]=Tabela3[[#This Row],[PAPEL]]),Tabela1[Fechamento])</f>
        <v>19</v>
      </c>
      <c r="AO168" s="5">
        <f>SUMPRODUCT(N(Tabela17[Código]=Tabela3[[#This Row],[PAPEL]]),Tabela17[Fechamento])</f>
        <v>0</v>
      </c>
      <c r="AP168" s="7">
        <f>SUMPRODUCT(N(Tabela176[Código]=Tabela3[[#This Row],[PAPEL]]),Tabela176[Fechamento])</f>
        <v>0</v>
      </c>
      <c r="AQ168" s="7">
        <f>SUMPRODUCT(N(Tabela1768[Código]=Tabela3[[#This Row],[PAPEL]]),Tabela1768[Fechamento])</f>
        <v>0</v>
      </c>
    </row>
    <row r="169" spans="1:43" hidden="1" x14ac:dyDescent="0.2">
      <c r="A169" s="3" t="s">
        <v>244</v>
      </c>
      <c r="B169" s="57" t="s">
        <v>79</v>
      </c>
      <c r="C169" s="15" t="str">
        <f>LEFT(Tabela3[PAPEL],LEN(Tabela3[PAPEL])-(LEN(Tabela3[PAPEL])-4))</f>
        <v>FESA</v>
      </c>
      <c r="D169" s="16">
        <v>3</v>
      </c>
      <c r="E169" s="5">
        <v>897734673.07000005</v>
      </c>
      <c r="F169" s="56">
        <v>58880000</v>
      </c>
      <c r="G169" s="88">
        <v>0.25</v>
      </c>
      <c r="H169" s="16"/>
      <c r="I169" s="18"/>
      <c r="J169" s="18">
        <v>0.1</v>
      </c>
      <c r="K169" s="89"/>
      <c r="L169" s="89"/>
      <c r="M169" s="5">
        <v>1206918000</v>
      </c>
      <c r="N169" s="5">
        <v>49929000</v>
      </c>
      <c r="O169" s="5">
        <f>Tabela3[[#This Row],[Capital Social]]*20%</f>
        <v>179546934.61400002</v>
      </c>
      <c r="P169" s="5">
        <f>IF((Tabela3[Lucro Líquido]*5%)&gt;Tabela3[Teto R. Legal],Tabela3[Teto R. Legal],Tabela3[Lucro Líquido]*5%)</f>
        <v>2496450</v>
      </c>
      <c r="Q169" s="5">
        <f>IF(Tabela3[Lucro Líquido]&lt;0,0,Tabela3[Lucro Líquido]-Tabela3[Reserva Legal])</f>
        <v>47432550</v>
      </c>
      <c r="R169" s="5">
        <f>Tabela3[[#This Row],[Lucro Distribuir]]*Tabela3[%Div]</f>
        <v>11858137.5</v>
      </c>
      <c r="S169" s="56">
        <f>SUMPRODUCT(N(Tabela3[Nome]=Tabela3[[#This Row],[Nome]]),Tabela3[Ações])</f>
        <v>88320000</v>
      </c>
      <c r="T169" s="5">
        <f>Tabela3[Capital Social]/Tabela3[Total Ações]</f>
        <v>10.164568309216486</v>
      </c>
      <c r="U169" s="79">
        <f>Tabela3[[#This Row],[Lucro Líquido]]/Tabela3[[#This Row],[Total Ações]]</f>
        <v>0.56531929347826082</v>
      </c>
      <c r="V16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0.14309447852124499</v>
      </c>
      <c r="W16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6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6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0.14309447852124499</v>
      </c>
      <c r="Z169" s="5">
        <f>Tabela3[Div Base]*Tabela3[Ações]</f>
        <v>8425402.8953309041</v>
      </c>
      <c r="AA169" s="5">
        <f>SUMPRODUCT(N(Tabela3[Nome]=Tabela3[[#This Row],[Nome]]),Tabela3[Div Base]*Tabela3[Ações])</f>
        <v>12255131.478871353</v>
      </c>
      <c r="AB169" s="5">
        <f>Tabela3[Patrimônio Líquido]/Tabela3[Total Ações]</f>
        <v>13.665285326086957</v>
      </c>
      <c r="AC169" s="52">
        <f>MAX(Tabela3[[#This Row],[Cotação 1]:[Cotação 4]])</f>
        <v>12.6</v>
      </c>
      <c r="AD169" s="53">
        <f>Tabela3[Cotação]/Tabela3[VPA]</f>
        <v>0.92204441395355763</v>
      </c>
      <c r="AE169" s="37">
        <f>IF(Tabela3[[#This Row],[Lucro/Ação]]&gt;0,Tabela3[[#This Row],[Cotação]]/(Tabela3[[#This Row],[Lucro/Ação]]/Tabela3[Ref]*4),0)</f>
        <v>16.716217028180019</v>
      </c>
      <c r="AF169" s="37" t="e">
        <f>IF(Tabela3[Div. Mínimo]=0,0,Tabela3[Lucro Distribuir]*#REF!/Tabela3[Total Ações])</f>
        <v>#REF!</v>
      </c>
      <c r="AG169" s="79">
        <f>Tabela3[Lucro Distribuir]/Tabela3[Total Ações]</f>
        <v>0.53705332880434786</v>
      </c>
      <c r="AH169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0.14309447852124499</v>
      </c>
      <c r="AI169" s="16" t="str">
        <f>IF(AND(Tabela3[% A.A.]&gt;=7%,SUMPRODUCT(N(Tabela3[Nome]=Tabela3[[#This Row],[Nome]]),Tabela3[PL])&gt;0),"Sim","Não")</f>
        <v>Não</v>
      </c>
      <c r="AJ169" s="22">
        <f>IF(Tabela3[Cotação]&gt;0,Tabela3[[#This Row],[Lucro]]/Tabela3[[#This Row],[Cotação]],0)</f>
        <v>1.1356704644543253E-2</v>
      </c>
      <c r="AK169" s="18">
        <f>((1+Tabela3[[#This Row],[% Yield]])^(1/(3*Tabela3[[#This Row],[Ref]])))^(12)-1</f>
        <v>1.5170861920774659E-2</v>
      </c>
      <c r="AL169" s="10">
        <f>IF(Tabela3[Cotação]&gt;0,($AS$1/Tabela3[[#This Row],[Cotação]]-MOD($AS$1/Tabela3[[#This Row],[Cotação]],100)),)</f>
        <v>0</v>
      </c>
      <c r="AM169" s="7">
        <f>Tabela3[[#This Row],[Ativos]]*Tabela3[Lucro]</f>
        <v>0</v>
      </c>
      <c r="AN169" s="5">
        <f>SUMPRODUCT(N(Tabela1[Código]=Tabela3[[#This Row],[PAPEL]]),Tabela1[Fechamento])</f>
        <v>12.6</v>
      </c>
      <c r="AO169" s="5">
        <f>SUMPRODUCT(N(Tabela17[Código]=Tabela3[[#This Row],[PAPEL]]),Tabela17[Fechamento])</f>
        <v>0</v>
      </c>
      <c r="AP169" s="7">
        <f>SUMPRODUCT(N(Tabela176[Código]=Tabela3[[#This Row],[PAPEL]]),Tabela176[Fechamento])</f>
        <v>0</v>
      </c>
      <c r="AQ169" s="7">
        <f>SUMPRODUCT(N(Tabela1768[Código]=Tabela3[[#This Row],[PAPEL]]),Tabela1768[Fechamento])</f>
        <v>0</v>
      </c>
    </row>
    <row r="170" spans="1:43" hidden="1" x14ac:dyDescent="0.2">
      <c r="A170" s="4" t="s">
        <v>682</v>
      </c>
      <c r="B170" s="57" t="s">
        <v>683</v>
      </c>
      <c r="C170" s="15" t="str">
        <f>LEFT(Tabela3[PAPEL],LEN(Tabela3[PAPEL])-(LEN(Tabela3[PAPEL])-4))</f>
        <v>FHER</v>
      </c>
      <c r="D170" s="15">
        <v>3</v>
      </c>
      <c r="E170" s="6">
        <v>448746223.56</v>
      </c>
      <c r="F170" s="8">
        <v>48471407</v>
      </c>
      <c r="G170" s="88">
        <v>0.25</v>
      </c>
      <c r="H170" s="15"/>
      <c r="I170" s="19"/>
      <c r="J170" s="19"/>
      <c r="K170" s="90"/>
      <c r="L170" s="90"/>
      <c r="M170" s="96">
        <v>417901000</v>
      </c>
      <c r="N170" s="97">
        <v>-53244000</v>
      </c>
      <c r="O170" s="13">
        <f>Tabela3[[#This Row],[Capital Social]]*20%</f>
        <v>89749244.712000012</v>
      </c>
      <c r="P170" s="13">
        <f>IF((Tabela3[Lucro Líquido]*5%)&gt;Tabela3[Teto R. Legal],Tabela3[Teto R. Legal],Tabela3[Lucro Líquido]*5%)</f>
        <v>-2662200</v>
      </c>
      <c r="Q170" s="13">
        <f>IF(Tabela3[Lucro Líquido]&lt;0,0,Tabela3[Lucro Líquido]-Tabela3[Reserva Legal])</f>
        <v>0</v>
      </c>
      <c r="R170" s="13">
        <f>Tabela3[[#This Row],[Lucro Distribuir]]*Tabela3[%Div]</f>
        <v>0</v>
      </c>
      <c r="S170" s="56">
        <f>SUMPRODUCT(N(Tabela3[Nome]=Tabela3[[#This Row],[Nome]]),Tabela3[Ações])</f>
        <v>48471407</v>
      </c>
      <c r="T170" s="6">
        <f>Tabela3[Capital Social]/Tabela3[Total Ações]</f>
        <v>9.2579574502551569</v>
      </c>
      <c r="U170" s="80">
        <f>Tabela3[[#This Row],[Lucro Líquido]]/Tabela3[[#This Row],[Total Ações]]</f>
        <v>-1.098462027314371</v>
      </c>
      <c r="V17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7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70" s="13">
        <f>Tabela3[Div Base]*Tabela3[Ações]</f>
        <v>0</v>
      </c>
      <c r="AA170" s="13">
        <f>SUMPRODUCT(N(Tabela3[Nome]=Tabela3[[#This Row],[Nome]]),Tabela3[Div Base]*Tabela3[Ações])</f>
        <v>0</v>
      </c>
      <c r="AB170" s="95">
        <f>Tabela3[Patrimônio Líquido]/Tabela3[Total Ações]</f>
        <v>8.6215982960841231</v>
      </c>
      <c r="AC170" s="48">
        <f>MAX(Tabela3[[#This Row],[Cotação 1]:[Cotação 4]])</f>
        <v>0</v>
      </c>
      <c r="AD170" s="44">
        <f>Tabela3[Cotação]/Tabela3[VPA]</f>
        <v>0</v>
      </c>
      <c r="AE170" s="40">
        <f>IF(Tabela3[[#This Row],[Lucro/Ação]]&gt;0,Tabela3[[#This Row],[Cotação]]/(Tabela3[[#This Row],[Lucro/Ação]]/Tabela3[Ref]*4),0)</f>
        <v>0</v>
      </c>
      <c r="AF170" s="91">
        <f>IF(Tabela3[Div. Mínimo]=0,0,Tabela3[Lucro Distribuir]*#REF!/Tabela3[Total Ações])</f>
        <v>0</v>
      </c>
      <c r="AG170" s="80">
        <f>Tabela3[Lucro Distribuir]/Tabela3[Total Ações]</f>
        <v>0</v>
      </c>
      <c r="AH17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70" s="14" t="str">
        <f>IF(AND(Tabela3[% A.A.]&gt;=7%,SUMPRODUCT(N(Tabela3[Nome]=Tabela3[[#This Row],[Nome]]),Tabela3[PL])&gt;0),"Sim","Não")</f>
        <v>Não</v>
      </c>
      <c r="AJ170" s="42">
        <f>IF(Tabela3[Cotação]&gt;0,Tabela3[[#This Row],[Lucro]]/Tabela3[[#This Row],[Cotação]],0)</f>
        <v>0</v>
      </c>
      <c r="AK170" s="42">
        <f>((1+Tabela3[[#This Row],[% Yield]])^(1/(3*Tabela3[[#This Row],[Ref]])))^(12)-1</f>
        <v>0</v>
      </c>
      <c r="AL170" s="14">
        <f>IF(Tabela3[Cotação]&gt;0,($AS$1/Tabela3[[#This Row],[Cotação]]-MOD($AS$1/Tabela3[[#This Row],[Cotação]],100)),)</f>
        <v>0</v>
      </c>
      <c r="AM170" s="17">
        <f>Tabela3[[#This Row],[Ativos]]*Tabela3[Lucro]</f>
        <v>0</v>
      </c>
      <c r="AN170" s="17">
        <f>SUMPRODUCT(N(Tabela1[Código]=Tabela3[[#This Row],[PAPEL]]),Tabela1[Fechamento])</f>
        <v>0</v>
      </c>
      <c r="AO170" s="17">
        <f>SUMPRODUCT(N(Tabela17[Código]=Tabela3[[#This Row],[PAPEL]]),Tabela17[Fechamento])</f>
        <v>0</v>
      </c>
      <c r="AP170" s="17">
        <f>SUMPRODUCT(N(Tabela176[Código]=Tabela3[[#This Row],[PAPEL]]),Tabela176[Fechamento])</f>
        <v>0</v>
      </c>
      <c r="AQ170" s="17">
        <f>SUMPRODUCT(N(Tabela1768[Código]=Tabela3[[#This Row],[PAPEL]]),Tabela1768[Fechamento])</f>
        <v>0</v>
      </c>
    </row>
    <row r="171" spans="1:43" hidden="1" x14ac:dyDescent="0.2">
      <c r="A171" s="4" t="s">
        <v>19</v>
      </c>
      <c r="B171" s="57" t="s">
        <v>705</v>
      </c>
      <c r="C171" s="15" t="str">
        <f>LEFT(Tabela3[PAPEL],LEN(Tabela3[PAPEL])-(LEN(Tabela3[PAPEL])-4))</f>
        <v>FIBR</v>
      </c>
      <c r="D171" s="15">
        <v>3</v>
      </c>
      <c r="E171" s="6">
        <v>9740777179.5900002</v>
      </c>
      <c r="F171" s="8">
        <v>553934646</v>
      </c>
      <c r="G171" s="88">
        <v>0.25</v>
      </c>
      <c r="H171" s="15"/>
      <c r="I171" s="19"/>
      <c r="J171" s="19"/>
      <c r="K171" s="90"/>
      <c r="L171" s="90"/>
      <c r="M171" s="96">
        <v>14614300000</v>
      </c>
      <c r="N171" s="97">
        <v>-519417000</v>
      </c>
      <c r="O171" s="13">
        <f>Tabela3[[#This Row],[Capital Social]]*20%</f>
        <v>1948155435.9180002</v>
      </c>
      <c r="P171" s="13">
        <f>IF((Tabela3[Lucro Líquido]*5%)&gt;Tabela3[Teto R. Legal],Tabela3[Teto R. Legal],Tabela3[Lucro Líquido]*5%)</f>
        <v>-25970850</v>
      </c>
      <c r="Q171" s="13">
        <f>IF(Tabela3[Lucro Líquido]&lt;0,0,Tabela3[Lucro Líquido]-Tabela3[Reserva Legal])</f>
        <v>0</v>
      </c>
      <c r="R171" s="13">
        <f>Tabela3[[#This Row],[Lucro Distribuir]]*Tabela3[%Div]</f>
        <v>0</v>
      </c>
      <c r="S171" s="56">
        <f>SUMPRODUCT(N(Tabela3[Nome]=Tabela3[[#This Row],[Nome]]),Tabela3[Ações])</f>
        <v>553934646</v>
      </c>
      <c r="T171" s="6">
        <f>Tabela3[Capital Social]/Tabela3[Total Ações]</f>
        <v>17.584704711880399</v>
      </c>
      <c r="U171" s="80">
        <f>Tabela3[[#This Row],[Lucro Líquido]]/Tabela3[[#This Row],[Total Ações]]</f>
        <v>-0.93768642880662134</v>
      </c>
      <c r="V17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7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71" s="13">
        <f>Tabela3[Div Base]*Tabela3[Ações]</f>
        <v>0</v>
      </c>
      <c r="AA171" s="13">
        <f>SUMPRODUCT(N(Tabela3[Nome]=Tabela3[[#This Row],[Nome]]),Tabela3[Div Base]*Tabela3[Ações])</f>
        <v>0</v>
      </c>
      <c r="AB171" s="95">
        <f>Tabela3[Patrimônio Líquido]/Tabela3[Total Ações]</f>
        <v>26.382715191279082</v>
      </c>
      <c r="AC171" s="48">
        <f>MAX(Tabela3[[#This Row],[Cotação 1]:[Cotação 4]])</f>
        <v>25.96</v>
      </c>
      <c r="AD171" s="44">
        <f>Tabela3[Cotação]/Tabela3[VPA]</f>
        <v>0.98397757060960833</v>
      </c>
      <c r="AE171" s="40">
        <f>IF(Tabela3[[#This Row],[Lucro/Ação]]&gt;0,Tabela3[[#This Row],[Cotação]]/(Tabela3[[#This Row],[Lucro/Ação]]/Tabela3[Ref]*4),0)</f>
        <v>0</v>
      </c>
      <c r="AF171" s="91">
        <f>IF(Tabela3[Div. Mínimo]=0,0,Tabela3[Lucro Distribuir]*#REF!/Tabela3[Total Ações])</f>
        <v>0</v>
      </c>
      <c r="AG171" s="80">
        <f>Tabela3[Lucro Distribuir]/Tabela3[Total Ações]</f>
        <v>0</v>
      </c>
      <c r="AH17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71" s="14" t="str">
        <f>IF(AND(Tabela3[% A.A.]&gt;=7%,SUMPRODUCT(N(Tabela3[Nome]=Tabela3[[#This Row],[Nome]]),Tabela3[PL])&gt;0),"Sim","Não")</f>
        <v>Não</v>
      </c>
      <c r="AJ171" s="42">
        <f>IF(Tabela3[Cotação]&gt;0,Tabela3[[#This Row],[Lucro]]/Tabela3[[#This Row],[Cotação]],0)</f>
        <v>0</v>
      </c>
      <c r="AK171" s="42">
        <f>((1+Tabela3[[#This Row],[% Yield]])^(1/(3*Tabela3[[#This Row],[Ref]])))^(12)-1</f>
        <v>0</v>
      </c>
      <c r="AL171" s="14">
        <f>IF(Tabela3[Cotação]&gt;0,($AS$1/Tabela3[[#This Row],[Cotação]]-MOD($AS$1/Tabela3[[#This Row],[Cotação]],100)),)</f>
        <v>0</v>
      </c>
      <c r="AM171" s="17">
        <f>Tabela3[[#This Row],[Ativos]]*Tabela3[Lucro]</f>
        <v>0</v>
      </c>
      <c r="AN171" s="17">
        <f>SUMPRODUCT(N(Tabela1[Código]=Tabela3[[#This Row],[PAPEL]]),Tabela1[Fechamento])</f>
        <v>0</v>
      </c>
      <c r="AO171" s="17">
        <f>SUMPRODUCT(N(Tabela17[Código]=Tabela3[[#This Row],[PAPEL]]),Tabela17[Fechamento])</f>
        <v>0</v>
      </c>
      <c r="AP171" s="17">
        <f>SUMPRODUCT(N(Tabela176[Código]=Tabela3[[#This Row],[PAPEL]]),Tabela176[Fechamento])</f>
        <v>25.96</v>
      </c>
      <c r="AQ171" s="17">
        <f>SUMPRODUCT(N(Tabela1768[Código]=Tabela3[[#This Row],[PAPEL]]),Tabela1768[Fechamento])</f>
        <v>0</v>
      </c>
    </row>
    <row r="172" spans="1:43" hidden="1" x14ac:dyDescent="0.2">
      <c r="A172" s="4" t="s">
        <v>771</v>
      </c>
      <c r="B172" s="57" t="s">
        <v>775</v>
      </c>
      <c r="C172" s="15" t="str">
        <f>LEFT(Tabela3[PAPEL],LEN(Tabela3[PAPEL])-(LEN(Tabela3[PAPEL])-4))</f>
        <v>FLRY</v>
      </c>
      <c r="D172" s="15">
        <v>3</v>
      </c>
      <c r="E172" s="6">
        <v>1402530425.1800001</v>
      </c>
      <c r="F172" s="8">
        <v>156293356</v>
      </c>
      <c r="G172" s="88">
        <v>0.25</v>
      </c>
      <c r="H172" s="15"/>
      <c r="I172" s="19"/>
      <c r="J172" s="19"/>
      <c r="K172" s="90"/>
      <c r="L172" s="90"/>
      <c r="M172" s="96">
        <v>1727199000</v>
      </c>
      <c r="N172" s="97">
        <v>61932000</v>
      </c>
      <c r="O172" s="13">
        <f>Tabela3[[#This Row],[Capital Social]]*20%</f>
        <v>280506085.03600001</v>
      </c>
      <c r="P172" s="13">
        <f>IF((Tabela3[Lucro Líquido]*5%)&gt;Tabela3[Teto R. Legal],Tabela3[Teto R. Legal],Tabela3[Lucro Líquido]*5%)</f>
        <v>3096600</v>
      </c>
      <c r="Q172" s="13">
        <f>IF(Tabela3[Lucro Líquido]&lt;0,0,Tabela3[Lucro Líquido]-Tabela3[Reserva Legal])</f>
        <v>58835400</v>
      </c>
      <c r="R172" s="13">
        <f>Tabela3[[#This Row],[Lucro Distribuir]]*Tabela3[%Div]</f>
        <v>14708850</v>
      </c>
      <c r="S172" s="56">
        <f>SUMPRODUCT(N(Tabela3[Nome]=Tabela3[[#This Row],[Nome]]),Tabela3[Ações])</f>
        <v>156293356</v>
      </c>
      <c r="T172" s="6">
        <f>Tabela3[Capital Social]/Tabela3[Total Ações]</f>
        <v>8.9737047119264624</v>
      </c>
      <c r="U172" s="80">
        <f>Tabela3[[#This Row],[Lucro Líquido]]/Tabela3[[#This Row],[Total Ações]]</f>
        <v>0.39625484783882942</v>
      </c>
      <c r="V17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9.4110526361721986E-2</v>
      </c>
      <c r="W17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9.4110526361721986E-2</v>
      </c>
      <c r="Z172" s="13">
        <f>Tabela3[Div Base]*Tabela3[Ações]</f>
        <v>14708850</v>
      </c>
      <c r="AA172" s="13">
        <f>SUMPRODUCT(N(Tabela3[Nome]=Tabela3[[#This Row],[Nome]]),Tabela3[Div Base]*Tabela3[Ações])</f>
        <v>14708850</v>
      </c>
      <c r="AB172" s="95">
        <f>Tabela3[Patrimônio Líquido]/Tabela3[Total Ações]</f>
        <v>11.051007184208137</v>
      </c>
      <c r="AC172" s="48">
        <f>MAX(Tabela3[[#This Row],[Cotação 1]:[Cotação 4]])</f>
        <v>18.079999999999998</v>
      </c>
      <c r="AD172" s="44">
        <f>Tabela3[Cotação]/Tabela3[VPA]</f>
        <v>1.6360499725161952</v>
      </c>
      <c r="AE172" s="40">
        <f>IF(Tabela3[[#This Row],[Lucro/Ação]]&gt;0,Tabela3[[#This Row],[Cotação]]/(Tabela3[[#This Row],[Lucro/Ação]]/Tabela3[Ref]*4),0)</f>
        <v>34.220401526835879</v>
      </c>
      <c r="AF172" s="91" t="e">
        <f>IF(Tabela3[Div. Mínimo]=0,0,Tabela3[Lucro Distribuir]*#REF!/Tabela3[Total Ações])</f>
        <v>#REF!</v>
      </c>
      <c r="AG172" s="80">
        <f>Tabela3[Lucro Distribuir]/Tabela3[Total Ações]</f>
        <v>0.37644210544688794</v>
      </c>
      <c r="AH17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9.4110526361721986E-2</v>
      </c>
      <c r="AI172" s="14" t="str">
        <f>IF(AND(Tabela3[% A.A.]&gt;=7%,SUMPRODUCT(N(Tabela3[Nome]=Tabela3[[#This Row],[Nome]]),Tabela3[PL])&gt;0),"Sim","Não")</f>
        <v>Não</v>
      </c>
      <c r="AJ172" s="42">
        <f>IF(Tabela3[Cotação]&gt;0,Tabela3[[#This Row],[Lucro]]/Tabela3[[#This Row],[Cotação]],0)</f>
        <v>5.2052282279713494E-3</v>
      </c>
      <c r="AK172" s="42">
        <f>((1+Tabela3[[#This Row],[% Yield]])^(1/(3*Tabela3[[#This Row],[Ref]])))^(12)-1</f>
        <v>6.9463183324351974E-3</v>
      </c>
      <c r="AL172" s="14">
        <f>IF(Tabela3[Cotação]&gt;0,($AS$1/Tabela3[[#This Row],[Cotação]]-MOD($AS$1/Tabela3[[#This Row],[Cotação]],100)),)</f>
        <v>0</v>
      </c>
      <c r="AM172" s="17">
        <f>Tabela3[[#This Row],[Ativos]]*Tabela3[Lucro]</f>
        <v>0</v>
      </c>
      <c r="AN172" s="17">
        <f>SUMPRODUCT(N(Tabela1[Código]=Tabela3[[#This Row],[PAPEL]]),Tabela1[Fechamento])</f>
        <v>0</v>
      </c>
      <c r="AO172" s="17">
        <f>SUMPRODUCT(N(Tabela17[Código]=Tabela3[[#This Row],[PAPEL]]),Tabela17[Fechamento])</f>
        <v>0</v>
      </c>
      <c r="AP172" s="17">
        <f>SUMPRODUCT(N(Tabela176[Código]=Tabela3[[#This Row],[PAPEL]]),Tabela176[Fechamento])</f>
        <v>18.079999999999998</v>
      </c>
      <c r="AQ172" s="17">
        <f>SUMPRODUCT(N(Tabela1768[Código]=Tabela3[[#This Row],[PAPEL]]),Tabela1768[Fechamento])</f>
        <v>0</v>
      </c>
    </row>
    <row r="173" spans="1:43" hidden="1" x14ac:dyDescent="0.2">
      <c r="A173" s="4" t="s">
        <v>12</v>
      </c>
      <c r="B173" s="60" t="s">
        <v>165</v>
      </c>
      <c r="C173" s="14" t="str">
        <f>LEFT(Tabela3[PAPEL],LEN(Tabela3[PAPEL])-(LEN(Tabela3[PAPEL])-4))</f>
        <v>GEPA</v>
      </c>
      <c r="D173" s="15">
        <v>3</v>
      </c>
      <c r="E173" s="6">
        <v>1339137503.8</v>
      </c>
      <c r="F173" s="8">
        <v>31477761</v>
      </c>
      <c r="G173" s="83">
        <v>0.25</v>
      </c>
      <c r="H173" s="15"/>
      <c r="I173" s="19"/>
      <c r="J173" s="19"/>
      <c r="K173" s="90"/>
      <c r="L173" s="90"/>
      <c r="M173" s="92">
        <v>2745488000</v>
      </c>
      <c r="N173" s="92">
        <v>276732000</v>
      </c>
      <c r="O173" s="6">
        <f>Tabela3[[#This Row],[Capital Social]]*20%</f>
        <v>267827500.75999999</v>
      </c>
      <c r="P173" s="6">
        <f>IF((Tabela3[Lucro Líquido]*5%)&gt;Tabela3[Teto R. Legal],Tabela3[Teto R. Legal],Tabela3[Lucro Líquido]*5%)</f>
        <v>13836600</v>
      </c>
      <c r="Q173" s="92">
        <f>IF(Tabela3[Lucro Líquido]&lt;0,0,Tabela3[Lucro Líquido]-Tabela3[Reserva Legal])</f>
        <v>262895400</v>
      </c>
      <c r="R173" s="92">
        <f>Tabela3[[#This Row],[Lucro Distribuir]]*Tabela3[%Div]</f>
        <v>65723850</v>
      </c>
      <c r="S173" s="56">
        <f>SUMPRODUCT(N(Tabela3[Nome]=Tabela3[[#This Row],[Nome]]),Tabela3[Ações])</f>
        <v>94433283</v>
      </c>
      <c r="T173" s="6">
        <f>Tabela3[Capital Social]/Tabela3[Total Ações]</f>
        <v>14.180778865858132</v>
      </c>
      <c r="U173" s="80">
        <f>Tabela3[[#This Row],[Lucro Líquido]]/Tabela3[[#This Row],[Total Ações]]</f>
        <v>2.9304498499750347</v>
      </c>
      <c r="V17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0.69598183936907076</v>
      </c>
      <c r="W17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73" s="6">
        <f>Tabela3[Div Base]*Tabela3[Ações]</f>
        <v>0</v>
      </c>
      <c r="AA173" s="6">
        <f>SUMPRODUCT(N(Tabela3[Nome]=Tabela3[[#This Row],[Nome]]),Tabela3[Div Base]*Tabela3[Ações])</f>
        <v>89275833.586666673</v>
      </c>
      <c r="AB173" s="92">
        <f>Tabela3[Patrimônio Líquido]/Tabela3[Total Ações]</f>
        <v>29.073308824813388</v>
      </c>
      <c r="AC173" s="48">
        <f>MAX(Tabela3[[#This Row],[Cotação 1]:[Cotação 4]])</f>
        <v>62.04</v>
      </c>
      <c r="AD173" s="44">
        <f>Tabela3[Cotação]/Tabela3[VPA]</f>
        <v>2.1339160387224418</v>
      </c>
      <c r="AE173" s="40">
        <f>IF(Tabela3[[#This Row],[Lucro/Ação]]&gt;0,Tabela3[[#This Row],[Cotação]]/(Tabela3[[#This Row],[Lucro/Ação]]/Tabela3[Ref]*4),0)</f>
        <v>15.878108270781841</v>
      </c>
      <c r="AF173" s="40" t="e">
        <f>IF(Tabela3[Div. Mínimo]=0,0,Tabela3[Lucro Distribuir]*#REF!/Tabela3[Total Ações])</f>
        <v>#REF!</v>
      </c>
      <c r="AG173" s="80">
        <f>Tabela3[Lucro Distribuir]/Tabela3[Total Ações]</f>
        <v>2.7839273574762831</v>
      </c>
      <c r="AH17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73" s="15" t="str">
        <f>IF(AND(Tabela3[% A.A.]&gt;=7%,SUMPRODUCT(N(Tabela3[Nome]=Tabela3[[#This Row],[Nome]]),Tabela3[PL])&gt;0),"Sim","Não")</f>
        <v>Não</v>
      </c>
      <c r="AJ173" s="42">
        <f>IF(Tabela3[Cotação]&gt;0,Tabela3[[#This Row],[Lucro]]/Tabela3[[#This Row],[Cotação]],0)</f>
        <v>0</v>
      </c>
      <c r="AK173" s="19">
        <f>((1+Tabela3[[#This Row],[% Yield]])^(1/(3*Tabela3[[#This Row],[Ref]])))^(12)-1</f>
        <v>0</v>
      </c>
      <c r="AL173" s="14">
        <f>IF(Tabela3[Cotação]&gt;0,($AS$1/Tabela3[[#This Row],[Cotação]]-MOD($AS$1/Tabela3[[#This Row],[Cotação]],100)),)</f>
        <v>0</v>
      </c>
      <c r="AM173" s="17">
        <f>Tabela3[[#This Row],[Ativos]]*Tabela3[Lucro]</f>
        <v>0</v>
      </c>
      <c r="AN173" s="5">
        <f>SUMPRODUCT(N(Tabela1[Código]=Tabela3[[#This Row],[PAPEL]]),Tabela1[Fechamento])</f>
        <v>62.04</v>
      </c>
      <c r="AO173" s="5">
        <f>SUMPRODUCT(N(Tabela17[Código]=Tabela3[[#This Row],[PAPEL]]),Tabela17[Fechamento])</f>
        <v>0</v>
      </c>
      <c r="AP173" s="7">
        <f>SUMPRODUCT(N(Tabela176[Código]=Tabela3[[#This Row],[PAPEL]]),Tabela176[Fechamento])</f>
        <v>0</v>
      </c>
      <c r="AQ173" s="7">
        <f>SUMPRODUCT(N(Tabela1768[Código]=Tabela3[[#This Row],[PAPEL]]),Tabela1768[Fechamento])</f>
        <v>0</v>
      </c>
    </row>
    <row r="174" spans="1:43" hidden="1" x14ac:dyDescent="0.2">
      <c r="A174" s="24" t="s">
        <v>12</v>
      </c>
      <c r="B174" s="60" t="s">
        <v>38</v>
      </c>
      <c r="C174" s="15" t="str">
        <f>LEFT(Tabela3[PAPEL],LEN(Tabela3[PAPEL])-(LEN(Tabela3[PAPEL])-4))</f>
        <v>GEPA</v>
      </c>
      <c r="D174" s="15">
        <v>3</v>
      </c>
      <c r="E174" s="6">
        <v>1339137503.8</v>
      </c>
      <c r="F174" s="8">
        <v>62955522</v>
      </c>
      <c r="G174" s="88">
        <v>0.25</v>
      </c>
      <c r="H174" s="15"/>
      <c r="I174" s="19">
        <v>0.1</v>
      </c>
      <c r="J174" s="19"/>
      <c r="K174" s="90"/>
      <c r="L174" s="90"/>
      <c r="M174" s="93">
        <v>2745488000</v>
      </c>
      <c r="N174" s="93">
        <v>276732000</v>
      </c>
      <c r="O174" s="28">
        <f>Tabela3[[#This Row],[Capital Social]]*20%</f>
        <v>267827500.75999999</v>
      </c>
      <c r="P174" s="28">
        <f>IF((Tabela3[Lucro Líquido]*5%)&gt;Tabela3[Teto R. Legal],Tabela3[Teto R. Legal],Tabela3[Lucro Líquido]*5%)</f>
        <v>13836600</v>
      </c>
      <c r="Q174" s="93">
        <f>IF(Tabela3[Lucro Líquido]&lt;0,0,Tabela3[Lucro Líquido]-Tabela3[Reserva Legal])</f>
        <v>262895400</v>
      </c>
      <c r="R174" s="93">
        <f>Tabela3[[#This Row],[Lucro Distribuir]]*Tabela3[%Div]</f>
        <v>65723850</v>
      </c>
      <c r="S174" s="56">
        <f>SUMPRODUCT(N(Tabela3[Nome]=Tabela3[[#This Row],[Nome]]),Tabela3[Ações])</f>
        <v>94433283</v>
      </c>
      <c r="T174" s="28">
        <f>Tabela3[Capital Social]/Tabela3[Total Ações]</f>
        <v>14.180778865858132</v>
      </c>
      <c r="U174" s="81">
        <f>Tabela3[[#This Row],[Lucro Líquido]]/Tabela3[[#This Row],[Total Ações]]</f>
        <v>2.9304498499750347</v>
      </c>
      <c r="V174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0.69598183936907076</v>
      </c>
      <c r="W174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4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1.4180778865858132</v>
      </c>
      <c r="Y174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1.4180778865858132</v>
      </c>
      <c r="Z174" s="28">
        <f>Tabela3[Div Base]*Tabela3[Ações]</f>
        <v>89275833.586666673</v>
      </c>
      <c r="AA174" s="28">
        <f>SUMPRODUCT(N(Tabela3[Nome]=Tabela3[[#This Row],[Nome]]),Tabela3[Div Base]*Tabela3[Ações])</f>
        <v>89275833.586666673</v>
      </c>
      <c r="AB174" s="93">
        <f>Tabela3[Patrimônio Líquido]/Tabela3[Total Ações]</f>
        <v>29.073308824813388</v>
      </c>
      <c r="AC174" s="29">
        <f>MAX(Tabela3[[#This Row],[Cotação 1]:[Cotação 4]])</f>
        <v>61.5</v>
      </c>
      <c r="AD174" s="30">
        <f>Tabela3[Cotação]/Tabela3[VPA]</f>
        <v>2.1153423014414923</v>
      </c>
      <c r="AE174" s="35">
        <f>IF(Tabela3[[#This Row],[Lucro/Ação]]&gt;0,Tabela3[[#This Row],[Cotação]]/(Tabela3[[#This Row],[Lucro/Ação]]/Tabela3[Ref]*4),0)</f>
        <v>15.739904233608691</v>
      </c>
      <c r="AF174" s="35" t="e">
        <f>IF(Tabela3[Div. Mínimo]=0,0,Tabela3[Lucro Distribuir]*#REF!/Tabela3[Total Ações])</f>
        <v>#REF!</v>
      </c>
      <c r="AG174" s="80">
        <f>Tabela3[Lucro Distribuir]/Tabela3[Total Ações]</f>
        <v>2.7839273574762831</v>
      </c>
      <c r="AH17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1.4180778865858132</v>
      </c>
      <c r="AI174" s="25" t="str">
        <f>IF(AND(Tabela3[% A.A.]&gt;=7%,SUMPRODUCT(N(Tabela3[Nome]=Tabela3[[#This Row],[Nome]]),Tabela3[PL])&gt;0),"Sim","Não")</f>
        <v>Não</v>
      </c>
      <c r="AJ174" s="27">
        <f>IF(Tabela3[Cotação]&gt;0,Tabela3[[#This Row],[Lucro]]/Tabela3[[#This Row],[Cotação]],0)</f>
        <v>2.3058177017655501E-2</v>
      </c>
      <c r="AK174" s="49">
        <f>((1+Tabela3[[#This Row],[% Yield]])^(1/(3*Tabela3[[#This Row],[Ref]])))^(12)-1</f>
        <v>3.0861787365207505E-2</v>
      </c>
      <c r="AL174" s="10">
        <f>IF(Tabela3[Cotação]&gt;0,($AS$1/Tabela3[[#This Row],[Cotação]]-MOD($AS$1/Tabela3[[#This Row],[Cotação]],100)),)</f>
        <v>0</v>
      </c>
      <c r="AM174" s="7">
        <f>Tabela3[[#This Row],[Ativos]]*Tabela3[Lucro]</f>
        <v>0</v>
      </c>
      <c r="AN174" s="5">
        <f>SUMPRODUCT(N(Tabela1[Código]=Tabela3[[#This Row],[PAPEL]]),Tabela1[Fechamento])</f>
        <v>61.5</v>
      </c>
      <c r="AO174" s="5">
        <f>SUMPRODUCT(N(Tabela17[Código]=Tabela3[[#This Row],[PAPEL]]),Tabela17[Fechamento])</f>
        <v>0</v>
      </c>
      <c r="AP174" s="7">
        <f>SUMPRODUCT(N(Tabela176[Código]=Tabela3[[#This Row],[PAPEL]]),Tabela176[Fechamento])</f>
        <v>0</v>
      </c>
      <c r="AQ174" s="7">
        <f>SUMPRODUCT(N(Tabela1768[Código]=Tabela3[[#This Row],[PAPEL]]),Tabela1768[Fechamento])</f>
        <v>0</v>
      </c>
    </row>
    <row r="175" spans="1:43" hidden="1" x14ac:dyDescent="0.2">
      <c r="A175" s="24" t="s">
        <v>12</v>
      </c>
      <c r="B175" s="57" t="s">
        <v>29</v>
      </c>
      <c r="C175" s="15" t="str">
        <f>LEFT(Tabela3[PAPEL],LEN(Tabela3[PAPEL])-(LEN(Tabela3[PAPEL])-4))</f>
        <v>GETI</v>
      </c>
      <c r="D175" s="16">
        <v>3</v>
      </c>
      <c r="E175" s="6">
        <v>207227038.81</v>
      </c>
      <c r="F175" s="56">
        <v>197461211</v>
      </c>
      <c r="G175" s="83">
        <v>0.25</v>
      </c>
      <c r="H175" s="16"/>
      <c r="I175" s="18"/>
      <c r="K175" s="89"/>
      <c r="L175" s="89"/>
      <c r="M175" s="93">
        <v>1813045000</v>
      </c>
      <c r="N175" s="93">
        <v>650993000</v>
      </c>
      <c r="O175" s="28">
        <f>Tabela3[[#This Row],[Capital Social]]*20%</f>
        <v>41445407.762000002</v>
      </c>
      <c r="P175" s="28">
        <f>IF((Tabela3[Lucro Líquido]*5%)&gt;Tabela3[Teto R. Legal],Tabela3[Teto R. Legal],Tabela3[Lucro Líquido]*5%)</f>
        <v>32549650</v>
      </c>
      <c r="Q175" s="93">
        <f>IF(Tabela3[Lucro Líquido]&lt;0,0,Tabela3[Lucro Líquido]-Tabela3[Reserva Legal])</f>
        <v>618443350</v>
      </c>
      <c r="R175" s="93">
        <f>Tabela3[[#This Row],[Lucro Distribuir]]*Tabela3[%Div]</f>
        <v>154610837.5</v>
      </c>
      <c r="S175" s="56">
        <f>SUMPRODUCT(N(Tabela3[Nome]=Tabela3[[#This Row],[Nome]]),Tabela3[Ações])</f>
        <v>381253493</v>
      </c>
      <c r="T175" s="28">
        <f>Tabela3[Capital Social]/Tabela3[Total Ações]</f>
        <v>0.54354135139687754</v>
      </c>
      <c r="U175" s="81">
        <f>Tabela3[[#This Row],[Lucro Líquido]]/Tabela3[[#This Row],[Total Ações]]</f>
        <v>1.7075069788278634</v>
      </c>
      <c r="V175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0.39291523664074163</v>
      </c>
      <c r="W175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5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5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0.39291523664074163</v>
      </c>
      <c r="Z175" s="28">
        <f>Tabela3[Div Base]*Tabela3[Ações]</f>
        <v>77585518.447432414</v>
      </c>
      <c r="AA175" s="28">
        <f>SUMPRODUCT(N(Tabela3[Nome]=Tabela3[[#This Row],[Nome]]),Tabela3[Div Base]*Tabela3[Ações])</f>
        <v>157021785.3285009</v>
      </c>
      <c r="AB175" s="93">
        <f>Tabela3[Patrimônio Líquido]/Tabela3[Total Ações]</f>
        <v>4.7554842992612265</v>
      </c>
      <c r="AC175" s="29">
        <f>MAX(Tabela3[[#This Row],[Cotação 1]:[Cotação 4]])</f>
        <v>15.82</v>
      </c>
      <c r="AD175" s="30">
        <f>Tabela3[Cotação]/Tabela3[VPA]</f>
        <v>3.3266853604074913</v>
      </c>
      <c r="AE175" s="35">
        <f>IF(Tabela3[[#This Row],[Lucro/Ação]]&gt;0,Tabela3[[#This Row],[Cotação]]/(Tabela3[[#This Row],[Lucro/Ação]]/Tabela3[Ref]*4),0)</f>
        <v>6.9487270899149456</v>
      </c>
      <c r="AF175" s="35" t="e">
        <f>IF(Tabela3[Div. Mínimo]=0,0,Tabela3[Lucro Distribuir]*#REF!/Tabela3[Total Ações])</f>
        <v>#REF!</v>
      </c>
      <c r="AG175" s="80">
        <f>Tabela3[Lucro Distribuir]/Tabela3[Total Ações]</f>
        <v>1.6221316298864703</v>
      </c>
      <c r="AH17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0.39291523664074163</v>
      </c>
      <c r="AI175" s="25" t="str">
        <f>IF(AND(Tabela3[% A.A.]&gt;=7%,SUMPRODUCT(N(Tabela3[Nome]=Tabela3[[#This Row],[Nome]]),Tabela3[PL])&gt;0),"Sim","Não")</f>
        <v>Não</v>
      </c>
      <c r="AJ175" s="27">
        <f>IF(Tabela3[Cotação]&gt;0,Tabela3[[#This Row],[Lucro]]/Tabela3[[#This Row],[Cotação]],0)</f>
        <v>2.4836614199794035E-2</v>
      </c>
      <c r="AK175" s="49">
        <f>((1+Tabela3[[#This Row],[% Yield]])^(1/(3*Tabela3[[#This Row],[Ref]])))^(12)-1</f>
        <v>3.3251816175085436E-2</v>
      </c>
      <c r="AL175" s="10">
        <f>IF(Tabela3[Cotação]&gt;0,($AS$1/Tabela3[[#This Row],[Cotação]]-MOD($AS$1/Tabela3[[#This Row],[Cotação]],100)),)</f>
        <v>0</v>
      </c>
      <c r="AM175" s="7">
        <f>Tabela3[[#This Row],[Ativos]]*Tabela3[Lucro]</f>
        <v>0</v>
      </c>
      <c r="AN175" s="5">
        <f>SUMPRODUCT(N(Tabela1[Código]=Tabela3[[#This Row],[PAPEL]]),Tabela1[Fechamento])</f>
        <v>15.82</v>
      </c>
      <c r="AO175" s="5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  <c r="AQ175" s="7">
        <f>SUMPRODUCT(N(Tabela1768[Código]=Tabela3[[#This Row],[PAPEL]]),Tabela1768[Fechamento])</f>
        <v>0</v>
      </c>
    </row>
    <row r="176" spans="1:43" hidden="1" x14ac:dyDescent="0.2">
      <c r="A176" s="24" t="s">
        <v>12</v>
      </c>
      <c r="B176" s="57" t="s">
        <v>33</v>
      </c>
      <c r="C176" s="15" t="str">
        <f>LEFT(Tabela3[PAPEL],LEN(Tabela3[PAPEL])-(LEN(Tabela3[PAPEL])-4))</f>
        <v>GETI</v>
      </c>
      <c r="D176" s="15">
        <v>3</v>
      </c>
      <c r="E176" s="6">
        <v>207227038.81</v>
      </c>
      <c r="F176" s="8">
        <v>183792282</v>
      </c>
      <c r="G176" s="88">
        <v>0.25</v>
      </c>
      <c r="H176" s="15"/>
      <c r="I176" s="19"/>
      <c r="J176" s="19">
        <v>0.1</v>
      </c>
      <c r="K176" s="90"/>
      <c r="L176" s="90"/>
      <c r="M176" s="93">
        <v>1813045000</v>
      </c>
      <c r="N176" s="93">
        <v>650993000</v>
      </c>
      <c r="O176" s="28">
        <f>Tabela3[[#This Row],[Capital Social]]*20%</f>
        <v>41445407.762000002</v>
      </c>
      <c r="P176" s="28">
        <f>IF((Tabela3[Lucro Líquido]*5%)&gt;Tabela3[Teto R. Legal],Tabela3[Teto R. Legal],Tabela3[Lucro Líquido]*5%)</f>
        <v>32549650</v>
      </c>
      <c r="Q176" s="93">
        <f>IF(Tabela3[Lucro Líquido]&lt;0,0,Tabela3[Lucro Líquido]-Tabela3[Reserva Legal])</f>
        <v>618443350</v>
      </c>
      <c r="R176" s="93">
        <f>Tabela3[[#This Row],[Lucro Distribuir]]*Tabela3[%Div]</f>
        <v>154610837.5</v>
      </c>
      <c r="S176" s="56">
        <f>SUMPRODUCT(N(Tabela3[Nome]=Tabela3[[#This Row],[Nome]]),Tabela3[Ações])</f>
        <v>381253493</v>
      </c>
      <c r="T176" s="28">
        <f>Tabela3[Capital Social]/Tabela3[Total Ações]</f>
        <v>0.54354135139687754</v>
      </c>
      <c r="U176" s="81">
        <f>Tabela3[[#This Row],[Lucro Líquido]]/Tabela3[[#This Row],[Total Ações]]</f>
        <v>1.7075069788278634</v>
      </c>
      <c r="V176" s="81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0.4322067608968938</v>
      </c>
      <c r="W176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6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6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0.4322067608968938</v>
      </c>
      <c r="Z176" s="28">
        <f>Tabela3[Div Base]*Tabela3[Ações]</f>
        <v>79436266.881068483</v>
      </c>
      <c r="AA176" s="28">
        <f>SUMPRODUCT(N(Tabela3[Nome]=Tabela3[[#This Row],[Nome]]),Tabela3[Div Base]*Tabela3[Ações])</f>
        <v>157021785.3285009</v>
      </c>
      <c r="AB176" s="93">
        <f>Tabela3[Patrimônio Líquido]/Tabela3[Total Ações]</f>
        <v>4.7554842992612265</v>
      </c>
      <c r="AC176" s="29">
        <f>MAX(Tabela3[[#This Row],[Cotação 1]:[Cotação 4]])</f>
        <v>17.399999999999999</v>
      </c>
      <c r="AD176" s="30">
        <f>Tabela3[Cotação]/Tabela3[VPA]</f>
        <v>3.6589333293988839</v>
      </c>
      <c r="AE176" s="35">
        <f>IF(Tabela3[[#This Row],[Lucro/Ação]]&gt;0,Tabela3[[#This Row],[Cotação]]/(Tabela3[[#This Row],[Lucro/Ação]]/Tabela3[Ref]*4),0)</f>
        <v>7.6427213251909007</v>
      </c>
      <c r="AF176" s="35" t="e">
        <f>IF(Tabela3[Div. Mínimo]=0,0,Tabela3[Lucro Distribuir]*#REF!/Tabela3[Total Ações])</f>
        <v>#REF!</v>
      </c>
      <c r="AG176" s="80">
        <f>Tabela3[Lucro Distribuir]/Tabela3[Total Ações]</f>
        <v>1.6221316298864703</v>
      </c>
      <c r="AH17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0.4322067608968938</v>
      </c>
      <c r="AI176" s="25" t="str">
        <f>IF(AND(Tabela3[% A.A.]&gt;=7%,SUMPRODUCT(N(Tabela3[Nome]=Tabela3[[#This Row],[Nome]]),Tabela3[PL])&gt;0),"Sim","Não")</f>
        <v>Não</v>
      </c>
      <c r="AJ176" s="27">
        <f>IF(Tabela3[Cotação]&gt;0,Tabela3[[#This Row],[Lucro]]/Tabela3[[#This Row],[Cotação]],0)</f>
        <v>2.4839469017062864E-2</v>
      </c>
      <c r="AK176" s="49">
        <f>((1+Tabela3[[#This Row],[% Yield]])^(1/(3*Tabela3[[#This Row],[Ref]])))^(12)-1</f>
        <v>3.3255653855429834E-2</v>
      </c>
      <c r="AL176" s="10">
        <f>IF(Tabela3[Cotação]&gt;0,($AS$1/Tabela3[[#This Row],[Cotação]]-MOD($AS$1/Tabela3[[#This Row],[Cotação]],100)),)</f>
        <v>0</v>
      </c>
      <c r="AM176" s="7">
        <f>Tabela3[[#This Row],[Ativos]]*Tabela3[Lucro]</f>
        <v>0</v>
      </c>
      <c r="AN176" s="5">
        <f>SUMPRODUCT(N(Tabela1[Código]=Tabela3[[#This Row],[PAPEL]]),Tabela1[Fechamento])</f>
        <v>17.399999999999999</v>
      </c>
      <c r="AO176" s="5">
        <f>SUMPRODUCT(N(Tabela17[Código]=Tabela3[[#This Row],[PAPEL]]),Tabela17[Fechamento])</f>
        <v>0</v>
      </c>
      <c r="AP176" s="7">
        <f>SUMPRODUCT(N(Tabela176[Código]=Tabela3[[#This Row],[PAPEL]]),Tabela176[Fechamento])</f>
        <v>0</v>
      </c>
      <c r="AQ176" s="7">
        <f>SUMPRODUCT(N(Tabela1768[Código]=Tabela3[[#This Row],[PAPEL]]),Tabela1768[Fechamento])</f>
        <v>0</v>
      </c>
    </row>
    <row r="177" spans="1:43" hidden="1" x14ac:dyDescent="0.2">
      <c r="A177" s="4" t="s">
        <v>244</v>
      </c>
      <c r="B177" s="57" t="s">
        <v>627</v>
      </c>
      <c r="C177" s="15" t="str">
        <f>LEFT(Tabela3[PAPEL],LEN(Tabela3[PAPEL])-(LEN(Tabela3[PAPEL])-4))</f>
        <v>GGBR</v>
      </c>
      <c r="D177" s="15">
        <v>3</v>
      </c>
      <c r="E177" s="6">
        <v>19323246666</v>
      </c>
      <c r="F177" s="8">
        <v>573627483</v>
      </c>
      <c r="G177" s="88">
        <v>0</v>
      </c>
      <c r="H177" s="15"/>
      <c r="I177" s="19"/>
      <c r="J177" s="19"/>
      <c r="K177" s="90"/>
      <c r="L177" s="90"/>
      <c r="M177" s="96">
        <v>29203110000</v>
      </c>
      <c r="N177" s="97">
        <v>1133637000</v>
      </c>
      <c r="O177" s="13">
        <f>Tabela3[[#This Row],[Capital Social]]*20%</f>
        <v>3864649333.2000003</v>
      </c>
      <c r="P177" s="13">
        <f>IF((Tabela3[Lucro Líquido]*5%)&gt;Tabela3[Teto R. Legal],Tabela3[Teto R. Legal],Tabela3[Lucro Líquido]*5%)</f>
        <v>56681850</v>
      </c>
      <c r="Q177" s="13">
        <f>IF(Tabela3[Lucro Líquido]&lt;0,0,Tabela3[Lucro Líquido]-Tabela3[Reserva Legal])</f>
        <v>1076955150</v>
      </c>
      <c r="R177" s="13">
        <f>Tabela3[[#This Row],[Lucro Distribuir]]*Tabela3[%Div]</f>
        <v>0</v>
      </c>
      <c r="S177" s="56">
        <f>SUMPRODUCT(N(Tabela3[Nome]=Tabela3[[#This Row],[Nome]]),Tabela3[Ações])</f>
        <v>1719658728</v>
      </c>
      <c r="T177" s="6">
        <f>Tabela3[Capital Social]/Tabela3[Total Ações]</f>
        <v>11.236675249206773</v>
      </c>
      <c r="U177" s="80">
        <f>Tabela3[[#This Row],[Lucro Líquido]]/Tabela3[[#This Row],[Total Ações]]</f>
        <v>0.65922207792847609</v>
      </c>
      <c r="V17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7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77" s="13">
        <f>Tabela3[Div Base]*Tabela3[Ações]</f>
        <v>0</v>
      </c>
      <c r="AA177" s="13">
        <f>SUMPRODUCT(N(Tabela3[Nome]=Tabela3[[#This Row],[Nome]]),Tabela3[Div Base]*Tabela3[Ações])</f>
        <v>323086545</v>
      </c>
      <c r="AB177" s="95">
        <f>Tabela3[Patrimônio Líquido]/Tabela3[Total Ações]</f>
        <v>16.981921775818765</v>
      </c>
      <c r="AC177" s="48">
        <f>MAX(Tabela3[[#This Row],[Cotação 1]:[Cotação 4]])</f>
        <v>13.21</v>
      </c>
      <c r="AD177" s="44">
        <f>Tabela3[Cotação]/Tabela3[VPA]</f>
        <v>0.77788604696143671</v>
      </c>
      <c r="AE177" s="40">
        <f>IF(Tabela3[[#This Row],[Lucro/Ação]]&gt;0,Tabela3[[#This Row],[Cotação]]/(Tabela3[[#This Row],[Lucro/Ação]]/Tabela3[Ref]*4),0)</f>
        <v>15.029077956753353</v>
      </c>
      <c r="AF177" s="91">
        <f>IF(Tabela3[Div. Mínimo]=0,0,Tabela3[Lucro Distribuir]*#REF!/Tabela3[Total Ações])</f>
        <v>0</v>
      </c>
      <c r="AG177" s="80">
        <f>Tabela3[Lucro Distribuir]/Tabela3[Total Ações]</f>
        <v>0.62626097403205228</v>
      </c>
      <c r="AH17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77" s="14" t="str">
        <f>IF(AND(Tabela3[% A.A.]&gt;=7%,SUMPRODUCT(N(Tabela3[Nome]=Tabela3[[#This Row],[Nome]]),Tabela3[PL])&gt;0),"Sim","Não")</f>
        <v>Não</v>
      </c>
      <c r="AJ177" s="42">
        <f>IF(Tabela3[Cotação]&gt;0,Tabela3[[#This Row],[Lucro]]/Tabela3[[#This Row],[Cotação]],0)</f>
        <v>0</v>
      </c>
      <c r="AK177" s="42">
        <f>((1+Tabela3[[#This Row],[% Yield]])^(1/(3*Tabela3[[#This Row],[Ref]])))^(12)-1</f>
        <v>0</v>
      </c>
      <c r="AL177" s="14">
        <f>IF(Tabela3[Cotação]&gt;0,($AS$1/Tabela3[[#This Row],[Cotação]]-MOD($AS$1/Tabela3[[#This Row],[Cotação]],100)),)</f>
        <v>0</v>
      </c>
      <c r="AM177" s="17">
        <f>Tabela3[[#This Row],[Ativos]]*Tabela3[Lucro]</f>
        <v>0</v>
      </c>
      <c r="AN177" s="17">
        <f>SUMPRODUCT(N(Tabela1[Código]=Tabela3[[#This Row],[PAPEL]]),Tabela1[Fechamento])</f>
        <v>0</v>
      </c>
      <c r="AO177" s="17">
        <f>SUMPRODUCT(N(Tabela17[Código]=Tabela3[[#This Row],[PAPEL]]),Tabela17[Fechamento])</f>
        <v>0</v>
      </c>
      <c r="AP177" s="17">
        <f>SUMPRODUCT(N(Tabela176[Código]=Tabela3[[#This Row],[PAPEL]]),Tabela176[Fechamento])</f>
        <v>13.21</v>
      </c>
      <c r="AQ177" s="17">
        <f>SUMPRODUCT(N(Tabela1768[Código]=Tabela3[[#This Row],[PAPEL]]),Tabela1768[Fechamento])</f>
        <v>0</v>
      </c>
    </row>
    <row r="178" spans="1:43" hidden="1" x14ac:dyDescent="0.2">
      <c r="A178" s="4" t="s">
        <v>244</v>
      </c>
      <c r="B178" s="57" t="s">
        <v>628</v>
      </c>
      <c r="C178" s="15" t="str">
        <f>LEFT(Tabela3[PAPEL],LEN(Tabela3[PAPEL])-(LEN(Tabela3[PAPEL])-4))</f>
        <v>GGBR</v>
      </c>
      <c r="D178" s="15">
        <v>3</v>
      </c>
      <c r="E178" s="6">
        <v>19323246666</v>
      </c>
      <c r="F178" s="8">
        <v>1146031245</v>
      </c>
      <c r="G178" s="88">
        <v>0.3</v>
      </c>
      <c r="H178" s="15"/>
      <c r="I178" s="19"/>
      <c r="J178" s="19"/>
      <c r="K178" s="90"/>
      <c r="L178" s="90"/>
      <c r="M178" s="96">
        <v>29203110000</v>
      </c>
      <c r="N178" s="97">
        <v>1133637000</v>
      </c>
      <c r="O178" s="13">
        <f>Tabela3[[#This Row],[Capital Social]]*20%</f>
        <v>3864649333.2000003</v>
      </c>
      <c r="P178" s="13">
        <f>IF((Tabela3[Lucro Líquido]*5%)&gt;Tabela3[Teto R. Legal],Tabela3[Teto R. Legal],Tabela3[Lucro Líquido]*5%)</f>
        <v>56681850</v>
      </c>
      <c r="Q178" s="13">
        <f>IF(Tabela3[Lucro Líquido]&lt;0,0,Tabela3[Lucro Líquido]-Tabela3[Reserva Legal])</f>
        <v>1076955150</v>
      </c>
      <c r="R178" s="13">
        <f>Tabela3[[#This Row],[Lucro Distribuir]]*Tabela3[%Div]</f>
        <v>323086545</v>
      </c>
      <c r="S178" s="56">
        <f>SUMPRODUCT(N(Tabela3[Nome]=Tabela3[[#This Row],[Nome]]),Tabela3[Ações])</f>
        <v>1719658728</v>
      </c>
      <c r="T178" s="6">
        <f>Tabela3[Capital Social]/Tabela3[Total Ações]</f>
        <v>11.236675249206773</v>
      </c>
      <c r="U178" s="80">
        <f>Tabela3[[#This Row],[Lucro Líquido]]/Tabela3[[#This Row],[Total Ações]]</f>
        <v>0.65922207792847609</v>
      </c>
      <c r="V17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0.2819177456195795</v>
      </c>
      <c r="W17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0.2819177456195795</v>
      </c>
      <c r="Z178" s="13">
        <f>Tabela3[Div Base]*Tabela3[Ações]</f>
        <v>323086545</v>
      </c>
      <c r="AA178" s="13">
        <f>SUMPRODUCT(N(Tabela3[Nome]=Tabela3[[#This Row],[Nome]]),Tabela3[Div Base]*Tabela3[Ações])</f>
        <v>323086545</v>
      </c>
      <c r="AB178" s="95">
        <f>Tabela3[Patrimônio Líquido]/Tabela3[Total Ações]</f>
        <v>16.981921775818765</v>
      </c>
      <c r="AC178" s="48">
        <f>MAX(Tabela3[[#This Row],[Cotação 1]:[Cotação 4]])</f>
        <v>16.399999999999999</v>
      </c>
      <c r="AD178" s="44">
        <f>Tabela3[Cotação]/Tabela3[VPA]</f>
        <v>0.96573286678028458</v>
      </c>
      <c r="AE178" s="40">
        <f>IF(Tabela3[[#This Row],[Lucro/Ação]]&gt;0,Tabela3[[#This Row],[Cotação]]/(Tabela3[[#This Row],[Lucro/Ação]]/Tabela3[Ref]*4),0)</f>
        <v>18.65835567681718</v>
      </c>
      <c r="AF178" s="91" t="e">
        <f>IF(Tabela3[Div. Mínimo]=0,0,Tabela3[Lucro Distribuir]*#REF!/Tabela3[Total Ações])</f>
        <v>#REF!</v>
      </c>
      <c r="AG178" s="80">
        <f>Tabela3[Lucro Distribuir]/Tabela3[Total Ações]</f>
        <v>0.62626097403205228</v>
      </c>
      <c r="AH17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0.2819177456195795</v>
      </c>
      <c r="AI178" s="14" t="str">
        <f>IF(AND(Tabela3[% A.A.]&gt;=7%,SUMPRODUCT(N(Tabela3[Nome]=Tabela3[[#This Row],[Nome]]),Tabela3[PL])&gt;0),"Sim","Não")</f>
        <v>Não</v>
      </c>
      <c r="AJ178" s="42">
        <f>IF(Tabela3[Cotação]&gt;0,Tabela3[[#This Row],[Lucro]]/Tabela3[[#This Row],[Cotação]],0)</f>
        <v>1.7190106440218265E-2</v>
      </c>
      <c r="AK178" s="42">
        <f>((1+Tabela3[[#This Row],[% Yield]])^(1/(3*Tabela3[[#This Row],[Ref]])))^(12)-1</f>
        <v>2.2985559465889427E-2</v>
      </c>
      <c r="AL178" s="14">
        <f>IF(Tabela3[Cotação]&gt;0,($AS$1/Tabela3[[#This Row],[Cotação]]-MOD($AS$1/Tabela3[[#This Row],[Cotação]],100)),)</f>
        <v>0</v>
      </c>
      <c r="AM178" s="17">
        <f>Tabela3[[#This Row],[Ativos]]*Tabela3[Lucro]</f>
        <v>0</v>
      </c>
      <c r="AN178" s="17">
        <f>SUMPRODUCT(N(Tabela1[Código]=Tabela3[[#This Row],[PAPEL]]),Tabela1[Fechamento])</f>
        <v>0</v>
      </c>
      <c r="AO178" s="17">
        <f>SUMPRODUCT(N(Tabela17[Código]=Tabela3[[#This Row],[PAPEL]]),Tabela17[Fechamento])</f>
        <v>0</v>
      </c>
      <c r="AP178" s="17">
        <f>SUMPRODUCT(N(Tabela176[Código]=Tabela3[[#This Row],[PAPEL]]),Tabela176[Fechamento])</f>
        <v>16.399999999999999</v>
      </c>
      <c r="AQ178" s="17">
        <f>SUMPRODUCT(N(Tabela1768[Código]=Tabela3[[#This Row],[PAPEL]]),Tabela1768[Fechamento])</f>
        <v>0</v>
      </c>
    </row>
    <row r="179" spans="1:43" hidden="1" x14ac:dyDescent="0.2">
      <c r="A179" s="4" t="s">
        <v>244</v>
      </c>
      <c r="B179" s="57" t="s">
        <v>631</v>
      </c>
      <c r="C179" s="15" t="str">
        <f>LEFT(Tabela3[PAPEL],LEN(Tabela3[PAPEL])-(LEN(Tabela3[PAPEL])-4))</f>
        <v>GOAU</v>
      </c>
      <c r="D179" s="15">
        <v>3</v>
      </c>
      <c r="E179" s="6">
        <v>6900000000</v>
      </c>
      <c r="F179" s="8">
        <v>137618994</v>
      </c>
      <c r="G179" s="88">
        <v>0</v>
      </c>
      <c r="H179" s="15"/>
      <c r="I179" s="19"/>
      <c r="J179" s="19"/>
      <c r="K179" s="90"/>
      <c r="L179" s="90"/>
      <c r="M179" s="96">
        <v>10689802000</v>
      </c>
      <c r="N179" s="97">
        <v>374359000</v>
      </c>
      <c r="O179" s="13">
        <f>Tabela3[[#This Row],[Capital Social]]*20%</f>
        <v>1380000000</v>
      </c>
      <c r="P179" s="13">
        <f>IF((Tabela3[Lucro Líquido]*5%)&gt;Tabela3[Teto R. Legal],Tabela3[Teto R. Legal],Tabela3[Lucro Líquido]*5%)</f>
        <v>18717950</v>
      </c>
      <c r="Q179" s="13">
        <f>IF(Tabela3[Lucro Líquido]&lt;0,0,Tabela3[Lucro Líquido]-Tabela3[Reserva Legal])</f>
        <v>355641050</v>
      </c>
      <c r="R179" s="13">
        <f>Tabela3[[#This Row],[Lucro Distribuir]]*Tabela3[%Div]</f>
        <v>0</v>
      </c>
      <c r="S179" s="56">
        <f>SUMPRODUCT(N(Tabela3[Nome]=Tabela3[[#This Row],[Nome]]),Tabela3[Ações])</f>
        <v>412681538</v>
      </c>
      <c r="T179" s="6">
        <f>Tabela3[Capital Social]/Tabela3[Total Ações]</f>
        <v>16.719914424667092</v>
      </c>
      <c r="U179" s="80">
        <f>Tabela3[[#This Row],[Lucro Líquido]]/Tabela3[[#This Row],[Total Ações]]</f>
        <v>0.90713774552231119</v>
      </c>
      <c r="V17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7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7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7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79" s="13">
        <f>Tabela3[Div Base]*Tabela3[Ações]</f>
        <v>0</v>
      </c>
      <c r="AA179" s="13">
        <f>SUMPRODUCT(N(Tabela3[Nome]=Tabela3[[#This Row],[Nome]]),Tabela3[Div Base]*Tabela3[Ações])</f>
        <v>106692315</v>
      </c>
      <c r="AB179" s="95">
        <f>Tabela3[Patrimônio Líquido]/Tabela3[Total Ações]</f>
        <v>25.903271689367408</v>
      </c>
      <c r="AC179" s="48">
        <f>MAX(Tabela3[[#This Row],[Cotação 1]:[Cotação 4]])</f>
        <v>16.239999999999998</v>
      </c>
      <c r="AD179" s="44">
        <f>Tabela3[Cotação]/Tabela3[VPA]</f>
        <v>0.62694783094392204</v>
      </c>
      <c r="AE179" s="40">
        <f>IF(Tabela3[[#This Row],[Lucro/Ação]]&gt;0,Tabela3[[#This Row],[Cotação]]/(Tabela3[[#This Row],[Lucro/Ação]]/Tabela3[Ref]*4),0)</f>
        <v>13.426847311911827</v>
      </c>
      <c r="AF179" s="91">
        <f>IF(Tabela3[Div. Mínimo]=0,0,Tabela3[Lucro Distribuir]*#REF!/Tabela3[Total Ações])</f>
        <v>0</v>
      </c>
      <c r="AG179" s="80">
        <f>Tabela3[Lucro Distribuir]/Tabela3[Total Ações]</f>
        <v>0.86178085824619566</v>
      </c>
      <c r="AH17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79" s="14" t="str">
        <f>IF(AND(Tabela3[% A.A.]&gt;=7%,SUMPRODUCT(N(Tabela3[Nome]=Tabela3[[#This Row],[Nome]]),Tabela3[PL])&gt;0),"Sim","Não")</f>
        <v>Não</v>
      </c>
      <c r="AJ179" s="42">
        <f>IF(Tabela3[Cotação]&gt;0,Tabela3[[#This Row],[Lucro]]/Tabela3[[#This Row],[Cotação]],0)</f>
        <v>0</v>
      </c>
      <c r="AK179" s="42">
        <f>((1+Tabela3[[#This Row],[% Yield]])^(1/(3*Tabela3[[#This Row],[Ref]])))^(12)-1</f>
        <v>0</v>
      </c>
      <c r="AL179" s="14">
        <f>IF(Tabela3[Cotação]&gt;0,($AS$1/Tabela3[[#This Row],[Cotação]]-MOD($AS$1/Tabela3[[#This Row],[Cotação]],100)),)</f>
        <v>0</v>
      </c>
      <c r="AM179" s="17">
        <f>Tabela3[[#This Row],[Ativos]]*Tabela3[Lucro]</f>
        <v>0</v>
      </c>
      <c r="AN179" s="17">
        <f>SUMPRODUCT(N(Tabela1[Código]=Tabela3[[#This Row],[PAPEL]]),Tabela1[Fechamento])</f>
        <v>0</v>
      </c>
      <c r="AO179" s="17">
        <f>SUMPRODUCT(N(Tabela17[Código]=Tabela3[[#This Row],[PAPEL]]),Tabela17[Fechamento])</f>
        <v>0</v>
      </c>
      <c r="AP179" s="17">
        <f>SUMPRODUCT(N(Tabela176[Código]=Tabela3[[#This Row],[PAPEL]]),Tabela176[Fechamento])</f>
        <v>16.239999999999998</v>
      </c>
      <c r="AQ179" s="17">
        <f>SUMPRODUCT(N(Tabela1768[Código]=Tabela3[[#This Row],[PAPEL]]),Tabela1768[Fechamento])</f>
        <v>0</v>
      </c>
    </row>
    <row r="180" spans="1:43" hidden="1" x14ac:dyDescent="0.2">
      <c r="A180" s="4" t="s">
        <v>244</v>
      </c>
      <c r="B180" s="57" t="s">
        <v>632</v>
      </c>
      <c r="C180" s="15" t="str">
        <f>LEFT(Tabela3[PAPEL],LEN(Tabela3[PAPEL])-(LEN(Tabela3[PAPEL])-4))</f>
        <v>GOAU</v>
      </c>
      <c r="D180" s="15">
        <v>3</v>
      </c>
      <c r="E180" s="6">
        <v>6900000000</v>
      </c>
      <c r="F180" s="8">
        <v>275062544</v>
      </c>
      <c r="G180" s="88">
        <v>0.3</v>
      </c>
      <c r="H180" s="15"/>
      <c r="I180" s="19"/>
      <c r="J180" s="19"/>
      <c r="K180" s="90"/>
      <c r="L180" s="90"/>
      <c r="M180" s="96">
        <v>10689802000</v>
      </c>
      <c r="N180" s="97">
        <v>374359000</v>
      </c>
      <c r="O180" s="13">
        <f>Tabela3[[#This Row],[Capital Social]]*20%</f>
        <v>1380000000</v>
      </c>
      <c r="P180" s="13">
        <f>IF((Tabela3[Lucro Líquido]*5%)&gt;Tabela3[Teto R. Legal],Tabela3[Teto R. Legal],Tabela3[Lucro Líquido]*5%)</f>
        <v>18717950</v>
      </c>
      <c r="Q180" s="13">
        <f>IF(Tabela3[Lucro Líquido]&lt;0,0,Tabela3[Lucro Líquido]-Tabela3[Reserva Legal])</f>
        <v>355641050</v>
      </c>
      <c r="R180" s="13">
        <f>Tabela3[[#This Row],[Lucro Distribuir]]*Tabela3[%Div]</f>
        <v>106692315</v>
      </c>
      <c r="S180" s="56">
        <f>SUMPRODUCT(N(Tabela3[Nome]=Tabela3[[#This Row],[Nome]]),Tabela3[Ações])</f>
        <v>412681538</v>
      </c>
      <c r="T180" s="6">
        <f>Tabela3[Capital Social]/Tabela3[Total Ações]</f>
        <v>16.719914424667092</v>
      </c>
      <c r="U180" s="80">
        <f>Tabela3[[#This Row],[Lucro Líquido]]/Tabela3[[#This Row],[Total Ações]]</f>
        <v>0.90713774552231119</v>
      </c>
      <c r="V18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0.38788383706652552</v>
      </c>
      <c r="W18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0.38788383706652552</v>
      </c>
      <c r="Z180" s="13">
        <f>Tabela3[Div Base]*Tabela3[Ações]</f>
        <v>106692315</v>
      </c>
      <c r="AA180" s="13">
        <f>SUMPRODUCT(N(Tabela3[Nome]=Tabela3[[#This Row],[Nome]]),Tabela3[Div Base]*Tabela3[Ações])</f>
        <v>106692315</v>
      </c>
      <c r="AB180" s="95">
        <f>Tabela3[Patrimônio Líquido]/Tabela3[Total Ações]</f>
        <v>25.903271689367408</v>
      </c>
      <c r="AC180" s="48">
        <f>MAX(Tabela3[[#This Row],[Cotação 1]:[Cotação 4]])</f>
        <v>20.309999999999999</v>
      </c>
      <c r="AD180" s="44">
        <f>Tabela3[Cotação]/Tabela3[VPA]</f>
        <v>0.7840708402999419</v>
      </c>
      <c r="AE180" s="40">
        <f>IF(Tabela3[[#This Row],[Lucro/Ação]]&gt;0,Tabela3[[#This Row],[Cotação]]/(Tabela3[[#This Row],[Lucro/Ação]]/Tabela3[Ref]*4),0)</f>
        <v>16.791826903012883</v>
      </c>
      <c r="AF180" s="91" t="e">
        <f>IF(Tabela3[Div. Mínimo]=0,0,Tabela3[Lucro Distribuir]*#REF!/Tabela3[Total Ações])</f>
        <v>#REF!</v>
      </c>
      <c r="AG180" s="80">
        <f>Tabela3[Lucro Distribuir]/Tabela3[Total Ações]</f>
        <v>0.86178085824619566</v>
      </c>
      <c r="AH18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0.38788383706652552</v>
      </c>
      <c r="AI180" s="14" t="str">
        <f>IF(AND(Tabela3[% A.A.]&gt;=7%,SUMPRODUCT(N(Tabela3[Nome]=Tabela3[[#This Row],[Nome]]),Tabela3[PL])&gt;0),"Sim","Não")</f>
        <v>Não</v>
      </c>
      <c r="AJ180" s="42">
        <f>IF(Tabela3[Cotação]&gt;0,Tabela3[[#This Row],[Lucro]]/Tabela3[[#This Row],[Cotação]],0)</f>
        <v>1.9098170214993871E-2</v>
      </c>
      <c r="AK180" s="42">
        <f>((1+Tabela3[[#This Row],[% Yield]])^(1/(3*Tabela3[[#This Row],[Ref]])))^(12)-1</f>
        <v>2.5544939026397762E-2</v>
      </c>
      <c r="AL180" s="14">
        <f>IF(Tabela3[Cotação]&gt;0,($AS$1/Tabela3[[#This Row],[Cotação]]-MOD($AS$1/Tabela3[[#This Row],[Cotação]],100)),)</f>
        <v>0</v>
      </c>
      <c r="AM180" s="17">
        <f>Tabela3[[#This Row],[Ativos]]*Tabela3[Lucro]</f>
        <v>0</v>
      </c>
      <c r="AN180" s="17">
        <f>SUMPRODUCT(N(Tabela1[Código]=Tabela3[[#This Row],[PAPEL]]),Tabela1[Fechamento])</f>
        <v>0</v>
      </c>
      <c r="AO180" s="17">
        <f>SUMPRODUCT(N(Tabela17[Código]=Tabela3[[#This Row],[PAPEL]]),Tabela17[Fechamento])</f>
        <v>0</v>
      </c>
      <c r="AP180" s="17">
        <f>SUMPRODUCT(N(Tabela176[Código]=Tabela3[[#This Row],[PAPEL]]),Tabela176[Fechamento])</f>
        <v>20.309999999999999</v>
      </c>
      <c r="AQ180" s="17">
        <f>SUMPRODUCT(N(Tabela1768[Código]=Tabela3[[#This Row],[PAPEL]]),Tabela1768[Fechamento])</f>
        <v>0</v>
      </c>
    </row>
    <row r="181" spans="1:43" hidden="1" x14ac:dyDescent="0.2">
      <c r="A181" s="4" t="s">
        <v>12</v>
      </c>
      <c r="B181" s="57" t="s">
        <v>494</v>
      </c>
      <c r="C181" s="15" t="str">
        <f>LEFT(Tabela3[PAPEL],LEN(Tabela3[PAPEL])-(LEN(Tabela3[PAPEL])-4))</f>
        <v>GPAR</v>
      </c>
      <c r="D181" s="15">
        <v>3</v>
      </c>
      <c r="E181" s="6">
        <v>973764337.52999997</v>
      </c>
      <c r="F181" s="8">
        <v>32774246</v>
      </c>
      <c r="G181" s="83">
        <v>0.25</v>
      </c>
      <c r="H181" s="15"/>
      <c r="I181" s="19"/>
      <c r="J181" s="19"/>
      <c r="K181" s="90"/>
      <c r="L181" s="90"/>
      <c r="M181" s="96">
        <v>-2079468000</v>
      </c>
      <c r="N181" s="97">
        <v>39671000</v>
      </c>
      <c r="O181" s="13">
        <f>Tabela3[[#This Row],[Capital Social]]*20%</f>
        <v>194752867.50600001</v>
      </c>
      <c r="P181" s="13">
        <f>IF((Tabela3[Lucro Líquido]*5%)&gt;Tabela3[Teto R. Legal],Tabela3[Teto R. Legal],Tabela3[Lucro Líquido]*5%)</f>
        <v>1983550</v>
      </c>
      <c r="Q181" s="13">
        <f>IF(Tabela3[Lucro Líquido]&lt;0,0,Tabela3[Lucro Líquido]-Tabela3[Reserva Legal])</f>
        <v>37687450</v>
      </c>
      <c r="R181" s="13">
        <f>Tabela3[[#This Row],[Lucro Distribuir]]*Tabela3[%Div]</f>
        <v>9421862.5</v>
      </c>
      <c r="S181" s="56">
        <f>SUMPRODUCT(N(Tabela3[Nome]=Tabela3[[#This Row],[Nome]]),Tabela3[Ações])</f>
        <v>32774246</v>
      </c>
      <c r="T181" s="6">
        <f>Tabela3[Capital Social]/Tabela3[Total Ações]</f>
        <v>29.711265898535085</v>
      </c>
      <c r="U181" s="80">
        <f>Tabela3[[#This Row],[Lucro Líquido]]/Tabela3[[#This Row],[Total Ações]]</f>
        <v>1.2104321179501734</v>
      </c>
      <c r="V18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0.28747762801316618</v>
      </c>
      <c r="W18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0.28747762801316618</v>
      </c>
      <c r="Z181" s="13">
        <f>Tabela3[Div Base]*Tabela3[Ações]</f>
        <v>9421862.5</v>
      </c>
      <c r="AA181" s="13">
        <f>SUMPRODUCT(N(Tabela3[Nome]=Tabela3[[#This Row],[Nome]]),Tabela3[Div Base]*Tabela3[Ações])</f>
        <v>9421862.5</v>
      </c>
      <c r="AB181" s="95">
        <f>Tabela3[Patrimônio Líquido]/Tabela3[Total Ações]</f>
        <v>-63.448233103516706</v>
      </c>
      <c r="AC181" s="48">
        <f>MAX(Tabela3[[#This Row],[Cotação 1]:[Cotação 4]])</f>
        <v>15</v>
      </c>
      <c r="AD181" s="44">
        <f>Tabela3[Cotação]/Tabela3[VPA]</f>
        <v>-0.2364132027999469</v>
      </c>
      <c r="AE181" s="40">
        <f>IF(Tabela3[[#This Row],[Lucro/Ação]]&gt;0,Tabela3[[#This Row],[Cotação]]/(Tabela3[[#This Row],[Lucro/Ação]]/Tabela3[Ref]*4),0)</f>
        <v>9.2942014947946863</v>
      </c>
      <c r="AF181" s="91" t="e">
        <f>IF(Tabela3[Div. Mínimo]=0,0,Tabela3[Lucro Distribuir]*#REF!/Tabela3[Total Ações])</f>
        <v>#REF!</v>
      </c>
      <c r="AG181" s="80">
        <f>Tabela3[Lucro Distribuir]/Tabela3[Total Ações]</f>
        <v>1.1499105120526647</v>
      </c>
      <c r="AH18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0.28747762801316618</v>
      </c>
      <c r="AI181" s="14" t="str">
        <f>IF(AND(Tabela3[% A.A.]&gt;=7%,SUMPRODUCT(N(Tabela3[Nome]=Tabela3[[#This Row],[Nome]]),Tabela3[PL])&gt;0),"Sim","Não")</f>
        <v>Não</v>
      </c>
      <c r="AJ181" s="42">
        <f>IF(Tabela3[Cotação]&gt;0,Tabela3[[#This Row],[Lucro]]/Tabela3[[#This Row],[Cotação]],0)</f>
        <v>1.9165175200877745E-2</v>
      </c>
      <c r="AK181" s="42">
        <f>((1+Tabela3[[#This Row],[% Yield]])^(1/(3*Tabela3[[#This Row],[Ref]])))^(12)-1</f>
        <v>2.5634845153429398E-2</v>
      </c>
      <c r="AL181" s="14">
        <f>IF(Tabela3[Cotação]&gt;0,($AS$1/Tabela3[[#This Row],[Cotação]]-MOD($AS$1/Tabela3[[#This Row],[Cotação]],100)),)</f>
        <v>0</v>
      </c>
      <c r="AM181" s="17">
        <f>Tabela3[[#This Row],[Ativos]]*Tabela3[Lucro]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15</v>
      </c>
      <c r="AP181" s="7">
        <f>SUMPRODUCT(N(Tabela176[Código]=Tabela3[[#This Row],[PAPEL]]),Tabela176[Fechamento])</f>
        <v>0</v>
      </c>
      <c r="AQ181" s="7">
        <f>SUMPRODUCT(N(Tabela1768[Código]=Tabela3[[#This Row],[PAPEL]]),Tabela1768[Fechamento])</f>
        <v>0</v>
      </c>
    </row>
    <row r="182" spans="1:43" hidden="1" x14ac:dyDescent="0.2">
      <c r="A182" s="4" t="s">
        <v>40</v>
      </c>
      <c r="B182" s="57" t="s">
        <v>678</v>
      </c>
      <c r="C182" s="15" t="str">
        <f>LEFT(Tabela3[PAPEL],LEN(Tabela3[PAPEL])-(LEN(Tabela3[PAPEL])-4))</f>
        <v>GPCP</v>
      </c>
      <c r="D182" s="15">
        <v>3</v>
      </c>
      <c r="E182" s="6">
        <v>210200000</v>
      </c>
      <c r="F182" s="8">
        <v>358849702</v>
      </c>
      <c r="G182" s="88">
        <v>0.25</v>
      </c>
      <c r="H182" s="15"/>
      <c r="I182" s="19"/>
      <c r="J182" s="19"/>
      <c r="K182" s="90"/>
      <c r="L182" s="90"/>
      <c r="M182" s="96">
        <v>69900000</v>
      </c>
      <c r="N182" s="97">
        <v>-65107000</v>
      </c>
      <c r="O182" s="13">
        <f>Tabela3[[#This Row],[Capital Social]]*20%</f>
        <v>42040000</v>
      </c>
      <c r="P182" s="13">
        <f>IF((Tabela3[Lucro Líquido]*5%)&gt;Tabela3[Teto R. Legal],Tabela3[Teto R. Legal],Tabela3[Lucro Líquido]*5%)</f>
        <v>-3255350</v>
      </c>
      <c r="Q182" s="13">
        <f>IF(Tabela3[Lucro Líquido]&lt;0,0,Tabela3[Lucro Líquido]-Tabela3[Reserva Legal])</f>
        <v>0</v>
      </c>
      <c r="R182" s="13">
        <f>Tabela3[[#This Row],[Lucro Distribuir]]*Tabela3[%Div]</f>
        <v>0</v>
      </c>
      <c r="S182" s="56">
        <f>SUMPRODUCT(N(Tabela3[Nome]=Tabela3[[#This Row],[Nome]]),Tabela3[Ações])</f>
        <v>358849702</v>
      </c>
      <c r="T182" s="6">
        <f>Tabela3[Capital Social]/Tabela3[Total Ações]</f>
        <v>0.58576055331376586</v>
      </c>
      <c r="U182" s="80">
        <f>Tabela3[[#This Row],[Lucro Líquido]]/Tabela3[[#This Row],[Total Ações]]</f>
        <v>-0.18143250401807495</v>
      </c>
      <c r="V18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8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82" s="13">
        <f>Tabela3[Div Base]*Tabela3[Ações]</f>
        <v>0</v>
      </c>
      <c r="AA182" s="13">
        <f>SUMPRODUCT(N(Tabela3[Nome]=Tabela3[[#This Row],[Nome]]),Tabela3[Div Base]*Tabela3[Ações])</f>
        <v>0</v>
      </c>
      <c r="AB182" s="95">
        <f>Tabela3[Patrimônio Líquido]/Tabela3[Total Ações]</f>
        <v>0.19478907077370236</v>
      </c>
      <c r="AC182" s="48">
        <f>MAX(Tabela3[[#This Row],[Cotação 1]:[Cotação 4]])</f>
        <v>0.49</v>
      </c>
      <c r="AD182" s="44">
        <f>Tabela3[Cotação]/Tabela3[VPA]</f>
        <v>2.5155415447782548</v>
      </c>
      <c r="AE182" s="40">
        <f>IF(Tabela3[[#This Row],[Lucro/Ação]]&gt;0,Tabela3[[#This Row],[Cotação]]/(Tabela3[[#This Row],[Lucro/Ação]]/Tabela3[Ref]*4),0)</f>
        <v>0</v>
      </c>
      <c r="AF182" s="91">
        <f>IF(Tabela3[Div. Mínimo]=0,0,Tabela3[Lucro Distribuir]*#REF!/Tabela3[Total Ações])</f>
        <v>0</v>
      </c>
      <c r="AG182" s="80">
        <f>Tabela3[Lucro Distribuir]/Tabela3[Total Ações]</f>
        <v>0</v>
      </c>
      <c r="AH18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82" s="14" t="str">
        <f>IF(AND(Tabela3[% A.A.]&gt;=7%,SUMPRODUCT(N(Tabela3[Nome]=Tabela3[[#This Row],[Nome]]),Tabela3[PL])&gt;0),"Sim","Não")</f>
        <v>Não</v>
      </c>
      <c r="AJ182" s="42">
        <f>IF(Tabela3[Cotação]&gt;0,Tabela3[[#This Row],[Lucro]]/Tabela3[[#This Row],[Cotação]],0)</f>
        <v>0</v>
      </c>
      <c r="AK182" s="42">
        <f>((1+Tabela3[[#This Row],[% Yield]])^(1/(3*Tabela3[[#This Row],[Ref]])))^(12)-1</f>
        <v>0</v>
      </c>
      <c r="AL182" s="14">
        <f>IF(Tabela3[Cotação]&gt;0,($AS$1/Tabela3[[#This Row],[Cotação]]-MOD($AS$1/Tabela3[[#This Row],[Cotação]],100)),)</f>
        <v>2000</v>
      </c>
      <c r="AM182" s="17">
        <f>Tabela3[[#This Row],[Ativos]]*Tabela3[Lucro]</f>
        <v>0</v>
      </c>
      <c r="AN182" s="17">
        <f>SUMPRODUCT(N(Tabela1[Código]=Tabela3[[#This Row],[PAPEL]]),Tabela1[Fechamento])</f>
        <v>0</v>
      </c>
      <c r="AO182" s="17">
        <f>SUMPRODUCT(N(Tabela17[Código]=Tabela3[[#This Row],[PAPEL]]),Tabela17[Fechamento])</f>
        <v>0</v>
      </c>
      <c r="AP182" s="17">
        <f>SUMPRODUCT(N(Tabela176[Código]=Tabela3[[#This Row],[PAPEL]]),Tabela176[Fechamento])</f>
        <v>0.49</v>
      </c>
      <c r="AQ182" s="17">
        <f>SUMPRODUCT(N(Tabela1768[Código]=Tabela3[[#This Row],[PAPEL]]),Tabela1768[Fechamento])</f>
        <v>0</v>
      </c>
    </row>
    <row r="183" spans="1:43" hidden="1" x14ac:dyDescent="0.2">
      <c r="A183" s="3" t="s">
        <v>351</v>
      </c>
      <c r="B183" s="57" t="s">
        <v>766</v>
      </c>
      <c r="C183" s="15" t="str">
        <f>LEFT(Tabela3[PAPEL],LEN(Tabela3[PAPEL])-(LEN(Tabela3[PAPEL])-4))</f>
        <v>GSHP</v>
      </c>
      <c r="D183" s="15">
        <v>3</v>
      </c>
      <c r="E183" s="6">
        <v>317813163</v>
      </c>
      <c r="F183" s="8">
        <v>50480600</v>
      </c>
      <c r="G183" s="83">
        <v>0.25</v>
      </c>
      <c r="H183" s="15"/>
      <c r="I183" s="19"/>
      <c r="J183" s="19"/>
      <c r="K183" s="90"/>
      <c r="L183" s="90"/>
      <c r="M183" s="96">
        <v>172998000</v>
      </c>
      <c r="N183" s="97">
        <v>-69875000</v>
      </c>
      <c r="O183" s="13">
        <f>Tabela3[[#This Row],[Capital Social]]*20%</f>
        <v>63562632.600000001</v>
      </c>
      <c r="P183" s="13">
        <f>IF((Tabela3[Lucro Líquido]*5%)&gt;Tabela3[Teto R. Legal],Tabela3[Teto R. Legal],Tabela3[Lucro Líquido]*5%)</f>
        <v>-3493750</v>
      </c>
      <c r="Q183" s="13">
        <f>IF(Tabela3[Lucro Líquido]&lt;0,0,Tabela3[Lucro Líquido]-Tabela3[Reserva Legal])</f>
        <v>0</v>
      </c>
      <c r="R183" s="13">
        <f>Tabela3[[#This Row],[Lucro Distribuir]]*Tabela3[%Div]</f>
        <v>0</v>
      </c>
      <c r="S183" s="21">
        <f>SUMPRODUCT(N(Tabela3[Nome]=Tabela3[[#This Row],[Nome]]),Tabela3[Ações])</f>
        <v>50480600</v>
      </c>
      <c r="T183" s="6">
        <f>Tabela3[Capital Social]/Tabela3[Total Ações]</f>
        <v>6.2957485251760081</v>
      </c>
      <c r="U183" s="80">
        <f>Tabela3[[#This Row],[Lucro Líquido]]/Tabela3[[#This Row],[Total Ações]]</f>
        <v>-1.3841951165398192</v>
      </c>
      <c r="V18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8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83" s="13">
        <f>Tabela3[Div Base]*Tabela3[Ações]</f>
        <v>0</v>
      </c>
      <c r="AA183" s="13">
        <f>SUMPRODUCT(N(Tabela3[Nome]=Tabela3[[#This Row],[Nome]]),Tabela3[Div Base]*Tabela3[Ações])</f>
        <v>0</v>
      </c>
      <c r="AB183" s="95">
        <f>Tabela3[Patrimônio Líquido]/Tabela3[Total Ações]</f>
        <v>3.4270194886748571</v>
      </c>
      <c r="AC183" s="48">
        <f>MAX(Tabela3[[#This Row],[Cotação 1]:[Cotação 4]])</f>
        <v>7</v>
      </c>
      <c r="AD183" s="44">
        <f>Tabela3[Cotação]/Tabela3[VPA]</f>
        <v>2.0425912438294085</v>
      </c>
      <c r="AE183" s="40">
        <f>IF(Tabela3[[#This Row],[Lucro/Ação]]&gt;0,Tabela3[[#This Row],[Cotação]]/(Tabela3[[#This Row],[Lucro/Ação]]/Tabela3[Ref]*4),0)</f>
        <v>0</v>
      </c>
      <c r="AF183" s="91">
        <f>IF(Tabela3[Div. Mínimo]=0,0,Tabela3[Lucro Distribuir]*#REF!/Tabela3[Total Ações])</f>
        <v>0</v>
      </c>
      <c r="AG183" s="80">
        <f>Tabela3[Lucro Distribuir]/Tabela3[Total Ações]</f>
        <v>0</v>
      </c>
      <c r="AH18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83" s="14" t="str">
        <f>IF(AND(Tabela3[% A.A.]&gt;=7%,SUMPRODUCT(N(Tabela3[Nome]=Tabela3[[#This Row],[Nome]]),Tabela3[PL])&gt;0),"Sim","Não")</f>
        <v>Não</v>
      </c>
      <c r="AJ183" s="42">
        <f>IF(Tabela3[Cotação]&gt;0,Tabela3[[#This Row],[Lucro]]/Tabela3[[#This Row],[Cotação]],0)</f>
        <v>0</v>
      </c>
      <c r="AK183" s="42">
        <f>((1+Tabela3[[#This Row],[% Yield]])^(1/(3*Tabela3[[#This Row],[Ref]])))^(12)-1</f>
        <v>0</v>
      </c>
      <c r="AL183" s="14">
        <f>IF(Tabela3[Cotação]&gt;0,($AS$1/Tabela3[[#This Row],[Cotação]]-MOD($AS$1/Tabela3[[#This Row],[Cotação]],100)),)</f>
        <v>100</v>
      </c>
      <c r="AM183" s="17">
        <f>Tabela3[[#This Row],[Ativos]]*Tabela3[Lucro]</f>
        <v>0</v>
      </c>
      <c r="AN183" s="17">
        <f>SUMPRODUCT(N(Tabela1[Código]=Tabela3[[#This Row],[PAPEL]]),Tabela1[Fechamento])</f>
        <v>0</v>
      </c>
      <c r="AO183" s="17">
        <f>SUMPRODUCT(N(Tabela17[Código]=Tabela3[[#This Row],[PAPEL]]),Tabela17[Fechamento])</f>
        <v>0</v>
      </c>
      <c r="AP183" s="17">
        <f>SUMPRODUCT(N(Tabela176[Código]=Tabela3[[#This Row],[PAPEL]]),Tabela176[Fechamento])</f>
        <v>7</v>
      </c>
      <c r="AQ183" s="17">
        <f>SUMPRODUCT(N(Tabela1768[Código]=Tabela3[[#This Row],[PAPEL]]),Tabela1768[Fechamento])</f>
        <v>0</v>
      </c>
    </row>
    <row r="184" spans="1:43" hidden="1" x14ac:dyDescent="0.2">
      <c r="A184" s="4" t="s">
        <v>12</v>
      </c>
      <c r="B184" s="57" t="s">
        <v>176</v>
      </c>
      <c r="C184" s="14" t="str">
        <f>LEFT(Tabela3[PAPEL],LEN(Tabela3[PAPEL])-(LEN(Tabela3[PAPEL])-4))</f>
        <v>GTDP</v>
      </c>
      <c r="D184" s="15">
        <v>3</v>
      </c>
      <c r="E184" s="6">
        <v>9056481.0600000005</v>
      </c>
      <c r="F184" s="8">
        <v>84761786</v>
      </c>
      <c r="G184" s="83">
        <v>0.25</v>
      </c>
      <c r="H184" s="15"/>
      <c r="I184" s="19"/>
      <c r="J184" s="19"/>
      <c r="K184" s="90"/>
      <c r="L184" s="90"/>
      <c r="M184" s="92">
        <v>20809000</v>
      </c>
      <c r="N184" s="92">
        <v>1860000</v>
      </c>
      <c r="O184" s="6">
        <f>Tabela3[[#This Row],[Capital Social]]*20%</f>
        <v>1811296.2120000003</v>
      </c>
      <c r="P184" s="6">
        <f>IF((Tabela3[Lucro Líquido]*5%)&gt;Tabela3[Teto R. Legal],Tabela3[Teto R. Legal],Tabela3[Lucro Líquido]*5%)</f>
        <v>93000</v>
      </c>
      <c r="Q184" s="92">
        <f>IF(Tabela3[Lucro Líquido]&lt;0,0,Tabela3[Lucro Líquido]-Tabela3[Reserva Legal])</f>
        <v>1767000</v>
      </c>
      <c r="R184" s="92">
        <f>Tabela3[[#This Row],[Lucro Distribuir]]*Tabela3[%Div]</f>
        <v>441750</v>
      </c>
      <c r="S184" s="56">
        <f>SUMPRODUCT(N(Tabela3[Nome]=Tabela3[[#This Row],[Nome]]),Tabela3[Ações])</f>
        <v>166355563</v>
      </c>
      <c r="T184" s="6">
        <f>Tabela3[Capital Social]/Tabela3[Total Ações]</f>
        <v>5.4440506206576332E-2</v>
      </c>
      <c r="U184" s="80">
        <f>Tabela3[[#This Row],[Lucro Líquido]]/Tabela3[[#This Row],[Total Ações]]</f>
        <v>1.1180870458777505E-2</v>
      </c>
      <c r="V18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2.5728353773263961E-3</v>
      </c>
      <c r="W18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2.5728353773263961E-3</v>
      </c>
      <c r="Z184" s="6">
        <f>Tabela3[Div Base]*Tabela3[Ações]</f>
        <v>218078.12166616923</v>
      </c>
      <c r="AA184" s="6">
        <f>SUMPRODUCT(N(Tabela3[Nome]=Tabela3[[#This Row],[Nome]]),Tabela3[Div Base]*Tabela3[Ações])</f>
        <v>448998.2136213145</v>
      </c>
      <c r="AB184" s="92">
        <f>Tabela3[Patrimônio Líquido]/Tabela3[Total Ações]</f>
        <v>0.12508749106274253</v>
      </c>
      <c r="AC184" s="48">
        <f>MAX(Tabela3[[#This Row],[Cotação 1]:[Cotação 4]])</f>
        <v>0.12</v>
      </c>
      <c r="AD184" s="44">
        <f>Tabela3[Cotação]/Tabela3[VPA]</f>
        <v>0.95932853861309997</v>
      </c>
      <c r="AE184" s="40">
        <f>IF(Tabela3[[#This Row],[Lucro/Ação]]&gt;0,Tabela3[[#This Row],[Cotação]]/(Tabela3[[#This Row],[Lucro/Ação]]/Tabela3[Ref]*4),0)</f>
        <v>8.0494627258064515</v>
      </c>
      <c r="AF184" s="40" t="e">
        <f>IF(Tabela3[Div. Mínimo]=0,0,Tabela3[Lucro Distribuir]*#REF!/Tabela3[Total Ações])</f>
        <v>#REF!</v>
      </c>
      <c r="AG184" s="80">
        <f>Tabela3[Lucro Distribuir]/Tabela3[Total Ações]</f>
        <v>1.062182693583863E-2</v>
      </c>
      <c r="AH18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2.5728353773263961E-3</v>
      </c>
      <c r="AI184" s="15" t="str">
        <f>IF(AND(Tabela3[% A.A.]&gt;=7%,SUMPRODUCT(N(Tabela3[Nome]=Tabela3[[#This Row],[Nome]]),Tabela3[PL])&gt;0),"Sim","Não")</f>
        <v>Não</v>
      </c>
      <c r="AJ184" s="42">
        <f>IF(Tabela3[Cotação]&gt;0,Tabela3[[#This Row],[Lucro]]/Tabela3[[#This Row],[Cotação]],0)</f>
        <v>2.1440294811053303E-2</v>
      </c>
      <c r="AK184" s="19">
        <f>((1+Tabela3[[#This Row],[% Yield]])^(1/(3*Tabela3[[#This Row],[Ref]])))^(12)-1</f>
        <v>2.8688729838501237E-2</v>
      </c>
      <c r="AL184" s="14">
        <f>IF(Tabela3[Cotação]&gt;0,($AS$1/Tabela3[[#This Row],[Cotação]]-MOD($AS$1/Tabela3[[#This Row],[Cotação]],100)),)</f>
        <v>8300</v>
      </c>
      <c r="AM184" s="17">
        <f>Tabela3[[#This Row],[Ativos]]*Tabela3[Lucro]</f>
        <v>21.354533631809087</v>
      </c>
      <c r="AN184" s="5">
        <f>SUMPRODUCT(N(Tabela1[Código]=Tabela3[[#This Row],[PAPEL]]),Tabela1[Fechamento])</f>
        <v>0.12</v>
      </c>
      <c r="AO184" s="5">
        <f>SUMPRODUCT(N(Tabela17[Código]=Tabela3[[#This Row],[PAPEL]]),Tabela17[Fechamento])</f>
        <v>0</v>
      </c>
      <c r="AP184" s="7">
        <f>SUMPRODUCT(N(Tabela176[Código]=Tabela3[[#This Row],[PAPEL]]),Tabela176[Fechamento])</f>
        <v>0</v>
      </c>
      <c r="AQ184" s="7">
        <f>SUMPRODUCT(N(Tabela1768[Código]=Tabela3[[#This Row],[PAPEL]]),Tabela1768[Fechamento])</f>
        <v>0</v>
      </c>
    </row>
    <row r="185" spans="1:43" hidden="1" x14ac:dyDescent="0.2">
      <c r="A185" s="4" t="s">
        <v>12</v>
      </c>
      <c r="B185" s="57" t="s">
        <v>177</v>
      </c>
      <c r="C185" s="84" t="str">
        <f>LEFT(Tabela3[PAPEL],LEN(Tabela3[PAPEL])-(LEN(Tabela3[PAPEL])-4))</f>
        <v>GTDP</v>
      </c>
      <c r="D185" s="15">
        <v>3</v>
      </c>
      <c r="E185" s="6">
        <v>9056481.0600000005</v>
      </c>
      <c r="F185" s="8">
        <v>81593777</v>
      </c>
      <c r="G185" s="88">
        <v>0.25</v>
      </c>
      <c r="H185" s="19"/>
      <c r="I185" s="19"/>
      <c r="J185" s="19">
        <v>0.1</v>
      </c>
      <c r="K185" s="90"/>
      <c r="L185" s="90"/>
      <c r="M185" s="92">
        <v>20809000</v>
      </c>
      <c r="N185" s="92">
        <v>1860000</v>
      </c>
      <c r="O185" s="6">
        <f>Tabela3[[#This Row],[Capital Social]]*20%</f>
        <v>1811296.2120000003</v>
      </c>
      <c r="P185" s="6">
        <f>IF((Tabela3[Lucro Líquido]*5%)&gt;Tabela3[Teto R. Legal],Tabela3[Teto R. Legal],Tabela3[Lucro Líquido]*5%)</f>
        <v>93000</v>
      </c>
      <c r="Q185" s="92">
        <f>IF(Tabela3[Lucro Líquido]&lt;0,0,Tabela3[Lucro Líquido]-Tabela3[Reserva Legal])</f>
        <v>1767000</v>
      </c>
      <c r="R185" s="92">
        <f>Tabela3[[#This Row],[Lucro Distribuir]]*Tabela3[%Div]</f>
        <v>441750</v>
      </c>
      <c r="S185" s="56">
        <f>SUMPRODUCT(N(Tabela3[Nome]=Tabela3[[#This Row],[Nome]]),Tabela3[Ações])</f>
        <v>166355563</v>
      </c>
      <c r="T185" s="6">
        <f>Tabela3[Capital Social]/Tabela3[Total Ações]</f>
        <v>5.4440506206576332E-2</v>
      </c>
      <c r="U185" s="80">
        <f>Tabela3[[#This Row],[Lucro Líquido]]/Tabela3[[#This Row],[Total Ações]]</f>
        <v>1.1180870458777505E-2</v>
      </c>
      <c r="V18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2.8301189189360023E-3</v>
      </c>
      <c r="W18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2.8301189189360023E-3</v>
      </c>
      <c r="Z185" s="6">
        <f>Tabela3[Div Base]*Tabela3[Ações]</f>
        <v>230920.09195514524</v>
      </c>
      <c r="AA185" s="6">
        <f>SUMPRODUCT(N(Tabela3[Nome]=Tabela3[[#This Row],[Nome]]),Tabela3[Div Base]*Tabela3[Ações])</f>
        <v>448998.2136213145</v>
      </c>
      <c r="AB185" s="92">
        <f>Tabela3[Patrimônio Líquido]/Tabela3[Total Ações]</f>
        <v>0.12508749106274253</v>
      </c>
      <c r="AC185" s="48">
        <f>MAX(Tabela3[[#This Row],[Cotação 1]:[Cotação 4]])</f>
        <v>0.12</v>
      </c>
      <c r="AD185" s="44">
        <f>Tabela3[Cotação]/Tabela3[VPA]</f>
        <v>0.95932853861309997</v>
      </c>
      <c r="AE185" s="40">
        <f>IF(Tabela3[[#This Row],[Lucro/Ação]]&gt;0,Tabela3[[#This Row],[Cotação]]/(Tabela3[[#This Row],[Lucro/Ação]]/Tabela3[Ref]*4),0)</f>
        <v>8.0494627258064515</v>
      </c>
      <c r="AF185" s="77" t="e">
        <f>IF(Tabela3[Div. Mínimo]=0,0,Tabela3[Lucro Distribuir]*#REF!/Tabela3[Total Ações])</f>
        <v>#REF!</v>
      </c>
      <c r="AG185" s="80">
        <f>Tabela3[Lucro Distribuir]/Tabela3[Total Ações]</f>
        <v>1.062182693583863E-2</v>
      </c>
      <c r="AH18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2.8301189189360023E-3</v>
      </c>
      <c r="AI185" s="15" t="str">
        <f>IF(AND(Tabela3[% A.A.]&gt;=7%,SUMPRODUCT(N(Tabela3[Nome]=Tabela3[[#This Row],[Nome]]),Tabela3[PL])&gt;0),"Sim","Não")</f>
        <v>Não</v>
      </c>
      <c r="AJ185" s="42">
        <f>IF(Tabela3[Cotação]&gt;0,Tabela3[[#This Row],[Lucro]]/Tabela3[[#This Row],[Cotação]],0)</f>
        <v>2.3584324324466686E-2</v>
      </c>
      <c r="AK185" s="19">
        <f>((1+Tabela3[[#This Row],[% Yield]])^(1/(3*Tabela3[[#This Row],[Ref]])))^(12)-1</f>
        <v>3.1568728769481691E-2</v>
      </c>
      <c r="AL185" s="14">
        <f>IF(Tabela3[Cotação]&gt;0,($AS$1/Tabela3[[#This Row],[Cotação]]-MOD($AS$1/Tabela3[[#This Row],[Cotação]],100)),)</f>
        <v>8300</v>
      </c>
      <c r="AM185" s="17">
        <f>Tabela3[[#This Row],[Ativos]]*Tabela3[Lucro]</f>
        <v>23.489987027168819</v>
      </c>
      <c r="AN185" s="5">
        <f>SUMPRODUCT(N(Tabela1[Código]=Tabela3[[#This Row],[PAPEL]]),Tabela1[Fechamento])</f>
        <v>0.12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  <c r="AQ185" s="7">
        <f>SUMPRODUCT(N(Tabela1768[Código]=Tabela3[[#This Row],[PAPEL]]),Tabela1768[Fechamento])</f>
        <v>0</v>
      </c>
    </row>
    <row r="186" spans="1:43" hidden="1" x14ac:dyDescent="0.2">
      <c r="A186" s="3" t="s">
        <v>303</v>
      </c>
      <c r="B186" s="58" t="s">
        <v>733</v>
      </c>
      <c r="C186" s="84" t="str">
        <f>LEFT(Tabela3[PAPEL],LEN(Tabela3[PAPEL])-(LEN(Tabela3[PAPEL])-4))</f>
        <v>HBTS</v>
      </c>
      <c r="D186" s="16">
        <v>3</v>
      </c>
      <c r="E186" s="6">
        <v>127181809.47</v>
      </c>
      <c r="F186" s="8">
        <v>3152764</v>
      </c>
      <c r="G186" s="88">
        <v>0.25</v>
      </c>
      <c r="H186" s="19"/>
      <c r="I186" s="19"/>
      <c r="J186" s="19"/>
      <c r="K186" s="90"/>
      <c r="L186" s="90"/>
      <c r="M186" s="5">
        <v>500173000</v>
      </c>
      <c r="N186" s="5">
        <v>5129000</v>
      </c>
      <c r="O186" s="6">
        <f>Tabela3[[#This Row],[Capital Social]]*20%</f>
        <v>25436361.894000001</v>
      </c>
      <c r="P186" s="6">
        <f>IF((Tabela3[Lucro Líquido]*5%)&gt;Tabela3[Teto R. Legal],Tabela3[Teto R. Legal],Tabela3[Lucro Líquido]*5%)</f>
        <v>256450</v>
      </c>
      <c r="Q186" s="92">
        <f>IF(Tabela3[Lucro Líquido]&lt;0,0,Tabela3[Lucro Líquido]-Tabela3[Reserva Legal])</f>
        <v>4872550</v>
      </c>
      <c r="R186" s="92">
        <f>Tabela3[[#This Row],[Lucro Distribuir]]*Tabela3[%Div]</f>
        <v>1218137.5</v>
      </c>
      <c r="S186" s="56">
        <f>SUMPRODUCT(N(Tabela3[Nome]=Tabela3[[#This Row],[Nome]]),Tabela3[Ações])</f>
        <v>9133687</v>
      </c>
      <c r="T186" s="6">
        <f>Tabela3[Capital Social]/Tabela3[Total Ações]</f>
        <v>13.924476443083718</v>
      </c>
      <c r="U186" s="80">
        <f>Tabela3[[#This Row],[Lucro Líquido]]/Tabela3[[#This Row],[Total Ações]]</f>
        <v>0.56154759846708124</v>
      </c>
      <c r="V18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0.12921798286774472</v>
      </c>
      <c r="W18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0.12921798286774472</v>
      </c>
      <c r="Z186" s="6">
        <f>Tabela3[Div Base]*Tabela3[Ações]</f>
        <v>407393.80453804228</v>
      </c>
      <c r="AA186" s="6">
        <f>SUMPRODUCT(N(Tabela3[Nome]=Tabela3[[#This Row],[Nome]]),Tabela3[Div Base]*Tabela3[Ações])</f>
        <v>1257520.8920246579</v>
      </c>
      <c r="AB186" s="92">
        <f>Tabela3[Patrimônio Líquido]/Tabela3[Total Ações]</f>
        <v>54.761346650043954</v>
      </c>
      <c r="AC186" s="48">
        <f>MAX(Tabela3[[#This Row],[Cotação 1]:[Cotação 4]])</f>
        <v>0</v>
      </c>
      <c r="AD186" s="44">
        <f>Tabela3[Cotação]/Tabela3[VPA]</f>
        <v>0</v>
      </c>
      <c r="AE186" s="40">
        <f>IF(Tabela3[[#This Row],[Lucro/Ação]]&gt;0,Tabela3[[#This Row],[Cotação]]/(Tabela3[[#This Row],[Lucro/Ação]]/Tabela3[Ref]*4),0)</f>
        <v>0</v>
      </c>
      <c r="AF186" s="77" t="e">
        <f>IF(Tabela3[Div. Mínimo]=0,0,Tabela3[Lucro Distribuir]*#REF!/Tabela3[Total Ações])</f>
        <v>#REF!</v>
      </c>
      <c r="AG186" s="80">
        <f>Tabela3[Lucro Distribuir]/Tabela3[Total Ações]</f>
        <v>0.53347021854372723</v>
      </c>
      <c r="AH18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0.12921798286774472</v>
      </c>
      <c r="AI186" s="15" t="str">
        <f>IF(AND(Tabela3[% A.A.]&gt;=7%,SUMPRODUCT(N(Tabela3[Nome]=Tabela3[[#This Row],[Nome]]),Tabela3[PL])&gt;0),"Sim","Não")</f>
        <v>Não</v>
      </c>
      <c r="AJ186" s="42">
        <f>IF(Tabela3[Cotação]&gt;0,Tabela3[[#This Row],[Lucro]]/Tabela3[[#This Row],[Cotação]],0)</f>
        <v>0</v>
      </c>
      <c r="AK186" s="19">
        <f>((1+Tabela3[[#This Row],[% Yield]])^(1/(3*Tabela3[[#This Row],[Ref]])))^(12)-1</f>
        <v>0</v>
      </c>
      <c r="AL186" s="14">
        <f>IF(Tabela3[Cotação]&gt;0,($AS$1/Tabela3[[#This Row],[Cotação]]-MOD($AS$1/Tabela3[[#This Row],[Cotação]],100)),)</f>
        <v>0</v>
      </c>
      <c r="AM186" s="17">
        <f>Tabela3[[#This Row],[Ativos]]*Tabela3[Lucro]</f>
        <v>0</v>
      </c>
      <c r="AN186" s="5">
        <f>SUMPRODUCT(N(Tabela1[Código]=Tabela3[[#This Row],[PAPEL]]),Tabela1[Fechamento])</f>
        <v>0</v>
      </c>
      <c r="AO186" s="5">
        <f>SUMPRODUCT(N(Tabela17[Código]=Tabela3[[#This Row],[PAPEL]]),Tabela17[Fechamento])</f>
        <v>0</v>
      </c>
      <c r="AP186" s="7">
        <f>SUMPRODUCT(N(Tabela176[Código]=Tabela3[[#This Row],[PAPEL]]),Tabela176[Fechamento])</f>
        <v>0</v>
      </c>
      <c r="AQ186" s="7">
        <f>SUMPRODUCT(N(Tabela1768[Código]=Tabela3[[#This Row],[PAPEL]]),Tabela1768[Fechamento])</f>
        <v>0</v>
      </c>
    </row>
    <row r="187" spans="1:43" hidden="1" x14ac:dyDescent="0.2">
      <c r="A187" s="3" t="s">
        <v>303</v>
      </c>
      <c r="B187" s="58" t="s">
        <v>307</v>
      </c>
      <c r="C187" s="84" t="str">
        <f>LEFT(Tabela3[PAPEL],LEN(Tabela3[PAPEL])-(LEN(Tabela3[PAPEL])-4))</f>
        <v>HBTS</v>
      </c>
      <c r="D187" s="16">
        <v>3</v>
      </c>
      <c r="E187" s="6">
        <v>127181809.47</v>
      </c>
      <c r="F187" s="8">
        <v>5950327</v>
      </c>
      <c r="G187" s="88">
        <v>0.25</v>
      </c>
      <c r="H187" s="19"/>
      <c r="I187" s="19"/>
      <c r="J187" s="19">
        <v>0.1</v>
      </c>
      <c r="K187" s="90"/>
      <c r="L187" s="90"/>
      <c r="M187" s="5">
        <v>500173000</v>
      </c>
      <c r="N187" s="5">
        <v>5129000</v>
      </c>
      <c r="O187" s="6">
        <f>Tabela3[[#This Row],[Capital Social]]*20%</f>
        <v>25436361.894000001</v>
      </c>
      <c r="P187" s="6">
        <f>IF((Tabela3[Lucro Líquido]*5%)&gt;Tabela3[Teto R. Legal],Tabela3[Teto R. Legal],Tabela3[Lucro Líquido]*5%)</f>
        <v>256450</v>
      </c>
      <c r="Q187" s="92">
        <f>IF(Tabela3[Lucro Líquido]&lt;0,0,Tabela3[Lucro Líquido]-Tabela3[Reserva Legal])</f>
        <v>4872550</v>
      </c>
      <c r="R187" s="92">
        <f>Tabela3[[#This Row],[Lucro Distribuir]]*Tabela3[%Div]</f>
        <v>1218137.5</v>
      </c>
      <c r="S187" s="56">
        <f>SUMPRODUCT(N(Tabela3[Nome]=Tabela3[[#This Row],[Nome]]),Tabela3[Ações])</f>
        <v>9133687</v>
      </c>
      <c r="T187" s="6">
        <f>Tabela3[Capital Social]/Tabela3[Total Ações]</f>
        <v>13.924476443083718</v>
      </c>
      <c r="U187" s="80">
        <f>Tabela3[[#This Row],[Lucro Líquido]]/Tabela3[[#This Row],[Total Ações]]</f>
        <v>0.56154759846708124</v>
      </c>
      <c r="V18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0.1421397813492358</v>
      </c>
      <c r="W18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0.1421397813492358</v>
      </c>
      <c r="Z187" s="6">
        <f>Tabela3[Div Base]*Tabela3[Ações]</f>
        <v>845778.17873645423</v>
      </c>
      <c r="AA187" s="6">
        <f>SUMPRODUCT(N(Tabela3[Nome]=Tabela3[[#This Row],[Nome]]),Tabela3[Div Base]*Tabela3[Ações])</f>
        <v>1257520.8920246579</v>
      </c>
      <c r="AB187" s="92">
        <f>Tabela3[Patrimônio Líquido]/Tabela3[Total Ações]</f>
        <v>54.761346650043954</v>
      </c>
      <c r="AC187" s="48">
        <f>MAX(Tabela3[[#This Row],[Cotação 1]:[Cotação 4]])</f>
        <v>16</v>
      </c>
      <c r="AD187" s="44">
        <f>Tabela3[Cotação]/Tabela3[VPA]</f>
        <v>0.29217689079578463</v>
      </c>
      <c r="AE187" s="40">
        <f>IF(Tabela3[[#This Row],[Lucro/Ação]]&gt;0,Tabela3[[#This Row],[Cotação]]/(Tabela3[[#This Row],[Lucro/Ação]]/Tabela3[Ref]*4),0)</f>
        <v>21.369515305127706</v>
      </c>
      <c r="AF187" s="77" t="e">
        <f>IF(Tabela3[Div. Mínimo]=0,0,Tabela3[Lucro Distribuir]*#REF!/Tabela3[Total Ações])</f>
        <v>#REF!</v>
      </c>
      <c r="AG187" s="80">
        <f>Tabela3[Lucro Distribuir]/Tabela3[Total Ações]</f>
        <v>0.53347021854372723</v>
      </c>
      <c r="AH18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0.1421397813492358</v>
      </c>
      <c r="AI187" s="15" t="str">
        <f>IF(AND(Tabela3[% A.A.]&gt;=7%,SUMPRODUCT(N(Tabela3[Nome]=Tabela3[[#This Row],[Nome]]),Tabela3[PL])&gt;0),"Sim","Não")</f>
        <v>Não</v>
      </c>
      <c r="AJ187" s="42">
        <f>IF(Tabela3[Cotação]&gt;0,Tabela3[[#This Row],[Lucro]]/Tabela3[[#This Row],[Cotação]],0)</f>
        <v>8.8837363343272375E-3</v>
      </c>
      <c r="AK187" s="19">
        <f>((1+Tabela3[[#This Row],[% Yield]])^(1/(3*Tabela3[[#This Row],[Ref]])))^(12)-1</f>
        <v>1.1862485233043785E-2</v>
      </c>
      <c r="AL187" s="14">
        <f>IF(Tabela3[Cotação]&gt;0,($AS$1/Tabela3[[#This Row],[Cotação]]-MOD($AS$1/Tabela3[[#This Row],[Cotação]],100)),)</f>
        <v>0</v>
      </c>
      <c r="AM187" s="17">
        <f>Tabela3[[#This Row],[Ativos]]*Tabela3[Lucro]</f>
        <v>0</v>
      </c>
      <c r="AN187" s="5">
        <f>SUMPRODUCT(N(Tabela1[Código]=Tabela3[[#This Row],[PAPEL]]),Tabela1[Fechamento])</f>
        <v>0</v>
      </c>
      <c r="AO187" s="5">
        <f>SUMPRODUCT(N(Tabela17[Código]=Tabela3[[#This Row],[PAPEL]]),Tabela17[Fechamento])</f>
        <v>16</v>
      </c>
      <c r="AP187" s="7">
        <f>SUMPRODUCT(N(Tabela176[Código]=Tabela3[[#This Row],[PAPEL]]),Tabela176[Fechamento])</f>
        <v>0</v>
      </c>
      <c r="AQ187" s="7">
        <f>SUMPRODUCT(N(Tabela1768[Código]=Tabela3[[#This Row],[PAPEL]]),Tabela1768[Fechamento])</f>
        <v>0</v>
      </c>
    </row>
    <row r="188" spans="1:43" hidden="1" x14ac:dyDescent="0.2">
      <c r="A188" s="3" t="s">
        <v>303</v>
      </c>
      <c r="B188" s="58" t="s">
        <v>734</v>
      </c>
      <c r="C188" s="85" t="str">
        <f>LEFT(Tabela3[PAPEL],LEN(Tabela3[PAPEL])-(LEN(Tabela3[PAPEL])-4))</f>
        <v>HBTS</v>
      </c>
      <c r="D188" s="16">
        <v>3</v>
      </c>
      <c r="E188" s="6">
        <v>127181809.47</v>
      </c>
      <c r="F188" s="56">
        <v>30596</v>
      </c>
      <c r="G188" s="83">
        <v>0.25</v>
      </c>
      <c r="H188" s="16"/>
      <c r="I188" s="18"/>
      <c r="J188" s="18">
        <v>0.1</v>
      </c>
      <c r="K188" s="89"/>
      <c r="L188" s="89"/>
      <c r="M188" s="5">
        <v>500173000</v>
      </c>
      <c r="N188" s="5">
        <v>5129000</v>
      </c>
      <c r="O188" s="5">
        <f>Tabela3[[#This Row],[Capital Social]]*20%</f>
        <v>25436361.894000001</v>
      </c>
      <c r="P188" s="5">
        <f>IF((Tabela3[Lucro Líquido]*5%)&gt;Tabela3[Teto R. Legal],Tabela3[Teto R. Legal],Tabela3[Lucro Líquido]*5%)</f>
        <v>256450</v>
      </c>
      <c r="Q188" s="5">
        <f>IF(Tabela3[Lucro Líquido]&lt;0,0,Tabela3[Lucro Líquido]-Tabela3[Reserva Legal])</f>
        <v>4872550</v>
      </c>
      <c r="R188" s="5">
        <f>Tabela3[[#This Row],[Lucro Distribuir]]*Tabela3[%Div]</f>
        <v>1218137.5</v>
      </c>
      <c r="S188" s="56">
        <f>SUMPRODUCT(N(Tabela3[Nome]=Tabela3[[#This Row],[Nome]]),Tabela3[Ações])</f>
        <v>9133687</v>
      </c>
      <c r="T188" s="5">
        <f>Tabela3[Capital Social]/Tabela3[Total Ações]</f>
        <v>13.924476443083718</v>
      </c>
      <c r="U188" s="79">
        <f>Tabela3[[#This Row],[Lucro Líquido]]/Tabela3[[#This Row],[Total Ações]]</f>
        <v>0.56154759846708124</v>
      </c>
      <c r="V18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0.1421397813492358</v>
      </c>
      <c r="W18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0.1421397813492358</v>
      </c>
      <c r="Z188" s="5">
        <f>Tabela3[Div Base]*Tabela3[Ações]</f>
        <v>4348.9087501612184</v>
      </c>
      <c r="AA188" s="5">
        <f>SUMPRODUCT(N(Tabela3[Nome]=Tabela3[[#This Row],[Nome]]),Tabela3[Div Base]*Tabela3[Ações])</f>
        <v>1257520.8920246579</v>
      </c>
      <c r="AB188" s="5">
        <f>Tabela3[Patrimônio Líquido]/Tabela3[Total Ações]</f>
        <v>54.761346650043954</v>
      </c>
      <c r="AC188" s="52">
        <f>MAX(Tabela3[[#This Row],[Cotação 1]:[Cotação 4]])</f>
        <v>0</v>
      </c>
      <c r="AD188" s="53">
        <f>Tabela3[Cotação]/Tabela3[VPA]</f>
        <v>0</v>
      </c>
      <c r="AE188" s="37">
        <f>IF(Tabela3[[#This Row],[Lucro/Ação]]&gt;0,Tabela3[[#This Row],[Cotação]]/(Tabela3[[#This Row],[Lucro/Ação]]/Tabela3[Ref]*4),0)</f>
        <v>0</v>
      </c>
      <c r="AF188" s="37" t="e">
        <f>IF(Tabela3[Div. Mínimo]=0,0,Tabela3[Lucro Distribuir]*#REF!/Tabela3[Total Ações])</f>
        <v>#REF!</v>
      </c>
      <c r="AG188" s="79">
        <f>Tabela3[Lucro Distribuir]/Tabela3[Total Ações]</f>
        <v>0.53347021854372723</v>
      </c>
      <c r="AH18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0.1421397813492358</v>
      </c>
      <c r="AI188" s="16" t="str">
        <f>IF(AND(Tabela3[% A.A.]&gt;=7%,SUMPRODUCT(N(Tabela3[Nome]=Tabela3[[#This Row],[Nome]]),Tabela3[PL])&gt;0),"Sim","Não")</f>
        <v>Não</v>
      </c>
      <c r="AJ188" s="22">
        <f>IF(Tabela3[Cotação]&gt;0,Tabela3[[#This Row],[Lucro]]/Tabela3[[#This Row],[Cotação]],0)</f>
        <v>0</v>
      </c>
      <c r="AK188" s="18">
        <f>((1+Tabela3[[#This Row],[% Yield]])^(1/(3*Tabela3[[#This Row],[Ref]])))^(12)-1</f>
        <v>0</v>
      </c>
      <c r="AL188" s="10">
        <f>IF(Tabela3[Cotação]&gt;0,($AS$1/Tabela3[[#This Row],[Cotação]]-MOD($AS$1/Tabela3[[#This Row],[Cotação]],100)),)</f>
        <v>0</v>
      </c>
      <c r="AM188" s="7">
        <f>Tabela3[[#This Row],[Ativos]]*Tabela3[Lucro]</f>
        <v>0</v>
      </c>
      <c r="AN188" s="47">
        <f>SUMPRODUCT(N(Tabela1[Código]=Tabela3[[#This Row],[PAPEL]]),Tabela1[Fechamento])</f>
        <v>0</v>
      </c>
      <c r="AO188" s="54">
        <f>SUMPRODUCT(N(Tabela17[Código]=Tabela3[[#This Row],[PAPEL]]),Tabela17[Fechamento])</f>
        <v>0</v>
      </c>
      <c r="AP188" s="7">
        <f>SUMPRODUCT(N(Tabela176[Código]=Tabela3[[#This Row],[PAPEL]]),Tabela176[Fechamento])</f>
        <v>0</v>
      </c>
      <c r="AQ188" s="7">
        <f>SUMPRODUCT(N(Tabela1768[Código]=Tabela3[[#This Row],[PAPEL]]),Tabela1768[Fechamento])</f>
        <v>0</v>
      </c>
    </row>
    <row r="189" spans="1:43" hidden="1" x14ac:dyDescent="0.2">
      <c r="A189" s="3" t="s">
        <v>930</v>
      </c>
      <c r="B189" s="58" t="s">
        <v>938</v>
      </c>
      <c r="C189" s="16" t="str">
        <f>LEFT(Tabela3[PAPEL],LEN(Tabela3[PAPEL])-(LEN(Tabela3[PAPEL])-4))</f>
        <v>HYPE</v>
      </c>
      <c r="D189" s="16">
        <v>3</v>
      </c>
      <c r="E189" s="5">
        <v>5269124421.04</v>
      </c>
      <c r="F189" s="56">
        <v>632100787</v>
      </c>
      <c r="G189" s="83">
        <v>0.25</v>
      </c>
      <c r="H189" s="89"/>
      <c r="I189" s="18"/>
      <c r="K189" s="16"/>
      <c r="L189" s="89"/>
      <c r="M189" s="94">
        <v>7017182000</v>
      </c>
      <c r="N189" s="73">
        <v>201804000</v>
      </c>
      <c r="O189" s="7">
        <f>Tabela3[[#This Row],[Capital Social]]*20%</f>
        <v>1053824884.2080001</v>
      </c>
      <c r="P189" s="47">
        <f>IF((Tabela3[Lucro Líquido]*5%)&gt;Tabela3[Teto R. Legal],Tabela3[Teto R. Legal],Tabela3[Lucro Líquido]*5%)</f>
        <v>10090200</v>
      </c>
      <c r="Q189" s="47">
        <f>IF(Tabela3[Lucro Líquido]&lt;0,0,Tabela3[Lucro Líquido]-Tabela3[Reserva Legal])</f>
        <v>191713800</v>
      </c>
      <c r="R189" s="47">
        <f>Tabela3[[#This Row],[Lucro Distribuir]]*Tabela3[%Div]</f>
        <v>47928450</v>
      </c>
      <c r="S189" s="56">
        <f>SUMPRODUCT(N(Tabela3[Nome]=Tabela3[[#This Row],[Nome]]),Tabela3[Ações])</f>
        <v>632100787</v>
      </c>
      <c r="T189" s="87">
        <f>Tabela3[Capital Social]/Tabela3[Total Ações]</f>
        <v>8.3358928345077352</v>
      </c>
      <c r="U189" s="87">
        <f>Tabela3[[#This Row],[Lucro Líquido]]/Tabela3[[#This Row],[Total Ações]]</f>
        <v>0.31925921332542179</v>
      </c>
      <c r="V189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7.5824063164787681E-2</v>
      </c>
      <c r="W189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8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89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7.5824063164787681E-2</v>
      </c>
      <c r="Z189" s="7">
        <f>Tabela3[Div Base]*Tabela3[Ações]</f>
        <v>47928450</v>
      </c>
      <c r="AA189" s="7">
        <f>SUMPRODUCT(N(Tabela3[Nome]=Tabela3[[#This Row],[Nome]]),Tabela3[Div Base]*Tabela3[Ações])</f>
        <v>47928450</v>
      </c>
      <c r="AB189" s="74">
        <f>Tabela3[Patrimônio Líquido]/Tabela3[Total Ações]</f>
        <v>11.101365706731828</v>
      </c>
      <c r="AC189" s="52">
        <f>MAX(Tabela3[[#This Row],[Cotação 1]:[Cotação 4]])</f>
        <v>15.46</v>
      </c>
      <c r="AD189" s="53">
        <f>Tabela3[Cotação]/Tabela3[VPA]</f>
        <v>1.3926214493253846</v>
      </c>
      <c r="AE189" s="37">
        <f>IF(Tabela3[[#This Row],[Lucro/Ação]]&gt;0,Tabela3[[#This Row],[Cotação]]/(Tabela3[[#This Row],[Lucro/Ação]]/Tabela3[Ref]*4),0)</f>
        <v>36.318450701001964</v>
      </c>
      <c r="AF189" s="59" t="e">
        <f>IF(Tabela3[Div. Mínimo]=0,0,Tabela3[Lucro Distribuir]*#REF!/Tabela3[Total Ações])</f>
        <v>#REF!</v>
      </c>
      <c r="AG189" s="87">
        <f>Tabela3[Lucro Distribuir]/Tabela3[Total Ações]</f>
        <v>0.30329625265915072</v>
      </c>
      <c r="AH189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7.5824063164787681E-2</v>
      </c>
      <c r="AI189" s="10" t="str">
        <f>IF(AND(Tabela3[% A.A.]&gt;=7%,SUMPRODUCT(N(Tabela3[Nome]=Tabela3[[#This Row],[Nome]]),Tabela3[PL])&gt;0),"Sim","Não")</f>
        <v>Não</v>
      </c>
      <c r="AJ189" s="22">
        <f>IF(Tabela3[Cotação]&gt;0,Tabela3[[#This Row],[Lucro]]/Tabela3[[#This Row],[Cotação]],0)</f>
        <v>4.9045318994041191E-3</v>
      </c>
      <c r="AK189" s="22">
        <f>((1+Tabela3[[#This Row],[% Yield]])^(1/(3*Tabela3[[#This Row],[Ref]])))^(12)-1</f>
        <v>6.5447154813729203E-3</v>
      </c>
      <c r="AL189" s="10">
        <f>IF(Tabela3[Cotação]&gt;0,($AS$1/Tabela3[[#This Row],[Cotação]]-MOD($AS$1/Tabela3[[#This Row],[Cotação]],100)),)</f>
        <v>0</v>
      </c>
      <c r="AM189" s="7">
        <f>Tabela3[[#This Row],[Ativos]]*Tabela3[Lucro]</f>
        <v>0</v>
      </c>
      <c r="AN189" s="7">
        <f>SUMPRODUCT(N(Tabela1[Código]=Tabela3[[#This Row],[PAPEL]]),Tabela1[Fechamento])</f>
        <v>0</v>
      </c>
      <c r="AO189" s="7">
        <f>SUMPRODUCT(N(Tabela17[Código]=Tabela3[[#This Row],[PAPEL]]),Tabela17[Fechamento])</f>
        <v>0</v>
      </c>
      <c r="AP189" s="7">
        <f>SUMPRODUCT(N(Tabela176[Código]=Tabela3[[#This Row],[PAPEL]]),Tabela176[Fechamento])</f>
        <v>15.46</v>
      </c>
      <c r="AQ189" s="7">
        <f>SUMPRODUCT(N(Tabela1768[Código]=Tabela3[[#This Row],[PAPEL]]),Tabela1768[Fechamento])</f>
        <v>0</v>
      </c>
    </row>
    <row r="190" spans="1:43" hidden="1" x14ac:dyDescent="0.2">
      <c r="A190" s="4" t="s">
        <v>592</v>
      </c>
      <c r="B190" s="57" t="s">
        <v>590</v>
      </c>
      <c r="C190" s="15" t="str">
        <f>LEFT(Tabela3[PAPEL],LEN(Tabela3[PAPEL])-(LEN(Tabela3[PAPEL])-4))</f>
        <v>IDNT</v>
      </c>
      <c r="D190" s="15">
        <v>3</v>
      </c>
      <c r="E190" s="6">
        <v>103029730.59999999</v>
      </c>
      <c r="F190" s="8">
        <v>122269681</v>
      </c>
      <c r="G190" s="88">
        <v>0.25</v>
      </c>
      <c r="H190" s="15"/>
      <c r="I190" s="19"/>
      <c r="J190" s="19"/>
      <c r="K190" s="90"/>
      <c r="L190" s="90"/>
      <c r="M190" s="96">
        <v>151280000</v>
      </c>
      <c r="N190" s="97">
        <v>349000</v>
      </c>
      <c r="O190" s="13">
        <f>Tabela3[[#This Row],[Capital Social]]*20%</f>
        <v>20605946.120000001</v>
      </c>
      <c r="P190" s="13">
        <f>IF((Tabela3[Lucro Líquido]*5%)&gt;Tabela3[Teto R. Legal],Tabela3[Teto R. Legal],Tabela3[Lucro Líquido]*5%)</f>
        <v>17450</v>
      </c>
      <c r="Q190" s="13">
        <f>IF(Tabela3[Lucro Líquido]&lt;0,0,Tabela3[Lucro Líquido]-Tabela3[Reserva Legal])</f>
        <v>331550</v>
      </c>
      <c r="R190" s="13">
        <f>Tabela3[[#This Row],[Lucro Distribuir]]*Tabela3[%Div]</f>
        <v>82887.5</v>
      </c>
      <c r="S190" s="56">
        <f>SUMPRODUCT(N(Tabela3[Nome]=Tabela3[[#This Row],[Nome]]),Tabela3[Ações])</f>
        <v>122269681</v>
      </c>
      <c r="T190" s="6">
        <f>Tabela3[Capital Social]/Tabela3[Total Ações]</f>
        <v>0.84264332545367482</v>
      </c>
      <c r="U190" s="80">
        <f>Tabela3[[#This Row],[Lucro Líquido]]/Tabela3[[#This Row],[Total Ações]]</f>
        <v>2.8543462054178418E-3</v>
      </c>
      <c r="V19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6.7790722378673746E-4</v>
      </c>
      <c r="W19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6.7790722378673746E-4</v>
      </c>
      <c r="Z190" s="13">
        <f>Tabela3[Div Base]*Tabela3[Ações]</f>
        <v>82887.5</v>
      </c>
      <c r="AA190" s="13">
        <f>SUMPRODUCT(N(Tabela3[Nome]=Tabela3[[#This Row],[Nome]]),Tabela3[Div Base]*Tabela3[Ações])</f>
        <v>82887.5</v>
      </c>
      <c r="AB190" s="95">
        <f>Tabela3[Patrimônio Líquido]/Tabela3[Total Ações]</f>
        <v>1.2372650256607769</v>
      </c>
      <c r="AC190" s="48">
        <f>MAX(Tabela3[[#This Row],[Cotação 1]:[Cotação 4]])</f>
        <v>1.38</v>
      </c>
      <c r="AD190" s="44">
        <f>Tabela3[Cotação]/Tabela3[VPA]</f>
        <v>1.1153632983870967</v>
      </c>
      <c r="AE190" s="40">
        <f>IF(Tabela3[[#This Row],[Lucro/Ação]]&gt;0,Tabela3[[#This Row],[Cotação]]/(Tabela3[[#This Row],[Lucro/Ação]]/Tabela3[Ref]*4),0)</f>
        <v>362.60492789398279</v>
      </c>
      <c r="AF190" s="91" t="e">
        <f>IF(Tabela3[Div. Mínimo]=0,0,Tabela3[Lucro Distribuir]*#REF!/Tabela3[Total Ações])</f>
        <v>#REF!</v>
      </c>
      <c r="AG190" s="80">
        <f>Tabela3[Lucro Distribuir]/Tabela3[Total Ações]</f>
        <v>2.7116288951469498E-3</v>
      </c>
      <c r="AH19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6.7790722378673746E-4</v>
      </c>
      <c r="AI190" s="14" t="str">
        <f>IF(AND(Tabela3[% A.A.]&gt;=7%,SUMPRODUCT(N(Tabela3[Nome]=Tabela3[[#This Row],[Nome]]),Tabela3[PL])&gt;0),"Sim","Não")</f>
        <v>Não</v>
      </c>
      <c r="AJ190" s="42">
        <f>IF(Tabela3[Cotação]&gt;0,Tabela3[[#This Row],[Lucro]]/Tabela3[[#This Row],[Cotação]],0)</f>
        <v>4.9123711868604163E-4</v>
      </c>
      <c r="AK190" s="42">
        <f>((1+Tabela3[[#This Row],[% Yield]])^(1/(3*Tabela3[[#This Row],[Ref]])))^(12)-1</f>
        <v>6.5503644437514552E-4</v>
      </c>
      <c r="AL190" s="14">
        <f>IF(Tabela3[Cotação]&gt;0,($AS$1/Tabela3[[#This Row],[Cotação]]-MOD($AS$1/Tabela3[[#This Row],[Cotação]],100)),)</f>
        <v>700</v>
      </c>
      <c r="AM190" s="17">
        <f>Tabela3[[#This Row],[Ativos]]*Tabela3[Lucro]</f>
        <v>0.47453505665071621</v>
      </c>
      <c r="AN190" s="17">
        <f>SUMPRODUCT(N(Tabela1[Código]=Tabela3[[#This Row],[PAPEL]]),Tabela1[Fechamento])</f>
        <v>0</v>
      </c>
      <c r="AO190" s="17">
        <f>SUMPRODUCT(N(Tabela17[Código]=Tabela3[[#This Row],[PAPEL]]),Tabela17[Fechamento])</f>
        <v>0</v>
      </c>
      <c r="AP190" s="17">
        <f>SUMPRODUCT(N(Tabela176[Código]=Tabela3[[#This Row],[PAPEL]]),Tabela176[Fechamento])</f>
        <v>1.38</v>
      </c>
      <c r="AQ190" s="17">
        <f>SUMPRODUCT(N(Tabela1768[Código]=Tabela3[[#This Row],[PAPEL]]),Tabela1768[Fechamento])</f>
        <v>0</v>
      </c>
    </row>
    <row r="191" spans="1:43" hidden="1" x14ac:dyDescent="0.2">
      <c r="A191" s="4" t="s">
        <v>14</v>
      </c>
      <c r="B191" s="57" t="s">
        <v>563</v>
      </c>
      <c r="C191" s="15" t="str">
        <f>LEFT(Tabela3[PAPEL],LEN(Tabela3[PAPEL])-(LEN(Tabela3[PAPEL])-4))</f>
        <v>IDVL</v>
      </c>
      <c r="D191" s="15">
        <v>3</v>
      </c>
      <c r="E191" s="6">
        <v>662383583.21000004</v>
      </c>
      <c r="F191" s="8">
        <v>44410897</v>
      </c>
      <c r="G191" s="88">
        <v>0.25</v>
      </c>
      <c r="H191" s="15"/>
      <c r="I191" s="19"/>
      <c r="J191" s="19"/>
      <c r="K191" s="90"/>
      <c r="L191" s="90"/>
      <c r="M191" s="96">
        <v>573642000</v>
      </c>
      <c r="N191" s="97">
        <v>-109956000</v>
      </c>
      <c r="O191" s="13">
        <f>Tabela3[[#This Row],[Capital Social]]*20%</f>
        <v>132476716.64200002</v>
      </c>
      <c r="P191" s="13">
        <f>IF((Tabela3[Lucro Líquido]*5%)&gt;Tabela3[Teto R. Legal],Tabela3[Teto R. Legal],Tabela3[Lucro Líquido]*5%)</f>
        <v>-5497800</v>
      </c>
      <c r="Q191" s="13">
        <f>IF(Tabela3[Lucro Líquido]&lt;0,0,Tabela3[Lucro Líquido]-Tabela3[Reserva Legal])</f>
        <v>0</v>
      </c>
      <c r="R191" s="13">
        <f>Tabela3[[#This Row],[Lucro Distribuir]]*Tabela3[%Div]</f>
        <v>0</v>
      </c>
      <c r="S191" s="56">
        <f>SUMPRODUCT(N(Tabela3[Nome]=Tabela3[[#This Row],[Nome]]),Tabela3[Ações])</f>
        <v>75432804</v>
      </c>
      <c r="T191" s="6">
        <f>Tabela3[Capital Social]/Tabela3[Total Ações]</f>
        <v>8.7811077950913781</v>
      </c>
      <c r="U191" s="80">
        <f>Tabela3[[#This Row],[Lucro Líquido]]/Tabela3[[#This Row],[Total Ações]]</f>
        <v>-1.4576682049364094</v>
      </c>
      <c r="V19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91" s="13">
        <f>Tabela3[Div Base]*Tabela3[Ações]</f>
        <v>0</v>
      </c>
      <c r="AA191" s="13">
        <f>SUMPRODUCT(N(Tabela3[Nome]=Tabela3[[#This Row],[Nome]]),Tabela3[Div Base]*Tabela3[Ações])</f>
        <v>0</v>
      </c>
      <c r="AB191" s="95">
        <f>Tabela3[Patrimônio Líquido]/Tabela3[Total Ações]</f>
        <v>7.6046755467289797</v>
      </c>
      <c r="AC191" s="48">
        <f>MAX(Tabela3[[#This Row],[Cotação 1]:[Cotação 4]])</f>
        <v>6.25</v>
      </c>
      <c r="AD191" s="44">
        <f>Tabela3[Cotação]/Tabela3[VPA]</f>
        <v>0.82186280816258228</v>
      </c>
      <c r="AE191" s="40">
        <f>IF(Tabela3[[#This Row],[Lucro/Ação]]&gt;0,Tabela3[[#This Row],[Cotação]]/(Tabela3[[#This Row],[Lucro/Ação]]/Tabela3[Ref]*4),0)</f>
        <v>0</v>
      </c>
      <c r="AF191" s="91">
        <f>IF(Tabela3[Div. Mínimo]=0,0,Tabela3[Lucro Distribuir]*#REF!/Tabela3[Total Ações])</f>
        <v>0</v>
      </c>
      <c r="AG191" s="80">
        <f>Tabela3[Lucro Distribuir]/Tabela3[Total Ações]</f>
        <v>0</v>
      </c>
      <c r="AH19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91" s="14" t="str">
        <f>IF(AND(Tabela3[% A.A.]&gt;=7%,SUMPRODUCT(N(Tabela3[Nome]=Tabela3[[#This Row],[Nome]]),Tabela3[PL])&gt;0),"Sim","Não")</f>
        <v>Não</v>
      </c>
      <c r="AJ191" s="42">
        <f>IF(Tabela3[Cotação]&gt;0,Tabela3[[#This Row],[Lucro]]/Tabela3[[#This Row],[Cotação]],0)</f>
        <v>0</v>
      </c>
      <c r="AK191" s="42">
        <f>((1+Tabela3[[#This Row],[% Yield]])^(1/(3*Tabela3[[#This Row],[Ref]])))^(12)-1</f>
        <v>0</v>
      </c>
      <c r="AL191" s="14">
        <f>IF(Tabela3[Cotação]&gt;0,($AS$1/Tabela3[[#This Row],[Cotação]]-MOD($AS$1/Tabela3[[#This Row],[Cotação]],100)),)</f>
        <v>100</v>
      </c>
      <c r="AM191" s="17">
        <f>Tabela3[[#This Row],[Ativos]]*Tabela3[Lucro]</f>
        <v>0</v>
      </c>
      <c r="AN191" s="17">
        <f>SUMPRODUCT(N(Tabela1[Código]=Tabela3[[#This Row],[PAPEL]]),Tabela1[Fechamento])</f>
        <v>0</v>
      </c>
      <c r="AO191" s="17">
        <f>SUMPRODUCT(N(Tabela17[Código]=Tabela3[[#This Row],[PAPEL]]),Tabela17[Fechamento])</f>
        <v>0</v>
      </c>
      <c r="AP191" s="17">
        <f>SUMPRODUCT(N(Tabela176[Código]=Tabela3[[#This Row],[PAPEL]]),Tabela176[Fechamento])</f>
        <v>6.25</v>
      </c>
      <c r="AQ191" s="17">
        <f>SUMPRODUCT(N(Tabela1768[Código]=Tabela3[[#This Row],[PAPEL]]),Tabela1768[Fechamento])</f>
        <v>0</v>
      </c>
    </row>
    <row r="192" spans="1:43" hidden="1" x14ac:dyDescent="0.2">
      <c r="A192" s="4" t="s">
        <v>14</v>
      </c>
      <c r="B192" s="57" t="s">
        <v>564</v>
      </c>
      <c r="C192" s="15" t="str">
        <f>LEFT(Tabela3[PAPEL],LEN(Tabela3[PAPEL])-(LEN(Tabela3[PAPEL])-4))</f>
        <v>IDVL</v>
      </c>
      <c r="D192" s="15">
        <v>3</v>
      </c>
      <c r="E192" s="6">
        <v>662383583.21000004</v>
      </c>
      <c r="F192" s="8">
        <v>31021907</v>
      </c>
      <c r="G192" s="88">
        <v>0.25</v>
      </c>
      <c r="H192" s="15"/>
      <c r="I192" s="19"/>
      <c r="J192" s="19"/>
      <c r="K192" s="90"/>
      <c r="L192" s="90"/>
      <c r="M192" s="96">
        <v>573642000</v>
      </c>
      <c r="N192" s="97">
        <v>-109956000</v>
      </c>
      <c r="O192" s="13">
        <f>Tabela3[[#This Row],[Capital Social]]*20%</f>
        <v>132476716.64200002</v>
      </c>
      <c r="P192" s="13">
        <f>IF((Tabela3[Lucro Líquido]*5%)&gt;Tabela3[Teto R. Legal],Tabela3[Teto R. Legal],Tabela3[Lucro Líquido]*5%)</f>
        <v>-5497800</v>
      </c>
      <c r="Q192" s="13">
        <f>IF(Tabela3[Lucro Líquido]&lt;0,0,Tabela3[Lucro Líquido]-Tabela3[Reserva Legal])</f>
        <v>0</v>
      </c>
      <c r="R192" s="13">
        <f>Tabela3[[#This Row],[Lucro Distribuir]]*Tabela3[%Div]</f>
        <v>0</v>
      </c>
      <c r="S192" s="56">
        <f>SUMPRODUCT(N(Tabela3[Nome]=Tabela3[[#This Row],[Nome]]),Tabela3[Ações])</f>
        <v>75432804</v>
      </c>
      <c r="T192" s="6">
        <f>Tabela3[Capital Social]/Tabela3[Total Ações]</f>
        <v>8.7811077950913781</v>
      </c>
      <c r="U192" s="80">
        <f>Tabela3[[#This Row],[Lucro Líquido]]/Tabela3[[#This Row],[Total Ações]]</f>
        <v>-1.4576682049364094</v>
      </c>
      <c r="V19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92" s="13">
        <f>Tabela3[Div Base]*Tabela3[Ações]</f>
        <v>0</v>
      </c>
      <c r="AA192" s="13">
        <f>SUMPRODUCT(N(Tabela3[Nome]=Tabela3[[#This Row],[Nome]]),Tabela3[Div Base]*Tabela3[Ações])</f>
        <v>0</v>
      </c>
      <c r="AB192" s="95">
        <f>Tabela3[Patrimônio Líquido]/Tabela3[Total Ações]</f>
        <v>7.6046755467289797</v>
      </c>
      <c r="AC192" s="48">
        <f>MAX(Tabela3[[#This Row],[Cotação 1]:[Cotação 4]])</f>
        <v>5.19</v>
      </c>
      <c r="AD192" s="44">
        <f>Tabela3[Cotação]/Tabela3[VPA]</f>
        <v>0.68247487589820843</v>
      </c>
      <c r="AE192" s="40">
        <f>IF(Tabela3[[#This Row],[Lucro/Ação]]&gt;0,Tabela3[[#This Row],[Cotação]]/(Tabela3[[#This Row],[Lucro/Ação]]/Tabela3[Ref]*4),0)</f>
        <v>0</v>
      </c>
      <c r="AF192" s="91">
        <f>IF(Tabela3[Div. Mínimo]=0,0,Tabela3[Lucro Distribuir]*#REF!/Tabela3[Total Ações])</f>
        <v>0</v>
      </c>
      <c r="AG192" s="80">
        <f>Tabela3[Lucro Distribuir]/Tabela3[Total Ações]</f>
        <v>0</v>
      </c>
      <c r="AH19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92" s="14" t="str">
        <f>IF(AND(Tabela3[% A.A.]&gt;=7%,SUMPRODUCT(N(Tabela3[Nome]=Tabela3[[#This Row],[Nome]]),Tabela3[PL])&gt;0),"Sim","Não")</f>
        <v>Não</v>
      </c>
      <c r="AJ192" s="42">
        <f>IF(Tabela3[Cotação]&gt;0,Tabela3[[#This Row],[Lucro]]/Tabela3[[#This Row],[Cotação]],0)</f>
        <v>0</v>
      </c>
      <c r="AK192" s="42">
        <f>((1+Tabela3[[#This Row],[% Yield]])^(1/(3*Tabela3[[#This Row],[Ref]])))^(12)-1</f>
        <v>0</v>
      </c>
      <c r="AL192" s="14">
        <f>IF(Tabela3[Cotação]&gt;0,($AS$1/Tabela3[[#This Row],[Cotação]]-MOD($AS$1/Tabela3[[#This Row],[Cotação]],100)),)</f>
        <v>100</v>
      </c>
      <c r="AM192" s="17">
        <f>Tabela3[[#This Row],[Ativos]]*Tabela3[Lucro]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0</v>
      </c>
      <c r="AP192" s="17">
        <f>SUMPRODUCT(N(Tabela176[Código]=Tabela3[[#This Row],[PAPEL]]),Tabela176[Fechamento])</f>
        <v>5.19</v>
      </c>
      <c r="AQ192" s="17">
        <f>SUMPRODUCT(N(Tabela1768[Código]=Tabela3[[#This Row],[PAPEL]]),Tabela1768[Fechamento])</f>
        <v>0</v>
      </c>
    </row>
    <row r="193" spans="1:43" hidden="1" x14ac:dyDescent="0.2">
      <c r="A193" s="3" t="s">
        <v>351</v>
      </c>
      <c r="B193" s="58" t="s">
        <v>360</v>
      </c>
      <c r="C193" s="85" t="str">
        <f>LEFT(Tabela3[PAPEL],LEN(Tabela3[PAPEL])-(LEN(Tabela3[PAPEL])-4))</f>
        <v>IGTA</v>
      </c>
      <c r="D193" s="16">
        <v>3</v>
      </c>
      <c r="E193" s="5">
        <v>1261727567.1199999</v>
      </c>
      <c r="F193" s="21">
        <v>176611578</v>
      </c>
      <c r="G193" s="88">
        <v>0.25</v>
      </c>
      <c r="H193" s="16"/>
      <c r="I193" s="18"/>
      <c r="K193" s="89"/>
      <c r="L193" s="89"/>
      <c r="M193" s="5">
        <v>2302519000</v>
      </c>
      <c r="N193" s="5">
        <v>128087000</v>
      </c>
      <c r="O193" s="5">
        <f>Tabela3[[#This Row],[Capital Social]]*20%</f>
        <v>252345513.42399999</v>
      </c>
      <c r="P193" s="5">
        <f>IF((Tabela3[Lucro Líquido]*5%)&gt;Tabela3[Teto R. Legal],Tabela3[Teto R. Legal],Tabela3[Lucro Líquido]*5%)</f>
        <v>6404350</v>
      </c>
      <c r="Q193" s="5">
        <f>IF(Tabela3[Lucro Líquido]&lt;0,0,Tabela3[Lucro Líquido]-Tabela3[Reserva Legal])</f>
        <v>121682650</v>
      </c>
      <c r="R193" s="5">
        <f>Tabela3[[#This Row],[Lucro Distribuir]]*Tabela3[%Div]</f>
        <v>30420662.5</v>
      </c>
      <c r="S193" s="56">
        <f>SUMPRODUCT(N(Tabela3[Nome]=Tabela3[[#This Row],[Nome]]),Tabela3[Ações])</f>
        <v>176611578</v>
      </c>
      <c r="T193" s="5">
        <f>Tabela3[Capital Social]/Tabela3[Total Ações]</f>
        <v>7.1440818399799353</v>
      </c>
      <c r="U193" s="79">
        <f>Tabela3[[#This Row],[Lucro Líquido]]/Tabela3[[#This Row],[Total Ações]]</f>
        <v>0.72524690312205919</v>
      </c>
      <c r="V193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0.17224613949148906</v>
      </c>
      <c r="W193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3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0.17224613949148906</v>
      </c>
      <c r="Z193" s="5">
        <f>Tabela3[Div Base]*Tabela3[Ações]</f>
        <v>30420662.5</v>
      </c>
      <c r="AA193" s="5">
        <f>SUMPRODUCT(N(Tabela3[Nome]=Tabela3[[#This Row],[Nome]]),Tabela3[Div Base]*Tabela3[Ações])</f>
        <v>30420662.5</v>
      </c>
      <c r="AB193" s="5">
        <f>Tabela3[Patrimônio Líquido]/Tabela3[Total Ações]</f>
        <v>13.037191706650173</v>
      </c>
      <c r="AC193" s="52">
        <f>MAX(Tabela3[[#This Row],[Cotação 1]:[Cotação 4]])</f>
        <v>20.41</v>
      </c>
      <c r="AD193" s="53">
        <f>Tabela3[Cotação]/Tabela3[VPA]</f>
        <v>1.5655211995992215</v>
      </c>
      <c r="AE193" s="37">
        <f>IF(Tabela3[[#This Row],[Lucro/Ação]]&gt;0,Tabela3[[#This Row],[Cotação]]/(Tabela3[[#This Row],[Lucro/Ação]]/Tabela3[Ref]*4),0)</f>
        <v>21.106605121792217</v>
      </c>
      <c r="AF193" s="37" t="e">
        <f>IF(Tabela3[Div. Mínimo]=0,0,Tabela3[Lucro Distribuir]*#REF!/Tabela3[Total Ações])</f>
        <v>#REF!</v>
      </c>
      <c r="AG193" s="79">
        <f>Tabela3[Lucro Distribuir]/Tabela3[Total Ações]</f>
        <v>0.68898455796595626</v>
      </c>
      <c r="AH193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0.17224613949148906</v>
      </c>
      <c r="AI193" s="16" t="str">
        <f>IF(AND(Tabela3[% A.A.]&gt;=7%,SUMPRODUCT(N(Tabela3[Nome]=Tabela3[[#This Row],[Nome]]),Tabela3[PL])&gt;0),"Sim","Não")</f>
        <v>Não</v>
      </c>
      <c r="AJ193" s="22">
        <f>IF(Tabela3[Cotação]&gt;0,Tabela3[[#This Row],[Lucro]]/Tabela3[[#This Row],[Cotação]],0)</f>
        <v>8.4393012979661463E-3</v>
      </c>
      <c r="AK193" s="18">
        <f>((1+Tabela3[[#This Row],[% Yield]])^(1/(3*Tabela3[[#This Row],[Ref]])))^(12)-1</f>
        <v>1.1268199220526576E-2</v>
      </c>
      <c r="AL193" s="10">
        <f>IF(Tabela3[Cotação]&gt;0,($AS$1/Tabela3[[#This Row],[Cotação]]-MOD($AS$1/Tabela3[[#This Row],[Cotação]],100)),)</f>
        <v>0</v>
      </c>
      <c r="AM193" s="7">
        <f>Tabela3[[#This Row],[Ativos]]*Tabela3[Lucro]</f>
        <v>0</v>
      </c>
      <c r="AN193" s="47">
        <f>SUMPRODUCT(N(Tabela1[Código]=Tabela3[[#This Row],[PAPEL]]),Tabela1[Fechamento])</f>
        <v>0</v>
      </c>
      <c r="AO193" s="54">
        <f>SUMPRODUCT(N(Tabela17[Código]=Tabela3[[#This Row],[PAPEL]]),Tabela17[Fechamento])</f>
        <v>20.41</v>
      </c>
      <c r="AP193" s="7">
        <f>SUMPRODUCT(N(Tabela176[Código]=Tabela3[[#This Row],[PAPEL]]),Tabela176[Fechamento])</f>
        <v>0</v>
      </c>
      <c r="AQ193" s="7">
        <f>SUMPRODUCT(N(Tabela1768[Código]=Tabela3[[#This Row],[PAPEL]]),Tabela1768[Fechamento])</f>
        <v>0</v>
      </c>
    </row>
    <row r="194" spans="1:43" hidden="1" x14ac:dyDescent="0.2">
      <c r="A194" s="3" t="s">
        <v>282</v>
      </c>
      <c r="B194" s="58" t="s">
        <v>992</v>
      </c>
      <c r="C194" s="16" t="str">
        <f>LEFT(Tabela3[PAPEL],LEN(Tabela3[PAPEL])-(LEN(Tabela3[PAPEL])-4))</f>
        <v>IGUA</v>
      </c>
      <c r="D194" s="16">
        <v>3</v>
      </c>
      <c r="E194" s="5">
        <v>90064557.299999997</v>
      </c>
      <c r="F194" s="56">
        <v>9684360</v>
      </c>
      <c r="G194" s="83">
        <v>0.25</v>
      </c>
      <c r="H194" s="89"/>
      <c r="I194" s="18"/>
      <c r="K194" s="16"/>
      <c r="L194" s="89"/>
      <c r="M194" s="94">
        <v>-153300000</v>
      </c>
      <c r="N194" s="73">
        <v>-12889000</v>
      </c>
      <c r="O194" s="7">
        <f>Tabela3[[#This Row],[Capital Social]]*20%</f>
        <v>18012911.460000001</v>
      </c>
      <c r="P194" s="47">
        <f>IF((Tabela3[Lucro Líquido]*5%)&gt;Tabela3[Teto R. Legal],Tabela3[Teto R. Legal],Tabela3[Lucro Líquido]*5%)</f>
        <v>-644450</v>
      </c>
      <c r="Q194" s="47">
        <f>IF(Tabela3[Lucro Líquido]&lt;0,0,Tabela3[Lucro Líquido]-Tabela3[Reserva Legal])</f>
        <v>0</v>
      </c>
      <c r="R194" s="47">
        <f>Tabela3[[#This Row],[Lucro Distribuir]]*Tabela3[%Div]</f>
        <v>0</v>
      </c>
      <c r="S194" s="56">
        <f>SUMPRODUCT(N(Tabela3[Nome]=Tabela3[[#This Row],[Nome]]),Tabela3[Ações])</f>
        <v>29053083</v>
      </c>
      <c r="T194" s="87">
        <f>Tabela3[Capital Social]/Tabela3[Total Ações]</f>
        <v>3.1</v>
      </c>
      <c r="U194" s="87">
        <f>Tabela3[[#This Row],[Lucro Líquido]]/Tabela3[[#This Row],[Total Ações]]</f>
        <v>-0.44363622270311209</v>
      </c>
      <c r="V19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94" s="7">
        <f>Tabela3[Div Base]*Tabela3[Ações]</f>
        <v>0</v>
      </c>
      <c r="AA194" s="7">
        <f>SUMPRODUCT(N(Tabela3[Nome]=Tabela3[[#This Row],[Nome]]),Tabela3[Div Base]*Tabela3[Ações])</f>
        <v>5718384.9919999996</v>
      </c>
      <c r="AB194" s="74">
        <f>Tabela3[Patrimônio Líquido]/Tabela3[Total Ações]</f>
        <v>-5.2765484475434157</v>
      </c>
      <c r="AC194" s="52">
        <f>MAX(Tabela3[[#This Row],[Cotação 1]:[Cotação 4]])</f>
        <v>3.75</v>
      </c>
      <c r="AD194" s="53">
        <f>Tabela3[Cotação]/Tabela3[VPA]</f>
        <v>-0.71069185420743641</v>
      </c>
      <c r="AE194" s="37">
        <f>IF(Tabela3[[#This Row],[Lucro/Ação]]&gt;0,Tabela3[[#This Row],[Cotação]]/(Tabela3[[#This Row],[Lucro/Ação]]/Tabela3[Ref]*4),0)</f>
        <v>0</v>
      </c>
      <c r="AF194" s="59">
        <f>IF(Tabela3[Div. Mínimo]=0,0,Tabela3[Lucro Distribuir]*#REF!/Tabela3[Total Ações])</f>
        <v>0</v>
      </c>
      <c r="AG194" s="87">
        <f>Tabela3[Lucro Distribuir]/Tabela3[Total Ações]</f>
        <v>0</v>
      </c>
      <c r="AH19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94" s="10" t="str">
        <f>IF(AND(Tabela3[% A.A.]&gt;=7%,SUMPRODUCT(N(Tabela3[Nome]=Tabela3[[#This Row],[Nome]]),Tabela3[PL])&gt;0),"Sim","Não")</f>
        <v>Não</v>
      </c>
      <c r="AJ194" s="22">
        <f>IF(Tabela3[Cotação]&gt;0,Tabela3[[#This Row],[Lucro]]/Tabela3[[#This Row],[Cotação]],0)</f>
        <v>0</v>
      </c>
      <c r="AK194" s="22">
        <f>((1+Tabela3[[#This Row],[% Yield]])^(1/(3*Tabela3[[#This Row],[Ref]])))^(12)-1</f>
        <v>0</v>
      </c>
      <c r="AL194" s="10">
        <f>IF(Tabela3[Cotação]&gt;0,($AS$1/Tabela3[[#This Row],[Cotação]]-MOD($AS$1/Tabela3[[#This Row],[Cotação]],100)),)</f>
        <v>200</v>
      </c>
      <c r="AM194" s="7">
        <f>Tabela3[[#This Row],[Ativos]]*Tabela3[Lucro]</f>
        <v>0</v>
      </c>
      <c r="AN194" s="7">
        <f>SUMPRODUCT(N(Tabela1[Código]=Tabela3[[#This Row],[PAPEL]]),Tabela1[Fechamento])</f>
        <v>0</v>
      </c>
      <c r="AO194" s="7">
        <f>SUMPRODUCT(N(Tabela17[Código]=Tabela3[[#This Row],[PAPEL]]),Tabela17[Fechamento])</f>
        <v>0</v>
      </c>
      <c r="AP194" s="7">
        <f>SUMPRODUCT(N(Tabela176[Código]=Tabela3[[#This Row],[PAPEL]]),Tabela176[Fechamento])</f>
        <v>0</v>
      </c>
      <c r="AQ194" s="7">
        <f>SUMPRODUCT(N(Tabela1768[Código]=Tabela3[[#This Row],[PAPEL]]),Tabela1768[Fechamento])</f>
        <v>3.75</v>
      </c>
    </row>
    <row r="195" spans="1:43" hidden="1" x14ac:dyDescent="0.2">
      <c r="A195" s="3" t="s">
        <v>282</v>
      </c>
      <c r="B195" s="58" t="s">
        <v>993</v>
      </c>
      <c r="C195" s="16" t="str">
        <f>LEFT(Tabela3[PAPEL],LEN(Tabela3[PAPEL])-(LEN(Tabela3[PAPEL])-4))</f>
        <v>IGUA</v>
      </c>
      <c r="D195" s="16">
        <v>3</v>
      </c>
      <c r="E195" s="5">
        <v>90064557.299999997</v>
      </c>
      <c r="F195" s="56">
        <v>7378562</v>
      </c>
      <c r="G195" s="83">
        <v>0.25</v>
      </c>
      <c r="H195" s="89"/>
      <c r="I195" s="18">
        <v>0.12</v>
      </c>
      <c r="K195" s="16"/>
      <c r="L195" s="89"/>
      <c r="M195" s="94">
        <v>-153300000</v>
      </c>
      <c r="N195" s="73">
        <v>-12889000</v>
      </c>
      <c r="O195" s="7">
        <f>Tabela3[[#This Row],[Capital Social]]*20%</f>
        <v>18012911.460000001</v>
      </c>
      <c r="P195" s="47">
        <f>IF((Tabela3[Lucro Líquido]*5%)&gt;Tabela3[Teto R. Legal],Tabela3[Teto R. Legal],Tabela3[Lucro Líquido]*5%)</f>
        <v>-644450</v>
      </c>
      <c r="Q195" s="47">
        <f>IF(Tabela3[Lucro Líquido]&lt;0,0,Tabela3[Lucro Líquido]-Tabela3[Reserva Legal])</f>
        <v>0</v>
      </c>
      <c r="R195" s="47">
        <f>Tabela3[[#This Row],[Lucro Distribuir]]*Tabela3[%Div]</f>
        <v>0</v>
      </c>
      <c r="S195" s="56">
        <f>SUMPRODUCT(N(Tabela3[Nome]=Tabela3[[#This Row],[Nome]]),Tabela3[Ações])</f>
        <v>29053083</v>
      </c>
      <c r="T195" s="87">
        <f>Tabela3[Capital Social]/Tabela3[Total Ações]</f>
        <v>3.1</v>
      </c>
      <c r="U195" s="87">
        <f>Tabela3[[#This Row],[Lucro Líquido]]/Tabela3[[#This Row],[Total Ações]]</f>
        <v>-0.44363622270311209</v>
      </c>
      <c r="V195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5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0.372</v>
      </c>
      <c r="Y195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0.372</v>
      </c>
      <c r="Z195" s="7">
        <f>Tabela3[Div Base]*Tabela3[Ações]</f>
        <v>2744825.0639999998</v>
      </c>
      <c r="AA195" s="7">
        <f>SUMPRODUCT(N(Tabela3[Nome]=Tabela3[[#This Row],[Nome]]),Tabela3[Div Base]*Tabela3[Ações])</f>
        <v>5718384.9919999996</v>
      </c>
      <c r="AB195" s="74">
        <f>Tabela3[Patrimônio Líquido]/Tabela3[Total Ações]</f>
        <v>-5.2765484475434157</v>
      </c>
      <c r="AC195" s="52">
        <f>MAX(Tabela3[[#This Row],[Cotação 1]:[Cotação 4]])</f>
        <v>2.86</v>
      </c>
      <c r="AD195" s="53">
        <f>Tabela3[Cotação]/Tabela3[VPA]</f>
        <v>-0.54202098747553817</v>
      </c>
      <c r="AE195" s="37">
        <f>IF(Tabela3[[#This Row],[Lucro/Ação]]&gt;0,Tabela3[[#This Row],[Cotação]]/(Tabela3[[#This Row],[Lucro/Ação]]/Tabela3[Ref]*4),0)</f>
        <v>0</v>
      </c>
      <c r="AF195" s="59">
        <f>IF(Tabela3[Div. Mínimo]=0,0,Tabela3[Lucro Distribuir]*#REF!/Tabela3[Total Ações])</f>
        <v>0</v>
      </c>
      <c r="AG195" s="87">
        <f>Tabela3[Lucro Distribuir]/Tabela3[Total Ações]</f>
        <v>0</v>
      </c>
      <c r="AH195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0.372</v>
      </c>
      <c r="AI195" s="10" t="str">
        <f>IF(AND(Tabela3[% A.A.]&gt;=7%,SUMPRODUCT(N(Tabela3[Nome]=Tabela3[[#This Row],[Nome]]),Tabela3[PL])&gt;0),"Sim","Não")</f>
        <v>Não</v>
      </c>
      <c r="AJ195" s="22">
        <f>IF(Tabela3[Cotação]&gt;0,Tabela3[[#This Row],[Lucro]]/Tabela3[[#This Row],[Cotação]],0)</f>
        <v>0.13006993006993006</v>
      </c>
      <c r="AK195" s="22">
        <f>((1+Tabela3[[#This Row],[% Yield]])^(1/(3*Tabela3[[#This Row],[Ref]])))^(12)-1</f>
        <v>0.1770830122151712</v>
      </c>
      <c r="AL195" s="10">
        <f>IF(Tabela3[Cotação]&gt;0,($AS$1/Tabela3[[#This Row],[Cotação]]-MOD($AS$1/Tabela3[[#This Row],[Cotação]],100)),)</f>
        <v>300</v>
      </c>
      <c r="AM195" s="7">
        <f>Tabela3[[#This Row],[Ativos]]*Tabela3[Lucro]</f>
        <v>111.6</v>
      </c>
      <c r="AN195" s="7">
        <f>SUMPRODUCT(N(Tabela1[Código]=Tabela3[[#This Row],[PAPEL]]),Tabela1[Fechamento])</f>
        <v>0</v>
      </c>
      <c r="AO195" s="7">
        <f>SUMPRODUCT(N(Tabela17[Código]=Tabela3[[#This Row],[PAPEL]]),Tabela17[Fechamento])</f>
        <v>0</v>
      </c>
      <c r="AP195" s="7">
        <f>SUMPRODUCT(N(Tabela176[Código]=Tabela3[[#This Row],[PAPEL]]),Tabela176[Fechamento])</f>
        <v>0</v>
      </c>
      <c r="AQ195" s="7">
        <f>SUMPRODUCT(N(Tabela1768[Código]=Tabela3[[#This Row],[PAPEL]]),Tabela1768[Fechamento])</f>
        <v>2.86</v>
      </c>
    </row>
    <row r="196" spans="1:43" hidden="1" x14ac:dyDescent="0.2">
      <c r="A196" s="3" t="s">
        <v>282</v>
      </c>
      <c r="B196" s="58" t="s">
        <v>994</v>
      </c>
      <c r="C196" s="16" t="str">
        <f>LEFT(Tabela3[PAPEL],LEN(Tabela3[PAPEL])-(LEN(Tabela3[PAPEL])-4))</f>
        <v>IGUA</v>
      </c>
      <c r="D196" s="16">
        <v>3</v>
      </c>
      <c r="E196" s="5">
        <v>90064557.299999997</v>
      </c>
      <c r="F196" s="56">
        <v>11990161</v>
      </c>
      <c r="G196" s="83">
        <v>0.25</v>
      </c>
      <c r="H196" s="89"/>
      <c r="I196" s="18">
        <v>0.08</v>
      </c>
      <c r="K196" s="16"/>
      <c r="L196" s="89"/>
      <c r="M196" s="94">
        <v>-153300000</v>
      </c>
      <c r="N196" s="73">
        <v>-12889000</v>
      </c>
      <c r="O196" s="7">
        <f>Tabela3[[#This Row],[Capital Social]]*20%</f>
        <v>18012911.460000001</v>
      </c>
      <c r="P196" s="47">
        <f>IF((Tabela3[Lucro Líquido]*5%)&gt;Tabela3[Teto R. Legal],Tabela3[Teto R. Legal],Tabela3[Lucro Líquido]*5%)</f>
        <v>-644450</v>
      </c>
      <c r="Q196" s="47">
        <f>IF(Tabela3[Lucro Líquido]&lt;0,0,Tabela3[Lucro Líquido]-Tabela3[Reserva Legal])</f>
        <v>0</v>
      </c>
      <c r="R196" s="47">
        <f>Tabela3[[#This Row],[Lucro Distribuir]]*Tabela3[%Div]</f>
        <v>0</v>
      </c>
      <c r="S196" s="56">
        <f>SUMPRODUCT(N(Tabela3[Nome]=Tabela3[[#This Row],[Nome]]),Tabela3[Ações])</f>
        <v>29053083</v>
      </c>
      <c r="T196" s="87">
        <f>Tabela3[Capital Social]/Tabela3[Total Ações]</f>
        <v>3.1</v>
      </c>
      <c r="U196" s="87">
        <f>Tabela3[[#This Row],[Lucro Líquido]]/Tabela3[[#This Row],[Total Ações]]</f>
        <v>-0.44363622270311209</v>
      </c>
      <c r="V19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0.248</v>
      </c>
      <c r="Y19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0.248</v>
      </c>
      <c r="Z196" s="7">
        <f>Tabela3[Div Base]*Tabela3[Ações]</f>
        <v>2973559.9279999998</v>
      </c>
      <c r="AA196" s="7">
        <f>SUMPRODUCT(N(Tabela3[Nome]=Tabela3[[#This Row],[Nome]]),Tabela3[Div Base]*Tabela3[Ações])</f>
        <v>5718384.9919999996</v>
      </c>
      <c r="AB196" s="74">
        <f>Tabela3[Patrimônio Líquido]/Tabela3[Total Ações]</f>
        <v>-5.2765484475434157</v>
      </c>
      <c r="AC196" s="52">
        <f>MAX(Tabela3[[#This Row],[Cotação 1]:[Cotação 4]])</f>
        <v>3.3</v>
      </c>
      <c r="AD196" s="53">
        <f>Tabela3[Cotação]/Tabela3[VPA]</f>
        <v>-0.62540883170254402</v>
      </c>
      <c r="AE196" s="37">
        <f>IF(Tabela3[[#This Row],[Lucro/Ação]]&gt;0,Tabela3[[#This Row],[Cotação]]/(Tabela3[[#This Row],[Lucro/Ação]]/Tabela3[Ref]*4),0)</f>
        <v>0</v>
      </c>
      <c r="AF196" s="59">
        <f>IF(Tabela3[Div. Mínimo]=0,0,Tabela3[Lucro Distribuir]*#REF!/Tabela3[Total Ações])</f>
        <v>0</v>
      </c>
      <c r="AG196" s="87">
        <f>Tabela3[Lucro Distribuir]/Tabela3[Total Ações]</f>
        <v>0</v>
      </c>
      <c r="AH19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0.248</v>
      </c>
      <c r="AI196" s="10" t="str">
        <f>IF(AND(Tabela3[% A.A.]&gt;=7%,SUMPRODUCT(N(Tabela3[Nome]=Tabela3[[#This Row],[Nome]]),Tabela3[PL])&gt;0),"Sim","Não")</f>
        <v>Não</v>
      </c>
      <c r="AJ196" s="22">
        <f>IF(Tabela3[Cotação]&gt;0,Tabela3[[#This Row],[Lucro]]/Tabela3[[#This Row],[Cotação]],0)</f>
        <v>7.515151515151515E-2</v>
      </c>
      <c r="AK196" s="22">
        <f>((1+Tabela3[[#This Row],[% Yield]])^(1/(3*Tabela3[[#This Row],[Ref]])))^(12)-1</f>
        <v>0.10143674712082085</v>
      </c>
      <c r="AL196" s="10">
        <f>IF(Tabela3[Cotação]&gt;0,($AS$1/Tabela3[[#This Row],[Cotação]]-MOD($AS$1/Tabela3[[#This Row],[Cotação]],100)),)</f>
        <v>300</v>
      </c>
      <c r="AM196" s="7">
        <f>Tabela3[[#This Row],[Ativos]]*Tabela3[Lucro]</f>
        <v>74.400000000000006</v>
      </c>
      <c r="AN196" s="7">
        <f>SUMPRODUCT(N(Tabela1[Código]=Tabela3[[#This Row],[PAPEL]]),Tabela1[Fechamento])</f>
        <v>0</v>
      </c>
      <c r="AO196" s="7">
        <f>SUMPRODUCT(N(Tabela17[Código]=Tabela3[[#This Row],[PAPEL]]),Tabela17[Fechamento])</f>
        <v>0</v>
      </c>
      <c r="AP196" s="7">
        <f>SUMPRODUCT(N(Tabela176[Código]=Tabela3[[#This Row],[PAPEL]]),Tabela176[Fechamento])</f>
        <v>0</v>
      </c>
      <c r="AQ196" s="7">
        <f>SUMPRODUCT(N(Tabela1768[Código]=Tabela3[[#This Row],[PAPEL]]),Tabela1768[Fechamento])</f>
        <v>3.3</v>
      </c>
    </row>
    <row r="197" spans="1:43" hidden="1" x14ac:dyDescent="0.2">
      <c r="A197" s="4" t="s">
        <v>292</v>
      </c>
      <c r="B197" s="57" t="s">
        <v>544</v>
      </c>
      <c r="C197" s="15" t="str">
        <f>LEFT(Tabela3[PAPEL],LEN(Tabela3[PAPEL])-(LEN(Tabela3[PAPEL])-4))</f>
        <v>INET</v>
      </c>
      <c r="D197" s="15">
        <v>3</v>
      </c>
      <c r="E197" s="6">
        <v>235691425.78</v>
      </c>
      <c r="F197" s="8">
        <v>313484914</v>
      </c>
      <c r="G197" s="88">
        <v>0.25</v>
      </c>
      <c r="H197" s="19"/>
      <c r="I197" s="19"/>
      <c r="J197" s="19"/>
      <c r="K197" s="90"/>
      <c r="L197" s="90"/>
      <c r="M197" s="96">
        <v>-24474000</v>
      </c>
      <c r="N197" s="97">
        <v>-1152000</v>
      </c>
      <c r="O197" s="13">
        <f>Tabela3[[#This Row],[Capital Social]]*20%</f>
        <v>47138285.156000003</v>
      </c>
      <c r="P197" s="13">
        <f>IF((Tabela3[Lucro Líquido]*5%)&gt;Tabela3[Teto R. Legal],Tabela3[Teto R. Legal],Tabela3[Lucro Líquido]*5%)</f>
        <v>-57600</v>
      </c>
      <c r="Q197" s="13">
        <f>IF(Tabela3[Lucro Líquido]&lt;0,0,Tabela3[Lucro Líquido]-Tabela3[Reserva Legal])</f>
        <v>0</v>
      </c>
      <c r="R197" s="13">
        <f>Tabela3[[#This Row],[Lucro Distribuir]]*Tabela3[%Div]</f>
        <v>0</v>
      </c>
      <c r="S197" s="56">
        <f>SUMPRODUCT(N(Tabela3[Nome]=Tabela3[[#This Row],[Nome]]),Tabela3[Ações])</f>
        <v>313484914</v>
      </c>
      <c r="T197" s="6">
        <f>Tabela3[Capital Social]/Tabela3[Total Ações]</f>
        <v>0.75184296039202703</v>
      </c>
      <c r="U197" s="80">
        <f>Tabela3[[#This Row],[Lucro Líquido]]/Tabela3[[#This Row],[Total Ações]]</f>
        <v>-3.6748179850211228E-3</v>
      </c>
      <c r="V19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97" s="13">
        <f>Tabela3[Div Base]*Tabela3[Ações]</f>
        <v>0</v>
      </c>
      <c r="AA197" s="13">
        <f>SUMPRODUCT(N(Tabela3[Nome]=Tabela3[[#This Row],[Nome]]),Tabela3[Div Base]*Tabela3[Ações])</f>
        <v>0</v>
      </c>
      <c r="AB197" s="95">
        <f>Tabela3[Patrimônio Líquido]/Tabela3[Total Ações]</f>
        <v>-7.8070742504693549E-2</v>
      </c>
      <c r="AC197" s="48">
        <f>MAX(Tabela3[[#This Row],[Cotação 1]:[Cotação 4]])</f>
        <v>0.2</v>
      </c>
      <c r="AD197" s="44">
        <f>Tabela3[Cotação]/Tabela3[VPA]</f>
        <v>-2.5617791452153305</v>
      </c>
      <c r="AE197" s="40">
        <f>IF(Tabela3[[#This Row],[Lucro/Ação]]&gt;0,Tabela3[[#This Row],[Cotação]]/(Tabela3[[#This Row],[Lucro/Ação]]/Tabela3[Ref]*4),0)</f>
        <v>0</v>
      </c>
      <c r="AF197" s="91">
        <f>IF(Tabela3[Div. Mínimo]=0,0,Tabela3[Lucro Distribuir]*#REF!/Tabela3[Total Ações])</f>
        <v>0</v>
      </c>
      <c r="AG197" s="80">
        <f>Tabela3[Lucro Distribuir]/Tabela3[Total Ações]</f>
        <v>0</v>
      </c>
      <c r="AH19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97" s="14" t="str">
        <f>IF(AND(Tabela3[% A.A.]&gt;=7%,SUMPRODUCT(N(Tabela3[Nome]=Tabela3[[#This Row],[Nome]]),Tabela3[PL])&gt;0),"Sim","Não")</f>
        <v>Não</v>
      </c>
      <c r="AJ197" s="42">
        <f>IF(Tabela3[Cotação]&gt;0,Tabela3[[#This Row],[Lucro]]/Tabela3[[#This Row],[Cotação]],0)</f>
        <v>0</v>
      </c>
      <c r="AK197" s="42">
        <f>((1+Tabela3[[#This Row],[% Yield]])^(1/(3*Tabela3[[#This Row],[Ref]])))^(12)-1</f>
        <v>0</v>
      </c>
      <c r="AL197" s="14">
        <f>IF(Tabela3[Cotação]&gt;0,($AS$1/Tabela3[[#This Row],[Cotação]]-MOD($AS$1/Tabela3[[#This Row],[Cotação]],100)),)</f>
        <v>5000</v>
      </c>
      <c r="AM197" s="17">
        <f>Tabela3[[#This Row],[Ativos]]*Tabela3[Lucro]</f>
        <v>0</v>
      </c>
      <c r="AN197" s="17">
        <f>SUMPRODUCT(N(Tabela1[Código]=Tabela3[[#This Row],[PAPEL]]),Tabela1[Fechamento])</f>
        <v>0</v>
      </c>
      <c r="AO197" s="17">
        <f>SUMPRODUCT(N(Tabela17[Código]=Tabela3[[#This Row],[PAPEL]]),Tabela17[Fechamento])</f>
        <v>0.2</v>
      </c>
      <c r="AP197" s="7">
        <f>SUMPRODUCT(N(Tabela176[Código]=Tabela3[[#This Row],[PAPEL]]),Tabela176[Fechamento])</f>
        <v>0</v>
      </c>
      <c r="AQ197" s="7">
        <f>SUMPRODUCT(N(Tabela1768[Código]=Tabela3[[#This Row],[PAPEL]]),Tabela1768[Fechamento])</f>
        <v>0</v>
      </c>
    </row>
    <row r="198" spans="1:43" hidden="1" x14ac:dyDescent="0.2">
      <c r="A198" s="4" t="s">
        <v>603</v>
      </c>
      <c r="B198" s="57" t="s">
        <v>605</v>
      </c>
      <c r="C198" s="15" t="str">
        <f>LEFT(Tabela3[PAPEL],LEN(Tabela3[PAPEL])-(LEN(Tabela3[PAPEL])-4))</f>
        <v>ITEC</v>
      </c>
      <c r="D198" s="15">
        <v>3</v>
      </c>
      <c r="E198" s="6">
        <v>280000000</v>
      </c>
      <c r="F198" s="8">
        <v>11651126</v>
      </c>
      <c r="G198" s="88">
        <v>0.25</v>
      </c>
      <c r="H198" s="15"/>
      <c r="I198" s="19"/>
      <c r="J198" s="19"/>
      <c r="K198" s="90"/>
      <c r="L198" s="90"/>
      <c r="M198" s="96">
        <v>218627000</v>
      </c>
      <c r="N198" s="97">
        <v>-324262000</v>
      </c>
      <c r="O198" s="13">
        <f>Tabela3[[#This Row],[Capital Social]]*20%</f>
        <v>56000000</v>
      </c>
      <c r="P198" s="13">
        <f>IF((Tabela3[Lucro Líquido]*5%)&gt;Tabela3[Teto R. Legal],Tabela3[Teto R. Legal],Tabela3[Lucro Líquido]*5%)</f>
        <v>-16213100</v>
      </c>
      <c r="Q198" s="13">
        <f>IF(Tabela3[Lucro Líquido]&lt;0,0,Tabela3[Lucro Líquido]-Tabela3[Reserva Legal])</f>
        <v>0</v>
      </c>
      <c r="R198" s="13">
        <f>Tabela3[[#This Row],[Lucro Distribuir]]*Tabela3[%Div]</f>
        <v>0</v>
      </c>
      <c r="S198" s="56">
        <f>SUMPRODUCT(N(Tabela3[Nome]=Tabela3[[#This Row],[Nome]]),Tabela3[Ações])</f>
        <v>11651126</v>
      </c>
      <c r="T198" s="6">
        <f>Tabela3[Capital Social]/Tabela3[Total Ações]</f>
        <v>24.032012013259489</v>
      </c>
      <c r="U198" s="80">
        <f>Tabela3[[#This Row],[Lucro Líquido]]/Tabela3[[#This Row],[Total Ações]]</f>
        <v>-27.830958140869818</v>
      </c>
      <c r="V19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19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19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198" s="13">
        <f>Tabela3[Div Base]*Tabela3[Ações]</f>
        <v>0</v>
      </c>
      <c r="AA198" s="13">
        <f>SUMPRODUCT(N(Tabela3[Nome]=Tabela3[[#This Row],[Nome]]),Tabela3[Div Base]*Tabela3[Ações])</f>
        <v>0</v>
      </c>
      <c r="AB198" s="95">
        <f>Tabela3[Patrimônio Líquido]/Tabela3[Total Ações]</f>
        <v>18.764452465796008</v>
      </c>
      <c r="AC198" s="48">
        <f>MAX(Tabela3[[#This Row],[Cotação 1]:[Cotação 4]])</f>
        <v>19.03</v>
      </c>
      <c r="AD198" s="44">
        <f>Tabela3[Cotação]/Tabela3[VPA]</f>
        <v>1.0141516271091862</v>
      </c>
      <c r="AE198" s="40">
        <f>IF(Tabela3[[#This Row],[Lucro/Ação]]&gt;0,Tabela3[[#This Row],[Cotação]]/(Tabela3[[#This Row],[Lucro/Ação]]/Tabela3[Ref]*4),0)</f>
        <v>0</v>
      </c>
      <c r="AF198" s="91">
        <f>IF(Tabela3[Div. Mínimo]=0,0,Tabela3[Lucro Distribuir]*#REF!/Tabela3[Total Ações])</f>
        <v>0</v>
      </c>
      <c r="AG198" s="80">
        <f>Tabela3[Lucro Distribuir]/Tabela3[Total Ações]</f>
        <v>0</v>
      </c>
      <c r="AH19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198" s="14" t="str">
        <f>IF(AND(Tabela3[% A.A.]&gt;=7%,SUMPRODUCT(N(Tabela3[Nome]=Tabela3[[#This Row],[Nome]]),Tabela3[PL])&gt;0),"Sim","Não")</f>
        <v>Não</v>
      </c>
      <c r="AJ198" s="42">
        <f>IF(Tabela3[Cotação]&gt;0,Tabela3[[#This Row],[Lucro]]/Tabela3[[#This Row],[Cotação]],0)</f>
        <v>0</v>
      </c>
      <c r="AK198" s="42">
        <f>((1+Tabela3[[#This Row],[% Yield]])^(1/(3*Tabela3[[#This Row],[Ref]])))^(12)-1</f>
        <v>0</v>
      </c>
      <c r="AL198" s="14">
        <f>IF(Tabela3[Cotação]&gt;0,($AS$1/Tabela3[[#This Row],[Cotação]]-MOD($AS$1/Tabela3[[#This Row],[Cotação]],100)),)</f>
        <v>0</v>
      </c>
      <c r="AM198" s="17">
        <f>Tabela3[[#This Row],[Ativos]]*Tabela3[Lucro]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0</v>
      </c>
      <c r="AP198" s="17">
        <f>SUMPRODUCT(N(Tabela176[Código]=Tabela3[[#This Row],[PAPEL]]),Tabela176[Fechamento])</f>
        <v>19.03</v>
      </c>
      <c r="AQ198" s="17">
        <f>SUMPRODUCT(N(Tabela1768[Código]=Tabela3[[#This Row],[PAPEL]]),Tabela1768[Fechamento])</f>
        <v>0</v>
      </c>
    </row>
    <row r="199" spans="1:43" hidden="1" x14ac:dyDescent="0.2">
      <c r="A199" s="4" t="s">
        <v>14</v>
      </c>
      <c r="B199" s="57" t="s">
        <v>236</v>
      </c>
      <c r="C199" s="15" t="str">
        <f>LEFT(Tabela3[PAPEL],LEN(Tabela3[PAPEL])-(LEN(Tabela3[PAPEL])-4))</f>
        <v>ITSA</v>
      </c>
      <c r="D199" s="16">
        <v>3</v>
      </c>
      <c r="E199" s="5">
        <v>22000000010</v>
      </c>
      <c r="F199" s="56">
        <f>2052918509+53308194</f>
        <v>2106226703</v>
      </c>
      <c r="G199" s="83">
        <v>0.25</v>
      </c>
      <c r="H199" s="16"/>
      <c r="I199" s="18"/>
      <c r="K199" s="89"/>
      <c r="L199" s="89"/>
      <c r="M199" s="6">
        <v>32199000000</v>
      </c>
      <c r="N199" s="5">
        <v>3922000000</v>
      </c>
      <c r="O199" s="5">
        <f>Tabela3[[#This Row],[Capital Social]]*20%</f>
        <v>4400000002</v>
      </c>
      <c r="P199" s="5">
        <f>IF((Tabela3[Lucro Líquido]*5%)&gt;Tabela3[Teto R. Legal],Tabela3[Teto R. Legal],Tabela3[Lucro Líquido]*5%)</f>
        <v>196100000</v>
      </c>
      <c r="Q199" s="5">
        <f>IF(Tabela3[Lucro Líquido]&lt;0,0,Tabela3[Lucro Líquido]-Tabela3[Reserva Legal])</f>
        <v>3725900000</v>
      </c>
      <c r="R199" s="5">
        <f>Tabela3[[#This Row],[Lucro Distribuir]]*Tabela3[%Div]</f>
        <v>931475000</v>
      </c>
      <c r="S199" s="21">
        <f>SUMPRODUCT(N(Tabela3[Nome]=Tabela3[[#This Row],[Nome]]),Tabela3[Ações])</f>
        <v>5470667261</v>
      </c>
      <c r="T199" s="5">
        <f>Tabela3[Capital Social]/Tabela3[Total Ações]</f>
        <v>4.0214472861174437</v>
      </c>
      <c r="U199" s="79">
        <f>Tabela3[[#This Row],[Lucro Líquido]]/Tabela3[[#This Row],[Total Ações]]</f>
        <v>0.71691437495379418</v>
      </c>
      <c r="V19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0.17026716405152612</v>
      </c>
      <c r="W19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19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0.42618878482703321</v>
      </c>
      <c r="Y19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0.17026716405152612</v>
      </c>
      <c r="Z199" s="5">
        <f>Tabela3[Div Base]*Tabela3[Ações]</f>
        <v>358621247.56940597</v>
      </c>
      <c r="AA199" s="5">
        <f>SUMPRODUCT(N(Tabela3[Nome]=Tabela3[[#This Row],[Nome]]),Tabela3[Div Base]*Tabela3[Ações])</f>
        <v>931475000</v>
      </c>
      <c r="AB199" s="5">
        <f>Tabela3[Patrimônio Líquido]/Tabela3[Total Ações]</f>
        <v>5.8857536866744562</v>
      </c>
      <c r="AC199" s="52">
        <f>MAX(Tabela3[[#This Row],[Cotação 1]:[Cotação 4]])</f>
        <v>9.25</v>
      </c>
      <c r="AD199" s="53">
        <f>Tabela3[Cotação]/Tabela3[VPA]</f>
        <v>1.5715914209835709</v>
      </c>
      <c r="AE199" s="37">
        <f>IF(Tabela3[[#This Row],[Lucro/Ação]]&gt;0,Tabela3[[#This Row],[Cotação]]/(Tabela3[[#This Row],[Lucro/Ação]]/Tabela3[Ref]*4),0)</f>
        <v>9.6768878437499986</v>
      </c>
      <c r="AF199" s="37" t="e">
        <f>IF(Tabela3[Div. Mínimo]=0,0,Tabela3[Lucro Distribuir]*#REF!/Tabela3[Total Ações])</f>
        <v>#REF!</v>
      </c>
      <c r="AG199" s="79">
        <f>Tabela3[Lucro Distribuir]/Tabela3[Total Ações]</f>
        <v>0.68106865620610446</v>
      </c>
      <c r="AH199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0.17026716405152612</v>
      </c>
      <c r="AI199" s="16" t="str">
        <f>IF(AND(Tabela3[% A.A.]&gt;=7%,SUMPRODUCT(N(Tabela3[Nome]=Tabela3[[#This Row],[Nome]]),Tabela3[PL])&gt;0),"Sim","Não")</f>
        <v>Não</v>
      </c>
      <c r="AJ199" s="22">
        <f>IF(Tabela3[Cotação]&gt;0,Tabela3[[#This Row],[Lucro]]/Tabela3[[#This Row],[Cotação]],0)</f>
        <v>1.8407260978543363E-2</v>
      </c>
      <c r="AK199" s="18">
        <f>((1+Tabela3[[#This Row],[% Yield]])^(1/(3*Tabela3[[#This Row],[Ref]])))^(12)-1</f>
        <v>2.4618003929125276E-2</v>
      </c>
      <c r="AL199" s="10">
        <f>IF(Tabela3[Cotação]&gt;0,($AS$1/Tabela3[[#This Row],[Cotação]]-MOD($AS$1/Tabela3[[#This Row],[Cotação]],100)),)</f>
        <v>100</v>
      </c>
      <c r="AM199" s="7">
        <f>Tabela3[[#This Row],[Ativos]]*Tabela3[Lucro]</f>
        <v>17.026716405152612</v>
      </c>
      <c r="AN199" s="5">
        <f>SUMPRODUCT(N(Tabela1[Código]=Tabela3[[#This Row],[PAPEL]]),Tabela1[Fechamento])</f>
        <v>9.25</v>
      </c>
      <c r="AO199" s="5">
        <f>SUMPRODUCT(N(Tabela17[Código]=Tabela3[[#This Row],[PAPEL]]),Tabela17[Fechamento])</f>
        <v>0</v>
      </c>
      <c r="AP199" s="7">
        <f>SUMPRODUCT(N(Tabela176[Código]=Tabela3[[#This Row],[PAPEL]]),Tabela176[Fechamento])</f>
        <v>0</v>
      </c>
      <c r="AQ199" s="7">
        <f>SUMPRODUCT(N(Tabela1768[Código]=Tabela3[[#This Row],[PAPEL]]),Tabela1768[Fechamento])</f>
        <v>0</v>
      </c>
    </row>
    <row r="200" spans="1:43" hidden="1" x14ac:dyDescent="0.2">
      <c r="A200" s="4" t="s">
        <v>14</v>
      </c>
      <c r="B200" s="57" t="s">
        <v>16</v>
      </c>
      <c r="C200" s="15" t="str">
        <f>LEFT(Tabela3[PAPEL],LEN(Tabela3[PAPEL])-(LEN(Tabela3[PAPEL])-4))</f>
        <v>ITSA</v>
      </c>
      <c r="D200" s="15">
        <v>3</v>
      </c>
      <c r="E200" s="5">
        <v>22000000010</v>
      </c>
      <c r="F200" s="8">
        <f>3279287212+85153346</f>
        <v>3364440558</v>
      </c>
      <c r="G200" s="88">
        <v>0.25</v>
      </c>
      <c r="H200" s="15"/>
      <c r="I200" s="19">
        <v>2.5000000000000001E-3</v>
      </c>
      <c r="J200" s="19"/>
      <c r="K200" s="90"/>
      <c r="L200" s="90"/>
      <c r="M200" s="6">
        <v>32199000000</v>
      </c>
      <c r="N200" s="5">
        <v>3922000000</v>
      </c>
      <c r="O200" s="5">
        <f>Tabela3[[#This Row],[Capital Social]]*20%</f>
        <v>4400000002</v>
      </c>
      <c r="P200" s="5">
        <f>IF((Tabela3[Lucro Líquido]*5%)&gt;Tabela3[Teto R. Legal],Tabela3[Teto R. Legal],Tabela3[Lucro Líquido]*5%)</f>
        <v>196100000</v>
      </c>
      <c r="Q200" s="5">
        <f>IF(Tabela3[Lucro Líquido]&lt;0,0,Tabela3[Lucro Líquido]-Tabela3[Reserva Legal])</f>
        <v>3725900000</v>
      </c>
      <c r="R200" s="5">
        <f>Tabela3[[#This Row],[Lucro Distribuir]]*Tabela3[%Div]</f>
        <v>931475000</v>
      </c>
      <c r="S200" s="21">
        <f>SUMPRODUCT(N(Tabela3[Nome]=Tabela3[[#This Row],[Nome]]),Tabela3[Ações])</f>
        <v>5470667261</v>
      </c>
      <c r="T200" s="5">
        <f>Tabela3[Capital Social]/Tabela3[Total Ações]</f>
        <v>4.0214472861174437</v>
      </c>
      <c r="U200" s="80">
        <f>Tabela3[[#This Row],[Lucro Líquido]]/Tabela3[[#This Row],[Total Ações]]</f>
        <v>0.71691437495379418</v>
      </c>
      <c r="V20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0.17026716405152612</v>
      </c>
      <c r="W200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1.005361821529361E-2</v>
      </c>
      <c r="Y200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0.17026716405152612</v>
      </c>
      <c r="Z200" s="5">
        <f>Tabela3[Div Base]*Tabela3[Ações]</f>
        <v>572853752.43059409</v>
      </c>
      <c r="AA200" s="5">
        <f>SUMPRODUCT(N(Tabela3[Nome]=Tabela3[[#This Row],[Nome]]),Tabela3[Div Base]*Tabela3[Ações])</f>
        <v>931475000</v>
      </c>
      <c r="AB200" s="6">
        <f>Tabela3[Patrimônio Líquido]/Tabela3[Total Ações]</f>
        <v>5.8857536866744562</v>
      </c>
      <c r="AC200" s="48">
        <f>MAX(Tabela3[[#This Row],[Cotação 1]:[Cotação 4]])</f>
        <v>8.65</v>
      </c>
      <c r="AD200" s="44">
        <f>Tabela3[Cotação]/Tabela3[VPA]</f>
        <v>1.4696503558386906</v>
      </c>
      <c r="AE200" s="40">
        <f>IF(Tabela3[[#This Row],[Lucro/Ação]]&gt;0,Tabela3[[#This Row],[Cotação]]/(Tabela3[[#This Row],[Lucro/Ação]]/Tabela3[Ref]*4),0)</f>
        <v>9.0491978214527027</v>
      </c>
      <c r="AF200" s="40" t="e">
        <f>IF(Tabela3[Div. Mínimo]=0,0,Tabela3[Lucro Distribuir]*#REF!/Tabela3[Total Ações])</f>
        <v>#REF!</v>
      </c>
      <c r="AG200" s="80">
        <f>Tabela3[Lucro Distribuir]/Tabela3[Total Ações]</f>
        <v>0.68106865620610446</v>
      </c>
      <c r="AH20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0.17026716405152612</v>
      </c>
      <c r="AI200" s="15" t="str">
        <f>IF(AND(Tabela3[% A.A.]&gt;=7%,SUMPRODUCT(N(Tabela3[Nome]=Tabela3[[#This Row],[Nome]]),Tabela3[PL])&gt;0),"Sim","Não")</f>
        <v>Não</v>
      </c>
      <c r="AJ200" s="42">
        <f>IF(Tabela3[Cotação]&gt;0,Tabela3[[#This Row],[Lucro]]/Tabela3[[#This Row],[Cotação]],0)</f>
        <v>1.9684065208268913E-2</v>
      </c>
      <c r="AK200" s="19">
        <f>((1+Tabela3[[#This Row],[% Yield]])^(1/(3*Tabela3[[#This Row],[Ref]])))^(12)-1</f>
        <v>2.6331149461521042E-2</v>
      </c>
      <c r="AL200" s="14">
        <f>IF(Tabela3[Cotação]&gt;0,($AS$1/Tabela3[[#This Row],[Cotação]]-MOD($AS$1/Tabela3[[#This Row],[Cotação]],100)),)</f>
        <v>100</v>
      </c>
      <c r="AM200" s="17">
        <f>Tabela3[[#This Row],[Ativos]]*Tabela3[Lucro]</f>
        <v>17.026716405152612</v>
      </c>
      <c r="AN200" s="5">
        <f>SUMPRODUCT(N(Tabela1[Código]=Tabela3[[#This Row],[PAPEL]]),Tabela1[Fechamento])</f>
        <v>8.65</v>
      </c>
      <c r="AO200" s="5">
        <f>SUMPRODUCT(N(Tabela17[Código]=Tabela3[[#This Row],[PAPEL]]),Tabela17[Fechamento])</f>
        <v>0</v>
      </c>
      <c r="AP200" s="7">
        <f>SUMPRODUCT(N(Tabela176[Código]=Tabela3[[#This Row],[PAPEL]]),Tabela176[Fechamento])</f>
        <v>0</v>
      </c>
      <c r="AQ200" s="7">
        <f>SUMPRODUCT(N(Tabela1768[Código]=Tabela3[[#This Row],[PAPEL]]),Tabela1768[Fechamento])</f>
        <v>0</v>
      </c>
    </row>
    <row r="201" spans="1:43" hidden="1" x14ac:dyDescent="0.2">
      <c r="A201" s="4" t="s">
        <v>14</v>
      </c>
      <c r="B201" s="60" t="s">
        <v>234</v>
      </c>
      <c r="C201" s="14" t="str">
        <f>LEFT(Tabela3[PAPEL],LEN(Tabela3[PAPEL])-(LEN(Tabela3[PAPEL])-4))</f>
        <v>ITUB</v>
      </c>
      <c r="D201" s="15">
        <v>3</v>
      </c>
      <c r="E201" s="6">
        <v>60000000000</v>
      </c>
      <c r="F201" s="8">
        <v>2518215040</v>
      </c>
      <c r="G201" s="83">
        <v>0.25</v>
      </c>
      <c r="H201" s="15"/>
      <c r="I201" s="19"/>
      <c r="J201" s="19"/>
      <c r="K201" s="90"/>
      <c r="L201" s="90"/>
      <c r="M201" s="6">
        <v>80340000000</v>
      </c>
      <c r="N201" s="6">
        <v>11516000000</v>
      </c>
      <c r="O201" s="6">
        <f>Tabela3[[#This Row],[Capital Social]]*20%</f>
        <v>12000000000</v>
      </c>
      <c r="P201" s="6">
        <f>IF((Tabela3[Lucro Líquido]*5%)&gt;Tabela3[Teto R. Legal],Tabela3[Teto R. Legal],Tabela3[Lucro Líquido]*5%)</f>
        <v>575800000</v>
      </c>
      <c r="Q201" s="6">
        <f>IF(Tabela3[Lucro Líquido]&lt;0,0,Tabela3[Lucro Líquido]-Tabela3[Reserva Legal])</f>
        <v>10940200000</v>
      </c>
      <c r="R201" s="6">
        <f>Tabela3[[#This Row],[Lucro Distribuir]]*Tabela3[%Div]</f>
        <v>2735050000</v>
      </c>
      <c r="S201" s="21">
        <f>SUMPRODUCT(N(Tabela3[Nome]=Tabela3[[#This Row],[Nome]]),Tabela3[Ações])</f>
        <v>5028029710</v>
      </c>
      <c r="T201" s="6">
        <f>Tabela3[Capital Social]/Tabela3[Total Ações]</f>
        <v>11.933103712706583</v>
      </c>
      <c r="U201" s="80">
        <f>Tabela3[[#This Row],[Lucro Líquido]]/Tabela3[[#This Row],[Total Ações]]</f>
        <v>2.2903603725921502</v>
      </c>
      <c r="V20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0.54396058849063567</v>
      </c>
      <c r="W20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0.8482406748171718</v>
      </c>
      <c r="Y20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0.54396058849063567</v>
      </c>
      <c r="Z201" s="6">
        <f>Tabela3[Div Base]*Tabela3[Ações]</f>
        <v>1369809735.1043696</v>
      </c>
      <c r="AA201" s="6">
        <f>SUMPRODUCT(N(Tabela3[Nome]=Tabela3[[#This Row],[Nome]]),Tabela3[Div Base]*Tabela3[Ações])</f>
        <v>2735050000</v>
      </c>
      <c r="AB201" s="6">
        <f>Tabela3[Patrimônio Líquido]/Tabela3[Total Ações]</f>
        <v>15.978425871314114</v>
      </c>
      <c r="AC201" s="48">
        <f>MAX(Tabela3[[#This Row],[Cotação 1]:[Cotação 4]])</f>
        <v>28.93</v>
      </c>
      <c r="AD201" s="44">
        <f>Tabela3[Cotação]/Tabela3[VPA]</f>
        <v>1.8105663369467264</v>
      </c>
      <c r="AE201" s="40">
        <f>IF(Tabela3[[#This Row],[Lucro/Ação]]&gt;0,Tabela3[[#This Row],[Cotação]]/(Tabela3[[#This Row],[Lucro/Ação]]/Tabela3[Ref]*4),0)</f>
        <v>9.4734000202088389</v>
      </c>
      <c r="AF201" s="40" t="e">
        <f>IF(Tabela3[Div. Mínimo]=0,0,Tabela3[Lucro Distribuir]*#REF!/Tabela3[Total Ações])</f>
        <v>#REF!</v>
      </c>
      <c r="AG201" s="80">
        <f>Tabela3[Lucro Distribuir]/Tabela3[Total Ações]</f>
        <v>2.1758423539625427</v>
      </c>
      <c r="AH20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0.54396058849063567</v>
      </c>
      <c r="AI201" s="15" t="str">
        <f>IF(AND(Tabela3[% A.A.]&gt;=7%,SUMPRODUCT(N(Tabela3[Nome]=Tabela3[[#This Row],[Nome]]),Tabela3[PL])&gt;0),"Sim","Não")</f>
        <v>Não</v>
      </c>
      <c r="AJ201" s="42">
        <f>IF(Tabela3[Cotação]&gt;0,Tabela3[[#This Row],[Lucro]]/Tabela3[[#This Row],[Cotação]],0)</f>
        <v>1.8802647372645549E-2</v>
      </c>
      <c r="AK201" s="19">
        <f>((1+Tabela3[[#This Row],[% Yield]])^(1/(3*Tabela3[[#This Row],[Ref]])))^(12)-1</f>
        <v>2.5148435116637113E-2</v>
      </c>
      <c r="AL201" s="14">
        <f>IF(Tabela3[Cotação]&gt;0,($AS$1/Tabela3[[#This Row],[Cotação]]-MOD($AS$1/Tabela3[[#This Row],[Cotação]],100)),)</f>
        <v>0</v>
      </c>
      <c r="AM201" s="17">
        <f>Tabela3[[#This Row],[Ativos]]*Tabela3[Lucro]</f>
        <v>0</v>
      </c>
      <c r="AN201" s="5">
        <f>SUMPRODUCT(N(Tabela1[Código]=Tabela3[[#This Row],[PAPEL]]),Tabela1[Fechamento])</f>
        <v>28.93</v>
      </c>
      <c r="AO201" s="5">
        <f>SUMPRODUCT(N(Tabela17[Código]=Tabela3[[#This Row],[PAPEL]]),Tabela17[Fechamento])</f>
        <v>0</v>
      </c>
      <c r="AP201" s="7">
        <f>SUMPRODUCT(N(Tabela176[Código]=Tabela3[[#This Row],[PAPEL]]),Tabela176[Fechamento])</f>
        <v>0</v>
      </c>
      <c r="AQ201" s="7">
        <f>SUMPRODUCT(N(Tabela1768[Código]=Tabela3[[#This Row],[PAPEL]]),Tabela1768[Fechamento])</f>
        <v>0</v>
      </c>
    </row>
    <row r="202" spans="1:43" hidden="1" x14ac:dyDescent="0.2">
      <c r="A202" s="4" t="s">
        <v>14</v>
      </c>
      <c r="B202" s="60" t="s">
        <v>80</v>
      </c>
      <c r="C202" s="14" t="str">
        <f>LEFT(Tabela3[PAPEL],LEN(Tabela3[PAPEL])-(LEN(Tabela3[PAPEL])-4))</f>
        <v>ITUB</v>
      </c>
      <c r="D202" s="15">
        <v>3</v>
      </c>
      <c r="E202" s="6">
        <v>60000000000</v>
      </c>
      <c r="F202" s="8">
        <v>2509814670</v>
      </c>
      <c r="G202" s="88">
        <v>0.25</v>
      </c>
      <c r="H202" s="15"/>
      <c r="I202" s="19">
        <v>0.02</v>
      </c>
      <c r="J202" s="19"/>
      <c r="K202" s="90"/>
      <c r="L202" s="90"/>
      <c r="M202" s="6">
        <v>80340000000</v>
      </c>
      <c r="N202" s="6">
        <v>11516000000</v>
      </c>
      <c r="O202" s="6">
        <f>Tabela3[[#This Row],[Capital Social]]*20%</f>
        <v>12000000000</v>
      </c>
      <c r="P202" s="6">
        <f>IF((Tabela3[Lucro Líquido]*5%)&gt;Tabela3[Teto R. Legal],Tabela3[Teto R. Legal],Tabela3[Lucro Líquido]*5%)</f>
        <v>575800000</v>
      </c>
      <c r="Q202" s="6">
        <f>IF(Tabela3[Lucro Líquido]&lt;0,0,Tabela3[Lucro Líquido]-Tabela3[Reserva Legal])</f>
        <v>10940200000</v>
      </c>
      <c r="R202" s="6">
        <f>Tabela3[[#This Row],[Lucro Distribuir]]*Tabela3[%Div]</f>
        <v>2735050000</v>
      </c>
      <c r="S202" s="21">
        <f>SUMPRODUCT(N(Tabela3[Nome]=Tabela3[[#This Row],[Nome]]),Tabela3[Ações])</f>
        <v>5028029710</v>
      </c>
      <c r="T202" s="6">
        <f>Tabela3[Capital Social]/Tabela3[Total Ações]</f>
        <v>11.933103712706583</v>
      </c>
      <c r="U202" s="80">
        <f>Tabela3[[#This Row],[Lucro Líquido]]/Tabela3[[#This Row],[Total Ações]]</f>
        <v>2.2903603725921502</v>
      </c>
      <c r="V20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0.54396058849063567</v>
      </c>
      <c r="W20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0.23866207425413163</v>
      </c>
      <c r="Y20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0.54396058849063567</v>
      </c>
      <c r="Z202" s="6">
        <f>Tabela3[Div Base]*Tabela3[Ações]</f>
        <v>1365240264.8956306</v>
      </c>
      <c r="AA202" s="6">
        <f>SUMPRODUCT(N(Tabela3[Nome]=Tabela3[[#This Row],[Nome]]),Tabela3[Div Base]*Tabela3[Ações])</f>
        <v>2735050000</v>
      </c>
      <c r="AB202" s="6">
        <f>Tabela3[Patrimônio Líquido]/Tabela3[Total Ações]</f>
        <v>15.978425871314114</v>
      </c>
      <c r="AC202" s="48">
        <f>MAX(Tabela3[[#This Row],[Cotação 1]:[Cotação 4]])</f>
        <v>31.58</v>
      </c>
      <c r="AD202" s="44">
        <f>Tabela3[Cotação]/Tabela3[VPA]</f>
        <v>1.9764149644236992</v>
      </c>
      <c r="AE202" s="40">
        <f>IF(Tabela3[[#This Row],[Lucro/Ação]]&gt;0,Tabela3[[#This Row],[Cotação]]/(Tabela3[[#This Row],[Lucro/Ação]]/Tabela3[Ref]*4),0)</f>
        <v>10.341167391572593</v>
      </c>
      <c r="AF202" s="40" t="e">
        <f>IF(Tabela3[Div. Mínimo]=0,0,Tabela3[Lucro Distribuir]*#REF!/Tabela3[Total Ações])</f>
        <v>#REF!</v>
      </c>
      <c r="AG202" s="80">
        <f>Tabela3[Lucro Distribuir]/Tabela3[Total Ações]</f>
        <v>2.1758423539625427</v>
      </c>
      <c r="AH20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0.54396058849063567</v>
      </c>
      <c r="AI202" s="15" t="str">
        <f>IF(AND(Tabela3[% A.A.]&gt;=7%,SUMPRODUCT(N(Tabela3[Nome]=Tabela3[[#This Row],[Nome]]),Tabela3[PL])&gt;0),"Sim","Não")</f>
        <v>Não</v>
      </c>
      <c r="AJ202" s="42">
        <f>IF(Tabela3[Cotação]&gt;0,Tabela3[[#This Row],[Lucro]]/Tabela3[[#This Row],[Cotação]],0)</f>
        <v>1.722484447405433E-2</v>
      </c>
      <c r="AK202" s="19">
        <f>((1+Tabela3[[#This Row],[% Yield]])^(1/(3*Tabela3[[#This Row],[Ref]])))^(12)-1</f>
        <v>2.303214100329698E-2</v>
      </c>
      <c r="AL202" s="14">
        <f>IF(Tabela3[Cotação]&gt;0,($AS$1/Tabela3[[#This Row],[Cotação]]-MOD($AS$1/Tabela3[[#This Row],[Cotação]],100)),)</f>
        <v>0</v>
      </c>
      <c r="AM202" s="17">
        <f>Tabela3[[#This Row],[Ativos]]*Tabela3[Lucro]</f>
        <v>0</v>
      </c>
      <c r="AN202" s="5">
        <f>SUMPRODUCT(N(Tabela1[Código]=Tabela3[[#This Row],[PAPEL]]),Tabela1[Fechamento])</f>
        <v>31.58</v>
      </c>
      <c r="AO202" s="5">
        <f>SUMPRODUCT(N(Tabela17[Código]=Tabela3[[#This Row],[PAPEL]]),Tabela17[Fechamento])</f>
        <v>0</v>
      </c>
      <c r="AP202" s="7">
        <f>SUMPRODUCT(N(Tabela176[Código]=Tabela3[[#This Row],[PAPEL]]),Tabela176[Fechamento])</f>
        <v>0</v>
      </c>
      <c r="AQ202" s="7">
        <f>SUMPRODUCT(N(Tabela1768[Código]=Tabela3[[#This Row],[PAPEL]]),Tabela1768[Fechamento])</f>
        <v>0</v>
      </c>
    </row>
    <row r="203" spans="1:43" hidden="1" x14ac:dyDescent="0.2">
      <c r="A203" s="4" t="s">
        <v>303</v>
      </c>
      <c r="B203" s="57" t="s">
        <v>742</v>
      </c>
      <c r="C203" s="15" t="str">
        <f>LEFT(Tabela3[PAPEL],LEN(Tabela3[PAPEL])-(LEN(Tabela3[PAPEL])-4))</f>
        <v>JBDU</v>
      </c>
      <c r="D203" s="15">
        <v>3</v>
      </c>
      <c r="E203" s="6">
        <v>96610827.730000004</v>
      </c>
      <c r="F203" s="8">
        <v>92915020</v>
      </c>
      <c r="G203" s="88">
        <v>0.25</v>
      </c>
      <c r="H203" s="15"/>
      <c r="I203" s="19"/>
      <c r="J203" s="19"/>
      <c r="K203" s="90"/>
      <c r="L203" s="90"/>
      <c r="M203" s="96">
        <v>50580000</v>
      </c>
      <c r="N203" s="97">
        <v>9934000</v>
      </c>
      <c r="O203" s="13">
        <f>Tabela3[[#This Row],[Capital Social]]*20%</f>
        <v>19322165.546</v>
      </c>
      <c r="P203" s="13">
        <f>IF((Tabela3[Lucro Líquido]*5%)&gt;Tabela3[Teto R. Legal],Tabela3[Teto R. Legal],Tabela3[Lucro Líquido]*5%)</f>
        <v>496700</v>
      </c>
      <c r="Q203" s="13">
        <f>IF(Tabela3[Lucro Líquido]&lt;0,0,Tabela3[Lucro Líquido]-Tabela3[Reserva Legal])</f>
        <v>9437300</v>
      </c>
      <c r="R203" s="13">
        <f>Tabela3[[#This Row],[Lucro Distribuir]]*Tabela3[%Div]</f>
        <v>2359325</v>
      </c>
      <c r="S203" s="21">
        <f>SUMPRODUCT(N(Tabela3[Nome]=Tabela3[[#This Row],[Nome]]),Tabela3[Ações])</f>
        <v>278738500</v>
      </c>
      <c r="T203" s="6">
        <f>Tabela3[Capital Social]/Tabela3[Total Ações]</f>
        <v>0.34660022827847609</v>
      </c>
      <c r="U203" s="80">
        <f>Tabela3[[#This Row],[Lucro Líquido]]/Tabela3[[#This Row],[Total Ações]]</f>
        <v>3.5639138475668054E-2</v>
      </c>
      <c r="V20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8.4642953879711623E-3</v>
      </c>
      <c r="W20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8.4642953879711623E-3</v>
      </c>
      <c r="Z203" s="13">
        <f>Tabela3[Div Base]*Tabela3[Ações]</f>
        <v>786460.17525924835</v>
      </c>
      <c r="AA203" s="13">
        <f>SUMPRODUCT(N(Tabela3[Nome]=Tabela3[[#This Row],[Nome]]),Tabela3[Div Base]*Tabela3[Ações])</f>
        <v>2359325</v>
      </c>
      <c r="AB203" s="95">
        <f>Tabela3[Patrimônio Líquido]/Tabela3[Total Ações]</f>
        <v>0.18146040105690459</v>
      </c>
      <c r="AC203" s="48">
        <f>MAX(Tabela3[[#This Row],[Cotação 1]:[Cotação 4]])</f>
        <v>0.27</v>
      </c>
      <c r="AD203" s="44">
        <f>Tabela3[Cotação]/Tabela3[VPA]</f>
        <v>1.4879279359430606</v>
      </c>
      <c r="AE203" s="40">
        <f>IF(Tabela3[[#This Row],[Lucro/Ação]]&gt;0,Tabela3[[#This Row],[Cotação]]/(Tabela3[[#This Row],[Lucro/Ação]]/Tabela3[Ref]*4),0)</f>
        <v>5.6819555315079535</v>
      </c>
      <c r="AF203" s="91" t="e">
        <f>IF(Tabela3[Div. Mínimo]=0,0,Tabela3[Lucro Distribuir]*#REF!/Tabela3[Total Ações])</f>
        <v>#REF!</v>
      </c>
      <c r="AG203" s="80">
        <f>Tabela3[Lucro Distribuir]/Tabela3[Total Ações]</f>
        <v>3.3857181551884649E-2</v>
      </c>
      <c r="AH20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8.4642953879711623E-3</v>
      </c>
      <c r="AI203" s="14" t="str">
        <f>IF(AND(Tabela3[% A.A.]&gt;=7%,SUMPRODUCT(N(Tabela3[Nome]=Tabela3[[#This Row],[Nome]]),Tabela3[PL])&gt;0),"Sim","Não")</f>
        <v>Não</v>
      </c>
      <c r="AJ203" s="42">
        <f>IF(Tabela3[Cotação]&gt;0,Tabela3[[#This Row],[Lucro]]/Tabela3[[#This Row],[Cotação]],0)</f>
        <v>3.1349242177670968E-2</v>
      </c>
      <c r="AK203" s="42">
        <f>((1+Tabela3[[#This Row],[% Yield]])^(1/(3*Tabela3[[#This Row],[Ref]])))^(12)-1</f>
        <v>4.2015882114220471E-2</v>
      </c>
      <c r="AL203" s="14">
        <f>IF(Tabela3[Cotação]&gt;0,($AS$1/Tabela3[[#This Row],[Cotação]]-MOD($AS$1/Tabela3[[#This Row],[Cotação]],100)),)</f>
        <v>3700</v>
      </c>
      <c r="AM203" s="17">
        <f>Tabela3[[#This Row],[Ativos]]*Tabela3[Lucro]</f>
        <v>31.317892935493301</v>
      </c>
      <c r="AN203" s="17">
        <f>SUMPRODUCT(N(Tabela1[Código]=Tabela3[[#This Row],[PAPEL]]),Tabela1[Fechamento])</f>
        <v>0</v>
      </c>
      <c r="AO203" s="17">
        <f>SUMPRODUCT(N(Tabela17[Código]=Tabela3[[#This Row],[PAPEL]]),Tabela17[Fechamento])</f>
        <v>0</v>
      </c>
      <c r="AP203" s="17">
        <f>SUMPRODUCT(N(Tabela176[Código]=Tabela3[[#This Row],[PAPEL]]),Tabela176[Fechamento])</f>
        <v>0.27</v>
      </c>
      <c r="AQ203" s="17">
        <f>SUMPRODUCT(N(Tabela1768[Código]=Tabela3[[#This Row],[PAPEL]]),Tabela1768[Fechamento])</f>
        <v>0</v>
      </c>
    </row>
    <row r="204" spans="1:43" hidden="1" x14ac:dyDescent="0.2">
      <c r="A204" s="4" t="s">
        <v>303</v>
      </c>
      <c r="B204" s="57" t="s">
        <v>743</v>
      </c>
      <c r="C204" s="15" t="str">
        <f>LEFT(Tabela3[PAPEL],LEN(Tabela3[PAPEL])-(LEN(Tabela3[PAPEL])-4))</f>
        <v>JBDU</v>
      </c>
      <c r="D204" s="15">
        <v>3</v>
      </c>
      <c r="E204" s="6">
        <v>96610827.730000004</v>
      </c>
      <c r="F204" s="8">
        <v>185823480</v>
      </c>
      <c r="G204" s="88">
        <v>0.25</v>
      </c>
      <c r="H204" s="15"/>
      <c r="I204" s="19"/>
      <c r="J204" s="19"/>
      <c r="K204" s="90"/>
      <c r="L204" s="90"/>
      <c r="M204" s="96">
        <v>50580000</v>
      </c>
      <c r="N204" s="97">
        <v>9934000</v>
      </c>
      <c r="O204" s="13">
        <f>Tabela3[[#This Row],[Capital Social]]*20%</f>
        <v>19322165.546</v>
      </c>
      <c r="P204" s="13">
        <f>IF((Tabela3[Lucro Líquido]*5%)&gt;Tabela3[Teto R. Legal],Tabela3[Teto R. Legal],Tabela3[Lucro Líquido]*5%)</f>
        <v>496700</v>
      </c>
      <c r="Q204" s="13">
        <f>IF(Tabela3[Lucro Líquido]&lt;0,0,Tabela3[Lucro Líquido]-Tabela3[Reserva Legal])</f>
        <v>9437300</v>
      </c>
      <c r="R204" s="13">
        <f>Tabela3[[#This Row],[Lucro Distribuir]]*Tabela3[%Div]</f>
        <v>2359325</v>
      </c>
      <c r="S204" s="21">
        <f>SUMPRODUCT(N(Tabela3[Nome]=Tabela3[[#This Row],[Nome]]),Tabela3[Ações])</f>
        <v>278738500</v>
      </c>
      <c r="T204" s="6">
        <f>Tabela3[Capital Social]/Tabela3[Total Ações]</f>
        <v>0.34660022827847609</v>
      </c>
      <c r="U204" s="80">
        <f>Tabela3[[#This Row],[Lucro Líquido]]/Tabela3[[#This Row],[Total Ações]]</f>
        <v>3.5639138475668054E-2</v>
      </c>
      <c r="V20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8.4642953879711623E-3</v>
      </c>
      <c r="W20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8.4642953879711623E-3</v>
      </c>
      <c r="Z204" s="13">
        <f>Tabela3[Div Base]*Tabela3[Ações]</f>
        <v>1572864.8247407514</v>
      </c>
      <c r="AA204" s="13">
        <f>SUMPRODUCT(N(Tabela3[Nome]=Tabela3[[#This Row],[Nome]]),Tabela3[Div Base]*Tabela3[Ações])</f>
        <v>2359325</v>
      </c>
      <c r="AB204" s="95">
        <f>Tabela3[Patrimônio Líquido]/Tabela3[Total Ações]</f>
        <v>0.18146040105690459</v>
      </c>
      <c r="AC204" s="48">
        <f>MAX(Tabela3[[#This Row],[Cotação 1]:[Cotação 4]])</f>
        <v>0.21</v>
      </c>
      <c r="AD204" s="44">
        <f>Tabela3[Cotação]/Tabela3[VPA]</f>
        <v>1.1572772835112692</v>
      </c>
      <c r="AE204" s="40">
        <f>IF(Tabela3[[#This Row],[Lucro/Ação]]&gt;0,Tabela3[[#This Row],[Cotação]]/(Tabela3[[#This Row],[Lucro/Ação]]/Tabela3[Ref]*4),0)</f>
        <v>4.4192987467284075</v>
      </c>
      <c r="AF204" s="91" t="e">
        <f>IF(Tabela3[Div. Mínimo]=0,0,Tabela3[Lucro Distribuir]*#REF!/Tabela3[Total Ações])</f>
        <v>#REF!</v>
      </c>
      <c r="AG204" s="80">
        <f>Tabela3[Lucro Distribuir]/Tabela3[Total Ações]</f>
        <v>3.3857181551884649E-2</v>
      </c>
      <c r="AH20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8.4642953879711623E-3</v>
      </c>
      <c r="AI204" s="14" t="str">
        <f>IF(AND(Tabela3[% A.A.]&gt;=7%,SUMPRODUCT(N(Tabela3[Nome]=Tabela3[[#This Row],[Nome]]),Tabela3[PL])&gt;0),"Sim","Não")</f>
        <v>Não</v>
      </c>
      <c r="AJ204" s="42">
        <f>IF(Tabela3[Cotação]&gt;0,Tabela3[[#This Row],[Lucro]]/Tabela3[[#This Row],[Cotação]],0)</f>
        <v>4.0306168514148394E-2</v>
      </c>
      <c r="AK204" s="42">
        <f>((1+Tabela3[[#This Row],[% Yield]])^(1/(3*Tabela3[[#This Row],[Ref]])))^(12)-1</f>
        <v>5.4099396943988687E-2</v>
      </c>
      <c r="AL204" s="14">
        <f>IF(Tabela3[Cotação]&gt;0,($AS$1/Tabela3[[#This Row],[Cotação]]-MOD($AS$1/Tabela3[[#This Row],[Cotação]],100)),)</f>
        <v>4700</v>
      </c>
      <c r="AM204" s="17">
        <f>Tabela3[[#This Row],[Ativos]]*Tabela3[Lucro]</f>
        <v>39.78218832346446</v>
      </c>
      <c r="AN204" s="17">
        <f>SUMPRODUCT(N(Tabela1[Código]=Tabela3[[#This Row],[PAPEL]]),Tabela1[Fechamento])</f>
        <v>0</v>
      </c>
      <c r="AO204" s="17">
        <f>SUMPRODUCT(N(Tabela17[Código]=Tabela3[[#This Row],[PAPEL]]),Tabela17[Fechamento])</f>
        <v>0</v>
      </c>
      <c r="AP204" s="17">
        <f>SUMPRODUCT(N(Tabela176[Código]=Tabela3[[#This Row],[PAPEL]]),Tabela176[Fechamento])</f>
        <v>0.21</v>
      </c>
      <c r="AQ204" s="17">
        <f>SUMPRODUCT(N(Tabela1768[Código]=Tabela3[[#This Row],[PAPEL]]),Tabela1768[Fechamento])</f>
        <v>0</v>
      </c>
    </row>
    <row r="205" spans="1:43" hidden="1" x14ac:dyDescent="0.2">
      <c r="A205" s="3" t="s">
        <v>284</v>
      </c>
      <c r="B205" s="58" t="s">
        <v>286</v>
      </c>
      <c r="C205" s="85" t="str">
        <f>LEFT(Tabela3[PAPEL],LEN(Tabela3[PAPEL])-(LEN(Tabela3[PAPEL])-4))</f>
        <v>JBSS</v>
      </c>
      <c r="D205" s="16">
        <v>3</v>
      </c>
      <c r="E205" s="5">
        <v>21561112078.68</v>
      </c>
      <c r="F205" s="21">
        <v>2943644008</v>
      </c>
      <c r="G205" s="83">
        <v>0.25</v>
      </c>
      <c r="H205" s="16"/>
      <c r="I205" s="18"/>
      <c r="K205" s="89"/>
      <c r="L205" s="89"/>
      <c r="M205" s="5">
        <v>21913989000</v>
      </c>
      <c r="N205" s="5">
        <v>786184000</v>
      </c>
      <c r="O205" s="5">
        <f>Tabela3[[#This Row],[Capital Social]]*20%</f>
        <v>4312222415.7360001</v>
      </c>
      <c r="P205" s="5">
        <f>IF((Tabela3[Lucro Líquido]*5%)&gt;Tabela3[Teto R. Legal],Tabela3[Teto R. Legal],Tabela3[Lucro Líquido]*5%)</f>
        <v>39309200</v>
      </c>
      <c r="Q205" s="5">
        <f>IF(Tabela3[Lucro Líquido]&lt;0,0,Tabela3[Lucro Líquido]-Tabela3[Reserva Legal])</f>
        <v>746874800</v>
      </c>
      <c r="R205" s="5">
        <f>Tabela3[[#This Row],[Lucro Distribuir]]*Tabela3[%Div]</f>
        <v>186718700</v>
      </c>
      <c r="S205" s="56">
        <f>SUMPRODUCT(N(Tabela3[Nome]=Tabela3[[#This Row],[Nome]]),Tabela3[Ações])</f>
        <v>2943644008</v>
      </c>
      <c r="T205" s="5">
        <f>Tabela3[Capital Social]/Tabela3[Total Ações]</f>
        <v>7.3246330127158501</v>
      </c>
      <c r="U205" s="79">
        <f>Tabela3[[#This Row],[Lucro Líquido]]/Tabela3[[#This Row],[Total Ações]]</f>
        <v>0.26707849110265103</v>
      </c>
      <c r="V20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6.3431141636879615E-2</v>
      </c>
      <c r="W20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6.3431141636879615E-2</v>
      </c>
      <c r="Z205" s="5">
        <f>Tabela3[Div Base]*Tabela3[Ações]</f>
        <v>186718700</v>
      </c>
      <c r="AA205" s="5">
        <f>SUMPRODUCT(N(Tabela3[Nome]=Tabela3[[#This Row],[Nome]]),Tabela3[Div Base]*Tabela3[Ações])</f>
        <v>186718700</v>
      </c>
      <c r="AB205" s="5">
        <f>Tabela3[Patrimônio Líquido]/Tabela3[Total Ações]</f>
        <v>7.4445105931437077</v>
      </c>
      <c r="AC205" s="52">
        <f>MAX(Tabela3[[#This Row],[Cotação 1]:[Cotação 4]])</f>
        <v>7.88</v>
      </c>
      <c r="AD205" s="53">
        <f>Tabela3[Cotação]/Tabela3[VPA]</f>
        <v>1.0584980572473592</v>
      </c>
      <c r="AE205" s="37">
        <f>IF(Tabela3[[#This Row],[Lucro/Ação]]&gt;0,Tabela3[[#This Row],[Cotação]]/(Tabela3[[#This Row],[Lucro/Ação]]/Tabela3[Ref]*4),0)</f>
        <v>22.128326304376582</v>
      </c>
      <c r="AF205" s="37" t="e">
        <f>IF(Tabela3[Div. Mínimo]=0,0,Tabela3[Lucro Distribuir]*#REF!/Tabela3[Total Ações])</f>
        <v>#REF!</v>
      </c>
      <c r="AG205" s="79">
        <f>Tabela3[Lucro Distribuir]/Tabela3[Total Ações]</f>
        <v>0.25372456654751846</v>
      </c>
      <c r="AH20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6.3431141636879615E-2</v>
      </c>
      <c r="AI205" s="16" t="str">
        <f>IF(AND(Tabela3[% A.A.]&gt;=7%,SUMPRODUCT(N(Tabela3[Nome]=Tabela3[[#This Row],[Nome]]),Tabela3[PL])&gt;0),"Sim","Não")</f>
        <v>Não</v>
      </c>
      <c r="AJ205" s="22">
        <f>IF(Tabela3[Cotação]&gt;0,Tabela3[[#This Row],[Lucro]]/Tabela3[[#This Row],[Cotação]],0)</f>
        <v>8.0496372635634039E-3</v>
      </c>
      <c r="AK205" s="18">
        <f>((1+Tabela3[[#This Row],[% Yield]])^(1/(3*Tabela3[[#This Row],[Ref]])))^(12)-1</f>
        <v>1.074722327105615E-2</v>
      </c>
      <c r="AL205" s="10">
        <f>IF(Tabela3[Cotação]&gt;0,($AS$1/Tabela3[[#This Row],[Cotação]]-MOD($AS$1/Tabela3[[#This Row],[Cotação]],100)),)</f>
        <v>100</v>
      </c>
      <c r="AM205" s="7">
        <f>Tabela3[[#This Row],[Ativos]]*Tabela3[Lucro]</f>
        <v>6.3431141636879618</v>
      </c>
      <c r="AN205" s="47">
        <f>SUMPRODUCT(N(Tabela1[Código]=Tabela3[[#This Row],[PAPEL]]),Tabela1[Fechamento])</f>
        <v>0</v>
      </c>
      <c r="AO205" s="54">
        <f>SUMPRODUCT(N(Tabela17[Código]=Tabela3[[#This Row],[PAPEL]]),Tabela17[Fechamento])</f>
        <v>7.88</v>
      </c>
      <c r="AP205" s="7">
        <f>SUMPRODUCT(N(Tabela176[Código]=Tabela3[[#This Row],[PAPEL]]),Tabela176[Fechamento])</f>
        <v>0</v>
      </c>
      <c r="AQ205" s="7">
        <f>SUMPRODUCT(N(Tabela1768[Código]=Tabela3[[#This Row],[PAPEL]]),Tabela1768[Fechamento])</f>
        <v>0</v>
      </c>
    </row>
    <row r="206" spans="1:43" hidden="1" x14ac:dyDescent="0.2">
      <c r="A206" s="4" t="s">
        <v>264</v>
      </c>
      <c r="B206" s="60" t="s">
        <v>259</v>
      </c>
      <c r="C206" s="16" t="str">
        <f>LEFT(Tabela3[PAPEL],LEN(Tabela3[PAPEL])-(LEN(Tabela3[PAPEL])-4))</f>
        <v>JOPA</v>
      </c>
      <c r="D206" s="16">
        <v>3</v>
      </c>
      <c r="E206" s="5">
        <v>120000000</v>
      </c>
      <c r="F206" s="56">
        <v>10450993</v>
      </c>
      <c r="G206" s="83">
        <v>0.3</v>
      </c>
      <c r="H206" s="89"/>
      <c r="I206" s="18"/>
      <c r="K206" s="16"/>
      <c r="L206" s="89"/>
      <c r="M206" s="94">
        <v>359366000</v>
      </c>
      <c r="N206" s="73">
        <v>13211000</v>
      </c>
      <c r="O206" s="7">
        <f>Tabela3[[#This Row],[Capital Social]]*20%</f>
        <v>24000000</v>
      </c>
      <c r="P206" s="47">
        <f>IF((Tabela3[Lucro Líquido]*5%)&gt;Tabela3[Teto R. Legal],Tabela3[Teto R. Legal],Tabela3[Lucro Líquido]*5%)</f>
        <v>660550</v>
      </c>
      <c r="Q206" s="47">
        <f>IF(Tabela3[Lucro Líquido]&lt;0,0,Tabela3[Lucro Líquido]-Tabela3[Reserva Legal])</f>
        <v>12550450</v>
      </c>
      <c r="R206" s="47">
        <f>Tabela3[[#This Row],[Lucro Distribuir]]*Tabela3[%Div]</f>
        <v>3765135</v>
      </c>
      <c r="S206" s="56">
        <f>SUMPRODUCT(N(Tabela3[Nome]=Tabela3[[#This Row],[Nome]]),Tabela3[Ações])</f>
        <v>10582361</v>
      </c>
      <c r="T206" s="87">
        <f>Tabela3[Capital Social]/Tabela3[Total Ações]</f>
        <v>11.339624494004694</v>
      </c>
      <c r="U206" s="87">
        <f>Tabela3[[#This Row],[Lucro Líquido]]/Tabela3[[#This Row],[Total Ações]]</f>
        <v>1.2483981599191334</v>
      </c>
      <c r="V20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0.35579347557695301</v>
      </c>
      <c r="W20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0.35579347557695301</v>
      </c>
      <c r="Z206" s="7">
        <f>Tabela3[Div Base]*Tabela3[Ações]</f>
        <v>3718395.1227004067</v>
      </c>
      <c r="AA206" s="7">
        <f>SUMPRODUCT(N(Tabela3[Nome]=Tabela3[[#This Row],[Nome]]),Tabela3[Div Base]*Tabela3[Ações])</f>
        <v>3765135</v>
      </c>
      <c r="AB206" s="74">
        <f>Tabela3[Patrimônio Líquido]/Tabela3[Total Ações]</f>
        <v>33.958962465937425</v>
      </c>
      <c r="AC206" s="52">
        <f>MAX(Tabela3[[#This Row],[Cotação 1]:[Cotação 4]])</f>
        <v>17.010000000000002</v>
      </c>
      <c r="AD206" s="53">
        <f>Tabela3[Cotação]/Tabela3[VPA]</f>
        <v>0.50089869550820054</v>
      </c>
      <c r="AE206" s="37">
        <f>IF(Tabela3[[#This Row],[Lucro/Ação]]&gt;0,Tabela3[[#This Row],[Cotação]]/(Tabela3[[#This Row],[Lucro/Ação]]/Tabela3[Ref]*4),0)</f>
        <v>10.219095485390962</v>
      </c>
      <c r="AF206" s="59" t="e">
        <f>IF(Tabela3[Div. Mínimo]=0,0,Tabela3[Lucro Distribuir]*#REF!/Tabela3[Total Ações])</f>
        <v>#REF!</v>
      </c>
      <c r="AG206" s="87">
        <f>Tabela3[Lucro Distribuir]/Tabela3[Total Ações]</f>
        <v>1.1859782519231767</v>
      </c>
      <c r="AH20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0.35579347557695301</v>
      </c>
      <c r="AI206" s="10" t="str">
        <f>IF(AND(Tabela3[% A.A.]&gt;=7%,SUMPRODUCT(N(Tabela3[Nome]=Tabela3[[#This Row],[Nome]]),Tabela3[PL])&gt;0),"Sim","Não")</f>
        <v>Não</v>
      </c>
      <c r="AJ206" s="22">
        <f>IF(Tabela3[Cotação]&gt;0,Tabela3[[#This Row],[Lucro]]/Tabela3[[#This Row],[Cotação]],0)</f>
        <v>2.091672401980911E-2</v>
      </c>
      <c r="AK206" s="22">
        <f>((1+Tabela3[[#This Row],[% Yield]])^(1/(3*Tabela3[[#This Row],[Ref]])))^(12)-1</f>
        <v>2.7985741639352968E-2</v>
      </c>
      <c r="AL206" s="10">
        <f>IF(Tabela3[Cotação]&gt;0,($AS$1/Tabela3[[#This Row],[Cotação]]-MOD($AS$1/Tabela3[[#This Row],[Cotação]],100)),)</f>
        <v>0</v>
      </c>
      <c r="AM206" s="7">
        <f>Tabela3[[#This Row],[Ativos]]*Tabela3[Lucro]</f>
        <v>0</v>
      </c>
      <c r="AN206" s="7">
        <f>SUMPRODUCT(N(Tabela1[Código]=Tabela3[[#This Row],[PAPEL]]),Tabela1[Fechamento])</f>
        <v>0</v>
      </c>
      <c r="AO206" s="7">
        <f>SUMPRODUCT(N(Tabela17[Código]=Tabela3[[#This Row],[PAPEL]]),Tabela17[Fechamento])</f>
        <v>17.010000000000002</v>
      </c>
      <c r="AP206" s="7">
        <f>SUMPRODUCT(N(Tabela176[Código]=Tabela3[[#This Row],[PAPEL]]),Tabela176[Fechamento])</f>
        <v>0</v>
      </c>
      <c r="AQ206" s="7">
        <f>SUMPRODUCT(N(Tabela1768[Código]=Tabela3[[#This Row],[PAPEL]]),Tabela1768[Fechamento])</f>
        <v>17.010000000000002</v>
      </c>
    </row>
    <row r="207" spans="1:43" hidden="1" x14ac:dyDescent="0.2">
      <c r="A207" s="4" t="s">
        <v>264</v>
      </c>
      <c r="B207" s="60" t="s">
        <v>260</v>
      </c>
      <c r="C207" s="16" t="str">
        <f>LEFT(Tabela3[PAPEL],LEN(Tabela3[PAPEL])-(LEN(Tabela3[PAPEL])-4))</f>
        <v>JOPA</v>
      </c>
      <c r="D207" s="16">
        <v>3</v>
      </c>
      <c r="E207" s="5">
        <v>120000000</v>
      </c>
      <c r="F207" s="56">
        <v>131368</v>
      </c>
      <c r="G207" s="83">
        <v>0.3</v>
      </c>
      <c r="H207" s="89"/>
      <c r="I207" s="18"/>
      <c r="K207" s="16"/>
      <c r="L207" s="89"/>
      <c r="M207" s="94">
        <v>359366000</v>
      </c>
      <c r="N207" s="73">
        <v>13211000</v>
      </c>
      <c r="O207" s="7">
        <f>Tabela3[[#This Row],[Capital Social]]*20%</f>
        <v>24000000</v>
      </c>
      <c r="P207" s="47">
        <f>IF((Tabela3[Lucro Líquido]*5%)&gt;Tabela3[Teto R. Legal],Tabela3[Teto R. Legal],Tabela3[Lucro Líquido]*5%)</f>
        <v>660550</v>
      </c>
      <c r="Q207" s="47">
        <f>IF(Tabela3[Lucro Líquido]&lt;0,0,Tabela3[Lucro Líquido]-Tabela3[Reserva Legal])</f>
        <v>12550450</v>
      </c>
      <c r="R207" s="47">
        <f>Tabela3[[#This Row],[Lucro Distribuir]]*Tabela3[%Div]</f>
        <v>3765135</v>
      </c>
      <c r="S207" s="56">
        <f>SUMPRODUCT(N(Tabela3[Nome]=Tabela3[[#This Row],[Nome]]),Tabela3[Ações])</f>
        <v>10582361</v>
      </c>
      <c r="T207" s="87">
        <f>Tabela3[Capital Social]/Tabela3[Total Ações]</f>
        <v>11.339624494004694</v>
      </c>
      <c r="U207" s="87">
        <f>Tabela3[[#This Row],[Lucro Líquido]]/Tabela3[[#This Row],[Total Ações]]</f>
        <v>1.2483981599191334</v>
      </c>
      <c r="V20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0.35579347557695301</v>
      </c>
      <c r="W20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0.35579347557695301</v>
      </c>
      <c r="Z207" s="7">
        <f>Tabela3[Div Base]*Tabela3[Ações]</f>
        <v>46739.877299593165</v>
      </c>
      <c r="AA207" s="7">
        <f>SUMPRODUCT(N(Tabela3[Nome]=Tabela3[[#This Row],[Nome]]),Tabela3[Div Base]*Tabela3[Ações])</f>
        <v>3765135</v>
      </c>
      <c r="AB207" s="74">
        <f>Tabela3[Patrimônio Líquido]/Tabela3[Total Ações]</f>
        <v>33.958962465937425</v>
      </c>
      <c r="AC207" s="52">
        <f>MAX(Tabela3[[#This Row],[Cotação 1]:[Cotação 4]])</f>
        <v>19.5</v>
      </c>
      <c r="AD207" s="53">
        <f>Tabela3[Cotação]/Tabela3[VPA]</f>
        <v>0.57422249044149964</v>
      </c>
      <c r="AE207" s="37">
        <f>IF(Tabela3[[#This Row],[Lucro/Ação]]&gt;0,Tabela3[[#This Row],[Cotação]]/(Tabela3[[#This Row],[Lucro/Ação]]/Tabela3[Ref]*4),0)</f>
        <v>11.71501246120657</v>
      </c>
      <c r="AF207" s="59" t="e">
        <f>IF(Tabela3[Div. Mínimo]=0,0,Tabela3[Lucro Distribuir]*#REF!/Tabela3[Total Ações])</f>
        <v>#REF!</v>
      </c>
      <c r="AG207" s="87">
        <f>Tabela3[Lucro Distribuir]/Tabela3[Total Ações]</f>
        <v>1.1859782519231767</v>
      </c>
      <c r="AH20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0.35579347557695301</v>
      </c>
      <c r="AI207" s="10" t="str">
        <f>IF(AND(Tabela3[% A.A.]&gt;=7%,SUMPRODUCT(N(Tabela3[Nome]=Tabela3[[#This Row],[Nome]]),Tabela3[PL])&gt;0),"Sim","Não")</f>
        <v>Não</v>
      </c>
      <c r="AJ207" s="22">
        <f>IF(Tabela3[Cotação]&gt;0,Tabela3[[#This Row],[Lucro]]/Tabela3[[#This Row],[Cotação]],0)</f>
        <v>1.8245819260356566E-2</v>
      </c>
      <c r="AK207" s="22">
        <f>((1+Tabela3[[#This Row],[% Yield]])^(1/(3*Tabela3[[#This Row],[Ref]])))^(12)-1</f>
        <v>2.4401441293428361E-2</v>
      </c>
      <c r="AL207" s="10">
        <f>IF(Tabela3[Cotação]&gt;0,($AS$1/Tabela3[[#This Row],[Cotação]]-MOD($AS$1/Tabela3[[#This Row],[Cotação]],100)),)</f>
        <v>0</v>
      </c>
      <c r="AM207" s="7">
        <f>Tabela3[[#This Row],[Ativos]]*Tabela3[Lucro]</f>
        <v>0</v>
      </c>
      <c r="AN207" s="7">
        <f>SUMPRODUCT(N(Tabela1[Código]=Tabela3[[#This Row],[PAPEL]]),Tabela1[Fechamento])</f>
        <v>0</v>
      </c>
      <c r="AO207" s="7">
        <f>SUMPRODUCT(N(Tabela17[Código]=Tabela3[[#This Row],[PAPEL]]),Tabela17[Fechamento])</f>
        <v>19.5</v>
      </c>
      <c r="AP207" s="7">
        <f>SUMPRODUCT(N(Tabela176[Código]=Tabela3[[#This Row],[PAPEL]]),Tabela176[Fechamento])</f>
        <v>0</v>
      </c>
      <c r="AQ207" s="7">
        <f>SUMPRODUCT(N(Tabela1768[Código]=Tabela3[[#This Row],[PAPEL]]),Tabela1768[Fechamento])</f>
        <v>19.5</v>
      </c>
    </row>
    <row r="208" spans="1:43" hidden="1" x14ac:dyDescent="0.2">
      <c r="A208" s="4" t="s">
        <v>19</v>
      </c>
      <c r="B208" s="58" t="s">
        <v>707</v>
      </c>
      <c r="C208" s="85" t="str">
        <f>LEFT(Tabela3[PAPEL],LEN(Tabela3[PAPEL])-(LEN(Tabela3[PAPEL])-4))</f>
        <v>KLBN</v>
      </c>
      <c r="D208" s="16">
        <v>3</v>
      </c>
      <c r="E208" s="5"/>
      <c r="H208" s="16"/>
      <c r="I208" s="18"/>
      <c r="K208" s="89">
        <v>1</v>
      </c>
      <c r="L208" s="89">
        <v>4</v>
      </c>
      <c r="M208" s="6"/>
      <c r="N208" s="6"/>
      <c r="O208" s="5">
        <f>Tabela3[[#This Row],[Capital Social]]*20%</f>
        <v>0</v>
      </c>
      <c r="P208" s="5">
        <f>IF((Tabela3[Lucro Líquido]*5%)&gt;Tabela3[Teto R. Legal],Tabela3[Teto R. Legal],Tabela3[Lucro Líquido]*5%)</f>
        <v>0</v>
      </c>
      <c r="Q208" s="5">
        <f>IF(Tabela3[Lucro Líquido]&lt;0,0,Tabela3[Lucro Líquido]-Tabela3[Reserva Legal])</f>
        <v>0</v>
      </c>
      <c r="R208" s="5">
        <f>Tabela3[[#This Row],[Lucro Distribuir]]*Tabela3[%Div]</f>
        <v>0</v>
      </c>
      <c r="S208" s="56">
        <f>SUMPRODUCT(N(Tabela3[Nome]=Tabela3[[#This Row],[Nome]]),Tabela3[Ações])</f>
        <v>945957907</v>
      </c>
      <c r="T208" s="5">
        <f>Tabela3[Capital Social]/Tabela3[Total Ações]</f>
        <v>0</v>
      </c>
      <c r="U208" s="79">
        <f>Tabela3[[#This Row],[Lucro Líquido]]/Tabela3[[#This Row],[Total Ações]]</f>
        <v>0</v>
      </c>
      <c r="V20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0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08" s="5">
        <f>Tabela3[Div Base]*Tabela3[Ações]</f>
        <v>0</v>
      </c>
      <c r="AA208" s="5">
        <f>SUMPRODUCT(N(Tabela3[Nome]=Tabela3[[#This Row],[Nome]]),Tabela3[Div Base]*Tabela3[Ações])</f>
        <v>63787037.5</v>
      </c>
      <c r="AB208" s="5">
        <f>Tabela3[Patrimônio Líquido]/Tabela3[Total Ações]</f>
        <v>0</v>
      </c>
      <c r="AC208" s="52">
        <f>MAX(Tabela3[[#This Row],[Cotação 1]:[Cotação 4]])</f>
        <v>59.03</v>
      </c>
      <c r="AD208" s="53" t="e">
        <f>Tabela3[Cotação]/Tabela3[VPA]</f>
        <v>#DIV/0!</v>
      </c>
      <c r="AE208" s="37">
        <f>IF(Tabela3[[#This Row],[Lucro/Ação]]&gt;0,Tabela3[[#This Row],[Cotação]]/(Tabela3[[#This Row],[Lucro/Ação]]/Tabela3[Ref]*4),0)</f>
        <v>0</v>
      </c>
      <c r="AF208" s="37">
        <f>IF(Tabela3[Div. Mínimo]=0,0,Tabela3[Lucro Distribuir]*#REF!/Tabela3[Total Ações])</f>
        <v>0</v>
      </c>
      <c r="AG208" s="79">
        <f>Tabela3[Lucro Distribuir]/Tabela3[Total Ações]</f>
        <v>0</v>
      </c>
      <c r="AH20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0.33715579217627917</v>
      </c>
      <c r="AI208" s="16" t="str">
        <f>IF(AND(Tabela3[% A.A.]&gt;=7%,SUMPRODUCT(N(Tabela3[Nome]=Tabela3[[#This Row],[Nome]]),Tabela3[PL])&gt;0),"Sim","Não")</f>
        <v>Não</v>
      </c>
      <c r="AJ208" s="22">
        <f>IF(Tabela3[Cotação]&gt;0,Tabela3[[#This Row],[Lucro]]/Tabela3[[#This Row],[Cotação]],0)</f>
        <v>5.7116007483699674E-3</v>
      </c>
      <c r="AK208" s="18">
        <f>((1+Tabela3[[#This Row],[% Yield]])^(1/(3*Tabela3[[#This Row],[Ref]])))^(12)-1</f>
        <v>7.6227079035073864E-3</v>
      </c>
      <c r="AL208" s="10">
        <f>IF(Tabela3[Cotação]&gt;0,($AS$1/Tabela3[[#This Row],[Cotação]]-MOD($AS$1/Tabela3[[#This Row],[Cotação]],100)),)</f>
        <v>0</v>
      </c>
      <c r="AM208" s="7">
        <f>Tabela3[[#This Row],[Ativos]]*Tabela3[Lucro]</f>
        <v>0</v>
      </c>
      <c r="AN208" s="47">
        <f>SUMPRODUCT(N(Tabela1[Código]=Tabela3[[#This Row],[PAPEL]]),Tabela1[Fechamento])</f>
        <v>0</v>
      </c>
      <c r="AO208" s="54">
        <f>SUMPRODUCT(N(Tabela17[Código]=Tabela3[[#This Row],[PAPEL]]),Tabela17[Fechamento])</f>
        <v>0</v>
      </c>
      <c r="AP208" s="7">
        <f>SUMPRODUCT(N(Tabela176[Código]=Tabela3[[#This Row],[PAPEL]]),Tabela176[Fechamento])</f>
        <v>59.03</v>
      </c>
      <c r="AQ208" s="7">
        <f>SUMPRODUCT(N(Tabela1768[Código]=Tabela3[[#This Row],[PAPEL]]),Tabela1768[Fechamento])</f>
        <v>0</v>
      </c>
    </row>
    <row r="209" spans="1:43" hidden="1" x14ac:dyDescent="0.2">
      <c r="A209" s="4" t="s">
        <v>19</v>
      </c>
      <c r="B209" s="58" t="s">
        <v>190</v>
      </c>
      <c r="C209" s="14" t="str">
        <f>LEFT(Tabela3[PAPEL],LEN(Tabela3[PAPEL])-(LEN(Tabela3[PAPEL])-4))</f>
        <v>KLBN</v>
      </c>
      <c r="D209" s="15">
        <v>3</v>
      </c>
      <c r="E209" s="6">
        <v>2271500000</v>
      </c>
      <c r="F209" s="8">
        <v>345102174</v>
      </c>
      <c r="G209" s="88">
        <v>0.25</v>
      </c>
      <c r="H209" s="15"/>
      <c r="I209" s="19"/>
      <c r="J209" s="19"/>
      <c r="K209" s="90"/>
      <c r="L209" s="90"/>
      <c r="M209" s="6">
        <v>5466325000</v>
      </c>
      <c r="N209" s="6">
        <v>268577000</v>
      </c>
      <c r="O209" s="6">
        <f>Tabela3[[#This Row],[Capital Social]]*20%</f>
        <v>454300000</v>
      </c>
      <c r="P209" s="6">
        <f>IF((Tabela3[Lucro Líquido]*5%)&gt;Tabela3[Teto R. Legal],Tabela3[Teto R. Legal],Tabela3[Lucro Líquido]*5%)</f>
        <v>13428850</v>
      </c>
      <c r="Q209" s="6">
        <f>IF(Tabela3[Lucro Líquido]&lt;0,0,Tabela3[Lucro Líquido]-Tabela3[Reserva Legal])</f>
        <v>255148150</v>
      </c>
      <c r="R209" s="6">
        <f>Tabela3[[#This Row],[Lucro Distribuir]]*Tabela3[%Div]</f>
        <v>63787037.5</v>
      </c>
      <c r="S209" s="56">
        <f>SUMPRODUCT(N(Tabela3[Nome]=Tabela3[[#This Row],[Nome]]),Tabela3[Ações])</f>
        <v>945957907</v>
      </c>
      <c r="T209" s="6">
        <f>Tabela3[Capital Social]/Tabela3[Total Ações]</f>
        <v>2.4012696370431628</v>
      </c>
      <c r="U209" s="80">
        <f>Tabela3[[#This Row],[Lucro Líquido]]/Tabela3[[#This Row],[Total Ações]]</f>
        <v>0.28392066709581404</v>
      </c>
      <c r="V20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6.7431158435255836E-2</v>
      </c>
      <c r="W20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0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0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6.7431158435255836E-2</v>
      </c>
      <c r="Z209" s="6">
        <f>Tabela3[Div Base]*Tabela3[Ações]</f>
        <v>23270639.371345226</v>
      </c>
      <c r="AA209" s="6">
        <f>SUMPRODUCT(N(Tabela3[Nome]=Tabela3[[#This Row],[Nome]]),Tabela3[Div Base]*Tabela3[Ações])</f>
        <v>63787037.5</v>
      </c>
      <c r="AB209" s="6">
        <f>Tabela3[Patrimônio Líquido]/Tabela3[Total Ações]</f>
        <v>5.7786133606471353</v>
      </c>
      <c r="AC209" s="48">
        <f>MAX(Tabela3[[#This Row],[Cotação 1]:[Cotação 4]])</f>
        <v>12.52</v>
      </c>
      <c r="AD209" s="44">
        <f>Tabela3[Cotação]/Tabela3[VPA]</f>
        <v>2.1666097415795802</v>
      </c>
      <c r="AE209" s="40">
        <f>IF(Tabela3[[#This Row],[Lucro/Ação]]&gt;0,Tabela3[[#This Row],[Cotação]]/(Tabela3[[#This Row],[Lucro/Ação]]/Tabela3[Ref]*4),0)</f>
        <v>33.072618827114752</v>
      </c>
      <c r="AF209" s="40" t="e">
        <f>IF(Tabela3[Div. Mínimo]=0,0,Tabela3[Lucro Distribuir]*#REF!/Tabela3[Total Ações])</f>
        <v>#REF!</v>
      </c>
      <c r="AG209" s="80">
        <f>Tabela3[Lucro Distribuir]/Tabela3[Total Ações]</f>
        <v>0.26972463374102335</v>
      </c>
      <c r="AH20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6.7431158435255836E-2</v>
      </c>
      <c r="AI209" s="15" t="str">
        <f>IF(AND(Tabela3[% A.A.]&gt;=7%,SUMPRODUCT(N(Tabela3[Nome]=Tabela3[[#This Row],[Nome]]),Tabela3[PL])&gt;0),"Sim","Não")</f>
        <v>Não</v>
      </c>
      <c r="AJ209" s="42">
        <f>IF(Tabela3[Cotação]&gt;0,Tabela3[[#This Row],[Lucro]]/Tabela3[[#This Row],[Cotação]],0)</f>
        <v>5.3858752743814568E-3</v>
      </c>
      <c r="AK209" s="19">
        <f>((1+Tabela3[[#This Row],[% Yield]])^(1/(3*Tabela3[[#This Row],[Ref]])))^(12)-1</f>
        <v>7.1876054796238265E-3</v>
      </c>
      <c r="AL209" s="14">
        <f>IF(Tabela3[Cotação]&gt;0,($AS$1/Tabela3[[#This Row],[Cotação]]-MOD($AS$1/Tabela3[[#This Row],[Cotação]],100)),)</f>
        <v>0</v>
      </c>
      <c r="AM209" s="17">
        <f>Tabela3[[#This Row],[Ativos]]*Tabela3[Lucro]</f>
        <v>0</v>
      </c>
      <c r="AN209" s="5">
        <f>SUMPRODUCT(N(Tabela1[Código]=Tabela3[[#This Row],[PAPEL]]),Tabela1[Fechamento])</f>
        <v>12.52</v>
      </c>
      <c r="AO209" s="5">
        <f>SUMPRODUCT(N(Tabela17[Código]=Tabela3[[#This Row],[PAPEL]]),Tabela17[Fechamento])</f>
        <v>0</v>
      </c>
      <c r="AP209" s="7">
        <f>SUMPRODUCT(N(Tabela176[Código]=Tabela3[[#This Row],[PAPEL]]),Tabela176[Fechamento])</f>
        <v>0</v>
      </c>
      <c r="AQ209" s="7">
        <f>SUMPRODUCT(N(Tabela1768[Código]=Tabela3[[#This Row],[PAPEL]]),Tabela1768[Fechamento])</f>
        <v>0</v>
      </c>
    </row>
    <row r="210" spans="1:43" hidden="1" x14ac:dyDescent="0.2">
      <c r="A210" s="4" t="s">
        <v>19</v>
      </c>
      <c r="B210" s="58" t="s">
        <v>54</v>
      </c>
      <c r="C210" s="14" t="str">
        <f>LEFT(Tabela3[PAPEL],LEN(Tabela3[PAPEL])-(LEN(Tabela3[PAPEL])-4))</f>
        <v>KLBN</v>
      </c>
      <c r="D210" s="15">
        <v>3</v>
      </c>
      <c r="E210" s="6">
        <v>2271500000</v>
      </c>
      <c r="F210" s="8">
        <v>600855733</v>
      </c>
      <c r="G210" s="83">
        <v>0.25</v>
      </c>
      <c r="H210" s="15"/>
      <c r="I210" s="19"/>
      <c r="J210" s="19"/>
      <c r="K210" s="90"/>
      <c r="L210" s="90"/>
      <c r="M210" s="6">
        <v>5466325000</v>
      </c>
      <c r="N210" s="6">
        <v>268577000</v>
      </c>
      <c r="O210" s="6">
        <f>Tabela3[[#This Row],[Capital Social]]*20%</f>
        <v>454300000</v>
      </c>
      <c r="P210" s="6">
        <f>IF((Tabela3[Lucro Líquido]*5%)&gt;Tabela3[Teto R. Legal],Tabela3[Teto R. Legal],Tabela3[Lucro Líquido]*5%)</f>
        <v>13428850</v>
      </c>
      <c r="Q210" s="6">
        <f>IF(Tabela3[Lucro Líquido]&lt;0,0,Tabela3[Lucro Líquido]-Tabela3[Reserva Legal])</f>
        <v>255148150</v>
      </c>
      <c r="R210" s="6">
        <f>Tabela3[[#This Row],[Lucro Distribuir]]*Tabela3[%Div]</f>
        <v>63787037.5</v>
      </c>
      <c r="S210" s="56">
        <f>SUMPRODUCT(N(Tabela3[Nome]=Tabela3[[#This Row],[Nome]]),Tabela3[Ações])</f>
        <v>945957907</v>
      </c>
      <c r="T210" s="6">
        <f>Tabela3[Capital Social]/Tabela3[Total Ações]</f>
        <v>2.4012696370431628</v>
      </c>
      <c r="U210" s="80">
        <f>Tabela3[[#This Row],[Lucro Líquido]]/Tabela3[[#This Row],[Total Ações]]</f>
        <v>0.28392066709581404</v>
      </c>
      <c r="V21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6.7431158435255836E-2</v>
      </c>
      <c r="W21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6.7431158435255836E-2</v>
      </c>
      <c r="Z210" s="6">
        <f>Tabela3[Div Base]*Tabela3[Ações]</f>
        <v>40516398.128654778</v>
      </c>
      <c r="AA210" s="6">
        <f>SUMPRODUCT(N(Tabela3[Nome]=Tabela3[[#This Row],[Nome]]),Tabela3[Div Base]*Tabela3[Ações])</f>
        <v>63787037.5</v>
      </c>
      <c r="AB210" s="6">
        <f>Tabela3[Patrimônio Líquido]/Tabela3[Total Ações]</f>
        <v>5.7786133606471353</v>
      </c>
      <c r="AC210" s="48">
        <f>MAX(Tabela3[[#This Row],[Cotação 1]:[Cotação 4]])</f>
        <v>11.91</v>
      </c>
      <c r="AD210" s="44">
        <f>Tabela3[Cotação]/Tabela3[VPA]</f>
        <v>2.061048084841278</v>
      </c>
      <c r="AE210" s="40">
        <f>IF(Tabela3[[#This Row],[Lucro/Ação]]&gt;0,Tabela3[[#This Row],[Cotação]]/(Tabela3[[#This Row],[Lucro/Ação]]/Tabela3[Ref]*4),0)</f>
        <v>31.461253213333602</v>
      </c>
      <c r="AF210" s="40" t="e">
        <f>IF(Tabela3[Div. Mínimo]=0,0,Tabela3[Lucro Distribuir]*#REF!/Tabela3[Total Ações])</f>
        <v>#REF!</v>
      </c>
      <c r="AG210" s="80">
        <f>Tabela3[Lucro Distribuir]/Tabela3[Total Ações]</f>
        <v>0.26972463374102335</v>
      </c>
      <c r="AH21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6.7431158435255836E-2</v>
      </c>
      <c r="AI210" s="15" t="str">
        <f>IF(AND(Tabela3[% A.A.]&gt;=7%,SUMPRODUCT(N(Tabela3[Nome]=Tabela3[[#This Row],[Nome]]),Tabela3[PL])&gt;0),"Sim","Não")</f>
        <v>Não</v>
      </c>
      <c r="AJ210" s="42">
        <f>IF(Tabela3[Cotação]&gt;0,Tabela3[[#This Row],[Lucro]]/Tabela3[[#This Row],[Cotação]],0)</f>
        <v>5.6617261490559054E-3</v>
      </c>
      <c r="AK210" s="19">
        <f>((1+Tabela3[[#This Row],[% Yield]])^(1/(3*Tabela3[[#This Row],[Ref]])))^(12)-1</f>
        <v>7.5560826225862243E-3</v>
      </c>
      <c r="AL210" s="14">
        <f>IF(Tabela3[Cotação]&gt;0,($AS$1/Tabela3[[#This Row],[Cotação]]-MOD($AS$1/Tabela3[[#This Row],[Cotação]],100)),)</f>
        <v>0</v>
      </c>
      <c r="AM210" s="17">
        <f>Tabela3[[#This Row],[Ativos]]*Tabela3[Lucro]</f>
        <v>0</v>
      </c>
      <c r="AN210" s="5">
        <f>SUMPRODUCT(N(Tabela1[Código]=Tabela3[[#This Row],[PAPEL]]),Tabela1[Fechamento])</f>
        <v>11.91</v>
      </c>
      <c r="AO210" s="5">
        <f>SUMPRODUCT(N(Tabela17[Código]=Tabela3[[#This Row],[PAPEL]]),Tabela17[Fechamento])</f>
        <v>0</v>
      </c>
      <c r="AP210" s="7">
        <f>SUMPRODUCT(N(Tabela176[Código]=Tabela3[[#This Row],[PAPEL]]),Tabela176[Fechamento])</f>
        <v>0</v>
      </c>
      <c r="AQ210" s="7">
        <f>SUMPRODUCT(N(Tabela1768[Código]=Tabela3[[#This Row],[PAPEL]]),Tabela1768[Fechamento])</f>
        <v>0</v>
      </c>
    </row>
    <row r="211" spans="1:43" hidden="1" x14ac:dyDescent="0.2">
      <c r="A211" s="3" t="s">
        <v>930</v>
      </c>
      <c r="B211" s="58" t="s">
        <v>931</v>
      </c>
      <c r="C211" s="16" t="str">
        <f>LEFT(Tabela3[PAPEL],LEN(Tabela3[PAPEL])-(LEN(Tabela3[PAPEL])-4))</f>
        <v>LAME</v>
      </c>
      <c r="D211" s="16">
        <v>3</v>
      </c>
      <c r="E211" s="5">
        <v>548848132.39999998</v>
      </c>
      <c r="F211" s="56">
        <v>367025080</v>
      </c>
      <c r="G211" s="83">
        <v>0.25</v>
      </c>
      <c r="H211" s="89"/>
      <c r="I211" s="18"/>
      <c r="K211" s="16"/>
      <c r="L211" s="89"/>
      <c r="M211" s="94">
        <v>985348000</v>
      </c>
      <c r="N211" s="73">
        <v>189658000</v>
      </c>
      <c r="O211" s="7">
        <f>Tabela3[[#This Row],[Capital Social]]*20%</f>
        <v>109769626.48</v>
      </c>
      <c r="P211" s="47">
        <f>IF((Tabela3[Lucro Líquido]*5%)&gt;Tabela3[Teto R. Legal],Tabela3[Teto R. Legal],Tabela3[Lucro Líquido]*5%)</f>
        <v>9482900</v>
      </c>
      <c r="Q211" s="47">
        <f>IF(Tabela3[Lucro Líquido]&lt;0,0,Tabela3[Lucro Líquido]-Tabela3[Reserva Legal])</f>
        <v>180175100</v>
      </c>
      <c r="R211" s="47">
        <f>Tabela3[[#This Row],[Lucro Distribuir]]*Tabela3[%Div]</f>
        <v>45043775</v>
      </c>
      <c r="S211" s="56">
        <f>SUMPRODUCT(N(Tabela3[Nome]=Tabela3[[#This Row],[Nome]]),Tabela3[Ações])</f>
        <v>993731338</v>
      </c>
      <c r="T211" s="87">
        <f>Tabela3[Capital Social]/Tabela3[Total Ações]</f>
        <v>0.55231037948810258</v>
      </c>
      <c r="U211" s="87">
        <f>Tabela3[[#This Row],[Lucro Líquido]]/Tabela3[[#This Row],[Total Ações]]</f>
        <v>0.19085440173569326</v>
      </c>
      <c r="V211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4.5327920412227156E-2</v>
      </c>
      <c r="W211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1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4.5327920412227156E-2</v>
      </c>
      <c r="Z211" s="7">
        <f>Tabela3[Div Base]*Tabela3[Ações]</f>
        <v>16636483.615531305</v>
      </c>
      <c r="AA211" s="7">
        <f>SUMPRODUCT(N(Tabela3[Nome]=Tabela3[[#This Row],[Nome]]),Tabela3[Div Base]*Tabela3[Ações])</f>
        <v>45043775</v>
      </c>
      <c r="AB211" s="74">
        <f>Tabela3[Patrimônio Líquido]/Tabela3[Total Ações]</f>
        <v>0.9915637781768335</v>
      </c>
      <c r="AC211" s="52">
        <f>MAX(Tabela3[[#This Row],[Cotação 1]:[Cotação 4]])</f>
        <v>12.25</v>
      </c>
      <c r="AD211" s="53">
        <f>Tabela3[Cotação]/Tabela3[VPA]</f>
        <v>12.354222965388878</v>
      </c>
      <c r="AE211" s="37">
        <f>IF(Tabela3[[#This Row],[Lucro/Ação]]&gt;0,Tabela3[[#This Row],[Cotação]]/(Tabela3[[#This Row],[Lucro/Ação]]/Tabela3[Ref]*4),0)</f>
        <v>48.138790179560047</v>
      </c>
      <c r="AF211" s="59" t="e">
        <f>IF(Tabela3[Div. Mínimo]=0,0,Tabela3[Lucro Distribuir]*#REF!/Tabela3[Total Ações])</f>
        <v>#REF!</v>
      </c>
      <c r="AG211" s="87">
        <f>Tabela3[Lucro Distribuir]/Tabela3[Total Ações]</f>
        <v>0.18131168164890862</v>
      </c>
      <c r="AH211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4.5327920412227156E-2</v>
      </c>
      <c r="AI211" s="10" t="str">
        <f>IF(AND(Tabela3[% A.A.]&gt;=7%,SUMPRODUCT(N(Tabela3[Nome]=Tabela3[[#This Row],[Nome]]),Tabela3[PL])&gt;0),"Sim","Não")</f>
        <v>Não</v>
      </c>
      <c r="AJ211" s="22">
        <f>IF(Tabela3[Cotação]&gt;0,Tabela3[[#This Row],[Lucro]]/Tabela3[[#This Row],[Cotação]],0)</f>
        <v>3.7002384009981351E-3</v>
      </c>
      <c r="AK211" s="22">
        <f>((1+Tabela3[[#This Row],[% Yield]])^(1/(3*Tabela3[[#This Row],[Ref]])))^(12)-1</f>
        <v>4.9366913175870053E-3</v>
      </c>
      <c r="AL211" s="10">
        <f>IF(Tabela3[Cotação]&gt;0,($AS$1/Tabela3[[#This Row],[Cotação]]-MOD($AS$1/Tabela3[[#This Row],[Cotação]],100)),)</f>
        <v>0</v>
      </c>
      <c r="AM211" s="7">
        <f>Tabela3[[#This Row],[Ativos]]*Tabela3[Lucro]</f>
        <v>0</v>
      </c>
      <c r="AN211" s="7">
        <f>SUMPRODUCT(N(Tabela1[Código]=Tabela3[[#This Row],[PAPEL]]),Tabela1[Fechamento])</f>
        <v>0</v>
      </c>
      <c r="AO211" s="7">
        <f>SUMPRODUCT(N(Tabela17[Código]=Tabela3[[#This Row],[PAPEL]]),Tabela17[Fechamento])</f>
        <v>0</v>
      </c>
      <c r="AP211" s="7">
        <f>SUMPRODUCT(N(Tabela176[Código]=Tabela3[[#This Row],[PAPEL]]),Tabela176[Fechamento])</f>
        <v>12.25</v>
      </c>
      <c r="AQ211" s="7">
        <f>SUMPRODUCT(N(Tabela1768[Código]=Tabela3[[#This Row],[PAPEL]]),Tabela1768[Fechamento])</f>
        <v>0</v>
      </c>
    </row>
    <row r="212" spans="1:43" hidden="1" x14ac:dyDescent="0.2">
      <c r="A212" s="3" t="s">
        <v>930</v>
      </c>
      <c r="B212" s="58" t="s">
        <v>932</v>
      </c>
      <c r="C212" s="16" t="str">
        <f>LEFT(Tabela3[PAPEL],LEN(Tabela3[PAPEL])-(LEN(Tabela3[PAPEL])-4))</f>
        <v>LAME</v>
      </c>
      <c r="D212" s="16">
        <v>3</v>
      </c>
      <c r="E212" s="5">
        <v>548848132.39999998</v>
      </c>
      <c r="F212" s="56">
        <v>626706258</v>
      </c>
      <c r="G212" s="83">
        <v>0.25</v>
      </c>
      <c r="H212" s="89"/>
      <c r="I212" s="18"/>
      <c r="K212" s="16"/>
      <c r="L212" s="89"/>
      <c r="M212" s="94">
        <v>985348000</v>
      </c>
      <c r="N212" s="73">
        <v>189658000</v>
      </c>
      <c r="O212" s="7">
        <f>Tabela3[[#This Row],[Capital Social]]*20%</f>
        <v>109769626.48</v>
      </c>
      <c r="P212" s="47">
        <f>IF((Tabela3[Lucro Líquido]*5%)&gt;Tabela3[Teto R. Legal],Tabela3[Teto R. Legal],Tabela3[Lucro Líquido]*5%)</f>
        <v>9482900</v>
      </c>
      <c r="Q212" s="47">
        <f>IF(Tabela3[Lucro Líquido]&lt;0,0,Tabela3[Lucro Líquido]-Tabela3[Reserva Legal])</f>
        <v>180175100</v>
      </c>
      <c r="R212" s="47">
        <f>Tabela3[[#This Row],[Lucro Distribuir]]*Tabela3[%Div]</f>
        <v>45043775</v>
      </c>
      <c r="S212" s="56">
        <f>SUMPRODUCT(N(Tabela3[Nome]=Tabela3[[#This Row],[Nome]]),Tabela3[Ações])</f>
        <v>993731338</v>
      </c>
      <c r="T212" s="87">
        <f>Tabela3[Capital Social]/Tabela3[Total Ações]</f>
        <v>0.55231037948810258</v>
      </c>
      <c r="U212" s="87">
        <f>Tabela3[[#This Row],[Lucro Líquido]]/Tabela3[[#This Row],[Total Ações]]</f>
        <v>0.19085440173569326</v>
      </c>
      <c r="V212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4.5327920412227156E-2</v>
      </c>
      <c r="W212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2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4.5327920412227156E-2</v>
      </c>
      <c r="Z212" s="7">
        <f>Tabela3[Div Base]*Tabela3[Ações]</f>
        <v>28407291.384468697</v>
      </c>
      <c r="AA212" s="7">
        <f>SUMPRODUCT(N(Tabela3[Nome]=Tabela3[[#This Row],[Nome]]),Tabela3[Div Base]*Tabela3[Ações])</f>
        <v>45043775</v>
      </c>
      <c r="AB212" s="74">
        <f>Tabela3[Patrimônio Líquido]/Tabela3[Total Ações]</f>
        <v>0.9915637781768335</v>
      </c>
      <c r="AC212" s="52">
        <f>MAX(Tabela3[[#This Row],[Cotação 1]:[Cotação 4]])</f>
        <v>14.31</v>
      </c>
      <c r="AD212" s="53">
        <f>Tabela3[Cotação]/Tabela3[VPA]</f>
        <v>14.431749439568559</v>
      </c>
      <c r="AE212" s="37">
        <f>IF(Tabela3[[#This Row],[Lucro/Ação]]&gt;0,Tabela3[[#This Row],[Cotação]]/(Tabela3[[#This Row],[Lucro/Ação]]/Tabela3[Ref]*4),0)</f>
        <v>56.23396632404117</v>
      </c>
      <c r="AF212" s="59" t="e">
        <f>IF(Tabela3[Div. Mínimo]=0,0,Tabela3[Lucro Distribuir]*#REF!/Tabela3[Total Ações])</f>
        <v>#REF!</v>
      </c>
      <c r="AG212" s="87">
        <f>Tabela3[Lucro Distribuir]/Tabela3[Total Ações]</f>
        <v>0.18131168164890862</v>
      </c>
      <c r="AH212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4.5327920412227156E-2</v>
      </c>
      <c r="AI212" s="10" t="str">
        <f>IF(AND(Tabela3[% A.A.]&gt;=7%,SUMPRODUCT(N(Tabela3[Nome]=Tabela3[[#This Row],[Nome]]),Tabela3[PL])&gt;0),"Sim","Não")</f>
        <v>Não</v>
      </c>
      <c r="AJ212" s="22">
        <f>IF(Tabela3[Cotação]&gt;0,Tabela3[[#This Row],[Lucro]]/Tabela3[[#This Row],[Cotação]],0)</f>
        <v>3.167569560602876E-3</v>
      </c>
      <c r="AK212" s="22">
        <f>((1+Tabela3[[#This Row],[% Yield]])^(1/(3*Tabela3[[#This Row],[Ref]])))^(12)-1</f>
        <v>4.2256541793810332E-3</v>
      </c>
      <c r="AL212" s="10">
        <f>IF(Tabela3[Cotação]&gt;0,($AS$1/Tabela3[[#This Row],[Cotação]]-MOD($AS$1/Tabela3[[#This Row],[Cotação]],100)),)</f>
        <v>0</v>
      </c>
      <c r="AM212" s="7">
        <f>Tabela3[[#This Row],[Ativos]]*Tabela3[Lucro]</f>
        <v>0</v>
      </c>
      <c r="AN212" s="7">
        <f>SUMPRODUCT(N(Tabela1[Código]=Tabela3[[#This Row],[PAPEL]]),Tabela1[Fechamento])</f>
        <v>0</v>
      </c>
      <c r="AO212" s="7">
        <f>SUMPRODUCT(N(Tabela17[Código]=Tabela3[[#This Row],[PAPEL]]),Tabela17[Fechamento])</f>
        <v>0</v>
      </c>
      <c r="AP212" s="7">
        <f>SUMPRODUCT(N(Tabela176[Código]=Tabela3[[#This Row],[PAPEL]]),Tabela176[Fechamento])</f>
        <v>14.31</v>
      </c>
      <c r="AQ212" s="7">
        <f>SUMPRODUCT(N(Tabela1768[Código]=Tabela3[[#This Row],[PAPEL]]),Tabela1768[Fechamento])</f>
        <v>0</v>
      </c>
    </row>
    <row r="213" spans="1:43" hidden="1" x14ac:dyDescent="0.2">
      <c r="A213" s="3" t="s">
        <v>319</v>
      </c>
      <c r="B213" s="58" t="s">
        <v>320</v>
      </c>
      <c r="C213" s="85" t="str">
        <f>LEFT(Tabela3[PAPEL],LEN(Tabela3[PAPEL])-(LEN(Tabela3[PAPEL])-4))</f>
        <v>LCAM</v>
      </c>
      <c r="D213" s="16">
        <v>3</v>
      </c>
      <c r="E213" s="5"/>
      <c r="G213" s="88">
        <v>0.25</v>
      </c>
      <c r="H213" s="16"/>
      <c r="I213" s="18"/>
      <c r="K213" s="89"/>
      <c r="L213" s="89"/>
      <c r="M213" s="5">
        <v>314080000</v>
      </c>
      <c r="N213" s="5">
        <v>22535000</v>
      </c>
      <c r="O213" s="5">
        <f>Tabela3[[#This Row],[Capital Social]]*20%</f>
        <v>0</v>
      </c>
      <c r="P213" s="5">
        <f>IF((Tabela3[Lucro Líquido]*5%)&gt;Tabela3[Teto R. Legal],Tabela3[Teto R. Legal],Tabela3[Lucro Líquido]*5%)</f>
        <v>0</v>
      </c>
      <c r="Q213" s="5">
        <f>IF(Tabela3[Lucro Líquido]&lt;0,0,Tabela3[Lucro Líquido]-Tabela3[Reserva Legal])</f>
        <v>22535000</v>
      </c>
      <c r="R213" s="5">
        <f>Tabela3[[#This Row],[Lucro Distribuir]]*Tabela3[%Div]</f>
        <v>5633750</v>
      </c>
      <c r="S213" s="21">
        <v>65075322</v>
      </c>
      <c r="T213" s="5">
        <f>Tabela3[Capital Social]/Tabela3[Total Ações]</f>
        <v>0</v>
      </c>
      <c r="U213" s="79">
        <f>Tabela3[[#This Row],[Lucro Líquido]]/Tabela3[[#This Row],[Total Ações]]</f>
        <v>0.34629102565178238</v>
      </c>
      <c r="V213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13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3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13" s="5">
        <f>Tabela3[Div Base]*Tabela3[Ações]</f>
        <v>0</v>
      </c>
      <c r="AA213" s="5">
        <f>SUMPRODUCT(N(Tabela3[Nome]=Tabela3[[#This Row],[Nome]]),Tabela3[Div Base]*Tabela3[Ações])</f>
        <v>0</v>
      </c>
      <c r="AB213" s="5">
        <f>Tabela3[Patrimônio Líquido]/Tabela3[Total Ações]</f>
        <v>4.8264071593837059</v>
      </c>
      <c r="AC213" s="52">
        <f>MAX(Tabela3[[#This Row],[Cotação 1]:[Cotação 4]])</f>
        <v>4.4800000000000004</v>
      </c>
      <c r="AD213" s="53">
        <f>Tabela3[Cotação]/Tabela3[VPA]</f>
        <v>0.92822670198675505</v>
      </c>
      <c r="AE213" s="37">
        <f>IF(Tabela3[[#This Row],[Lucro/Ação]]&gt;0,Tabela3[[#This Row],[Cotação]]/(Tabela3[[#This Row],[Lucro/Ação]]/Tabela3[Ref]*4),0)</f>
        <v>9.702821474151321</v>
      </c>
      <c r="AF213" s="37">
        <f>IF(Tabela3[Div. Mínimo]=0,0,Tabela3[Lucro Distribuir]*#REF!/Tabela3[Total Ações])</f>
        <v>0</v>
      </c>
      <c r="AG213" s="79">
        <f>Tabela3[Lucro Distribuir]/Tabela3[Total Ações]</f>
        <v>0.34629102565178238</v>
      </c>
      <c r="AH213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13" s="16" t="str">
        <f>IF(AND(Tabela3[% A.A.]&gt;=7%,SUMPRODUCT(N(Tabela3[Nome]=Tabela3[[#This Row],[Nome]]),Tabela3[PL])&gt;0),"Sim","Não")</f>
        <v>Não</v>
      </c>
      <c r="AJ213" s="22">
        <f>IF(Tabela3[Cotação]&gt;0,Tabela3[[#This Row],[Lucro]]/Tabela3[[#This Row],[Cotação]],0)</f>
        <v>0</v>
      </c>
      <c r="AK213" s="18">
        <f>((1+Tabela3[[#This Row],[% Yield]])^(1/(3*Tabela3[[#This Row],[Ref]])))^(12)-1</f>
        <v>0</v>
      </c>
      <c r="AL213" s="10">
        <f>IF(Tabela3[Cotação]&gt;0,($AS$1/Tabela3[[#This Row],[Cotação]]-MOD($AS$1/Tabela3[[#This Row],[Cotação]],100)),)</f>
        <v>200</v>
      </c>
      <c r="AM213" s="7">
        <f>Tabela3[[#This Row],[Ativos]]*Tabela3[Lucro]</f>
        <v>0</v>
      </c>
      <c r="AN213" s="47">
        <f>SUMPRODUCT(N(Tabela1[Código]=Tabela3[[#This Row],[PAPEL]]),Tabela1[Fechamento])</f>
        <v>0</v>
      </c>
      <c r="AO213" s="54">
        <f>SUMPRODUCT(N(Tabela17[Código]=Tabela3[[#This Row],[PAPEL]]),Tabela17[Fechamento])</f>
        <v>4.4800000000000004</v>
      </c>
      <c r="AP213" s="7">
        <f>SUMPRODUCT(N(Tabela176[Código]=Tabela3[[#This Row],[PAPEL]]),Tabela176[Fechamento])</f>
        <v>0</v>
      </c>
      <c r="AQ213" s="7">
        <f>SUMPRODUCT(N(Tabela1768[Código]=Tabela3[[#This Row],[PAPEL]]),Tabela1768[Fechamento])</f>
        <v>0</v>
      </c>
    </row>
    <row r="214" spans="1:43" hidden="1" x14ac:dyDescent="0.2">
      <c r="A214" s="4" t="s">
        <v>298</v>
      </c>
      <c r="B214" s="57" t="s">
        <v>555</v>
      </c>
      <c r="C214" s="16" t="str">
        <f>LEFT(Tabela3[PAPEL],LEN(Tabela3[PAPEL])-(LEN(Tabela3[PAPEL])-4))</f>
        <v>LFFE</v>
      </c>
      <c r="D214" s="16">
        <v>3</v>
      </c>
      <c r="E214" s="5">
        <v>226047458.49000001</v>
      </c>
      <c r="F214" s="56">
        <v>336676262</v>
      </c>
      <c r="G214" s="83">
        <v>0.25</v>
      </c>
      <c r="H214" s="18"/>
      <c r="I214" s="18"/>
      <c r="K214" s="89"/>
      <c r="L214" s="89"/>
      <c r="M214" s="94">
        <v>708697000</v>
      </c>
      <c r="N214" s="73">
        <v>-95683000</v>
      </c>
      <c r="O214" s="47">
        <f>Tabela3[[#This Row],[Capital Social]]*20%</f>
        <v>45209491.698000006</v>
      </c>
      <c r="P214" s="47">
        <f>IF((Tabela3[Lucro Líquido]*5%)&gt;Tabela3[Teto R. Legal],Tabela3[Teto R. Legal],Tabela3[Lucro Líquido]*5%)</f>
        <v>-4784150</v>
      </c>
      <c r="Q214" s="47">
        <f>IF(Tabela3[Lucro Líquido]&lt;0,0,Tabela3[Lucro Líquido]-Tabela3[Reserva Legal])</f>
        <v>0</v>
      </c>
      <c r="R214" s="47">
        <f>Tabela3[[#This Row],[Lucro Distribuir]]*Tabela3[%Div]</f>
        <v>0</v>
      </c>
      <c r="S214" s="56">
        <f>SUMPRODUCT(N(Tabela3[Nome]=Tabela3[[#This Row],[Nome]]),Tabela3[Ações])</f>
        <v>543801447</v>
      </c>
      <c r="T214" s="5">
        <f>Tabela3[Capital Social]/Tabela3[Total Ações]</f>
        <v>0.41568013424208489</v>
      </c>
      <c r="U214" s="79">
        <f>Tabela3[[#This Row],[Lucro Líquido]]/Tabela3[[#This Row],[Total Ações]]</f>
        <v>-0.17595208789505115</v>
      </c>
      <c r="V21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1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14" s="47">
        <f>Tabela3[Div Base]*Tabela3[Ações]</f>
        <v>0</v>
      </c>
      <c r="AA214" s="47">
        <f>SUMPRODUCT(N(Tabela3[Nome]=Tabela3[[#This Row],[Nome]]),Tabela3[Div Base]*Tabela3[Ações])</f>
        <v>0</v>
      </c>
      <c r="AB214" s="74">
        <f>Tabela3[Patrimônio Líquido]/Tabela3[Total Ações]</f>
        <v>1.3032274995031412</v>
      </c>
      <c r="AC214" s="52">
        <f>MAX(Tabela3[[#This Row],[Cotação 1]:[Cotação 4]])</f>
        <v>1.7</v>
      </c>
      <c r="AD214" s="53">
        <f>Tabela3[Cotação]/Tabela3[VPA]</f>
        <v>1.3044537508977745</v>
      </c>
      <c r="AE214" s="37">
        <f>IF(Tabela3[[#This Row],[Lucro/Ação]]&gt;0,Tabela3[[#This Row],[Cotação]]/(Tabela3[[#This Row],[Lucro/Ação]]/Tabela3[Ref]*4),0)</f>
        <v>0</v>
      </c>
      <c r="AF214" s="59">
        <f>IF(Tabela3[Div. Mínimo]=0,0,Tabela3[Lucro Distribuir]*#REF!/Tabela3[Total Ações])</f>
        <v>0</v>
      </c>
      <c r="AG214" s="79">
        <f>Tabela3[Lucro Distribuir]/Tabela3[Total Ações]</f>
        <v>0</v>
      </c>
      <c r="AH214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14" s="10" t="str">
        <f>IF(AND(Tabela3[% A.A.]&gt;=7%,SUMPRODUCT(N(Tabela3[Nome]=Tabela3[[#This Row],[Nome]]),Tabela3[PL])&gt;0),"Sim","Não")</f>
        <v>Não</v>
      </c>
      <c r="AJ214" s="22">
        <f>IF(Tabela3[Cotação]&gt;0,Tabela3[[#This Row],[Lucro]]/Tabela3[[#This Row],[Cotação]],0)</f>
        <v>0</v>
      </c>
      <c r="AK214" s="22">
        <f>((1+Tabela3[[#This Row],[% Yield]])^(1/(3*Tabela3[[#This Row],[Ref]])))^(12)-1</f>
        <v>0</v>
      </c>
      <c r="AL214" s="10">
        <f>IF(Tabela3[Cotação]&gt;0,($AS$1/Tabela3[[#This Row],[Cotação]]-MOD($AS$1/Tabela3[[#This Row],[Cotação]],100)),)</f>
        <v>500</v>
      </c>
      <c r="AM214" s="7">
        <f>Tabela3[[#This Row],[Ativos]]*Tabela3[Lucro]</f>
        <v>0</v>
      </c>
      <c r="AN214" s="7">
        <f>SUMPRODUCT(N(Tabela1[Código]=Tabela3[[#This Row],[PAPEL]]),Tabela1[Fechamento])</f>
        <v>0</v>
      </c>
      <c r="AO214" s="7">
        <f>SUMPRODUCT(N(Tabela17[Código]=Tabela3[[#This Row],[PAPEL]]),Tabela17[Fechamento])</f>
        <v>1.7</v>
      </c>
      <c r="AP214" s="7">
        <f>SUMPRODUCT(N(Tabela176[Código]=Tabela3[[#This Row],[PAPEL]]),Tabela176[Fechamento])</f>
        <v>0</v>
      </c>
      <c r="AQ214" s="7">
        <f>SUMPRODUCT(N(Tabela1768[Código]=Tabela3[[#This Row],[PAPEL]]),Tabela1768[Fechamento])</f>
        <v>0</v>
      </c>
    </row>
    <row r="215" spans="1:43" hidden="1" x14ac:dyDescent="0.2">
      <c r="A215" s="4" t="s">
        <v>298</v>
      </c>
      <c r="B215" s="57" t="s">
        <v>556</v>
      </c>
      <c r="C215" s="15" t="str">
        <f>LEFT(Tabela3[PAPEL],LEN(Tabela3[PAPEL])-(LEN(Tabela3[PAPEL])-4))</f>
        <v>LFFE</v>
      </c>
      <c r="D215" s="15">
        <v>3</v>
      </c>
      <c r="E215" s="5">
        <v>226047458.49000001</v>
      </c>
      <c r="F215" s="8">
        <v>207125185</v>
      </c>
      <c r="G215" s="88">
        <v>0.25</v>
      </c>
      <c r="H215" s="19"/>
      <c r="I215" s="19"/>
      <c r="J215" s="19">
        <v>0.1</v>
      </c>
      <c r="K215" s="90"/>
      <c r="L215" s="90"/>
      <c r="M215" s="94">
        <v>708697000</v>
      </c>
      <c r="N215" s="73">
        <v>-95683000</v>
      </c>
      <c r="O215" s="13">
        <f>Tabela3[[#This Row],[Capital Social]]*20%</f>
        <v>45209491.698000006</v>
      </c>
      <c r="P215" s="13">
        <f>IF((Tabela3[Lucro Líquido]*5%)&gt;Tabela3[Teto R. Legal],Tabela3[Teto R. Legal],Tabela3[Lucro Líquido]*5%)</f>
        <v>-4784150</v>
      </c>
      <c r="Q215" s="13">
        <f>IF(Tabela3[Lucro Líquido]&lt;0,0,Tabela3[Lucro Líquido]-Tabela3[Reserva Legal])</f>
        <v>0</v>
      </c>
      <c r="R215" s="13">
        <f>Tabela3[[#This Row],[Lucro Distribuir]]*Tabela3[%Div]</f>
        <v>0</v>
      </c>
      <c r="S215" s="56">
        <f>SUMPRODUCT(N(Tabela3[Nome]=Tabela3[[#This Row],[Nome]]),Tabela3[Ações])</f>
        <v>543801447</v>
      </c>
      <c r="T215" s="6">
        <f>Tabela3[Capital Social]/Tabela3[Total Ações]</f>
        <v>0.41568013424208489</v>
      </c>
      <c r="U215" s="80">
        <f>Tabela3[[#This Row],[Lucro Líquido]]/Tabela3[[#This Row],[Total Ações]]</f>
        <v>-0.17595208789505115</v>
      </c>
      <c r="V21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1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15" s="13">
        <f>Tabela3[Div Base]*Tabela3[Ações]</f>
        <v>0</v>
      </c>
      <c r="AA215" s="13">
        <f>SUMPRODUCT(N(Tabela3[Nome]=Tabela3[[#This Row],[Nome]]),Tabela3[Div Base]*Tabela3[Ações])</f>
        <v>0</v>
      </c>
      <c r="AB215" s="95">
        <f>Tabela3[Patrimônio Líquido]/Tabela3[Total Ações]</f>
        <v>1.3032274995031412</v>
      </c>
      <c r="AC215" s="48">
        <f>MAX(Tabela3[[#This Row],[Cotação 1]:[Cotação 4]])</f>
        <v>3.69</v>
      </c>
      <c r="AD215" s="44">
        <f>Tabela3[Cotação]/Tabela3[VPA]</f>
        <v>2.8314319651839925</v>
      </c>
      <c r="AE215" s="40">
        <f>IF(Tabela3[[#This Row],[Lucro/Ação]]&gt;0,Tabela3[[#This Row],[Cotação]]/(Tabela3[[#This Row],[Lucro/Ação]]/Tabela3[Ref]*4),0)</f>
        <v>0</v>
      </c>
      <c r="AF215" s="91">
        <f>IF(Tabela3[Div. Mínimo]=0,0,Tabela3[Lucro Distribuir]*#REF!/Tabela3[Total Ações])</f>
        <v>0</v>
      </c>
      <c r="AG215" s="80">
        <f>Tabela3[Lucro Distribuir]/Tabela3[Total Ações]</f>
        <v>0</v>
      </c>
      <c r="AH21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15" s="14" t="str">
        <f>IF(AND(Tabela3[% A.A.]&gt;=7%,SUMPRODUCT(N(Tabela3[Nome]=Tabela3[[#This Row],[Nome]]),Tabela3[PL])&gt;0),"Sim","Não")</f>
        <v>Não</v>
      </c>
      <c r="AJ215" s="42">
        <f>IF(Tabela3[Cotação]&gt;0,Tabela3[[#This Row],[Lucro]]/Tabela3[[#This Row],[Cotação]],0)</f>
        <v>0</v>
      </c>
      <c r="AK215" s="42">
        <f>((1+Tabela3[[#This Row],[% Yield]])^(1/(3*Tabela3[[#This Row],[Ref]])))^(12)-1</f>
        <v>0</v>
      </c>
      <c r="AL215" s="14">
        <f>IF(Tabela3[Cotação]&gt;0,($AS$1/Tabela3[[#This Row],[Cotação]]-MOD($AS$1/Tabela3[[#This Row],[Cotação]],100)),)</f>
        <v>200</v>
      </c>
      <c r="AM215" s="17">
        <f>Tabela3[[#This Row],[Ativos]]*Tabela3[Lucro]</f>
        <v>0</v>
      </c>
      <c r="AN215" s="17">
        <f>SUMPRODUCT(N(Tabela1[Código]=Tabela3[[#This Row],[PAPEL]]),Tabela1[Fechamento])</f>
        <v>0</v>
      </c>
      <c r="AO215" s="17">
        <f>SUMPRODUCT(N(Tabela17[Código]=Tabela3[[#This Row],[PAPEL]]),Tabela17[Fechamento])</f>
        <v>3.69</v>
      </c>
      <c r="AP215" s="7">
        <f>SUMPRODUCT(N(Tabela176[Código]=Tabela3[[#This Row],[PAPEL]]),Tabela176[Fechamento])</f>
        <v>0</v>
      </c>
      <c r="AQ215" s="7">
        <f>SUMPRODUCT(N(Tabela1768[Código]=Tabela3[[#This Row],[PAPEL]]),Tabela1768[Fechamento])</f>
        <v>0</v>
      </c>
    </row>
    <row r="216" spans="1:43" hidden="1" x14ac:dyDescent="0.2">
      <c r="A216" s="4" t="s">
        <v>12</v>
      </c>
      <c r="B216" s="60" t="s">
        <v>55</v>
      </c>
      <c r="C216" s="43" t="str">
        <f>LEFT(Tabela3[PAPEL],LEN(Tabela3[PAPEL])-(LEN(Tabela3[PAPEL])-4))</f>
        <v>LIGT</v>
      </c>
      <c r="D216" s="16">
        <v>3</v>
      </c>
      <c r="E216" s="5">
        <v>2225822197.8899999</v>
      </c>
      <c r="F216" s="56">
        <v>203934060</v>
      </c>
      <c r="G216" s="83">
        <v>0.25</v>
      </c>
      <c r="H216" s="18"/>
      <c r="I216" s="18"/>
      <c r="K216" s="89"/>
      <c r="L216" s="89"/>
      <c r="M216" s="92">
        <v>3392238000</v>
      </c>
      <c r="N216" s="92">
        <v>458325000</v>
      </c>
      <c r="O216" s="6">
        <f>Tabela3[[#This Row],[Capital Social]]*20%</f>
        <v>445164439.57800001</v>
      </c>
      <c r="P216" s="6">
        <f>IF((Tabela3[Lucro Líquido]*5%)&gt;Tabela3[Teto R. Legal],Tabela3[Teto R. Legal],Tabela3[Lucro Líquido]*5%)</f>
        <v>22916250</v>
      </c>
      <c r="Q216" s="92">
        <f>IF(Tabela3[Lucro Líquido]&lt;0,0,Tabela3[Lucro Líquido]-Tabela3[Reserva Legal])</f>
        <v>435408750</v>
      </c>
      <c r="R216" s="92">
        <f>Tabela3[[#This Row],[Lucro Distribuir]]*Tabela3[%Div]</f>
        <v>108852187.5</v>
      </c>
      <c r="S216" s="56">
        <f>SUMPRODUCT(N(Tabela3[Nome]=Tabela3[[#This Row],[Nome]]),Tabela3[Ações])</f>
        <v>203934060</v>
      </c>
      <c r="T216" s="6">
        <f>Tabela3[Capital Social]/Tabela3[Total Ações]</f>
        <v>10.914421053010958</v>
      </c>
      <c r="U216" s="80">
        <f>Tabela3[[#This Row],[Lucro Líquido]]/Tabela3[[#This Row],[Total Ações]]</f>
        <v>2.2474176211663712</v>
      </c>
      <c r="V21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0.53376168502701316</v>
      </c>
      <c r="W21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0.53376168502701316</v>
      </c>
      <c r="Z216" s="6">
        <f>Tabela3[Div Base]*Tabela3[Ações]</f>
        <v>108852187.5</v>
      </c>
      <c r="AA216" s="6">
        <f>SUMPRODUCT(N(Tabela3[Nome]=Tabela3[[#This Row],[Nome]]),Tabela3[Div Base]*Tabela3[Ações])</f>
        <v>108852187.5</v>
      </c>
      <c r="AB216" s="92">
        <f>Tabela3[Patrimônio Líquido]/Tabela3[Total Ações]</f>
        <v>16.633994341112025</v>
      </c>
      <c r="AC216" s="39">
        <f>MAX(Tabela3[[#This Row],[Cotação 1]:[Cotação 4]])</f>
        <v>17.72</v>
      </c>
      <c r="AD216" s="44">
        <f>Tabela3[Cotação]/Tabela3[VPA]</f>
        <v>1.0652883268214079</v>
      </c>
      <c r="AE216" s="40">
        <f>IF(Tabela3[[#This Row],[Lucro/Ação]]&gt;0,Tabela3[[#This Row],[Cotação]]/(Tabela3[[#This Row],[Lucro/Ação]]/Tabela3[Ref]*4),0)</f>
        <v>5.9134536789396162</v>
      </c>
      <c r="AF216" s="77" t="e">
        <f>IF(Tabela3[Div. Mínimo]=0,0,Tabela3[Lucro Distribuir]*#REF!/Tabela3[Total Ações])</f>
        <v>#REF!</v>
      </c>
      <c r="AG216" s="80">
        <f>Tabela3[Lucro Distribuir]/Tabela3[Total Ações]</f>
        <v>2.1350467401080526</v>
      </c>
      <c r="AH21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0.53376168502701316</v>
      </c>
      <c r="AI216" s="14" t="str">
        <f>IF(AND(Tabela3[% A.A.]&gt;=7%,SUMPRODUCT(N(Tabela3[Nome]=Tabela3[[#This Row],[Nome]]),Tabela3[PL])&gt;0),"Sim","Não")</f>
        <v>Não</v>
      </c>
      <c r="AJ216" s="41">
        <f>IF(Tabela3[Cotação]&gt;0,Tabela3[[#This Row],[Lucro]]/Tabela3[[#This Row],[Cotação]],0)</f>
        <v>3.0121991254346118E-2</v>
      </c>
      <c r="AK216" s="19">
        <f>((1+Tabela3[[#This Row],[% Yield]])^(1/(3*Tabela3[[#This Row],[Ref]])))^(12)-1</f>
        <v>4.0362951870063446E-2</v>
      </c>
      <c r="AL216" s="14">
        <f>IF(Tabela3[Cotação]&gt;0,($AS$1/Tabela3[[#This Row],[Cotação]]-MOD($AS$1/Tabela3[[#This Row],[Cotação]],100)),)</f>
        <v>0</v>
      </c>
      <c r="AM216" s="17">
        <f>Tabela3[[#This Row],[Ativos]]*Tabela3[Lucro]</f>
        <v>0</v>
      </c>
      <c r="AN216" s="5">
        <f>SUMPRODUCT(N(Tabela1[Código]=Tabela3[[#This Row],[PAPEL]]),Tabela1[Fechamento])</f>
        <v>17.72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  <c r="AQ216" s="7">
        <f>SUMPRODUCT(N(Tabela1768[Código]=Tabela3[[#This Row],[PAPEL]]),Tabela1768[Fechamento])</f>
        <v>0</v>
      </c>
    </row>
    <row r="217" spans="1:43" hidden="1" x14ac:dyDescent="0.2">
      <c r="A217" s="4" t="s">
        <v>592</v>
      </c>
      <c r="B217" s="57" t="s">
        <v>593</v>
      </c>
      <c r="C217" s="15" t="str">
        <f>LEFT(Tabela3[PAPEL],LEN(Tabela3[PAPEL])-(LEN(Tabela3[PAPEL])-4))</f>
        <v>LINX</v>
      </c>
      <c r="D217" s="15">
        <v>3</v>
      </c>
      <c r="E217" s="6">
        <v>346482097.77999997</v>
      </c>
      <c r="F217" s="8">
        <v>46556463</v>
      </c>
      <c r="G217" s="88">
        <v>0.25</v>
      </c>
      <c r="H217" s="15"/>
      <c r="I217" s="19"/>
      <c r="J217" s="19"/>
      <c r="K217" s="90"/>
      <c r="L217" s="90"/>
      <c r="M217" s="6">
        <v>582947000</v>
      </c>
      <c r="N217" s="97">
        <v>44314000</v>
      </c>
      <c r="O217" s="13">
        <f>Tabela3[[#This Row],[Capital Social]]*20%</f>
        <v>69296419.555999994</v>
      </c>
      <c r="P217" s="13">
        <f>IF((Tabela3[Lucro Líquido]*5%)&gt;Tabela3[Teto R. Legal],Tabela3[Teto R. Legal],Tabela3[Lucro Líquido]*5%)</f>
        <v>2215700</v>
      </c>
      <c r="Q217" s="13">
        <f>IF(Tabela3[Lucro Líquido]&lt;0,0,Tabela3[Lucro Líquido]-Tabela3[Reserva Legal])</f>
        <v>42098300</v>
      </c>
      <c r="R217" s="13">
        <f>Tabela3[[#This Row],[Lucro Distribuir]]*Tabela3[%Div]</f>
        <v>10524575</v>
      </c>
      <c r="S217" s="56">
        <f>SUMPRODUCT(N(Tabela3[Nome]=Tabela3[[#This Row],[Nome]]),Tabela3[Ações])</f>
        <v>46556463</v>
      </c>
      <c r="T217" s="6">
        <f>Tabela3[Capital Social]/Tabela3[Total Ações]</f>
        <v>7.4421911686031645</v>
      </c>
      <c r="U217" s="80">
        <f>Tabela3[[#This Row],[Lucro Líquido]]/Tabela3[[#This Row],[Total Ações]]</f>
        <v>0.9518334758377156</v>
      </c>
      <c r="V21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0.22606045051145746</v>
      </c>
      <c r="W21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0.22606045051145746</v>
      </c>
      <c r="Z217" s="13">
        <f>Tabela3[Div Base]*Tabela3[Ações]</f>
        <v>10524575</v>
      </c>
      <c r="AA217" s="13">
        <f>SUMPRODUCT(N(Tabela3[Nome]=Tabela3[[#This Row],[Nome]]),Tabela3[Div Base]*Tabela3[Ações])</f>
        <v>10524575</v>
      </c>
      <c r="AB217" s="95">
        <f>Tabela3[Patrimônio Líquido]/Tabela3[Total Ações]</f>
        <v>12.521290545632731</v>
      </c>
      <c r="AC217" s="48">
        <f>MAX(Tabela3[[#This Row],[Cotação 1]:[Cotação 4]])</f>
        <v>41.99</v>
      </c>
      <c r="AD217" s="44">
        <f>Tabela3[Cotação]/Tabela3[VPA]</f>
        <v>3.3534881925286517</v>
      </c>
      <c r="AE217" s="40">
        <f>IF(Tabela3[[#This Row],[Lucro/Ação]]&gt;0,Tabela3[[#This Row],[Cotação]]/(Tabela3[[#This Row],[Lucro/Ação]]/Tabela3[Ref]*4),0)</f>
        <v>33.086144582468293</v>
      </c>
      <c r="AF217" s="91" t="e">
        <f>IF(Tabela3[Div. Mínimo]=0,0,Tabela3[Lucro Distribuir]*#REF!/Tabela3[Total Ações])</f>
        <v>#REF!</v>
      </c>
      <c r="AG217" s="80">
        <f>Tabela3[Lucro Distribuir]/Tabela3[Total Ações]</f>
        <v>0.90424180204582982</v>
      </c>
      <c r="AH21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0.22606045051145746</v>
      </c>
      <c r="AI217" s="14" t="str">
        <f>IF(AND(Tabela3[% A.A.]&gt;=7%,SUMPRODUCT(N(Tabela3[Nome]=Tabela3[[#This Row],[Nome]]),Tabela3[PL])&gt;0),"Sim","Não")</f>
        <v>Não</v>
      </c>
      <c r="AJ217" s="42">
        <f>IF(Tabela3[Cotação]&gt;0,Tabela3[[#This Row],[Lucro]]/Tabela3[[#This Row],[Cotação]],0)</f>
        <v>5.3836735058694317E-3</v>
      </c>
      <c r="AK217" s="42">
        <f>((1+Tabela3[[#This Row],[% Yield]])^(1/(3*Tabela3[[#This Row],[Ref]])))^(12)-1</f>
        <v>7.1846645283597521E-3</v>
      </c>
      <c r="AL217" s="14">
        <f>IF(Tabela3[Cotação]&gt;0,($AS$1/Tabela3[[#This Row],[Cotação]]-MOD($AS$1/Tabela3[[#This Row],[Cotação]],100)),)</f>
        <v>0</v>
      </c>
      <c r="AM217" s="17">
        <f>Tabela3[[#This Row],[Ativos]]*Tabela3[Lucro]</f>
        <v>0</v>
      </c>
      <c r="AN217" s="17">
        <f>SUMPRODUCT(N(Tabela1[Código]=Tabela3[[#This Row],[PAPEL]]),Tabela1[Fechamento])</f>
        <v>0</v>
      </c>
      <c r="AO217" s="17">
        <f>SUMPRODUCT(N(Tabela17[Código]=Tabela3[[#This Row],[PAPEL]]),Tabela17[Fechamento])</f>
        <v>0</v>
      </c>
      <c r="AP217" s="17">
        <f>SUMPRODUCT(N(Tabela176[Código]=Tabela3[[#This Row],[PAPEL]]),Tabela176[Fechamento])</f>
        <v>41.99</v>
      </c>
      <c r="AQ217" s="17">
        <f>SUMPRODUCT(N(Tabela1768[Código]=Tabela3[[#This Row],[PAPEL]]),Tabela1768[Fechamento])</f>
        <v>0</v>
      </c>
    </row>
    <row r="218" spans="1:43" hidden="1" x14ac:dyDescent="0.2">
      <c r="A218" s="4" t="s">
        <v>12</v>
      </c>
      <c r="B218" s="60" t="s">
        <v>167</v>
      </c>
      <c r="C218" s="14" t="str">
        <f>LEFT(Tabela3[PAPEL],LEN(Tabela3[PAPEL])-(LEN(Tabela3[PAPEL])-4))</f>
        <v>LIPR</v>
      </c>
      <c r="D218" s="15">
        <v>3</v>
      </c>
      <c r="E218" s="6">
        <v>118054887.48</v>
      </c>
      <c r="F218" s="8">
        <v>11764889</v>
      </c>
      <c r="G218" s="88">
        <v>0.25</v>
      </c>
      <c r="H218" s="15"/>
      <c r="I218" s="19"/>
      <c r="J218" s="19"/>
      <c r="K218" s="90"/>
      <c r="L218" s="90"/>
      <c r="M218" s="92">
        <v>143016000</v>
      </c>
      <c r="N218" s="92">
        <v>5000000</v>
      </c>
      <c r="O218" s="6">
        <f>Tabela3[[#This Row],[Capital Social]]*20%</f>
        <v>23610977.496000003</v>
      </c>
      <c r="P218" s="6">
        <f>IF((Tabela3[Lucro Líquido]*5%)&gt;Tabela3[Teto R. Legal],Tabela3[Teto R. Legal],Tabela3[Lucro Líquido]*5%)</f>
        <v>250000</v>
      </c>
      <c r="Q218" s="92">
        <f>IF(Tabela3[Lucro Líquido]&lt;0,0,Tabela3[Lucro Líquido]-Tabela3[Reserva Legal])</f>
        <v>4750000</v>
      </c>
      <c r="R218" s="92">
        <f>Tabela3[[#This Row],[Lucro Distribuir]]*Tabela3[%Div]</f>
        <v>1187500</v>
      </c>
      <c r="S218" s="56">
        <f>SUMPRODUCT(N(Tabela3[Nome]=Tabela3[[#This Row],[Nome]]),Tabela3[Ações])</f>
        <v>11764889</v>
      </c>
      <c r="T218" s="6">
        <f>Tabela3[Capital Social]/Tabela3[Total Ações]</f>
        <v>10.034509248663545</v>
      </c>
      <c r="U218" s="80">
        <f>Tabela3[[#This Row],[Lucro Líquido]]/Tabela3[[#This Row],[Total Ações]]</f>
        <v>0.4249933849779628</v>
      </c>
      <c r="V21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0.10093592893226618</v>
      </c>
      <c r="W21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0.10093592893226618</v>
      </c>
      <c r="Z218" s="6">
        <f>Tabela3[Div Base]*Tabela3[Ações]</f>
        <v>1187500</v>
      </c>
      <c r="AA218" s="6">
        <f>SUMPRODUCT(N(Tabela3[Nome]=Tabela3[[#This Row],[Nome]]),Tabela3[Div Base]*Tabela3[Ações])</f>
        <v>1187500</v>
      </c>
      <c r="AB218" s="92">
        <f>Tabela3[Patrimônio Líquido]/Tabela3[Total Ações]</f>
        <v>12.156170789201665</v>
      </c>
      <c r="AC218" s="48">
        <f>MAX(Tabela3[[#This Row],[Cotação 1]:[Cotação 4]])</f>
        <v>49.6</v>
      </c>
      <c r="AD218" s="44">
        <f>Tabela3[Cotação]/Tabela3[VPA]</f>
        <v>4.0802322425462894</v>
      </c>
      <c r="AE218" s="40">
        <f>IF(Tabela3[[#This Row],[Lucro/Ação]]&gt;0,Tabela3[[#This Row],[Cotação]]/(Tabela3[[#This Row],[Lucro/Ação]]/Tabela3[Ref]*4),0)</f>
        <v>87.530774160000007</v>
      </c>
      <c r="AF218" s="40" t="e">
        <f>IF(Tabela3[Div. Mínimo]=0,0,Tabela3[Lucro Distribuir]*#REF!/Tabela3[Total Ações])</f>
        <v>#REF!</v>
      </c>
      <c r="AG218" s="80">
        <f>Tabela3[Lucro Distribuir]/Tabela3[Total Ações]</f>
        <v>0.4037437157290647</v>
      </c>
      <c r="AH21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0.10093592893226618</v>
      </c>
      <c r="AI218" s="15" t="str">
        <f>IF(AND(Tabela3[% A.A.]&gt;=7%,SUMPRODUCT(N(Tabela3[Nome]=Tabela3[[#This Row],[Nome]]),Tabela3[PL])&gt;0),"Sim","Não")</f>
        <v>Não</v>
      </c>
      <c r="AJ218" s="42">
        <f>IF(Tabela3[Cotação]&gt;0,Tabela3[[#This Row],[Lucro]]/Tabela3[[#This Row],[Cotação]],0)</f>
        <v>2.0349985671827856E-3</v>
      </c>
      <c r="AK218" s="19">
        <f>((1+Tabela3[[#This Row],[% Yield]])^(1/(3*Tabela3[[#This Row],[Ref]])))^(12)-1</f>
        <v>2.7142512780218286E-3</v>
      </c>
      <c r="AL218" s="14">
        <f>IF(Tabela3[Cotação]&gt;0,($AS$1/Tabela3[[#This Row],[Cotação]]-MOD($AS$1/Tabela3[[#This Row],[Cotação]],100)),)</f>
        <v>0</v>
      </c>
      <c r="AM218" s="17">
        <f>Tabela3[[#This Row],[Ativos]]*Tabela3[Lucro]</f>
        <v>0</v>
      </c>
      <c r="AN218" s="5">
        <f>SUMPRODUCT(N(Tabela1[Código]=Tabela3[[#This Row],[PAPEL]]),Tabela1[Fechamento])</f>
        <v>49.6</v>
      </c>
      <c r="AO218" s="5">
        <f>SUMPRODUCT(N(Tabela17[Código]=Tabela3[[#This Row],[PAPEL]]),Tabela17[Fechamento])</f>
        <v>0</v>
      </c>
      <c r="AP218" s="7">
        <f>SUMPRODUCT(N(Tabela176[Código]=Tabela3[[#This Row],[PAPEL]]),Tabela176[Fechamento])</f>
        <v>0</v>
      </c>
      <c r="AQ218" s="7">
        <f>SUMPRODUCT(N(Tabela1768[Código]=Tabela3[[#This Row],[PAPEL]]),Tabela1768[Fechamento])</f>
        <v>0</v>
      </c>
    </row>
    <row r="219" spans="1:43" hidden="1" x14ac:dyDescent="0.2">
      <c r="A219" s="4" t="s">
        <v>329</v>
      </c>
      <c r="B219" s="57" t="s">
        <v>332</v>
      </c>
      <c r="C219" s="84" t="str">
        <f>LEFT(Tabela3[PAPEL],LEN(Tabela3[PAPEL])-(LEN(Tabela3[PAPEL])-4))</f>
        <v>MAGG</v>
      </c>
      <c r="D219" s="15">
        <v>3</v>
      </c>
      <c r="E219" s="6">
        <v>2528146113.6500001</v>
      </c>
      <c r="F219" s="8">
        <v>291981934</v>
      </c>
      <c r="G219" s="83">
        <v>0.25</v>
      </c>
      <c r="H219" s="15"/>
      <c r="I219" s="19"/>
      <c r="J219" s="19"/>
      <c r="K219" s="90"/>
      <c r="L219" s="90"/>
      <c r="M219" s="6">
        <v>2907030000</v>
      </c>
      <c r="N219" s="6">
        <v>25088000</v>
      </c>
      <c r="O219" s="6">
        <f>Tabela3[[#This Row],[Capital Social]]*20%</f>
        <v>505629222.73000002</v>
      </c>
      <c r="P219" s="6">
        <f>IF((Tabela3[Lucro Líquido]*5%)&gt;Tabela3[Teto R. Legal],Tabela3[Teto R. Legal],Tabela3[Lucro Líquido]*5%)</f>
        <v>1254400</v>
      </c>
      <c r="Q219" s="6">
        <f>IF(Tabela3[Lucro Líquido]&lt;0,0,Tabela3[Lucro Líquido]-Tabela3[Reserva Legal])</f>
        <v>23833600</v>
      </c>
      <c r="R219" s="6">
        <f>Tabela3[[#This Row],[Lucro Distribuir]]*Tabela3[%Div]</f>
        <v>5958400</v>
      </c>
      <c r="S219" s="21">
        <f>SUMPRODUCT(N(Tabela3[Nome]=Tabela3[[#This Row],[Nome]]),Tabela3[Ações])</f>
        <v>291981934</v>
      </c>
      <c r="T219" s="6">
        <f>Tabela3[Capital Social]/Tabela3[Total Ações]</f>
        <v>8.6585703403485237</v>
      </c>
      <c r="U219" s="80">
        <f>Tabela3[[#This Row],[Lucro Líquido]]/Tabela3[[#This Row],[Total Ações]]</f>
        <v>8.5923124271106446E-2</v>
      </c>
      <c r="V21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2.0406742014387781E-2</v>
      </c>
      <c r="W21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1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1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2.0406742014387781E-2</v>
      </c>
      <c r="Z219" s="6">
        <f>Tabela3[Div Base]*Tabela3[Ações]</f>
        <v>5958400</v>
      </c>
      <c r="AA219" s="6">
        <f>SUMPRODUCT(N(Tabela3[Nome]=Tabela3[[#This Row],[Nome]]),Tabela3[Div Base]*Tabela3[Ações])</f>
        <v>5958400</v>
      </c>
      <c r="AB219" s="6">
        <f>Tabela3[Patrimônio Líquido]/Tabela3[Total Ações]</f>
        <v>9.9561981803983812</v>
      </c>
      <c r="AC219" s="48">
        <f>MAX(Tabela3[[#This Row],[Cotação 1]:[Cotação 4]])</f>
        <v>5.27</v>
      </c>
      <c r="AD219" s="44">
        <f>Tabela3[Cotação]/Tabela3[VPA]</f>
        <v>0.52931851139479114</v>
      </c>
      <c r="AE219" s="40">
        <f>IF(Tabela3[[#This Row],[Lucro/Ação]]&gt;0,Tabela3[[#This Row],[Cotação]]/(Tabela3[[#This Row],[Lucro/Ação]]/Tabela3[Ref]*4),0)</f>
        <v>46.000422278977993</v>
      </c>
      <c r="AF219" s="40" t="e">
        <f>IF(Tabela3[Div. Mínimo]=0,0,Tabela3[Lucro Distribuir]*#REF!/Tabela3[Total Ações])</f>
        <v>#REF!</v>
      </c>
      <c r="AG219" s="80">
        <f>Tabela3[Lucro Distribuir]/Tabela3[Total Ações]</f>
        <v>8.1626968057551125E-2</v>
      </c>
      <c r="AH21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2.0406742014387781E-2</v>
      </c>
      <c r="AI219" s="15" t="str">
        <f>IF(AND(Tabela3[% A.A.]&gt;=7%,SUMPRODUCT(N(Tabela3[Nome]=Tabela3[[#This Row],[Nome]]),Tabela3[PL])&gt;0),"Sim","Não")</f>
        <v>Não</v>
      </c>
      <c r="AJ219" s="42">
        <f>IF(Tabela3[Cotação]&gt;0,Tabela3[[#This Row],[Lucro]]/Tabela3[[#This Row],[Cotação]],0)</f>
        <v>3.872247061553659E-3</v>
      </c>
      <c r="AK219" s="19">
        <f>((1+Tabela3[[#This Row],[% Yield]])^(1/(3*Tabela3[[#This Row],[Ref]])))^(12)-1</f>
        <v>5.1663252855165265E-3</v>
      </c>
      <c r="AL219" s="14">
        <f>IF(Tabela3[Cotação]&gt;0,($AS$1/Tabela3[[#This Row],[Cotação]]-MOD($AS$1/Tabela3[[#This Row],[Cotação]],100)),)</f>
        <v>100</v>
      </c>
      <c r="AM219" s="17">
        <f>Tabela3[[#This Row],[Ativos]]*Tabela3[Lucro]</f>
        <v>2.0406742014387782</v>
      </c>
      <c r="AN219" s="13">
        <f>SUMPRODUCT(N(Tabela1[Código]=Tabela3[[#This Row],[PAPEL]]),Tabela1[Fechamento])</f>
        <v>0</v>
      </c>
      <c r="AO219" s="55">
        <f>SUMPRODUCT(N(Tabela17[Código]=Tabela3[[#This Row],[PAPEL]]),Tabela17[Fechamento])</f>
        <v>5.27</v>
      </c>
      <c r="AP219" s="7">
        <f>SUMPRODUCT(N(Tabela176[Código]=Tabela3[[#This Row],[PAPEL]]),Tabela176[Fechamento])</f>
        <v>0</v>
      </c>
      <c r="AQ219" s="7">
        <f>SUMPRODUCT(N(Tabela1768[Código]=Tabela3[[#This Row],[PAPEL]]),Tabela1768[Fechamento])</f>
        <v>0</v>
      </c>
    </row>
    <row r="220" spans="1:43" hidden="1" x14ac:dyDescent="0.2">
      <c r="A220" s="4" t="s">
        <v>264</v>
      </c>
      <c r="B220" s="58" t="s">
        <v>1001</v>
      </c>
      <c r="C220" s="16" t="str">
        <f>LEFT(Tabela3[PAPEL],LEN(Tabela3[PAPEL])-(LEN(Tabela3[PAPEL])-4))</f>
        <v>MDIA</v>
      </c>
      <c r="D220" s="16">
        <v>3</v>
      </c>
      <c r="E220" s="5">
        <v>725607830.69000006</v>
      </c>
      <c r="F220" s="56">
        <v>113450000</v>
      </c>
      <c r="G220" s="83">
        <v>0.25</v>
      </c>
      <c r="H220" s="89"/>
      <c r="I220" s="18"/>
      <c r="K220" s="16"/>
      <c r="L220" s="89"/>
      <c r="M220" s="94">
        <v>2754410000</v>
      </c>
      <c r="N220" s="73">
        <v>392611000</v>
      </c>
      <c r="O220" s="7">
        <f>Tabela3[[#This Row],[Capital Social]]*20%</f>
        <v>145121566.13800001</v>
      </c>
      <c r="P220" s="47">
        <f>IF((Tabela3[Lucro Líquido]*5%)&gt;Tabela3[Teto R. Legal],Tabela3[Teto R. Legal],Tabela3[Lucro Líquido]*5%)</f>
        <v>19630550</v>
      </c>
      <c r="Q220" s="47">
        <f>IF(Tabela3[Lucro Líquido]&lt;0,0,Tabela3[Lucro Líquido]-Tabela3[Reserva Legal])</f>
        <v>372980450</v>
      </c>
      <c r="R220" s="47">
        <f>Tabela3[[#This Row],[Lucro Distribuir]]*Tabela3[%Div]</f>
        <v>93245112.5</v>
      </c>
      <c r="S220" s="56">
        <f>SUMPRODUCT(N(Tabela3[Nome]=Tabela3[[#This Row],[Nome]]),Tabela3[Ações])</f>
        <v>113450000</v>
      </c>
      <c r="T220" s="87">
        <f>Tabela3[Capital Social]/Tabela3[Total Ações]</f>
        <v>6.3958380845306309</v>
      </c>
      <c r="U220" s="87">
        <f>Tabela3[[#This Row],[Lucro Líquido]]/Tabela3[[#This Row],[Total Ações]]</f>
        <v>3.4606522697223445</v>
      </c>
      <c r="V220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0.82190491405905686</v>
      </c>
      <c r="W220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0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0.82190491405905686</v>
      </c>
      <c r="Z220" s="7">
        <f>Tabela3[Div Base]*Tabela3[Ações]</f>
        <v>93245112.5</v>
      </c>
      <c r="AA220" s="7">
        <f>SUMPRODUCT(N(Tabela3[Nome]=Tabela3[[#This Row],[Nome]]),Tabela3[Div Base]*Tabela3[Ações])</f>
        <v>93245112.5</v>
      </c>
      <c r="AB220" s="74">
        <f>Tabela3[Patrimônio Líquido]/Tabela3[Total Ações]</f>
        <v>24.278624944909652</v>
      </c>
      <c r="AC220" s="52">
        <f>MAX(Tabela3[[#This Row],[Cotação 1]:[Cotação 4]])</f>
        <v>0</v>
      </c>
      <c r="AD220" s="53">
        <f>Tabela3[Cotação]/Tabela3[VPA]</f>
        <v>0</v>
      </c>
      <c r="AE220" s="37">
        <f>IF(Tabela3[[#This Row],[Lucro/Ação]]&gt;0,Tabela3[[#This Row],[Cotação]]/(Tabela3[[#This Row],[Lucro/Ação]]/Tabela3[Ref]*4),0)</f>
        <v>0</v>
      </c>
      <c r="AF220" s="59" t="e">
        <f>IF(Tabela3[Div. Mínimo]=0,0,Tabela3[Lucro Distribuir]*#REF!/Tabela3[Total Ações])</f>
        <v>#REF!</v>
      </c>
      <c r="AG220" s="87">
        <f>Tabela3[Lucro Distribuir]/Tabela3[Total Ações]</f>
        <v>3.2876196562362274</v>
      </c>
      <c r="AH220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0.82190491405905686</v>
      </c>
      <c r="AI220" s="10" t="str">
        <f>IF(AND(Tabela3[% A.A.]&gt;=7%,SUMPRODUCT(N(Tabela3[Nome]=Tabela3[[#This Row],[Nome]]),Tabela3[PL])&gt;0),"Sim","Não")</f>
        <v>Não</v>
      </c>
      <c r="AJ220" s="22">
        <f>IF(Tabela3[Cotação]&gt;0,Tabela3[[#This Row],[Lucro]]/Tabela3[[#This Row],[Cotação]],0)</f>
        <v>0</v>
      </c>
      <c r="AK220" s="22">
        <f>((1+Tabela3[[#This Row],[% Yield]])^(1/(3*Tabela3[[#This Row],[Ref]])))^(12)-1</f>
        <v>0</v>
      </c>
      <c r="AL220" s="10">
        <f>IF(Tabela3[Cotação]&gt;0,($AS$1/Tabela3[[#This Row],[Cotação]]-MOD($AS$1/Tabela3[[#This Row],[Cotação]],100)),)</f>
        <v>0</v>
      </c>
      <c r="AM220" s="7">
        <f>Tabela3[[#This Row],[Ativos]]*Tabela3[Lucro]</f>
        <v>0</v>
      </c>
      <c r="AN220" s="7">
        <f>SUMPRODUCT(N(Tabela1[Código]=Tabela3[[#This Row],[PAPEL]]),Tabela1[Fechamento])</f>
        <v>0</v>
      </c>
      <c r="AO220" s="7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  <c r="AQ220" s="7">
        <f>SUMPRODUCT(N(Tabela1768[Código]=Tabela3[[#This Row],[PAPEL]]),Tabela1768[Fechamento])</f>
        <v>0</v>
      </c>
    </row>
    <row r="221" spans="1:43" hidden="1" x14ac:dyDescent="0.2">
      <c r="A221" s="4" t="s">
        <v>370</v>
      </c>
      <c r="B221" s="57" t="s">
        <v>368</v>
      </c>
      <c r="C221" s="14" t="str">
        <f>LEFT(Tabela3[PAPEL],LEN(Tabela3[PAPEL])-(LEN(Tabela3[PAPEL])-4))</f>
        <v>MERC</v>
      </c>
      <c r="D221" s="15">
        <v>3</v>
      </c>
      <c r="E221" s="6">
        <v>75263993.599999994</v>
      </c>
      <c r="F221" s="8">
        <v>6646956</v>
      </c>
      <c r="G221" s="88">
        <v>0.25</v>
      </c>
      <c r="H221" s="15"/>
      <c r="I221" s="19"/>
      <c r="J221" s="19"/>
      <c r="K221" s="90"/>
      <c r="L221" s="90"/>
      <c r="M221" s="5">
        <v>162348000</v>
      </c>
      <c r="N221" s="5">
        <v>18569000</v>
      </c>
      <c r="O221" s="6">
        <f>Tabela3[[#This Row],[Capital Social]]*20%</f>
        <v>15052798.719999999</v>
      </c>
      <c r="P221" s="6">
        <f>IF((Tabela3[Lucro Líquido]*5%)&gt;Tabela3[Teto R. Legal],Tabela3[Teto R. Legal],Tabela3[Lucro Líquido]*5%)</f>
        <v>928450</v>
      </c>
      <c r="Q221" s="6">
        <f>IF(Tabela3[Lucro Líquido]&lt;0,0,Tabela3[Lucro Líquido]-Tabela3[Reserva Legal])</f>
        <v>17640550</v>
      </c>
      <c r="R221" s="6">
        <f>Tabela3[[#This Row],[Lucro Distribuir]]*Tabela3[%Div]</f>
        <v>4410137.5</v>
      </c>
      <c r="S221" s="56">
        <f>SUMPRODUCT(N(Tabela3[Nome]=Tabela3[[#This Row],[Nome]]),Tabela3[Ações])</f>
        <v>11759999</v>
      </c>
      <c r="T221" s="6">
        <f>Tabela3[Capital Social]/Tabela3[Total Ações]</f>
        <v>6.3999999999999995</v>
      </c>
      <c r="U221" s="80">
        <f>Tabela3[[#This Row],[Lucro Líquido]]/Tabela3[[#This Row],[Total Ações]]</f>
        <v>1.5789967329078856</v>
      </c>
      <c r="V22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0.36334368331035932</v>
      </c>
      <c r="W22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0.36809766575858183</v>
      </c>
      <c r="Y22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0.36334368331035932</v>
      </c>
      <c r="Z221" s="6">
        <f>Tabela3[Div Base]*Tabela3[Ações]</f>
        <v>2415129.4758418929</v>
      </c>
      <c r="AA221" s="6">
        <f>SUMPRODUCT(N(Tabela3[Nome]=Tabela3[[#This Row],[Nome]]),Tabela3[Div Base]*Tabela3[Ações])</f>
        <v>4458700.5428400459</v>
      </c>
      <c r="AB221" s="6">
        <f>Tabela3[Patrimônio Líquido]/Tabela3[Total Ações]</f>
        <v>13.805103214719662</v>
      </c>
      <c r="AC221" s="48">
        <f>MAX(Tabela3[[#This Row],[Cotação 1]:[Cotação 4]])</f>
        <v>83.91</v>
      </c>
      <c r="AD221" s="44">
        <f>Tabela3[Cotação]/Tabela3[VPA]</f>
        <v>6.0781870801611353</v>
      </c>
      <c r="AE221" s="40">
        <f>IF(Tabela3[[#This Row],[Lucro/Ação]]&gt;0,Tabela3[[#This Row],[Cotação]]/(Tabela3[[#This Row],[Lucro/Ação]]/Tabela3[Ref]*4),0)</f>
        <v>39.856003934918412</v>
      </c>
      <c r="AF221" s="40" t="e">
        <f>IF(Tabela3[Div. Mínimo]=0,0,Tabela3[Lucro Distribuir]*#REF!/Tabela3[Total Ações])</f>
        <v>#REF!</v>
      </c>
      <c r="AG221" s="80">
        <f>Tabela3[Lucro Distribuir]/Tabela3[Total Ações]</f>
        <v>1.5000468962624911</v>
      </c>
      <c r="AH22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0.36334368331035932</v>
      </c>
      <c r="AI221" s="15" t="str">
        <f>IF(AND(Tabela3[% A.A.]&gt;=7%,SUMPRODUCT(N(Tabela3[Nome]=Tabela3[[#This Row],[Nome]]),Tabela3[PL])&gt;0),"Sim","Não")</f>
        <v>Não</v>
      </c>
      <c r="AJ221" s="42">
        <f>IF(Tabela3[Cotação]&gt;0,Tabela3[[#This Row],[Lucro]]/Tabela3[[#This Row],[Cotação]],0)</f>
        <v>4.3301594960119096E-3</v>
      </c>
      <c r="AK221" s="19">
        <f>((1+Tabela3[[#This Row],[% Yield]])^(1/(3*Tabela3[[#This Row],[Ref]])))^(12)-1</f>
        <v>5.7777087216022149E-3</v>
      </c>
      <c r="AL221" s="14">
        <f>IF(Tabela3[Cotação]&gt;0,($AS$1/Tabela3[[#This Row],[Cotação]]-MOD($AS$1/Tabela3[[#This Row],[Cotação]],100)),)</f>
        <v>0</v>
      </c>
      <c r="AM221" s="17">
        <f>Tabela3[[#This Row],[Ativos]]*Tabela3[Lucro]</f>
        <v>0</v>
      </c>
      <c r="AN221" s="5">
        <f>SUMPRODUCT(N(Tabela1[Código]=Tabela3[[#This Row],[PAPEL]]),Tabela1[Fechamento])</f>
        <v>0</v>
      </c>
      <c r="AO221" s="5">
        <f>SUMPRODUCT(N(Tabela17[Código]=Tabela3[[#This Row],[PAPEL]]),Tabela17[Fechamento])</f>
        <v>83.91</v>
      </c>
      <c r="AP221" s="7">
        <f>SUMPRODUCT(N(Tabela176[Código]=Tabela3[[#This Row],[PAPEL]]),Tabela176[Fechamento])</f>
        <v>0</v>
      </c>
      <c r="AQ221" s="7">
        <f>SUMPRODUCT(N(Tabela1768[Código]=Tabela3[[#This Row],[PAPEL]]),Tabela1768[Fechamento])</f>
        <v>0</v>
      </c>
    </row>
    <row r="222" spans="1:43" x14ac:dyDescent="0.2">
      <c r="A222" s="4" t="s">
        <v>340</v>
      </c>
      <c r="B222" s="57" t="s">
        <v>429</v>
      </c>
      <c r="C222" s="84" t="str">
        <f>LEFT(Tabela3[PAPEL],LEN(Tabela3[PAPEL])-(LEN(Tabela3[PAPEL])-4))</f>
        <v>PATI</v>
      </c>
      <c r="D222" s="16">
        <v>3</v>
      </c>
      <c r="E222" s="5">
        <v>140000000</v>
      </c>
      <c r="F222" s="8">
        <v>11841369</v>
      </c>
      <c r="G222" s="88">
        <v>0.25</v>
      </c>
      <c r="I222" s="18"/>
      <c r="K222" s="89"/>
      <c r="L222" s="89"/>
      <c r="M222" s="6">
        <v>241884000</v>
      </c>
      <c r="N222" s="6">
        <v>56208000</v>
      </c>
      <c r="O222" s="6">
        <f>Tabela3[[#This Row],[Capital Social]]*20%</f>
        <v>28000000</v>
      </c>
      <c r="P222" s="6">
        <f>IF((Tabela3[Lucro Líquido]*5%)&gt;Tabela3[Teto R. Legal],Tabela3[Teto R. Legal],Tabela3[Lucro Líquido]*5%)</f>
        <v>2810400</v>
      </c>
      <c r="Q222" s="6">
        <f>IF(Tabela3[Lucro Líquido]&lt;0,0,Tabela3[Lucro Líquido]-Tabela3[Reserva Legal])</f>
        <v>53397600</v>
      </c>
      <c r="R222" s="6">
        <f>Tabela3[[#This Row],[Lucro Distribuir]]*Tabela3[%Div]</f>
        <v>13349400</v>
      </c>
      <c r="S222" s="21">
        <f>SUMPRODUCT(N(Tabela3[Nome]=Tabela3[[#This Row],[Nome]]),Tabela3[Ações])</f>
        <v>12587262</v>
      </c>
      <c r="T222" s="5">
        <f>Tabela3[Capital Social]/Tabela3[Total Ações]</f>
        <v>11.12235528266592</v>
      </c>
      <c r="U222" s="79">
        <f>Tabela3[[#This Row],[Lucro Líquido]]/Tabela3[[#This Row],[Total Ações]]</f>
        <v>4.4654667552006151</v>
      </c>
      <c r="V222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1.0605483543601459</v>
      </c>
      <c r="W222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1.0547251506065671</v>
      </c>
      <c r="X22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1.0713045969677761</v>
      </c>
      <c r="Y222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1.0547251506065671</v>
      </c>
      <c r="Z222" s="5">
        <f>Tabela3[Div Base]*Tabela3[Ações]</f>
        <v>12489389.701912936</v>
      </c>
      <c r="AA222" s="5">
        <f>SUMPRODUCT(N(Tabela3[Nome]=Tabela3[[#This Row],[Nome]]),Tabela3[Div Base]*Tabela3[Ações])</f>
        <v>13349400.000000002</v>
      </c>
      <c r="AB222" s="5">
        <f>Tabela3[Patrimônio Líquido]/Tabela3[Total Ações]</f>
        <v>19.216569894231167</v>
      </c>
      <c r="AC222" s="82">
        <f>MAX(Tabela3[[#This Row],[Cotação 1]:[Cotação 4]])</f>
        <v>17.100000000000001</v>
      </c>
      <c r="AD222" s="83">
        <f>Tabela3[Cotação]/Tabela3[VPA]</f>
        <v>0.88985703973805641</v>
      </c>
      <c r="AE222" s="34">
        <f>IF(Tabela3[[#This Row],[Lucro/Ação]]&gt;0,Tabela3[[#This Row],[Cotação]]/(Tabela3[[#This Row],[Lucro/Ação]]/Tabela3[Ref]*4),0)</f>
        <v>2.8720401926771988</v>
      </c>
      <c r="AF222" s="34" t="e">
        <f>IF(Tabela3[Div. Mínimo]=0,0,Tabela3[Lucro Distribuir]*#REF!/Tabela3[Total Ações])</f>
        <v>#REF!</v>
      </c>
      <c r="AG222" s="79">
        <f>Tabela3[Lucro Distribuir]/Tabela3[Total Ações]</f>
        <v>4.2421934174405838</v>
      </c>
      <c r="AH222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1.0547251506065671</v>
      </c>
      <c r="AI222" s="10" t="str">
        <f>IF(AND(Tabela3[% A.A.]&gt;=7%,SUMPRODUCT(N(Tabela3[Nome]=Tabela3[[#This Row],[Nome]]),Tabela3[PL])&gt;0),"Sim","Não")</f>
        <v>Sim</v>
      </c>
      <c r="AJ222" s="22">
        <f>IF(Tabela3[Cotação]&gt;0,Tabela3[[#This Row],[Lucro]]/Tabela3[[#This Row],[Cotação]],0)</f>
        <v>6.1679833368805087E-2</v>
      </c>
      <c r="AK222" s="18">
        <f>((1+Tabela3[[#This Row],[% Yield]])^(1/(3*Tabela3[[#This Row],[Ref]])))^(12)-1</f>
        <v>8.3073900928402944E-2</v>
      </c>
      <c r="AL222" s="10">
        <f>IF(Tabela3[Cotação]&gt;0,($AS$1/Tabela3[[#This Row],[Cotação]]-MOD($AS$1/Tabela3[[#This Row],[Cotação]],100)),)</f>
        <v>0</v>
      </c>
      <c r="AM222" s="47">
        <f>Tabela3[[#This Row],[Ativos]]*Tabela3[Lucro]</f>
        <v>0</v>
      </c>
      <c r="AN222" s="47">
        <f>SUMPRODUCT(N(Tabela1[Código]=Tabela3[[#This Row],[PAPEL]]),Tabela1[Fechamento])</f>
        <v>17.100000000000001</v>
      </c>
      <c r="AO222" s="47">
        <f>SUMPRODUCT(N(Tabela17[Código]=Tabela3[[#This Row],[PAPEL]]),Tabela17[Fechamento])</f>
        <v>0</v>
      </c>
      <c r="AP222" s="7">
        <f>SUMPRODUCT(N(Tabela176[Código]=Tabela3[[#This Row],[PAPEL]]),Tabela176[Fechamento])</f>
        <v>0</v>
      </c>
      <c r="AQ222" s="7">
        <f>SUMPRODUCT(N(Tabela1768[Código]=Tabela3[[#This Row],[PAPEL]]),Tabela1768[Fechamento])</f>
        <v>0</v>
      </c>
    </row>
    <row r="223" spans="1:43" hidden="1" x14ac:dyDescent="0.2">
      <c r="A223" s="4" t="s">
        <v>340</v>
      </c>
      <c r="B223" s="57" t="s">
        <v>640</v>
      </c>
      <c r="C223" s="15" t="str">
        <f>LEFT(Tabela3[PAPEL],LEN(Tabela3[PAPEL])-(LEN(Tabela3[PAPEL])-4))</f>
        <v>MGEL</v>
      </c>
      <c r="D223" s="15">
        <v>3</v>
      </c>
      <c r="E223" s="6">
        <v>171272996.66999999</v>
      </c>
      <c r="F223" s="8">
        <v>6201730</v>
      </c>
      <c r="G223" s="88">
        <v>0.25</v>
      </c>
      <c r="H223" s="9"/>
      <c r="I223" s="19"/>
      <c r="J223" s="19"/>
      <c r="K223" s="90"/>
      <c r="L223" s="90"/>
      <c r="M223" s="96">
        <v>-64885000</v>
      </c>
      <c r="N223" s="97">
        <v>-32917000</v>
      </c>
      <c r="O223" s="13">
        <f>Tabela3[[#This Row],[Capital Social]]*20%</f>
        <v>34254599.333999999</v>
      </c>
      <c r="P223" s="13">
        <f>IF((Tabela3[Lucro Líquido]*5%)&gt;Tabela3[Teto R. Legal],Tabela3[Teto R. Legal],Tabela3[Lucro Líquido]*5%)</f>
        <v>-1645850</v>
      </c>
      <c r="Q223" s="13">
        <f>IF(Tabela3[Lucro Líquido]&lt;0,0,Tabela3[Lucro Líquido]-Tabela3[Reserva Legal])</f>
        <v>0</v>
      </c>
      <c r="R223" s="13">
        <f>Tabela3[[#This Row],[Lucro Distribuir]]*Tabela3[%Div]</f>
        <v>0</v>
      </c>
      <c r="S223" s="56">
        <f>SUMPRODUCT(N(Tabela3[Nome]=Tabela3[[#This Row],[Nome]]),Tabela3[Ações])</f>
        <v>17349638</v>
      </c>
      <c r="T223" s="6">
        <f>Tabela3[Capital Social]/Tabela3[Total Ações]</f>
        <v>9.871848431073893</v>
      </c>
      <c r="U223" s="80">
        <f>Tabela3[[#This Row],[Lucro Líquido]]/Tabela3[[#This Row],[Total Ações]]</f>
        <v>-1.8972730151487887</v>
      </c>
      <c r="V22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3" s="13">
        <f>Tabela3[Div Base]*Tabela3[Ações]</f>
        <v>0</v>
      </c>
      <c r="AA223" s="13">
        <f>SUMPRODUCT(N(Tabela3[Nome]=Tabela3[[#This Row],[Nome]]),Tabela3[Div Base]*Tabela3[Ações])</f>
        <v>0</v>
      </c>
      <c r="AB223" s="95">
        <f>Tabela3[Patrimônio Líquido]/Tabela3[Total Ações]</f>
        <v>-3.7398474826967569</v>
      </c>
      <c r="AC223" s="48">
        <f>MAX(Tabela3[[#This Row],[Cotação 1]:[Cotação 4]])</f>
        <v>25</v>
      </c>
      <c r="AD223" s="44">
        <f>Tabela3[Cotação]/Tabela3[VPA]</f>
        <v>-6.684764583493874</v>
      </c>
      <c r="AE223" s="40">
        <f>IF(Tabela3[[#This Row],[Lucro/Ação]]&gt;0,Tabela3[[#This Row],[Cotação]]/(Tabela3[[#This Row],[Lucro/Ação]]/Tabela3[Ref]*4),0)</f>
        <v>0</v>
      </c>
      <c r="AF223" s="91">
        <f>IF(Tabela3[Div. Mínimo]=0,0,Tabela3[Lucro Distribuir]*#REF!/Tabela3[Total Ações])</f>
        <v>0</v>
      </c>
      <c r="AG223" s="80">
        <f>Tabela3[Lucro Distribuir]/Tabela3[Total Ações]</f>
        <v>0</v>
      </c>
      <c r="AH22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3" s="14" t="str">
        <f>IF(AND(Tabela3[% A.A.]&gt;=7%,SUMPRODUCT(N(Tabela3[Nome]=Tabela3[[#This Row],[Nome]]),Tabela3[PL])&gt;0),"Sim","Não")</f>
        <v>Não</v>
      </c>
      <c r="AJ223" s="42">
        <f>IF(Tabela3[Cotação]&gt;0,Tabela3[[#This Row],[Lucro]]/Tabela3[[#This Row],[Cotação]],0)</f>
        <v>0</v>
      </c>
      <c r="AK223" s="42">
        <f>((1+Tabela3[[#This Row],[% Yield]])^(1/(3*Tabela3[[#This Row],[Ref]])))^(12)-1</f>
        <v>0</v>
      </c>
      <c r="AL223" s="14">
        <f>IF(Tabela3[Cotação]&gt;0,($AS$1/Tabela3[[#This Row],[Cotação]]-MOD($AS$1/Tabela3[[#This Row],[Cotação]],100)),)</f>
        <v>0</v>
      </c>
      <c r="AM223" s="17">
        <f>Tabela3[[#This Row],[Ativos]]*Tabela3[Lucro]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0</v>
      </c>
      <c r="AP223" s="17">
        <f>SUMPRODUCT(N(Tabela176[Código]=Tabela3[[#This Row],[PAPEL]]),Tabela176[Fechamento])</f>
        <v>25</v>
      </c>
      <c r="AQ223" s="17">
        <f>SUMPRODUCT(N(Tabela1768[Código]=Tabela3[[#This Row],[PAPEL]]),Tabela1768[Fechamento])</f>
        <v>0</v>
      </c>
    </row>
    <row r="224" spans="1:43" hidden="1" x14ac:dyDescent="0.2">
      <c r="A224" s="4" t="s">
        <v>340</v>
      </c>
      <c r="B224" s="57" t="s">
        <v>641</v>
      </c>
      <c r="C224" s="15" t="str">
        <f>LEFT(Tabela3[PAPEL],LEN(Tabela3[PAPEL])-(LEN(Tabela3[PAPEL])-4))</f>
        <v>MGEL</v>
      </c>
      <c r="D224" s="15">
        <v>3</v>
      </c>
      <c r="E224" s="6">
        <v>171272996.66999999</v>
      </c>
      <c r="F224" s="8">
        <v>11147908</v>
      </c>
      <c r="G224" s="88">
        <v>0.25</v>
      </c>
      <c r="H224" s="9"/>
      <c r="I224" s="19"/>
      <c r="J224" s="19">
        <v>0.1</v>
      </c>
      <c r="K224" s="90"/>
      <c r="L224" s="90"/>
      <c r="M224" s="96">
        <v>-64885000</v>
      </c>
      <c r="N224" s="97">
        <v>-32917000</v>
      </c>
      <c r="O224" s="13">
        <f>Tabela3[[#This Row],[Capital Social]]*20%</f>
        <v>34254599.333999999</v>
      </c>
      <c r="P224" s="13">
        <f>IF((Tabela3[Lucro Líquido]*5%)&gt;Tabela3[Teto R. Legal],Tabela3[Teto R. Legal],Tabela3[Lucro Líquido]*5%)</f>
        <v>-1645850</v>
      </c>
      <c r="Q224" s="13">
        <f>IF(Tabela3[Lucro Líquido]&lt;0,0,Tabela3[Lucro Líquido]-Tabela3[Reserva Legal])</f>
        <v>0</v>
      </c>
      <c r="R224" s="13">
        <f>Tabela3[[#This Row],[Lucro Distribuir]]*Tabela3[%Div]</f>
        <v>0</v>
      </c>
      <c r="S224" s="56">
        <f>SUMPRODUCT(N(Tabela3[Nome]=Tabela3[[#This Row],[Nome]]),Tabela3[Ações])</f>
        <v>17349638</v>
      </c>
      <c r="T224" s="6">
        <f>Tabela3[Capital Social]/Tabela3[Total Ações]</f>
        <v>9.871848431073893</v>
      </c>
      <c r="U224" s="80">
        <f>Tabela3[[#This Row],[Lucro Líquido]]/Tabela3[[#This Row],[Total Ações]]</f>
        <v>-1.8972730151487887</v>
      </c>
      <c r="V22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4" s="13">
        <f>Tabela3[Div Base]*Tabela3[Ações]</f>
        <v>0</v>
      </c>
      <c r="AA224" s="13">
        <f>SUMPRODUCT(N(Tabela3[Nome]=Tabela3[[#This Row],[Nome]]),Tabela3[Div Base]*Tabela3[Ações])</f>
        <v>0</v>
      </c>
      <c r="AB224" s="95">
        <f>Tabela3[Patrimônio Líquido]/Tabela3[Total Ações]</f>
        <v>-3.7398474826967569</v>
      </c>
      <c r="AC224" s="48">
        <f>MAX(Tabela3[[#This Row],[Cotação 1]:[Cotação 4]])</f>
        <v>0.55000000000000004</v>
      </c>
      <c r="AD224" s="44">
        <f>Tabela3[Cotação]/Tabela3[VPA]</f>
        <v>-0.14706482083686526</v>
      </c>
      <c r="AE224" s="40">
        <f>IF(Tabela3[[#This Row],[Lucro/Ação]]&gt;0,Tabela3[[#This Row],[Cotação]]/(Tabela3[[#This Row],[Lucro/Ação]]/Tabela3[Ref]*4),0)</f>
        <v>0</v>
      </c>
      <c r="AF224" s="91">
        <f>IF(Tabela3[Div. Mínimo]=0,0,Tabela3[Lucro Distribuir]*#REF!/Tabela3[Total Ações])</f>
        <v>0</v>
      </c>
      <c r="AG224" s="80">
        <f>Tabela3[Lucro Distribuir]/Tabela3[Total Ações]</f>
        <v>0</v>
      </c>
      <c r="AH22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4" s="14" t="str">
        <f>IF(AND(Tabela3[% A.A.]&gt;=7%,SUMPRODUCT(N(Tabela3[Nome]=Tabela3[[#This Row],[Nome]]),Tabela3[PL])&gt;0),"Sim","Não")</f>
        <v>Não</v>
      </c>
      <c r="AJ224" s="42">
        <f>IF(Tabela3[Cotação]&gt;0,Tabela3[[#This Row],[Lucro]]/Tabela3[[#This Row],[Cotação]],0)</f>
        <v>0</v>
      </c>
      <c r="AK224" s="42">
        <f>((1+Tabela3[[#This Row],[% Yield]])^(1/(3*Tabela3[[#This Row],[Ref]])))^(12)-1</f>
        <v>0</v>
      </c>
      <c r="AL224" s="14">
        <f>IF(Tabela3[Cotação]&gt;0,($AS$1/Tabela3[[#This Row],[Cotação]]-MOD($AS$1/Tabela3[[#This Row],[Cotação]],100)),)</f>
        <v>1800</v>
      </c>
      <c r="AM224" s="17">
        <f>Tabela3[[#This Row],[Ativos]]*Tabela3[Lucro]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0</v>
      </c>
      <c r="AP224" s="17">
        <f>SUMPRODUCT(N(Tabela176[Código]=Tabela3[[#This Row],[PAPEL]]),Tabela176[Fechamento])</f>
        <v>0.55000000000000004</v>
      </c>
      <c r="AQ224" s="17">
        <f>SUMPRODUCT(N(Tabela1768[Código]=Tabela3[[#This Row],[PAPEL]]),Tabela1768[Fechamento])</f>
        <v>0</v>
      </c>
    </row>
    <row r="225" spans="1:43" hidden="1" x14ac:dyDescent="0.2">
      <c r="A225" s="4" t="s">
        <v>298</v>
      </c>
      <c r="B225" s="57" t="s">
        <v>549</v>
      </c>
      <c r="C225" s="15" t="str">
        <f>LEFT(Tabela3[PAPEL],LEN(Tabela3[PAPEL])-(LEN(Tabela3[PAPEL])-4))</f>
        <v>MLFT</v>
      </c>
      <c r="D225" s="15">
        <v>3</v>
      </c>
      <c r="E225" s="6">
        <v>784003710.15999997</v>
      </c>
      <c r="F225" s="8">
        <v>385822906</v>
      </c>
      <c r="G225" s="88">
        <v>0.25</v>
      </c>
      <c r="H225" s="19"/>
      <c r="I225" s="19"/>
      <c r="J225" s="19"/>
      <c r="K225" s="90"/>
      <c r="L225" s="90"/>
      <c r="M225" s="96">
        <v>1718473000</v>
      </c>
      <c r="N225" s="97">
        <v>-19305000</v>
      </c>
      <c r="O225" s="13">
        <f>Tabela3[[#This Row],[Capital Social]]*20%</f>
        <v>156800742.03200001</v>
      </c>
      <c r="P225" s="13">
        <f>IF((Tabela3[Lucro Líquido]*5%)&gt;Tabela3[Teto R. Legal],Tabela3[Teto R. Legal],Tabela3[Lucro Líquido]*5%)</f>
        <v>-965250</v>
      </c>
      <c r="Q225" s="13">
        <f>IF(Tabela3[Lucro Líquido]&lt;0,0,Tabela3[Lucro Líquido]-Tabela3[Reserva Legal])</f>
        <v>0</v>
      </c>
      <c r="R225" s="13">
        <f>Tabela3[[#This Row],[Lucro Distribuir]]*Tabela3[%Div]</f>
        <v>0</v>
      </c>
      <c r="S225" s="56">
        <f>SUMPRODUCT(N(Tabela3[Nome]=Tabela3[[#This Row],[Nome]]),Tabela3[Ações])</f>
        <v>963938751</v>
      </c>
      <c r="T225" s="6">
        <f>Tabela3[Capital Social]/Tabela3[Total Ações]</f>
        <v>0.81333353322155211</v>
      </c>
      <c r="U225" s="80">
        <f>Tabela3[[#This Row],[Lucro Líquido]]/Tabela3[[#This Row],[Total Ações]]</f>
        <v>-2.0027206064672464E-2</v>
      </c>
      <c r="V22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5" s="13">
        <f>Tabela3[Div Base]*Tabela3[Ações]</f>
        <v>0</v>
      </c>
      <c r="AA225" s="13">
        <f>SUMPRODUCT(N(Tabela3[Nome]=Tabela3[[#This Row],[Nome]]),Tabela3[Div Base]*Tabela3[Ações])</f>
        <v>0</v>
      </c>
      <c r="AB225" s="95">
        <f>Tabela3[Patrimônio Líquido]/Tabela3[Total Ações]</f>
        <v>1.782761610338041</v>
      </c>
      <c r="AC225" s="48">
        <f>MAX(Tabela3[[#This Row],[Cotação 1]:[Cotação 4]])</f>
        <v>1.87</v>
      </c>
      <c r="AD225" s="44">
        <f>Tabela3[Cotação]/Tabela3[VPA]</f>
        <v>1.0489344111720116</v>
      </c>
      <c r="AE225" s="40">
        <f>IF(Tabela3[[#This Row],[Lucro/Ação]]&gt;0,Tabela3[[#This Row],[Cotação]]/(Tabela3[[#This Row],[Lucro/Ação]]/Tabela3[Ref]*4),0)</f>
        <v>0</v>
      </c>
      <c r="AF225" s="91">
        <f>IF(Tabela3[Div. Mínimo]=0,0,Tabela3[Lucro Distribuir]*#REF!/Tabela3[Total Ações])</f>
        <v>0</v>
      </c>
      <c r="AG225" s="80">
        <f>Tabela3[Lucro Distribuir]/Tabela3[Total Ações]</f>
        <v>0</v>
      </c>
      <c r="AH22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5" s="14" t="str">
        <f>IF(AND(Tabela3[% A.A.]&gt;=7%,SUMPRODUCT(N(Tabela3[Nome]=Tabela3[[#This Row],[Nome]]),Tabela3[PL])&gt;0),"Sim","Não")</f>
        <v>Não</v>
      </c>
      <c r="AJ225" s="42">
        <f>IF(Tabela3[Cotação]&gt;0,Tabela3[[#This Row],[Lucro]]/Tabela3[[#This Row],[Cotação]],0)</f>
        <v>0</v>
      </c>
      <c r="AK225" s="42">
        <f>((1+Tabela3[[#This Row],[% Yield]])^(1/(3*Tabela3[[#This Row],[Ref]])))^(12)-1</f>
        <v>0</v>
      </c>
      <c r="AL225" s="14">
        <f>IF(Tabela3[Cotação]&gt;0,($AS$1/Tabela3[[#This Row],[Cotação]]-MOD($AS$1/Tabela3[[#This Row],[Cotação]],100)),)</f>
        <v>500</v>
      </c>
      <c r="AM225" s="17">
        <f>Tabela3[[#This Row],[Ativos]]*Tabela3[Lucro]</f>
        <v>0</v>
      </c>
      <c r="AN225" s="17">
        <f>SUMPRODUCT(N(Tabela1[Código]=Tabela3[[#This Row],[PAPEL]]),Tabela1[Fechamento])</f>
        <v>0</v>
      </c>
      <c r="AO225" s="17">
        <f>SUMPRODUCT(N(Tabela17[Código]=Tabela3[[#This Row],[PAPEL]]),Tabela17[Fechamento])</f>
        <v>1.87</v>
      </c>
      <c r="AP225" s="7">
        <f>SUMPRODUCT(N(Tabela176[Código]=Tabela3[[#This Row],[PAPEL]]),Tabela176[Fechamento])</f>
        <v>0</v>
      </c>
      <c r="AQ225" s="7">
        <f>SUMPRODUCT(N(Tabela1768[Código]=Tabela3[[#This Row],[PAPEL]]),Tabela1768[Fechamento])</f>
        <v>0</v>
      </c>
    </row>
    <row r="226" spans="1:43" hidden="1" x14ac:dyDescent="0.2">
      <c r="A226" s="4" t="s">
        <v>298</v>
      </c>
      <c r="B226" s="57" t="s">
        <v>550</v>
      </c>
      <c r="C226" s="15" t="str">
        <f>LEFT(Tabela3[PAPEL],LEN(Tabela3[PAPEL])-(LEN(Tabela3[PAPEL])-4))</f>
        <v>MLFT</v>
      </c>
      <c r="D226" s="15">
        <v>3</v>
      </c>
      <c r="E226" s="6">
        <v>784003710.15999997</v>
      </c>
      <c r="F226" s="8">
        <v>578115845</v>
      </c>
      <c r="G226" s="88">
        <v>0.25</v>
      </c>
      <c r="H226" s="19"/>
      <c r="I226" s="19"/>
      <c r="J226" s="19"/>
      <c r="K226" s="90"/>
      <c r="L226" s="90"/>
      <c r="M226" s="96">
        <v>1718473000</v>
      </c>
      <c r="N226" s="97">
        <v>-19305000</v>
      </c>
      <c r="O226" s="13">
        <f>Tabela3[[#This Row],[Capital Social]]*20%</f>
        <v>156800742.03200001</v>
      </c>
      <c r="P226" s="13">
        <f>IF((Tabela3[Lucro Líquido]*5%)&gt;Tabela3[Teto R. Legal],Tabela3[Teto R. Legal],Tabela3[Lucro Líquido]*5%)</f>
        <v>-965250</v>
      </c>
      <c r="Q226" s="13">
        <f>IF(Tabela3[Lucro Líquido]&lt;0,0,Tabela3[Lucro Líquido]-Tabela3[Reserva Legal])</f>
        <v>0</v>
      </c>
      <c r="R226" s="13">
        <f>Tabela3[[#This Row],[Lucro Distribuir]]*Tabela3[%Div]</f>
        <v>0</v>
      </c>
      <c r="S226" s="56">
        <f>SUMPRODUCT(N(Tabela3[Nome]=Tabela3[[#This Row],[Nome]]),Tabela3[Ações])</f>
        <v>963938751</v>
      </c>
      <c r="T226" s="6">
        <f>Tabela3[Capital Social]/Tabela3[Total Ações]</f>
        <v>0.81333353322155211</v>
      </c>
      <c r="U226" s="80">
        <f>Tabela3[[#This Row],[Lucro Líquido]]/Tabela3[[#This Row],[Total Ações]]</f>
        <v>-2.0027206064672464E-2</v>
      </c>
      <c r="V22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6" s="13">
        <f>Tabela3[Div Base]*Tabela3[Ações]</f>
        <v>0</v>
      </c>
      <c r="AA226" s="13">
        <f>SUMPRODUCT(N(Tabela3[Nome]=Tabela3[[#This Row],[Nome]]),Tabela3[Div Base]*Tabela3[Ações])</f>
        <v>0</v>
      </c>
      <c r="AB226" s="95">
        <f>Tabela3[Patrimônio Líquido]/Tabela3[Total Ações]</f>
        <v>1.782761610338041</v>
      </c>
      <c r="AC226" s="48">
        <f>MAX(Tabela3[[#This Row],[Cotação 1]:[Cotação 4]])</f>
        <v>1.6</v>
      </c>
      <c r="AD226" s="44">
        <f>Tabela3[Cotação]/Tabela3[VPA]</f>
        <v>0.897483988168566</v>
      </c>
      <c r="AE226" s="40">
        <f>IF(Tabela3[[#This Row],[Lucro/Ação]]&gt;0,Tabela3[[#This Row],[Cotação]]/(Tabela3[[#This Row],[Lucro/Ação]]/Tabela3[Ref]*4),0)</f>
        <v>0</v>
      </c>
      <c r="AF226" s="91">
        <f>IF(Tabela3[Div. Mínimo]=0,0,Tabela3[Lucro Distribuir]*#REF!/Tabela3[Total Ações])</f>
        <v>0</v>
      </c>
      <c r="AG226" s="80">
        <f>Tabela3[Lucro Distribuir]/Tabela3[Total Ações]</f>
        <v>0</v>
      </c>
      <c r="AH22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6" s="14" t="str">
        <f>IF(AND(Tabela3[% A.A.]&gt;=7%,SUMPRODUCT(N(Tabela3[Nome]=Tabela3[[#This Row],[Nome]]),Tabela3[PL])&gt;0),"Sim","Não")</f>
        <v>Não</v>
      </c>
      <c r="AJ226" s="42">
        <f>IF(Tabela3[Cotação]&gt;0,Tabela3[[#This Row],[Lucro]]/Tabela3[[#This Row],[Cotação]],0)</f>
        <v>0</v>
      </c>
      <c r="AK226" s="42">
        <f>((1+Tabela3[[#This Row],[% Yield]])^(1/(3*Tabela3[[#This Row],[Ref]])))^(12)-1</f>
        <v>0</v>
      </c>
      <c r="AL226" s="14">
        <f>IF(Tabela3[Cotação]&gt;0,($AS$1/Tabela3[[#This Row],[Cotação]]-MOD($AS$1/Tabela3[[#This Row],[Cotação]],100)),)</f>
        <v>600</v>
      </c>
      <c r="AM226" s="17">
        <f>Tabela3[[#This Row],[Ativos]]*Tabela3[Lucro]</f>
        <v>0</v>
      </c>
      <c r="AN226" s="17">
        <f>SUMPRODUCT(N(Tabela1[Código]=Tabela3[[#This Row],[PAPEL]]),Tabela1[Fechamento])</f>
        <v>0</v>
      </c>
      <c r="AO226" s="17">
        <f>SUMPRODUCT(N(Tabela17[Código]=Tabela3[[#This Row],[PAPEL]]),Tabela17[Fechamento])</f>
        <v>1.6</v>
      </c>
      <c r="AP226" s="7">
        <f>SUMPRODUCT(N(Tabela176[Código]=Tabela3[[#This Row],[PAPEL]]),Tabela176[Fechamento])</f>
        <v>0</v>
      </c>
      <c r="AQ226" s="7">
        <f>SUMPRODUCT(N(Tabela1768[Código]=Tabela3[[#This Row],[PAPEL]]),Tabela1768[Fechamento])</f>
        <v>0</v>
      </c>
    </row>
    <row r="227" spans="1:43" hidden="1" x14ac:dyDescent="0.2">
      <c r="A227" s="4" t="s">
        <v>334</v>
      </c>
      <c r="B227" s="57" t="s">
        <v>688</v>
      </c>
      <c r="C227" s="15" t="str">
        <f>LEFT(Tabela3[PAPEL],LEN(Tabela3[PAPEL])-(LEN(Tabela3[PAPEL])-4))</f>
        <v>MMXM</v>
      </c>
      <c r="D227" s="15">
        <v>3</v>
      </c>
      <c r="E227" s="6">
        <v>5404850055.3100004</v>
      </c>
      <c r="F227" s="8">
        <v>973227439</v>
      </c>
      <c r="G227" s="88">
        <v>0.25</v>
      </c>
      <c r="H227" s="15"/>
      <c r="I227" s="19"/>
      <c r="J227" s="19"/>
      <c r="K227" s="90"/>
      <c r="L227" s="90"/>
      <c r="M227" s="96">
        <v>1751287000</v>
      </c>
      <c r="N227" s="97">
        <v>-1703865000</v>
      </c>
      <c r="O227" s="13">
        <f>Tabela3[[#This Row],[Capital Social]]*20%</f>
        <v>1080970011.062</v>
      </c>
      <c r="P227" s="13">
        <f>IF((Tabela3[Lucro Líquido]*5%)&gt;Tabela3[Teto R. Legal],Tabela3[Teto R. Legal],Tabela3[Lucro Líquido]*5%)</f>
        <v>-85193250</v>
      </c>
      <c r="Q227" s="13">
        <f>IF(Tabela3[Lucro Líquido]&lt;0,0,Tabela3[Lucro Líquido]-Tabela3[Reserva Legal])</f>
        <v>0</v>
      </c>
      <c r="R227" s="13">
        <f>Tabela3[[#This Row],[Lucro Distribuir]]*Tabela3[%Div]</f>
        <v>0</v>
      </c>
      <c r="S227" s="56">
        <f>SUMPRODUCT(N(Tabela3[Nome]=Tabela3[[#This Row],[Nome]]),Tabela3[Ações])</f>
        <v>973227439</v>
      </c>
      <c r="T227" s="6">
        <f>Tabela3[Capital Social]/Tabela3[Total Ações]</f>
        <v>5.5535323386109345</v>
      </c>
      <c r="U227" s="80">
        <f>Tabela3[[#This Row],[Lucro Líquido]]/Tabela3[[#This Row],[Total Ações]]</f>
        <v>-1.7507367052358662</v>
      </c>
      <c r="V22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7" s="13">
        <f>Tabela3[Div Base]*Tabela3[Ações]</f>
        <v>0</v>
      </c>
      <c r="AA227" s="13">
        <f>SUMPRODUCT(N(Tabela3[Nome]=Tabela3[[#This Row],[Nome]]),Tabela3[Div Base]*Tabela3[Ações])</f>
        <v>0</v>
      </c>
      <c r="AB227" s="95">
        <f>Tabela3[Patrimônio Líquido]/Tabela3[Total Ações]</f>
        <v>1.7994632393425563</v>
      </c>
      <c r="AC227" s="48">
        <f>MAX(Tabela3[[#This Row],[Cotação 1]:[Cotação 4]])</f>
        <v>2.91</v>
      </c>
      <c r="AD227" s="44">
        <f>Tabela3[Cotação]/Tabela3[VPA]</f>
        <v>1.6171489010596207</v>
      </c>
      <c r="AE227" s="40">
        <f>IF(Tabela3[[#This Row],[Lucro/Ação]]&gt;0,Tabela3[[#This Row],[Cotação]]/(Tabela3[[#This Row],[Lucro/Ação]]/Tabela3[Ref]*4),0)</f>
        <v>0</v>
      </c>
      <c r="AF227" s="91">
        <f>IF(Tabela3[Div. Mínimo]=0,0,Tabela3[Lucro Distribuir]*#REF!/Tabela3[Total Ações])</f>
        <v>0</v>
      </c>
      <c r="AG227" s="80">
        <f>Tabela3[Lucro Distribuir]/Tabela3[Total Ações]</f>
        <v>0</v>
      </c>
      <c r="AH22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7" s="14" t="str">
        <f>IF(AND(Tabela3[% A.A.]&gt;=7%,SUMPRODUCT(N(Tabela3[Nome]=Tabela3[[#This Row],[Nome]]),Tabela3[PL])&gt;0),"Sim","Não")</f>
        <v>Não</v>
      </c>
      <c r="AJ227" s="42">
        <f>IF(Tabela3[Cotação]&gt;0,Tabela3[[#This Row],[Lucro]]/Tabela3[[#This Row],[Cotação]],0)</f>
        <v>0</v>
      </c>
      <c r="AK227" s="42">
        <f>((1+Tabela3[[#This Row],[% Yield]])^(1/(3*Tabela3[[#This Row],[Ref]])))^(12)-1</f>
        <v>0</v>
      </c>
      <c r="AL227" s="14">
        <f>IF(Tabela3[Cotação]&gt;0,($AS$1/Tabela3[[#This Row],[Cotação]]-MOD($AS$1/Tabela3[[#This Row],[Cotação]],100)),)</f>
        <v>300</v>
      </c>
      <c r="AM227" s="17">
        <f>Tabela3[[#This Row],[Ativos]]*Tabela3[Lucro]</f>
        <v>0</v>
      </c>
      <c r="AN227" s="17">
        <f>SUMPRODUCT(N(Tabela1[Código]=Tabela3[[#This Row],[PAPEL]]),Tabela1[Fechamento])</f>
        <v>0</v>
      </c>
      <c r="AO227" s="17">
        <f>SUMPRODUCT(N(Tabela17[Código]=Tabela3[[#This Row],[PAPEL]]),Tabela17[Fechamento])</f>
        <v>0</v>
      </c>
      <c r="AP227" s="17">
        <f>SUMPRODUCT(N(Tabela176[Código]=Tabela3[[#This Row],[PAPEL]]),Tabela176[Fechamento])</f>
        <v>2.91</v>
      </c>
      <c r="AQ227" s="17">
        <f>SUMPRODUCT(N(Tabela1768[Código]=Tabela3[[#This Row],[PAPEL]]),Tabela1768[Fechamento])</f>
        <v>0</v>
      </c>
    </row>
    <row r="228" spans="1:43" hidden="1" x14ac:dyDescent="0.2">
      <c r="A228" s="3" t="s">
        <v>284</v>
      </c>
      <c r="B228" s="58" t="s">
        <v>972</v>
      </c>
      <c r="C228" s="16" t="str">
        <f>LEFT(Tabela3[PAPEL],LEN(Tabela3[PAPEL])-(LEN(Tabela3[PAPEL])-4))</f>
        <v>MNPR</v>
      </c>
      <c r="D228" s="16">
        <v>3</v>
      </c>
      <c r="E228" s="5">
        <v>120107800</v>
      </c>
      <c r="F228" s="56">
        <v>710010000</v>
      </c>
      <c r="G228" s="83">
        <v>0.25</v>
      </c>
      <c r="H228" s="89"/>
      <c r="I228" s="18"/>
      <c r="K228" s="16"/>
      <c r="L228" s="89"/>
      <c r="M228" s="94">
        <v>-208546000</v>
      </c>
      <c r="N228" s="73">
        <v>-16565000</v>
      </c>
      <c r="O228" s="7">
        <f>Tabela3[[#This Row],[Capital Social]]*20%</f>
        <v>24021560</v>
      </c>
      <c r="P228" s="47">
        <f>IF((Tabela3[Lucro Líquido]*5%)&gt;Tabela3[Teto R. Legal],Tabela3[Teto R. Legal],Tabela3[Lucro Líquido]*5%)</f>
        <v>-828250</v>
      </c>
      <c r="Q228" s="47">
        <f>IF(Tabela3[Lucro Líquido]&lt;0,0,Tabela3[Lucro Líquido]-Tabela3[Reserva Legal])</f>
        <v>0</v>
      </c>
      <c r="R228" s="47">
        <f>Tabela3[[#This Row],[Lucro Distribuir]]*Tabela3[%Div]</f>
        <v>0</v>
      </c>
      <c r="S228" s="56">
        <f>SUMPRODUCT(N(Tabela3[Nome]=Tabela3[[#This Row],[Nome]]),Tabela3[Ações])</f>
        <v>710010000</v>
      </c>
      <c r="T228" s="87">
        <f>Tabela3[Capital Social]/Tabela3[Total Ações]</f>
        <v>0.16916353290798722</v>
      </c>
      <c r="U228" s="87">
        <f>Tabela3[[#This Row],[Lucro Líquido]]/Tabela3[[#This Row],[Total Ações]]</f>
        <v>-2.3330657314685709E-2</v>
      </c>
      <c r="V228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28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8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28" s="7">
        <f>Tabela3[Div Base]*Tabela3[Ações]</f>
        <v>0</v>
      </c>
      <c r="AA228" s="7">
        <f>SUMPRODUCT(N(Tabela3[Nome]=Tabela3[[#This Row],[Nome]]),Tabela3[Div Base]*Tabela3[Ações])</f>
        <v>0</v>
      </c>
      <c r="AB228" s="74">
        <f>Tabela3[Patrimônio Líquido]/Tabela3[Total Ações]</f>
        <v>-0.29372262362501939</v>
      </c>
      <c r="AC228" s="52">
        <f>MAX(Tabela3[[#This Row],[Cotação 1]:[Cotação 4]])</f>
        <v>7.0000000000000007E-2</v>
      </c>
      <c r="AD228" s="53">
        <f>Tabela3[Cotação]/Tabela3[VPA]</f>
        <v>-0.23832008285941711</v>
      </c>
      <c r="AE228" s="37">
        <f>IF(Tabela3[[#This Row],[Lucro/Ação]]&gt;0,Tabela3[[#This Row],[Cotação]]/(Tabela3[[#This Row],[Lucro/Ação]]/Tabela3[Ref]*4),0)</f>
        <v>0</v>
      </c>
      <c r="AF228" s="59">
        <f>IF(Tabela3[Div. Mínimo]=0,0,Tabela3[Lucro Distribuir]*#REF!/Tabela3[Total Ações])</f>
        <v>0</v>
      </c>
      <c r="AG228" s="87">
        <f>Tabela3[Lucro Distribuir]/Tabela3[Total Ações]</f>
        <v>0</v>
      </c>
      <c r="AH228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28" s="10" t="str">
        <f>IF(AND(Tabela3[% A.A.]&gt;=7%,SUMPRODUCT(N(Tabela3[Nome]=Tabela3[[#This Row],[Nome]]),Tabela3[PL])&gt;0),"Sim","Não")</f>
        <v>Não</v>
      </c>
      <c r="AJ228" s="22">
        <f>IF(Tabela3[Cotação]&gt;0,Tabela3[[#This Row],[Lucro]]/Tabela3[[#This Row],[Cotação]],0)</f>
        <v>0</v>
      </c>
      <c r="AK228" s="22">
        <f>((1+Tabela3[[#This Row],[% Yield]])^(1/(3*Tabela3[[#This Row],[Ref]])))^(12)-1</f>
        <v>0</v>
      </c>
      <c r="AL228" s="10">
        <f>IF(Tabela3[Cotação]&gt;0,($AS$1/Tabela3[[#This Row],[Cotação]]-MOD($AS$1/Tabela3[[#This Row],[Cotação]],100)),)</f>
        <v>14200</v>
      </c>
      <c r="AM228" s="7">
        <f>Tabela3[[#This Row],[Ativos]]*Tabela3[Lucro]</f>
        <v>0</v>
      </c>
      <c r="AN228" s="7">
        <f>SUMPRODUCT(N(Tabela1[Código]=Tabela3[[#This Row],[PAPEL]]),Tabela1[Fechamento])</f>
        <v>0</v>
      </c>
      <c r="AO228" s="7">
        <f>SUMPRODUCT(N(Tabela17[Código]=Tabela3[[#This Row],[PAPEL]]),Tabela17[Fechamento])</f>
        <v>0</v>
      </c>
      <c r="AP228" s="7">
        <f>SUMPRODUCT(N(Tabela176[Código]=Tabela3[[#This Row],[PAPEL]]),Tabela176[Fechamento])</f>
        <v>7.0000000000000007E-2</v>
      </c>
      <c r="AQ228" s="7">
        <f>SUMPRODUCT(N(Tabela1768[Código]=Tabela3[[#This Row],[PAPEL]]),Tabela1768[Fechamento])</f>
        <v>0</v>
      </c>
    </row>
    <row r="229" spans="1:43" hidden="1" x14ac:dyDescent="0.2">
      <c r="A229" s="3" t="s">
        <v>303</v>
      </c>
      <c r="B229" s="58" t="s">
        <v>309</v>
      </c>
      <c r="C229" s="85" t="str">
        <f>LEFT(Tabela3[PAPEL],LEN(Tabela3[PAPEL])-(LEN(Tabela3[PAPEL])-4))</f>
        <v>MOAR</v>
      </c>
      <c r="D229" s="16">
        <v>3</v>
      </c>
      <c r="E229" s="5">
        <v>627358000</v>
      </c>
      <c r="F229" s="21">
        <v>12251221</v>
      </c>
      <c r="G229" s="88">
        <v>0.25</v>
      </c>
      <c r="H229" s="16"/>
      <c r="I229" s="18"/>
      <c r="K229" s="89"/>
      <c r="L229" s="89"/>
      <c r="M229" s="5">
        <v>1185190000</v>
      </c>
      <c r="N229" s="5">
        <v>90444000</v>
      </c>
      <c r="O229" s="5">
        <f>Tabela3[[#This Row],[Capital Social]]*20%</f>
        <v>125471600</v>
      </c>
      <c r="P229" s="5">
        <f>IF((Tabela3[Lucro Líquido]*5%)&gt;Tabela3[Teto R. Legal],Tabela3[Teto R. Legal],Tabela3[Lucro Líquido]*5%)</f>
        <v>4522200</v>
      </c>
      <c r="Q229" s="5">
        <f>IF(Tabela3[Lucro Líquido]&lt;0,0,Tabela3[Lucro Líquido]-Tabela3[Reserva Legal])</f>
        <v>85921800</v>
      </c>
      <c r="R229" s="5">
        <f>Tabela3[[#This Row],[Lucro Distribuir]]*Tabela3[%Div]</f>
        <v>21480450</v>
      </c>
      <c r="S229" s="56">
        <f>SUMPRODUCT(N(Tabela3[Nome]=Tabela3[[#This Row],[Nome]]),Tabela3[Ações])</f>
        <v>12251221</v>
      </c>
      <c r="T229" s="5">
        <f>Tabela3[Capital Social]/Tabela3[Total Ações]</f>
        <v>51.207793900705894</v>
      </c>
      <c r="U229" s="79">
        <f>Tabela3[[#This Row],[Lucro Líquido]]/Tabela3[[#This Row],[Total Ações]]</f>
        <v>7.3824478392806725</v>
      </c>
      <c r="V22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1.7533313618291597</v>
      </c>
      <c r="W22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2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2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1.7533313618291597</v>
      </c>
      <c r="Z229" s="5">
        <f>Tabela3[Div Base]*Tabela3[Ações]</f>
        <v>21480450</v>
      </c>
      <c r="AA229" s="5">
        <f>SUMPRODUCT(N(Tabela3[Nome]=Tabela3[[#This Row],[Nome]]),Tabela3[Div Base]*Tabela3[Ações])</f>
        <v>21480450</v>
      </c>
      <c r="AB229" s="5">
        <f>Tabela3[Patrimônio Líquido]/Tabela3[Total Ações]</f>
        <v>96.740561614226039</v>
      </c>
      <c r="AC229" s="52">
        <f>MAX(Tabela3[[#This Row],[Cotação 1]:[Cotação 4]])</f>
        <v>156</v>
      </c>
      <c r="AD229" s="53">
        <f>Tabela3[Cotação]/Tabela3[VPA]</f>
        <v>1.6125604130983218</v>
      </c>
      <c r="AE229" s="37">
        <f>IF(Tabela3[[#This Row],[Lucro/Ação]]&gt;0,Tabela3[[#This Row],[Cotação]]/(Tabela3[[#This Row],[Lucro/Ação]]/Tabela3[Ref]*4),0)</f>
        <v>15.848401850869045</v>
      </c>
      <c r="AF229" s="37" t="e">
        <f>IF(Tabela3[Div. Mínimo]=0,0,Tabela3[Lucro Distribuir]*#REF!/Tabela3[Total Ações])</f>
        <v>#REF!</v>
      </c>
      <c r="AG229" s="79">
        <f>Tabela3[Lucro Distribuir]/Tabela3[Total Ações]</f>
        <v>7.0133254473166389</v>
      </c>
      <c r="AH229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1.7533313618291597</v>
      </c>
      <c r="AI229" s="16" t="str">
        <f>IF(AND(Tabela3[% A.A.]&gt;=7%,SUMPRODUCT(N(Tabela3[Nome]=Tabela3[[#This Row],[Nome]]),Tabela3[PL])&gt;0),"Sim","Não")</f>
        <v>Não</v>
      </c>
      <c r="AJ229" s="22">
        <f>IF(Tabela3[Cotação]&gt;0,Tabela3[[#This Row],[Lucro]]/Tabela3[[#This Row],[Cotação]],0)</f>
        <v>1.1239303601468973E-2</v>
      </c>
      <c r="AK229" s="18">
        <f>((1+Tabela3[[#This Row],[% Yield]])^(1/(3*Tabela3[[#This Row],[Ref]])))^(12)-1</f>
        <v>1.5013739892974165E-2</v>
      </c>
      <c r="AL229" s="10">
        <f>IF(Tabela3[Cotação]&gt;0,($AS$1/Tabela3[[#This Row],[Cotação]]-MOD($AS$1/Tabela3[[#This Row],[Cotação]],100)),)</f>
        <v>0</v>
      </c>
      <c r="AM229" s="7">
        <f>Tabela3[[#This Row],[Ativos]]*Tabela3[Lucro]</f>
        <v>0</v>
      </c>
      <c r="AN229" s="47">
        <f>SUMPRODUCT(N(Tabela1[Código]=Tabela3[[#This Row],[PAPEL]]),Tabela1[Fechamento])</f>
        <v>0</v>
      </c>
      <c r="AO229" s="54">
        <f>SUMPRODUCT(N(Tabela17[Código]=Tabela3[[#This Row],[PAPEL]]),Tabela17[Fechamento])</f>
        <v>156</v>
      </c>
      <c r="AP229" s="7">
        <f>SUMPRODUCT(N(Tabela176[Código]=Tabela3[[#This Row],[PAPEL]]),Tabela176[Fechamento])</f>
        <v>0</v>
      </c>
      <c r="AQ229" s="7">
        <f>SUMPRODUCT(N(Tabela1768[Código]=Tabela3[[#This Row],[PAPEL]]),Tabela1768[Fechamento])</f>
        <v>0</v>
      </c>
    </row>
    <row r="230" spans="1:43" hidden="1" x14ac:dyDescent="0.2">
      <c r="A230" s="3" t="s">
        <v>284</v>
      </c>
      <c r="B230" s="58" t="s">
        <v>979</v>
      </c>
      <c r="C230" s="16" t="str">
        <f>LEFT(Tabela3[PAPEL],LEN(Tabela3[PAPEL])-(LEN(Tabela3[PAPEL])-4))</f>
        <v>MRFG</v>
      </c>
      <c r="D230" s="16">
        <v>3</v>
      </c>
      <c r="E230" s="5">
        <v>5276678051</v>
      </c>
      <c r="F230" s="56">
        <v>520747405</v>
      </c>
      <c r="G230" s="83">
        <v>0.25</v>
      </c>
      <c r="H230" s="89"/>
      <c r="I230" s="18"/>
      <c r="K230" s="16"/>
      <c r="L230" s="89"/>
      <c r="M230" s="94">
        <v>3143650000</v>
      </c>
      <c r="N230" s="73">
        <v>-830207000</v>
      </c>
      <c r="O230" s="7">
        <f>Tabela3[[#This Row],[Capital Social]]*20%</f>
        <v>1055335610.2</v>
      </c>
      <c r="P230" s="47">
        <f>IF((Tabela3[Lucro Líquido]*5%)&gt;Tabela3[Teto R. Legal],Tabela3[Teto R. Legal],Tabela3[Lucro Líquido]*5%)</f>
        <v>-41510350</v>
      </c>
      <c r="Q230" s="47">
        <f>IF(Tabela3[Lucro Líquido]&lt;0,0,Tabela3[Lucro Líquido]-Tabela3[Reserva Legal])</f>
        <v>0</v>
      </c>
      <c r="R230" s="47">
        <f>Tabela3[[#This Row],[Lucro Distribuir]]*Tabela3[%Div]</f>
        <v>0</v>
      </c>
      <c r="S230" s="56">
        <f>SUMPRODUCT(N(Tabela3[Nome]=Tabela3[[#This Row],[Nome]]),Tabela3[Ações])</f>
        <v>520747405</v>
      </c>
      <c r="T230" s="87">
        <f>Tabela3[Capital Social]/Tabela3[Total Ações]</f>
        <v>10.132893607026231</v>
      </c>
      <c r="U230" s="87">
        <f>Tabela3[[#This Row],[Lucro Líquido]]/Tabela3[[#This Row],[Total Ações]]</f>
        <v>-1.5942604649177272</v>
      </c>
      <c r="V230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0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0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0" s="7">
        <f>Tabela3[Div Base]*Tabela3[Ações]</f>
        <v>0</v>
      </c>
      <c r="AA230" s="7">
        <f>SUMPRODUCT(N(Tabela3[Nome]=Tabela3[[#This Row],[Nome]]),Tabela3[Div Base]*Tabela3[Ações])</f>
        <v>0</v>
      </c>
      <c r="AB230" s="74">
        <f>Tabela3[Patrimônio Líquido]/Tabela3[Total Ações]</f>
        <v>6.0368039664067075</v>
      </c>
      <c r="AC230" s="52">
        <f>MAX(Tabela3[[#This Row],[Cotação 1]:[Cotação 4]])</f>
        <v>3.91</v>
      </c>
      <c r="AD230" s="53">
        <f>Tabela3[Cotação]/Tabela3[VPA]</f>
        <v>0.64769371703274858</v>
      </c>
      <c r="AE230" s="37">
        <f>IF(Tabela3[[#This Row],[Lucro/Ação]]&gt;0,Tabela3[[#This Row],[Cotação]]/(Tabela3[[#This Row],[Lucro/Ação]]/Tabela3[Ref]*4),0)</f>
        <v>0</v>
      </c>
      <c r="AF230" s="59">
        <f>IF(Tabela3[Div. Mínimo]=0,0,Tabela3[Lucro Distribuir]*#REF!/Tabela3[Total Ações])</f>
        <v>0</v>
      </c>
      <c r="AG230" s="87">
        <f>Tabela3[Lucro Distribuir]/Tabela3[Total Ações]</f>
        <v>0</v>
      </c>
      <c r="AH230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0" s="10" t="str">
        <f>IF(AND(Tabela3[% A.A.]&gt;=7%,SUMPRODUCT(N(Tabela3[Nome]=Tabela3[[#This Row],[Nome]]),Tabela3[PL])&gt;0),"Sim","Não")</f>
        <v>Não</v>
      </c>
      <c r="AJ230" s="22">
        <f>IF(Tabela3[Cotação]&gt;0,Tabela3[[#This Row],[Lucro]]/Tabela3[[#This Row],[Cotação]],0)</f>
        <v>0</v>
      </c>
      <c r="AK230" s="22">
        <f>((1+Tabela3[[#This Row],[% Yield]])^(1/(3*Tabela3[[#This Row],[Ref]])))^(12)-1</f>
        <v>0</v>
      </c>
      <c r="AL230" s="10">
        <f>IF(Tabela3[Cotação]&gt;0,($AS$1/Tabela3[[#This Row],[Cotação]]-MOD($AS$1/Tabela3[[#This Row],[Cotação]],100)),)</f>
        <v>200</v>
      </c>
      <c r="AM230" s="7">
        <f>Tabela3[[#This Row],[Ativos]]*Tabela3[Lucro]</f>
        <v>0</v>
      </c>
      <c r="AN230" s="7">
        <f>SUMPRODUCT(N(Tabela1[Código]=Tabela3[[#This Row],[PAPEL]]),Tabela1[Fechamento])</f>
        <v>0</v>
      </c>
      <c r="AO230" s="7">
        <f>SUMPRODUCT(N(Tabela17[Código]=Tabela3[[#This Row],[PAPEL]]),Tabela17[Fechamento])</f>
        <v>0</v>
      </c>
      <c r="AP230" s="7">
        <f>SUMPRODUCT(N(Tabela176[Código]=Tabela3[[#This Row],[PAPEL]]),Tabela176[Fechamento])</f>
        <v>3.91</v>
      </c>
      <c r="AQ230" s="7">
        <f>SUMPRODUCT(N(Tabela1768[Código]=Tabela3[[#This Row],[PAPEL]]),Tabela1768[Fechamento])</f>
        <v>0</v>
      </c>
    </row>
    <row r="231" spans="1:43" hidden="1" x14ac:dyDescent="0.2">
      <c r="A231" s="4" t="s">
        <v>19</v>
      </c>
      <c r="B231" s="57" t="s">
        <v>701</v>
      </c>
      <c r="C231" s="15" t="str">
        <f>LEFT(Tabela3[PAPEL],LEN(Tabela3[PAPEL])-(LEN(Tabela3[PAPEL])-4))</f>
        <v>MSPA</v>
      </c>
      <c r="D231" s="15">
        <v>3</v>
      </c>
      <c r="E231" s="6">
        <v>36152545</v>
      </c>
      <c r="F231" s="8">
        <v>5631445</v>
      </c>
      <c r="G231" s="88">
        <v>0.25</v>
      </c>
      <c r="H231" s="15"/>
      <c r="I231" s="19"/>
      <c r="J231" s="19"/>
      <c r="K231" s="90"/>
      <c r="L231" s="90"/>
      <c r="M231" s="96">
        <v>808776000</v>
      </c>
      <c r="N231" s="97">
        <v>-24517000</v>
      </c>
      <c r="O231" s="13">
        <f>Tabela3[[#This Row],[Capital Social]]*20%</f>
        <v>7230509</v>
      </c>
      <c r="P231" s="13">
        <f>IF((Tabela3[Lucro Líquido]*5%)&gt;Tabela3[Teto R. Legal],Tabela3[Teto R. Legal],Tabela3[Lucro Líquido]*5%)</f>
        <v>-1225850</v>
      </c>
      <c r="Q231" s="13">
        <f>IF(Tabela3[Lucro Líquido]&lt;0,0,Tabela3[Lucro Líquido]-Tabela3[Reserva Legal])</f>
        <v>0</v>
      </c>
      <c r="R231" s="13">
        <f>Tabela3[[#This Row],[Lucro Distribuir]]*Tabela3[%Div]</f>
        <v>0</v>
      </c>
      <c r="S231" s="56">
        <f>SUMPRODUCT(N(Tabela3[Nome]=Tabela3[[#This Row],[Nome]]),Tabela3[Ações])</f>
        <v>6404949</v>
      </c>
      <c r="T231" s="6">
        <f>Tabela3[Capital Social]/Tabela3[Total Ações]</f>
        <v>5.6444703931288132</v>
      </c>
      <c r="U231" s="80">
        <f>Tabela3[[#This Row],[Lucro Líquido]]/Tabela3[[#This Row],[Total Ações]]</f>
        <v>-3.8278212675854251</v>
      </c>
      <c r="V23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1" s="13">
        <f>Tabela3[Div Base]*Tabela3[Ações]</f>
        <v>0</v>
      </c>
      <c r="AA231" s="13">
        <f>SUMPRODUCT(N(Tabela3[Nome]=Tabela3[[#This Row],[Nome]]),Tabela3[Div Base]*Tabela3[Ações])</f>
        <v>0</v>
      </c>
      <c r="AB231" s="95">
        <f>Tabela3[Patrimônio Líquido]/Tabela3[Total Ações]</f>
        <v>126.27360498889219</v>
      </c>
      <c r="AC231" s="48">
        <f>MAX(Tabela3[[#This Row],[Cotação 1]:[Cotação 4]])</f>
        <v>27</v>
      </c>
      <c r="AD231" s="44">
        <f>Tabela3[Cotação]/Tabela3[VPA]</f>
        <v>0.21382140790527909</v>
      </c>
      <c r="AE231" s="40">
        <f>IF(Tabela3[[#This Row],[Lucro/Ação]]&gt;0,Tabela3[[#This Row],[Cotação]]/(Tabela3[[#This Row],[Lucro/Ação]]/Tabela3[Ref]*4),0)</f>
        <v>0</v>
      </c>
      <c r="AF231" s="91">
        <f>IF(Tabela3[Div. Mínimo]=0,0,Tabela3[Lucro Distribuir]*#REF!/Tabela3[Total Ações])</f>
        <v>0</v>
      </c>
      <c r="AG231" s="80">
        <f>Tabela3[Lucro Distribuir]/Tabela3[Total Ações]</f>
        <v>0</v>
      </c>
      <c r="AH23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1" s="14" t="str">
        <f>IF(AND(Tabela3[% A.A.]&gt;=7%,SUMPRODUCT(N(Tabela3[Nome]=Tabela3[[#This Row],[Nome]]),Tabela3[PL])&gt;0),"Sim","Não")</f>
        <v>Não</v>
      </c>
      <c r="AJ231" s="42">
        <f>IF(Tabela3[Cotação]&gt;0,Tabela3[[#This Row],[Lucro]]/Tabela3[[#This Row],[Cotação]],0)</f>
        <v>0</v>
      </c>
      <c r="AK231" s="42">
        <f>((1+Tabela3[[#This Row],[% Yield]])^(1/(3*Tabela3[[#This Row],[Ref]])))^(12)-1</f>
        <v>0</v>
      </c>
      <c r="AL231" s="14">
        <f>IF(Tabela3[Cotação]&gt;0,($AS$1/Tabela3[[#This Row],[Cotação]]-MOD($AS$1/Tabela3[[#This Row],[Cotação]],100)),)</f>
        <v>0</v>
      </c>
      <c r="AM231" s="17">
        <f>Tabela3[[#This Row],[Ativos]]*Tabela3[Lucro]</f>
        <v>0</v>
      </c>
      <c r="AN231" s="17">
        <f>SUMPRODUCT(N(Tabela1[Código]=Tabela3[[#This Row],[PAPEL]]),Tabela1[Fechamento])</f>
        <v>0</v>
      </c>
      <c r="AO231" s="17">
        <f>SUMPRODUCT(N(Tabela17[Código]=Tabela3[[#This Row],[PAPEL]]),Tabela17[Fechamento])</f>
        <v>0</v>
      </c>
      <c r="AP231" s="17">
        <f>SUMPRODUCT(N(Tabela176[Código]=Tabela3[[#This Row],[PAPEL]]),Tabela176[Fechamento])</f>
        <v>27</v>
      </c>
      <c r="AQ231" s="17">
        <f>SUMPRODUCT(N(Tabela1768[Código]=Tabela3[[#This Row],[PAPEL]]),Tabela1768[Fechamento])</f>
        <v>0</v>
      </c>
    </row>
    <row r="232" spans="1:43" hidden="1" x14ac:dyDescent="0.2">
      <c r="A232" s="4" t="s">
        <v>19</v>
      </c>
      <c r="B232" s="57" t="s">
        <v>702</v>
      </c>
      <c r="C232" s="15" t="str">
        <f>LEFT(Tabela3[PAPEL],LEN(Tabela3[PAPEL])-(LEN(Tabela3[PAPEL])-4))</f>
        <v>MSPA</v>
      </c>
      <c r="D232" s="15">
        <v>3</v>
      </c>
      <c r="E232" s="6">
        <v>36152545</v>
      </c>
      <c r="F232" s="8">
        <v>773504</v>
      </c>
      <c r="G232" s="88">
        <v>0.25</v>
      </c>
      <c r="H232" s="15"/>
      <c r="I232" s="19"/>
      <c r="J232" s="19">
        <v>0.1</v>
      </c>
      <c r="K232" s="90"/>
      <c r="L232" s="90"/>
      <c r="M232" s="96">
        <v>808776000</v>
      </c>
      <c r="N232" s="97">
        <v>-24517000</v>
      </c>
      <c r="O232" s="13">
        <f>Tabela3[[#This Row],[Capital Social]]*20%</f>
        <v>7230509</v>
      </c>
      <c r="P232" s="13">
        <f>IF((Tabela3[Lucro Líquido]*5%)&gt;Tabela3[Teto R. Legal],Tabela3[Teto R. Legal],Tabela3[Lucro Líquido]*5%)</f>
        <v>-1225850</v>
      </c>
      <c r="Q232" s="13">
        <f>IF(Tabela3[Lucro Líquido]&lt;0,0,Tabela3[Lucro Líquido]-Tabela3[Reserva Legal])</f>
        <v>0</v>
      </c>
      <c r="R232" s="13">
        <f>Tabela3[[#This Row],[Lucro Distribuir]]*Tabela3[%Div]</f>
        <v>0</v>
      </c>
      <c r="S232" s="56">
        <f>SUMPRODUCT(N(Tabela3[Nome]=Tabela3[[#This Row],[Nome]]),Tabela3[Ações])</f>
        <v>6404949</v>
      </c>
      <c r="T232" s="6">
        <f>Tabela3[Capital Social]/Tabela3[Total Ações]</f>
        <v>5.6444703931288132</v>
      </c>
      <c r="U232" s="80">
        <f>Tabela3[[#This Row],[Lucro Líquido]]/Tabela3[[#This Row],[Total Ações]]</f>
        <v>-3.8278212675854251</v>
      </c>
      <c r="V23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2" s="13">
        <f>Tabela3[Div Base]*Tabela3[Ações]</f>
        <v>0</v>
      </c>
      <c r="AA232" s="13">
        <f>SUMPRODUCT(N(Tabela3[Nome]=Tabela3[[#This Row],[Nome]]),Tabela3[Div Base]*Tabela3[Ações])</f>
        <v>0</v>
      </c>
      <c r="AB232" s="95">
        <f>Tabela3[Patrimônio Líquido]/Tabela3[Total Ações]</f>
        <v>126.27360498889219</v>
      </c>
      <c r="AC232" s="48">
        <f>MAX(Tabela3[[#This Row],[Cotação 1]:[Cotação 4]])</f>
        <v>27</v>
      </c>
      <c r="AD232" s="44">
        <f>Tabela3[Cotação]/Tabela3[VPA]</f>
        <v>0.21382140790527909</v>
      </c>
      <c r="AE232" s="40">
        <f>IF(Tabela3[[#This Row],[Lucro/Ação]]&gt;0,Tabela3[[#This Row],[Cotação]]/(Tabela3[[#This Row],[Lucro/Ação]]/Tabela3[Ref]*4),0)</f>
        <v>0</v>
      </c>
      <c r="AF232" s="91">
        <f>IF(Tabela3[Div. Mínimo]=0,0,Tabela3[Lucro Distribuir]*#REF!/Tabela3[Total Ações])</f>
        <v>0</v>
      </c>
      <c r="AG232" s="80">
        <f>Tabela3[Lucro Distribuir]/Tabela3[Total Ações]</f>
        <v>0</v>
      </c>
      <c r="AH23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2" s="14" t="str">
        <f>IF(AND(Tabela3[% A.A.]&gt;=7%,SUMPRODUCT(N(Tabela3[Nome]=Tabela3[[#This Row],[Nome]]),Tabela3[PL])&gt;0),"Sim","Não")</f>
        <v>Não</v>
      </c>
      <c r="AJ232" s="42">
        <f>IF(Tabela3[Cotação]&gt;0,Tabela3[[#This Row],[Lucro]]/Tabela3[[#This Row],[Cotação]],0)</f>
        <v>0</v>
      </c>
      <c r="AK232" s="42">
        <f>((1+Tabela3[[#This Row],[% Yield]])^(1/(3*Tabela3[[#This Row],[Ref]])))^(12)-1</f>
        <v>0</v>
      </c>
      <c r="AL232" s="14">
        <f>IF(Tabela3[Cotação]&gt;0,($AS$1/Tabela3[[#This Row],[Cotação]]-MOD($AS$1/Tabela3[[#This Row],[Cotação]],100)),)</f>
        <v>0</v>
      </c>
      <c r="AM232" s="17">
        <f>Tabela3[[#This Row],[Ativos]]*Tabela3[Lucro]</f>
        <v>0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17">
        <f>SUMPRODUCT(N(Tabela176[Código]=Tabela3[[#This Row],[PAPEL]]),Tabela176[Fechamento])</f>
        <v>27</v>
      </c>
      <c r="AQ232" s="17">
        <f>SUMPRODUCT(N(Tabela1768[Código]=Tabela3[[#This Row],[PAPEL]]),Tabela1768[Fechamento])</f>
        <v>0</v>
      </c>
    </row>
    <row r="233" spans="1:43" hidden="1" x14ac:dyDescent="0.2">
      <c r="A233" s="4" t="s">
        <v>323</v>
      </c>
      <c r="B233" s="57" t="s">
        <v>715</v>
      </c>
      <c r="C233" s="15" t="str">
        <f>LEFT(Tabela3[PAPEL],LEN(Tabela3[PAPEL])-(LEN(Tabela3[PAPEL])-4))</f>
        <v>MTIG</v>
      </c>
      <c r="D233" s="16">
        <v>3</v>
      </c>
      <c r="E233" s="6">
        <v>48319313.140000001</v>
      </c>
      <c r="F233" s="8">
        <v>104172000</v>
      </c>
      <c r="G233" s="88">
        <v>0.25</v>
      </c>
      <c r="H233" s="15"/>
      <c r="I233" s="19"/>
      <c r="J233" s="19"/>
      <c r="K233" s="90"/>
      <c r="L233" s="90"/>
      <c r="M233" s="96">
        <v>26342000</v>
      </c>
      <c r="N233" s="97">
        <v>-19296000</v>
      </c>
      <c r="O233" s="13">
        <f>Tabela3[[#This Row],[Capital Social]]*20%</f>
        <v>9663862.6280000005</v>
      </c>
      <c r="P233" s="13">
        <f>IF((Tabela3[Lucro Líquido]*5%)&gt;Tabela3[Teto R. Legal],Tabela3[Teto R. Legal],Tabela3[Lucro Líquido]*5%)</f>
        <v>-964800</v>
      </c>
      <c r="Q233" s="13">
        <f>IF(Tabela3[Lucro Líquido]&lt;0,0,Tabela3[Lucro Líquido]-Tabela3[Reserva Legal])</f>
        <v>0</v>
      </c>
      <c r="R233" s="13">
        <f>Tabela3[[#This Row],[Lucro Distribuir]]*Tabela3[%Div]</f>
        <v>0</v>
      </c>
      <c r="S233" s="56">
        <f>SUMPRODUCT(N(Tabela3[Nome]=Tabela3[[#This Row],[Nome]]),Tabela3[Ações])</f>
        <v>312516000</v>
      </c>
      <c r="T233" s="6">
        <f>Tabela3[Capital Social]/Tabela3[Total Ações]</f>
        <v>0.15461388581704616</v>
      </c>
      <c r="U233" s="80">
        <f>Tabela3[[#This Row],[Lucro Líquido]]/Tabela3[[#This Row],[Total Ações]]</f>
        <v>-6.1744038705218295E-2</v>
      </c>
      <c r="V23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3" s="13">
        <f>Tabela3[Div Base]*Tabela3[Ações]</f>
        <v>0</v>
      </c>
      <c r="AA233" s="13">
        <f>SUMPRODUCT(N(Tabela3[Nome]=Tabela3[[#This Row],[Nome]]),Tabela3[Div Base]*Tabela3[Ações])</f>
        <v>0</v>
      </c>
      <c r="AB233" s="95">
        <f>Tabela3[Patrimônio Líquido]/Tabela3[Total Ações]</f>
        <v>8.4290084347681399E-2</v>
      </c>
      <c r="AC233" s="48">
        <f>MAX(Tabela3[[#This Row],[Cotação 1]:[Cotação 4]])</f>
        <v>0.61</v>
      </c>
      <c r="AD233" s="44">
        <f>Tabela3[Cotação]/Tabela3[VPA]</f>
        <v>7.236912914736922</v>
      </c>
      <c r="AE233" s="40">
        <f>IF(Tabela3[[#This Row],[Lucro/Ação]]&gt;0,Tabela3[[#This Row],[Cotação]]/(Tabela3[[#This Row],[Lucro/Ação]]/Tabela3[Ref]*4),0)</f>
        <v>0</v>
      </c>
      <c r="AF233" s="91">
        <f>IF(Tabela3[Div. Mínimo]=0,0,Tabela3[Lucro Distribuir]*#REF!/Tabela3[Total Ações])</f>
        <v>0</v>
      </c>
      <c r="AG233" s="80">
        <f>Tabela3[Lucro Distribuir]/Tabela3[Total Ações]</f>
        <v>0</v>
      </c>
      <c r="AH23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3" s="14" t="str">
        <f>IF(AND(Tabela3[% A.A.]&gt;=7%,SUMPRODUCT(N(Tabela3[Nome]=Tabela3[[#This Row],[Nome]]),Tabela3[PL])&gt;0),"Sim","Não")</f>
        <v>Não</v>
      </c>
      <c r="AJ233" s="42">
        <f>IF(Tabela3[Cotação]&gt;0,Tabela3[[#This Row],[Lucro]]/Tabela3[[#This Row],[Cotação]],0)</f>
        <v>0</v>
      </c>
      <c r="AK233" s="42">
        <f>((1+Tabela3[[#This Row],[% Yield]])^(1/(3*Tabela3[[#This Row],[Ref]])))^(12)-1</f>
        <v>0</v>
      </c>
      <c r="AL233" s="14">
        <f>IF(Tabela3[Cotação]&gt;0,($AS$1/Tabela3[[#This Row],[Cotação]]-MOD($AS$1/Tabela3[[#This Row],[Cotação]],100)),)</f>
        <v>1600</v>
      </c>
      <c r="AM233" s="17">
        <f>Tabela3[[#This Row],[Ativos]]*Tabela3[Lucro]</f>
        <v>0</v>
      </c>
      <c r="AN233" s="17">
        <f>SUMPRODUCT(N(Tabela1[Código]=Tabela3[[#This Row],[PAPEL]]),Tabela1[Fechamento])</f>
        <v>0</v>
      </c>
      <c r="AO233" s="17">
        <f>SUMPRODUCT(N(Tabela17[Código]=Tabela3[[#This Row],[PAPEL]]),Tabela17[Fechamento])</f>
        <v>0</v>
      </c>
      <c r="AP233" s="17">
        <f>SUMPRODUCT(N(Tabela176[Código]=Tabela3[[#This Row],[PAPEL]]),Tabela176[Fechamento])</f>
        <v>0.61</v>
      </c>
      <c r="AQ233" s="17">
        <f>SUMPRODUCT(N(Tabela1768[Código]=Tabela3[[#This Row],[PAPEL]]),Tabela1768[Fechamento])</f>
        <v>0</v>
      </c>
    </row>
    <row r="234" spans="1:43" hidden="1" x14ac:dyDescent="0.2">
      <c r="A234" s="4" t="s">
        <v>323</v>
      </c>
      <c r="B234" s="57" t="s">
        <v>716</v>
      </c>
      <c r="C234" s="15" t="str">
        <f>LEFT(Tabela3[PAPEL],LEN(Tabela3[PAPEL])-(LEN(Tabela3[PAPEL])-4))</f>
        <v>MTIG</v>
      </c>
      <c r="D234" s="16">
        <v>3</v>
      </c>
      <c r="E234" s="6">
        <v>48319313.140000001</v>
      </c>
      <c r="F234" s="8">
        <v>208344000</v>
      </c>
      <c r="G234" s="88">
        <v>0.25</v>
      </c>
      <c r="H234" s="15"/>
      <c r="I234" s="19"/>
      <c r="J234" s="19"/>
      <c r="K234" s="90"/>
      <c r="L234" s="90"/>
      <c r="M234" s="96">
        <v>26342000</v>
      </c>
      <c r="N234" s="97">
        <v>-19296000</v>
      </c>
      <c r="O234" s="13">
        <f>Tabela3[[#This Row],[Capital Social]]*20%</f>
        <v>9663862.6280000005</v>
      </c>
      <c r="P234" s="13">
        <f>IF((Tabela3[Lucro Líquido]*5%)&gt;Tabela3[Teto R. Legal],Tabela3[Teto R. Legal],Tabela3[Lucro Líquido]*5%)</f>
        <v>-964800</v>
      </c>
      <c r="Q234" s="13">
        <f>IF(Tabela3[Lucro Líquido]&lt;0,0,Tabela3[Lucro Líquido]-Tabela3[Reserva Legal])</f>
        <v>0</v>
      </c>
      <c r="R234" s="13">
        <f>Tabela3[[#This Row],[Lucro Distribuir]]*Tabela3[%Div]</f>
        <v>0</v>
      </c>
      <c r="S234" s="56">
        <f>SUMPRODUCT(N(Tabela3[Nome]=Tabela3[[#This Row],[Nome]]),Tabela3[Ações])</f>
        <v>312516000</v>
      </c>
      <c r="T234" s="6">
        <f>Tabela3[Capital Social]/Tabela3[Total Ações]</f>
        <v>0.15461388581704616</v>
      </c>
      <c r="U234" s="80">
        <f>Tabela3[[#This Row],[Lucro Líquido]]/Tabela3[[#This Row],[Total Ações]]</f>
        <v>-6.1744038705218295E-2</v>
      </c>
      <c r="V23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4" s="13">
        <f>Tabela3[Div Base]*Tabela3[Ações]</f>
        <v>0</v>
      </c>
      <c r="AA234" s="13">
        <f>SUMPRODUCT(N(Tabela3[Nome]=Tabela3[[#This Row],[Nome]]),Tabela3[Div Base]*Tabela3[Ações])</f>
        <v>0</v>
      </c>
      <c r="AB234" s="95">
        <f>Tabela3[Patrimônio Líquido]/Tabela3[Total Ações]</f>
        <v>8.4290084347681399E-2</v>
      </c>
      <c r="AC234" s="48">
        <f>MAX(Tabela3[[#This Row],[Cotação 1]:[Cotação 4]])</f>
        <v>0.11</v>
      </c>
      <c r="AD234" s="44">
        <f>Tabela3[Cotação]/Tabela3[VPA]</f>
        <v>1.3050170829853467</v>
      </c>
      <c r="AE234" s="40">
        <f>IF(Tabela3[[#This Row],[Lucro/Ação]]&gt;0,Tabela3[[#This Row],[Cotação]]/(Tabela3[[#This Row],[Lucro/Ação]]/Tabela3[Ref]*4),0)</f>
        <v>0</v>
      </c>
      <c r="AF234" s="91">
        <f>IF(Tabela3[Div. Mínimo]=0,0,Tabela3[Lucro Distribuir]*#REF!/Tabela3[Total Ações])</f>
        <v>0</v>
      </c>
      <c r="AG234" s="80">
        <f>Tabela3[Lucro Distribuir]/Tabela3[Total Ações]</f>
        <v>0</v>
      </c>
      <c r="AH23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4" s="14" t="str">
        <f>IF(AND(Tabela3[% A.A.]&gt;=7%,SUMPRODUCT(N(Tabela3[Nome]=Tabela3[[#This Row],[Nome]]),Tabela3[PL])&gt;0),"Sim","Não")</f>
        <v>Não</v>
      </c>
      <c r="AJ234" s="42">
        <f>IF(Tabela3[Cotação]&gt;0,Tabela3[[#This Row],[Lucro]]/Tabela3[[#This Row],[Cotação]],0)</f>
        <v>0</v>
      </c>
      <c r="AK234" s="42">
        <f>((1+Tabela3[[#This Row],[% Yield]])^(1/(3*Tabela3[[#This Row],[Ref]])))^(12)-1</f>
        <v>0</v>
      </c>
      <c r="AL234" s="14">
        <f>IF(Tabela3[Cotação]&gt;0,($AS$1/Tabela3[[#This Row],[Cotação]]-MOD($AS$1/Tabela3[[#This Row],[Cotação]],100)),)</f>
        <v>9000</v>
      </c>
      <c r="AM234" s="17">
        <f>Tabela3[[#This Row],[Ativos]]*Tabela3[Lucro]</f>
        <v>0</v>
      </c>
      <c r="AN234" s="17">
        <f>SUMPRODUCT(N(Tabela1[Código]=Tabela3[[#This Row],[PAPEL]]),Tabela1[Fechamento])</f>
        <v>0</v>
      </c>
      <c r="AO234" s="17">
        <f>SUMPRODUCT(N(Tabela17[Código]=Tabela3[[#This Row],[PAPEL]]),Tabela17[Fechamento])</f>
        <v>0</v>
      </c>
      <c r="AP234" s="17">
        <f>SUMPRODUCT(N(Tabela176[Código]=Tabela3[[#This Row],[PAPEL]]),Tabela176[Fechamento])</f>
        <v>0.11</v>
      </c>
      <c r="AQ234" s="17">
        <f>SUMPRODUCT(N(Tabela1768[Código]=Tabela3[[#This Row],[PAPEL]]),Tabela1768[Fechamento])</f>
        <v>0</v>
      </c>
    </row>
    <row r="235" spans="1:43" hidden="1" x14ac:dyDescent="0.2">
      <c r="A235" s="3" t="s">
        <v>351</v>
      </c>
      <c r="B235" s="58" t="s">
        <v>362</v>
      </c>
      <c r="C235" s="85" t="str">
        <f>LEFT(Tabela3[PAPEL],LEN(Tabela3[PAPEL])-(LEN(Tabela3[PAPEL])-4))</f>
        <v>MULT</v>
      </c>
      <c r="D235" s="16">
        <v>3</v>
      </c>
      <c r="E235" s="6">
        <v>2388062147.3800001</v>
      </c>
      <c r="F235" s="21">
        <v>178138867</v>
      </c>
      <c r="G235" s="83">
        <v>0.25</v>
      </c>
      <c r="H235" s="16"/>
      <c r="I235" s="18"/>
      <c r="K235" s="89"/>
      <c r="L235" s="89"/>
      <c r="M235" s="5">
        <v>3824504000</v>
      </c>
      <c r="N235" s="5">
        <v>227417000</v>
      </c>
      <c r="O235" s="5">
        <f>Tabela3[[#This Row],[Capital Social]]*20%</f>
        <v>477612429.47600007</v>
      </c>
      <c r="P235" s="5">
        <f>IF((Tabela3[Lucro Líquido]*5%)&gt;Tabela3[Teto R. Legal],Tabela3[Teto R. Legal],Tabela3[Lucro Líquido]*5%)</f>
        <v>11370850</v>
      </c>
      <c r="Q235" s="5">
        <f>IF(Tabela3[Lucro Líquido]&lt;0,0,Tabela3[Lucro Líquido]-Tabela3[Reserva Legal])</f>
        <v>216046150</v>
      </c>
      <c r="R235" s="5">
        <f>Tabela3[[#This Row],[Lucro Distribuir]]*Tabela3[%Div]</f>
        <v>54011537.5</v>
      </c>
      <c r="S235" s="56">
        <f>SUMPRODUCT(N(Tabela3[Nome]=Tabela3[[#This Row],[Nome]]),Tabela3[Ações])</f>
        <v>189997214</v>
      </c>
      <c r="T235" s="5">
        <f>Tabela3[Capital Social]/Tabela3[Total Ações]</f>
        <v>12.568932444346263</v>
      </c>
      <c r="U235" s="79">
        <f>Tabela3[[#This Row],[Lucro Líquido]]/Tabela3[[#This Row],[Total Ações]]</f>
        <v>1.1969491300014536</v>
      </c>
      <c r="V23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0.28427541837534526</v>
      </c>
      <c r="W23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0.28427541837534526</v>
      </c>
      <c r="Z235" s="5">
        <f>Tabela3[Div Base]*Tabela3[Ações]</f>
        <v>50640500.945334986</v>
      </c>
      <c r="AA235" s="5">
        <f>SUMPRODUCT(N(Tabela3[Nome]=Tabela3[[#This Row],[Nome]]),Tabela3[Div Base]*Tabela3[Ações])</f>
        <v>54011537.500000007</v>
      </c>
      <c r="AB235" s="5">
        <f>Tabela3[Patrimônio Líquido]/Tabela3[Total Ações]</f>
        <v>20.129263579622805</v>
      </c>
      <c r="AC235" s="52">
        <f>MAX(Tabela3[[#This Row],[Cotação 1]:[Cotação 4]])</f>
        <v>43.81</v>
      </c>
      <c r="AD235" s="53">
        <f>Tabela3[Cotação]/Tabela3[VPA]</f>
        <v>2.1764333219000425</v>
      </c>
      <c r="AE235" s="37">
        <f>IF(Tabela3[[#This Row],[Lucro/Ação]]&gt;0,Tabela3[[#This Row],[Cotação]]/(Tabela3[[#This Row],[Lucro/Ação]]/Tabela3[Ref]*4),0)</f>
        <v>27.451041298605645</v>
      </c>
      <c r="AF235" s="37" t="e">
        <f>IF(Tabela3[Div. Mínimo]=0,0,Tabela3[Lucro Distribuir]*#REF!/Tabela3[Total Ações])</f>
        <v>#REF!</v>
      </c>
      <c r="AG235" s="79">
        <f>Tabela3[Lucro Distribuir]/Tabela3[Total Ações]</f>
        <v>1.137101673501381</v>
      </c>
      <c r="AH23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0.28427541837534526</v>
      </c>
      <c r="AI235" s="16" t="str">
        <f>IF(AND(Tabela3[% A.A.]&gt;=7%,SUMPRODUCT(N(Tabela3[Nome]=Tabela3[[#This Row],[Nome]]),Tabela3[PL])&gt;0),"Sim","Não")</f>
        <v>Não</v>
      </c>
      <c r="AJ235" s="22">
        <f>IF(Tabela3[Cotação]&gt;0,Tabela3[[#This Row],[Lucro]]/Tabela3[[#This Row],[Cotação]],0)</f>
        <v>6.488824888731916E-3</v>
      </c>
      <c r="AK235" s="18">
        <f>((1+Tabela3[[#This Row],[% Yield]])^(1/(3*Tabela3[[#This Row],[Ref]])))^(12)-1</f>
        <v>8.6611096957456279E-3</v>
      </c>
      <c r="AL235" s="10">
        <f>IF(Tabela3[Cotação]&gt;0,($AS$1/Tabela3[[#This Row],[Cotação]]-MOD($AS$1/Tabela3[[#This Row],[Cotação]],100)),)</f>
        <v>0</v>
      </c>
      <c r="AM235" s="7">
        <f>Tabela3[[#This Row],[Ativos]]*Tabela3[Lucro]</f>
        <v>0</v>
      </c>
      <c r="AN235" s="47">
        <f>SUMPRODUCT(N(Tabela1[Código]=Tabela3[[#This Row],[PAPEL]]),Tabela1[Fechamento])</f>
        <v>0</v>
      </c>
      <c r="AO235" s="54">
        <f>SUMPRODUCT(N(Tabela17[Código]=Tabela3[[#This Row],[PAPEL]]),Tabela17[Fechamento])</f>
        <v>43.81</v>
      </c>
      <c r="AP235" s="7">
        <f>SUMPRODUCT(N(Tabela176[Código]=Tabela3[[#This Row],[PAPEL]]),Tabela176[Fechamento])</f>
        <v>0</v>
      </c>
      <c r="AQ235" s="7">
        <f>SUMPRODUCT(N(Tabela1768[Código]=Tabela3[[#This Row],[PAPEL]]),Tabela1768[Fechamento])</f>
        <v>0</v>
      </c>
    </row>
    <row r="236" spans="1:43" hidden="1" x14ac:dyDescent="0.2">
      <c r="A236" s="3" t="s">
        <v>351</v>
      </c>
      <c r="B236" s="58" t="s">
        <v>768</v>
      </c>
      <c r="C236" s="15" t="str">
        <f>LEFT(Tabela3[PAPEL],LEN(Tabela3[PAPEL])-(LEN(Tabela3[PAPEL])-4))</f>
        <v>MULT</v>
      </c>
      <c r="D236" s="16">
        <v>3</v>
      </c>
      <c r="E236" s="6">
        <v>2388062147.3800001</v>
      </c>
      <c r="F236" s="8">
        <v>11858347</v>
      </c>
      <c r="G236" s="83">
        <v>0.25</v>
      </c>
      <c r="H236" s="15"/>
      <c r="I236" s="19"/>
      <c r="J236" s="19"/>
      <c r="K236" s="90"/>
      <c r="L236" s="90"/>
      <c r="M236" s="5">
        <v>3824504000</v>
      </c>
      <c r="N236" s="5">
        <v>227417000</v>
      </c>
      <c r="O236" s="13">
        <f>Tabela3[[#This Row],[Capital Social]]*20%</f>
        <v>477612429.47600007</v>
      </c>
      <c r="P236" s="13">
        <f>IF((Tabela3[Lucro Líquido]*5%)&gt;Tabela3[Teto R. Legal],Tabela3[Teto R. Legal],Tabela3[Lucro Líquido]*5%)</f>
        <v>11370850</v>
      </c>
      <c r="Q236" s="13">
        <f>IF(Tabela3[Lucro Líquido]&lt;0,0,Tabela3[Lucro Líquido]-Tabela3[Reserva Legal])</f>
        <v>216046150</v>
      </c>
      <c r="R236" s="13">
        <f>Tabela3[[#This Row],[Lucro Distribuir]]*Tabela3[%Div]</f>
        <v>54011537.5</v>
      </c>
      <c r="S236" s="56">
        <f>SUMPRODUCT(N(Tabela3[Nome]=Tabela3[[#This Row],[Nome]]),Tabela3[Ações])</f>
        <v>189997214</v>
      </c>
      <c r="T236" s="6">
        <f>Tabela3[Capital Social]/Tabela3[Total Ações]</f>
        <v>12.568932444346263</v>
      </c>
      <c r="U236" s="80">
        <f>Tabela3[[#This Row],[Lucro Líquido]]/Tabela3[[#This Row],[Total Ações]]</f>
        <v>1.1969491300014536</v>
      </c>
      <c r="V23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0.28427541837534526</v>
      </c>
      <c r="W23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0.28427541837534526</v>
      </c>
      <c r="Z236" s="13">
        <f>Tabela3[Div Base]*Tabela3[Ações]</f>
        <v>3371036.5546650202</v>
      </c>
      <c r="AA236" s="13">
        <f>SUMPRODUCT(N(Tabela3[Nome]=Tabela3[[#This Row],[Nome]]),Tabela3[Div Base]*Tabela3[Ações])</f>
        <v>54011537.500000007</v>
      </c>
      <c r="AB236" s="95">
        <f>Tabela3[Patrimônio Líquido]/Tabela3[Total Ações]</f>
        <v>20.129263579622805</v>
      </c>
      <c r="AC236" s="48">
        <f>MAX(Tabela3[[#This Row],[Cotação 1]:[Cotação 4]])</f>
        <v>0</v>
      </c>
      <c r="AD236" s="44">
        <f>Tabela3[Cotação]/Tabela3[VPA]</f>
        <v>0</v>
      </c>
      <c r="AE236" s="40">
        <f>IF(Tabela3[[#This Row],[Lucro/Ação]]&gt;0,Tabela3[[#This Row],[Cotação]]/(Tabela3[[#This Row],[Lucro/Ação]]/Tabela3[Ref]*4),0)</f>
        <v>0</v>
      </c>
      <c r="AF236" s="91" t="e">
        <f>IF(Tabela3[Div. Mínimo]=0,0,Tabela3[Lucro Distribuir]*#REF!/Tabela3[Total Ações])</f>
        <v>#REF!</v>
      </c>
      <c r="AG236" s="80">
        <f>Tabela3[Lucro Distribuir]/Tabela3[Total Ações]</f>
        <v>1.137101673501381</v>
      </c>
      <c r="AH23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0.28427541837534526</v>
      </c>
      <c r="AI236" s="14" t="str">
        <f>IF(AND(Tabela3[% A.A.]&gt;=7%,SUMPRODUCT(N(Tabela3[Nome]=Tabela3[[#This Row],[Nome]]),Tabela3[PL])&gt;0),"Sim","Não")</f>
        <v>Não</v>
      </c>
      <c r="AJ236" s="42">
        <f>IF(Tabela3[Cotação]&gt;0,Tabela3[[#This Row],[Lucro]]/Tabela3[[#This Row],[Cotação]],0)</f>
        <v>0</v>
      </c>
      <c r="AK236" s="42">
        <f>((1+Tabela3[[#This Row],[% Yield]])^(1/(3*Tabela3[[#This Row],[Ref]])))^(12)-1</f>
        <v>0</v>
      </c>
      <c r="AL236" s="14">
        <f>IF(Tabela3[Cotação]&gt;0,($AS$1/Tabela3[[#This Row],[Cotação]]-MOD($AS$1/Tabela3[[#This Row],[Cotação]],100)),)</f>
        <v>0</v>
      </c>
      <c r="AM236" s="17">
        <f>Tabela3[[#This Row],[Ativos]]*Tabela3[Lucro]</f>
        <v>0</v>
      </c>
      <c r="AN236" s="17">
        <f>SUMPRODUCT(N(Tabela1[Código]=Tabela3[[#This Row],[PAPEL]]),Tabela1[Fechamento])</f>
        <v>0</v>
      </c>
      <c r="AO236" s="17">
        <f>SUMPRODUCT(N(Tabela17[Código]=Tabela3[[#This Row],[PAPEL]]),Tabela17[Fechamento])</f>
        <v>0</v>
      </c>
      <c r="AP236" s="17">
        <f>SUMPRODUCT(N(Tabela176[Código]=Tabela3[[#This Row],[PAPEL]]),Tabela176[Fechamento])</f>
        <v>0</v>
      </c>
      <c r="AQ236" s="17">
        <f>SUMPRODUCT(N(Tabela1768[Código]=Tabela3[[#This Row],[PAPEL]]),Tabela1768[Fechamento])</f>
        <v>0</v>
      </c>
    </row>
    <row r="237" spans="1:43" hidden="1" x14ac:dyDescent="0.2">
      <c r="A237" s="3" t="s">
        <v>908</v>
      </c>
      <c r="B237" s="58" t="s">
        <v>909</v>
      </c>
      <c r="C237" s="16" t="str">
        <f>LEFT(Tabela3[PAPEL],LEN(Tabela3[PAPEL])-(LEN(Tabela3[PAPEL])-4))</f>
        <v>NATU</v>
      </c>
      <c r="D237" s="16">
        <v>3</v>
      </c>
      <c r="E237" s="5">
        <v>427072707.31999999</v>
      </c>
      <c r="F237" s="56">
        <v>431239264</v>
      </c>
      <c r="G237" s="83">
        <v>0.3</v>
      </c>
      <c r="H237" s="89"/>
      <c r="I237" s="18"/>
      <c r="K237" s="16"/>
      <c r="L237" s="89"/>
      <c r="M237" s="94">
        <v>897727000</v>
      </c>
      <c r="N237" s="73">
        <v>548517000</v>
      </c>
      <c r="O237" s="7">
        <f>Tabela3[[#This Row],[Capital Social]]*20%</f>
        <v>85414541.464000002</v>
      </c>
      <c r="P237" s="47">
        <f>IF((Tabela3[Lucro Líquido]*5%)&gt;Tabela3[Teto R. Legal],Tabela3[Teto R. Legal],Tabela3[Lucro Líquido]*5%)</f>
        <v>27425850</v>
      </c>
      <c r="Q237" s="47">
        <f>IF(Tabela3[Lucro Líquido]&lt;0,0,Tabela3[Lucro Líquido]-Tabela3[Reserva Legal])</f>
        <v>521091150</v>
      </c>
      <c r="R237" s="47">
        <f>Tabela3[[#This Row],[Lucro Distribuir]]*Tabela3[%Div]</f>
        <v>156327345</v>
      </c>
      <c r="S237" s="56">
        <f>SUMPRODUCT(N(Tabela3[Nome]=Tabela3[[#This Row],[Nome]]),Tabela3[Ações])</f>
        <v>431239264</v>
      </c>
      <c r="T237" s="87">
        <f>Tabela3[Capital Social]/Tabela3[Total Ações]</f>
        <v>0.99033817876101371</v>
      </c>
      <c r="U237" s="87">
        <f>Tabela3[[#This Row],[Lucro Líquido]]/Tabela3[[#This Row],[Total Ações]]</f>
        <v>1.2719551436763421</v>
      </c>
      <c r="V23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0.36250721594775748</v>
      </c>
      <c r="W23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0.36250721594775748</v>
      </c>
      <c r="Z237" s="7">
        <f>Tabela3[Div Base]*Tabela3[Ações]</f>
        <v>156327345</v>
      </c>
      <c r="AA237" s="7">
        <f>SUMPRODUCT(N(Tabela3[Nome]=Tabela3[[#This Row],[Nome]]),Tabela3[Div Base]*Tabela3[Ações])</f>
        <v>156327345</v>
      </c>
      <c r="AB237" s="74">
        <f>Tabela3[Patrimônio Líquido]/Tabela3[Total Ações]</f>
        <v>2.0817376221104023</v>
      </c>
      <c r="AC237" s="52">
        <f>MAX(Tabela3[[#This Row],[Cotação 1]:[Cotação 4]])</f>
        <v>38.78</v>
      </c>
      <c r="AD237" s="53">
        <f>Tabela3[Cotação]/Tabela3[VPA]</f>
        <v>18.628668468164598</v>
      </c>
      <c r="AE237" s="37">
        <f>IF(Tabela3[[#This Row],[Lucro/Ação]]&gt;0,Tabela3[[#This Row],[Cotação]]/(Tabela3[[#This Row],[Lucro/Ação]]/Tabela3[Ref]*4),0)</f>
        <v>22.866372406762231</v>
      </c>
      <c r="AF237" s="59" t="e">
        <f>IF(Tabela3[Div. Mínimo]=0,0,Tabela3[Lucro Distribuir]*#REF!/Tabela3[Total Ações])</f>
        <v>#REF!</v>
      </c>
      <c r="AG237" s="87">
        <f>Tabela3[Lucro Distribuir]/Tabela3[Total Ações]</f>
        <v>1.208357386492525</v>
      </c>
      <c r="AH23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0.36250721594775748</v>
      </c>
      <c r="AI237" s="10" t="str">
        <f>IF(AND(Tabela3[% A.A.]&gt;=7%,SUMPRODUCT(N(Tabela3[Nome]=Tabela3[[#This Row],[Nome]]),Tabela3[PL])&gt;0),"Sim","Não")</f>
        <v>Não</v>
      </c>
      <c r="AJ237" s="22">
        <f>IF(Tabela3[Cotação]&gt;0,Tabela3[[#This Row],[Lucro]]/Tabela3[[#This Row],[Cotação]],0)</f>
        <v>9.3477879305765201E-3</v>
      </c>
      <c r="AK237" s="22">
        <f>((1+Tabela3[[#This Row],[% Yield]])^(1/(3*Tabela3[[#This Row],[Ref]])))^(12)-1</f>
        <v>1.2483095091220697E-2</v>
      </c>
      <c r="AL237" s="10">
        <f>IF(Tabela3[Cotação]&gt;0,($AS$1/Tabela3[[#This Row],[Cotação]]-MOD($AS$1/Tabela3[[#This Row],[Cotação]],100)),)</f>
        <v>0</v>
      </c>
      <c r="AM237" s="7">
        <f>Tabela3[[#This Row],[Ativos]]*Tabela3[Lucro]</f>
        <v>0</v>
      </c>
      <c r="AN237" s="7">
        <f>SUMPRODUCT(N(Tabela1[Código]=Tabela3[[#This Row],[PAPEL]]),Tabela1[Fechamento])</f>
        <v>0</v>
      </c>
      <c r="AO237" s="7">
        <f>SUMPRODUCT(N(Tabela17[Código]=Tabela3[[#This Row],[PAPEL]]),Tabela17[Fechamento])</f>
        <v>0</v>
      </c>
      <c r="AP237" s="7">
        <f>SUMPRODUCT(N(Tabela176[Código]=Tabela3[[#This Row],[PAPEL]]),Tabela176[Fechamento])</f>
        <v>38.78</v>
      </c>
      <c r="AQ237" s="7">
        <f>SUMPRODUCT(N(Tabela1768[Código]=Tabela3[[#This Row],[PAPEL]]),Tabela1768[Fechamento])</f>
        <v>0</v>
      </c>
    </row>
    <row r="238" spans="1:43" hidden="1" x14ac:dyDescent="0.2">
      <c r="A238" s="4" t="s">
        <v>682</v>
      </c>
      <c r="B238" s="57" t="s">
        <v>337</v>
      </c>
      <c r="C238" s="15" t="str">
        <f>LEFT(Tabela3[PAPEL],LEN(Tabela3[PAPEL])-(LEN(Tabela3[PAPEL])-4))</f>
        <v>NUTR</v>
      </c>
      <c r="D238" s="15">
        <v>3</v>
      </c>
      <c r="E238" s="6">
        <v>22877961</v>
      </c>
      <c r="F238" s="8">
        <v>12414678</v>
      </c>
      <c r="G238" s="88">
        <v>0.25</v>
      </c>
      <c r="H238" s="15"/>
      <c r="I238" s="19"/>
      <c r="J238" s="19"/>
      <c r="K238" s="90"/>
      <c r="L238" s="90"/>
      <c r="M238" s="96">
        <v>30416000</v>
      </c>
      <c r="N238" s="97">
        <v>-2203000</v>
      </c>
      <c r="O238" s="13">
        <f>Tabela3[[#This Row],[Capital Social]]*20%</f>
        <v>4575592.2</v>
      </c>
      <c r="P238" s="13">
        <f>IF((Tabela3[Lucro Líquido]*5%)&gt;Tabela3[Teto R. Legal],Tabela3[Teto R. Legal],Tabela3[Lucro Líquido]*5%)</f>
        <v>-110150</v>
      </c>
      <c r="Q238" s="13">
        <f>IF(Tabela3[Lucro Líquido]&lt;0,0,Tabela3[Lucro Líquido]-Tabela3[Reserva Legal])</f>
        <v>0</v>
      </c>
      <c r="R238" s="13">
        <f>Tabela3[[#This Row],[Lucro Distribuir]]*Tabela3[%Div]</f>
        <v>0</v>
      </c>
      <c r="S238" s="56">
        <f>SUMPRODUCT(N(Tabela3[Nome]=Tabela3[[#This Row],[Nome]]),Tabela3[Ações])</f>
        <v>12414678</v>
      </c>
      <c r="T238" s="6">
        <f>Tabela3[Capital Social]/Tabela3[Total Ações]</f>
        <v>1.8428154963020387</v>
      </c>
      <c r="U238" s="80">
        <f>Tabela3[[#This Row],[Lucro Líquido]]/Tabela3[[#This Row],[Total Ações]]</f>
        <v>-0.177451239573028</v>
      </c>
      <c r="V23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3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38" s="13">
        <f>Tabela3[Div Base]*Tabela3[Ações]</f>
        <v>0</v>
      </c>
      <c r="AA238" s="13">
        <f>SUMPRODUCT(N(Tabela3[Nome]=Tabela3[[#This Row],[Nome]]),Tabela3[Div Base]*Tabela3[Ações])</f>
        <v>0</v>
      </c>
      <c r="AB238" s="95">
        <f>Tabela3[Patrimônio Líquido]/Tabela3[Total Ações]</f>
        <v>2.450003133387753</v>
      </c>
      <c r="AC238" s="48">
        <f>MAX(Tabela3[[#This Row],[Cotação 1]:[Cotação 4]])</f>
        <v>1.51</v>
      </c>
      <c r="AD238" s="44">
        <f>Tabela3[Cotação]/Tabela3[VPA]</f>
        <v>0.61632574237243554</v>
      </c>
      <c r="AE238" s="40">
        <f>IF(Tabela3[[#This Row],[Lucro/Ação]]&gt;0,Tabela3[[#This Row],[Cotação]]/(Tabela3[[#This Row],[Lucro/Ação]]/Tabela3[Ref]*4),0)</f>
        <v>0</v>
      </c>
      <c r="AF238" s="91">
        <f>IF(Tabela3[Div. Mínimo]=0,0,Tabela3[Lucro Distribuir]*#REF!/Tabela3[Total Ações])</f>
        <v>0</v>
      </c>
      <c r="AG238" s="80">
        <f>Tabela3[Lucro Distribuir]/Tabela3[Total Ações]</f>
        <v>0</v>
      </c>
      <c r="AH23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38" s="14" t="str">
        <f>IF(AND(Tabela3[% A.A.]&gt;=7%,SUMPRODUCT(N(Tabela3[Nome]=Tabela3[[#This Row],[Nome]]),Tabela3[PL])&gt;0),"Sim","Não")</f>
        <v>Não</v>
      </c>
      <c r="AJ238" s="42">
        <f>IF(Tabela3[Cotação]&gt;0,Tabela3[[#This Row],[Lucro]]/Tabela3[[#This Row],[Cotação]],0)</f>
        <v>0</v>
      </c>
      <c r="AK238" s="42">
        <f>((1+Tabela3[[#This Row],[% Yield]])^(1/(3*Tabela3[[#This Row],[Ref]])))^(12)-1</f>
        <v>0</v>
      </c>
      <c r="AL238" s="14">
        <f>IF(Tabela3[Cotação]&gt;0,($AS$1/Tabela3[[#This Row],[Cotação]]-MOD($AS$1/Tabela3[[#This Row],[Cotação]],100)),)</f>
        <v>600</v>
      </c>
      <c r="AM238" s="17">
        <f>Tabela3[[#This Row],[Ativos]]*Tabela3[Lucro]</f>
        <v>0</v>
      </c>
      <c r="AN238" s="17">
        <f>SUMPRODUCT(N(Tabela1[Código]=Tabela3[[#This Row],[PAPEL]]),Tabela1[Fechamento])</f>
        <v>0</v>
      </c>
      <c r="AO238" s="17">
        <f>SUMPRODUCT(N(Tabela17[Código]=Tabela3[[#This Row],[PAPEL]]),Tabela17[Fechamento])</f>
        <v>1.51</v>
      </c>
      <c r="AP238" s="17">
        <f>SUMPRODUCT(N(Tabela176[Código]=Tabela3[[#This Row],[PAPEL]]),Tabela176[Fechamento])</f>
        <v>1.51</v>
      </c>
      <c r="AQ238" s="17">
        <f>SUMPRODUCT(N(Tabela1768[Código]=Tabela3[[#This Row],[PAPEL]]),Tabela1768[Fechamento])</f>
        <v>0</v>
      </c>
    </row>
    <row r="239" spans="1:43" hidden="1" x14ac:dyDescent="0.2">
      <c r="A239" s="4" t="s">
        <v>771</v>
      </c>
      <c r="B239" s="57" t="s">
        <v>777</v>
      </c>
      <c r="C239" s="15" t="str">
        <f>LEFT(Tabela3[PAPEL],LEN(Tabela3[PAPEL])-(LEN(Tabela3[PAPEL])-4))</f>
        <v>ODPV</v>
      </c>
      <c r="D239" s="15">
        <v>3</v>
      </c>
      <c r="E239" s="6">
        <v>506557472.69999999</v>
      </c>
      <c r="F239" s="8">
        <v>531294792</v>
      </c>
      <c r="G239" s="88">
        <v>0.5</v>
      </c>
      <c r="H239" s="15"/>
      <c r="I239" s="19"/>
      <c r="J239" s="19"/>
      <c r="K239" s="90"/>
      <c r="L239" s="90"/>
      <c r="M239" s="96">
        <v>696873000</v>
      </c>
      <c r="N239" s="97">
        <v>140959000</v>
      </c>
      <c r="O239" s="13">
        <f>Tabela3[[#This Row],[Capital Social]]*20%</f>
        <v>101311494.54000001</v>
      </c>
      <c r="P239" s="13">
        <f>IF((Tabela3[Lucro Líquido]*5%)&gt;Tabela3[Teto R. Legal],Tabela3[Teto R. Legal],Tabela3[Lucro Líquido]*5%)</f>
        <v>7047950</v>
      </c>
      <c r="Q239" s="13">
        <f>IF(Tabela3[Lucro Líquido]&lt;0,0,Tabela3[Lucro Líquido]-Tabela3[Reserva Legal])</f>
        <v>133911050</v>
      </c>
      <c r="R239" s="13">
        <f>Tabela3[[#This Row],[Lucro Distribuir]]*Tabela3[%Div]</f>
        <v>66955525</v>
      </c>
      <c r="S239" s="56">
        <f>SUMPRODUCT(N(Tabela3[Nome]=Tabela3[[#This Row],[Nome]]),Tabela3[Ações])</f>
        <v>531294792</v>
      </c>
      <c r="T239" s="6">
        <f>Tabela3[Capital Social]/Tabela3[Total Ações]</f>
        <v>0.95343955997219709</v>
      </c>
      <c r="U239" s="80">
        <f>Tabela3[[#This Row],[Lucro Líquido]]/Tabela3[[#This Row],[Total Ações]]</f>
        <v>0.26531221860725485</v>
      </c>
      <c r="V23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0.12602330383844607</v>
      </c>
      <c r="W23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3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3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0.12602330383844607</v>
      </c>
      <c r="Z239" s="13">
        <f>Tabela3[Div Base]*Tabela3[Ações]</f>
        <v>66955525.000000007</v>
      </c>
      <c r="AA239" s="13">
        <f>SUMPRODUCT(N(Tabela3[Nome]=Tabela3[[#This Row],[Nome]]),Tabela3[Div Base]*Tabela3[Ações])</f>
        <v>66955525.000000007</v>
      </c>
      <c r="AB239" s="95">
        <f>Tabela3[Patrimônio Líquido]/Tabela3[Total Ações]</f>
        <v>1.3116503502259063</v>
      </c>
      <c r="AC239" s="48">
        <f>MAX(Tabela3[[#This Row],[Cotação 1]:[Cotação 4]])</f>
        <v>8.98</v>
      </c>
      <c r="AD239" s="44">
        <f>Tabela3[Cotação]/Tabela3[VPA]</f>
        <v>6.846336753124314</v>
      </c>
      <c r="AE239" s="40">
        <f>IF(Tabela3[[#This Row],[Lucro/Ação]]&gt;0,Tabela3[[#This Row],[Cotação]]/(Tabela3[[#This Row],[Lucro/Ação]]/Tabela3[Ref]*4),0)</f>
        <v>25.385185934349707</v>
      </c>
      <c r="AF239" s="91" t="e">
        <f>IF(Tabela3[Div. Mínimo]=0,0,Tabela3[Lucro Distribuir]*#REF!/Tabela3[Total Ações])</f>
        <v>#REF!</v>
      </c>
      <c r="AG239" s="80">
        <f>Tabela3[Lucro Distribuir]/Tabela3[Total Ações]</f>
        <v>0.25204660767689213</v>
      </c>
      <c r="AH23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0.12602330383844607</v>
      </c>
      <c r="AI239" s="14" t="str">
        <f>IF(AND(Tabela3[% A.A.]&gt;=7%,SUMPRODUCT(N(Tabela3[Nome]=Tabela3[[#This Row],[Nome]]),Tabela3[PL])&gt;0),"Sim","Não")</f>
        <v>Não</v>
      </c>
      <c r="AJ239" s="42">
        <f>IF(Tabela3[Cotação]&gt;0,Tabela3[[#This Row],[Lucro]]/Tabela3[[#This Row],[Cotação]],0)</f>
        <v>1.403377548312317E-2</v>
      </c>
      <c r="AK239" s="42">
        <f>((1+Tabela3[[#This Row],[% Yield]])^(1/(3*Tabela3[[#This Row],[Ref]])))^(12)-1</f>
        <v>1.875533091469328E-2</v>
      </c>
      <c r="AL239" s="14">
        <f>IF(Tabela3[Cotação]&gt;0,($AS$1/Tabela3[[#This Row],[Cotação]]-MOD($AS$1/Tabela3[[#This Row],[Cotação]],100)),)</f>
        <v>100</v>
      </c>
      <c r="AM239" s="17">
        <f>Tabela3[[#This Row],[Ativos]]*Tabela3[Lucro]</f>
        <v>12.602330383844606</v>
      </c>
      <c r="AN239" s="17">
        <f>SUMPRODUCT(N(Tabela1[Código]=Tabela3[[#This Row],[PAPEL]]),Tabela1[Fechamento])</f>
        <v>0</v>
      </c>
      <c r="AO239" s="17">
        <f>SUMPRODUCT(N(Tabela17[Código]=Tabela3[[#This Row],[PAPEL]]),Tabela17[Fechamento])</f>
        <v>0</v>
      </c>
      <c r="AP239" s="17">
        <f>SUMPRODUCT(N(Tabela176[Código]=Tabela3[[#This Row],[PAPEL]]),Tabela176[Fechamento])</f>
        <v>8.98</v>
      </c>
      <c r="AQ239" s="17">
        <f>SUMPRODUCT(N(Tabela1768[Código]=Tabela3[[#This Row],[PAPEL]]),Tabela1768[Fechamento])</f>
        <v>0</v>
      </c>
    </row>
    <row r="240" spans="1:43" hidden="1" x14ac:dyDescent="0.2">
      <c r="A240" s="4" t="s">
        <v>249</v>
      </c>
      <c r="B240" s="60" t="s">
        <v>610</v>
      </c>
      <c r="C240" s="15" t="str">
        <f>LEFT(Tabela3[PAPEL],LEN(Tabela3[PAPEL])-(LEN(Tabela3[PAPEL])-4))</f>
        <v>OGXP</v>
      </c>
      <c r="D240" s="15">
        <v>3</v>
      </c>
      <c r="E240" s="6">
        <v>9058105645.2999992</v>
      </c>
      <c r="F240" s="8">
        <v>3236016790</v>
      </c>
      <c r="G240" s="88">
        <v>1.0000000000000001E-5</v>
      </c>
      <c r="H240" s="9"/>
      <c r="I240" s="9"/>
      <c r="J240" s="19"/>
      <c r="K240" s="90"/>
      <c r="L240" s="90"/>
      <c r="M240" s="6">
        <v>61509000</v>
      </c>
      <c r="N240" s="97">
        <v>-7648799000</v>
      </c>
      <c r="O240" s="13">
        <f>Tabela3[[#This Row],[Capital Social]]*20%</f>
        <v>1811621129.0599999</v>
      </c>
      <c r="P240" s="13">
        <f>IF((Tabela3[Lucro Líquido]*5%)&gt;Tabela3[Teto R. Legal],Tabela3[Teto R. Legal],Tabela3[Lucro Líquido]*5%)</f>
        <v>-382439950</v>
      </c>
      <c r="Q240" s="13">
        <f>IF(Tabela3[Lucro Líquido]&lt;0,0,Tabela3[Lucro Líquido]-Tabela3[Reserva Legal])</f>
        <v>0</v>
      </c>
      <c r="R240" s="13">
        <f>Tabela3[[#This Row],[Lucro Distribuir]]*Tabela3[%Div]</f>
        <v>0</v>
      </c>
      <c r="S240" s="56">
        <f>SUMPRODUCT(N(Tabela3[Nome]=Tabela3[[#This Row],[Nome]]),Tabela3[Ações])</f>
        <v>3236016790</v>
      </c>
      <c r="T240" s="6">
        <f>Tabela3[Capital Social]/Tabela3[Total Ações]</f>
        <v>2.7991528577019524</v>
      </c>
      <c r="U240" s="80">
        <f>Tabela3[[#This Row],[Lucro Líquido]]/Tabela3[[#This Row],[Total Ações]]</f>
        <v>-2.3636462652593346</v>
      </c>
      <c r="V24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4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40" s="13">
        <f>Tabela3[Div Base]*Tabela3[Ações]</f>
        <v>0</v>
      </c>
      <c r="AA240" s="13">
        <f>SUMPRODUCT(N(Tabela3[Nome]=Tabela3[[#This Row],[Nome]]),Tabela3[Div Base]*Tabela3[Ações])</f>
        <v>0</v>
      </c>
      <c r="AB240" s="95">
        <f>Tabela3[Patrimônio Líquido]/Tabela3[Total Ações]</f>
        <v>1.9007626965989878E-2</v>
      </c>
      <c r="AC240" s="48">
        <f>MAX(Tabela3[[#This Row],[Cotação 1]:[Cotação 4]])</f>
        <v>0</v>
      </c>
      <c r="AD240" s="44">
        <f>Tabela3[Cotação]/Tabela3[VPA]</f>
        <v>0</v>
      </c>
      <c r="AE240" s="40">
        <f>IF(Tabela3[[#This Row],[Lucro/Ação]]&gt;0,Tabela3[[#This Row],[Cotação]]/(Tabela3[[#This Row],[Lucro/Ação]]/Tabela3[Ref]*4),0)</f>
        <v>0</v>
      </c>
      <c r="AF240" s="91">
        <f>IF(Tabela3[Div. Mínimo]=0,0,Tabela3[Lucro Distribuir]*#REF!/Tabela3[Total Ações])</f>
        <v>0</v>
      </c>
      <c r="AG240" s="80">
        <f>Tabela3[Lucro Distribuir]/Tabela3[Total Ações]</f>
        <v>0</v>
      </c>
      <c r="AH24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40" s="14" t="str">
        <f>IF(AND(Tabela3[% A.A.]&gt;=7%,SUMPRODUCT(N(Tabela3[Nome]=Tabela3[[#This Row],[Nome]]),Tabela3[PL])&gt;0),"Sim","Não")</f>
        <v>Não</v>
      </c>
      <c r="AJ240" s="42">
        <f>IF(Tabela3[Cotação]&gt;0,Tabela3[[#This Row],[Lucro]]/Tabela3[[#This Row],[Cotação]],0)</f>
        <v>0</v>
      </c>
      <c r="AK240" s="42">
        <f>((1+Tabela3[[#This Row],[% Yield]])^(1/(3*Tabela3[[#This Row],[Ref]])))^(12)-1</f>
        <v>0</v>
      </c>
      <c r="AL240" s="14">
        <f>IF(Tabela3[Cotação]&gt;0,($AS$1/Tabela3[[#This Row],[Cotação]]-MOD($AS$1/Tabela3[[#This Row],[Cotação]],100)),)</f>
        <v>0</v>
      </c>
      <c r="AM240" s="17">
        <f>Tabela3[[#This Row],[Ativos]]*Tabela3[Lucro]</f>
        <v>0</v>
      </c>
      <c r="AN240" s="17">
        <f>SUMPRODUCT(N(Tabela1[Código]=Tabela3[[#This Row],[PAPEL]]),Tabela1[Fechamento])</f>
        <v>0</v>
      </c>
      <c r="AO240" s="17">
        <f>SUMPRODUCT(N(Tabela17[Código]=Tabela3[[#This Row],[PAPEL]]),Tabela17[Fechamento])</f>
        <v>0</v>
      </c>
      <c r="AP240" s="17">
        <f>SUMPRODUCT(N(Tabela176[Código]=Tabela3[[#This Row],[PAPEL]]),Tabela176[Fechamento])</f>
        <v>0</v>
      </c>
      <c r="AQ240" s="17">
        <f>SUMPRODUCT(N(Tabela1768[Código]=Tabela3[[#This Row],[PAPEL]]),Tabela1768[Fechamento])</f>
        <v>0</v>
      </c>
    </row>
    <row r="241" spans="1:43" hidden="1" x14ac:dyDescent="0.2">
      <c r="A241" s="3" t="s">
        <v>298</v>
      </c>
      <c r="B241" s="57" t="s">
        <v>294</v>
      </c>
      <c r="C241" s="84" t="str">
        <f>LEFT(Tabela3[PAPEL],LEN(Tabela3[PAPEL])-(LEN(Tabela3[PAPEL])-4))</f>
        <v>OIBR</v>
      </c>
      <c r="D241" s="16">
        <v>3</v>
      </c>
      <c r="E241" s="5">
        <v>7471208836.6300001</v>
      </c>
      <c r="F241" s="56">
        <v>599088629</v>
      </c>
      <c r="G241" s="88">
        <v>0.25</v>
      </c>
      <c r="H241" s="18"/>
      <c r="I241" s="18"/>
      <c r="K241" s="89"/>
      <c r="L241" s="89"/>
      <c r="M241" s="5">
        <v>10322490000</v>
      </c>
      <c r="N241" s="5">
        <v>310353000</v>
      </c>
      <c r="O241" s="5">
        <f>Tabela3[[#This Row],[Capital Social]]*20%</f>
        <v>1494241767.3260002</v>
      </c>
      <c r="P241" s="5">
        <f>IF((Tabela3[Lucro Líquido]*5%)&gt;Tabela3[Teto R. Legal],Tabela3[Teto R. Legal],Tabela3[Lucro Líquido]*5%)</f>
        <v>15517650</v>
      </c>
      <c r="Q241" s="5">
        <f>IF(Tabela3[Lucro Líquido]&lt;0,0,Tabela3[Lucro Líquido]-Tabela3[Reserva Legal])</f>
        <v>294835350</v>
      </c>
      <c r="R241" s="5">
        <f>Tabela3[[#This Row],[Lucro Distribuir]]*Tabela3[%Div]</f>
        <v>73708837.5</v>
      </c>
      <c r="S241" s="56">
        <f>SUMPRODUCT(N(Tabela3[Nome]=Tabela3[[#This Row],[Nome]]),Tabela3[Ações])</f>
        <v>1797166404</v>
      </c>
      <c r="T241" s="5">
        <f>Tabela3[Capital Social]/Tabela3[Total Ações]</f>
        <v>4.1572159483958391</v>
      </c>
      <c r="U241" s="79">
        <f>Tabela3[[#This Row],[Lucro Líquido]]/Tabela3[[#This Row],[Total Ações]]</f>
        <v>0.17269018567743047</v>
      </c>
      <c r="V24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4.1013919098389737E-2</v>
      </c>
      <c r="W24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41" s="5">
        <f>Tabela3[Div Base]*Tabela3[Ações]</f>
        <v>0</v>
      </c>
      <c r="AA241" s="5">
        <f>SUMPRODUCT(N(Tabela3[Nome]=Tabela3[[#This Row],[Nome]]),Tabela3[Div Base]*Tabela3[Ações])</f>
        <v>298840082.01891607</v>
      </c>
      <c r="AB241" s="5">
        <f>Tabela3[Patrimônio Líquido]/Tabela3[Total Ações]</f>
        <v>5.7437586063399388</v>
      </c>
      <c r="AC241" s="52">
        <f>MAX(Tabela3[[#This Row],[Cotação 1]:[Cotação 4]])</f>
        <v>4.5999999999999996</v>
      </c>
      <c r="AD241" s="53">
        <f>Tabela3[Cotação]/Tabela3[VPA]</f>
        <v>0.80086931141614082</v>
      </c>
      <c r="AE241" s="37">
        <f>IF(Tabela3[[#This Row],[Lucro/Ação]]&gt;0,Tabela3[[#This Row],[Cotação]]/(Tabela3[[#This Row],[Lucro/Ação]]/Tabela3[Ref]*4),0)</f>
        <v>19.977973771157355</v>
      </c>
      <c r="AF241" s="37" t="e">
        <f>IF(Tabela3[Div. Mínimo]=0,0,Tabela3[Lucro Distribuir]*#REF!/Tabela3[Total Ações])</f>
        <v>#REF!</v>
      </c>
      <c r="AG241" s="79">
        <f>Tabela3[Lucro Distribuir]/Tabela3[Total Ações]</f>
        <v>0.16405567639355895</v>
      </c>
      <c r="AH24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41" s="16" t="str">
        <f>IF(AND(Tabela3[% A.A.]&gt;=7%,SUMPRODUCT(N(Tabela3[Nome]=Tabela3[[#This Row],[Nome]]),Tabela3[PL])&gt;0),"Sim","Não")</f>
        <v>Não</v>
      </c>
      <c r="AJ241" s="22">
        <f>IF(Tabela3[Cotação]&gt;0,Tabela3[[#This Row],[Lucro]]/Tabela3[[#This Row],[Cotação]],0)</f>
        <v>0</v>
      </c>
      <c r="AK241" s="18">
        <f>((1+Tabela3[[#This Row],[% Yield]])^(1/(3*Tabela3[[#This Row],[Ref]])))^(12)-1</f>
        <v>0</v>
      </c>
      <c r="AL241" s="10">
        <f>IF(Tabela3[Cotação]&gt;0,($AS$1/Tabela3[[#This Row],[Cotação]]-MOD($AS$1/Tabela3[[#This Row],[Cotação]],100)),)</f>
        <v>200</v>
      </c>
      <c r="AM241" s="7">
        <f>Tabela3[[#This Row],[Ativos]]*Tabela3[Lucro]</f>
        <v>0</v>
      </c>
      <c r="AN241" s="47">
        <f>SUMPRODUCT(N(Tabela1[Código]=Tabela3[[#This Row],[PAPEL]]),Tabela1[Fechamento])</f>
        <v>0</v>
      </c>
      <c r="AO241" s="54">
        <f>SUMPRODUCT(N(Tabela17[Código]=Tabela3[[#This Row],[PAPEL]]),Tabela17[Fechamento])</f>
        <v>4.5999999999999996</v>
      </c>
      <c r="AP241" s="7">
        <f>SUMPRODUCT(N(Tabela176[Código]=Tabela3[[#This Row],[PAPEL]]),Tabela176[Fechamento])</f>
        <v>0</v>
      </c>
      <c r="AQ241" s="7">
        <f>SUMPRODUCT(N(Tabela1768[Código]=Tabela3[[#This Row],[PAPEL]]),Tabela1768[Fechamento])</f>
        <v>0</v>
      </c>
    </row>
    <row r="242" spans="1:43" x14ac:dyDescent="0.2">
      <c r="A242" s="4" t="s">
        <v>14</v>
      </c>
      <c r="B242" s="57" t="s">
        <v>201</v>
      </c>
      <c r="C242" s="14" t="str">
        <f>LEFT(Tabela3[PAPEL],LEN(Tabela3[PAPEL])-(LEN(Tabela3[PAPEL])-4))</f>
        <v>BRIV</v>
      </c>
      <c r="D242" s="15">
        <v>3</v>
      </c>
      <c r="E242" s="6">
        <v>524000000</v>
      </c>
      <c r="F242" s="8">
        <v>36275493</v>
      </c>
      <c r="G242" s="83">
        <v>0.25</v>
      </c>
      <c r="H242" s="15"/>
      <c r="I242" s="19">
        <v>0.06</v>
      </c>
      <c r="J242" s="19"/>
      <c r="K242" s="90"/>
      <c r="L242" s="90"/>
      <c r="M242" s="6">
        <v>1179411000</v>
      </c>
      <c r="N242" s="6">
        <v>46761000</v>
      </c>
      <c r="O242" s="6">
        <f>Tabela3[[#This Row],[Capital Social]]*20%</f>
        <v>104800000</v>
      </c>
      <c r="P242" s="6">
        <f>IF((Tabela3[Lucro Líquido]*5%)&gt;Tabela3[Teto R. Legal],Tabela3[Teto R. Legal],Tabela3[Lucro Líquido]*5%)</f>
        <v>2338050</v>
      </c>
      <c r="Q242" s="6">
        <f>IF(Tabela3[Lucro Líquido]&lt;0,0,Tabela3[Lucro Líquido]-Tabela3[Reserva Legal])</f>
        <v>44422950</v>
      </c>
      <c r="R242" s="6">
        <f>Tabela3[[#This Row],[Lucro Distribuir]]*Tabela3[%Div]</f>
        <v>11105737.5</v>
      </c>
      <c r="S242" s="21">
        <f>SUMPRODUCT(N(Tabela3[Nome]=Tabela3[[#This Row],[Nome]]),Tabela3[Ações])</f>
        <v>90224492</v>
      </c>
      <c r="T242" s="6">
        <f>Tabela3[Capital Social]/Tabela3[Total Ações]</f>
        <v>5.8077356645022729</v>
      </c>
      <c r="U242" s="80">
        <f>Tabela3[[#This Row],[Lucro Líquido]]/Tabela3[[#This Row],[Total Ações]]</f>
        <v>0.51827390726677625</v>
      </c>
      <c r="V24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0.12309005297585937</v>
      </c>
      <c r="W24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0.34846413987013636</v>
      </c>
      <c r="Y24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0.34846413987013636</v>
      </c>
      <c r="Z242" s="6">
        <f>Tabela3[Div Base]*Tabela3[Ações]</f>
        <v>12640708.466610152</v>
      </c>
      <c r="AA242" s="6">
        <f>SUMPRODUCT(N(Tabela3[Nome]=Tabela3[[#This Row],[Nome]]),Tabela3[Div Base]*Tabela3[Ações])</f>
        <v>12640708.466610152</v>
      </c>
      <c r="AB242" s="6">
        <f>Tabela3[Patrimônio Líquido]/Tabela3[Total Ações]</f>
        <v>13.071960549248645</v>
      </c>
      <c r="AC242" s="48">
        <f>MAX(Tabela3[[#This Row],[Cotação 1]:[Cotação 4]])</f>
        <v>5.66</v>
      </c>
      <c r="AD242" s="44">
        <f>Tabela3[Cotação]/Tabela3[VPA]</f>
        <v>0.43298784284698039</v>
      </c>
      <c r="AE242" s="40">
        <f>IF(Tabela3[[#This Row],[Lucro/Ação]]&gt;0,Tabela3[[#This Row],[Cotação]]/(Tabela3[[#This Row],[Lucro/Ação]]/Tabela3[Ref]*4),0)</f>
        <v>8.1906496554821349</v>
      </c>
      <c r="AF242" s="40" t="e">
        <f>IF(Tabela3[Div. Mínimo]=0,0,Tabela3[Lucro Distribuir]*#REF!/Tabela3[Total Ações])</f>
        <v>#REF!</v>
      </c>
      <c r="AG242" s="80">
        <f>Tabela3[Lucro Distribuir]/Tabela3[Total Ações]</f>
        <v>0.49236021190343748</v>
      </c>
      <c r="AH24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0.34846413987013636</v>
      </c>
      <c r="AI242" s="15" t="str">
        <f>IF(AND(Tabela3[% A.A.]&gt;=7%,SUMPRODUCT(N(Tabela3[Nome]=Tabela3[[#This Row],[Nome]]),Tabela3[PL])&gt;0),"Sim","Não")</f>
        <v>Sim</v>
      </c>
      <c r="AJ242" s="42">
        <f>IF(Tabela3[Cotação]&gt;0,Tabela3[[#This Row],[Lucro]]/Tabela3[[#This Row],[Cotação]],0)</f>
        <v>6.1566102450554126E-2</v>
      </c>
      <c r="AK242" s="19">
        <f>((1+Tabela3[[#This Row],[% Yield]])^(1/(3*Tabela3[[#This Row],[Ref]])))^(12)-1</f>
        <v>8.2919206721310479E-2</v>
      </c>
      <c r="AL242" s="14">
        <f>IF(Tabela3[Cotação]&gt;0,($AS$1/Tabela3[[#This Row],[Cotação]]-MOD($AS$1/Tabela3[[#This Row],[Cotação]],100)),)</f>
        <v>100</v>
      </c>
      <c r="AM242" s="17">
        <f>Tabela3[[#This Row],[Ativos]]*Tabela3[Lucro]</f>
        <v>34.846413987013634</v>
      </c>
      <c r="AN242" s="5">
        <f>SUMPRODUCT(N(Tabela1[Código]=Tabela3[[#This Row],[PAPEL]]),Tabela1[Fechamento])</f>
        <v>5.66</v>
      </c>
      <c r="AO242" s="5">
        <f>SUMPRODUCT(N(Tabela17[Código]=Tabela3[[#This Row],[PAPEL]]),Tabela17[Fechamento])</f>
        <v>0</v>
      </c>
      <c r="AP242" s="7">
        <f>SUMPRODUCT(N(Tabela176[Código]=Tabela3[[#This Row],[PAPEL]]),Tabela176[Fechamento])</f>
        <v>0</v>
      </c>
      <c r="AQ242" s="7">
        <f>SUMPRODUCT(N(Tabela1768[Código]=Tabela3[[#This Row],[PAPEL]]),Tabela1768[Fechamento])</f>
        <v>0</v>
      </c>
    </row>
    <row r="243" spans="1:43" hidden="1" x14ac:dyDescent="0.2">
      <c r="A243" s="4" t="s">
        <v>616</v>
      </c>
      <c r="B243" s="57" t="s">
        <v>617</v>
      </c>
      <c r="C243" s="15" t="str">
        <f>LEFT(Tabela3[PAPEL],LEN(Tabela3[PAPEL])-(LEN(Tabela3[PAPEL])-4))</f>
        <v>OSXB</v>
      </c>
      <c r="D243" s="15">
        <v>3</v>
      </c>
      <c r="E243" s="6">
        <v>3775591929.5300002</v>
      </c>
      <c r="F243" s="8">
        <v>312563568</v>
      </c>
      <c r="G243" s="88">
        <v>1.0000000000000001E-5</v>
      </c>
      <c r="H243" s="9"/>
      <c r="I243" s="19"/>
      <c r="J243" s="19"/>
      <c r="K243" s="90"/>
      <c r="L243" s="90"/>
      <c r="M243" s="96">
        <v>2385412000</v>
      </c>
      <c r="N243" s="97">
        <v>-1939413000</v>
      </c>
      <c r="O243" s="13">
        <f>Tabela3[[#This Row],[Capital Social]]*20%</f>
        <v>755118385.90600014</v>
      </c>
      <c r="P243" s="13">
        <f>IF((Tabela3[Lucro Líquido]*5%)&gt;Tabela3[Teto R. Legal],Tabela3[Teto R. Legal],Tabela3[Lucro Líquido]*5%)</f>
        <v>-96970650</v>
      </c>
      <c r="Q243" s="13">
        <f>IF(Tabela3[Lucro Líquido]&lt;0,0,Tabela3[Lucro Líquido]-Tabela3[Reserva Legal])</f>
        <v>0</v>
      </c>
      <c r="R243" s="13">
        <f>Tabela3[[#This Row],[Lucro Distribuir]]*Tabela3[%Div]</f>
        <v>0</v>
      </c>
      <c r="S243" s="56">
        <f>SUMPRODUCT(N(Tabela3[Nome]=Tabela3[[#This Row],[Nome]]),Tabela3[Ações])</f>
        <v>312563568</v>
      </c>
      <c r="T243" s="6">
        <f>Tabela3[Capital Social]/Tabela3[Total Ações]</f>
        <v>12.079437004411211</v>
      </c>
      <c r="U243" s="80">
        <f>Tabela3[[#This Row],[Lucro Líquido]]/Tabela3[[#This Row],[Total Ações]]</f>
        <v>-6.2048594223879601</v>
      </c>
      <c r="V24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4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43" s="13">
        <f>Tabela3[Div Base]*Tabela3[Ações]</f>
        <v>0</v>
      </c>
      <c r="AA243" s="13">
        <f>SUMPRODUCT(N(Tabela3[Nome]=Tabela3[[#This Row],[Nome]]),Tabela3[Div Base]*Tabela3[Ações])</f>
        <v>0</v>
      </c>
      <c r="AB243" s="95">
        <f>Tabela3[Patrimônio Líquido]/Tabela3[Total Ações]</f>
        <v>7.6317659644837432</v>
      </c>
      <c r="AC243" s="48">
        <f>MAX(Tabela3[[#This Row],[Cotação 1]:[Cotação 4]])</f>
        <v>0</v>
      </c>
      <c r="AD243" s="44">
        <f>Tabela3[Cotação]/Tabela3[VPA]</f>
        <v>0</v>
      </c>
      <c r="AE243" s="40">
        <f>IF(Tabela3[[#This Row],[Lucro/Ação]]&gt;0,Tabela3[[#This Row],[Cotação]]/(Tabela3[[#This Row],[Lucro/Ação]]/Tabela3[Ref]*4),0)</f>
        <v>0</v>
      </c>
      <c r="AF243" s="91">
        <f>IF(Tabela3[Div. Mínimo]=0,0,Tabela3[Lucro Distribuir]*#REF!/Tabela3[Total Ações])</f>
        <v>0</v>
      </c>
      <c r="AG243" s="80">
        <f>Tabela3[Lucro Distribuir]/Tabela3[Total Ações]</f>
        <v>0</v>
      </c>
      <c r="AH24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43" s="14" t="str">
        <f>IF(AND(Tabela3[% A.A.]&gt;=7%,SUMPRODUCT(N(Tabela3[Nome]=Tabela3[[#This Row],[Nome]]),Tabela3[PL])&gt;0),"Sim","Não")</f>
        <v>Não</v>
      </c>
      <c r="AJ243" s="42">
        <f>IF(Tabela3[Cotação]&gt;0,Tabela3[[#This Row],[Lucro]]/Tabela3[[#This Row],[Cotação]],0)</f>
        <v>0</v>
      </c>
      <c r="AK243" s="42">
        <f>((1+Tabela3[[#This Row],[% Yield]])^(1/(3*Tabela3[[#This Row],[Ref]])))^(12)-1</f>
        <v>0</v>
      </c>
      <c r="AL243" s="14">
        <f>IF(Tabela3[Cotação]&gt;0,($AS$1/Tabela3[[#This Row],[Cotação]]-MOD($AS$1/Tabela3[[#This Row],[Cotação]],100)),)</f>
        <v>0</v>
      </c>
      <c r="AM243" s="17">
        <f>Tabela3[[#This Row],[Ativos]]*Tabela3[Lucro]</f>
        <v>0</v>
      </c>
      <c r="AN243" s="17">
        <f>SUMPRODUCT(N(Tabela1[Código]=Tabela3[[#This Row],[PAPEL]]),Tabela1[Fechamento])</f>
        <v>0</v>
      </c>
      <c r="AO243" s="17">
        <f>SUMPRODUCT(N(Tabela17[Código]=Tabela3[[#This Row],[PAPEL]]),Tabela17[Fechamento])</f>
        <v>0</v>
      </c>
      <c r="AP243" s="17">
        <f>SUMPRODUCT(N(Tabela176[Código]=Tabela3[[#This Row],[PAPEL]]),Tabela176[Fechamento])</f>
        <v>0</v>
      </c>
      <c r="AQ243" s="17">
        <f>SUMPRODUCT(N(Tabela1768[Código]=Tabela3[[#This Row],[PAPEL]]),Tabela1768[Fechamento])</f>
        <v>0</v>
      </c>
    </row>
    <row r="244" spans="1:43" x14ac:dyDescent="0.2">
      <c r="A244" s="4" t="s">
        <v>370</v>
      </c>
      <c r="B244" s="57" t="s">
        <v>369</v>
      </c>
      <c r="C244" s="84" t="str">
        <f>LEFT(Tabela3[PAPEL],LEN(Tabela3[PAPEL])-(LEN(Tabela3[PAPEL])-4))</f>
        <v>MERC</v>
      </c>
      <c r="D244" s="15">
        <v>3</v>
      </c>
      <c r="E244" s="6">
        <v>75263993.599999994</v>
      </c>
      <c r="F244" s="8">
        <v>5113043</v>
      </c>
      <c r="G244" s="83">
        <v>0.25</v>
      </c>
      <c r="H244" s="19"/>
      <c r="I244" s="19">
        <v>0.06</v>
      </c>
      <c r="J244" s="19">
        <v>0.1</v>
      </c>
      <c r="K244" s="90"/>
      <c r="L244" s="90"/>
      <c r="M244" s="5">
        <v>162348000</v>
      </c>
      <c r="N244" s="5">
        <v>18569000</v>
      </c>
      <c r="O244" s="5">
        <f>Tabela3[[#This Row],[Capital Social]]*20%</f>
        <v>15052798.719999999</v>
      </c>
      <c r="P244" s="5">
        <f>IF((Tabela3[Lucro Líquido]*5%)&gt;Tabela3[Teto R. Legal],Tabela3[Teto R. Legal],Tabela3[Lucro Líquido]*5%)</f>
        <v>928450</v>
      </c>
      <c r="Q244" s="5">
        <f>IF(Tabela3[Lucro Líquido]&lt;0,0,Tabela3[Lucro Líquido]-Tabela3[Reserva Legal])</f>
        <v>17640550</v>
      </c>
      <c r="R244" s="5">
        <f>Tabela3[[#This Row],[Lucro Distribuir]]*Tabela3[%Div]</f>
        <v>4410137.5</v>
      </c>
      <c r="S244" s="56">
        <f>SUMPRODUCT(N(Tabela3[Nome]=Tabela3[[#This Row],[Nome]]),Tabela3[Ações])</f>
        <v>11759999</v>
      </c>
      <c r="T244" s="5">
        <f>Tabela3[Capital Social]/Tabela3[Total Ações]</f>
        <v>6.3999999999999995</v>
      </c>
      <c r="U244" s="80">
        <f>Tabela3[[#This Row],[Lucro Líquido]]/Tabela3[[#This Row],[Total Ações]]</f>
        <v>1.5789967329078856</v>
      </c>
      <c r="V24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0.39967805218891239</v>
      </c>
      <c r="W24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0.38399999999999995</v>
      </c>
      <c r="Y24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0.39967805218891239</v>
      </c>
      <c r="Z244" s="5">
        <f>Tabela3[Div Base]*Tabela3[Ações]</f>
        <v>2043571.0669981532</v>
      </c>
      <c r="AA244" s="5">
        <f>SUMPRODUCT(N(Tabela3[Nome]=Tabela3[[#This Row],[Nome]]),Tabela3[Div Base]*Tabela3[Ações])</f>
        <v>4458700.5428400459</v>
      </c>
      <c r="AB244" s="6">
        <f>Tabela3[Patrimônio Líquido]/Tabela3[Total Ações]</f>
        <v>13.805103214719662</v>
      </c>
      <c r="AC244" s="48">
        <f>MAX(Tabela3[[#This Row],[Cotação 1]:[Cotação 4]])</f>
        <v>6.58</v>
      </c>
      <c r="AD244" s="44">
        <f>Tabela3[Cotação]/Tabela3[VPA]</f>
        <v>0.47663533532904623</v>
      </c>
      <c r="AE244" s="40">
        <f>IF(Tabela3[[#This Row],[Lucro/Ação]]&gt;0,Tabela3[[#This Row],[Cotação]]/(Tabela3[[#This Row],[Lucro/Ação]]/Tabela3[Ref]*4),0)</f>
        <v>3.1254022868759761</v>
      </c>
      <c r="AF244" s="40" t="e">
        <f>IF(Tabela3[Div. Mínimo]=0,0,Tabela3[Lucro Distribuir]*#REF!/Tabela3[Total Ações])</f>
        <v>#REF!</v>
      </c>
      <c r="AG244" s="80">
        <f>Tabela3[Lucro Distribuir]/Tabela3[Total Ações]</f>
        <v>1.5000468962624911</v>
      </c>
      <c r="AH24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0.39967805218891239</v>
      </c>
      <c r="AI244" s="15" t="str">
        <f>IF(AND(Tabela3[% A.A.]&gt;=7%,SUMPRODUCT(N(Tabela3[Nome]=Tabela3[[#This Row],[Nome]]),Tabela3[PL])&gt;0),"Sim","Não")</f>
        <v>Sim</v>
      </c>
      <c r="AJ244" s="42">
        <f>IF(Tabela3[Cotação]&gt;0,Tabela3[[#This Row],[Lucro]]/Tabela3[[#This Row],[Cotação]],0)</f>
        <v>6.0741345317463891E-2</v>
      </c>
      <c r="AK244" s="19">
        <f>((1+Tabela3[[#This Row],[% Yield]])^(1/(3*Tabela3[[#This Row],[Ref]])))^(12)-1</f>
        <v>8.1797556149731276E-2</v>
      </c>
      <c r="AL244" s="14">
        <f>IF(Tabela3[Cotação]&gt;0,($AS$1/Tabela3[[#This Row],[Cotação]]-MOD($AS$1/Tabela3[[#This Row],[Cotação]],100)),)</f>
        <v>100</v>
      </c>
      <c r="AM244" s="17">
        <f>Tabela3[[#This Row],[Ativos]]*Tabela3[Lucro]</f>
        <v>39.967805218891236</v>
      </c>
      <c r="AN244" s="13">
        <f>SUMPRODUCT(N(Tabela1[Código]=Tabela3[[#This Row],[PAPEL]]),Tabela1[Fechamento])</f>
        <v>0</v>
      </c>
      <c r="AO244" s="55">
        <f>SUMPRODUCT(N(Tabela17[Código]=Tabela3[[#This Row],[PAPEL]]),Tabela17[Fechamento])</f>
        <v>6.58</v>
      </c>
      <c r="AP244" s="7">
        <f>SUMPRODUCT(N(Tabela176[Código]=Tabela3[[#This Row],[PAPEL]]),Tabela176[Fechamento])</f>
        <v>0</v>
      </c>
      <c r="AQ244" s="7">
        <f>SUMPRODUCT(N(Tabela1768[Código]=Tabela3[[#This Row],[PAPEL]]),Tabela1768[Fechamento])</f>
        <v>0</v>
      </c>
    </row>
    <row r="245" spans="1:43" x14ac:dyDescent="0.2">
      <c r="A245" s="4" t="s">
        <v>12</v>
      </c>
      <c r="B245" s="57" t="s">
        <v>71</v>
      </c>
      <c r="C245" s="14" t="str">
        <f>LEFT(Tabela3[PAPEL],LEN(Tabela3[PAPEL])-(LEN(Tabela3[PAPEL])-4))</f>
        <v>CLSC</v>
      </c>
      <c r="D245" s="15">
        <v>3</v>
      </c>
      <c r="E245" s="6">
        <v>1017700000</v>
      </c>
      <c r="F245" s="8">
        <v>23044454</v>
      </c>
      <c r="G245" s="88">
        <v>0.25</v>
      </c>
      <c r="H245" s="15"/>
      <c r="I245" s="19"/>
      <c r="J245" s="19"/>
      <c r="K245" s="90"/>
      <c r="L245" s="90"/>
      <c r="M245" s="92">
        <v>1927248000</v>
      </c>
      <c r="N245" s="92">
        <v>149553000</v>
      </c>
      <c r="O245" s="6">
        <f>Tabela3[[#This Row],[Capital Social]]*20%</f>
        <v>203540000</v>
      </c>
      <c r="P245" s="6">
        <f>IF((Tabela3[Lucro Líquido]*5%)&gt;Tabela3[Teto R. Legal],Tabela3[Teto R. Legal],Tabela3[Lucro Líquido]*5%)</f>
        <v>7477650</v>
      </c>
      <c r="Q245" s="92">
        <f>IF(Tabela3[Lucro Líquido]&lt;0,0,Tabela3[Lucro Líquido]-Tabela3[Reserva Legal])</f>
        <v>142075350</v>
      </c>
      <c r="R245" s="92">
        <f>Tabela3[[#This Row],[Lucro Distribuir]]*Tabela3[%Div]</f>
        <v>35518837.5</v>
      </c>
      <c r="S245" s="56">
        <f>SUMPRODUCT(N(Tabela3[Nome]=Tabela3[[#This Row],[Nome]]),Tabela3[Ações])</f>
        <v>38571591</v>
      </c>
      <c r="T245" s="6">
        <f>Tabela3[Capital Social]/Tabela3[Total Ações]</f>
        <v>26.384703705895877</v>
      </c>
      <c r="U245" s="80">
        <f>Tabela3[[#This Row],[Lucro Líquido]]/Tabela3[[#This Row],[Total Ações]]</f>
        <v>3.8772836723276467</v>
      </c>
      <c r="V24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0.92085487217781603</v>
      </c>
      <c r="W24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0.92085487217781603</v>
      </c>
      <c r="Z245" s="6">
        <f>Tabela3[Div Base]*Tabela3[Ações]</f>
        <v>21220597.74257756</v>
      </c>
      <c r="AA245" s="6">
        <f>SUMPRODUCT(N(Tabela3[Nome]=Tabela3[[#This Row],[Nome]]),Tabela3[Div Base]*Tabela3[Ações])</f>
        <v>35518837.5</v>
      </c>
      <c r="AB245" s="92">
        <f>Tabela3[Patrimônio Líquido]/Tabela3[Total Ações]</f>
        <v>49.965478478707297</v>
      </c>
      <c r="AC245" s="48">
        <f>MAX(Tabela3[[#This Row],[Cotação 1]:[Cotação 4]])</f>
        <v>15.35</v>
      </c>
      <c r="AD245" s="44">
        <f>Tabela3[Cotação]/Tabela3[VPA]</f>
        <v>0.30721210858695919</v>
      </c>
      <c r="AE245" s="40">
        <f>IF(Tabela3[[#This Row],[Lucro/Ação]]&gt;0,Tabela3[[#This Row],[Cotação]]/(Tabela3[[#This Row],[Lucro/Ação]]/Tabela3[Ref]*4),0)</f>
        <v>2.9692178785280134</v>
      </c>
      <c r="AF245" s="40" t="e">
        <f>IF(Tabela3[Div. Mínimo]=0,0,Tabela3[Lucro Distribuir]*#REF!/Tabela3[Total Ações])</f>
        <v>#REF!</v>
      </c>
      <c r="AG245" s="80">
        <f>Tabela3[Lucro Distribuir]/Tabela3[Total Ações]</f>
        <v>3.6834194887112641</v>
      </c>
      <c r="AH24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0.92085487217781603</v>
      </c>
      <c r="AI245" s="14" t="str">
        <f>IF(AND(Tabela3[% A.A.]&gt;=7%,SUMPRODUCT(N(Tabela3[Nome]=Tabela3[[#This Row],[Nome]]),Tabela3[PL])&gt;0),"Sim","Não")</f>
        <v>Sim</v>
      </c>
      <c r="AJ245" s="42">
        <f>IF(Tabela3[Cotação]&gt;0,Tabela3[[#This Row],[Lucro]]/Tabela3[[#This Row],[Cotação]],0)</f>
        <v>5.9990545418750228E-2</v>
      </c>
      <c r="AK245" s="19">
        <f>((1+Tabela3[[#This Row],[% Yield]])^(1/(3*Tabela3[[#This Row],[Ref]])))^(12)-1</f>
        <v>8.0776738436959539E-2</v>
      </c>
      <c r="AL245" s="14">
        <f>IF(Tabela3[Cotação]&gt;0,($AS$1/Tabela3[[#This Row],[Cotação]]-MOD($AS$1/Tabela3[[#This Row],[Cotação]],100)),)</f>
        <v>0</v>
      </c>
      <c r="AM245" s="17">
        <f>Tabela3[[#This Row],[Ativos]]*Tabela3[Lucro]</f>
        <v>0</v>
      </c>
      <c r="AN245" s="5">
        <f>SUMPRODUCT(N(Tabela1[Código]=Tabela3[[#This Row],[PAPEL]]),Tabela1[Fechamento])</f>
        <v>15.35</v>
      </c>
      <c r="AO245" s="5">
        <f>SUMPRODUCT(N(Tabela17[Código]=Tabela3[[#This Row],[PAPEL]]),Tabela17[Fechamento])</f>
        <v>0</v>
      </c>
      <c r="AP245" s="7">
        <f>SUMPRODUCT(N(Tabela176[Código]=Tabela3[[#This Row],[PAPEL]]),Tabela176[Fechamento])</f>
        <v>0</v>
      </c>
      <c r="AQ245" s="7">
        <f>SUMPRODUCT(N(Tabela1768[Código]=Tabela3[[#This Row],[PAPEL]]),Tabela1768[Fechamento])</f>
        <v>0</v>
      </c>
    </row>
    <row r="246" spans="1:43" hidden="1" x14ac:dyDescent="0.2">
      <c r="A246" s="3" t="s">
        <v>954</v>
      </c>
      <c r="B246" s="58" t="s">
        <v>955</v>
      </c>
      <c r="C246" s="16" t="str">
        <f>LEFT(Tabela3[PAPEL],LEN(Tabela3[PAPEL])-(LEN(Tabela3[PAPEL])-4))</f>
        <v>PCAR</v>
      </c>
      <c r="D246" s="16">
        <v>3</v>
      </c>
      <c r="E246" s="5">
        <v>6749147815.7600002</v>
      </c>
      <c r="F246" s="56">
        <v>99679851</v>
      </c>
      <c r="G246" s="83">
        <v>0.25</v>
      </c>
      <c r="H246" s="89"/>
      <c r="I246" s="18"/>
      <c r="K246" s="16"/>
      <c r="L246" s="89"/>
      <c r="M246" s="94">
        <v>9029902000</v>
      </c>
      <c r="N246" s="73">
        <v>560774000</v>
      </c>
      <c r="O246" s="7">
        <f>Tabela3[[#This Row],[Capital Social]]*20%</f>
        <v>1349829563.1520002</v>
      </c>
      <c r="P246" s="47">
        <f>IF((Tabela3[Lucro Líquido]*5%)&gt;Tabela3[Teto R. Legal],Tabela3[Teto R. Legal],Tabela3[Lucro Líquido]*5%)</f>
        <v>28038700</v>
      </c>
      <c r="Q246" s="47">
        <f>IF(Tabela3[Lucro Líquido]&lt;0,0,Tabela3[Lucro Líquido]-Tabela3[Reserva Legal])</f>
        <v>532735300</v>
      </c>
      <c r="R246" s="47">
        <f>Tabela3[[#This Row],[Lucro Distribuir]]*Tabela3[%Div]</f>
        <v>133183825</v>
      </c>
      <c r="S246" s="56">
        <f>SUMPRODUCT(N(Tabela3[Nome]=Tabela3[[#This Row],[Nome]]),Tabela3[Ações])</f>
        <v>264452885</v>
      </c>
      <c r="T246" s="87">
        <f>Tabela3[Capital Social]/Tabela3[Total Ações]</f>
        <v>25.521172952074242</v>
      </c>
      <c r="U246" s="87">
        <f>Tabela3[[#This Row],[Lucro Líquido]]/Tabela3[[#This Row],[Total Ações]]</f>
        <v>2.1205062671182429</v>
      </c>
      <c r="V24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0.48795069775637745</v>
      </c>
      <c r="W24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0.48795069775637745</v>
      </c>
      <c r="Z246" s="7">
        <f>Tabela3[Div Base]*Tabela3[Ações]</f>
        <v>48638852.847701736</v>
      </c>
      <c r="AA246" s="7">
        <f>SUMPRODUCT(N(Tabela3[Nome]=Tabela3[[#This Row],[Nome]]),Tabela3[Div Base]*Tabela3[Ações])</f>
        <v>137080081.57176581</v>
      </c>
      <c r="AB246" s="74">
        <f>Tabela3[Patrimônio Líquido]/Tabela3[Total Ações]</f>
        <v>34.145598373789717</v>
      </c>
      <c r="AC246" s="52">
        <f>MAX(Tabela3[[#This Row],[Cotação 1]:[Cotação 4]])</f>
        <v>74.989999999999995</v>
      </c>
      <c r="AD246" s="53">
        <f>Tabela3[Cotação]/Tabela3[VPA]</f>
        <v>2.1961835074345215</v>
      </c>
      <c r="AE246" s="37">
        <f>IF(Tabela3[[#This Row],[Lucro/Ação]]&gt;0,Tabela3[[#This Row],[Cotação]]/(Tabela3[[#This Row],[Lucro/Ação]]/Tabela3[Ref]*4),0)</f>
        <v>26.523147265409058</v>
      </c>
      <c r="AF246" s="59" t="e">
        <f>IF(Tabela3[Div. Mínimo]=0,0,Tabela3[Lucro Distribuir]*#REF!/Tabela3[Total Ações])</f>
        <v>#REF!</v>
      </c>
      <c r="AG246" s="87">
        <f>Tabela3[Lucro Distribuir]/Tabela3[Total Ações]</f>
        <v>2.0144809537623307</v>
      </c>
      <c r="AH24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0.48795069775637745</v>
      </c>
      <c r="AI246" s="10" t="str">
        <f>IF(AND(Tabela3[% A.A.]&gt;=7%,SUMPRODUCT(N(Tabela3[Nome]=Tabela3[[#This Row],[Nome]]),Tabela3[PL])&gt;0),"Sim","Não")</f>
        <v>Não</v>
      </c>
      <c r="AJ246" s="22">
        <f>IF(Tabela3[Cotação]&gt;0,Tabela3[[#This Row],[Lucro]]/Tabela3[[#This Row],[Cotação]],0)</f>
        <v>6.5068768870032998E-3</v>
      </c>
      <c r="AK246" s="22">
        <f>((1+Tabela3[[#This Row],[% Yield]])^(1/(3*Tabela3[[#This Row],[Ref]])))^(12)-1</f>
        <v>8.6852310472378402E-3</v>
      </c>
      <c r="AL246" s="10">
        <f>IF(Tabela3[Cotação]&gt;0,($AS$1/Tabela3[[#This Row],[Cotação]]-MOD($AS$1/Tabela3[[#This Row],[Cotação]],100)),)</f>
        <v>0</v>
      </c>
      <c r="AM246" s="7">
        <f>Tabela3[[#This Row],[Ativos]]*Tabela3[Lucro]</f>
        <v>0</v>
      </c>
      <c r="AN246" s="7">
        <f>SUMPRODUCT(N(Tabela1[Código]=Tabela3[[#This Row],[PAPEL]]),Tabela1[Fechamento])</f>
        <v>0</v>
      </c>
      <c r="AO246" s="7">
        <f>SUMPRODUCT(N(Tabela17[Código]=Tabela3[[#This Row],[PAPEL]]),Tabela17[Fechamento])</f>
        <v>0</v>
      </c>
      <c r="AP246" s="7">
        <f>SUMPRODUCT(N(Tabela176[Código]=Tabela3[[#This Row],[PAPEL]]),Tabela176[Fechamento])</f>
        <v>74.989999999999995</v>
      </c>
      <c r="AQ246" s="7">
        <f>SUMPRODUCT(N(Tabela1768[Código]=Tabela3[[#This Row],[PAPEL]]),Tabela1768[Fechamento])</f>
        <v>0</v>
      </c>
    </row>
    <row r="247" spans="1:43" hidden="1" x14ac:dyDescent="0.2">
      <c r="A247" s="3" t="s">
        <v>954</v>
      </c>
      <c r="B247" s="58" t="s">
        <v>956</v>
      </c>
      <c r="C247" s="16" t="str">
        <f>LEFT(Tabela3[PAPEL],LEN(Tabela3[PAPEL])-(LEN(Tabela3[PAPEL])-4))</f>
        <v>PCAR</v>
      </c>
      <c r="D247" s="16">
        <v>3</v>
      </c>
      <c r="E247" s="5">
        <v>6749147815.7600002</v>
      </c>
      <c r="F247" s="56">
        <v>164773034</v>
      </c>
      <c r="G247" s="83">
        <v>0.25</v>
      </c>
      <c r="H247" s="89"/>
      <c r="I247" s="18"/>
      <c r="J247" s="18">
        <v>0.1</v>
      </c>
      <c r="K247" s="16"/>
      <c r="L247" s="89"/>
      <c r="M247" s="94">
        <v>9029902000</v>
      </c>
      <c r="N247" s="73">
        <v>560774000</v>
      </c>
      <c r="O247" s="7">
        <f>Tabela3[[#This Row],[Capital Social]]*20%</f>
        <v>1349829563.1520002</v>
      </c>
      <c r="P247" s="47">
        <f>IF((Tabela3[Lucro Líquido]*5%)&gt;Tabela3[Teto R. Legal],Tabela3[Teto R. Legal],Tabela3[Lucro Líquido]*5%)</f>
        <v>28038700</v>
      </c>
      <c r="Q247" s="47">
        <f>IF(Tabela3[Lucro Líquido]&lt;0,0,Tabela3[Lucro Líquido]-Tabela3[Reserva Legal])</f>
        <v>532735300</v>
      </c>
      <c r="R247" s="47">
        <f>Tabela3[[#This Row],[Lucro Distribuir]]*Tabela3[%Div]</f>
        <v>133183825</v>
      </c>
      <c r="S247" s="56">
        <f>SUMPRODUCT(N(Tabela3[Nome]=Tabela3[[#This Row],[Nome]]),Tabela3[Ações])</f>
        <v>264452885</v>
      </c>
      <c r="T247" s="87">
        <f>Tabela3[Capital Social]/Tabela3[Total Ações]</f>
        <v>25.521172952074242</v>
      </c>
      <c r="U247" s="87">
        <f>Tabela3[[#This Row],[Lucro Líquido]]/Tabela3[[#This Row],[Total Ações]]</f>
        <v>2.1205062671182429</v>
      </c>
      <c r="V24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0.5367457682673008</v>
      </c>
      <c r="W24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0.5367457682673008</v>
      </c>
      <c r="Z247" s="7">
        <f>Tabela3[Div Base]*Tabela3[Ações]</f>
        <v>88441228.724064082</v>
      </c>
      <c r="AA247" s="7">
        <f>SUMPRODUCT(N(Tabela3[Nome]=Tabela3[[#This Row],[Nome]]),Tabela3[Div Base]*Tabela3[Ações])</f>
        <v>137080081.57176581</v>
      </c>
      <c r="AB247" s="74">
        <f>Tabela3[Patrimônio Líquido]/Tabela3[Total Ações]</f>
        <v>34.145598373789717</v>
      </c>
      <c r="AC247" s="52">
        <f>MAX(Tabela3[[#This Row],[Cotação 1]:[Cotação 4]])</f>
        <v>93.98</v>
      </c>
      <c r="AD247" s="53">
        <f>Tabela3[Cotação]/Tabela3[VPA]</f>
        <v>2.752331324559226</v>
      </c>
      <c r="AE247" s="37">
        <f>IF(Tabela3[[#This Row],[Lucro/Ação]]&gt;0,Tabela3[[#This Row],[Cotação]]/(Tabela3[[#This Row],[Lucro/Ação]]/Tabela3[Ref]*4),0)</f>
        <v>33.23970369386776</v>
      </c>
      <c r="AF247" s="59" t="e">
        <f>IF(Tabela3[Div. Mínimo]=0,0,Tabela3[Lucro Distribuir]*#REF!/Tabela3[Total Ações])</f>
        <v>#REF!</v>
      </c>
      <c r="AG247" s="87">
        <f>Tabela3[Lucro Distribuir]/Tabela3[Total Ações]</f>
        <v>2.0144809537623307</v>
      </c>
      <c r="AH24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0.5367457682673008</v>
      </c>
      <c r="AI247" s="10" t="str">
        <f>IF(AND(Tabela3[% A.A.]&gt;=7%,SUMPRODUCT(N(Tabela3[Nome]=Tabela3[[#This Row],[Nome]]),Tabela3[PL])&gt;0),"Sim","Não")</f>
        <v>Não</v>
      </c>
      <c r="AJ247" s="22">
        <f>IF(Tabela3[Cotação]&gt;0,Tabela3[[#This Row],[Lucro]]/Tabela3[[#This Row],[Cotação]],0)</f>
        <v>5.7112765297648522E-3</v>
      </c>
      <c r="AK247" s="22">
        <f>((1+Tabela3[[#This Row],[% Yield]])^(1/(3*Tabela3[[#This Row],[Ref]])))^(12)-1</f>
        <v>7.622274790595629E-3</v>
      </c>
      <c r="AL247" s="10">
        <f>IF(Tabela3[Cotação]&gt;0,($AS$1/Tabela3[[#This Row],[Cotação]]-MOD($AS$1/Tabela3[[#This Row],[Cotação]],100)),)</f>
        <v>0</v>
      </c>
      <c r="AM247" s="7">
        <f>Tabela3[[#This Row],[Ativos]]*Tabela3[Lucro]</f>
        <v>0</v>
      </c>
      <c r="AN247" s="7">
        <f>SUMPRODUCT(N(Tabela1[Código]=Tabela3[[#This Row],[PAPEL]]),Tabela1[Fechamento])</f>
        <v>0</v>
      </c>
      <c r="AO247" s="7">
        <f>SUMPRODUCT(N(Tabela17[Código]=Tabela3[[#This Row],[PAPEL]]),Tabela17[Fechamento])</f>
        <v>0</v>
      </c>
      <c r="AP247" s="7">
        <f>SUMPRODUCT(N(Tabela176[Código]=Tabela3[[#This Row],[PAPEL]]),Tabela176[Fechamento])</f>
        <v>93.98</v>
      </c>
      <c r="AQ247" s="7">
        <f>SUMPRODUCT(N(Tabela1768[Código]=Tabela3[[#This Row],[PAPEL]]),Tabela1768[Fechamento])</f>
        <v>0</v>
      </c>
    </row>
    <row r="248" spans="1:43" hidden="1" x14ac:dyDescent="0.2">
      <c r="A248" s="4" t="s">
        <v>26</v>
      </c>
      <c r="B248" s="57" t="s">
        <v>720</v>
      </c>
      <c r="C248" s="15" t="str">
        <f>LEFT(Tabela3[PAPEL],LEN(Tabela3[PAPEL])-(LEN(Tabela3[PAPEL])-4))</f>
        <v>PEAB</v>
      </c>
      <c r="D248" s="15">
        <v>3</v>
      </c>
      <c r="E248" s="6">
        <v>400000000</v>
      </c>
      <c r="F248" s="8">
        <v>6425139</v>
      </c>
      <c r="G248" s="88">
        <v>0.25</v>
      </c>
      <c r="H248" s="15"/>
      <c r="I248" s="19"/>
      <c r="J248" s="19"/>
      <c r="K248" s="90"/>
      <c r="L248" s="90"/>
      <c r="M248" s="96">
        <v>525856000</v>
      </c>
      <c r="N248" s="97">
        <v>84000</v>
      </c>
      <c r="O248" s="13">
        <f>Tabela3[[#This Row],[Capital Social]]*20%</f>
        <v>80000000</v>
      </c>
      <c r="P248" s="13">
        <f>IF((Tabela3[Lucro Líquido]*5%)&gt;Tabela3[Teto R. Legal],Tabela3[Teto R. Legal],Tabela3[Lucro Líquido]*5%)</f>
        <v>4200</v>
      </c>
      <c r="Q248" s="13">
        <f>IF(Tabela3[Lucro Líquido]&lt;0,0,Tabela3[Lucro Líquido]-Tabela3[Reserva Legal])</f>
        <v>79800</v>
      </c>
      <c r="R248" s="13">
        <f>Tabela3[[#This Row],[Lucro Distribuir]]*Tabela3[%Div]</f>
        <v>19950</v>
      </c>
      <c r="S248" s="56">
        <f>SUMPRODUCT(N(Tabela3[Nome]=Tabela3[[#This Row],[Nome]]),Tabela3[Ações])</f>
        <v>12850278</v>
      </c>
      <c r="T248" s="6">
        <f>Tabela3[Capital Social]/Tabela3[Total Ações]</f>
        <v>31.127731244413546</v>
      </c>
      <c r="U248" s="80">
        <f>Tabela3[[#This Row],[Lucro Líquido]]/Tabela3[[#This Row],[Total Ações]]</f>
        <v>6.5368235613268441E-3</v>
      </c>
      <c r="V24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1.5041915543095644E-3</v>
      </c>
      <c r="W24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1.5041915543095644E-3</v>
      </c>
      <c r="Z248" s="13">
        <f>Tabela3[Div Base]*Tabela3[Ações]</f>
        <v>9664.6398190649998</v>
      </c>
      <c r="AA248" s="13">
        <f>SUMPRODUCT(N(Tabela3[Nome]=Tabela3[[#This Row],[Nome]]),Tabela3[Div Base]*Tabela3[Ações])</f>
        <v>20295.743634600003</v>
      </c>
      <c r="AB248" s="95">
        <f>Tabela3[Patrimônio Líquido]/Tabela3[Total Ações]</f>
        <v>40.921760603155825</v>
      </c>
      <c r="AC248" s="48">
        <f>MAX(Tabela3[[#This Row],[Cotação 1]:[Cotação 4]])</f>
        <v>30</v>
      </c>
      <c r="AD248" s="44">
        <f>Tabela3[Cotação]/Tabela3[VPA]</f>
        <v>0.73310628765289354</v>
      </c>
      <c r="AE248" s="40">
        <f>IF(Tabela3[[#This Row],[Lucro/Ação]]&gt;0,Tabela3[[#This Row],[Cotação]]/(Tabela3[[#This Row],[Lucro/Ação]]/Tabela3[Ref]*4),0)</f>
        <v>3442.0387500000002</v>
      </c>
      <c r="AF248" s="91" t="e">
        <f>IF(Tabela3[Div. Mínimo]=0,0,Tabela3[Lucro Distribuir]*#REF!/Tabela3[Total Ações])</f>
        <v>#REF!</v>
      </c>
      <c r="AG248" s="80">
        <f>Tabela3[Lucro Distribuir]/Tabela3[Total Ações]</f>
        <v>6.2099823832605025E-3</v>
      </c>
      <c r="AH24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1.5041915543095644E-3</v>
      </c>
      <c r="AI248" s="14" t="str">
        <f>IF(AND(Tabela3[% A.A.]&gt;=7%,SUMPRODUCT(N(Tabela3[Nome]=Tabela3[[#This Row],[Nome]]),Tabela3[PL])&gt;0),"Sim","Não")</f>
        <v>Não</v>
      </c>
      <c r="AJ248" s="42">
        <f>IF(Tabela3[Cotação]&gt;0,Tabela3[[#This Row],[Lucro]]/Tabela3[[#This Row],[Cotação]],0)</f>
        <v>5.0139718476985482E-5</v>
      </c>
      <c r="AK248" s="42">
        <f>((1+Tabela3[[#This Row],[% Yield]])^(1/(3*Tabela3[[#This Row],[Ref]])))^(12)-1</f>
        <v>6.6853516628384568E-5</v>
      </c>
      <c r="AL248" s="14">
        <f>IF(Tabela3[Cotação]&gt;0,($AS$1/Tabela3[[#This Row],[Cotação]]-MOD($AS$1/Tabela3[[#This Row],[Cotação]],100)),)</f>
        <v>0</v>
      </c>
      <c r="AM248" s="17">
        <f>Tabela3[[#This Row],[Ativos]]*Tabela3[Lucro]</f>
        <v>0</v>
      </c>
      <c r="AN248" s="17">
        <f>SUMPRODUCT(N(Tabela1[Código]=Tabela3[[#This Row],[PAPEL]]),Tabela1[Fechamento])</f>
        <v>0</v>
      </c>
      <c r="AO248" s="17">
        <f>SUMPRODUCT(N(Tabela17[Código]=Tabela3[[#This Row],[PAPEL]]),Tabela17[Fechamento])</f>
        <v>0</v>
      </c>
      <c r="AP248" s="17">
        <f>SUMPRODUCT(N(Tabela176[Código]=Tabela3[[#This Row],[PAPEL]]),Tabela176[Fechamento])</f>
        <v>30</v>
      </c>
      <c r="AQ248" s="17">
        <f>SUMPRODUCT(N(Tabela1768[Código]=Tabela3[[#This Row],[PAPEL]]),Tabela1768[Fechamento])</f>
        <v>0</v>
      </c>
    </row>
    <row r="249" spans="1:43" hidden="1" x14ac:dyDescent="0.2">
      <c r="A249" s="4" t="s">
        <v>26</v>
      </c>
      <c r="B249" s="57" t="s">
        <v>721</v>
      </c>
      <c r="C249" s="15" t="str">
        <f>LEFT(Tabela3[PAPEL],LEN(Tabela3[PAPEL])-(LEN(Tabela3[PAPEL])-4))</f>
        <v>PEAB</v>
      </c>
      <c r="D249" s="15">
        <v>3</v>
      </c>
      <c r="E249" s="6">
        <v>400000000</v>
      </c>
      <c r="F249" s="8">
        <v>6425139</v>
      </c>
      <c r="G249" s="88">
        <v>0.25</v>
      </c>
      <c r="H249" s="15"/>
      <c r="I249" s="19"/>
      <c r="J249" s="19">
        <v>0.1</v>
      </c>
      <c r="K249" s="90"/>
      <c r="L249" s="90"/>
      <c r="M249" s="96">
        <v>525856000</v>
      </c>
      <c r="N249" s="97">
        <v>84000</v>
      </c>
      <c r="O249" s="13">
        <f>Tabela3[[#This Row],[Capital Social]]*20%</f>
        <v>80000000</v>
      </c>
      <c r="P249" s="13">
        <f>IF((Tabela3[Lucro Líquido]*5%)&gt;Tabela3[Teto R. Legal],Tabela3[Teto R. Legal],Tabela3[Lucro Líquido]*5%)</f>
        <v>4200</v>
      </c>
      <c r="Q249" s="13">
        <f>IF(Tabela3[Lucro Líquido]&lt;0,0,Tabela3[Lucro Líquido]-Tabela3[Reserva Legal])</f>
        <v>79800</v>
      </c>
      <c r="R249" s="13">
        <f>Tabela3[[#This Row],[Lucro Distribuir]]*Tabela3[%Div]</f>
        <v>19950</v>
      </c>
      <c r="S249" s="56">
        <f>SUMPRODUCT(N(Tabela3[Nome]=Tabela3[[#This Row],[Nome]]),Tabela3[Ações])</f>
        <v>12850278</v>
      </c>
      <c r="T249" s="6">
        <f>Tabela3[Capital Social]/Tabela3[Total Ações]</f>
        <v>31.127731244413546</v>
      </c>
      <c r="U249" s="80">
        <f>Tabela3[[#This Row],[Lucro Líquido]]/Tabela3[[#This Row],[Total Ações]]</f>
        <v>6.5368235613268441E-3</v>
      </c>
      <c r="V24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1.6546107120071645E-3</v>
      </c>
      <c r="W24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4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4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1.6546107120071645E-3</v>
      </c>
      <c r="Z249" s="13">
        <f>Tabela3[Div Base]*Tabela3[Ações]</f>
        <v>10631.103815535002</v>
      </c>
      <c r="AA249" s="13">
        <f>SUMPRODUCT(N(Tabela3[Nome]=Tabela3[[#This Row],[Nome]]),Tabela3[Div Base]*Tabela3[Ações])</f>
        <v>20295.743634600003</v>
      </c>
      <c r="AB249" s="95">
        <f>Tabela3[Patrimônio Líquido]/Tabela3[Total Ações]</f>
        <v>40.921760603155825</v>
      </c>
      <c r="AC249" s="48">
        <f>MAX(Tabela3[[#This Row],[Cotação 1]:[Cotação 4]])</f>
        <v>30</v>
      </c>
      <c r="AD249" s="44">
        <f>Tabela3[Cotação]/Tabela3[VPA]</f>
        <v>0.73310628765289354</v>
      </c>
      <c r="AE249" s="40">
        <f>IF(Tabela3[[#This Row],[Lucro/Ação]]&gt;0,Tabela3[[#This Row],[Cotação]]/(Tabela3[[#This Row],[Lucro/Ação]]/Tabela3[Ref]*4),0)</f>
        <v>3442.0387500000002</v>
      </c>
      <c r="AF249" s="91" t="e">
        <f>IF(Tabela3[Div. Mínimo]=0,0,Tabela3[Lucro Distribuir]*#REF!/Tabela3[Total Ações])</f>
        <v>#REF!</v>
      </c>
      <c r="AG249" s="80">
        <f>Tabela3[Lucro Distribuir]/Tabela3[Total Ações]</f>
        <v>6.2099823832605025E-3</v>
      </c>
      <c r="AH24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1.6546107120071645E-3</v>
      </c>
      <c r="AI249" s="14" t="str">
        <f>IF(AND(Tabela3[% A.A.]&gt;=7%,SUMPRODUCT(N(Tabela3[Nome]=Tabela3[[#This Row],[Nome]]),Tabela3[PL])&gt;0),"Sim","Não")</f>
        <v>Não</v>
      </c>
      <c r="AJ249" s="42">
        <f>IF(Tabela3[Cotação]&gt;0,Tabela3[[#This Row],[Lucro]]/Tabela3[[#This Row],[Cotação]],0)</f>
        <v>5.5153690400238815E-5</v>
      </c>
      <c r="AK249" s="42">
        <f>((1+Tabela3[[#This Row],[% Yield]])^(1/(3*Tabela3[[#This Row],[Ref]])))^(12)-1</f>
        <v>7.3538929842520417E-5</v>
      </c>
      <c r="AL249" s="14">
        <f>IF(Tabela3[Cotação]&gt;0,($AS$1/Tabela3[[#This Row],[Cotação]]-MOD($AS$1/Tabela3[[#This Row],[Cotação]],100)),)</f>
        <v>0</v>
      </c>
      <c r="AM249" s="17">
        <f>Tabela3[[#This Row],[Ativos]]*Tabela3[Lucro]</f>
        <v>0</v>
      </c>
      <c r="AN249" s="17">
        <f>SUMPRODUCT(N(Tabela1[Código]=Tabela3[[#This Row],[PAPEL]]),Tabela1[Fechamento])</f>
        <v>0</v>
      </c>
      <c r="AO249" s="17">
        <f>SUMPRODUCT(N(Tabela17[Código]=Tabela3[[#This Row],[PAPEL]]),Tabela17[Fechamento])</f>
        <v>0</v>
      </c>
      <c r="AP249" s="17">
        <f>SUMPRODUCT(N(Tabela176[Código]=Tabela3[[#This Row],[PAPEL]]),Tabela176[Fechamento])</f>
        <v>30</v>
      </c>
      <c r="AQ249" s="17">
        <f>SUMPRODUCT(N(Tabela1768[Código]=Tabela3[[#This Row],[PAPEL]]),Tabela1768[Fechamento])</f>
        <v>0</v>
      </c>
    </row>
    <row r="250" spans="1:43" hidden="1" x14ac:dyDescent="0.2">
      <c r="A250" s="4" t="s">
        <v>249</v>
      </c>
      <c r="B250" s="57" t="s">
        <v>20</v>
      </c>
      <c r="C250" s="14" t="str">
        <f>LEFT(Tabela3[PAPEL],LEN(Tabela3[PAPEL])-(LEN(Tabela3[PAPEL])-4))</f>
        <v>PETR</v>
      </c>
      <c r="D250" s="15">
        <v>3</v>
      </c>
      <c r="E250" s="6">
        <v>205392136722.39001</v>
      </c>
      <c r="F250" s="8">
        <v>7442454142</v>
      </c>
      <c r="G250" s="88">
        <v>0.25</v>
      </c>
      <c r="H250" s="9"/>
      <c r="I250" s="9"/>
      <c r="J250" s="19"/>
      <c r="K250" s="90"/>
      <c r="L250" s="90"/>
      <c r="M250" s="6">
        <v>341312244000</v>
      </c>
      <c r="N250" s="6">
        <v>17288839000</v>
      </c>
      <c r="O250" s="6">
        <f>Tabela3[[#This Row],[Capital Social]]*20%</f>
        <v>41078427344.478004</v>
      </c>
      <c r="P250" s="6">
        <f>IF((Tabela3[Lucro Líquido]*5%)&gt;Tabela3[Teto R. Legal],Tabela3[Teto R. Legal],Tabela3[Lucro Líquido]*5%)</f>
        <v>864441950</v>
      </c>
      <c r="Q250" s="6">
        <f>IF(Tabela3[Lucro Líquido]&lt;0,0,Tabela3[Lucro Líquido]-Tabela3[Reserva Legal])</f>
        <v>16424397050</v>
      </c>
      <c r="R250" s="6">
        <f>Tabela3[[#This Row],[Lucro Distribuir]]*Tabela3[%Div]</f>
        <v>4106099262.5</v>
      </c>
      <c r="S250" s="56">
        <f>SUMPRODUCT(N(Tabela3[Nome]=Tabela3[[#This Row],[Nome]]),Tabela3[Ações])</f>
        <v>13044496930</v>
      </c>
      <c r="T250" s="6">
        <f>Tabela3[Capital Social]/Tabela3[Total Ações]</f>
        <v>15.745500790454019</v>
      </c>
      <c r="U250" s="80">
        <f>Tabela3[[#This Row],[Lucro Líquido]]/Tabela3[[#This Row],[Total Ações]]</f>
        <v>1.3253741476406633</v>
      </c>
      <c r="V25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0.31477636006465753</v>
      </c>
      <c r="W25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50" s="6">
        <f>Tabela3[Div Base]*Tabela3[Ações]</f>
        <v>0</v>
      </c>
      <c r="AA250" s="6">
        <f>SUMPRODUCT(N(Tabela3[Nome]=Tabela3[[#This Row],[Nome]]),Tabela3[Div Base]*Tabela3[Ações])</f>
        <v>4410348457.3305616</v>
      </c>
      <c r="AB250" s="6">
        <f>Tabela3[Patrimônio Líquido]/Tabela3[Total Ações]</f>
        <v>26.165228588849843</v>
      </c>
      <c r="AC250" s="48">
        <f>MAX(Tabela3[[#This Row],[Cotação 1]:[Cotação 4]])</f>
        <v>13.75</v>
      </c>
      <c r="AD250" s="44">
        <f>Tabela3[Cotação]/Tabela3[VPA]</f>
        <v>0.52550658800127892</v>
      </c>
      <c r="AE250" s="40">
        <f>IF(Tabela3[[#This Row],[Lucro/Ação]]&gt;0,Tabela3[[#This Row],[Cotação]]/(Tabela3[[#This Row],[Lucro/Ação]]/Tabela3[Ref]*4),0)</f>
        <v>7.7808217538855562</v>
      </c>
      <c r="AF250" s="40" t="e">
        <f>IF(Tabela3[Div. Mínimo]=0,0,Tabela3[Lucro Distribuir]*#REF!/Tabela3[Total Ações])</f>
        <v>#REF!</v>
      </c>
      <c r="AG250" s="80">
        <f>Tabela3[Lucro Distribuir]/Tabela3[Total Ações]</f>
        <v>1.2591054402586301</v>
      </c>
      <c r="AH25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50" s="15" t="str">
        <f>IF(AND(Tabela3[% A.A.]&gt;=7%,SUMPRODUCT(N(Tabela3[Nome]=Tabela3[[#This Row],[Nome]]),Tabela3[PL])&gt;0),"Sim","Não")</f>
        <v>Não</v>
      </c>
      <c r="AJ250" s="42">
        <f>IF(Tabela3[Cotação]&gt;0,Tabela3[[#This Row],[Lucro]]/Tabela3[[#This Row],[Cotação]],0)</f>
        <v>0</v>
      </c>
      <c r="AK250" s="19">
        <f>((1+Tabela3[[#This Row],[% Yield]])^(1/(3*Tabela3[[#This Row],[Ref]])))^(12)-1</f>
        <v>0</v>
      </c>
      <c r="AL250" s="14">
        <f>IF(Tabela3[Cotação]&gt;0,($AS$1/Tabela3[[#This Row],[Cotação]]-MOD($AS$1/Tabela3[[#This Row],[Cotação]],100)),)</f>
        <v>0</v>
      </c>
      <c r="AM250" s="17">
        <f>Tabela3[[#This Row],[Ativos]]*Tabela3[Lucro]</f>
        <v>0</v>
      </c>
      <c r="AN250" s="13">
        <f>SUMPRODUCT(N(Tabela1[Código]=Tabela3[[#This Row],[PAPEL]]),Tabela1[Fechamento])</f>
        <v>0</v>
      </c>
      <c r="AO250" s="13">
        <f>SUMPRODUCT(N(Tabela17[Código]=Tabela3[[#This Row],[PAPEL]]),Tabela17[Fechamento])</f>
        <v>13.75</v>
      </c>
      <c r="AP250" s="7">
        <f>SUMPRODUCT(N(Tabela176[Código]=Tabela3[[#This Row],[PAPEL]]),Tabela176[Fechamento])</f>
        <v>0</v>
      </c>
      <c r="AQ250" s="7">
        <f>SUMPRODUCT(N(Tabela1768[Código]=Tabela3[[#This Row],[PAPEL]]),Tabela1768[Fechamento])</f>
        <v>0</v>
      </c>
    </row>
    <row r="251" spans="1:43" x14ac:dyDescent="0.2">
      <c r="A251" s="4" t="s">
        <v>40</v>
      </c>
      <c r="B251" s="57" t="s">
        <v>270</v>
      </c>
      <c r="C251" s="15" t="str">
        <f>LEFT(Tabela3[PAPEL],LEN(Tabela3[PAPEL])-(LEN(Tabela3[PAPEL])-4))</f>
        <v>BRKM</v>
      </c>
      <c r="D251" s="15">
        <v>3</v>
      </c>
      <c r="E251" s="5">
        <v>8043222080.5</v>
      </c>
      <c r="F251" s="8">
        <v>593818</v>
      </c>
      <c r="G251" s="88">
        <v>0.25</v>
      </c>
      <c r="H251" s="15"/>
      <c r="I251" s="19">
        <v>0.06</v>
      </c>
      <c r="J251" s="19"/>
      <c r="K251" s="90"/>
      <c r="L251" s="90"/>
      <c r="M251" s="5">
        <v>8048177000</v>
      </c>
      <c r="N251" s="5">
        <v>485601000</v>
      </c>
      <c r="O251" s="5">
        <f>Tabela3[[#This Row],[Capital Social]]*20%</f>
        <v>1608644416.1000001</v>
      </c>
      <c r="P251" s="5">
        <f>IF((Tabela3[Lucro Líquido]*5%)&gt;Tabela3[Teto R. Legal],Tabela3[Teto R. Legal],Tabela3[Lucro Líquido]*5%)</f>
        <v>24280050</v>
      </c>
      <c r="Q251" s="5">
        <f>IF(Tabela3[Lucro Líquido]&lt;0,0,Tabela3[Lucro Líquido]-Tabela3[Reserva Legal])</f>
        <v>461320950</v>
      </c>
      <c r="R251" s="5">
        <f>Tabela3[[#This Row],[Lucro Distribuir]]*Tabela3[%Div]</f>
        <v>115330237.5</v>
      </c>
      <c r="S251" s="21">
        <f>SUMPRODUCT(N(Tabela3[Nome]=Tabela3[[#This Row],[Nome]]),Tabela3[Ações])</f>
        <v>797265348</v>
      </c>
      <c r="T251" s="5">
        <f>Tabela3[Capital Social]/Tabela3[Total Ações]</f>
        <v>10.088513317024283</v>
      </c>
      <c r="U251" s="80">
        <f>Tabela3[[#This Row],[Lucro Líquido]]/Tabela3[[#This Row],[Total Ações]]</f>
        <v>0.60908328854147065</v>
      </c>
      <c r="V25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0.14465728102859929</v>
      </c>
      <c r="W25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0.60531079902145701</v>
      </c>
      <c r="Y25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0.60531079902145701</v>
      </c>
      <c r="Z251" s="5">
        <f>Tabela3[Div Base]*Tabela3[Ações]</f>
        <v>359444.44805332355</v>
      </c>
      <c r="AA251" s="5">
        <f>SUMPRODUCT(N(Tabela3[Nome]=Tabela3[[#This Row],[Nome]]),Tabela3[Div Base]*Tabela3[Ações])</f>
        <v>209193412.19493559</v>
      </c>
      <c r="AB251" s="6">
        <f>Tabela3[Patrimônio Líquido]/Tabela3[Total Ações]</f>
        <v>10.094728210864121</v>
      </c>
      <c r="AC251" s="48">
        <f>MAX(Tabela3[[#This Row],[Cotação 1]:[Cotação 4]])</f>
        <v>10.15</v>
      </c>
      <c r="AD251" s="44">
        <f>Tabela3[Cotação]/Tabela3[VPA]</f>
        <v>1.0054753122601552</v>
      </c>
      <c r="AE251" s="40">
        <f>IF(Tabela3[[#This Row],[Lucro/Ação]]&gt;0,Tabela3[[#This Row],[Cotação]]/(Tabela3[[#This Row],[Lucro/Ação]]/Tabela3[Ref]*4),0)</f>
        <v>12.498290698845349</v>
      </c>
      <c r="AF251" s="40" t="e">
        <f>IF(Tabela3[Div. Mínimo]=0,0,Tabela3[Lucro Distribuir]*#REF!/Tabela3[Total Ações])</f>
        <v>#REF!</v>
      </c>
      <c r="AG251" s="80">
        <f>Tabela3[Lucro Distribuir]/Tabela3[Total Ações]</f>
        <v>0.57862912411439715</v>
      </c>
      <c r="AH25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0.60531079902145701</v>
      </c>
      <c r="AI251" s="15" t="str">
        <f>IF(AND(Tabela3[% A.A.]&gt;=7%,SUMPRODUCT(N(Tabela3[Nome]=Tabela3[[#This Row],[Nome]]),Tabela3[PL])&gt;0),"Sim","Não")</f>
        <v>Sim</v>
      </c>
      <c r="AJ251" s="42">
        <f>IF(Tabela3[Cotação]&gt;0,Tabela3[[#This Row],[Lucro]]/Tabela3[[#This Row],[Cotação]],0)</f>
        <v>5.9636531923296258E-2</v>
      </c>
      <c r="AK251" s="19">
        <f>((1+Tabela3[[#This Row],[% Yield]])^(1/(3*Tabela3[[#This Row],[Ref]])))^(12)-1</f>
        <v>8.0295491059978019E-2</v>
      </c>
      <c r="AL251" s="14">
        <f>IF(Tabela3[Cotação]&gt;0,($AS$1/Tabela3[[#This Row],[Cotação]]-MOD($AS$1/Tabela3[[#This Row],[Cotação]],100)),)</f>
        <v>0</v>
      </c>
      <c r="AM251" s="17">
        <f>Tabela3[[#This Row],[Ativos]]*Tabela3[Lucro]</f>
        <v>0</v>
      </c>
      <c r="AN251" s="13">
        <f>SUMPRODUCT(N(Tabela1[Código]=Tabela3[[#This Row],[PAPEL]]),Tabela1[Fechamento])</f>
        <v>0</v>
      </c>
      <c r="AO251" s="13">
        <f>SUMPRODUCT(N(Tabela17[Código]=Tabela3[[#This Row],[PAPEL]]),Tabela17[Fechamento])</f>
        <v>10.15</v>
      </c>
      <c r="AP251" s="7">
        <f>SUMPRODUCT(N(Tabela176[Código]=Tabela3[[#This Row],[PAPEL]]),Tabela176[Fechamento])</f>
        <v>0</v>
      </c>
      <c r="AQ251" s="7">
        <f>SUMPRODUCT(N(Tabela1768[Código]=Tabela3[[#This Row],[PAPEL]]),Tabela1768[Fechamento])</f>
        <v>0</v>
      </c>
    </row>
    <row r="252" spans="1:43" hidden="1" x14ac:dyDescent="0.2">
      <c r="A252" s="3" t="s">
        <v>942</v>
      </c>
      <c r="B252" s="58" t="s">
        <v>952</v>
      </c>
      <c r="C252" s="16" t="str">
        <f>LEFT(Tabela3[PAPEL],LEN(Tabela3[PAPEL])-(LEN(Tabela3[PAPEL])-4))</f>
        <v>PFRM</v>
      </c>
      <c r="D252" s="16">
        <v>3</v>
      </c>
      <c r="E252" s="5">
        <v>400112159.25</v>
      </c>
      <c r="F252" s="56">
        <v>33208341</v>
      </c>
      <c r="G252" s="83">
        <v>0.25</v>
      </c>
      <c r="H252" s="89"/>
      <c r="I252" s="18"/>
      <c r="K252" s="16"/>
      <c r="L252" s="89"/>
      <c r="M252" s="94">
        <v>578216000</v>
      </c>
      <c r="N252" s="73">
        <v>24956000</v>
      </c>
      <c r="O252" s="7">
        <f>Tabela3[[#This Row],[Capital Social]]*20%</f>
        <v>80022431.850000009</v>
      </c>
      <c r="P252" s="47">
        <f>IF((Tabela3[Lucro Líquido]*5%)&gt;Tabela3[Teto R. Legal],Tabela3[Teto R. Legal],Tabela3[Lucro Líquido]*5%)</f>
        <v>1247800</v>
      </c>
      <c r="Q252" s="47">
        <f>IF(Tabela3[Lucro Líquido]&lt;0,0,Tabela3[Lucro Líquido]-Tabela3[Reserva Legal])</f>
        <v>23708200</v>
      </c>
      <c r="R252" s="47">
        <f>Tabela3[[#This Row],[Lucro Distribuir]]*Tabela3[%Div]</f>
        <v>5927050</v>
      </c>
      <c r="S252" s="56">
        <f>SUMPRODUCT(N(Tabela3[Nome]=Tabela3[[#This Row],[Nome]]),Tabela3[Ações])</f>
        <v>33208341</v>
      </c>
      <c r="T252" s="87">
        <f>Tabela3[Capital Social]/Tabela3[Total Ações]</f>
        <v>12.04854404650928</v>
      </c>
      <c r="U252" s="87">
        <f>Tabela3[[#This Row],[Lucro Líquido]]/Tabela3[[#This Row],[Total Ações]]</f>
        <v>0.75149794444714957</v>
      </c>
      <c r="V252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0.17848076180619804</v>
      </c>
      <c r="W252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2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0.17848076180619804</v>
      </c>
      <c r="Z252" s="7">
        <f>Tabela3[Div Base]*Tabela3[Ações]</f>
        <v>5927050</v>
      </c>
      <c r="AA252" s="7">
        <f>SUMPRODUCT(N(Tabela3[Nome]=Tabela3[[#This Row],[Nome]]),Tabela3[Div Base]*Tabela3[Ações])</f>
        <v>5927050</v>
      </c>
      <c r="AB252" s="74">
        <f>Tabela3[Patrimônio Líquido]/Tabela3[Total Ações]</f>
        <v>17.411770133292716</v>
      </c>
      <c r="AC252" s="52">
        <f>MAX(Tabela3[[#This Row],[Cotação 1]:[Cotação 4]])</f>
        <v>16</v>
      </c>
      <c r="AD252" s="53">
        <f>Tabela3[Cotação]/Tabela3[VPA]</f>
        <v>0.9189186324833627</v>
      </c>
      <c r="AE252" s="37">
        <f>IF(Tabela3[[#This Row],[Lucro/Ação]]&gt;0,Tabela3[[#This Row],[Cotação]]/(Tabela3[[#This Row],[Lucro/Ação]]/Tabela3[Ref]*4),0)</f>
        <v>15.968107549286746</v>
      </c>
      <c r="AF252" s="59" t="e">
        <f>IF(Tabela3[Div. Mínimo]=0,0,Tabela3[Lucro Distribuir]*#REF!/Tabela3[Total Ações])</f>
        <v>#REF!</v>
      </c>
      <c r="AG252" s="87">
        <f>Tabela3[Lucro Distribuir]/Tabela3[Total Ações]</f>
        <v>0.71392304722479216</v>
      </c>
      <c r="AH252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0.17848076180619804</v>
      </c>
      <c r="AI252" s="10" t="str">
        <f>IF(AND(Tabela3[% A.A.]&gt;=7%,SUMPRODUCT(N(Tabela3[Nome]=Tabela3[[#This Row],[Nome]]),Tabela3[PL])&gt;0),"Sim","Não")</f>
        <v>Não</v>
      </c>
      <c r="AJ252" s="22">
        <f>IF(Tabela3[Cotação]&gt;0,Tabela3[[#This Row],[Lucro]]/Tabela3[[#This Row],[Cotação]],0)</f>
        <v>1.1155047612887378E-2</v>
      </c>
      <c r="AK252" s="22">
        <f>((1+Tabela3[[#This Row],[% Yield]])^(1/(3*Tabela3[[#This Row],[Ref]])))^(12)-1</f>
        <v>1.4900980828385979E-2</v>
      </c>
      <c r="AL252" s="10">
        <f>IF(Tabela3[Cotação]&gt;0,($AS$1/Tabela3[[#This Row],[Cotação]]-MOD($AS$1/Tabela3[[#This Row],[Cotação]],100)),)</f>
        <v>0</v>
      </c>
      <c r="AM252" s="7">
        <f>Tabela3[[#This Row],[Ativos]]*Tabela3[Lucro]</f>
        <v>0</v>
      </c>
      <c r="AN252" s="7">
        <f>SUMPRODUCT(N(Tabela1[Código]=Tabela3[[#This Row],[PAPEL]]),Tabela1[Fechamento])</f>
        <v>0</v>
      </c>
      <c r="AO252" s="7">
        <f>SUMPRODUCT(N(Tabela17[Código]=Tabela3[[#This Row],[PAPEL]]),Tabela17[Fechamento])</f>
        <v>0</v>
      </c>
      <c r="AP252" s="7">
        <f>SUMPRODUCT(N(Tabela176[Código]=Tabela3[[#This Row],[PAPEL]]),Tabela176[Fechamento])</f>
        <v>16</v>
      </c>
      <c r="AQ252" s="7">
        <f>SUMPRODUCT(N(Tabela1768[Código]=Tabela3[[#This Row],[PAPEL]]),Tabela1768[Fechamento])</f>
        <v>0</v>
      </c>
    </row>
    <row r="253" spans="1:43" hidden="1" x14ac:dyDescent="0.2">
      <c r="A253" s="4" t="s">
        <v>14</v>
      </c>
      <c r="B253" s="57" t="s">
        <v>445</v>
      </c>
      <c r="C253" s="14" t="str">
        <f>LEFT(Tabela3[PAPEL],LEN(Tabela3[PAPEL])-(LEN(Tabela3[PAPEL])-4))</f>
        <v>PINE</v>
      </c>
      <c r="D253" s="15">
        <v>3</v>
      </c>
      <c r="E253" s="6">
        <v>1112258700.96</v>
      </c>
      <c r="F253" s="8">
        <v>65178483</v>
      </c>
      <c r="G253" s="88">
        <v>0.25</v>
      </c>
      <c r="H253" s="15"/>
      <c r="I253" s="19"/>
      <c r="J253" s="19"/>
      <c r="K253" s="90"/>
      <c r="L253" s="90"/>
      <c r="M253" s="6">
        <v>1277111000</v>
      </c>
      <c r="N253" s="6">
        <v>116149000</v>
      </c>
      <c r="O253" s="6">
        <f>Tabela3[[#This Row],[Capital Social]]*20%</f>
        <v>222451740.19200003</v>
      </c>
      <c r="P253" s="6">
        <f>IF((Tabela3[Lucro Líquido]*5%)&gt;Tabela3[Teto R. Legal],Tabela3[Teto R. Legal],Tabela3[Lucro Líquido]*5%)</f>
        <v>5807450</v>
      </c>
      <c r="Q253" s="6">
        <f>IF(Tabela3[Lucro Líquido]&lt;0,0,Tabela3[Lucro Líquido]-Tabela3[Reserva Legal])</f>
        <v>110341550</v>
      </c>
      <c r="R253" s="6">
        <f>Tabela3[[#This Row],[Lucro Distribuir]]*Tabela3[%Div]</f>
        <v>27585387.5</v>
      </c>
      <c r="S253" s="21">
        <f>SUMPRODUCT(N(Tabela3[Nome]=Tabela3[[#This Row],[Nome]]),Tabela3[Ações])</f>
        <v>123612756</v>
      </c>
      <c r="T253" s="6">
        <f>Tabela3[Capital Social]/Tabela3[Total Ações]</f>
        <v>8.9979281827516253</v>
      </c>
      <c r="U253" s="80">
        <f>Tabela3[[#This Row],[Lucro Líquido]]/Tabela3[[#This Row],[Total Ações]]</f>
        <v>0.93961985606080978</v>
      </c>
      <c r="V25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0.22315971581444233</v>
      </c>
      <c r="W25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0.22315971581444233</v>
      </c>
      <c r="Z253" s="6">
        <f>Tabela3[Div Base]*Tabela3[Ações]</f>
        <v>14545211.743496461</v>
      </c>
      <c r="AA253" s="6">
        <f>SUMPRODUCT(N(Tabela3[Nome]=Tabela3[[#This Row],[Nome]]),Tabela3[Div Base]*Tabela3[Ações])</f>
        <v>27585387.5</v>
      </c>
      <c r="AB253" s="6">
        <f>Tabela3[Patrimônio Líquido]/Tabela3[Total Ações]</f>
        <v>10.331547012834177</v>
      </c>
      <c r="AC253" s="48">
        <f>MAX(Tabela3[[#This Row],[Cotação 1]:[Cotação 4]])</f>
        <v>0</v>
      </c>
      <c r="AD253" s="44">
        <f>Tabela3[Cotação]/Tabela3[VPA]</f>
        <v>0</v>
      </c>
      <c r="AE253" s="40">
        <f>IF(Tabela3[[#This Row],[Lucro/Ação]]&gt;0,Tabela3[[#This Row],[Cotação]]/(Tabela3[[#This Row],[Lucro/Ação]]/Tabela3[Ref]*4),0)</f>
        <v>0</v>
      </c>
      <c r="AF253" s="40" t="e">
        <f>IF(Tabela3[Div. Mínimo]=0,0,Tabela3[Lucro Distribuir]*#REF!/Tabela3[Total Ações])</f>
        <v>#REF!</v>
      </c>
      <c r="AG253" s="80">
        <f>Tabela3[Lucro Distribuir]/Tabela3[Total Ações]</f>
        <v>0.89263886325776931</v>
      </c>
      <c r="AH25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0.22315971581444233</v>
      </c>
      <c r="AI253" s="15" t="str">
        <f>IF(AND(Tabela3[% A.A.]&gt;=7%,SUMPRODUCT(N(Tabela3[Nome]=Tabela3[[#This Row],[Nome]]),Tabela3[PL])&gt;0),"Sim","Não")</f>
        <v>Não</v>
      </c>
      <c r="AJ253" s="42">
        <f>IF(Tabela3[Cotação]&gt;0,Tabela3[[#This Row],[Lucro]]/Tabela3[[#This Row],[Cotação]],0)</f>
        <v>0</v>
      </c>
      <c r="AK253" s="19">
        <f>((1+Tabela3[[#This Row],[% Yield]])^(1/(3*Tabela3[[#This Row],[Ref]])))^(12)-1</f>
        <v>0</v>
      </c>
      <c r="AL253" s="14">
        <f>IF(Tabela3[Cotação]&gt;0,($AS$1/Tabela3[[#This Row],[Cotação]]-MOD($AS$1/Tabela3[[#This Row],[Cotação]],100)),)</f>
        <v>0</v>
      </c>
      <c r="AM253" s="17">
        <f>Tabela3[[#This Row],[Ativos]]*Tabela3[Lucro]</f>
        <v>0</v>
      </c>
      <c r="AN253" s="13">
        <f>SUMPRODUCT(N(Tabela1[Código]=Tabela3[[#This Row],[PAPEL]]),Tabela1[Fechamento])</f>
        <v>0</v>
      </c>
      <c r="AO253" s="13">
        <f>SUMPRODUCT(N(Tabela17[Código]=Tabela3[[#This Row],[PAPEL]]),Tabela17[Fechamento])</f>
        <v>0</v>
      </c>
      <c r="AP253" s="7">
        <f>SUMPRODUCT(N(Tabela176[Código]=Tabela3[[#This Row],[PAPEL]]),Tabela176[Fechamento])</f>
        <v>0</v>
      </c>
      <c r="AQ253" s="7">
        <f>SUMPRODUCT(N(Tabela1768[Código]=Tabela3[[#This Row],[PAPEL]]),Tabela1768[Fechamento])</f>
        <v>0</v>
      </c>
    </row>
    <row r="254" spans="1:43" hidden="1" x14ac:dyDescent="0.2">
      <c r="A254" s="4" t="s">
        <v>14</v>
      </c>
      <c r="B254" s="57" t="s">
        <v>74</v>
      </c>
      <c r="C254" s="14" t="str">
        <f>LEFT(Tabela3[PAPEL],LEN(Tabela3[PAPEL])-(LEN(Tabela3[PAPEL])-4))</f>
        <v>PINE</v>
      </c>
      <c r="D254" s="15">
        <v>3</v>
      </c>
      <c r="E254" s="6">
        <v>1112258700.96</v>
      </c>
      <c r="F254" s="8">
        <v>58434273</v>
      </c>
      <c r="G254" s="83">
        <v>0.25</v>
      </c>
      <c r="H254" s="19"/>
      <c r="I254" s="19"/>
      <c r="J254" s="19"/>
      <c r="K254" s="90"/>
      <c r="L254" s="90"/>
      <c r="M254" s="6">
        <v>1277111000</v>
      </c>
      <c r="N254" s="6">
        <v>116149000</v>
      </c>
      <c r="O254" s="6">
        <f>Tabela3[[#This Row],[Capital Social]]*20%</f>
        <v>222451740.19200003</v>
      </c>
      <c r="P254" s="6">
        <f>IF((Tabela3[Lucro Líquido]*5%)&gt;Tabela3[Teto R. Legal],Tabela3[Teto R. Legal],Tabela3[Lucro Líquido]*5%)</f>
        <v>5807450</v>
      </c>
      <c r="Q254" s="6">
        <f>IF(Tabela3[Lucro Líquido]&lt;0,0,Tabela3[Lucro Líquido]-Tabela3[Reserva Legal])</f>
        <v>110341550</v>
      </c>
      <c r="R254" s="6">
        <f>Tabela3[[#This Row],[Lucro Distribuir]]*Tabela3[%Div]</f>
        <v>27585387.5</v>
      </c>
      <c r="S254" s="21">
        <f>SUMPRODUCT(N(Tabela3[Nome]=Tabela3[[#This Row],[Nome]]),Tabela3[Ações])</f>
        <v>123612756</v>
      </c>
      <c r="T254" s="6">
        <f>Tabela3[Capital Social]/Tabela3[Total Ações]</f>
        <v>8.9979281827516253</v>
      </c>
      <c r="U254" s="80">
        <f>Tabela3[[#This Row],[Lucro Líquido]]/Tabela3[[#This Row],[Total Ações]]</f>
        <v>0.93961985606080978</v>
      </c>
      <c r="V25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0.22315971581444233</v>
      </c>
      <c r="W25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0.22315971581444233</v>
      </c>
      <c r="Z254" s="6">
        <f>Tabela3[Div Base]*Tabela3[Ações]</f>
        <v>13040175.756503541</v>
      </c>
      <c r="AA254" s="6">
        <f>SUMPRODUCT(N(Tabela3[Nome]=Tabela3[[#This Row],[Nome]]),Tabela3[Div Base]*Tabela3[Ações])</f>
        <v>27585387.5</v>
      </c>
      <c r="AB254" s="6">
        <f>Tabela3[Patrimônio Líquido]/Tabela3[Total Ações]</f>
        <v>10.331547012834177</v>
      </c>
      <c r="AC254" s="48">
        <f>MAX(Tabela3[[#This Row],[Cotação 1]:[Cotação 4]])</f>
        <v>7.99</v>
      </c>
      <c r="AD254" s="44">
        <f>Tabela3[Cotação]/Tabela3[VPA]</f>
        <v>0.77335949689572803</v>
      </c>
      <c r="AE254" s="40">
        <f>IF(Tabela3[[#This Row],[Lucro/Ação]]&gt;0,Tabela3[[#This Row],[Cotação]]/(Tabela3[[#This Row],[Lucro/Ação]]/Tabela3[Ref]*4),0)</f>
        <v>6.3775791468716907</v>
      </c>
      <c r="AF254" s="77" t="e">
        <f>IF(Tabela3[Div. Mínimo]=0,0,Tabela3[Lucro Distribuir]*#REF!/Tabela3[Total Ações])</f>
        <v>#REF!</v>
      </c>
      <c r="AG254" s="80">
        <f>Tabela3[Lucro Distribuir]/Tabela3[Total Ações]</f>
        <v>0.89263886325776931</v>
      </c>
      <c r="AH25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0.22315971581444233</v>
      </c>
      <c r="AI254" s="15" t="str">
        <f>IF(AND(Tabela3[% A.A.]&gt;=7%,SUMPRODUCT(N(Tabela3[Nome]=Tabela3[[#This Row],[Nome]]),Tabela3[PL])&gt;0),"Sim","Não")</f>
        <v>Não</v>
      </c>
      <c r="AJ254" s="42">
        <f>IF(Tabela3[Cotação]&gt;0,Tabela3[[#This Row],[Lucro]]/Tabela3[[#This Row],[Cotação]],0)</f>
        <v>2.7929876822833832E-2</v>
      </c>
      <c r="AK254" s="19">
        <f>((1+Tabela3[[#This Row],[% Yield]])^(1/(3*Tabela3[[#This Row],[Ref]])))^(12)-1</f>
        <v>3.741212284729345E-2</v>
      </c>
      <c r="AL254" s="14">
        <f>IF(Tabela3[Cotação]&gt;0,($AS$1/Tabela3[[#This Row],[Cotação]]-MOD($AS$1/Tabela3[[#This Row],[Cotação]],100)),)</f>
        <v>100</v>
      </c>
      <c r="AM254" s="17">
        <f>Tabela3[[#This Row],[Ativos]]*Tabela3[Lucro]</f>
        <v>22.315971581444234</v>
      </c>
      <c r="AN254" s="5">
        <f>SUMPRODUCT(N(Tabela1[Código]=Tabela3[[#This Row],[PAPEL]]),Tabela1[Fechamento])</f>
        <v>7.99</v>
      </c>
      <c r="AO254" s="5">
        <f>SUMPRODUCT(N(Tabela17[Código]=Tabela3[[#This Row],[PAPEL]]),Tabela17[Fechamento])</f>
        <v>0</v>
      </c>
      <c r="AP254" s="7">
        <f>SUMPRODUCT(N(Tabela176[Código]=Tabela3[[#This Row],[PAPEL]]),Tabela176[Fechamento])</f>
        <v>0</v>
      </c>
      <c r="AQ254" s="7">
        <f>SUMPRODUCT(N(Tabela1768[Código]=Tabela3[[#This Row],[PAPEL]]),Tabela1768[Fechamento])</f>
        <v>0</v>
      </c>
    </row>
    <row r="255" spans="1:43" hidden="1" x14ac:dyDescent="0.2">
      <c r="A255" s="4" t="s">
        <v>653</v>
      </c>
      <c r="B255" s="57" t="s">
        <v>651</v>
      </c>
      <c r="C255" s="15" t="str">
        <f>LEFT(Tabela3[PAPEL],LEN(Tabela3[PAPEL])-(LEN(Tabela3[PAPEL])-4))</f>
        <v>PMAM</v>
      </c>
      <c r="D255" s="15">
        <v>3</v>
      </c>
      <c r="E255" s="6">
        <v>1382990468.48</v>
      </c>
      <c r="F255" s="8">
        <v>319176942</v>
      </c>
      <c r="G255" s="88">
        <v>0.25</v>
      </c>
      <c r="H255" s="15"/>
      <c r="I255" s="19"/>
      <c r="J255" s="19"/>
      <c r="K255" s="90"/>
      <c r="L255" s="90"/>
      <c r="M255" s="96">
        <v>1448120000</v>
      </c>
      <c r="N255" s="97">
        <v>11744000</v>
      </c>
      <c r="O255" s="13">
        <f>Tabela3[[#This Row],[Capital Social]]*20%</f>
        <v>276598093.69600004</v>
      </c>
      <c r="P255" s="13">
        <f>IF((Tabela3[Lucro Líquido]*5%)&gt;Tabela3[Teto R. Legal],Tabela3[Teto R. Legal],Tabela3[Lucro Líquido]*5%)</f>
        <v>587200</v>
      </c>
      <c r="Q255" s="13">
        <f>IF(Tabela3[Lucro Líquido]&lt;0,0,Tabela3[Lucro Líquido]-Tabela3[Reserva Legal])</f>
        <v>11156800</v>
      </c>
      <c r="R255" s="13">
        <f>Tabela3[[#This Row],[Lucro Distribuir]]*Tabela3[%Div]</f>
        <v>2789200</v>
      </c>
      <c r="S255" s="56">
        <f>SUMPRODUCT(N(Tabela3[Nome]=Tabela3[[#This Row],[Nome]]),Tabela3[Ações])</f>
        <v>319176942</v>
      </c>
      <c r="T255" s="6">
        <f>Tabela3[Capital Social]/Tabela3[Total Ações]</f>
        <v>4.3329899077734755</v>
      </c>
      <c r="U255" s="80">
        <f>Tabela3[[#This Row],[Lucro Líquido]]/Tabela3[[#This Row],[Total Ações]]</f>
        <v>3.6794637878321421E-2</v>
      </c>
      <c r="V25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8.7387264961013376E-3</v>
      </c>
      <c r="W25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8.7387264961013376E-3</v>
      </c>
      <c r="Z255" s="13">
        <f>Tabela3[Div Base]*Tabela3[Ações]</f>
        <v>2789200</v>
      </c>
      <c r="AA255" s="13">
        <f>SUMPRODUCT(N(Tabela3[Nome]=Tabela3[[#This Row],[Nome]]),Tabela3[Div Base]*Tabela3[Ações])</f>
        <v>2789200</v>
      </c>
      <c r="AB255" s="95">
        <f>Tabela3[Patrimônio Líquido]/Tabela3[Total Ações]</f>
        <v>4.5370445337495591</v>
      </c>
      <c r="AC255" s="48">
        <f>MAX(Tabela3[[#This Row],[Cotação 1]:[Cotação 4]])</f>
        <v>3.88</v>
      </c>
      <c r="AD255" s="44">
        <f>Tabela3[Cotação]/Tabela3[VPA]</f>
        <v>0.85518226042040713</v>
      </c>
      <c r="AE255" s="40">
        <f>IF(Tabela3[[#This Row],[Lucro/Ação]]&gt;0,Tabela3[[#This Row],[Cotação]]/(Tabela3[[#This Row],[Lucro/Ação]]/Tabela3[Ref]*4),0)</f>
        <v>79.087610798705725</v>
      </c>
      <c r="AF255" s="91" t="e">
        <f>IF(Tabela3[Div. Mínimo]=0,0,Tabela3[Lucro Distribuir]*#REF!/Tabela3[Total Ações])</f>
        <v>#REF!</v>
      </c>
      <c r="AG255" s="80">
        <f>Tabela3[Lucro Distribuir]/Tabela3[Total Ações]</f>
        <v>3.495490598440535E-2</v>
      </c>
      <c r="AH25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8.7387264961013376E-3</v>
      </c>
      <c r="AI255" s="14" t="str">
        <f>IF(AND(Tabela3[% A.A.]&gt;=7%,SUMPRODUCT(N(Tabela3[Nome]=Tabela3[[#This Row],[Nome]]),Tabela3[PL])&gt;0),"Sim","Não")</f>
        <v>Não</v>
      </c>
      <c r="AJ255" s="42">
        <f>IF(Tabela3[Cotação]&gt;0,Tabela3[[#This Row],[Lucro]]/Tabela3[[#This Row],[Cotação]],0)</f>
        <v>2.2522490969333346E-3</v>
      </c>
      <c r="AK255" s="42">
        <f>((1+Tabela3[[#This Row],[% Yield]])^(1/(3*Tabela3[[#This Row],[Ref]])))^(12)-1</f>
        <v>3.0041254824715313E-3</v>
      </c>
      <c r="AL255" s="14">
        <f>IF(Tabela3[Cotação]&gt;0,($AS$1/Tabela3[[#This Row],[Cotação]]-MOD($AS$1/Tabela3[[#This Row],[Cotação]],100)),)</f>
        <v>200</v>
      </c>
      <c r="AM255" s="17">
        <f>Tabela3[[#This Row],[Ativos]]*Tabela3[Lucro]</f>
        <v>1.7477452992202676</v>
      </c>
      <c r="AN255" s="17">
        <f>SUMPRODUCT(N(Tabela1[Código]=Tabela3[[#This Row],[PAPEL]]),Tabela1[Fechamento])</f>
        <v>0</v>
      </c>
      <c r="AO255" s="17">
        <f>SUMPRODUCT(N(Tabela17[Código]=Tabela3[[#This Row],[PAPEL]]),Tabela17[Fechamento])</f>
        <v>0</v>
      </c>
      <c r="AP255" s="17">
        <f>SUMPRODUCT(N(Tabela176[Código]=Tabela3[[#This Row],[PAPEL]]),Tabela176[Fechamento])</f>
        <v>3.88</v>
      </c>
      <c r="AQ255" s="17">
        <f>SUMPRODUCT(N(Tabela1768[Código]=Tabela3[[#This Row],[PAPEL]]),Tabela1768[Fechamento])</f>
        <v>0</v>
      </c>
    </row>
    <row r="256" spans="1:43" hidden="1" x14ac:dyDescent="0.2">
      <c r="A256" s="3" t="s">
        <v>942</v>
      </c>
      <c r="B256" s="58" t="s">
        <v>946</v>
      </c>
      <c r="C256" s="16" t="str">
        <f>LEFT(Tabela3[PAPEL],LEN(Tabela3[PAPEL])-(LEN(Tabela3[PAPEL])-4))</f>
        <v>PNVL</v>
      </c>
      <c r="D256" s="16">
        <v>3</v>
      </c>
      <c r="E256" s="5">
        <v>227000000</v>
      </c>
      <c r="F256" s="56">
        <v>4119052</v>
      </c>
      <c r="G256" s="83">
        <v>0.25</v>
      </c>
      <c r="H256" s="89"/>
      <c r="I256" s="18"/>
      <c r="K256" s="16"/>
      <c r="L256" s="89"/>
      <c r="M256" s="94">
        <v>269723000</v>
      </c>
      <c r="N256" s="73">
        <v>42644000</v>
      </c>
      <c r="O256" s="7">
        <f>Tabela3[[#This Row],[Capital Social]]*20%</f>
        <v>45400000</v>
      </c>
      <c r="P256" s="47">
        <f>IF((Tabela3[Lucro Líquido]*5%)&gt;Tabela3[Teto R. Legal],Tabela3[Teto R. Legal],Tabela3[Lucro Líquido]*5%)</f>
        <v>2132200</v>
      </c>
      <c r="Q256" s="47">
        <f>IF(Tabela3[Lucro Líquido]&lt;0,0,Tabela3[Lucro Líquido]-Tabela3[Reserva Legal])</f>
        <v>40511800</v>
      </c>
      <c r="R256" s="47">
        <f>Tabela3[[#This Row],[Lucro Distribuir]]*Tabela3[%Div]</f>
        <v>10127950</v>
      </c>
      <c r="S256" s="56">
        <f>SUMPRODUCT(N(Tabela3[Nome]=Tabela3[[#This Row],[Nome]]),Tabela3[Ações])</f>
        <v>4568575</v>
      </c>
      <c r="T256" s="87">
        <f>Tabela3[Capital Social]/Tabela3[Total Ações]</f>
        <v>49.68726572290047</v>
      </c>
      <c r="U256" s="87">
        <f>Tabela3[[#This Row],[Lucro Líquido]]/Tabela3[[#This Row],[Total Ações]]</f>
        <v>9.3342015836447914</v>
      </c>
      <c r="V25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2.1478975310588817</v>
      </c>
      <c r="W25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2.1478975310588817</v>
      </c>
      <c r="Z256" s="7">
        <f>Tabela3[Div Base]*Tabela3[Ações]</f>
        <v>8847301.6211031489</v>
      </c>
      <c r="AA256" s="7">
        <f>SUMPRODUCT(N(Tabela3[Nome]=Tabela3[[#This Row],[Nome]]),Tabela3[Div Base]*Tabela3[Ações])</f>
        <v>9909383.8985976912</v>
      </c>
      <c r="AB256" s="74">
        <f>Tabela3[Patrimônio Líquido]/Tabela3[Total Ações]</f>
        <v>59.03875935056336</v>
      </c>
      <c r="AC256" s="52">
        <f>MAX(Tabela3[[#This Row],[Cotação 1]:[Cotação 4]])</f>
        <v>185</v>
      </c>
      <c r="AD256" s="53">
        <f>Tabela3[Cotação]/Tabela3[VPA]</f>
        <v>3.1335346818773333</v>
      </c>
      <c r="AE256" s="37">
        <f>IF(Tabela3[[#This Row],[Lucro/Ação]]&gt;0,Tabela3[[#This Row],[Cotação]]/(Tabela3[[#This Row],[Lucro/Ação]]/Tabela3[Ref]*4),0)</f>
        <v>14.864688613872993</v>
      </c>
      <c r="AF256" s="59" t="e">
        <f>IF(Tabela3[Div. Mínimo]=0,0,Tabela3[Lucro Distribuir]*#REF!/Tabela3[Total Ações])</f>
        <v>#REF!</v>
      </c>
      <c r="AG256" s="87">
        <f>Tabela3[Lucro Distribuir]/Tabela3[Total Ações]</f>
        <v>8.8674915044625511</v>
      </c>
      <c r="AH25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2.1478975310588817</v>
      </c>
      <c r="AI256" s="10" t="str">
        <f>IF(AND(Tabela3[% A.A.]&gt;=7%,SUMPRODUCT(N(Tabela3[Nome]=Tabela3[[#This Row],[Nome]]),Tabela3[PL])&gt;0),"Sim","Não")</f>
        <v>Não</v>
      </c>
      <c r="AJ256" s="22">
        <f>IF(Tabela3[Cotação]&gt;0,Tabela3[[#This Row],[Lucro]]/Tabela3[[#This Row],[Cotação]],0)</f>
        <v>1.1610256924642603E-2</v>
      </c>
      <c r="AK256" s="22">
        <f>((1+Tabela3[[#This Row],[% Yield]])^(1/(3*Tabela3[[#This Row],[Ref]])))^(12)-1</f>
        <v>1.5510220777579908E-2</v>
      </c>
      <c r="AL256" s="10">
        <f>IF(Tabela3[Cotação]&gt;0,($AS$1/Tabela3[[#This Row],[Cotação]]-MOD($AS$1/Tabela3[[#This Row],[Cotação]],100)),)</f>
        <v>0</v>
      </c>
      <c r="AM256" s="7">
        <f>Tabela3[[#This Row],[Ativos]]*Tabela3[Lucro]</f>
        <v>0</v>
      </c>
      <c r="AN256" s="7">
        <f>SUMPRODUCT(N(Tabela1[Código]=Tabela3[[#This Row],[PAPEL]]),Tabela1[Fechamento])</f>
        <v>0</v>
      </c>
      <c r="AO256" s="7">
        <f>SUMPRODUCT(N(Tabela17[Código]=Tabela3[[#This Row],[PAPEL]]),Tabela17[Fechamento])</f>
        <v>0</v>
      </c>
      <c r="AP256" s="7">
        <f>SUMPRODUCT(N(Tabela176[Código]=Tabela3[[#This Row],[PAPEL]]),Tabela176[Fechamento])</f>
        <v>185</v>
      </c>
      <c r="AQ256" s="7">
        <f>SUMPRODUCT(N(Tabela1768[Código]=Tabela3[[#This Row],[PAPEL]]),Tabela1768[Fechamento])</f>
        <v>0</v>
      </c>
    </row>
    <row r="257" spans="1:43" hidden="1" x14ac:dyDescent="0.2">
      <c r="A257" s="3" t="s">
        <v>942</v>
      </c>
      <c r="B257" s="58" t="s">
        <v>947</v>
      </c>
      <c r="C257" s="16" t="str">
        <f>LEFT(Tabela3[PAPEL],LEN(Tabela3[PAPEL])-(LEN(Tabela3[PAPEL])-4))</f>
        <v>PNVL</v>
      </c>
      <c r="D257" s="16">
        <v>3</v>
      </c>
      <c r="E257" s="5">
        <v>227000000</v>
      </c>
      <c r="F257" s="56">
        <v>449523</v>
      </c>
      <c r="G257" s="83">
        <v>0.25</v>
      </c>
      <c r="H257" s="89"/>
      <c r="I257" s="18"/>
      <c r="J257" s="18">
        <v>0.1</v>
      </c>
      <c r="K257" s="16"/>
      <c r="L257" s="89"/>
      <c r="M257" s="94">
        <v>269723000</v>
      </c>
      <c r="N257" s="73">
        <v>42644000</v>
      </c>
      <c r="O257" s="7">
        <f>Tabela3[[#This Row],[Capital Social]]*20%</f>
        <v>45400000</v>
      </c>
      <c r="P257" s="47">
        <f>IF((Tabela3[Lucro Líquido]*5%)&gt;Tabela3[Teto R. Legal],Tabela3[Teto R. Legal],Tabela3[Lucro Líquido]*5%)</f>
        <v>2132200</v>
      </c>
      <c r="Q257" s="47">
        <f>IF(Tabela3[Lucro Líquido]&lt;0,0,Tabela3[Lucro Líquido]-Tabela3[Reserva Legal])</f>
        <v>40511800</v>
      </c>
      <c r="R257" s="47">
        <f>Tabela3[[#This Row],[Lucro Distribuir]]*Tabela3[%Div]</f>
        <v>10127950</v>
      </c>
      <c r="S257" s="56">
        <f>SUMPRODUCT(N(Tabela3[Nome]=Tabela3[[#This Row],[Nome]]),Tabela3[Ações])</f>
        <v>4568575</v>
      </c>
      <c r="T257" s="87">
        <f>Tabela3[Capital Social]/Tabela3[Total Ações]</f>
        <v>49.68726572290047</v>
      </c>
      <c r="U257" s="87">
        <f>Tabela3[[#This Row],[Lucro Líquido]]/Tabela3[[#This Row],[Total Ações]]</f>
        <v>9.3342015836447914</v>
      </c>
      <c r="V25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2.3626872874014042</v>
      </c>
      <c r="W25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2.3626872874014042</v>
      </c>
      <c r="Z257" s="7">
        <f>Tabela3[Div Base]*Tabela3[Ações]</f>
        <v>1062082.2774945414</v>
      </c>
      <c r="AA257" s="7">
        <f>SUMPRODUCT(N(Tabela3[Nome]=Tabela3[[#This Row],[Nome]]),Tabela3[Div Base]*Tabela3[Ações])</f>
        <v>9909383.8985976912</v>
      </c>
      <c r="AB257" s="74">
        <f>Tabela3[Patrimônio Líquido]/Tabela3[Total Ações]</f>
        <v>59.03875935056336</v>
      </c>
      <c r="AC257" s="52">
        <f>MAX(Tabela3[[#This Row],[Cotação 1]:[Cotação 4]])</f>
        <v>190</v>
      </c>
      <c r="AD257" s="53">
        <f>Tabela3[Cotação]/Tabela3[VPA]</f>
        <v>3.2182248084145586</v>
      </c>
      <c r="AE257" s="37">
        <f>IF(Tabela3[[#This Row],[Lucro/Ação]]&gt;0,Tabela3[[#This Row],[Cotação]]/(Tabela3[[#This Row],[Lucro/Ação]]/Tabela3[Ref]*4),0)</f>
        <v>15.26643695478848</v>
      </c>
      <c r="AF257" s="59" t="e">
        <f>IF(Tabela3[Div. Mínimo]=0,0,Tabela3[Lucro Distribuir]*#REF!/Tabela3[Total Ações])</f>
        <v>#REF!</v>
      </c>
      <c r="AG257" s="87">
        <f>Tabela3[Lucro Distribuir]/Tabela3[Total Ações]</f>
        <v>8.8674915044625511</v>
      </c>
      <c r="AH25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2.3626872874014042</v>
      </c>
      <c r="AI257" s="10" t="str">
        <f>IF(AND(Tabela3[% A.A.]&gt;=7%,SUMPRODUCT(N(Tabela3[Nome]=Tabela3[[#This Row],[Nome]]),Tabela3[PL])&gt;0),"Sim","Não")</f>
        <v>Não</v>
      </c>
      <c r="AJ257" s="22">
        <f>IF(Tabela3[Cotação]&gt;0,Tabela3[[#This Row],[Lucro]]/Tabela3[[#This Row],[Cotação]],0)</f>
        <v>1.2435196249481075E-2</v>
      </c>
      <c r="AK257" s="22">
        <f>((1+Tabela3[[#This Row],[% Yield]])^(1/(3*Tabela3[[#This Row],[Ref]])))^(12)-1</f>
        <v>1.6614530331066746E-2</v>
      </c>
      <c r="AL257" s="10">
        <f>IF(Tabela3[Cotação]&gt;0,($AS$1/Tabela3[[#This Row],[Cotação]]-MOD($AS$1/Tabela3[[#This Row],[Cotação]],100)),)</f>
        <v>0</v>
      </c>
      <c r="AM257" s="7">
        <f>Tabela3[[#This Row],[Ativos]]*Tabela3[Lucro]</f>
        <v>0</v>
      </c>
      <c r="AN257" s="7">
        <f>SUMPRODUCT(N(Tabela1[Código]=Tabela3[[#This Row],[PAPEL]]),Tabela1[Fechamento])</f>
        <v>0</v>
      </c>
      <c r="AO257" s="7">
        <f>SUMPRODUCT(N(Tabela17[Código]=Tabela3[[#This Row],[PAPEL]]),Tabela17[Fechamento])</f>
        <v>0</v>
      </c>
      <c r="AP257" s="7">
        <f>SUMPRODUCT(N(Tabela176[Código]=Tabela3[[#This Row],[PAPEL]]),Tabela176[Fechamento])</f>
        <v>190</v>
      </c>
      <c r="AQ257" s="7">
        <f>SUMPRODUCT(N(Tabela1768[Código]=Tabela3[[#This Row],[PAPEL]]),Tabela1768[Fechamento])</f>
        <v>0</v>
      </c>
    </row>
    <row r="258" spans="1:43" hidden="1" x14ac:dyDescent="0.2">
      <c r="A258" s="4" t="s">
        <v>603</v>
      </c>
      <c r="B258" s="57" t="s">
        <v>606</v>
      </c>
      <c r="C258" s="15" t="str">
        <f>LEFT(Tabela3[PAPEL],LEN(Tabela3[PAPEL])-(LEN(Tabela3[PAPEL])-4))</f>
        <v>POSI</v>
      </c>
      <c r="D258" s="15">
        <v>3</v>
      </c>
      <c r="E258" s="6">
        <v>389000000</v>
      </c>
      <c r="F258" s="8">
        <v>87800000</v>
      </c>
      <c r="G258" s="88">
        <v>0.25</v>
      </c>
      <c r="H258" s="15"/>
      <c r="I258" s="19"/>
      <c r="J258" s="19"/>
      <c r="K258" s="90"/>
      <c r="L258" s="90"/>
      <c r="M258" s="96">
        <v>621764000</v>
      </c>
      <c r="N258" s="97">
        <v>-15359000</v>
      </c>
      <c r="O258" s="13">
        <f>Tabela3[[#This Row],[Capital Social]]*20%</f>
        <v>77800000</v>
      </c>
      <c r="P258" s="13">
        <f>IF((Tabela3[Lucro Líquido]*5%)&gt;Tabela3[Teto R. Legal],Tabela3[Teto R. Legal],Tabela3[Lucro Líquido]*5%)</f>
        <v>-767950</v>
      </c>
      <c r="Q258" s="13">
        <f>IF(Tabela3[Lucro Líquido]&lt;0,0,Tabela3[Lucro Líquido]-Tabela3[Reserva Legal])</f>
        <v>0</v>
      </c>
      <c r="R258" s="13">
        <f>Tabela3[[#This Row],[Lucro Distribuir]]*Tabela3[%Div]</f>
        <v>0</v>
      </c>
      <c r="S258" s="56">
        <f>SUMPRODUCT(N(Tabela3[Nome]=Tabela3[[#This Row],[Nome]]),Tabela3[Ações])</f>
        <v>87800000</v>
      </c>
      <c r="T258" s="6">
        <f>Tabela3[Capital Social]/Tabela3[Total Ações]</f>
        <v>4.4305239179954441</v>
      </c>
      <c r="U258" s="80">
        <f>Tabela3[[#This Row],[Lucro Líquido]]/Tabela3[[#This Row],[Total Ações]]</f>
        <v>-0.17493166287015946</v>
      </c>
      <c r="V25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5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58" s="13">
        <f>Tabela3[Div Base]*Tabela3[Ações]</f>
        <v>0</v>
      </c>
      <c r="AA258" s="13">
        <f>SUMPRODUCT(N(Tabela3[Nome]=Tabela3[[#This Row],[Nome]]),Tabela3[Div Base]*Tabela3[Ações])</f>
        <v>0</v>
      </c>
      <c r="AB258" s="95">
        <f>Tabela3[Patrimônio Líquido]/Tabela3[Total Ações]</f>
        <v>7.0815945330296124</v>
      </c>
      <c r="AC258" s="48">
        <f>MAX(Tabela3[[#This Row],[Cotação 1]:[Cotação 4]])</f>
        <v>2.79</v>
      </c>
      <c r="AD258" s="44">
        <f>Tabela3[Cotação]/Tabela3[VPA]</f>
        <v>0.39397906601218469</v>
      </c>
      <c r="AE258" s="40">
        <f>IF(Tabela3[[#This Row],[Lucro/Ação]]&gt;0,Tabela3[[#This Row],[Cotação]]/(Tabela3[[#This Row],[Lucro/Ação]]/Tabela3[Ref]*4),0)</f>
        <v>0</v>
      </c>
      <c r="AF258" s="91">
        <f>IF(Tabela3[Div. Mínimo]=0,0,Tabela3[Lucro Distribuir]*#REF!/Tabela3[Total Ações])</f>
        <v>0</v>
      </c>
      <c r="AG258" s="80">
        <f>Tabela3[Lucro Distribuir]/Tabela3[Total Ações]</f>
        <v>0</v>
      </c>
      <c r="AH25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58" s="14" t="str">
        <f>IF(AND(Tabela3[% A.A.]&gt;=7%,SUMPRODUCT(N(Tabela3[Nome]=Tabela3[[#This Row],[Nome]]),Tabela3[PL])&gt;0),"Sim","Não")</f>
        <v>Não</v>
      </c>
      <c r="AJ258" s="42">
        <f>IF(Tabela3[Cotação]&gt;0,Tabela3[[#This Row],[Lucro]]/Tabela3[[#This Row],[Cotação]],0)</f>
        <v>0</v>
      </c>
      <c r="AK258" s="42">
        <f>((1+Tabela3[[#This Row],[% Yield]])^(1/(3*Tabela3[[#This Row],[Ref]])))^(12)-1</f>
        <v>0</v>
      </c>
      <c r="AL258" s="14">
        <f>IF(Tabela3[Cotação]&gt;0,($AS$1/Tabela3[[#This Row],[Cotação]]-MOD($AS$1/Tabela3[[#This Row],[Cotação]],100)),)</f>
        <v>300</v>
      </c>
      <c r="AM258" s="17">
        <f>Tabela3[[#This Row],[Ativos]]*Tabela3[Lucro]</f>
        <v>0</v>
      </c>
      <c r="AN258" s="17">
        <f>SUMPRODUCT(N(Tabela1[Código]=Tabela3[[#This Row],[PAPEL]]),Tabela1[Fechamento])</f>
        <v>0</v>
      </c>
      <c r="AO258" s="17">
        <f>SUMPRODUCT(N(Tabela17[Código]=Tabela3[[#This Row],[PAPEL]]),Tabela17[Fechamento])</f>
        <v>0</v>
      </c>
      <c r="AP258" s="17">
        <f>SUMPRODUCT(N(Tabela176[Código]=Tabela3[[#This Row],[PAPEL]]),Tabela176[Fechamento])</f>
        <v>2.79</v>
      </c>
      <c r="AQ258" s="17">
        <f>SUMPRODUCT(N(Tabela1768[Código]=Tabela3[[#This Row],[PAPEL]]),Tabela1768[Fechamento])</f>
        <v>0</v>
      </c>
    </row>
    <row r="259" spans="1:43" hidden="1" x14ac:dyDescent="0.2">
      <c r="A259" s="4" t="s">
        <v>14</v>
      </c>
      <c r="B259" s="57" t="s">
        <v>589</v>
      </c>
      <c r="C259" s="14" t="str">
        <f>LEFT(Tabela3[PAPEL],LEN(Tabela3[PAPEL])-(LEN(Tabela3[PAPEL])-4))</f>
        <v>PRBC</v>
      </c>
      <c r="D259" s="15">
        <v>3</v>
      </c>
      <c r="E259" s="6">
        <v>763866648</v>
      </c>
      <c r="F259" s="8">
        <v>56724976</v>
      </c>
      <c r="G259" s="88">
        <v>0.25</v>
      </c>
      <c r="H259" s="19"/>
      <c r="I259" s="19"/>
      <c r="J259" s="19"/>
      <c r="K259" s="90"/>
      <c r="L259" s="90"/>
      <c r="M259" s="6">
        <v>1279731000</v>
      </c>
      <c r="N259" s="6">
        <v>103137000</v>
      </c>
      <c r="O259" s="6">
        <f>Tabela3[[#This Row],[Capital Social]]*20%</f>
        <v>152773329.59999999</v>
      </c>
      <c r="P259" s="6">
        <f>IF((Tabela3[Lucro Líquido]*5%)&gt;Tabela3[Teto R. Legal],Tabela3[Teto R. Legal],Tabela3[Lucro Líquido]*5%)</f>
        <v>5156850</v>
      </c>
      <c r="Q259" s="6">
        <f>IF(Tabela3[Lucro Líquido]&lt;0,0,Tabela3[Lucro Líquido]-Tabela3[Reserva Legal])</f>
        <v>97980150</v>
      </c>
      <c r="R259" s="6">
        <f>Tabela3[[#This Row],[Lucro Distribuir]]*Tabela3[%Div]</f>
        <v>24495037.5</v>
      </c>
      <c r="S259" s="21">
        <f>SUMPRODUCT(N(Tabela3[Nome]=Tabela3[[#This Row],[Nome]]),Tabela3[Ações])</f>
        <v>87289932</v>
      </c>
      <c r="T259" s="6">
        <f>Tabela3[Capital Social]/Tabela3[Total Ações]</f>
        <v>8.7509135417816566</v>
      </c>
      <c r="U259" s="80">
        <f>Tabela3[[#This Row],[Lucro Líquido]]/Tabela3[[#This Row],[Total Ações]]</f>
        <v>1.181545198133503</v>
      </c>
      <c r="V25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0.28061698455670697</v>
      </c>
      <c r="W25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5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5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0.28061698455670697</v>
      </c>
      <c r="Z259" s="6">
        <f>Tabela3[Div Base]*Tabela3[Ações]</f>
        <v>15917991.714171574</v>
      </c>
      <c r="AA259" s="6">
        <f>SUMPRODUCT(N(Tabela3[Nome]=Tabela3[[#This Row],[Nome]]),Tabela3[Div Base]*Tabela3[Ações])</f>
        <v>24495037.5</v>
      </c>
      <c r="AB259" s="6">
        <f>Tabela3[Patrimônio Líquido]/Tabela3[Total Ações]</f>
        <v>14.660694202396675</v>
      </c>
      <c r="AC259" s="48">
        <f>MAX(Tabela3[[#This Row],[Cotação 1]:[Cotação 4]])</f>
        <v>0</v>
      </c>
      <c r="AD259" s="44">
        <f>Tabela3[Cotação]/Tabela3[VPA]</f>
        <v>0</v>
      </c>
      <c r="AE259" s="40">
        <f>IF(Tabela3[[#This Row],[Lucro/Ação]]&gt;0,Tabela3[[#This Row],[Cotação]]/(Tabela3[[#This Row],[Lucro/Ação]]/Tabela3[Ref]*4),0)</f>
        <v>0</v>
      </c>
      <c r="AF259" s="77" t="e">
        <f>IF(Tabela3[Div. Mínimo]=0,0,Tabela3[Lucro Distribuir]*#REF!/Tabela3[Total Ações])</f>
        <v>#REF!</v>
      </c>
      <c r="AG259" s="80">
        <f>Tabela3[Lucro Distribuir]/Tabela3[Total Ações]</f>
        <v>1.1224679382268279</v>
      </c>
      <c r="AH25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0.28061698455670697</v>
      </c>
      <c r="AI259" s="15" t="str">
        <f>IF(AND(Tabela3[% A.A.]&gt;=7%,SUMPRODUCT(N(Tabela3[Nome]=Tabela3[[#This Row],[Nome]]),Tabela3[PL])&gt;0),"Sim","Não")</f>
        <v>Não</v>
      </c>
      <c r="AJ259" s="42">
        <f>IF(Tabela3[Cotação]&gt;0,Tabela3[[#This Row],[Lucro]]/Tabela3[[#This Row],[Cotação]],0)</f>
        <v>0</v>
      </c>
      <c r="AK259" s="19">
        <f>((1+Tabela3[[#This Row],[% Yield]])^(1/(3*Tabela3[[#This Row],[Ref]])))^(12)-1</f>
        <v>0</v>
      </c>
      <c r="AL259" s="14">
        <f>IF(Tabela3[Cotação]&gt;0,($AS$1/Tabela3[[#This Row],[Cotação]]-MOD($AS$1/Tabela3[[#This Row],[Cotação]],100)),)</f>
        <v>0</v>
      </c>
      <c r="AM259" s="17">
        <f>Tabela3[[#This Row],[Ativos]]*Tabela3[Lucro]</f>
        <v>0</v>
      </c>
      <c r="AN259" s="5">
        <f>SUMPRODUCT(N(Tabela1[Código]=Tabela3[[#This Row],[PAPEL]]),Tabela1[Fechamento])</f>
        <v>0</v>
      </c>
      <c r="AO259" s="5">
        <f>SUMPRODUCT(N(Tabela17[Código]=Tabela3[[#This Row],[PAPEL]]),Tabela17[Fechamento])</f>
        <v>0</v>
      </c>
      <c r="AP259" s="7">
        <f>SUMPRODUCT(N(Tabela176[Código]=Tabela3[[#This Row],[PAPEL]]),Tabela176[Fechamento])</f>
        <v>0</v>
      </c>
      <c r="AQ259" s="7">
        <f>SUMPRODUCT(N(Tabela1768[Código]=Tabela3[[#This Row],[PAPEL]]),Tabela1768[Fechamento])</f>
        <v>0</v>
      </c>
    </row>
    <row r="260" spans="1:43" hidden="1" x14ac:dyDescent="0.2">
      <c r="A260" s="4" t="s">
        <v>14</v>
      </c>
      <c r="B260" s="57" t="s">
        <v>82</v>
      </c>
      <c r="C260" s="15" t="str">
        <f>LEFT(Tabela3[PAPEL],LEN(Tabela3[PAPEL])-(LEN(Tabela3[PAPEL])-4))</f>
        <v>PRBC</v>
      </c>
      <c r="D260" s="15">
        <v>3</v>
      </c>
      <c r="E260" s="6">
        <v>763866648</v>
      </c>
      <c r="F260" s="8">
        <v>30564956</v>
      </c>
      <c r="G260" s="88">
        <v>0.25</v>
      </c>
      <c r="H260" s="15"/>
      <c r="I260" s="19"/>
      <c r="J260" s="19"/>
      <c r="K260" s="90"/>
      <c r="L260" s="90"/>
      <c r="M260" s="6">
        <v>1279731000</v>
      </c>
      <c r="N260" s="6">
        <v>103137000</v>
      </c>
      <c r="O260" s="6">
        <f>Tabela3[[#This Row],[Capital Social]]*20%</f>
        <v>152773329.59999999</v>
      </c>
      <c r="P260" s="6">
        <f>IF((Tabela3[Lucro Líquido]*5%)&gt;Tabela3[Teto R. Legal],Tabela3[Teto R. Legal],Tabela3[Lucro Líquido]*5%)</f>
        <v>5156850</v>
      </c>
      <c r="Q260" s="6">
        <f>IF(Tabela3[Lucro Líquido]&lt;0,0,Tabela3[Lucro Líquido]-Tabela3[Reserva Legal])</f>
        <v>97980150</v>
      </c>
      <c r="R260" s="6">
        <f>Tabela3[[#This Row],[Lucro Distribuir]]*Tabela3[%Div]</f>
        <v>24495037.5</v>
      </c>
      <c r="S260" s="21">
        <f>SUMPRODUCT(N(Tabela3[Nome]=Tabela3[[#This Row],[Nome]]),Tabela3[Ações])</f>
        <v>87289932</v>
      </c>
      <c r="T260" s="6">
        <f>Tabela3[Capital Social]/Tabela3[Total Ações]</f>
        <v>8.7509135417816566</v>
      </c>
      <c r="U260" s="80">
        <f>Tabela3[[#This Row],[Lucro Líquido]]/Tabela3[[#This Row],[Total Ações]]</f>
        <v>1.181545198133503</v>
      </c>
      <c r="V26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0.28061698455670697</v>
      </c>
      <c r="W26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0.28061698455670697</v>
      </c>
      <c r="Z260" s="6">
        <f>Tabela3[Div Base]*Tabela3[Ações]</f>
        <v>8577045.7858284283</v>
      </c>
      <c r="AA260" s="6">
        <f>SUMPRODUCT(N(Tabela3[Nome]=Tabela3[[#This Row],[Nome]]),Tabela3[Div Base]*Tabela3[Ações])</f>
        <v>24495037.5</v>
      </c>
      <c r="AB260" s="6">
        <f>Tabela3[Patrimônio Líquido]/Tabela3[Total Ações]</f>
        <v>14.660694202396675</v>
      </c>
      <c r="AC260" s="48">
        <f>MAX(Tabela3[[#This Row],[Cotação 1]:[Cotação 4]])</f>
        <v>11.3</v>
      </c>
      <c r="AD260" s="44">
        <f>Tabela3[Cotação]/Tabela3[VPA]</f>
        <v>0.77076841273673924</v>
      </c>
      <c r="AE260" s="40">
        <f>IF(Tabela3[[#This Row],[Lucro/Ação]]&gt;0,Tabela3[[#This Row],[Cotação]]/(Tabela3[[#This Row],[Lucro/Ação]]/Tabela3[Ref]*4),0)</f>
        <v>7.1728106663951836</v>
      </c>
      <c r="AF260" s="40" t="e">
        <f>IF(Tabela3[Div. Mínimo]=0,0,Tabela3[Lucro Distribuir]*#REF!/Tabela3[Total Ações])</f>
        <v>#REF!</v>
      </c>
      <c r="AG260" s="80">
        <f>Tabela3[Lucro Distribuir]/Tabela3[Total Ações]</f>
        <v>1.1224679382268279</v>
      </c>
      <c r="AH26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0.28061698455670697</v>
      </c>
      <c r="AI260" s="15" t="str">
        <f>IF(AND(Tabela3[% A.A.]&gt;=7%,SUMPRODUCT(N(Tabela3[Nome]=Tabela3[[#This Row],[Nome]]),Tabela3[PL])&gt;0),"Sim","Não")</f>
        <v>Não</v>
      </c>
      <c r="AJ260" s="42">
        <f>IF(Tabela3[Cotação]&gt;0,Tabela3[[#This Row],[Lucro]]/Tabela3[[#This Row],[Cotação]],0)</f>
        <v>2.4833361465195304E-2</v>
      </c>
      <c r="AK260" s="19">
        <f>((1+Tabela3[[#This Row],[% Yield]])^(1/(3*Tabela3[[#This Row],[Ref]])))^(12)-1</f>
        <v>3.324744358585785E-2</v>
      </c>
      <c r="AL260" s="14">
        <f>IF(Tabela3[Cotação]&gt;0,($AS$1/Tabela3[[#This Row],[Cotação]]-MOD($AS$1/Tabela3[[#This Row],[Cotação]],100)),)</f>
        <v>0</v>
      </c>
      <c r="AM260" s="17">
        <f>Tabela3[[#This Row],[Ativos]]*Tabela3[Lucro]</f>
        <v>0</v>
      </c>
      <c r="AN260" s="5">
        <f>SUMPRODUCT(N(Tabela1[Código]=Tabela3[[#This Row],[PAPEL]]),Tabela1[Fechamento])</f>
        <v>11.3</v>
      </c>
      <c r="AO260" s="5">
        <f>SUMPRODUCT(N(Tabela17[Código]=Tabela3[[#This Row],[PAPEL]]),Tabela17[Fechamento])</f>
        <v>0</v>
      </c>
      <c r="AP260" s="7">
        <f>SUMPRODUCT(N(Tabela176[Código]=Tabela3[[#This Row],[PAPEL]]),Tabela176[Fechamento])</f>
        <v>0</v>
      </c>
      <c r="AQ260" s="7">
        <f>SUMPRODUCT(N(Tabela1768[Código]=Tabela3[[#This Row],[PAPEL]]),Tabela1768[Fechamento])</f>
        <v>0</v>
      </c>
    </row>
    <row r="261" spans="1:43" hidden="1" x14ac:dyDescent="0.2">
      <c r="A261" s="4" t="s">
        <v>329</v>
      </c>
      <c r="B261" s="57" t="s">
        <v>330</v>
      </c>
      <c r="C261" s="84" t="str">
        <f>LEFT(Tabela3[PAPEL],LEN(Tabela3[PAPEL])-(LEN(Tabela3[PAPEL])-4))</f>
        <v>PRVI</v>
      </c>
      <c r="D261" s="15">
        <v>3</v>
      </c>
      <c r="E261" s="6">
        <v>422268606.5</v>
      </c>
      <c r="F261" s="8">
        <v>80041132</v>
      </c>
      <c r="G261" s="83">
        <v>0.25</v>
      </c>
      <c r="H261" s="15"/>
      <c r="I261" s="19"/>
      <c r="J261" s="19"/>
      <c r="K261" s="90"/>
      <c r="L261" s="90"/>
      <c r="M261" s="6">
        <v>662099000</v>
      </c>
      <c r="N261" s="6">
        <v>23239000</v>
      </c>
      <c r="O261" s="6">
        <f>Tabela3[[#This Row],[Capital Social]]*20%</f>
        <v>84453721.300000012</v>
      </c>
      <c r="P261" s="6">
        <f>IF((Tabela3[Lucro Líquido]*5%)&gt;Tabela3[Teto R. Legal],Tabela3[Teto R. Legal],Tabela3[Lucro Líquido]*5%)</f>
        <v>1161950</v>
      </c>
      <c r="Q261" s="6">
        <f>IF(Tabela3[Lucro Líquido]&lt;0,0,Tabela3[Lucro Líquido]-Tabela3[Reserva Legal])</f>
        <v>22077050</v>
      </c>
      <c r="R261" s="6">
        <f>Tabela3[[#This Row],[Lucro Distribuir]]*Tabela3[%Div]</f>
        <v>5519262.5</v>
      </c>
      <c r="S261" s="56">
        <f>SUMPRODUCT(N(Tabela3[Nome]=Tabela3[[#This Row],[Nome]]),Tabela3[Ações])</f>
        <v>80041132</v>
      </c>
      <c r="T261" s="6">
        <f>Tabela3[Capital Social]/Tabela3[Total Ações]</f>
        <v>5.2756451083175584</v>
      </c>
      <c r="U261" s="80">
        <f>Tabela3[[#This Row],[Lucro Líquido]]/Tabela3[[#This Row],[Total Ações]]</f>
        <v>0.29033822260284875</v>
      </c>
      <c r="V26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6.8955327868176583E-2</v>
      </c>
      <c r="W26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6.8955327868176583E-2</v>
      </c>
      <c r="Z261" s="6">
        <f>Tabela3[Div Base]*Tabela3[Ações]</f>
        <v>5519262.5000000009</v>
      </c>
      <c r="AA261" s="6">
        <f>SUMPRODUCT(N(Tabela3[Nome]=Tabela3[[#This Row],[Nome]]),Tabela3[Div Base]*Tabela3[Ações])</f>
        <v>5519262.5000000009</v>
      </c>
      <c r="AB261" s="6">
        <f>Tabela3[Patrimônio Líquido]/Tabela3[Total Ações]</f>
        <v>8.2719844591903069</v>
      </c>
      <c r="AC261" s="48">
        <f>MAX(Tabela3[[#This Row],[Cotação 1]:[Cotação 4]])</f>
        <v>8.15</v>
      </c>
      <c r="AD261" s="44">
        <f>Tabela3[Cotação]/Tabela3[VPA]</f>
        <v>0.98525330169657421</v>
      </c>
      <c r="AE261" s="40">
        <f>IF(Tabela3[[#This Row],[Lucro/Ação]]&gt;0,Tabela3[[#This Row],[Cotação]]/(Tabela3[[#This Row],[Lucro/Ação]]/Tabela3[Ref]*4),0)</f>
        <v>21.05303237445673</v>
      </c>
      <c r="AF261" s="40" t="e">
        <f>IF(Tabela3[Div. Mínimo]=0,0,Tabela3[Lucro Distribuir]*#REF!/Tabela3[Total Ações])</f>
        <v>#REF!</v>
      </c>
      <c r="AG261" s="80">
        <f>Tabela3[Lucro Distribuir]/Tabela3[Total Ações]</f>
        <v>0.27582131147270633</v>
      </c>
      <c r="AH26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6.8955327868176583E-2</v>
      </c>
      <c r="AI261" s="15" t="str">
        <f>IF(AND(Tabela3[% A.A.]&gt;=7%,SUMPRODUCT(N(Tabela3[Nome]=Tabela3[[#This Row],[Nome]]),Tabela3[PL])&gt;0),"Sim","Não")</f>
        <v>Não</v>
      </c>
      <c r="AJ261" s="42">
        <f>IF(Tabela3[Cotação]&gt;0,Tabela3[[#This Row],[Lucro]]/Tabela3[[#This Row],[Cotação]],0)</f>
        <v>8.4607764255431386E-3</v>
      </c>
      <c r="AK261" s="19">
        <f>((1+Tabela3[[#This Row],[% Yield]])^(1/(3*Tabela3[[#This Row],[Ref]])))^(12)-1</f>
        <v>1.1296913149261734E-2</v>
      </c>
      <c r="AL261" s="14">
        <f>IF(Tabela3[Cotação]&gt;0,($AS$1/Tabela3[[#This Row],[Cotação]]-MOD($AS$1/Tabela3[[#This Row],[Cotação]],100)),)</f>
        <v>100</v>
      </c>
      <c r="AM261" s="17">
        <f>Tabela3[[#This Row],[Ativos]]*Tabela3[Lucro]</f>
        <v>6.8955327868176584</v>
      </c>
      <c r="AN261" s="13">
        <f>SUMPRODUCT(N(Tabela1[Código]=Tabela3[[#This Row],[PAPEL]]),Tabela1[Fechamento])</f>
        <v>0</v>
      </c>
      <c r="AO261" s="55">
        <f>SUMPRODUCT(N(Tabela17[Código]=Tabela3[[#This Row],[PAPEL]]),Tabela17[Fechamento])</f>
        <v>8.15</v>
      </c>
      <c r="AP261" s="7">
        <f>SUMPRODUCT(N(Tabela176[Código]=Tabela3[[#This Row],[PAPEL]]),Tabela176[Fechamento])</f>
        <v>0</v>
      </c>
      <c r="AQ261" s="7">
        <f>SUMPRODUCT(N(Tabela1768[Código]=Tabela3[[#This Row],[PAPEL]]),Tabela1768[Fechamento])</f>
        <v>0</v>
      </c>
    </row>
    <row r="262" spans="1:43" hidden="1" x14ac:dyDescent="0.2">
      <c r="A262" s="4" t="s">
        <v>26</v>
      </c>
      <c r="B262" s="57" t="s">
        <v>238</v>
      </c>
      <c r="C262" s="14" t="str">
        <f>LEFT(Tabela3[PAPEL],LEN(Tabela3[PAPEL])-(LEN(Tabela3[PAPEL])-4))</f>
        <v>PSSA</v>
      </c>
      <c r="D262" s="15">
        <v>3</v>
      </c>
      <c r="E262" s="6">
        <v>2782000000</v>
      </c>
      <c r="F262" s="38">
        <v>323293030</v>
      </c>
      <c r="G262" s="88">
        <v>0.25</v>
      </c>
      <c r="H262" s="15"/>
      <c r="I262" s="19"/>
      <c r="J262" s="19"/>
      <c r="K262" s="90"/>
      <c r="L262" s="90"/>
      <c r="M262" s="6">
        <v>5318159000</v>
      </c>
      <c r="N262" s="6">
        <v>472452000</v>
      </c>
      <c r="O262" s="6">
        <f>Tabela3[[#This Row],[Capital Social]]*20%</f>
        <v>556400000</v>
      </c>
      <c r="P262" s="6">
        <f>IF((Tabela3[Lucro Líquido]*5%)&gt;Tabela3[Teto R. Legal],Tabela3[Teto R. Legal],Tabela3[Lucro Líquido]*5%)</f>
        <v>23622600</v>
      </c>
      <c r="Q262" s="6">
        <f>IF(Tabela3[Lucro Líquido]&lt;0,0,Tabela3[Lucro Líquido]-Tabela3[Reserva Legal])</f>
        <v>448829400</v>
      </c>
      <c r="R262" s="6">
        <f>Tabela3[[#This Row],[Lucro Distribuir]]*Tabela3[%Div]</f>
        <v>112207350</v>
      </c>
      <c r="S262" s="56">
        <f>SUMPRODUCT(N(Tabela3[Nome]=Tabela3[[#This Row],[Nome]]),Tabela3[Ações])</f>
        <v>323293030</v>
      </c>
      <c r="T262" s="6">
        <f>Tabela3[Capital Social]/Tabela3[Total Ações]</f>
        <v>8.6051963446288955</v>
      </c>
      <c r="U262" s="80">
        <f>Tabela3[[#This Row],[Lucro Líquido]]/Tabela3[[#This Row],[Total Ações]]</f>
        <v>1.4613739120821752</v>
      </c>
      <c r="V26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0.34707630411951657</v>
      </c>
      <c r="W26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0.34707630411951657</v>
      </c>
      <c r="Z262" s="6">
        <f>Tabela3[Div Base]*Tabela3[Ações]</f>
        <v>112207350</v>
      </c>
      <c r="AA262" s="6">
        <f>SUMPRODUCT(N(Tabela3[Nome]=Tabela3[[#This Row],[Nome]]),Tabela3[Div Base]*Tabela3[Ações])</f>
        <v>112207350</v>
      </c>
      <c r="AB262" s="6">
        <f>Tabela3[Patrimônio Líquido]/Tabela3[Total Ações]</f>
        <v>16.449964912636688</v>
      </c>
      <c r="AC262" s="48">
        <f>MAX(Tabela3[[#This Row],[Cotação 1]:[Cotação 4]])</f>
        <v>29.51</v>
      </c>
      <c r="AD262" s="44">
        <f>Tabela3[Cotação]/Tabela3[VPA]</f>
        <v>1.7939247990328986</v>
      </c>
      <c r="AE262" s="40">
        <f>IF(Tabela3[[#This Row],[Lucro/Ação]]&gt;0,Tabela3[[#This Row],[Cotação]]/(Tabela3[[#This Row],[Lucro/Ação]]/Tabela3[Ref]*4),0)</f>
        <v>15.144994595165224</v>
      </c>
      <c r="AF262" s="40" t="e">
        <f>IF(Tabela3[Div. Mínimo]=0,0,Tabela3[Lucro Distribuir]*#REF!/Tabela3[Total Ações])</f>
        <v>#REF!</v>
      </c>
      <c r="AG262" s="80">
        <f>Tabela3[Lucro Distribuir]/Tabela3[Total Ações]</f>
        <v>1.3883052164780663</v>
      </c>
      <c r="AH26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0.34707630411951657</v>
      </c>
      <c r="AI262" s="15" t="str">
        <f>IF(AND(Tabela3[% A.A.]&gt;=7%,SUMPRODUCT(N(Tabela3[Nome]=Tabela3[[#This Row],[Nome]]),Tabela3[PL])&gt;0),"Sim","Não")</f>
        <v>Não</v>
      </c>
      <c r="AJ262" s="42">
        <f>IF(Tabela3[Cotação]&gt;0,Tabela3[[#This Row],[Lucro]]/Tabela3[[#This Row],[Cotação]],0)</f>
        <v>1.1761311559454982E-2</v>
      </c>
      <c r="AK262" s="19">
        <f>((1+Tabela3[[#This Row],[% Yield]])^(1/(3*Tabela3[[#This Row],[Ref]])))^(12)-1</f>
        <v>1.5712408450749171E-2</v>
      </c>
      <c r="AL262" s="14">
        <f>IF(Tabela3[Cotação]&gt;0,($AS$1/Tabela3[[#This Row],[Cotação]]-MOD($AS$1/Tabela3[[#This Row],[Cotação]],100)),)</f>
        <v>0</v>
      </c>
      <c r="AM262" s="17">
        <f>Tabela3[[#This Row],[Ativos]]*Tabela3[Lucro]</f>
        <v>0</v>
      </c>
      <c r="AN262" s="5">
        <f>SUMPRODUCT(N(Tabela1[Código]=Tabela3[[#This Row],[PAPEL]]),Tabela1[Fechamento])</f>
        <v>29.51</v>
      </c>
      <c r="AO262" s="5">
        <f>SUMPRODUCT(N(Tabela17[Código]=Tabela3[[#This Row],[PAPEL]]),Tabela17[Fechamento])</f>
        <v>0</v>
      </c>
      <c r="AP262" s="7">
        <f>SUMPRODUCT(N(Tabela176[Código]=Tabela3[[#This Row],[PAPEL]]),Tabela176[Fechamento])</f>
        <v>0</v>
      </c>
      <c r="AQ262" s="7">
        <f>SUMPRODUCT(N(Tabela1768[Código]=Tabela3[[#This Row],[PAPEL]]),Tabela1768[Fechamento])</f>
        <v>0</v>
      </c>
    </row>
    <row r="263" spans="1:43" hidden="1" x14ac:dyDescent="0.2">
      <c r="A263" s="4" t="s">
        <v>323</v>
      </c>
      <c r="B263" s="57" t="s">
        <v>714</v>
      </c>
      <c r="C263" s="14" t="str">
        <f>LEFT(Tabela3[PAPEL],LEN(Tabela3[PAPEL])-(LEN(Tabela3[PAPEL])-4))</f>
        <v>PTPA</v>
      </c>
      <c r="D263" s="15">
        <v>3</v>
      </c>
      <c r="E263" s="6">
        <v>536949301.21000004</v>
      </c>
      <c r="F263" s="8">
        <v>5962454</v>
      </c>
      <c r="G263" s="83">
        <v>0.3</v>
      </c>
      <c r="H263" s="15"/>
      <c r="I263" s="19"/>
      <c r="J263" s="19"/>
      <c r="K263" s="90"/>
      <c r="L263" s="90"/>
      <c r="M263" s="6">
        <v>719118000</v>
      </c>
      <c r="N263" s="6">
        <v>53337000</v>
      </c>
      <c r="O263" s="6">
        <f>Tabela3[[#This Row],[Capital Social]]*20%</f>
        <v>107389860.24200001</v>
      </c>
      <c r="P263" s="6">
        <f>IF((Tabela3[Lucro Líquido]*5%)&gt;Tabela3[Teto R. Legal],Tabela3[Teto R. Legal],Tabela3[Lucro Líquido]*5%)</f>
        <v>2666850</v>
      </c>
      <c r="Q263" s="6">
        <f>IF(Tabela3[Lucro Líquido]&lt;0,0,Tabela3[Lucro Líquido]-Tabela3[Reserva Legal])</f>
        <v>50670150</v>
      </c>
      <c r="R263" s="6">
        <f>Tabela3[[#This Row],[Lucro Distribuir]]*Tabela3[%Div]</f>
        <v>15201045</v>
      </c>
      <c r="S263" s="56">
        <f>SUMPRODUCT(N(Tabela3[Nome]=Tabela3[[#This Row],[Nome]]),Tabela3[Ações])</f>
        <v>17887362</v>
      </c>
      <c r="T263" s="6">
        <f>Tabela3[Capital Social]/Tabela3[Total Ações]</f>
        <v>30.018361634879422</v>
      </c>
      <c r="U263" s="80">
        <f>Tabela3[[#This Row],[Lucro Líquido]]/Tabela3[[#This Row],[Total Ações]]</f>
        <v>2.9818259394537887</v>
      </c>
      <c r="V26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0.84982039274432974</v>
      </c>
      <c r="W26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0.84982039274432974</v>
      </c>
      <c r="Z263" s="6">
        <f>Tabela3[Div Base]*Tabela3[Ações]</f>
        <v>5067015</v>
      </c>
      <c r="AA263" s="6">
        <f>SUMPRODUCT(N(Tabela3[Nome]=Tabela3[[#This Row],[Nome]]),Tabela3[Div Base]*Tabela3[Ações])</f>
        <v>15201045</v>
      </c>
      <c r="AB263" s="6">
        <f>Tabela3[Patrimônio Líquido]/Tabela3[Total Ações]</f>
        <v>40.202574309168675</v>
      </c>
      <c r="AC263" s="48">
        <f>MAX(Tabela3[[#This Row],[Cotação 1]:[Cotação 4]])</f>
        <v>0</v>
      </c>
      <c r="AD263" s="44">
        <f>Tabela3[Cotação]/Tabela3[VPA]</f>
        <v>0</v>
      </c>
      <c r="AE263" s="40">
        <f>IF(Tabela3[[#This Row],[Lucro/Ação]]&gt;0,Tabela3[[#This Row],[Cotação]]/(Tabela3[[#This Row],[Lucro/Ação]]/Tabela3[Ref]*4),0)</f>
        <v>0</v>
      </c>
      <c r="AF263" s="40" t="e">
        <f>IF(Tabela3[Div. Mínimo]=0,0,Tabela3[Lucro Distribuir]*#REF!/Tabela3[Total Ações])</f>
        <v>#REF!</v>
      </c>
      <c r="AG263" s="80">
        <f>Tabela3[Lucro Distribuir]/Tabela3[Total Ações]</f>
        <v>2.8327346424810993</v>
      </c>
      <c r="AH26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0.84982039274432974</v>
      </c>
      <c r="AI263" s="15" t="str">
        <f>IF(AND(Tabela3[% A.A.]&gt;=7%,SUMPRODUCT(N(Tabela3[Nome]=Tabela3[[#This Row],[Nome]]),Tabela3[PL])&gt;0),"Sim","Não")</f>
        <v>Não</v>
      </c>
      <c r="AJ263" s="42">
        <f>IF(Tabela3[Cotação]&gt;0,Tabela3[[#This Row],[Lucro]]/Tabela3[[#This Row],[Cotação]],0)</f>
        <v>0</v>
      </c>
      <c r="AK263" s="19">
        <f>((1+Tabela3[[#This Row],[% Yield]])^(1/(3*Tabela3[[#This Row],[Ref]])))^(12)-1</f>
        <v>0</v>
      </c>
      <c r="AL263" s="14">
        <f>IF(Tabela3[Cotação]&gt;0,($AS$1/Tabela3[[#This Row],[Cotação]]-MOD($AS$1/Tabela3[[#This Row],[Cotação]],100)),)</f>
        <v>0</v>
      </c>
      <c r="AM263" s="17">
        <f>Tabela3[[#This Row],[Ativos]]*Tabela3[Lucro]</f>
        <v>0</v>
      </c>
      <c r="AN263" s="5">
        <f>SUMPRODUCT(N(Tabela1[Código]=Tabela3[[#This Row],[PAPEL]]),Tabela1[Fechamento])</f>
        <v>0</v>
      </c>
      <c r="AO263" s="5">
        <f>SUMPRODUCT(N(Tabela17[Código]=Tabela3[[#This Row],[PAPEL]]),Tabela17[Fechamento])</f>
        <v>0</v>
      </c>
      <c r="AP263" s="7">
        <f>SUMPRODUCT(N(Tabela176[Código]=Tabela3[[#This Row],[PAPEL]]),Tabela176[Fechamento])</f>
        <v>0</v>
      </c>
      <c r="AQ263" s="7">
        <f>SUMPRODUCT(N(Tabela1768[Código]=Tabela3[[#This Row],[PAPEL]]),Tabela1768[Fechamento])</f>
        <v>0</v>
      </c>
    </row>
    <row r="264" spans="1:43" hidden="1" x14ac:dyDescent="0.2">
      <c r="A264" s="4" t="s">
        <v>323</v>
      </c>
      <c r="B264" s="57" t="s">
        <v>322</v>
      </c>
      <c r="C264" s="84" t="str">
        <f>LEFT(Tabela3[PAPEL],LEN(Tabela3[PAPEL])-(LEN(Tabela3[PAPEL])-4))</f>
        <v>PTPA</v>
      </c>
      <c r="D264" s="15">
        <v>3</v>
      </c>
      <c r="E264" s="6">
        <v>536949301.21000004</v>
      </c>
      <c r="F264" s="8">
        <v>11924908</v>
      </c>
      <c r="G264" s="83">
        <v>0.3</v>
      </c>
      <c r="H264" s="15"/>
      <c r="I264" s="19"/>
      <c r="J264" s="19"/>
      <c r="K264" s="90"/>
      <c r="L264" s="90"/>
      <c r="M264" s="6">
        <v>719118000</v>
      </c>
      <c r="N264" s="6">
        <v>53337000</v>
      </c>
      <c r="O264" s="6">
        <f>Tabela3[[#This Row],[Capital Social]]*20%</f>
        <v>107389860.24200001</v>
      </c>
      <c r="P264" s="6">
        <f>IF((Tabela3[Lucro Líquido]*5%)&gt;Tabela3[Teto R. Legal],Tabela3[Teto R. Legal],Tabela3[Lucro Líquido]*5%)</f>
        <v>2666850</v>
      </c>
      <c r="Q264" s="6">
        <f>IF(Tabela3[Lucro Líquido]&lt;0,0,Tabela3[Lucro Líquido]-Tabela3[Reserva Legal])</f>
        <v>50670150</v>
      </c>
      <c r="R264" s="6">
        <f>Tabela3[[#This Row],[Lucro Distribuir]]*Tabela3[%Div]</f>
        <v>15201045</v>
      </c>
      <c r="S264" s="56">
        <f>SUMPRODUCT(N(Tabela3[Nome]=Tabela3[[#This Row],[Nome]]),Tabela3[Ações])</f>
        <v>17887362</v>
      </c>
      <c r="T264" s="6">
        <f>Tabela3[Capital Social]/Tabela3[Total Ações]</f>
        <v>30.018361634879422</v>
      </c>
      <c r="U264" s="80">
        <f>Tabela3[[#This Row],[Lucro Líquido]]/Tabela3[[#This Row],[Total Ações]]</f>
        <v>2.9818259394537887</v>
      </c>
      <c r="V26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0.84982039274432974</v>
      </c>
      <c r="W26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0.84982039274432974</v>
      </c>
      <c r="Z264" s="6">
        <f>Tabela3[Div Base]*Tabela3[Ações]</f>
        <v>10134030</v>
      </c>
      <c r="AA264" s="6">
        <f>SUMPRODUCT(N(Tabela3[Nome]=Tabela3[[#This Row],[Nome]]),Tabela3[Div Base]*Tabela3[Ações])</f>
        <v>15201045</v>
      </c>
      <c r="AB264" s="6">
        <f>Tabela3[Patrimônio Líquido]/Tabela3[Total Ações]</f>
        <v>40.202574309168675</v>
      </c>
      <c r="AC264" s="48">
        <f>MAX(Tabela3[[#This Row],[Cotação 1]:[Cotação 4]])</f>
        <v>60</v>
      </c>
      <c r="AD264" s="44">
        <f>Tabela3[Cotação]/Tabela3[VPA]</f>
        <v>1.4924417411328879</v>
      </c>
      <c r="AE264" s="40">
        <f>IF(Tabela3[[#This Row],[Lucro/Ação]]&gt;0,Tabela3[[#This Row],[Cotação]]/(Tabela3[[#This Row],[Lucro/Ação]]/Tabela3[Ref]*4),0)</f>
        <v>15.091424152089544</v>
      </c>
      <c r="AF264" s="40" t="e">
        <f>IF(Tabela3[Div. Mínimo]=0,0,Tabela3[Lucro Distribuir]*#REF!/Tabela3[Total Ações])</f>
        <v>#REF!</v>
      </c>
      <c r="AG264" s="80">
        <f>Tabela3[Lucro Distribuir]/Tabela3[Total Ações]</f>
        <v>2.8327346424810993</v>
      </c>
      <c r="AH26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0.84982039274432974</v>
      </c>
      <c r="AI264" s="15" t="str">
        <f>IF(AND(Tabela3[% A.A.]&gt;=7%,SUMPRODUCT(N(Tabela3[Nome]=Tabela3[[#This Row],[Nome]]),Tabela3[PL])&gt;0),"Sim","Não")</f>
        <v>Não</v>
      </c>
      <c r="AJ264" s="42">
        <f>IF(Tabela3[Cotação]&gt;0,Tabela3[[#This Row],[Lucro]]/Tabela3[[#This Row],[Cotação]],0)</f>
        <v>1.4163673212405496E-2</v>
      </c>
      <c r="AK264" s="19">
        <f>((1+Tabela3[[#This Row],[% Yield]])^(1/(3*Tabela3[[#This Row],[Ref]])))^(12)-1</f>
        <v>1.8929338043621291E-2</v>
      </c>
      <c r="AL264" s="14">
        <f>IF(Tabela3[Cotação]&gt;0,($AS$1/Tabela3[[#This Row],[Cotação]]-MOD($AS$1/Tabela3[[#This Row],[Cotação]],100)),)</f>
        <v>0</v>
      </c>
      <c r="AM264" s="17">
        <f>Tabela3[[#This Row],[Ativos]]*Tabela3[Lucro]</f>
        <v>0</v>
      </c>
      <c r="AN264" s="13">
        <f>SUMPRODUCT(N(Tabela1[Código]=Tabela3[[#This Row],[PAPEL]]),Tabela1[Fechamento])</f>
        <v>0</v>
      </c>
      <c r="AO264" s="55">
        <f>SUMPRODUCT(N(Tabela17[Código]=Tabela3[[#This Row],[PAPEL]]),Tabela17[Fechamento])</f>
        <v>60</v>
      </c>
      <c r="AP264" s="7">
        <f>SUMPRODUCT(N(Tabela176[Código]=Tabela3[[#This Row],[PAPEL]]),Tabela176[Fechamento])</f>
        <v>0</v>
      </c>
      <c r="AQ264" s="7">
        <f>SUMPRODUCT(N(Tabela1768[Código]=Tabela3[[#This Row],[PAPEL]]),Tabela1768[Fechamento])</f>
        <v>0</v>
      </c>
    </row>
    <row r="265" spans="1:43" hidden="1" x14ac:dyDescent="0.2">
      <c r="A265" s="4" t="s">
        <v>249</v>
      </c>
      <c r="B265" s="57" t="s">
        <v>250</v>
      </c>
      <c r="C265" s="84" t="str">
        <f>LEFT(Tabela3[PAPEL],LEN(Tabela3[PAPEL])-(LEN(Tabela3[PAPEL])-4))</f>
        <v>QGEP</v>
      </c>
      <c r="D265" s="15">
        <v>3</v>
      </c>
      <c r="E265" s="6">
        <v>2135496103.8199999</v>
      </c>
      <c r="F265" s="8">
        <v>265806905</v>
      </c>
      <c r="G265" s="88">
        <v>1.0000000000000001E-5</v>
      </c>
      <c r="H265" s="9"/>
      <c r="I265" s="9"/>
      <c r="J265" s="19"/>
      <c r="K265" s="90"/>
      <c r="L265" s="90"/>
      <c r="M265" s="6">
        <v>2384232000</v>
      </c>
      <c r="N265" s="6">
        <v>171061000</v>
      </c>
      <c r="O265" s="6">
        <f>Tabela3[[#This Row],[Capital Social]]*20%</f>
        <v>427099220.764</v>
      </c>
      <c r="P265" s="6">
        <f>IF((Tabela3[Lucro Líquido]*5%)&gt;Tabela3[Teto R. Legal],Tabela3[Teto R. Legal],Tabela3[Lucro Líquido]*5%)</f>
        <v>8553050</v>
      </c>
      <c r="Q265" s="6">
        <f>IF(Tabela3[Lucro Líquido]&lt;0,0,Tabela3[Lucro Líquido]-Tabela3[Reserva Legal])</f>
        <v>162507950</v>
      </c>
      <c r="R265" s="6">
        <f>Tabela3[[#This Row],[Lucro Distribuir]]*Tabela3[%Div]</f>
        <v>1625.0795000000001</v>
      </c>
      <c r="S265" s="56">
        <f>SUMPRODUCT(N(Tabela3[Nome]=Tabela3[[#This Row],[Nome]]),Tabela3[Ações])</f>
        <v>265806905</v>
      </c>
      <c r="T265" s="6">
        <f>Tabela3[Capital Social]/Tabela3[Total Ações]</f>
        <v>8.034012900530179</v>
      </c>
      <c r="U265" s="80">
        <f>Tabela3[[#This Row],[Lucro Líquido]]/Tabela3[[#This Row],[Total Ações]]</f>
        <v>0.64355363529777376</v>
      </c>
      <c r="V26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6.1137595353288513E-6</v>
      </c>
      <c r="W26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6.1137595353288513E-6</v>
      </c>
      <c r="Z265" s="6">
        <f>Tabela3[Div Base]*Tabela3[Ações]</f>
        <v>1625.0795000000001</v>
      </c>
      <c r="AA265" s="6">
        <f>SUMPRODUCT(N(Tabela3[Nome]=Tabela3[[#This Row],[Nome]]),Tabela3[Div Base]*Tabela3[Ações])</f>
        <v>1625.0795000000001</v>
      </c>
      <c r="AB265" s="6">
        <f>Tabela3[Patrimônio Líquido]/Tabela3[Total Ações]</f>
        <v>8.9697895545640538</v>
      </c>
      <c r="AC265" s="48">
        <f>MAX(Tabela3[[#This Row],[Cotação 1]:[Cotação 4]])</f>
        <v>8.16</v>
      </c>
      <c r="AD265" s="44">
        <f>Tabela3[Cotação]/Tabela3[VPA]</f>
        <v>0.90972033963137822</v>
      </c>
      <c r="AE265" s="40">
        <f>IF(Tabela3[[#This Row],[Lucro/Ação]]&gt;0,Tabela3[[#This Row],[Cotação]]/(Tabela3[[#This Row],[Lucro/Ação]]/Tabela3[Ref]*4),0)</f>
        <v>9.5096968835678499</v>
      </c>
      <c r="AF265" s="40" t="e">
        <f>IF(Tabela3[Div. Mínimo]=0,0,Tabela3[Lucro Distribuir]*#REF!/Tabela3[Total Ações])</f>
        <v>#REF!</v>
      </c>
      <c r="AG265" s="80">
        <f>Tabela3[Lucro Distribuir]/Tabela3[Total Ações]</f>
        <v>0.6113759535328851</v>
      </c>
      <c r="AH26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6.1137595353288513E-6</v>
      </c>
      <c r="AI265" s="15" t="str">
        <f>IF(AND(Tabela3[% A.A.]&gt;=7%,SUMPRODUCT(N(Tabela3[Nome]=Tabela3[[#This Row],[Nome]]),Tabela3[PL])&gt;0),"Sim","Não")</f>
        <v>Não</v>
      </c>
      <c r="AJ265" s="42">
        <f>IF(Tabela3[Cotação]&gt;0,Tabela3[[#This Row],[Lucro]]/Tabela3[[#This Row],[Cotação]],0)</f>
        <v>7.4923523717265336E-7</v>
      </c>
      <c r="AK265" s="19">
        <f>((1+Tabela3[[#This Row],[% Yield]])^(1/(3*Tabela3[[#This Row],[Ref]])))^(12)-1</f>
        <v>9.9898044125801277E-7</v>
      </c>
      <c r="AL265" s="14">
        <f>IF(Tabela3[Cotação]&gt;0,($AS$1/Tabela3[[#This Row],[Cotação]]-MOD($AS$1/Tabela3[[#This Row],[Cotação]],100)),)</f>
        <v>100</v>
      </c>
      <c r="AM265" s="17">
        <f>Tabela3[[#This Row],[Ativos]]*Tabela3[Lucro]</f>
        <v>6.1137595353288519E-4</v>
      </c>
      <c r="AN265" s="13">
        <f>SUMPRODUCT(N(Tabela1[Código]=Tabela3[[#This Row],[PAPEL]]),Tabela1[Fechamento])</f>
        <v>0</v>
      </c>
      <c r="AO265" s="13">
        <f>SUMPRODUCT(N(Tabela17[Código]=Tabela3[[#This Row],[PAPEL]]),Tabela17[Fechamento])</f>
        <v>8.16</v>
      </c>
      <c r="AP265" s="7">
        <f>SUMPRODUCT(N(Tabela176[Código]=Tabela3[[#This Row],[PAPEL]]),Tabela176[Fechamento])</f>
        <v>0</v>
      </c>
      <c r="AQ265" s="7">
        <f>SUMPRODUCT(N(Tabela1768[Código]=Tabela3[[#This Row],[PAPEL]]),Tabela1768[Fechamento])</f>
        <v>0</v>
      </c>
    </row>
    <row r="266" spans="1:43" hidden="1" x14ac:dyDescent="0.2">
      <c r="A266" s="4" t="s">
        <v>771</v>
      </c>
      <c r="B266" s="57" t="s">
        <v>779</v>
      </c>
      <c r="C266" s="15" t="str">
        <f>LEFT(Tabela3[PAPEL],LEN(Tabela3[PAPEL])-(LEN(Tabela3[PAPEL])-4))</f>
        <v>QUAL</v>
      </c>
      <c r="D266" s="15">
        <v>3</v>
      </c>
      <c r="E266" s="6">
        <v>1875873805.45</v>
      </c>
      <c r="F266" s="8">
        <v>266602637</v>
      </c>
      <c r="G266" s="88">
        <v>0.25</v>
      </c>
      <c r="H266" s="15"/>
      <c r="I266" s="19"/>
      <c r="J266" s="19"/>
      <c r="K266" s="90"/>
      <c r="L266" s="90"/>
      <c r="M266" s="96">
        <v>2050249000</v>
      </c>
      <c r="N266" s="97">
        <v>19889000</v>
      </c>
      <c r="O266" s="13">
        <f>Tabela3[[#This Row],[Capital Social]]*20%</f>
        <v>375174761.09000003</v>
      </c>
      <c r="P266" s="13">
        <f>IF((Tabela3[Lucro Líquido]*5%)&gt;Tabela3[Teto R. Legal],Tabela3[Teto R. Legal],Tabela3[Lucro Líquido]*5%)</f>
        <v>994450</v>
      </c>
      <c r="Q266" s="13">
        <f>IF(Tabela3[Lucro Líquido]&lt;0,0,Tabela3[Lucro Líquido]-Tabela3[Reserva Legal])</f>
        <v>18894550</v>
      </c>
      <c r="R266" s="13">
        <f>Tabela3[[#This Row],[Lucro Distribuir]]*Tabela3[%Div]</f>
        <v>4723637.5</v>
      </c>
      <c r="S266" s="56">
        <f>SUMPRODUCT(N(Tabela3[Nome]=Tabela3[[#This Row],[Nome]]),Tabela3[Ações])</f>
        <v>266602637</v>
      </c>
      <c r="T266" s="6">
        <f>Tabela3[Capital Social]/Tabela3[Total Ações]</f>
        <v>7.0362162451153853</v>
      </c>
      <c r="U266" s="80">
        <f>Tabela3[[#This Row],[Lucro Líquido]]/Tabela3[[#This Row],[Total Ações]]</f>
        <v>7.4601662698482604E-2</v>
      </c>
      <c r="V26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1.771789489088962E-2</v>
      </c>
      <c r="W26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1.771789489088962E-2</v>
      </c>
      <c r="Z266" s="13">
        <f>Tabela3[Div Base]*Tabela3[Ações]</f>
        <v>4723637.5</v>
      </c>
      <c r="AA266" s="13">
        <f>SUMPRODUCT(N(Tabela3[Nome]=Tabela3[[#This Row],[Nome]]),Tabela3[Div Base]*Tabela3[Ações])</f>
        <v>4723637.5</v>
      </c>
      <c r="AB266" s="95">
        <f>Tabela3[Patrimônio Líquido]/Tabela3[Total Ações]</f>
        <v>7.6902802728091544</v>
      </c>
      <c r="AC266" s="48">
        <f>MAX(Tabela3[[#This Row],[Cotação 1]:[Cotação 4]])</f>
        <v>20.47</v>
      </c>
      <c r="AD266" s="44">
        <f>Tabela3[Cotação]/Tabela3[VPA]</f>
        <v>2.6618015564889923</v>
      </c>
      <c r="AE266" s="40">
        <f>IF(Tabela3[[#This Row],[Lucro/Ação]]&gt;0,Tabela3[[#This Row],[Cotação]]/(Tabela3[[#This Row],[Lucro/Ação]]/Tabela3[Ref]*4),0)</f>
        <v>205.79300037922974</v>
      </c>
      <c r="AF266" s="91" t="e">
        <f>IF(Tabela3[Div. Mínimo]=0,0,Tabela3[Lucro Distribuir]*#REF!/Tabela3[Total Ações])</f>
        <v>#REF!</v>
      </c>
      <c r="AG266" s="80">
        <f>Tabela3[Lucro Distribuir]/Tabela3[Total Ações]</f>
        <v>7.0871579563558482E-2</v>
      </c>
      <c r="AH26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1.771789489088962E-2</v>
      </c>
      <c r="AI266" s="14" t="str">
        <f>IF(AND(Tabela3[% A.A.]&gt;=7%,SUMPRODUCT(N(Tabela3[Nome]=Tabela3[[#This Row],[Nome]]),Tabela3[PL])&gt;0),"Sim","Não")</f>
        <v>Não</v>
      </c>
      <c r="AJ266" s="42">
        <f>IF(Tabela3[Cotação]&gt;0,Tabela3[[#This Row],[Lucro]]/Tabela3[[#This Row],[Cotação]],0)</f>
        <v>8.6555422036588281E-4</v>
      </c>
      <c r="AK266" s="42">
        <f>((1+Tabela3[[#This Row],[% Yield]])^(1/(3*Tabela3[[#This Row],[Ref]])))^(12)-1</f>
        <v>1.1542387471663584E-3</v>
      </c>
      <c r="AL266" s="14">
        <f>IF(Tabela3[Cotação]&gt;0,($AS$1/Tabela3[[#This Row],[Cotação]]-MOD($AS$1/Tabela3[[#This Row],[Cotação]],100)),)</f>
        <v>0</v>
      </c>
      <c r="AM266" s="17">
        <f>Tabela3[[#This Row],[Ativos]]*Tabela3[Lucro]</f>
        <v>0</v>
      </c>
      <c r="AN266" s="17">
        <f>SUMPRODUCT(N(Tabela1[Código]=Tabela3[[#This Row],[PAPEL]]),Tabela1[Fechamento])</f>
        <v>0</v>
      </c>
      <c r="AO266" s="17">
        <f>SUMPRODUCT(N(Tabela17[Código]=Tabela3[[#This Row],[PAPEL]]),Tabela17[Fechamento])</f>
        <v>0</v>
      </c>
      <c r="AP266" s="17">
        <f>SUMPRODUCT(N(Tabela176[Código]=Tabela3[[#This Row],[PAPEL]]),Tabela176[Fechamento])</f>
        <v>20.47</v>
      </c>
      <c r="AQ266" s="17">
        <f>SUMPRODUCT(N(Tabela1768[Código]=Tabela3[[#This Row],[PAPEL]]),Tabela1768[Fechamento])</f>
        <v>0</v>
      </c>
    </row>
    <row r="267" spans="1:43" hidden="1" x14ac:dyDescent="0.2">
      <c r="A267" s="3" t="s">
        <v>942</v>
      </c>
      <c r="B267" s="58" t="s">
        <v>941</v>
      </c>
      <c r="C267" s="16" t="str">
        <f>LEFT(Tabela3[PAPEL],LEN(Tabela3[PAPEL])-(LEN(Tabela3[PAPEL])-4))</f>
        <v>RADL</v>
      </c>
      <c r="D267" s="16">
        <v>3</v>
      </c>
      <c r="E267" s="5">
        <v>908639254.57000005</v>
      </c>
      <c r="F267" s="56">
        <v>330386000</v>
      </c>
      <c r="G267" s="83">
        <v>0.25</v>
      </c>
      <c r="H267" s="89"/>
      <c r="I267" s="18"/>
      <c r="K267" s="16"/>
      <c r="L267" s="89"/>
      <c r="M267" s="94">
        <v>2304867000</v>
      </c>
      <c r="N267" s="73">
        <v>73167000</v>
      </c>
      <c r="O267" s="7">
        <f>Tabela3[[#This Row],[Capital Social]]*20%</f>
        <v>181727850.91400003</v>
      </c>
      <c r="P267" s="47">
        <f>IF((Tabela3[Lucro Líquido]*5%)&gt;Tabela3[Teto R. Legal],Tabela3[Teto R. Legal],Tabela3[Lucro Líquido]*5%)</f>
        <v>3658350</v>
      </c>
      <c r="Q267" s="47">
        <f>IF(Tabela3[Lucro Líquido]&lt;0,0,Tabela3[Lucro Líquido]-Tabela3[Reserva Legal])</f>
        <v>69508650</v>
      </c>
      <c r="R267" s="47">
        <f>Tabela3[[#This Row],[Lucro Distribuir]]*Tabela3[%Div]</f>
        <v>17377162.5</v>
      </c>
      <c r="S267" s="56">
        <f>SUMPRODUCT(N(Tabela3[Nome]=Tabela3[[#This Row],[Nome]]),Tabela3[Ações])</f>
        <v>330386000</v>
      </c>
      <c r="T267" s="87">
        <f>Tabela3[Capital Social]/Tabela3[Total Ações]</f>
        <v>2.7502353446271939</v>
      </c>
      <c r="U267" s="87">
        <f>Tabela3[[#This Row],[Lucro Líquido]]/Tabela3[[#This Row],[Total Ações]]</f>
        <v>0.22145914173118716</v>
      </c>
      <c r="V26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5.259654616115695E-2</v>
      </c>
      <c r="W26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5.259654616115695E-2</v>
      </c>
      <c r="Z267" s="7">
        <f>Tabela3[Div Base]*Tabela3[Ações]</f>
        <v>17377162.5</v>
      </c>
      <c r="AA267" s="7">
        <f>SUMPRODUCT(N(Tabela3[Nome]=Tabela3[[#This Row],[Nome]]),Tabela3[Div Base]*Tabela3[Ações])</f>
        <v>17377162.5</v>
      </c>
      <c r="AB267" s="74">
        <f>Tabela3[Patrimônio Líquido]/Tabela3[Total Ações]</f>
        <v>6.9762853147530466</v>
      </c>
      <c r="AC267" s="52">
        <f>MAX(Tabela3[[#This Row],[Cotação 1]:[Cotação 4]])</f>
        <v>14.25</v>
      </c>
      <c r="AD267" s="53">
        <f>Tabela3[Cotação]/Tabela3[VPA]</f>
        <v>2.0426343472313153</v>
      </c>
      <c r="AE267" s="37">
        <f>IF(Tabela3[[#This Row],[Lucro/Ação]]&gt;0,Tabela3[[#This Row],[Cotação]]/(Tabela3[[#This Row],[Lucro/Ação]]/Tabela3[Ref]*4),0)</f>
        <v>48.259466357784241</v>
      </c>
      <c r="AF267" s="59" t="e">
        <f>IF(Tabela3[Div. Mínimo]=0,0,Tabela3[Lucro Distribuir]*#REF!/Tabela3[Total Ações])</f>
        <v>#REF!</v>
      </c>
      <c r="AG267" s="87">
        <f>Tabela3[Lucro Distribuir]/Tabela3[Total Ações]</f>
        <v>0.2103861846446278</v>
      </c>
      <c r="AH26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5.259654616115695E-2</v>
      </c>
      <c r="AI267" s="10" t="str">
        <f>IF(AND(Tabela3[% A.A.]&gt;=7%,SUMPRODUCT(N(Tabela3[Nome]=Tabela3[[#This Row],[Nome]]),Tabela3[PL])&gt;0),"Sim","Não")</f>
        <v>Não</v>
      </c>
      <c r="AJ267" s="22">
        <f>IF(Tabela3[Cotação]&gt;0,Tabela3[[#This Row],[Lucro]]/Tabela3[[#This Row],[Cotação]],0)</f>
        <v>3.6909856955197858E-3</v>
      </c>
      <c r="AK267" s="22">
        <f>((1+Tabela3[[#This Row],[% Yield]])^(1/(3*Tabela3[[#This Row],[Ref]])))^(12)-1</f>
        <v>4.9243391981168561E-3</v>
      </c>
      <c r="AL267" s="10">
        <f>IF(Tabela3[Cotação]&gt;0,($AS$1/Tabela3[[#This Row],[Cotação]]-MOD($AS$1/Tabela3[[#This Row],[Cotação]],100)),)</f>
        <v>0</v>
      </c>
      <c r="AM267" s="7">
        <f>Tabela3[[#This Row],[Ativos]]*Tabela3[Lucro]</f>
        <v>0</v>
      </c>
      <c r="AN267" s="7">
        <f>SUMPRODUCT(N(Tabela1[Código]=Tabela3[[#This Row],[PAPEL]]),Tabela1[Fechamento])</f>
        <v>0</v>
      </c>
      <c r="AO267" s="7">
        <f>SUMPRODUCT(N(Tabela17[Código]=Tabela3[[#This Row],[PAPEL]]),Tabela17[Fechamento])</f>
        <v>0</v>
      </c>
      <c r="AP267" s="7">
        <f>SUMPRODUCT(N(Tabela176[Código]=Tabela3[[#This Row],[PAPEL]]),Tabela176[Fechamento])</f>
        <v>14.25</v>
      </c>
      <c r="AQ267" s="7">
        <f>SUMPRODUCT(N(Tabela1768[Código]=Tabela3[[#This Row],[PAPEL]]),Tabela1768[Fechamento])</f>
        <v>0</v>
      </c>
    </row>
    <row r="268" spans="1:43" hidden="1" x14ac:dyDescent="0.2">
      <c r="A268" s="4" t="s">
        <v>19</v>
      </c>
      <c r="B268" s="57" t="s">
        <v>188</v>
      </c>
      <c r="C268" s="14" t="str">
        <f>LEFT(Tabela3[PAPEL],LEN(Tabela3[PAPEL])-(LEN(Tabela3[PAPEL])-4))</f>
        <v>RANI</v>
      </c>
      <c r="D268" s="15">
        <v>3</v>
      </c>
      <c r="E268" s="6">
        <v>116894847.81</v>
      </c>
      <c r="F268" s="8">
        <v>153909975</v>
      </c>
      <c r="G268" s="83">
        <v>0.25</v>
      </c>
      <c r="H268" s="15"/>
      <c r="I268" s="19"/>
      <c r="J268" s="19"/>
      <c r="K268" s="90"/>
      <c r="L268" s="90"/>
      <c r="M268" s="6">
        <v>460223000</v>
      </c>
      <c r="N268" s="6">
        <v>24584000</v>
      </c>
      <c r="O268" s="6">
        <f>Tabela3[[#This Row],[Capital Social]]*20%</f>
        <v>23378969.562000003</v>
      </c>
      <c r="P268" s="6">
        <f>IF((Tabela3[Lucro Líquido]*5%)&gt;Tabela3[Teto R. Legal],Tabela3[Teto R. Legal],Tabela3[Lucro Líquido]*5%)</f>
        <v>1229200</v>
      </c>
      <c r="Q268" s="6">
        <f>IF(Tabela3[Lucro Líquido]&lt;0,0,Tabela3[Lucro Líquido]-Tabela3[Reserva Legal])</f>
        <v>23354800</v>
      </c>
      <c r="R268" s="6">
        <f>Tabela3[[#This Row],[Lucro Distribuir]]*Tabela3[%Div]</f>
        <v>5838700</v>
      </c>
      <c r="S268" s="56">
        <f>SUMPRODUCT(N(Tabela3[Nome]=Tabela3[[#This Row],[Nome]]),Tabela3[Ações])</f>
        <v>166720235</v>
      </c>
      <c r="T268" s="6">
        <f>Tabela3[Capital Social]/Tabela3[Total Ações]</f>
        <v>0.70114373225301663</v>
      </c>
      <c r="U268" s="80">
        <f>Tabela3[[#This Row],[Lucro Líquido]]/Tabela3[[#This Row],[Total Ações]]</f>
        <v>0.14745660597227445</v>
      </c>
      <c r="V26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3.5020943918415183E-2</v>
      </c>
      <c r="W26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3.5020943918415183E-2</v>
      </c>
      <c r="Z268" s="6">
        <f>Tabela3[Div Base]*Tabela3[Ações]</f>
        <v>5390072.6029596832</v>
      </c>
      <c r="AA268" s="6">
        <f>SUMPRODUCT(N(Tabela3[Nome]=Tabela3[[#This Row],[Nome]]),Tabela3[Div Base]*Tabela3[Ações])</f>
        <v>5838700</v>
      </c>
      <c r="AB268" s="6">
        <f>Tabela3[Patrimônio Líquido]/Tabela3[Total Ações]</f>
        <v>2.760450763520097</v>
      </c>
      <c r="AC268" s="48">
        <f>MAX(Tabela3[[#This Row],[Cotação 1]:[Cotação 4]])</f>
        <v>3.32</v>
      </c>
      <c r="AD268" s="44">
        <f>Tabela3[Cotação]/Tabela3[VPA]</f>
        <v>1.202702125274052</v>
      </c>
      <c r="AE268" s="40">
        <f>IF(Tabela3[[#This Row],[Lucro/Ação]]&gt;0,Tabela3[[#This Row],[Cotação]]/(Tabela3[[#This Row],[Lucro/Ação]]/Tabela3[Ref]*4),0)</f>
        <v>16.886323834607875</v>
      </c>
      <c r="AF268" s="40" t="e">
        <f>IF(Tabela3[Div. Mínimo]=0,0,Tabela3[Lucro Distribuir]*#REF!/Tabela3[Total Ações])</f>
        <v>#REF!</v>
      </c>
      <c r="AG268" s="80">
        <f>Tabela3[Lucro Distribuir]/Tabela3[Total Ações]</f>
        <v>0.14008377567366073</v>
      </c>
      <c r="AH26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3.5020943918415183E-2</v>
      </c>
      <c r="AI268" s="15" t="str">
        <f>IF(AND(Tabela3[% A.A.]&gt;=7%,SUMPRODUCT(N(Tabela3[Nome]=Tabela3[[#This Row],[Nome]]),Tabela3[PL])&gt;0),"Sim","Não")</f>
        <v>Não</v>
      </c>
      <c r="AJ268" s="42">
        <f>IF(Tabela3[Cotação]&gt;0,Tabela3[[#This Row],[Lucro]]/Tabela3[[#This Row],[Cotação]],0)</f>
        <v>1.0548477083859996E-2</v>
      </c>
      <c r="AK268" s="19">
        <f>((1+Tabela3[[#This Row],[% Yield]])^(1/(3*Tabela3[[#This Row],[Ref]])))^(12)-1</f>
        <v>1.4089305151644638E-2</v>
      </c>
      <c r="AL268" s="14">
        <f>IF(Tabela3[Cotação]&gt;0,($AS$1/Tabela3[[#This Row],[Cotação]]-MOD($AS$1/Tabela3[[#This Row],[Cotação]],100)),)</f>
        <v>300</v>
      </c>
      <c r="AM268" s="17">
        <f>Tabela3[[#This Row],[Ativos]]*Tabela3[Lucro]</f>
        <v>10.506283175524555</v>
      </c>
      <c r="AN268" s="5">
        <f>SUMPRODUCT(N(Tabela1[Código]=Tabela3[[#This Row],[PAPEL]]),Tabela1[Fechamento])</f>
        <v>3.32</v>
      </c>
      <c r="AO268" s="5">
        <f>SUMPRODUCT(N(Tabela17[Código]=Tabela3[[#This Row],[PAPEL]]),Tabela17[Fechamento])</f>
        <v>0</v>
      </c>
      <c r="AP268" s="7">
        <f>SUMPRODUCT(N(Tabela176[Código]=Tabela3[[#This Row],[PAPEL]]),Tabela176[Fechamento])</f>
        <v>0</v>
      </c>
      <c r="AQ268" s="7">
        <f>SUMPRODUCT(N(Tabela1768[Código]=Tabela3[[#This Row],[PAPEL]]),Tabela1768[Fechamento])</f>
        <v>0</v>
      </c>
    </row>
    <row r="269" spans="1:43" hidden="1" x14ac:dyDescent="0.2">
      <c r="A269" s="4" t="s">
        <v>19</v>
      </c>
      <c r="B269" s="57" t="s">
        <v>189</v>
      </c>
      <c r="C269" s="14" t="str">
        <f>LEFT(Tabela3[PAPEL],LEN(Tabela3[PAPEL])-(LEN(Tabela3[PAPEL])-4))</f>
        <v>RANI</v>
      </c>
      <c r="D269" s="15">
        <v>3</v>
      </c>
      <c r="E269" s="6">
        <v>116894847.81</v>
      </c>
      <c r="F269" s="8">
        <v>12810260</v>
      </c>
      <c r="G269" s="88">
        <v>0.25</v>
      </c>
      <c r="H269" s="15"/>
      <c r="I269" s="19"/>
      <c r="J269" s="19"/>
      <c r="K269" s="90"/>
      <c r="L269" s="90"/>
      <c r="M269" s="6">
        <v>460223000</v>
      </c>
      <c r="N269" s="6">
        <v>24584000</v>
      </c>
      <c r="O269" s="6">
        <f>Tabela3[[#This Row],[Capital Social]]*20%</f>
        <v>23378969.562000003</v>
      </c>
      <c r="P269" s="6">
        <f>IF((Tabela3[Lucro Líquido]*5%)&gt;Tabela3[Teto R. Legal],Tabela3[Teto R. Legal],Tabela3[Lucro Líquido]*5%)</f>
        <v>1229200</v>
      </c>
      <c r="Q269" s="6">
        <f>IF(Tabela3[Lucro Líquido]&lt;0,0,Tabela3[Lucro Líquido]-Tabela3[Reserva Legal])</f>
        <v>23354800</v>
      </c>
      <c r="R269" s="6">
        <f>Tabela3[[#This Row],[Lucro Distribuir]]*Tabela3[%Div]</f>
        <v>5838700</v>
      </c>
      <c r="S269" s="56">
        <f>SUMPRODUCT(N(Tabela3[Nome]=Tabela3[[#This Row],[Nome]]),Tabela3[Ações])</f>
        <v>166720235</v>
      </c>
      <c r="T269" s="6">
        <f>Tabela3[Capital Social]/Tabela3[Total Ações]</f>
        <v>0.70114373225301663</v>
      </c>
      <c r="U269" s="80">
        <f>Tabela3[[#This Row],[Lucro Líquido]]/Tabela3[[#This Row],[Total Ações]]</f>
        <v>0.14745660597227445</v>
      </c>
      <c r="V26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3.5020943918415183E-2</v>
      </c>
      <c r="W26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6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6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3.5020943918415183E-2</v>
      </c>
      <c r="Z269" s="6">
        <f>Tabela3[Div Base]*Tabela3[Ações]</f>
        <v>448627.3970403173</v>
      </c>
      <c r="AA269" s="6">
        <f>SUMPRODUCT(N(Tabela3[Nome]=Tabela3[[#This Row],[Nome]]),Tabela3[Div Base]*Tabela3[Ações])</f>
        <v>5838700</v>
      </c>
      <c r="AB269" s="6">
        <f>Tabela3[Patrimônio Líquido]/Tabela3[Total Ações]</f>
        <v>2.760450763520097</v>
      </c>
      <c r="AC269" s="48">
        <f>MAX(Tabela3[[#This Row],[Cotação 1]:[Cotação 4]])</f>
        <v>3.68</v>
      </c>
      <c r="AD269" s="44">
        <f>Tabela3[Cotação]/Tabela3[VPA]</f>
        <v>1.3331156087375033</v>
      </c>
      <c r="AE269" s="40">
        <f>IF(Tabela3[[#This Row],[Lucro/Ação]]&gt;0,Tabela3[[#This Row],[Cotação]]/(Tabela3[[#This Row],[Lucro/Ação]]/Tabela3[Ref]*4),0)</f>
        <v>18.717370997396682</v>
      </c>
      <c r="AF269" s="40" t="e">
        <f>IF(Tabela3[Div. Mínimo]=0,0,Tabela3[Lucro Distribuir]*#REF!/Tabela3[Total Ações])</f>
        <v>#REF!</v>
      </c>
      <c r="AG269" s="80">
        <f>Tabela3[Lucro Distribuir]/Tabela3[Total Ações]</f>
        <v>0.14008377567366073</v>
      </c>
      <c r="AH26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3.5020943918415183E-2</v>
      </c>
      <c r="AI269" s="15" t="str">
        <f>IF(AND(Tabela3[% A.A.]&gt;=7%,SUMPRODUCT(N(Tabela3[Nome]=Tabela3[[#This Row],[Nome]]),Tabela3[PL])&gt;0),"Sim","Não")</f>
        <v>Não</v>
      </c>
      <c r="AJ269" s="42">
        <f>IF(Tabela3[Cotação]&gt;0,Tabela3[[#This Row],[Lucro]]/Tabela3[[#This Row],[Cotação]],0)</f>
        <v>9.5165608473954302E-3</v>
      </c>
      <c r="AK269" s="19">
        <f>((1+Tabela3[[#This Row],[% Yield]])^(1/(3*Tabela3[[#This Row],[Ref]])))^(12)-1</f>
        <v>1.2708830943205074E-2</v>
      </c>
      <c r="AL269" s="14">
        <f>IF(Tabela3[Cotação]&gt;0,($AS$1/Tabela3[[#This Row],[Cotação]]-MOD($AS$1/Tabela3[[#This Row],[Cotação]],100)),)</f>
        <v>200</v>
      </c>
      <c r="AM269" s="17">
        <f>Tabela3[[#This Row],[Ativos]]*Tabela3[Lucro]</f>
        <v>7.0041887836830368</v>
      </c>
      <c r="AN269" s="5">
        <f>SUMPRODUCT(N(Tabela1[Código]=Tabela3[[#This Row],[PAPEL]]),Tabela1[Fechamento])</f>
        <v>3.68</v>
      </c>
      <c r="AO269" s="5">
        <f>SUMPRODUCT(N(Tabela17[Código]=Tabela3[[#This Row],[PAPEL]]),Tabela17[Fechamento])</f>
        <v>0</v>
      </c>
      <c r="AP269" s="7">
        <f>SUMPRODUCT(N(Tabela176[Código]=Tabela3[[#This Row],[PAPEL]]),Tabela176[Fechamento])</f>
        <v>0</v>
      </c>
      <c r="AQ269" s="7">
        <f>SUMPRODUCT(N(Tabela1768[Código]=Tabela3[[#This Row],[PAPEL]]),Tabela1768[Fechamento])</f>
        <v>0</v>
      </c>
    </row>
    <row r="270" spans="1:43" hidden="1" x14ac:dyDescent="0.2">
      <c r="A270" s="4" t="s">
        <v>12</v>
      </c>
      <c r="B270" s="60" t="s">
        <v>65</v>
      </c>
      <c r="C270" s="14" t="str">
        <f>LEFT(Tabela3[PAPEL],LEN(Tabela3[PAPEL])-(LEN(Tabela3[PAPEL])-4))</f>
        <v>RDTR</v>
      </c>
      <c r="D270" s="15">
        <v>3</v>
      </c>
      <c r="E270" s="6">
        <v>250576343.34</v>
      </c>
      <c r="F270" s="8">
        <v>108480828</v>
      </c>
      <c r="G270" s="83">
        <v>0.25</v>
      </c>
      <c r="H270" s="15"/>
      <c r="I270" s="19"/>
      <c r="J270" s="19"/>
      <c r="K270" s="90"/>
      <c r="L270" s="90"/>
      <c r="M270" s="92">
        <v>463367000</v>
      </c>
      <c r="N270" s="92">
        <v>59974000</v>
      </c>
      <c r="O270" s="6">
        <f>Tabela3[[#This Row],[Capital Social]]*20%</f>
        <v>50115268.668000005</v>
      </c>
      <c r="P270" s="6">
        <f>IF((Tabela3[Lucro Líquido]*5%)&gt;Tabela3[Teto R. Legal],Tabela3[Teto R. Legal],Tabela3[Lucro Líquido]*5%)</f>
        <v>2998700</v>
      </c>
      <c r="Q270" s="92">
        <f>IF(Tabela3[Lucro Líquido]&lt;0,0,Tabela3[Lucro Líquido]-Tabela3[Reserva Legal])</f>
        <v>56975300</v>
      </c>
      <c r="R270" s="92">
        <f>Tabela3[[#This Row],[Lucro Distribuir]]*Tabela3[%Div]</f>
        <v>14243825</v>
      </c>
      <c r="S270" s="56">
        <f>SUMPRODUCT(N(Tabela3[Nome]=Tabela3[[#This Row],[Nome]]),Tabela3[Ações])</f>
        <v>108480828</v>
      </c>
      <c r="T270" s="6">
        <f>Tabela3[Capital Social]/Tabela3[Total Ações]</f>
        <v>2.3098675402809428</v>
      </c>
      <c r="U270" s="80">
        <f>Tabela3[[#This Row],[Lucro Líquido]]/Tabela3[[#This Row],[Total Ações]]</f>
        <v>0.55285344982801943</v>
      </c>
      <c r="V27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0.13130269433415459</v>
      </c>
      <c r="W27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0.13130269433415459</v>
      </c>
      <c r="Z270" s="6">
        <f>Tabela3[Div Base]*Tabela3[Ações]</f>
        <v>14243824.999999998</v>
      </c>
      <c r="AA270" s="6">
        <f>SUMPRODUCT(N(Tabela3[Nome]=Tabela3[[#This Row],[Nome]]),Tabela3[Div Base]*Tabela3[Ações])</f>
        <v>14243824.999999998</v>
      </c>
      <c r="AB270" s="92">
        <f>Tabela3[Patrimônio Líquido]/Tabela3[Total Ações]</f>
        <v>4.2714183560619574</v>
      </c>
      <c r="AC270" s="48">
        <f>MAX(Tabela3[[#This Row],[Cotação 1]:[Cotação 4]])</f>
        <v>5.55</v>
      </c>
      <c r="AD270" s="44">
        <f>Tabela3[Cotação]/Tabela3[VPA]</f>
        <v>1.2993342111112791</v>
      </c>
      <c r="AE270" s="40">
        <f>IF(Tabela3[[#This Row],[Lucro/Ação]]&gt;0,Tabela3[[#This Row],[Cotação]]/(Tabela3[[#This Row],[Lucro/Ação]]/Tabela3[Ref]*4),0)</f>
        <v>7.5291200611931828</v>
      </c>
      <c r="AF270" s="40" t="e">
        <f>IF(Tabela3[Div. Mínimo]=0,0,Tabela3[Lucro Distribuir]*#REF!/Tabela3[Total Ações])</f>
        <v>#REF!</v>
      </c>
      <c r="AG270" s="80">
        <f>Tabela3[Lucro Distribuir]/Tabela3[Total Ações]</f>
        <v>0.52521077733661836</v>
      </c>
      <c r="AH27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0.13130269433415459</v>
      </c>
      <c r="AI270" s="14" t="str">
        <f>IF(AND(Tabela3[% A.A.]&gt;=7%,SUMPRODUCT(N(Tabela3[Nome]=Tabela3[[#This Row],[Nome]]),Tabela3[PL])&gt;0),"Sim","Não")</f>
        <v>Não</v>
      </c>
      <c r="AJ270" s="42">
        <f>IF(Tabela3[Cotação]&gt;0,Tabela3[[#This Row],[Lucro]]/Tabela3[[#This Row],[Cotação]],0)</f>
        <v>2.3658143123271098E-2</v>
      </c>
      <c r="AK270" s="19">
        <f>((1+Tabela3[[#This Row],[% Yield]])^(1/(3*Tabela3[[#This Row],[Ref]])))^(12)-1</f>
        <v>3.1667922785261204E-2</v>
      </c>
      <c r="AL270" s="14">
        <f>IF(Tabela3[Cotação]&gt;0,($AS$1/Tabela3[[#This Row],[Cotação]]-MOD($AS$1/Tabela3[[#This Row],[Cotação]],100)),)</f>
        <v>100</v>
      </c>
      <c r="AM270" s="17">
        <f>Tabela3[[#This Row],[Ativos]]*Tabela3[Lucro]</f>
        <v>13.130269433415458</v>
      </c>
      <c r="AN270" s="5">
        <f>SUMPRODUCT(N(Tabela1[Código]=Tabela3[[#This Row],[PAPEL]]),Tabela1[Fechamento])</f>
        <v>5.55</v>
      </c>
      <c r="AO270" s="5">
        <f>SUMPRODUCT(N(Tabela17[Código]=Tabela3[[#This Row],[PAPEL]]),Tabela17[Fechamento])</f>
        <v>0</v>
      </c>
      <c r="AP270" s="7">
        <f>SUMPRODUCT(N(Tabela176[Código]=Tabela3[[#This Row],[PAPEL]]),Tabela176[Fechamento])</f>
        <v>0</v>
      </c>
      <c r="AQ270" s="7">
        <f>SUMPRODUCT(N(Tabela1768[Código]=Tabela3[[#This Row],[PAPEL]]),Tabela1768[Fechamento])</f>
        <v>0</v>
      </c>
    </row>
    <row r="271" spans="1:43" hidden="1" x14ac:dyDescent="0.2">
      <c r="A271" s="4" t="s">
        <v>12</v>
      </c>
      <c r="B271" s="57" t="s">
        <v>519</v>
      </c>
      <c r="C271" s="15" t="str">
        <f>LEFT(Tabela3[PAPEL],LEN(Tabela3[PAPEL])-(LEN(Tabela3[PAPEL])-4))</f>
        <v>REDE</v>
      </c>
      <c r="D271" s="15">
        <v>3</v>
      </c>
      <c r="E271" s="6">
        <v>1343973941.3399999</v>
      </c>
      <c r="F271" s="8">
        <v>294109630</v>
      </c>
      <c r="G271" s="88">
        <v>0.25</v>
      </c>
      <c r="H271" s="15"/>
      <c r="I271" s="19"/>
      <c r="J271" s="19"/>
      <c r="K271" s="90"/>
      <c r="L271" s="90"/>
      <c r="M271" s="96">
        <v>-169584000</v>
      </c>
      <c r="N271" s="97">
        <v>-121954000</v>
      </c>
      <c r="O271" s="13">
        <f>Tabela3[[#This Row],[Capital Social]]*20%</f>
        <v>268794788.26800001</v>
      </c>
      <c r="P271" s="13">
        <f>IF((Tabela3[Lucro Líquido]*5%)&gt;Tabela3[Teto R. Legal],Tabela3[Teto R. Legal],Tabela3[Lucro Líquido]*5%)</f>
        <v>-6097700</v>
      </c>
      <c r="Q271" s="13">
        <f>IF(Tabela3[Lucro Líquido]&lt;0,0,Tabela3[Lucro Líquido]-Tabela3[Reserva Legal])</f>
        <v>0</v>
      </c>
      <c r="R271" s="13">
        <f>Tabela3[[#This Row],[Lucro Distribuir]]*Tabela3[%Div]</f>
        <v>0</v>
      </c>
      <c r="S271" s="56">
        <f>SUMPRODUCT(N(Tabela3[Nome]=Tabela3[[#This Row],[Nome]]),Tabela3[Ações])</f>
        <v>426591684</v>
      </c>
      <c r="T271" s="6">
        <f>Tabela3[Capital Social]/Tabela3[Total Ações]</f>
        <v>3.1504925945532496</v>
      </c>
      <c r="U271" s="80">
        <f>Tabela3[[#This Row],[Lucro Líquido]]/Tabela3[[#This Row],[Total Ações]]</f>
        <v>-0.28587992821725988</v>
      </c>
      <c r="V27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1" s="13">
        <f>Tabela3[Div Base]*Tabela3[Ações]</f>
        <v>0</v>
      </c>
      <c r="AA271" s="13">
        <f>SUMPRODUCT(N(Tabela3[Nome]=Tabela3[[#This Row],[Nome]]),Tabela3[Div Base]*Tabela3[Ações])</f>
        <v>0</v>
      </c>
      <c r="AB271" s="95">
        <f>Tabela3[Patrimônio Líquido]/Tabela3[Total Ações]</f>
        <v>-0.39753236258585856</v>
      </c>
      <c r="AC271" s="48">
        <f>MAX(Tabela3[[#This Row],[Cotação 1]:[Cotação 4]])</f>
        <v>1.01</v>
      </c>
      <c r="AD271" s="44">
        <f>Tabela3[Cotação]/Tabela3[VPA]</f>
        <v>-2.5406736534106993</v>
      </c>
      <c r="AE271" s="40">
        <f>IF(Tabela3[[#This Row],[Lucro/Ação]]&gt;0,Tabela3[[#This Row],[Cotação]]/(Tabela3[[#This Row],[Lucro/Ação]]/Tabela3[Ref]*4),0)</f>
        <v>0</v>
      </c>
      <c r="AF271" s="91">
        <f>IF(Tabela3[Div. Mínimo]=0,0,Tabela3[Lucro Distribuir]*#REF!/Tabela3[Total Ações])</f>
        <v>0</v>
      </c>
      <c r="AG271" s="80">
        <f>Tabela3[Lucro Distribuir]/Tabela3[Total Ações]</f>
        <v>0</v>
      </c>
      <c r="AH27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1" s="14" t="str">
        <f>IF(AND(Tabela3[% A.A.]&gt;=7%,SUMPRODUCT(N(Tabela3[Nome]=Tabela3[[#This Row],[Nome]]),Tabela3[PL])&gt;0),"Sim","Não")</f>
        <v>Não</v>
      </c>
      <c r="AJ271" s="42">
        <f>IF(Tabela3[Cotação]&gt;0,Tabela3[[#This Row],[Lucro]]/Tabela3[[#This Row],[Cotação]],0)</f>
        <v>0</v>
      </c>
      <c r="AK271" s="42">
        <f>((1+Tabela3[[#This Row],[% Yield]])^(1/(3*Tabela3[[#This Row],[Ref]])))^(12)-1</f>
        <v>0</v>
      </c>
      <c r="AL271" s="14">
        <f>IF(Tabela3[Cotação]&gt;0,($AS$1/Tabela3[[#This Row],[Cotação]]-MOD($AS$1/Tabela3[[#This Row],[Cotação]],100)),)</f>
        <v>900</v>
      </c>
      <c r="AM271" s="17">
        <f>Tabela3[[#This Row],[Ativos]]*Tabela3[Lucro]</f>
        <v>0</v>
      </c>
      <c r="AN271" s="17">
        <f>SUMPRODUCT(N(Tabela1[Código]=Tabela3[[#This Row],[PAPEL]]),Tabela1[Fechamento])</f>
        <v>0</v>
      </c>
      <c r="AO271" s="17">
        <f>SUMPRODUCT(N(Tabela17[Código]=Tabela3[[#This Row],[PAPEL]]),Tabela17[Fechamento])</f>
        <v>1.01</v>
      </c>
      <c r="AP271" s="7">
        <f>SUMPRODUCT(N(Tabela176[Código]=Tabela3[[#This Row],[PAPEL]]),Tabela176[Fechamento])</f>
        <v>0</v>
      </c>
      <c r="AQ271" s="7">
        <f>SUMPRODUCT(N(Tabela1768[Código]=Tabela3[[#This Row],[PAPEL]]),Tabela1768[Fechamento])</f>
        <v>0</v>
      </c>
    </row>
    <row r="272" spans="1:43" hidden="1" x14ac:dyDescent="0.2">
      <c r="A272" s="4" t="s">
        <v>12</v>
      </c>
      <c r="B272" s="57" t="s">
        <v>520</v>
      </c>
      <c r="C272" s="15" t="str">
        <f>LEFT(Tabela3[PAPEL],LEN(Tabela3[PAPEL])-(LEN(Tabela3[PAPEL])-4))</f>
        <v>REDE</v>
      </c>
      <c r="D272" s="15">
        <v>3</v>
      </c>
      <c r="E272" s="6">
        <v>1343973941.3399999</v>
      </c>
      <c r="F272" s="8">
        <v>132482054</v>
      </c>
      <c r="G272" s="88">
        <v>0.25</v>
      </c>
      <c r="H272" s="15"/>
      <c r="I272" s="19"/>
      <c r="J272" s="19">
        <v>0.1</v>
      </c>
      <c r="K272" s="90"/>
      <c r="L272" s="90"/>
      <c r="M272" s="96">
        <v>-169584000</v>
      </c>
      <c r="N272" s="97">
        <v>-121954000</v>
      </c>
      <c r="O272" s="13">
        <f>Tabela3[[#This Row],[Capital Social]]*20%</f>
        <v>268794788.26800001</v>
      </c>
      <c r="P272" s="13">
        <f>IF((Tabela3[Lucro Líquido]*5%)&gt;Tabela3[Teto R. Legal],Tabela3[Teto R. Legal],Tabela3[Lucro Líquido]*5%)</f>
        <v>-6097700</v>
      </c>
      <c r="Q272" s="13">
        <f>IF(Tabela3[Lucro Líquido]&lt;0,0,Tabela3[Lucro Líquido]-Tabela3[Reserva Legal])</f>
        <v>0</v>
      </c>
      <c r="R272" s="13">
        <f>Tabela3[[#This Row],[Lucro Distribuir]]*Tabela3[%Div]</f>
        <v>0</v>
      </c>
      <c r="S272" s="56">
        <f>SUMPRODUCT(N(Tabela3[Nome]=Tabela3[[#This Row],[Nome]]),Tabela3[Ações])</f>
        <v>426591684</v>
      </c>
      <c r="T272" s="6">
        <f>Tabela3[Capital Social]/Tabela3[Total Ações]</f>
        <v>3.1504925945532496</v>
      </c>
      <c r="U272" s="80">
        <f>Tabela3[[#This Row],[Lucro Líquido]]/Tabela3[[#This Row],[Total Ações]]</f>
        <v>-0.28587992821725988</v>
      </c>
      <c r="V27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2" s="13">
        <f>Tabela3[Div Base]*Tabela3[Ações]</f>
        <v>0</v>
      </c>
      <c r="AA272" s="13">
        <f>SUMPRODUCT(N(Tabela3[Nome]=Tabela3[[#This Row],[Nome]]),Tabela3[Div Base]*Tabela3[Ações])</f>
        <v>0</v>
      </c>
      <c r="AB272" s="95">
        <f>Tabela3[Patrimônio Líquido]/Tabela3[Total Ações]</f>
        <v>-0.39753236258585856</v>
      </c>
      <c r="AC272" s="48">
        <f>MAX(Tabela3[[#This Row],[Cotação 1]:[Cotação 4]])</f>
        <v>0.93</v>
      </c>
      <c r="AD272" s="44">
        <f>Tabela3[Cotação]/Tabela3[VPA]</f>
        <v>-2.339432175912822</v>
      </c>
      <c r="AE272" s="40">
        <f>IF(Tabela3[[#This Row],[Lucro/Ação]]&gt;0,Tabela3[[#This Row],[Cotação]]/(Tabela3[[#This Row],[Lucro/Ação]]/Tabela3[Ref]*4),0)</f>
        <v>0</v>
      </c>
      <c r="AF272" s="91">
        <f>IF(Tabela3[Div. Mínimo]=0,0,Tabela3[Lucro Distribuir]*#REF!/Tabela3[Total Ações])</f>
        <v>0</v>
      </c>
      <c r="AG272" s="80">
        <f>Tabela3[Lucro Distribuir]/Tabela3[Total Ações]</f>
        <v>0</v>
      </c>
      <c r="AH27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2" s="14" t="str">
        <f>IF(AND(Tabela3[% A.A.]&gt;=7%,SUMPRODUCT(N(Tabela3[Nome]=Tabela3[[#This Row],[Nome]]),Tabela3[PL])&gt;0),"Sim","Não")</f>
        <v>Não</v>
      </c>
      <c r="AJ272" s="42">
        <f>IF(Tabela3[Cotação]&gt;0,Tabela3[[#This Row],[Lucro]]/Tabela3[[#This Row],[Cotação]],0)</f>
        <v>0</v>
      </c>
      <c r="AK272" s="42">
        <f>((1+Tabela3[[#This Row],[% Yield]])^(1/(3*Tabela3[[#This Row],[Ref]])))^(12)-1</f>
        <v>0</v>
      </c>
      <c r="AL272" s="14">
        <f>IF(Tabela3[Cotação]&gt;0,($AS$1/Tabela3[[#This Row],[Cotação]]-MOD($AS$1/Tabela3[[#This Row],[Cotação]],100)),)</f>
        <v>1000</v>
      </c>
      <c r="AM272" s="17">
        <f>Tabela3[[#This Row],[Ativos]]*Tabela3[Lucro]</f>
        <v>0</v>
      </c>
      <c r="AN272" s="17">
        <f>SUMPRODUCT(N(Tabela1[Código]=Tabela3[[#This Row],[PAPEL]]),Tabela1[Fechamento])</f>
        <v>0</v>
      </c>
      <c r="AO272" s="17">
        <f>SUMPRODUCT(N(Tabela17[Código]=Tabela3[[#This Row],[PAPEL]]),Tabela17[Fechamento])</f>
        <v>0.93</v>
      </c>
      <c r="AP272" s="7">
        <f>SUMPRODUCT(N(Tabela176[Código]=Tabela3[[#This Row],[PAPEL]]),Tabela176[Fechamento])</f>
        <v>0</v>
      </c>
      <c r="AQ272" s="7">
        <f>SUMPRODUCT(N(Tabela1768[Código]=Tabela3[[#This Row],[PAPEL]]),Tabela1768[Fechamento])</f>
        <v>0</v>
      </c>
    </row>
    <row r="273" spans="1:43" hidden="1" x14ac:dyDescent="0.2">
      <c r="A273" s="4" t="s">
        <v>40</v>
      </c>
      <c r="B273" s="57" t="s">
        <v>680</v>
      </c>
      <c r="C273" s="15" t="str">
        <f>LEFT(Tabela3[PAPEL],LEN(Tabela3[PAPEL])-(LEN(Tabela3[PAPEL])-4))</f>
        <v>RHDS</v>
      </c>
      <c r="D273" s="15">
        <v>3</v>
      </c>
      <c r="E273" s="6">
        <v>523208741.57999998</v>
      </c>
      <c r="F273" s="8">
        <v>8024960477</v>
      </c>
      <c r="G273" s="88">
        <v>0.25</v>
      </c>
      <c r="H273" s="15"/>
      <c r="I273" s="19"/>
      <c r="J273" s="19"/>
      <c r="K273" s="90"/>
      <c r="L273" s="90"/>
      <c r="M273" s="96">
        <v>266825000</v>
      </c>
      <c r="N273" s="97">
        <v>-3092000</v>
      </c>
      <c r="O273" s="13">
        <f>Tabela3[[#This Row],[Capital Social]]*20%</f>
        <v>104641748.316</v>
      </c>
      <c r="P273" s="13">
        <f>IF((Tabela3[Lucro Líquido]*5%)&gt;Tabela3[Teto R. Legal],Tabela3[Teto R. Legal],Tabela3[Lucro Líquido]*5%)</f>
        <v>-154600</v>
      </c>
      <c r="Q273" s="13">
        <f>IF(Tabela3[Lucro Líquido]&lt;0,0,Tabela3[Lucro Líquido]-Tabela3[Reserva Legal])</f>
        <v>0</v>
      </c>
      <c r="R273" s="13">
        <f>Tabela3[[#This Row],[Lucro Distribuir]]*Tabela3[%Div]</f>
        <v>0</v>
      </c>
      <c r="S273" s="56">
        <f>SUMPRODUCT(N(Tabela3[Nome]=Tabela3[[#This Row],[Nome]]),Tabela3[Ações])</f>
        <v>8024960477</v>
      </c>
      <c r="T273" s="6">
        <f>Tabela3[Capital Social]/Tabela3[Total Ações]</f>
        <v>6.5197672073220359E-2</v>
      </c>
      <c r="U273" s="80">
        <f>Tabela3[[#This Row],[Lucro Líquido]]/Tabela3[[#This Row],[Total Ações]]</f>
        <v>-3.8529784774166186E-4</v>
      </c>
      <c r="V27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3" s="13">
        <f>Tabela3[Div Base]*Tabela3[Ações]</f>
        <v>0</v>
      </c>
      <c r="AA273" s="13">
        <f>SUMPRODUCT(N(Tabela3[Nome]=Tabela3[[#This Row],[Nome]]),Tabela3[Div Base]*Tabela3[Ações])</f>
        <v>0</v>
      </c>
      <c r="AB273" s="95">
        <f>Tabela3[Patrimônio Líquido]/Tabela3[Total Ações]</f>
        <v>3.3249384936503534E-2</v>
      </c>
      <c r="AC273" s="48">
        <f>MAX(Tabela3[[#This Row],[Cotação 1]:[Cotação 4]])</f>
        <v>7.0000000000000007E-2</v>
      </c>
      <c r="AD273" s="44">
        <f>Tabela3[Cotação]/Tabela3[VPA]</f>
        <v>2.1053021020893845</v>
      </c>
      <c r="AE273" s="40">
        <f>IF(Tabela3[[#This Row],[Lucro/Ação]]&gt;0,Tabela3[[#This Row],[Cotação]]/(Tabela3[[#This Row],[Lucro/Ação]]/Tabela3[Ref]*4),0)</f>
        <v>0</v>
      </c>
      <c r="AF273" s="91">
        <f>IF(Tabela3[Div. Mínimo]=0,0,Tabela3[Lucro Distribuir]*#REF!/Tabela3[Total Ações])</f>
        <v>0</v>
      </c>
      <c r="AG273" s="80">
        <f>Tabela3[Lucro Distribuir]/Tabela3[Total Ações]</f>
        <v>0</v>
      </c>
      <c r="AH27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3" s="14" t="str">
        <f>IF(AND(Tabela3[% A.A.]&gt;=7%,SUMPRODUCT(N(Tabela3[Nome]=Tabela3[[#This Row],[Nome]]),Tabela3[PL])&gt;0),"Sim","Não")</f>
        <v>Não</v>
      </c>
      <c r="AJ273" s="42">
        <f>IF(Tabela3[Cotação]&gt;0,Tabela3[[#This Row],[Lucro]]/Tabela3[[#This Row],[Cotação]],0)</f>
        <v>0</v>
      </c>
      <c r="AK273" s="42">
        <f>((1+Tabela3[[#This Row],[% Yield]])^(1/(3*Tabela3[[#This Row],[Ref]])))^(12)-1</f>
        <v>0</v>
      </c>
      <c r="AL273" s="14">
        <f>IF(Tabela3[Cotação]&gt;0,($AS$1/Tabela3[[#This Row],[Cotação]]-MOD($AS$1/Tabela3[[#This Row],[Cotação]],100)),)</f>
        <v>14200</v>
      </c>
      <c r="AM273" s="17">
        <f>Tabela3[[#This Row],[Ativos]]*Tabela3[Lucro]</f>
        <v>0</v>
      </c>
      <c r="AN273" s="17">
        <f>SUMPRODUCT(N(Tabela1[Código]=Tabela3[[#This Row],[PAPEL]]),Tabela1[Fechamento])</f>
        <v>0</v>
      </c>
      <c r="AO273" s="17">
        <f>SUMPRODUCT(N(Tabela17[Código]=Tabela3[[#This Row],[PAPEL]]),Tabela17[Fechamento])</f>
        <v>0</v>
      </c>
      <c r="AP273" s="17">
        <f>SUMPRODUCT(N(Tabela176[Código]=Tabela3[[#This Row],[PAPEL]]),Tabela176[Fechamento])</f>
        <v>7.0000000000000007E-2</v>
      </c>
      <c r="AQ273" s="17">
        <f>SUMPRODUCT(N(Tabela1768[Código]=Tabela3[[#This Row],[PAPEL]]),Tabela1768[Fechamento])</f>
        <v>0</v>
      </c>
    </row>
    <row r="274" spans="1:43" hidden="1" x14ac:dyDescent="0.2">
      <c r="A274" s="4" t="s">
        <v>12</v>
      </c>
      <c r="B274" s="58" t="s">
        <v>523</v>
      </c>
      <c r="C274" s="16" t="str">
        <f>LEFT(Tabela3[PAPEL],LEN(Tabela3[PAPEL])-(LEN(Tabela3[PAPEL])-4))</f>
        <v>RNEW</v>
      </c>
      <c r="D274" s="16">
        <v>3</v>
      </c>
      <c r="E274" s="5"/>
      <c r="G274" s="88">
        <v>0.25</v>
      </c>
      <c r="H274" s="16"/>
      <c r="I274" s="18"/>
      <c r="K274" s="89">
        <v>1</v>
      </c>
      <c r="L274" s="89">
        <v>2</v>
      </c>
      <c r="O274" s="47">
        <f>Tabela3[[#This Row],[Capital Social]]*20%</f>
        <v>0</v>
      </c>
      <c r="P274" s="47">
        <f>IF((Tabela3[Lucro Líquido]*5%)&gt;Tabela3[Teto R. Legal],Tabela3[Teto R. Legal],Tabela3[Lucro Líquido]*5%)</f>
        <v>0</v>
      </c>
      <c r="Q274" s="47">
        <f>IF(Tabela3[Lucro Líquido]&lt;0,0,Tabela3[Lucro Líquido]-Tabela3[Reserva Legal])</f>
        <v>0</v>
      </c>
      <c r="R274" s="47">
        <f>Tabela3[[#This Row],[Lucro Distribuir]]*Tabela3[%Div]</f>
        <v>0</v>
      </c>
      <c r="S274" s="56">
        <f>SUMPRODUCT(N(Tabela3[Nome]=Tabela3[[#This Row],[Nome]]),Tabela3[Ações])</f>
        <v>230031865</v>
      </c>
      <c r="T274" s="5">
        <f>Tabela3[Capital Social]/Tabela3[Total Ações]</f>
        <v>0</v>
      </c>
      <c r="U274" s="79">
        <f>Tabela3[[#This Row],[Lucro Líquido]]/Tabela3[[#This Row],[Total Ações]]</f>
        <v>0</v>
      </c>
      <c r="V27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4" s="47">
        <f>Tabela3[Div Base]*Tabela3[Ações]</f>
        <v>0</v>
      </c>
      <c r="AA274" s="47">
        <f>SUMPRODUCT(N(Tabela3[Nome]=Tabela3[[#This Row],[Nome]]),Tabela3[Div Base]*Tabela3[Ações])</f>
        <v>0</v>
      </c>
      <c r="AB274" s="74">
        <f>Tabela3[Patrimônio Líquido]/Tabela3[Total Ações]</f>
        <v>0</v>
      </c>
      <c r="AC274" s="52">
        <f>MAX(Tabela3[[#This Row],[Cotação 1]:[Cotação 4]])</f>
        <v>44.5</v>
      </c>
      <c r="AD274" s="53" t="e">
        <f>Tabela3[Cotação]/Tabela3[VPA]</f>
        <v>#DIV/0!</v>
      </c>
      <c r="AE274" s="37">
        <f>IF(Tabela3[[#This Row],[Lucro/Ação]]&gt;0,Tabela3[[#This Row],[Cotação]]/(Tabela3[[#This Row],[Lucro/Ação]]/Tabela3[Ref]*4),0)</f>
        <v>0</v>
      </c>
      <c r="AF274" s="59">
        <f>IF(Tabela3[Div. Mínimo]=0,0,Tabela3[Lucro Distribuir]*#REF!/Tabela3[Total Ações])</f>
        <v>0</v>
      </c>
      <c r="AG274" s="79">
        <f>Tabela3[Lucro Distribuir]/Tabela3[Total Ações]</f>
        <v>0</v>
      </c>
      <c r="AH274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4" s="10" t="str">
        <f>IF(AND(Tabela3[% A.A.]&gt;=7%,SUMPRODUCT(N(Tabela3[Nome]=Tabela3[[#This Row],[Nome]]),Tabela3[PL])&gt;0),"Sim","Não")</f>
        <v>Não</v>
      </c>
      <c r="AJ274" s="22">
        <f>IF(Tabela3[Cotação]&gt;0,Tabela3[[#This Row],[Lucro]]/Tabela3[[#This Row],[Cotação]],0)</f>
        <v>0</v>
      </c>
      <c r="AK274" s="22">
        <f>((1+Tabela3[[#This Row],[% Yield]])^(1/(3*Tabela3[[#This Row],[Ref]])))^(12)-1</f>
        <v>0</v>
      </c>
      <c r="AL274" s="10">
        <f>IF(Tabela3[Cotação]&gt;0,($AS$1/Tabela3[[#This Row],[Cotação]]-MOD($AS$1/Tabela3[[#This Row],[Cotação]],100)),)</f>
        <v>0</v>
      </c>
      <c r="AM274" s="7">
        <f>Tabela3[[#This Row],[Ativos]]*Tabela3[Lucro]</f>
        <v>0</v>
      </c>
      <c r="AN274" s="7">
        <f>SUMPRODUCT(N(Tabela1[Código]=Tabela3[[#This Row],[PAPEL]]),Tabela1[Fechamento])</f>
        <v>0</v>
      </c>
      <c r="AO274" s="7">
        <f>SUMPRODUCT(N(Tabela17[Código]=Tabela3[[#This Row],[PAPEL]]),Tabela17[Fechamento])</f>
        <v>44.5</v>
      </c>
      <c r="AP274" s="7">
        <f>SUMPRODUCT(N(Tabela176[Código]=Tabela3[[#This Row],[PAPEL]]),Tabela176[Fechamento])</f>
        <v>0</v>
      </c>
      <c r="AQ274" s="7">
        <f>SUMPRODUCT(N(Tabela1768[Código]=Tabela3[[#This Row],[PAPEL]]),Tabela1768[Fechamento])</f>
        <v>0</v>
      </c>
    </row>
    <row r="275" spans="1:43" hidden="1" x14ac:dyDescent="0.2">
      <c r="A275" s="4" t="s">
        <v>12</v>
      </c>
      <c r="B275" s="57" t="s">
        <v>524</v>
      </c>
      <c r="C275" s="15" t="str">
        <f>LEFT(Tabela3[PAPEL],LEN(Tabela3[PAPEL])-(LEN(Tabela3[PAPEL])-4))</f>
        <v>RNEW</v>
      </c>
      <c r="D275" s="15">
        <v>3</v>
      </c>
      <c r="E275" s="5">
        <v>1017569849.21</v>
      </c>
      <c r="F275" s="8">
        <v>156508015</v>
      </c>
      <c r="G275" s="88">
        <v>0.25</v>
      </c>
      <c r="H275" s="15"/>
      <c r="I275" s="19"/>
      <c r="J275" s="19"/>
      <c r="K275" s="90"/>
      <c r="L275" s="90"/>
      <c r="M275" s="94">
        <v>987025000</v>
      </c>
      <c r="N275" s="73">
        <v>-4451000</v>
      </c>
      <c r="O275" s="13">
        <f>Tabela3[[#This Row],[Capital Social]]*20%</f>
        <v>203513969.84200001</v>
      </c>
      <c r="P275" s="13">
        <f>IF((Tabela3[Lucro Líquido]*5%)&gt;Tabela3[Teto R. Legal],Tabela3[Teto R. Legal],Tabela3[Lucro Líquido]*5%)</f>
        <v>-222550</v>
      </c>
      <c r="Q275" s="13">
        <f>IF(Tabela3[Lucro Líquido]&lt;0,0,Tabela3[Lucro Líquido]-Tabela3[Reserva Legal])</f>
        <v>0</v>
      </c>
      <c r="R275" s="13">
        <f>Tabela3[[#This Row],[Lucro Distribuir]]*Tabela3[%Div]</f>
        <v>0</v>
      </c>
      <c r="S275" s="56">
        <f>SUMPRODUCT(N(Tabela3[Nome]=Tabela3[[#This Row],[Nome]]),Tabela3[Ações])</f>
        <v>230031865</v>
      </c>
      <c r="T275" s="6">
        <f>Tabela3[Capital Social]/Tabela3[Total Ações]</f>
        <v>4.4236038742284682</v>
      </c>
      <c r="U275" s="80">
        <f>Tabela3[[#This Row],[Lucro Líquido]]/Tabela3[[#This Row],[Total Ações]]</f>
        <v>-1.9349493166957544E-2</v>
      </c>
      <c r="V27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5" s="13">
        <f>Tabela3[Div Base]*Tabela3[Ações]</f>
        <v>0</v>
      </c>
      <c r="AA275" s="13">
        <f>SUMPRODUCT(N(Tabela3[Nome]=Tabela3[[#This Row],[Nome]]),Tabela3[Div Base]*Tabela3[Ações])</f>
        <v>0</v>
      </c>
      <c r="AB275" s="95">
        <f>Tabela3[Patrimônio Líquido]/Tabela3[Total Ações]</f>
        <v>4.2908185785478024</v>
      </c>
      <c r="AC275" s="48">
        <f>MAX(Tabela3[[#This Row],[Cotação 1]:[Cotação 4]])</f>
        <v>22.4</v>
      </c>
      <c r="AD275" s="44">
        <f>Tabela3[Cotação]/Tabela3[VPA]</f>
        <v>5.2204491031128892</v>
      </c>
      <c r="AE275" s="40">
        <f>IF(Tabela3[[#This Row],[Lucro/Ação]]&gt;0,Tabela3[[#This Row],[Cotação]]/(Tabela3[[#This Row],[Lucro/Ação]]/Tabela3[Ref]*4),0)</f>
        <v>0</v>
      </c>
      <c r="AF275" s="91">
        <f>IF(Tabela3[Div. Mínimo]=0,0,Tabela3[Lucro Distribuir]*#REF!/Tabela3[Total Ações])</f>
        <v>0</v>
      </c>
      <c r="AG275" s="80">
        <f>Tabela3[Lucro Distribuir]/Tabela3[Total Ações]</f>
        <v>0</v>
      </c>
      <c r="AH27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5" s="14" t="str">
        <f>IF(AND(Tabela3[% A.A.]&gt;=7%,SUMPRODUCT(N(Tabela3[Nome]=Tabela3[[#This Row],[Nome]]),Tabela3[PL])&gt;0),"Sim","Não")</f>
        <v>Não</v>
      </c>
      <c r="AJ275" s="42">
        <f>IF(Tabela3[Cotação]&gt;0,Tabela3[[#This Row],[Lucro]]/Tabela3[[#This Row],[Cotação]],0)</f>
        <v>0</v>
      </c>
      <c r="AK275" s="42">
        <f>((1+Tabela3[[#This Row],[% Yield]])^(1/(3*Tabela3[[#This Row],[Ref]])))^(12)-1</f>
        <v>0</v>
      </c>
      <c r="AL275" s="14">
        <f>IF(Tabela3[Cotação]&gt;0,($AS$1/Tabela3[[#This Row],[Cotação]]-MOD($AS$1/Tabela3[[#This Row],[Cotação]],100)),)</f>
        <v>0</v>
      </c>
      <c r="AM275" s="17">
        <f>Tabela3[[#This Row],[Ativos]]*Tabela3[Lucro]</f>
        <v>0</v>
      </c>
      <c r="AN275" s="17">
        <f>SUMPRODUCT(N(Tabela1[Código]=Tabela3[[#This Row],[PAPEL]]),Tabela1[Fechamento])</f>
        <v>0</v>
      </c>
      <c r="AO275" s="17">
        <f>SUMPRODUCT(N(Tabela17[Código]=Tabela3[[#This Row],[PAPEL]]),Tabela17[Fechamento])</f>
        <v>22.4</v>
      </c>
      <c r="AP275" s="7">
        <f>SUMPRODUCT(N(Tabela176[Código]=Tabela3[[#This Row],[PAPEL]]),Tabela176[Fechamento])</f>
        <v>0</v>
      </c>
      <c r="AQ275" s="7">
        <f>SUMPRODUCT(N(Tabela1768[Código]=Tabela3[[#This Row],[PAPEL]]),Tabela1768[Fechamento])</f>
        <v>0</v>
      </c>
    </row>
    <row r="276" spans="1:43" hidden="1" x14ac:dyDescent="0.2">
      <c r="A276" s="4" t="s">
        <v>12</v>
      </c>
      <c r="B276" s="57" t="s">
        <v>525</v>
      </c>
      <c r="C276" s="15" t="str">
        <f>LEFT(Tabela3[PAPEL],LEN(Tabela3[PAPEL])-(LEN(Tabela3[PAPEL])-4))</f>
        <v>RNEW</v>
      </c>
      <c r="D276" s="15">
        <v>3</v>
      </c>
      <c r="E276" s="5">
        <v>1017569849.21</v>
      </c>
      <c r="F276" s="8">
        <v>73523850</v>
      </c>
      <c r="G276" s="88">
        <v>0.25</v>
      </c>
      <c r="H276" s="15"/>
      <c r="I276" s="19"/>
      <c r="J276" s="19"/>
      <c r="K276" s="90"/>
      <c r="L276" s="90"/>
      <c r="M276" s="94">
        <v>987025000</v>
      </c>
      <c r="N276" s="73">
        <v>-4451000</v>
      </c>
      <c r="O276" s="13">
        <f>Tabela3[[#This Row],[Capital Social]]*20%</f>
        <v>203513969.84200001</v>
      </c>
      <c r="P276" s="13">
        <f>IF((Tabela3[Lucro Líquido]*5%)&gt;Tabela3[Teto R. Legal],Tabela3[Teto R. Legal],Tabela3[Lucro Líquido]*5%)</f>
        <v>-222550</v>
      </c>
      <c r="Q276" s="13">
        <f>IF(Tabela3[Lucro Líquido]&lt;0,0,Tabela3[Lucro Líquido]-Tabela3[Reserva Legal])</f>
        <v>0</v>
      </c>
      <c r="R276" s="13">
        <f>Tabela3[[#This Row],[Lucro Distribuir]]*Tabela3[%Div]</f>
        <v>0</v>
      </c>
      <c r="S276" s="56">
        <f>SUMPRODUCT(N(Tabela3[Nome]=Tabela3[[#This Row],[Nome]]),Tabela3[Ações])</f>
        <v>230031865</v>
      </c>
      <c r="T276" s="6">
        <f>Tabela3[Capital Social]/Tabela3[Total Ações]</f>
        <v>4.4236038742284682</v>
      </c>
      <c r="U276" s="80">
        <f>Tabela3[[#This Row],[Lucro Líquido]]/Tabela3[[#This Row],[Total Ações]]</f>
        <v>-1.9349493166957544E-2</v>
      </c>
      <c r="V27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7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7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76" s="13">
        <f>Tabela3[Div Base]*Tabela3[Ações]</f>
        <v>0</v>
      </c>
      <c r="AA276" s="13">
        <f>SUMPRODUCT(N(Tabela3[Nome]=Tabela3[[#This Row],[Nome]]),Tabela3[Div Base]*Tabela3[Ações])</f>
        <v>0</v>
      </c>
      <c r="AB276" s="95">
        <f>Tabela3[Patrimônio Líquido]/Tabela3[Total Ações]</f>
        <v>4.2908185785478024</v>
      </c>
      <c r="AC276" s="48">
        <f>MAX(Tabela3[[#This Row],[Cotação 1]:[Cotação 4]])</f>
        <v>0</v>
      </c>
      <c r="AD276" s="44">
        <f>Tabela3[Cotação]/Tabela3[VPA]</f>
        <v>0</v>
      </c>
      <c r="AE276" s="40">
        <f>IF(Tabela3[[#This Row],[Lucro/Ação]]&gt;0,Tabela3[[#This Row],[Cotação]]/(Tabela3[[#This Row],[Lucro/Ação]]/Tabela3[Ref]*4),0)</f>
        <v>0</v>
      </c>
      <c r="AF276" s="91">
        <f>IF(Tabela3[Div. Mínimo]=0,0,Tabela3[Lucro Distribuir]*#REF!/Tabela3[Total Ações])</f>
        <v>0</v>
      </c>
      <c r="AG276" s="80">
        <f>Tabela3[Lucro Distribuir]/Tabela3[Total Ações]</f>
        <v>0</v>
      </c>
      <c r="AH27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76" s="14" t="str">
        <f>IF(AND(Tabela3[% A.A.]&gt;=7%,SUMPRODUCT(N(Tabela3[Nome]=Tabela3[[#This Row],[Nome]]),Tabela3[PL])&gt;0),"Sim","Não")</f>
        <v>Não</v>
      </c>
      <c r="AJ276" s="42">
        <f>IF(Tabela3[Cotação]&gt;0,Tabela3[[#This Row],[Lucro]]/Tabela3[[#This Row],[Cotação]],0)</f>
        <v>0</v>
      </c>
      <c r="AK276" s="42">
        <f>((1+Tabela3[[#This Row],[% Yield]])^(1/(3*Tabela3[[#This Row],[Ref]])))^(12)-1</f>
        <v>0</v>
      </c>
      <c r="AL276" s="14">
        <f>IF(Tabela3[Cotação]&gt;0,($AS$1/Tabela3[[#This Row],[Cotação]]-MOD($AS$1/Tabela3[[#This Row],[Cotação]],100)),)</f>
        <v>0</v>
      </c>
      <c r="AM276" s="17">
        <f>Tabela3[[#This Row],[Ativos]]*Tabela3[Lucro]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7">
        <f>SUMPRODUCT(N(Tabela176[Código]=Tabela3[[#This Row],[PAPEL]]),Tabela176[Fechamento])</f>
        <v>0</v>
      </c>
      <c r="AQ276" s="7">
        <f>SUMPRODUCT(N(Tabela1768[Código]=Tabela3[[#This Row],[PAPEL]]),Tabela1768[Fechamento])</f>
        <v>0</v>
      </c>
    </row>
    <row r="277" spans="1:43" hidden="1" x14ac:dyDescent="0.2">
      <c r="A277" s="4" t="s">
        <v>14</v>
      </c>
      <c r="B277" s="57" t="s">
        <v>195</v>
      </c>
      <c r="C277" s="14" t="str">
        <f>LEFT(Tabela3[PAPEL],LEN(Tabela3[PAPEL])-(LEN(Tabela3[PAPEL])-4))</f>
        <v>RPAD</v>
      </c>
      <c r="D277" s="15">
        <v>3</v>
      </c>
      <c r="E277" s="6">
        <v>267646990</v>
      </c>
      <c r="F277" s="8">
        <v>46011632</v>
      </c>
      <c r="G277" s="88">
        <v>0.25</v>
      </c>
      <c r="H277" s="15"/>
      <c r="I277" s="19"/>
      <c r="J277" s="19"/>
      <c r="K277" s="90"/>
      <c r="L277" s="90"/>
      <c r="M277" s="6">
        <v>727021000</v>
      </c>
      <c r="N277" s="6">
        <v>31097000</v>
      </c>
      <c r="O277" s="6">
        <f>Tabela3[[#This Row],[Capital Social]]*20%</f>
        <v>53529398</v>
      </c>
      <c r="P277" s="6">
        <f>IF((Tabela3[Lucro Líquido]*5%)&gt;Tabela3[Teto R. Legal],Tabela3[Teto R. Legal],Tabela3[Lucro Líquido]*5%)</f>
        <v>1554850</v>
      </c>
      <c r="Q277" s="6">
        <f>IF(Tabela3[Lucro Líquido]&lt;0,0,Tabela3[Lucro Líquido]-Tabela3[Reserva Legal])</f>
        <v>29542150</v>
      </c>
      <c r="R277" s="6">
        <f>Tabela3[[#This Row],[Lucro Distribuir]]*Tabela3[%Div]</f>
        <v>7385537.5</v>
      </c>
      <c r="S277" s="21">
        <f>SUMPRODUCT(N(Tabela3[Nome]=Tabela3[[#This Row],[Nome]]),Tabela3[Ações])</f>
        <v>84682269</v>
      </c>
      <c r="T277" s="6">
        <f>Tabela3[Capital Social]/Tabela3[Total Ações]</f>
        <v>3.1606024869267495</v>
      </c>
      <c r="U277" s="80">
        <f>Tabela3[[#This Row],[Lucro Líquido]]/Tabela3[[#This Row],[Total Ações]]</f>
        <v>0.36721973049635692</v>
      </c>
      <c r="V27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W27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2.7806221078407752E-2</v>
      </c>
      <c r="Y27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2.7806221078407752E-2</v>
      </c>
      <c r="Z277" s="6">
        <f>Tabela3[Div Base]*Tabela3[Ações]</f>
        <v>1279409.6115703406</v>
      </c>
      <c r="AA277" s="6">
        <f>SUMPRODUCT(N(Tabela3[Nome]=Tabela3[[#This Row],[Nome]]),Tabela3[Div Base]*Tabela3[Ações])</f>
        <v>7385537.5</v>
      </c>
      <c r="AB277" s="6">
        <f>Tabela3[Patrimônio Líquido]/Tabela3[Total Ações]</f>
        <v>8.5852801133611578</v>
      </c>
      <c r="AC277" s="48">
        <f>MAX(Tabela3[[#This Row],[Cotação 1]:[Cotação 4]])</f>
        <v>3.08</v>
      </c>
      <c r="AD277" s="44">
        <f>Tabela3[Cotação]/Tabela3[VPA]</f>
        <v>0.35875358279884623</v>
      </c>
      <c r="AE277" s="40">
        <f>IF(Tabela3[[#This Row],[Lucro/Ação]]&gt;0,Tabela3[[#This Row],[Cotação]]/(Tabela3[[#This Row],[Lucro/Ação]]/Tabela3[Ref]*4),0)</f>
        <v>6.2905116696144328</v>
      </c>
      <c r="AF277" s="40" t="e">
        <f>IF(Tabela3[Div. Mínimo]=0,0,Tabela3[Lucro Distribuir]*#REF!/Tabela3[Total Ações])</f>
        <v>#REF!</v>
      </c>
      <c r="AG277" s="80">
        <f>Tabela3[Lucro Distribuir]/Tabela3[Total Ações]</f>
        <v>0.3488587439715391</v>
      </c>
      <c r="AH27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2.7806221078407752E-2</v>
      </c>
      <c r="AI277" s="15" t="str">
        <f>IF(AND(Tabela3[% A.A.]&gt;=7%,SUMPRODUCT(N(Tabela3[Nome]=Tabela3[[#This Row],[Nome]]),Tabela3[PL])&gt;0),"Sim","Não")</f>
        <v>Não</v>
      </c>
      <c r="AJ277" s="42">
        <f>IF(Tabela3[Cotação]&gt;0,Tabela3[[#This Row],[Lucro]]/Tabela3[[#This Row],[Cotação]],0)</f>
        <v>9.0279938566258933E-3</v>
      </c>
      <c r="AK277" s="19">
        <f>((1+Tabela3[[#This Row],[% Yield]])^(1/(3*Tabela3[[#This Row],[Ref]])))^(12)-1</f>
        <v>1.2055401090800499E-2</v>
      </c>
      <c r="AL277" s="14">
        <f>IF(Tabela3[Cotação]&gt;0,($AS$1/Tabela3[[#This Row],[Cotação]]-MOD($AS$1/Tabela3[[#This Row],[Cotação]],100)),)</f>
        <v>300</v>
      </c>
      <c r="AM277" s="17">
        <f>Tabela3[[#This Row],[Ativos]]*Tabela3[Lucro]</f>
        <v>8.3418663235223249</v>
      </c>
      <c r="AN277" s="5">
        <f>SUMPRODUCT(N(Tabela1[Código]=Tabela3[[#This Row],[PAPEL]]),Tabela1[Fechamento])</f>
        <v>3.08</v>
      </c>
      <c r="AO277" s="5">
        <f>SUMPRODUCT(N(Tabela17[Código]=Tabela3[[#This Row],[PAPEL]]),Tabela17[Fechamento])</f>
        <v>0</v>
      </c>
      <c r="AP277" s="7">
        <f>SUMPRODUCT(N(Tabela176[Código]=Tabela3[[#This Row],[PAPEL]]),Tabela176[Fechamento])</f>
        <v>0</v>
      </c>
      <c r="AQ277" s="7">
        <f>SUMPRODUCT(N(Tabela1768[Código]=Tabela3[[#This Row],[PAPEL]]),Tabela1768[Fechamento])</f>
        <v>0</v>
      </c>
    </row>
    <row r="278" spans="1:43" x14ac:dyDescent="0.2">
      <c r="A278" s="3" t="s">
        <v>298</v>
      </c>
      <c r="B278" s="58" t="s">
        <v>295</v>
      </c>
      <c r="C278" s="85" t="str">
        <f>LEFT(Tabela3[PAPEL],LEN(Tabela3[PAPEL])-(LEN(Tabela3[PAPEL])-4))</f>
        <v>OIBR</v>
      </c>
      <c r="D278" s="16">
        <v>3</v>
      </c>
      <c r="E278" s="5">
        <v>7471208836.6300001</v>
      </c>
      <c r="F278" s="56">
        <v>1198077775</v>
      </c>
      <c r="G278" s="83">
        <v>0.25</v>
      </c>
      <c r="H278" s="18">
        <v>0.03</v>
      </c>
      <c r="I278" s="18">
        <v>0.06</v>
      </c>
      <c r="K278" s="89"/>
      <c r="L278" s="89"/>
      <c r="M278" s="5">
        <v>10322490000</v>
      </c>
      <c r="N278" s="5">
        <v>310353000</v>
      </c>
      <c r="O278" s="5">
        <f>Tabela3[[#This Row],[Capital Social]]*20%</f>
        <v>1494241767.3260002</v>
      </c>
      <c r="P278" s="5">
        <f>IF((Tabela3[Lucro Líquido]*5%)&gt;Tabela3[Teto R. Legal],Tabela3[Teto R. Legal],Tabela3[Lucro Líquido]*5%)</f>
        <v>15517650</v>
      </c>
      <c r="Q278" s="5">
        <f>IF(Tabela3[Lucro Líquido]&lt;0,0,Tabela3[Lucro Líquido]-Tabela3[Reserva Legal])</f>
        <v>294835350</v>
      </c>
      <c r="R278" s="5">
        <f>Tabela3[[#This Row],[Lucro Distribuir]]*Tabela3[%Div]</f>
        <v>73708837.5</v>
      </c>
      <c r="S278" s="56">
        <f>SUMPRODUCT(N(Tabela3[Nome]=Tabela3[[#This Row],[Nome]]),Tabela3[Ações])</f>
        <v>1797166404</v>
      </c>
      <c r="T278" s="5">
        <f>Tabela3[Capital Social]/Tabela3[Total Ações]</f>
        <v>4.1572159483958391</v>
      </c>
      <c r="U278" s="79">
        <f>Tabela3[[#This Row],[Lucro Líquido]]/Tabela3[[#This Row],[Total Ações]]</f>
        <v>0.17269018567743047</v>
      </c>
      <c r="V27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4.1013919098389737E-2</v>
      </c>
      <c r="W27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0.17231275819019817</v>
      </c>
      <c r="X27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0.24943295690375034</v>
      </c>
      <c r="Y27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0.24943295690375034</v>
      </c>
      <c r="Z278" s="5">
        <f>Tabela3[Div Base]*Tabela3[Ações]</f>
        <v>298840082.01891607</v>
      </c>
      <c r="AA278" s="5">
        <f>SUMPRODUCT(N(Tabela3[Nome]=Tabela3[[#This Row],[Nome]]),Tabela3[Div Base]*Tabela3[Ações])</f>
        <v>298840082.01891607</v>
      </c>
      <c r="AB278" s="5">
        <f>Tabela3[Patrimônio Líquido]/Tabela3[Total Ações]</f>
        <v>5.7437586063399388</v>
      </c>
      <c r="AC278" s="52">
        <f>MAX(Tabela3[[#This Row],[Cotação 1]:[Cotação 4]])</f>
        <v>4.25</v>
      </c>
      <c r="AD278" s="53">
        <f>Tabela3[Cotação]/Tabela3[VPA]</f>
        <v>0.73993360293882582</v>
      </c>
      <c r="AE278" s="37">
        <f>IF(Tabela3[[#This Row],[Lucro/Ação]]&gt;0,Tabela3[[#This Row],[Cotação]]/(Tabela3[[#This Row],[Lucro/Ação]]/Tabela3[Ref]*4),0)</f>
        <v>18.457910549438864</v>
      </c>
      <c r="AF278" s="37" t="e">
        <f>IF(Tabela3[Div. Mínimo]=0,0,Tabela3[Lucro Distribuir]*#REF!/Tabela3[Total Ações])</f>
        <v>#REF!</v>
      </c>
      <c r="AG278" s="79">
        <f>Tabela3[Lucro Distribuir]/Tabela3[Total Ações]</f>
        <v>0.16405567639355895</v>
      </c>
      <c r="AH27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0.24943295690375034</v>
      </c>
      <c r="AI278" s="16" t="str">
        <f>IF(AND(Tabela3[% A.A.]&gt;=7%,SUMPRODUCT(N(Tabela3[Nome]=Tabela3[[#This Row],[Nome]]),Tabela3[PL])&gt;0),"Sim","Não")</f>
        <v>Sim</v>
      </c>
      <c r="AJ278" s="22">
        <f>IF(Tabela3[Cotação]&gt;0,Tabela3[[#This Row],[Lucro]]/Tabela3[[#This Row],[Cotação]],0)</f>
        <v>5.8690107506764788E-2</v>
      </c>
      <c r="AK278" s="18">
        <f>((1+Tabela3[[#This Row],[% Yield]])^(1/(3*Tabela3[[#This Row],[Ref]])))^(12)-1</f>
        <v>7.9009181057468902E-2</v>
      </c>
      <c r="AL278" s="10">
        <f>IF(Tabela3[Cotação]&gt;0,($AS$1/Tabela3[[#This Row],[Cotação]]-MOD($AS$1/Tabela3[[#This Row],[Cotação]],100)),)</f>
        <v>200</v>
      </c>
      <c r="AM278" s="7">
        <f>Tabela3[[#This Row],[Ativos]]*Tabela3[Lucro]</f>
        <v>49.886591380750069</v>
      </c>
      <c r="AN278" s="47">
        <f>SUMPRODUCT(N(Tabela1[Código]=Tabela3[[#This Row],[PAPEL]]),Tabela1[Fechamento])</f>
        <v>0</v>
      </c>
      <c r="AO278" s="54">
        <f>SUMPRODUCT(N(Tabela17[Código]=Tabela3[[#This Row],[PAPEL]]),Tabela17[Fechamento])</f>
        <v>4.25</v>
      </c>
      <c r="AP278" s="7">
        <f>SUMPRODUCT(N(Tabela176[Código]=Tabela3[[#This Row],[PAPEL]]),Tabela176[Fechamento])</f>
        <v>0</v>
      </c>
      <c r="AQ278" s="7">
        <f>SUMPRODUCT(N(Tabela1768[Código]=Tabela3[[#This Row],[PAPEL]]),Tabela1768[Fechamento])</f>
        <v>0</v>
      </c>
    </row>
    <row r="279" spans="1:43" hidden="1" x14ac:dyDescent="0.2">
      <c r="A279" s="4" t="s">
        <v>14</v>
      </c>
      <c r="B279" s="57" t="s">
        <v>196</v>
      </c>
      <c r="C279" s="14" t="str">
        <f>LEFT(Tabela3[PAPEL],LEN(Tabela3[PAPEL])-(LEN(Tabela3[PAPEL])-4))</f>
        <v>RPAD</v>
      </c>
      <c r="D279" s="15">
        <v>3</v>
      </c>
      <c r="E279" s="6">
        <v>267646990</v>
      </c>
      <c r="F279" s="8">
        <v>24356756</v>
      </c>
      <c r="G279" s="88">
        <v>0.25</v>
      </c>
      <c r="H279" s="15"/>
      <c r="I279" s="19"/>
      <c r="J279" s="19"/>
      <c r="K279" s="90"/>
      <c r="L279" s="90"/>
      <c r="M279" s="6">
        <v>727021000</v>
      </c>
      <c r="N279" s="6">
        <v>31097000</v>
      </c>
      <c r="O279" s="6">
        <f>Tabela3[[#This Row],[Capital Social]]*20%</f>
        <v>53529398</v>
      </c>
      <c r="P279" s="6">
        <f>IF((Tabela3[Lucro Líquido]*5%)&gt;Tabela3[Teto R. Legal],Tabela3[Teto R. Legal],Tabela3[Lucro Líquido]*5%)</f>
        <v>1554850</v>
      </c>
      <c r="Q279" s="6">
        <f>IF(Tabela3[Lucro Líquido]&lt;0,0,Tabela3[Lucro Líquido]-Tabela3[Reserva Legal])</f>
        <v>29542150</v>
      </c>
      <c r="R279" s="6">
        <f>Tabela3[[#This Row],[Lucro Distribuir]]*Tabela3[%Div]</f>
        <v>7385537.5</v>
      </c>
      <c r="S279" s="21">
        <f>SUMPRODUCT(N(Tabela3[Nome]=Tabela3[[#This Row],[Nome]]),Tabela3[Ações])</f>
        <v>84682269</v>
      </c>
      <c r="T279" s="6">
        <f>Tabela3[Capital Social]/Tabela3[Total Ações]</f>
        <v>3.1606024869267495</v>
      </c>
      <c r="U279" s="80">
        <f>Tabela3[[#This Row],[Lucro Líquido]]/Tabela3[[#This Row],[Total Ações]]</f>
        <v>0.36721973049635692</v>
      </c>
      <c r="V27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W27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7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2.7806221078407752E-2</v>
      </c>
      <c r="Y27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2.7806221078407752E-2</v>
      </c>
      <c r="Z279" s="6">
        <f>Tabela3[Div Base]*Tabela3[Ações]</f>
        <v>677269.3420888345</v>
      </c>
      <c r="AA279" s="6">
        <f>SUMPRODUCT(N(Tabela3[Nome]=Tabela3[[#This Row],[Nome]]),Tabela3[Div Base]*Tabela3[Ações])</f>
        <v>7385537.5</v>
      </c>
      <c r="AB279" s="6">
        <f>Tabela3[Patrimônio Líquido]/Tabela3[Total Ações]</f>
        <v>8.5852801133611578</v>
      </c>
      <c r="AC279" s="48">
        <f>MAX(Tabela3[[#This Row],[Cotação 1]:[Cotação 4]])</f>
        <v>2.2599999999999998</v>
      </c>
      <c r="AD279" s="44">
        <f>Tabela3[Cotação]/Tabela3[VPA]</f>
        <v>0.26324126530045205</v>
      </c>
      <c r="AE279" s="40">
        <f>IF(Tabela3[[#This Row],[Lucro/Ação]]&gt;0,Tabela3[[#This Row],[Cotação]]/(Tabela3[[#This Row],[Lucro/Ação]]/Tabela3[Ref]*4),0)</f>
        <v>4.6157650562755244</v>
      </c>
      <c r="AF279" s="40" t="e">
        <f>IF(Tabela3[Div. Mínimo]=0,0,Tabela3[Lucro Distribuir]*#REF!/Tabela3[Total Ações])</f>
        <v>#REF!</v>
      </c>
      <c r="AG279" s="80">
        <f>Tabela3[Lucro Distribuir]/Tabela3[Total Ações]</f>
        <v>0.3488587439715391</v>
      </c>
      <c r="AH27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2.7806221078407752E-2</v>
      </c>
      <c r="AI279" s="15" t="str">
        <f>IF(AND(Tabela3[% A.A.]&gt;=7%,SUMPRODUCT(N(Tabela3[Nome]=Tabela3[[#This Row],[Nome]]),Tabela3[PL])&gt;0),"Sim","Não")</f>
        <v>Não</v>
      </c>
      <c r="AJ279" s="42">
        <f>IF(Tabela3[Cotação]&gt;0,Tabela3[[#This Row],[Lucro]]/Tabela3[[#This Row],[Cotação]],0)</f>
        <v>1.2303637645313165E-2</v>
      </c>
      <c r="AK279" s="19">
        <f>((1+Tabela3[[#This Row],[% Yield]])^(1/(3*Tabela3[[#This Row],[Ref]])))^(12)-1</f>
        <v>1.6438398574710744E-2</v>
      </c>
      <c r="AL279" s="14">
        <f>IF(Tabela3[Cotação]&gt;0,($AS$1/Tabela3[[#This Row],[Cotação]]-MOD($AS$1/Tabela3[[#This Row],[Cotação]],100)),)</f>
        <v>400</v>
      </c>
      <c r="AM279" s="17">
        <f>Tabela3[[#This Row],[Ativos]]*Tabela3[Lucro]</f>
        <v>11.122488431363101</v>
      </c>
      <c r="AN279" s="5">
        <f>SUMPRODUCT(N(Tabela1[Código]=Tabela3[[#This Row],[PAPEL]]),Tabela1[Fechamento])</f>
        <v>2.2599999999999998</v>
      </c>
      <c r="AO279" s="5">
        <f>SUMPRODUCT(N(Tabela17[Código]=Tabela3[[#This Row],[PAPEL]]),Tabela17[Fechamento])</f>
        <v>0</v>
      </c>
      <c r="AP279" s="7">
        <f>SUMPRODUCT(N(Tabela176[Código]=Tabela3[[#This Row],[PAPEL]]),Tabela176[Fechamento])</f>
        <v>0</v>
      </c>
      <c r="AQ279" s="7">
        <f>SUMPRODUCT(N(Tabela1768[Código]=Tabela3[[#This Row],[PAPEL]]),Tabela1768[Fechamento])</f>
        <v>0</v>
      </c>
    </row>
    <row r="280" spans="1:43" hidden="1" x14ac:dyDescent="0.2">
      <c r="A280" s="4" t="s">
        <v>249</v>
      </c>
      <c r="B280" s="57" t="s">
        <v>611</v>
      </c>
      <c r="C280" s="15" t="str">
        <f>LEFT(Tabela3[PAPEL],LEN(Tabela3[PAPEL])-(LEN(Tabela3[PAPEL])-4))</f>
        <v>RPMG</v>
      </c>
      <c r="D280" s="15">
        <v>3</v>
      </c>
      <c r="E280" s="6">
        <v>148873356.06</v>
      </c>
      <c r="F280" s="8">
        <v>991541636</v>
      </c>
      <c r="G280" s="83">
        <v>0.25</v>
      </c>
      <c r="H280" s="15"/>
      <c r="I280" s="19">
        <v>0.1</v>
      </c>
      <c r="J280" s="19"/>
      <c r="K280" s="90"/>
      <c r="L280" s="90"/>
      <c r="M280" s="96">
        <v>-574737000</v>
      </c>
      <c r="N280" s="97">
        <v>-53772000</v>
      </c>
      <c r="O280" s="13">
        <f>Tabela3[[#This Row],[Capital Social]]*20%</f>
        <v>29774671.212000001</v>
      </c>
      <c r="P280" s="13">
        <f>IF((Tabela3[Lucro Líquido]*5%)&gt;Tabela3[Teto R. Legal],Tabela3[Teto R. Legal],Tabela3[Lucro Líquido]*5%)</f>
        <v>-2688600</v>
      </c>
      <c r="Q280" s="13">
        <f>IF(Tabela3[Lucro Líquido]&lt;0,0,Tabela3[Lucro Líquido]-Tabela3[Reserva Legal])</f>
        <v>0</v>
      </c>
      <c r="R280" s="13">
        <f>Tabela3[[#This Row],[Lucro Distribuir]]*Tabela3[%Div]</f>
        <v>0</v>
      </c>
      <c r="S280" s="56">
        <f>SUMPRODUCT(N(Tabela3[Nome]=Tabela3[[#This Row],[Nome]]),Tabela3[Ações])</f>
        <v>1142129842</v>
      </c>
      <c r="T280" s="6">
        <f>Tabela3[Capital Social]/Tabela3[Total Ações]</f>
        <v>0.13034713793950584</v>
      </c>
      <c r="U280" s="80">
        <f>Tabela3[[#This Row],[Lucro Líquido]]/Tabela3[[#This Row],[Total Ações]]</f>
        <v>-4.7080461452472931E-2</v>
      </c>
      <c r="V28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8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1.3034713793950584E-2</v>
      </c>
      <c r="Y28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1.3034713793950584E-2</v>
      </c>
      <c r="Z280" s="13">
        <f>Tabela3[Div Base]*Tabela3[Ações]</f>
        <v>12924461.440045528</v>
      </c>
      <c r="AA280" s="13">
        <f>SUMPRODUCT(N(Tabela3[Nome]=Tabela3[[#This Row],[Nome]]),Tabela3[Div Base]*Tabela3[Ações])</f>
        <v>14887335.606000001</v>
      </c>
      <c r="AB280" s="95">
        <f>Tabela3[Patrimônio Líquido]/Tabela3[Total Ações]</f>
        <v>-0.50321511518652706</v>
      </c>
      <c r="AC280" s="48">
        <f>MAX(Tabela3[[#This Row],[Cotação 1]:[Cotação 4]])</f>
        <v>0.36</v>
      </c>
      <c r="AD280" s="44">
        <f>Tabela3[Cotação]/Tabela3[VPA]</f>
        <v>-0.71539981438466638</v>
      </c>
      <c r="AE280" s="40">
        <f>IF(Tabela3[[#This Row],[Lucro/Ação]]&gt;0,Tabela3[[#This Row],[Cotação]]/(Tabela3[[#This Row],[Lucro/Ação]]/Tabela3[Ref]*4),0)</f>
        <v>0</v>
      </c>
      <c r="AF280" s="91">
        <f>IF(Tabela3[Div. Mínimo]=0,0,Tabela3[Lucro Distribuir]*#REF!/Tabela3[Total Ações])</f>
        <v>0</v>
      </c>
      <c r="AG280" s="80">
        <f>Tabela3[Lucro Distribuir]/Tabela3[Total Ações]</f>
        <v>0</v>
      </c>
      <c r="AH28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1.3034713793950584E-2</v>
      </c>
      <c r="AI280" s="14" t="str">
        <f>IF(AND(Tabela3[% A.A.]&gt;=7%,SUMPRODUCT(N(Tabela3[Nome]=Tabela3[[#This Row],[Nome]]),Tabela3[PL])&gt;0),"Sim","Não")</f>
        <v>Não</v>
      </c>
      <c r="AJ280" s="42">
        <f>IF(Tabela3[Cotação]&gt;0,Tabela3[[#This Row],[Lucro]]/Tabela3[[#This Row],[Cotação]],0)</f>
        <v>3.6207538316529404E-2</v>
      </c>
      <c r="AK280" s="42">
        <f>((1+Tabela3[[#This Row],[% Yield]])^(1/(3*Tabela3[[#This Row],[Ref]])))^(12)-1</f>
        <v>4.8565738558229654E-2</v>
      </c>
      <c r="AL280" s="14">
        <f>IF(Tabela3[Cotação]&gt;0,($AS$1/Tabela3[[#This Row],[Cotação]]-MOD($AS$1/Tabela3[[#This Row],[Cotação]],100)),)</f>
        <v>2700</v>
      </c>
      <c r="AM280" s="17">
        <f>Tabela3[[#This Row],[Ativos]]*Tabela3[Lucro]</f>
        <v>35.193727243666579</v>
      </c>
      <c r="AN280" s="17">
        <f>SUMPRODUCT(N(Tabela1[Código]=Tabela3[[#This Row],[PAPEL]]),Tabela1[Fechamento])</f>
        <v>0</v>
      </c>
      <c r="AO280" s="17">
        <f>SUMPRODUCT(N(Tabela17[Código]=Tabela3[[#This Row],[PAPEL]]),Tabela17[Fechamento])</f>
        <v>0</v>
      </c>
      <c r="AP280" s="17">
        <f>SUMPRODUCT(N(Tabela176[Código]=Tabela3[[#This Row],[PAPEL]]),Tabela176[Fechamento])</f>
        <v>0.36</v>
      </c>
      <c r="AQ280" s="17">
        <f>SUMPRODUCT(N(Tabela1768[Código]=Tabela3[[#This Row],[PAPEL]]),Tabela1768[Fechamento])</f>
        <v>0</v>
      </c>
    </row>
    <row r="281" spans="1:43" hidden="1" x14ac:dyDescent="0.2">
      <c r="A281" s="4" t="s">
        <v>249</v>
      </c>
      <c r="B281" s="57" t="s">
        <v>612</v>
      </c>
      <c r="C281" s="15" t="str">
        <f>LEFT(Tabela3[PAPEL],LEN(Tabela3[PAPEL])-(LEN(Tabela3[PAPEL])-4))</f>
        <v>RPMG</v>
      </c>
      <c r="D281" s="15">
        <v>3</v>
      </c>
      <c r="E281" s="6">
        <v>148873356.06</v>
      </c>
      <c r="F281" s="8">
        <v>150588206</v>
      </c>
      <c r="G281" s="83">
        <v>0.25</v>
      </c>
      <c r="H281" s="15"/>
      <c r="I281" s="19">
        <v>0.1</v>
      </c>
      <c r="J281" s="19"/>
      <c r="K281" s="90"/>
      <c r="L281" s="90"/>
      <c r="M281" s="96">
        <v>-574737000</v>
      </c>
      <c r="N281" s="97">
        <v>-53772000</v>
      </c>
      <c r="O281" s="13">
        <f>Tabela3[[#This Row],[Capital Social]]*20%</f>
        <v>29774671.212000001</v>
      </c>
      <c r="P281" s="13">
        <f>IF((Tabela3[Lucro Líquido]*5%)&gt;Tabela3[Teto R. Legal],Tabela3[Teto R. Legal],Tabela3[Lucro Líquido]*5%)</f>
        <v>-2688600</v>
      </c>
      <c r="Q281" s="13">
        <f>IF(Tabela3[Lucro Líquido]&lt;0,0,Tabela3[Lucro Líquido]-Tabela3[Reserva Legal])</f>
        <v>0</v>
      </c>
      <c r="R281" s="13">
        <f>Tabela3[[#This Row],[Lucro Distribuir]]*Tabela3[%Div]</f>
        <v>0</v>
      </c>
      <c r="S281" s="56">
        <f>SUMPRODUCT(N(Tabela3[Nome]=Tabela3[[#This Row],[Nome]]),Tabela3[Ações])</f>
        <v>1142129842</v>
      </c>
      <c r="T281" s="6">
        <f>Tabela3[Capital Social]/Tabela3[Total Ações]</f>
        <v>0.13034713793950584</v>
      </c>
      <c r="U281" s="80">
        <f>Tabela3[[#This Row],[Lucro Líquido]]/Tabela3[[#This Row],[Total Ações]]</f>
        <v>-4.7080461452472931E-2</v>
      </c>
      <c r="V28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8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1.3034713793950584E-2</v>
      </c>
      <c r="Y28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1.3034713793950584E-2</v>
      </c>
      <c r="Z281" s="13">
        <f>Tabela3[Div Base]*Tabela3[Ações]</f>
        <v>1962874.165954472</v>
      </c>
      <c r="AA281" s="13">
        <f>SUMPRODUCT(N(Tabela3[Nome]=Tabela3[[#This Row],[Nome]]),Tabela3[Div Base]*Tabela3[Ações])</f>
        <v>14887335.606000001</v>
      </c>
      <c r="AB281" s="95">
        <f>Tabela3[Patrimônio Líquido]/Tabela3[Total Ações]</f>
        <v>-0.50321511518652706</v>
      </c>
      <c r="AC281" s="48">
        <f>MAX(Tabela3[[#This Row],[Cotação 1]:[Cotação 4]])</f>
        <v>0.34</v>
      </c>
      <c r="AD281" s="44">
        <f>Tabela3[Cotação]/Tabela3[VPA]</f>
        <v>-0.67565538025218497</v>
      </c>
      <c r="AE281" s="40">
        <f>IF(Tabela3[[#This Row],[Lucro/Ação]]&gt;0,Tabela3[[#This Row],[Cotação]]/(Tabela3[[#This Row],[Lucro/Ação]]/Tabela3[Ref]*4),0)</f>
        <v>0</v>
      </c>
      <c r="AF281" s="91">
        <f>IF(Tabela3[Div. Mínimo]=0,0,Tabela3[Lucro Distribuir]*#REF!/Tabela3[Total Ações])</f>
        <v>0</v>
      </c>
      <c r="AG281" s="80">
        <f>Tabela3[Lucro Distribuir]/Tabela3[Total Ações]</f>
        <v>0</v>
      </c>
      <c r="AH28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1.3034713793950584E-2</v>
      </c>
      <c r="AI281" s="14" t="str">
        <f>IF(AND(Tabela3[% A.A.]&gt;=7%,SUMPRODUCT(N(Tabela3[Nome]=Tabela3[[#This Row],[Nome]]),Tabela3[PL])&gt;0),"Sim","Não")</f>
        <v>Não</v>
      </c>
      <c r="AJ281" s="42">
        <f>IF(Tabela3[Cotação]&gt;0,Tabela3[[#This Row],[Lucro]]/Tabela3[[#This Row],[Cotação]],0)</f>
        <v>3.8337393511619362E-2</v>
      </c>
      <c r="AK281" s="42">
        <f>((1+Tabela3[[#This Row],[% Yield]])^(1/(3*Tabela3[[#This Row],[Ref]])))^(12)-1</f>
        <v>5.1440398080887739E-2</v>
      </c>
      <c r="AL281" s="14">
        <f>IF(Tabela3[Cotação]&gt;0,($AS$1/Tabela3[[#This Row],[Cotação]]-MOD($AS$1/Tabela3[[#This Row],[Cotação]],100)),)</f>
        <v>2900</v>
      </c>
      <c r="AM281" s="17">
        <f>Tabela3[[#This Row],[Ativos]]*Tabela3[Lucro]</f>
        <v>37.800670002456691</v>
      </c>
      <c r="AN281" s="17">
        <f>SUMPRODUCT(N(Tabela1[Código]=Tabela3[[#This Row],[PAPEL]]),Tabela1[Fechamento])</f>
        <v>0</v>
      </c>
      <c r="AO281" s="17">
        <f>SUMPRODUCT(N(Tabela17[Código]=Tabela3[[#This Row],[PAPEL]]),Tabela17[Fechamento])</f>
        <v>0</v>
      </c>
      <c r="AP281" s="17">
        <f>SUMPRODUCT(N(Tabela176[Código]=Tabela3[[#This Row],[PAPEL]]),Tabela176[Fechamento])</f>
        <v>0.34</v>
      </c>
      <c r="AQ281" s="17">
        <f>SUMPRODUCT(N(Tabela1768[Código]=Tabela3[[#This Row],[PAPEL]]),Tabela1768[Fechamento])</f>
        <v>0</v>
      </c>
    </row>
    <row r="282" spans="1:43" hidden="1" x14ac:dyDescent="0.2">
      <c r="A282" s="4" t="s">
        <v>14</v>
      </c>
      <c r="B282" s="57" t="s">
        <v>580</v>
      </c>
      <c r="C282" s="15" t="str">
        <f>LEFT(Tabela3[PAPEL],LEN(Tabela3[PAPEL])-(LEN(Tabela3[PAPEL])-4))</f>
        <v>SANB</v>
      </c>
      <c r="D282" s="15">
        <v>3</v>
      </c>
      <c r="E282" s="6"/>
      <c r="F282" s="8"/>
      <c r="G282" s="88">
        <v>0.25</v>
      </c>
      <c r="H282" s="15"/>
      <c r="I282" s="19"/>
      <c r="J282" s="19"/>
      <c r="K282" s="90">
        <v>55</v>
      </c>
      <c r="L282" s="90">
        <v>50</v>
      </c>
      <c r="M282" s="96"/>
      <c r="N282" s="97"/>
      <c r="O282" s="13">
        <f>Tabela3[[#This Row],[Capital Social]]*20%</f>
        <v>0</v>
      </c>
      <c r="P282" s="13">
        <f>IF((Tabela3[Lucro Líquido]*5%)&gt;Tabela3[Teto R. Legal],Tabela3[Teto R. Legal],Tabela3[Lucro Líquido]*5%)</f>
        <v>0</v>
      </c>
      <c r="Q282" s="13">
        <f>IF(Tabela3[Lucro Líquido]&lt;0,0,Tabela3[Lucro Líquido]-Tabela3[Reserva Legal])</f>
        <v>0</v>
      </c>
      <c r="R282" s="13">
        <f>Tabela3[[#This Row],[Lucro Distribuir]]*Tabela3[%Div]</f>
        <v>0</v>
      </c>
      <c r="S282" s="56">
        <f>SUMPRODUCT(N(Tabela3[Nome]=Tabela3[[#This Row],[Nome]]),Tabela3[Ações])</f>
        <v>399044116905</v>
      </c>
      <c r="T282" s="6">
        <f>Tabela3[Capital Social]/Tabela3[Total Ações]</f>
        <v>0</v>
      </c>
      <c r="U282" s="80">
        <f>Tabela3[[#This Row],[Lucro Líquido]]/Tabela3[[#This Row],[Total Ações]]</f>
        <v>0</v>
      </c>
      <c r="V28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8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82" s="13">
        <f>Tabela3[Div Base]*Tabela3[Ações]</f>
        <v>0</v>
      </c>
      <c r="AA282" s="13">
        <f>SUMPRODUCT(N(Tabela3[Nome]=Tabela3[[#This Row],[Nome]]),Tabela3[Div Base]*Tabela3[Ações])</f>
        <v>1039699969.6124685</v>
      </c>
      <c r="AB282" s="95">
        <f>Tabela3[Patrimônio Líquido]/Tabela3[Total Ações]</f>
        <v>0</v>
      </c>
      <c r="AC282" s="48">
        <f>MAX(Tabela3[[#This Row],[Cotação 1]:[Cotação 4]])</f>
        <v>11.6</v>
      </c>
      <c r="AD282" s="44" t="e">
        <f>Tabela3[Cotação]/Tabela3[VPA]</f>
        <v>#DIV/0!</v>
      </c>
      <c r="AE282" s="40">
        <f>IF(Tabela3[[#This Row],[Lucro/Ação]]&gt;0,Tabela3[[#This Row],[Cotação]]/(Tabela3[[#This Row],[Lucro/Ação]]/Tabela3[Ref]*4),0)</f>
        <v>0</v>
      </c>
      <c r="AF282" s="91">
        <f>IF(Tabela3[Div. Mínimo]=0,0,Tabela3[Lucro Distribuir]*#REF!/Tabela3[Total Ações])</f>
        <v>0</v>
      </c>
      <c r="AG282" s="80">
        <f>Tabela3[Lucro Distribuir]/Tabela3[Total Ações]</f>
        <v>0</v>
      </c>
      <c r="AH28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0.27382513057366753</v>
      </c>
      <c r="AI282" s="14" t="str">
        <f>IF(AND(Tabela3[% A.A.]&gt;=7%,SUMPRODUCT(N(Tabela3[Nome]=Tabela3[[#This Row],[Nome]]),Tabela3[PL])&gt;0),"Sim","Não")</f>
        <v>Não</v>
      </c>
      <c r="AJ282" s="42">
        <f>IF(Tabela3[Cotação]&gt;0,Tabela3[[#This Row],[Lucro]]/Tabela3[[#This Row],[Cotação]],0)</f>
        <v>2.360561470462651E-2</v>
      </c>
      <c r="AK282" s="42">
        <f>((1+Tabela3[[#This Row],[% Yield]])^(1/(3*Tabela3[[#This Row],[Ref]])))^(12)-1</f>
        <v>3.1597337474547293E-2</v>
      </c>
      <c r="AL282" s="14">
        <f>IF(Tabela3[Cotação]&gt;0,($AS$1/Tabela3[[#This Row],[Cotação]]-MOD($AS$1/Tabela3[[#This Row],[Cotação]],100)),)</f>
        <v>0</v>
      </c>
      <c r="AM282" s="17">
        <f>Tabela3[[#This Row],[Ativos]]*Tabela3[Lucro]</f>
        <v>0</v>
      </c>
      <c r="AN282" s="17">
        <f>SUMPRODUCT(N(Tabela1[Código]=Tabela3[[#This Row],[PAPEL]]),Tabela1[Fechamento])</f>
        <v>0</v>
      </c>
      <c r="AO282" s="17">
        <f>SUMPRODUCT(N(Tabela17[Código]=Tabela3[[#This Row],[PAPEL]]),Tabela17[Fechamento])</f>
        <v>0</v>
      </c>
      <c r="AP282" s="17">
        <f>SUMPRODUCT(N(Tabela176[Código]=Tabela3[[#This Row],[PAPEL]]),Tabela176[Fechamento])</f>
        <v>11.6</v>
      </c>
      <c r="AQ282" s="17">
        <f>SUMPRODUCT(N(Tabela1768[Código]=Tabela3[[#This Row],[PAPEL]]),Tabela1768[Fechamento])</f>
        <v>0</v>
      </c>
    </row>
    <row r="283" spans="1:43" hidden="1" x14ac:dyDescent="0.2">
      <c r="A283" s="4" t="s">
        <v>14</v>
      </c>
      <c r="B283" s="57" t="s">
        <v>581</v>
      </c>
      <c r="C283" s="15" t="str">
        <f>LEFT(Tabela3[PAPEL],LEN(Tabela3[PAPEL])-(LEN(Tabela3[PAPEL])-4))</f>
        <v>SANB</v>
      </c>
      <c r="D283" s="15">
        <v>3</v>
      </c>
      <c r="E283" s="6">
        <v>62828201614.209999</v>
      </c>
      <c r="F283" s="8">
        <v>212841731754</v>
      </c>
      <c r="G283" s="88">
        <v>0.25</v>
      </c>
      <c r="H283" s="15"/>
      <c r="I283" s="19"/>
      <c r="J283" s="19"/>
      <c r="K283" s="90"/>
      <c r="L283" s="90"/>
      <c r="M283" s="96">
        <v>81370158000</v>
      </c>
      <c r="N283" s="97">
        <v>4316832000</v>
      </c>
      <c r="O283" s="13">
        <f>Tabela3[[#This Row],[Capital Social]]*20%</f>
        <v>12565640322.842001</v>
      </c>
      <c r="P283" s="13">
        <f>IF((Tabela3[Lucro Líquido]*5%)&gt;Tabela3[Teto R. Legal],Tabela3[Teto R. Legal],Tabela3[Lucro Líquido]*5%)</f>
        <v>215841600</v>
      </c>
      <c r="Q283" s="13">
        <f>IF(Tabela3[Lucro Líquido]&lt;0,0,Tabela3[Lucro Líquido]-Tabela3[Reserva Legal])</f>
        <v>4100990400</v>
      </c>
      <c r="R283" s="13">
        <f>Tabela3[[#This Row],[Lucro Distribuir]]*Tabela3[%Div]</f>
        <v>1025247600</v>
      </c>
      <c r="S283" s="56">
        <f>SUMPRODUCT(N(Tabela3[Nome]=Tabela3[[#This Row],[Nome]]),Tabela3[Ações])</f>
        <v>399044116905</v>
      </c>
      <c r="T283" s="6">
        <f>Tabela3[Capital Social]/Tabela3[Total Ações]</f>
        <v>0.15744675576602335</v>
      </c>
      <c r="U283" s="80">
        <f>Tabela3[[#This Row],[Lucro Líquido]]/Tabela3[[#This Row],[Total Ações]]</f>
        <v>1.0817931695075469E-2</v>
      </c>
      <c r="V28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2.4893193671464693E-3</v>
      </c>
      <c r="W28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2.4893193671464693E-3</v>
      </c>
      <c r="Z283" s="13">
        <f>Tabela3[Div Base]*Tabela3[Ações]</f>
        <v>529831044.99222589</v>
      </c>
      <c r="AA283" s="13">
        <f>SUMPRODUCT(N(Tabela3[Nome]=Tabela3[[#This Row],[Nome]]),Tabela3[Div Base]*Tabela3[Ações])</f>
        <v>1039699969.6124685</v>
      </c>
      <c r="AB283" s="95">
        <f>Tabela3[Patrimônio Líquido]/Tabela3[Total Ações]</f>
        <v>0.20391268672524174</v>
      </c>
      <c r="AC283" s="48">
        <f>MAX(Tabela3[[#This Row],[Cotação 1]:[Cotação 4]])</f>
        <v>0.11</v>
      </c>
      <c r="AD283" s="44">
        <f>Tabela3[Cotação]/Tabela3[VPA]</f>
        <v>0.5394465727785609</v>
      </c>
      <c r="AE283" s="40">
        <f>IF(Tabela3[[#This Row],[Lucro/Ação]]&gt;0,Tabela3[[#This Row],[Cotação]]/(Tabela3[[#This Row],[Lucro/Ação]]/Tabela3[Ref]*4),0)</f>
        <v>7.6262267432836159</v>
      </c>
      <c r="AF283" s="91" t="e">
        <f>IF(Tabela3[Div. Mínimo]=0,0,Tabela3[Lucro Distribuir]*#REF!/Tabela3[Total Ações])</f>
        <v>#REF!</v>
      </c>
      <c r="AG283" s="80">
        <f>Tabela3[Lucro Distribuir]/Tabela3[Total Ações]</f>
        <v>1.0277035110321695E-2</v>
      </c>
      <c r="AH28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2.4893193671464693E-3</v>
      </c>
      <c r="AI283" s="14" t="str">
        <f>IF(AND(Tabela3[% A.A.]&gt;=7%,SUMPRODUCT(N(Tabela3[Nome]=Tabela3[[#This Row],[Nome]]),Tabela3[PL])&gt;0),"Sim","Não")</f>
        <v>Não</v>
      </c>
      <c r="AJ283" s="42">
        <f>IF(Tabela3[Cotação]&gt;0,Tabela3[[#This Row],[Lucro]]/Tabela3[[#This Row],[Cotação]],0)</f>
        <v>2.2630176064967901E-2</v>
      </c>
      <c r="AK283" s="42">
        <f>((1+Tabela3[[#This Row],[% Yield]])^(1/(3*Tabela3[[#This Row],[Ref]])))^(12)-1</f>
        <v>3.0286806625503093E-2</v>
      </c>
      <c r="AL283" s="14">
        <f>IF(Tabela3[Cotação]&gt;0,($AS$1/Tabela3[[#This Row],[Cotação]]-MOD($AS$1/Tabela3[[#This Row],[Cotação]],100)),)</f>
        <v>9000</v>
      </c>
      <c r="AM283" s="17">
        <f>Tabela3[[#This Row],[Ativos]]*Tabela3[Lucro]</f>
        <v>22.403874304318222</v>
      </c>
      <c r="AN283" s="17">
        <f>SUMPRODUCT(N(Tabela1[Código]=Tabela3[[#This Row],[PAPEL]]),Tabela1[Fechamento])</f>
        <v>0</v>
      </c>
      <c r="AO283" s="17">
        <f>SUMPRODUCT(N(Tabela17[Código]=Tabela3[[#This Row],[PAPEL]]),Tabela17[Fechamento])</f>
        <v>0</v>
      </c>
      <c r="AP283" s="17">
        <f>SUMPRODUCT(N(Tabela176[Código]=Tabela3[[#This Row],[PAPEL]]),Tabela176[Fechamento])</f>
        <v>0.11</v>
      </c>
      <c r="AQ283" s="17">
        <f>SUMPRODUCT(N(Tabela1768[Código]=Tabela3[[#This Row],[PAPEL]]),Tabela1768[Fechamento])</f>
        <v>0</v>
      </c>
    </row>
    <row r="284" spans="1:43" hidden="1" x14ac:dyDescent="0.2">
      <c r="A284" s="4" t="s">
        <v>14</v>
      </c>
      <c r="B284" s="57" t="s">
        <v>582</v>
      </c>
      <c r="C284" s="15" t="str">
        <f>LEFT(Tabela3[PAPEL],LEN(Tabela3[PAPEL])-(LEN(Tabela3[PAPEL])-4))</f>
        <v>SANB</v>
      </c>
      <c r="D284" s="15">
        <v>3</v>
      </c>
      <c r="E284" s="6">
        <v>62828201614.209999</v>
      </c>
      <c r="F284" s="8">
        <v>186202385151</v>
      </c>
      <c r="G284" s="88">
        <v>0.25</v>
      </c>
      <c r="H284" s="15"/>
      <c r="I284" s="19"/>
      <c r="J284" s="19">
        <v>0.1</v>
      </c>
      <c r="K284" s="90"/>
      <c r="L284" s="90"/>
      <c r="M284" s="96">
        <v>81370158000</v>
      </c>
      <c r="N284" s="97">
        <v>4316832000</v>
      </c>
      <c r="O284" s="13">
        <f>Tabela3[[#This Row],[Capital Social]]*20%</f>
        <v>12565640322.842001</v>
      </c>
      <c r="P284" s="13">
        <f>IF((Tabela3[Lucro Líquido]*5%)&gt;Tabela3[Teto R. Legal],Tabela3[Teto R. Legal],Tabela3[Lucro Líquido]*5%)</f>
        <v>215841600</v>
      </c>
      <c r="Q284" s="13">
        <f>IF(Tabela3[Lucro Líquido]&lt;0,0,Tabela3[Lucro Líquido]-Tabela3[Reserva Legal])</f>
        <v>4100990400</v>
      </c>
      <c r="R284" s="13">
        <f>Tabela3[[#This Row],[Lucro Distribuir]]*Tabela3[%Div]</f>
        <v>1025247600</v>
      </c>
      <c r="S284" s="56">
        <f>SUMPRODUCT(N(Tabela3[Nome]=Tabela3[[#This Row],[Nome]]),Tabela3[Ações])</f>
        <v>399044116905</v>
      </c>
      <c r="T284" s="6">
        <f>Tabela3[Capital Social]/Tabela3[Total Ações]</f>
        <v>0.15744675576602335</v>
      </c>
      <c r="U284" s="80">
        <f>Tabela3[[#This Row],[Lucro Líquido]]/Tabela3[[#This Row],[Total Ações]]</f>
        <v>1.0817931695075469E-2</v>
      </c>
      <c r="V28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2.738251307612234E-3</v>
      </c>
      <c r="W28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2.738251307612234E-3</v>
      </c>
      <c r="Z284" s="13">
        <f>Tabela3[Div Base]*Tabela3[Ações]</f>
        <v>509868924.6202426</v>
      </c>
      <c r="AA284" s="13">
        <f>SUMPRODUCT(N(Tabela3[Nome]=Tabela3[[#This Row],[Nome]]),Tabela3[Div Base]*Tabela3[Ações])</f>
        <v>1039699969.6124685</v>
      </c>
      <c r="AB284" s="95">
        <f>Tabela3[Patrimônio Líquido]/Tabela3[Total Ações]</f>
        <v>0.20391268672524174</v>
      </c>
      <c r="AC284" s="48">
        <f>MAX(Tabela3[[#This Row],[Cotação 1]:[Cotação 4]])</f>
        <v>0.12</v>
      </c>
      <c r="AD284" s="44">
        <f>Tabela3[Cotação]/Tabela3[VPA]</f>
        <v>0.58848717030388453</v>
      </c>
      <c r="AE284" s="40">
        <f>IF(Tabela3[[#This Row],[Lucro/Ação]]&gt;0,Tabela3[[#This Row],[Cotação]]/(Tabela3[[#This Row],[Lucro/Ação]]/Tabela3[Ref]*4),0)</f>
        <v>8.319520083582125</v>
      </c>
      <c r="AF284" s="91" t="e">
        <f>IF(Tabela3[Div. Mínimo]=0,0,Tabela3[Lucro Distribuir]*#REF!/Tabela3[Total Ações])</f>
        <v>#REF!</v>
      </c>
      <c r="AG284" s="80">
        <f>Tabela3[Lucro Distribuir]/Tabela3[Total Ações]</f>
        <v>1.0277035110321695E-2</v>
      </c>
      <c r="AH28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2.738251307612234E-3</v>
      </c>
      <c r="AI284" s="14" t="str">
        <f>IF(AND(Tabela3[% A.A.]&gt;=7%,SUMPRODUCT(N(Tabela3[Nome]=Tabela3[[#This Row],[Nome]]),Tabela3[PL])&gt;0),"Sim","Não")</f>
        <v>Não</v>
      </c>
      <c r="AJ284" s="42">
        <f>IF(Tabela3[Cotação]&gt;0,Tabela3[[#This Row],[Lucro]]/Tabela3[[#This Row],[Cotação]],0)</f>
        <v>2.2818760896768618E-2</v>
      </c>
      <c r="AK284" s="42">
        <f>((1+Tabela3[[#This Row],[% Yield]])^(1/(3*Tabela3[[#This Row],[Ref]])))^(12)-1</f>
        <v>3.0540143482027382E-2</v>
      </c>
      <c r="AL284" s="14">
        <f>IF(Tabela3[Cotação]&gt;0,($AS$1/Tabela3[[#This Row],[Cotação]]-MOD($AS$1/Tabela3[[#This Row],[Cotação]],100)),)</f>
        <v>8300</v>
      </c>
      <c r="AM284" s="17">
        <f>Tabela3[[#This Row],[Ativos]]*Tabela3[Lucro]</f>
        <v>22.727485853181541</v>
      </c>
      <c r="AN284" s="17">
        <f>SUMPRODUCT(N(Tabela1[Código]=Tabela3[[#This Row],[PAPEL]]),Tabela1[Fechamento])</f>
        <v>0</v>
      </c>
      <c r="AO284" s="17">
        <f>SUMPRODUCT(N(Tabela17[Código]=Tabela3[[#This Row],[PAPEL]]),Tabela17[Fechamento])</f>
        <v>0</v>
      </c>
      <c r="AP284" s="17">
        <f>SUMPRODUCT(N(Tabela176[Código]=Tabela3[[#This Row],[PAPEL]]),Tabela176[Fechamento])</f>
        <v>0.12</v>
      </c>
      <c r="AQ284" s="17">
        <f>SUMPRODUCT(N(Tabela1768[Código]=Tabela3[[#This Row],[PAPEL]]),Tabela1768[Fechamento])</f>
        <v>0</v>
      </c>
    </row>
    <row r="285" spans="1:43" hidden="1" x14ac:dyDescent="0.2">
      <c r="A285" s="4" t="s">
        <v>37</v>
      </c>
      <c r="B285" s="57" t="s">
        <v>186</v>
      </c>
      <c r="C285" s="14" t="str">
        <f>LEFT(Tabela3[PAPEL],LEN(Tabela3[PAPEL])-(LEN(Tabela3[PAPEL])-4))</f>
        <v>SAPR</v>
      </c>
      <c r="D285" s="15">
        <v>3</v>
      </c>
      <c r="E285" s="6">
        <v>2597359806</v>
      </c>
      <c r="F285" s="8">
        <v>289836870</v>
      </c>
      <c r="G285" s="83">
        <v>0.25</v>
      </c>
      <c r="H285" s="15"/>
      <c r="I285" s="19"/>
      <c r="J285" s="19"/>
      <c r="K285" s="90"/>
      <c r="L285" s="90"/>
      <c r="M285" s="6">
        <v>3403126000</v>
      </c>
      <c r="N285" s="6">
        <v>314887000</v>
      </c>
      <c r="O285" s="6">
        <f>Tabela3[[#This Row],[Capital Social]]*20%</f>
        <v>519471961.20000005</v>
      </c>
      <c r="P285" s="6">
        <f>IF((Tabela3[Lucro Líquido]*5%)&gt;Tabela3[Teto R. Legal],Tabela3[Teto R. Legal],Tabela3[Lucro Líquido]*5%)</f>
        <v>15744350</v>
      </c>
      <c r="Q285" s="6">
        <f>IF(Tabela3[Lucro Líquido]&lt;0,0,Tabela3[Lucro Líquido]-Tabela3[Reserva Legal])</f>
        <v>299142650</v>
      </c>
      <c r="R285" s="6">
        <f>Tabela3[[#This Row],[Lucro Distribuir]]*Tabela3[%Div]</f>
        <v>74785662.5</v>
      </c>
      <c r="S285" s="21">
        <f>SUMPRODUCT(N(Tabela3[Nome]=Tabela3[[#This Row],[Nome]]),Tabela3[Ações])</f>
        <v>476620206</v>
      </c>
      <c r="T285" s="6">
        <f>Tabela3[Capital Social]/Tabela3[Total Ações]</f>
        <v>5.4495377520775943</v>
      </c>
      <c r="U285" s="80">
        <f>Tabela3[[#This Row],[Lucro Líquido]]/Tabela3[[#This Row],[Total Ações]]</f>
        <v>0.66066649301897196</v>
      </c>
      <c r="V28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0.15202627846555206</v>
      </c>
      <c r="W28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0.15202627846555206</v>
      </c>
      <c r="Z285" s="6">
        <f>Tabela3[Div Base]*Tabela3[Ações]</f>
        <v>44062820.708204009</v>
      </c>
      <c r="AA285" s="6">
        <f>SUMPRODUCT(N(Tabela3[Nome]=Tabela3[[#This Row],[Nome]]),Tabela3[Div Base]*Tabela3[Ações])</f>
        <v>75298393.747600317</v>
      </c>
      <c r="AB285" s="6">
        <f>Tabela3[Patrimônio Líquido]/Tabela3[Total Ações]</f>
        <v>7.1401211219316201</v>
      </c>
      <c r="AC285" s="48">
        <f>MAX(Tabela3[[#This Row],[Cotação 1]:[Cotação 4]])</f>
        <v>8.19</v>
      </c>
      <c r="AD285" s="44">
        <f>Tabela3[Cotação]/Tabela3[VPA]</f>
        <v>1.1470393653188273</v>
      </c>
      <c r="AE285" s="40">
        <f>IF(Tabela3[[#This Row],[Lucro/Ação]]&gt;0,Tabela3[[#This Row],[Cotação]]/(Tabela3[[#This Row],[Lucro/Ação]]/Tabela3[Ref]*4),0)</f>
        <v>9.2974292852832914</v>
      </c>
      <c r="AF285" s="40" t="e">
        <f>IF(Tabela3[Div. Mínimo]=0,0,Tabela3[Lucro Distribuir]*#REF!/Tabela3[Total Ações])</f>
        <v>#REF!</v>
      </c>
      <c r="AG285" s="80">
        <f>Tabela3[Lucro Distribuir]/Tabela3[Total Ações]</f>
        <v>0.62763316836802341</v>
      </c>
      <c r="AH28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0.15202627846555206</v>
      </c>
      <c r="AI285" s="15" t="str">
        <f>IF(AND(Tabela3[% A.A.]&gt;=7%,SUMPRODUCT(N(Tabela3[Nome]=Tabela3[[#This Row],[Nome]]),Tabela3[PL])&gt;0),"Sim","Não")</f>
        <v>Não</v>
      </c>
      <c r="AJ285" s="42">
        <f>IF(Tabela3[Cotação]&gt;0,Tabela3[[#This Row],[Lucro]]/Tabela3[[#This Row],[Cotação]],0)</f>
        <v>1.856242716307107E-2</v>
      </c>
      <c r="AK285" s="19">
        <f>((1+Tabela3[[#This Row],[% Yield]])^(1/(3*Tabela3[[#This Row],[Ref]])))^(12)-1</f>
        <v>2.4826159165840522E-2</v>
      </c>
      <c r="AL285" s="14">
        <f>IF(Tabela3[Cotação]&gt;0,($AS$1/Tabela3[[#This Row],[Cotação]]-MOD($AS$1/Tabela3[[#This Row],[Cotação]],100)),)</f>
        <v>100</v>
      </c>
      <c r="AM285" s="17">
        <f>Tabela3[[#This Row],[Ativos]]*Tabela3[Lucro]</f>
        <v>15.202627846555206</v>
      </c>
      <c r="AN285" s="5">
        <f>SUMPRODUCT(N(Tabela1[Código]=Tabela3[[#This Row],[PAPEL]]),Tabela1[Fechamento])</f>
        <v>8.19</v>
      </c>
      <c r="AO285" s="5">
        <f>SUMPRODUCT(N(Tabela17[Código]=Tabela3[[#This Row],[PAPEL]]),Tabela17[Fechamento])</f>
        <v>0</v>
      </c>
      <c r="AP285" s="7">
        <f>SUMPRODUCT(N(Tabela176[Código]=Tabela3[[#This Row],[PAPEL]]),Tabela176[Fechamento])</f>
        <v>0</v>
      </c>
      <c r="AQ285" s="7">
        <f>SUMPRODUCT(N(Tabela1768[Código]=Tabela3[[#This Row],[PAPEL]]),Tabela1768[Fechamento])</f>
        <v>0</v>
      </c>
    </row>
    <row r="286" spans="1:43" hidden="1" x14ac:dyDescent="0.2">
      <c r="A286" s="4" t="s">
        <v>37</v>
      </c>
      <c r="B286" s="57" t="s">
        <v>66</v>
      </c>
      <c r="C286" s="14" t="str">
        <f>LEFT(Tabela3[PAPEL],LEN(Tabela3[PAPEL])-(LEN(Tabela3[PAPEL])-4))</f>
        <v>SAPR</v>
      </c>
      <c r="D286" s="15">
        <v>3</v>
      </c>
      <c r="E286" s="6">
        <v>2597359806</v>
      </c>
      <c r="F286" s="8">
        <v>186783336</v>
      </c>
      <c r="G286" s="88">
        <v>0.25</v>
      </c>
      <c r="H286" s="15"/>
      <c r="I286" s="19"/>
      <c r="J286" s="19">
        <v>0.1</v>
      </c>
      <c r="K286" s="90"/>
      <c r="L286" s="90"/>
      <c r="M286" s="6">
        <v>3403126000</v>
      </c>
      <c r="N286" s="6">
        <v>314887000</v>
      </c>
      <c r="O286" s="6">
        <f>Tabela3[[#This Row],[Capital Social]]*20%</f>
        <v>519471961.20000005</v>
      </c>
      <c r="P286" s="6">
        <f>IF((Tabela3[Lucro Líquido]*5%)&gt;Tabela3[Teto R. Legal],Tabela3[Teto R. Legal],Tabela3[Lucro Líquido]*5%)</f>
        <v>15744350</v>
      </c>
      <c r="Q286" s="6">
        <f>IF(Tabela3[Lucro Líquido]&lt;0,0,Tabela3[Lucro Líquido]-Tabela3[Reserva Legal])</f>
        <v>299142650</v>
      </c>
      <c r="R286" s="6">
        <f>Tabela3[[#This Row],[Lucro Distribuir]]*Tabela3[%Div]</f>
        <v>74785662.5</v>
      </c>
      <c r="S286" s="21">
        <f>SUMPRODUCT(N(Tabela3[Nome]=Tabela3[[#This Row],[Nome]]),Tabela3[Ações])</f>
        <v>476620206</v>
      </c>
      <c r="T286" s="6">
        <f>Tabela3[Capital Social]/Tabela3[Total Ações]</f>
        <v>5.4495377520775943</v>
      </c>
      <c r="U286" s="80">
        <f>Tabela3[[#This Row],[Lucro Líquido]]/Tabela3[[#This Row],[Total Ações]]</f>
        <v>0.66066649301897196</v>
      </c>
      <c r="V28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0.16722890654119335</v>
      </c>
      <c r="W28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0.16722890654119335</v>
      </c>
      <c r="Z286" s="6">
        <f>Tabela3[Div Base]*Tabela3[Ações]</f>
        <v>31235573.039396316</v>
      </c>
      <c r="AA286" s="6">
        <f>SUMPRODUCT(N(Tabela3[Nome]=Tabela3[[#This Row],[Nome]]),Tabela3[Div Base]*Tabela3[Ações])</f>
        <v>75298393.747600317</v>
      </c>
      <c r="AB286" s="6">
        <f>Tabela3[Patrimônio Líquido]/Tabela3[Total Ações]</f>
        <v>7.1401211219316201</v>
      </c>
      <c r="AC286" s="48">
        <f>MAX(Tabela3[[#This Row],[Cotação 1]:[Cotação 4]])</f>
        <v>4.9800000000000004</v>
      </c>
      <c r="AD286" s="44">
        <f>Tabela3[Cotação]/Tabela3[VPA]</f>
        <v>0.6974671598641955</v>
      </c>
      <c r="AE286" s="40">
        <f>IF(Tabela3[[#This Row],[Lucro/Ação]]&gt;0,Tabela3[[#This Row],[Cotação]]/(Tabela3[[#This Row],[Lucro/Ação]]/Tabela3[Ref]*4),0)</f>
        <v>5.6533819097326985</v>
      </c>
      <c r="AF286" s="40" t="e">
        <f>IF(Tabela3[Div. Mínimo]=0,0,Tabela3[Lucro Distribuir]*#REF!/Tabela3[Total Ações])</f>
        <v>#REF!</v>
      </c>
      <c r="AG286" s="80">
        <f>Tabela3[Lucro Distribuir]/Tabela3[Total Ações]</f>
        <v>0.62763316836802341</v>
      </c>
      <c r="AH28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0.16722890654119335</v>
      </c>
      <c r="AI286" s="15" t="str">
        <f>IF(AND(Tabela3[% A.A.]&gt;=7%,SUMPRODUCT(N(Tabela3[Nome]=Tabela3[[#This Row],[Nome]]),Tabela3[PL])&gt;0),"Sim","Não")</f>
        <v>Não</v>
      </c>
      <c r="AJ286" s="42">
        <f>IF(Tabela3[Cotação]&gt;0,Tabela3[[#This Row],[Lucro]]/Tabela3[[#This Row],[Cotação]],0)</f>
        <v>3.3580101715099064E-2</v>
      </c>
      <c r="AK286" s="19">
        <f>((1+Tabela3[[#This Row],[% Yield]])^(1/(3*Tabela3[[#This Row],[Ref]])))^(12)-1</f>
        <v>4.5022207686573834E-2</v>
      </c>
      <c r="AL286" s="14">
        <f>IF(Tabela3[Cotação]&gt;0,($AS$1/Tabela3[[#This Row],[Cotação]]-MOD($AS$1/Tabela3[[#This Row],[Cotação]],100)),)</f>
        <v>200</v>
      </c>
      <c r="AM286" s="17">
        <f>Tabela3[[#This Row],[Ativos]]*Tabela3[Lucro]</f>
        <v>33.445781308238672</v>
      </c>
      <c r="AN286" s="5">
        <f>SUMPRODUCT(N(Tabela1[Código]=Tabela3[[#This Row],[PAPEL]]),Tabela1[Fechamento])</f>
        <v>4.9800000000000004</v>
      </c>
      <c r="AO286" s="5">
        <f>SUMPRODUCT(N(Tabela17[Código]=Tabela3[[#This Row],[PAPEL]]),Tabela17[Fechamento])</f>
        <v>0</v>
      </c>
      <c r="AP286" s="7">
        <f>SUMPRODUCT(N(Tabela176[Código]=Tabela3[[#This Row],[PAPEL]]),Tabela176[Fechamento])</f>
        <v>0</v>
      </c>
      <c r="AQ286" s="7">
        <f>SUMPRODUCT(N(Tabela1768[Código]=Tabela3[[#This Row],[PAPEL]]),Tabela1768[Fechamento])</f>
        <v>0</v>
      </c>
    </row>
    <row r="287" spans="1:43" hidden="1" x14ac:dyDescent="0.2">
      <c r="A287" s="4" t="s">
        <v>37</v>
      </c>
      <c r="B287" s="57" t="s">
        <v>36</v>
      </c>
      <c r="C287" s="14" t="str">
        <f>LEFT(Tabela3[PAPEL],LEN(Tabela3[PAPEL])-(LEN(Tabela3[PAPEL])-4))</f>
        <v>SBSP</v>
      </c>
      <c r="D287" s="15">
        <v>3</v>
      </c>
      <c r="E287" s="6">
        <v>6203688565.2299995</v>
      </c>
      <c r="F287" s="8">
        <v>683509869</v>
      </c>
      <c r="G287" s="83">
        <v>0.25</v>
      </c>
      <c r="H287" s="19"/>
      <c r="I287" s="19"/>
      <c r="J287" s="19"/>
      <c r="K287" s="90"/>
      <c r="L287" s="90"/>
      <c r="M287" s="6">
        <v>12509395000</v>
      </c>
      <c r="N287" s="6">
        <v>1332834000</v>
      </c>
      <c r="O287" s="6">
        <f>Tabela3[[#This Row],[Capital Social]]*20%</f>
        <v>1240737713.046</v>
      </c>
      <c r="P287" s="6">
        <f>IF((Tabela3[Lucro Líquido]*5%)&gt;Tabela3[Teto R. Legal],Tabela3[Teto R. Legal],Tabela3[Lucro Líquido]*5%)</f>
        <v>66641700</v>
      </c>
      <c r="Q287" s="6">
        <f>IF(Tabela3[Lucro Líquido]&lt;0,0,Tabela3[Lucro Líquido]-Tabela3[Reserva Legal])</f>
        <v>1266192300</v>
      </c>
      <c r="R287" s="6">
        <f>Tabela3[[#This Row],[Lucro Distribuir]]*Tabela3[%Div]</f>
        <v>316548075</v>
      </c>
      <c r="S287" s="21">
        <f>SUMPRODUCT(N(Tabela3[Nome]=Tabela3[[#This Row],[Nome]]),Tabela3[Ações])</f>
        <v>683509869</v>
      </c>
      <c r="T287" s="6">
        <f>Tabela3[Capital Social]/Tabela3[Total Ações]</f>
        <v>9.0762238361038197</v>
      </c>
      <c r="U287" s="80">
        <f>Tabela3[[#This Row],[Lucro Líquido]]/Tabela3[[#This Row],[Total Ações]]</f>
        <v>1.9499850118477222</v>
      </c>
      <c r="V28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0.46312144031383401</v>
      </c>
      <c r="W28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0.46312144031383401</v>
      </c>
      <c r="Z287" s="6">
        <f>Tabela3[Div Base]*Tabela3[Ações]</f>
        <v>316548075</v>
      </c>
      <c r="AA287" s="6">
        <f>SUMPRODUCT(N(Tabela3[Nome]=Tabela3[[#This Row],[Nome]]),Tabela3[Div Base]*Tabela3[Ações])</f>
        <v>316548075</v>
      </c>
      <c r="AB287" s="6">
        <f>Tabela3[Patrimônio Líquido]/Tabela3[Total Ações]</f>
        <v>18.301703555943828</v>
      </c>
      <c r="AC287" s="48">
        <f>MAX(Tabela3[[#This Row],[Cotação 1]:[Cotação 4]])</f>
        <v>23.34</v>
      </c>
      <c r="AD287" s="44">
        <f>Tabela3[Cotação]/Tabela3[VPA]</f>
        <v>1.2752911185920661</v>
      </c>
      <c r="AE287" s="40">
        <f>IF(Tabela3[[#This Row],[Lucro/Ação]]&gt;0,Tabela3[[#This Row],[Cotação]]/(Tabela3[[#This Row],[Lucro/Ação]]/Tabela3[Ref]*4),0)</f>
        <v>8.9769920761662743</v>
      </c>
      <c r="AF287" s="77" t="e">
        <f>IF(Tabela3[Div. Mínimo]=0,0,Tabela3[Lucro Distribuir]*#REF!/Tabela3[Total Ações])</f>
        <v>#REF!</v>
      </c>
      <c r="AG287" s="80">
        <f>Tabela3[Lucro Distribuir]/Tabela3[Total Ações]</f>
        <v>1.852485761255336</v>
      </c>
      <c r="AH28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0.46312144031383401</v>
      </c>
      <c r="AI287" s="15" t="str">
        <f>IF(AND(Tabela3[% A.A.]&gt;=7%,SUMPRODUCT(N(Tabela3[Nome]=Tabela3[[#This Row],[Nome]]),Tabela3[PL])&gt;0),"Sim","Não")</f>
        <v>Não</v>
      </c>
      <c r="AJ287" s="42">
        <f>IF(Tabela3[Cotação]&gt;0,Tabela3[[#This Row],[Lucro]]/Tabela3[[#This Row],[Cotação]],0)</f>
        <v>1.9842392472743532E-2</v>
      </c>
      <c r="AK287" s="19">
        <f>((1+Tabela3[[#This Row],[% Yield]])^(1/(3*Tabela3[[#This Row],[Ref]])))^(12)-1</f>
        <v>2.6543634110957948E-2</v>
      </c>
      <c r="AL287" s="14">
        <f>IF(Tabela3[Cotação]&gt;0,($AS$1/Tabela3[[#This Row],[Cotação]]-MOD($AS$1/Tabela3[[#This Row],[Cotação]],100)),)</f>
        <v>0</v>
      </c>
      <c r="AM287" s="17">
        <f>Tabela3[[#This Row],[Ativos]]*Tabela3[Lucro]</f>
        <v>0</v>
      </c>
      <c r="AN287" s="5">
        <f>SUMPRODUCT(N(Tabela1[Código]=Tabela3[[#This Row],[PAPEL]]),Tabela1[Fechamento])</f>
        <v>23.34</v>
      </c>
      <c r="AO287" s="5">
        <f>SUMPRODUCT(N(Tabela17[Código]=Tabela3[[#This Row],[PAPEL]]),Tabela17[Fechamento])</f>
        <v>0</v>
      </c>
      <c r="AP287" s="7">
        <f>SUMPRODUCT(N(Tabela176[Código]=Tabela3[[#This Row],[PAPEL]]),Tabela176[Fechamento])</f>
        <v>0</v>
      </c>
      <c r="AQ287" s="7">
        <f>SUMPRODUCT(N(Tabela1768[Código]=Tabela3[[#This Row],[PAPEL]]),Tabela1768[Fechamento])</f>
        <v>0</v>
      </c>
    </row>
    <row r="288" spans="1:43" hidden="1" x14ac:dyDescent="0.2">
      <c r="A288" s="3" t="s">
        <v>351</v>
      </c>
      <c r="B288" s="57" t="s">
        <v>365</v>
      </c>
      <c r="C288" s="84" t="str">
        <f>LEFT(Tabela3[PAPEL],LEN(Tabela3[PAPEL])-(LEN(Tabela3[PAPEL])-4))</f>
        <v>SCAR</v>
      </c>
      <c r="D288" s="16">
        <v>3</v>
      </c>
      <c r="E288" s="5">
        <v>473911676.48000002</v>
      </c>
      <c r="F288" s="21">
        <v>57737317</v>
      </c>
      <c r="G288" s="88">
        <v>0.25</v>
      </c>
      <c r="H288" s="16"/>
      <c r="I288" s="18"/>
      <c r="K288" s="89"/>
      <c r="L288" s="89"/>
      <c r="M288" s="5">
        <v>984644000</v>
      </c>
      <c r="N288" s="5">
        <v>94588000</v>
      </c>
      <c r="O288" s="5">
        <f>Tabela3[[#This Row],[Capital Social]]*20%</f>
        <v>94782335.296000004</v>
      </c>
      <c r="P288" s="5">
        <f>IF((Tabela3[Lucro Líquido]*5%)&gt;Tabela3[Teto R. Legal],Tabela3[Teto R. Legal],Tabela3[Lucro Líquido]*5%)</f>
        <v>4729400</v>
      </c>
      <c r="Q288" s="5">
        <f>IF(Tabela3[Lucro Líquido]&lt;0,0,Tabela3[Lucro Líquido]-Tabela3[Reserva Legal])</f>
        <v>89858600</v>
      </c>
      <c r="R288" s="5">
        <f>Tabela3[[#This Row],[Lucro Distribuir]]*Tabela3[%Div]</f>
        <v>22464650</v>
      </c>
      <c r="S288" s="21">
        <v>57737317</v>
      </c>
      <c r="T288" s="5">
        <f>Tabela3[Capital Social]/Tabela3[Total Ações]</f>
        <v>8.2080654437060172</v>
      </c>
      <c r="U288" s="79">
        <f>Tabela3[[#This Row],[Lucro Líquido]]/Tabela3[[#This Row],[Total Ações]]</f>
        <v>1.6382472361852214</v>
      </c>
      <c r="V28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0.3890837185939901</v>
      </c>
      <c r="W28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0.3890837185939901</v>
      </c>
      <c r="Z288" s="5">
        <f>Tabela3[Div Base]*Tabela3[Ações]</f>
        <v>22464650</v>
      </c>
      <c r="AA288" s="5">
        <f>SUMPRODUCT(N(Tabela3[Nome]=Tabela3[[#This Row],[Nome]]),Tabela3[Div Base]*Tabela3[Ações])</f>
        <v>22464650</v>
      </c>
      <c r="AB288" s="5">
        <f>Tabela3[Patrimônio Líquido]/Tabela3[Total Ações]</f>
        <v>17.053857906144131</v>
      </c>
      <c r="AC288" s="52">
        <f>MAX(Tabela3[[#This Row],[Cotação 1]:[Cotação 4]])</f>
        <v>33.14</v>
      </c>
      <c r="AD288" s="53">
        <f>Tabela3[Cotação]/Tabela3[VPA]</f>
        <v>1.9432553139815001</v>
      </c>
      <c r="AE288" s="37">
        <f>IF(Tabela3[[#This Row],[Lucro/Ação]]&gt;0,Tabela3[[#This Row],[Cotação]]/(Tabela3[[#This Row],[Lucro/Ação]]/Tabela3[Ref]*4),0)</f>
        <v>15.171702689928956</v>
      </c>
      <c r="AF288" s="37" t="e">
        <f>IF(Tabela3[Div. Mínimo]=0,0,Tabela3[Lucro Distribuir]*#REF!/Tabela3[Total Ações])</f>
        <v>#REF!</v>
      </c>
      <c r="AG288" s="79">
        <f>Tabela3[Lucro Distribuir]/Tabela3[Total Ações]</f>
        <v>1.5563348743759604</v>
      </c>
      <c r="AH28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0.3890837185939901</v>
      </c>
      <c r="AI288" s="16" t="str">
        <f>IF(AND(Tabela3[% A.A.]&gt;=7%,SUMPRODUCT(N(Tabela3[Nome]=Tabela3[[#This Row],[Nome]]),Tabela3[PL])&gt;0),"Sim","Não")</f>
        <v>Não</v>
      </c>
      <c r="AJ288" s="22">
        <f>IF(Tabela3[Cotação]&gt;0,Tabela3[[#This Row],[Lucro]]/Tabela3[[#This Row],[Cotação]],0)</f>
        <v>1.1740607078877191E-2</v>
      </c>
      <c r="AK288" s="18">
        <f>((1+Tabela3[[#This Row],[% Yield]])^(1/(3*Tabela3[[#This Row],[Ref]])))^(12)-1</f>
        <v>1.5684694765226936E-2</v>
      </c>
      <c r="AL288" s="10">
        <f>IF(Tabela3[Cotação]&gt;0,($AS$1/Tabela3[[#This Row],[Cotação]]-MOD($AS$1/Tabela3[[#This Row],[Cotação]],100)),)</f>
        <v>0</v>
      </c>
      <c r="AM288" s="7">
        <f>Tabela3[[#This Row],[Ativos]]*Tabela3[Lucro]</f>
        <v>0</v>
      </c>
      <c r="AN288" s="47">
        <f>SUMPRODUCT(N(Tabela1[Código]=Tabela3[[#This Row],[PAPEL]]),Tabela1[Fechamento])</f>
        <v>0</v>
      </c>
      <c r="AO288" s="54">
        <f>SUMPRODUCT(N(Tabela17[Código]=Tabela3[[#This Row],[PAPEL]]),Tabela17[Fechamento])</f>
        <v>33.14</v>
      </c>
      <c r="AP288" s="7">
        <f>SUMPRODUCT(N(Tabela176[Código]=Tabela3[[#This Row],[PAPEL]]),Tabela176[Fechamento])</f>
        <v>0</v>
      </c>
      <c r="AQ288" s="7">
        <f>SUMPRODUCT(N(Tabela1768[Código]=Tabela3[[#This Row],[PAPEL]]),Tabela1768[Fechamento])</f>
        <v>0</v>
      </c>
    </row>
    <row r="289" spans="1:43" hidden="1" x14ac:dyDescent="0.2">
      <c r="A289" s="4" t="s">
        <v>14</v>
      </c>
      <c r="B289" s="57" t="s">
        <v>587</v>
      </c>
      <c r="C289" s="15" t="str">
        <f>LEFT(Tabela3[PAPEL],LEN(Tabela3[PAPEL])-(LEN(Tabela3[PAPEL])-4))</f>
        <v>SFSA</v>
      </c>
      <c r="D289" s="15">
        <v>3</v>
      </c>
      <c r="E289" s="6">
        <v>685700092.85000002</v>
      </c>
      <c r="F289" s="8">
        <v>97140150</v>
      </c>
      <c r="G289" s="88">
        <v>0.25</v>
      </c>
      <c r="H289" s="15"/>
      <c r="I289" s="19"/>
      <c r="J289" s="19"/>
      <c r="K289" s="90"/>
      <c r="L289" s="90"/>
      <c r="M289" s="6">
        <v>699911000</v>
      </c>
      <c r="N289" s="6">
        <v>6746000</v>
      </c>
      <c r="O289" s="13">
        <f>Tabela3[[#This Row],[Capital Social]]*20%</f>
        <v>137140018.57000002</v>
      </c>
      <c r="P289" s="13">
        <f>IF((Tabela3[Lucro Líquido]*5%)&gt;Tabela3[Teto R. Legal],Tabela3[Teto R. Legal],Tabela3[Lucro Líquido]*5%)</f>
        <v>337300</v>
      </c>
      <c r="Q289" s="13">
        <f>IF(Tabela3[Lucro Líquido]&lt;0,0,Tabela3[Lucro Líquido]-Tabela3[Reserva Legal])</f>
        <v>6408700</v>
      </c>
      <c r="R289" s="13">
        <f>Tabela3[[#This Row],[Lucro Distribuir]]*Tabela3[%Div]</f>
        <v>1602175</v>
      </c>
      <c r="S289" s="56">
        <f>SUMPRODUCT(N(Tabela3[Nome]=Tabela3[[#This Row],[Nome]]),Tabela3[Ações])</f>
        <v>137747421</v>
      </c>
      <c r="T289" s="6">
        <f>Tabela3[Capital Social]/Tabela3[Total Ações]</f>
        <v>4.9779523120799487</v>
      </c>
      <c r="U289" s="80">
        <f>Tabela3[[#This Row],[Lucro Líquido]]/Tabela3[[#This Row],[Total Ações]]</f>
        <v>4.8973693670823791E-2</v>
      </c>
      <c r="V28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1.1631252246820651E-2</v>
      </c>
      <c r="W28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8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8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1.1631252246820651E-2</v>
      </c>
      <c r="Z289" s="13">
        <f>Tabela3[Div Base]*Tabela3[Ações]</f>
        <v>1129861.5879439951</v>
      </c>
      <c r="AA289" s="13">
        <f>SUMPRODUCT(N(Tabela3[Nome]=Tabela3[[#This Row],[Nome]]),Tabela3[Div Base]*Tabela3[Ações])</f>
        <v>1602175.0000000002</v>
      </c>
      <c r="AB289" s="95">
        <f>Tabela3[Patrimônio Líquido]/Tabela3[Total Ações]</f>
        <v>5.0811187238126223</v>
      </c>
      <c r="AC289" s="48">
        <f>MAX(Tabela3[[#This Row],[Cotação 1]:[Cotação 4]])</f>
        <v>0</v>
      </c>
      <c r="AD289" s="44">
        <f>Tabela3[Cotação]/Tabela3[VPA]</f>
        <v>0</v>
      </c>
      <c r="AE289" s="40">
        <f>IF(Tabela3[[#This Row],[Lucro/Ação]]&gt;0,Tabela3[[#This Row],[Cotação]]/(Tabela3[[#This Row],[Lucro/Ação]]/Tabela3[Ref]*4),0)</f>
        <v>0</v>
      </c>
      <c r="AF289" s="91" t="e">
        <f>IF(Tabela3[Div. Mínimo]=0,0,Tabela3[Lucro Distribuir]*#REF!/Tabela3[Total Ações])</f>
        <v>#REF!</v>
      </c>
      <c r="AG289" s="80">
        <f>Tabela3[Lucro Distribuir]/Tabela3[Total Ações]</f>
        <v>4.6525008987282603E-2</v>
      </c>
      <c r="AH28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1.1631252246820651E-2</v>
      </c>
      <c r="AI289" s="14" t="str">
        <f>IF(AND(Tabela3[% A.A.]&gt;=7%,SUMPRODUCT(N(Tabela3[Nome]=Tabela3[[#This Row],[Nome]]),Tabela3[PL])&gt;0),"Sim","Não")</f>
        <v>Não</v>
      </c>
      <c r="AJ289" s="42">
        <f>IF(Tabela3[Cotação]&gt;0,Tabela3[[#This Row],[Lucro]]/Tabela3[[#This Row],[Cotação]],0)</f>
        <v>0</v>
      </c>
      <c r="AK289" s="42">
        <f>((1+Tabela3[[#This Row],[% Yield]])^(1/(3*Tabela3[[#This Row],[Ref]])))^(12)-1</f>
        <v>0</v>
      </c>
      <c r="AL289" s="14">
        <f>IF(Tabela3[Cotação]&gt;0,($AS$1/Tabela3[[#This Row],[Cotação]]-MOD($AS$1/Tabela3[[#This Row],[Cotação]],100)),)</f>
        <v>0</v>
      </c>
      <c r="AM289" s="17">
        <f>Tabela3[[#This Row],[Ativos]]*Tabela3[Lucro]</f>
        <v>0</v>
      </c>
      <c r="AN289" s="17">
        <f>SUMPRODUCT(N(Tabela1[Código]=Tabela3[[#This Row],[PAPEL]]),Tabela1[Fechamento])</f>
        <v>0</v>
      </c>
      <c r="AO289" s="17">
        <f>SUMPRODUCT(N(Tabela17[Código]=Tabela3[[#This Row],[PAPEL]]),Tabela17[Fechamento])</f>
        <v>0</v>
      </c>
      <c r="AP289" s="17">
        <f>SUMPRODUCT(N(Tabela176[Código]=Tabela3[[#This Row],[PAPEL]]),Tabela176[Fechamento])</f>
        <v>0</v>
      </c>
      <c r="AQ289" s="17">
        <f>SUMPRODUCT(N(Tabela1768[Código]=Tabela3[[#This Row],[PAPEL]]),Tabela1768[Fechamento])</f>
        <v>0</v>
      </c>
    </row>
    <row r="290" spans="1:43" hidden="1" x14ac:dyDescent="0.2">
      <c r="A290" s="4" t="s">
        <v>14</v>
      </c>
      <c r="B290" s="57" t="s">
        <v>75</v>
      </c>
      <c r="C290" s="14" t="str">
        <f>LEFT(Tabela3[PAPEL],LEN(Tabela3[PAPEL])-(LEN(Tabela3[PAPEL])-4))</f>
        <v>SFSA</v>
      </c>
      <c r="D290" s="15">
        <v>3</v>
      </c>
      <c r="E290" s="6">
        <v>685700092.85000002</v>
      </c>
      <c r="F290" s="8">
        <v>40607271</v>
      </c>
      <c r="G290" s="83">
        <v>0.25</v>
      </c>
      <c r="H290" s="15"/>
      <c r="I290" s="19"/>
      <c r="J290" s="19"/>
      <c r="K290" s="90"/>
      <c r="L290" s="90"/>
      <c r="M290" s="6">
        <v>699911000</v>
      </c>
      <c r="N290" s="6">
        <v>6746000</v>
      </c>
      <c r="O290" s="6">
        <f>Tabela3[[#This Row],[Capital Social]]*20%</f>
        <v>137140018.57000002</v>
      </c>
      <c r="P290" s="6">
        <f>IF((Tabela3[Lucro Líquido]*5%)&gt;Tabela3[Teto R. Legal],Tabela3[Teto R. Legal],Tabela3[Lucro Líquido]*5%)</f>
        <v>337300</v>
      </c>
      <c r="Q290" s="6">
        <f>IF(Tabela3[Lucro Líquido]&lt;0,0,Tabela3[Lucro Líquido]-Tabela3[Reserva Legal])</f>
        <v>6408700</v>
      </c>
      <c r="R290" s="6">
        <f>Tabela3[[#This Row],[Lucro Distribuir]]*Tabela3[%Div]</f>
        <v>1602175</v>
      </c>
      <c r="S290" s="56">
        <f>SUMPRODUCT(N(Tabela3[Nome]=Tabela3[[#This Row],[Nome]]),Tabela3[Ações])</f>
        <v>137747421</v>
      </c>
      <c r="T290" s="6">
        <f>Tabela3[Capital Social]/Tabela3[Total Ações]</f>
        <v>4.9779523120799487</v>
      </c>
      <c r="U290" s="80">
        <f>Tabela3[[#This Row],[Lucro Líquido]]/Tabela3[[#This Row],[Total Ações]]</f>
        <v>4.8973693670823791E-2</v>
      </c>
      <c r="V29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1.1631252246820651E-2</v>
      </c>
      <c r="W29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1.1631252246820651E-2</v>
      </c>
      <c r="Z290" s="6">
        <f>Tabela3[Div Base]*Tabela3[Ações]</f>
        <v>472313.41205600504</v>
      </c>
      <c r="AA290" s="6">
        <f>SUMPRODUCT(N(Tabela3[Nome]=Tabela3[[#This Row],[Nome]]),Tabela3[Div Base]*Tabela3[Ações])</f>
        <v>1602175.0000000002</v>
      </c>
      <c r="AB290" s="6">
        <f>Tabela3[Patrimônio Líquido]/Tabela3[Total Ações]</f>
        <v>5.0811187238126223</v>
      </c>
      <c r="AC290" s="48">
        <f>MAX(Tabela3[[#This Row],[Cotação 1]:[Cotação 4]])</f>
        <v>2.8</v>
      </c>
      <c r="AD290" s="44">
        <f>Tabela3[Cotação]/Tabela3[VPA]</f>
        <v>0.55105974731072949</v>
      </c>
      <c r="AE290" s="40">
        <f>IF(Tabela3[[#This Row],[Lucro/Ação]]&gt;0,Tabela3[[#This Row],[Cotação]]/(Tabela3[[#This Row],[Lucro/Ação]]/Tabela3[Ref]*4),0)</f>
        <v>42.880163667358431</v>
      </c>
      <c r="AF290" s="40" t="e">
        <f>IF(Tabela3[Div. Mínimo]=0,0,Tabela3[Lucro Distribuir]*#REF!/Tabela3[Total Ações])</f>
        <v>#REF!</v>
      </c>
      <c r="AG290" s="80">
        <f>Tabela3[Lucro Distribuir]/Tabela3[Total Ações]</f>
        <v>4.6525008987282603E-2</v>
      </c>
      <c r="AH29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1.1631252246820651E-2</v>
      </c>
      <c r="AI290" s="15" t="str">
        <f>IF(AND(Tabela3[% A.A.]&gt;=7%,SUMPRODUCT(N(Tabela3[Nome]=Tabela3[[#This Row],[Nome]]),Tabela3[PL])&gt;0),"Sim","Não")</f>
        <v>Não</v>
      </c>
      <c r="AJ290" s="42">
        <f>IF(Tabela3[Cotação]&gt;0,Tabela3[[#This Row],[Lucro]]/Tabela3[[#This Row],[Cotação]],0)</f>
        <v>4.1540186595788037E-3</v>
      </c>
      <c r="AK290" s="19">
        <f>((1+Tabela3[[#This Row],[% Yield]])^(1/(3*Tabela3[[#This Row],[Ref]])))^(12)-1</f>
        <v>5.5425226504113301E-3</v>
      </c>
      <c r="AL290" s="14">
        <f>IF(Tabela3[Cotação]&gt;0,($AS$1/Tabela3[[#This Row],[Cotação]]-MOD($AS$1/Tabela3[[#This Row],[Cotação]],100)),)</f>
        <v>300</v>
      </c>
      <c r="AM290" s="17">
        <f>Tabela3[[#This Row],[Ativos]]*Tabela3[Lucro]</f>
        <v>3.4893756740461952</v>
      </c>
      <c r="AN290" s="5">
        <f>SUMPRODUCT(N(Tabela1[Código]=Tabela3[[#This Row],[PAPEL]]),Tabela1[Fechamento])</f>
        <v>2.8</v>
      </c>
      <c r="AO290" s="5">
        <f>SUMPRODUCT(N(Tabela17[Código]=Tabela3[[#This Row],[PAPEL]]),Tabela17[Fechamento])</f>
        <v>0</v>
      </c>
      <c r="AP290" s="7">
        <f>SUMPRODUCT(N(Tabela176[Código]=Tabela3[[#This Row],[PAPEL]]),Tabela176[Fechamento])</f>
        <v>0</v>
      </c>
      <c r="AQ290" s="7">
        <f>SUMPRODUCT(N(Tabela1768[Código]=Tabela3[[#This Row],[PAPEL]]),Tabela1768[Fechamento])</f>
        <v>0</v>
      </c>
    </row>
    <row r="291" spans="1:43" hidden="1" x14ac:dyDescent="0.2">
      <c r="A291" s="3" t="s">
        <v>274</v>
      </c>
      <c r="B291" s="58" t="s">
        <v>277</v>
      </c>
      <c r="C291" s="85" t="str">
        <f>LEFT(Tabela3[PAPEL],LEN(Tabela3[PAPEL])-(LEN(Tabela3[PAPEL])-4))</f>
        <v>SMTO</v>
      </c>
      <c r="D291" s="16">
        <v>3</v>
      </c>
      <c r="E291" s="5">
        <v>737200000</v>
      </c>
      <c r="F291" s="21">
        <v>113000000</v>
      </c>
      <c r="G291" s="88">
        <v>0.25</v>
      </c>
      <c r="H291" s="16"/>
      <c r="I291" s="18"/>
      <c r="K291" s="89"/>
      <c r="L291" s="89"/>
      <c r="M291" s="5">
        <v>2075419000</v>
      </c>
      <c r="N291" s="5">
        <v>95615000</v>
      </c>
      <c r="O291" s="5">
        <f>Tabela3[[#This Row],[Capital Social]]*20%</f>
        <v>147440000</v>
      </c>
      <c r="P291" s="5">
        <f>IF((Tabela3[Lucro Líquido]*5%)&gt;Tabela3[Teto R. Legal],Tabela3[Teto R. Legal],Tabela3[Lucro Líquido]*5%)</f>
        <v>4780750</v>
      </c>
      <c r="Q291" s="5">
        <f>IF(Tabela3[Lucro Líquido]&lt;0,0,Tabela3[Lucro Líquido]-Tabela3[Reserva Legal])</f>
        <v>90834250</v>
      </c>
      <c r="R291" s="5">
        <f>Tabela3[[#This Row],[Lucro Distribuir]]*Tabela3[%Div]</f>
        <v>22708562.5</v>
      </c>
      <c r="S291" s="56">
        <f>SUMPRODUCT(N(Tabela3[Nome]=Tabela3[[#This Row],[Nome]]),Tabela3[Ações])</f>
        <v>113000000</v>
      </c>
      <c r="T291" s="5">
        <f>Tabela3[Capital Social]/Tabela3[Total Ações]</f>
        <v>6.5238938053097346</v>
      </c>
      <c r="U291" s="79">
        <f>Tabela3[[#This Row],[Lucro Líquido]]/Tabela3[[#This Row],[Total Ações]]</f>
        <v>0.84615044247787607</v>
      </c>
      <c r="V29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0.20096073008849558</v>
      </c>
      <c r="W29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0.20096073008849558</v>
      </c>
      <c r="Z291" s="5">
        <f>Tabela3[Div Base]*Tabela3[Ações]</f>
        <v>22708562.5</v>
      </c>
      <c r="AA291" s="5">
        <f>SUMPRODUCT(N(Tabela3[Nome]=Tabela3[[#This Row],[Nome]]),Tabela3[Div Base]*Tabela3[Ações])</f>
        <v>22708562.5</v>
      </c>
      <c r="AB291" s="5">
        <f>Tabela3[Patrimônio Líquido]/Tabela3[Total Ações]</f>
        <v>18.36653982300885</v>
      </c>
      <c r="AC291" s="52">
        <f>MAX(Tabela3[[#This Row],[Cotação 1]:[Cotação 4]])</f>
        <v>26.94</v>
      </c>
      <c r="AD291" s="53">
        <f>Tabela3[Cotação]/Tabela3[VPA]</f>
        <v>1.4667977887838552</v>
      </c>
      <c r="AE291" s="37">
        <f>IF(Tabela3[[#This Row],[Lucro/Ação]]&gt;0,Tabela3[[#This Row],[Cotação]]/(Tabela3[[#This Row],[Lucro/Ação]]/Tabela3[Ref]*4),0)</f>
        <v>23.878732416461855</v>
      </c>
      <c r="AF291" s="37" t="e">
        <f>IF(Tabela3[Div. Mínimo]=0,0,Tabela3[Lucro Distribuir]*#REF!/Tabela3[Total Ações])</f>
        <v>#REF!</v>
      </c>
      <c r="AG291" s="79">
        <f>Tabela3[Lucro Distribuir]/Tabela3[Total Ações]</f>
        <v>0.8038429203539823</v>
      </c>
      <c r="AH29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0.20096073008849558</v>
      </c>
      <c r="AI291" s="16" t="str">
        <f>IF(AND(Tabela3[% A.A.]&gt;=7%,SUMPRODUCT(N(Tabela3[Nome]=Tabela3[[#This Row],[Nome]]),Tabela3[PL])&gt;0),"Sim","Não")</f>
        <v>Não</v>
      </c>
      <c r="AJ291" s="22">
        <f>IF(Tabela3[Cotação]&gt;0,Tabela3[[#This Row],[Lucro]]/Tabela3[[#This Row],[Cotação]],0)</f>
        <v>7.4595668184296799E-3</v>
      </c>
      <c r="AK291" s="18">
        <f>((1+Tabela3[[#This Row],[% Yield]])^(1/(3*Tabela3[[#This Row],[Ref]])))^(12)-1</f>
        <v>9.9584342425202976E-3</v>
      </c>
      <c r="AL291" s="10">
        <f>IF(Tabela3[Cotação]&gt;0,($AS$1/Tabela3[[#This Row],[Cotação]]-MOD($AS$1/Tabela3[[#This Row],[Cotação]],100)),)</f>
        <v>0</v>
      </c>
      <c r="AM291" s="7">
        <f>Tabela3[[#This Row],[Ativos]]*Tabela3[Lucro]</f>
        <v>0</v>
      </c>
      <c r="AN291" s="47">
        <f>SUMPRODUCT(N(Tabela1[Código]=Tabela3[[#This Row],[PAPEL]]),Tabela1[Fechamento])</f>
        <v>0</v>
      </c>
      <c r="AO291" s="54">
        <f>SUMPRODUCT(N(Tabela17[Código]=Tabela3[[#This Row],[PAPEL]]),Tabela17[Fechamento])</f>
        <v>26.94</v>
      </c>
      <c r="AP291" s="7">
        <f>SUMPRODUCT(N(Tabela176[Código]=Tabela3[[#This Row],[PAPEL]]),Tabela176[Fechamento])</f>
        <v>0</v>
      </c>
      <c r="AQ291" s="7">
        <f>SUMPRODUCT(N(Tabela1768[Código]=Tabela3[[#This Row],[PAPEL]]),Tabela1768[Fechamento])</f>
        <v>26.93</v>
      </c>
    </row>
    <row r="292" spans="1:43" hidden="1" x14ac:dyDescent="0.2">
      <c r="A292" s="4" t="s">
        <v>592</v>
      </c>
      <c r="B292" s="57" t="s">
        <v>599</v>
      </c>
      <c r="C292" s="15" t="str">
        <f>LEFT(Tabela3[PAPEL],LEN(Tabela3[PAPEL])-(LEN(Tabela3[PAPEL])-4))</f>
        <v>SNSL</v>
      </c>
      <c r="D292" s="15">
        <v>3</v>
      </c>
      <c r="E292" s="6">
        <v>50150513.700000003</v>
      </c>
      <c r="F292" s="8">
        <v>11655683</v>
      </c>
      <c r="G292" s="88">
        <v>0.25</v>
      </c>
      <c r="H292" s="15"/>
      <c r="I292" s="19"/>
      <c r="J292" s="19"/>
      <c r="K292" s="90"/>
      <c r="L292" s="90"/>
      <c r="M292" s="96">
        <v>55043448</v>
      </c>
      <c r="N292" s="97">
        <v>4261171</v>
      </c>
      <c r="O292" s="13">
        <f>Tabela3[[#This Row],[Capital Social]]*20%</f>
        <v>10030102.74</v>
      </c>
      <c r="P292" s="13">
        <f>IF((Tabela3[Lucro Líquido]*5%)&gt;Tabela3[Teto R. Legal],Tabela3[Teto R. Legal],Tabela3[Lucro Líquido]*5%)</f>
        <v>213058.55000000002</v>
      </c>
      <c r="Q292" s="13">
        <f>IF(Tabela3[Lucro Líquido]&lt;0,0,Tabela3[Lucro Líquido]-Tabela3[Reserva Legal])</f>
        <v>4048112.45</v>
      </c>
      <c r="R292" s="13">
        <f>Tabela3[[#This Row],[Lucro Distribuir]]*Tabela3[%Div]</f>
        <v>1012028.1125</v>
      </c>
      <c r="S292" s="56">
        <f>SUMPRODUCT(N(Tabela3[Nome]=Tabela3[[#This Row],[Nome]]),Tabela3[Ações])</f>
        <v>11655683</v>
      </c>
      <c r="T292" s="6">
        <f>Tabela3[Capital Social]/Tabela3[Total Ações]</f>
        <v>4.3026662358610821</v>
      </c>
      <c r="U292" s="80">
        <f>Tabela3[[#This Row],[Lucro Líquido]]/Tabela3[[#This Row],[Total Ações]]</f>
        <v>0.3655874134531627</v>
      </c>
      <c r="V29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8.6827010695126147E-2</v>
      </c>
      <c r="W29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8.6827010695126147E-2</v>
      </c>
      <c r="Z292" s="13">
        <f>Tabela3[Div Base]*Tabela3[Ações]</f>
        <v>1012028.1125</v>
      </c>
      <c r="AA292" s="13">
        <f>SUMPRODUCT(N(Tabela3[Nome]=Tabela3[[#This Row],[Nome]]),Tabela3[Div Base]*Tabela3[Ações])</f>
        <v>1012028.1125</v>
      </c>
      <c r="AB292" s="95">
        <f>Tabela3[Patrimônio Líquido]/Tabela3[Total Ações]</f>
        <v>4.722455818333426</v>
      </c>
      <c r="AC292" s="48">
        <f>MAX(Tabela3[[#This Row],[Cotação 1]:[Cotação 4]])</f>
        <v>10.4</v>
      </c>
      <c r="AD292" s="44">
        <f>Tabela3[Cotação]/Tabela3[VPA]</f>
        <v>2.2022440018655809</v>
      </c>
      <c r="AE292" s="40">
        <f>IF(Tabela3[[#This Row],[Lucro/Ação]]&gt;0,Tabela3[[#This Row],[Cotação]]/(Tabela3[[#This Row],[Lucro/Ação]]/Tabela3[Ref]*4),0)</f>
        <v>21.335526642793731</v>
      </c>
      <c r="AF292" s="91" t="e">
        <f>IF(Tabela3[Div. Mínimo]=0,0,Tabela3[Lucro Distribuir]*#REF!/Tabela3[Total Ações])</f>
        <v>#REF!</v>
      </c>
      <c r="AG292" s="80">
        <f>Tabela3[Lucro Distribuir]/Tabela3[Total Ações]</f>
        <v>0.34730804278050459</v>
      </c>
      <c r="AH29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8.6827010695126147E-2</v>
      </c>
      <c r="AI292" s="14" t="str">
        <f>IF(AND(Tabela3[% A.A.]&gt;=7%,SUMPRODUCT(N(Tabela3[Nome]=Tabela3[[#This Row],[Nome]]),Tabela3[PL])&gt;0),"Sim","Não")</f>
        <v>Não</v>
      </c>
      <c r="AJ292" s="42">
        <f>IF(Tabela3[Cotação]&gt;0,Tabela3[[#This Row],[Lucro]]/Tabela3[[#This Row],[Cotação]],0)</f>
        <v>8.3487510283775136E-3</v>
      </c>
      <c r="AK292" s="42">
        <f>((1+Tabela3[[#This Row],[% Yield]])^(1/(3*Tabela3[[#This Row],[Ref]])))^(12)-1</f>
        <v>1.1147128654650951E-2</v>
      </c>
      <c r="AL292" s="14">
        <f>IF(Tabela3[Cotação]&gt;0,($AS$1/Tabela3[[#This Row],[Cotação]]-MOD($AS$1/Tabela3[[#This Row],[Cotação]],100)),)</f>
        <v>0</v>
      </c>
      <c r="AM292" s="17">
        <f>Tabela3[[#This Row],[Ativos]]*Tabela3[Lucro]</f>
        <v>0</v>
      </c>
      <c r="AN292" s="17">
        <f>SUMPRODUCT(N(Tabela1[Código]=Tabela3[[#This Row],[PAPEL]]),Tabela1[Fechamento])</f>
        <v>0</v>
      </c>
      <c r="AO292" s="17">
        <f>SUMPRODUCT(N(Tabela17[Código]=Tabela3[[#This Row],[PAPEL]]),Tabela17[Fechamento])</f>
        <v>0</v>
      </c>
      <c r="AP292" s="17">
        <f>SUMPRODUCT(N(Tabela176[Código]=Tabela3[[#This Row],[PAPEL]]),Tabela176[Fechamento])</f>
        <v>10.4</v>
      </c>
      <c r="AQ292" s="17">
        <f>SUMPRODUCT(N(Tabela1768[Código]=Tabela3[[#This Row],[PAPEL]]),Tabela1768[Fechamento])</f>
        <v>0</v>
      </c>
    </row>
    <row r="293" spans="1:43" hidden="1" x14ac:dyDescent="0.2">
      <c r="A293" s="4" t="s">
        <v>329</v>
      </c>
      <c r="B293" s="57" t="s">
        <v>690</v>
      </c>
      <c r="C293" s="15" t="str">
        <f>LEFT(Tabela3[PAPEL],LEN(Tabela3[PAPEL])-(LEN(Tabela3[PAPEL])-4))</f>
        <v>SNSY</v>
      </c>
      <c r="D293" s="15">
        <v>3</v>
      </c>
      <c r="E293" s="6">
        <v>54625000</v>
      </c>
      <c r="F293" s="8">
        <v>6644806</v>
      </c>
      <c r="G293" s="83">
        <v>0.25</v>
      </c>
      <c r="H293" s="15"/>
      <c r="I293" s="19"/>
      <c r="J293" s="19"/>
      <c r="K293" s="90"/>
      <c r="L293" s="90"/>
      <c r="M293" s="96">
        <v>-350694000</v>
      </c>
      <c r="N293" s="97">
        <v>-43597000</v>
      </c>
      <c r="O293" s="13">
        <f>Tabela3[[#This Row],[Capital Social]]*20%</f>
        <v>10925000</v>
      </c>
      <c r="P293" s="13">
        <f>IF((Tabela3[Lucro Líquido]*5%)&gt;Tabela3[Teto R. Legal],Tabela3[Teto R. Legal],Tabela3[Lucro Líquido]*5%)</f>
        <v>-2179850</v>
      </c>
      <c r="Q293" s="13">
        <f>IF(Tabela3[Lucro Líquido]&lt;0,0,Tabela3[Lucro Líquido]-Tabela3[Reserva Legal])</f>
        <v>0</v>
      </c>
      <c r="R293" s="13">
        <f>Tabela3[[#This Row],[Lucro Distribuir]]*Tabela3[%Div]</f>
        <v>0</v>
      </c>
      <c r="S293" s="56">
        <f>SUMPRODUCT(N(Tabela3[Nome]=Tabela3[[#This Row],[Nome]]),Tabela3[Ações])</f>
        <v>19291122</v>
      </c>
      <c r="T293" s="6">
        <f>Tabela3[Capital Social]/Tabela3[Total Ações]</f>
        <v>2.8316134230035974</v>
      </c>
      <c r="U293" s="80">
        <f>Tabela3[[#This Row],[Lucro Líquido]]/Tabela3[[#This Row],[Total Ações]]</f>
        <v>-2.2599514947860473</v>
      </c>
      <c r="V29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9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93" s="13">
        <f>Tabela3[Div Base]*Tabela3[Ações]</f>
        <v>0</v>
      </c>
      <c r="AA293" s="13">
        <f>SUMPRODUCT(N(Tabela3[Nome]=Tabela3[[#This Row],[Nome]]),Tabela3[Div Base]*Tabela3[Ações])</f>
        <v>4493.0909150851885</v>
      </c>
      <c r="AB293" s="95">
        <f>Tabela3[Patrimônio Líquido]/Tabela3[Total Ações]</f>
        <v>-18.179035931658095</v>
      </c>
      <c r="AC293" s="48">
        <f>MAX(Tabela3[[#This Row],[Cotação 1]:[Cotação 4]])</f>
        <v>2</v>
      </c>
      <c r="AD293" s="44">
        <f>Tabela3[Cotação]/Tabela3[VPA]</f>
        <v>-0.11001683518965252</v>
      </c>
      <c r="AE293" s="40">
        <f>IF(Tabela3[[#This Row],[Lucro/Ação]]&gt;0,Tabela3[[#This Row],[Cotação]]/(Tabela3[[#This Row],[Lucro/Ação]]/Tabela3[Ref]*4),0)</f>
        <v>0</v>
      </c>
      <c r="AF293" s="91">
        <f>IF(Tabela3[Div. Mínimo]=0,0,Tabela3[Lucro Distribuir]*#REF!/Tabela3[Total Ações])</f>
        <v>0</v>
      </c>
      <c r="AG293" s="80">
        <f>Tabela3[Lucro Distribuir]/Tabela3[Total Ações]</f>
        <v>0</v>
      </c>
      <c r="AH29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93" s="14" t="str">
        <f>IF(AND(Tabela3[% A.A.]&gt;=7%,SUMPRODUCT(N(Tabela3[Nome]=Tabela3[[#This Row],[Nome]]),Tabela3[PL])&gt;0),"Sim","Não")</f>
        <v>Não</v>
      </c>
      <c r="AJ293" s="42">
        <f>IF(Tabela3[Cotação]&gt;0,Tabela3[[#This Row],[Lucro]]/Tabela3[[#This Row],[Cotação]],0)</f>
        <v>0</v>
      </c>
      <c r="AK293" s="42">
        <f>((1+Tabela3[[#This Row],[% Yield]])^(1/(3*Tabela3[[#This Row],[Ref]])))^(12)-1</f>
        <v>0</v>
      </c>
      <c r="AL293" s="14">
        <f>IF(Tabela3[Cotação]&gt;0,($AS$1/Tabela3[[#This Row],[Cotação]]-MOD($AS$1/Tabela3[[#This Row],[Cotação]],100)),)</f>
        <v>500</v>
      </c>
      <c r="AM293" s="17">
        <f>Tabela3[[#This Row],[Ativos]]*Tabela3[Lucro]</f>
        <v>0</v>
      </c>
      <c r="AN293" s="17">
        <f>SUMPRODUCT(N(Tabela1[Código]=Tabela3[[#This Row],[PAPEL]]),Tabela1[Fechamento])</f>
        <v>0</v>
      </c>
      <c r="AO293" s="17">
        <f>SUMPRODUCT(N(Tabela17[Código]=Tabela3[[#This Row],[PAPEL]]),Tabela17[Fechamento])</f>
        <v>0</v>
      </c>
      <c r="AP293" s="17">
        <f>SUMPRODUCT(N(Tabela176[Código]=Tabela3[[#This Row],[PAPEL]]),Tabela176[Fechamento])</f>
        <v>2</v>
      </c>
      <c r="AQ293" s="17">
        <f>SUMPRODUCT(N(Tabela1768[Código]=Tabela3[[#This Row],[PAPEL]]),Tabela1768[Fechamento])</f>
        <v>0</v>
      </c>
    </row>
    <row r="294" spans="1:43" hidden="1" x14ac:dyDescent="0.2">
      <c r="A294" s="4" t="s">
        <v>329</v>
      </c>
      <c r="B294" s="57" t="s">
        <v>691</v>
      </c>
      <c r="C294" s="15" t="str">
        <f>LEFT(Tabela3[PAPEL],LEN(Tabela3[PAPEL])-(LEN(Tabela3[PAPEL])-4))</f>
        <v>SNSY</v>
      </c>
      <c r="D294" s="15">
        <v>3</v>
      </c>
      <c r="E294" s="6">
        <v>54625000</v>
      </c>
      <c r="F294" s="8">
        <v>12619870</v>
      </c>
      <c r="G294" s="83">
        <v>0.25</v>
      </c>
      <c r="H294" s="15"/>
      <c r="I294" s="19"/>
      <c r="J294" s="19"/>
      <c r="K294" s="90"/>
      <c r="L294" s="90"/>
      <c r="M294" s="96">
        <v>-350694000</v>
      </c>
      <c r="N294" s="97">
        <v>-43597000</v>
      </c>
      <c r="O294" s="13">
        <f>Tabela3[[#This Row],[Capital Social]]*20%</f>
        <v>10925000</v>
      </c>
      <c r="P294" s="13">
        <f>IF((Tabela3[Lucro Líquido]*5%)&gt;Tabela3[Teto R. Legal],Tabela3[Teto R. Legal],Tabela3[Lucro Líquido]*5%)</f>
        <v>-2179850</v>
      </c>
      <c r="Q294" s="13">
        <f>IF(Tabela3[Lucro Líquido]&lt;0,0,Tabela3[Lucro Líquido]-Tabela3[Reserva Legal])</f>
        <v>0</v>
      </c>
      <c r="R294" s="13">
        <f>Tabela3[[#This Row],[Lucro Distribuir]]*Tabela3[%Div]</f>
        <v>0</v>
      </c>
      <c r="S294" s="56">
        <f>SUMPRODUCT(N(Tabela3[Nome]=Tabela3[[#This Row],[Nome]]),Tabela3[Ações])</f>
        <v>19291122</v>
      </c>
      <c r="T294" s="6">
        <f>Tabela3[Capital Social]/Tabela3[Total Ações]</f>
        <v>2.8316134230035974</v>
      </c>
      <c r="U294" s="80">
        <f>Tabela3[[#This Row],[Lucro Líquido]]/Tabela3[[#This Row],[Total Ações]]</f>
        <v>-2.2599514947860473</v>
      </c>
      <c r="V29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9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94" s="13">
        <f>Tabela3[Div Base]*Tabela3[Ações]</f>
        <v>0</v>
      </c>
      <c r="AA294" s="13">
        <f>SUMPRODUCT(N(Tabela3[Nome]=Tabela3[[#This Row],[Nome]]),Tabela3[Div Base]*Tabela3[Ações])</f>
        <v>4493.0909150851885</v>
      </c>
      <c r="AB294" s="95">
        <f>Tabela3[Patrimônio Líquido]/Tabela3[Total Ações]</f>
        <v>-18.179035931658095</v>
      </c>
      <c r="AC294" s="48">
        <f>MAX(Tabela3[[#This Row],[Cotação 1]:[Cotação 4]])</f>
        <v>0.74</v>
      </c>
      <c r="AD294" s="44">
        <f>Tabela3[Cotação]/Tabela3[VPA]</f>
        <v>-4.0706229020171431E-2</v>
      </c>
      <c r="AE294" s="40">
        <f>IF(Tabela3[[#This Row],[Lucro/Ação]]&gt;0,Tabela3[[#This Row],[Cotação]]/(Tabela3[[#This Row],[Lucro/Ação]]/Tabela3[Ref]*4),0)</f>
        <v>0</v>
      </c>
      <c r="AF294" s="91">
        <f>IF(Tabela3[Div. Mínimo]=0,0,Tabela3[Lucro Distribuir]*#REF!/Tabela3[Total Ações])</f>
        <v>0</v>
      </c>
      <c r="AG294" s="80">
        <f>Tabela3[Lucro Distribuir]/Tabela3[Total Ações]</f>
        <v>0</v>
      </c>
      <c r="AH29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294" s="14" t="str">
        <f>IF(AND(Tabela3[% A.A.]&gt;=7%,SUMPRODUCT(N(Tabela3[Nome]=Tabela3[[#This Row],[Nome]]),Tabela3[PL])&gt;0),"Sim","Não")</f>
        <v>Não</v>
      </c>
      <c r="AJ294" s="42">
        <f>IF(Tabela3[Cotação]&gt;0,Tabela3[[#This Row],[Lucro]]/Tabela3[[#This Row],[Cotação]],0)</f>
        <v>0</v>
      </c>
      <c r="AK294" s="42">
        <f>((1+Tabela3[[#This Row],[% Yield]])^(1/(3*Tabela3[[#This Row],[Ref]])))^(12)-1</f>
        <v>0</v>
      </c>
      <c r="AL294" s="14">
        <f>IF(Tabela3[Cotação]&gt;0,($AS$1/Tabela3[[#This Row],[Cotação]]-MOD($AS$1/Tabela3[[#This Row],[Cotação]],100)),)</f>
        <v>1300</v>
      </c>
      <c r="AM294" s="17">
        <f>Tabela3[[#This Row],[Ativos]]*Tabela3[Lucro]</f>
        <v>0</v>
      </c>
      <c r="AN294" s="17">
        <f>SUMPRODUCT(N(Tabela1[Código]=Tabela3[[#This Row],[PAPEL]]),Tabela1[Fechamento])</f>
        <v>0</v>
      </c>
      <c r="AO294" s="17">
        <f>SUMPRODUCT(N(Tabela17[Código]=Tabela3[[#This Row],[PAPEL]]),Tabela17[Fechamento])</f>
        <v>0</v>
      </c>
      <c r="AP294" s="17">
        <f>SUMPRODUCT(N(Tabela176[Código]=Tabela3[[#This Row],[PAPEL]]),Tabela176[Fechamento])</f>
        <v>0.74</v>
      </c>
      <c r="AQ294" s="17">
        <f>SUMPRODUCT(N(Tabela1768[Código]=Tabela3[[#This Row],[PAPEL]]),Tabela1768[Fechamento])</f>
        <v>0</v>
      </c>
    </row>
    <row r="295" spans="1:43" hidden="1" x14ac:dyDescent="0.2">
      <c r="A295" s="4" t="s">
        <v>329</v>
      </c>
      <c r="B295" s="57" t="s">
        <v>692</v>
      </c>
      <c r="C295" s="15" t="str">
        <f>LEFT(Tabela3[PAPEL],LEN(Tabela3[PAPEL])-(LEN(Tabela3[PAPEL])-4))</f>
        <v>SNSY</v>
      </c>
      <c r="D295" s="15">
        <v>3</v>
      </c>
      <c r="E295" s="6">
        <v>54625000</v>
      </c>
      <c r="F295" s="8">
        <v>26446</v>
      </c>
      <c r="G295" s="83">
        <v>0.25</v>
      </c>
      <c r="H295" s="15"/>
      <c r="I295" s="19">
        <v>0.06</v>
      </c>
      <c r="J295" s="19"/>
      <c r="K295" s="90"/>
      <c r="L295" s="90"/>
      <c r="M295" s="96">
        <v>-350694000</v>
      </c>
      <c r="N295" s="97">
        <v>-43597000</v>
      </c>
      <c r="O295" s="13">
        <f>Tabela3[[#This Row],[Capital Social]]*20%</f>
        <v>10925000</v>
      </c>
      <c r="P295" s="13">
        <f>IF((Tabela3[Lucro Líquido]*5%)&gt;Tabela3[Teto R. Legal],Tabela3[Teto R. Legal],Tabela3[Lucro Líquido]*5%)</f>
        <v>-2179850</v>
      </c>
      <c r="Q295" s="13">
        <f>IF(Tabela3[Lucro Líquido]&lt;0,0,Tabela3[Lucro Líquido]-Tabela3[Reserva Legal])</f>
        <v>0</v>
      </c>
      <c r="R295" s="13">
        <f>Tabela3[[#This Row],[Lucro Distribuir]]*Tabela3[%Div]</f>
        <v>0</v>
      </c>
      <c r="S295" s="56">
        <f>SUMPRODUCT(N(Tabela3[Nome]=Tabela3[[#This Row],[Nome]]),Tabela3[Ações])</f>
        <v>19291122</v>
      </c>
      <c r="T295" s="6">
        <f>Tabela3[Capital Social]/Tabela3[Total Ações]</f>
        <v>2.8316134230035974</v>
      </c>
      <c r="U295" s="80">
        <f>Tabela3[[#This Row],[Lucro Líquido]]/Tabela3[[#This Row],[Total Ações]]</f>
        <v>-2.2599514947860473</v>
      </c>
      <c r="V29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9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0.16989680538021584</v>
      </c>
      <c r="Y29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0.16989680538021584</v>
      </c>
      <c r="Z295" s="13">
        <f>Tabela3[Div Base]*Tabela3[Ações]</f>
        <v>4493.0909150851885</v>
      </c>
      <c r="AA295" s="13">
        <f>SUMPRODUCT(N(Tabela3[Nome]=Tabela3[[#This Row],[Nome]]),Tabela3[Div Base]*Tabela3[Ações])</f>
        <v>4493.0909150851885</v>
      </c>
      <c r="AB295" s="95">
        <f>Tabela3[Patrimônio Líquido]/Tabela3[Total Ações]</f>
        <v>-18.179035931658095</v>
      </c>
      <c r="AC295" s="48">
        <f>MAX(Tabela3[[#This Row],[Cotação 1]:[Cotação 4]])</f>
        <v>3</v>
      </c>
      <c r="AD295" s="44">
        <f>Tabela3[Cotação]/Tabela3[VPA]</f>
        <v>-0.1650252527844788</v>
      </c>
      <c r="AE295" s="40">
        <f>IF(Tabela3[[#This Row],[Lucro/Ação]]&gt;0,Tabela3[[#This Row],[Cotação]]/(Tabela3[[#This Row],[Lucro/Ação]]/Tabela3[Ref]*4),0)</f>
        <v>0</v>
      </c>
      <c r="AF295" s="91">
        <f>IF(Tabela3[Div. Mínimo]=0,0,Tabela3[Lucro Distribuir]*#REF!/Tabela3[Total Ações])</f>
        <v>0</v>
      </c>
      <c r="AG295" s="80">
        <f>Tabela3[Lucro Distribuir]/Tabela3[Total Ações]</f>
        <v>0</v>
      </c>
      <c r="AH29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0.16989680538021584</v>
      </c>
      <c r="AI295" s="14" t="str">
        <f>IF(AND(Tabela3[% A.A.]&gt;=7%,SUMPRODUCT(N(Tabela3[Nome]=Tabela3[[#This Row],[Nome]]),Tabela3[PL])&gt;0),"Sim","Não")</f>
        <v>Não</v>
      </c>
      <c r="AJ295" s="42">
        <f>IF(Tabela3[Cotação]&gt;0,Tabela3[[#This Row],[Lucro]]/Tabela3[[#This Row],[Cotação]],0)</f>
        <v>5.6632268460071945E-2</v>
      </c>
      <c r="AK295" s="42">
        <f>((1+Tabela3[[#This Row],[% Yield]])^(1/(3*Tabela3[[#This Row],[Ref]])))^(12)-1</f>
        <v>7.6213641464575765E-2</v>
      </c>
      <c r="AL295" s="14">
        <f>IF(Tabela3[Cotação]&gt;0,($AS$1/Tabela3[[#This Row],[Cotação]]-MOD($AS$1/Tabela3[[#This Row],[Cotação]],100)),)</f>
        <v>300</v>
      </c>
      <c r="AM295" s="17">
        <f>Tabela3[[#This Row],[Ativos]]*Tabela3[Lucro]</f>
        <v>50.96904161406475</v>
      </c>
      <c r="AN295" s="17">
        <f>SUMPRODUCT(N(Tabela1[Código]=Tabela3[[#This Row],[PAPEL]]),Tabela1[Fechamento])</f>
        <v>0</v>
      </c>
      <c r="AO295" s="17">
        <f>SUMPRODUCT(N(Tabela17[Código]=Tabela3[[#This Row],[PAPEL]]),Tabela17[Fechamento])</f>
        <v>0</v>
      </c>
      <c r="AP295" s="17">
        <f>SUMPRODUCT(N(Tabela176[Código]=Tabela3[[#This Row],[PAPEL]]),Tabela176[Fechamento])</f>
        <v>3</v>
      </c>
      <c r="AQ295" s="17">
        <f>SUMPRODUCT(N(Tabela1768[Código]=Tabela3[[#This Row],[PAPEL]]),Tabela1768[Fechamento])</f>
        <v>0</v>
      </c>
    </row>
    <row r="296" spans="1:43" hidden="1" x14ac:dyDescent="0.2">
      <c r="A296" s="3" t="s">
        <v>351</v>
      </c>
      <c r="B296" s="57" t="s">
        <v>364</v>
      </c>
      <c r="C296" s="84" t="str">
        <f>LEFT(Tabela3[PAPEL],LEN(Tabela3[PAPEL])-(LEN(Tabela3[PAPEL])-4))</f>
        <v>SSBR</v>
      </c>
      <c r="D296" s="16">
        <v>3</v>
      </c>
      <c r="E296" s="5">
        <v>997865823</v>
      </c>
      <c r="F296" s="56">
        <v>76423831</v>
      </c>
      <c r="G296" s="83">
        <v>0.25</v>
      </c>
      <c r="H296" s="16"/>
      <c r="I296" s="18"/>
      <c r="K296" s="89"/>
      <c r="L296" s="89"/>
      <c r="M296" s="5">
        <v>2243051000</v>
      </c>
      <c r="N296" s="5">
        <v>151349000</v>
      </c>
      <c r="O296" s="5">
        <f>Tabela3[[#This Row],[Capital Social]]*20%</f>
        <v>199573164.60000002</v>
      </c>
      <c r="P296" s="5">
        <f>IF((Tabela3[Lucro Líquido]*5%)&gt;Tabela3[Teto R. Legal],Tabela3[Teto R. Legal],Tabela3[Lucro Líquido]*5%)</f>
        <v>7567450</v>
      </c>
      <c r="Q296" s="5">
        <f>IF(Tabela3[Lucro Líquido]&lt;0,0,Tabela3[Lucro Líquido]-Tabela3[Reserva Legal])</f>
        <v>143781550</v>
      </c>
      <c r="R296" s="5">
        <f>Tabela3[[#This Row],[Lucro Distribuir]]*Tabela3[%Div]</f>
        <v>35945387.5</v>
      </c>
      <c r="S296" s="21">
        <f>SUMPRODUCT(N(Tabela3[Nome]=Tabela3[[#This Row],[Nome]]),Tabela3[Ações])</f>
        <v>76423831</v>
      </c>
      <c r="T296" s="5">
        <f>Tabela3[Capital Social]/Tabela3[Total Ações]</f>
        <v>13.056998189478358</v>
      </c>
      <c r="U296" s="79">
        <f>Tabela3[[#This Row],[Lucro Líquido]]/Tabela3[[#This Row],[Total Ações]]</f>
        <v>1.9803901220288211</v>
      </c>
      <c r="V296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0.47034265398184499</v>
      </c>
      <c r="W296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6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0.47034265398184499</v>
      </c>
      <c r="Z296" s="5">
        <f>Tabela3[Div Base]*Tabela3[Ações]</f>
        <v>35945387.5</v>
      </c>
      <c r="AA296" s="5">
        <f>SUMPRODUCT(N(Tabela3[Nome]=Tabela3[[#This Row],[Nome]]),Tabela3[Div Base]*Tabela3[Ações])</f>
        <v>35945387.5</v>
      </c>
      <c r="AB296" s="5">
        <f>Tabela3[Patrimônio Líquido]/Tabela3[Total Ações]</f>
        <v>29.350151263681088</v>
      </c>
      <c r="AC296" s="52">
        <f>MAX(Tabela3[[#This Row],[Cotação 1]:[Cotação 4]])</f>
        <v>15.04</v>
      </c>
      <c r="AD296" s="53">
        <f>Tabela3[Cotação]/Tabela3[VPA]</f>
        <v>0.51243347486971991</v>
      </c>
      <c r="AE296" s="37">
        <f>IF(Tabela3[[#This Row],[Lucro/Ação]]&gt;0,Tabela3[[#This Row],[Cotação]]/(Tabela3[[#This Row],[Lucro/Ação]]/Tabela3[Ref]*4),0)</f>
        <v>5.6958474365869609</v>
      </c>
      <c r="AF296" s="37" t="e">
        <f>IF(Tabela3[Div. Mínimo]=0,0,Tabela3[Lucro Distribuir]*#REF!/Tabela3[Total Ações])</f>
        <v>#REF!</v>
      </c>
      <c r="AG296" s="79">
        <f>Tabela3[Lucro Distribuir]/Tabela3[Total Ações]</f>
        <v>1.88137061592738</v>
      </c>
      <c r="AH296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0.47034265398184499</v>
      </c>
      <c r="AI296" s="16" t="str">
        <f>IF(AND(Tabela3[% A.A.]&gt;=7%,SUMPRODUCT(N(Tabela3[Nome]=Tabela3[[#This Row],[Nome]]),Tabela3[PL])&gt;0),"Sim","Não")</f>
        <v>Não</v>
      </c>
      <c r="AJ296" s="22">
        <f>IF(Tabela3[Cotação]&gt;0,Tabela3[[#This Row],[Lucro]]/Tabela3[[#This Row],[Cotação]],0)</f>
        <v>3.1272782844537571E-2</v>
      </c>
      <c r="AK296" s="18">
        <f>((1+Tabela3[[#This Row],[% Yield]])^(1/(3*Tabela3[[#This Row],[Ref]])))^(12)-1</f>
        <v>4.191288324403919E-2</v>
      </c>
      <c r="AL296" s="10">
        <f>IF(Tabela3[Cotação]&gt;0,($AS$1/Tabela3[[#This Row],[Cotação]]-MOD($AS$1/Tabela3[[#This Row],[Cotação]],100)),)</f>
        <v>0</v>
      </c>
      <c r="AM296" s="7">
        <f>Tabela3[[#This Row],[Ativos]]*Tabela3[Lucro]</f>
        <v>0</v>
      </c>
      <c r="AN296" s="47">
        <f>SUMPRODUCT(N(Tabela1[Código]=Tabela3[[#This Row],[PAPEL]]),Tabela1[Fechamento])</f>
        <v>0</v>
      </c>
      <c r="AO296" s="54">
        <f>SUMPRODUCT(N(Tabela17[Código]=Tabela3[[#This Row],[PAPEL]]),Tabela17[Fechamento])</f>
        <v>15.04</v>
      </c>
      <c r="AP296" s="7">
        <f>SUMPRODUCT(N(Tabela176[Código]=Tabela3[[#This Row],[PAPEL]]),Tabela176[Fechamento])</f>
        <v>0</v>
      </c>
      <c r="AQ296" s="7">
        <f>SUMPRODUCT(N(Tabela1768[Código]=Tabela3[[#This Row],[PAPEL]]),Tabela1768[Fechamento])</f>
        <v>0</v>
      </c>
    </row>
    <row r="297" spans="1:43" hidden="1" x14ac:dyDescent="0.2">
      <c r="A297" s="4" t="s">
        <v>26</v>
      </c>
      <c r="B297" s="57" t="s">
        <v>57</v>
      </c>
      <c r="C297" s="84" t="str">
        <f>LEFT(Tabela3[PAPEL],LEN(Tabela3[PAPEL])-(LEN(Tabela3[PAPEL])-4))</f>
        <v>SULA</v>
      </c>
      <c r="D297" s="16">
        <v>3</v>
      </c>
      <c r="E297" s="5"/>
      <c r="G297" s="88"/>
      <c r="H297" s="16"/>
      <c r="I297" s="18"/>
      <c r="K297" s="89">
        <v>1</v>
      </c>
      <c r="L297" s="89">
        <v>2</v>
      </c>
      <c r="M297" s="6">
        <v>5318159000</v>
      </c>
      <c r="N297" s="6">
        <v>472452000</v>
      </c>
      <c r="O297" s="5">
        <f>Tabela3[[#This Row],[Capital Social]]*20%</f>
        <v>0</v>
      </c>
      <c r="P297" s="5">
        <f>IF((Tabela3[Lucro Líquido]*5%)&gt;Tabela3[Teto R. Legal],Tabela3[Teto R. Legal],Tabela3[Lucro Líquido]*5%)</f>
        <v>0</v>
      </c>
      <c r="Q297" s="5">
        <f>IF(Tabela3[Lucro Líquido]&lt;0,0,Tabela3[Lucro Líquido]-Tabela3[Reserva Legal])</f>
        <v>472452000</v>
      </c>
      <c r="R297" s="5">
        <f>Tabela3[[#This Row],[Lucro Distribuir]]*Tabela3[%Div]</f>
        <v>0</v>
      </c>
      <c r="S297" s="56">
        <f>SUMPRODUCT(N(Tabela3[Nome]=Tabela3[[#This Row],[Nome]]),Tabela3[Ações])</f>
        <v>1022205493</v>
      </c>
      <c r="T297" s="5">
        <f>Tabela3[Capital Social]/Tabela3[Total Ações]</f>
        <v>0</v>
      </c>
      <c r="U297" s="79">
        <f>Tabela3[[#This Row],[Lucro Líquido]]/Tabela3[[#This Row],[Total Ações]]</f>
        <v>0.46218886831984574</v>
      </c>
      <c r="V297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297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7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297" s="5">
        <f>Tabela3[Div Base]*Tabela3[Ações]</f>
        <v>0</v>
      </c>
      <c r="AA297" s="5">
        <f>SUMPRODUCT(N(Tabela3[Nome]=Tabela3[[#This Row],[Nome]]),Tabela3[Div Base]*Tabela3[Ações])</f>
        <v>78897402.643435329</v>
      </c>
      <c r="AB297" s="5">
        <f>Tabela3[Patrimônio Líquido]/Tabela3[Total Ações]</f>
        <v>5.2026319917261485</v>
      </c>
      <c r="AC297" s="52">
        <f>MAX(Tabela3[[#This Row],[Cotação 1]:[Cotação 4]])</f>
        <v>14.19</v>
      </c>
      <c r="AD297" s="53">
        <f>Tabela3[Cotação]/Tabela3[VPA]</f>
        <v>2.7274656409614684</v>
      </c>
      <c r="AE297" s="37">
        <f>IF(Tabela3[[#This Row],[Lucro/Ação]]&gt;0,Tabela3[[#This Row],[Cotação]]/(Tabela3[[#This Row],[Lucro/Ação]]/Tabela3[Ref]*4),0)</f>
        <v>23.026300998307764</v>
      </c>
      <c r="AF297" s="37">
        <f>IF(Tabela3[Div. Mínimo]=0,0,Tabela3[Lucro Distribuir]*#REF!/Tabela3[Total Ações])</f>
        <v>0</v>
      </c>
      <c r="AG297" s="79">
        <f>Tabela3[Lucro Distribuir]/Tabela3[Total Ações]</f>
        <v>0.46218886831984574</v>
      </c>
      <c r="AH297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0.19864205523301759</v>
      </c>
      <c r="AI297" s="16" t="str">
        <f>IF(AND(Tabela3[% A.A.]&gt;=7%,SUMPRODUCT(N(Tabela3[Nome]=Tabela3[[#This Row],[Nome]]),Tabela3[PL])&gt;0),"Sim","Não")</f>
        <v>Não</v>
      </c>
      <c r="AJ297" s="22">
        <f>IF(Tabela3[Cotação]&gt;0,Tabela3[[#This Row],[Lucro]]/Tabela3[[#This Row],[Cotação]],0)</f>
        <v>1.3998735393447329E-2</v>
      </c>
      <c r="AK297" s="18">
        <f>((1+Tabela3[[#This Row],[% Yield]])^(1/(3*Tabela3[[#This Row],[Ref]])))^(12)-1</f>
        <v>1.8708393526706946E-2</v>
      </c>
      <c r="AL297" s="10">
        <f>IF(Tabela3[Cotação]&gt;0,($AS$1/Tabela3[[#This Row],[Cotação]]-MOD($AS$1/Tabela3[[#This Row],[Cotação]],100)),)</f>
        <v>0</v>
      </c>
      <c r="AM297" s="7">
        <f>Tabela3[[#This Row],[Ativos]]*Tabela3[Lucro]</f>
        <v>0</v>
      </c>
      <c r="AN297" s="47">
        <f>SUMPRODUCT(N(Tabela1[Código]=Tabela3[[#This Row],[PAPEL]]),Tabela1[Fechamento])</f>
        <v>0</v>
      </c>
      <c r="AO297" s="54">
        <f>SUMPRODUCT(N(Tabela17[Código]=Tabela3[[#This Row],[PAPEL]]),Tabela17[Fechamento])</f>
        <v>14.19</v>
      </c>
      <c r="AP297" s="7">
        <f>SUMPRODUCT(N(Tabela176[Código]=Tabela3[[#This Row],[PAPEL]]),Tabela176[Fechamento])</f>
        <v>0</v>
      </c>
      <c r="AQ297" s="7">
        <f>SUMPRODUCT(N(Tabela1768[Código]=Tabela3[[#This Row],[PAPEL]]),Tabela1768[Fechamento])</f>
        <v>0</v>
      </c>
    </row>
    <row r="298" spans="1:43" hidden="1" x14ac:dyDescent="0.2">
      <c r="A298" s="4" t="s">
        <v>26</v>
      </c>
      <c r="B298" s="57" t="s">
        <v>725</v>
      </c>
      <c r="C298" s="84" t="str">
        <f>LEFT(Tabela3[PAPEL],LEN(Tabela3[PAPEL])-(LEN(Tabela3[PAPEL])-4))</f>
        <v>SULA</v>
      </c>
      <c r="D298" s="16">
        <v>3</v>
      </c>
      <c r="E298" s="5">
        <v>2319882346.8499999</v>
      </c>
      <c r="F298" s="56">
        <v>512362664</v>
      </c>
      <c r="G298" s="88">
        <v>0.25</v>
      </c>
      <c r="H298" s="16"/>
      <c r="I298" s="18"/>
      <c r="K298" s="89"/>
      <c r="L298" s="89"/>
      <c r="M298" s="6">
        <v>5318159000</v>
      </c>
      <c r="N298" s="6">
        <v>472452000</v>
      </c>
      <c r="O298" s="5">
        <f>Tabela3[[#This Row],[Capital Social]]*20%</f>
        <v>463976469.37</v>
      </c>
      <c r="P298" s="5">
        <f>IF((Tabela3[Lucro Líquido]*5%)&gt;Tabela3[Teto R. Legal],Tabela3[Teto R. Legal],Tabela3[Lucro Líquido]*5%)</f>
        <v>23622600</v>
      </c>
      <c r="Q298" s="5">
        <f>IF(Tabela3[Lucro Líquido]&lt;0,0,Tabela3[Lucro Líquido]-Tabela3[Reserva Legal])</f>
        <v>448829400</v>
      </c>
      <c r="R298" s="5">
        <f>Tabela3[[#This Row],[Lucro Distribuir]]*Tabela3[%Div]</f>
        <v>112207350</v>
      </c>
      <c r="S298" s="56">
        <f>SUMPRODUCT(N(Tabela3[Nome]=Tabela3[[#This Row],[Nome]]),Tabela3[Ações])</f>
        <v>1022205493</v>
      </c>
      <c r="T298" s="5">
        <f>Tabela3[Capital Social]/Tabela3[Total Ações]</f>
        <v>2.2694872633109591</v>
      </c>
      <c r="U298" s="79">
        <f>Tabela3[[#This Row],[Lucro Líquido]]/Tabela3[[#This Row],[Total Ações]]</f>
        <v>0.46218886831984574</v>
      </c>
      <c r="V29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0.10976985622596336</v>
      </c>
      <c r="W29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0.10976985622596336</v>
      </c>
      <c r="Z298" s="5">
        <f>Tabela3[Div Base]*Tabela3[Ações]</f>
        <v>56241975.962831572</v>
      </c>
      <c r="AA298" s="5">
        <f>SUMPRODUCT(N(Tabela3[Nome]=Tabela3[[#This Row],[Nome]]),Tabela3[Div Base]*Tabela3[Ações])</f>
        <v>78897402.643435329</v>
      </c>
      <c r="AB298" s="5">
        <f>Tabela3[Patrimônio Líquido]/Tabela3[Total Ações]</f>
        <v>5.2026319917261485</v>
      </c>
      <c r="AC298" s="52">
        <f>MAX(Tabela3[[#This Row],[Cotação 1]:[Cotação 4]])</f>
        <v>0</v>
      </c>
      <c r="AD298" s="53">
        <f>Tabela3[Cotação]/Tabela3[VPA]</f>
        <v>0</v>
      </c>
      <c r="AE298" s="37">
        <f>IF(Tabela3[[#This Row],[Lucro/Ação]]&gt;0,Tabela3[[#This Row],[Cotação]]/(Tabela3[[#This Row],[Lucro/Ação]]/Tabela3[Ref]*4),0)</f>
        <v>0</v>
      </c>
      <c r="AF298" s="37" t="e">
        <f>IF(Tabela3[Div. Mínimo]=0,0,Tabela3[Lucro Distribuir]*#REF!/Tabela3[Total Ações])</f>
        <v>#REF!</v>
      </c>
      <c r="AG298" s="79">
        <f>Tabela3[Lucro Distribuir]/Tabela3[Total Ações]</f>
        <v>0.43907942490385343</v>
      </c>
      <c r="AH298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0.10976985622596336</v>
      </c>
      <c r="AI298" s="16" t="str">
        <f>IF(AND(Tabela3[% A.A.]&gt;=7%,SUMPRODUCT(N(Tabela3[Nome]=Tabela3[[#This Row],[Nome]]),Tabela3[PL])&gt;0),"Sim","Não")</f>
        <v>Não</v>
      </c>
      <c r="AJ298" s="22">
        <f>IF(Tabela3[Cotação]&gt;0,Tabela3[[#This Row],[Lucro]]/Tabela3[[#This Row],[Cotação]],0)</f>
        <v>0</v>
      </c>
      <c r="AK298" s="18">
        <f>((1+Tabela3[[#This Row],[% Yield]])^(1/(3*Tabela3[[#This Row],[Ref]])))^(12)-1</f>
        <v>0</v>
      </c>
      <c r="AL298" s="10">
        <f>IF(Tabela3[Cotação]&gt;0,($AS$1/Tabela3[[#This Row],[Cotação]]-MOD($AS$1/Tabela3[[#This Row],[Cotação]],100)),)</f>
        <v>0</v>
      </c>
      <c r="AM298" s="7">
        <f>Tabela3[[#This Row],[Ativos]]*Tabela3[Lucro]</f>
        <v>0</v>
      </c>
      <c r="AN298" s="47">
        <f>SUMPRODUCT(N(Tabela1[Código]=Tabela3[[#This Row],[PAPEL]]),Tabela1[Fechamento])</f>
        <v>0</v>
      </c>
      <c r="AO298" s="54">
        <f>SUMPRODUCT(N(Tabela17[Código]=Tabela3[[#This Row],[PAPEL]]),Tabela17[Fechamento])</f>
        <v>0</v>
      </c>
      <c r="AP298" s="7">
        <f>SUMPRODUCT(N(Tabela176[Código]=Tabela3[[#This Row],[PAPEL]]),Tabela176[Fechamento])</f>
        <v>0</v>
      </c>
      <c r="AQ298" s="7">
        <f>SUMPRODUCT(N(Tabela1768[Código]=Tabela3[[#This Row],[PAPEL]]),Tabela1768[Fechamento])</f>
        <v>0</v>
      </c>
    </row>
    <row r="299" spans="1:43" hidden="1" x14ac:dyDescent="0.2">
      <c r="A299" s="4" t="s">
        <v>26</v>
      </c>
      <c r="B299" s="57" t="s">
        <v>726</v>
      </c>
      <c r="C299" s="84" t="str">
        <f>LEFT(Tabela3[PAPEL],LEN(Tabela3[PAPEL])-(LEN(Tabela3[PAPEL])-4))</f>
        <v>SULA</v>
      </c>
      <c r="D299" s="15">
        <v>3</v>
      </c>
      <c r="E299" s="5">
        <v>2319882346.8499999</v>
      </c>
      <c r="F299" s="8">
        <v>509842829</v>
      </c>
      <c r="G299" s="88">
        <v>0.25</v>
      </c>
      <c r="H299" s="15"/>
      <c r="I299" s="19"/>
      <c r="J299" s="19"/>
      <c r="K299" s="90"/>
      <c r="L299" s="90"/>
      <c r="M299" s="6">
        <v>3411209000</v>
      </c>
      <c r="N299" s="6">
        <v>191254000</v>
      </c>
      <c r="O299" s="6">
        <f>Tabela3[[#This Row],[Capital Social]]*20%</f>
        <v>463976469.37</v>
      </c>
      <c r="P299" s="6">
        <f>IF((Tabela3[Lucro Líquido]*5%)&gt;Tabela3[Teto R. Legal],Tabela3[Teto R. Legal],Tabela3[Lucro Líquido]*5%)</f>
        <v>9562700</v>
      </c>
      <c r="Q299" s="6">
        <f>IF(Tabela3[Lucro Líquido]&lt;0,0,Tabela3[Lucro Líquido]-Tabela3[Reserva Legal])</f>
        <v>181691300</v>
      </c>
      <c r="R299" s="6">
        <f>Tabela3[[#This Row],[Lucro Distribuir]]*Tabela3[%Div]</f>
        <v>45422825</v>
      </c>
      <c r="S299" s="56">
        <f>SUMPRODUCT(N(Tabela3[Nome]=Tabela3[[#This Row],[Nome]]),Tabela3[Ações])</f>
        <v>1022205493</v>
      </c>
      <c r="T299" s="6">
        <f>Tabela3[Capital Social]/Tabela3[Total Ações]</f>
        <v>2.2694872633109591</v>
      </c>
      <c r="U299" s="80">
        <f>Tabela3[[#This Row],[Lucro Líquido]]/Tabela3[[#This Row],[Total Ações]]</f>
        <v>0.18709936633064053</v>
      </c>
      <c r="V29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4.4436099503527123E-2</v>
      </c>
      <c r="W29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29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29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4.4436099503527123E-2</v>
      </c>
      <c r="Z299" s="6">
        <f>Tabela3[Div Base]*Tabela3[Ações]</f>
        <v>22655426.680603765</v>
      </c>
      <c r="AA299" s="6">
        <f>SUMPRODUCT(N(Tabela3[Nome]=Tabela3[[#This Row],[Nome]]),Tabela3[Div Base]*Tabela3[Ações])</f>
        <v>78897402.643435329</v>
      </c>
      <c r="AB299" s="6">
        <f>Tabela3[Patrimônio Líquido]/Tabela3[Total Ações]</f>
        <v>3.3371068961766968</v>
      </c>
      <c r="AC299" s="48">
        <f>MAX(Tabela3[[#This Row],[Cotação 1]:[Cotação 4]])</f>
        <v>0</v>
      </c>
      <c r="AD299" s="44">
        <f>Tabela3[Cotação]/Tabela3[VPA]</f>
        <v>0</v>
      </c>
      <c r="AE299" s="40">
        <f>IF(Tabela3[[#This Row],[Lucro/Ação]]&gt;0,Tabela3[[#This Row],[Cotação]]/(Tabela3[[#This Row],[Lucro/Ação]]/Tabela3[Ref]*4),0)</f>
        <v>0</v>
      </c>
      <c r="AF299" s="40" t="e">
        <f>IF(Tabela3[Div. Mínimo]=0,0,Tabela3[Lucro Distribuir]*#REF!/Tabela3[Total Ações])</f>
        <v>#REF!</v>
      </c>
      <c r="AG299" s="80">
        <f>Tabela3[Lucro Distribuir]/Tabela3[Total Ações]</f>
        <v>0.17774439801410849</v>
      </c>
      <c r="AH29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4.4436099503527123E-2</v>
      </c>
      <c r="AI299" s="15" t="str">
        <f>IF(AND(Tabela3[% A.A.]&gt;=7%,SUMPRODUCT(N(Tabela3[Nome]=Tabela3[[#This Row],[Nome]]),Tabela3[PL])&gt;0),"Sim","Não")</f>
        <v>Não</v>
      </c>
      <c r="AJ299" s="42">
        <f>IF(Tabela3[Cotação]&gt;0,Tabela3[[#This Row],[Lucro]]/Tabela3[[#This Row],[Cotação]],0)</f>
        <v>0</v>
      </c>
      <c r="AK299" s="19">
        <f>((1+Tabela3[[#This Row],[% Yield]])^(1/(3*Tabela3[[#This Row],[Ref]])))^(12)-1</f>
        <v>0</v>
      </c>
      <c r="AL299" s="14">
        <f>IF(Tabela3[Cotação]&gt;0,($AS$1/Tabela3[[#This Row],[Cotação]]-MOD($AS$1/Tabela3[[#This Row],[Cotação]],100)),)</f>
        <v>0</v>
      </c>
      <c r="AM299" s="17">
        <f>Tabela3[[#This Row],[Ativos]]*Tabela3[Lucro]</f>
        <v>0</v>
      </c>
      <c r="AN299" s="13">
        <f>SUMPRODUCT(N(Tabela1[Código]=Tabela3[[#This Row],[PAPEL]]),Tabela1[Fechamento])</f>
        <v>0</v>
      </c>
      <c r="AO299" s="13">
        <f>SUMPRODUCT(N(Tabela17[Código]=Tabela3[[#This Row],[PAPEL]]),Tabela17[Fechamento])</f>
        <v>0</v>
      </c>
      <c r="AP299" s="7">
        <f>SUMPRODUCT(N(Tabela176[Código]=Tabela3[[#This Row],[PAPEL]]),Tabela176[Fechamento])</f>
        <v>0</v>
      </c>
      <c r="AQ299" s="7">
        <f>SUMPRODUCT(N(Tabela1768[Código]=Tabela3[[#This Row],[PAPEL]]),Tabela1768[Fechamento])</f>
        <v>0</v>
      </c>
    </row>
    <row r="300" spans="1:43" hidden="1" x14ac:dyDescent="0.2">
      <c r="A300" s="4" t="s">
        <v>19</v>
      </c>
      <c r="B300" s="57" t="s">
        <v>709</v>
      </c>
      <c r="C300" s="84" t="str">
        <f>LEFT(Tabela3[PAPEL],LEN(Tabela3[PAPEL])-(LEN(Tabela3[PAPEL])-4))</f>
        <v>SUZB</v>
      </c>
      <c r="D300" s="15">
        <v>3</v>
      </c>
      <c r="E300" s="6">
        <v>6241753032.1599998</v>
      </c>
      <c r="F300" s="8">
        <v>371148532</v>
      </c>
      <c r="G300" s="83">
        <v>0.25</v>
      </c>
      <c r="H300" s="15"/>
      <c r="I300" s="19"/>
      <c r="J300" s="19"/>
      <c r="K300" s="90"/>
      <c r="L300" s="90"/>
      <c r="M300" s="6">
        <v>10702169000</v>
      </c>
      <c r="N300" s="6">
        <v>-162427000</v>
      </c>
      <c r="O300" s="6">
        <f>Tabela3[[#This Row],[Capital Social]]*20%</f>
        <v>1248350606.4319999</v>
      </c>
      <c r="P300" s="6">
        <f>IF((Tabela3[Lucro Líquido]*5%)&gt;Tabela3[Teto R. Legal],Tabela3[Teto R. Legal],Tabela3[Lucro Líquido]*5%)</f>
        <v>-8121350</v>
      </c>
      <c r="Q300" s="6">
        <f>IF(Tabela3[Lucro Líquido]&lt;0,0,Tabela3[Lucro Líquido]-Tabela3[Reserva Legal])</f>
        <v>0</v>
      </c>
      <c r="R300" s="6">
        <f>Tabela3[[#This Row],[Lucro Distribuir]]*Tabela3[%Div]</f>
        <v>0</v>
      </c>
      <c r="S300" s="56">
        <f>SUMPRODUCT(N(Tabela3[Nome]=Tabela3[[#This Row],[Nome]]),Tabela3[Ações])</f>
        <v>1107738677</v>
      </c>
      <c r="T300" s="6">
        <f>Tabela3[Capital Social]/Tabela3[Total Ações]</f>
        <v>5.6346800574518534</v>
      </c>
      <c r="U300" s="80">
        <f>Tabela3[[#This Row],[Lucro Líquido]]/Tabela3[[#This Row],[Total Ações]]</f>
        <v>-0.14662934803349834</v>
      </c>
      <c r="V30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00" s="6">
        <f>Tabela3[Div Base]*Tabela3[Ações]</f>
        <v>0</v>
      </c>
      <c r="AA300" s="6">
        <f>SUMPRODUCT(N(Tabela3[Nome]=Tabela3[[#This Row],[Nome]]),Tabela3[Div Base]*Tabela3[Ações])</f>
        <v>0</v>
      </c>
      <c r="AB300" s="6">
        <f>Tabela3[Patrimônio Líquido]/Tabela3[Total Ações]</f>
        <v>9.6612759148067546</v>
      </c>
      <c r="AC300" s="48">
        <f>MAX(Tabela3[[#This Row],[Cotação 1]:[Cotação 4]])</f>
        <v>4</v>
      </c>
      <c r="AD300" s="44">
        <f>Tabela3[Cotação]/Tabela3[VPA]</f>
        <v>0.41402398971647714</v>
      </c>
      <c r="AE300" s="40">
        <f>IF(Tabela3[[#This Row],[Lucro/Ação]]&gt;0,Tabela3[[#This Row],[Cotação]]/(Tabela3[[#This Row],[Lucro/Ação]]/Tabela3[Ref]*4),0)</f>
        <v>0</v>
      </c>
      <c r="AF300" s="40">
        <f>IF(Tabela3[Div. Mínimo]=0,0,Tabela3[Lucro Distribuir]*#REF!/Tabela3[Total Ações])</f>
        <v>0</v>
      </c>
      <c r="AG300" s="80">
        <f>Tabela3[Lucro Distribuir]/Tabela3[Total Ações]</f>
        <v>0</v>
      </c>
      <c r="AH30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00" s="15" t="str">
        <f>IF(AND(Tabela3[% A.A.]&gt;=7%,SUMPRODUCT(N(Tabela3[Nome]=Tabela3[[#This Row],[Nome]]),Tabela3[PL])&gt;0),"Sim","Não")</f>
        <v>Não</v>
      </c>
      <c r="AJ300" s="42">
        <f>IF(Tabela3[Cotação]&gt;0,Tabela3[[#This Row],[Lucro]]/Tabela3[[#This Row],[Cotação]],0)</f>
        <v>0</v>
      </c>
      <c r="AK300" s="19">
        <f>((1+Tabela3[[#This Row],[% Yield]])^(1/(3*Tabela3[[#This Row],[Ref]])))^(12)-1</f>
        <v>0</v>
      </c>
      <c r="AL300" s="14">
        <f>IF(Tabela3[Cotação]&gt;0,($AS$1/Tabela3[[#This Row],[Cotação]]-MOD($AS$1/Tabela3[[#This Row],[Cotação]],100)),)</f>
        <v>200</v>
      </c>
      <c r="AM300" s="17">
        <f>Tabela3[[#This Row],[Ativos]]*Tabela3[Lucro]</f>
        <v>0</v>
      </c>
      <c r="AN300" s="13">
        <f>SUMPRODUCT(N(Tabela1[Código]=Tabela3[[#This Row],[PAPEL]]),Tabela1[Fechamento])</f>
        <v>0</v>
      </c>
      <c r="AO300" s="13">
        <f>SUMPRODUCT(N(Tabela17[Código]=Tabela3[[#This Row],[PAPEL]]),Tabela17[Fechamento])</f>
        <v>0</v>
      </c>
      <c r="AP300" s="7">
        <f>SUMPRODUCT(N(Tabela176[Código]=Tabela3[[#This Row],[PAPEL]]),Tabela176[Fechamento])</f>
        <v>4</v>
      </c>
      <c r="AQ300" s="7">
        <f>SUMPRODUCT(N(Tabela1768[Código]=Tabela3[[#This Row],[PAPEL]]),Tabela1768[Fechamento])</f>
        <v>0</v>
      </c>
    </row>
    <row r="301" spans="1:43" hidden="1" x14ac:dyDescent="0.2">
      <c r="A301" s="4" t="s">
        <v>19</v>
      </c>
      <c r="B301" s="57" t="s">
        <v>18</v>
      </c>
      <c r="C301" s="14" t="str">
        <f>LEFT(Tabela3[PAPEL],LEN(Tabela3[PAPEL])-(LEN(Tabela3[PAPEL])-4))</f>
        <v>SUZB</v>
      </c>
      <c r="D301" s="15">
        <v>3</v>
      </c>
      <c r="E301" s="6">
        <v>6241753032.1599998</v>
      </c>
      <c r="F301" s="8">
        <v>734649326</v>
      </c>
      <c r="G301" s="83">
        <v>0.25</v>
      </c>
      <c r="H301" s="15"/>
      <c r="I301" s="19"/>
      <c r="J301" s="19"/>
      <c r="K301" s="90"/>
      <c r="L301" s="90"/>
      <c r="M301" s="6">
        <v>10702169000</v>
      </c>
      <c r="N301" s="6">
        <v>-162427000</v>
      </c>
      <c r="O301" s="6">
        <f>Tabela3[[#This Row],[Capital Social]]*20%</f>
        <v>1248350606.4319999</v>
      </c>
      <c r="P301" s="6">
        <f>IF((Tabela3[Lucro Líquido]*5%)&gt;Tabela3[Teto R. Legal],Tabela3[Teto R. Legal],Tabela3[Lucro Líquido]*5%)</f>
        <v>-8121350</v>
      </c>
      <c r="Q301" s="6">
        <f>IF(Tabela3[Lucro Líquido]&lt;0,0,Tabela3[Lucro Líquido]-Tabela3[Reserva Legal])</f>
        <v>0</v>
      </c>
      <c r="R301" s="6">
        <f>Tabela3[[#This Row],[Lucro Distribuir]]*Tabela3[%Div]</f>
        <v>0</v>
      </c>
      <c r="S301" s="56">
        <f>SUMPRODUCT(N(Tabela3[Nome]=Tabela3[[#This Row],[Nome]]),Tabela3[Ações])</f>
        <v>1107738677</v>
      </c>
      <c r="T301" s="6">
        <f>Tabela3[Capital Social]/Tabela3[Total Ações]</f>
        <v>5.6346800574518534</v>
      </c>
      <c r="U301" s="80">
        <f>Tabela3[[#This Row],[Lucro Líquido]]/Tabela3[[#This Row],[Total Ações]]</f>
        <v>-0.14662934803349834</v>
      </c>
      <c r="V30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01" s="6">
        <f>Tabela3[Div Base]*Tabela3[Ações]</f>
        <v>0</v>
      </c>
      <c r="AA301" s="6">
        <f>SUMPRODUCT(N(Tabela3[Nome]=Tabela3[[#This Row],[Nome]]),Tabela3[Div Base]*Tabela3[Ações])</f>
        <v>0</v>
      </c>
      <c r="AB301" s="6">
        <f>Tabela3[Patrimônio Líquido]/Tabela3[Total Ações]</f>
        <v>9.6612759148067546</v>
      </c>
      <c r="AC301" s="48">
        <f>MAX(Tabela3[[#This Row],[Cotação 1]:[Cotação 4]])</f>
        <v>9.07</v>
      </c>
      <c r="AD301" s="44">
        <f>Tabela3[Cotação]/Tabela3[VPA]</f>
        <v>0.93879939668211199</v>
      </c>
      <c r="AE301" s="40">
        <f>IF(Tabela3[[#This Row],[Lucro/Ação]]&gt;0,Tabela3[[#This Row],[Cotação]]/(Tabela3[[#This Row],[Lucro/Ação]]/Tabela3[Ref]*4),0)</f>
        <v>0</v>
      </c>
      <c r="AF301" s="40">
        <f>IF(Tabela3[Div. Mínimo]=0,0,Tabela3[Lucro Distribuir]*#REF!/Tabela3[Total Ações])</f>
        <v>0</v>
      </c>
      <c r="AG301" s="80">
        <f>Tabela3[Lucro Distribuir]/Tabela3[Total Ações]</f>
        <v>0</v>
      </c>
      <c r="AH30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01" s="15" t="str">
        <f>IF(AND(Tabela3[% A.A.]&gt;=7%,SUMPRODUCT(N(Tabela3[Nome]=Tabela3[[#This Row],[Nome]]),Tabela3[PL])&gt;0),"Sim","Não")</f>
        <v>Não</v>
      </c>
      <c r="AJ301" s="42">
        <f>IF(Tabela3[Cotação]&gt;0,Tabela3[[#This Row],[Lucro]]/Tabela3[[#This Row],[Cotação]],0)</f>
        <v>0</v>
      </c>
      <c r="AK301" s="19">
        <f>((1+Tabela3[[#This Row],[% Yield]])^(1/(3*Tabela3[[#This Row],[Ref]])))^(12)-1</f>
        <v>0</v>
      </c>
      <c r="AL301" s="14">
        <f>IF(Tabela3[Cotação]&gt;0,($AS$1/Tabela3[[#This Row],[Cotação]]-MOD($AS$1/Tabela3[[#This Row],[Cotação]],100)),)</f>
        <v>100</v>
      </c>
      <c r="AM301" s="17">
        <f>Tabela3[[#This Row],[Ativos]]*Tabela3[Lucro]</f>
        <v>0</v>
      </c>
      <c r="AN301" s="5">
        <f>SUMPRODUCT(N(Tabela1[Código]=Tabela3[[#This Row],[PAPEL]]),Tabela1[Fechamento])</f>
        <v>9.07</v>
      </c>
      <c r="AO301" s="5">
        <f>SUMPRODUCT(N(Tabela17[Código]=Tabela3[[#This Row],[PAPEL]]),Tabela17[Fechamento])</f>
        <v>0</v>
      </c>
      <c r="AP301" s="7">
        <f>SUMPRODUCT(N(Tabela176[Código]=Tabela3[[#This Row],[PAPEL]]),Tabela176[Fechamento])</f>
        <v>0</v>
      </c>
      <c r="AQ301" s="7">
        <f>SUMPRODUCT(N(Tabela1768[Código]=Tabela3[[#This Row],[PAPEL]]),Tabela1768[Fechamento])</f>
        <v>0</v>
      </c>
    </row>
    <row r="302" spans="1:43" hidden="1" x14ac:dyDescent="0.2">
      <c r="A302" s="4" t="s">
        <v>19</v>
      </c>
      <c r="B302" s="57" t="s">
        <v>192</v>
      </c>
      <c r="C302" s="14" t="str">
        <f>LEFT(Tabela3[PAPEL],LEN(Tabela3[PAPEL])-(LEN(Tabela3[PAPEL])-4))</f>
        <v>SUZB</v>
      </c>
      <c r="D302" s="15">
        <v>3</v>
      </c>
      <c r="E302" s="6">
        <v>6241753032.1599998</v>
      </c>
      <c r="F302" s="8">
        <v>1940819</v>
      </c>
      <c r="G302" s="88">
        <v>0.25</v>
      </c>
      <c r="H302" s="15"/>
      <c r="I302" s="19"/>
      <c r="J302" s="19"/>
      <c r="K302" s="90"/>
      <c r="L302" s="90"/>
      <c r="M302" s="6">
        <v>10702169000</v>
      </c>
      <c r="N302" s="6">
        <v>-162427000</v>
      </c>
      <c r="O302" s="6">
        <f>Tabela3[[#This Row],[Capital Social]]*20%</f>
        <v>1248350606.4319999</v>
      </c>
      <c r="P302" s="6">
        <f>IF((Tabela3[Lucro Líquido]*5%)&gt;Tabela3[Teto R. Legal],Tabela3[Teto R. Legal],Tabela3[Lucro Líquido]*5%)</f>
        <v>-8121350</v>
      </c>
      <c r="Q302" s="6">
        <f>IF(Tabela3[Lucro Líquido]&lt;0,0,Tabela3[Lucro Líquido]-Tabela3[Reserva Legal])</f>
        <v>0</v>
      </c>
      <c r="R302" s="6">
        <f>Tabela3[[#This Row],[Lucro Distribuir]]*Tabela3[%Div]</f>
        <v>0</v>
      </c>
      <c r="S302" s="56">
        <f>SUMPRODUCT(N(Tabela3[Nome]=Tabela3[[#This Row],[Nome]]),Tabela3[Ações])</f>
        <v>1107738677</v>
      </c>
      <c r="T302" s="6">
        <f>Tabela3[Capital Social]/Tabela3[Total Ações]</f>
        <v>5.6346800574518534</v>
      </c>
      <c r="U302" s="80">
        <f>Tabela3[[#This Row],[Lucro Líquido]]/Tabela3[[#This Row],[Total Ações]]</f>
        <v>-0.14662934803349834</v>
      </c>
      <c r="V30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02" s="6">
        <f>Tabela3[Div Base]*Tabela3[Ações]</f>
        <v>0</v>
      </c>
      <c r="AA302" s="6">
        <f>SUMPRODUCT(N(Tabela3[Nome]=Tabela3[[#This Row],[Nome]]),Tabela3[Div Base]*Tabela3[Ações])</f>
        <v>0</v>
      </c>
      <c r="AB302" s="6">
        <f>Tabela3[Patrimônio Líquido]/Tabela3[Total Ações]</f>
        <v>9.6612759148067546</v>
      </c>
      <c r="AC302" s="48">
        <f>MAX(Tabela3[[#This Row],[Cotação 1]:[Cotação 4]])</f>
        <v>8</v>
      </c>
      <c r="AD302" s="44">
        <f>Tabela3[Cotação]/Tabela3[VPA]</f>
        <v>0.82804797943295427</v>
      </c>
      <c r="AE302" s="40">
        <f>IF(Tabela3[[#This Row],[Lucro/Ação]]&gt;0,Tabela3[[#This Row],[Cotação]]/(Tabela3[[#This Row],[Lucro/Ação]]/Tabela3[Ref]*4),0)</f>
        <v>0</v>
      </c>
      <c r="AF302" s="40">
        <f>IF(Tabela3[Div. Mínimo]=0,0,Tabela3[Lucro Distribuir]*#REF!/Tabela3[Total Ações])</f>
        <v>0</v>
      </c>
      <c r="AG302" s="80">
        <f>Tabela3[Lucro Distribuir]/Tabela3[Total Ações]</f>
        <v>0</v>
      </c>
      <c r="AH30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02" s="15" t="str">
        <f>IF(AND(Tabela3[% A.A.]&gt;=7%,SUMPRODUCT(N(Tabela3[Nome]=Tabela3[[#This Row],[Nome]]),Tabela3[PL])&gt;0),"Sim","Não")</f>
        <v>Não</v>
      </c>
      <c r="AJ302" s="42">
        <f>IF(Tabela3[Cotação]&gt;0,Tabela3[[#This Row],[Lucro]]/Tabela3[[#This Row],[Cotação]],0)</f>
        <v>0</v>
      </c>
      <c r="AK302" s="19">
        <f>((1+Tabela3[[#This Row],[% Yield]])^(1/(3*Tabela3[[#This Row],[Ref]])))^(12)-1</f>
        <v>0</v>
      </c>
      <c r="AL302" s="14">
        <f>IF(Tabela3[Cotação]&gt;0,($AS$1/Tabela3[[#This Row],[Cotação]]-MOD($AS$1/Tabela3[[#This Row],[Cotação]],100)),)</f>
        <v>100</v>
      </c>
      <c r="AM302" s="17">
        <f>Tabela3[[#This Row],[Ativos]]*Tabela3[Lucro]</f>
        <v>0</v>
      </c>
      <c r="AN302" s="5">
        <f>SUMPRODUCT(N(Tabela1[Código]=Tabela3[[#This Row],[PAPEL]]),Tabela1[Fechamento])</f>
        <v>8</v>
      </c>
      <c r="AO302" s="5">
        <f>SUMPRODUCT(N(Tabela17[Código]=Tabela3[[#This Row],[PAPEL]]),Tabela17[Fechamento])</f>
        <v>0</v>
      </c>
      <c r="AP302" s="7">
        <f>SUMPRODUCT(N(Tabela176[Código]=Tabela3[[#This Row],[PAPEL]]),Tabela176[Fechamento])</f>
        <v>0</v>
      </c>
      <c r="AQ302" s="7">
        <f>SUMPRODUCT(N(Tabela1768[Código]=Tabela3[[#This Row],[PAPEL]]),Tabela1768[Fechamento])</f>
        <v>0</v>
      </c>
    </row>
    <row r="303" spans="1:43" hidden="1" x14ac:dyDescent="0.2">
      <c r="A303" s="4" t="s">
        <v>12</v>
      </c>
      <c r="B303" s="60" t="s">
        <v>56</v>
      </c>
      <c r="C303" s="14" t="str">
        <f>LEFT(Tabela3[PAPEL],LEN(Tabela3[PAPEL])-(LEN(Tabela3[PAPEL])-4))</f>
        <v>TAEE</v>
      </c>
      <c r="D303" s="15">
        <v>3</v>
      </c>
      <c r="E303" s="6"/>
      <c r="F303" s="8"/>
      <c r="G303" s="83">
        <v>0.5</v>
      </c>
      <c r="H303" s="15"/>
      <c r="I303" s="19"/>
      <c r="J303" s="19"/>
      <c r="K303" s="90">
        <v>1</v>
      </c>
      <c r="L303" s="90">
        <v>2</v>
      </c>
      <c r="M303" s="92"/>
      <c r="N303" s="92"/>
      <c r="O303" s="6">
        <f>Tabela3[[#This Row],[Capital Social]]*20%</f>
        <v>0</v>
      </c>
      <c r="P303" s="6">
        <f>IF((Tabela3[Lucro Líquido]*5%)&gt;Tabela3[Teto R. Legal],Tabela3[Teto R. Legal],Tabela3[Lucro Líquido]*5%)</f>
        <v>0</v>
      </c>
      <c r="Q303" s="92">
        <f>IF(Tabela3[Lucro Líquido]&lt;0,0,Tabela3[Lucro Líquido]-Tabela3[Reserva Legal])</f>
        <v>0</v>
      </c>
      <c r="R303" s="92">
        <f>Tabela3[[#This Row],[Lucro Distribuir]]*Tabela3[%Div]</f>
        <v>0</v>
      </c>
      <c r="S303" s="56">
        <f>SUMPRODUCT(N(Tabela3[Nome]=Tabela3[[#This Row],[Nome]]),Tabela3[Ações])</f>
        <v>1033496721</v>
      </c>
      <c r="T303" s="6">
        <f>Tabela3[Capital Social]/Tabela3[Total Ações]</f>
        <v>0</v>
      </c>
      <c r="U303" s="80">
        <f>Tabela3[[#This Row],[Lucro Líquido]]/Tabela3[[#This Row],[Total Ações]]</f>
        <v>0</v>
      </c>
      <c r="V30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03" s="6">
        <f>Tabela3[Div Base]*Tabela3[Ações]</f>
        <v>0</v>
      </c>
      <c r="AA303" s="6">
        <f>SUMPRODUCT(N(Tabela3[Nome]=Tabela3[[#This Row],[Nome]]),Tabela3[Div Base]*Tabela3[Ações])</f>
        <v>356960600</v>
      </c>
      <c r="AB303" s="92">
        <f>Tabela3[Patrimônio Líquido]/Tabela3[Total Ações]</f>
        <v>0</v>
      </c>
      <c r="AC303" s="48">
        <f>MAX(Tabela3[[#This Row],[Cotação 1]:[Cotação 4]])</f>
        <v>17.38</v>
      </c>
      <c r="AD303" s="44" t="e">
        <f>Tabela3[Cotação]/Tabela3[VPA]</f>
        <v>#DIV/0!</v>
      </c>
      <c r="AE303" s="40">
        <f>IF(Tabela3[[#This Row],[Lucro/Ação]]&gt;0,Tabela3[[#This Row],[Cotação]]/(Tabela3[[#This Row],[Lucro/Ação]]/Tabela3[Ref]*4),0)</f>
        <v>0</v>
      </c>
      <c r="AF303" s="40">
        <f>IF(Tabela3[Div. Mínimo]=0,0,Tabela3[Lucro Distribuir]*#REF!/Tabela3[Total Ações])</f>
        <v>0</v>
      </c>
      <c r="AG303" s="80">
        <f>Tabela3[Lucro Distribuir]/Tabela3[Total Ações]</f>
        <v>0</v>
      </c>
      <c r="AH30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1.0361733890784159</v>
      </c>
      <c r="AI303" s="15" t="str">
        <f>IF(AND(Tabela3[% A.A.]&gt;=7%,SUMPRODUCT(N(Tabela3[Nome]=Tabela3[[#This Row],[Nome]]),Tabela3[PL])&gt;0),"Sim","Não")</f>
        <v>Não</v>
      </c>
      <c r="AJ303" s="42">
        <f>IF(Tabela3[Cotação]&gt;0,Tabela3[[#This Row],[Lucro]]/Tabela3[[#This Row],[Cotação]],0)</f>
        <v>5.9618722041335788E-2</v>
      </c>
      <c r="AK303" s="19">
        <f>((1+Tabela3[[#This Row],[% Yield]])^(1/(3*Tabela3[[#This Row],[Ref]])))^(12)-1</f>
        <v>8.0271281650177162E-2</v>
      </c>
      <c r="AL303" s="14">
        <f>IF(Tabela3[Cotação]&gt;0,($AS$1/Tabela3[[#This Row],[Cotação]]-MOD($AS$1/Tabela3[[#This Row],[Cotação]],100)),)</f>
        <v>0</v>
      </c>
      <c r="AM303" s="17">
        <f>Tabela3[[#This Row],[Ativos]]*Tabela3[Lucro]</f>
        <v>0</v>
      </c>
      <c r="AN303" s="5">
        <f>SUMPRODUCT(N(Tabela1[Código]=Tabela3[[#This Row],[PAPEL]]),Tabela1[Fechamento])</f>
        <v>17.38</v>
      </c>
      <c r="AO303" s="5">
        <f>SUMPRODUCT(N(Tabela17[Código]=Tabela3[[#This Row],[PAPEL]]),Tabela17[Fechamento])</f>
        <v>0</v>
      </c>
      <c r="AP303" s="7">
        <f>SUMPRODUCT(N(Tabela176[Código]=Tabela3[[#This Row],[PAPEL]]),Tabela176[Fechamento])</f>
        <v>0</v>
      </c>
      <c r="AQ303" s="7">
        <f>SUMPRODUCT(N(Tabela1768[Código]=Tabela3[[#This Row],[PAPEL]]),Tabela1768[Fechamento])</f>
        <v>0</v>
      </c>
    </row>
    <row r="304" spans="1:43" hidden="1" x14ac:dyDescent="0.2">
      <c r="A304" s="4" t="s">
        <v>12</v>
      </c>
      <c r="B304" s="60" t="s">
        <v>529</v>
      </c>
      <c r="C304" s="14" t="str">
        <f>LEFT(Tabela3[PAPEL],LEN(Tabela3[PAPEL])-(LEN(Tabela3[PAPEL])-4))</f>
        <v>TAEE</v>
      </c>
      <c r="D304" s="15">
        <v>3</v>
      </c>
      <c r="E304" s="6">
        <v>3067535193.2800002</v>
      </c>
      <c r="F304" s="8">
        <v>691553133</v>
      </c>
      <c r="G304" s="83">
        <v>0.5</v>
      </c>
      <c r="H304" s="15"/>
      <c r="I304" s="19"/>
      <c r="J304" s="19"/>
      <c r="K304" s="90"/>
      <c r="L304" s="90"/>
      <c r="M304" s="92">
        <v>4589097000</v>
      </c>
      <c r="N304" s="92">
        <v>751496000</v>
      </c>
      <c r="O304" s="6">
        <f>Tabela3[[#This Row],[Capital Social]]*20%</f>
        <v>613507038.65600002</v>
      </c>
      <c r="P304" s="6">
        <f>IF((Tabela3[Lucro Líquido]*5%)&gt;Tabela3[Teto R. Legal],Tabela3[Teto R. Legal],Tabela3[Lucro Líquido]*5%)</f>
        <v>37574800</v>
      </c>
      <c r="Q304" s="92">
        <f>IF(Tabela3[Lucro Líquido]&lt;0,0,Tabela3[Lucro Líquido]-Tabela3[Reserva Legal])</f>
        <v>713921200</v>
      </c>
      <c r="R304" s="92">
        <f>Tabela3[[#This Row],[Lucro Distribuir]]*Tabela3[%Div]</f>
        <v>356960600</v>
      </c>
      <c r="S304" s="56">
        <f>SUMPRODUCT(N(Tabela3[Nome]=Tabela3[[#This Row],[Nome]]),Tabela3[Ações])</f>
        <v>1033496721</v>
      </c>
      <c r="T304" s="6">
        <f>Tabela3[Capital Social]/Tabela3[Total Ações]</f>
        <v>2.968113135677767</v>
      </c>
      <c r="U304" s="80">
        <f>Tabela3[[#This Row],[Lucro Líquido]]/Tabela3[[#This Row],[Total Ações]]</f>
        <v>0.72713922040590584</v>
      </c>
      <c r="V30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0.34539112969280528</v>
      </c>
      <c r="W30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0.34539112969280528</v>
      </c>
      <c r="Z304" s="6">
        <f>Tabela3[Div Base]*Tabela3[Ações]</f>
        <v>238856317.84946883</v>
      </c>
      <c r="AA304" s="6">
        <f>SUMPRODUCT(N(Tabela3[Nome]=Tabela3[[#This Row],[Nome]]),Tabela3[Div Base]*Tabela3[Ações])</f>
        <v>356960600</v>
      </c>
      <c r="AB304" s="92">
        <f>Tabela3[Patrimônio Líquido]/Tabela3[Total Ações]</f>
        <v>4.4403595161478986</v>
      </c>
      <c r="AC304" s="48">
        <f>MAX(Tabela3[[#This Row],[Cotação 1]:[Cotação 4]])</f>
        <v>0</v>
      </c>
      <c r="AD304" s="44">
        <f>Tabela3[Cotação]/Tabela3[VPA]</f>
        <v>0</v>
      </c>
      <c r="AE304" s="40">
        <f>IF(Tabela3[[#This Row],[Lucro/Ação]]&gt;0,Tabela3[[#This Row],[Cotação]]/(Tabela3[[#This Row],[Lucro/Ação]]/Tabela3[Ref]*4),0)</f>
        <v>0</v>
      </c>
      <c r="AF304" s="40" t="e">
        <f>IF(Tabela3[Div. Mínimo]=0,0,Tabela3[Lucro Distribuir]*#REF!/Tabela3[Total Ações])</f>
        <v>#REF!</v>
      </c>
      <c r="AG304" s="80">
        <f>Tabela3[Lucro Distribuir]/Tabela3[Total Ações]</f>
        <v>0.69078225938561055</v>
      </c>
      <c r="AH30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0.34539112969280528</v>
      </c>
      <c r="AI304" s="15" t="str">
        <f>IF(AND(Tabela3[% A.A.]&gt;=7%,SUMPRODUCT(N(Tabela3[Nome]=Tabela3[[#This Row],[Nome]]),Tabela3[PL])&gt;0),"Sim","Não")</f>
        <v>Não</v>
      </c>
      <c r="AJ304" s="42">
        <f>IF(Tabela3[Cotação]&gt;0,Tabela3[[#This Row],[Lucro]]/Tabela3[[#This Row],[Cotação]],0)</f>
        <v>0</v>
      </c>
      <c r="AK304" s="19">
        <f>((1+Tabela3[[#This Row],[% Yield]])^(1/(3*Tabela3[[#This Row],[Ref]])))^(12)-1</f>
        <v>0</v>
      </c>
      <c r="AL304" s="14">
        <f>IF(Tabela3[Cotação]&gt;0,($AS$1/Tabela3[[#This Row],[Cotação]]-MOD($AS$1/Tabela3[[#This Row],[Cotação]],100)),)</f>
        <v>0</v>
      </c>
      <c r="AM304" s="17">
        <f>Tabela3[[#This Row],[Ativos]]*Tabela3[Lucro]</f>
        <v>0</v>
      </c>
      <c r="AN304" s="5">
        <f>SUMPRODUCT(N(Tabela1[Código]=Tabela3[[#This Row],[PAPEL]]),Tabela1[Fechamento])</f>
        <v>0</v>
      </c>
      <c r="AO304" s="5">
        <f>SUMPRODUCT(N(Tabela17[Código]=Tabela3[[#This Row],[PAPEL]]),Tabela17[Fechamento])</f>
        <v>0</v>
      </c>
      <c r="AP304" s="7">
        <f>SUMPRODUCT(N(Tabela176[Código]=Tabela3[[#This Row],[PAPEL]]),Tabela176[Fechamento])</f>
        <v>0</v>
      </c>
      <c r="AQ304" s="7">
        <f>SUMPRODUCT(N(Tabela1768[Código]=Tabela3[[#This Row],[PAPEL]]),Tabela1768[Fechamento])</f>
        <v>0</v>
      </c>
    </row>
    <row r="305" spans="1:43" hidden="1" x14ac:dyDescent="0.2">
      <c r="A305" s="4" t="s">
        <v>12</v>
      </c>
      <c r="B305" s="60" t="s">
        <v>530</v>
      </c>
      <c r="C305" s="14" t="str">
        <f>LEFT(Tabela3[PAPEL],LEN(Tabela3[PAPEL])-(LEN(Tabela3[PAPEL])-4))</f>
        <v>TAEE</v>
      </c>
      <c r="D305" s="15">
        <v>3</v>
      </c>
      <c r="E305" s="6">
        <v>3067535193.2800002</v>
      </c>
      <c r="F305" s="8">
        <v>341943588</v>
      </c>
      <c r="G305" s="83">
        <v>0.5</v>
      </c>
      <c r="H305" s="15"/>
      <c r="I305" s="19"/>
      <c r="J305" s="19"/>
      <c r="K305" s="90"/>
      <c r="L305" s="90"/>
      <c r="M305" s="92">
        <v>4589097000</v>
      </c>
      <c r="N305" s="92">
        <v>751496000</v>
      </c>
      <c r="O305" s="6">
        <f>Tabela3[[#This Row],[Capital Social]]*20%</f>
        <v>613507038.65600002</v>
      </c>
      <c r="P305" s="6">
        <f>IF((Tabela3[Lucro Líquido]*5%)&gt;Tabela3[Teto R. Legal],Tabela3[Teto R. Legal],Tabela3[Lucro Líquido]*5%)</f>
        <v>37574800</v>
      </c>
      <c r="Q305" s="92">
        <f>IF(Tabela3[Lucro Líquido]&lt;0,0,Tabela3[Lucro Líquido]-Tabela3[Reserva Legal])</f>
        <v>713921200</v>
      </c>
      <c r="R305" s="92">
        <f>Tabela3[[#This Row],[Lucro Distribuir]]*Tabela3[%Div]</f>
        <v>356960600</v>
      </c>
      <c r="S305" s="56">
        <f>SUMPRODUCT(N(Tabela3[Nome]=Tabela3[[#This Row],[Nome]]),Tabela3[Ações])</f>
        <v>1033496721</v>
      </c>
      <c r="T305" s="6">
        <f>Tabela3[Capital Social]/Tabela3[Total Ações]</f>
        <v>2.968113135677767</v>
      </c>
      <c r="U305" s="80">
        <f>Tabela3[[#This Row],[Lucro Líquido]]/Tabela3[[#This Row],[Total Ações]]</f>
        <v>0.72713922040590584</v>
      </c>
      <c r="V30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0.34539112969280528</v>
      </c>
      <c r="W30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0.34539112969280528</v>
      </c>
      <c r="Z305" s="6">
        <f>Tabela3[Div Base]*Tabela3[Ações]</f>
        <v>118104282.15053117</v>
      </c>
      <c r="AA305" s="6">
        <f>SUMPRODUCT(N(Tabela3[Nome]=Tabela3[[#This Row],[Nome]]),Tabela3[Div Base]*Tabela3[Ações])</f>
        <v>356960600</v>
      </c>
      <c r="AB305" s="92">
        <f>Tabela3[Patrimônio Líquido]/Tabela3[Total Ações]</f>
        <v>4.4403595161478986</v>
      </c>
      <c r="AC305" s="48">
        <f>MAX(Tabela3[[#This Row],[Cotação 1]:[Cotação 4]])</f>
        <v>0</v>
      </c>
      <c r="AD305" s="44">
        <f>Tabela3[Cotação]/Tabela3[VPA]</f>
        <v>0</v>
      </c>
      <c r="AE305" s="40">
        <f>IF(Tabela3[[#This Row],[Lucro/Ação]]&gt;0,Tabela3[[#This Row],[Cotação]]/(Tabela3[[#This Row],[Lucro/Ação]]/Tabela3[Ref]*4),0)</f>
        <v>0</v>
      </c>
      <c r="AF305" s="40" t="e">
        <f>IF(Tabela3[Div. Mínimo]=0,0,Tabela3[Lucro Distribuir]*#REF!/Tabela3[Total Ações])</f>
        <v>#REF!</v>
      </c>
      <c r="AG305" s="80">
        <f>Tabela3[Lucro Distribuir]/Tabela3[Total Ações]</f>
        <v>0.69078225938561055</v>
      </c>
      <c r="AH30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0.34539112969280528</v>
      </c>
      <c r="AI305" s="15" t="str">
        <f>IF(AND(Tabela3[% A.A.]&gt;=7%,SUMPRODUCT(N(Tabela3[Nome]=Tabela3[[#This Row],[Nome]]),Tabela3[PL])&gt;0),"Sim","Não")</f>
        <v>Não</v>
      </c>
      <c r="AJ305" s="42">
        <f>IF(Tabela3[Cotação]&gt;0,Tabela3[[#This Row],[Lucro]]/Tabela3[[#This Row],[Cotação]],0)</f>
        <v>0</v>
      </c>
      <c r="AK305" s="19">
        <f>((1+Tabela3[[#This Row],[% Yield]])^(1/(3*Tabela3[[#This Row],[Ref]])))^(12)-1</f>
        <v>0</v>
      </c>
      <c r="AL305" s="14">
        <f>IF(Tabela3[Cotação]&gt;0,($AS$1/Tabela3[[#This Row],[Cotação]]-MOD($AS$1/Tabela3[[#This Row],[Cotação]],100)),)</f>
        <v>0</v>
      </c>
      <c r="AM305" s="17">
        <f>Tabela3[[#This Row],[Ativos]]*Tabela3[Lucro]</f>
        <v>0</v>
      </c>
      <c r="AN305" s="5">
        <f>SUMPRODUCT(N(Tabela1[Código]=Tabela3[[#This Row],[PAPEL]]),Tabela1[Fechamento])</f>
        <v>0</v>
      </c>
      <c r="AO305" s="5">
        <f>SUMPRODUCT(N(Tabela17[Código]=Tabela3[[#This Row],[PAPEL]]),Tabela17[Fechamento])</f>
        <v>0</v>
      </c>
      <c r="AP305" s="7">
        <f>SUMPRODUCT(N(Tabela176[Código]=Tabela3[[#This Row],[PAPEL]]),Tabela176[Fechamento])</f>
        <v>0</v>
      </c>
      <c r="AQ305" s="7">
        <f>SUMPRODUCT(N(Tabela1768[Código]=Tabela3[[#This Row],[PAPEL]]),Tabela1768[Fechamento])</f>
        <v>0</v>
      </c>
    </row>
    <row r="306" spans="1:43" hidden="1" x14ac:dyDescent="0.2">
      <c r="A306" s="4" t="s">
        <v>12</v>
      </c>
      <c r="B306" s="60" t="s">
        <v>180</v>
      </c>
      <c r="C306" s="14" t="str">
        <f>LEFT(Tabela3[PAPEL],LEN(Tabela3[PAPEL])-(LEN(Tabela3[PAPEL])-4))</f>
        <v>TBLE</v>
      </c>
      <c r="D306" s="15">
        <v>3</v>
      </c>
      <c r="E306" s="6">
        <v>2445766091.9000001</v>
      </c>
      <c r="F306" s="8">
        <v>652742192</v>
      </c>
      <c r="G306" s="88">
        <v>0.3</v>
      </c>
      <c r="H306" s="15"/>
      <c r="I306" s="19"/>
      <c r="J306" s="19"/>
      <c r="K306" s="90"/>
      <c r="L306" s="90"/>
      <c r="M306" s="92">
        <v>5308688000</v>
      </c>
      <c r="N306" s="92">
        <v>1150434000</v>
      </c>
      <c r="O306" s="6">
        <f>Tabela3[[#This Row],[Capital Social]]*20%</f>
        <v>489153218.38000005</v>
      </c>
      <c r="P306" s="6">
        <f>IF((Tabela3[Lucro Líquido]*5%)&gt;Tabela3[Teto R. Legal],Tabela3[Teto R. Legal],Tabela3[Lucro Líquido]*5%)</f>
        <v>57521700</v>
      </c>
      <c r="Q306" s="92">
        <f>IF(Tabela3[Lucro Líquido]&lt;0,0,Tabela3[Lucro Líquido]-Tabela3[Reserva Legal])</f>
        <v>1092912300</v>
      </c>
      <c r="R306" s="92">
        <f>Tabela3[[#This Row],[Lucro Distribuir]]*Tabela3[%Div]</f>
        <v>327873690</v>
      </c>
      <c r="S306" s="56">
        <f>SUMPRODUCT(N(Tabela3[Nome]=Tabela3[[#This Row],[Nome]]),Tabela3[Ações])</f>
        <v>652742192</v>
      </c>
      <c r="T306" s="6">
        <f>Tabela3[Capital Social]/Tabela3[Total Ações]</f>
        <v>3.7469097629589112</v>
      </c>
      <c r="U306" s="80">
        <f>Tabela3[[#This Row],[Lucro Líquido]]/Tabela3[[#This Row],[Total Ações]]</f>
        <v>1.7624630583095509</v>
      </c>
      <c r="V30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0.50230197161822199</v>
      </c>
      <c r="W30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0.50230197161822199</v>
      </c>
      <c r="Z306" s="6">
        <f>Tabela3[Div Base]*Tabela3[Ações]</f>
        <v>327873690</v>
      </c>
      <c r="AA306" s="6">
        <f>SUMPRODUCT(N(Tabela3[Nome]=Tabela3[[#This Row],[Nome]]),Tabela3[Div Base]*Tabela3[Ações])</f>
        <v>327873690</v>
      </c>
      <c r="AB306" s="92">
        <f>Tabela3[Patrimônio Líquido]/Tabela3[Total Ações]</f>
        <v>8.1329015728770297</v>
      </c>
      <c r="AC306" s="48">
        <f>MAX(Tabela3[[#This Row],[Cotação 1]:[Cotação 4]])</f>
        <v>34.46</v>
      </c>
      <c r="AD306" s="44">
        <f>Tabela3[Cotação]/Tabela3[VPA]</f>
        <v>4.2371101741748625</v>
      </c>
      <c r="AE306" s="40">
        <f>IF(Tabela3[[#This Row],[Lucro/Ação]]&gt;0,Tabela3[[#This Row],[Cotação]]/(Tabela3[[#This Row],[Lucro/Ação]]/Tabela3[Ref]*4),0)</f>
        <v>14.664137144973115</v>
      </c>
      <c r="AF306" s="40" t="e">
        <f>IF(Tabela3[Div. Mínimo]=0,0,Tabela3[Lucro Distribuir]*#REF!/Tabela3[Total Ações])</f>
        <v>#REF!</v>
      </c>
      <c r="AG306" s="80">
        <f>Tabela3[Lucro Distribuir]/Tabela3[Total Ações]</f>
        <v>1.6743399053940733</v>
      </c>
      <c r="AH30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0.50230197161822199</v>
      </c>
      <c r="AI306" s="15" t="str">
        <f>IF(AND(Tabela3[% A.A.]&gt;=7%,SUMPRODUCT(N(Tabela3[Nome]=Tabela3[[#This Row],[Nome]]),Tabela3[PL])&gt;0),"Sim","Não")</f>
        <v>Não</v>
      </c>
      <c r="AJ306" s="42">
        <f>IF(Tabela3[Cotação]&gt;0,Tabela3[[#This Row],[Lucro]]/Tabela3[[#This Row],[Cotação]],0)</f>
        <v>1.4576377586135286E-2</v>
      </c>
      <c r="AK306" s="19">
        <f>((1+Tabela3[[#This Row],[% Yield]])^(1/(3*Tabela3[[#This Row],[Ref]])))^(12)-1</f>
        <v>1.9482233825291795E-2</v>
      </c>
      <c r="AL306" s="14">
        <f>IF(Tabela3[Cotação]&gt;0,($AS$1/Tabela3[[#This Row],[Cotação]]-MOD($AS$1/Tabela3[[#This Row],[Cotação]],100)),)</f>
        <v>0</v>
      </c>
      <c r="AM306" s="17">
        <f>Tabela3[[#This Row],[Ativos]]*Tabela3[Lucro]</f>
        <v>0</v>
      </c>
      <c r="AN306" s="5">
        <f>SUMPRODUCT(N(Tabela1[Código]=Tabela3[[#This Row],[PAPEL]]),Tabela1[Fechamento])</f>
        <v>34.46</v>
      </c>
      <c r="AO306" s="5">
        <f>SUMPRODUCT(N(Tabela17[Código]=Tabela3[[#This Row],[PAPEL]]),Tabela17[Fechamento])</f>
        <v>0</v>
      </c>
      <c r="AP306" s="7">
        <f>SUMPRODUCT(N(Tabela176[Código]=Tabela3[[#This Row],[PAPEL]]),Tabela176[Fechamento])</f>
        <v>0</v>
      </c>
      <c r="AQ306" s="7">
        <f>SUMPRODUCT(N(Tabela1768[Código]=Tabela3[[#This Row],[PAPEL]]),Tabela1768[Fechamento])</f>
        <v>0</v>
      </c>
    </row>
    <row r="307" spans="1:43" hidden="1" x14ac:dyDescent="0.2">
      <c r="A307" s="4" t="s">
        <v>592</v>
      </c>
      <c r="B307" s="57" t="s">
        <v>594</v>
      </c>
      <c r="C307" s="15" t="str">
        <f>LEFT(Tabela3[PAPEL],LEN(Tabela3[PAPEL])-(LEN(Tabela3[PAPEL])-4))</f>
        <v>TELB</v>
      </c>
      <c r="D307" s="15">
        <v>3</v>
      </c>
      <c r="E307" s="6">
        <v>263145011.81999999</v>
      </c>
      <c r="F307" s="8">
        <v>97439719</v>
      </c>
      <c r="G307" s="88">
        <v>0.25</v>
      </c>
      <c r="H307" s="15"/>
      <c r="I307" s="19"/>
      <c r="J307" s="19"/>
      <c r="K307" s="90"/>
      <c r="L307" s="90"/>
      <c r="M307" s="96">
        <v>133454000</v>
      </c>
      <c r="N307" s="97">
        <v>-128852000</v>
      </c>
      <c r="O307" s="13">
        <f>Tabela3[[#This Row],[Capital Social]]*20%</f>
        <v>52629002.364</v>
      </c>
      <c r="P307" s="13">
        <f>IF((Tabela3[Lucro Líquido]*5%)&gt;Tabela3[Teto R. Legal],Tabela3[Teto R. Legal],Tabela3[Lucro Líquido]*5%)</f>
        <v>-6442600</v>
      </c>
      <c r="Q307" s="13">
        <f>IF(Tabela3[Lucro Líquido]&lt;0,0,Tabela3[Lucro Líquido]-Tabela3[Reserva Legal])</f>
        <v>0</v>
      </c>
      <c r="R307" s="13">
        <f>Tabela3[[#This Row],[Lucro Distribuir]]*Tabela3[%Div]</f>
        <v>0</v>
      </c>
      <c r="S307" s="56">
        <f>SUMPRODUCT(N(Tabela3[Nome]=Tabela3[[#This Row],[Nome]]),Tabela3[Ações])</f>
        <v>118442718</v>
      </c>
      <c r="T307" s="6">
        <f>Tabela3[Capital Social]/Tabela3[Total Ações]</f>
        <v>2.2217069674135645</v>
      </c>
      <c r="U307" s="80">
        <f>Tabela3[[#This Row],[Lucro Líquido]]/Tabela3[[#This Row],[Total Ações]]</f>
        <v>-1.087884524905955</v>
      </c>
      <c r="V30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07" s="13">
        <f>Tabela3[Div Base]*Tabela3[Ações]</f>
        <v>0</v>
      </c>
      <c r="AA307" s="13">
        <f>SUMPRODUCT(N(Tabela3[Nome]=Tabela3[[#This Row],[Nome]]),Tabela3[Div Base]*Tabela3[Ações])</f>
        <v>2799750.5528928074</v>
      </c>
      <c r="AB307" s="95">
        <f>Tabela3[Patrimônio Líquido]/Tabela3[Total Ações]</f>
        <v>1.126738749781139</v>
      </c>
      <c r="AC307" s="48">
        <f>MAX(Tabela3[[#This Row],[Cotação 1]:[Cotação 4]])</f>
        <v>4.4000000000000004</v>
      </c>
      <c r="AD307" s="44">
        <f>Tabela3[Cotação]/Tabela3[VPA]</f>
        <v>3.905075600581474</v>
      </c>
      <c r="AE307" s="40">
        <f>IF(Tabela3[[#This Row],[Lucro/Ação]]&gt;0,Tabela3[[#This Row],[Cotação]]/(Tabela3[[#This Row],[Lucro/Ação]]/Tabela3[Ref]*4),0)</f>
        <v>0</v>
      </c>
      <c r="AF307" s="91">
        <f>IF(Tabela3[Div. Mínimo]=0,0,Tabela3[Lucro Distribuir]*#REF!/Tabela3[Total Ações])</f>
        <v>0</v>
      </c>
      <c r="AG307" s="80">
        <f>Tabela3[Lucro Distribuir]/Tabela3[Total Ações]</f>
        <v>0</v>
      </c>
      <c r="AH30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07" s="14" t="str">
        <f>IF(AND(Tabela3[% A.A.]&gt;=7%,SUMPRODUCT(N(Tabela3[Nome]=Tabela3[[#This Row],[Nome]]),Tabela3[PL])&gt;0),"Sim","Não")</f>
        <v>Não</v>
      </c>
      <c r="AJ307" s="42">
        <f>IF(Tabela3[Cotação]&gt;0,Tabela3[[#This Row],[Lucro]]/Tabela3[[#This Row],[Cotação]],0)</f>
        <v>0</v>
      </c>
      <c r="AK307" s="42">
        <f>((1+Tabela3[[#This Row],[% Yield]])^(1/(3*Tabela3[[#This Row],[Ref]])))^(12)-1</f>
        <v>0</v>
      </c>
      <c r="AL307" s="14">
        <f>IF(Tabela3[Cotação]&gt;0,($AS$1/Tabela3[[#This Row],[Cotação]]-MOD($AS$1/Tabela3[[#This Row],[Cotação]],100)),)</f>
        <v>200</v>
      </c>
      <c r="AM307" s="17">
        <f>Tabela3[[#This Row],[Ativos]]*Tabela3[Lucro]</f>
        <v>0</v>
      </c>
      <c r="AN307" s="17">
        <f>SUMPRODUCT(N(Tabela1[Código]=Tabela3[[#This Row],[PAPEL]]),Tabela1[Fechamento])</f>
        <v>0</v>
      </c>
      <c r="AO307" s="17">
        <f>SUMPRODUCT(N(Tabela17[Código]=Tabela3[[#This Row],[PAPEL]]),Tabela17[Fechamento])</f>
        <v>0</v>
      </c>
      <c r="AP307" s="17">
        <f>SUMPRODUCT(N(Tabela176[Código]=Tabela3[[#This Row],[PAPEL]]),Tabela176[Fechamento])</f>
        <v>4.4000000000000004</v>
      </c>
      <c r="AQ307" s="17">
        <f>SUMPRODUCT(N(Tabela1768[Código]=Tabela3[[#This Row],[PAPEL]]),Tabela1768[Fechamento])</f>
        <v>0</v>
      </c>
    </row>
    <row r="308" spans="1:43" hidden="1" x14ac:dyDescent="0.2">
      <c r="A308" s="4" t="s">
        <v>592</v>
      </c>
      <c r="B308" s="57" t="s">
        <v>595</v>
      </c>
      <c r="C308" s="15" t="str">
        <f>LEFT(Tabela3[PAPEL],LEN(Tabela3[PAPEL])-(LEN(Tabela3[PAPEL])-4))</f>
        <v>TELB</v>
      </c>
      <c r="D308" s="15">
        <v>3</v>
      </c>
      <c r="E308" s="6">
        <v>263145011.81999999</v>
      </c>
      <c r="F308" s="8">
        <v>21002999</v>
      </c>
      <c r="G308" s="88">
        <v>0.25</v>
      </c>
      <c r="H308" s="15"/>
      <c r="I308" s="19">
        <v>0.06</v>
      </c>
      <c r="J308" s="19"/>
      <c r="K308" s="90"/>
      <c r="L308" s="90"/>
      <c r="M308" s="96">
        <v>133454000</v>
      </c>
      <c r="N308" s="97">
        <v>-128852000</v>
      </c>
      <c r="O308" s="13">
        <f>Tabela3[[#This Row],[Capital Social]]*20%</f>
        <v>52629002.364</v>
      </c>
      <c r="P308" s="13">
        <f>IF((Tabela3[Lucro Líquido]*5%)&gt;Tabela3[Teto R. Legal],Tabela3[Teto R. Legal],Tabela3[Lucro Líquido]*5%)</f>
        <v>-6442600</v>
      </c>
      <c r="Q308" s="13">
        <f>IF(Tabela3[Lucro Líquido]&lt;0,0,Tabela3[Lucro Líquido]-Tabela3[Reserva Legal])</f>
        <v>0</v>
      </c>
      <c r="R308" s="13">
        <f>Tabela3[[#This Row],[Lucro Distribuir]]*Tabela3[%Div]</f>
        <v>0</v>
      </c>
      <c r="S308" s="56">
        <f>SUMPRODUCT(N(Tabela3[Nome]=Tabela3[[#This Row],[Nome]]),Tabela3[Ações])</f>
        <v>118442718</v>
      </c>
      <c r="T308" s="6">
        <f>Tabela3[Capital Social]/Tabela3[Total Ações]</f>
        <v>2.2217069674135645</v>
      </c>
      <c r="U308" s="80">
        <f>Tabela3[[#This Row],[Lucro Líquido]]/Tabela3[[#This Row],[Total Ações]]</f>
        <v>-1.087884524905955</v>
      </c>
      <c r="V30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0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0.13330241804481385</v>
      </c>
      <c r="Y30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0.13330241804481385</v>
      </c>
      <c r="Z308" s="13">
        <f>Tabela3[Div Base]*Tabela3[Ações]</f>
        <v>2799750.5528928074</v>
      </c>
      <c r="AA308" s="13">
        <f>SUMPRODUCT(N(Tabela3[Nome]=Tabela3[[#This Row],[Nome]]),Tabela3[Div Base]*Tabela3[Ações])</f>
        <v>2799750.5528928074</v>
      </c>
      <c r="AB308" s="95">
        <f>Tabela3[Patrimônio Líquido]/Tabela3[Total Ações]</f>
        <v>1.126738749781139</v>
      </c>
      <c r="AC308" s="48">
        <f>MAX(Tabela3[[#This Row],[Cotação 1]:[Cotação 4]])</f>
        <v>2.5299999999999998</v>
      </c>
      <c r="AD308" s="44">
        <f>Tabela3[Cotação]/Tabela3[VPA]</f>
        <v>2.2454184703343474</v>
      </c>
      <c r="AE308" s="40">
        <f>IF(Tabela3[[#This Row],[Lucro/Ação]]&gt;0,Tabela3[[#This Row],[Cotação]]/(Tabela3[[#This Row],[Lucro/Ação]]/Tabela3[Ref]*4),0)</f>
        <v>0</v>
      </c>
      <c r="AF308" s="91">
        <f>IF(Tabela3[Div. Mínimo]=0,0,Tabela3[Lucro Distribuir]*#REF!/Tabela3[Total Ações])</f>
        <v>0</v>
      </c>
      <c r="AG308" s="80">
        <f>Tabela3[Lucro Distribuir]/Tabela3[Total Ações]</f>
        <v>0</v>
      </c>
      <c r="AH30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0.13330241804481385</v>
      </c>
      <c r="AI308" s="14" t="str">
        <f>IF(AND(Tabela3[% A.A.]&gt;=7%,SUMPRODUCT(N(Tabela3[Nome]=Tabela3[[#This Row],[Nome]]),Tabela3[PL])&gt;0),"Sim","Não")</f>
        <v>Não</v>
      </c>
      <c r="AJ308" s="42">
        <f>IF(Tabela3[Cotação]&gt;0,Tabela3[[#This Row],[Lucro]]/Tabela3[[#This Row],[Cotação]],0)</f>
        <v>5.2688702784511411E-2</v>
      </c>
      <c r="AK308" s="42">
        <f>((1+Tabela3[[#This Row],[% Yield]])^(1/(3*Tabela3[[#This Row],[Ref]])))^(12)-1</f>
        <v>7.0861445783665378E-2</v>
      </c>
      <c r="AL308" s="14">
        <f>IF(Tabela3[Cotação]&gt;0,($AS$1/Tabela3[[#This Row],[Cotação]]-MOD($AS$1/Tabela3[[#This Row],[Cotação]],100)),)</f>
        <v>300</v>
      </c>
      <c r="AM308" s="17">
        <f>Tabela3[[#This Row],[Ativos]]*Tabela3[Lucro]</f>
        <v>39.990725413444153</v>
      </c>
      <c r="AN308" s="17">
        <f>SUMPRODUCT(N(Tabela1[Código]=Tabela3[[#This Row],[PAPEL]]),Tabela1[Fechamento])</f>
        <v>0</v>
      </c>
      <c r="AO308" s="17">
        <f>SUMPRODUCT(N(Tabela17[Código]=Tabela3[[#This Row],[PAPEL]]),Tabela17[Fechamento])</f>
        <v>0</v>
      </c>
      <c r="AP308" s="17">
        <f>SUMPRODUCT(N(Tabela176[Código]=Tabela3[[#This Row],[PAPEL]]),Tabela176[Fechamento])</f>
        <v>2.5299999999999998</v>
      </c>
      <c r="AQ308" s="17">
        <f>SUMPRODUCT(N(Tabela1768[Código]=Tabela3[[#This Row],[PAPEL]]),Tabela1768[Fechamento])</f>
        <v>0</v>
      </c>
    </row>
    <row r="309" spans="1:43" hidden="1" x14ac:dyDescent="0.2">
      <c r="A309" s="4" t="s">
        <v>771</v>
      </c>
      <c r="B309" s="57" t="s">
        <v>770</v>
      </c>
      <c r="C309" s="15" t="str">
        <f>LEFT(Tabela3[PAPEL],LEN(Tabela3[PAPEL])-(LEN(Tabela3[PAPEL])-4))</f>
        <v>TEMP</v>
      </c>
      <c r="D309" s="15">
        <v>3</v>
      </c>
      <c r="E309" s="6">
        <v>281257003.55000001</v>
      </c>
      <c r="F309" s="8">
        <v>157363935</v>
      </c>
      <c r="G309" s="88">
        <v>0.25</v>
      </c>
      <c r="H309" s="15"/>
      <c r="I309" s="19"/>
      <c r="J309" s="19"/>
      <c r="K309" s="90"/>
      <c r="L309" s="90"/>
      <c r="M309" s="96">
        <v>288046000</v>
      </c>
      <c r="N309" s="97">
        <v>17945000</v>
      </c>
      <c r="O309" s="13">
        <f>Tabela3[[#This Row],[Capital Social]]*20%</f>
        <v>56251400.710000008</v>
      </c>
      <c r="P309" s="13">
        <f>IF((Tabela3[Lucro Líquido]*5%)&gt;Tabela3[Teto R. Legal],Tabela3[Teto R. Legal],Tabela3[Lucro Líquido]*5%)</f>
        <v>897250</v>
      </c>
      <c r="Q309" s="13">
        <f>IF(Tabela3[Lucro Líquido]&lt;0,0,Tabela3[Lucro Líquido]-Tabela3[Reserva Legal])</f>
        <v>17047750</v>
      </c>
      <c r="R309" s="13">
        <f>Tabela3[[#This Row],[Lucro Distribuir]]*Tabela3[%Div]</f>
        <v>4261937.5</v>
      </c>
      <c r="S309" s="56">
        <f>SUMPRODUCT(N(Tabela3[Nome]=Tabela3[[#This Row],[Nome]]),Tabela3[Ações])</f>
        <v>157363935</v>
      </c>
      <c r="T309" s="6">
        <f>Tabela3[Capital Social]/Tabela3[Total Ações]</f>
        <v>1.7873028121087593</v>
      </c>
      <c r="U309" s="80">
        <f>Tabela3[[#This Row],[Lucro Líquido]]/Tabela3[[#This Row],[Total Ações]]</f>
        <v>0.11403502333619199</v>
      </c>
      <c r="V30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2.7083318042345598E-2</v>
      </c>
      <c r="W30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0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0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2.7083318042345598E-2</v>
      </c>
      <c r="Z309" s="13">
        <f>Tabela3[Div Base]*Tabela3[Ações]</f>
        <v>4261937.5</v>
      </c>
      <c r="AA309" s="13">
        <f>SUMPRODUCT(N(Tabela3[Nome]=Tabela3[[#This Row],[Nome]]),Tabela3[Div Base]*Tabela3[Ações])</f>
        <v>4261937.5</v>
      </c>
      <c r="AB309" s="95">
        <f>Tabela3[Patrimônio Líquido]/Tabela3[Total Ações]</f>
        <v>1.8304448220616751</v>
      </c>
      <c r="AC309" s="48">
        <f>MAX(Tabela3[[#This Row],[Cotação 1]:[Cotação 4]])</f>
        <v>3.64</v>
      </c>
      <c r="AD309" s="44">
        <f>Tabela3[Cotação]/Tabela3[VPA]</f>
        <v>1.9885876679419259</v>
      </c>
      <c r="AE309" s="40">
        <f>IF(Tabela3[[#This Row],[Lucro/Ação]]&gt;0,Tabela3[[#This Row],[Cotação]]/(Tabela3[[#This Row],[Lucro/Ação]]/Tabela3[Ref]*4),0)</f>
        <v>23.940013516299803</v>
      </c>
      <c r="AF309" s="91" t="e">
        <f>IF(Tabela3[Div. Mínimo]=0,0,Tabela3[Lucro Distribuir]*#REF!/Tabela3[Total Ações])</f>
        <v>#REF!</v>
      </c>
      <c r="AG309" s="80">
        <f>Tabela3[Lucro Distribuir]/Tabela3[Total Ações]</f>
        <v>0.10833327216938239</v>
      </c>
      <c r="AH30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2.7083318042345598E-2</v>
      </c>
      <c r="AI309" s="14" t="str">
        <f>IF(AND(Tabela3[% A.A.]&gt;=7%,SUMPRODUCT(N(Tabela3[Nome]=Tabela3[[#This Row],[Nome]]),Tabela3[PL])&gt;0),"Sim","Não")</f>
        <v>Não</v>
      </c>
      <c r="AJ309" s="42">
        <f>IF(Tabela3[Cotação]&gt;0,Tabela3[[#This Row],[Lucro]]/Tabela3[[#This Row],[Cotação]],0)</f>
        <v>7.4404719896553834E-3</v>
      </c>
      <c r="AK309" s="42">
        <f>((1+Tabela3[[#This Row],[% Yield]])^(1/(3*Tabela3[[#This Row],[Ref]])))^(12)-1</f>
        <v>9.9329114019206521E-3</v>
      </c>
      <c r="AL309" s="14">
        <f>IF(Tabela3[Cotação]&gt;0,($AS$1/Tabela3[[#This Row],[Cotação]]-MOD($AS$1/Tabela3[[#This Row],[Cotação]],100)),)</f>
        <v>200</v>
      </c>
      <c r="AM309" s="17">
        <f>Tabela3[[#This Row],[Ativos]]*Tabela3[Lucro]</f>
        <v>5.4166636084691193</v>
      </c>
      <c r="AN309" s="17">
        <f>SUMPRODUCT(N(Tabela1[Código]=Tabela3[[#This Row],[PAPEL]]),Tabela1[Fechamento])</f>
        <v>0</v>
      </c>
      <c r="AO309" s="17">
        <f>SUMPRODUCT(N(Tabela17[Código]=Tabela3[[#This Row],[PAPEL]]),Tabela17[Fechamento])</f>
        <v>0</v>
      </c>
      <c r="AP309" s="17">
        <f>SUMPRODUCT(N(Tabela176[Código]=Tabela3[[#This Row],[PAPEL]]),Tabela176[Fechamento])</f>
        <v>3.64</v>
      </c>
      <c r="AQ309" s="17">
        <f>SUMPRODUCT(N(Tabela1768[Código]=Tabela3[[#This Row],[PAPEL]]),Tabela1768[Fechamento])</f>
        <v>0</v>
      </c>
    </row>
    <row r="310" spans="1:43" hidden="1" x14ac:dyDescent="0.2">
      <c r="A310" s="4" t="s">
        <v>264</v>
      </c>
      <c r="B310" s="57" t="s">
        <v>78</v>
      </c>
      <c r="C310" s="15" t="str">
        <f>LEFT(Tabela3[PAPEL],LEN(Tabela3[PAPEL])-(LEN(Tabela3[PAPEL])-4))</f>
        <v>TERI</v>
      </c>
      <c r="D310" s="15">
        <v>3</v>
      </c>
      <c r="E310" s="6">
        <v>2807005993.8800001</v>
      </c>
      <c r="F310" s="38">
        <v>817720079</v>
      </c>
      <c r="G310" s="83">
        <v>0.25</v>
      </c>
      <c r="H310" s="15"/>
      <c r="I310" s="19"/>
      <c r="J310" s="19"/>
      <c r="K310" s="90"/>
      <c r="L310" s="90"/>
      <c r="M310" s="6">
        <v>3566000000</v>
      </c>
      <c r="N310" s="6">
        <v>22000000</v>
      </c>
      <c r="O310" s="6">
        <f>Tabela3[[#This Row],[Capital Social]]*20%</f>
        <v>561401198.77600002</v>
      </c>
      <c r="P310" s="6">
        <f>IF((Tabela3[Lucro Líquido]*5%)&gt;Tabela3[Teto R. Legal],Tabela3[Teto R. Legal],Tabela3[Lucro Líquido]*5%)</f>
        <v>1100000</v>
      </c>
      <c r="Q310" s="6">
        <f>IF(Tabela3[Lucro Líquido]&lt;0,0,Tabela3[Lucro Líquido]-Tabela3[Reserva Legal])</f>
        <v>20900000</v>
      </c>
      <c r="R310" s="6">
        <f>Tabela3[[#This Row],[Lucro Distribuir]]*Tabela3[%Div]</f>
        <v>5225000</v>
      </c>
      <c r="S310" s="56">
        <f>SUMPRODUCT(N(Tabela3[Nome]=Tabela3[[#This Row],[Nome]]),Tabela3[Ações])</f>
        <v>817720079</v>
      </c>
      <c r="T310" s="6">
        <f>Tabela3[Capital Social]/Tabela3[Total Ações]</f>
        <v>3.4327223532443063</v>
      </c>
      <c r="U310" s="80">
        <f>Tabela3[[#This Row],[Lucro Líquido]]/Tabela3[[#This Row],[Total Ações]]</f>
        <v>2.6904072145206549E-2</v>
      </c>
      <c r="V31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6.3897171344865561E-3</v>
      </c>
      <c r="W31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6.3897171344865561E-3</v>
      </c>
      <c r="Z310" s="6">
        <f>Tabela3[Div Base]*Tabela3[Ações]</f>
        <v>5225000</v>
      </c>
      <c r="AA310" s="6">
        <f>SUMPRODUCT(N(Tabela3[Nome]=Tabela3[[#This Row],[Nome]]),Tabela3[Div Base]*Tabela3[Ações])</f>
        <v>5225000</v>
      </c>
      <c r="AB310" s="6">
        <f>Tabela3[Patrimônio Líquido]/Tabela3[Total Ações]</f>
        <v>4.3609055122639342</v>
      </c>
      <c r="AC310" s="48">
        <f>MAX(Tabela3[[#This Row],[Cotação 1]:[Cotação 4]])</f>
        <v>2.29</v>
      </c>
      <c r="AD310" s="44">
        <f>Tabela3[Cotação]/Tabela3[VPA]</f>
        <v>0.52512029750701072</v>
      </c>
      <c r="AE310" s="40">
        <f>IF(Tabela3[[#This Row],[Lucro/Ação]]&gt;0,Tabela3[[#This Row],[Cotação]]/(Tabela3[[#This Row],[Lucro/Ação]]/Tabela3[Ref]*4),0)</f>
        <v>63.837919803750005</v>
      </c>
      <c r="AF310" s="40" t="e">
        <f>IF(Tabela3[Div. Mínimo]=0,0,Tabela3[Lucro Distribuir]*#REF!/Tabela3[Total Ações])</f>
        <v>#REF!</v>
      </c>
      <c r="AG310" s="80">
        <f>Tabela3[Lucro Distribuir]/Tabela3[Total Ações]</f>
        <v>2.5558868537946224E-2</v>
      </c>
      <c r="AH31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6.3897171344865561E-3</v>
      </c>
      <c r="AI310" s="15" t="str">
        <f>IF(AND(Tabela3[% A.A.]&gt;=7%,SUMPRODUCT(N(Tabela3[Nome]=Tabela3[[#This Row],[Nome]]),Tabela3[PL])&gt;0),"Sim","Não")</f>
        <v>Não</v>
      </c>
      <c r="AJ310" s="42">
        <f>IF(Tabela3[Cotação]&gt;0,Tabela3[[#This Row],[Lucro]]/Tabela3[[#This Row],[Cotação]],0)</f>
        <v>2.7902694910421641E-3</v>
      </c>
      <c r="AK310" s="19">
        <f>((1+Tabela3[[#This Row],[% Yield]])^(1/(3*Tabela3[[#This Row],[Ref]])))^(12)-1</f>
        <v>3.7220883840323182E-3</v>
      </c>
      <c r="AL310" s="14">
        <f>IF(Tabela3[Cotação]&gt;0,($AS$1/Tabela3[[#This Row],[Cotação]]-MOD($AS$1/Tabela3[[#This Row],[Cotação]],100)),)</f>
        <v>400</v>
      </c>
      <c r="AM310" s="17">
        <f>Tabela3[[#This Row],[Ativos]]*Tabela3[Lucro]</f>
        <v>2.5558868537946222</v>
      </c>
      <c r="AN310" s="13">
        <f>SUMPRODUCT(N(Tabela1[Código]=Tabela3[[#This Row],[PAPEL]]),Tabela1[Fechamento])</f>
        <v>0</v>
      </c>
      <c r="AO310" s="13">
        <f>SUMPRODUCT(N(Tabela17[Código]=Tabela3[[#This Row],[PAPEL]]),Tabela17[Fechamento])</f>
        <v>2.29</v>
      </c>
      <c r="AP310" s="7">
        <f>SUMPRODUCT(N(Tabela176[Código]=Tabela3[[#This Row],[PAPEL]]),Tabela176[Fechamento])</f>
        <v>0</v>
      </c>
      <c r="AQ310" s="7">
        <f>SUMPRODUCT(N(Tabela1768[Código]=Tabela3[[#This Row],[PAPEL]]),Tabela1768[Fechamento])</f>
        <v>0</v>
      </c>
    </row>
    <row r="311" spans="1:43" hidden="1" x14ac:dyDescent="0.2">
      <c r="A311" s="4" t="s">
        <v>657</v>
      </c>
      <c r="B311" s="57" t="s">
        <v>654</v>
      </c>
      <c r="C311" s="15" t="str">
        <f>LEFT(Tabela3[PAPEL],LEN(Tabela3[PAPEL])-(LEN(Tabela3[PAPEL])-4))</f>
        <v>TIBR</v>
      </c>
      <c r="D311" s="15">
        <v>3</v>
      </c>
      <c r="E311" s="6">
        <v>162504983.90000001</v>
      </c>
      <c r="F311" s="8">
        <v>812671800</v>
      </c>
      <c r="G311" s="88">
        <v>0.25</v>
      </c>
      <c r="H311" s="15"/>
      <c r="I311" s="19"/>
      <c r="J311" s="19"/>
      <c r="K311" s="90"/>
      <c r="L311" s="90"/>
      <c r="M311" s="96">
        <v>392415000</v>
      </c>
      <c r="N311" s="97">
        <v>-19960000</v>
      </c>
      <c r="O311" s="13">
        <f>Tabela3[[#This Row],[Capital Social]]*20%</f>
        <v>32500996.780000001</v>
      </c>
      <c r="P311" s="13">
        <f>IF((Tabela3[Lucro Líquido]*5%)&gt;Tabela3[Teto R. Legal],Tabela3[Teto R. Legal],Tabela3[Lucro Líquido]*5%)</f>
        <v>-998000</v>
      </c>
      <c r="Q311" s="13">
        <f>IF(Tabela3[Lucro Líquido]&lt;0,0,Tabela3[Lucro Líquido]-Tabela3[Reserva Legal])</f>
        <v>0</v>
      </c>
      <c r="R311" s="13">
        <f>Tabela3[[#This Row],[Lucro Distribuir]]*Tabela3[%Div]</f>
        <v>0</v>
      </c>
      <c r="S311" s="56">
        <f>SUMPRODUCT(N(Tabela3[Nome]=Tabela3[[#This Row],[Nome]]),Tabela3[Ações])</f>
        <v>2321499600</v>
      </c>
      <c r="T311" s="6">
        <f>Tabela3[Capital Social]/Tabela3[Total Ações]</f>
        <v>7.0000005125997009E-2</v>
      </c>
      <c r="U311" s="80">
        <f>Tabela3[[#This Row],[Lucro Líquido]]/Tabela3[[#This Row],[Total Ações]]</f>
        <v>-8.5978907771511147E-3</v>
      </c>
      <c r="V311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1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1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1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11" s="13">
        <f>Tabela3[Div Base]*Tabela3[Ações]</f>
        <v>0</v>
      </c>
      <c r="AA311" s="13">
        <f>SUMPRODUCT(N(Tabela3[Nome]=Tabela3[[#This Row],[Nome]]),Tabela3[Div Base]*Tabela3[Ações])</f>
        <v>4146992.1036781077</v>
      </c>
      <c r="AB311" s="95">
        <f>Tabela3[Patrimônio Líquido]/Tabela3[Total Ações]</f>
        <v>0.16903513573726225</v>
      </c>
      <c r="AC311" s="48">
        <f>MAX(Tabela3[[#This Row],[Cotação 1]:[Cotação 4]])</f>
        <v>0.18</v>
      </c>
      <c r="AD311" s="44">
        <f>Tabela3[Cotação]/Tabela3[VPA]</f>
        <v>1.0648673674553724</v>
      </c>
      <c r="AE311" s="40">
        <f>IF(Tabela3[[#This Row],[Lucro/Ação]]&gt;0,Tabela3[[#This Row],[Cotação]]/(Tabela3[[#This Row],[Lucro/Ação]]/Tabela3[Ref]*4),0)</f>
        <v>0</v>
      </c>
      <c r="AF311" s="91">
        <f>IF(Tabela3[Div. Mínimo]=0,0,Tabela3[Lucro Distribuir]*#REF!/Tabela3[Total Ações])</f>
        <v>0</v>
      </c>
      <c r="AG311" s="80">
        <f>Tabela3[Lucro Distribuir]/Tabela3[Total Ações]</f>
        <v>0</v>
      </c>
      <c r="AH311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11" s="14" t="str">
        <f>IF(AND(Tabela3[% A.A.]&gt;=7%,SUMPRODUCT(N(Tabela3[Nome]=Tabela3[[#This Row],[Nome]]),Tabela3[PL])&gt;0),"Sim","Não")</f>
        <v>Não</v>
      </c>
      <c r="AJ311" s="42">
        <f>IF(Tabela3[Cotação]&gt;0,Tabela3[[#This Row],[Lucro]]/Tabela3[[#This Row],[Cotação]],0)</f>
        <v>0</v>
      </c>
      <c r="AK311" s="42">
        <f>((1+Tabela3[[#This Row],[% Yield]])^(1/(3*Tabela3[[#This Row],[Ref]])))^(12)-1</f>
        <v>0</v>
      </c>
      <c r="AL311" s="14">
        <f>IF(Tabela3[Cotação]&gt;0,($AS$1/Tabela3[[#This Row],[Cotação]]-MOD($AS$1/Tabela3[[#This Row],[Cotação]],100)),)</f>
        <v>5500</v>
      </c>
      <c r="AM311" s="17">
        <f>Tabela3[[#This Row],[Ativos]]*Tabela3[Lucro]</f>
        <v>0</v>
      </c>
      <c r="AN311" s="17">
        <f>SUMPRODUCT(N(Tabela1[Código]=Tabela3[[#This Row],[PAPEL]]),Tabela1[Fechamento])</f>
        <v>0</v>
      </c>
      <c r="AO311" s="17">
        <f>SUMPRODUCT(N(Tabela17[Código]=Tabela3[[#This Row],[PAPEL]]),Tabela17[Fechamento])</f>
        <v>0</v>
      </c>
      <c r="AP311" s="17">
        <f>SUMPRODUCT(N(Tabela176[Código]=Tabela3[[#This Row],[PAPEL]]),Tabela176[Fechamento])</f>
        <v>0.18</v>
      </c>
      <c r="AQ311" s="17">
        <f>SUMPRODUCT(N(Tabela1768[Código]=Tabela3[[#This Row],[PAPEL]]),Tabela1768[Fechamento])</f>
        <v>0</v>
      </c>
    </row>
    <row r="312" spans="1:43" hidden="1" x14ac:dyDescent="0.2">
      <c r="A312" s="4" t="s">
        <v>657</v>
      </c>
      <c r="B312" s="57" t="s">
        <v>655</v>
      </c>
      <c r="C312" s="15" t="str">
        <f>LEFT(Tabela3[PAPEL],LEN(Tabela3[PAPEL])-(LEN(Tabela3[PAPEL])-4))</f>
        <v>TIBR</v>
      </c>
      <c r="D312" s="15">
        <v>3</v>
      </c>
      <c r="E312" s="6">
        <v>162504983.90000001</v>
      </c>
      <c r="F312" s="8">
        <v>987379000</v>
      </c>
      <c r="G312" s="88">
        <v>0.25</v>
      </c>
      <c r="H312" s="15"/>
      <c r="I312" s="19">
        <v>0.06</v>
      </c>
      <c r="J312" s="19"/>
      <c r="K312" s="90"/>
      <c r="L312" s="90"/>
      <c r="M312" s="96">
        <v>392415000</v>
      </c>
      <c r="N312" s="97">
        <v>-19960000</v>
      </c>
      <c r="O312" s="13">
        <f>Tabela3[[#This Row],[Capital Social]]*20%</f>
        <v>32500996.780000001</v>
      </c>
      <c r="P312" s="13">
        <f>IF((Tabela3[Lucro Líquido]*5%)&gt;Tabela3[Teto R. Legal],Tabela3[Teto R. Legal],Tabela3[Lucro Líquido]*5%)</f>
        <v>-998000</v>
      </c>
      <c r="Q312" s="13">
        <f>IF(Tabela3[Lucro Líquido]&lt;0,0,Tabela3[Lucro Líquido]-Tabela3[Reserva Legal])</f>
        <v>0</v>
      </c>
      <c r="R312" s="13">
        <f>Tabela3[[#This Row],[Lucro Distribuir]]*Tabela3[%Div]</f>
        <v>0</v>
      </c>
      <c r="S312" s="56">
        <f>SUMPRODUCT(N(Tabela3[Nome]=Tabela3[[#This Row],[Nome]]),Tabela3[Ações])</f>
        <v>2321499600</v>
      </c>
      <c r="T312" s="6">
        <f>Tabela3[Capital Social]/Tabela3[Total Ações]</f>
        <v>7.0000005125997009E-2</v>
      </c>
      <c r="U312" s="80">
        <f>Tabela3[[#This Row],[Lucro Líquido]]/Tabela3[[#This Row],[Total Ações]]</f>
        <v>-8.5978907771511147E-3</v>
      </c>
      <c r="V31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4.2000003075598202E-3</v>
      </c>
      <c r="Y31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4.2000003075598202E-3</v>
      </c>
      <c r="Z312" s="13">
        <f>Tabela3[Div Base]*Tabela3[Ações]</f>
        <v>4146992.1036781077</v>
      </c>
      <c r="AA312" s="13">
        <f>SUMPRODUCT(N(Tabela3[Nome]=Tabela3[[#This Row],[Nome]]),Tabela3[Div Base]*Tabela3[Ações])</f>
        <v>4146992.1036781077</v>
      </c>
      <c r="AB312" s="95">
        <f>Tabela3[Patrimônio Líquido]/Tabela3[Total Ações]</f>
        <v>0.16903513573726225</v>
      </c>
      <c r="AC312" s="48">
        <f>MAX(Tabela3[[#This Row],[Cotação 1]:[Cotação 4]])</f>
        <v>0.24</v>
      </c>
      <c r="AD312" s="44">
        <f>Tabela3[Cotação]/Tabela3[VPA]</f>
        <v>1.4198231566071631</v>
      </c>
      <c r="AE312" s="40">
        <f>IF(Tabela3[[#This Row],[Lucro/Ação]]&gt;0,Tabela3[[#This Row],[Cotação]]/(Tabela3[[#This Row],[Lucro/Ação]]/Tabela3[Ref]*4),0)</f>
        <v>0</v>
      </c>
      <c r="AF312" s="91">
        <f>IF(Tabela3[Div. Mínimo]=0,0,Tabela3[Lucro Distribuir]*#REF!/Tabela3[Total Ações])</f>
        <v>0</v>
      </c>
      <c r="AG312" s="80">
        <f>Tabela3[Lucro Distribuir]/Tabela3[Total Ações]</f>
        <v>0</v>
      </c>
      <c r="AH31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4.2000003075598202E-3</v>
      </c>
      <c r="AI312" s="14" t="str">
        <f>IF(AND(Tabela3[% A.A.]&gt;=7%,SUMPRODUCT(N(Tabela3[Nome]=Tabela3[[#This Row],[Nome]]),Tabela3[PL])&gt;0),"Sim","Não")</f>
        <v>Não</v>
      </c>
      <c r="AJ312" s="42">
        <f>IF(Tabela3[Cotação]&gt;0,Tabela3[[#This Row],[Lucro]]/Tabela3[[#This Row],[Cotação]],0)</f>
        <v>1.7500001281499252E-2</v>
      </c>
      <c r="AK312" s="42">
        <f>((1+Tabela3[[#This Row],[% Yield]])^(1/(3*Tabela3[[#This Row],[Ref]])))^(12)-1</f>
        <v>2.340112785896542E-2</v>
      </c>
      <c r="AL312" s="14">
        <f>IF(Tabela3[Cotação]&gt;0,($AS$1/Tabela3[[#This Row],[Cotação]]-MOD($AS$1/Tabela3[[#This Row],[Cotação]],100)),)</f>
        <v>4100</v>
      </c>
      <c r="AM312" s="17">
        <f>Tabela3[[#This Row],[Ativos]]*Tabela3[Lucro]</f>
        <v>17.220001260995264</v>
      </c>
      <c r="AN312" s="17">
        <f>SUMPRODUCT(N(Tabela1[Código]=Tabela3[[#This Row],[PAPEL]]),Tabela1[Fechamento])</f>
        <v>0</v>
      </c>
      <c r="AO312" s="17">
        <f>SUMPRODUCT(N(Tabela17[Código]=Tabela3[[#This Row],[PAPEL]]),Tabela17[Fechamento])</f>
        <v>0</v>
      </c>
      <c r="AP312" s="17">
        <f>SUMPRODUCT(N(Tabela176[Código]=Tabela3[[#This Row],[PAPEL]]),Tabela176[Fechamento])</f>
        <v>0.24</v>
      </c>
      <c r="AQ312" s="17">
        <f>SUMPRODUCT(N(Tabela1768[Código]=Tabela3[[#This Row],[PAPEL]]),Tabela1768[Fechamento])</f>
        <v>0</v>
      </c>
    </row>
    <row r="313" spans="1:43" hidden="1" x14ac:dyDescent="0.2">
      <c r="A313" s="4" t="s">
        <v>657</v>
      </c>
      <c r="B313" s="57" t="s">
        <v>656</v>
      </c>
      <c r="C313" s="15" t="str">
        <f>LEFT(Tabela3[PAPEL],LEN(Tabela3[PAPEL])-(LEN(Tabela3[PAPEL])-4))</f>
        <v>TIBR</v>
      </c>
      <c r="D313" s="15">
        <v>3</v>
      </c>
      <c r="E313" s="6">
        <v>162504983.90000001</v>
      </c>
      <c r="F313" s="8">
        <v>521448800</v>
      </c>
      <c r="G313" s="88">
        <v>0.25</v>
      </c>
      <c r="H313" s="15"/>
      <c r="I313" s="19"/>
      <c r="J313" s="19"/>
      <c r="K313" s="90"/>
      <c r="L313" s="90"/>
      <c r="M313" s="96">
        <v>392415000</v>
      </c>
      <c r="N313" s="97">
        <v>-19960000</v>
      </c>
      <c r="O313" s="13">
        <f>Tabela3[[#This Row],[Capital Social]]*20%</f>
        <v>32500996.780000001</v>
      </c>
      <c r="P313" s="13">
        <f>IF((Tabela3[Lucro Líquido]*5%)&gt;Tabela3[Teto R. Legal],Tabela3[Teto R. Legal],Tabela3[Lucro Líquido]*5%)</f>
        <v>-998000</v>
      </c>
      <c r="Q313" s="13">
        <f>IF(Tabela3[Lucro Líquido]&lt;0,0,Tabela3[Lucro Líquido]-Tabela3[Reserva Legal])</f>
        <v>0</v>
      </c>
      <c r="R313" s="13">
        <f>Tabela3[[#This Row],[Lucro Distribuir]]*Tabela3[%Div]</f>
        <v>0</v>
      </c>
      <c r="S313" s="56">
        <f>SUMPRODUCT(N(Tabela3[Nome]=Tabela3[[#This Row],[Nome]]),Tabela3[Ações])</f>
        <v>2321499600</v>
      </c>
      <c r="T313" s="6">
        <f>Tabela3[Capital Social]/Tabela3[Total Ações]</f>
        <v>7.0000005125997009E-2</v>
      </c>
      <c r="U313" s="80">
        <f>Tabela3[[#This Row],[Lucro Líquido]]/Tabela3[[#This Row],[Total Ações]]</f>
        <v>-8.5978907771511147E-3</v>
      </c>
      <c r="V313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3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3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3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13" s="13">
        <f>Tabela3[Div Base]*Tabela3[Ações]</f>
        <v>0</v>
      </c>
      <c r="AA313" s="13">
        <f>SUMPRODUCT(N(Tabela3[Nome]=Tabela3[[#This Row],[Nome]]),Tabela3[Div Base]*Tabela3[Ações])</f>
        <v>4146992.1036781077</v>
      </c>
      <c r="AB313" s="95">
        <f>Tabela3[Patrimônio Líquido]/Tabela3[Total Ações]</f>
        <v>0.16903513573726225</v>
      </c>
      <c r="AC313" s="48">
        <f>MAX(Tabela3[[#This Row],[Cotação 1]:[Cotação 4]])</f>
        <v>0.23</v>
      </c>
      <c r="AD313" s="44">
        <f>Tabela3[Cotação]/Tabela3[VPA]</f>
        <v>1.3606638584151982</v>
      </c>
      <c r="AE313" s="40">
        <f>IF(Tabela3[[#This Row],[Lucro/Ação]]&gt;0,Tabela3[[#This Row],[Cotação]]/(Tabela3[[#This Row],[Lucro/Ação]]/Tabela3[Ref]*4),0)</f>
        <v>0</v>
      </c>
      <c r="AF313" s="91">
        <f>IF(Tabela3[Div. Mínimo]=0,0,Tabela3[Lucro Distribuir]*#REF!/Tabela3[Total Ações])</f>
        <v>0</v>
      </c>
      <c r="AG313" s="80">
        <f>Tabela3[Lucro Distribuir]/Tabela3[Total Ações]</f>
        <v>0</v>
      </c>
      <c r="AH313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13" s="14" t="str">
        <f>IF(AND(Tabela3[% A.A.]&gt;=7%,SUMPRODUCT(N(Tabela3[Nome]=Tabela3[[#This Row],[Nome]]),Tabela3[PL])&gt;0),"Sim","Não")</f>
        <v>Não</v>
      </c>
      <c r="AJ313" s="42">
        <f>IF(Tabela3[Cotação]&gt;0,Tabela3[[#This Row],[Lucro]]/Tabela3[[#This Row],[Cotação]],0)</f>
        <v>0</v>
      </c>
      <c r="AK313" s="42">
        <f>((1+Tabela3[[#This Row],[% Yield]])^(1/(3*Tabela3[[#This Row],[Ref]])))^(12)-1</f>
        <v>0</v>
      </c>
      <c r="AL313" s="14">
        <f>IF(Tabela3[Cotação]&gt;0,($AS$1/Tabela3[[#This Row],[Cotação]]-MOD($AS$1/Tabela3[[#This Row],[Cotação]],100)),)</f>
        <v>4300</v>
      </c>
      <c r="AM313" s="17">
        <f>Tabela3[[#This Row],[Ativos]]*Tabela3[Lucro]</f>
        <v>0</v>
      </c>
      <c r="AN313" s="17">
        <f>SUMPRODUCT(N(Tabela1[Código]=Tabela3[[#This Row],[PAPEL]]),Tabela1[Fechamento])</f>
        <v>0</v>
      </c>
      <c r="AO313" s="17">
        <f>SUMPRODUCT(N(Tabela17[Código]=Tabela3[[#This Row],[PAPEL]]),Tabela17[Fechamento])</f>
        <v>0</v>
      </c>
      <c r="AP313" s="17">
        <f>SUMPRODUCT(N(Tabela176[Código]=Tabela3[[#This Row],[PAPEL]]),Tabela176[Fechamento])</f>
        <v>0.23</v>
      </c>
      <c r="AQ313" s="17">
        <f>SUMPRODUCT(N(Tabela1768[Código]=Tabela3[[#This Row],[PAPEL]]),Tabela1768[Fechamento])</f>
        <v>0</v>
      </c>
    </row>
    <row r="314" spans="1:43" hidden="1" x14ac:dyDescent="0.2">
      <c r="A314" s="3" t="s">
        <v>292</v>
      </c>
      <c r="B314" s="58" t="s">
        <v>291</v>
      </c>
      <c r="C314" s="85" t="str">
        <f>LEFT(Tabela3[PAPEL],LEN(Tabela3[PAPEL])-(LEN(Tabela3[PAPEL])-4))</f>
        <v>TIMP</v>
      </c>
      <c r="D314" s="16">
        <v>3</v>
      </c>
      <c r="E314" s="5">
        <v>9886886593.4599991</v>
      </c>
      <c r="F314" s="56">
        <v>2417632647</v>
      </c>
      <c r="G314" s="88">
        <v>0.25</v>
      </c>
      <c r="H314" s="18"/>
      <c r="I314" s="18"/>
      <c r="K314" s="89"/>
      <c r="L314" s="89"/>
      <c r="M314" s="5">
        <v>14444342000</v>
      </c>
      <c r="N314" s="5">
        <v>1006640000</v>
      </c>
      <c r="O314" s="5">
        <f>Tabela3[[#This Row],[Capital Social]]*20%</f>
        <v>1977377318.6919999</v>
      </c>
      <c r="P314" s="5">
        <f>IF((Tabela3[Lucro Líquido]*5%)&gt;Tabela3[Teto R. Legal],Tabela3[Teto R. Legal],Tabela3[Lucro Líquido]*5%)</f>
        <v>50332000</v>
      </c>
      <c r="Q314" s="5">
        <f>IF(Tabela3[Lucro Líquido]&lt;0,0,Tabela3[Lucro Líquido]-Tabela3[Reserva Legal])</f>
        <v>956308000</v>
      </c>
      <c r="R314" s="5">
        <f>Tabela3[[#This Row],[Lucro Distribuir]]*Tabela3[%Div]</f>
        <v>239077000</v>
      </c>
      <c r="S314" s="56">
        <f>SUMPRODUCT(N(Tabela3[Nome]=Tabela3[[#This Row],[Nome]]),Tabela3[Ações])</f>
        <v>2417632647</v>
      </c>
      <c r="T314" s="5">
        <f>Tabela3[Capital Social]/Tabela3[Total Ações]</f>
        <v>4.089490852023558</v>
      </c>
      <c r="U314" s="79">
        <f>Tabela3[[#This Row],[Lucro Líquido]]/Tabela3[[#This Row],[Total Ações]]</f>
        <v>0.41637425820218088</v>
      </c>
      <c r="V31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9.8888886323017955E-2</v>
      </c>
      <c r="W31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9.8888886323017955E-2</v>
      </c>
      <c r="Z314" s="5">
        <f>Tabela3[Div Base]*Tabela3[Ações]</f>
        <v>239077000</v>
      </c>
      <c r="AA314" s="5">
        <f>SUMPRODUCT(N(Tabela3[Nome]=Tabela3[[#This Row],[Nome]]),Tabela3[Div Base]*Tabela3[Ações])</f>
        <v>239077000</v>
      </c>
      <c r="AB314" s="5">
        <f>Tabela3[Patrimônio Líquido]/Tabela3[Total Ações]</f>
        <v>5.974580967842134</v>
      </c>
      <c r="AC314" s="52">
        <f>MAX(Tabela3[[#This Row],[Cotação 1]:[Cotação 4]])</f>
        <v>12.63</v>
      </c>
      <c r="AD314" s="53">
        <f>Tabela3[Cotação]/Tabela3[VPA]</f>
        <v>2.11395578501326</v>
      </c>
      <c r="AE314" s="37">
        <f>IF(Tabela3[[#This Row],[Lucro/Ação]]&gt;0,Tabela3[[#This Row],[Cotação]]/(Tabela3[[#This Row],[Lucro/Ação]]/Tabela3[Ref]*4),0)</f>
        <v>22.749965477934019</v>
      </c>
      <c r="AF314" s="37" t="e">
        <f>IF(Tabela3[Div. Mínimo]=0,0,Tabela3[Lucro Distribuir]*#REF!/Tabela3[Total Ações])</f>
        <v>#REF!</v>
      </c>
      <c r="AG314" s="79">
        <f>Tabela3[Lucro Distribuir]/Tabela3[Total Ações]</f>
        <v>0.39555554529207182</v>
      </c>
      <c r="AH314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9.8888886323017955E-2</v>
      </c>
      <c r="AI314" s="16" t="str">
        <f>IF(AND(Tabela3[% A.A.]&gt;=7%,SUMPRODUCT(N(Tabela3[Nome]=Tabela3[[#This Row],[Nome]]),Tabela3[PL])&gt;0),"Sim","Não")</f>
        <v>Não</v>
      </c>
      <c r="AJ314" s="22">
        <f>IF(Tabela3[Cotação]&gt;0,Tabela3[[#This Row],[Lucro]]/Tabela3[[#This Row],[Cotação]],0)</f>
        <v>7.8296822108486104E-3</v>
      </c>
      <c r="AK314" s="18">
        <f>((1+Tabela3[[#This Row],[% Yield]])^(1/(3*Tabela3[[#This Row],[Ref]])))^(12)-1</f>
        <v>1.0453175749032262E-2</v>
      </c>
      <c r="AL314" s="10">
        <f>IF(Tabela3[Cotação]&gt;0,($AS$1/Tabela3[[#This Row],[Cotação]]-MOD($AS$1/Tabela3[[#This Row],[Cotação]],100)),)</f>
        <v>0</v>
      </c>
      <c r="AM314" s="7">
        <f>Tabela3[[#This Row],[Ativos]]*Tabela3[Lucro]</f>
        <v>0</v>
      </c>
      <c r="AN314" s="47">
        <f>SUMPRODUCT(N(Tabela1[Código]=Tabela3[[#This Row],[PAPEL]]),Tabela1[Fechamento])</f>
        <v>0</v>
      </c>
      <c r="AO314" s="54">
        <f>SUMPRODUCT(N(Tabela17[Código]=Tabela3[[#This Row],[PAPEL]]),Tabela17[Fechamento])</f>
        <v>12.63</v>
      </c>
      <c r="AP314" s="7">
        <f>SUMPRODUCT(N(Tabela176[Código]=Tabela3[[#This Row],[PAPEL]]),Tabela176[Fechamento])</f>
        <v>0</v>
      </c>
      <c r="AQ314" s="7">
        <f>SUMPRODUCT(N(Tabela1768[Código]=Tabela3[[#This Row],[PAPEL]]),Tabela1768[Fechamento])</f>
        <v>0</v>
      </c>
    </row>
    <row r="315" spans="1:43" hidden="1" x14ac:dyDescent="0.2">
      <c r="A315" s="4" t="s">
        <v>340</v>
      </c>
      <c r="B315" s="57" t="s">
        <v>650</v>
      </c>
      <c r="C315" s="85" t="str">
        <f>LEFT(Tabela3[PAPEL],LEN(Tabela3[PAPEL])-(LEN(Tabela3[PAPEL])-4))</f>
        <v>TKNO</v>
      </c>
      <c r="D315" s="16">
        <v>3</v>
      </c>
      <c r="E315" s="5">
        <v>170000000</v>
      </c>
      <c r="F315" s="56">
        <v>1538371</v>
      </c>
      <c r="G315" s="83">
        <v>0.25</v>
      </c>
      <c r="I315" s="18"/>
      <c r="K315" s="89"/>
      <c r="L315" s="89"/>
      <c r="M315" s="6">
        <v>222307000</v>
      </c>
      <c r="N315" s="6">
        <v>18125000</v>
      </c>
      <c r="O315" s="5">
        <f>Tabela3[[#This Row],[Capital Social]]*20%</f>
        <v>34000000</v>
      </c>
      <c r="P315" s="5">
        <f>IF((Tabela3[Lucro Líquido]*5%)&gt;Tabela3[Teto R. Legal],Tabela3[Teto R. Legal],Tabela3[Lucro Líquido]*5%)</f>
        <v>906250</v>
      </c>
      <c r="Q315" s="5">
        <f>IF(Tabela3[Lucro Líquido]&lt;0,0,Tabela3[Lucro Líquido]-Tabela3[Reserva Legal])</f>
        <v>17218750</v>
      </c>
      <c r="R315" s="5">
        <f>Tabela3[[#This Row],[Lucro Distribuir]]*Tabela3[%Div]</f>
        <v>4304687.5</v>
      </c>
      <c r="S315" s="21">
        <f>SUMPRODUCT(N(Tabela3[Nome]=Tabela3[[#This Row],[Nome]]),Tabela3[Ações])</f>
        <v>2857301</v>
      </c>
      <c r="T315" s="5">
        <f>Tabela3[Capital Social]/Tabela3[Total Ações]</f>
        <v>59.496706857275448</v>
      </c>
      <c r="U315" s="79">
        <f>Tabela3[[#This Row],[Lucro Líquido]]/Tabela3[[#This Row],[Total Ações]]</f>
        <v>6.3433988928712797</v>
      </c>
      <c r="V315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1.5065572370569289</v>
      </c>
      <c r="W315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0.7970642286598969</v>
      </c>
      <c r="X31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5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0.7970642286598969</v>
      </c>
      <c r="Z315" s="5">
        <f>Tabela3[Div Base]*Tabela3[Ações]</f>
        <v>1226180.4945077542</v>
      </c>
      <c r="AA315" s="5">
        <f>SUMPRODUCT(N(Tabela3[Nome]=Tabela3[[#This Row],[Nome]]),Tabela3[Div Base]*Tabela3[Ações])</f>
        <v>4304687.5</v>
      </c>
      <c r="AB315" s="5">
        <f>Tabela3[Patrimônio Líquido]/Tabela3[Total Ações]</f>
        <v>77.803143596001959</v>
      </c>
      <c r="AC315" s="52">
        <f>MAX(Tabela3[[#This Row],[Cotação 1]:[Cotação 4]])</f>
        <v>0</v>
      </c>
      <c r="AD315" s="53">
        <f>Tabela3[Cotação]/Tabela3[VPA]</f>
        <v>0</v>
      </c>
      <c r="AE315" s="37">
        <f>IF(Tabela3[[#This Row],[Lucro/Ação]]&gt;0,Tabela3[[#This Row],[Cotação]]/(Tabela3[[#This Row],[Lucro/Ação]]/Tabela3[Ref]*4),0)</f>
        <v>0</v>
      </c>
      <c r="AF315" s="37" t="e">
        <f>IF(Tabela3[Div. Mínimo]=0,0,Tabela3[Lucro Distribuir]*#REF!/Tabela3[Total Ações])</f>
        <v>#REF!</v>
      </c>
      <c r="AG315" s="79">
        <f>Tabela3[Lucro Distribuir]/Tabela3[Total Ações]</f>
        <v>6.0262289482277156</v>
      </c>
      <c r="AH315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0.7970642286598969</v>
      </c>
      <c r="AI315" s="16" t="str">
        <f>IF(AND(Tabela3[% A.A.]&gt;=7%,SUMPRODUCT(N(Tabela3[Nome]=Tabela3[[#This Row],[Nome]]),Tabela3[PL])&gt;0),"Sim","Não")</f>
        <v>Não</v>
      </c>
      <c r="AJ315" s="22">
        <f>IF(Tabela3[Cotação]&gt;0,Tabela3[[#This Row],[Lucro]]/Tabela3[[#This Row],[Cotação]],0)</f>
        <v>0</v>
      </c>
      <c r="AK315" s="18">
        <f>((1+Tabela3[[#This Row],[% Yield]])^(1/(3*Tabela3[[#This Row],[Ref]])))^(12)-1</f>
        <v>0</v>
      </c>
      <c r="AL315" s="10">
        <f>IF(Tabela3[Cotação]&gt;0,($AS$1/Tabela3[[#This Row],[Cotação]]-MOD($AS$1/Tabela3[[#This Row],[Cotação]],100)),)</f>
        <v>0</v>
      </c>
      <c r="AM315" s="7">
        <f>Tabela3[[#This Row],[Ativos]]*Tabela3[Lucro]</f>
        <v>0</v>
      </c>
      <c r="AN315" s="47">
        <f>SUMPRODUCT(N(Tabela1[Código]=Tabela3[[#This Row],[PAPEL]]),Tabela1[Fechamento])</f>
        <v>0</v>
      </c>
      <c r="AO315" s="54">
        <f>SUMPRODUCT(N(Tabela17[Código]=Tabela3[[#This Row],[PAPEL]]),Tabela17[Fechamento])</f>
        <v>0</v>
      </c>
      <c r="AP315" s="7">
        <f>SUMPRODUCT(N(Tabela176[Código]=Tabela3[[#This Row],[PAPEL]]),Tabela176[Fechamento])</f>
        <v>0</v>
      </c>
      <c r="AQ315" s="7">
        <f>SUMPRODUCT(N(Tabela1768[Código]=Tabela3[[#This Row],[PAPEL]]),Tabela1768[Fechamento])</f>
        <v>0</v>
      </c>
    </row>
    <row r="316" spans="1:43" hidden="1" x14ac:dyDescent="0.2">
      <c r="A316" s="4" t="s">
        <v>340</v>
      </c>
      <c r="B316" s="57" t="s">
        <v>342</v>
      </c>
      <c r="C316" s="84" t="str">
        <f>LEFT(Tabela3[PAPEL],LEN(Tabela3[PAPEL])-(LEN(Tabela3[PAPEL])-4))</f>
        <v>TKNO</v>
      </c>
      <c r="D316" s="15">
        <v>3</v>
      </c>
      <c r="E316" s="5">
        <v>170000000</v>
      </c>
      <c r="F316" s="8">
        <v>1318930</v>
      </c>
      <c r="G316" s="83">
        <v>0.25</v>
      </c>
      <c r="H316" s="9">
        <v>0.03</v>
      </c>
      <c r="I316" s="19"/>
      <c r="J316" s="19"/>
      <c r="K316" s="90"/>
      <c r="L316" s="90"/>
      <c r="M316" s="6">
        <v>222307000</v>
      </c>
      <c r="N316" s="6">
        <v>18125000</v>
      </c>
      <c r="O316" s="6">
        <f>Tabela3[[#This Row],[Capital Social]]*20%</f>
        <v>34000000</v>
      </c>
      <c r="P316" s="6">
        <f>IF((Tabela3[Lucro Líquido]*5%)&gt;Tabela3[Teto R. Legal],Tabela3[Teto R. Legal],Tabela3[Lucro Líquido]*5%)</f>
        <v>906250</v>
      </c>
      <c r="Q316" s="6">
        <f>IF(Tabela3[Lucro Líquido]&lt;0,0,Tabela3[Lucro Líquido]-Tabela3[Reserva Legal])</f>
        <v>17218750</v>
      </c>
      <c r="R316" s="6">
        <f>Tabela3[[#This Row],[Lucro Distribuir]]*Tabela3[%Div]</f>
        <v>4304687.5</v>
      </c>
      <c r="S316" s="21">
        <f>SUMPRODUCT(N(Tabela3[Nome]=Tabela3[[#This Row],[Nome]]),Tabela3[Ações])</f>
        <v>2857301</v>
      </c>
      <c r="T316" s="6">
        <f>Tabela3[Capital Social]/Tabela3[Total Ações]</f>
        <v>59.496706857275448</v>
      </c>
      <c r="U316" s="80">
        <f>Tabela3[[#This Row],[Lucro Líquido]]/Tabela3[[#This Row],[Total Ações]]</f>
        <v>6.3433988928712797</v>
      </c>
      <c r="V31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1.5065572370569289</v>
      </c>
      <c r="W31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2.3340943078800587</v>
      </c>
      <c r="X31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2.3340943078800587</v>
      </c>
      <c r="Z316" s="6">
        <f>Tabela3[Div Base]*Tabela3[Ações]</f>
        <v>3078507.0054922458</v>
      </c>
      <c r="AA316" s="6">
        <f>SUMPRODUCT(N(Tabela3[Nome]=Tabela3[[#This Row],[Nome]]),Tabela3[Div Base]*Tabela3[Ações])</f>
        <v>4304687.5</v>
      </c>
      <c r="AB316" s="6">
        <f>Tabela3[Patrimônio Líquido]/Tabela3[Total Ações]</f>
        <v>77.803143596001959</v>
      </c>
      <c r="AC316" s="48">
        <f>MAX(Tabela3[[#This Row],[Cotação 1]:[Cotação 4]])</f>
        <v>90</v>
      </c>
      <c r="AD316" s="44">
        <f>Tabela3[Cotação]/Tabela3[VPA]</f>
        <v>1.1567655989240104</v>
      </c>
      <c r="AE316" s="40">
        <f>IF(Tabela3[[#This Row],[Lucro/Ação]]&gt;0,Tabela3[[#This Row],[Cotação]]/(Tabela3[[#This Row],[Lucro/Ação]]/Tabela3[Ref]*4),0)</f>
        <v>10.640983034482758</v>
      </c>
      <c r="AF316" s="40" t="e">
        <f>IF(Tabela3[Div. Mínimo]=0,0,Tabela3[Lucro Distribuir]*#REF!/Tabela3[Total Ações])</f>
        <v>#REF!</v>
      </c>
      <c r="AG316" s="80">
        <f>Tabela3[Lucro Distribuir]/Tabela3[Total Ações]</f>
        <v>6.0262289482277156</v>
      </c>
      <c r="AH31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2.3340943078800587</v>
      </c>
      <c r="AI316" s="15" t="str">
        <f>IF(AND(Tabela3[% A.A.]&gt;=7%,SUMPRODUCT(N(Tabela3[Nome]=Tabela3[[#This Row],[Nome]]),Tabela3[PL])&gt;0),"Sim","Não")</f>
        <v>Não</v>
      </c>
      <c r="AJ316" s="42">
        <f>IF(Tabela3[Cotação]&gt;0,Tabela3[[#This Row],[Lucro]]/Tabela3[[#This Row],[Cotação]],0)</f>
        <v>2.5934381198667318E-2</v>
      </c>
      <c r="AK316" s="19">
        <f>((1+Tabela3[[#This Row],[% Yield]])^(1/(3*Tabela3[[#This Row],[Ref]])))^(12)-1</f>
        <v>3.472778763482709E-2</v>
      </c>
      <c r="AL316" s="14">
        <f>IF(Tabela3[Cotação]&gt;0,($AS$1/Tabela3[[#This Row],[Cotação]]-MOD($AS$1/Tabela3[[#This Row],[Cotação]],100)),)</f>
        <v>0</v>
      </c>
      <c r="AM316" s="17">
        <f>Tabela3[[#This Row],[Ativos]]*Tabela3[Lucro]</f>
        <v>0</v>
      </c>
      <c r="AN316" s="13">
        <f>SUMPRODUCT(N(Tabela1[Código]=Tabela3[[#This Row],[PAPEL]]),Tabela1[Fechamento])</f>
        <v>0</v>
      </c>
      <c r="AO316" s="55">
        <f>SUMPRODUCT(N(Tabela17[Código]=Tabela3[[#This Row],[PAPEL]]),Tabela17[Fechamento])</f>
        <v>90</v>
      </c>
      <c r="AP316" s="7">
        <f>SUMPRODUCT(N(Tabela176[Código]=Tabela3[[#This Row],[PAPEL]]),Tabela176[Fechamento])</f>
        <v>0</v>
      </c>
      <c r="AQ316" s="7">
        <f>SUMPRODUCT(N(Tabela1768[Código]=Tabela3[[#This Row],[PAPEL]]),Tabela1768[Fechamento])</f>
        <v>0</v>
      </c>
    </row>
    <row r="317" spans="1:43" hidden="1" x14ac:dyDescent="0.2">
      <c r="A317" s="4" t="s">
        <v>592</v>
      </c>
      <c r="B317" s="57" t="s">
        <v>601</v>
      </c>
      <c r="C317" s="15" t="str">
        <f>LEFT(Tabela3[PAPEL],LEN(Tabela3[PAPEL])-(LEN(Tabela3[PAPEL])-4))</f>
        <v>TOTS</v>
      </c>
      <c r="D317" s="15">
        <v>3</v>
      </c>
      <c r="E317" s="6">
        <v>526592102.22000003</v>
      </c>
      <c r="F317" s="8">
        <v>163467071</v>
      </c>
      <c r="G317" s="88">
        <v>0.25</v>
      </c>
      <c r="H317" s="15"/>
      <c r="I317" s="19"/>
      <c r="J317" s="19"/>
      <c r="K317" s="90"/>
      <c r="L317" s="90"/>
      <c r="M317" s="96">
        <v>1035153000</v>
      </c>
      <c r="N317" s="97">
        <v>161860000</v>
      </c>
      <c r="O317" s="13">
        <f>Tabela3[[#This Row],[Capital Social]]*20%</f>
        <v>105318420.44400001</v>
      </c>
      <c r="P317" s="13">
        <f>IF((Tabela3[Lucro Líquido]*5%)&gt;Tabela3[Teto R. Legal],Tabela3[Teto R. Legal],Tabela3[Lucro Líquido]*5%)</f>
        <v>8093000</v>
      </c>
      <c r="Q317" s="13">
        <f>IF(Tabela3[Lucro Líquido]&lt;0,0,Tabela3[Lucro Líquido]-Tabela3[Reserva Legal])</f>
        <v>153767000</v>
      </c>
      <c r="R317" s="13">
        <f>Tabela3[[#This Row],[Lucro Distribuir]]*Tabela3[%Div]</f>
        <v>38441750</v>
      </c>
      <c r="S317" s="56">
        <f>SUMPRODUCT(N(Tabela3[Nome]=Tabela3[[#This Row],[Nome]]),Tabela3[Ações])</f>
        <v>163467071</v>
      </c>
      <c r="T317" s="6">
        <f>Tabela3[Capital Social]/Tabela3[Total Ações]</f>
        <v>3.2213955936116334</v>
      </c>
      <c r="U317" s="80">
        <f>Tabela3[[#This Row],[Lucro Líquido]]/Tabela3[[#This Row],[Total Ações]]</f>
        <v>0.9901688395701419</v>
      </c>
      <c r="V31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0.23516509939790869</v>
      </c>
      <c r="W31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0.23516509939790869</v>
      </c>
      <c r="Z317" s="13">
        <f>Tabela3[Div Base]*Tabela3[Ações]</f>
        <v>38441750</v>
      </c>
      <c r="AA317" s="13">
        <f>SUMPRODUCT(N(Tabela3[Nome]=Tabela3[[#This Row],[Nome]]),Tabela3[Div Base]*Tabela3[Ações])</f>
        <v>38441750</v>
      </c>
      <c r="AB317" s="95">
        <f>Tabela3[Patrimônio Líquido]/Tabela3[Total Ações]</f>
        <v>6.3324863758034793</v>
      </c>
      <c r="AC317" s="48">
        <f>MAX(Tabela3[[#This Row],[Cotação 1]:[Cotação 4]])</f>
        <v>32.04</v>
      </c>
      <c r="AD317" s="44">
        <f>Tabela3[Cotação]/Tabela3[VPA]</f>
        <v>5.0596239926271762</v>
      </c>
      <c r="AE317" s="40">
        <f>IF(Tabela3[[#This Row],[Lucro/Ação]]&gt;0,Tabela3[[#This Row],[Cotação]]/(Tabela3[[#This Row],[Lucro/Ação]]/Tabela3[Ref]*4),0)</f>
        <v>24.268588385827258</v>
      </c>
      <c r="AF317" s="91" t="e">
        <f>IF(Tabela3[Div. Mínimo]=0,0,Tabela3[Lucro Distribuir]*#REF!/Tabela3[Total Ações])</f>
        <v>#REF!</v>
      </c>
      <c r="AG317" s="80">
        <f>Tabela3[Lucro Distribuir]/Tabela3[Total Ações]</f>
        <v>0.94066039759163478</v>
      </c>
      <c r="AH31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0.23516509939790869</v>
      </c>
      <c r="AI317" s="14" t="str">
        <f>IF(AND(Tabela3[% A.A.]&gt;=7%,SUMPRODUCT(N(Tabela3[Nome]=Tabela3[[#This Row],[Nome]]),Tabela3[PL])&gt;0),"Sim","Não")</f>
        <v>Não</v>
      </c>
      <c r="AJ317" s="42">
        <f>IF(Tabela3[Cotação]&gt;0,Tabela3[[#This Row],[Lucro]]/Tabela3[[#This Row],[Cotação]],0)</f>
        <v>7.3397346878248662E-3</v>
      </c>
      <c r="AK317" s="42">
        <f>((1+Tabela3[[#This Row],[% Yield]])^(1/(3*Tabela3[[#This Row],[Ref]])))^(12)-1</f>
        <v>9.798264940521495E-3</v>
      </c>
      <c r="AL317" s="14">
        <f>IF(Tabela3[Cotação]&gt;0,($AS$1/Tabela3[[#This Row],[Cotação]]-MOD($AS$1/Tabela3[[#This Row],[Cotação]],100)),)</f>
        <v>0</v>
      </c>
      <c r="AM317" s="17">
        <f>Tabela3[[#This Row],[Ativos]]*Tabela3[Lucro]</f>
        <v>0</v>
      </c>
      <c r="AN317" s="17">
        <f>SUMPRODUCT(N(Tabela1[Código]=Tabela3[[#This Row],[PAPEL]]),Tabela1[Fechamento])</f>
        <v>0</v>
      </c>
      <c r="AO317" s="17">
        <f>SUMPRODUCT(N(Tabela17[Código]=Tabela3[[#This Row],[PAPEL]]),Tabela17[Fechamento])</f>
        <v>0</v>
      </c>
      <c r="AP317" s="17">
        <f>SUMPRODUCT(N(Tabela176[Código]=Tabela3[[#This Row],[PAPEL]]),Tabela176[Fechamento])</f>
        <v>32.04</v>
      </c>
      <c r="AQ317" s="17">
        <f>SUMPRODUCT(N(Tabela1768[Código]=Tabela3[[#This Row],[PAPEL]]),Tabela1768[Fechamento])</f>
        <v>0</v>
      </c>
    </row>
    <row r="318" spans="1:43" hidden="1" x14ac:dyDescent="0.2">
      <c r="A318" s="4" t="s">
        <v>12</v>
      </c>
      <c r="B318" s="60" t="s">
        <v>158</v>
      </c>
      <c r="C318" s="14" t="str">
        <f>LEFT(Tabela3[PAPEL],LEN(Tabela3[PAPEL])-(LEN(Tabela3[PAPEL])-4))</f>
        <v>TRPL</v>
      </c>
      <c r="D318" s="15">
        <v>3</v>
      </c>
      <c r="E318" s="6">
        <v>2000000000</v>
      </c>
      <c r="F318" s="8">
        <v>64484433</v>
      </c>
      <c r="G318" s="88">
        <v>0.25</v>
      </c>
      <c r="H318" s="15"/>
      <c r="I318" s="19"/>
      <c r="J318" s="19"/>
      <c r="K318" s="90"/>
      <c r="L318" s="90"/>
      <c r="M318" s="92">
        <v>4953037000</v>
      </c>
      <c r="N318" s="92">
        <v>-126863000</v>
      </c>
      <c r="O318" s="6">
        <f>Tabela3[[#This Row],[Capital Social]]*20%</f>
        <v>400000000</v>
      </c>
      <c r="P318" s="6">
        <f>IF((Tabela3[Lucro Líquido]*5%)&gt;Tabela3[Teto R. Legal],Tabela3[Teto R. Legal],Tabela3[Lucro Líquido]*5%)</f>
        <v>-6343150</v>
      </c>
      <c r="Q318" s="92">
        <f>IF(Tabela3[Lucro Líquido]&lt;0,0,Tabela3[Lucro Líquido]-Tabela3[Reserva Legal])</f>
        <v>0</v>
      </c>
      <c r="R318" s="92">
        <f>Tabela3[[#This Row],[Lucro Distribuir]]*Tabela3[%Div]</f>
        <v>0</v>
      </c>
      <c r="S318" s="56">
        <f>SUMPRODUCT(N(Tabela3[Nome]=Tabela3[[#This Row],[Nome]]),Tabela3[Ações])</f>
        <v>152661565</v>
      </c>
      <c r="T318" s="6">
        <f>Tabela3[Capital Social]/Tabela3[Total Ações]</f>
        <v>13.100874473545453</v>
      </c>
      <c r="U318" s="80">
        <f>Tabela3[[#This Row],[Lucro Líquido]]/Tabela3[[#This Row],[Total Ações]]</f>
        <v>-0.83100811916869843</v>
      </c>
      <c r="V31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8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8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18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18" s="6">
        <f>Tabela3[Div Base]*Tabela3[Ações]</f>
        <v>0</v>
      </c>
      <c r="AA318" s="6">
        <f>SUMPRODUCT(N(Tabela3[Nome]=Tabela3[[#This Row],[Nome]]),Tabela3[Div Base]*Tabela3[Ações])</f>
        <v>115519753.7769248</v>
      </c>
      <c r="AB318" s="92">
        <f>Tabela3[Patrimônio Líquido]/Tabela3[Total Ações]</f>
        <v>32.444557999913073</v>
      </c>
      <c r="AC318" s="48">
        <f>MAX(Tabela3[[#This Row],[Cotação 1]:[Cotação 4]])</f>
        <v>45.8</v>
      </c>
      <c r="AD318" s="44">
        <f>Tabela3[Cotação]/Tabela3[VPA]</f>
        <v>1.4116388948840883</v>
      </c>
      <c r="AE318" s="40">
        <f>IF(Tabela3[[#This Row],[Lucro/Ação]]&gt;0,Tabela3[[#This Row],[Cotação]]/(Tabela3[[#This Row],[Lucro/Ação]]/Tabela3[Ref]*4),0)</f>
        <v>0</v>
      </c>
      <c r="AF318" s="40">
        <f>IF(Tabela3[Div. Mínimo]=0,0,Tabela3[Lucro Distribuir]*#REF!/Tabela3[Total Ações])</f>
        <v>0</v>
      </c>
      <c r="AG318" s="80">
        <f>Tabela3[Lucro Distribuir]/Tabela3[Total Ações]</f>
        <v>0</v>
      </c>
      <c r="AH31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18" s="15" t="str">
        <f>IF(AND(Tabela3[% A.A.]&gt;=7%,SUMPRODUCT(N(Tabela3[Nome]=Tabela3[[#This Row],[Nome]]),Tabela3[PL])&gt;0),"Sim","Não")</f>
        <v>Não</v>
      </c>
      <c r="AJ318" s="42">
        <f>IF(Tabela3[Cotação]&gt;0,Tabela3[[#This Row],[Lucro]]/Tabela3[[#This Row],[Cotação]],0)</f>
        <v>0</v>
      </c>
      <c r="AK318" s="19">
        <f>((1+Tabela3[[#This Row],[% Yield]])^(1/(3*Tabela3[[#This Row],[Ref]])))^(12)-1</f>
        <v>0</v>
      </c>
      <c r="AL318" s="14">
        <f>IF(Tabela3[Cotação]&gt;0,($AS$1/Tabela3[[#This Row],[Cotação]]-MOD($AS$1/Tabela3[[#This Row],[Cotação]],100)),)</f>
        <v>0</v>
      </c>
      <c r="AM318" s="17">
        <f>Tabela3[[#This Row],[Ativos]]*Tabela3[Lucro]</f>
        <v>0</v>
      </c>
      <c r="AN318" s="5">
        <f>SUMPRODUCT(N(Tabela1[Código]=Tabela3[[#This Row],[PAPEL]]),Tabela1[Fechamento])</f>
        <v>45.8</v>
      </c>
      <c r="AO318" s="5">
        <f>SUMPRODUCT(N(Tabela17[Código]=Tabela3[[#This Row],[PAPEL]]),Tabela17[Fechamento])</f>
        <v>0</v>
      </c>
      <c r="AP318" s="7">
        <f>SUMPRODUCT(N(Tabela176[Código]=Tabela3[[#This Row],[PAPEL]]),Tabela176[Fechamento])</f>
        <v>0</v>
      </c>
      <c r="AQ318" s="7">
        <f>SUMPRODUCT(N(Tabela1768[Código]=Tabela3[[#This Row],[PAPEL]]),Tabela1768[Fechamento])</f>
        <v>0</v>
      </c>
    </row>
    <row r="319" spans="1:43" hidden="1" x14ac:dyDescent="0.2">
      <c r="A319" s="4" t="s">
        <v>12</v>
      </c>
      <c r="B319" s="60" t="s">
        <v>159</v>
      </c>
      <c r="C319" s="14" t="str">
        <f>LEFT(Tabela3[PAPEL],LEN(Tabela3[PAPEL])-(LEN(Tabela3[PAPEL])-4))</f>
        <v>TRPL</v>
      </c>
      <c r="D319" s="15">
        <v>3</v>
      </c>
      <c r="E319" s="6">
        <v>2000000000</v>
      </c>
      <c r="F319" s="8">
        <v>88177132</v>
      </c>
      <c r="G319" s="83">
        <v>0.25</v>
      </c>
      <c r="H319" s="15"/>
      <c r="I319" s="19">
        <v>0.1</v>
      </c>
      <c r="J319" s="19"/>
      <c r="K319" s="90"/>
      <c r="L319" s="90"/>
      <c r="M319" s="92">
        <v>4953037000</v>
      </c>
      <c r="N319" s="92">
        <v>-126863000</v>
      </c>
      <c r="O319" s="6">
        <f>Tabela3[[#This Row],[Capital Social]]*20%</f>
        <v>400000000</v>
      </c>
      <c r="P319" s="6">
        <f>IF((Tabela3[Lucro Líquido]*5%)&gt;Tabela3[Teto R. Legal],Tabela3[Teto R. Legal],Tabela3[Lucro Líquido]*5%)</f>
        <v>-6343150</v>
      </c>
      <c r="Q319" s="92">
        <f>IF(Tabela3[Lucro Líquido]&lt;0,0,Tabela3[Lucro Líquido]-Tabela3[Reserva Legal])</f>
        <v>0</v>
      </c>
      <c r="R319" s="92">
        <f>Tabela3[[#This Row],[Lucro Distribuir]]*Tabela3[%Div]</f>
        <v>0</v>
      </c>
      <c r="S319" s="56">
        <f>SUMPRODUCT(N(Tabela3[Nome]=Tabela3[[#This Row],[Nome]]),Tabela3[Ações])</f>
        <v>152661565</v>
      </c>
      <c r="T319" s="6">
        <f>Tabela3[Capital Social]/Tabela3[Total Ações]</f>
        <v>13.100874473545453</v>
      </c>
      <c r="U319" s="80">
        <f>Tabela3[[#This Row],[Lucro Líquido]]/Tabela3[[#This Row],[Total Ações]]</f>
        <v>-0.83100811916869843</v>
      </c>
      <c r="V31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1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1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1.3100874473545454</v>
      </c>
      <c r="Y31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1.3100874473545454</v>
      </c>
      <c r="Z319" s="6">
        <f>Tabela3[Div Base]*Tabela3[Ações]</f>
        <v>115519753.7769248</v>
      </c>
      <c r="AA319" s="6">
        <f>SUMPRODUCT(N(Tabela3[Nome]=Tabela3[[#This Row],[Nome]]),Tabela3[Div Base]*Tabela3[Ações])</f>
        <v>115519753.7769248</v>
      </c>
      <c r="AB319" s="92">
        <f>Tabela3[Patrimônio Líquido]/Tabela3[Total Ações]</f>
        <v>32.444557999913073</v>
      </c>
      <c r="AC319" s="48">
        <f>MAX(Tabela3[[#This Row],[Cotação 1]:[Cotação 4]])</f>
        <v>23.18</v>
      </c>
      <c r="AD319" s="44">
        <f>Tabela3[Cotação]/Tabela3[VPA]</f>
        <v>0.71444955422299494</v>
      </c>
      <c r="AE319" s="40">
        <f>IF(Tabela3[[#This Row],[Lucro/Ação]]&gt;0,Tabela3[[#This Row],[Cotação]]/(Tabela3[[#This Row],[Lucro/Ação]]/Tabela3[Ref]*4),0)</f>
        <v>0</v>
      </c>
      <c r="AF319" s="40">
        <f>IF(Tabela3[Div. Mínimo]=0,0,Tabela3[Lucro Distribuir]*#REF!/Tabela3[Total Ações])</f>
        <v>0</v>
      </c>
      <c r="AG319" s="80">
        <f>Tabela3[Lucro Distribuir]/Tabela3[Total Ações]</f>
        <v>0</v>
      </c>
      <c r="AH31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1.3100874473545454</v>
      </c>
      <c r="AI319" s="15" t="str">
        <f>IF(AND(Tabela3[% A.A.]&gt;=7%,SUMPRODUCT(N(Tabela3[Nome]=Tabela3[[#This Row],[Nome]]),Tabela3[PL])&gt;0),"Sim","Não")</f>
        <v>Não</v>
      </c>
      <c r="AJ319" s="42">
        <f>IF(Tabela3[Cotação]&gt;0,Tabela3[[#This Row],[Lucro]]/Tabela3[[#This Row],[Cotação]],0)</f>
        <v>5.6518008945407483E-2</v>
      </c>
      <c r="AK319" s="19">
        <f>((1+Tabela3[[#This Row],[% Yield]])^(1/(3*Tabela3[[#This Row],[Ref]])))^(12)-1</f>
        <v>7.605847498484386E-2</v>
      </c>
      <c r="AL319" s="14">
        <f>IF(Tabela3[Cotação]&gt;0,($AS$1/Tabela3[[#This Row],[Cotação]]-MOD($AS$1/Tabela3[[#This Row],[Cotação]],100)),)</f>
        <v>0</v>
      </c>
      <c r="AM319" s="17">
        <f>Tabela3[[#This Row],[Ativos]]*Tabela3[Lucro]</f>
        <v>0</v>
      </c>
      <c r="AN319" s="5">
        <f>SUMPRODUCT(N(Tabela1[Código]=Tabela3[[#This Row],[PAPEL]]),Tabela1[Fechamento])</f>
        <v>23.18</v>
      </c>
      <c r="AO319" s="5">
        <f>SUMPRODUCT(N(Tabela17[Código]=Tabela3[[#This Row],[PAPEL]]),Tabela17[Fechamento])</f>
        <v>0</v>
      </c>
      <c r="AP319" s="7">
        <f>SUMPRODUCT(N(Tabela176[Código]=Tabela3[[#This Row],[PAPEL]]),Tabela176[Fechamento])</f>
        <v>0</v>
      </c>
      <c r="AQ319" s="7">
        <f>SUMPRODUCT(N(Tabela1768[Código]=Tabela3[[#This Row],[PAPEL]]),Tabela1768[Fechamento])</f>
        <v>0</v>
      </c>
    </row>
    <row r="320" spans="1:43" hidden="1" x14ac:dyDescent="0.2">
      <c r="A320" s="4" t="s">
        <v>381</v>
      </c>
      <c r="B320" s="57" t="s">
        <v>380</v>
      </c>
      <c r="C320" s="84" t="str">
        <f>LEFT(Tabela3[PAPEL],LEN(Tabela3[PAPEL])-(LEN(Tabela3[PAPEL])-4))</f>
        <v>TRPN</v>
      </c>
      <c r="D320" s="15">
        <v>3</v>
      </c>
      <c r="E320" s="6">
        <v>6610322.96</v>
      </c>
      <c r="F320" s="38">
        <v>46288258</v>
      </c>
      <c r="G320" s="88">
        <v>0.25</v>
      </c>
      <c r="H320" s="15"/>
      <c r="I320" s="19"/>
      <c r="J320" s="19"/>
      <c r="K320" s="90"/>
      <c r="L320" s="90"/>
      <c r="M320" s="6">
        <v>39041000</v>
      </c>
      <c r="N320" s="6">
        <v>38084000</v>
      </c>
      <c r="O320" s="6">
        <f>Tabela3[[#This Row],[Capital Social]]*20%</f>
        <v>1322064.5920000002</v>
      </c>
      <c r="P320" s="6">
        <f>IF((Tabela3[Lucro Líquido]*5%)&gt;Tabela3[Teto R. Legal],Tabela3[Teto R. Legal],Tabela3[Lucro Líquido]*5%)</f>
        <v>1322064.5920000002</v>
      </c>
      <c r="Q320" s="6">
        <f>IF(Tabela3[Lucro Líquido]&lt;0,0,Tabela3[Lucro Líquido]-Tabela3[Reserva Legal])</f>
        <v>36761935.408</v>
      </c>
      <c r="R320" s="6">
        <f>Tabela3[[#This Row],[Lucro Distribuir]]*Tabela3[%Div]</f>
        <v>9190483.852</v>
      </c>
      <c r="S320" s="56">
        <f>SUMPRODUCT(N(Tabela3[Nome]=Tabela3[[#This Row],[Nome]]),Tabela3[Ações])</f>
        <v>46288258</v>
      </c>
      <c r="T320" s="6">
        <f>Tabela3[Capital Social]/Tabela3[Total Ações]</f>
        <v>0.14280777124946029</v>
      </c>
      <c r="U320" s="80">
        <f>Tabela3[[#This Row],[Lucro Líquido]]/Tabela3[[#This Row],[Total Ações]]</f>
        <v>0.82275725303812475</v>
      </c>
      <c r="V320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0.19854892469705815</v>
      </c>
      <c r="W320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0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0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0.19854892469705815</v>
      </c>
      <c r="Z320" s="6">
        <f>Tabela3[Div Base]*Tabela3[Ações]</f>
        <v>9190483.852</v>
      </c>
      <c r="AA320" s="6">
        <f>SUMPRODUCT(N(Tabela3[Nome]=Tabela3[[#This Row],[Nome]]),Tabela3[Div Base]*Tabela3[Ações])</f>
        <v>9190483.852</v>
      </c>
      <c r="AB320" s="6">
        <f>Tabela3[Patrimônio Líquido]/Tabela3[Total Ações]</f>
        <v>0.84343204274397188</v>
      </c>
      <c r="AC320" s="48">
        <f>MAX(Tabela3[[#This Row],[Cotação 1]:[Cotação 4]])</f>
        <v>14.32</v>
      </c>
      <c r="AD320" s="44">
        <f>Tabela3[Cotação]/Tabela3[VPA]</f>
        <v>16.978249905483981</v>
      </c>
      <c r="AE320" s="40">
        <f>IF(Tabela3[[#This Row],[Lucro/Ação]]&gt;0,Tabela3[[#This Row],[Cotação]]/(Tabela3[[#This Row],[Lucro/Ação]]/Tabela3[Ref]*4),0)</f>
        <v>13.053667968700767</v>
      </c>
      <c r="AF320" s="40" t="e">
        <f>IF(Tabela3[Div. Mínimo]=0,0,Tabela3[Lucro Distribuir]*#REF!/Tabela3[Total Ações])</f>
        <v>#REF!</v>
      </c>
      <c r="AG320" s="80">
        <f>Tabela3[Lucro Distribuir]/Tabela3[Total Ações]</f>
        <v>0.7941956987882326</v>
      </c>
      <c r="AH320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0.19854892469705815</v>
      </c>
      <c r="AI320" s="15" t="str">
        <f>IF(AND(Tabela3[% A.A.]&gt;=7%,SUMPRODUCT(N(Tabela3[Nome]=Tabela3[[#This Row],[Nome]]),Tabela3[PL])&gt;0),"Sim","Não")</f>
        <v>Não</v>
      </c>
      <c r="AJ320" s="42">
        <f>IF(Tabela3[Cotação]&gt;0,Tabela3[[#This Row],[Lucro]]/Tabela3[[#This Row],[Cotação]],0)</f>
        <v>1.3865148372699591E-2</v>
      </c>
      <c r="AK320" s="19">
        <f>((1+Tabela3[[#This Row],[% Yield]])^(1/(3*Tabela3[[#This Row],[Ref]])))^(12)-1</f>
        <v>1.8529454143579649E-2</v>
      </c>
      <c r="AL320" s="14">
        <f>IF(Tabela3[Cotação]&gt;0,($AS$1/Tabela3[[#This Row],[Cotação]]-MOD($AS$1/Tabela3[[#This Row],[Cotação]],100)),)</f>
        <v>0</v>
      </c>
      <c r="AM320" s="17">
        <f>Tabela3[[#This Row],[Ativos]]*Tabela3[Lucro]</f>
        <v>0</v>
      </c>
      <c r="AN320" s="13">
        <f>SUMPRODUCT(N(Tabela1[Código]=Tabela3[[#This Row],[PAPEL]]),Tabela1[Fechamento])</f>
        <v>0</v>
      </c>
      <c r="AO320" s="55">
        <f>SUMPRODUCT(N(Tabela17[Código]=Tabela3[[#This Row],[PAPEL]]),Tabela17[Fechamento])</f>
        <v>14.32</v>
      </c>
      <c r="AP320" s="7">
        <f>SUMPRODUCT(N(Tabela176[Código]=Tabela3[[#This Row],[PAPEL]]),Tabela176[Fechamento])</f>
        <v>0</v>
      </c>
      <c r="AQ320" s="7">
        <f>SUMPRODUCT(N(Tabela1768[Código]=Tabela3[[#This Row],[PAPEL]]),Tabela1768[Fechamento])</f>
        <v>0</v>
      </c>
    </row>
    <row r="321" spans="1:43" hidden="1" x14ac:dyDescent="0.2">
      <c r="A321" s="3" t="s">
        <v>303</v>
      </c>
      <c r="B321" s="58" t="s">
        <v>310</v>
      </c>
      <c r="C321" s="85" t="str">
        <f>LEFT(Tabela3[PAPEL],LEN(Tabela3[PAPEL])-(LEN(Tabela3[PAPEL])-4))</f>
        <v>UGPA</v>
      </c>
      <c r="D321" s="16">
        <v>3</v>
      </c>
      <c r="E321" s="5">
        <v>3696772957.3200002</v>
      </c>
      <c r="F321" s="21">
        <v>544383996</v>
      </c>
      <c r="G321" s="83">
        <v>0.5</v>
      </c>
      <c r="H321" s="16"/>
      <c r="I321" s="18"/>
      <c r="K321" s="89"/>
      <c r="L321" s="89"/>
      <c r="M321" s="5">
        <v>6332530000</v>
      </c>
      <c r="N321" s="5">
        <v>852330000</v>
      </c>
      <c r="O321" s="5">
        <f>Tabela3[[#This Row],[Capital Social]]*20%</f>
        <v>739354591.46400011</v>
      </c>
      <c r="P321" s="5">
        <f>IF((Tabela3[Lucro Líquido]*5%)&gt;Tabela3[Teto R. Legal],Tabela3[Teto R. Legal],Tabela3[Lucro Líquido]*5%)</f>
        <v>42616500</v>
      </c>
      <c r="Q321" s="5">
        <f>IF(Tabela3[Lucro Líquido]&lt;0,0,Tabela3[Lucro Líquido]-Tabela3[Reserva Legal])</f>
        <v>809713500</v>
      </c>
      <c r="R321" s="5">
        <f>Tabela3[[#This Row],[Lucro Distribuir]]*Tabela3[%Div]</f>
        <v>404856750</v>
      </c>
      <c r="S321" s="21">
        <f>SUMPRODUCT(N(Tabela3[Nome]=Tabela3[[#This Row],[Nome]]),Tabela3[Ações])</f>
        <v>544383996</v>
      </c>
      <c r="T321" s="5">
        <f>Tabela3[Capital Social]/Tabela3[Total Ações]</f>
        <v>6.7907451072826914</v>
      </c>
      <c r="U321" s="79">
        <f>Tabela3[[#This Row],[Lucro Líquido]]/Tabela3[[#This Row],[Total Ações]]</f>
        <v>1.5656779153368057</v>
      </c>
      <c r="V32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0.74369700978498277</v>
      </c>
      <c r="W32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0.74369700978498277</v>
      </c>
      <c r="Z321" s="5">
        <f>Tabela3[Div Base]*Tabela3[Ações]</f>
        <v>404856750</v>
      </c>
      <c r="AA321" s="5">
        <f>SUMPRODUCT(N(Tabela3[Nome]=Tabela3[[#This Row],[Nome]]),Tabela3[Div Base]*Tabela3[Ações])</f>
        <v>404856750</v>
      </c>
      <c r="AB321" s="5">
        <f>Tabela3[Patrimônio Líquido]/Tabela3[Total Ações]</f>
        <v>11.632469077948427</v>
      </c>
      <c r="AC321" s="52">
        <f>MAX(Tabela3[[#This Row],[Cotação 1]:[Cotação 4]])</f>
        <v>51.33</v>
      </c>
      <c r="AD321" s="53">
        <f>Tabela3[Cotação]/Tabela3[VPA]</f>
        <v>4.4126487382894357</v>
      </c>
      <c r="AE321" s="37">
        <f>IF(Tabela3[[#This Row],[Lucro/Ação]]&gt;0,Tabela3[[#This Row],[Cotação]]/(Tabela3[[#This Row],[Lucro/Ação]]/Tabela3[Ref]*4),0)</f>
        <v>24.588390513075922</v>
      </c>
      <c r="AF321" s="37" t="e">
        <f>IF(Tabela3[Div. Mínimo]=0,0,Tabela3[Lucro Distribuir]*#REF!/Tabela3[Total Ações])</f>
        <v>#REF!</v>
      </c>
      <c r="AG321" s="79">
        <f>Tabela3[Lucro Distribuir]/Tabela3[Total Ações]</f>
        <v>1.4873940195699655</v>
      </c>
      <c r="AH32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0.74369700978498277</v>
      </c>
      <c r="AI321" s="16" t="str">
        <f>IF(AND(Tabela3[% A.A.]&gt;=7%,SUMPRODUCT(N(Tabela3[Nome]=Tabela3[[#This Row],[Nome]]),Tabela3[PL])&gt;0),"Sim","Não")</f>
        <v>Não</v>
      </c>
      <c r="AJ321" s="22">
        <f>IF(Tabela3[Cotação]&gt;0,Tabela3[[#This Row],[Lucro]]/Tabela3[[#This Row],[Cotação]],0)</f>
        <v>1.4488544901324426E-2</v>
      </c>
      <c r="AK321" s="18">
        <f>((1+Tabela3[[#This Row],[% Yield]])^(1/(3*Tabela3[[#This Row],[Ref]])))^(12)-1</f>
        <v>1.936455900496159E-2</v>
      </c>
      <c r="AL321" s="10">
        <f>IF(Tabela3[Cotação]&gt;0,($AS$1/Tabela3[[#This Row],[Cotação]]-MOD($AS$1/Tabela3[[#This Row],[Cotação]],100)),)</f>
        <v>0</v>
      </c>
      <c r="AM321" s="7">
        <f>Tabela3[[#This Row],[Ativos]]*Tabela3[Lucro]</f>
        <v>0</v>
      </c>
      <c r="AN321" s="47">
        <f>SUMPRODUCT(N(Tabela1[Código]=Tabela3[[#This Row],[PAPEL]]),Tabela1[Fechamento])</f>
        <v>0</v>
      </c>
      <c r="AO321" s="54">
        <f>SUMPRODUCT(N(Tabela17[Código]=Tabela3[[#This Row],[PAPEL]]),Tabela17[Fechamento])</f>
        <v>51.33</v>
      </c>
      <c r="AP321" s="7">
        <f>SUMPRODUCT(N(Tabela176[Código]=Tabela3[[#This Row],[PAPEL]]),Tabela176[Fechamento])</f>
        <v>0</v>
      </c>
      <c r="AQ321" s="7">
        <f>SUMPRODUCT(N(Tabela1768[Código]=Tabela3[[#This Row],[PAPEL]]),Tabela1768[Fechamento])</f>
        <v>0</v>
      </c>
    </row>
    <row r="322" spans="1:43" x14ac:dyDescent="0.2">
      <c r="A322" s="4" t="s">
        <v>340</v>
      </c>
      <c r="B322" s="57" t="s">
        <v>339</v>
      </c>
      <c r="C322" s="84" t="str">
        <f>LEFT(Tabela3[PAPEL],LEN(Tabela3[PAPEL])-(LEN(Tabela3[PAPEL])-4))</f>
        <v>PATI</v>
      </c>
      <c r="D322" s="15">
        <v>3</v>
      </c>
      <c r="E322" s="6">
        <v>140000000</v>
      </c>
      <c r="F322" s="8">
        <v>745893</v>
      </c>
      <c r="G322" s="83">
        <v>0.25</v>
      </c>
      <c r="H322" s="9">
        <v>0.06</v>
      </c>
      <c r="I322" s="19">
        <v>0.08</v>
      </c>
      <c r="J322" s="19"/>
      <c r="K322" s="90"/>
      <c r="L322" s="90"/>
      <c r="M322" s="6">
        <v>241884000</v>
      </c>
      <c r="N322" s="6">
        <v>56208000</v>
      </c>
      <c r="O322" s="6">
        <f>Tabela3[[#This Row],[Capital Social]]*20%</f>
        <v>28000000</v>
      </c>
      <c r="P322" s="6">
        <f>IF((Tabela3[Lucro Líquido]*5%)&gt;Tabela3[Teto R. Legal],Tabela3[Teto R. Legal],Tabela3[Lucro Líquido]*5%)</f>
        <v>2810400</v>
      </c>
      <c r="Q322" s="6">
        <f>IF(Tabela3[Lucro Líquido]&lt;0,0,Tabela3[Lucro Líquido]-Tabela3[Reserva Legal])</f>
        <v>53397600</v>
      </c>
      <c r="R322" s="6">
        <f>Tabela3[[#This Row],[Lucro Distribuir]]*Tabela3[%Div]</f>
        <v>13349400</v>
      </c>
      <c r="S322" s="21">
        <f>SUMPRODUCT(N(Tabela3[Nome]=Tabela3[[#This Row],[Nome]]),Tabela3[Ações])</f>
        <v>12587262</v>
      </c>
      <c r="T322" s="5">
        <f>Tabela3[Capital Social]/Tabela3[Total Ações]</f>
        <v>11.12235528266592</v>
      </c>
      <c r="U322" s="80">
        <f>Tabela3[[#This Row],[Lucro Líquido]]/Tabela3[[#This Row],[Total Ações]]</f>
        <v>4.4654667552006151</v>
      </c>
      <c r="V322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1.0605483543601459</v>
      </c>
      <c r="W322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1.1529941936538701</v>
      </c>
      <c r="X322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0.88978842261327362</v>
      </c>
      <c r="Y322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1.1529941936538701</v>
      </c>
      <c r="Z322" s="6">
        <f>Tabela3[Div Base]*Tabela3[Ações]</f>
        <v>860010.29808706616</v>
      </c>
      <c r="AA322" s="6">
        <f>SUMPRODUCT(N(Tabela3[Nome]=Tabela3[[#This Row],[Nome]]),Tabela3[Div Base]*Tabela3[Ações])</f>
        <v>13349400.000000002</v>
      </c>
      <c r="AB322" s="6">
        <f>Tabela3[Patrimônio Líquido]/Tabela3[Total Ações]</f>
        <v>19.216569894231167</v>
      </c>
      <c r="AC322" s="48">
        <f>MAX(Tabela3[[#This Row],[Cotação 1]:[Cotação 4]])</f>
        <v>20.5</v>
      </c>
      <c r="AD322" s="44">
        <f>Tabela3[Cotação]/Tabela3[VPA]</f>
        <v>1.0667876792181377</v>
      </c>
      <c r="AE322" s="40">
        <f>IF(Tabela3[[#This Row],[Lucro/Ação]]&gt;0,Tabela3[[#This Row],[Cotação]]/(Tabela3[[#This Row],[Lucro/Ação]]/Tabela3[Ref]*4),0)</f>
        <v>3.4430891198761739</v>
      </c>
      <c r="AF322" s="77" t="e">
        <f>IF(Tabela3[Div. Mínimo]=0,0,Tabela3[Lucro Distribuir]*#REF!/Tabela3[Total Ações])</f>
        <v>#REF!</v>
      </c>
      <c r="AG322" s="80">
        <f>Tabela3[Lucro Distribuir]/Tabela3[Total Ações]</f>
        <v>4.2421934174405838</v>
      </c>
      <c r="AH322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1.1529941936538701</v>
      </c>
      <c r="AI322" s="15" t="str">
        <f>IF(AND(Tabela3[% A.A.]&gt;=7%,SUMPRODUCT(N(Tabela3[Nome]=Tabela3[[#This Row],[Nome]]),Tabela3[PL])&gt;0),"Sim","Não")</f>
        <v>Sim</v>
      </c>
      <c r="AJ322" s="42">
        <f>IF(Tabela3[Cotação]&gt;0,Tabela3[[#This Row],[Lucro]]/Tabela3[[#This Row],[Cotação]],0)</f>
        <v>5.6243619202627812E-2</v>
      </c>
      <c r="AK322" s="19">
        <f>((1+Tabela3[[#This Row],[% Yield]])^(1/(3*Tabela3[[#This Row],[Ref]])))^(12)-1</f>
        <v>7.568587161597029E-2</v>
      </c>
      <c r="AL322" s="14">
        <f>IF(Tabela3[Cotação]&gt;0,($AS$1/Tabela3[[#This Row],[Cotação]]-MOD($AS$1/Tabela3[[#This Row],[Cotação]],100)),)</f>
        <v>0</v>
      </c>
      <c r="AM322" s="17">
        <f>Tabela3[[#This Row],[Ativos]]*Tabela3[Lucro]</f>
        <v>0</v>
      </c>
      <c r="AN322" s="13">
        <f>SUMPRODUCT(N(Tabela1[Código]=Tabela3[[#This Row],[PAPEL]]),Tabela1[Fechamento])</f>
        <v>0</v>
      </c>
      <c r="AO322" s="55">
        <f>SUMPRODUCT(N(Tabela17[Código]=Tabela3[[#This Row],[PAPEL]]),Tabela17[Fechamento])</f>
        <v>20.5</v>
      </c>
      <c r="AP322" s="7">
        <f>SUMPRODUCT(N(Tabela176[Código]=Tabela3[[#This Row],[PAPEL]]),Tabela176[Fechamento])</f>
        <v>0</v>
      </c>
      <c r="AQ322" s="7">
        <f>SUMPRODUCT(N(Tabela1768[Código]=Tabela3[[#This Row],[PAPEL]]),Tabela1768[Fechamento])</f>
        <v>0</v>
      </c>
    </row>
    <row r="323" spans="1:43" x14ac:dyDescent="0.2">
      <c r="A323" s="4" t="s">
        <v>14</v>
      </c>
      <c r="B323" s="57" t="s">
        <v>227</v>
      </c>
      <c r="C323" s="15" t="str">
        <f>LEFT(Tabela3[PAPEL],LEN(Tabela3[PAPEL])-(LEN(Tabela3[PAPEL])-4))</f>
        <v>BRGE</v>
      </c>
      <c r="D323" s="16">
        <v>3</v>
      </c>
      <c r="E323" s="5">
        <v>303375520</v>
      </c>
      <c r="F323" s="56">
        <v>2059517</v>
      </c>
      <c r="G323" s="88">
        <v>0.25</v>
      </c>
      <c r="H323" s="16"/>
      <c r="I323" s="18">
        <v>0.05</v>
      </c>
      <c r="K323" s="89"/>
      <c r="L323" s="89"/>
      <c r="M323" s="5">
        <v>843867000</v>
      </c>
      <c r="N323" s="5">
        <v>34502000</v>
      </c>
      <c r="O323" s="5">
        <f>Tabela3[[#This Row],[Capital Social]]*20%</f>
        <v>60675104</v>
      </c>
      <c r="P323" s="5">
        <f>IF((Tabela3[Lucro Líquido]*5%)&gt;Tabela3[Teto R. Legal],Tabela3[Teto R. Legal],Tabela3[Lucro Líquido]*5%)</f>
        <v>1725100</v>
      </c>
      <c r="Q323" s="5">
        <f>IF(Tabela3[Lucro Líquido]&lt;0,0,Tabela3[Lucro Líquido]-Tabela3[Reserva Legal])</f>
        <v>32776900</v>
      </c>
      <c r="R323" s="5">
        <f>Tabela3[[#This Row],[Lucro Distribuir]]*Tabela3[%Div]</f>
        <v>8194225</v>
      </c>
      <c r="S323" s="21">
        <f>SUMPRODUCT(N(Tabela3[Nome]=Tabela3[[#This Row],[Nome]]),Tabela3[Ações])</f>
        <v>73646388</v>
      </c>
      <c r="T323" s="5">
        <f>Tabela3[Capital Social]/Tabela3[Total Ações]</f>
        <v>4.1193536877871049</v>
      </c>
      <c r="U323" s="79">
        <f>Tabela3[[#This Row],[Lucro Líquido]]/Tabela3[[#This Row],[Total Ações]]</f>
        <v>0.46848190300928266</v>
      </c>
      <c r="V323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W323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0.20596768438935525</v>
      </c>
      <c r="Y323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0.20596768438935525</v>
      </c>
      <c r="Z323" s="5">
        <f>Tabela3[Div Base]*Tabela3[Ações]</f>
        <v>424193.94745051174</v>
      </c>
      <c r="AA323" s="5">
        <f>SUMPRODUCT(N(Tabela3[Nome]=Tabela3[[#This Row],[Nome]]),Tabela3[Div Base]*Tabela3[Ações])</f>
        <v>8194224.9999999991</v>
      </c>
      <c r="AB323" s="5">
        <f>Tabela3[Patrimônio Líquido]/Tabela3[Total Ações]</f>
        <v>11.45836235716</v>
      </c>
      <c r="AC323" s="52">
        <f>MAX(Tabela3[[#This Row],[Cotação 1]:[Cotação 4]])</f>
        <v>3.78</v>
      </c>
      <c r="AD323" s="53">
        <f>Tabela3[Cotação]/Tabela3[VPA]</f>
        <v>0.32989007348314364</v>
      </c>
      <c r="AE323" s="37">
        <f>IF(Tabela3[[#This Row],[Lucro/Ação]]&gt;0,Tabela3[[#This Row],[Cotação]]/(Tabela3[[#This Row],[Lucro/Ação]]/Tabela3[Ref]*4),0)</f>
        <v>6.0514610741406294</v>
      </c>
      <c r="AF323" s="37" t="e">
        <f>IF(Tabela3[Div. Mínimo]=0,0,Tabela3[Lucro Distribuir]*#REF!/Tabela3[Total Ações])</f>
        <v>#REF!</v>
      </c>
      <c r="AG323" s="79">
        <f>Tabela3[Lucro Distribuir]/Tabela3[Total Ações]</f>
        <v>0.44505780785881854</v>
      </c>
      <c r="AH323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0.20596768438935525</v>
      </c>
      <c r="AI323" s="16" t="str">
        <f>IF(AND(Tabela3[% A.A.]&gt;=7%,SUMPRODUCT(N(Tabela3[Nome]=Tabela3[[#This Row],[Nome]]),Tabela3[PL])&gt;0),"Sim","Não")</f>
        <v>Sim</v>
      </c>
      <c r="AJ323" s="22">
        <f>IF(Tabela3[Cotação]&gt;0,Tabela3[[#This Row],[Lucro]]/Tabela3[[#This Row],[Cotação]],0)</f>
        <v>5.4488805394009326E-2</v>
      </c>
      <c r="AK323" s="18">
        <f>((1+Tabela3[[#This Row],[% Yield]])^(1/(3*Tabela3[[#This Row],[Ref]])))^(12)-1</f>
        <v>7.3303712149136002E-2</v>
      </c>
      <c r="AL323" s="10">
        <f>IF(Tabela3[Cotação]&gt;0,($AS$1/Tabela3[[#This Row],[Cotação]]-MOD($AS$1/Tabela3[[#This Row],[Cotação]],100)),)</f>
        <v>200</v>
      </c>
      <c r="AM323" s="7">
        <f>Tabela3[[#This Row],[Ativos]]*Tabela3[Lucro]</f>
        <v>41.193536877871054</v>
      </c>
      <c r="AN323" s="5">
        <f>SUMPRODUCT(N(Tabela1[Código]=Tabela3[[#This Row],[PAPEL]]),Tabela1[Fechamento])</f>
        <v>3.78</v>
      </c>
      <c r="AO323" s="5">
        <f>SUMPRODUCT(N(Tabela17[Código]=Tabela3[[#This Row],[PAPEL]]),Tabela17[Fechamento])</f>
        <v>0</v>
      </c>
      <c r="AP323" s="7">
        <f>SUMPRODUCT(N(Tabela176[Código]=Tabela3[[#This Row],[PAPEL]]),Tabela176[Fechamento])</f>
        <v>0</v>
      </c>
      <c r="AQ323" s="7">
        <f>SUMPRODUCT(N(Tabela1768[Código]=Tabela3[[#This Row],[PAPEL]]),Tabela1768[Fechamento])</f>
        <v>0</v>
      </c>
    </row>
    <row r="324" spans="1:43" x14ac:dyDescent="0.2">
      <c r="A324" s="4" t="s">
        <v>249</v>
      </c>
      <c r="B324" s="57" t="s">
        <v>21</v>
      </c>
      <c r="C324" s="14" t="str">
        <f>LEFT(Tabela3[PAPEL],LEN(Tabela3[PAPEL])-(LEN(Tabela3[PAPEL])-4))</f>
        <v>PETR</v>
      </c>
      <c r="D324" s="15">
        <v>3</v>
      </c>
      <c r="E324" s="6">
        <v>205392136722.39001</v>
      </c>
      <c r="F324" s="8">
        <v>5602042788</v>
      </c>
      <c r="G324" s="83">
        <v>0.25</v>
      </c>
      <c r="H324" s="9">
        <v>0.03</v>
      </c>
      <c r="I324" s="9">
        <v>0.05</v>
      </c>
      <c r="J324" s="19"/>
      <c r="K324" s="90"/>
      <c r="L324" s="90"/>
      <c r="M324" s="6">
        <v>341312244000</v>
      </c>
      <c r="N324" s="6">
        <v>17288839000</v>
      </c>
      <c r="O324" s="6">
        <f>Tabela3[[#This Row],[Capital Social]]*20%</f>
        <v>41078427344.478004</v>
      </c>
      <c r="P324" s="6">
        <f>IF((Tabela3[Lucro Líquido]*5%)&gt;Tabela3[Teto R. Legal],Tabela3[Teto R. Legal],Tabela3[Lucro Líquido]*5%)</f>
        <v>864441950</v>
      </c>
      <c r="Q324" s="6">
        <f>IF(Tabela3[Lucro Líquido]&lt;0,0,Tabela3[Lucro Líquido]-Tabela3[Reserva Legal])</f>
        <v>16424397050</v>
      </c>
      <c r="R324" s="6">
        <f>Tabela3[[#This Row],[Lucro Distribuir]]*Tabela3[%Div]</f>
        <v>4106099262.5</v>
      </c>
      <c r="S324" s="56">
        <f>SUMPRODUCT(N(Tabela3[Nome]=Tabela3[[#This Row],[Nome]]),Tabela3[Ações])</f>
        <v>13044496930</v>
      </c>
      <c r="T324" s="6">
        <f>Tabela3[Capital Social]/Tabela3[Total Ações]</f>
        <v>15.745500790454019</v>
      </c>
      <c r="U324" s="80">
        <f>Tabela3[[#This Row],[Lucro Líquido]]/Tabela3[[#This Row],[Total Ações]]</f>
        <v>1.3253741476406633</v>
      </c>
      <c r="V324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0.31477636006465753</v>
      </c>
      <c r="W324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0.78495685766549528</v>
      </c>
      <c r="X324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0.78727503952270095</v>
      </c>
      <c r="Y324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0.78727503952270095</v>
      </c>
      <c r="Z324" s="6">
        <f>Tabela3[Div Base]*Tabela3[Ações]</f>
        <v>4410348457.3305616</v>
      </c>
      <c r="AA324" s="6">
        <f>SUMPRODUCT(N(Tabela3[Nome]=Tabela3[[#This Row],[Nome]]),Tabela3[Div Base]*Tabela3[Ações])</f>
        <v>4410348457.3305616</v>
      </c>
      <c r="AB324" s="6">
        <f>Tabela3[Patrimônio Líquido]/Tabela3[Total Ações]</f>
        <v>26.165228588849843</v>
      </c>
      <c r="AC324" s="48">
        <f>MAX(Tabela3[[#This Row],[Cotação 1]:[Cotação 4]])</f>
        <v>14.79</v>
      </c>
      <c r="AD324" s="44">
        <f>Tabela3[Cotação]/Tabela3[VPA]</f>
        <v>0.56525399538464838</v>
      </c>
      <c r="AE324" s="40">
        <f>IF(Tabela3[[#This Row],[Lucro/Ação]]&gt;0,Tabela3[[#This Row],[Cotação]]/(Tabela3[[#This Row],[Lucro/Ação]]/Tabela3[Ref]*4),0)</f>
        <v>8.369334817452172</v>
      </c>
      <c r="AF324" s="40" t="e">
        <f>IF(Tabela3[Div. Mínimo]=0,0,Tabela3[Lucro Distribuir]*#REF!/Tabela3[Total Ações])</f>
        <v>#REF!</v>
      </c>
      <c r="AG324" s="80">
        <f>Tabela3[Lucro Distribuir]/Tabela3[Total Ações]</f>
        <v>1.2591054402586301</v>
      </c>
      <c r="AH324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0.78727503952270095</v>
      </c>
      <c r="AI324" s="15" t="str">
        <f>IF(AND(Tabela3[% A.A.]&gt;=7%,SUMPRODUCT(N(Tabela3[Nome]=Tabela3[[#This Row],[Nome]]),Tabela3[PL])&gt;0),"Sim","Não")</f>
        <v>Sim</v>
      </c>
      <c r="AJ324" s="42">
        <f>IF(Tabela3[Cotação]&gt;0,Tabela3[[#This Row],[Lucro]]/Tabela3[[#This Row],[Cotação]],0)</f>
        <v>5.3230225795990599E-2</v>
      </c>
      <c r="AK324" s="19">
        <f>((1+Tabela3[[#This Row],[% Yield]])^(1/(3*Tabela3[[#This Row],[Ref]])))^(12)-1</f>
        <v>7.1596003969183863E-2</v>
      </c>
      <c r="AL324" s="14">
        <f>IF(Tabela3[Cotação]&gt;0,($AS$1/Tabela3[[#This Row],[Cotação]]-MOD($AS$1/Tabela3[[#This Row],[Cotação]],100)),)</f>
        <v>0</v>
      </c>
      <c r="AM324" s="17">
        <f>Tabela3[[#This Row],[Ativos]]*Tabela3[Lucro]</f>
        <v>0</v>
      </c>
      <c r="AN324" s="13">
        <f>SUMPRODUCT(N(Tabela1[Código]=Tabela3[[#This Row],[PAPEL]]),Tabela1[Fechamento])</f>
        <v>0</v>
      </c>
      <c r="AO324" s="13">
        <f>SUMPRODUCT(N(Tabela17[Código]=Tabela3[[#This Row],[PAPEL]]),Tabela17[Fechamento])</f>
        <v>14.79</v>
      </c>
      <c r="AP324" s="7">
        <f>SUMPRODUCT(N(Tabela176[Código]=Tabela3[[#This Row],[PAPEL]]),Tabela176[Fechamento])</f>
        <v>0</v>
      </c>
      <c r="AQ324" s="7">
        <f>SUMPRODUCT(N(Tabela1768[Código]=Tabela3[[#This Row],[PAPEL]]),Tabela1768[Fechamento])</f>
        <v>0</v>
      </c>
    </row>
    <row r="325" spans="1:43" hidden="1" x14ac:dyDescent="0.2">
      <c r="A325" s="4" t="s">
        <v>244</v>
      </c>
      <c r="B325" s="57" t="s">
        <v>620</v>
      </c>
      <c r="C325" s="15" t="str">
        <f>LEFT(Tabela3[PAPEL],LEN(Tabela3[PAPEL])-(LEN(Tabela3[PAPEL])-4))</f>
        <v>USIM</v>
      </c>
      <c r="D325" s="15">
        <v>3</v>
      </c>
      <c r="E325" s="6">
        <v>12150000000</v>
      </c>
      <c r="F325" s="8">
        <v>505786684</v>
      </c>
      <c r="G325" s="88">
        <v>0.25</v>
      </c>
      <c r="H325" s="15"/>
      <c r="I325" s="19"/>
      <c r="J325" s="19"/>
      <c r="K325" s="90"/>
      <c r="L325" s="90"/>
      <c r="M325" s="96">
        <v>16600528000</v>
      </c>
      <c r="N325" s="97">
        <v>-142550000</v>
      </c>
      <c r="O325" s="13">
        <f>Tabela3[[#This Row],[Capital Social]]*20%</f>
        <v>2430000000</v>
      </c>
      <c r="P325" s="13">
        <f>IF((Tabela3[Lucro Líquido]*5%)&gt;Tabela3[Teto R. Legal],Tabela3[Teto R. Legal],Tabela3[Lucro Líquido]*5%)</f>
        <v>-7127500</v>
      </c>
      <c r="Q325" s="13">
        <f>IF(Tabela3[Lucro Líquido]&lt;0,0,Tabela3[Lucro Líquido]-Tabela3[Reserva Legal])</f>
        <v>0</v>
      </c>
      <c r="R325" s="13">
        <f>Tabela3[[#This Row],[Lucro Distribuir]]*Tabela3[%Div]</f>
        <v>0</v>
      </c>
      <c r="S325" s="56">
        <f>SUMPRODUCT(N(Tabela3[Nome]=Tabela3[[#This Row],[Nome]]),Tabela3[Ações])</f>
        <v>1014312190</v>
      </c>
      <c r="T325" s="6">
        <f>Tabela3[Capital Social]/Tabela3[Total Ações]</f>
        <v>11.978560565263443</v>
      </c>
      <c r="U325" s="80">
        <f>Tabela3[[#This Row],[Lucro Líquido]]/Tabela3[[#This Row],[Total Ações]]</f>
        <v>-0.14053858506817316</v>
      </c>
      <c r="V325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25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5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5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25" s="13">
        <f>Tabela3[Div Base]*Tabela3[Ações]</f>
        <v>0</v>
      </c>
      <c r="AA325" s="13">
        <f>SUMPRODUCT(N(Tabela3[Nome]=Tabela3[[#This Row],[Nome]]),Tabela3[Div Base]*Tabela3[Ações])</f>
        <v>0</v>
      </c>
      <c r="AB325" s="95">
        <f>Tabela3[Patrimônio Líquido]/Tabela3[Total Ações]</f>
        <v>16.366290540193546</v>
      </c>
      <c r="AC325" s="48">
        <f>MAX(Tabela3[[#This Row],[Cotação 1]:[Cotação 4]])</f>
        <v>10.65</v>
      </c>
      <c r="AD325" s="44">
        <f>Tabela3[Cotação]/Tabela3[VPA]</f>
        <v>0.65072778549573851</v>
      </c>
      <c r="AE325" s="40">
        <f>IF(Tabela3[[#This Row],[Lucro/Ação]]&gt;0,Tabela3[[#This Row],[Cotação]]/(Tabela3[[#This Row],[Lucro/Ação]]/Tabela3[Ref]*4),0)</f>
        <v>0</v>
      </c>
      <c r="AF325" s="91">
        <f>IF(Tabela3[Div. Mínimo]=0,0,Tabela3[Lucro Distribuir]*#REF!/Tabela3[Total Ações])</f>
        <v>0</v>
      </c>
      <c r="AG325" s="80">
        <f>Tabela3[Lucro Distribuir]/Tabela3[Total Ações]</f>
        <v>0</v>
      </c>
      <c r="AH325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25" s="14" t="str">
        <f>IF(AND(Tabela3[% A.A.]&gt;=7%,SUMPRODUCT(N(Tabela3[Nome]=Tabela3[[#This Row],[Nome]]),Tabela3[PL])&gt;0),"Sim","Não")</f>
        <v>Não</v>
      </c>
      <c r="AJ325" s="42">
        <f>IF(Tabela3[Cotação]&gt;0,Tabela3[[#This Row],[Lucro]]/Tabela3[[#This Row],[Cotação]],0)</f>
        <v>0</v>
      </c>
      <c r="AK325" s="42">
        <f>((1+Tabela3[[#This Row],[% Yield]])^(1/(3*Tabela3[[#This Row],[Ref]])))^(12)-1</f>
        <v>0</v>
      </c>
      <c r="AL325" s="14">
        <f>IF(Tabela3[Cotação]&gt;0,($AS$1/Tabela3[[#This Row],[Cotação]]-MOD($AS$1/Tabela3[[#This Row],[Cotação]],100)),)</f>
        <v>0</v>
      </c>
      <c r="AM325" s="17">
        <f>Tabela3[[#This Row],[Ativos]]*Tabela3[Lucro]</f>
        <v>0</v>
      </c>
      <c r="AN325" s="17">
        <f>SUMPRODUCT(N(Tabela1[Código]=Tabela3[[#This Row],[PAPEL]]),Tabela1[Fechamento])</f>
        <v>0</v>
      </c>
      <c r="AO325" s="17">
        <f>SUMPRODUCT(N(Tabela17[Código]=Tabela3[[#This Row],[PAPEL]]),Tabela17[Fechamento])</f>
        <v>0</v>
      </c>
      <c r="AP325" s="17">
        <f>SUMPRODUCT(N(Tabela176[Código]=Tabela3[[#This Row],[PAPEL]]),Tabela176[Fechamento])</f>
        <v>10.65</v>
      </c>
      <c r="AQ325" s="17">
        <f>SUMPRODUCT(N(Tabela1768[Código]=Tabela3[[#This Row],[PAPEL]]),Tabela1768[Fechamento])</f>
        <v>0</v>
      </c>
    </row>
    <row r="326" spans="1:43" hidden="1" x14ac:dyDescent="0.2">
      <c r="A326" s="4" t="s">
        <v>244</v>
      </c>
      <c r="B326" s="57" t="s">
        <v>621</v>
      </c>
      <c r="C326" s="15" t="str">
        <f>LEFT(Tabela3[PAPEL],LEN(Tabela3[PAPEL])-(LEN(Tabela3[PAPEL])-4))</f>
        <v>USIM</v>
      </c>
      <c r="D326" s="15">
        <v>3</v>
      </c>
      <c r="E326" s="6">
        <v>12150000000</v>
      </c>
      <c r="F326" s="8">
        <v>508438474</v>
      </c>
      <c r="G326" s="88">
        <v>0.25</v>
      </c>
      <c r="H326" s="15"/>
      <c r="I326" s="19"/>
      <c r="J326" s="19">
        <v>0.1</v>
      </c>
      <c r="K326" s="90"/>
      <c r="L326" s="90"/>
      <c r="M326" s="96">
        <v>16600528000</v>
      </c>
      <c r="N326" s="97">
        <v>-142550000</v>
      </c>
      <c r="O326" s="13">
        <f>Tabela3[[#This Row],[Capital Social]]*20%</f>
        <v>2430000000</v>
      </c>
      <c r="P326" s="13">
        <f>IF((Tabela3[Lucro Líquido]*5%)&gt;Tabela3[Teto R. Legal],Tabela3[Teto R. Legal],Tabela3[Lucro Líquido]*5%)</f>
        <v>-7127500</v>
      </c>
      <c r="Q326" s="13">
        <f>IF(Tabela3[Lucro Líquido]&lt;0,0,Tabela3[Lucro Líquido]-Tabela3[Reserva Legal])</f>
        <v>0</v>
      </c>
      <c r="R326" s="13">
        <f>Tabela3[[#This Row],[Lucro Distribuir]]*Tabela3[%Div]</f>
        <v>0</v>
      </c>
      <c r="S326" s="56">
        <f>SUMPRODUCT(N(Tabela3[Nome]=Tabela3[[#This Row],[Nome]]),Tabela3[Ações])</f>
        <v>1014312190</v>
      </c>
      <c r="T326" s="6">
        <f>Tabela3[Capital Social]/Tabela3[Total Ações]</f>
        <v>11.978560565263443</v>
      </c>
      <c r="U326" s="80">
        <f>Tabela3[[#This Row],[Lucro Líquido]]/Tabela3[[#This Row],[Total Ações]]</f>
        <v>-0.14053858506817316</v>
      </c>
      <c r="V326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26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6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6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26" s="13">
        <f>Tabela3[Div Base]*Tabela3[Ações]</f>
        <v>0</v>
      </c>
      <c r="AA326" s="13">
        <f>SUMPRODUCT(N(Tabela3[Nome]=Tabela3[[#This Row],[Nome]]),Tabela3[Div Base]*Tabela3[Ações])</f>
        <v>0</v>
      </c>
      <c r="AB326" s="95">
        <f>Tabela3[Patrimônio Líquido]/Tabela3[Total Ações]</f>
        <v>16.366290540193546</v>
      </c>
      <c r="AC326" s="48">
        <f>MAX(Tabela3[[#This Row],[Cotação 1]:[Cotação 4]])</f>
        <v>11.64</v>
      </c>
      <c r="AD326" s="44">
        <f>Tabela3[Cotação]/Tabela3[VPA]</f>
        <v>0.71121797400661002</v>
      </c>
      <c r="AE326" s="40">
        <f>IF(Tabela3[[#This Row],[Lucro/Ação]]&gt;0,Tabela3[[#This Row],[Cotação]]/(Tabela3[[#This Row],[Lucro/Ação]]/Tabela3[Ref]*4),0)</f>
        <v>0</v>
      </c>
      <c r="AF326" s="91">
        <f>IF(Tabela3[Div. Mínimo]=0,0,Tabela3[Lucro Distribuir]*#REF!/Tabela3[Total Ações])</f>
        <v>0</v>
      </c>
      <c r="AG326" s="80">
        <f>Tabela3[Lucro Distribuir]/Tabela3[Total Ações]</f>
        <v>0</v>
      </c>
      <c r="AH326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26" s="14" t="str">
        <f>IF(AND(Tabela3[% A.A.]&gt;=7%,SUMPRODUCT(N(Tabela3[Nome]=Tabela3[[#This Row],[Nome]]),Tabela3[PL])&gt;0),"Sim","Não")</f>
        <v>Não</v>
      </c>
      <c r="AJ326" s="42">
        <f>IF(Tabela3[Cotação]&gt;0,Tabela3[[#This Row],[Lucro]]/Tabela3[[#This Row],[Cotação]],0)</f>
        <v>0</v>
      </c>
      <c r="AK326" s="42">
        <f>((1+Tabela3[[#This Row],[% Yield]])^(1/(3*Tabela3[[#This Row],[Ref]])))^(12)-1</f>
        <v>0</v>
      </c>
      <c r="AL326" s="14">
        <f>IF(Tabela3[Cotação]&gt;0,($AS$1/Tabela3[[#This Row],[Cotação]]-MOD($AS$1/Tabela3[[#This Row],[Cotação]],100)),)</f>
        <v>0</v>
      </c>
      <c r="AM326" s="17">
        <f>Tabela3[[#This Row],[Ativos]]*Tabela3[Lucro]</f>
        <v>0</v>
      </c>
      <c r="AN326" s="17">
        <f>SUMPRODUCT(N(Tabela1[Código]=Tabela3[[#This Row],[PAPEL]]),Tabela1[Fechamento])</f>
        <v>0</v>
      </c>
      <c r="AO326" s="17">
        <f>SUMPRODUCT(N(Tabela17[Código]=Tabela3[[#This Row],[PAPEL]]),Tabela17[Fechamento])</f>
        <v>0</v>
      </c>
      <c r="AP326" s="17">
        <f>SUMPRODUCT(N(Tabela176[Código]=Tabela3[[#This Row],[PAPEL]]),Tabela176[Fechamento])</f>
        <v>11.64</v>
      </c>
      <c r="AQ326" s="17">
        <f>SUMPRODUCT(N(Tabela1768[Código]=Tabela3[[#This Row],[PAPEL]]),Tabela1768[Fechamento])</f>
        <v>0</v>
      </c>
    </row>
    <row r="327" spans="1:43" hidden="1" x14ac:dyDescent="0.2">
      <c r="A327" s="4" t="s">
        <v>244</v>
      </c>
      <c r="B327" s="57" t="s">
        <v>622</v>
      </c>
      <c r="C327" s="15" t="str">
        <f>LEFT(Tabela3[PAPEL],LEN(Tabela3[PAPEL])-(LEN(Tabela3[PAPEL])-4))</f>
        <v>USIM</v>
      </c>
      <c r="D327" s="15">
        <v>3</v>
      </c>
      <c r="E327" s="6">
        <v>12150000000</v>
      </c>
      <c r="F327" s="8">
        <v>87032</v>
      </c>
      <c r="G327" s="88">
        <v>0.25</v>
      </c>
      <c r="H327" s="15"/>
      <c r="I327" s="19"/>
      <c r="J327" s="19">
        <v>0.1</v>
      </c>
      <c r="K327" s="90"/>
      <c r="L327" s="90"/>
      <c r="M327" s="96">
        <v>16600528000</v>
      </c>
      <c r="N327" s="97">
        <v>-142550000</v>
      </c>
      <c r="O327" s="13">
        <f>Tabela3[[#This Row],[Capital Social]]*20%</f>
        <v>2430000000</v>
      </c>
      <c r="P327" s="13">
        <f>IF((Tabela3[Lucro Líquido]*5%)&gt;Tabela3[Teto R. Legal],Tabela3[Teto R. Legal],Tabela3[Lucro Líquido]*5%)</f>
        <v>-7127500</v>
      </c>
      <c r="Q327" s="13">
        <f>IF(Tabela3[Lucro Líquido]&lt;0,0,Tabela3[Lucro Líquido]-Tabela3[Reserva Legal])</f>
        <v>0</v>
      </c>
      <c r="R327" s="13">
        <f>Tabela3[[#This Row],[Lucro Distribuir]]*Tabela3[%Div]</f>
        <v>0</v>
      </c>
      <c r="S327" s="56">
        <f>SUMPRODUCT(N(Tabela3[Nome]=Tabela3[[#This Row],[Nome]]),Tabela3[Ações])</f>
        <v>1014312190</v>
      </c>
      <c r="T327" s="6">
        <f>Tabela3[Capital Social]/Tabela3[Total Ações]</f>
        <v>11.978560565263443</v>
      </c>
      <c r="U327" s="80">
        <f>Tabela3[[#This Row],[Lucro Líquido]]/Tabela3[[#This Row],[Total Ações]]</f>
        <v>-0.14053858506817316</v>
      </c>
      <c r="V327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27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27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27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27" s="13">
        <f>Tabela3[Div Base]*Tabela3[Ações]</f>
        <v>0</v>
      </c>
      <c r="AA327" s="13">
        <f>SUMPRODUCT(N(Tabela3[Nome]=Tabela3[[#This Row],[Nome]]),Tabela3[Div Base]*Tabela3[Ações])</f>
        <v>0</v>
      </c>
      <c r="AB327" s="95">
        <f>Tabela3[Patrimônio Líquido]/Tabela3[Total Ações]</f>
        <v>16.366290540193546</v>
      </c>
      <c r="AC327" s="48">
        <f>MAX(Tabela3[[#This Row],[Cotação 1]:[Cotação 4]])</f>
        <v>11.13</v>
      </c>
      <c r="AD327" s="44">
        <f>Tabela3[Cotação]/Tabela3[VPA]</f>
        <v>0.68005636174343376</v>
      </c>
      <c r="AE327" s="40">
        <f>IF(Tabela3[[#This Row],[Lucro/Ação]]&gt;0,Tabela3[[#This Row],[Cotação]]/(Tabela3[[#This Row],[Lucro/Ação]]/Tabela3[Ref]*4),0)</f>
        <v>0</v>
      </c>
      <c r="AF327" s="91">
        <f>IF(Tabela3[Div. Mínimo]=0,0,Tabela3[Lucro Distribuir]*#REF!/Tabela3[Total Ações])</f>
        <v>0</v>
      </c>
      <c r="AG327" s="80">
        <f>Tabela3[Lucro Distribuir]/Tabela3[Total Ações]</f>
        <v>0</v>
      </c>
      <c r="AH327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27" s="14" t="str">
        <f>IF(AND(Tabela3[% A.A.]&gt;=7%,SUMPRODUCT(N(Tabela3[Nome]=Tabela3[[#This Row],[Nome]]),Tabela3[PL])&gt;0),"Sim","Não")</f>
        <v>Não</v>
      </c>
      <c r="AJ327" s="42">
        <f>IF(Tabela3[Cotação]&gt;0,Tabela3[[#This Row],[Lucro]]/Tabela3[[#This Row],[Cotação]],0)</f>
        <v>0</v>
      </c>
      <c r="AK327" s="42">
        <f>((1+Tabela3[[#This Row],[% Yield]])^(1/(3*Tabela3[[#This Row],[Ref]])))^(12)-1</f>
        <v>0</v>
      </c>
      <c r="AL327" s="14">
        <f>IF(Tabela3[Cotação]&gt;0,($AS$1/Tabela3[[#This Row],[Cotação]]-MOD($AS$1/Tabela3[[#This Row],[Cotação]],100)),)</f>
        <v>0</v>
      </c>
      <c r="AM327" s="17">
        <f>Tabela3[[#This Row],[Ativos]]*Tabela3[Lucro]</f>
        <v>0</v>
      </c>
      <c r="AN327" s="17">
        <f>SUMPRODUCT(N(Tabela1[Código]=Tabela3[[#This Row],[PAPEL]]),Tabela1[Fechamento])</f>
        <v>0</v>
      </c>
      <c r="AO327" s="17">
        <f>SUMPRODUCT(N(Tabela17[Código]=Tabela3[[#This Row],[PAPEL]]),Tabela17[Fechamento])</f>
        <v>0</v>
      </c>
      <c r="AP327" s="17">
        <f>SUMPRODUCT(N(Tabela176[Código]=Tabela3[[#This Row],[PAPEL]]),Tabela176[Fechamento])</f>
        <v>11.13</v>
      </c>
      <c r="AQ327" s="17">
        <f>SUMPRODUCT(N(Tabela1768[Código]=Tabela3[[#This Row],[PAPEL]]),Tabela1768[Fechamento])</f>
        <v>0</v>
      </c>
    </row>
    <row r="328" spans="1:43" hidden="1" x14ac:dyDescent="0.2">
      <c r="A328" s="4" t="s">
        <v>334</v>
      </c>
      <c r="B328" s="57" t="s">
        <v>687</v>
      </c>
      <c r="C328" s="84" t="str">
        <f>LEFT(Tabela3[PAPEL],LEN(Tabela3[PAPEL])-(LEN(Tabela3[PAPEL])-4))</f>
        <v>VALE</v>
      </c>
      <c r="D328" s="15">
        <v>3</v>
      </c>
      <c r="E328" s="6">
        <v>75000000000</v>
      </c>
      <c r="F328" s="8">
        <v>3256724482</v>
      </c>
      <c r="G328" s="83">
        <v>0.25</v>
      </c>
      <c r="H328" s="9"/>
      <c r="I328" s="19"/>
      <c r="J328" s="19"/>
      <c r="K328" s="90"/>
      <c r="L328" s="90"/>
      <c r="M328" s="6">
        <v>165456334000</v>
      </c>
      <c r="N328" s="5">
        <v>14982201000</v>
      </c>
      <c r="O328" s="28">
        <f>Tabela3[[#This Row],[Capital Social]]*20%</f>
        <v>15000000000</v>
      </c>
      <c r="P328" s="28">
        <f>IF((Tabela3[Lucro Líquido]*5%)&gt;Tabela3[Teto R. Legal],Tabela3[Teto R. Legal],Tabela3[Lucro Líquido]*5%)</f>
        <v>749110050</v>
      </c>
      <c r="Q328" s="28">
        <f>IF(Tabela3[Lucro Líquido]&lt;0,0,Tabela3[Lucro Líquido]-Tabela3[Reserva Legal])</f>
        <v>14233090950</v>
      </c>
      <c r="R328" s="28">
        <f>Tabela3[[#This Row],[Lucro Distribuir]]*Tabela3[%Div]</f>
        <v>3558272737.5</v>
      </c>
      <c r="S328" s="56">
        <f>SUMPRODUCT(N(Tabela3[Nome]=Tabela3[[#This Row],[Nome]]),Tabela3[Ações])</f>
        <v>5365304100</v>
      </c>
      <c r="T328" s="5">
        <f>Tabela3[Capital Social]/Tabela3[Total Ações]</f>
        <v>13.97870439440702</v>
      </c>
      <c r="U328" s="80">
        <f>Tabela3[[#This Row],[Lucro Líquido]]/Tabela3[[#This Row],[Total Ações]]</f>
        <v>2.7924234527545231</v>
      </c>
      <c r="V328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0.6632005700291993</v>
      </c>
      <c r="W328" s="81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0.4936028800166139</v>
      </c>
      <c r="X328" s="81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0.5495583298699136</v>
      </c>
      <c r="Y328" s="81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0.4936028800166139</v>
      </c>
      <c r="Z328" s="28">
        <f>Tabela3[Div Base]*Tabela3[Ações]</f>
        <v>1607528583.735815</v>
      </c>
      <c r="AA328" s="28">
        <f>SUMPRODUCT(N(Tabela3[Nome]=Tabela3[[#This Row],[Nome]]),Tabela3[Div Base]*Tabela3[Ações])</f>
        <v>3558272737.5</v>
      </c>
      <c r="AB328" s="6">
        <f>Tabela3[Patrimônio Líquido]/Tabela3[Total Ações]</f>
        <v>30.838202442243674</v>
      </c>
      <c r="AC328" s="48">
        <f>MAX(Tabela3[[#This Row],[Cotação 1]:[Cotação 4]])</f>
        <v>0</v>
      </c>
      <c r="AD328" s="44">
        <f>Tabela3[Cotação]/Tabela3[VPA]</f>
        <v>0</v>
      </c>
      <c r="AE328" s="40">
        <f>IF(Tabela3[[#This Row],[Lucro/Ação]]&gt;0,Tabela3[[#This Row],[Cotação]]/(Tabela3[[#This Row],[Lucro/Ação]]/Tabela3[Ref]*4),0)</f>
        <v>0</v>
      </c>
      <c r="AF328" s="77" t="e">
        <f>IF(Tabela3[Div. Mínimo]=0,0,Tabela3[Lucro Distribuir]*#REF!/Tabela3[Total Ações])</f>
        <v>#REF!</v>
      </c>
      <c r="AG328" s="80">
        <f>Tabela3[Lucro Distribuir]/Tabela3[Total Ações]</f>
        <v>2.6528022801167972</v>
      </c>
      <c r="AH328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0.4936028800166139</v>
      </c>
      <c r="AI328" s="14" t="str">
        <f>IF(AND(Tabela3[% A.A.]&gt;=7%,SUMPRODUCT(N(Tabela3[Nome]=Tabela3[[#This Row],[Nome]]),Tabela3[PL])&gt;0),"Sim","Não")</f>
        <v>Não</v>
      </c>
      <c r="AJ328" s="42">
        <f>IF(Tabela3[Cotação]&gt;0,Tabela3[[#This Row],[Lucro]]/Tabela3[[#This Row],[Cotação]],0)</f>
        <v>0</v>
      </c>
      <c r="AK328" s="19">
        <f>((1+Tabela3[[#This Row],[% Yield]])^(1/(3*Tabela3[[#This Row],[Ref]])))^(12)-1</f>
        <v>0</v>
      </c>
      <c r="AL328" s="14">
        <f>IF(Tabela3[Cotação]&gt;0,($AS$1/Tabela3[[#This Row],[Cotação]]-MOD($AS$1/Tabela3[[#This Row],[Cotação]],100)),)</f>
        <v>0</v>
      </c>
      <c r="AM328" s="17">
        <f>Tabela3[[#This Row],[Ativos]]*Tabela3[Lucro]</f>
        <v>0</v>
      </c>
      <c r="AN328" s="17">
        <f>SUMPRODUCT(N(Tabela1[Código]=Tabela3[[#This Row],[PAPEL]]),Tabela1[Fechamento])</f>
        <v>0</v>
      </c>
      <c r="AO328" s="17">
        <f>SUMPRODUCT(N(Tabela17[Código]=Tabela3[[#This Row],[PAPEL]]),Tabela17[Fechamento])</f>
        <v>0</v>
      </c>
      <c r="AP328" s="7">
        <f>SUMPRODUCT(N(Tabela176[Código]=Tabela3[[#This Row],[PAPEL]]),Tabela176[Fechamento])</f>
        <v>0</v>
      </c>
      <c r="AQ328" s="7">
        <f>SUMPRODUCT(N(Tabela1768[Código]=Tabela3[[#This Row],[PAPEL]]),Tabela1768[Fechamento])</f>
        <v>0</v>
      </c>
    </row>
    <row r="329" spans="1:43" hidden="1" x14ac:dyDescent="0.2">
      <c r="A329" s="4" t="s">
        <v>334</v>
      </c>
      <c r="B329" s="57" t="s">
        <v>335</v>
      </c>
      <c r="C329" s="84" t="str">
        <f>LEFT(Tabela3[PAPEL],LEN(Tabela3[PAPEL])-(LEN(Tabela3[PAPEL])-4))</f>
        <v>VALE</v>
      </c>
      <c r="D329" s="15">
        <v>3</v>
      </c>
      <c r="E329" s="6">
        <v>75000000000</v>
      </c>
      <c r="F329" s="8">
        <v>2108579618</v>
      </c>
      <c r="G329" s="83">
        <v>0.25</v>
      </c>
      <c r="H329" s="9">
        <v>0.03</v>
      </c>
      <c r="I329" s="19">
        <v>0.06</v>
      </c>
      <c r="J329" s="19"/>
      <c r="K329" s="90"/>
      <c r="L329" s="90"/>
      <c r="M329" s="6">
        <v>165456334000</v>
      </c>
      <c r="N329" s="5">
        <v>14982201000</v>
      </c>
      <c r="O329" s="6">
        <f>Tabela3[[#This Row],[Capital Social]]*20%</f>
        <v>15000000000</v>
      </c>
      <c r="P329" s="6">
        <f>IF((Tabela3[Lucro Líquido]*5%)&gt;Tabela3[Teto R. Legal],Tabela3[Teto R. Legal],Tabela3[Lucro Líquido]*5%)</f>
        <v>749110050</v>
      </c>
      <c r="Q329" s="6">
        <f>IF(Tabela3[Lucro Líquido]&lt;0,0,Tabela3[Lucro Líquido]-Tabela3[Reserva Legal])</f>
        <v>14233090950</v>
      </c>
      <c r="R329" s="6">
        <f>Tabela3[[#This Row],[Lucro Distribuir]]*Tabela3[%Div]</f>
        <v>3558272737.5</v>
      </c>
      <c r="S329" s="56">
        <f>SUMPRODUCT(N(Tabela3[Nome]=Tabela3[[#This Row],[Nome]]),Tabela3[Ações])</f>
        <v>5365304100</v>
      </c>
      <c r="T329" s="6">
        <f>Tabela3[Capital Social]/Tabela3[Total Ações]</f>
        <v>13.97870439440702</v>
      </c>
      <c r="U329" s="80">
        <f>Tabela3[[#This Row],[Lucro Líquido]]/Tabela3[[#This Row],[Total Ações]]</f>
        <v>2.7924234527545231</v>
      </c>
      <c r="V329" s="80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0.6632005700291993</v>
      </c>
      <c r="W329" s="80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0.92514607326731024</v>
      </c>
      <c r="X329" s="80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0.83872226366442115</v>
      </c>
      <c r="Y329" s="80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0.92514607326731024</v>
      </c>
      <c r="Z329" s="6">
        <f>Tabela3[Div Base]*Tabela3[Ações]</f>
        <v>1950744153.764185</v>
      </c>
      <c r="AA329" s="6">
        <f>SUMPRODUCT(N(Tabela3[Nome]=Tabela3[[#This Row],[Nome]]),Tabela3[Div Base]*Tabela3[Ações])</f>
        <v>3558272737.5</v>
      </c>
      <c r="AB329" s="6">
        <f>Tabela3[Patrimônio Líquido]/Tabela3[Total Ações]</f>
        <v>30.838202442243674</v>
      </c>
      <c r="AC329" s="48">
        <f>MAX(Tabela3[[#This Row],[Cotação 1]:[Cotação 4]])</f>
        <v>30.51</v>
      </c>
      <c r="AD329" s="44">
        <f>Tabela3[Cotação]/Tabela3[VPA]</f>
        <v>0.98935727713512622</v>
      </c>
      <c r="AE329" s="40">
        <f>IF(Tabela3[[#This Row],[Lucro/Ação]]&gt;0,Tabela3[[#This Row],[Cotação]]/(Tabela3[[#This Row],[Lucro/Ação]]/Tabela3[Ref]*4),0)</f>
        <v>8.1944949923078738</v>
      </c>
      <c r="AF329" s="40" t="e">
        <f>IF(Tabela3[Div. Mínimo]=0,0,Tabela3[Lucro Distribuir]*#REF!/Tabela3[Total Ações])</f>
        <v>#REF!</v>
      </c>
      <c r="AG329" s="80">
        <f>Tabela3[Lucro Distribuir]/Tabela3[Total Ações]</f>
        <v>2.6528022801167972</v>
      </c>
      <c r="AH329" s="80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0.92514607326731024</v>
      </c>
      <c r="AI329" s="15" t="str">
        <f>IF(AND(Tabela3[% A.A.]&gt;=7%,SUMPRODUCT(N(Tabela3[Nome]=Tabela3[[#This Row],[Nome]]),Tabela3[PL])&gt;0),"Sim","Não")</f>
        <v>Não</v>
      </c>
      <c r="AJ329" s="42">
        <f>IF(Tabela3[Cotação]&gt;0,Tabela3[[#This Row],[Lucro]]/Tabela3[[#This Row],[Cotação]],0)</f>
        <v>3.0322716265726326E-2</v>
      </c>
      <c r="AK329" s="19">
        <f>((1+Tabela3[[#This Row],[% Yield]])^(1/(3*Tabela3[[#This Row],[Ref]])))^(12)-1</f>
        <v>4.0633254673913433E-2</v>
      </c>
      <c r="AL329" s="14">
        <f>IF(Tabela3[Cotação]&gt;0,($AS$1/Tabela3[[#This Row],[Cotação]]-MOD($AS$1/Tabela3[[#This Row],[Cotação]],100)),)</f>
        <v>0</v>
      </c>
      <c r="AM329" s="17">
        <f>Tabela3[[#This Row],[Ativos]]*Tabela3[Lucro]</f>
        <v>0</v>
      </c>
      <c r="AN329" s="13">
        <f>SUMPRODUCT(N(Tabela1[Código]=Tabela3[[#This Row],[PAPEL]]),Tabela1[Fechamento])</f>
        <v>0</v>
      </c>
      <c r="AO329" s="55">
        <f>SUMPRODUCT(N(Tabela17[Código]=Tabela3[[#This Row],[PAPEL]]),Tabela17[Fechamento])</f>
        <v>30.51</v>
      </c>
      <c r="AP329" s="7">
        <f>SUMPRODUCT(N(Tabela176[Código]=Tabela3[[#This Row],[PAPEL]]),Tabela176[Fechamento])</f>
        <v>0</v>
      </c>
      <c r="AQ329" s="7">
        <f>SUMPRODUCT(N(Tabela1768[Código]=Tabela3[[#This Row],[PAPEL]]),Tabela1768[Fechamento])</f>
        <v>0</v>
      </c>
    </row>
    <row r="330" spans="1:43" hidden="1" x14ac:dyDescent="0.2">
      <c r="A330" s="3" t="s">
        <v>290</v>
      </c>
      <c r="B330" s="58" t="s">
        <v>288</v>
      </c>
      <c r="C330" s="16" t="str">
        <f>LEFT(Tabela3[PAPEL],LEN(Tabela3[PAPEL])-(LEN(Tabela3[PAPEL])-4))</f>
        <v>VIGR</v>
      </c>
      <c r="D330" s="16">
        <v>3</v>
      </c>
      <c r="E330" s="5">
        <v>1191378411.71</v>
      </c>
      <c r="F330" s="56">
        <v>149714346</v>
      </c>
      <c r="G330" s="83">
        <v>0.25</v>
      </c>
      <c r="H330" s="89"/>
      <c r="I330" s="18"/>
      <c r="K330" s="16"/>
      <c r="L330" s="89"/>
      <c r="M330" s="94">
        <v>1326579000</v>
      </c>
      <c r="N330" s="73">
        <v>106731000</v>
      </c>
      <c r="O330" s="7">
        <f>Tabela3[[#This Row],[Capital Social]]*20%</f>
        <v>238275682.34200001</v>
      </c>
      <c r="P330" s="47">
        <f>IF((Tabela3[Lucro Líquido]*5%)&gt;Tabela3[Teto R. Legal],Tabela3[Teto R. Legal],Tabela3[Lucro Líquido]*5%)</f>
        <v>5336550</v>
      </c>
      <c r="Q330" s="47">
        <f>IF(Tabela3[Lucro Líquido]&lt;0,0,Tabela3[Lucro Líquido]-Tabela3[Reserva Legal])</f>
        <v>101394450</v>
      </c>
      <c r="R330" s="47">
        <f>Tabela3[[#This Row],[Lucro Distribuir]]*Tabela3[%Div]</f>
        <v>25348612.5</v>
      </c>
      <c r="S330" s="56">
        <f>SUMPRODUCT(N(Tabela3[Nome]=Tabela3[[#This Row],[Nome]]),Tabela3[Ações])</f>
        <v>149714346</v>
      </c>
      <c r="T330" s="87">
        <f>Tabela3[Capital Social]/Tabela3[Total Ações]</f>
        <v>7.9576770265556247</v>
      </c>
      <c r="U330" s="87">
        <f>Tabela3[[#This Row],[Lucro Líquido]]/Tabela3[[#This Row],[Total Ações]]</f>
        <v>0.71289761369962501</v>
      </c>
      <c r="V330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0.16931318325366093</v>
      </c>
      <c r="W330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0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0.16931318325366093</v>
      </c>
      <c r="Z330" s="7">
        <f>Tabela3[Div Base]*Tabela3[Ações]</f>
        <v>25348612.5</v>
      </c>
      <c r="AA330" s="7">
        <f>SUMPRODUCT(N(Tabela3[Nome]=Tabela3[[#This Row],[Nome]]),Tabela3[Div Base]*Tabela3[Ações])</f>
        <v>25348612.5</v>
      </c>
      <c r="AB330" s="74">
        <f>Tabela3[Patrimônio Líquido]/Tabela3[Total Ações]</f>
        <v>8.8607340274525193</v>
      </c>
      <c r="AC330" s="52">
        <f>MAX(Tabela3[[#This Row],[Cotação 1]:[Cotação 4]])</f>
        <v>7.29</v>
      </c>
      <c r="AD330" s="53">
        <f>Tabela3[Cotação]/Tabela3[VPA]</f>
        <v>0.8227309359940117</v>
      </c>
      <c r="AE330" s="37">
        <f>IF(Tabela3[[#This Row],[Lucro/Ação]]&gt;0,Tabela3[[#This Row],[Cotação]]/(Tabela3[[#This Row],[Lucro/Ação]]/Tabela3[Ref]*4),0)</f>
        <v>7.6694042663799644</v>
      </c>
      <c r="AF330" s="59" t="e">
        <f>IF(Tabela3[Div. Mínimo]=0,0,Tabela3[Lucro Distribuir]*#REF!/Tabela3[Total Ações])</f>
        <v>#REF!</v>
      </c>
      <c r="AG330" s="87">
        <f>Tabela3[Lucro Distribuir]/Tabela3[Total Ações]</f>
        <v>0.67725273301464373</v>
      </c>
      <c r="AH330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0.16931318325366093</v>
      </c>
      <c r="AI330" s="10" t="str">
        <f>IF(AND(Tabela3[% A.A.]&gt;=7%,SUMPRODUCT(N(Tabela3[Nome]=Tabela3[[#This Row],[Nome]]),Tabela3[PL])&gt;0),"Sim","Não")</f>
        <v>Não</v>
      </c>
      <c r="AJ330" s="22">
        <f>IF(Tabela3[Cotação]&gt;0,Tabela3[[#This Row],[Lucro]]/Tabela3[[#This Row],[Cotação]],0)</f>
        <v>2.3225402366757329E-2</v>
      </c>
      <c r="AK330" s="22">
        <f>((1+Tabela3[[#This Row],[% Yield]])^(1/(3*Tabela3[[#This Row],[Ref]])))^(12)-1</f>
        <v>3.1086461350508854E-2</v>
      </c>
      <c r="AL330" s="10">
        <f>IF(Tabela3[Cotação]&gt;0,($AS$1/Tabela3[[#This Row],[Cotação]]-MOD($AS$1/Tabela3[[#This Row],[Cotação]],100)),)</f>
        <v>100</v>
      </c>
      <c r="AM330" s="7">
        <f>Tabela3[[#This Row],[Ativos]]*Tabela3[Lucro]</f>
        <v>16.931318325366092</v>
      </c>
      <c r="AN330" s="7">
        <f>SUMPRODUCT(N(Tabela1[Código]=Tabela3[[#This Row],[PAPEL]]),Tabela1[Fechamento])</f>
        <v>0</v>
      </c>
      <c r="AO330" s="7">
        <f>SUMPRODUCT(N(Tabela17[Código]=Tabela3[[#This Row],[PAPEL]]),Tabela17[Fechamento])</f>
        <v>7.29</v>
      </c>
      <c r="AP330" s="7">
        <f>SUMPRODUCT(N(Tabela176[Código]=Tabela3[[#This Row],[PAPEL]]),Tabela176[Fechamento])</f>
        <v>7.29</v>
      </c>
      <c r="AQ330" s="7">
        <f>SUMPRODUCT(N(Tabela1768[Código]=Tabela3[[#This Row],[PAPEL]]),Tabela1768[Fechamento])</f>
        <v>0</v>
      </c>
    </row>
    <row r="331" spans="1:43" hidden="1" x14ac:dyDescent="0.2">
      <c r="A331" s="3" t="s">
        <v>298</v>
      </c>
      <c r="B331" s="58" t="s">
        <v>299</v>
      </c>
      <c r="C331" s="85" t="str">
        <f>LEFT(Tabela3[PAPEL],LEN(Tabela3[PAPEL])-(LEN(Tabela3[PAPEL])-4))</f>
        <v>VIVT</v>
      </c>
      <c r="D331" s="16">
        <v>3</v>
      </c>
      <c r="E331" s="5">
        <v>37798109745.029999</v>
      </c>
      <c r="F331" s="56">
        <v>381587111</v>
      </c>
      <c r="G331" s="83">
        <v>0.25</v>
      </c>
      <c r="H331" s="18"/>
      <c r="I331" s="18"/>
      <c r="K331" s="89"/>
      <c r="L331" s="89"/>
      <c r="M331" s="5">
        <v>43631075000</v>
      </c>
      <c r="N331" s="5">
        <v>2484629000</v>
      </c>
      <c r="O331" s="5">
        <f>Tabela3[[#This Row],[Capital Social]]*20%</f>
        <v>7559621949.0060005</v>
      </c>
      <c r="P331" s="5">
        <f>IF((Tabela3[Lucro Líquido]*5%)&gt;Tabela3[Teto R. Legal],Tabela3[Teto R. Legal],Tabela3[Lucro Líquido]*5%)</f>
        <v>124231450</v>
      </c>
      <c r="Q331" s="5">
        <f>IF(Tabela3[Lucro Líquido]&lt;0,0,Tabela3[Lucro Líquido]-Tabela3[Reserva Legal])</f>
        <v>2360397550</v>
      </c>
      <c r="R331" s="5">
        <f>Tabela3[[#This Row],[Lucro Distribuir]]*Tabela3[%Div]</f>
        <v>590099387.5</v>
      </c>
      <c r="S331" s="56">
        <f>SUMPRODUCT(N(Tabela3[Nome]=Tabela3[[#This Row],[Nome]]),Tabela3[Ações])</f>
        <v>1125601930</v>
      </c>
      <c r="T331" s="5">
        <f>Tabela3[Capital Social]/Tabela3[Total Ações]</f>
        <v>33.580352642989872</v>
      </c>
      <c r="U331" s="79">
        <f>Tabela3[[#This Row],[Lucro Líquido]]/Tabela3[[#This Row],[Total Ações]]</f>
        <v>2.2073780559349254</v>
      </c>
      <c r="V33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0.50794080607426118</v>
      </c>
      <c r="W33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0.50794080607426118</v>
      </c>
      <c r="Z331" s="5">
        <f>Tabela3[Div Base]*Tabela3[Ações]</f>
        <v>193823664.74888858</v>
      </c>
      <c r="AA331" s="5">
        <f>SUMPRODUCT(N(Tabela3[Nome]=Tabela3[[#This Row],[Nome]]),Tabela3[Div Base]*Tabela3[Ações])</f>
        <v>609530700.90182471</v>
      </c>
      <c r="AB331" s="5">
        <f>Tabela3[Patrimônio Líquido]/Tabela3[Total Ações]</f>
        <v>38.762437978406808</v>
      </c>
      <c r="AC331" s="52">
        <f>MAX(Tabela3[[#This Row],[Cotação 1]:[Cotação 4]])</f>
        <v>39.28</v>
      </c>
      <c r="AD331" s="53">
        <f>Tabela3[Cotação]/Tabela3[VPA]</f>
        <v>1.0133521534915195</v>
      </c>
      <c r="AE331" s="37">
        <f>IF(Tabela3[[#This Row],[Lucro/Ação]]&gt;0,Tabela3[[#This Row],[Cotação]]/(Tabela3[[#This Row],[Lucro/Ação]]/Tabela3[Ref]*4),0)</f>
        <v>13.346150615564738</v>
      </c>
      <c r="AF331" s="37" t="e">
        <f>IF(Tabela3[Div. Mínimo]=0,0,Tabela3[Lucro Distribuir]*#REF!/Tabela3[Total Ações])</f>
        <v>#REF!</v>
      </c>
      <c r="AG331" s="79">
        <f>Tabela3[Lucro Distribuir]/Tabela3[Total Ações]</f>
        <v>2.0970091531381789</v>
      </c>
      <c r="AH331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0.50794080607426118</v>
      </c>
      <c r="AI331" s="16" t="str">
        <f>IF(AND(Tabela3[% A.A.]&gt;=7%,SUMPRODUCT(N(Tabela3[Nome]=Tabela3[[#This Row],[Nome]]),Tabela3[PL])&gt;0),"Sim","Não")</f>
        <v>Não</v>
      </c>
      <c r="AJ331" s="22">
        <f>IF(Tabela3[Cotação]&gt;0,Tabela3[[#This Row],[Lucro]]/Tabela3[[#This Row],[Cotação]],0)</f>
        <v>1.2931283250363064E-2</v>
      </c>
      <c r="AK331" s="18">
        <f>((1+Tabela3[[#This Row],[% Yield]])^(1/(3*Tabela3[[#This Row],[Ref]])))^(12)-1</f>
        <v>1.7278764364231813E-2</v>
      </c>
      <c r="AL331" s="10">
        <f>IF(Tabela3[Cotação]&gt;0,($AS$1/Tabela3[[#This Row],[Cotação]]-MOD($AS$1/Tabela3[[#This Row],[Cotação]],100)),)</f>
        <v>0</v>
      </c>
      <c r="AM331" s="7">
        <f>Tabela3[[#This Row],[Ativos]]*Tabela3[Lucro]</f>
        <v>0</v>
      </c>
      <c r="AN331" s="47">
        <f>SUMPRODUCT(N(Tabela1[Código]=Tabela3[[#This Row],[PAPEL]]),Tabela1[Fechamento])</f>
        <v>0</v>
      </c>
      <c r="AO331" s="54">
        <f>SUMPRODUCT(N(Tabela17[Código]=Tabela3[[#This Row],[PAPEL]]),Tabela17[Fechamento])</f>
        <v>39.28</v>
      </c>
      <c r="AP331" s="7">
        <f>SUMPRODUCT(N(Tabela176[Código]=Tabela3[[#This Row],[PAPEL]]),Tabela176[Fechamento])</f>
        <v>0</v>
      </c>
      <c r="AQ331" s="7">
        <f>SUMPRODUCT(N(Tabela1768[Código]=Tabela3[[#This Row],[PAPEL]]),Tabela1768[Fechamento])</f>
        <v>0</v>
      </c>
    </row>
    <row r="332" spans="1:43" hidden="1" x14ac:dyDescent="0.2">
      <c r="A332" s="3" t="s">
        <v>298</v>
      </c>
      <c r="B332" s="58" t="s">
        <v>300</v>
      </c>
      <c r="C332" s="85" t="str">
        <f>LEFT(Tabela3[PAPEL],LEN(Tabela3[PAPEL])-(LEN(Tabela3[PAPEL])-4))</f>
        <v>VIVT</v>
      </c>
      <c r="D332" s="16">
        <v>3</v>
      </c>
      <c r="E332" s="5">
        <v>37798109745.029999</v>
      </c>
      <c r="F332" s="56">
        <v>744014819</v>
      </c>
      <c r="G332" s="88">
        <v>0.25</v>
      </c>
      <c r="H332" s="18"/>
      <c r="I332" s="18"/>
      <c r="J332" s="18">
        <v>0.1</v>
      </c>
      <c r="K332" s="89"/>
      <c r="L332" s="89"/>
      <c r="M332" s="5">
        <v>43631075000</v>
      </c>
      <c r="N332" s="5">
        <v>2484629000</v>
      </c>
      <c r="O332" s="5">
        <f>Tabela3[[#This Row],[Capital Social]]*20%</f>
        <v>7559621949.0060005</v>
      </c>
      <c r="P332" s="5">
        <f>IF((Tabela3[Lucro Líquido]*5%)&gt;Tabela3[Teto R. Legal],Tabela3[Teto R. Legal],Tabela3[Lucro Líquido]*5%)</f>
        <v>124231450</v>
      </c>
      <c r="Q332" s="5">
        <f>IF(Tabela3[Lucro Líquido]&lt;0,0,Tabela3[Lucro Líquido]-Tabela3[Reserva Legal])</f>
        <v>2360397550</v>
      </c>
      <c r="R332" s="5">
        <f>Tabela3[[#This Row],[Lucro Distribuir]]*Tabela3[%Div]</f>
        <v>590099387.5</v>
      </c>
      <c r="S332" s="56">
        <f>SUMPRODUCT(N(Tabela3[Nome]=Tabela3[[#This Row],[Nome]]),Tabela3[Ações])</f>
        <v>1125601930</v>
      </c>
      <c r="T332" s="5">
        <f>Tabela3[Capital Social]/Tabela3[Total Ações]</f>
        <v>33.580352642989872</v>
      </c>
      <c r="U332" s="79">
        <f>Tabela3[[#This Row],[Lucro Líquido]]/Tabela3[[#This Row],[Total Ações]]</f>
        <v>2.2073780559349254</v>
      </c>
      <c r="V332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0.55873488744709554</v>
      </c>
      <c r="W332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2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0.55873488744709554</v>
      </c>
      <c r="Z332" s="5">
        <f>Tabela3[Div Base]*Tabela3[Ações]</f>
        <v>415707036.15293616</v>
      </c>
      <c r="AA332" s="5">
        <f>SUMPRODUCT(N(Tabela3[Nome]=Tabela3[[#This Row],[Nome]]),Tabela3[Div Base]*Tabela3[Ações])</f>
        <v>609530700.90182471</v>
      </c>
      <c r="AB332" s="5">
        <f>Tabela3[Patrimônio Líquido]/Tabela3[Total Ações]</f>
        <v>38.762437978406808</v>
      </c>
      <c r="AC332" s="52">
        <f>MAX(Tabela3[[#This Row],[Cotação 1]:[Cotação 4]])</f>
        <v>45.43</v>
      </c>
      <c r="AD332" s="53">
        <f>Tabela3[Cotação]/Tabela3[VPA]</f>
        <v>1.172010904610991</v>
      </c>
      <c r="AE332" s="37">
        <f>IF(Tabela3[[#This Row],[Lucro/Ação]]&gt;0,Tabela3[[#This Row],[Cotação]]/(Tabela3[[#This Row],[Lucro/Ação]]/Tabela3[Ref]*4),0)</f>
        <v>15.435733769478261</v>
      </c>
      <c r="AF332" s="37" t="e">
        <f>IF(Tabela3[Div. Mínimo]=0,0,Tabela3[Lucro Distribuir]*#REF!/Tabela3[Total Ações])</f>
        <v>#REF!</v>
      </c>
      <c r="AG332" s="79">
        <f>Tabela3[Lucro Distribuir]/Tabela3[Total Ações]</f>
        <v>2.0970091531381789</v>
      </c>
      <c r="AH332" s="79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0.55873488744709554</v>
      </c>
      <c r="AI332" s="16" t="str">
        <f>IF(AND(Tabela3[% A.A.]&gt;=7%,SUMPRODUCT(N(Tabela3[Nome]=Tabela3[[#This Row],[Nome]]),Tabela3[PL])&gt;0),"Sim","Não")</f>
        <v>Não</v>
      </c>
      <c r="AJ332" s="22">
        <f>IF(Tabela3[Cotação]&gt;0,Tabela3[[#This Row],[Lucro]]/Tabela3[[#This Row],[Cotação]],0)</f>
        <v>1.2298808880631644E-2</v>
      </c>
      <c r="AK332" s="18">
        <f>((1+Tabela3[[#This Row],[% Yield]])^(1/(3*Tabela3[[#This Row],[Ref]])))^(12)-1</f>
        <v>1.6431933929447418E-2</v>
      </c>
      <c r="AL332" s="10">
        <f>IF(Tabela3[Cotação]&gt;0,($AS$1/Tabela3[[#This Row],[Cotação]]-MOD($AS$1/Tabela3[[#This Row],[Cotação]],100)),)</f>
        <v>0</v>
      </c>
      <c r="AM332" s="7">
        <f>Tabela3[[#This Row],[Ativos]]*Tabela3[Lucro]</f>
        <v>0</v>
      </c>
      <c r="AN332" s="47">
        <f>SUMPRODUCT(N(Tabela1[Código]=Tabela3[[#This Row],[PAPEL]]),Tabela1[Fechamento])</f>
        <v>0</v>
      </c>
      <c r="AO332" s="54">
        <f>SUMPRODUCT(N(Tabela17[Código]=Tabela3[[#This Row],[PAPEL]]),Tabela17[Fechamento])</f>
        <v>45.43</v>
      </c>
      <c r="AP332" s="7">
        <f>SUMPRODUCT(N(Tabela176[Código]=Tabela3[[#This Row],[PAPEL]]),Tabela176[Fechamento])</f>
        <v>0</v>
      </c>
      <c r="AQ332" s="7">
        <f>SUMPRODUCT(N(Tabela1768[Código]=Tabela3[[#This Row],[PAPEL]]),Tabela1768[Fechamento])</f>
        <v>0</v>
      </c>
    </row>
    <row r="333" spans="1:43" hidden="1" x14ac:dyDescent="0.2">
      <c r="A333" s="3" t="s">
        <v>1006</v>
      </c>
      <c r="B333" s="58" t="s">
        <v>1005</v>
      </c>
      <c r="C333" s="16" t="str">
        <f>LEFT(Tabela3[PAPEL],LEN(Tabela3[PAPEL])-(LEN(Tabela3[PAPEL])-4))</f>
        <v>VAGR</v>
      </c>
      <c r="D333" s="16">
        <v>3</v>
      </c>
      <c r="E333" s="5">
        <v>2578353582.6799998</v>
      </c>
      <c r="F333" s="56">
        <v>387423556</v>
      </c>
      <c r="G333" s="83">
        <v>0.25</v>
      </c>
      <c r="H333" s="89"/>
      <c r="I333" s="18"/>
      <c r="K333" s="16"/>
      <c r="L333" s="89"/>
      <c r="M333" s="94">
        <v>1338545000</v>
      </c>
      <c r="N333" s="73">
        <v>-179052000</v>
      </c>
      <c r="O333" s="7">
        <f>Tabela3[[#This Row],[Capital Social]]*20%</f>
        <v>515670716.53600001</v>
      </c>
      <c r="P333" s="47">
        <f>IF((Tabela3[Lucro Líquido]*5%)&gt;Tabela3[Teto R. Legal],Tabela3[Teto R. Legal],Tabela3[Lucro Líquido]*5%)</f>
        <v>-8952600</v>
      </c>
      <c r="Q333" s="47">
        <f>IF(Tabela3[Lucro Líquido]&lt;0,0,Tabela3[Lucro Líquido]-Tabela3[Reserva Legal])</f>
        <v>0</v>
      </c>
      <c r="R333" s="47">
        <f>Tabela3[[#This Row],[Lucro Distribuir]]*Tabela3[%Div]</f>
        <v>0</v>
      </c>
      <c r="S333" s="56">
        <f>SUMPRODUCT(N(Tabela3[Nome]=Tabela3[[#This Row],[Nome]]),Tabela3[Ações])</f>
        <v>387423556</v>
      </c>
      <c r="T333" s="87">
        <f>Tabela3[Capital Social]/Tabela3[Total Ações]</f>
        <v>6.6551285866572343</v>
      </c>
      <c r="U333" s="87">
        <f>Tabela3[[#This Row],[Lucro Líquido]]/Tabela3[[#This Row],[Total Ações]]</f>
        <v>-0.46216085012652147</v>
      </c>
      <c r="V33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3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33" s="7">
        <f>Tabela3[Div Base]*Tabela3[Ações]</f>
        <v>0</v>
      </c>
      <c r="AA333" s="7">
        <f>SUMPRODUCT(N(Tabela3[Nome]=Tabela3[[#This Row],[Nome]]),Tabela3[Div Base]*Tabela3[Ações])</f>
        <v>0</v>
      </c>
      <c r="AB333" s="74">
        <f>Tabela3[Patrimônio Líquido]/Tabela3[Total Ações]</f>
        <v>3.4549912602629664</v>
      </c>
      <c r="AC333" s="52">
        <f>MAX(Tabela3[[#This Row],[Cotação 1]:[Cotação 4]])</f>
        <v>3.14</v>
      </c>
      <c r="AD333" s="53">
        <f>Tabela3[Cotação]/Tabela3[VPA]</f>
        <v>0.9088300847860924</v>
      </c>
      <c r="AE333" s="37">
        <f>IF(Tabela3[[#This Row],[Lucro/Ação]]&gt;0,Tabela3[[#This Row],[Cotação]]/(Tabela3[[#This Row],[Lucro/Ação]]/Tabela3[Ref]*4),0)</f>
        <v>0</v>
      </c>
      <c r="AF333" s="59">
        <f>IF(Tabela3[Div. Mínimo]=0,0,Tabela3[Lucro Distribuir]*#REF!/Tabela3[Total Ações])</f>
        <v>0</v>
      </c>
      <c r="AG333" s="87">
        <f>Tabela3[Lucro Distribuir]/Tabela3[Total Ações]</f>
        <v>0</v>
      </c>
      <c r="AH33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33" s="10" t="str">
        <f>IF(AND(Tabela3[% A.A.]&gt;=7%,SUMPRODUCT(N(Tabela3[Nome]=Tabela3[[#This Row],[Nome]]),Tabela3[PL])&gt;0),"Sim","Não")</f>
        <v>Não</v>
      </c>
      <c r="AJ333" s="22">
        <f>IF(Tabela3[Cotação]&gt;0,Tabela3[[#This Row],[Lucro]]/Tabela3[[#This Row],[Cotação]],0)</f>
        <v>0</v>
      </c>
      <c r="AK333" s="22">
        <f>((1+Tabela3[[#This Row],[% Yield]])^(1/(3*Tabela3[[#This Row],[Ref]])))^(12)-1</f>
        <v>0</v>
      </c>
      <c r="AL333" s="10">
        <f>IF(Tabela3[Cotação]&gt;0,($AS$1/Tabela3[[#This Row],[Cotação]]-MOD($AS$1/Tabela3[[#This Row],[Cotação]],100)),)</f>
        <v>300</v>
      </c>
      <c r="AM333" s="7">
        <f>Tabela3[[#This Row],[Ativos]]*Tabela3[Lucro]</f>
        <v>0</v>
      </c>
      <c r="AN333" s="7">
        <f>SUMPRODUCT(N(Tabela1[Código]=Tabela3[[#This Row],[PAPEL]]),Tabela1[Fechamento])</f>
        <v>0</v>
      </c>
      <c r="AO333" s="7">
        <f>SUMPRODUCT(N(Tabela17[Código]=Tabela3[[#This Row],[PAPEL]]),Tabela17[Fechamento])</f>
        <v>0</v>
      </c>
      <c r="AP333" s="7">
        <f>SUMPRODUCT(N(Tabela176[Código]=Tabela3[[#This Row],[PAPEL]]),Tabela176[Fechamento])</f>
        <v>0</v>
      </c>
      <c r="AQ333" s="7">
        <f>SUMPRODUCT(N(Tabela1768[Código]=Tabela3[[#This Row],[PAPEL]]),Tabela1768[Fechamento])</f>
        <v>3.14</v>
      </c>
    </row>
    <row r="334" spans="1:43" hidden="1" x14ac:dyDescent="0.2">
      <c r="A334" s="3" t="s">
        <v>1006</v>
      </c>
      <c r="B334" s="58" t="s">
        <v>1008</v>
      </c>
      <c r="C334" s="16" t="str">
        <f>LEFT(Tabela3[PAPEL],LEN(Tabela3[PAPEL])-(LEN(Tabela3[PAPEL])-4))</f>
        <v>RNAR</v>
      </c>
      <c r="D334" s="16">
        <v>3</v>
      </c>
      <c r="E334" s="5">
        <v>126986000</v>
      </c>
      <c r="F334" s="56">
        <v>150000000</v>
      </c>
      <c r="G334" s="83">
        <v>0.3</v>
      </c>
      <c r="H334" s="89"/>
      <c r="I334" s="18"/>
      <c r="K334" s="16"/>
      <c r="L334" s="89"/>
      <c r="M334" s="94">
        <v>34621000</v>
      </c>
      <c r="N334" s="73">
        <v>3617000</v>
      </c>
      <c r="O334" s="7">
        <f>Tabela3[[#This Row],[Capital Social]]*20%</f>
        <v>25397200</v>
      </c>
      <c r="P334" s="47">
        <f>IF((Tabela3[Lucro Líquido]*5%)&gt;Tabela3[Teto R. Legal],Tabela3[Teto R. Legal],Tabela3[Lucro Líquido]*5%)</f>
        <v>180850</v>
      </c>
      <c r="Q334" s="47">
        <f>IF(Tabela3[Lucro Líquido]&lt;0,0,Tabela3[Lucro Líquido]-Tabela3[Reserva Legal])</f>
        <v>3436150</v>
      </c>
      <c r="R334" s="47">
        <f>Tabela3[[#This Row],[Lucro Distribuir]]*Tabela3[%Div]</f>
        <v>1030845</v>
      </c>
      <c r="S334" s="56">
        <f>SUMPRODUCT(N(Tabela3[Nome]=Tabela3[[#This Row],[Nome]]),Tabela3[Ações])</f>
        <v>150000000</v>
      </c>
      <c r="T334" s="87">
        <f>Tabela3[Capital Social]/Tabela3[Total Ações]</f>
        <v>0.84657333333333329</v>
      </c>
      <c r="U334" s="87">
        <f>Tabela3[[#This Row],[Lucro Líquido]]/Tabela3[[#This Row],[Total Ações]]</f>
        <v>2.4113333333333334E-2</v>
      </c>
      <c r="V33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6.8722999999999996E-3</v>
      </c>
      <c r="W33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6.8722999999999996E-3</v>
      </c>
      <c r="Z334" s="7">
        <f>Tabela3[Div Base]*Tabela3[Ações]</f>
        <v>1030844.9999999999</v>
      </c>
      <c r="AA334" s="7">
        <f>SUMPRODUCT(N(Tabela3[Nome]=Tabela3[[#This Row],[Nome]]),Tabela3[Div Base]*Tabela3[Ações])</f>
        <v>1030844.9999999999</v>
      </c>
      <c r="AB334" s="74">
        <f>Tabela3[Patrimônio Líquido]/Tabela3[Total Ações]</f>
        <v>0.23080666666666666</v>
      </c>
      <c r="AC334" s="52">
        <f>MAX(Tabela3[[#This Row],[Cotação 1]:[Cotação 4]])</f>
        <v>0.16</v>
      </c>
      <c r="AD334" s="53">
        <f>Tabela3[Cotação]/Tabela3[VPA]</f>
        <v>0.69322087750209416</v>
      </c>
      <c r="AE334" s="37">
        <f>IF(Tabela3[[#This Row],[Lucro/Ação]]&gt;0,Tabela3[[#This Row],[Cotação]]/(Tabela3[[#This Row],[Lucro/Ação]]/Tabela3[Ref]*4),0)</f>
        <v>4.9764998617638927</v>
      </c>
      <c r="AF334" s="59" t="e">
        <f>IF(Tabela3[Div. Mínimo]=0,0,Tabela3[Lucro Distribuir]*#REF!/Tabela3[Total Ações])</f>
        <v>#REF!</v>
      </c>
      <c r="AG334" s="87">
        <f>Tabela3[Lucro Distribuir]/Tabela3[Total Ações]</f>
        <v>2.2907666666666666E-2</v>
      </c>
      <c r="AH33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6.8722999999999996E-3</v>
      </c>
      <c r="AI334" s="10" t="str">
        <f>IF(AND(Tabela3[% A.A.]&gt;=7%,SUMPRODUCT(N(Tabela3[Nome]=Tabela3[[#This Row],[Nome]]),Tabela3[PL])&gt;0),"Sim","Não")</f>
        <v>Não</v>
      </c>
      <c r="AJ334" s="22">
        <f>IF(Tabela3[Cotação]&gt;0,Tabela3[[#This Row],[Lucro]]/Tabela3[[#This Row],[Cotação]],0)</f>
        <v>4.2951874999999994E-2</v>
      </c>
      <c r="AK334" s="22">
        <f>((1+Tabela3[[#This Row],[% Yield]])^(1/(3*Tabela3[[#This Row],[Ref]])))^(12)-1</f>
        <v>5.767529171232666E-2</v>
      </c>
      <c r="AL334" s="10">
        <f>IF(Tabela3[Cotação]&gt;0,($AS$1/Tabela3[[#This Row],[Cotação]]-MOD($AS$1/Tabela3[[#This Row],[Cotação]],100)),)</f>
        <v>6200</v>
      </c>
      <c r="AM334" s="7">
        <f>Tabela3[[#This Row],[Ativos]]*Tabela3[Lucro]</f>
        <v>42.608259999999994</v>
      </c>
      <c r="AN334" s="7">
        <f>SUMPRODUCT(N(Tabela1[Código]=Tabela3[[#This Row],[PAPEL]]),Tabela1[Fechamento])</f>
        <v>0</v>
      </c>
      <c r="AO334" s="7">
        <f>SUMPRODUCT(N(Tabela17[Código]=Tabela3[[#This Row],[PAPEL]]),Tabela17[Fechamento])</f>
        <v>0</v>
      </c>
      <c r="AP334" s="7">
        <f>SUMPRODUCT(N(Tabela176[Código]=Tabela3[[#This Row],[PAPEL]]),Tabela176[Fechamento])</f>
        <v>0</v>
      </c>
      <c r="AQ334" s="7">
        <f>SUMPRODUCT(N(Tabela1768[Código]=Tabela3[[#This Row],[PAPEL]]),Tabela1768[Fechamento])</f>
        <v>0.16</v>
      </c>
    </row>
    <row r="335" spans="1:43" hidden="1" x14ac:dyDescent="0.2">
      <c r="A335" s="3" t="s">
        <v>1006</v>
      </c>
      <c r="B335" s="58" t="s">
        <v>1010</v>
      </c>
      <c r="C335" s="16" t="str">
        <f>LEFT(Tabela3[PAPEL],LEN(Tabela3[PAPEL])-(LEN(Tabela3[PAPEL])-4))</f>
        <v>SLCE</v>
      </c>
      <c r="D335" s="16">
        <v>3</v>
      </c>
      <c r="E335" s="5">
        <v>557433909.85000002</v>
      </c>
      <c r="F335" s="56">
        <v>98897500</v>
      </c>
      <c r="G335" s="83">
        <v>0.25</v>
      </c>
      <c r="H335" s="89"/>
      <c r="I335" s="18"/>
      <c r="K335" s="16"/>
      <c r="L335" s="89"/>
      <c r="M335" s="94">
        <v>2020656000</v>
      </c>
      <c r="N335" s="73">
        <v>97449000</v>
      </c>
      <c r="O335" s="7">
        <f>Tabela3[[#This Row],[Capital Social]]*20%</f>
        <v>111486781.97000001</v>
      </c>
      <c r="P335" s="47">
        <f>IF((Tabela3[Lucro Líquido]*5%)&gt;Tabela3[Teto R. Legal],Tabela3[Teto R. Legal],Tabela3[Lucro Líquido]*5%)</f>
        <v>4872450</v>
      </c>
      <c r="Q335" s="47">
        <f>IF(Tabela3[Lucro Líquido]&lt;0,0,Tabela3[Lucro Líquido]-Tabela3[Reserva Legal])</f>
        <v>92576550</v>
      </c>
      <c r="R335" s="47">
        <f>Tabela3[[#This Row],[Lucro Distribuir]]*Tabela3[%Div]</f>
        <v>23144137.5</v>
      </c>
      <c r="S335" s="56">
        <f>SUMPRODUCT(N(Tabela3[Nome]=Tabela3[[#This Row],[Nome]]),Tabela3[Ações])</f>
        <v>98897500</v>
      </c>
      <c r="T335" s="87">
        <f>Tabela3[Capital Social]/Tabela3[Total Ações]</f>
        <v>5.6364813048863729</v>
      </c>
      <c r="U335" s="87">
        <f>Tabela3[[#This Row],[Lucro Líquido]]/Tabela3[[#This Row],[Total Ações]]</f>
        <v>0.98535352258651632</v>
      </c>
      <c r="V335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0.23402146161429763</v>
      </c>
      <c r="W335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5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0.23402146161429763</v>
      </c>
      <c r="Z335" s="7">
        <f>Tabela3[Div Base]*Tabela3[Ações]</f>
        <v>23144137.5</v>
      </c>
      <c r="AA335" s="7">
        <f>SUMPRODUCT(N(Tabela3[Nome]=Tabela3[[#This Row],[Nome]]),Tabela3[Div Base]*Tabela3[Ações])</f>
        <v>23144137.5</v>
      </c>
      <c r="AB335" s="74">
        <f>Tabela3[Patrimônio Líquido]/Tabela3[Total Ações]</f>
        <v>20.431820824591117</v>
      </c>
      <c r="AC335" s="52">
        <f>MAX(Tabela3[[#This Row],[Cotação 1]:[Cotação 4]])</f>
        <v>17.46</v>
      </c>
      <c r="AD335" s="53">
        <f>Tabela3[Cotação]/Tabela3[VPA]</f>
        <v>0.85454938891132393</v>
      </c>
      <c r="AE335" s="37">
        <f>IF(Tabela3[[#This Row],[Lucro/Ação]]&gt;0,Tabela3[[#This Row],[Cotação]]/(Tabela3[[#This Row],[Lucro/Ação]]/Tabela3[Ref]*4),0)</f>
        <v>13.289646507403873</v>
      </c>
      <c r="AF335" s="59" t="e">
        <f>IF(Tabela3[Div. Mínimo]=0,0,Tabela3[Lucro Distribuir]*#REF!/Tabela3[Total Ações])</f>
        <v>#REF!</v>
      </c>
      <c r="AG335" s="87">
        <f>Tabela3[Lucro Distribuir]/Tabela3[Total Ações]</f>
        <v>0.93608584645719051</v>
      </c>
      <c r="AH335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0.23402146161429763</v>
      </c>
      <c r="AI335" s="10" t="str">
        <f>IF(AND(Tabela3[% A.A.]&gt;=7%,SUMPRODUCT(N(Tabela3[Nome]=Tabela3[[#This Row],[Nome]]),Tabela3[PL])&gt;0),"Sim","Não")</f>
        <v>Não</v>
      </c>
      <c r="AJ335" s="22">
        <f>IF(Tabela3[Cotação]&gt;0,Tabela3[[#This Row],[Lucro]]/Tabela3[[#This Row],[Cotação]],0)</f>
        <v>1.3403291043201468E-2</v>
      </c>
      <c r="AK335" s="22">
        <f>((1+Tabela3[[#This Row],[% Yield]])^(1/(3*Tabela3[[#This Row],[Ref]])))^(12)-1</f>
        <v>1.791085830072503E-2</v>
      </c>
      <c r="AL335" s="10">
        <f>IF(Tabela3[Cotação]&gt;0,($AS$1/Tabela3[[#This Row],[Cotação]]-MOD($AS$1/Tabela3[[#This Row],[Cotação]],100)),)</f>
        <v>0</v>
      </c>
      <c r="AM335" s="7">
        <f>Tabela3[[#This Row],[Ativos]]*Tabela3[Lucro]</f>
        <v>0</v>
      </c>
      <c r="AN335" s="7">
        <f>SUMPRODUCT(N(Tabela1[Código]=Tabela3[[#This Row],[PAPEL]]),Tabela1[Fechamento])</f>
        <v>0</v>
      </c>
      <c r="AO335" s="7">
        <f>SUMPRODUCT(N(Tabela17[Código]=Tabela3[[#This Row],[PAPEL]]),Tabela17[Fechamento])</f>
        <v>0</v>
      </c>
      <c r="AP335" s="7">
        <f>SUMPRODUCT(N(Tabela176[Código]=Tabela3[[#This Row],[PAPEL]]),Tabela176[Fechamento])</f>
        <v>0</v>
      </c>
      <c r="AQ335" s="7">
        <f>SUMPRODUCT(N(Tabela1768[Código]=Tabela3[[#This Row],[PAPEL]]),Tabela1768[Fechamento])</f>
        <v>17.46</v>
      </c>
    </row>
    <row r="336" spans="1:43" hidden="1" x14ac:dyDescent="0.2">
      <c r="A336" s="3" t="s">
        <v>1012</v>
      </c>
      <c r="B336" s="58" t="s">
        <v>1013</v>
      </c>
      <c r="C336" s="16" t="str">
        <f>LEFT(Tabela3[PAPEL],LEN(Tabela3[PAPEL])-(LEN(Tabela3[PAPEL])-4))</f>
        <v>CVCB</v>
      </c>
      <c r="D336" s="16">
        <v>4</v>
      </c>
      <c r="E336" s="5">
        <v>82728124.230000004</v>
      </c>
      <c r="F336" s="56">
        <v>129729000</v>
      </c>
      <c r="G336" s="83">
        <v>0.25</v>
      </c>
      <c r="H336" s="89"/>
      <c r="I336" s="18"/>
      <c r="K336" s="16"/>
      <c r="L336" s="89"/>
      <c r="M336" s="94">
        <v>316281000</v>
      </c>
      <c r="N336" s="73">
        <v>111682000</v>
      </c>
      <c r="O336" s="7">
        <f>Tabela3[[#This Row],[Capital Social]]*20%</f>
        <v>16545624.846000001</v>
      </c>
      <c r="P336" s="47">
        <f>IF((Tabela3[Lucro Líquido]*5%)&gt;Tabela3[Teto R. Legal],Tabela3[Teto R. Legal],Tabela3[Lucro Líquido]*5%)</f>
        <v>5584100</v>
      </c>
      <c r="Q336" s="47">
        <f>IF(Tabela3[Lucro Líquido]&lt;0,0,Tabela3[Lucro Líquido]-Tabela3[Reserva Legal])</f>
        <v>106097900</v>
      </c>
      <c r="R336" s="47">
        <f>Tabela3[[#This Row],[Lucro Distribuir]]*Tabela3[%Div]</f>
        <v>26524475</v>
      </c>
      <c r="S336" s="56">
        <f>SUMPRODUCT(N(Tabela3[Nome]=Tabela3[[#This Row],[Nome]]),Tabela3[Ações])</f>
        <v>129729000</v>
      </c>
      <c r="T336" s="87">
        <f>Tabela3[Capital Social]/Tabela3[Total Ações]</f>
        <v>0.63769954466618883</v>
      </c>
      <c r="U336" s="87">
        <f>Tabela3[[#This Row],[Lucro Líquido]]/Tabela3[[#This Row],[Total Ações]]</f>
        <v>0.86088692582229109</v>
      </c>
      <c r="V33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0.20446064488279414</v>
      </c>
      <c r="W33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0.20446064488279414</v>
      </c>
      <c r="Z336" s="7">
        <f>Tabela3[Div Base]*Tabela3[Ações]</f>
        <v>26524475</v>
      </c>
      <c r="AA336" s="7">
        <f>SUMPRODUCT(N(Tabela3[Nome]=Tabela3[[#This Row],[Nome]]),Tabela3[Div Base]*Tabela3[Ações])</f>
        <v>26524475</v>
      </c>
      <c r="AB336" s="74">
        <f>Tabela3[Patrimônio Líquido]/Tabela3[Total Ações]</f>
        <v>2.4380130888236247</v>
      </c>
      <c r="AC336" s="52">
        <f>MAX(Tabela3[[#This Row],[Cotação 1]:[Cotação 4]])</f>
        <v>13.24</v>
      </c>
      <c r="AD336" s="53">
        <f>Tabela3[Cotação]/Tabela3[VPA]</f>
        <v>5.4306517305813502</v>
      </c>
      <c r="AE336" s="37">
        <f>IF(Tabela3[[#This Row],[Lucro/Ação]]&gt;0,Tabela3[[#This Row],[Cotação]]/(Tabela3[[#This Row],[Lucro/Ação]]/Tabela3[Ref]*4),0)</f>
        <v>15.379487831521642</v>
      </c>
      <c r="AF336" s="59" t="e">
        <f>IF(Tabela3[Div. Mínimo]=0,0,Tabela3[Lucro Distribuir]*#REF!/Tabela3[Total Ações])</f>
        <v>#REF!</v>
      </c>
      <c r="AG336" s="87">
        <f>Tabela3[Lucro Distribuir]/Tabela3[Total Ações]</f>
        <v>0.81784257953117656</v>
      </c>
      <c r="AH33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0.20446064488279414</v>
      </c>
      <c r="AI336" s="10" t="str">
        <f>IF(AND(Tabela3[% A.A.]&gt;=7%,SUMPRODUCT(N(Tabela3[Nome]=Tabela3[[#This Row],[Nome]]),Tabela3[PL])&gt;0),"Sim","Não")</f>
        <v>Não</v>
      </c>
      <c r="AJ336" s="22">
        <f>IF(Tabela3[Cotação]&gt;0,Tabela3[[#This Row],[Lucro]]/Tabela3[[#This Row],[Cotação]],0)</f>
        <v>1.5442646894470856E-2</v>
      </c>
      <c r="AK336" s="22">
        <f>((1+Tabela3[[#This Row],[% Yield]])^(1/(3*Tabela3[[#This Row],[Ref]])))^(12)-1</f>
        <v>1.5442646894471057E-2</v>
      </c>
      <c r="AL336" s="10">
        <f>IF(Tabela3[Cotação]&gt;0,($AS$1/Tabela3[[#This Row],[Cotação]]-MOD($AS$1/Tabela3[[#This Row],[Cotação]],100)),)</f>
        <v>0</v>
      </c>
      <c r="AM336" s="7">
        <f>Tabela3[[#This Row],[Ativos]]*Tabela3[Lucro]</f>
        <v>0</v>
      </c>
      <c r="AN336" s="7">
        <f>SUMPRODUCT(N(Tabela1[Código]=Tabela3[[#This Row],[PAPEL]]),Tabela1[Fechamento])</f>
        <v>0</v>
      </c>
      <c r="AO336" s="7">
        <f>SUMPRODUCT(N(Tabela17[Código]=Tabela3[[#This Row],[PAPEL]]),Tabela17[Fechamento])</f>
        <v>0</v>
      </c>
      <c r="AP336" s="7">
        <f>SUMPRODUCT(N(Tabela176[Código]=Tabela3[[#This Row],[PAPEL]]),Tabela176[Fechamento])</f>
        <v>0</v>
      </c>
      <c r="AQ336" s="7">
        <f>SUMPRODUCT(N(Tabela1768[Código]=Tabela3[[#This Row],[PAPEL]]),Tabela1768[Fechamento])</f>
        <v>13.24</v>
      </c>
    </row>
    <row r="337" spans="1:43" hidden="1" x14ac:dyDescent="0.2">
      <c r="A337" s="3" t="s">
        <v>1033</v>
      </c>
      <c r="B337" s="58" t="s">
        <v>1022</v>
      </c>
      <c r="C337" s="16" t="str">
        <f>LEFT(Tabela3[PAPEL],LEN(Tabela3[PAPEL])-(LEN(Tabela3[PAPEL])-4))</f>
        <v>AHEB</v>
      </c>
      <c r="D337" s="16">
        <v>3</v>
      </c>
      <c r="E337" s="5">
        <v>199970873</v>
      </c>
      <c r="F337" s="56">
        <v>6154605</v>
      </c>
      <c r="G337" s="83">
        <v>0.25</v>
      </c>
      <c r="H337" s="89"/>
      <c r="I337" s="18"/>
      <c r="K337" s="16"/>
      <c r="L337" s="89"/>
      <c r="M337" s="94">
        <v>68456000</v>
      </c>
      <c r="N337" s="73">
        <v>-16033000</v>
      </c>
      <c r="O337" s="7">
        <f>Tabela3[[#This Row],[Capital Social]]*20%</f>
        <v>39994174.600000001</v>
      </c>
      <c r="P337" s="47">
        <f>IF((Tabela3[Lucro Líquido]*5%)&gt;Tabela3[Teto R. Legal],Tabela3[Teto R. Legal],Tabela3[Lucro Líquido]*5%)</f>
        <v>-801650</v>
      </c>
      <c r="Q337" s="47">
        <f>IF(Tabela3[Lucro Líquido]&lt;0,0,Tabela3[Lucro Líquido]-Tabela3[Reserva Legal])</f>
        <v>0</v>
      </c>
      <c r="R337" s="47">
        <f>Tabela3[[#This Row],[Lucro Distribuir]]*Tabela3[%Div]</f>
        <v>0</v>
      </c>
      <c r="S337" s="56">
        <f>SUMPRODUCT(N(Tabela3[Nome]=Tabela3[[#This Row],[Nome]]),Tabela3[Ações])</f>
        <v>6941023</v>
      </c>
      <c r="T337" s="87">
        <f>Tabela3[Capital Social]/Tabela3[Total Ações]</f>
        <v>28.810000053306265</v>
      </c>
      <c r="U337" s="87">
        <f>Tabela3[[#This Row],[Lucro Líquido]]/Tabela3[[#This Row],[Total Ações]]</f>
        <v>-2.3098900551114729</v>
      </c>
      <c r="V33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3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3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37" s="7">
        <f>Tabela3[Div Base]*Tabela3[Ações]</f>
        <v>0</v>
      </c>
      <c r="AA337" s="7">
        <f>SUMPRODUCT(N(Tabela3[Nome]=Tabela3[[#This Row],[Nome]]),Tabela3[Div Base]*Tabela3[Ações])</f>
        <v>1812536.2097536805</v>
      </c>
      <c r="AB337" s="74">
        <f>Tabela3[Patrimônio Líquido]/Tabela3[Total Ações]</f>
        <v>9.8625231468041523</v>
      </c>
      <c r="AC337" s="52">
        <f>MAX(Tabela3[[#This Row],[Cotação 1]:[Cotação 4]])</f>
        <v>19.5</v>
      </c>
      <c r="AD337" s="53">
        <f>Tabela3[Cotação]/Tabela3[VPA]</f>
        <v>1.9771816714385884</v>
      </c>
      <c r="AE337" s="37">
        <f>IF(Tabela3[[#This Row],[Lucro/Ação]]&gt;0,Tabela3[[#This Row],[Cotação]]/(Tabela3[[#This Row],[Lucro/Ação]]/Tabela3[Ref]*4),0)</f>
        <v>0</v>
      </c>
      <c r="AF337" s="59">
        <f>IF(Tabela3[Div. Mínimo]=0,0,Tabela3[Lucro Distribuir]*#REF!/Tabela3[Total Ações])</f>
        <v>0</v>
      </c>
      <c r="AG337" s="87">
        <f>Tabela3[Lucro Distribuir]/Tabela3[Total Ações]</f>
        <v>0</v>
      </c>
      <c r="AH33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37" s="10" t="str">
        <f>IF(AND(Tabela3[% A.A.]&gt;=7%,SUMPRODUCT(N(Tabela3[Nome]=Tabela3[[#This Row],[Nome]]),Tabela3[PL])&gt;0),"Sim","Não")</f>
        <v>Não</v>
      </c>
      <c r="AJ337" s="22">
        <f>IF(Tabela3[Cotação]&gt;0,Tabela3[[#This Row],[Lucro]]/Tabela3[[#This Row],[Cotação]],0)</f>
        <v>0</v>
      </c>
      <c r="AK337" s="22">
        <f>((1+Tabela3[[#This Row],[% Yield]])^(1/(3*Tabela3[[#This Row],[Ref]])))^(12)-1</f>
        <v>0</v>
      </c>
      <c r="AL337" s="10">
        <f>IF(Tabela3[Cotação]&gt;0,($AS$1/Tabela3[[#This Row],[Cotação]]-MOD($AS$1/Tabela3[[#This Row],[Cotação]],100)),)</f>
        <v>0</v>
      </c>
      <c r="AM337" s="7">
        <f>Tabela3[[#This Row],[Ativos]]*Tabela3[Lucro]</f>
        <v>0</v>
      </c>
      <c r="AN337" s="7">
        <f>SUMPRODUCT(N(Tabela1[Código]=Tabela3[[#This Row],[PAPEL]]),Tabela1[Fechamento])</f>
        <v>0</v>
      </c>
      <c r="AO337" s="7">
        <f>SUMPRODUCT(N(Tabela17[Código]=Tabela3[[#This Row],[PAPEL]]),Tabela17[Fechamento])</f>
        <v>0</v>
      </c>
      <c r="AP337" s="7">
        <f>SUMPRODUCT(N(Tabela176[Código]=Tabela3[[#This Row],[PAPEL]]),Tabela176[Fechamento])</f>
        <v>0</v>
      </c>
      <c r="AQ337" s="7">
        <f>SUMPRODUCT(N(Tabela1768[Código]=Tabela3[[#This Row],[PAPEL]]),Tabela1768[Fechamento])</f>
        <v>19.5</v>
      </c>
    </row>
    <row r="338" spans="1:43" hidden="1" x14ac:dyDescent="0.2">
      <c r="A338" s="3" t="s">
        <v>1033</v>
      </c>
      <c r="B338" s="58" t="s">
        <v>1023</v>
      </c>
      <c r="C338" s="16" t="str">
        <f>LEFT(Tabela3[PAPEL],LEN(Tabela3[PAPEL])-(LEN(Tabela3[PAPEL])-4))</f>
        <v>AHEB</v>
      </c>
      <c r="D338" s="16">
        <v>3</v>
      </c>
      <c r="E338" s="5">
        <v>199970873</v>
      </c>
      <c r="F338" s="56">
        <v>317899</v>
      </c>
      <c r="G338" s="83">
        <v>0.25</v>
      </c>
      <c r="H338" s="89"/>
      <c r="I338" s="18">
        <v>0.08</v>
      </c>
      <c r="K338" s="16"/>
      <c r="L338" s="89"/>
      <c r="M338" s="94">
        <v>68456000</v>
      </c>
      <c r="N338" s="73">
        <v>-16033000</v>
      </c>
      <c r="O338" s="7">
        <f>Tabela3[[#This Row],[Capital Social]]*20%</f>
        <v>39994174.600000001</v>
      </c>
      <c r="P338" s="47">
        <f>IF((Tabela3[Lucro Líquido]*5%)&gt;Tabela3[Teto R. Legal],Tabela3[Teto R. Legal],Tabela3[Lucro Líquido]*5%)</f>
        <v>-801650</v>
      </c>
      <c r="Q338" s="47">
        <f>IF(Tabela3[Lucro Líquido]&lt;0,0,Tabela3[Lucro Líquido]-Tabela3[Reserva Legal])</f>
        <v>0</v>
      </c>
      <c r="R338" s="47">
        <f>Tabela3[[#This Row],[Lucro Distribuir]]*Tabela3[%Div]</f>
        <v>0</v>
      </c>
      <c r="S338" s="56">
        <f>SUMPRODUCT(N(Tabela3[Nome]=Tabela3[[#This Row],[Nome]]),Tabela3[Ações])</f>
        <v>6941023</v>
      </c>
      <c r="T338" s="87">
        <f>Tabela3[Capital Social]/Tabela3[Total Ações]</f>
        <v>28.810000053306265</v>
      </c>
      <c r="U338" s="87">
        <f>Tabela3[[#This Row],[Lucro Líquido]]/Tabela3[[#This Row],[Total Ações]]</f>
        <v>-2.3098900551114729</v>
      </c>
      <c r="V338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38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2.3048000042645009</v>
      </c>
      <c r="Y338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2.3048000042645009</v>
      </c>
      <c r="Z338" s="7">
        <f>Tabela3[Div Base]*Tabela3[Ações]</f>
        <v>732693.61655568064</v>
      </c>
      <c r="AA338" s="7">
        <f>SUMPRODUCT(N(Tabela3[Nome]=Tabela3[[#This Row],[Nome]]),Tabela3[Div Base]*Tabela3[Ações])</f>
        <v>1812536.2097536805</v>
      </c>
      <c r="AB338" s="74">
        <f>Tabela3[Patrimônio Líquido]/Tabela3[Total Ações]</f>
        <v>9.8625231468041523</v>
      </c>
      <c r="AC338" s="52">
        <f>MAX(Tabela3[[#This Row],[Cotação 1]:[Cotação 4]])</f>
        <v>20.010000000000002</v>
      </c>
      <c r="AD338" s="53">
        <f>Tabela3[Cotação]/Tabela3[VPA]</f>
        <v>2.0288925766915979</v>
      </c>
      <c r="AE338" s="37">
        <f>IF(Tabela3[[#This Row],[Lucro/Ação]]&gt;0,Tabela3[[#This Row],[Cotação]]/(Tabela3[[#This Row],[Lucro/Ação]]/Tabela3[Ref]*4),0)</f>
        <v>0</v>
      </c>
      <c r="AF338" s="59">
        <f>IF(Tabela3[Div. Mínimo]=0,0,Tabela3[Lucro Distribuir]*#REF!/Tabela3[Total Ações])</f>
        <v>0</v>
      </c>
      <c r="AG338" s="87">
        <f>Tabela3[Lucro Distribuir]/Tabela3[Total Ações]</f>
        <v>0</v>
      </c>
      <c r="AH338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2.3048000042645009</v>
      </c>
      <c r="AI338" s="10" t="str">
        <f>IF(AND(Tabela3[% A.A.]&gt;=7%,SUMPRODUCT(N(Tabela3[Nome]=Tabela3[[#This Row],[Nome]]),Tabela3[PL])&gt;0),"Sim","Não")</f>
        <v>Não</v>
      </c>
      <c r="AJ338" s="22">
        <f>IF(Tabela3[Cotação]&gt;0,Tabela3[[#This Row],[Lucro]]/Tabela3[[#This Row],[Cotação]],0)</f>
        <v>0.11518240900872068</v>
      </c>
      <c r="AK338" s="22">
        <f>((1+Tabela3[[#This Row],[% Yield]])^(1/(3*Tabela3[[#This Row],[Ref]])))^(12)-1</f>
        <v>0.15645271559570206</v>
      </c>
      <c r="AL338" s="10">
        <f>IF(Tabela3[Cotação]&gt;0,($AS$1/Tabela3[[#This Row],[Cotação]]-MOD($AS$1/Tabela3[[#This Row],[Cotação]],100)),)</f>
        <v>0</v>
      </c>
      <c r="AM338" s="7">
        <f>Tabela3[[#This Row],[Ativos]]*Tabela3[Lucro]</f>
        <v>0</v>
      </c>
      <c r="AN338" s="7">
        <f>SUMPRODUCT(N(Tabela1[Código]=Tabela3[[#This Row],[PAPEL]]),Tabela1[Fechamento])</f>
        <v>0</v>
      </c>
      <c r="AO338" s="7">
        <f>SUMPRODUCT(N(Tabela17[Código]=Tabela3[[#This Row],[PAPEL]]),Tabela17[Fechamento])</f>
        <v>0</v>
      </c>
      <c r="AP338" s="7">
        <f>SUMPRODUCT(N(Tabela176[Código]=Tabela3[[#This Row],[PAPEL]]),Tabela176[Fechamento])</f>
        <v>0</v>
      </c>
      <c r="AQ338" s="7">
        <f>SUMPRODUCT(N(Tabela1768[Código]=Tabela3[[#This Row],[PAPEL]]),Tabela1768[Fechamento])</f>
        <v>20.010000000000002</v>
      </c>
    </row>
    <row r="339" spans="1:43" hidden="1" x14ac:dyDescent="0.2">
      <c r="A339" s="3" t="s">
        <v>1033</v>
      </c>
      <c r="B339" s="58" t="s">
        <v>1024</v>
      </c>
      <c r="C339" s="16" t="str">
        <f>LEFT(Tabela3[PAPEL],LEN(Tabela3[PAPEL])-(LEN(Tabela3[PAPEL])-4))</f>
        <v>AHEB</v>
      </c>
      <c r="D339" s="16">
        <v>3</v>
      </c>
      <c r="E339" s="5">
        <v>199970873</v>
      </c>
      <c r="F339" s="56">
        <v>468519</v>
      </c>
      <c r="G339" s="83">
        <v>0.25</v>
      </c>
      <c r="H339" s="89"/>
      <c r="I339" s="18">
        <v>0.08</v>
      </c>
      <c r="K339" s="16"/>
      <c r="L339" s="89"/>
      <c r="M339" s="94">
        <v>68456000</v>
      </c>
      <c r="N339" s="73">
        <v>-16033000</v>
      </c>
      <c r="O339" s="7">
        <f>Tabela3[[#This Row],[Capital Social]]*20%</f>
        <v>39994174.600000001</v>
      </c>
      <c r="P339" s="47">
        <f>IF((Tabela3[Lucro Líquido]*5%)&gt;Tabela3[Teto R. Legal],Tabela3[Teto R. Legal],Tabela3[Lucro Líquido]*5%)</f>
        <v>-801650</v>
      </c>
      <c r="Q339" s="47">
        <f>IF(Tabela3[Lucro Líquido]&lt;0,0,Tabela3[Lucro Líquido]-Tabela3[Reserva Legal])</f>
        <v>0</v>
      </c>
      <c r="R339" s="47">
        <f>Tabela3[[#This Row],[Lucro Distribuir]]*Tabela3[%Div]</f>
        <v>0</v>
      </c>
      <c r="S339" s="56">
        <f>SUMPRODUCT(N(Tabela3[Nome]=Tabela3[[#This Row],[Nome]]),Tabela3[Ações])</f>
        <v>6941023</v>
      </c>
      <c r="T339" s="87">
        <f>Tabela3[Capital Social]/Tabela3[Total Ações]</f>
        <v>28.810000053306265</v>
      </c>
      <c r="U339" s="87">
        <f>Tabela3[[#This Row],[Lucro Líquido]]/Tabela3[[#This Row],[Total Ações]]</f>
        <v>-2.3098900551114729</v>
      </c>
      <c r="V339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39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3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2.3048000042645009</v>
      </c>
      <c r="Y339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2.3048000042645009</v>
      </c>
      <c r="Z339" s="7">
        <f>Tabela3[Div Base]*Tabela3[Ações]</f>
        <v>1079842.5931979998</v>
      </c>
      <c r="AA339" s="7">
        <f>SUMPRODUCT(N(Tabela3[Nome]=Tabela3[[#This Row],[Nome]]),Tabela3[Div Base]*Tabela3[Ações])</f>
        <v>1812536.2097536805</v>
      </c>
      <c r="AB339" s="74">
        <f>Tabela3[Patrimônio Líquido]/Tabela3[Total Ações]</f>
        <v>9.8625231468041523</v>
      </c>
      <c r="AC339" s="52">
        <f>MAX(Tabela3[[#This Row],[Cotação 1]:[Cotação 4]])</f>
        <v>35.01</v>
      </c>
      <c r="AD339" s="53">
        <f>Tabela3[Cotação]/Tabela3[VPA]</f>
        <v>3.5498015547212809</v>
      </c>
      <c r="AE339" s="37">
        <f>IF(Tabela3[[#This Row],[Lucro/Ação]]&gt;0,Tabela3[[#This Row],[Cotação]]/(Tabela3[[#This Row],[Lucro/Ação]]/Tabela3[Ref]*4),0)</f>
        <v>0</v>
      </c>
      <c r="AF339" s="59">
        <f>IF(Tabela3[Div. Mínimo]=0,0,Tabela3[Lucro Distribuir]*#REF!/Tabela3[Total Ações])</f>
        <v>0</v>
      </c>
      <c r="AG339" s="87">
        <f>Tabela3[Lucro Distribuir]/Tabela3[Total Ações]</f>
        <v>0</v>
      </c>
      <c r="AH339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2.3048000042645009</v>
      </c>
      <c r="AI339" s="10" t="str">
        <f>IF(AND(Tabela3[% A.A.]&gt;=7%,SUMPRODUCT(N(Tabela3[Nome]=Tabela3[[#This Row],[Nome]]),Tabela3[PL])&gt;0),"Sim","Não")</f>
        <v>Não</v>
      </c>
      <c r="AJ339" s="22">
        <f>IF(Tabela3[Cotação]&gt;0,Tabela3[[#This Row],[Lucro]]/Tabela3[[#This Row],[Cotação]],0)</f>
        <v>6.5832619373450474E-2</v>
      </c>
      <c r="AK339" s="22">
        <f>((1+Tabela3[[#This Row],[% Yield]])^(1/(3*Tabela3[[#This Row],[Ref]])))^(12)-1</f>
        <v>8.8726206069154046E-2</v>
      </c>
      <c r="AL339" s="10">
        <f>IF(Tabela3[Cotação]&gt;0,($AS$1/Tabela3[[#This Row],[Cotação]]-MOD($AS$1/Tabela3[[#This Row],[Cotação]],100)),)</f>
        <v>0</v>
      </c>
      <c r="AM339" s="7">
        <f>Tabela3[[#This Row],[Ativos]]*Tabela3[Lucro]</f>
        <v>0</v>
      </c>
      <c r="AN339" s="7">
        <f>SUMPRODUCT(N(Tabela1[Código]=Tabela3[[#This Row],[PAPEL]]),Tabela1[Fechamento])</f>
        <v>0</v>
      </c>
      <c r="AO339" s="7">
        <f>SUMPRODUCT(N(Tabela17[Código]=Tabela3[[#This Row],[PAPEL]]),Tabela17[Fechamento])</f>
        <v>0</v>
      </c>
      <c r="AP339" s="7">
        <f>SUMPRODUCT(N(Tabela176[Código]=Tabela3[[#This Row],[PAPEL]]),Tabela176[Fechamento])</f>
        <v>0</v>
      </c>
      <c r="AQ339" s="7">
        <f>SUMPRODUCT(N(Tabela1768[Código]=Tabela3[[#This Row],[PAPEL]]),Tabela1768[Fechamento])</f>
        <v>35.01</v>
      </c>
    </row>
    <row r="340" spans="1:43" hidden="1" x14ac:dyDescent="0.2">
      <c r="A340" s="3" t="s">
        <v>1033</v>
      </c>
      <c r="B340" s="58" t="s">
        <v>1034</v>
      </c>
      <c r="C340" s="16" t="str">
        <f>LEFT(Tabela3[PAPEL],LEN(Tabela3[PAPEL])-(LEN(Tabela3[PAPEL])-4))</f>
        <v>SHOW</v>
      </c>
      <c r="D340" s="16">
        <v>3</v>
      </c>
      <c r="E340" s="5">
        <v>243022170.40000001</v>
      </c>
      <c r="F340" s="56">
        <v>69971465</v>
      </c>
      <c r="G340" s="83">
        <v>0.25</v>
      </c>
      <c r="H340" s="89"/>
      <c r="I340" s="18"/>
      <c r="K340" s="16"/>
      <c r="L340" s="89"/>
      <c r="M340" s="94">
        <v>335316000</v>
      </c>
      <c r="N340" s="73">
        <v>-9780000</v>
      </c>
      <c r="O340" s="7">
        <f>Tabela3[[#This Row],[Capital Social]]*20%</f>
        <v>48604434.080000006</v>
      </c>
      <c r="P340" s="47">
        <f>IF((Tabela3[Lucro Líquido]*5%)&gt;Tabela3[Teto R. Legal],Tabela3[Teto R. Legal],Tabela3[Lucro Líquido]*5%)</f>
        <v>-489000</v>
      </c>
      <c r="Q340" s="47">
        <f>IF(Tabela3[Lucro Líquido]&lt;0,0,Tabela3[Lucro Líquido]-Tabela3[Reserva Legal])</f>
        <v>0</v>
      </c>
      <c r="R340" s="47">
        <f>Tabela3[[#This Row],[Lucro Distribuir]]*Tabela3[%Div]</f>
        <v>0</v>
      </c>
      <c r="S340" s="56">
        <f>SUMPRODUCT(N(Tabela3[Nome]=Tabela3[[#This Row],[Nome]]),Tabela3[Ações])</f>
        <v>69971465</v>
      </c>
      <c r="T340" s="87">
        <f>Tabela3[Capital Social]/Tabela3[Total Ações]</f>
        <v>3.4731611007429959</v>
      </c>
      <c r="U340" s="87">
        <f>Tabela3[[#This Row],[Lucro Líquido]]/Tabela3[[#This Row],[Total Ações]]</f>
        <v>-0.13977126247106589</v>
      </c>
      <c r="V340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40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0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40" s="7">
        <f>Tabela3[Div Base]*Tabela3[Ações]</f>
        <v>0</v>
      </c>
      <c r="AA340" s="7">
        <f>SUMPRODUCT(N(Tabela3[Nome]=Tabela3[[#This Row],[Nome]]),Tabela3[Div Base]*Tabela3[Ações])</f>
        <v>0</v>
      </c>
      <c r="AB340" s="74">
        <f>Tabela3[Patrimônio Líquido]/Tabela3[Total Ações]</f>
        <v>4.7921820702196243</v>
      </c>
      <c r="AC340" s="52">
        <f>MAX(Tabela3[[#This Row],[Cotação 1]:[Cotação 4]])</f>
        <v>4.41</v>
      </c>
      <c r="AD340" s="53">
        <f>Tabela3[Cotação]/Tabela3[VPA]</f>
        <v>0.92024884183874323</v>
      </c>
      <c r="AE340" s="37">
        <f>IF(Tabela3[[#This Row],[Lucro/Ação]]&gt;0,Tabela3[[#This Row],[Cotação]]/(Tabela3[[#This Row],[Lucro/Ação]]/Tabela3[Ref]*4),0)</f>
        <v>0</v>
      </c>
      <c r="AF340" s="59">
        <f>IF(Tabela3[Div. Mínimo]=0,0,Tabela3[Lucro Distribuir]*#REF!/Tabela3[Total Ações])</f>
        <v>0</v>
      </c>
      <c r="AG340" s="87">
        <f>Tabela3[Lucro Distribuir]/Tabela3[Total Ações]</f>
        <v>0</v>
      </c>
      <c r="AH340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40" s="10" t="str">
        <f>IF(AND(Tabela3[% A.A.]&gt;=7%,SUMPRODUCT(N(Tabela3[Nome]=Tabela3[[#This Row],[Nome]]),Tabela3[PL])&gt;0),"Sim","Não")</f>
        <v>Não</v>
      </c>
      <c r="AJ340" s="22">
        <f>IF(Tabela3[Cotação]&gt;0,Tabela3[[#This Row],[Lucro]]/Tabela3[[#This Row],[Cotação]],0)</f>
        <v>0</v>
      </c>
      <c r="AK340" s="22">
        <f>((1+Tabela3[[#This Row],[% Yield]])^(1/(3*Tabela3[[#This Row],[Ref]])))^(12)-1</f>
        <v>0</v>
      </c>
      <c r="AL340" s="10">
        <f>IF(Tabela3[Cotação]&gt;0,($AS$1/Tabela3[[#This Row],[Cotação]]-MOD($AS$1/Tabela3[[#This Row],[Cotação]],100)),)</f>
        <v>200</v>
      </c>
      <c r="AM340" s="7">
        <f>Tabela3[[#This Row],[Ativos]]*Tabela3[Lucro]</f>
        <v>0</v>
      </c>
      <c r="AN340" s="7">
        <f>SUMPRODUCT(N(Tabela1[Código]=Tabela3[[#This Row],[PAPEL]]),Tabela1[Fechamento])</f>
        <v>0</v>
      </c>
      <c r="AO340" s="7">
        <f>SUMPRODUCT(N(Tabela17[Código]=Tabela3[[#This Row],[PAPEL]]),Tabela17[Fechamento])</f>
        <v>0</v>
      </c>
      <c r="AP340" s="7">
        <f>SUMPRODUCT(N(Tabela176[Código]=Tabela3[[#This Row],[PAPEL]]),Tabela176[Fechamento])</f>
        <v>0</v>
      </c>
      <c r="AQ340" s="7">
        <f>SUMPRODUCT(N(Tabela1768[Código]=Tabela3[[#This Row],[PAPEL]]),Tabela1768[Fechamento])</f>
        <v>4.41</v>
      </c>
    </row>
    <row r="341" spans="1:43" hidden="1" x14ac:dyDescent="0.2">
      <c r="A341" s="3" t="s">
        <v>1043</v>
      </c>
      <c r="B341" s="58" t="s">
        <v>1038</v>
      </c>
      <c r="C341" s="16" t="str">
        <f>LEFT(Tabela3[PAPEL],LEN(Tabela3[PAPEL])-(LEN(Tabela3[PAPEL])-4))</f>
        <v>BMKS</v>
      </c>
      <c r="D341" s="16">
        <v>3</v>
      </c>
      <c r="E341" s="5">
        <v>133009849.12</v>
      </c>
      <c r="F341" s="56">
        <v>454750</v>
      </c>
      <c r="G341" s="83">
        <v>0.25</v>
      </c>
      <c r="H341" s="89"/>
      <c r="I341" s="18"/>
      <c r="K341" s="16"/>
      <c r="L341" s="89"/>
      <c r="M341" s="94">
        <v>186899000</v>
      </c>
      <c r="N341" s="73">
        <v>7815000</v>
      </c>
      <c r="O341" s="7">
        <f>Tabela3[[#This Row],[Capital Social]]*20%</f>
        <v>26601969.824000001</v>
      </c>
      <c r="P341" s="47">
        <f>IF((Tabela3[Lucro Líquido]*5%)&gt;Tabela3[Teto R. Legal],Tabela3[Teto R. Legal],Tabela3[Lucro Líquido]*5%)</f>
        <v>390750</v>
      </c>
      <c r="Q341" s="47">
        <f>IF(Tabela3[Lucro Líquido]&lt;0,0,Tabela3[Lucro Líquido]-Tabela3[Reserva Legal])</f>
        <v>7424250</v>
      </c>
      <c r="R341" s="47">
        <f>Tabela3[[#This Row],[Lucro Distribuir]]*Tabela3[%Div]</f>
        <v>1856062.5</v>
      </c>
      <c r="S341" s="56">
        <f>SUMPRODUCT(N(Tabela3[Nome]=Tabela3[[#This Row],[Nome]]),Tabela3[Ações])</f>
        <v>454750</v>
      </c>
      <c r="T341" s="87">
        <f>Tabela3[Capital Social]/Tabela3[Total Ações]</f>
        <v>292.49004754260585</v>
      </c>
      <c r="U341" s="87">
        <f>Tabela3[[#This Row],[Lucro Líquido]]/Tabela3[[#This Row],[Total Ações]]</f>
        <v>17.185266630016493</v>
      </c>
      <c r="V341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4.0815008246289173</v>
      </c>
      <c r="W341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1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4.0815008246289173</v>
      </c>
      <c r="Z341" s="7">
        <f>Tabela3[Div Base]*Tabela3[Ações]</f>
        <v>1856062.5000000002</v>
      </c>
      <c r="AA341" s="7">
        <f>SUMPRODUCT(N(Tabela3[Nome]=Tabela3[[#This Row],[Nome]]),Tabela3[Div Base]*Tabela3[Ações])</f>
        <v>1856062.5000000002</v>
      </c>
      <c r="AB341" s="74">
        <f>Tabela3[Patrimônio Líquido]/Tabela3[Total Ações]</f>
        <v>410.99285321605277</v>
      </c>
      <c r="AC341" s="52">
        <f>MAX(Tabela3[[#This Row],[Cotação 1]:[Cotação 4]])</f>
        <v>341</v>
      </c>
      <c r="AD341" s="53">
        <f>Tabela3[Cotação]/Tabela3[VPA]</f>
        <v>0.82969812572565937</v>
      </c>
      <c r="AE341" s="37">
        <f>IF(Tabela3[[#This Row],[Lucro/Ação]]&gt;0,Tabela3[[#This Row],[Cotação]]/(Tabela3[[#This Row],[Lucro/Ação]]/Tabela3[Ref]*4),0)</f>
        <v>14.881933781190019</v>
      </c>
      <c r="AF341" s="59" t="e">
        <f>IF(Tabela3[Div. Mínimo]=0,0,Tabela3[Lucro Distribuir]*#REF!/Tabela3[Total Ações])</f>
        <v>#REF!</v>
      </c>
      <c r="AG341" s="87">
        <f>Tabela3[Lucro Distribuir]/Tabela3[Total Ações]</f>
        <v>16.326003298515669</v>
      </c>
      <c r="AH341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4.0815008246289173</v>
      </c>
      <c r="AI341" s="10" t="str">
        <f>IF(AND(Tabela3[% A.A.]&gt;=7%,SUMPRODUCT(N(Tabela3[Nome]=Tabela3[[#This Row],[Nome]]),Tabela3[PL])&gt;0),"Sim","Não")</f>
        <v>Não</v>
      </c>
      <c r="AJ341" s="22">
        <f>IF(Tabela3[Cotação]&gt;0,Tabela3[[#This Row],[Lucro]]/Tabela3[[#This Row],[Cotação]],0)</f>
        <v>1.1969210629410315E-2</v>
      </c>
      <c r="AK341" s="22">
        <f>((1+Tabela3[[#This Row],[% Yield]])^(1/(3*Tabela3[[#This Row],[Ref]])))^(12)-1</f>
        <v>1.5990699248019435E-2</v>
      </c>
      <c r="AL341" s="10">
        <f>IF(Tabela3[Cotação]&gt;0,($AS$1/Tabela3[[#This Row],[Cotação]]-MOD($AS$1/Tabela3[[#This Row],[Cotação]],100)),)</f>
        <v>0</v>
      </c>
      <c r="AM341" s="7">
        <f>Tabela3[[#This Row],[Ativos]]*Tabela3[Lucro]</f>
        <v>0</v>
      </c>
      <c r="AN341" s="7">
        <f>SUMPRODUCT(N(Tabela1[Código]=Tabela3[[#This Row],[PAPEL]]),Tabela1[Fechamento])</f>
        <v>0</v>
      </c>
      <c r="AO341" s="7">
        <f>SUMPRODUCT(N(Tabela17[Código]=Tabela3[[#This Row],[PAPEL]]),Tabela17[Fechamento])</f>
        <v>0</v>
      </c>
      <c r="AP341" s="7">
        <f>SUMPRODUCT(N(Tabela176[Código]=Tabela3[[#This Row],[PAPEL]]),Tabela176[Fechamento])</f>
        <v>0</v>
      </c>
      <c r="AQ341" s="7">
        <f>SUMPRODUCT(N(Tabela1768[Código]=Tabela3[[#This Row],[PAPEL]]),Tabela1768[Fechamento])</f>
        <v>341</v>
      </c>
    </row>
    <row r="342" spans="1:43" hidden="1" x14ac:dyDescent="0.2">
      <c r="A342" s="3" t="s">
        <v>1044</v>
      </c>
      <c r="B342" s="58" t="s">
        <v>1045</v>
      </c>
      <c r="C342" s="16" t="str">
        <f>LEFT(Tabela3[PAPEL],LEN(Tabela3[PAPEL])-(LEN(Tabela3[PAPEL])-4))</f>
        <v>UCAS</v>
      </c>
      <c r="D342" s="16">
        <v>3</v>
      </c>
      <c r="E342" s="5">
        <v>187708920.96000001</v>
      </c>
      <c r="F342" s="56">
        <v>66086364</v>
      </c>
      <c r="G342" s="83">
        <v>0.25</v>
      </c>
      <c r="H342" s="89"/>
      <c r="I342" s="18"/>
      <c r="K342" s="16"/>
      <c r="L342" s="89"/>
      <c r="M342" s="94">
        <v>211391000</v>
      </c>
      <c r="N342" s="73">
        <v>13295000</v>
      </c>
      <c r="O342" s="7">
        <f>Tabela3[[#This Row],[Capital Social]]*20%</f>
        <v>37541784.192000002</v>
      </c>
      <c r="P342" s="47">
        <f>IF((Tabela3[Lucro Líquido]*5%)&gt;Tabela3[Teto R. Legal],Tabela3[Teto R. Legal],Tabela3[Lucro Líquido]*5%)</f>
        <v>664750</v>
      </c>
      <c r="Q342" s="47">
        <f>IF(Tabela3[Lucro Líquido]&lt;0,0,Tabela3[Lucro Líquido]-Tabela3[Reserva Legal])</f>
        <v>12630250</v>
      </c>
      <c r="R342" s="47">
        <f>Tabela3[[#This Row],[Lucro Distribuir]]*Tabela3[%Div]</f>
        <v>3157562.5</v>
      </c>
      <c r="S342" s="56">
        <f>SUMPRODUCT(N(Tabela3[Nome]=Tabela3[[#This Row],[Nome]]),Tabela3[Ações])</f>
        <v>66086364</v>
      </c>
      <c r="T342" s="87">
        <f>Tabela3[Capital Social]/Tabela3[Total Ações]</f>
        <v>2.8403578226818471</v>
      </c>
      <c r="U342" s="87">
        <f>Tabela3[[#This Row],[Lucro Líquido]]/Tabela3[[#This Row],[Total Ações]]</f>
        <v>0.20117614580823359</v>
      </c>
      <c r="V342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4.777933462945548E-2</v>
      </c>
      <c r="W342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2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4.777933462945548E-2</v>
      </c>
      <c r="Z342" s="7">
        <f>Tabela3[Div Base]*Tabela3[Ações]</f>
        <v>3157562.5</v>
      </c>
      <c r="AA342" s="7">
        <f>SUMPRODUCT(N(Tabela3[Nome]=Tabela3[[#This Row],[Nome]]),Tabela3[Div Base]*Tabela3[Ações])</f>
        <v>3157562.5</v>
      </c>
      <c r="AB342" s="74">
        <f>Tabela3[Patrimônio Líquido]/Tabela3[Total Ações]</f>
        <v>3.1987082842082217</v>
      </c>
      <c r="AC342" s="52">
        <f>MAX(Tabela3[[#This Row],[Cotação 1]:[Cotação 4]])</f>
        <v>4.8</v>
      </c>
      <c r="AD342" s="53">
        <f>Tabela3[Cotação]/Tabela3[VPA]</f>
        <v>1.5006057362896243</v>
      </c>
      <c r="AE342" s="37">
        <f>IF(Tabela3[[#This Row],[Lucro/Ação]]&gt;0,Tabela3[[#This Row],[Cotação]]/(Tabela3[[#This Row],[Lucro/Ação]]/Tabela3[Ref]*4),0)</f>
        <v>17.894765731478</v>
      </c>
      <c r="AF342" s="59" t="e">
        <f>IF(Tabela3[Div. Mínimo]=0,0,Tabela3[Lucro Distribuir]*#REF!/Tabela3[Total Ações])</f>
        <v>#REF!</v>
      </c>
      <c r="AG342" s="87">
        <f>Tabela3[Lucro Distribuir]/Tabela3[Total Ações]</f>
        <v>0.19111733851782192</v>
      </c>
      <c r="AH342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4.777933462945548E-2</v>
      </c>
      <c r="AI342" s="10" t="str">
        <f>IF(AND(Tabela3[% A.A.]&gt;=7%,SUMPRODUCT(N(Tabela3[Nome]=Tabela3[[#This Row],[Nome]]),Tabela3[PL])&gt;0),"Sim","Não")</f>
        <v>Não</v>
      </c>
      <c r="AJ342" s="22">
        <f>IF(Tabela3[Cotação]&gt;0,Tabela3[[#This Row],[Lucro]]/Tabela3[[#This Row],[Cotação]],0)</f>
        <v>9.9540280478032251E-3</v>
      </c>
      <c r="AK342" s="22">
        <f>((1+Tabela3[[#This Row],[% Yield]])^(1/(3*Tabela3[[#This Row],[Ref]])))^(12)-1</f>
        <v>1.3294007265317598E-2</v>
      </c>
      <c r="AL342" s="10">
        <f>IF(Tabela3[Cotação]&gt;0,($AS$1/Tabela3[[#This Row],[Cotação]]-MOD($AS$1/Tabela3[[#This Row],[Cotação]],100)),)</f>
        <v>200</v>
      </c>
      <c r="AM342" s="7">
        <f>Tabela3[[#This Row],[Ativos]]*Tabela3[Lucro]</f>
        <v>9.5558669258910953</v>
      </c>
      <c r="AN342" s="7">
        <f>SUMPRODUCT(N(Tabela1[Código]=Tabela3[[#This Row],[PAPEL]]),Tabela1[Fechamento])</f>
        <v>0</v>
      </c>
      <c r="AO342" s="7">
        <f>SUMPRODUCT(N(Tabela17[Código]=Tabela3[[#This Row],[PAPEL]]),Tabela17[Fechamento])</f>
        <v>0</v>
      </c>
      <c r="AP342" s="7">
        <f>SUMPRODUCT(N(Tabela176[Código]=Tabela3[[#This Row],[PAPEL]]),Tabela176[Fechamento])</f>
        <v>0</v>
      </c>
      <c r="AQ342" s="7">
        <f>SUMPRODUCT(N(Tabela1768[Código]=Tabela3[[#This Row],[PAPEL]]),Tabela1768[Fechamento])</f>
        <v>4.8</v>
      </c>
    </row>
    <row r="343" spans="1:43" hidden="1" x14ac:dyDescent="0.2">
      <c r="A343" s="3" t="s">
        <v>1050</v>
      </c>
      <c r="B343" s="57" t="s">
        <v>1051</v>
      </c>
      <c r="C343" s="16" t="str">
        <f>LEFT(Tabela3[PAPEL],LEN(Tabela3[PAPEL])-(LEN(Tabela3[PAPEL])-4))</f>
        <v>WHRL</v>
      </c>
      <c r="D343" s="16">
        <v>3</v>
      </c>
      <c r="E343" s="5">
        <v>1085793037.9300001</v>
      </c>
      <c r="F343" s="56">
        <v>1028700892</v>
      </c>
      <c r="G343" s="83">
        <v>0.25</v>
      </c>
      <c r="H343" s="89"/>
      <c r="I343" s="18"/>
      <c r="K343" s="16"/>
      <c r="L343" s="89"/>
      <c r="M343" s="94">
        <v>2632316000</v>
      </c>
      <c r="N343" s="94">
        <v>582488000</v>
      </c>
      <c r="O343" s="7">
        <f>Tabela3[[#This Row],[Capital Social]]*20%</f>
        <v>217158607.58600003</v>
      </c>
      <c r="P343" s="47">
        <f>IF((Tabela3[Lucro Líquido]*5%)&gt;Tabela3[Teto R. Legal],Tabela3[Teto R. Legal],Tabela3[Lucro Líquido]*5%)</f>
        <v>29124400</v>
      </c>
      <c r="Q343" s="47">
        <f>IF(Tabela3[Lucro Líquido]&lt;0,0,Tabela3[Lucro Líquido]-Tabela3[Reserva Legal])</f>
        <v>553363600</v>
      </c>
      <c r="R343" s="47">
        <f>Tabela3[[#This Row],[Lucro Distribuir]]*Tabela3[%Div]</f>
        <v>138340900</v>
      </c>
      <c r="S343" s="56">
        <f>SUMPRODUCT(N(Tabela3[Nome]=Tabela3[[#This Row],[Nome]]),Tabela3[Ações])</f>
        <v>1502786006</v>
      </c>
      <c r="T343" s="87">
        <f>Tabela3[Capital Social]/Tabela3[Total Ações]</f>
        <v>0.72252006180179995</v>
      </c>
      <c r="U343" s="87">
        <f>Tabela3[[#This Row],[Lucro Líquido]]/Tabela3[[#This Row],[Total Ações]]</f>
        <v>0.38760541931743275</v>
      </c>
      <c r="V34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8.9192065943348733E-2</v>
      </c>
      <c r="W34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8.9192065943348733E-2</v>
      </c>
      <c r="Z343" s="7">
        <f>Tabela3[Div Base]*Tabela3[Ações]</f>
        <v>91751957.795245662</v>
      </c>
      <c r="AA343" s="7">
        <f>SUMPRODUCT(N(Tabela3[Nome]=Tabela3[[#This Row],[Nome]]),Tabela3[Div Base]*Tabela3[Ações])</f>
        <v>138265051.68467653</v>
      </c>
      <c r="AB343" s="74">
        <f>Tabela3[Patrimônio Líquido]/Tabela3[Total Ações]</f>
        <v>1.7516239767273958</v>
      </c>
      <c r="AC343" s="52">
        <f>MAX(Tabela3[[#This Row],[Cotação 1]:[Cotação 4]])</f>
        <v>3.78</v>
      </c>
      <c r="AD343" s="53">
        <f>Tabela3[Cotação]/Tabela3[VPA]</f>
        <v>2.157997407104618</v>
      </c>
      <c r="AE343" s="37">
        <f>IF(Tabela3[[#This Row],[Lucro/Ação]]&gt;0,Tabela3[[#This Row],[Cotação]]/(Tabela3[[#This Row],[Lucro/Ação]]/Tabela3[Ref]*4),0)</f>
        <v>7.3141392217693753</v>
      </c>
      <c r="AF343" s="59" t="e">
        <f>IF(Tabela3[Div. Mínimo]=0,0,Tabela3[Lucro Distribuir]*#REF!/Tabela3[Total Ações])</f>
        <v>#REF!</v>
      </c>
      <c r="AG343" s="87">
        <f>Tabela3[Lucro Distribuir]/Tabela3[Total Ações]</f>
        <v>0.36822514835156112</v>
      </c>
      <c r="AH34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8.9192065943348733E-2</v>
      </c>
      <c r="AI343" s="10" t="str">
        <f>IF(AND(Tabela3[% A.A.]&gt;=7%,SUMPRODUCT(N(Tabela3[Nome]=Tabela3[[#This Row],[Nome]]),Tabela3[PL])&gt;0),"Sim","Não")</f>
        <v>Não</v>
      </c>
      <c r="AJ343" s="22">
        <f>IF(Tabela3[Cotação]&gt;0,Tabela3[[#This Row],[Lucro]]/Tabela3[[#This Row],[Cotação]],0)</f>
        <v>2.3595784641097548E-2</v>
      </c>
      <c r="AK343" s="22">
        <f>((1+Tabela3[[#This Row],[% Yield]])^(1/(3*Tabela3[[#This Row],[Ref]])))^(12)-1</f>
        <v>3.1584128414353874E-2</v>
      </c>
      <c r="AL343" s="10">
        <f>IF(Tabela3[Cotação]&gt;0,($AS$1/Tabela3[[#This Row],[Cotação]]-MOD($AS$1/Tabela3[[#This Row],[Cotação]],100)),)</f>
        <v>200</v>
      </c>
      <c r="AM343" s="7">
        <f>Tabela3[[#This Row],[Ativos]]*Tabela3[Lucro]</f>
        <v>17.838413188669747</v>
      </c>
      <c r="AN343" s="7">
        <f>SUMPRODUCT(N(Tabela1[Código]=Tabela3[[#This Row],[PAPEL]]),Tabela1[Fechamento])</f>
        <v>0</v>
      </c>
      <c r="AO343" s="7">
        <f>SUMPRODUCT(N(Tabela17[Código]=Tabela3[[#This Row],[PAPEL]]),Tabela17[Fechamento])</f>
        <v>0</v>
      </c>
      <c r="AP343" s="7">
        <f>SUMPRODUCT(N(Tabela176[Código]=Tabela3[[#This Row],[PAPEL]]),Tabela176[Fechamento])</f>
        <v>0</v>
      </c>
      <c r="AQ343" s="7">
        <f>SUMPRODUCT(N(Tabela1768[Código]=Tabela3[[#This Row],[PAPEL]]),Tabela1768[Fechamento])</f>
        <v>3.78</v>
      </c>
    </row>
    <row r="344" spans="1:43" hidden="1" x14ac:dyDescent="0.2">
      <c r="A344" s="3" t="s">
        <v>1050</v>
      </c>
      <c r="B344" s="57" t="s">
        <v>1052</v>
      </c>
      <c r="C344" s="16" t="str">
        <f>LEFT(Tabela3[PAPEL],LEN(Tabela3[PAPEL])-(LEN(Tabela3[PAPEL])-4))</f>
        <v>WHRL</v>
      </c>
      <c r="D344" s="16">
        <v>3</v>
      </c>
      <c r="E344" s="5">
        <v>1085793037.9300001</v>
      </c>
      <c r="F344" s="56">
        <v>474085114</v>
      </c>
      <c r="G344" s="83">
        <v>0.25</v>
      </c>
      <c r="H344" s="89"/>
      <c r="I344" s="18"/>
      <c r="J344" s="18">
        <v>0.1</v>
      </c>
      <c r="K344" s="16"/>
      <c r="L344" s="89"/>
      <c r="M344" s="94">
        <v>2632316000</v>
      </c>
      <c r="N344" s="94">
        <v>582488000</v>
      </c>
      <c r="O344" s="7">
        <f>Tabela3[[#This Row],[Capital Social]]*20%</f>
        <v>217158607.58600003</v>
      </c>
      <c r="P344" s="47">
        <f>IF((Tabela3[Lucro Líquido]*5%)&gt;Tabela3[Teto R. Legal],Tabela3[Teto R. Legal],Tabela3[Lucro Líquido]*5%)</f>
        <v>29124400</v>
      </c>
      <c r="Q344" s="47">
        <f>IF(Tabela3[Lucro Líquido]&lt;0,0,Tabela3[Lucro Líquido]-Tabela3[Reserva Legal])</f>
        <v>553363600</v>
      </c>
      <c r="R344" s="47">
        <f>Tabela3[[#This Row],[Lucro Distribuir]]*Tabela3[%Div]</f>
        <v>138340900</v>
      </c>
      <c r="S344" s="56">
        <f>SUMPRODUCT(N(Tabela3[Nome]=Tabela3[[#This Row],[Nome]]),Tabela3[Ações])</f>
        <v>1502786006</v>
      </c>
      <c r="T344" s="87">
        <f>Tabela3[Capital Social]/Tabela3[Total Ações]</f>
        <v>0.72252006180179995</v>
      </c>
      <c r="U344" s="87">
        <f>Tabela3[[#This Row],[Lucro Líquido]]/Tabela3[[#This Row],[Total Ações]]</f>
        <v>0.38760541931743275</v>
      </c>
      <c r="V34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9.8111272672085789E-2</v>
      </c>
      <c r="W34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9.8111272672085789E-2</v>
      </c>
      <c r="Z344" s="7">
        <f>Tabela3[Div Base]*Tabela3[Ações]</f>
        <v>46513093.889430873</v>
      </c>
      <c r="AA344" s="7">
        <f>SUMPRODUCT(N(Tabela3[Nome]=Tabela3[[#This Row],[Nome]]),Tabela3[Div Base]*Tabela3[Ações])</f>
        <v>138265051.68467653</v>
      </c>
      <c r="AB344" s="74">
        <f>Tabela3[Patrimônio Líquido]/Tabela3[Total Ações]</f>
        <v>1.7516239767273958</v>
      </c>
      <c r="AC344" s="52">
        <f>MAX(Tabela3[[#This Row],[Cotação 1]:[Cotação 4]])</f>
        <v>4.05</v>
      </c>
      <c r="AD344" s="53">
        <f>Tabela3[Cotação]/Tabela3[VPA]</f>
        <v>2.3121400790406623</v>
      </c>
      <c r="AE344" s="37">
        <f>IF(Tabela3[[#This Row],[Lucro/Ação]]&gt;0,Tabela3[[#This Row],[Cotação]]/(Tabela3[[#This Row],[Lucro/Ação]]/Tabela3[Ref]*4),0)</f>
        <v>7.8365777376100443</v>
      </c>
      <c r="AF344" s="59" t="e">
        <f>IF(Tabela3[Div. Mínimo]=0,0,Tabela3[Lucro Distribuir]*#REF!/Tabela3[Total Ações])</f>
        <v>#REF!</v>
      </c>
      <c r="AG344" s="87">
        <f>Tabela3[Lucro Distribuir]/Tabela3[Total Ações]</f>
        <v>0.36822514835156112</v>
      </c>
      <c r="AH34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9.8111272672085789E-2</v>
      </c>
      <c r="AI344" s="10" t="str">
        <f>IF(AND(Tabela3[% A.A.]&gt;=7%,SUMPRODUCT(N(Tabela3[Nome]=Tabela3[[#This Row],[Nome]]),Tabela3[PL])&gt;0),"Sim","Não")</f>
        <v>Não</v>
      </c>
      <c r="AJ344" s="22">
        <f>IF(Tabela3[Cotação]&gt;0,Tabela3[[#This Row],[Lucro]]/Tabela3[[#This Row],[Cotação]],0)</f>
        <v>2.4225005598045874E-2</v>
      </c>
      <c r="AK344" s="22">
        <f>((1+Tabela3[[#This Row],[% Yield]])^(1/(3*Tabela3[[#This Row],[Ref]])))^(12)-1</f>
        <v>3.2429723722692927E-2</v>
      </c>
      <c r="AL344" s="10">
        <f>IF(Tabela3[Cotação]&gt;0,($AS$1/Tabela3[[#This Row],[Cotação]]-MOD($AS$1/Tabela3[[#This Row],[Cotação]],100)),)</f>
        <v>200</v>
      </c>
      <c r="AM344" s="7">
        <f>Tabela3[[#This Row],[Ativos]]*Tabela3[Lucro]</f>
        <v>19.622254534417159</v>
      </c>
      <c r="AN344" s="7">
        <f>SUMPRODUCT(N(Tabela1[Código]=Tabela3[[#This Row],[PAPEL]]),Tabela1[Fechamento])</f>
        <v>0</v>
      </c>
      <c r="AO344" s="7">
        <f>SUMPRODUCT(N(Tabela17[Código]=Tabela3[[#This Row],[PAPEL]]),Tabela17[Fechamento])</f>
        <v>0</v>
      </c>
      <c r="AP344" s="7">
        <f>SUMPRODUCT(N(Tabela176[Código]=Tabela3[[#This Row],[PAPEL]]),Tabela176[Fechamento])</f>
        <v>0</v>
      </c>
      <c r="AQ344" s="7">
        <f>SUMPRODUCT(N(Tabela1768[Código]=Tabela3[[#This Row],[PAPEL]]),Tabela1768[Fechamento])</f>
        <v>4.05</v>
      </c>
    </row>
    <row r="345" spans="1:43" hidden="1" x14ac:dyDescent="0.2">
      <c r="A345" s="3" t="s">
        <v>1050</v>
      </c>
      <c r="B345" s="58" t="s">
        <v>1056</v>
      </c>
      <c r="C345" s="16" t="str">
        <f>LEFT(Tabela3[PAPEL],LEN(Tabela3[PAPEL])-(LEN(Tabela3[PAPEL])-4))</f>
        <v>BMTO</v>
      </c>
      <c r="D345" s="16">
        <v>3</v>
      </c>
      <c r="E345" s="5">
        <v>577400000</v>
      </c>
      <c r="F345" s="56">
        <v>986060042</v>
      </c>
      <c r="G345" s="83">
        <v>0.25</v>
      </c>
      <c r="H345" s="89"/>
      <c r="I345" s="18"/>
      <c r="K345" s="16"/>
      <c r="L345" s="89"/>
      <c r="M345" s="94">
        <v>1187464000</v>
      </c>
      <c r="N345" s="73">
        <v>258949000</v>
      </c>
      <c r="O345" s="7">
        <f>Tabela3[[#This Row],[Capital Social]]*20%</f>
        <v>115480000</v>
      </c>
      <c r="P345" s="47">
        <f>IF((Tabela3[Lucro Líquido]*5%)&gt;Tabela3[Teto R. Legal],Tabela3[Teto R. Legal],Tabela3[Lucro Líquido]*5%)</f>
        <v>12947450</v>
      </c>
      <c r="Q345" s="47">
        <f>IF(Tabela3[Lucro Líquido]&lt;0,0,Tabela3[Lucro Líquido]-Tabela3[Reserva Legal])</f>
        <v>246001550</v>
      </c>
      <c r="R345" s="47">
        <f>Tabela3[[#This Row],[Lucro Distribuir]]*Tabela3[%Div]</f>
        <v>61500387.5</v>
      </c>
      <c r="S345" s="56">
        <f>SUMPRODUCT(N(Tabela3[Nome]=Tabela3[[#This Row],[Nome]]),Tabela3[Ações])</f>
        <v>2864444110</v>
      </c>
      <c r="T345" s="87">
        <f>Tabela3[Capital Social]/Tabela3[Total Ações]</f>
        <v>0.2015748877711564</v>
      </c>
      <c r="U345" s="87">
        <f>Tabela3[[#This Row],[Lucro Líquido]]/Tabela3[[#This Row],[Total Ações]]</f>
        <v>9.040113545800689E-2</v>
      </c>
      <c r="V345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2.080224793895577E-2</v>
      </c>
      <c r="W345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5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5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2.080224793895577E-2</v>
      </c>
      <c r="Z345" s="7">
        <f>Tabela3[Div Base]*Tabela3[Ações]</f>
        <v>20512265.476381142</v>
      </c>
      <c r="AA345" s="7">
        <f>SUMPRODUCT(N(Tabela3[Nome]=Tabela3[[#This Row],[Nome]]),Tabela3[Div Base]*Tabela3[Ações])</f>
        <v>63494337.753094479</v>
      </c>
      <c r="AB345" s="74">
        <f>Tabela3[Patrimônio Líquido]/Tabela3[Total Ações]</f>
        <v>0.41455303521352349</v>
      </c>
      <c r="AC345" s="52">
        <f>MAX(Tabela3[[#This Row],[Cotação 1]:[Cotação 4]])</f>
        <v>0.75</v>
      </c>
      <c r="AD345" s="53">
        <f>Tabela3[Cotação]/Tabela3[VPA]</f>
        <v>1.8091774424319391</v>
      </c>
      <c r="AE345" s="37">
        <f>IF(Tabela3[[#This Row],[Lucro/Ação]]&gt;0,Tabela3[[#This Row],[Cotação]]/(Tabela3[[#This Row],[Lucro/Ação]]/Tabela3[Ref]*4),0)</f>
        <v>6.2222669787294027</v>
      </c>
      <c r="AF345" s="59" t="e">
        <f>IF(Tabela3[Div. Mínimo]=0,0,Tabela3[Lucro Distribuir]*#REF!/Tabela3[Total Ações])</f>
        <v>#REF!</v>
      </c>
      <c r="AG345" s="87">
        <f>Tabela3[Lucro Distribuir]/Tabela3[Total Ações]</f>
        <v>8.5881078685106554E-2</v>
      </c>
      <c r="AH345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2.080224793895577E-2</v>
      </c>
      <c r="AI345" s="10" t="str">
        <f>IF(AND(Tabela3[% A.A.]&gt;=7%,SUMPRODUCT(N(Tabela3[Nome]=Tabela3[[#This Row],[Nome]]),Tabela3[PL])&gt;0),"Sim","Não")</f>
        <v>Não</v>
      </c>
      <c r="AJ345" s="22">
        <f>IF(Tabela3[Cotação]&gt;0,Tabela3[[#This Row],[Lucro]]/Tabela3[[#This Row],[Cotação]],0)</f>
        <v>2.773633058527436E-2</v>
      </c>
      <c r="AK345" s="22">
        <f>((1+Tabela3[[#This Row],[% Yield]])^(1/(3*Tabela3[[#This Row],[Ref]])))^(12)-1</f>
        <v>3.7151688854028642E-2</v>
      </c>
      <c r="AL345" s="10">
        <f>IF(Tabela3[Cotação]&gt;0,($AS$1/Tabela3[[#This Row],[Cotação]]-MOD($AS$1/Tabela3[[#This Row],[Cotação]],100)),)</f>
        <v>1300</v>
      </c>
      <c r="AM345" s="7">
        <f>Tabela3[[#This Row],[Ativos]]*Tabela3[Lucro]</f>
        <v>27.0429223206425</v>
      </c>
      <c r="AN345" s="7">
        <f>SUMPRODUCT(N(Tabela1[Código]=Tabela3[[#This Row],[PAPEL]]),Tabela1[Fechamento])</f>
        <v>0</v>
      </c>
      <c r="AO345" s="7">
        <f>SUMPRODUCT(N(Tabela17[Código]=Tabela3[[#This Row],[PAPEL]]),Tabela17[Fechamento])</f>
        <v>0</v>
      </c>
      <c r="AP345" s="7">
        <f>SUMPRODUCT(N(Tabela176[Código]=Tabela3[[#This Row],[PAPEL]]),Tabela176[Fechamento])</f>
        <v>0</v>
      </c>
      <c r="AQ345" s="7">
        <f>SUMPRODUCT(N(Tabela1768[Código]=Tabela3[[#This Row],[PAPEL]]),Tabela1768[Fechamento])</f>
        <v>0.75</v>
      </c>
    </row>
    <row r="346" spans="1:43" hidden="1" x14ac:dyDescent="0.2">
      <c r="A346" s="3" t="s">
        <v>1050</v>
      </c>
      <c r="B346" s="58" t="s">
        <v>1057</v>
      </c>
      <c r="C346" s="16" t="str">
        <f>LEFT(Tabela3[PAPEL],LEN(Tabela3[PAPEL])-(LEN(Tabela3[PAPEL])-4))</f>
        <v>BMTO</v>
      </c>
      <c r="D346" s="16">
        <v>3</v>
      </c>
      <c r="E346" s="5">
        <v>577400000</v>
      </c>
      <c r="F346" s="56">
        <v>1878384068</v>
      </c>
      <c r="G346" s="83">
        <v>0.25</v>
      </c>
      <c r="H346" s="89"/>
      <c r="I346" s="18"/>
      <c r="J346" s="18">
        <v>0.1</v>
      </c>
      <c r="K346" s="16"/>
      <c r="L346" s="89"/>
      <c r="M346" s="94">
        <v>1187464000</v>
      </c>
      <c r="N346" s="73">
        <v>258949000</v>
      </c>
      <c r="O346" s="7">
        <f>Tabela3[[#This Row],[Capital Social]]*20%</f>
        <v>115480000</v>
      </c>
      <c r="P346" s="47">
        <f>IF((Tabela3[Lucro Líquido]*5%)&gt;Tabela3[Teto R. Legal],Tabela3[Teto R. Legal],Tabela3[Lucro Líquido]*5%)</f>
        <v>12947450</v>
      </c>
      <c r="Q346" s="47">
        <f>IF(Tabela3[Lucro Líquido]&lt;0,0,Tabela3[Lucro Líquido]-Tabela3[Reserva Legal])</f>
        <v>246001550</v>
      </c>
      <c r="R346" s="47">
        <f>Tabela3[[#This Row],[Lucro Distribuir]]*Tabela3[%Div]</f>
        <v>61500387.5</v>
      </c>
      <c r="S346" s="56">
        <f>SUMPRODUCT(N(Tabela3[Nome]=Tabela3[[#This Row],[Nome]]),Tabela3[Ações])</f>
        <v>2864444110</v>
      </c>
      <c r="T346" s="87">
        <f>Tabela3[Capital Social]/Tabela3[Total Ações]</f>
        <v>0.2015748877711564</v>
      </c>
      <c r="U346" s="87">
        <f>Tabela3[[#This Row],[Lucro Líquido]]/Tabela3[[#This Row],[Total Ações]]</f>
        <v>9.040113545800689E-2</v>
      </c>
      <c r="V346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2.2882472764197942E-2</v>
      </c>
      <c r="W346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6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6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2.2882472764197942E-2</v>
      </c>
      <c r="Z346" s="7">
        <f>Tabela3[Div Base]*Tabela3[Ações]</f>
        <v>42982072.276713334</v>
      </c>
      <c r="AA346" s="7">
        <f>SUMPRODUCT(N(Tabela3[Nome]=Tabela3[[#This Row],[Nome]]),Tabela3[Div Base]*Tabela3[Ações])</f>
        <v>63494337.753094479</v>
      </c>
      <c r="AB346" s="74">
        <f>Tabela3[Patrimônio Líquido]/Tabela3[Total Ações]</f>
        <v>0.41455303521352349</v>
      </c>
      <c r="AC346" s="52">
        <f>MAX(Tabela3[[#This Row],[Cotação 1]:[Cotação 4]])</f>
        <v>0.8</v>
      </c>
      <c r="AD346" s="53">
        <f>Tabela3[Cotação]/Tabela3[VPA]</f>
        <v>1.9297892719274017</v>
      </c>
      <c r="AE346" s="37">
        <f>IF(Tabela3[[#This Row],[Lucro/Ação]]&gt;0,Tabela3[[#This Row],[Cotação]]/(Tabela3[[#This Row],[Lucro/Ação]]/Tabela3[Ref]*4),0)</f>
        <v>6.6370847773113626</v>
      </c>
      <c r="AF346" s="59" t="e">
        <f>IF(Tabela3[Div. Mínimo]=0,0,Tabela3[Lucro Distribuir]*#REF!/Tabela3[Total Ações])</f>
        <v>#REF!</v>
      </c>
      <c r="AG346" s="87">
        <f>Tabela3[Lucro Distribuir]/Tabela3[Total Ações]</f>
        <v>8.5881078685106554E-2</v>
      </c>
      <c r="AH346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2.2882472764197942E-2</v>
      </c>
      <c r="AI346" s="10" t="str">
        <f>IF(AND(Tabela3[% A.A.]&gt;=7%,SUMPRODUCT(N(Tabela3[Nome]=Tabela3[[#This Row],[Nome]]),Tabela3[PL])&gt;0),"Sim","Não")</f>
        <v>Não</v>
      </c>
      <c r="AJ346" s="22">
        <f>IF(Tabela3[Cotação]&gt;0,Tabela3[[#This Row],[Lucro]]/Tabela3[[#This Row],[Cotação]],0)</f>
        <v>2.8603090955247427E-2</v>
      </c>
      <c r="AK346" s="22">
        <f>((1+Tabela3[[#This Row],[% Yield]])^(1/(3*Tabela3[[#This Row],[Ref]])))^(12)-1</f>
        <v>3.8318120736705596E-2</v>
      </c>
      <c r="AL346" s="10">
        <f>IF(Tabela3[Cotação]&gt;0,($AS$1/Tabela3[[#This Row],[Cotação]]-MOD($AS$1/Tabela3[[#This Row],[Cotação]],100)),)</f>
        <v>1200</v>
      </c>
      <c r="AM346" s="7">
        <f>Tabela3[[#This Row],[Ativos]]*Tabela3[Lucro]</f>
        <v>27.45896731703753</v>
      </c>
      <c r="AN346" s="7">
        <f>SUMPRODUCT(N(Tabela1[Código]=Tabela3[[#This Row],[PAPEL]]),Tabela1[Fechamento])</f>
        <v>0</v>
      </c>
      <c r="AO346" s="7">
        <f>SUMPRODUCT(N(Tabela17[Código]=Tabela3[[#This Row],[PAPEL]]),Tabela17[Fechamento])</f>
        <v>0</v>
      </c>
      <c r="AP346" s="7">
        <f>SUMPRODUCT(N(Tabela176[Código]=Tabela3[[#This Row],[PAPEL]]),Tabela176[Fechamento])</f>
        <v>0</v>
      </c>
      <c r="AQ346" s="7">
        <f>SUMPRODUCT(N(Tabela1768[Código]=Tabela3[[#This Row],[PAPEL]]),Tabela1768[Fechamento])</f>
        <v>0.8</v>
      </c>
    </row>
    <row r="347" spans="1:43" hidden="1" x14ac:dyDescent="0.2">
      <c r="A347" s="3" t="s">
        <v>1050</v>
      </c>
      <c r="B347" s="58" t="s">
        <v>1064</v>
      </c>
      <c r="C347" s="16" t="str">
        <f>LEFT(Tabela3[PAPEL],LEN(Tabela3[PAPEL])-(LEN(Tabela3[PAPEL])-4))</f>
        <v>MGLU</v>
      </c>
      <c r="D347" s="16">
        <v>3</v>
      </c>
      <c r="E347" s="5">
        <v>626911472</v>
      </c>
      <c r="F347" s="56">
        <v>186494467</v>
      </c>
      <c r="G347" s="83">
        <v>0.15</v>
      </c>
      <c r="H347" s="89"/>
      <c r="I347" s="18"/>
      <c r="K347" s="16"/>
      <c r="L347" s="89"/>
      <c r="M347" s="94">
        <v>697480000</v>
      </c>
      <c r="N347" s="73">
        <v>80832000</v>
      </c>
      <c r="O347" s="7">
        <f>Tabela3[[#This Row],[Capital Social]]*20%</f>
        <v>125382294.40000001</v>
      </c>
      <c r="P347" s="47">
        <f>IF((Tabela3[Lucro Líquido]*5%)&gt;Tabela3[Teto R. Legal],Tabela3[Teto R. Legal],Tabela3[Lucro Líquido]*5%)</f>
        <v>4041600</v>
      </c>
      <c r="Q347" s="47">
        <f>IF(Tabela3[Lucro Líquido]&lt;0,0,Tabela3[Lucro Líquido]-Tabela3[Reserva Legal])</f>
        <v>76790400</v>
      </c>
      <c r="R347" s="47">
        <f>Tabela3[[#This Row],[Lucro Distribuir]]*Tabela3[%Div]</f>
        <v>11518560</v>
      </c>
      <c r="S347" s="56">
        <f>SUMPRODUCT(N(Tabela3[Nome]=Tabela3[[#This Row],[Nome]]),Tabela3[Ações])</f>
        <v>186494467</v>
      </c>
      <c r="T347" s="87">
        <f>Tabela3[Capital Social]/Tabela3[Total Ações]</f>
        <v>3.3615553430869345</v>
      </c>
      <c r="U347" s="87">
        <f>Tabela3[[#This Row],[Lucro Líquido]]/Tabela3[[#This Row],[Total Ações]]</f>
        <v>0.43342840836130542</v>
      </c>
      <c r="V347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6.1763548191486023E-2</v>
      </c>
      <c r="W347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7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7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6.1763548191486023E-2</v>
      </c>
      <c r="Z347" s="7">
        <f>Tabela3[Div Base]*Tabela3[Ações]</f>
        <v>11518560</v>
      </c>
      <c r="AA347" s="7">
        <f>SUMPRODUCT(N(Tabela3[Nome]=Tabela3[[#This Row],[Nome]]),Tabela3[Div Base]*Tabela3[Ações])</f>
        <v>11518560</v>
      </c>
      <c r="AB347" s="74">
        <f>Tabela3[Patrimônio Líquido]/Tabela3[Total Ações]</f>
        <v>3.7399500972862643</v>
      </c>
      <c r="AC347" s="52">
        <f>MAX(Tabela3[[#This Row],[Cotação 1]:[Cotação 4]])</f>
        <v>7.98</v>
      </c>
      <c r="AD347" s="53">
        <f>Tabela3[Cotação]/Tabela3[VPA]</f>
        <v>2.1337183097149741</v>
      </c>
      <c r="AE347" s="37">
        <f>IF(Tabela3[[#This Row],[Lucro/Ação]]&gt;0,Tabela3[[#This Row],[Cotação]]/(Tabela3[[#This Row],[Lucro/Ação]]/Tabela3[Ref]*4),0)</f>
        <v>13.808508820702198</v>
      </c>
      <c r="AF347" s="59" t="e">
        <f>IF(Tabela3[Div. Mínimo]=0,0,Tabela3[Lucro Distribuir]*#REF!/Tabela3[Total Ações])</f>
        <v>#REF!</v>
      </c>
      <c r="AG347" s="87">
        <f>Tabela3[Lucro Distribuir]/Tabela3[Total Ações]</f>
        <v>0.41175698794324017</v>
      </c>
      <c r="AH347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6.1763548191486023E-2</v>
      </c>
      <c r="AI347" s="10" t="str">
        <f>IF(AND(Tabela3[% A.A.]&gt;=7%,SUMPRODUCT(N(Tabela3[Nome]=Tabela3[[#This Row],[Nome]]),Tabela3[PL])&gt;0),"Sim","Não")</f>
        <v>Não</v>
      </c>
      <c r="AJ347" s="22">
        <f>IF(Tabela3[Cotação]&gt;0,Tabela3[[#This Row],[Lucro]]/Tabela3[[#This Row],[Cotação]],0)</f>
        <v>7.7397930064518825E-3</v>
      </c>
      <c r="AK347" s="22">
        <f>((1+Tabela3[[#This Row],[% Yield]])^(1/(3*Tabela3[[#This Row],[Ref]])))^(12)-1</f>
        <v>1.0333013273909675E-2</v>
      </c>
      <c r="AL347" s="10">
        <f>IF(Tabela3[Cotação]&gt;0,($AS$1/Tabela3[[#This Row],[Cotação]]-MOD($AS$1/Tabela3[[#This Row],[Cotação]],100)),)</f>
        <v>100</v>
      </c>
      <c r="AM347" s="7">
        <f>Tabela3[[#This Row],[Ativos]]*Tabela3[Lucro]</f>
        <v>6.1763548191486022</v>
      </c>
      <c r="AN347" s="7">
        <f>SUMPRODUCT(N(Tabela1[Código]=Tabela3[[#This Row],[PAPEL]]),Tabela1[Fechamento])</f>
        <v>0</v>
      </c>
      <c r="AO347" s="7">
        <f>SUMPRODUCT(N(Tabela17[Código]=Tabela3[[#This Row],[PAPEL]]),Tabela17[Fechamento])</f>
        <v>0</v>
      </c>
      <c r="AP347" s="7">
        <f>SUMPRODUCT(N(Tabela176[Código]=Tabela3[[#This Row],[PAPEL]]),Tabela176[Fechamento])</f>
        <v>0</v>
      </c>
      <c r="AQ347" s="7">
        <f>SUMPRODUCT(N(Tabela1768[Código]=Tabela3[[#This Row],[PAPEL]]),Tabela1768[Fechamento])</f>
        <v>7.98</v>
      </c>
    </row>
    <row r="348" spans="1:43" hidden="1" x14ac:dyDescent="0.2">
      <c r="A348" s="3" t="s">
        <v>1050</v>
      </c>
      <c r="B348" s="58" t="s">
        <v>1067</v>
      </c>
      <c r="C348" s="16" t="str">
        <f>LEFT(Tabela3[PAPEL],LEN(Tabela3[PAPEL])-(LEN(Tabela3[PAPEL])-4))</f>
        <v>VVAR</v>
      </c>
      <c r="D348" s="16">
        <v>3</v>
      </c>
      <c r="E348" s="5"/>
      <c r="G348" s="83">
        <v>0.25</v>
      </c>
      <c r="H348" s="89"/>
      <c r="I348" s="18"/>
      <c r="K348" s="16">
        <v>1</v>
      </c>
      <c r="L348" s="89">
        <v>2</v>
      </c>
      <c r="M348" s="94">
        <v>3137683000</v>
      </c>
      <c r="N348" s="73">
        <v>390278000</v>
      </c>
      <c r="O348" s="7">
        <f>Tabela3[[#This Row],[Capital Social]]*20%</f>
        <v>0</v>
      </c>
      <c r="P348" s="47">
        <f>IF((Tabela3[Lucro Líquido]*5%)&gt;Tabela3[Teto R. Legal],Tabela3[Teto R. Legal],Tabela3[Lucro Líquido]*5%)</f>
        <v>0</v>
      </c>
      <c r="Q348" s="47">
        <f>IF(Tabela3[Lucro Líquido]&lt;0,0,Tabela3[Lucro Líquido]-Tabela3[Reserva Legal])</f>
        <v>390278000</v>
      </c>
      <c r="R348" s="47">
        <f>Tabela3[[#This Row],[Lucro Distribuir]]*Tabela3[%Div]</f>
        <v>97569500</v>
      </c>
      <c r="S348" s="56">
        <f>SUMPRODUCT(N(Tabela3[Nome]=Tabela3[[#This Row],[Nome]]),Tabela3[Ações])</f>
        <v>1290751144</v>
      </c>
      <c r="T348" s="87">
        <f>Tabela3[Capital Social]/Tabela3[Total Ações]</f>
        <v>0</v>
      </c>
      <c r="U348" s="87">
        <f>Tabela3[[#This Row],[Lucro Líquido]]/Tabela3[[#This Row],[Total Ações]]</f>
        <v>0.30236502350913275</v>
      </c>
      <c r="V348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48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8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8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48" s="7">
        <f>Tabela3[Div Base]*Tabela3[Ações]</f>
        <v>0</v>
      </c>
      <c r="AA348" s="7">
        <f>SUMPRODUCT(N(Tabela3[Nome]=Tabela3[[#This Row],[Nome]]),Tabela3[Div Base]*Tabela3[Ações])</f>
        <v>92691025</v>
      </c>
      <c r="AB348" s="74">
        <f>Tabela3[Patrimônio Líquido]/Tabela3[Total Ações]</f>
        <v>2.4308969351570067</v>
      </c>
      <c r="AC348" s="52">
        <f>MAX(Tabela3[[#This Row],[Cotação 1]:[Cotação 4]])</f>
        <v>24.33</v>
      </c>
      <c r="AD348" s="53">
        <f>Tabela3[Cotação]/Tabela3[VPA]</f>
        <v>10.008651394522644</v>
      </c>
      <c r="AE348" s="37">
        <f>IF(Tabela3[[#This Row],[Lucro/Ação]]&gt;0,Tabela3[[#This Row],[Cotação]]/(Tabela3[[#This Row],[Lucro/Ação]]/Tabela3[Ref]*4),0)</f>
        <v>60.349242079082089</v>
      </c>
      <c r="AF348" s="59">
        <f>IF(Tabela3[Div. Mínimo]=0,0,Tabela3[Lucro Distribuir]*#REF!/Tabela3[Total Ações])</f>
        <v>0</v>
      </c>
      <c r="AG348" s="87">
        <f>Tabela3[Lucro Distribuir]/Tabela3[Total Ações]</f>
        <v>0.30236502350913275</v>
      </c>
      <c r="AH348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0.21543507925025709</v>
      </c>
      <c r="AI348" s="10" t="str">
        <f>IF(AND(Tabela3[% A.A.]&gt;=7%,SUMPRODUCT(N(Tabela3[Nome]=Tabela3[[#This Row],[Nome]]),Tabela3[PL])&gt;0),"Sim","Não")</f>
        <v>Não</v>
      </c>
      <c r="AJ348" s="22">
        <f>IF(Tabela3[Cotação]&gt;0,Tabela3[[#This Row],[Lucro]]/Tabela3[[#This Row],[Cotação]],0)</f>
        <v>8.8547093814326794E-3</v>
      </c>
      <c r="AK348" s="22">
        <f>((1+Tabela3[[#This Row],[% Yield]])^(1/(3*Tabela3[[#This Row],[Ref]])))^(12)-1</f>
        <v>1.1823668545129618E-2</v>
      </c>
      <c r="AL348" s="10">
        <f>IF(Tabela3[Cotação]&gt;0,($AS$1/Tabela3[[#This Row],[Cotação]]-MOD($AS$1/Tabela3[[#This Row],[Cotação]],100)),)</f>
        <v>0</v>
      </c>
      <c r="AM348" s="7">
        <f>Tabela3[[#This Row],[Ativos]]*Tabela3[Lucro]</f>
        <v>0</v>
      </c>
      <c r="AN348" s="7">
        <f>SUMPRODUCT(N(Tabela1[Código]=Tabela3[[#This Row],[PAPEL]]),Tabela1[Fechamento])</f>
        <v>0</v>
      </c>
      <c r="AO348" s="7">
        <f>SUMPRODUCT(N(Tabela17[Código]=Tabela3[[#This Row],[PAPEL]]),Tabela17[Fechamento])</f>
        <v>0</v>
      </c>
      <c r="AP348" s="7">
        <f>SUMPRODUCT(N(Tabela176[Código]=Tabela3[[#This Row],[PAPEL]]),Tabela176[Fechamento])</f>
        <v>0</v>
      </c>
      <c r="AQ348" s="7">
        <f>SUMPRODUCT(N(Tabela1768[Código]=Tabela3[[#This Row],[PAPEL]]),Tabela1768[Fechamento])</f>
        <v>24.33</v>
      </c>
    </row>
    <row r="349" spans="1:43" hidden="1" x14ac:dyDescent="0.2">
      <c r="A349" s="3" t="s">
        <v>1050</v>
      </c>
      <c r="B349" s="58" t="s">
        <v>1068</v>
      </c>
      <c r="C349" s="16" t="str">
        <f>LEFT(Tabela3[PAPEL],LEN(Tabela3[PAPEL])-(LEN(Tabela3[PAPEL])-4))</f>
        <v>VVAR</v>
      </c>
      <c r="D349" s="16">
        <v>3</v>
      </c>
      <c r="E349" s="5">
        <v>2895452570.5900002</v>
      </c>
      <c r="F349" s="56">
        <v>659164518</v>
      </c>
      <c r="G349" s="83">
        <v>0.25</v>
      </c>
      <c r="H349" s="89"/>
      <c r="I349" s="18"/>
      <c r="K349" s="16"/>
      <c r="L349" s="89"/>
      <c r="M349" s="94">
        <v>3137683000</v>
      </c>
      <c r="N349" s="73">
        <v>390278000</v>
      </c>
      <c r="O349" s="7">
        <f>Tabela3[[#This Row],[Capital Social]]*20%</f>
        <v>579090514.11800003</v>
      </c>
      <c r="P349" s="47">
        <f>IF((Tabela3[Lucro Líquido]*5%)&gt;Tabela3[Teto R. Legal],Tabela3[Teto R. Legal],Tabela3[Lucro Líquido]*5%)</f>
        <v>19513900</v>
      </c>
      <c r="Q349" s="47">
        <f>IF(Tabela3[Lucro Líquido]&lt;0,0,Tabela3[Lucro Líquido]-Tabela3[Reserva Legal])</f>
        <v>370764100</v>
      </c>
      <c r="R349" s="47">
        <f>Tabela3[[#This Row],[Lucro Distribuir]]*Tabela3[%Div]</f>
        <v>92691025</v>
      </c>
      <c r="S349" s="56">
        <f>SUMPRODUCT(N(Tabela3[Nome]=Tabela3[[#This Row],[Nome]]),Tabela3[Ações])</f>
        <v>1290751144</v>
      </c>
      <c r="T349" s="87">
        <f>Tabela3[Capital Social]/Tabela3[Total Ações]</f>
        <v>2.2432306831951179</v>
      </c>
      <c r="U349" s="87">
        <f>Tabela3[[#This Row],[Lucro Líquido]]/Tabela3[[#This Row],[Total Ações]]</f>
        <v>0.30236502350913275</v>
      </c>
      <c r="V349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7.1811693083419031E-2</v>
      </c>
      <c r="W349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49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49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7.1811693083419031E-2</v>
      </c>
      <c r="Z349" s="7">
        <f>Tabela3[Div Base]*Tabela3[Ações]</f>
        <v>47335720.058095843</v>
      </c>
      <c r="AA349" s="7">
        <f>SUMPRODUCT(N(Tabela3[Nome]=Tabela3[[#This Row],[Nome]]),Tabela3[Div Base]*Tabela3[Ações])</f>
        <v>92691025</v>
      </c>
      <c r="AB349" s="74">
        <f>Tabela3[Patrimônio Líquido]/Tabela3[Total Ações]</f>
        <v>2.4308969351570067</v>
      </c>
      <c r="AC349" s="52">
        <f>MAX(Tabela3[[#This Row],[Cotação 1]:[Cotação 4]])</f>
        <v>6.22</v>
      </c>
      <c r="AD349" s="53">
        <f>Tabela3[Cotação]/Tabela3[VPA]</f>
        <v>2.5587263326728671</v>
      </c>
      <c r="AE349" s="37">
        <f>IF(Tabela3[[#This Row],[Lucro/Ação]]&gt;0,Tabela3[[#This Row],[Cotação]]/(Tabela3[[#This Row],[Lucro/Ação]]/Tabela3[Ref]*4),0)</f>
        <v>15.428371793337057</v>
      </c>
      <c r="AF349" s="59" t="e">
        <f>IF(Tabela3[Div. Mínimo]=0,0,Tabela3[Lucro Distribuir]*#REF!/Tabela3[Total Ações])</f>
        <v>#REF!</v>
      </c>
      <c r="AG349" s="87">
        <f>Tabela3[Lucro Distribuir]/Tabela3[Total Ações]</f>
        <v>0.28724677233367613</v>
      </c>
      <c r="AH349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7.1811693083419031E-2</v>
      </c>
      <c r="AI349" s="10" t="str">
        <f>IF(AND(Tabela3[% A.A.]&gt;=7%,SUMPRODUCT(N(Tabela3[Nome]=Tabela3[[#This Row],[Nome]]),Tabela3[PL])&gt;0),"Sim","Não")</f>
        <v>Não</v>
      </c>
      <c r="AJ349" s="22">
        <f>IF(Tabela3[Cotação]&gt;0,Tabela3[[#This Row],[Lucro]]/Tabela3[[#This Row],[Cotação]],0)</f>
        <v>1.1545288277077015E-2</v>
      </c>
      <c r="AK349" s="22">
        <f>((1+Tabela3[[#This Row],[% Yield]])^(1/(3*Tabela3[[#This Row],[Ref]])))^(12)-1</f>
        <v>1.5423262888451639E-2</v>
      </c>
      <c r="AL349" s="10">
        <f>IF(Tabela3[Cotação]&gt;0,($AS$1/Tabela3[[#This Row],[Cotação]]-MOD($AS$1/Tabela3[[#This Row],[Cotação]],100)),)</f>
        <v>100</v>
      </c>
      <c r="AM349" s="7">
        <f>Tabela3[[#This Row],[Ativos]]*Tabela3[Lucro]</f>
        <v>7.1811693083419028</v>
      </c>
      <c r="AN349" s="7">
        <f>SUMPRODUCT(N(Tabela1[Código]=Tabela3[[#This Row],[PAPEL]]),Tabela1[Fechamento])</f>
        <v>0</v>
      </c>
      <c r="AO349" s="7">
        <f>SUMPRODUCT(N(Tabela17[Código]=Tabela3[[#This Row],[PAPEL]]),Tabela17[Fechamento])</f>
        <v>0</v>
      </c>
      <c r="AP349" s="7">
        <f>SUMPRODUCT(N(Tabela176[Código]=Tabela3[[#This Row],[PAPEL]]),Tabela176[Fechamento])</f>
        <v>0</v>
      </c>
      <c r="AQ349" s="7">
        <f>SUMPRODUCT(N(Tabela1768[Código]=Tabela3[[#This Row],[PAPEL]]),Tabela1768[Fechamento])</f>
        <v>6.22</v>
      </c>
    </row>
    <row r="350" spans="1:43" hidden="1" x14ac:dyDescent="0.2">
      <c r="A350" s="3" t="s">
        <v>1050</v>
      </c>
      <c r="B350" s="58" t="s">
        <v>1069</v>
      </c>
      <c r="C350" s="16" t="str">
        <f>LEFT(Tabela3[PAPEL],LEN(Tabela3[PAPEL])-(LEN(Tabela3[PAPEL])-4))</f>
        <v>VVAR</v>
      </c>
      <c r="D350" s="16">
        <v>3</v>
      </c>
      <c r="E350" s="5">
        <v>2895452570.5900002</v>
      </c>
      <c r="F350" s="56">
        <v>631586626</v>
      </c>
      <c r="G350" s="83">
        <v>0.25</v>
      </c>
      <c r="H350" s="89"/>
      <c r="I350" s="18"/>
      <c r="K350" s="16"/>
      <c r="L350" s="89"/>
      <c r="M350" s="94">
        <v>3137683000</v>
      </c>
      <c r="N350" s="73">
        <v>390278000</v>
      </c>
      <c r="O350" s="7">
        <f>Tabela3[[#This Row],[Capital Social]]*20%</f>
        <v>579090514.11800003</v>
      </c>
      <c r="P350" s="47">
        <f>IF((Tabela3[Lucro Líquido]*5%)&gt;Tabela3[Teto R. Legal],Tabela3[Teto R. Legal],Tabela3[Lucro Líquido]*5%)</f>
        <v>19513900</v>
      </c>
      <c r="Q350" s="47">
        <f>IF(Tabela3[Lucro Líquido]&lt;0,0,Tabela3[Lucro Líquido]-Tabela3[Reserva Legal])</f>
        <v>370764100</v>
      </c>
      <c r="R350" s="47">
        <f>Tabela3[[#This Row],[Lucro Distribuir]]*Tabela3[%Div]</f>
        <v>92691025</v>
      </c>
      <c r="S350" s="56">
        <f>SUMPRODUCT(N(Tabela3[Nome]=Tabela3[[#This Row],[Nome]]),Tabela3[Ações])</f>
        <v>1290751144</v>
      </c>
      <c r="T350" s="87">
        <f>Tabela3[Capital Social]/Tabela3[Total Ações]</f>
        <v>2.2432306831951179</v>
      </c>
      <c r="U350" s="87">
        <f>Tabela3[[#This Row],[Lucro Líquido]]/Tabela3[[#This Row],[Total Ações]]</f>
        <v>0.30236502350913275</v>
      </c>
      <c r="V350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7.1811693083419031E-2</v>
      </c>
      <c r="W350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0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50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7.1811693083419031E-2</v>
      </c>
      <c r="Z350" s="7">
        <f>Tabela3[Div Base]*Tabela3[Ações]</f>
        <v>45355304.941904165</v>
      </c>
      <c r="AA350" s="7">
        <f>SUMPRODUCT(N(Tabela3[Nome]=Tabela3[[#This Row],[Nome]]),Tabela3[Div Base]*Tabela3[Ações])</f>
        <v>92691025</v>
      </c>
      <c r="AB350" s="74">
        <f>Tabela3[Patrimônio Líquido]/Tabela3[Total Ações]</f>
        <v>2.4308969351570067</v>
      </c>
      <c r="AC350" s="52">
        <f>MAX(Tabela3[[#This Row],[Cotação 1]:[Cotação 4]])</f>
        <v>0</v>
      </c>
      <c r="AD350" s="53">
        <f>Tabela3[Cotação]/Tabela3[VPA]</f>
        <v>0</v>
      </c>
      <c r="AE350" s="37">
        <f>IF(Tabela3[[#This Row],[Lucro/Ação]]&gt;0,Tabela3[[#This Row],[Cotação]]/(Tabela3[[#This Row],[Lucro/Ação]]/Tabela3[Ref]*4),0)</f>
        <v>0</v>
      </c>
      <c r="AF350" s="59" t="e">
        <f>IF(Tabela3[Div. Mínimo]=0,0,Tabela3[Lucro Distribuir]*#REF!/Tabela3[Total Ações])</f>
        <v>#REF!</v>
      </c>
      <c r="AG350" s="87">
        <f>Tabela3[Lucro Distribuir]/Tabela3[Total Ações]</f>
        <v>0.28724677233367613</v>
      </c>
      <c r="AH350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7.1811693083419031E-2</v>
      </c>
      <c r="AI350" s="10" t="str">
        <f>IF(AND(Tabela3[% A.A.]&gt;=7%,SUMPRODUCT(N(Tabela3[Nome]=Tabela3[[#This Row],[Nome]]),Tabela3[PL])&gt;0),"Sim","Não")</f>
        <v>Não</v>
      </c>
      <c r="AJ350" s="22">
        <f>IF(Tabela3[Cotação]&gt;0,Tabela3[[#This Row],[Lucro]]/Tabela3[[#This Row],[Cotação]],0)</f>
        <v>0</v>
      </c>
      <c r="AK350" s="22">
        <f>((1+Tabela3[[#This Row],[% Yield]])^(1/(3*Tabela3[[#This Row],[Ref]])))^(12)-1</f>
        <v>0</v>
      </c>
      <c r="AL350" s="10">
        <f>IF(Tabela3[Cotação]&gt;0,($AS$1/Tabela3[[#This Row],[Cotação]]-MOD($AS$1/Tabela3[[#This Row],[Cotação]],100)),)</f>
        <v>0</v>
      </c>
      <c r="AM350" s="7">
        <f>Tabela3[[#This Row],[Ativos]]*Tabela3[Lucro]</f>
        <v>0</v>
      </c>
      <c r="AN350" s="7">
        <f>SUMPRODUCT(N(Tabela1[Código]=Tabela3[[#This Row],[PAPEL]]),Tabela1[Fechamento])</f>
        <v>0</v>
      </c>
      <c r="AO350" s="7">
        <f>SUMPRODUCT(N(Tabela17[Código]=Tabela3[[#This Row],[PAPEL]]),Tabela17[Fechamento])</f>
        <v>0</v>
      </c>
      <c r="AP350" s="7">
        <f>SUMPRODUCT(N(Tabela176[Código]=Tabela3[[#This Row],[PAPEL]]),Tabela176[Fechamento])</f>
        <v>0</v>
      </c>
      <c r="AQ350" s="7">
        <f>SUMPRODUCT(N(Tabela1768[Código]=Tabela3[[#This Row],[PAPEL]]),Tabela1768[Fechamento])</f>
        <v>0</v>
      </c>
    </row>
    <row r="351" spans="1:43" hidden="1" x14ac:dyDescent="0.2">
      <c r="A351" s="3" t="s">
        <v>1050</v>
      </c>
      <c r="B351" s="58" t="s">
        <v>1079</v>
      </c>
      <c r="C351" s="16" t="str">
        <f>LEFT(Tabela3[PAPEL],LEN(Tabela3[PAPEL])-(LEN(Tabela3[PAPEL])-4))</f>
        <v>IGBR</v>
      </c>
      <c r="D351" s="16">
        <v>3</v>
      </c>
      <c r="E351" s="5">
        <v>41000000</v>
      </c>
      <c r="F351" s="56">
        <v>12504967</v>
      </c>
      <c r="G351" s="83">
        <v>0.25</v>
      </c>
      <c r="H351" s="89"/>
      <c r="I351" s="18"/>
      <c r="K351" s="16"/>
      <c r="L351" s="89"/>
      <c r="M351" s="94">
        <v>-145474000</v>
      </c>
      <c r="N351" s="73">
        <v>-89770000</v>
      </c>
      <c r="O351" s="7">
        <f>Tabela3[[#This Row],[Capital Social]]*20%</f>
        <v>8200000</v>
      </c>
      <c r="P351" s="47">
        <f>IF((Tabela3[Lucro Líquido]*5%)&gt;Tabela3[Teto R. Legal],Tabela3[Teto R. Legal],Tabela3[Lucro Líquido]*5%)</f>
        <v>-4488500</v>
      </c>
      <c r="Q351" s="47">
        <f>IF(Tabela3[Lucro Líquido]&lt;0,0,Tabela3[Lucro Líquido]-Tabela3[Reserva Legal])</f>
        <v>0</v>
      </c>
      <c r="R351" s="47">
        <f>Tabela3[[#This Row],[Lucro Distribuir]]*Tabela3[%Div]</f>
        <v>0</v>
      </c>
      <c r="S351" s="56">
        <f>SUMPRODUCT(N(Tabela3[Nome]=Tabela3[[#This Row],[Nome]]),Tabela3[Ações])</f>
        <v>12504967</v>
      </c>
      <c r="T351" s="87">
        <f>Tabela3[Capital Social]/Tabela3[Total Ações]</f>
        <v>3.278697176889791</v>
      </c>
      <c r="U351" s="87">
        <f>Tabela3[[#This Row],[Lucro Líquido]]/Tabela3[[#This Row],[Total Ações]]</f>
        <v>-7.1787474529121109</v>
      </c>
      <c r="V351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W351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1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51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Z351" s="7">
        <f>Tabela3[Div Base]*Tabela3[Ações]</f>
        <v>0</v>
      </c>
      <c r="AA351" s="7">
        <f>SUMPRODUCT(N(Tabela3[Nome]=Tabela3[[#This Row],[Nome]]),Tabela3[Div Base]*Tabela3[Ações])</f>
        <v>0</v>
      </c>
      <c r="AB351" s="74">
        <f>Tabela3[Patrimônio Líquido]/Tabela3[Total Ações]</f>
        <v>-11.633297392947938</v>
      </c>
      <c r="AC351" s="52">
        <f>MAX(Tabela3[[#This Row],[Cotação 1]:[Cotação 4]])</f>
        <v>3.9</v>
      </c>
      <c r="AD351" s="53">
        <f>Tabela3[Cotação]/Tabela3[VPA]</f>
        <v>-0.33524458872375817</v>
      </c>
      <c r="AE351" s="37">
        <f>IF(Tabela3[[#This Row],[Lucro/Ação]]&gt;0,Tabela3[[#This Row],[Cotação]]/(Tabela3[[#This Row],[Lucro/Ação]]/Tabela3[Ref]*4),0)</f>
        <v>0</v>
      </c>
      <c r="AF351" s="59">
        <f>IF(Tabela3[Div. Mínimo]=0,0,Tabela3[Lucro Distribuir]*#REF!/Tabela3[Total Ações])</f>
        <v>0</v>
      </c>
      <c r="AG351" s="87">
        <f>Tabela3[Lucro Distribuir]/Tabela3[Total Ações]</f>
        <v>0</v>
      </c>
      <c r="AH351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I351" s="10" t="str">
        <f>IF(AND(Tabela3[% A.A.]&gt;=7%,SUMPRODUCT(N(Tabela3[Nome]=Tabela3[[#This Row],[Nome]]),Tabela3[PL])&gt;0),"Sim","Não")</f>
        <v>Não</v>
      </c>
      <c r="AJ351" s="22">
        <f>IF(Tabela3[Cotação]&gt;0,Tabela3[[#This Row],[Lucro]]/Tabela3[[#This Row],[Cotação]],0)</f>
        <v>0</v>
      </c>
      <c r="AK351" s="22">
        <f>((1+Tabela3[[#This Row],[% Yield]])^(1/(3*Tabela3[[#This Row],[Ref]])))^(12)-1</f>
        <v>0</v>
      </c>
      <c r="AL351" s="10">
        <f>IF(Tabela3[Cotação]&gt;0,($AS$1/Tabela3[[#This Row],[Cotação]]-MOD($AS$1/Tabela3[[#This Row],[Cotação]],100)),)</f>
        <v>200</v>
      </c>
      <c r="AM351" s="7">
        <f>Tabela3[[#This Row],[Ativos]]*Tabela3[Lucro]</f>
        <v>0</v>
      </c>
      <c r="AN351" s="7">
        <f>SUMPRODUCT(N(Tabela1[Código]=Tabela3[[#This Row],[PAPEL]]),Tabela1[Fechamento])</f>
        <v>0</v>
      </c>
      <c r="AO351" s="7">
        <f>SUMPRODUCT(N(Tabela17[Código]=Tabela3[[#This Row],[PAPEL]]),Tabela17[Fechamento])</f>
        <v>0</v>
      </c>
      <c r="AP351" s="7">
        <f>SUMPRODUCT(N(Tabela176[Código]=Tabela3[[#This Row],[PAPEL]]),Tabela176[Fechamento])</f>
        <v>0</v>
      </c>
      <c r="AQ351" s="7">
        <f>SUMPRODUCT(N(Tabela1768[Código]=Tabela3[[#This Row],[PAPEL]]),Tabela1768[Fechamento])</f>
        <v>3.9</v>
      </c>
    </row>
    <row r="352" spans="1:43" hidden="1" x14ac:dyDescent="0.2">
      <c r="A352" s="3" t="s">
        <v>1050</v>
      </c>
      <c r="B352" s="58" t="s">
        <v>1084</v>
      </c>
      <c r="C352" s="16" t="str">
        <f>LEFT(Tabela3[PAPEL],LEN(Tabela3[PAPEL])-(LEN(Tabela3[PAPEL])-4))</f>
        <v>HGTX</v>
      </c>
      <c r="D352" s="16">
        <v>3</v>
      </c>
      <c r="E352" s="5">
        <v>239435255.55000001</v>
      </c>
      <c r="F352" s="56">
        <v>164611187</v>
      </c>
      <c r="G352" s="83">
        <v>0.25</v>
      </c>
      <c r="H352" s="89"/>
      <c r="I352" s="18"/>
      <c r="K352" s="16"/>
      <c r="L352" s="89"/>
      <c r="M352" s="94">
        <v>867402000</v>
      </c>
      <c r="N352" s="73">
        <v>216477000</v>
      </c>
      <c r="O352" s="7">
        <f>Tabela3[[#This Row],[Capital Social]]*20%</f>
        <v>47887051.110000007</v>
      </c>
      <c r="P352" s="47">
        <f>IF((Tabela3[Lucro Líquido]*5%)&gt;Tabela3[Teto R. Legal],Tabela3[Teto R. Legal],Tabela3[Lucro Líquido]*5%)</f>
        <v>10823850</v>
      </c>
      <c r="Q352" s="47">
        <f>IF(Tabela3[Lucro Líquido]&lt;0,0,Tabela3[Lucro Líquido]-Tabela3[Reserva Legal])</f>
        <v>205653150</v>
      </c>
      <c r="R352" s="47">
        <f>Tabela3[[#This Row],[Lucro Distribuir]]*Tabela3[%Div]</f>
        <v>51413287.5</v>
      </c>
      <c r="S352" s="56">
        <f>SUMPRODUCT(N(Tabela3[Nome]=Tabela3[[#This Row],[Nome]]),Tabela3[Ações])</f>
        <v>164611187</v>
      </c>
      <c r="T352" s="87">
        <f>Tabela3[Capital Social]/Tabela3[Total Ações]</f>
        <v>1.454550325003124</v>
      </c>
      <c r="U352" s="87">
        <f>Tabela3[[#This Row],[Lucro Líquido]]/Tabela3[[#This Row],[Total Ações]]</f>
        <v>1.3150807302057788</v>
      </c>
      <c r="V352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0.31233167342387247</v>
      </c>
      <c r="W352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2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52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0.31233167342387247</v>
      </c>
      <c r="Z352" s="7">
        <f>Tabela3[Div Base]*Tabela3[Ações]</f>
        <v>51413287.5</v>
      </c>
      <c r="AA352" s="7">
        <f>SUMPRODUCT(N(Tabela3[Nome]=Tabela3[[#This Row],[Nome]]),Tabela3[Div Base]*Tabela3[Ações])</f>
        <v>51413287.5</v>
      </c>
      <c r="AB352" s="74">
        <f>Tabela3[Patrimônio Líquido]/Tabela3[Total Ações]</f>
        <v>5.2693988531897284</v>
      </c>
      <c r="AC352" s="52">
        <f>MAX(Tabela3[[#This Row],[Cotação 1]:[Cotação 4]])</f>
        <v>24.86</v>
      </c>
      <c r="AD352" s="53">
        <f>Tabela3[Cotação]/Tabela3[VPA]</f>
        <v>4.7178057104087845</v>
      </c>
      <c r="AE352" s="37">
        <f>IF(Tabela3[[#This Row],[Lucro/Ação]]&gt;0,Tabela3[[#This Row],[Cotação]]/(Tabela3[[#This Row],[Lucro/Ação]]/Tabela3[Ref]*4),0)</f>
        <v>14.177836821533003</v>
      </c>
      <c r="AF352" s="59" t="e">
        <f>IF(Tabela3[Div. Mínimo]=0,0,Tabela3[Lucro Distribuir]*#REF!/Tabela3[Total Ações])</f>
        <v>#REF!</v>
      </c>
      <c r="AG352" s="87">
        <f>Tabela3[Lucro Distribuir]/Tabela3[Total Ações]</f>
        <v>1.2493266936954899</v>
      </c>
      <c r="AH352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0.31233167342387247</v>
      </c>
      <c r="AI352" s="10" t="str">
        <f>IF(AND(Tabela3[% A.A.]&gt;=7%,SUMPRODUCT(N(Tabela3[Nome]=Tabela3[[#This Row],[Nome]]),Tabela3[PL])&gt;0),"Sim","Não")</f>
        <v>Não</v>
      </c>
      <c r="AJ352" s="22">
        <f>IF(Tabela3[Cotação]&gt;0,Tabela3[[#This Row],[Lucro]]/Tabela3[[#This Row],[Cotação]],0)</f>
        <v>1.2563623227026246E-2</v>
      </c>
      <c r="AK352" s="22">
        <f>((1+Tabela3[[#This Row],[% Yield]])^(1/(3*Tabela3[[#This Row],[Ref]])))^(12)-1</f>
        <v>1.6786476798524186E-2</v>
      </c>
      <c r="AL352" s="10">
        <f>IF(Tabela3[Cotação]&gt;0,($AS$1/Tabela3[[#This Row],[Cotação]]-MOD($AS$1/Tabela3[[#This Row],[Cotação]],100)),)</f>
        <v>0</v>
      </c>
      <c r="AM352" s="7">
        <f>Tabela3[[#This Row],[Ativos]]*Tabela3[Lucro]</f>
        <v>0</v>
      </c>
      <c r="AN352" s="7">
        <f>SUMPRODUCT(N(Tabela1[Código]=Tabela3[[#This Row],[PAPEL]]),Tabela1[Fechamento])</f>
        <v>0</v>
      </c>
      <c r="AO352" s="7">
        <f>SUMPRODUCT(N(Tabela17[Código]=Tabela3[[#This Row],[PAPEL]]),Tabela17[Fechamento])</f>
        <v>0</v>
      </c>
      <c r="AP352" s="7">
        <f>SUMPRODUCT(N(Tabela176[Código]=Tabela3[[#This Row],[PAPEL]]),Tabela176[Fechamento])</f>
        <v>0</v>
      </c>
      <c r="AQ352" s="7">
        <f>SUMPRODUCT(N(Tabela1768[Código]=Tabela3[[#This Row],[PAPEL]]),Tabela1768[Fechamento])</f>
        <v>24.86</v>
      </c>
    </row>
    <row r="353" spans="1:43" hidden="1" x14ac:dyDescent="0.2">
      <c r="A353" s="3" t="s">
        <v>1090</v>
      </c>
      <c r="B353" s="58" t="s">
        <v>1091</v>
      </c>
      <c r="C353" s="16" t="str">
        <f>LEFT(Tabela3[PAPEL],LEN(Tabela3[PAPEL])-(LEN(Tabela3[PAPEL])-4))</f>
        <v>CEDO</v>
      </c>
      <c r="D353" s="16">
        <v>3</v>
      </c>
      <c r="E353" s="5">
        <v>150000000</v>
      </c>
      <c r="F353" s="56">
        <v>5707104</v>
      </c>
      <c r="G353" s="83">
        <v>0.25</v>
      </c>
      <c r="H353" s="89"/>
      <c r="I353" s="18"/>
      <c r="K353" s="16"/>
      <c r="L353" s="89"/>
      <c r="M353" s="94">
        <v>305163000</v>
      </c>
      <c r="N353" s="73">
        <v>10263000</v>
      </c>
      <c r="O353" s="7">
        <f>Tabela3[[#This Row],[Capital Social]]*20%</f>
        <v>30000000</v>
      </c>
      <c r="P353" s="47">
        <f>IF((Tabela3[Lucro Líquido]*5%)&gt;Tabela3[Teto R. Legal],Tabela3[Teto R. Legal],Tabela3[Lucro Líquido]*5%)</f>
        <v>513150</v>
      </c>
      <c r="Q353" s="47">
        <f>IF(Tabela3[Lucro Líquido]&lt;0,0,Tabela3[Lucro Líquido]-Tabela3[Reserva Legal])</f>
        <v>9749850</v>
      </c>
      <c r="R353" s="47">
        <f>Tabela3[[#This Row],[Lucro Distribuir]]*Tabela3[%Div]</f>
        <v>2437462.5</v>
      </c>
      <c r="S353" s="56">
        <f>SUMPRODUCT(N(Tabela3[Nome]=Tabela3[[#This Row],[Nome]]),Tabela3[Ações])</f>
        <v>10000000</v>
      </c>
      <c r="T353" s="87">
        <f>Tabela3[Capital Social]/Tabela3[Total Ações]</f>
        <v>15</v>
      </c>
      <c r="U353" s="87">
        <f>Tabela3[[#This Row],[Lucro Líquido]]/Tabela3[[#This Row],[Total Ações]]</f>
        <v>1.0263</v>
      </c>
      <c r="V353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0.24374625</v>
      </c>
      <c r="W353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3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53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0.24374625</v>
      </c>
      <c r="Z353" s="7">
        <f>Tabela3[Div Base]*Tabela3[Ações]</f>
        <v>1391085.19836</v>
      </c>
      <c r="AA353" s="7">
        <f>SUMPRODUCT(N(Tabela3[Nome]=Tabela3[[#This Row],[Nome]]),Tabela3[Div Base]*Tabela3[Ações])</f>
        <v>2437462.5</v>
      </c>
      <c r="AB353" s="74">
        <f>Tabela3[Patrimônio Líquido]/Tabela3[Total Ações]</f>
        <v>30.516300000000001</v>
      </c>
      <c r="AC353" s="52">
        <f>MAX(Tabela3[[#This Row],[Cotação 1]:[Cotação 4]])</f>
        <v>11.5</v>
      </c>
      <c r="AD353" s="53">
        <f>Tabela3[Cotação]/Tabela3[VPA]</f>
        <v>0.376847782988108</v>
      </c>
      <c r="AE353" s="37">
        <f>IF(Tabela3[[#This Row],[Lucro/Ação]]&gt;0,Tabela3[[#This Row],[Cotação]]/(Tabela3[[#This Row],[Lucro/Ação]]/Tabela3[Ref]*4),0)</f>
        <v>8.4039754457760889</v>
      </c>
      <c r="AF353" s="59" t="e">
        <f>IF(Tabela3[Div. Mínimo]=0,0,Tabela3[Lucro Distribuir]*#REF!/Tabela3[Total Ações])</f>
        <v>#REF!</v>
      </c>
      <c r="AG353" s="87">
        <f>Tabela3[Lucro Distribuir]/Tabela3[Total Ações]</f>
        <v>0.97498499999999999</v>
      </c>
      <c r="AH353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0.24374625</v>
      </c>
      <c r="AI353" s="10" t="str">
        <f>IF(AND(Tabela3[% A.A.]&gt;=7%,SUMPRODUCT(N(Tabela3[Nome]=Tabela3[[#This Row],[Nome]]),Tabela3[PL])&gt;0),"Sim","Não")</f>
        <v>Não</v>
      </c>
      <c r="AJ353" s="22">
        <f>IF(Tabela3[Cotação]&gt;0,Tabela3[[#This Row],[Lucro]]/Tabela3[[#This Row],[Cotação]],0)</f>
        <v>2.1195326086956522E-2</v>
      </c>
      <c r="AK353" s="22">
        <f>((1+Tabela3[[#This Row],[% Yield]])^(1/(3*Tabela3[[#This Row],[Ref]])))^(12)-1</f>
        <v>2.8359800196967155E-2</v>
      </c>
      <c r="AL353" s="10">
        <f>IF(Tabela3[Cotação]&gt;0,($AS$1/Tabela3[[#This Row],[Cotação]]-MOD($AS$1/Tabela3[[#This Row],[Cotação]],100)),)</f>
        <v>0</v>
      </c>
      <c r="AM353" s="7">
        <f>Tabela3[[#This Row],[Ativos]]*Tabela3[Lucro]</f>
        <v>0</v>
      </c>
      <c r="AN353" s="7">
        <f>SUMPRODUCT(N(Tabela1[Código]=Tabela3[[#This Row],[PAPEL]]),Tabela1[Fechamento])</f>
        <v>0</v>
      </c>
      <c r="AO353" s="7">
        <f>SUMPRODUCT(N(Tabela17[Código]=Tabela3[[#This Row],[PAPEL]]),Tabela17[Fechamento])</f>
        <v>0</v>
      </c>
      <c r="AP353" s="7">
        <f>SUMPRODUCT(N(Tabela176[Código]=Tabela3[[#This Row],[PAPEL]]),Tabela176[Fechamento])</f>
        <v>0</v>
      </c>
      <c r="AQ353" s="7">
        <f>SUMPRODUCT(N(Tabela1768[Código]=Tabela3[[#This Row],[PAPEL]]),Tabela1768[Fechamento])</f>
        <v>11.5</v>
      </c>
    </row>
    <row r="354" spans="1:43" hidden="1" x14ac:dyDescent="0.2">
      <c r="A354" s="3" t="s">
        <v>1090</v>
      </c>
      <c r="B354" s="58" t="s">
        <v>1092</v>
      </c>
      <c r="C354" s="16" t="str">
        <f>LEFT(Tabela3[PAPEL],LEN(Tabela3[PAPEL])-(LEN(Tabela3[PAPEL])-4))</f>
        <v>CEDO</v>
      </c>
      <c r="D354" s="16">
        <v>3</v>
      </c>
      <c r="E354" s="5">
        <v>150000000</v>
      </c>
      <c r="F354" s="56">
        <v>4292896</v>
      </c>
      <c r="G354" s="83">
        <v>0.25</v>
      </c>
      <c r="H354" s="89"/>
      <c r="I354" s="18"/>
      <c r="K354" s="16"/>
      <c r="L354" s="89"/>
      <c r="M354" s="94">
        <v>305163000</v>
      </c>
      <c r="N354" s="73">
        <v>10263000</v>
      </c>
      <c r="O354" s="7">
        <f>Tabela3[[#This Row],[Capital Social]]*20%</f>
        <v>30000000</v>
      </c>
      <c r="P354" s="47">
        <f>IF((Tabela3[Lucro Líquido]*5%)&gt;Tabela3[Teto R. Legal],Tabela3[Teto R. Legal],Tabela3[Lucro Líquido]*5%)</f>
        <v>513150</v>
      </c>
      <c r="Q354" s="47">
        <f>IF(Tabela3[Lucro Líquido]&lt;0,0,Tabela3[Lucro Líquido]-Tabela3[Reserva Legal])</f>
        <v>9749850</v>
      </c>
      <c r="R354" s="47">
        <f>Tabela3[[#This Row],[Lucro Distribuir]]*Tabela3[%Div]</f>
        <v>2437462.5</v>
      </c>
      <c r="S354" s="56">
        <f>SUMPRODUCT(N(Tabela3[Nome]=Tabela3[[#This Row],[Nome]]),Tabela3[Ações])</f>
        <v>10000000</v>
      </c>
      <c r="T354" s="87">
        <f>Tabela3[Capital Social]/Tabela3[Total Ações]</f>
        <v>15</v>
      </c>
      <c r="U354" s="87">
        <f>Tabela3[[#This Row],[Lucro Líquido]]/Tabela3[[#This Row],[Total Ações]]</f>
        <v>1.0263</v>
      </c>
      <c r="V354" s="8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0.24374625</v>
      </c>
      <c r="W354" s="8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X354" s="79">
        <f>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</f>
        <v>0</v>
      </c>
      <c r="Y354" s="8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0.24374625</v>
      </c>
      <c r="Z354" s="7">
        <f>Tabela3[Div Base]*Tabela3[Ações]</f>
        <v>1046377.30164</v>
      </c>
      <c r="AA354" s="7">
        <f>SUMPRODUCT(N(Tabela3[Nome]=Tabela3[[#This Row],[Nome]]),Tabela3[Div Base]*Tabela3[Ações])</f>
        <v>2437462.5</v>
      </c>
      <c r="AB354" s="74">
        <f>Tabela3[Patrimônio Líquido]/Tabela3[Total Ações]</f>
        <v>30.516300000000001</v>
      </c>
      <c r="AC354" s="52">
        <f>MAX(Tabela3[[#This Row],[Cotação 1]:[Cotação 4]])</f>
        <v>11.1</v>
      </c>
      <c r="AD354" s="53">
        <f>Tabela3[Cotação]/Tabela3[VPA]</f>
        <v>0.36374003401460858</v>
      </c>
      <c r="AE354" s="37">
        <f>IF(Tabela3[[#This Row],[Lucro/Ação]]&gt;0,Tabela3[[#This Row],[Cotação]]/(Tabela3[[#This Row],[Lucro/Ação]]/Tabela3[Ref]*4),0)</f>
        <v>8.1116632563577902</v>
      </c>
      <c r="AF354" s="59" t="e">
        <f>IF(Tabela3[Div. Mínimo]=0,0,Tabela3[Lucro Distribuir]*#REF!/Tabela3[Total Ações])</f>
        <v>#REF!</v>
      </c>
      <c r="AG354" s="87">
        <f>Tabela3[Lucro Distribuir]/Tabela3[Total Ações]</f>
        <v>0.97498499999999999</v>
      </c>
      <c r="AH354" s="8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0.24374625</v>
      </c>
      <c r="AI354" s="10" t="str">
        <f>IF(AND(Tabela3[% A.A.]&gt;=7%,SUMPRODUCT(N(Tabela3[Nome]=Tabela3[[#This Row],[Nome]]),Tabela3[PL])&gt;0),"Sim","Não")</f>
        <v>Não</v>
      </c>
      <c r="AJ354" s="22">
        <f>IF(Tabela3[Cotação]&gt;0,Tabela3[[#This Row],[Lucro]]/Tabela3[[#This Row],[Cotação]],0)</f>
        <v>2.1959121621621624E-2</v>
      </c>
      <c r="AK354" s="22">
        <f>((1+Tabela3[[#This Row],[% Yield]])^(1/(3*Tabela3[[#This Row],[Ref]])))^(12)-1</f>
        <v>2.9385466883620426E-2</v>
      </c>
      <c r="AL354" s="10">
        <f>IF(Tabela3[Cotação]&gt;0,($AS$1/Tabela3[[#This Row],[Cotação]]-MOD($AS$1/Tabela3[[#This Row],[Cotação]],100)),)</f>
        <v>0</v>
      </c>
      <c r="AM354" s="7">
        <f>Tabela3[[#This Row],[Ativos]]*Tabela3[Lucro]</f>
        <v>0</v>
      </c>
      <c r="AN354" s="7">
        <f>SUMPRODUCT(N(Tabela1[Código]=Tabela3[[#This Row],[PAPEL]]),Tabela1[Fechamento])</f>
        <v>0</v>
      </c>
      <c r="AO354" s="7">
        <f>SUMPRODUCT(N(Tabela17[Código]=Tabela3[[#This Row],[PAPEL]]),Tabela17[Fechamento])</f>
        <v>0</v>
      </c>
      <c r="AP354" s="7">
        <f>SUMPRODUCT(N(Tabela176[Código]=Tabela3[[#This Row],[PAPEL]]),Tabela176[Fechamento])</f>
        <v>0</v>
      </c>
      <c r="AQ354" s="7">
        <f>SUMPRODUCT(N(Tabela1768[Código]=Tabela3[[#This Row],[PAPEL]]),Tabela1768[Fechamento])</f>
        <v>11.1</v>
      </c>
    </row>
  </sheetData>
  <hyperlinks>
    <hyperlink ref="B11" r:id="rId1"/>
    <hyperlink ref="B5" r:id="rId2"/>
    <hyperlink ref="B253" r:id="rId3" display="PINE4"/>
    <hyperlink ref="B35" r:id="rId4"/>
    <hyperlink ref="B34" r:id="rId5"/>
    <hyperlink ref="B64" r:id="rId6"/>
    <hyperlink ref="B63" r:id="rId7"/>
    <hyperlink ref="B62" r:id="rId8"/>
    <hyperlink ref="B251" r:id="rId9" display="BRKM3"/>
    <hyperlink ref="B58" r:id="rId10" display="BRKM3"/>
    <hyperlink ref="B242" r:id="rId11"/>
    <hyperlink ref="B55" r:id="rId12"/>
    <hyperlink ref="B67" r:id="rId13"/>
    <hyperlink ref="B66" r:id="rId14"/>
    <hyperlink ref="B323" r:id="rId15" display="BRGE3"/>
    <hyperlink ref="B80" r:id="rId16" display="BRGE3"/>
    <hyperlink ref="B56" r:id="rId17" display="BRGE3"/>
    <hyperlink ref="B120" r:id="rId18" display="BRGE3"/>
    <hyperlink ref="B49" r:id="rId19"/>
    <hyperlink ref="B48" r:id="rId20"/>
    <hyperlink ref="B116" r:id="rId21"/>
    <hyperlink ref="B117" r:id="rId22" display="CPLE3"/>
    <hyperlink ref="B53" r:id="rId23" display="CPLE3"/>
    <hyperlink ref="B115" r:id="rId24"/>
    <hyperlink ref="B36" r:id="rId25" display="BNBR4"/>
    <hyperlink ref="B37" r:id="rId26"/>
    <hyperlink ref="B216" r:id="rId27"/>
    <hyperlink ref="B154" r:id="rId28"/>
    <hyperlink ref="B19" r:id="rId29"/>
    <hyperlink ref="B184" r:id="rId30" display="GTDP4B"/>
    <hyperlink ref="B81" r:id="rId31" display="CEBR3"/>
    <hyperlink ref="B50" r:id="rId32" display="CEBR3"/>
    <hyperlink ref="B79" r:id="rId33"/>
    <hyperlink ref="B221" r:id="rId34" display="MERC4"/>
    <hyperlink ref="B108" r:id="rId35" display="CMIG4"/>
    <hyperlink ref="B97" r:id="rId36" display="CESP3"/>
    <hyperlink ref="B59" r:id="rId37" display="CESP3"/>
    <hyperlink ref="B150" r:id="rId38" display="ELPL4"/>
    <hyperlink ref="B222" r:id="rId39" display="PATI4"/>
    <hyperlink ref="B140" r:id="rId40"/>
    <hyperlink ref="B130" r:id="rId41"/>
    <hyperlink ref="B100" r:id="rId42"/>
    <hyperlink ref="B71" r:id="rId43"/>
    <hyperlink ref="B54" r:id="rId44"/>
    <hyperlink ref="B96" r:id="rId45"/>
    <hyperlink ref="B119" r:id="rId46"/>
    <hyperlink ref="B244" r:id="rId47"/>
    <hyperlink ref="B235" r:id="rId48"/>
    <hyperlink ref="B193" r:id="rId49"/>
    <hyperlink ref="B77" r:id="rId50"/>
    <hyperlink ref="B61" r:id="rId51"/>
    <hyperlink ref="B60" r:id="rId52"/>
    <hyperlink ref="B163" r:id="rId53"/>
    <hyperlink ref="B322" r:id="rId54"/>
    <hyperlink ref="B219" r:id="rId55"/>
    <hyperlink ref="B165" r:id="rId56"/>
    <hyperlink ref="B136" r:id="rId57"/>
    <hyperlink ref="B185" r:id="rId58"/>
    <hyperlink ref="B107" r:id="rId59"/>
    <hyperlink ref="B95" r:id="rId60"/>
    <hyperlink ref="B151" r:id="rId61"/>
    <hyperlink ref="B213" r:id="rId62"/>
    <hyperlink ref="B15" r:id="rId63"/>
    <hyperlink ref="B229" r:id="rId64"/>
    <hyperlink ref="B188" r:id="rId65" display="HBTS5"/>
    <hyperlink ref="B45" r:id="rId66"/>
    <hyperlink ref="B44" r:id="rId67"/>
    <hyperlink ref="B278" r:id="rId68"/>
    <hyperlink ref="B241" r:id="rId69"/>
    <hyperlink ref="B205" r:id="rId70"/>
    <hyperlink ref="B46" r:id="rId71"/>
    <hyperlink ref="B102" r:id="rId72"/>
    <hyperlink ref="B101" r:id="rId73"/>
    <hyperlink ref="B124" r:id="rId74"/>
    <hyperlink ref="B57" r:id="rId75"/>
    <hyperlink ref="B22" r:id="rId76"/>
    <hyperlink ref="B123" r:id="rId77"/>
    <hyperlink ref="B122" r:id="rId78"/>
    <hyperlink ref="B279" r:id="rId79"/>
    <hyperlink ref="B106" r:id="rId80"/>
    <hyperlink ref="B277" r:id="rId81"/>
    <hyperlink ref="B254" r:id="rId82"/>
    <hyperlink ref="B287" r:id="rId83"/>
    <hyperlink ref="B320" r:id="rId84"/>
    <hyperlink ref="B288" r:id="rId85"/>
    <hyperlink ref="B296" r:id="rId86"/>
    <hyperlink ref="B316" r:id="rId87"/>
    <hyperlink ref="B261" r:id="rId88"/>
    <hyperlink ref="B264" r:id="rId89"/>
    <hyperlink ref="B321" r:id="rId90"/>
    <hyperlink ref="B314" r:id="rId91"/>
    <hyperlink ref="B291" r:id="rId92"/>
    <hyperlink ref="B299" r:id="rId93" display="SULA11"/>
    <hyperlink ref="B265" r:id="rId94"/>
    <hyperlink ref="B329" r:id="rId95"/>
    <hyperlink ref="B332" r:id="rId96"/>
    <hyperlink ref="B331" r:id="rId97"/>
    <hyperlink ref="B47" r:id="rId98"/>
    <hyperlink ref="B2" r:id="rId99"/>
    <hyperlink ref="B3" r:id="rId100"/>
    <hyperlink ref="B20" r:id="rId101"/>
    <hyperlink ref="B21" r:id="rId102"/>
    <hyperlink ref="B18" r:id="rId103"/>
    <hyperlink ref="B24" r:id="rId104"/>
    <hyperlink ref="B25" r:id="rId105"/>
    <hyperlink ref="B27" r:id="rId106"/>
    <hyperlink ref="B28" r:id="rId107"/>
    <hyperlink ref="B29" r:id="rId108"/>
    <hyperlink ref="B30" r:id="rId109"/>
    <hyperlink ref="B98:B101" r:id="rId110" display="ENGI11"/>
    <hyperlink ref="B14:B15" r:id="rId111" display="EEEL3"/>
    <hyperlink ref="B112:B113" r:id="rId112" display="GETI3"/>
    <hyperlink ref="B6" r:id="rId113"/>
    <hyperlink ref="B76" r:id="rId114"/>
    <hyperlink ref="B99:B101" r:id="rId115" display="CSRN3"/>
    <hyperlink ref="B105" r:id="rId116"/>
    <hyperlink ref="B245" r:id="rId117"/>
    <hyperlink ref="B181" r:id="rId118"/>
    <hyperlink ref="B62:B64" r:id="rId119" display="CEEB3"/>
    <hyperlink ref="B69:B71" r:id="rId120" display="CEPE3"/>
    <hyperlink ref="B92:B94" r:id="rId121" display="COCE3"/>
    <hyperlink ref="B168:B173" r:id="rId122" display="ENMA3B"/>
    <hyperlink ref="B114" r:id="rId123"/>
    <hyperlink ref="B186:B187" r:id="rId124" display="GEPA3"/>
    <hyperlink ref="B218" r:id="rId125"/>
    <hyperlink ref="B127:B128" r:id="rId126" display="EMAE3"/>
    <hyperlink ref="B155" r:id="rId127"/>
    <hyperlink ref="B162" r:id="rId128"/>
    <hyperlink ref="B306" r:id="rId129"/>
    <hyperlink ref="B210:B211" r:id="rId130" display="TRPL3"/>
    <hyperlink ref="B303" r:id="rId131"/>
    <hyperlink ref="B270" r:id="rId132"/>
    <hyperlink ref="B271" r:id="rId133" display="EKTR3"/>
    <hyperlink ref="B74" r:id="rId134"/>
    <hyperlink ref="B75" r:id="rId135" display="CASN3"/>
    <hyperlink ref="B125" r:id="rId136"/>
    <hyperlink ref="B285" r:id="rId137"/>
    <hyperlink ref="B286" r:id="rId138" display="SAPR3"/>
    <hyperlink ref="B98" r:id="rId139"/>
    <hyperlink ref="B99" r:id="rId140" display="CGAS3"/>
    <hyperlink ref="B87" r:id="rId141"/>
    <hyperlink ref="B197" r:id="rId142"/>
    <hyperlink ref="B139" r:id="rId143" display="EBTP4"/>
    <hyperlink ref="B225" r:id="rId144"/>
    <hyperlink ref="B226" r:id="rId145" display="MLFT3"/>
    <hyperlink ref="B214" r:id="rId146"/>
    <hyperlink ref="B215" r:id="rId147" display="LFFE3"/>
    <hyperlink ref="B133" r:id="rId148"/>
    <hyperlink ref="B132" r:id="rId149" display="DAYC4"/>
    <hyperlink ref="B191" r:id="rId150"/>
    <hyperlink ref="B192" r:id="rId151" display="IDVL3"/>
    <hyperlink ref="B32" r:id="rId152"/>
    <hyperlink ref="B33" r:id="rId153" display="BMEB3"/>
    <hyperlink ref="B42" r:id="rId154"/>
    <hyperlink ref="B43" r:id="rId155" display="BPMN3"/>
    <hyperlink ref="B40" r:id="rId156"/>
    <hyperlink ref="B282" r:id="rId157"/>
    <hyperlink ref="B283" r:id="rId158" display="SANB11"/>
    <hyperlink ref="B284" r:id="rId159" display="SANB11"/>
    <hyperlink ref="B290" r:id="rId160"/>
    <hyperlink ref="B289" r:id="rId161" display="SFSA4"/>
    <hyperlink ref="B201" r:id="rId162"/>
    <hyperlink ref="B202" r:id="rId163" display="ITUB3"/>
    <hyperlink ref="B260" r:id="rId164"/>
    <hyperlink ref="B259" r:id="rId165" display="PRBC4"/>
    <hyperlink ref="B199" r:id="rId166"/>
    <hyperlink ref="B200" r:id="rId167" display="ITSA3"/>
    <hyperlink ref="B190" r:id="rId168"/>
    <hyperlink ref="B217" r:id="rId169"/>
    <hyperlink ref="B307" r:id="rId170"/>
    <hyperlink ref="B308" r:id="rId171" display="TELB3"/>
    <hyperlink ref="B292" r:id="rId172"/>
    <hyperlink ref="B317" r:id="rId173"/>
    <hyperlink ref="B26" r:id="rId174"/>
    <hyperlink ref="B198" r:id="rId175"/>
    <hyperlink ref="B258" r:id="rId176"/>
    <hyperlink ref="B240" r:id="rId177"/>
    <hyperlink ref="B250" r:id="rId178"/>
    <hyperlink ref="B324" r:id="rId179" display="PETR3"/>
    <hyperlink ref="B280" r:id="rId180"/>
    <hyperlink ref="B281" r:id="rId181"/>
    <hyperlink ref="B243" r:id="rId182"/>
    <hyperlink ref="B168" r:id="rId183"/>
    <hyperlink ref="B169" r:id="rId184" display="FESA3"/>
    <hyperlink ref="B126" r:id="rId185"/>
    <hyperlink ref="B325" r:id="rId186"/>
    <hyperlink ref="B326" r:id="rId187" display="USIM3"/>
    <hyperlink ref="B327" r:id="rId188" display="USIM3"/>
    <hyperlink ref="B177" r:id="rId189"/>
    <hyperlink ref="B178" r:id="rId190" display="GGBR3"/>
    <hyperlink ref="B179" r:id="rId191"/>
    <hyperlink ref="B180" r:id="rId192"/>
    <hyperlink ref="B166" r:id="rId193"/>
    <hyperlink ref="B167" r:id="rId194" display="FBMC3"/>
    <hyperlink ref="B223" r:id="rId195"/>
    <hyperlink ref="B224" r:id="rId196" display="MGEL3"/>
    <hyperlink ref="B137" r:id="rId197"/>
    <hyperlink ref="B138" r:id="rId198"/>
    <hyperlink ref="B315" r:id="rId199" display="TKNO4"/>
    <hyperlink ref="B255" r:id="rId200"/>
    <hyperlink ref="B311" r:id="rId201"/>
    <hyperlink ref="B312" r:id="rId202" display="TIBR3"/>
    <hyperlink ref="B313" r:id="rId203" display="TIBR3"/>
    <hyperlink ref="B145" r:id="rId204"/>
    <hyperlink ref="B146" r:id="rId205" display="ELEK3"/>
    <hyperlink ref="B182" r:id="rId206"/>
    <hyperlink ref="B273" r:id="rId207"/>
    <hyperlink ref="B170" r:id="rId208"/>
    <hyperlink ref="B238" r:id="rId209"/>
    <hyperlink ref="B78" r:id="rId210"/>
    <hyperlink ref="B328" r:id="rId211" display="VALE5"/>
    <hyperlink ref="B227" r:id="rId212"/>
    <hyperlink ref="B293" r:id="rId213"/>
    <hyperlink ref="B294" r:id="rId214" display="SNSY3"/>
    <hyperlink ref="B295" r:id="rId215" display="SNSY3"/>
    <hyperlink ref="B268" r:id="rId216"/>
    <hyperlink ref="B269" r:id="rId217" display="RANI3"/>
    <hyperlink ref="B231" r:id="rId218"/>
    <hyperlink ref="B232" r:id="rId219" display="MSPA3"/>
    <hyperlink ref="B171" r:id="rId220"/>
    <hyperlink ref="B208" r:id="rId221"/>
    <hyperlink ref="B209" r:id="rId222" display="KLBN11"/>
    <hyperlink ref="B210" r:id="rId223" display="KLBN11"/>
    <hyperlink ref="B300" r:id="rId224"/>
    <hyperlink ref="B301" r:id="rId225" display="SUZB3"/>
    <hyperlink ref="B302" r:id="rId226" display="SUZB3"/>
    <hyperlink ref="B164" r:id="rId227" display="EUCA4"/>
    <hyperlink ref="B263" r:id="rId228" display="PTPA4"/>
    <hyperlink ref="B233" r:id="rId229"/>
    <hyperlink ref="B234" r:id="rId230" display="MTIG3"/>
    <hyperlink ref="B248" r:id="rId231"/>
    <hyperlink ref="B249" r:id="rId232" display="PEAB3"/>
    <hyperlink ref="B262" r:id="rId233"/>
    <hyperlink ref="B298" r:id="rId234" display="SULA11"/>
    <hyperlink ref="B297" r:id="rId235"/>
    <hyperlink ref="B69" r:id="rId236"/>
    <hyperlink ref="B70" r:id="rId237" display="BTTL3"/>
    <hyperlink ref="B187" r:id="rId238"/>
    <hyperlink ref="B186" r:id="rId239" display="HBTS5"/>
    <hyperlink ref="B134" r:id="rId240"/>
    <hyperlink ref="B135" r:id="rId241" display="DOCA3"/>
    <hyperlink ref="B203" r:id="rId242"/>
    <hyperlink ref="B204" r:id="rId243" display="JBDU3"/>
    <hyperlink ref="B10" r:id="rId244"/>
    <hyperlink ref="B112" r:id="rId245"/>
    <hyperlink ref="B113" r:id="rId246" display="CORR3"/>
    <hyperlink ref="B183" r:id="rId247"/>
    <hyperlink ref="B236" r:id="rId248" display="MULT3"/>
    <hyperlink ref="B309" r:id="rId249"/>
    <hyperlink ref="B131" r:id="rId250"/>
    <hyperlink ref="B172" r:id="rId251"/>
    <hyperlink ref="B239" r:id="rId252"/>
    <hyperlink ref="B266" r:id="rId253"/>
    <hyperlink ref="B118" r:id="rId254"/>
    <hyperlink ref="B31" r:id="rId255"/>
    <hyperlink ref="B237" r:id="rId256"/>
    <hyperlink ref="B38" r:id="rId257"/>
    <hyperlink ref="B39" r:id="rId258" display="BOBR3"/>
    <hyperlink ref="B121" r:id="rId259"/>
    <hyperlink ref="B211" r:id="rId260"/>
    <hyperlink ref="B212" r:id="rId261" display="LAME3"/>
    <hyperlink ref="B68" r:id="rId262"/>
    <hyperlink ref="B189" r:id="rId263"/>
    <hyperlink ref="B267" r:id="rId264"/>
    <hyperlink ref="B41" r:id="rId265"/>
    <hyperlink ref="B256" r:id="rId266"/>
    <hyperlink ref="B257" r:id="rId267" display="PNVL3"/>
    <hyperlink ref="B252" r:id="rId268" display="PFMR3"/>
    <hyperlink ref="B246" r:id="rId269"/>
    <hyperlink ref="B247" r:id="rId270" display="PCAR3"/>
    <hyperlink ref="B4" r:id="rId271"/>
    <hyperlink ref="B330" r:id="rId272"/>
    <hyperlink ref="B103" r:id="rId273"/>
    <hyperlink ref="B104" r:id="rId274" display="CLAN3"/>
    <hyperlink ref="B228" r:id="rId275"/>
    <hyperlink ref="B16" r:id="rId276"/>
    <hyperlink ref="B17" r:id="rId277" display="BAUH3"/>
    <hyperlink ref="B23" r:id="rId278"/>
    <hyperlink ref="B230" r:id="rId279"/>
    <hyperlink ref="B72" r:id="rId280"/>
    <hyperlink ref="B73" r:id="rId281" display="CAFE3"/>
    <hyperlink ref="B194" r:id="rId282"/>
    <hyperlink ref="B195" r:id="rId283" display="IGUA3"/>
    <hyperlink ref="B196" r:id="rId284" display="IGUA3"/>
    <hyperlink ref="B310" r:id="rId285"/>
    <hyperlink ref="B206" r:id="rId286"/>
    <hyperlink ref="B207" r:id="rId287" display="JOPA3"/>
    <hyperlink ref="B220" r:id="rId288"/>
    <hyperlink ref="B65" r:id="rId289"/>
    <hyperlink ref="B333" r:id="rId290"/>
    <hyperlink ref="B334" r:id="rId291"/>
    <hyperlink ref="B335" r:id="rId292"/>
    <hyperlink ref="B336" r:id="rId293"/>
    <hyperlink ref="B337" r:id="rId294"/>
    <hyperlink ref="B338" r:id="rId295" display="AHEB3"/>
    <hyperlink ref="B339" r:id="rId296" display="AHEB3"/>
    <hyperlink ref="B340" r:id="rId297"/>
    <hyperlink ref="B341" r:id="rId298"/>
    <hyperlink ref="B342" r:id="rId299"/>
    <hyperlink ref="B343" r:id="rId300"/>
    <hyperlink ref="B344" r:id="rId301" display="WHRL3"/>
    <hyperlink ref="B345" r:id="rId302"/>
    <hyperlink ref="B346" r:id="rId303" display="BMTO3"/>
    <hyperlink ref="B347" r:id="rId304"/>
    <hyperlink ref="B348" r:id="rId305"/>
    <hyperlink ref="B349" r:id="rId306" display="VVAR11"/>
    <hyperlink ref="B350" r:id="rId307" display="VVAR11"/>
    <hyperlink ref="B351" r:id="rId308"/>
    <hyperlink ref="B352" r:id="rId309"/>
    <hyperlink ref="B353" r:id="rId310"/>
    <hyperlink ref="B354" r:id="rId311" display="CEDO3"/>
  </hyperlinks>
  <pageMargins left="0.7" right="0.7" top="0.75" bottom="0.75" header="0.3" footer="0.3"/>
  <pageSetup paperSize="9" orientation="portrait" r:id="rId312"/>
  <tableParts count="1">
    <tablePart r:id="rId3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O1"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431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895</v>
      </c>
      <c r="E7" s="3" t="s">
        <v>418</v>
      </c>
      <c r="F7" s="3" t="s">
        <v>418</v>
      </c>
      <c r="G7" s="3" t="s">
        <v>895</v>
      </c>
      <c r="H7" s="20">
        <v>41681</v>
      </c>
      <c r="J7" s="3">
        <f>IF($A7="",0,VALUE(CONCATENATE(LEFT(D7,LEN(D7)-3),",",RIGHT(D7,2))))</f>
        <v>11.91</v>
      </c>
      <c r="K7" s="3">
        <f t="shared" ref="K7:M22" si="0">IF($A7="",0,VALUE(CONCATENATE(LEFT(E7,LEN(E7)-3),",",RIGHT(E7,2))))</f>
        <v>12.2</v>
      </c>
      <c r="L7" s="3">
        <f t="shared" si="0"/>
        <v>12.2</v>
      </c>
      <c r="M7" s="3">
        <f t="shared" si="0"/>
        <v>11.91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41681</v>
      </c>
      <c r="S7" s="5">
        <f t="shared" ref="S7:S38" si="3">J7</f>
        <v>11.91</v>
      </c>
      <c r="T7" s="5">
        <f t="shared" ref="T7:T38" si="4">K7</f>
        <v>12.2</v>
      </c>
      <c r="U7" s="5">
        <f t="shared" ref="U7:U38" si="5">L7</f>
        <v>12.2</v>
      </c>
      <c r="V7" s="5">
        <f t="shared" ref="V7:V38" si="6">M7</f>
        <v>11.91</v>
      </c>
    </row>
    <row r="8" spans="1:22" x14ac:dyDescent="0.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881</v>
      </c>
      <c r="E8" s="3" t="s">
        <v>1100</v>
      </c>
      <c r="F8" s="3" t="s">
        <v>1100</v>
      </c>
      <c r="G8" s="3" t="s">
        <v>881</v>
      </c>
      <c r="H8" s="20">
        <v>41681</v>
      </c>
      <c r="J8" s="3">
        <f t="shared" ref="J8:M71" si="7">IF($A8="",0,VALUE(CONCATENATE(LEFT(D8,LEN(D8)-3),",",RIGHT(D8,2))))</f>
        <v>7.1</v>
      </c>
      <c r="K8" s="3">
        <f t="shared" si="0"/>
        <v>7.68</v>
      </c>
      <c r="L8" s="3">
        <f t="shared" si="0"/>
        <v>7.68</v>
      </c>
      <c r="M8" s="3">
        <f t="shared" si="0"/>
        <v>7.1</v>
      </c>
      <c r="P8" s="14" t="s">
        <v>67</v>
      </c>
      <c r="Q8" s="10" t="str">
        <f t="shared" si="1"/>
        <v>AES ELPA    -ON</v>
      </c>
      <c r="R8" s="20">
        <f t="shared" si="2"/>
        <v>41681</v>
      </c>
      <c r="S8" s="5">
        <f t="shared" si="3"/>
        <v>7.1</v>
      </c>
      <c r="T8" s="5">
        <f t="shared" si="4"/>
        <v>7.68</v>
      </c>
      <c r="U8" s="5">
        <f t="shared" si="5"/>
        <v>7.68</v>
      </c>
      <c r="V8" s="5">
        <f t="shared" si="6"/>
        <v>7.1</v>
      </c>
    </row>
    <row r="9" spans="1:22" x14ac:dyDescent="0.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747</v>
      </c>
      <c r="E9" s="3" t="s">
        <v>747</v>
      </c>
      <c r="F9" s="3" t="s">
        <v>747</v>
      </c>
      <c r="G9" s="3" t="s">
        <v>747</v>
      </c>
      <c r="H9" s="20">
        <v>41681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41681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 x14ac:dyDescent="0.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1101</v>
      </c>
      <c r="E10" s="3" t="s">
        <v>1102</v>
      </c>
      <c r="F10" s="3" t="s">
        <v>882</v>
      </c>
      <c r="G10" s="3" t="s">
        <v>1103</v>
      </c>
      <c r="H10" s="20">
        <v>41681</v>
      </c>
      <c r="J10" s="3">
        <f t="shared" si="7"/>
        <v>22.24</v>
      </c>
      <c r="K10" s="3">
        <f t="shared" si="0"/>
        <v>21.87</v>
      </c>
      <c r="L10" s="3">
        <f t="shared" si="0"/>
        <v>22.41</v>
      </c>
      <c r="M10" s="3">
        <f t="shared" si="0"/>
        <v>21.77</v>
      </c>
      <c r="P10" s="15" t="s">
        <v>24</v>
      </c>
      <c r="Q10" s="10" t="str">
        <f t="shared" si="1"/>
        <v xml:space="preserve">BRASIL      -ON  </v>
      </c>
      <c r="R10" s="20">
        <f t="shared" si="2"/>
        <v>41681</v>
      </c>
      <c r="S10" s="5">
        <f t="shared" si="3"/>
        <v>22.24</v>
      </c>
      <c r="T10" s="5">
        <f t="shared" si="4"/>
        <v>21.87</v>
      </c>
      <c r="U10" s="5">
        <f t="shared" si="5"/>
        <v>22.41</v>
      </c>
      <c r="V10" s="5">
        <f t="shared" si="6"/>
        <v>21.77</v>
      </c>
    </row>
    <row r="11" spans="1:22" x14ac:dyDescent="0.2">
      <c r="A11" s="33" t="str">
        <f>IF(Tabela1[[#This Row],[Código]]="IBOV","^BVSP",IF(Tabela1[[#This Row],[Código]]="","",CONCATENATE(LEFT(Tabela1[[#This Row],[Código]],6),".SA")))</f>
        <v>BBDC3.SA</v>
      </c>
      <c r="C11" s="3" t="s">
        <v>204</v>
      </c>
      <c r="D11" s="3" t="s">
        <v>1104</v>
      </c>
      <c r="E11" s="3" t="s">
        <v>1105</v>
      </c>
      <c r="F11" s="3" t="s">
        <v>1106</v>
      </c>
      <c r="G11" s="3" t="s">
        <v>1107</v>
      </c>
      <c r="H11" s="20">
        <v>41681</v>
      </c>
      <c r="J11" s="3">
        <f t="shared" si="7"/>
        <v>28.48</v>
      </c>
      <c r="K11" s="3">
        <f t="shared" si="0"/>
        <v>28.13</v>
      </c>
      <c r="L11" s="3">
        <f t="shared" si="0"/>
        <v>28.62</v>
      </c>
      <c r="M11" s="3">
        <f t="shared" si="0"/>
        <v>28.02</v>
      </c>
      <c r="P11" s="14" t="s">
        <v>202</v>
      </c>
      <c r="Q11" s="10" t="str">
        <f t="shared" si="1"/>
        <v xml:space="preserve">BRADESCO    -ON  </v>
      </c>
      <c r="R11" s="20">
        <f t="shared" si="2"/>
        <v>41681</v>
      </c>
      <c r="S11" s="5">
        <f t="shared" si="3"/>
        <v>28.48</v>
      </c>
      <c r="T11" s="5">
        <f t="shared" si="4"/>
        <v>28.13</v>
      </c>
      <c r="U11" s="5">
        <f t="shared" si="5"/>
        <v>28.62</v>
      </c>
      <c r="V11" s="5">
        <f t="shared" si="6"/>
        <v>28.02</v>
      </c>
    </row>
    <row r="12" spans="1:22" x14ac:dyDescent="0.2">
      <c r="A12" s="33" t="str">
        <f>IF(Tabela1[[#This Row],[Código]]="IBOV","^BVSP",IF(Tabela1[[#This Row],[Código]]="","",CONCATENATE(LEFT(Tabela1[[#This Row],[Código]],6),".SA")))</f>
        <v>BBDC4.SA</v>
      </c>
      <c r="C12" s="3" t="s">
        <v>205</v>
      </c>
      <c r="D12" s="3" t="s">
        <v>1108</v>
      </c>
      <c r="E12" s="3" t="s">
        <v>1109</v>
      </c>
      <c r="F12" s="3" t="s">
        <v>1110</v>
      </c>
      <c r="G12" s="3" t="s">
        <v>1111</v>
      </c>
      <c r="H12" s="20">
        <v>41681</v>
      </c>
      <c r="J12" s="3">
        <f t="shared" si="7"/>
        <v>26.39</v>
      </c>
      <c r="K12" s="3">
        <f t="shared" si="0"/>
        <v>26.17</v>
      </c>
      <c r="L12" s="3">
        <f t="shared" si="0"/>
        <v>26.48</v>
      </c>
      <c r="M12" s="3">
        <f t="shared" si="0"/>
        <v>26.06</v>
      </c>
      <c r="P12" s="14" t="s">
        <v>203</v>
      </c>
      <c r="Q12" s="10" t="str">
        <f t="shared" si="1"/>
        <v xml:space="preserve">BRADESCO    -PN  </v>
      </c>
      <c r="R12" s="51">
        <f t="shared" si="2"/>
        <v>41681</v>
      </c>
      <c r="S12" s="5">
        <f t="shared" si="3"/>
        <v>26.39</v>
      </c>
      <c r="T12" s="5">
        <f t="shared" si="4"/>
        <v>26.17</v>
      </c>
      <c r="U12" s="5">
        <f t="shared" si="5"/>
        <v>26.48</v>
      </c>
      <c r="V12" s="5">
        <f t="shared" si="6"/>
        <v>26.06</v>
      </c>
    </row>
    <row r="13" spans="1:22" x14ac:dyDescent="0.2">
      <c r="A13" s="33" t="str">
        <f>IF(Tabela1[[#This Row],[Código]]="IBOV","^BVSP",IF(Tabela1[[#This Row],[Código]]="","",CONCATENATE(LEFT(Tabela1[[#This Row],[Código]],6),".SA")))</f>
        <v>BEES3.SA</v>
      </c>
      <c r="C13" s="3" t="s">
        <v>668</v>
      </c>
      <c r="D13" s="3" t="s">
        <v>719</v>
      </c>
      <c r="E13" s="3" t="s">
        <v>759</v>
      </c>
      <c r="F13" s="3" t="s">
        <v>719</v>
      </c>
      <c r="G13" s="3" t="s">
        <v>759</v>
      </c>
      <c r="H13" s="20">
        <v>41681</v>
      </c>
      <c r="J13" s="3">
        <f t="shared" si="7"/>
        <v>0.45</v>
      </c>
      <c r="K13" s="3">
        <f t="shared" si="0"/>
        <v>0.44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1">
        <f t="shared" si="2"/>
        <v>41681</v>
      </c>
      <c r="S13" s="5">
        <f t="shared" si="3"/>
        <v>0.45</v>
      </c>
      <c r="T13" s="5">
        <f t="shared" si="4"/>
        <v>0.44</v>
      </c>
      <c r="U13" s="5">
        <f t="shared" si="5"/>
        <v>0.45</v>
      </c>
      <c r="V13" s="5">
        <f t="shared" si="6"/>
        <v>0.44</v>
      </c>
    </row>
    <row r="14" spans="1:22" x14ac:dyDescent="0.2">
      <c r="A14" s="33" t="str">
        <f>IF(Tabela1[[#This Row],[Código]]="IBOV","^BVSP",IF(Tabela1[[#This Row],[Código]]="","",CONCATENATE(LEFT(Tabela1[[#This Row],[Código]],6),".SA")))</f>
        <v>BEES4.SA</v>
      </c>
      <c r="C14" s="3" t="s">
        <v>669</v>
      </c>
      <c r="D14" s="3" t="s">
        <v>1112</v>
      </c>
      <c r="E14" s="3" t="s">
        <v>760</v>
      </c>
      <c r="F14" s="3" t="s">
        <v>760</v>
      </c>
      <c r="G14" s="3" t="s">
        <v>1112</v>
      </c>
      <c r="H14" s="20">
        <v>41681</v>
      </c>
      <c r="J14" s="3">
        <f t="shared" si="7"/>
        <v>0.42</v>
      </c>
      <c r="K14" s="3">
        <f t="shared" si="0"/>
        <v>0.43</v>
      </c>
      <c r="L14" s="3">
        <f t="shared" si="0"/>
        <v>0.43</v>
      </c>
      <c r="M14" s="3">
        <f t="shared" si="0"/>
        <v>0.42</v>
      </c>
      <c r="P14" s="15" t="s">
        <v>59</v>
      </c>
      <c r="Q14" s="10" t="str">
        <f t="shared" si="1"/>
        <v>BANESTES    -PN</v>
      </c>
      <c r="R14" s="20">
        <f t="shared" si="2"/>
        <v>41681</v>
      </c>
      <c r="S14" s="5">
        <f t="shared" si="3"/>
        <v>0.42</v>
      </c>
      <c r="T14" s="5">
        <f t="shared" si="4"/>
        <v>0.43</v>
      </c>
      <c r="U14" s="5">
        <f t="shared" si="5"/>
        <v>0.43</v>
      </c>
      <c r="V14" s="5">
        <f t="shared" si="6"/>
        <v>0.42</v>
      </c>
    </row>
    <row r="15" spans="1:22" x14ac:dyDescent="0.2">
      <c r="A15" s="33" t="str">
        <f>IF(Tabela1[[#This Row],[Código]]="IBOV","^BVSP",IF(Tabela1[[#This Row],[Código]]="","",CONCATENATE(LEFT(Tabela1[[#This Row],[Código]],6),".SA")))</f>
        <v>BGIP3.SA</v>
      </c>
      <c r="C15" s="3" t="s">
        <v>412</v>
      </c>
      <c r="D15" s="3" t="s">
        <v>408</v>
      </c>
      <c r="E15" s="3" t="s">
        <v>410</v>
      </c>
      <c r="F15" s="3" t="s">
        <v>410</v>
      </c>
      <c r="G15" s="3" t="s">
        <v>408</v>
      </c>
      <c r="H15" s="20">
        <v>41681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206</v>
      </c>
      <c r="Q15" s="10" t="str">
        <f t="shared" si="1"/>
        <v>BANESE      -ON</v>
      </c>
      <c r="R15" s="51">
        <f t="shared" si="2"/>
        <v>41681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 x14ac:dyDescent="0.2">
      <c r="A16" s="33" t="str">
        <f>IF(Tabela1[[#This Row],[Código]]="IBOV","^BVSP",IF(Tabela1[[#This Row],[Código]]="","",CONCATENATE(LEFT(Tabela1[[#This Row],[Código]],6),".SA")))</f>
        <v>BGIP4.SA</v>
      </c>
      <c r="C16" s="3" t="s">
        <v>413</v>
      </c>
      <c r="D16" s="3" t="s">
        <v>1113</v>
      </c>
      <c r="E16" s="3" t="s">
        <v>1114</v>
      </c>
      <c r="F16" s="3" t="s">
        <v>1114</v>
      </c>
      <c r="G16" s="3" t="s">
        <v>1113</v>
      </c>
      <c r="H16" s="20">
        <v>41681</v>
      </c>
      <c r="J16" s="3">
        <f t="shared" si="7"/>
        <v>41.39</v>
      </c>
      <c r="K16" s="3">
        <f t="shared" si="0"/>
        <v>41.5</v>
      </c>
      <c r="L16" s="3">
        <f t="shared" si="0"/>
        <v>41.5</v>
      </c>
      <c r="M16" s="3">
        <f t="shared" si="0"/>
        <v>41.39</v>
      </c>
      <c r="P16" s="15" t="s">
        <v>207</v>
      </c>
      <c r="Q16" s="10" t="str">
        <f t="shared" si="1"/>
        <v>BANESE      -PN</v>
      </c>
      <c r="R16" s="51">
        <f t="shared" si="2"/>
        <v>41681</v>
      </c>
      <c r="S16" s="5">
        <f t="shared" si="3"/>
        <v>41.39</v>
      </c>
      <c r="T16" s="5">
        <f t="shared" si="4"/>
        <v>41.5</v>
      </c>
      <c r="U16" s="5">
        <f t="shared" si="5"/>
        <v>41.5</v>
      </c>
      <c r="V16" s="5">
        <f t="shared" si="6"/>
        <v>41.39</v>
      </c>
    </row>
    <row r="17" spans="1:22" x14ac:dyDescent="0.2">
      <c r="A17" s="33" t="str">
        <f>IF(Tabela1[[#This Row],[Código]]="IBOV","^BVSP",IF(Tabela1[[#This Row],[Código]]="","",CONCATENATE(LEFT(Tabela1[[#This Row],[Código]],6),".SA")))</f>
        <v>BICB3.SA</v>
      </c>
      <c r="C17" s="3" t="s">
        <v>214</v>
      </c>
      <c r="D17" s="3" t="s">
        <v>802</v>
      </c>
      <c r="E17" s="3" t="s">
        <v>802</v>
      </c>
      <c r="F17" s="3" t="s">
        <v>802</v>
      </c>
      <c r="G17" s="3" t="s">
        <v>802</v>
      </c>
      <c r="H17" s="20">
        <v>41681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213</v>
      </c>
      <c r="Q17" s="10" t="str">
        <f t="shared" si="1"/>
        <v xml:space="preserve">BICBANCO    -ON  </v>
      </c>
      <c r="R17" s="51">
        <f t="shared" si="2"/>
        <v>41681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 x14ac:dyDescent="0.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1115</v>
      </c>
      <c r="E18" s="3" t="s">
        <v>1115</v>
      </c>
      <c r="F18" s="3" t="s">
        <v>1115</v>
      </c>
      <c r="G18" s="3" t="s">
        <v>1116</v>
      </c>
      <c r="H18" s="20">
        <v>41681</v>
      </c>
      <c r="J18" s="3">
        <f t="shared" si="7"/>
        <v>7.2</v>
      </c>
      <c r="K18" s="3">
        <f t="shared" si="0"/>
        <v>7.2</v>
      </c>
      <c r="L18" s="3">
        <f t="shared" si="0"/>
        <v>7.2</v>
      </c>
      <c r="M18" s="3">
        <f t="shared" si="0"/>
        <v>7.16</v>
      </c>
      <c r="P18" s="14" t="s">
        <v>10</v>
      </c>
      <c r="Q18" s="10" t="str">
        <f t="shared" si="1"/>
        <v xml:space="preserve">BICBANCO    -PN  </v>
      </c>
      <c r="R18" s="51">
        <f t="shared" si="2"/>
        <v>41681</v>
      </c>
      <c r="S18" s="5">
        <f t="shared" si="3"/>
        <v>7.2</v>
      </c>
      <c r="T18" s="5">
        <f t="shared" si="4"/>
        <v>7.2</v>
      </c>
      <c r="U18" s="5">
        <f t="shared" si="5"/>
        <v>7.2</v>
      </c>
      <c r="V18" s="5">
        <f t="shared" si="6"/>
        <v>7.16</v>
      </c>
    </row>
    <row r="19" spans="1:22" x14ac:dyDescent="0.2">
      <c r="A19" s="33" t="str">
        <f>IF(Tabela1[[#This Row],[Código]]="IBOV","^BVSP",IF(Tabela1[[#This Row],[Código]]="","",CONCATENATE(LEFT(Tabela1[[#This Row],[Código]],6),".SA")))</f>
        <v>BMIN3.SA</v>
      </c>
      <c r="C19" s="3" t="s">
        <v>216</v>
      </c>
      <c r="D19" s="3" t="s">
        <v>160</v>
      </c>
      <c r="E19" s="3" t="s">
        <v>160</v>
      </c>
      <c r="F19" s="3" t="s">
        <v>160</v>
      </c>
      <c r="G19" s="3" t="s">
        <v>160</v>
      </c>
      <c r="H19" s="20">
        <v>41681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215</v>
      </c>
      <c r="Q19" s="10" t="str">
        <f t="shared" si="1"/>
        <v>MERC INVEST -ON</v>
      </c>
      <c r="R19" s="51">
        <f t="shared" si="2"/>
        <v>41681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 x14ac:dyDescent="0.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614</v>
      </c>
      <c r="E20" s="3" t="s">
        <v>614</v>
      </c>
      <c r="F20" s="3" t="s">
        <v>614</v>
      </c>
      <c r="G20" s="3" t="s">
        <v>614</v>
      </c>
      <c r="H20" s="20">
        <v>41681</v>
      </c>
      <c r="J20" s="3">
        <f t="shared" si="7"/>
        <v>0.25</v>
      </c>
      <c r="K20" s="3">
        <f t="shared" si="0"/>
        <v>0.25</v>
      </c>
      <c r="L20" s="3">
        <f t="shared" si="0"/>
        <v>0.25</v>
      </c>
      <c r="M20" s="3">
        <f t="shared" si="0"/>
        <v>0.25</v>
      </c>
      <c r="P20" s="14" t="s">
        <v>61</v>
      </c>
      <c r="Q20" s="10" t="str">
        <f t="shared" si="1"/>
        <v>MERC INVEST -PN</v>
      </c>
      <c r="R20" s="20">
        <f t="shared" si="2"/>
        <v>41681</v>
      </c>
      <c r="S20" s="5">
        <f t="shared" si="3"/>
        <v>0.25</v>
      </c>
      <c r="T20" s="5">
        <f t="shared" si="4"/>
        <v>0.25</v>
      </c>
      <c r="U20" s="5">
        <f t="shared" si="5"/>
        <v>0.25</v>
      </c>
      <c r="V20" s="5">
        <f t="shared" si="6"/>
        <v>0.25</v>
      </c>
    </row>
    <row r="21" spans="1:22" x14ac:dyDescent="0.2">
      <c r="A21" s="33" t="str">
        <f>IF(Tabela1[[#This Row],[Código]]="IBOV","^BVSP",IF(Tabela1[[#This Row],[Código]]="","",CONCATENATE(LEFT(Tabela1[[#This Row],[Código]],6),".SA")))</f>
        <v>BNBR3.SA</v>
      </c>
      <c r="C21" s="3" t="s">
        <v>219</v>
      </c>
      <c r="D21" s="3" t="s">
        <v>441</v>
      </c>
      <c r="E21" s="3" t="s">
        <v>441</v>
      </c>
      <c r="F21" s="3" t="s">
        <v>441</v>
      </c>
      <c r="G21" s="3" t="s">
        <v>441</v>
      </c>
      <c r="H21" s="20">
        <v>41681</v>
      </c>
      <c r="J21" s="3">
        <f t="shared" si="7"/>
        <v>27</v>
      </c>
      <c r="K21" s="3">
        <f t="shared" si="0"/>
        <v>27</v>
      </c>
      <c r="L21" s="3">
        <f t="shared" si="0"/>
        <v>27</v>
      </c>
      <c r="M21" s="3">
        <f t="shared" si="0"/>
        <v>27</v>
      </c>
      <c r="P21" s="15" t="s">
        <v>217</v>
      </c>
      <c r="Q21" s="10" t="str">
        <f t="shared" si="1"/>
        <v>NORD BRASIL -ON</v>
      </c>
      <c r="R21" s="51">
        <f t="shared" si="2"/>
        <v>41681</v>
      </c>
      <c r="S21" s="5">
        <f t="shared" si="3"/>
        <v>27</v>
      </c>
      <c r="T21" s="5">
        <f t="shared" si="4"/>
        <v>27</v>
      </c>
      <c r="U21" s="5">
        <f t="shared" si="5"/>
        <v>27</v>
      </c>
      <c r="V21" s="5">
        <f t="shared" si="6"/>
        <v>27</v>
      </c>
    </row>
    <row r="22" spans="1:22" x14ac:dyDescent="0.2">
      <c r="A22" s="33" t="str">
        <f>IF(Tabela1[[#This Row],[Código]]="IBOV","^BVSP",IF(Tabela1[[#This Row],[Código]]="","",CONCATENATE(LEFT(Tabela1[[#This Row],[Código]],6),".SA")))</f>
        <v>BNBR4.SA</v>
      </c>
      <c r="C22" s="3" t="s">
        <v>220</v>
      </c>
      <c r="D22" s="3" t="s">
        <v>670</v>
      </c>
      <c r="E22" s="3" t="s">
        <v>648</v>
      </c>
      <c r="F22" s="3" t="s">
        <v>648</v>
      </c>
      <c r="G22" s="3" t="s">
        <v>670</v>
      </c>
      <c r="H22" s="20">
        <v>41681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218</v>
      </c>
      <c r="Q22" s="10" t="str">
        <f t="shared" si="1"/>
        <v>NORD BRASIL -PN</v>
      </c>
      <c r="R22" s="51">
        <f t="shared" si="2"/>
        <v>41681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 x14ac:dyDescent="0.2">
      <c r="A23" s="33" t="str">
        <f>IF(Tabela1[[#This Row],[Código]]="IBOV","^BVSP",IF(Tabela1[[#This Row],[Código]]="","",CONCATENATE(LEFT(Tabela1[[#This Row],[Código]],6),".SA")))</f>
        <v>BRGE11.SA</v>
      </c>
      <c r="C23" s="3" t="s">
        <v>803</v>
      </c>
      <c r="D23" s="3" t="s">
        <v>162</v>
      </c>
      <c r="E23" s="3" t="s">
        <v>162</v>
      </c>
      <c r="F23" s="3" t="s">
        <v>162</v>
      </c>
      <c r="G23" s="3" t="s">
        <v>162</v>
      </c>
      <c r="H23" s="20">
        <v>41681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3" t="s">
        <v>228</v>
      </c>
      <c r="Q23" s="10" t="str">
        <f t="shared" si="1"/>
        <v>ALFA CONSORC-PNE</v>
      </c>
      <c r="R23" s="51">
        <f t="shared" si="2"/>
        <v>41681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 x14ac:dyDescent="0.2">
      <c r="A24" s="33" t="str">
        <f>IF(Tabela1[[#This Row],[Código]]="IBOV","^BVSP",IF(Tabela1[[#This Row],[Código]]="","",CONCATENATE(LEFT(Tabela1[[#This Row],[Código]],6),".SA")))</f>
        <v>BRGE12.SA</v>
      </c>
      <c r="C24" s="3" t="s">
        <v>233</v>
      </c>
      <c r="D24" s="3" t="s">
        <v>162</v>
      </c>
      <c r="E24" s="3" t="s">
        <v>162</v>
      </c>
      <c r="F24" s="3" t="s">
        <v>162</v>
      </c>
      <c r="G24" s="3" t="s">
        <v>162</v>
      </c>
      <c r="H24" s="20">
        <v>41681</v>
      </c>
      <c r="J24" s="3">
        <f t="shared" si="7"/>
        <v>3.82</v>
      </c>
      <c r="K24" s="3">
        <f t="shared" si="7"/>
        <v>3.82</v>
      </c>
      <c r="L24" s="3">
        <f t="shared" si="7"/>
        <v>3.82</v>
      </c>
      <c r="M24" s="3">
        <f t="shared" si="7"/>
        <v>3.82</v>
      </c>
      <c r="P24" s="10" t="s">
        <v>229</v>
      </c>
      <c r="Q24" s="10" t="str">
        <f t="shared" si="1"/>
        <v>ALFA CONSORC-PNF</v>
      </c>
      <c r="R24" s="51">
        <f t="shared" si="2"/>
        <v>41681</v>
      </c>
      <c r="S24" s="5">
        <f t="shared" si="3"/>
        <v>3.82</v>
      </c>
      <c r="T24" s="5">
        <f t="shared" si="4"/>
        <v>3.82</v>
      </c>
      <c r="U24" s="5">
        <f t="shared" si="5"/>
        <v>3.82</v>
      </c>
      <c r="V24" s="5">
        <f t="shared" si="6"/>
        <v>3.82</v>
      </c>
    </row>
    <row r="25" spans="1:22" x14ac:dyDescent="0.2">
      <c r="A25" s="33" t="str">
        <f>IF(Tabela1[[#This Row],[Código]]="IBOV","^BVSP",IF(Tabela1[[#This Row],[Código]]="","",CONCATENATE(LEFT(Tabela1[[#This Row],[Código]],6),".SA")))</f>
        <v>BRGE3.SA</v>
      </c>
      <c r="C25" s="3" t="s">
        <v>230</v>
      </c>
      <c r="D25" s="3" t="s">
        <v>804</v>
      </c>
      <c r="E25" s="3" t="s">
        <v>804</v>
      </c>
      <c r="F25" s="3" t="s">
        <v>804</v>
      </c>
      <c r="G25" s="3" t="s">
        <v>804</v>
      </c>
      <c r="H25" s="20">
        <v>41681</v>
      </c>
      <c r="J25" s="3">
        <f t="shared" si="7"/>
        <v>3.8</v>
      </c>
      <c r="K25" s="3">
        <f t="shared" si="7"/>
        <v>3.8</v>
      </c>
      <c r="L25" s="3">
        <f t="shared" si="7"/>
        <v>3.8</v>
      </c>
      <c r="M25" s="3">
        <f t="shared" si="7"/>
        <v>3.8</v>
      </c>
      <c r="P25" s="15" t="s">
        <v>224</v>
      </c>
      <c r="Q25" s="10" t="str">
        <f t="shared" si="1"/>
        <v>ALFA CONSORC-ON</v>
      </c>
      <c r="R25" s="20">
        <f t="shared" si="2"/>
        <v>41681</v>
      </c>
      <c r="S25" s="5">
        <f t="shared" si="3"/>
        <v>3.8</v>
      </c>
      <c r="T25" s="5">
        <f t="shared" si="4"/>
        <v>3.8</v>
      </c>
      <c r="U25" s="5">
        <f t="shared" si="5"/>
        <v>3.8</v>
      </c>
      <c r="V25" s="5">
        <f t="shared" si="6"/>
        <v>3.8</v>
      </c>
    </row>
    <row r="26" spans="1:22" x14ac:dyDescent="0.2">
      <c r="A26" s="33" t="str">
        <f>IF(Tabela1[[#This Row],[Código]]="IBOV","^BVSP",IF(Tabela1[[#This Row],[Código]]="","",CONCATENATE(LEFT(Tabela1[[#This Row],[Código]],6),".SA")))</f>
        <v>BRGE5.SA</v>
      </c>
      <c r="C26" s="3" t="s">
        <v>805</v>
      </c>
      <c r="D26" s="3" t="s">
        <v>231</v>
      </c>
      <c r="E26" s="3" t="s">
        <v>231</v>
      </c>
      <c r="F26" s="3" t="s">
        <v>231</v>
      </c>
      <c r="G26" s="3" t="s">
        <v>231</v>
      </c>
      <c r="H26" s="20">
        <v>41681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225</v>
      </c>
      <c r="Q26" s="10" t="str">
        <f t="shared" si="1"/>
        <v>ALFA CONSORC-PNA</v>
      </c>
      <c r="R26" s="20">
        <f t="shared" si="2"/>
        <v>41681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 x14ac:dyDescent="0.2">
      <c r="A27" s="33" t="str">
        <f>IF(Tabela1[[#This Row],[Código]]="IBOV","^BVSP",IF(Tabela1[[#This Row],[Código]]="","",CONCATENATE(LEFT(Tabela1[[#This Row],[Código]],6),".SA")))</f>
        <v>BRGE6.SA</v>
      </c>
      <c r="C27" s="3" t="s">
        <v>806</v>
      </c>
      <c r="D27" s="3" t="s">
        <v>807</v>
      </c>
      <c r="E27" s="3" t="s">
        <v>807</v>
      </c>
      <c r="F27" s="3" t="s">
        <v>807</v>
      </c>
      <c r="G27" s="3" t="s">
        <v>807</v>
      </c>
      <c r="H27" s="20">
        <v>41681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41681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 x14ac:dyDescent="0.2">
      <c r="A28" s="33" t="str">
        <f>IF(Tabela1[[#This Row],[Código]]="IBOV","^BVSP",IF(Tabela1[[#This Row],[Código]]="","",CONCATENATE(LEFT(Tabela1[[#This Row],[Código]],6),".SA")))</f>
        <v>BRGE7.SA</v>
      </c>
      <c r="C28" s="3" t="s">
        <v>808</v>
      </c>
      <c r="D28" s="3" t="s">
        <v>232</v>
      </c>
      <c r="E28" s="3" t="s">
        <v>232</v>
      </c>
      <c r="F28" s="3" t="s">
        <v>232</v>
      </c>
      <c r="G28" s="3" t="s">
        <v>232</v>
      </c>
      <c r="H28" s="20">
        <v>41681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226</v>
      </c>
      <c r="Q28" s="10" t="str">
        <f t="shared" si="1"/>
        <v>ALFA CONSORC-PNC</v>
      </c>
      <c r="R28" s="20">
        <f t="shared" si="2"/>
        <v>41681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 x14ac:dyDescent="0.2">
      <c r="A29" s="33" t="str">
        <f>IF(Tabela1[[#This Row],[Código]]="IBOV","^BVSP",IF(Tabela1[[#This Row],[Código]]="","",CONCATENATE(LEFT(Tabela1[[#This Row],[Código]],6),".SA")))</f>
        <v>BRGE8.SA</v>
      </c>
      <c r="C29" s="3" t="s">
        <v>809</v>
      </c>
      <c r="D29" s="3" t="s">
        <v>810</v>
      </c>
      <c r="E29" s="3" t="s">
        <v>810</v>
      </c>
      <c r="F29" s="3" t="s">
        <v>810</v>
      </c>
      <c r="G29" s="3" t="s">
        <v>810</v>
      </c>
      <c r="H29" s="20">
        <v>41681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227</v>
      </c>
      <c r="Q29" s="10" t="str">
        <f t="shared" si="1"/>
        <v>ALFA CONSORC-PND</v>
      </c>
      <c r="R29" s="20">
        <f t="shared" si="2"/>
        <v>41681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 x14ac:dyDescent="0.2">
      <c r="A30" s="33" t="str">
        <f>IF(Tabela1[[#This Row],[Código]]="IBOV","^BVSP",IF(Tabela1[[#This Row],[Código]]="","",CONCATENATE(LEFT(Tabela1[[#This Row],[Código]],6),".SA")))</f>
        <v>BRIV3.SA</v>
      </c>
      <c r="C30" s="3" t="s">
        <v>811</v>
      </c>
      <c r="D30" s="3" t="s">
        <v>761</v>
      </c>
      <c r="E30" s="3" t="s">
        <v>761</v>
      </c>
      <c r="F30" s="3" t="s">
        <v>761</v>
      </c>
      <c r="G30" s="3" t="s">
        <v>761</v>
      </c>
      <c r="H30" s="20">
        <v>41681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200</v>
      </c>
      <c r="Q30" s="10" t="str">
        <f t="shared" si="1"/>
        <v>ALFA INVEST -ON</v>
      </c>
      <c r="R30" s="20">
        <f t="shared" si="2"/>
        <v>41681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 x14ac:dyDescent="0.2">
      <c r="A31" s="33" t="str">
        <f>IF(Tabela1[[#This Row],[Código]]="IBOV","^BVSP",IF(Tabela1[[#This Row],[Código]]="","",CONCATENATE(LEFT(Tabela1[[#This Row],[Código]],6),".SA")))</f>
        <v>BRIV4.SA</v>
      </c>
      <c r="C31" s="3" t="s">
        <v>812</v>
      </c>
      <c r="D31" s="3" t="s">
        <v>1117</v>
      </c>
      <c r="E31" s="3" t="s">
        <v>1117</v>
      </c>
      <c r="F31" s="3" t="s">
        <v>1117</v>
      </c>
      <c r="G31" s="3" t="s">
        <v>1117</v>
      </c>
      <c r="H31" s="20">
        <v>41681</v>
      </c>
      <c r="J31" s="3">
        <f t="shared" si="7"/>
        <v>5.66</v>
      </c>
      <c r="K31" s="3">
        <f t="shared" si="7"/>
        <v>5.66</v>
      </c>
      <c r="L31" s="3">
        <f t="shared" si="7"/>
        <v>5.66</v>
      </c>
      <c r="M31" s="3">
        <f t="shared" si="7"/>
        <v>5.66</v>
      </c>
      <c r="P31" s="10" t="s">
        <v>201</v>
      </c>
      <c r="Q31" s="10" t="str">
        <f t="shared" si="1"/>
        <v>ALFA INVEST -PN</v>
      </c>
      <c r="R31" s="20">
        <f t="shared" si="2"/>
        <v>41681</v>
      </c>
      <c r="S31" s="5">
        <f t="shared" si="3"/>
        <v>5.66</v>
      </c>
      <c r="T31" s="5">
        <f t="shared" si="4"/>
        <v>5.66</v>
      </c>
      <c r="U31" s="5">
        <f t="shared" si="5"/>
        <v>5.66</v>
      </c>
      <c r="V31" s="5">
        <f t="shared" si="6"/>
        <v>5.66</v>
      </c>
    </row>
    <row r="32" spans="1:22" x14ac:dyDescent="0.2">
      <c r="A32" s="33" t="str">
        <f>IF(Tabela1[[#This Row],[Código]]="IBOV","^BVSP",IF(Tabela1[[#This Row],[Código]]="","",CONCATENATE(LEFT(Tabela1[[#This Row],[Código]],6),".SA")))</f>
        <v>BRSR3.SA</v>
      </c>
      <c r="C32" s="3" t="s">
        <v>210</v>
      </c>
      <c r="D32" s="3" t="s">
        <v>418</v>
      </c>
      <c r="E32" s="3" t="s">
        <v>418</v>
      </c>
      <c r="F32" s="3" t="s">
        <v>418</v>
      </c>
      <c r="G32" s="3" t="s">
        <v>418</v>
      </c>
      <c r="H32" s="20">
        <v>41681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208</v>
      </c>
      <c r="Q32" s="10" t="str">
        <f t="shared" si="1"/>
        <v xml:space="preserve">BANRISUL    -ON  </v>
      </c>
      <c r="R32" s="20">
        <f t="shared" si="2"/>
        <v>41681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 x14ac:dyDescent="0.2">
      <c r="A33" s="33" t="str">
        <f>IF(Tabela1[[#This Row],[Código]]="IBOV","^BVSP",IF(Tabela1[[#This Row],[Código]]="","",CONCATENATE(LEFT(Tabela1[[#This Row],[Código]],6),".SA")))</f>
        <v>BRSR5.SA</v>
      </c>
      <c r="C33" s="3" t="s">
        <v>211</v>
      </c>
      <c r="D33" s="3" t="s">
        <v>212</v>
      </c>
      <c r="E33" s="3" t="s">
        <v>212</v>
      </c>
      <c r="F33" s="3" t="s">
        <v>212</v>
      </c>
      <c r="G33" s="3" t="s">
        <v>212</v>
      </c>
      <c r="H33" s="20">
        <v>41681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209</v>
      </c>
      <c r="Q33" s="10" t="str">
        <f t="shared" si="1"/>
        <v xml:space="preserve">BANRISUL    -PNA </v>
      </c>
      <c r="R33" s="51">
        <f t="shared" si="2"/>
        <v>41681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 x14ac:dyDescent="0.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1118</v>
      </c>
      <c r="E34" s="3" t="s">
        <v>1119</v>
      </c>
      <c r="F34" s="3" t="s">
        <v>813</v>
      </c>
      <c r="G34" s="3" t="s">
        <v>1120</v>
      </c>
      <c r="H34" s="20">
        <v>41681</v>
      </c>
      <c r="J34" s="3">
        <f t="shared" si="7"/>
        <v>10.51</v>
      </c>
      <c r="K34" s="3">
        <f t="shared" si="7"/>
        <v>10.48</v>
      </c>
      <c r="L34" s="3">
        <f t="shared" si="7"/>
        <v>10.68</v>
      </c>
      <c r="M34" s="3">
        <f t="shared" si="7"/>
        <v>10.31</v>
      </c>
      <c r="P34" s="10" t="s">
        <v>23</v>
      </c>
      <c r="Q34" s="10" t="str">
        <f t="shared" si="1"/>
        <v xml:space="preserve">BANRISUL    -PNB </v>
      </c>
      <c r="R34" s="20">
        <f t="shared" si="2"/>
        <v>41681</v>
      </c>
      <c r="S34" s="5">
        <f t="shared" si="3"/>
        <v>10.51</v>
      </c>
      <c r="T34" s="5">
        <f t="shared" si="4"/>
        <v>10.48</v>
      </c>
      <c r="U34" s="5">
        <f t="shared" si="5"/>
        <v>10.68</v>
      </c>
      <c r="V34" s="5">
        <f t="shared" si="6"/>
        <v>10.31</v>
      </c>
    </row>
    <row r="35" spans="1:22" x14ac:dyDescent="0.2">
      <c r="A35" s="33" t="str">
        <f>IF(Tabela1[[#This Row],[Código]]="IBOV","^BVSP",IF(Tabela1[[#This Row],[Código]]="","",CONCATENATE(LEFT(Tabela1[[#This Row],[Código]],6),".SA")))</f>
        <v>BSLI3.SA</v>
      </c>
      <c r="C35" s="3" t="s">
        <v>814</v>
      </c>
      <c r="D35" s="3" t="s">
        <v>422</v>
      </c>
      <c r="E35" s="3" t="s">
        <v>422</v>
      </c>
      <c r="F35" s="3" t="s">
        <v>422</v>
      </c>
      <c r="G35" s="3" t="s">
        <v>422</v>
      </c>
      <c r="H35" s="20">
        <v>41681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221</v>
      </c>
      <c r="Q35" s="10" t="str">
        <f t="shared" si="1"/>
        <v xml:space="preserve">BRB BANCO   -ON  </v>
      </c>
      <c r="R35" s="20">
        <f t="shared" si="2"/>
        <v>41681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 x14ac:dyDescent="0.2">
      <c r="A36" s="33" t="str">
        <f>IF(Tabela1[[#This Row],[Código]]="IBOV","^BVSP",IF(Tabela1[[#This Row],[Código]]="","",CONCATENATE(LEFT(Tabela1[[#This Row],[Código]],6),".SA")))</f>
        <v>BSLI4.SA</v>
      </c>
      <c r="C36" s="3" t="s">
        <v>815</v>
      </c>
      <c r="D36" s="3" t="s">
        <v>223</v>
      </c>
      <c r="E36" s="3" t="s">
        <v>223</v>
      </c>
      <c r="F36" s="3" t="s">
        <v>223</v>
      </c>
      <c r="G36" s="3" t="s">
        <v>223</v>
      </c>
      <c r="H36" s="20">
        <v>41681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222</v>
      </c>
      <c r="Q36" s="10" t="str">
        <f t="shared" si="1"/>
        <v xml:space="preserve">BRB BANCO   -PN  </v>
      </c>
      <c r="R36" s="51">
        <f t="shared" si="2"/>
        <v>41681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 x14ac:dyDescent="0.2">
      <c r="A37" s="33" t="str">
        <f>IF(Tabela1[[#This Row],[Código]]="IBOV","^BVSP",IF(Tabela1[[#This Row],[Código]]="","",CONCATENATE(LEFT(Tabela1[[#This Row],[Código]],6),".SA")))</f>
        <v>CASN3.SA</v>
      </c>
      <c r="C37" s="3" t="s">
        <v>183</v>
      </c>
      <c r="D37" s="3" t="s">
        <v>161</v>
      </c>
      <c r="E37" s="3" t="s">
        <v>161</v>
      </c>
      <c r="F37" s="3" t="s">
        <v>161</v>
      </c>
      <c r="G37" s="3" t="s">
        <v>161</v>
      </c>
      <c r="H37" s="20">
        <v>41681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182</v>
      </c>
      <c r="Q37" s="10" t="str">
        <f t="shared" si="1"/>
        <v>CASAN       -ON</v>
      </c>
      <c r="R37" s="51">
        <f t="shared" si="2"/>
        <v>41681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 x14ac:dyDescent="0.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796</v>
      </c>
      <c r="E38" s="3" t="s">
        <v>796</v>
      </c>
      <c r="F38" s="3" t="s">
        <v>796</v>
      </c>
      <c r="G38" s="3" t="s">
        <v>796</v>
      </c>
      <c r="H38" s="20">
        <v>41681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41681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 x14ac:dyDescent="0.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794</v>
      </c>
      <c r="E39" s="3" t="s">
        <v>794</v>
      </c>
      <c r="F39" s="3" t="s">
        <v>794</v>
      </c>
      <c r="G39" s="3" t="s">
        <v>794</v>
      </c>
      <c r="H39" s="20">
        <v>41681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41681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 x14ac:dyDescent="0.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816</v>
      </c>
      <c r="E40" s="3" t="s">
        <v>817</v>
      </c>
      <c r="F40" s="3" t="s">
        <v>817</v>
      </c>
      <c r="G40" s="3" t="s">
        <v>816</v>
      </c>
      <c r="H40" s="20">
        <v>41681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41681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 x14ac:dyDescent="0.2">
      <c r="A41" s="33" t="str">
        <f>IF(Tabela1[[#This Row],[Código]]="IBOV","^BVSP",IF(Tabela1[[#This Row],[Código]]="","",CONCATENATE(LEFT(Tabela1[[#This Row],[Código]],6),".SA")))</f>
        <v>CEEB3.SA</v>
      </c>
      <c r="C41" s="3" t="s">
        <v>671</v>
      </c>
      <c r="D41" s="3" t="s">
        <v>128</v>
      </c>
      <c r="E41" s="3" t="s">
        <v>128</v>
      </c>
      <c r="F41" s="3" t="s">
        <v>128</v>
      </c>
      <c r="G41" s="3" t="s">
        <v>128</v>
      </c>
      <c r="H41" s="20">
        <v>41681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88</v>
      </c>
      <c r="Q41" s="10" t="str">
        <f t="shared" si="8"/>
        <v>COELBA      -ON</v>
      </c>
      <c r="R41" s="46">
        <f t="shared" si="9"/>
        <v>41681</v>
      </c>
      <c r="S41" s="6">
        <f t="shared" si="10"/>
        <v>30</v>
      </c>
      <c r="T41" s="6">
        <f t="shared" si="11"/>
        <v>30</v>
      </c>
      <c r="U41" s="6">
        <f t="shared" si="12"/>
        <v>30</v>
      </c>
      <c r="V41" s="6">
        <f t="shared" si="13"/>
        <v>30</v>
      </c>
    </row>
    <row r="42" spans="1:22" x14ac:dyDescent="0.2">
      <c r="A42" s="33" t="str">
        <f>IF(Tabela1[[#This Row],[Código]]="IBOV","^BVSP",IF(Tabela1[[#This Row],[Código]]="","",CONCATENATE(LEFT(Tabela1[[#This Row],[Código]],6),".SA")))</f>
        <v>CEEB5.SA</v>
      </c>
      <c r="C42" s="3" t="s">
        <v>672</v>
      </c>
      <c r="D42" s="3" t="s">
        <v>113</v>
      </c>
      <c r="E42" s="3" t="s">
        <v>113</v>
      </c>
      <c r="F42" s="3" t="s">
        <v>113</v>
      </c>
      <c r="G42" s="3" t="s">
        <v>113</v>
      </c>
      <c r="H42" s="20">
        <v>41681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41681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 x14ac:dyDescent="0.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115</v>
      </c>
      <c r="E43" s="3" t="s">
        <v>115</v>
      </c>
      <c r="F43" s="3" t="s">
        <v>115</v>
      </c>
      <c r="G43" s="3" t="s">
        <v>115</v>
      </c>
      <c r="H43" s="20">
        <v>41681</v>
      </c>
      <c r="J43" s="3">
        <f t="shared" si="7"/>
        <v>18</v>
      </c>
      <c r="K43" s="3">
        <f t="shared" si="7"/>
        <v>18</v>
      </c>
      <c r="L43" s="3">
        <f t="shared" si="7"/>
        <v>18</v>
      </c>
      <c r="M43" s="3">
        <f t="shared" si="7"/>
        <v>18</v>
      </c>
      <c r="P43" s="14" t="s">
        <v>70</v>
      </c>
      <c r="Q43" s="10" t="str">
        <f t="shared" si="8"/>
        <v>CELPE       -PNA</v>
      </c>
      <c r="R43" s="51">
        <f t="shared" si="9"/>
        <v>41681</v>
      </c>
      <c r="S43" s="5">
        <f t="shared" si="10"/>
        <v>18</v>
      </c>
      <c r="T43" s="5">
        <f t="shared" si="11"/>
        <v>18</v>
      </c>
      <c r="U43" s="5">
        <f t="shared" si="12"/>
        <v>18</v>
      </c>
      <c r="V43" s="5">
        <f t="shared" si="13"/>
        <v>18</v>
      </c>
    </row>
    <row r="44" spans="1:22" x14ac:dyDescent="0.2">
      <c r="A44" s="33" t="str">
        <f>IF(Tabela1[[#This Row],[Código]]="IBOV","^BVSP",IF(Tabela1[[#This Row],[Código]]="","",CONCATENATE(LEFT(Tabela1[[#This Row],[Código]],6),".SA")))</f>
        <v>CEPE6.SA</v>
      </c>
      <c r="C44" s="3" t="s">
        <v>116</v>
      </c>
      <c r="D44" s="3" t="s">
        <v>818</v>
      </c>
      <c r="E44" s="3" t="s">
        <v>818</v>
      </c>
      <c r="F44" s="3" t="s">
        <v>818</v>
      </c>
      <c r="G44" s="3" t="s">
        <v>818</v>
      </c>
      <c r="H44" s="20">
        <v>41681</v>
      </c>
      <c r="J44" s="3">
        <f t="shared" si="7"/>
        <v>18.11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41681</v>
      </c>
      <c r="S44" s="5">
        <f t="shared" si="10"/>
        <v>18.11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 x14ac:dyDescent="0.2">
      <c r="A45" s="33" t="str">
        <f>IF(Tabela1[[#This Row],[Código]]="IBOV","^BVSP",IF(Tabela1[[#This Row],[Código]]="","",CONCATENATE(LEFT(Tabela1[[#This Row],[Código]],6),".SA")))</f>
        <v>CESP3.SA</v>
      </c>
      <c r="C45" s="3" t="s">
        <v>117</v>
      </c>
      <c r="D45" s="3" t="s">
        <v>1121</v>
      </c>
      <c r="E45" s="3" t="s">
        <v>852</v>
      </c>
      <c r="F45" s="3" t="s">
        <v>852</v>
      </c>
      <c r="G45" s="3" t="s">
        <v>1121</v>
      </c>
      <c r="H45" s="20">
        <v>41681</v>
      </c>
      <c r="J45" s="3">
        <f t="shared" si="7"/>
        <v>19.45</v>
      </c>
      <c r="K45" s="3">
        <f t="shared" si="7"/>
        <v>19.71</v>
      </c>
      <c r="L45" s="3">
        <f t="shared" si="7"/>
        <v>19.71</v>
      </c>
      <c r="M45" s="3">
        <f t="shared" si="7"/>
        <v>19.45</v>
      </c>
      <c r="P45" s="14" t="s">
        <v>72</v>
      </c>
      <c r="Q45" s="10" t="str">
        <f t="shared" si="8"/>
        <v xml:space="preserve">CESP        -ON  </v>
      </c>
      <c r="R45" s="46">
        <f t="shared" si="9"/>
        <v>41681</v>
      </c>
      <c r="S45" s="6">
        <f t="shared" si="10"/>
        <v>19.45</v>
      </c>
      <c r="T45" s="6">
        <f t="shared" si="11"/>
        <v>19.71</v>
      </c>
      <c r="U45" s="6">
        <f t="shared" si="12"/>
        <v>19.71</v>
      </c>
      <c r="V45" s="6">
        <f t="shared" si="13"/>
        <v>19.45</v>
      </c>
    </row>
    <row r="46" spans="1:22" x14ac:dyDescent="0.2">
      <c r="A46" s="33" t="str">
        <f>IF(Tabela1[[#This Row],[Código]]="IBOV","^BVSP",IF(Tabela1[[#This Row],[Código]]="","",CONCATENATE(LEFT(Tabela1[[#This Row],[Código]],6),".SA")))</f>
        <v>CESP5.SA</v>
      </c>
      <c r="C46" s="3" t="s">
        <v>118</v>
      </c>
      <c r="D46" s="3" t="s">
        <v>820</v>
      </c>
      <c r="E46" s="3" t="s">
        <v>820</v>
      </c>
      <c r="F46" s="3" t="s">
        <v>820</v>
      </c>
      <c r="G46" s="3" t="s">
        <v>820</v>
      </c>
      <c r="H46" s="20">
        <v>41681</v>
      </c>
      <c r="J46" s="3">
        <f t="shared" si="7"/>
        <v>22</v>
      </c>
      <c r="K46" s="3">
        <f t="shared" si="7"/>
        <v>22</v>
      </c>
      <c r="L46" s="3">
        <f t="shared" si="7"/>
        <v>22</v>
      </c>
      <c r="M46" s="3">
        <f t="shared" si="7"/>
        <v>22</v>
      </c>
      <c r="P46" s="14" t="s">
        <v>86</v>
      </c>
      <c r="Q46" s="10" t="str">
        <f t="shared" si="8"/>
        <v xml:space="preserve">CESP        -PNA </v>
      </c>
      <c r="R46" s="46">
        <f t="shared" si="9"/>
        <v>41681</v>
      </c>
      <c r="S46" s="6">
        <f t="shared" si="10"/>
        <v>22</v>
      </c>
      <c r="T46" s="6">
        <f t="shared" si="11"/>
        <v>22</v>
      </c>
      <c r="U46" s="6">
        <f t="shared" si="12"/>
        <v>22</v>
      </c>
      <c r="V46" s="6">
        <f t="shared" si="13"/>
        <v>22</v>
      </c>
    </row>
    <row r="47" spans="1:22" x14ac:dyDescent="0.2">
      <c r="A47" s="33" t="str">
        <f>IF(Tabela1[[#This Row],[Código]]="IBOV","^BVSP",IF(Tabela1[[#This Row],[Código]]="","",CONCATENATE(LEFT(Tabela1[[#This Row],[Código]],6),".SA")))</f>
        <v>CESP6.SA</v>
      </c>
      <c r="C47" s="3" t="s">
        <v>119</v>
      </c>
      <c r="D47" s="3" t="s">
        <v>1122</v>
      </c>
      <c r="E47" s="3" t="s">
        <v>1123</v>
      </c>
      <c r="F47" s="3" t="s">
        <v>1124</v>
      </c>
      <c r="G47" s="3" t="s">
        <v>850</v>
      </c>
      <c r="H47" s="20">
        <v>41681</v>
      </c>
      <c r="J47" s="3">
        <f t="shared" si="7"/>
        <v>22.75</v>
      </c>
      <c r="K47" s="3">
        <f t="shared" si="7"/>
        <v>22.68</v>
      </c>
      <c r="L47" s="3">
        <f t="shared" si="7"/>
        <v>22.9</v>
      </c>
      <c r="M47" s="3">
        <f t="shared" si="7"/>
        <v>22.6</v>
      </c>
      <c r="P47" s="14" t="s">
        <v>87</v>
      </c>
      <c r="Q47" s="10" t="str">
        <f t="shared" si="8"/>
        <v xml:space="preserve">CESP        -PNB </v>
      </c>
      <c r="R47" s="20">
        <f t="shared" si="9"/>
        <v>41681</v>
      </c>
      <c r="S47" s="5">
        <f t="shared" si="10"/>
        <v>22.75</v>
      </c>
      <c r="T47" s="5">
        <f t="shared" si="11"/>
        <v>22.68</v>
      </c>
      <c r="U47" s="5">
        <f t="shared" si="12"/>
        <v>22.9</v>
      </c>
      <c r="V47" s="5">
        <f t="shared" si="13"/>
        <v>22.6</v>
      </c>
    </row>
    <row r="48" spans="1:22" x14ac:dyDescent="0.2">
      <c r="A48" s="33" t="str">
        <f>IF(Tabela1[[#This Row],[Código]]="IBOV","^BVSP",IF(Tabela1[[#This Row],[Código]]="","",CONCATENATE(LEFT(Tabela1[[#This Row],[Código]],6),".SA")))</f>
        <v>CLSC4.SA</v>
      </c>
      <c r="C48" s="3" t="s">
        <v>120</v>
      </c>
      <c r="D48" s="3" t="s">
        <v>1125</v>
      </c>
      <c r="E48" s="3" t="s">
        <v>877</v>
      </c>
      <c r="F48" s="3" t="s">
        <v>940</v>
      </c>
      <c r="G48" s="3" t="s">
        <v>877</v>
      </c>
      <c r="H48" s="20">
        <v>41681</v>
      </c>
      <c r="J48" s="3">
        <f t="shared" si="7"/>
        <v>15.52</v>
      </c>
      <c r="K48" s="3">
        <f t="shared" si="7"/>
        <v>15.35</v>
      </c>
      <c r="L48" s="3">
        <f t="shared" si="7"/>
        <v>15.55</v>
      </c>
      <c r="M48" s="3">
        <f t="shared" si="7"/>
        <v>15.35</v>
      </c>
      <c r="P48" s="14" t="s">
        <v>71</v>
      </c>
      <c r="Q48" s="10" t="str">
        <f t="shared" si="8"/>
        <v xml:space="preserve">CELESC      -PN  </v>
      </c>
      <c r="R48" s="20">
        <f t="shared" si="9"/>
        <v>41681</v>
      </c>
      <c r="S48" s="5">
        <f t="shared" si="10"/>
        <v>15.52</v>
      </c>
      <c r="T48" s="5">
        <f t="shared" si="11"/>
        <v>15.35</v>
      </c>
      <c r="U48" s="5">
        <f t="shared" si="12"/>
        <v>15.55</v>
      </c>
      <c r="V48" s="5">
        <f t="shared" si="13"/>
        <v>15.35</v>
      </c>
    </row>
    <row r="49" spans="1:22" x14ac:dyDescent="0.2">
      <c r="A49" s="33" t="str">
        <f>IF(Tabela1[[#This Row],[Código]]="IBOV","^BVSP",IF(Tabela1[[#This Row],[Código]]="","",CONCATENATE(LEFT(Tabela1[[#This Row],[Código]],6),".SA")))</f>
        <v>CMIG3.SA</v>
      </c>
      <c r="C49" s="3" t="s">
        <v>121</v>
      </c>
      <c r="D49" s="3" t="s">
        <v>1126</v>
      </c>
      <c r="E49" s="3" t="s">
        <v>1060</v>
      </c>
      <c r="F49" s="3" t="s">
        <v>1127</v>
      </c>
      <c r="G49" s="3" t="s">
        <v>1128</v>
      </c>
      <c r="H49" s="20">
        <v>41681</v>
      </c>
      <c r="J49" s="3">
        <f t="shared" si="7"/>
        <v>13.18</v>
      </c>
      <c r="K49" s="3">
        <f t="shared" si="7"/>
        <v>13.24</v>
      </c>
      <c r="L49" s="3">
        <f t="shared" si="7"/>
        <v>13.39</v>
      </c>
      <c r="M49" s="3">
        <f t="shared" si="7"/>
        <v>13.05</v>
      </c>
      <c r="P49" s="26" t="s">
        <v>31</v>
      </c>
      <c r="Q49" s="10" t="str">
        <f t="shared" si="8"/>
        <v xml:space="preserve">CEMIG       -ON  </v>
      </c>
      <c r="R49" s="20">
        <f t="shared" si="9"/>
        <v>41681</v>
      </c>
      <c r="S49" s="5">
        <f t="shared" si="10"/>
        <v>13.18</v>
      </c>
      <c r="T49" s="5">
        <f t="shared" si="11"/>
        <v>13.24</v>
      </c>
      <c r="U49" s="5">
        <f t="shared" si="12"/>
        <v>13.39</v>
      </c>
      <c r="V49" s="5">
        <f t="shared" si="13"/>
        <v>13.05</v>
      </c>
    </row>
    <row r="50" spans="1:22" x14ac:dyDescent="0.2">
      <c r="A50" s="33" t="str">
        <f>IF(Tabela1[[#This Row],[Código]]="IBOV","^BVSP",IF(Tabela1[[#This Row],[Código]]="","",CONCATENATE(LEFT(Tabela1[[#This Row],[Código]],6),".SA")))</f>
        <v>CMIG4.SA</v>
      </c>
      <c r="C50" s="3" t="s">
        <v>122</v>
      </c>
      <c r="D50" s="3" t="s">
        <v>883</v>
      </c>
      <c r="E50" s="3" t="s">
        <v>1129</v>
      </c>
      <c r="F50" s="3" t="s">
        <v>1021</v>
      </c>
      <c r="G50" s="3" t="s">
        <v>1130</v>
      </c>
      <c r="H50" s="20">
        <v>41681</v>
      </c>
      <c r="J50" s="3">
        <f t="shared" si="7"/>
        <v>13.25</v>
      </c>
      <c r="K50" s="3">
        <f t="shared" si="7"/>
        <v>13.11</v>
      </c>
      <c r="L50" s="3">
        <f t="shared" si="7"/>
        <v>13.34</v>
      </c>
      <c r="M50" s="3">
        <f t="shared" si="7"/>
        <v>12.91</v>
      </c>
      <c r="P50" s="26" t="s">
        <v>30</v>
      </c>
      <c r="Q50" s="10" t="str">
        <f t="shared" si="8"/>
        <v xml:space="preserve">CEMIG       -PN  </v>
      </c>
      <c r="R50" s="46">
        <f t="shared" si="9"/>
        <v>41681</v>
      </c>
      <c r="S50" s="6">
        <f t="shared" si="10"/>
        <v>13.25</v>
      </c>
      <c r="T50" s="6">
        <f t="shared" si="11"/>
        <v>13.11</v>
      </c>
      <c r="U50" s="6">
        <f t="shared" si="12"/>
        <v>13.34</v>
      </c>
      <c r="V50" s="6">
        <f t="shared" si="13"/>
        <v>12.91</v>
      </c>
    </row>
    <row r="51" spans="1:22" x14ac:dyDescent="0.2">
      <c r="A51" s="33" t="str">
        <f>IF(Tabela1[[#This Row],[Código]]="IBOV","^BVSP",IF(Tabela1[[#This Row],[Código]]="","",CONCATENATE(LEFT(Tabela1[[#This Row],[Código]],6),".SA")))</f>
        <v>COCE3.SA</v>
      </c>
      <c r="C51" s="3" t="s">
        <v>123</v>
      </c>
      <c r="D51" s="3" t="s">
        <v>822</v>
      </c>
      <c r="E51" s="3" t="s">
        <v>823</v>
      </c>
      <c r="F51" s="3" t="s">
        <v>824</v>
      </c>
      <c r="G51" s="3" t="s">
        <v>825</v>
      </c>
      <c r="H51" s="20">
        <v>41681</v>
      </c>
      <c r="J51" s="3">
        <f t="shared" si="7"/>
        <v>48.09</v>
      </c>
      <c r="K51" s="3">
        <f t="shared" si="7"/>
        <v>48.49</v>
      </c>
      <c r="L51" s="3">
        <f t="shared" si="7"/>
        <v>48.55</v>
      </c>
      <c r="M51" s="3">
        <f t="shared" si="7"/>
        <v>48.02</v>
      </c>
      <c r="P51" s="14" t="s">
        <v>93</v>
      </c>
      <c r="Q51" s="10" t="str">
        <f t="shared" si="8"/>
        <v>COELCE      -ON</v>
      </c>
      <c r="R51" s="46">
        <f t="shared" si="9"/>
        <v>41681</v>
      </c>
      <c r="S51" s="6">
        <f t="shared" si="10"/>
        <v>48.09</v>
      </c>
      <c r="T51" s="6">
        <f t="shared" si="11"/>
        <v>48.49</v>
      </c>
      <c r="U51" s="6">
        <f t="shared" si="12"/>
        <v>48.55</v>
      </c>
      <c r="V51" s="6">
        <f t="shared" si="13"/>
        <v>48.02</v>
      </c>
    </row>
    <row r="52" spans="1:22" x14ac:dyDescent="0.2">
      <c r="A52" s="33" t="str">
        <f>IF(Tabela1[[#This Row],[Código]]="IBOV","^BVSP",IF(Tabela1[[#This Row],[Código]]="","",CONCATENATE(LEFT(Tabela1[[#This Row],[Código]],6),".SA")))</f>
        <v>COCE5.SA</v>
      </c>
      <c r="C52" s="3" t="s">
        <v>124</v>
      </c>
      <c r="D52" s="3" t="s">
        <v>1131</v>
      </c>
      <c r="E52" s="3" t="s">
        <v>1132</v>
      </c>
      <c r="F52" s="3" t="s">
        <v>1133</v>
      </c>
      <c r="G52" s="3" t="s">
        <v>1131</v>
      </c>
      <c r="H52" s="20">
        <v>41681</v>
      </c>
      <c r="J52" s="3">
        <f t="shared" si="7"/>
        <v>47.72</v>
      </c>
      <c r="K52" s="3">
        <f t="shared" si="7"/>
        <v>47.9</v>
      </c>
      <c r="L52" s="3">
        <f t="shared" si="7"/>
        <v>48</v>
      </c>
      <c r="M52" s="3">
        <f t="shared" si="7"/>
        <v>47.72</v>
      </c>
      <c r="P52" s="10" t="s">
        <v>81</v>
      </c>
      <c r="Q52" s="10" t="str">
        <f t="shared" si="8"/>
        <v>COELCE      -PNA</v>
      </c>
      <c r="R52" s="51">
        <f t="shared" si="9"/>
        <v>41681</v>
      </c>
      <c r="S52" s="5">
        <f t="shared" si="10"/>
        <v>47.72</v>
      </c>
      <c r="T52" s="5">
        <f t="shared" si="11"/>
        <v>47.9</v>
      </c>
      <c r="U52" s="5">
        <f t="shared" si="12"/>
        <v>48</v>
      </c>
      <c r="V52" s="5">
        <f t="shared" si="13"/>
        <v>47.72</v>
      </c>
    </row>
    <row r="53" spans="1:22" x14ac:dyDescent="0.2">
      <c r="A53" s="33" t="str">
        <f>IF(Tabela1[[#This Row],[Código]]="IBOV","^BVSP",IF(Tabela1[[#This Row],[Código]]="","",CONCATENATE(LEFT(Tabela1[[#This Row],[Código]],6),".SA")))</f>
        <v>CPFE3.SA</v>
      </c>
      <c r="C53" s="3" t="s">
        <v>125</v>
      </c>
      <c r="D53" s="3" t="s">
        <v>1134</v>
      </c>
      <c r="E53" s="3" t="s">
        <v>1135</v>
      </c>
      <c r="F53" s="3" t="s">
        <v>1136</v>
      </c>
      <c r="G53" s="3" t="s">
        <v>1019</v>
      </c>
      <c r="H53" s="20">
        <v>41681</v>
      </c>
      <c r="J53" s="3">
        <f t="shared" si="7"/>
        <v>17.739999999999998</v>
      </c>
      <c r="K53" s="3">
        <f t="shared" si="7"/>
        <v>17.78</v>
      </c>
      <c r="L53" s="3">
        <f t="shared" si="7"/>
        <v>17.82</v>
      </c>
      <c r="M53" s="3">
        <f t="shared" si="7"/>
        <v>17.489999999999998</v>
      </c>
      <c r="P53" s="26" t="s">
        <v>32</v>
      </c>
      <c r="Q53" s="10" t="str">
        <f t="shared" si="8"/>
        <v xml:space="preserve">CPFL ENERGIA-ON  </v>
      </c>
      <c r="R53" s="51">
        <f t="shared" si="9"/>
        <v>41681</v>
      </c>
      <c r="S53" s="5">
        <f t="shared" si="10"/>
        <v>17.739999999999998</v>
      </c>
      <c r="T53" s="5">
        <f t="shared" si="11"/>
        <v>17.78</v>
      </c>
      <c r="U53" s="5">
        <f t="shared" si="12"/>
        <v>17.82</v>
      </c>
      <c r="V53" s="5">
        <f t="shared" si="13"/>
        <v>17.489999999999998</v>
      </c>
    </row>
    <row r="54" spans="1:22" x14ac:dyDescent="0.2">
      <c r="A54" s="33" t="str">
        <f>IF(Tabela1[[#This Row],[Código]]="IBOV","^BVSP",IF(Tabela1[[#This Row],[Código]]="","",CONCATENATE(LEFT(Tabela1[[#This Row],[Código]],6),".SA")))</f>
        <v>CPLE3.SA</v>
      </c>
      <c r="C54" s="3" t="s">
        <v>126</v>
      </c>
      <c r="D54" s="3" t="s">
        <v>1137</v>
      </c>
      <c r="E54" s="3" t="s">
        <v>1138</v>
      </c>
      <c r="F54" s="3" t="s">
        <v>1139</v>
      </c>
      <c r="G54" s="3" t="s">
        <v>793</v>
      </c>
      <c r="H54" s="20">
        <v>41681</v>
      </c>
      <c r="J54" s="3">
        <f t="shared" si="7"/>
        <v>18.899999999999999</v>
      </c>
      <c r="K54" s="3">
        <f t="shared" si="7"/>
        <v>18.690000000000001</v>
      </c>
      <c r="L54" s="3">
        <f t="shared" si="7"/>
        <v>18.91</v>
      </c>
      <c r="M54" s="3">
        <f t="shared" si="7"/>
        <v>18.600000000000001</v>
      </c>
      <c r="P54" s="26" t="s">
        <v>34</v>
      </c>
      <c r="Q54" s="10" t="str">
        <f t="shared" si="8"/>
        <v xml:space="preserve">COPEL       -ON  </v>
      </c>
      <c r="R54" s="51">
        <f t="shared" si="9"/>
        <v>41681</v>
      </c>
      <c r="S54" s="5">
        <f t="shared" si="10"/>
        <v>18.899999999999999</v>
      </c>
      <c r="T54" s="5">
        <f t="shared" si="11"/>
        <v>18.690000000000001</v>
      </c>
      <c r="U54" s="5">
        <f t="shared" si="12"/>
        <v>18.91</v>
      </c>
      <c r="V54" s="5">
        <f t="shared" si="13"/>
        <v>18.600000000000001</v>
      </c>
    </row>
    <row r="55" spans="1:22" x14ac:dyDescent="0.2">
      <c r="A55" s="33" t="str">
        <f>IF(Tabela1[[#This Row],[Código]]="IBOV","^BVSP",IF(Tabela1[[#This Row],[Código]]="","",CONCATENATE(LEFT(Tabela1[[#This Row],[Código]],6),".SA")))</f>
        <v>CPLE5.SA</v>
      </c>
      <c r="C55" s="3" t="s">
        <v>127</v>
      </c>
      <c r="D55" s="3" t="s">
        <v>128</v>
      </c>
      <c r="E55" s="3" t="s">
        <v>128</v>
      </c>
      <c r="F55" s="3" t="s">
        <v>128</v>
      </c>
      <c r="G55" s="3" t="s">
        <v>128</v>
      </c>
      <c r="H55" s="20">
        <v>41681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41681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 x14ac:dyDescent="0.2">
      <c r="A56" s="33" t="str">
        <f>IF(Tabela1[[#This Row],[Código]]="IBOV","^BVSP",IF(Tabela1[[#This Row],[Código]]="","",CONCATENATE(LEFT(Tabela1[[#This Row],[Código]],6),".SA")))</f>
        <v>CPLE6.SA</v>
      </c>
      <c r="C56" s="3" t="s">
        <v>129</v>
      </c>
      <c r="D56" s="3" t="s">
        <v>1140</v>
      </c>
      <c r="E56" s="3" t="s">
        <v>1141</v>
      </c>
      <c r="F56" s="3" t="s">
        <v>1142</v>
      </c>
      <c r="G56" s="3" t="s">
        <v>1143</v>
      </c>
      <c r="H56" s="20">
        <v>41681</v>
      </c>
      <c r="J56" s="3">
        <f t="shared" si="7"/>
        <v>25.9</v>
      </c>
      <c r="K56" s="3">
        <f t="shared" si="7"/>
        <v>25.98</v>
      </c>
      <c r="L56" s="3">
        <f t="shared" si="7"/>
        <v>26.18</v>
      </c>
      <c r="M56" s="3">
        <f t="shared" si="7"/>
        <v>25.74</v>
      </c>
      <c r="P56" s="14" t="s">
        <v>100</v>
      </c>
      <c r="Q56" s="10" t="str">
        <f t="shared" si="8"/>
        <v xml:space="preserve">COPEL       -PNB </v>
      </c>
      <c r="R56" s="51">
        <f t="shared" si="9"/>
        <v>41681</v>
      </c>
      <c r="S56" s="5">
        <f t="shared" si="10"/>
        <v>25.9</v>
      </c>
      <c r="T56" s="5">
        <f t="shared" si="11"/>
        <v>25.98</v>
      </c>
      <c r="U56" s="5">
        <f t="shared" si="12"/>
        <v>26.18</v>
      </c>
      <c r="V56" s="5">
        <f t="shared" si="13"/>
        <v>25.74</v>
      </c>
    </row>
    <row r="57" spans="1:22" x14ac:dyDescent="0.2">
      <c r="A57" s="33" t="str">
        <f>IF(Tabela1[[#This Row],[Código]]="IBOV","^BVSP",IF(Tabela1[[#This Row],[Código]]="","",CONCATENATE(LEFT(Tabela1[[#This Row],[Código]],6),".SA")))</f>
        <v>CSMG3.SA</v>
      </c>
      <c r="C57" s="3" t="s">
        <v>185</v>
      </c>
      <c r="D57" s="3" t="s">
        <v>1144</v>
      </c>
      <c r="E57" s="3" t="s">
        <v>1145</v>
      </c>
      <c r="F57" s="3" t="s">
        <v>1146</v>
      </c>
      <c r="G57" s="3" t="s">
        <v>1144</v>
      </c>
      <c r="H57" s="20">
        <v>41681</v>
      </c>
      <c r="J57" s="3">
        <f t="shared" si="7"/>
        <v>31.35</v>
      </c>
      <c r="K57" s="3">
        <f t="shared" si="7"/>
        <v>32.86</v>
      </c>
      <c r="L57" s="3">
        <f t="shared" si="7"/>
        <v>33.18</v>
      </c>
      <c r="M57" s="3">
        <f t="shared" si="7"/>
        <v>31.35</v>
      </c>
      <c r="P57" s="14" t="s">
        <v>184</v>
      </c>
      <c r="Q57" s="10" t="str">
        <f t="shared" si="8"/>
        <v xml:space="preserve">COPASA      -ON  </v>
      </c>
      <c r="R57" s="20">
        <f t="shared" si="9"/>
        <v>41681</v>
      </c>
      <c r="S57" s="5">
        <f t="shared" si="10"/>
        <v>31.35</v>
      </c>
      <c r="T57" s="5">
        <f t="shared" si="11"/>
        <v>32.86</v>
      </c>
      <c r="U57" s="5">
        <f t="shared" si="12"/>
        <v>33.18</v>
      </c>
      <c r="V57" s="5">
        <f t="shared" si="13"/>
        <v>31.35</v>
      </c>
    </row>
    <row r="58" spans="1:22" x14ac:dyDescent="0.2">
      <c r="A58" s="33" t="str">
        <f>IF(Tabela1[[#This Row],[Código]]="IBOV","^BVSP",IF(Tabela1[[#This Row],[Código]]="","",CONCATENATE(LEFT(Tabela1[[#This Row],[Código]],6),".SA")))</f>
        <v>CSRN3.SA</v>
      </c>
      <c r="C58" s="3" t="s">
        <v>673</v>
      </c>
      <c r="D58" s="3" t="s">
        <v>347</v>
      </c>
      <c r="E58" s="3" t="s">
        <v>347</v>
      </c>
      <c r="F58" s="3" t="s">
        <v>347</v>
      </c>
      <c r="G58" s="3" t="s">
        <v>347</v>
      </c>
      <c r="H58" s="20">
        <v>41681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41681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 x14ac:dyDescent="0.2">
      <c r="A59" s="33" t="str">
        <f>IF(Tabela1[[#This Row],[Código]]="IBOV","^BVSP",IF(Tabela1[[#This Row],[Código]]="","",CONCATENATE(LEFT(Tabela1[[#This Row],[Código]],6),".SA")))</f>
        <v>CSRN5.SA</v>
      </c>
      <c r="C59" s="3" t="s">
        <v>674</v>
      </c>
      <c r="D59" s="3" t="s">
        <v>130</v>
      </c>
      <c r="E59" s="3" t="s">
        <v>130</v>
      </c>
      <c r="F59" s="3" t="s">
        <v>130</v>
      </c>
      <c r="G59" s="3" t="s">
        <v>130</v>
      </c>
      <c r="H59" s="20">
        <v>41681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41681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 x14ac:dyDescent="0.2">
      <c r="A60" s="33" t="str">
        <f>IF(Tabela1[[#This Row],[Código]]="IBOV","^BVSP",IF(Tabela1[[#This Row],[Código]]="","",CONCATENATE(LEFT(Tabela1[[#This Row],[Código]],6),".SA")))</f>
        <v>CSRN6.SA</v>
      </c>
      <c r="C60" s="3" t="s">
        <v>675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41681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41681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 x14ac:dyDescent="0.2">
      <c r="A61" s="33" t="str">
        <f>IF(Tabela1[[#This Row],[Código]]="IBOV","^BVSP",IF(Tabela1[[#This Row],[Código]]="","",CONCATENATE(LEFT(Tabela1[[#This Row],[Código]],6),".SA")))</f>
        <v>DAYC4.SA</v>
      </c>
      <c r="C61" s="3" t="s">
        <v>131</v>
      </c>
      <c r="D61" s="3" t="s">
        <v>1147</v>
      </c>
      <c r="E61" s="3" t="s">
        <v>792</v>
      </c>
      <c r="F61" s="3" t="s">
        <v>1148</v>
      </c>
      <c r="G61" s="3" t="s">
        <v>1147</v>
      </c>
      <c r="H61" s="20">
        <v>41681</v>
      </c>
      <c r="J61" s="3">
        <f t="shared" si="7"/>
        <v>7.58</v>
      </c>
      <c r="K61" s="3">
        <f t="shared" si="7"/>
        <v>7.6</v>
      </c>
      <c r="L61" s="3">
        <f t="shared" si="7"/>
        <v>7.67</v>
      </c>
      <c r="M61" s="3">
        <f t="shared" si="7"/>
        <v>7.58</v>
      </c>
      <c r="P61" s="10" t="s">
        <v>15</v>
      </c>
      <c r="Q61" s="10" t="str">
        <f t="shared" si="8"/>
        <v xml:space="preserve">DAYCOVAL    -PN  </v>
      </c>
      <c r="R61" s="51">
        <f t="shared" si="9"/>
        <v>41681</v>
      </c>
      <c r="S61" s="5">
        <f t="shared" si="10"/>
        <v>7.58</v>
      </c>
      <c r="T61" s="5">
        <f t="shared" si="11"/>
        <v>7.6</v>
      </c>
      <c r="U61" s="5">
        <f t="shared" si="12"/>
        <v>7.67</v>
      </c>
      <c r="V61" s="5">
        <f t="shared" si="13"/>
        <v>7.58</v>
      </c>
    </row>
    <row r="62" spans="1:22" x14ac:dyDescent="0.2">
      <c r="A62" s="33" t="str">
        <f>IF(Tabela1[[#This Row],[Código]]="IBOV","^BVSP",IF(Tabela1[[#This Row],[Código]]="","",CONCATENATE(LEFT(Tabela1[[#This Row],[Código]],6),".SA")))</f>
        <v>EEEL3.SA</v>
      </c>
      <c r="C62" s="3" t="s">
        <v>132</v>
      </c>
      <c r="D62" s="3" t="s">
        <v>826</v>
      </c>
      <c r="E62" s="3" t="s">
        <v>826</v>
      </c>
      <c r="F62" s="3" t="s">
        <v>826</v>
      </c>
      <c r="G62" s="3" t="s">
        <v>826</v>
      </c>
      <c r="H62" s="20">
        <v>41681</v>
      </c>
      <c r="J62" s="3">
        <f t="shared" si="7"/>
        <v>1.56</v>
      </c>
      <c r="K62" s="3">
        <f t="shared" si="7"/>
        <v>1.56</v>
      </c>
      <c r="L62" s="3">
        <f t="shared" si="7"/>
        <v>1.56</v>
      </c>
      <c r="M62" s="3">
        <f t="shared" si="7"/>
        <v>1.56</v>
      </c>
      <c r="P62" s="14" t="s">
        <v>97</v>
      </c>
      <c r="Q62" s="10" t="str">
        <f t="shared" si="8"/>
        <v xml:space="preserve">CEEE-GT     -ON  </v>
      </c>
      <c r="R62" s="51">
        <f t="shared" si="9"/>
        <v>41681</v>
      </c>
      <c r="S62" s="5">
        <f t="shared" si="10"/>
        <v>1.56</v>
      </c>
      <c r="T62" s="5">
        <f t="shared" si="11"/>
        <v>1.56</v>
      </c>
      <c r="U62" s="5">
        <f t="shared" si="12"/>
        <v>1.56</v>
      </c>
      <c r="V62" s="5">
        <f t="shared" si="13"/>
        <v>1.56</v>
      </c>
    </row>
    <row r="63" spans="1:22" x14ac:dyDescent="0.2">
      <c r="A63" s="33" t="str">
        <f>IF(Tabela1[[#This Row],[Código]]="IBOV","^BVSP",IF(Tabela1[[#This Row],[Código]]="","",CONCATENATE(LEFT(Tabela1[[#This Row],[Código]],6),".SA")))</f>
        <v>EEEL4.SA</v>
      </c>
      <c r="C63" s="3" t="s">
        <v>133</v>
      </c>
      <c r="D63" s="3" t="s">
        <v>827</v>
      </c>
      <c r="E63" s="3" t="s">
        <v>827</v>
      </c>
      <c r="F63" s="3" t="s">
        <v>827</v>
      </c>
      <c r="G63" s="3" t="s">
        <v>827</v>
      </c>
      <c r="H63" s="20">
        <v>41681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41681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 x14ac:dyDescent="0.2">
      <c r="A64" s="33" t="str">
        <f>IF(Tabela1[[#This Row],[Código]]="IBOV","^BVSP",IF(Tabela1[[#This Row],[Código]]="","",CONCATENATE(LEFT(Tabela1[[#This Row],[Código]],6),".SA")))</f>
        <v>ELET3.SA</v>
      </c>
      <c r="C64" s="3" t="s">
        <v>134</v>
      </c>
      <c r="D64" s="3" t="s">
        <v>787</v>
      </c>
      <c r="E64" s="3" t="s">
        <v>1149</v>
      </c>
      <c r="F64" s="3" t="s">
        <v>1150</v>
      </c>
      <c r="G64" s="3" t="s">
        <v>1151</v>
      </c>
      <c r="H64" s="20">
        <v>41681</v>
      </c>
      <c r="J64" s="3">
        <f t="shared" si="7"/>
        <v>5.04</v>
      </c>
      <c r="K64" s="3">
        <f t="shared" si="7"/>
        <v>5.03</v>
      </c>
      <c r="L64" s="3">
        <f t="shared" si="7"/>
        <v>5.08</v>
      </c>
      <c r="M64" s="3">
        <f t="shared" si="7"/>
        <v>4.99</v>
      </c>
      <c r="P64" s="15" t="s">
        <v>2</v>
      </c>
      <c r="Q64" s="10" t="str">
        <f t="shared" si="8"/>
        <v xml:space="preserve">ELETROBRAS  -ON  </v>
      </c>
      <c r="R64" s="51">
        <f t="shared" si="9"/>
        <v>41681</v>
      </c>
      <c r="S64" s="5">
        <f t="shared" si="10"/>
        <v>5.04</v>
      </c>
      <c r="T64" s="5">
        <f t="shared" si="11"/>
        <v>5.03</v>
      </c>
      <c r="U64" s="5">
        <f t="shared" si="12"/>
        <v>5.08</v>
      </c>
      <c r="V64" s="5">
        <f t="shared" si="13"/>
        <v>4.99</v>
      </c>
    </row>
    <row r="65" spans="1:22" x14ac:dyDescent="0.2">
      <c r="A65" s="33" t="str">
        <f>IF(Tabela1[[#This Row],[Código]]="IBOV","^BVSP",IF(Tabela1[[#This Row],[Código]]="","",CONCATENATE(LEFT(Tabela1[[#This Row],[Código]],6),".SA")))</f>
        <v>ELET6.SA</v>
      </c>
      <c r="C65" s="3" t="s">
        <v>135</v>
      </c>
      <c r="D65" s="3" t="s">
        <v>1152</v>
      </c>
      <c r="E65" s="3" t="s">
        <v>1153</v>
      </c>
      <c r="F65" s="3" t="s">
        <v>891</v>
      </c>
      <c r="G65" s="3" t="s">
        <v>892</v>
      </c>
      <c r="H65" s="20">
        <v>41681</v>
      </c>
      <c r="J65" s="3">
        <f t="shared" si="7"/>
        <v>9.3000000000000007</v>
      </c>
      <c r="K65" s="3">
        <f t="shared" si="7"/>
        <v>9.31</v>
      </c>
      <c r="L65" s="3">
        <f t="shared" si="7"/>
        <v>9.35</v>
      </c>
      <c r="M65" s="3">
        <f t="shared" si="7"/>
        <v>9.23</v>
      </c>
      <c r="P65" s="26" t="s">
        <v>27</v>
      </c>
      <c r="Q65" s="10" t="str">
        <f t="shared" si="8"/>
        <v xml:space="preserve">ELETROBRAS  -PNB </v>
      </c>
      <c r="R65" s="51">
        <f t="shared" si="9"/>
        <v>41681</v>
      </c>
      <c r="S65" s="5">
        <f t="shared" si="10"/>
        <v>9.3000000000000007</v>
      </c>
      <c r="T65" s="5">
        <f t="shared" si="11"/>
        <v>9.31</v>
      </c>
      <c r="U65" s="5">
        <f t="shared" si="12"/>
        <v>9.35</v>
      </c>
      <c r="V65" s="5">
        <f t="shared" si="13"/>
        <v>9.23</v>
      </c>
    </row>
    <row r="66" spans="1:22" x14ac:dyDescent="0.2">
      <c r="A66" s="33" t="str">
        <f>IF(Tabela1[[#This Row],[Código]]="IBOV","^BVSP",IF(Tabela1[[#This Row],[Código]]="","",CONCATENATE(LEFT(Tabela1[[#This Row],[Código]],6),".SA")))</f>
        <v>ELPL3.SA</v>
      </c>
      <c r="C66" s="3" t="s">
        <v>171</v>
      </c>
      <c r="D66" s="3" t="s">
        <v>828</v>
      </c>
      <c r="E66" s="3" t="s">
        <v>828</v>
      </c>
      <c r="F66" s="3" t="s">
        <v>828</v>
      </c>
      <c r="G66" s="3" t="s">
        <v>828</v>
      </c>
      <c r="H66" s="20">
        <v>41681</v>
      </c>
      <c r="J66" s="3">
        <f t="shared" si="7"/>
        <v>10.99</v>
      </c>
      <c r="K66" s="3">
        <f t="shared" si="7"/>
        <v>10.99</v>
      </c>
      <c r="L66" s="3">
        <f t="shared" si="7"/>
        <v>10.99</v>
      </c>
      <c r="M66" s="3">
        <f t="shared" si="7"/>
        <v>10.99</v>
      </c>
      <c r="P66" s="14" t="s">
        <v>170</v>
      </c>
      <c r="Q66" s="10" t="str">
        <f t="shared" si="8"/>
        <v xml:space="preserve">ELETROPAULO -ON  </v>
      </c>
      <c r="R66" s="51">
        <f t="shared" si="9"/>
        <v>41681</v>
      </c>
      <c r="S66" s="5">
        <f t="shared" si="10"/>
        <v>10.99</v>
      </c>
      <c r="T66" s="5">
        <f t="shared" si="11"/>
        <v>10.99</v>
      </c>
      <c r="U66" s="5">
        <f t="shared" si="12"/>
        <v>10.99</v>
      </c>
      <c r="V66" s="5">
        <f t="shared" si="13"/>
        <v>10.99</v>
      </c>
    </row>
    <row r="67" spans="1:22" x14ac:dyDescent="0.2">
      <c r="A67" s="33" t="str">
        <f>IF(Tabela1[[#This Row],[Código]]="IBOV","^BVSP",IF(Tabela1[[#This Row],[Código]]="","",CONCATENATE(LEFT(Tabela1[[#This Row],[Código]],6),".SA")))</f>
        <v>ELPL4.SA</v>
      </c>
      <c r="C67" s="3" t="s">
        <v>136</v>
      </c>
      <c r="D67" s="3" t="s">
        <v>1154</v>
      </c>
      <c r="E67" s="3" t="s">
        <v>1155</v>
      </c>
      <c r="F67" s="3" t="s">
        <v>1156</v>
      </c>
      <c r="G67" s="3" t="s">
        <v>1154</v>
      </c>
      <c r="H67" s="20">
        <v>41681</v>
      </c>
      <c r="J67" s="3">
        <f t="shared" si="7"/>
        <v>8.68</v>
      </c>
      <c r="K67" s="3">
        <f t="shared" si="7"/>
        <v>8.74</v>
      </c>
      <c r="L67" s="3">
        <f t="shared" si="7"/>
        <v>8.7899999999999991</v>
      </c>
      <c r="M67" s="3">
        <f t="shared" si="7"/>
        <v>8.68</v>
      </c>
      <c r="P67" s="43" t="s">
        <v>1</v>
      </c>
      <c r="Q67" s="10" t="str">
        <f t="shared" si="8"/>
        <v xml:space="preserve">ELETROPAULO -PN  </v>
      </c>
      <c r="R67" s="51">
        <f t="shared" si="9"/>
        <v>41681</v>
      </c>
      <c r="S67" s="5">
        <f t="shared" si="10"/>
        <v>8.68</v>
      </c>
      <c r="T67" s="5">
        <f t="shared" si="11"/>
        <v>8.74</v>
      </c>
      <c r="U67" s="5">
        <f t="shared" si="12"/>
        <v>8.7899999999999991</v>
      </c>
      <c r="V67" s="5">
        <f t="shared" si="13"/>
        <v>8.68</v>
      </c>
    </row>
    <row r="68" spans="1:22" x14ac:dyDescent="0.2">
      <c r="A68" s="33" t="str">
        <f>IF(Tabela1[[#This Row],[Código]]="IBOV","^BVSP",IF(Tabela1[[#This Row],[Código]]="","",CONCATENATE(LEFT(Tabela1[[#This Row],[Código]],6),".SA")))</f>
        <v>EMAE4.SA</v>
      </c>
      <c r="C68" s="3" t="s">
        <v>173</v>
      </c>
      <c r="D68" s="3" t="s">
        <v>786</v>
      </c>
      <c r="E68" s="3" t="s">
        <v>786</v>
      </c>
      <c r="F68" s="3" t="s">
        <v>786</v>
      </c>
      <c r="G68" s="3" t="s">
        <v>787</v>
      </c>
      <c r="H68" s="20">
        <v>41681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172</v>
      </c>
      <c r="Q68" s="10" t="str">
        <f t="shared" si="8"/>
        <v>EMAE        -PN</v>
      </c>
      <c r="R68" s="46">
        <f t="shared" si="9"/>
        <v>41681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 x14ac:dyDescent="0.2">
      <c r="A69" s="33" t="str">
        <f>IF(Tabela1[[#This Row],[Código]]="IBOV","^BVSP",IF(Tabela1[[#This Row],[Código]]="","",CONCATENATE(LEFT(Tabela1[[#This Row],[Código]],6),".SA")))</f>
        <v>ENBR3.SA</v>
      </c>
      <c r="C69" s="3" t="s">
        <v>138</v>
      </c>
      <c r="D69" s="3" t="s">
        <v>885</v>
      </c>
      <c r="E69" s="3" t="s">
        <v>1157</v>
      </c>
      <c r="F69" s="3" t="s">
        <v>875</v>
      </c>
      <c r="G69" s="3" t="s">
        <v>1158</v>
      </c>
      <c r="H69" s="20">
        <v>41681</v>
      </c>
      <c r="J69" s="3">
        <f t="shared" si="7"/>
        <v>9.65</v>
      </c>
      <c r="K69" s="3">
        <f t="shared" si="7"/>
        <v>9.2799999999999994</v>
      </c>
      <c r="L69" s="3">
        <f t="shared" si="7"/>
        <v>9.75</v>
      </c>
      <c r="M69" s="3">
        <f t="shared" si="7"/>
        <v>9.19</v>
      </c>
      <c r="P69" s="14" t="s">
        <v>28</v>
      </c>
      <c r="Q69" s="10" t="str">
        <f t="shared" si="8"/>
        <v xml:space="preserve">ENERGIAS BR -ON  </v>
      </c>
      <c r="R69" s="51">
        <f t="shared" si="9"/>
        <v>41681</v>
      </c>
      <c r="S69" s="5">
        <f t="shared" si="10"/>
        <v>9.65</v>
      </c>
      <c r="T69" s="5">
        <f t="shared" si="11"/>
        <v>9.2799999999999994</v>
      </c>
      <c r="U69" s="5">
        <f t="shared" si="12"/>
        <v>9.75</v>
      </c>
      <c r="V69" s="5">
        <f t="shared" si="13"/>
        <v>9.19</v>
      </c>
    </row>
    <row r="70" spans="1:22" x14ac:dyDescent="0.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139</v>
      </c>
      <c r="D70" s="3" t="s">
        <v>790</v>
      </c>
      <c r="E70" s="3" t="s">
        <v>790</v>
      </c>
      <c r="F70" s="3" t="s">
        <v>790</v>
      </c>
      <c r="G70" s="3" t="s">
        <v>790</v>
      </c>
      <c r="H70" s="20">
        <v>41681</v>
      </c>
      <c r="J70" s="3">
        <f t="shared" si="7"/>
        <v>11.5</v>
      </c>
      <c r="K70" s="3">
        <f t="shared" si="7"/>
        <v>11.5</v>
      </c>
      <c r="L70" s="3">
        <f t="shared" si="7"/>
        <v>11.5</v>
      </c>
      <c r="M70" s="3">
        <f t="shared" si="7"/>
        <v>11.5</v>
      </c>
      <c r="P70" s="14" t="s">
        <v>85</v>
      </c>
      <c r="Q70" s="10" t="str">
        <f t="shared" si="8"/>
        <v>ENERGISA    -UNT</v>
      </c>
      <c r="R70" s="51">
        <f t="shared" si="9"/>
        <v>41681</v>
      </c>
      <c r="S70" s="5">
        <f t="shared" si="10"/>
        <v>11.5</v>
      </c>
      <c r="T70" s="5">
        <f t="shared" si="11"/>
        <v>11.5</v>
      </c>
      <c r="U70" s="5">
        <f t="shared" si="12"/>
        <v>11.5</v>
      </c>
      <c r="V70" s="5">
        <f t="shared" si="13"/>
        <v>11.5</v>
      </c>
    </row>
    <row r="71" spans="1:22" x14ac:dyDescent="0.2">
      <c r="A71" s="33" t="str">
        <f>IF(Tabela1[[#This Row],[Código]]="IBOV","^BVSP",IF(Tabela1[[#This Row],[Código]]="","",CONCATENATE(LEFT(Tabela1[[#This Row],[Código]],6),".SA")))</f>
        <v>ENGI3.SA</v>
      </c>
      <c r="C71" s="3" t="s">
        <v>175</v>
      </c>
      <c r="D71" s="3" t="s">
        <v>830</v>
      </c>
      <c r="E71" s="3" t="s">
        <v>830</v>
      </c>
      <c r="F71" s="3" t="s">
        <v>830</v>
      </c>
      <c r="G71" s="3" t="s">
        <v>830</v>
      </c>
      <c r="H71" s="20">
        <v>41681</v>
      </c>
      <c r="J71" s="3">
        <f t="shared" si="7"/>
        <v>3.39</v>
      </c>
      <c r="K71" s="3">
        <f t="shared" si="7"/>
        <v>3.39</v>
      </c>
      <c r="L71" s="3">
        <f t="shared" si="7"/>
        <v>3.39</v>
      </c>
      <c r="M71" s="3">
        <f t="shared" si="7"/>
        <v>3.39</v>
      </c>
      <c r="P71" s="14" t="s">
        <v>174</v>
      </c>
      <c r="Q71" s="10" t="str">
        <f t="shared" ref="Q71:Q102" si="14">IF(A71="","",C71)</f>
        <v>ENERGISA    -ON</v>
      </c>
      <c r="R71" s="51">
        <f t="shared" ref="R71:R102" si="15">IF(A71="","",H71)</f>
        <v>41681</v>
      </c>
      <c r="S71" s="5">
        <f t="shared" ref="S71:S102" si="16">J71</f>
        <v>3.39</v>
      </c>
      <c r="T71" s="5">
        <f t="shared" ref="T71:T102" si="17">K71</f>
        <v>3.39</v>
      </c>
      <c r="U71" s="5">
        <f t="shared" ref="U71:U102" si="18">L71</f>
        <v>3.39</v>
      </c>
      <c r="V71" s="5">
        <f t="shared" ref="V71:V102" si="19">M71</f>
        <v>3.39</v>
      </c>
    </row>
    <row r="72" spans="1:22" x14ac:dyDescent="0.2">
      <c r="A72" s="33" t="str">
        <f>IF(Tabela1[[#This Row],[Código]]="IBOV","^BVSP",IF(Tabela1[[#This Row],[Código]]="","",CONCATENATE(LEFT(Tabela1[[#This Row],[Código]],6),".SA")))</f>
        <v>ENGI4.SA</v>
      </c>
      <c r="C72" s="3" t="s">
        <v>140</v>
      </c>
      <c r="D72" s="3" t="s">
        <v>1159</v>
      </c>
      <c r="E72" s="3" t="s">
        <v>1160</v>
      </c>
      <c r="F72" s="3" t="s">
        <v>1159</v>
      </c>
      <c r="G72" s="3" t="s">
        <v>1160</v>
      </c>
      <c r="H72" s="20">
        <v>41681</v>
      </c>
      <c r="J72" s="3">
        <f t="shared" ref="J72:M135" si="20">IF($A72="",0,VALUE(CONCATENATE(LEFT(D72,LEN(D72)-3),",",RIGHT(D72,2))))</f>
        <v>2.25</v>
      </c>
      <c r="K72" s="3">
        <f t="shared" si="20"/>
        <v>2.11</v>
      </c>
      <c r="L72" s="3">
        <f t="shared" si="20"/>
        <v>2.25</v>
      </c>
      <c r="M72" s="3">
        <f t="shared" si="20"/>
        <v>2.11</v>
      </c>
      <c r="P72" s="14" t="s">
        <v>64</v>
      </c>
      <c r="Q72" s="10" t="str">
        <f t="shared" si="14"/>
        <v>ENERGISA    -PN</v>
      </c>
      <c r="R72" s="46">
        <f t="shared" si="15"/>
        <v>41681</v>
      </c>
      <c r="S72" s="6">
        <f t="shared" si="16"/>
        <v>2.25</v>
      </c>
      <c r="T72" s="6">
        <f t="shared" si="17"/>
        <v>2.11</v>
      </c>
      <c r="U72" s="5">
        <f t="shared" si="18"/>
        <v>2.25</v>
      </c>
      <c r="V72" s="5">
        <f t="shared" si="19"/>
        <v>2.11</v>
      </c>
    </row>
    <row r="73" spans="1:22" x14ac:dyDescent="0.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141</v>
      </c>
      <c r="D73" s="3" t="s">
        <v>419</v>
      </c>
      <c r="E73" s="3" t="s">
        <v>1161</v>
      </c>
      <c r="F73" s="3" t="s">
        <v>831</v>
      </c>
      <c r="G73" s="3" t="s">
        <v>1161</v>
      </c>
      <c r="H73" s="20">
        <v>41681</v>
      </c>
      <c r="J73" s="3">
        <f t="shared" si="20"/>
        <v>15</v>
      </c>
      <c r="K73" s="3">
        <f t="shared" si="20"/>
        <v>14.9</v>
      </c>
      <c r="L73" s="3">
        <f t="shared" si="20"/>
        <v>15.5</v>
      </c>
      <c r="M73" s="3">
        <f t="shared" si="20"/>
        <v>14.9</v>
      </c>
      <c r="P73" s="14" t="s">
        <v>94</v>
      </c>
      <c r="Q73" s="10" t="str">
        <f t="shared" si="14"/>
        <v xml:space="preserve">CEMAR       -ON  </v>
      </c>
      <c r="R73" s="51">
        <f t="shared" si="15"/>
        <v>41681</v>
      </c>
      <c r="S73" s="5">
        <f t="shared" si="16"/>
        <v>15</v>
      </c>
      <c r="T73" s="5">
        <f t="shared" si="17"/>
        <v>14.9</v>
      </c>
      <c r="U73" s="5">
        <f t="shared" si="18"/>
        <v>15.5</v>
      </c>
      <c r="V73" s="5">
        <f t="shared" si="19"/>
        <v>14.9</v>
      </c>
    </row>
    <row r="74" spans="1:22" x14ac:dyDescent="0.2">
      <c r="A74" s="33" t="str">
        <f>IF(Tabela1[[#This Row],[Código]]="IBOV","^BVSP",IF(Tabela1[[#This Row],[Código]]="","",CONCATENATE(LEFT(Tabela1[[#This Row],[Código]],6),".SA")))</f>
        <v>EQTL3.SA</v>
      </c>
      <c r="C74" s="3" t="s">
        <v>142</v>
      </c>
      <c r="D74" s="3" t="s">
        <v>1162</v>
      </c>
      <c r="E74" s="3" t="s">
        <v>1163</v>
      </c>
      <c r="F74" s="3" t="s">
        <v>1164</v>
      </c>
      <c r="G74" s="3" t="s">
        <v>1165</v>
      </c>
      <c r="H74" s="20">
        <v>41681</v>
      </c>
      <c r="J74" s="3">
        <f t="shared" si="20"/>
        <v>21.88</v>
      </c>
      <c r="K74" s="3">
        <f t="shared" si="20"/>
        <v>21.49</v>
      </c>
      <c r="L74" s="3">
        <f t="shared" si="20"/>
        <v>21.97</v>
      </c>
      <c r="M74" s="3">
        <f t="shared" si="20"/>
        <v>21.38</v>
      </c>
      <c r="P74" s="26" t="s">
        <v>35</v>
      </c>
      <c r="Q74" s="10" t="str">
        <f t="shared" si="14"/>
        <v xml:space="preserve">EQUATORIAL  -ON  </v>
      </c>
      <c r="R74" s="51">
        <f t="shared" si="15"/>
        <v>41681</v>
      </c>
      <c r="S74" s="5">
        <f t="shared" si="16"/>
        <v>21.88</v>
      </c>
      <c r="T74" s="5">
        <f t="shared" si="17"/>
        <v>21.49</v>
      </c>
      <c r="U74" s="5">
        <f t="shared" si="18"/>
        <v>21.97</v>
      </c>
      <c r="V74" s="5">
        <f t="shared" si="19"/>
        <v>21.38</v>
      </c>
    </row>
    <row r="75" spans="1:22" x14ac:dyDescent="0.2">
      <c r="A75" s="33" t="str">
        <f>IF(Tabela1[[#This Row],[Código]]="IBOV","^BVSP",IF(Tabela1[[#This Row],[Código]]="","",CONCATENATE(LEFT(Tabela1[[#This Row],[Código]],6),".SA")))</f>
        <v>FESA3.SA</v>
      </c>
      <c r="C75" s="3" t="s">
        <v>243</v>
      </c>
      <c r="D75" s="3" t="s">
        <v>240</v>
      </c>
      <c r="E75" s="3" t="s">
        <v>240</v>
      </c>
      <c r="F75" s="3" t="s">
        <v>240</v>
      </c>
      <c r="G75" s="3" t="s">
        <v>240</v>
      </c>
      <c r="H75" s="20">
        <v>41681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241</v>
      </c>
      <c r="Q75" s="10" t="str">
        <f t="shared" si="14"/>
        <v xml:space="preserve">FERBASA     -ON  </v>
      </c>
      <c r="R75" s="51">
        <f t="shared" si="15"/>
        <v>41681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 x14ac:dyDescent="0.2">
      <c r="A76" s="33" t="str">
        <f>IF(Tabela1[[#This Row],[Código]]="IBOV","^BVSP",IF(Tabela1[[#This Row],[Código]]="","",CONCATENATE(LEFT(Tabela1[[#This Row],[Código]],6),".SA")))</f>
        <v>FESA4.SA</v>
      </c>
      <c r="C76" s="3" t="s">
        <v>242</v>
      </c>
      <c r="D76" s="3" t="s">
        <v>1166</v>
      </c>
      <c r="E76" s="3" t="s">
        <v>1166</v>
      </c>
      <c r="F76" s="3" t="s">
        <v>1166</v>
      </c>
      <c r="G76" s="3" t="s">
        <v>1166</v>
      </c>
      <c r="H76" s="20">
        <v>41681</v>
      </c>
      <c r="J76" s="3">
        <f t="shared" si="20"/>
        <v>12.6</v>
      </c>
      <c r="K76" s="3">
        <f t="shared" si="20"/>
        <v>12.6</v>
      </c>
      <c r="L76" s="3">
        <f t="shared" si="20"/>
        <v>12.6</v>
      </c>
      <c r="M76" s="3">
        <f t="shared" si="20"/>
        <v>12.6</v>
      </c>
      <c r="P76" s="15" t="s">
        <v>79</v>
      </c>
      <c r="Q76" s="10" t="str">
        <f t="shared" si="14"/>
        <v xml:space="preserve">FERBASA     -PN  </v>
      </c>
      <c r="R76" s="51">
        <f t="shared" si="15"/>
        <v>41681</v>
      </c>
      <c r="S76" s="5">
        <f t="shared" si="16"/>
        <v>12.6</v>
      </c>
      <c r="T76" s="5">
        <f t="shared" si="17"/>
        <v>12.6</v>
      </c>
      <c r="U76" s="5">
        <f t="shared" si="18"/>
        <v>12.6</v>
      </c>
      <c r="V76" s="5">
        <f t="shared" si="19"/>
        <v>12.6</v>
      </c>
    </row>
    <row r="77" spans="1:22" x14ac:dyDescent="0.2">
      <c r="A77" s="33" t="str">
        <f>IF(Tabela1[[#This Row],[Código]]="IBOV","^BVSP",IF(Tabela1[[#This Row],[Código]]="","",CONCATENATE(LEFT(Tabela1[[#This Row],[Código]],6),".SA")))</f>
        <v>GEPA3.SA</v>
      </c>
      <c r="C77" s="3" t="s">
        <v>349</v>
      </c>
      <c r="D77" s="3" t="s">
        <v>166</v>
      </c>
      <c r="E77" s="3" t="s">
        <v>166</v>
      </c>
      <c r="F77" s="3" t="s">
        <v>166</v>
      </c>
      <c r="G77" s="3" t="s">
        <v>166</v>
      </c>
      <c r="H77" s="20">
        <v>41681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165</v>
      </c>
      <c r="Q77" s="10" t="str">
        <f t="shared" si="14"/>
        <v>GER PARANAP -ON</v>
      </c>
      <c r="R77" s="51">
        <f t="shared" si="15"/>
        <v>41681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 x14ac:dyDescent="0.2">
      <c r="A78" s="33" t="str">
        <f>IF(Tabela1[[#This Row],[Código]]="IBOV","^BVSP",IF(Tabela1[[#This Row],[Código]]="","",CONCATENATE(LEFT(Tabela1[[#This Row],[Código]],6),".SA")))</f>
        <v>GEPA4.SA</v>
      </c>
      <c r="C78" s="3" t="s">
        <v>350</v>
      </c>
      <c r="D78" s="3" t="s">
        <v>832</v>
      </c>
      <c r="E78" s="3" t="s">
        <v>832</v>
      </c>
      <c r="F78" s="3" t="s">
        <v>832</v>
      </c>
      <c r="G78" s="3" t="s">
        <v>832</v>
      </c>
      <c r="H78" s="20">
        <v>41681</v>
      </c>
      <c r="J78" s="3">
        <f t="shared" si="20"/>
        <v>61.5</v>
      </c>
      <c r="K78" s="3">
        <f t="shared" si="20"/>
        <v>61.5</v>
      </c>
      <c r="L78" s="3">
        <f t="shared" si="20"/>
        <v>61.5</v>
      </c>
      <c r="M78" s="3">
        <f t="shared" si="20"/>
        <v>61.5</v>
      </c>
      <c r="P78" s="26" t="s">
        <v>38</v>
      </c>
      <c r="Q78" s="10" t="str">
        <f t="shared" si="14"/>
        <v>GER PARANAP -PN</v>
      </c>
      <c r="R78" s="51">
        <f t="shared" si="15"/>
        <v>41681</v>
      </c>
      <c r="S78" s="5">
        <f t="shared" si="16"/>
        <v>61.5</v>
      </c>
      <c r="T78" s="5">
        <f t="shared" si="17"/>
        <v>61.5</v>
      </c>
      <c r="U78" s="5">
        <f t="shared" si="18"/>
        <v>61.5</v>
      </c>
      <c r="V78" s="5">
        <f t="shared" si="19"/>
        <v>61.5</v>
      </c>
    </row>
    <row r="79" spans="1:22" x14ac:dyDescent="0.2">
      <c r="A79" s="33" t="str">
        <f>IF(Tabela1[[#This Row],[Código]]="IBOV","^BVSP",IF(Tabela1[[#This Row],[Código]]="","",CONCATENATE(LEFT(Tabela1[[#This Row],[Código]],6),".SA")))</f>
        <v>GETI3.SA</v>
      </c>
      <c r="C79" s="3" t="s">
        <v>143</v>
      </c>
      <c r="D79" s="3" t="s">
        <v>1167</v>
      </c>
      <c r="E79" s="3" t="s">
        <v>1168</v>
      </c>
      <c r="F79" s="3" t="s">
        <v>1169</v>
      </c>
      <c r="G79" s="3" t="s">
        <v>991</v>
      </c>
      <c r="H79" s="20">
        <v>41681</v>
      </c>
      <c r="J79" s="3">
        <f t="shared" si="20"/>
        <v>15.8</v>
      </c>
      <c r="K79" s="3">
        <f t="shared" si="20"/>
        <v>15.82</v>
      </c>
      <c r="L79" s="3">
        <f t="shared" si="20"/>
        <v>15.92</v>
      </c>
      <c r="M79" s="3">
        <f t="shared" si="20"/>
        <v>15.77</v>
      </c>
      <c r="P79" s="26" t="s">
        <v>29</v>
      </c>
      <c r="Q79" s="10" t="str">
        <f t="shared" si="14"/>
        <v>AES TIETE   -ON</v>
      </c>
      <c r="R79" s="51">
        <f t="shared" si="15"/>
        <v>41681</v>
      </c>
      <c r="S79" s="5">
        <f t="shared" si="16"/>
        <v>15.8</v>
      </c>
      <c r="T79" s="5">
        <f t="shared" si="17"/>
        <v>15.82</v>
      </c>
      <c r="U79" s="5">
        <f t="shared" si="18"/>
        <v>15.92</v>
      </c>
      <c r="V79" s="5">
        <f t="shared" si="19"/>
        <v>15.77</v>
      </c>
    </row>
    <row r="80" spans="1:22" x14ac:dyDescent="0.2">
      <c r="A80" s="33" t="str">
        <f>IF(Tabela1[[#This Row],[Código]]="IBOV","^BVSP",IF(Tabela1[[#This Row],[Código]]="","",CONCATENATE(LEFT(Tabela1[[#This Row],[Código]],6),".SA")))</f>
        <v>GETI4.SA</v>
      </c>
      <c r="C80" s="3" t="s">
        <v>144</v>
      </c>
      <c r="D80" s="3" t="s">
        <v>1170</v>
      </c>
      <c r="E80" s="3" t="s">
        <v>1171</v>
      </c>
      <c r="F80" s="3" t="s">
        <v>846</v>
      </c>
      <c r="G80" s="3" t="s">
        <v>1170</v>
      </c>
      <c r="H80" s="20">
        <v>41681</v>
      </c>
      <c r="J80" s="3">
        <f t="shared" si="20"/>
        <v>17.329999999999998</v>
      </c>
      <c r="K80" s="3">
        <f t="shared" si="20"/>
        <v>17.399999999999999</v>
      </c>
      <c r="L80" s="3">
        <f t="shared" si="20"/>
        <v>17.510000000000002</v>
      </c>
      <c r="M80" s="3">
        <f t="shared" si="20"/>
        <v>17.329999999999998</v>
      </c>
      <c r="P80" s="26" t="s">
        <v>33</v>
      </c>
      <c r="Q80" s="10" t="str">
        <f t="shared" si="14"/>
        <v>AES TIETE   -PN</v>
      </c>
      <c r="R80" s="51">
        <f t="shared" si="15"/>
        <v>41681</v>
      </c>
      <c r="S80" s="5">
        <f t="shared" si="16"/>
        <v>17.329999999999998</v>
      </c>
      <c r="T80" s="5">
        <f t="shared" si="17"/>
        <v>17.399999999999999</v>
      </c>
      <c r="U80" s="5">
        <f t="shared" si="18"/>
        <v>17.510000000000002</v>
      </c>
      <c r="V80" s="5">
        <f t="shared" si="19"/>
        <v>17.329999999999998</v>
      </c>
    </row>
    <row r="81" spans="1:22" x14ac:dyDescent="0.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178</v>
      </c>
      <c r="D81" s="3" t="s">
        <v>585</v>
      </c>
      <c r="E81" s="3" t="s">
        <v>420</v>
      </c>
      <c r="F81" s="3" t="s">
        <v>420</v>
      </c>
      <c r="G81" s="3" t="s">
        <v>585</v>
      </c>
      <c r="H81" s="20">
        <v>41681</v>
      </c>
      <c r="J81" s="3">
        <f t="shared" si="20"/>
        <v>0.11</v>
      </c>
      <c r="K81" s="3">
        <f t="shared" si="20"/>
        <v>0.12</v>
      </c>
      <c r="L81" s="3">
        <f t="shared" si="20"/>
        <v>0.12</v>
      </c>
      <c r="M81" s="3">
        <f t="shared" si="20"/>
        <v>0.11</v>
      </c>
      <c r="P81" s="14" t="s">
        <v>176</v>
      </c>
      <c r="Q81" s="10" t="str">
        <f t="shared" si="14"/>
        <v xml:space="preserve">GTD PART    -ON  </v>
      </c>
      <c r="R81" s="51">
        <f t="shared" si="15"/>
        <v>41681</v>
      </c>
      <c r="S81" s="5">
        <f t="shared" si="16"/>
        <v>0.11</v>
      </c>
      <c r="T81" s="5">
        <f t="shared" si="17"/>
        <v>0.12</v>
      </c>
      <c r="U81" s="5">
        <f t="shared" si="18"/>
        <v>0.12</v>
      </c>
      <c r="V81" s="5">
        <f t="shared" si="19"/>
        <v>0.11</v>
      </c>
    </row>
    <row r="82" spans="1:22" x14ac:dyDescent="0.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179</v>
      </c>
      <c r="D82" s="3" t="s">
        <v>420</v>
      </c>
      <c r="E82" s="3" t="s">
        <v>420</v>
      </c>
      <c r="F82" s="3" t="s">
        <v>420</v>
      </c>
      <c r="G82" s="3" t="s">
        <v>585</v>
      </c>
      <c r="H82" s="20">
        <v>41681</v>
      </c>
      <c r="J82" s="3">
        <f t="shared" si="20"/>
        <v>0.12</v>
      </c>
      <c r="K82" s="3">
        <f t="shared" si="20"/>
        <v>0.12</v>
      </c>
      <c r="L82" s="3">
        <f t="shared" si="20"/>
        <v>0.12</v>
      </c>
      <c r="M82" s="3">
        <f t="shared" si="20"/>
        <v>0.11</v>
      </c>
      <c r="P82" s="14" t="s">
        <v>177</v>
      </c>
      <c r="Q82" s="10" t="str">
        <f t="shared" si="14"/>
        <v xml:space="preserve">GTD PART    -PN  </v>
      </c>
      <c r="R82" s="51">
        <f t="shared" si="15"/>
        <v>41681</v>
      </c>
      <c r="S82" s="5">
        <f t="shared" si="16"/>
        <v>0.12</v>
      </c>
      <c r="T82" s="5">
        <f t="shared" si="17"/>
        <v>0.12</v>
      </c>
      <c r="U82" s="5">
        <f t="shared" si="18"/>
        <v>0.12</v>
      </c>
      <c r="V82" s="5">
        <f t="shared" si="19"/>
        <v>0.11</v>
      </c>
    </row>
    <row r="83" spans="1:22" x14ac:dyDescent="0.2">
      <c r="A83" s="33" t="str">
        <f>IF(Tabela1[[#This Row],[Código]]="IBOV","^BVSP",IF(Tabela1[[#This Row],[Código]]="","",CONCATENATE(LEFT(Tabela1[[#This Row],[Código]],6),".SA")))</f>
        <v>ITSA3.SA</v>
      </c>
      <c r="C83" s="3" t="s">
        <v>237</v>
      </c>
      <c r="D83" s="3" t="s">
        <v>1172</v>
      </c>
      <c r="E83" s="3" t="s">
        <v>890</v>
      </c>
      <c r="F83" s="3" t="s">
        <v>1173</v>
      </c>
      <c r="G83" s="3" t="s">
        <v>1172</v>
      </c>
      <c r="H83" s="20">
        <v>41681</v>
      </c>
      <c r="J83" s="3">
        <f t="shared" si="20"/>
        <v>9.17</v>
      </c>
      <c r="K83" s="3">
        <f t="shared" si="20"/>
        <v>9.25</v>
      </c>
      <c r="L83" s="3">
        <f t="shared" si="20"/>
        <v>9.34</v>
      </c>
      <c r="M83" s="3">
        <f t="shared" si="20"/>
        <v>9.17</v>
      </c>
      <c r="P83" s="15" t="s">
        <v>236</v>
      </c>
      <c r="Q83" s="10" t="str">
        <f t="shared" si="14"/>
        <v xml:space="preserve">ITAUSA      -ON  </v>
      </c>
      <c r="R83" s="51">
        <f t="shared" si="15"/>
        <v>41681</v>
      </c>
      <c r="S83" s="5">
        <f t="shared" si="16"/>
        <v>9.17</v>
      </c>
      <c r="T83" s="5">
        <f t="shared" si="17"/>
        <v>9.25</v>
      </c>
      <c r="U83" s="5">
        <f t="shared" si="18"/>
        <v>9.34</v>
      </c>
      <c r="V83" s="5">
        <f t="shared" si="19"/>
        <v>9.17</v>
      </c>
    </row>
    <row r="84" spans="1:22" x14ac:dyDescent="0.2">
      <c r="A84" s="33" t="str">
        <f>IF(Tabela1[[#This Row],[Código]]="IBOV","^BVSP",IF(Tabela1[[#This Row],[Código]]="","",CONCATENATE(LEFT(Tabela1[[#This Row],[Código]],6),".SA")))</f>
        <v>ITSA4.SA</v>
      </c>
      <c r="C84" s="3" t="s">
        <v>145</v>
      </c>
      <c r="D84" s="3" t="s">
        <v>1174</v>
      </c>
      <c r="E84" s="3" t="s">
        <v>1175</v>
      </c>
      <c r="F84" s="3" t="s">
        <v>1176</v>
      </c>
      <c r="G84" s="3" t="s">
        <v>900</v>
      </c>
      <c r="H84" s="45">
        <v>41681</v>
      </c>
      <c r="J84" s="3">
        <f t="shared" si="20"/>
        <v>8.7799999999999994</v>
      </c>
      <c r="K84" s="3">
        <f t="shared" si="20"/>
        <v>8.65</v>
      </c>
      <c r="L84" s="3">
        <f t="shared" si="20"/>
        <v>8.81</v>
      </c>
      <c r="M84" s="3">
        <f t="shared" si="20"/>
        <v>8.6</v>
      </c>
      <c r="P84" s="15" t="s">
        <v>16</v>
      </c>
      <c r="Q84" s="10" t="str">
        <f t="shared" si="14"/>
        <v xml:space="preserve">ITAUSA      -PN  </v>
      </c>
      <c r="R84" s="51">
        <f t="shared" si="15"/>
        <v>41681</v>
      </c>
      <c r="S84" s="5">
        <f t="shared" si="16"/>
        <v>8.7799999999999994</v>
      </c>
      <c r="T84" s="5">
        <f t="shared" si="17"/>
        <v>8.65</v>
      </c>
      <c r="U84" s="5">
        <f t="shared" si="18"/>
        <v>8.81</v>
      </c>
      <c r="V84" s="5">
        <f t="shared" si="19"/>
        <v>8.6</v>
      </c>
    </row>
    <row r="85" spans="1:22" x14ac:dyDescent="0.2">
      <c r="A85" s="33" t="str">
        <f>IF(Tabela1[[#This Row],[Código]]="IBOV","^BVSP",IF(Tabela1[[#This Row],[Código]]="","",CONCATENATE(LEFT(Tabela1[[#This Row],[Código]],6),".SA")))</f>
        <v>ITUB3.SA</v>
      </c>
      <c r="C85" s="3" t="s">
        <v>235</v>
      </c>
      <c r="D85" s="3" t="s">
        <v>1177</v>
      </c>
      <c r="E85" s="3" t="s">
        <v>1178</v>
      </c>
      <c r="F85" s="3" t="s">
        <v>1179</v>
      </c>
      <c r="G85" s="3" t="s">
        <v>889</v>
      </c>
      <c r="H85" s="45">
        <v>41681</v>
      </c>
      <c r="J85" s="3">
        <f t="shared" si="20"/>
        <v>29.07</v>
      </c>
      <c r="K85" s="3">
        <f t="shared" si="20"/>
        <v>28.93</v>
      </c>
      <c r="L85" s="3">
        <f t="shared" si="20"/>
        <v>29.16</v>
      </c>
      <c r="M85" s="3">
        <f t="shared" si="20"/>
        <v>28.81</v>
      </c>
      <c r="P85" s="10" t="s">
        <v>234</v>
      </c>
      <c r="Q85" s="10" t="str">
        <f t="shared" si="14"/>
        <v xml:space="preserve">ITAUUNIBANCO-ON  </v>
      </c>
      <c r="R85" s="51">
        <f t="shared" si="15"/>
        <v>41681</v>
      </c>
      <c r="S85" s="5">
        <f t="shared" si="16"/>
        <v>29.07</v>
      </c>
      <c r="T85" s="5">
        <f t="shared" si="17"/>
        <v>28.93</v>
      </c>
      <c r="U85" s="5">
        <f t="shared" si="18"/>
        <v>29.16</v>
      </c>
      <c r="V85" s="5">
        <f t="shared" si="19"/>
        <v>28.81</v>
      </c>
    </row>
    <row r="86" spans="1:22" x14ac:dyDescent="0.2">
      <c r="A86" s="33" t="str">
        <f>IF(Tabela1[[#This Row],[Código]]="IBOV","^BVSP",IF(Tabela1[[#This Row],[Código]]="","",CONCATENATE(LEFT(Tabela1[[#This Row],[Código]],6),".SA")))</f>
        <v>ITUB4.SA</v>
      </c>
      <c r="C86" s="3" t="s">
        <v>146</v>
      </c>
      <c r="D86" s="3" t="s">
        <v>1180</v>
      </c>
      <c r="E86" s="3" t="s">
        <v>1181</v>
      </c>
      <c r="F86" s="3" t="s">
        <v>1180</v>
      </c>
      <c r="G86" s="3" t="s">
        <v>1182</v>
      </c>
      <c r="H86" s="45">
        <v>41681</v>
      </c>
      <c r="J86" s="3">
        <f t="shared" si="20"/>
        <v>32</v>
      </c>
      <c r="K86" s="3">
        <f t="shared" si="20"/>
        <v>31.58</v>
      </c>
      <c r="L86" s="3">
        <f t="shared" si="20"/>
        <v>32</v>
      </c>
      <c r="M86" s="3">
        <f t="shared" si="20"/>
        <v>31.36</v>
      </c>
      <c r="P86" s="10" t="s">
        <v>80</v>
      </c>
      <c r="Q86" s="10" t="str">
        <f t="shared" si="14"/>
        <v xml:space="preserve">ITAUUNIBANCO-PN  </v>
      </c>
      <c r="R86" s="51">
        <f t="shared" si="15"/>
        <v>41681</v>
      </c>
      <c r="S86" s="5">
        <f t="shared" si="16"/>
        <v>32</v>
      </c>
      <c r="T86" s="5">
        <f t="shared" si="17"/>
        <v>31.58</v>
      </c>
      <c r="U86" s="5">
        <f t="shared" si="18"/>
        <v>32</v>
      </c>
      <c r="V86" s="5">
        <f t="shared" si="19"/>
        <v>31.36</v>
      </c>
    </row>
    <row r="87" spans="1:22" x14ac:dyDescent="0.2">
      <c r="A87" s="33" t="str">
        <f>IF(Tabela1[[#This Row],[Código]]="IBOV","^BVSP",IF(Tabela1[[#This Row],[Código]]="","",CONCATENATE(LEFT(Tabela1[[#This Row],[Código]],6),".SA")))</f>
        <v>KLBN3.SA</v>
      </c>
      <c r="C87" s="3" t="s">
        <v>191</v>
      </c>
      <c r="D87" s="3" t="s">
        <v>835</v>
      </c>
      <c r="E87" s="3" t="s">
        <v>835</v>
      </c>
      <c r="F87" s="3" t="s">
        <v>835</v>
      </c>
      <c r="G87" s="3" t="s">
        <v>835</v>
      </c>
      <c r="H87" s="45">
        <v>41681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190</v>
      </c>
      <c r="Q87" s="10" t="str">
        <f t="shared" si="14"/>
        <v xml:space="preserve">KLABIN S/A  -ON  </v>
      </c>
      <c r="R87" s="51">
        <f t="shared" si="15"/>
        <v>41681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 x14ac:dyDescent="0.2">
      <c r="A88" s="33" t="str">
        <f>IF(Tabela1[[#This Row],[Código]]="IBOV","^BVSP",IF(Tabela1[[#This Row],[Código]]="","",CONCATENATE(LEFT(Tabela1[[#This Row],[Código]],6),".SA")))</f>
        <v>KLBN4.SA</v>
      </c>
      <c r="C88" s="3" t="s">
        <v>147</v>
      </c>
      <c r="D88" s="3" t="s">
        <v>1183</v>
      </c>
      <c r="E88" s="3" t="s">
        <v>895</v>
      </c>
      <c r="F88" s="3" t="s">
        <v>1184</v>
      </c>
      <c r="G88" s="3" t="s">
        <v>1185</v>
      </c>
      <c r="H88" s="45">
        <v>41681</v>
      </c>
      <c r="J88" s="3">
        <f t="shared" si="20"/>
        <v>12.12</v>
      </c>
      <c r="K88" s="3">
        <f t="shared" si="20"/>
        <v>11.91</v>
      </c>
      <c r="L88" s="3">
        <f t="shared" si="20"/>
        <v>12.14</v>
      </c>
      <c r="M88" s="3">
        <f t="shared" si="20"/>
        <v>11.85</v>
      </c>
      <c r="P88" s="15" t="s">
        <v>54</v>
      </c>
      <c r="Q88" s="10" t="str">
        <f t="shared" si="14"/>
        <v xml:space="preserve">KLABIN S/A  -PN  </v>
      </c>
      <c r="R88" s="51">
        <f t="shared" si="15"/>
        <v>41681</v>
      </c>
      <c r="S88" s="5">
        <f t="shared" si="16"/>
        <v>12.12</v>
      </c>
      <c r="T88" s="5">
        <f t="shared" si="17"/>
        <v>11.91</v>
      </c>
      <c r="U88" s="5">
        <f t="shared" si="18"/>
        <v>12.14</v>
      </c>
      <c r="V88" s="5">
        <f t="shared" si="19"/>
        <v>11.85</v>
      </c>
    </row>
    <row r="89" spans="1:22" x14ac:dyDescent="0.2">
      <c r="A89" s="33" t="str">
        <f>IF(Tabela1[[#This Row],[Código]]="IBOV","^BVSP",IF(Tabela1[[#This Row],[Código]]="","",CONCATENATE(LEFT(Tabela1[[#This Row],[Código]],6),".SA")))</f>
        <v>LIGT3.SA</v>
      </c>
      <c r="C89" s="3" t="s">
        <v>148</v>
      </c>
      <c r="D89" s="3" t="s">
        <v>1186</v>
      </c>
      <c r="E89" s="3" t="s">
        <v>1187</v>
      </c>
      <c r="F89" s="3" t="s">
        <v>907</v>
      </c>
      <c r="G89" s="3" t="s">
        <v>1187</v>
      </c>
      <c r="H89" s="45">
        <v>41681</v>
      </c>
      <c r="J89" s="3">
        <f t="shared" si="20"/>
        <v>18.13</v>
      </c>
      <c r="K89" s="3">
        <f t="shared" si="20"/>
        <v>17.72</v>
      </c>
      <c r="L89" s="3">
        <f t="shared" si="20"/>
        <v>18.2</v>
      </c>
      <c r="M89" s="3">
        <f t="shared" si="20"/>
        <v>17.72</v>
      </c>
      <c r="P89" s="43" t="s">
        <v>55</v>
      </c>
      <c r="Q89" s="10" t="str">
        <f t="shared" si="14"/>
        <v xml:space="preserve">LIGHT S/A   -ON  </v>
      </c>
      <c r="R89" s="51">
        <f t="shared" si="15"/>
        <v>41681</v>
      </c>
      <c r="S89" s="5">
        <f t="shared" si="16"/>
        <v>18.13</v>
      </c>
      <c r="T89" s="5">
        <f t="shared" si="17"/>
        <v>17.72</v>
      </c>
      <c r="U89" s="5">
        <f t="shared" si="18"/>
        <v>18.2</v>
      </c>
      <c r="V89" s="5">
        <f t="shared" si="19"/>
        <v>17.72</v>
      </c>
    </row>
    <row r="90" spans="1:22" x14ac:dyDescent="0.2">
      <c r="A90" s="33" t="str">
        <f>IF(Tabela1[[#This Row],[Código]]="IBOV","^BVSP",IF(Tabela1[[#This Row],[Código]]="","",CONCATENATE(LEFT(Tabela1[[#This Row],[Código]],6),".SA")))</f>
        <v>LIPR3.SA</v>
      </c>
      <c r="C90" s="3" t="s">
        <v>168</v>
      </c>
      <c r="D90" s="3" t="s">
        <v>169</v>
      </c>
      <c r="E90" s="3" t="s">
        <v>348</v>
      </c>
      <c r="F90" s="3" t="s">
        <v>348</v>
      </c>
      <c r="G90" s="3" t="s">
        <v>169</v>
      </c>
      <c r="H90" s="45">
        <v>41681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167</v>
      </c>
      <c r="Q90" s="10" t="str">
        <f t="shared" si="14"/>
        <v>ELETROPAR   -ON</v>
      </c>
      <c r="R90" s="51">
        <f t="shared" si="15"/>
        <v>41681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 x14ac:dyDescent="0.2">
      <c r="A91" s="33" t="str">
        <f>IF(Tabela1[[#This Row],[Código]]="IBOV","^BVSP",IF(Tabela1[[#This Row],[Código]]="","",CONCATENATE(LEFT(Tabela1[[#This Row],[Código]],6),".SA")))</f>
        <v>PINE4.SA</v>
      </c>
      <c r="C91" s="3" t="s">
        <v>149</v>
      </c>
      <c r="D91" s="3" t="s">
        <v>1188</v>
      </c>
      <c r="E91" s="61" t="s">
        <v>1070</v>
      </c>
      <c r="F91" s="61" t="s">
        <v>1189</v>
      </c>
      <c r="G91" s="3" t="s">
        <v>1070</v>
      </c>
      <c r="H91" s="45">
        <v>41681</v>
      </c>
      <c r="J91" s="3">
        <f t="shared" si="20"/>
        <v>8.08</v>
      </c>
      <c r="K91" s="3">
        <f t="shared" si="20"/>
        <v>7.99</v>
      </c>
      <c r="L91" s="3">
        <f t="shared" si="20"/>
        <v>8.14</v>
      </c>
      <c r="M91" s="3">
        <f t="shared" si="20"/>
        <v>7.99</v>
      </c>
      <c r="P91" s="10" t="s">
        <v>74</v>
      </c>
      <c r="Q91" s="10" t="str">
        <f t="shared" si="14"/>
        <v xml:space="preserve">PINE        -PN  </v>
      </c>
      <c r="R91" s="51">
        <f t="shared" si="15"/>
        <v>41681</v>
      </c>
      <c r="S91" s="5">
        <f t="shared" si="16"/>
        <v>8.08</v>
      </c>
      <c r="T91" s="5">
        <f t="shared" si="17"/>
        <v>7.99</v>
      </c>
      <c r="U91" s="5">
        <f t="shared" si="18"/>
        <v>8.14</v>
      </c>
      <c r="V91" s="5">
        <f t="shared" si="19"/>
        <v>7.99</v>
      </c>
    </row>
    <row r="92" spans="1:22" x14ac:dyDescent="0.2">
      <c r="A92" s="33" t="str">
        <f>IF(Tabela1[[#This Row],[Código]]="IBOV","^BVSP",IF(Tabela1[[#This Row],[Código]]="","",CONCATENATE(LEFT(Tabela1[[#This Row],[Código]],6),".SA")))</f>
        <v>PRBC4.SA</v>
      </c>
      <c r="C92" s="3" t="s">
        <v>150</v>
      </c>
      <c r="D92" s="3" t="s">
        <v>837</v>
      </c>
      <c r="E92" s="3" t="s">
        <v>837</v>
      </c>
      <c r="F92" s="3" t="s">
        <v>837</v>
      </c>
      <c r="G92" s="3" t="s">
        <v>837</v>
      </c>
      <c r="H92" s="45">
        <v>41681</v>
      </c>
      <c r="J92" s="3">
        <f t="shared" si="20"/>
        <v>11.3</v>
      </c>
      <c r="K92" s="3">
        <f t="shared" si="20"/>
        <v>11.3</v>
      </c>
      <c r="L92" s="3">
        <f t="shared" si="20"/>
        <v>11.3</v>
      </c>
      <c r="M92" s="3">
        <f t="shared" si="20"/>
        <v>11.3</v>
      </c>
      <c r="P92" s="16" t="s">
        <v>82</v>
      </c>
      <c r="Q92" s="10" t="str">
        <f t="shared" si="14"/>
        <v xml:space="preserve">PARANA      -PN  </v>
      </c>
      <c r="R92" s="51">
        <f t="shared" si="15"/>
        <v>41681</v>
      </c>
      <c r="S92" s="5">
        <f t="shared" si="16"/>
        <v>11.3</v>
      </c>
      <c r="T92" s="5">
        <f t="shared" si="17"/>
        <v>11.3</v>
      </c>
      <c r="U92" s="5">
        <f t="shared" si="18"/>
        <v>11.3</v>
      </c>
      <c r="V92" s="5">
        <f t="shared" si="19"/>
        <v>11.3</v>
      </c>
    </row>
    <row r="93" spans="1:22" x14ac:dyDescent="0.2">
      <c r="A93" s="33" t="str">
        <f>IF(Tabela1[[#This Row],[Código]]="IBOV","^BVSP",IF(Tabela1[[#This Row],[Código]]="","",CONCATENATE(LEFT(Tabela1[[#This Row],[Código]],6),".SA")))</f>
        <v>PSSA3.SA</v>
      </c>
      <c r="C93" s="3" t="s">
        <v>239</v>
      </c>
      <c r="D93" s="3" t="s">
        <v>1190</v>
      </c>
      <c r="E93" s="3" t="s">
        <v>1191</v>
      </c>
      <c r="F93" s="3" t="s">
        <v>1192</v>
      </c>
      <c r="G93" s="3" t="s">
        <v>1193</v>
      </c>
      <c r="H93" s="45">
        <v>41681</v>
      </c>
      <c r="J93" s="3">
        <f t="shared" si="20"/>
        <v>29.4</v>
      </c>
      <c r="K93" s="3">
        <f t="shared" si="20"/>
        <v>29.51</v>
      </c>
      <c r="L93" s="3">
        <f t="shared" si="20"/>
        <v>29.56</v>
      </c>
      <c r="M93" s="3">
        <f t="shared" si="20"/>
        <v>29.14</v>
      </c>
      <c r="P93" s="16" t="s">
        <v>238</v>
      </c>
      <c r="Q93" s="10" t="str">
        <f t="shared" si="14"/>
        <v xml:space="preserve">PORTO SEGURO-ON  </v>
      </c>
      <c r="R93" s="51">
        <f t="shared" si="15"/>
        <v>41681</v>
      </c>
      <c r="S93" s="5">
        <f t="shared" si="16"/>
        <v>29.4</v>
      </c>
      <c r="T93" s="5">
        <f t="shared" si="17"/>
        <v>29.51</v>
      </c>
      <c r="U93" s="5">
        <f t="shared" si="18"/>
        <v>29.56</v>
      </c>
      <c r="V93" s="5">
        <f t="shared" si="19"/>
        <v>29.14</v>
      </c>
    </row>
    <row r="94" spans="1:22" x14ac:dyDescent="0.2">
      <c r="A94" s="33" t="str">
        <f>IF(Tabela1[[#This Row],[Código]]="IBOV","^BVSP",IF(Tabela1[[#This Row],[Código]]="","",CONCATENATE(LEFT(Tabela1[[#This Row],[Código]],6),".SA")))</f>
        <v>RANI3.SA</v>
      </c>
      <c r="C94" s="3" t="s">
        <v>838</v>
      </c>
      <c r="D94" s="3" t="s">
        <v>839</v>
      </c>
      <c r="E94" s="3" t="s">
        <v>1194</v>
      </c>
      <c r="F94" s="3" t="s">
        <v>1194</v>
      </c>
      <c r="G94" s="3" t="s">
        <v>839</v>
      </c>
      <c r="H94" s="45">
        <v>41681</v>
      </c>
      <c r="J94" s="3">
        <f t="shared" si="20"/>
        <v>3.3</v>
      </c>
      <c r="K94" s="3">
        <f t="shared" si="20"/>
        <v>3.32</v>
      </c>
      <c r="L94" s="3">
        <f t="shared" si="20"/>
        <v>3.32</v>
      </c>
      <c r="M94" s="3">
        <f t="shared" si="20"/>
        <v>3.3</v>
      </c>
      <c r="P94" s="14" t="s">
        <v>188</v>
      </c>
      <c r="Q94" s="10" t="str">
        <f t="shared" si="14"/>
        <v xml:space="preserve">CELUL IRANI -ON  </v>
      </c>
      <c r="R94" s="51">
        <f t="shared" si="15"/>
        <v>41681</v>
      </c>
      <c r="S94" s="5">
        <f t="shared" si="16"/>
        <v>3.3</v>
      </c>
      <c r="T94" s="5">
        <f t="shared" si="17"/>
        <v>3.32</v>
      </c>
      <c r="U94" s="5">
        <f t="shared" si="18"/>
        <v>3.32</v>
      </c>
      <c r="V94" s="5">
        <f t="shared" si="19"/>
        <v>3.3</v>
      </c>
    </row>
    <row r="95" spans="1:22" x14ac:dyDescent="0.2">
      <c r="A95" s="33" t="str">
        <f>IF(Tabela1[[#This Row],[Código]]="IBOV","^BVSP",IF(Tabela1[[#This Row],[Código]]="","",CONCATENATE(LEFT(Tabela1[[#This Row],[Código]],6),".SA")))</f>
        <v>RANI4.SA</v>
      </c>
      <c r="C95" s="3" t="s">
        <v>840</v>
      </c>
      <c r="D95" s="3" t="s">
        <v>1195</v>
      </c>
      <c r="E95" s="3" t="s">
        <v>1195</v>
      </c>
      <c r="F95" s="3" t="s">
        <v>1195</v>
      </c>
      <c r="G95" s="3" t="s">
        <v>1195</v>
      </c>
      <c r="H95" s="45">
        <v>41681</v>
      </c>
      <c r="J95" s="3">
        <f t="shared" si="20"/>
        <v>3.68</v>
      </c>
      <c r="K95" s="3">
        <f t="shared" si="20"/>
        <v>3.68</v>
      </c>
      <c r="L95" s="3">
        <f t="shared" si="20"/>
        <v>3.68</v>
      </c>
      <c r="M95" s="3">
        <f t="shared" si="20"/>
        <v>3.68</v>
      </c>
      <c r="P95" s="14" t="s">
        <v>189</v>
      </c>
      <c r="Q95" s="10" t="str">
        <f t="shared" si="14"/>
        <v xml:space="preserve">CELUL IRANI -PN  </v>
      </c>
      <c r="R95" s="51">
        <f t="shared" si="15"/>
        <v>41681</v>
      </c>
      <c r="S95" s="5">
        <f t="shared" si="16"/>
        <v>3.68</v>
      </c>
      <c r="T95" s="5">
        <f t="shared" si="17"/>
        <v>3.68</v>
      </c>
      <c r="U95" s="5">
        <f t="shared" si="18"/>
        <v>3.68</v>
      </c>
      <c r="V95" s="5">
        <f t="shared" si="19"/>
        <v>3.68</v>
      </c>
    </row>
    <row r="96" spans="1:22" x14ac:dyDescent="0.2">
      <c r="A96" s="33" t="str">
        <f>IF(Tabela1[[#This Row],[Código]]="IBOV","^BVSP",IF(Tabela1[[#This Row],[Código]]="","",CONCATENATE(LEFT(Tabela1[[#This Row],[Código]],6),".SA")))</f>
        <v>RDTR3.SA</v>
      </c>
      <c r="C96" s="3" t="s">
        <v>151</v>
      </c>
      <c r="D96" s="3" t="s">
        <v>463</v>
      </c>
      <c r="E96" s="3" t="s">
        <v>463</v>
      </c>
      <c r="F96" s="3" t="s">
        <v>463</v>
      </c>
      <c r="G96" s="3" t="s">
        <v>463</v>
      </c>
      <c r="H96" s="51">
        <v>41681</v>
      </c>
      <c r="J96" s="3">
        <f t="shared" si="20"/>
        <v>5.55</v>
      </c>
      <c r="K96" s="3">
        <f t="shared" si="20"/>
        <v>5.55</v>
      </c>
      <c r="L96" s="3">
        <f t="shared" si="20"/>
        <v>5.55</v>
      </c>
      <c r="M96" s="3">
        <f t="shared" si="20"/>
        <v>5.55</v>
      </c>
      <c r="P96" s="14" t="s">
        <v>65</v>
      </c>
      <c r="Q96" s="10" t="str">
        <f t="shared" si="14"/>
        <v>REDENTOR    -ON</v>
      </c>
      <c r="R96" s="51">
        <f t="shared" si="15"/>
        <v>41681</v>
      </c>
      <c r="S96" s="5">
        <f t="shared" si="16"/>
        <v>5.55</v>
      </c>
      <c r="T96" s="5">
        <f t="shared" si="17"/>
        <v>5.55</v>
      </c>
      <c r="U96" s="5">
        <f t="shared" si="18"/>
        <v>5.55</v>
      </c>
      <c r="V96" s="5">
        <f t="shared" si="19"/>
        <v>5.55</v>
      </c>
    </row>
    <row r="97" spans="1:22" x14ac:dyDescent="0.2">
      <c r="A97" s="33" t="str">
        <f>IF(Tabela1[[#This Row],[Código]]="IBOV","^BVSP",IF(Tabela1[[#This Row],[Código]]="","",CONCATENATE(LEFT(Tabela1[[#This Row],[Código]],6),".SA")))</f>
        <v>RPAD3.SA</v>
      </c>
      <c r="C97" s="3" t="s">
        <v>197</v>
      </c>
      <c r="D97" s="3" t="s">
        <v>198</v>
      </c>
      <c r="E97" s="3" t="s">
        <v>198</v>
      </c>
      <c r="F97" s="3" t="s">
        <v>198</v>
      </c>
      <c r="G97" s="3" t="s">
        <v>198</v>
      </c>
      <c r="H97" s="51">
        <v>41681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195</v>
      </c>
      <c r="Q97" s="10" t="str">
        <f t="shared" si="14"/>
        <v>ALFA HOLDING-ON</v>
      </c>
      <c r="R97" s="51">
        <f t="shared" si="15"/>
        <v>41681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 x14ac:dyDescent="0.2">
      <c r="A98" s="33" t="str">
        <f>IF(Tabela1[[#This Row],[Código]]="IBOV","^BVSP",IF(Tabela1[[#This Row],[Código]]="","",CONCATENATE(LEFT(Tabela1[[#This Row],[Código]],6),".SA")))</f>
        <v>RPAD5.SA</v>
      </c>
      <c r="C98" s="3" t="s">
        <v>841</v>
      </c>
      <c r="D98" s="3" t="s">
        <v>1196</v>
      </c>
      <c r="E98" s="3" t="s">
        <v>1196</v>
      </c>
      <c r="F98" s="3" t="s">
        <v>1196</v>
      </c>
      <c r="G98" s="3" t="s">
        <v>1196</v>
      </c>
      <c r="H98" s="51">
        <v>41681</v>
      </c>
      <c r="J98" s="3">
        <f t="shared" si="20"/>
        <v>5.42</v>
      </c>
      <c r="K98" s="3">
        <f t="shared" si="20"/>
        <v>5.42</v>
      </c>
      <c r="L98" s="3">
        <f t="shared" si="20"/>
        <v>5.42</v>
      </c>
      <c r="M98" s="3">
        <f t="shared" si="20"/>
        <v>5.42</v>
      </c>
      <c r="P98" s="15" t="s">
        <v>76</v>
      </c>
      <c r="Q98" s="10" t="str">
        <f t="shared" si="14"/>
        <v>ALFA HOLDING-PNA</v>
      </c>
      <c r="R98" s="51">
        <f t="shared" si="15"/>
        <v>41681</v>
      </c>
      <c r="S98" s="5">
        <f t="shared" si="16"/>
        <v>5.42</v>
      </c>
      <c r="T98" s="5">
        <f t="shared" si="17"/>
        <v>5.42</v>
      </c>
      <c r="U98" s="5">
        <f t="shared" si="18"/>
        <v>5.42</v>
      </c>
      <c r="V98" s="5">
        <f t="shared" si="19"/>
        <v>5.42</v>
      </c>
    </row>
    <row r="99" spans="1:22" x14ac:dyDescent="0.2">
      <c r="A99" s="33" t="str">
        <f>IF(Tabela1[[#This Row],[Código]]="IBOV","^BVSP",IF(Tabela1[[#This Row],[Código]]="","",CONCATENATE(LEFT(Tabela1[[#This Row],[Código]],6),".SA")))</f>
        <v>RPAD6.SA</v>
      </c>
      <c r="C99" s="3" t="s">
        <v>199</v>
      </c>
      <c r="D99" s="3" t="s">
        <v>1197</v>
      </c>
      <c r="E99" s="3" t="s">
        <v>1198</v>
      </c>
      <c r="F99" s="3" t="s">
        <v>1197</v>
      </c>
      <c r="G99" s="3" t="s">
        <v>1198</v>
      </c>
      <c r="H99" s="51">
        <v>41681</v>
      </c>
      <c r="J99" s="3">
        <f t="shared" si="20"/>
        <v>2.38</v>
      </c>
      <c r="K99" s="3">
        <f t="shared" si="20"/>
        <v>2.2599999999999998</v>
      </c>
      <c r="L99" s="3">
        <f t="shared" si="20"/>
        <v>2.38</v>
      </c>
      <c r="M99" s="3">
        <f t="shared" si="20"/>
        <v>2.2599999999999998</v>
      </c>
      <c r="P99" s="15" t="s">
        <v>196</v>
      </c>
      <c r="Q99" s="10" t="str">
        <f t="shared" si="14"/>
        <v>ALFA HOLDING-PNB</v>
      </c>
      <c r="R99" s="51">
        <f t="shared" si="15"/>
        <v>41681</v>
      </c>
      <c r="S99" s="5">
        <f t="shared" si="16"/>
        <v>2.38</v>
      </c>
      <c r="T99" s="5">
        <f t="shared" si="17"/>
        <v>2.2599999999999998</v>
      </c>
      <c r="U99" s="5">
        <f t="shared" si="18"/>
        <v>2.38</v>
      </c>
      <c r="V99" s="5">
        <f t="shared" si="19"/>
        <v>2.2599999999999998</v>
      </c>
    </row>
    <row r="100" spans="1:22" x14ac:dyDescent="0.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676</v>
      </c>
      <c r="D100" s="3" t="s">
        <v>187</v>
      </c>
      <c r="E100" s="3" t="s">
        <v>187</v>
      </c>
      <c r="F100" s="3" t="s">
        <v>187</v>
      </c>
      <c r="G100" s="3" t="s">
        <v>187</v>
      </c>
      <c r="H100" s="51">
        <v>41681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186</v>
      </c>
      <c r="Q100" s="10" t="str">
        <f t="shared" si="14"/>
        <v>SANEPAR     -ON</v>
      </c>
      <c r="R100" s="51">
        <f t="shared" si="15"/>
        <v>41681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 x14ac:dyDescent="0.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677</v>
      </c>
      <c r="D101" s="3" t="s">
        <v>1199</v>
      </c>
      <c r="E101" s="3" t="s">
        <v>1199</v>
      </c>
      <c r="F101" s="3" t="s">
        <v>1199</v>
      </c>
      <c r="G101" s="3" t="s">
        <v>1199</v>
      </c>
      <c r="H101" s="51">
        <v>41681</v>
      </c>
      <c r="J101" s="3">
        <f t="shared" si="20"/>
        <v>4.9800000000000004</v>
      </c>
      <c r="K101" s="3">
        <f t="shared" si="20"/>
        <v>4.9800000000000004</v>
      </c>
      <c r="L101" s="3">
        <f t="shared" si="20"/>
        <v>4.9800000000000004</v>
      </c>
      <c r="M101" s="3">
        <f t="shared" si="20"/>
        <v>4.9800000000000004</v>
      </c>
      <c r="P101" s="14" t="s">
        <v>66</v>
      </c>
      <c r="Q101" s="10" t="str">
        <f t="shared" si="14"/>
        <v>SANEPAR     -PN</v>
      </c>
      <c r="R101" s="51">
        <f t="shared" si="15"/>
        <v>41681</v>
      </c>
      <c r="S101" s="5">
        <f t="shared" si="16"/>
        <v>4.9800000000000004</v>
      </c>
      <c r="T101" s="5">
        <f t="shared" si="17"/>
        <v>4.9800000000000004</v>
      </c>
      <c r="U101" s="5">
        <f t="shared" si="18"/>
        <v>4.9800000000000004</v>
      </c>
      <c r="V101" s="5">
        <f t="shared" si="19"/>
        <v>4.9800000000000004</v>
      </c>
    </row>
    <row r="102" spans="1:22" x14ac:dyDescent="0.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152</v>
      </c>
      <c r="D102" s="3" t="s">
        <v>1200</v>
      </c>
      <c r="E102" s="3" t="s">
        <v>1201</v>
      </c>
      <c r="F102" s="3" t="s">
        <v>1202</v>
      </c>
      <c r="G102" s="3" t="s">
        <v>1203</v>
      </c>
      <c r="H102" s="51">
        <v>41681</v>
      </c>
      <c r="J102" s="3">
        <f t="shared" si="20"/>
        <v>22.32</v>
      </c>
      <c r="K102" s="3">
        <f t="shared" si="20"/>
        <v>23.34</v>
      </c>
      <c r="L102" s="3">
        <f t="shared" si="20"/>
        <v>23.74</v>
      </c>
      <c r="M102" s="3">
        <f t="shared" si="20"/>
        <v>22.15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41681</v>
      </c>
      <c r="S102" s="5">
        <f t="shared" si="16"/>
        <v>22.32</v>
      </c>
      <c r="T102" s="5">
        <f t="shared" si="17"/>
        <v>23.34</v>
      </c>
      <c r="U102" s="5">
        <f t="shared" si="18"/>
        <v>23.74</v>
      </c>
      <c r="V102" s="5">
        <f t="shared" si="19"/>
        <v>22.15</v>
      </c>
    </row>
    <row r="103" spans="1:22" x14ac:dyDescent="0.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153</v>
      </c>
      <c r="D103" s="3" t="s">
        <v>1204</v>
      </c>
      <c r="E103" s="3" t="s">
        <v>903</v>
      </c>
      <c r="F103" s="3" t="s">
        <v>903</v>
      </c>
      <c r="G103" s="3" t="s">
        <v>845</v>
      </c>
      <c r="H103" s="51">
        <v>41681</v>
      </c>
      <c r="J103" s="3">
        <f t="shared" si="20"/>
        <v>2.79</v>
      </c>
      <c r="K103" s="3">
        <f t="shared" si="20"/>
        <v>2.8</v>
      </c>
      <c r="L103" s="3">
        <f t="shared" si="20"/>
        <v>2.8</v>
      </c>
      <c r="M103" s="3">
        <f t="shared" si="20"/>
        <v>2.78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41681</v>
      </c>
      <c r="S103" s="5">
        <f t="shared" ref="S103:S112" si="23">J103</f>
        <v>2.79</v>
      </c>
      <c r="T103" s="5">
        <f t="shared" ref="T103:T112" si="24">K103</f>
        <v>2.8</v>
      </c>
      <c r="U103" s="5">
        <f t="shared" ref="U103:U112" si="25">L103</f>
        <v>2.8</v>
      </c>
      <c r="V103" s="5">
        <f t="shared" ref="V103:V112" si="26">M103</f>
        <v>2.78</v>
      </c>
    </row>
    <row r="104" spans="1:22" x14ac:dyDescent="0.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154</v>
      </c>
      <c r="D104" s="3" t="s">
        <v>1205</v>
      </c>
      <c r="E104" s="3" t="s">
        <v>1206</v>
      </c>
      <c r="F104" s="3" t="s">
        <v>1207</v>
      </c>
      <c r="G104" s="3" t="s">
        <v>919</v>
      </c>
      <c r="H104" s="51">
        <v>41681</v>
      </c>
      <c r="J104" s="3">
        <f t="shared" si="20"/>
        <v>9.1</v>
      </c>
      <c r="K104" s="3">
        <f t="shared" si="20"/>
        <v>9.07</v>
      </c>
      <c r="L104" s="3">
        <f t="shared" si="20"/>
        <v>9.15</v>
      </c>
      <c r="M104" s="3">
        <f t="shared" si="20"/>
        <v>8.92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41681</v>
      </c>
      <c r="S104" s="5">
        <f t="shared" si="23"/>
        <v>9.1</v>
      </c>
      <c r="T104" s="5">
        <f t="shared" si="24"/>
        <v>9.07</v>
      </c>
      <c r="U104" s="5">
        <f t="shared" si="25"/>
        <v>9.15</v>
      </c>
      <c r="V104" s="5">
        <f t="shared" si="26"/>
        <v>8.92</v>
      </c>
    </row>
    <row r="105" spans="1:22" x14ac:dyDescent="0.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194</v>
      </c>
      <c r="D105" s="3" t="s">
        <v>762</v>
      </c>
      <c r="E105" s="3" t="s">
        <v>762</v>
      </c>
      <c r="F105" s="3" t="s">
        <v>762</v>
      </c>
      <c r="G105" s="3" t="s">
        <v>762</v>
      </c>
      <c r="H105" s="51">
        <v>41681</v>
      </c>
      <c r="J105" s="3">
        <f t="shared" si="20"/>
        <v>8</v>
      </c>
      <c r="K105" s="3">
        <f t="shared" si="20"/>
        <v>8</v>
      </c>
      <c r="L105" s="3">
        <f t="shared" si="20"/>
        <v>8</v>
      </c>
      <c r="M105" s="3">
        <f t="shared" si="20"/>
        <v>8</v>
      </c>
      <c r="P105" s="15" t="s">
        <v>192</v>
      </c>
      <c r="Q105" s="10" t="str">
        <f t="shared" si="21"/>
        <v xml:space="preserve">SUZANO PAPEL-PNB </v>
      </c>
      <c r="R105" s="51">
        <f t="shared" si="22"/>
        <v>41681</v>
      </c>
      <c r="S105" s="5">
        <f t="shared" si="23"/>
        <v>8</v>
      </c>
      <c r="T105" s="5">
        <f t="shared" si="24"/>
        <v>8</v>
      </c>
      <c r="U105" s="5">
        <f t="shared" si="25"/>
        <v>8</v>
      </c>
      <c r="V105" s="5">
        <f t="shared" si="26"/>
        <v>8</v>
      </c>
    </row>
    <row r="106" spans="1:22" x14ac:dyDescent="0.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155</v>
      </c>
      <c r="D106" s="3" t="s">
        <v>1080</v>
      </c>
      <c r="E106" s="3" t="s">
        <v>1208</v>
      </c>
      <c r="F106" s="3" t="s">
        <v>1026</v>
      </c>
      <c r="G106" s="3" t="s">
        <v>1170</v>
      </c>
      <c r="H106" s="51">
        <v>41681</v>
      </c>
      <c r="J106" s="3">
        <f t="shared" si="20"/>
        <v>17.45</v>
      </c>
      <c r="K106" s="3">
        <f t="shared" si="20"/>
        <v>17.38</v>
      </c>
      <c r="L106" s="3">
        <f t="shared" si="20"/>
        <v>17.5</v>
      </c>
      <c r="M106" s="3">
        <f t="shared" si="20"/>
        <v>17.329999999999998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41681</v>
      </c>
      <c r="S106" s="5">
        <f t="shared" si="23"/>
        <v>17.45</v>
      </c>
      <c r="T106" s="5">
        <f t="shared" si="24"/>
        <v>17.38</v>
      </c>
      <c r="U106" s="5">
        <f t="shared" si="25"/>
        <v>17.5</v>
      </c>
      <c r="V106" s="5">
        <f t="shared" si="26"/>
        <v>17.329999999999998</v>
      </c>
    </row>
    <row r="107" spans="1:22" x14ac:dyDescent="0.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181</v>
      </c>
      <c r="D107" s="3" t="s">
        <v>1209</v>
      </c>
      <c r="E107" s="3" t="s">
        <v>1210</v>
      </c>
      <c r="F107" s="3" t="s">
        <v>1209</v>
      </c>
      <c r="G107" s="3" t="s">
        <v>1211</v>
      </c>
      <c r="H107" s="51">
        <v>41681</v>
      </c>
      <c r="J107" s="3">
        <f t="shared" si="20"/>
        <v>34.81</v>
      </c>
      <c r="K107" s="3">
        <f t="shared" si="20"/>
        <v>34.46</v>
      </c>
      <c r="L107" s="3">
        <f t="shared" si="20"/>
        <v>34.81</v>
      </c>
      <c r="M107" s="3">
        <f t="shared" si="20"/>
        <v>34.340000000000003</v>
      </c>
      <c r="P107" s="14" t="s">
        <v>180</v>
      </c>
      <c r="Q107" s="10" t="str">
        <f t="shared" si="21"/>
        <v xml:space="preserve">TRACTEBEL   -ON  </v>
      </c>
      <c r="R107" s="51">
        <f t="shared" si="22"/>
        <v>41681</v>
      </c>
      <c r="S107" s="5">
        <f t="shared" si="23"/>
        <v>34.81</v>
      </c>
      <c r="T107" s="5">
        <f t="shared" si="24"/>
        <v>34.46</v>
      </c>
      <c r="U107" s="5">
        <f t="shared" si="25"/>
        <v>34.81</v>
      </c>
      <c r="V107" s="5">
        <f t="shared" si="26"/>
        <v>34.340000000000003</v>
      </c>
    </row>
    <row r="108" spans="1:22" x14ac:dyDescent="0.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163</v>
      </c>
      <c r="D108" s="3" t="s">
        <v>763</v>
      </c>
      <c r="E108" s="3" t="s">
        <v>763</v>
      </c>
      <c r="F108" s="3" t="s">
        <v>763</v>
      </c>
      <c r="G108" s="3" t="s">
        <v>763</v>
      </c>
      <c r="H108" s="51">
        <v>41681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158</v>
      </c>
      <c r="Q108" s="10" t="str">
        <f t="shared" si="21"/>
        <v xml:space="preserve">TRAN PAULIST-ON  </v>
      </c>
      <c r="R108" s="51">
        <f t="shared" si="22"/>
        <v>41681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 x14ac:dyDescent="0.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164</v>
      </c>
      <c r="D109" s="3" t="s">
        <v>1212</v>
      </c>
      <c r="E109" s="3" t="s">
        <v>1213</v>
      </c>
      <c r="F109" s="3" t="s">
        <v>1214</v>
      </c>
      <c r="G109" s="3" t="s">
        <v>479</v>
      </c>
      <c r="H109" s="51">
        <v>41681</v>
      </c>
      <c r="J109" s="3">
        <f t="shared" si="20"/>
        <v>23.28</v>
      </c>
      <c r="K109" s="3">
        <f t="shared" si="20"/>
        <v>23.18</v>
      </c>
      <c r="L109" s="3">
        <f t="shared" si="20"/>
        <v>23.49</v>
      </c>
      <c r="M109" s="3">
        <f t="shared" si="20"/>
        <v>23.01</v>
      </c>
      <c r="P109" s="14" t="s">
        <v>159</v>
      </c>
      <c r="Q109" s="10" t="str">
        <f t="shared" si="21"/>
        <v xml:space="preserve">TRAN PAULIST-PN  </v>
      </c>
      <c r="R109" s="51">
        <f t="shared" si="22"/>
        <v>41681</v>
      </c>
      <c r="S109" s="5">
        <f t="shared" si="23"/>
        <v>23.28</v>
      </c>
      <c r="T109" s="5">
        <f t="shared" si="24"/>
        <v>23.18</v>
      </c>
      <c r="U109" s="5">
        <f t="shared" si="25"/>
        <v>23.49</v>
      </c>
      <c r="V109" s="5">
        <f t="shared" si="26"/>
        <v>23.01</v>
      </c>
    </row>
    <row r="110" spans="1:22" x14ac:dyDescent="0.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156</v>
      </c>
      <c r="D110" s="3" t="s">
        <v>847</v>
      </c>
      <c r="E110" s="3" t="s">
        <v>847</v>
      </c>
      <c r="F110" s="3" t="s">
        <v>847</v>
      </c>
      <c r="G110" s="3" t="s">
        <v>847</v>
      </c>
      <c r="H110" s="51">
        <v>41681</v>
      </c>
      <c r="J110" s="3">
        <f t="shared" si="20"/>
        <v>0.65</v>
      </c>
      <c r="K110" s="3">
        <f t="shared" si="20"/>
        <v>0.65</v>
      </c>
      <c r="L110" s="3">
        <f t="shared" si="20"/>
        <v>0.65</v>
      </c>
      <c r="M110" s="3">
        <f t="shared" si="20"/>
        <v>0.65</v>
      </c>
      <c r="P110" s="15" t="s">
        <v>73</v>
      </c>
      <c r="Q110" s="10" t="str">
        <f t="shared" si="21"/>
        <v>UNIPAR      -PNA</v>
      </c>
      <c r="R110" s="51">
        <f t="shared" si="22"/>
        <v>41681</v>
      </c>
      <c r="S110" s="5">
        <f t="shared" si="23"/>
        <v>0.65</v>
      </c>
      <c r="T110" s="5">
        <f t="shared" si="24"/>
        <v>0.65</v>
      </c>
      <c r="U110" s="5">
        <f t="shared" si="25"/>
        <v>0.65</v>
      </c>
      <c r="V110" s="5">
        <f t="shared" si="26"/>
        <v>0.65</v>
      </c>
    </row>
    <row r="111" spans="1:22" x14ac:dyDescent="0.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157</v>
      </c>
      <c r="D111" s="3" t="s">
        <v>848</v>
      </c>
      <c r="E111" s="3" t="s">
        <v>390</v>
      </c>
      <c r="F111" s="3" t="s">
        <v>848</v>
      </c>
      <c r="G111" s="3" t="s">
        <v>390</v>
      </c>
      <c r="H111" s="51">
        <v>41681</v>
      </c>
      <c r="J111" s="3">
        <f t="shared" si="20"/>
        <v>0.47</v>
      </c>
      <c r="K111" s="3">
        <f t="shared" si="20"/>
        <v>0.46</v>
      </c>
      <c r="L111" s="3">
        <f t="shared" si="20"/>
        <v>0.47</v>
      </c>
      <c r="M111" s="3">
        <f t="shared" si="20"/>
        <v>0.46</v>
      </c>
      <c r="P111" s="14" t="s">
        <v>39</v>
      </c>
      <c r="Q111" s="10" t="str">
        <f t="shared" si="21"/>
        <v>UNIPAR      -PNB</v>
      </c>
      <c r="R111" s="51">
        <f t="shared" si="22"/>
        <v>41681</v>
      </c>
      <c r="S111" s="5">
        <f t="shared" si="23"/>
        <v>0.47</v>
      </c>
      <c r="T111" s="5">
        <f t="shared" si="24"/>
        <v>0.46</v>
      </c>
      <c r="U111" s="5">
        <f t="shared" si="25"/>
        <v>0.47</v>
      </c>
      <c r="V111" s="5">
        <f t="shared" si="26"/>
        <v>0.46</v>
      </c>
    </row>
    <row r="112" spans="1:22" x14ac:dyDescent="0.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432</v>
      </c>
      <c r="D112" s="3" t="s">
        <v>1215</v>
      </c>
      <c r="E112" s="3" t="s">
        <v>849</v>
      </c>
      <c r="F112" s="3" t="s">
        <v>1215</v>
      </c>
      <c r="G112" s="3" t="s">
        <v>849</v>
      </c>
      <c r="H112" s="51">
        <v>41681</v>
      </c>
      <c r="J112" s="3">
        <f t="shared" ref="J112:J121" si="27">IF($A112="",0,VALUE(CONCATENATE(LEFT(D112,LEN(D112)-3),",",RIGHT(D112,2))))</f>
        <v>17.170000000000002</v>
      </c>
      <c r="K112" s="3">
        <f t="shared" si="20"/>
        <v>17.100000000000001</v>
      </c>
      <c r="L112" s="3">
        <f t="shared" si="20"/>
        <v>17.170000000000002</v>
      </c>
      <c r="M112" s="3">
        <f t="shared" si="20"/>
        <v>17.100000000000001</v>
      </c>
      <c r="P112" s="3" t="s">
        <v>429</v>
      </c>
      <c r="Q112" s="10" t="str">
        <f t="shared" si="21"/>
        <v>PANATLANTICA-ON</v>
      </c>
      <c r="R112" s="51">
        <f t="shared" si="22"/>
        <v>41681</v>
      </c>
      <c r="S112" s="5">
        <f t="shared" si="23"/>
        <v>17.170000000000002</v>
      </c>
      <c r="T112" s="5">
        <f t="shared" si="24"/>
        <v>17.100000000000001</v>
      </c>
      <c r="U112" s="5">
        <f t="shared" si="25"/>
        <v>17.170000000000002</v>
      </c>
      <c r="V112" s="5">
        <f t="shared" si="26"/>
        <v>17.100000000000001</v>
      </c>
    </row>
    <row r="113" spans="1:22" x14ac:dyDescent="0.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 x14ac:dyDescent="0.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 x14ac:dyDescent="0.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 x14ac:dyDescent="0.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 x14ac:dyDescent="0.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 x14ac:dyDescent="0.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 x14ac:dyDescent="0.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 x14ac:dyDescent="0.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 x14ac:dyDescent="0.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 x14ac:dyDescent="0.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 x14ac:dyDescent="0.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 x14ac:dyDescent="0.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 x14ac:dyDescent="0.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 x14ac:dyDescent="0.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 x14ac:dyDescent="0.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 x14ac:dyDescent="0.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 x14ac:dyDescent="0.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 x14ac:dyDescent="0.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 x14ac:dyDescent="0.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 x14ac:dyDescent="0.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 x14ac:dyDescent="0.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 x14ac:dyDescent="0.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 x14ac:dyDescent="0.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 x14ac:dyDescent="0.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 x14ac:dyDescent="0.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 x14ac:dyDescent="0.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 x14ac:dyDescent="0.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 x14ac:dyDescent="0.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 x14ac:dyDescent="0.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 x14ac:dyDescent="0.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 x14ac:dyDescent="0.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 x14ac:dyDescent="0.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 x14ac:dyDescent="0.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 x14ac:dyDescent="0.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 x14ac:dyDescent="0.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 x14ac:dyDescent="0.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 x14ac:dyDescent="0.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 x14ac:dyDescent="0.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 x14ac:dyDescent="0.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 x14ac:dyDescent="0.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 x14ac:dyDescent="0.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 x14ac:dyDescent="0.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 x14ac:dyDescent="0.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 x14ac:dyDescent="0.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 x14ac:dyDescent="0.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 x14ac:dyDescent="0.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 x14ac:dyDescent="0.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 x14ac:dyDescent="0.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 x14ac:dyDescent="0.2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 x14ac:dyDescent="0.2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 x14ac:dyDescent="0.2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 x14ac:dyDescent="0.2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 x14ac:dyDescent="0.2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 x14ac:dyDescent="0.2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 x14ac:dyDescent="0.2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 x14ac:dyDescent="0.2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 x14ac:dyDescent="0.2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 x14ac:dyDescent="0.2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 x14ac:dyDescent="0.2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 x14ac:dyDescent="0.2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557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IF(Tabela17[[#This Row],[Código]]="IBOV","^BVSP",IF(Tabela17[[#This Row],[Código]]="","",CONCATENATE(LEFT(Tabela17[[#This Row],[Código]],6),".SA")))</f>
        <v>ABCB3.SA</v>
      </c>
      <c r="C7" s="3" t="s">
        <v>453</v>
      </c>
      <c r="D7" s="3" t="s">
        <v>454</v>
      </c>
      <c r="E7" s="3" t="s">
        <v>455</v>
      </c>
      <c r="F7" s="3" t="s">
        <v>454</v>
      </c>
      <c r="G7" s="3" t="s">
        <v>454</v>
      </c>
      <c r="H7" s="51" t="s">
        <v>454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451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 x14ac:dyDescent="0.2">
      <c r="A8" s="33" t="str">
        <f>IF(Tabela17[[#This Row],[Código]]="IBOV","^BVSP",IF(Tabela17[[#This Row],[Código]]="","",CONCATENATE(LEFT(Tabela17[[#This Row],[Código]],6),".SA")))</f>
        <v>AFLT3.SA</v>
      </c>
      <c r="C8" s="3" t="s">
        <v>467</v>
      </c>
      <c r="D8" s="3" t="s">
        <v>468</v>
      </c>
      <c r="E8" s="3" t="s">
        <v>468</v>
      </c>
      <c r="F8" s="3" t="s">
        <v>468</v>
      </c>
      <c r="G8" s="3" t="s">
        <v>468</v>
      </c>
      <c r="H8" s="51">
        <v>41681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466</v>
      </c>
      <c r="Q8" s="10" t="str">
        <f t="shared" si="1"/>
        <v>AFLUENTE T  -ON</v>
      </c>
      <c r="R8" s="51">
        <f t="shared" si="2"/>
        <v>41681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 x14ac:dyDescent="0.2">
      <c r="A9" s="33" t="str">
        <f>IF(Tabela17[[#This Row],[Código]]="IBOV","^BVSP",IF(Tabela17[[#This Row],[Código]]="","",CONCATENATE(LEFT(Tabela17[[#This Row],[Código]],6),".SA")))</f>
        <v>AFLU3.SA</v>
      </c>
      <c r="C9" s="3" t="s">
        <v>462</v>
      </c>
      <c r="D9" s="3" t="s">
        <v>463</v>
      </c>
      <c r="E9" s="3" t="s">
        <v>463</v>
      </c>
      <c r="F9" s="3" t="s">
        <v>463</v>
      </c>
      <c r="G9" s="3" t="s">
        <v>463</v>
      </c>
      <c r="H9" s="51">
        <v>41681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459</v>
      </c>
      <c r="Q9" s="10" t="str">
        <f t="shared" si="1"/>
        <v>AFLUENTE    -ON</v>
      </c>
      <c r="R9" s="51">
        <f t="shared" si="2"/>
        <v>41681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 x14ac:dyDescent="0.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464</v>
      </c>
      <c r="D10" s="3" t="s">
        <v>454</v>
      </c>
      <c r="E10" s="3" t="s">
        <v>455</v>
      </c>
      <c r="F10" s="3" t="s">
        <v>454</v>
      </c>
      <c r="G10" s="3" t="s">
        <v>454</v>
      </c>
      <c r="H10" s="51" t="s">
        <v>454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460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 x14ac:dyDescent="0.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465</v>
      </c>
      <c r="D11" s="3" t="s">
        <v>454</v>
      </c>
      <c r="E11" s="3" t="s">
        <v>455</v>
      </c>
      <c r="F11" s="3" t="s">
        <v>454</v>
      </c>
      <c r="G11" s="3" t="s">
        <v>454</v>
      </c>
      <c r="H11" s="51" t="s">
        <v>454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461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 x14ac:dyDescent="0.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353</v>
      </c>
      <c r="D12" s="3" t="s">
        <v>849</v>
      </c>
      <c r="E12" s="3" t="s">
        <v>1216</v>
      </c>
      <c r="F12" s="3" t="s">
        <v>1217</v>
      </c>
      <c r="G12" s="3" t="s">
        <v>1218</v>
      </c>
      <c r="H12" s="51">
        <v>41681</v>
      </c>
      <c r="J12" s="3">
        <f t="shared" si="7"/>
        <v>17.100000000000001</v>
      </c>
      <c r="K12" s="3">
        <f t="shared" si="0"/>
        <v>17.13</v>
      </c>
      <c r="L12" s="3">
        <f t="shared" si="0"/>
        <v>17.260000000000002</v>
      </c>
      <c r="M12" s="3">
        <f t="shared" si="0"/>
        <v>17.07</v>
      </c>
      <c r="P12" s="14" t="s">
        <v>352</v>
      </c>
      <c r="Q12" s="10" t="str">
        <f t="shared" si="1"/>
        <v xml:space="preserve">ALIANSCE    -ON  </v>
      </c>
      <c r="R12" s="46">
        <f t="shared" si="2"/>
        <v>41681</v>
      </c>
      <c r="S12" s="6">
        <f t="shared" si="3"/>
        <v>17.100000000000001</v>
      </c>
      <c r="T12" s="6">
        <f t="shared" si="4"/>
        <v>17.13</v>
      </c>
      <c r="U12" s="6">
        <f t="shared" si="5"/>
        <v>17.260000000000002</v>
      </c>
      <c r="V12" s="6">
        <f t="shared" si="6"/>
        <v>17.07</v>
      </c>
    </row>
    <row r="13" spans="1:22" x14ac:dyDescent="0.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472</v>
      </c>
      <c r="D13" s="3" t="s">
        <v>1219</v>
      </c>
      <c r="E13" s="3" t="s">
        <v>1220</v>
      </c>
      <c r="F13" s="3" t="s">
        <v>1221</v>
      </c>
      <c r="G13" s="3" t="s">
        <v>1222</v>
      </c>
      <c r="H13" s="51">
        <v>41681</v>
      </c>
      <c r="J13" s="3">
        <f t="shared" si="7"/>
        <v>16.100000000000001</v>
      </c>
      <c r="K13" s="3">
        <f t="shared" si="0"/>
        <v>16.149999999999999</v>
      </c>
      <c r="L13" s="3">
        <f t="shared" si="0"/>
        <v>16.36</v>
      </c>
      <c r="M13" s="3">
        <f t="shared" si="0"/>
        <v>16.07</v>
      </c>
      <c r="P13" s="14" t="s">
        <v>469</v>
      </c>
      <c r="Q13" s="10" t="str">
        <f t="shared" si="1"/>
        <v xml:space="preserve">ALUPAR      -UNT </v>
      </c>
      <c r="R13" s="51">
        <f t="shared" si="2"/>
        <v>41681</v>
      </c>
      <c r="S13" s="5">
        <f t="shared" si="3"/>
        <v>16.100000000000001</v>
      </c>
      <c r="T13" s="5">
        <f t="shared" si="4"/>
        <v>16.149999999999999</v>
      </c>
      <c r="U13" s="5">
        <f t="shared" si="5"/>
        <v>16.36</v>
      </c>
      <c r="V13" s="5">
        <f t="shared" si="6"/>
        <v>16.07</v>
      </c>
    </row>
    <row r="14" spans="1:22" x14ac:dyDescent="0.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473</v>
      </c>
      <c r="D14" s="3" t="s">
        <v>454</v>
      </c>
      <c r="E14" s="3" t="s">
        <v>455</v>
      </c>
      <c r="F14" s="3" t="s">
        <v>454</v>
      </c>
      <c r="G14" s="3" t="s">
        <v>454</v>
      </c>
      <c r="H14" s="51" t="s">
        <v>454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470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 x14ac:dyDescent="0.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474</v>
      </c>
      <c r="D15" s="3" t="s">
        <v>454</v>
      </c>
      <c r="E15" s="3" t="s">
        <v>455</v>
      </c>
      <c r="F15" s="3" t="s">
        <v>454</v>
      </c>
      <c r="G15" s="3" t="s">
        <v>454</v>
      </c>
      <c r="H15" s="51" t="s">
        <v>454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471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 x14ac:dyDescent="0.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313</v>
      </c>
      <c r="D16" s="3" t="s">
        <v>753</v>
      </c>
      <c r="E16" s="3" t="s">
        <v>1223</v>
      </c>
      <c r="F16" s="3" t="s">
        <v>1223</v>
      </c>
      <c r="G16" s="3" t="s">
        <v>753</v>
      </c>
      <c r="H16" s="51">
        <v>41681</v>
      </c>
      <c r="J16" s="3">
        <f t="shared" si="7"/>
        <v>5</v>
      </c>
      <c r="K16" s="3">
        <f t="shared" si="0"/>
        <v>5.2</v>
      </c>
      <c r="L16" s="3">
        <f t="shared" si="0"/>
        <v>5.2</v>
      </c>
      <c r="M16" s="3">
        <f t="shared" si="0"/>
        <v>5</v>
      </c>
      <c r="P16" s="14" t="s">
        <v>312</v>
      </c>
      <c r="Q16" s="10" t="str">
        <f t="shared" si="1"/>
        <v>BAHEMA      -ON</v>
      </c>
      <c r="R16" s="51">
        <f t="shared" si="2"/>
        <v>41681</v>
      </c>
      <c r="S16" s="5">
        <f t="shared" si="3"/>
        <v>5</v>
      </c>
      <c r="T16" s="5">
        <f t="shared" si="4"/>
        <v>5.2</v>
      </c>
      <c r="U16" s="5">
        <f t="shared" si="5"/>
        <v>5.2</v>
      </c>
      <c r="V16" s="5">
        <f t="shared" si="6"/>
        <v>5</v>
      </c>
    </row>
    <row r="17" spans="1:22" x14ac:dyDescent="0.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258</v>
      </c>
      <c r="D17" s="3" t="s">
        <v>1224</v>
      </c>
      <c r="E17" s="3" t="s">
        <v>1225</v>
      </c>
      <c r="F17" s="3" t="s">
        <v>1226</v>
      </c>
      <c r="G17" s="3" t="s">
        <v>1227</v>
      </c>
      <c r="H17" s="51">
        <v>41681</v>
      </c>
      <c r="J17" s="3">
        <f t="shared" si="7"/>
        <v>24.5</v>
      </c>
      <c r="K17" s="3">
        <f t="shared" si="0"/>
        <v>24.39</v>
      </c>
      <c r="L17" s="3">
        <f t="shared" si="0"/>
        <v>24.6</v>
      </c>
      <c r="M17" s="3">
        <f t="shared" si="0"/>
        <v>23.87</v>
      </c>
      <c r="P17" s="15" t="s">
        <v>25</v>
      </c>
      <c r="Q17" s="10" t="str">
        <f t="shared" si="1"/>
        <v xml:space="preserve">BBSEGURIDADE-ON  </v>
      </c>
      <c r="R17" s="51">
        <f t="shared" si="2"/>
        <v>41681</v>
      </c>
      <c r="S17" s="5">
        <f t="shared" si="3"/>
        <v>24.5</v>
      </c>
      <c r="T17" s="5">
        <f t="shared" si="4"/>
        <v>24.39</v>
      </c>
      <c r="U17" s="5">
        <f t="shared" si="5"/>
        <v>24.6</v>
      </c>
      <c r="V17" s="5">
        <f t="shared" si="6"/>
        <v>23.87</v>
      </c>
    </row>
    <row r="18" spans="1:22" x14ac:dyDescent="0.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304</v>
      </c>
      <c r="D18" s="3" t="s">
        <v>1228</v>
      </c>
      <c r="E18" s="3" t="s">
        <v>1229</v>
      </c>
      <c r="F18" s="3" t="s">
        <v>1228</v>
      </c>
      <c r="G18" s="3" t="s">
        <v>1229</v>
      </c>
      <c r="H18" s="51">
        <v>41681</v>
      </c>
      <c r="J18" s="3">
        <f t="shared" si="7"/>
        <v>18.48</v>
      </c>
      <c r="K18" s="3">
        <f t="shared" si="0"/>
        <v>18.239999999999998</v>
      </c>
      <c r="L18" s="3">
        <f t="shared" si="0"/>
        <v>18.48</v>
      </c>
      <c r="M18" s="3">
        <f t="shared" si="0"/>
        <v>18.239999999999998</v>
      </c>
      <c r="P18" s="10" t="s">
        <v>301</v>
      </c>
      <c r="Q18" s="10" t="str">
        <f t="shared" si="1"/>
        <v xml:space="preserve">BRADESPAR   -ON  </v>
      </c>
      <c r="R18" s="51">
        <f t="shared" si="2"/>
        <v>41681</v>
      </c>
      <c r="S18" s="5">
        <f t="shared" si="3"/>
        <v>18.48</v>
      </c>
      <c r="T18" s="5">
        <f t="shared" si="4"/>
        <v>18.239999999999998</v>
      </c>
      <c r="U18" s="5">
        <f t="shared" si="5"/>
        <v>18.48</v>
      </c>
      <c r="V18" s="5">
        <f t="shared" si="6"/>
        <v>18.239999999999998</v>
      </c>
    </row>
    <row r="19" spans="1:22" x14ac:dyDescent="0.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305</v>
      </c>
      <c r="D19" s="3" t="s">
        <v>1230</v>
      </c>
      <c r="E19" s="3" t="s">
        <v>1231</v>
      </c>
      <c r="F19" s="3" t="s">
        <v>1232</v>
      </c>
      <c r="G19" s="3" t="s">
        <v>1233</v>
      </c>
      <c r="H19" s="51">
        <v>41681</v>
      </c>
      <c r="J19" s="3">
        <f t="shared" si="7"/>
        <v>21.8</v>
      </c>
      <c r="K19" s="3">
        <f t="shared" si="0"/>
        <v>21.68</v>
      </c>
      <c r="L19" s="3">
        <f t="shared" si="0"/>
        <v>21.95</v>
      </c>
      <c r="M19" s="3">
        <f t="shared" si="0"/>
        <v>21.61</v>
      </c>
      <c r="P19" s="10" t="s">
        <v>302</v>
      </c>
      <c r="Q19" s="10" t="str">
        <f t="shared" si="1"/>
        <v xml:space="preserve">BRADESPAR   -PN  </v>
      </c>
      <c r="R19" s="51">
        <f t="shared" si="2"/>
        <v>41681</v>
      </c>
      <c r="S19" s="5">
        <f t="shared" si="3"/>
        <v>21.8</v>
      </c>
      <c r="T19" s="5">
        <f t="shared" si="4"/>
        <v>21.68</v>
      </c>
      <c r="U19" s="5">
        <f t="shared" si="5"/>
        <v>21.95</v>
      </c>
      <c r="V19" s="5">
        <f t="shared" si="6"/>
        <v>21.61</v>
      </c>
    </row>
    <row r="20" spans="1:22" x14ac:dyDescent="0.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285</v>
      </c>
      <c r="D20" s="3" t="s">
        <v>1234</v>
      </c>
      <c r="E20" s="3" t="s">
        <v>1235</v>
      </c>
      <c r="F20" s="3" t="s">
        <v>1236</v>
      </c>
      <c r="G20" s="3" t="s">
        <v>1237</v>
      </c>
      <c r="H20" s="51">
        <v>41681</v>
      </c>
      <c r="J20" s="3">
        <f t="shared" si="7"/>
        <v>41.12</v>
      </c>
      <c r="K20" s="3">
        <f t="shared" si="0"/>
        <v>40.53</v>
      </c>
      <c r="L20" s="3">
        <f t="shared" si="0"/>
        <v>41.24</v>
      </c>
      <c r="M20" s="3">
        <f t="shared" si="0"/>
        <v>40.090000000000003</v>
      </c>
      <c r="P20" s="10" t="s">
        <v>283</v>
      </c>
      <c r="Q20" s="10" t="str">
        <f t="shared" si="1"/>
        <v xml:space="preserve">BRF SA      -ON  </v>
      </c>
      <c r="R20" s="51">
        <f t="shared" si="2"/>
        <v>41681</v>
      </c>
      <c r="S20" s="5">
        <f t="shared" si="3"/>
        <v>41.12</v>
      </c>
      <c r="T20" s="5">
        <f t="shared" si="4"/>
        <v>40.53</v>
      </c>
      <c r="U20" s="5">
        <f t="shared" si="5"/>
        <v>41.24</v>
      </c>
      <c r="V20" s="5">
        <f t="shared" si="6"/>
        <v>40.090000000000003</v>
      </c>
    </row>
    <row r="21" spans="1:22" x14ac:dyDescent="0.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379</v>
      </c>
      <c r="D21" s="3" t="s">
        <v>907</v>
      </c>
      <c r="E21" s="3" t="s">
        <v>1238</v>
      </c>
      <c r="F21" s="3" t="s">
        <v>907</v>
      </c>
      <c r="G21" s="3" t="s">
        <v>1239</v>
      </c>
      <c r="H21" s="51">
        <v>41681</v>
      </c>
      <c r="J21" s="3">
        <f t="shared" si="7"/>
        <v>18.2</v>
      </c>
      <c r="K21" s="3">
        <f t="shared" si="0"/>
        <v>17.899999999999999</v>
      </c>
      <c r="L21" s="3">
        <f t="shared" si="0"/>
        <v>18.2</v>
      </c>
      <c r="M21" s="3">
        <f t="shared" si="0"/>
        <v>17.79</v>
      </c>
      <c r="P21" s="14" t="s">
        <v>377</v>
      </c>
      <c r="Q21" s="10" t="str">
        <f t="shared" si="1"/>
        <v xml:space="preserve">BR INSURANCE-ON  </v>
      </c>
      <c r="R21" s="51">
        <f t="shared" si="2"/>
        <v>41681</v>
      </c>
      <c r="S21" s="5">
        <f t="shared" si="3"/>
        <v>18.2</v>
      </c>
      <c r="T21" s="5">
        <f t="shared" si="4"/>
        <v>17.899999999999999</v>
      </c>
      <c r="U21" s="5">
        <f t="shared" si="5"/>
        <v>18.2</v>
      </c>
      <c r="V21" s="5">
        <f t="shared" si="6"/>
        <v>17.79</v>
      </c>
    </row>
    <row r="22" spans="1:22" x14ac:dyDescent="0.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271</v>
      </c>
      <c r="D22" s="3" t="s">
        <v>1240</v>
      </c>
      <c r="E22" s="3" t="s">
        <v>1240</v>
      </c>
      <c r="F22" s="3" t="s">
        <v>1240</v>
      </c>
      <c r="G22" s="3" t="s">
        <v>1240</v>
      </c>
      <c r="H22" s="51">
        <v>41681</v>
      </c>
      <c r="J22" s="3">
        <f t="shared" si="7"/>
        <v>13.35</v>
      </c>
      <c r="K22" s="3">
        <f t="shared" si="0"/>
        <v>13.35</v>
      </c>
      <c r="L22" s="3">
        <f t="shared" si="0"/>
        <v>13.35</v>
      </c>
      <c r="M22" s="3">
        <f t="shared" si="0"/>
        <v>13.35</v>
      </c>
      <c r="P22" s="14" t="s">
        <v>268</v>
      </c>
      <c r="Q22" s="10" t="str">
        <f t="shared" si="1"/>
        <v xml:space="preserve">BRASKEM     -ON  </v>
      </c>
      <c r="R22" s="51">
        <f t="shared" si="2"/>
        <v>41681</v>
      </c>
      <c r="S22" s="5">
        <f t="shared" si="3"/>
        <v>13.35</v>
      </c>
      <c r="T22" s="5">
        <f t="shared" si="4"/>
        <v>13.35</v>
      </c>
      <c r="U22" s="5">
        <f t="shared" si="5"/>
        <v>13.35</v>
      </c>
      <c r="V22" s="5">
        <f t="shared" si="6"/>
        <v>13.35</v>
      </c>
    </row>
    <row r="23" spans="1:22" x14ac:dyDescent="0.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272</v>
      </c>
      <c r="D23" s="3" t="s">
        <v>1241</v>
      </c>
      <c r="E23" s="3" t="s">
        <v>1136</v>
      </c>
      <c r="F23" s="3" t="s">
        <v>1242</v>
      </c>
      <c r="G23" s="3" t="s">
        <v>1243</v>
      </c>
      <c r="H23" s="51">
        <v>41681</v>
      </c>
      <c r="J23" s="3">
        <f t="shared" si="7"/>
        <v>17.84</v>
      </c>
      <c r="K23" s="3">
        <f t="shared" si="7"/>
        <v>17.82</v>
      </c>
      <c r="L23" s="3">
        <f t="shared" si="7"/>
        <v>17.93</v>
      </c>
      <c r="M23" s="3">
        <f t="shared" si="7"/>
        <v>17.43</v>
      </c>
      <c r="P23" s="14" t="s">
        <v>269</v>
      </c>
      <c r="Q23" s="10" t="str">
        <f t="shared" si="1"/>
        <v xml:space="preserve">BRASKEM     -PNA </v>
      </c>
      <c r="R23" s="51">
        <f t="shared" si="2"/>
        <v>41681</v>
      </c>
      <c r="S23" s="5">
        <f t="shared" si="3"/>
        <v>17.84</v>
      </c>
      <c r="T23" s="5">
        <f t="shared" si="4"/>
        <v>17.82</v>
      </c>
      <c r="U23" s="5">
        <f t="shared" si="5"/>
        <v>17.93</v>
      </c>
      <c r="V23" s="5">
        <f t="shared" si="6"/>
        <v>17.43</v>
      </c>
    </row>
    <row r="24" spans="1:22" x14ac:dyDescent="0.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273</v>
      </c>
      <c r="D24" s="3" t="s">
        <v>764</v>
      </c>
      <c r="E24" s="3" t="s">
        <v>764</v>
      </c>
      <c r="F24" s="3" t="s">
        <v>764</v>
      </c>
      <c r="G24" s="3" t="s">
        <v>764</v>
      </c>
      <c r="H24" s="51">
        <v>41681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270</v>
      </c>
      <c r="Q24" s="10" t="str">
        <f t="shared" si="1"/>
        <v xml:space="preserve">BRASKEM     -PNB </v>
      </c>
      <c r="R24" s="51">
        <f t="shared" si="2"/>
        <v>41681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 x14ac:dyDescent="0.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355</v>
      </c>
      <c r="D25" s="3" t="s">
        <v>1244</v>
      </c>
      <c r="E25" s="3" t="s">
        <v>968</v>
      </c>
      <c r="F25" s="3" t="s">
        <v>1245</v>
      </c>
      <c r="G25" s="3" t="s">
        <v>886</v>
      </c>
      <c r="H25" s="51">
        <v>41681</v>
      </c>
      <c r="J25" s="3">
        <f t="shared" si="7"/>
        <v>16.079999999999998</v>
      </c>
      <c r="K25" s="3">
        <f t="shared" si="7"/>
        <v>16.22</v>
      </c>
      <c r="L25" s="3">
        <f t="shared" si="7"/>
        <v>16.25</v>
      </c>
      <c r="M25" s="3">
        <f t="shared" si="7"/>
        <v>16.02</v>
      </c>
      <c r="P25" s="10" t="s">
        <v>354</v>
      </c>
      <c r="Q25" s="10" t="str">
        <f t="shared" si="1"/>
        <v xml:space="preserve">BR MALLS PAR-ON  </v>
      </c>
      <c r="R25" s="51">
        <f t="shared" si="2"/>
        <v>41681</v>
      </c>
      <c r="S25" s="5">
        <f t="shared" si="3"/>
        <v>16.079999999999998</v>
      </c>
      <c r="T25" s="5">
        <f t="shared" si="4"/>
        <v>16.22</v>
      </c>
      <c r="U25" s="5">
        <f t="shared" si="5"/>
        <v>16.25</v>
      </c>
      <c r="V25" s="5">
        <f t="shared" si="6"/>
        <v>16.02</v>
      </c>
    </row>
    <row r="26" spans="1:22" x14ac:dyDescent="0.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357</v>
      </c>
      <c r="D26" s="3" t="s">
        <v>1246</v>
      </c>
      <c r="E26" s="3" t="s">
        <v>1247</v>
      </c>
      <c r="F26" s="3" t="s">
        <v>1247</v>
      </c>
      <c r="G26" s="3" t="s">
        <v>1248</v>
      </c>
      <c r="H26" s="51">
        <v>41681</v>
      </c>
      <c r="J26" s="3">
        <f t="shared" si="7"/>
        <v>16.68</v>
      </c>
      <c r="K26" s="3">
        <f t="shared" si="7"/>
        <v>16.93</v>
      </c>
      <c r="L26" s="3">
        <f t="shared" si="7"/>
        <v>16.93</v>
      </c>
      <c r="M26" s="3">
        <f t="shared" si="7"/>
        <v>16.61</v>
      </c>
      <c r="P26" s="15" t="s">
        <v>356</v>
      </c>
      <c r="Q26" s="10" t="str">
        <f t="shared" si="1"/>
        <v xml:space="preserve">BR PROPERT  -ON  </v>
      </c>
      <c r="R26" s="51">
        <f t="shared" si="2"/>
        <v>41681</v>
      </c>
      <c r="S26" s="5">
        <f t="shared" si="3"/>
        <v>16.68</v>
      </c>
      <c r="T26" s="5">
        <f t="shared" si="4"/>
        <v>16.93</v>
      </c>
      <c r="U26" s="5">
        <f t="shared" si="5"/>
        <v>16.93</v>
      </c>
      <c r="V26" s="5">
        <f t="shared" si="6"/>
        <v>16.61</v>
      </c>
    </row>
    <row r="27" spans="1:22" x14ac:dyDescent="0.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385</v>
      </c>
      <c r="D27" s="3" t="s">
        <v>893</v>
      </c>
      <c r="E27" s="3" t="s">
        <v>834</v>
      </c>
      <c r="F27" s="3" t="s">
        <v>829</v>
      </c>
      <c r="G27" s="3" t="s">
        <v>347</v>
      </c>
      <c r="H27" s="51">
        <v>41681</v>
      </c>
      <c r="J27" s="3">
        <f t="shared" si="7"/>
        <v>9.58</v>
      </c>
      <c r="K27" s="3">
        <f t="shared" si="7"/>
        <v>9.5500000000000007</v>
      </c>
      <c r="L27" s="3">
        <f t="shared" si="7"/>
        <v>9.7200000000000006</v>
      </c>
      <c r="M27" s="3">
        <f t="shared" si="7"/>
        <v>9.5</v>
      </c>
      <c r="P27" s="15" t="s">
        <v>383</v>
      </c>
      <c r="Q27" s="10" t="str">
        <f t="shared" si="1"/>
        <v xml:space="preserve">BMFBOVESPA  -ON  </v>
      </c>
      <c r="R27" s="51">
        <f t="shared" si="2"/>
        <v>41681</v>
      </c>
      <c r="S27" s="5">
        <f t="shared" si="3"/>
        <v>9.58</v>
      </c>
      <c r="T27" s="5">
        <f t="shared" si="4"/>
        <v>9.5500000000000007</v>
      </c>
      <c r="U27" s="5">
        <f t="shared" si="5"/>
        <v>9.7200000000000006</v>
      </c>
      <c r="V27" s="5">
        <f t="shared" si="6"/>
        <v>9.5</v>
      </c>
    </row>
    <row r="28" spans="1:22" x14ac:dyDescent="0.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476</v>
      </c>
      <c r="D28" s="3" t="s">
        <v>851</v>
      </c>
      <c r="E28" s="3" t="s">
        <v>851</v>
      </c>
      <c r="F28" s="3" t="s">
        <v>851</v>
      </c>
      <c r="G28" s="3" t="s">
        <v>851</v>
      </c>
      <c r="H28" s="51">
        <v>41681</v>
      </c>
      <c r="J28" s="3">
        <f t="shared" si="7"/>
        <v>1.19</v>
      </c>
      <c r="K28" s="3">
        <f t="shared" si="7"/>
        <v>1.19</v>
      </c>
      <c r="L28" s="3">
        <f t="shared" si="7"/>
        <v>1.19</v>
      </c>
      <c r="M28" s="3">
        <f t="shared" si="7"/>
        <v>1.19</v>
      </c>
      <c r="P28" s="15" t="s">
        <v>475</v>
      </c>
      <c r="Q28" s="10" t="str">
        <f t="shared" si="1"/>
        <v>AMPLA ENERG -ON *</v>
      </c>
      <c r="R28" s="51">
        <f t="shared" si="2"/>
        <v>41681</v>
      </c>
      <c r="S28" s="5">
        <f t="shared" si="3"/>
        <v>1.19</v>
      </c>
      <c r="T28" s="5">
        <f t="shared" si="4"/>
        <v>1.19</v>
      </c>
      <c r="U28" s="5">
        <f t="shared" si="5"/>
        <v>1.19</v>
      </c>
      <c r="V28" s="5">
        <f t="shared" si="6"/>
        <v>1.19</v>
      </c>
    </row>
    <row r="29" spans="1:22" x14ac:dyDescent="0.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359</v>
      </c>
      <c r="D29" s="3" t="s">
        <v>1249</v>
      </c>
      <c r="E29" s="3" t="s">
        <v>819</v>
      </c>
      <c r="F29" s="3" t="s">
        <v>1249</v>
      </c>
      <c r="G29" s="3" t="s">
        <v>819</v>
      </c>
      <c r="H29" s="51">
        <v>41681</v>
      </c>
      <c r="J29" s="3">
        <f>IF($A29="",0,VALUE(CONCATENATE(LEFT(D29,LEN(D29)-3),",",RIGHT(D29,2))))</f>
        <v>19.309999999999999</v>
      </c>
      <c r="K29" s="3">
        <f t="shared" si="7"/>
        <v>19.3</v>
      </c>
      <c r="L29" s="3">
        <f t="shared" si="7"/>
        <v>19.309999999999999</v>
      </c>
      <c r="M29" s="3">
        <f t="shared" si="7"/>
        <v>19.3</v>
      </c>
      <c r="P29" s="15" t="s">
        <v>358</v>
      </c>
      <c r="Q29" s="10" t="str">
        <f t="shared" si="1"/>
        <v xml:space="preserve">CYRE COM-CCP-ON  </v>
      </c>
      <c r="R29" s="51">
        <f t="shared" si="2"/>
        <v>41681</v>
      </c>
      <c r="S29" s="5">
        <f t="shared" si="3"/>
        <v>19.309999999999999</v>
      </c>
      <c r="T29" s="5">
        <f t="shared" si="4"/>
        <v>19.3</v>
      </c>
      <c r="U29" s="5">
        <f t="shared" si="5"/>
        <v>19.309999999999999</v>
      </c>
      <c r="V29" s="5">
        <f t="shared" si="6"/>
        <v>19.3</v>
      </c>
    </row>
    <row r="30" spans="1:22" x14ac:dyDescent="0.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662</v>
      </c>
      <c r="D30" s="3" t="s">
        <v>454</v>
      </c>
      <c r="E30" s="3" t="s">
        <v>455</v>
      </c>
      <c r="F30" s="3" t="s">
        <v>454</v>
      </c>
      <c r="G30" s="3" t="s">
        <v>454</v>
      </c>
      <c r="H30" s="51" t="s">
        <v>454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496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 x14ac:dyDescent="0.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488</v>
      </c>
      <c r="D31" s="3" t="s">
        <v>797</v>
      </c>
      <c r="E31" s="3" t="s">
        <v>853</v>
      </c>
      <c r="F31" s="3" t="s">
        <v>853</v>
      </c>
      <c r="G31" s="3" t="s">
        <v>797</v>
      </c>
      <c r="H31" s="51">
        <v>41681</v>
      </c>
      <c r="J31" s="3">
        <f t="shared" si="7"/>
        <v>1.22</v>
      </c>
      <c r="K31" s="3">
        <f t="shared" si="7"/>
        <v>1.24</v>
      </c>
      <c r="L31" s="3">
        <f t="shared" si="7"/>
        <v>1.24</v>
      </c>
      <c r="M31" s="3">
        <f t="shared" si="7"/>
        <v>1.22</v>
      </c>
      <c r="P31" s="14" t="s">
        <v>484</v>
      </c>
      <c r="Q31" s="10" t="str">
        <f t="shared" si="1"/>
        <v>CELPA       -ON</v>
      </c>
      <c r="R31" s="51">
        <f t="shared" si="2"/>
        <v>41681</v>
      </c>
      <c r="S31" s="5">
        <f t="shared" si="3"/>
        <v>1.22</v>
      </c>
      <c r="T31" s="5">
        <f t="shared" si="4"/>
        <v>1.24</v>
      </c>
      <c r="U31" s="5">
        <f t="shared" si="5"/>
        <v>1.24</v>
      </c>
      <c r="V31" s="5">
        <f t="shared" si="6"/>
        <v>1.22</v>
      </c>
    </row>
    <row r="32" spans="1:22" x14ac:dyDescent="0.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489</v>
      </c>
      <c r="D32" s="3" t="s">
        <v>490</v>
      </c>
      <c r="E32" s="3" t="s">
        <v>490</v>
      </c>
      <c r="F32" s="3" t="s">
        <v>490</v>
      </c>
      <c r="G32" s="3" t="s">
        <v>490</v>
      </c>
      <c r="H32" s="51">
        <v>41681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485</v>
      </c>
      <c r="Q32" s="10" t="str">
        <f t="shared" si="1"/>
        <v>CELPA       -PNA</v>
      </c>
      <c r="R32" s="51">
        <f t="shared" si="2"/>
        <v>41681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 x14ac:dyDescent="0.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491</v>
      </c>
      <c r="D33" s="3" t="s">
        <v>492</v>
      </c>
      <c r="E33" s="3" t="s">
        <v>492</v>
      </c>
      <c r="F33" s="3" t="s">
        <v>492</v>
      </c>
      <c r="G33" s="3" t="s">
        <v>492</v>
      </c>
      <c r="H33" s="51">
        <v>41681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486</v>
      </c>
      <c r="Q33" s="10" t="str">
        <f t="shared" si="1"/>
        <v>CELPA       -PNB</v>
      </c>
      <c r="R33" s="51">
        <f t="shared" si="2"/>
        <v>41681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 x14ac:dyDescent="0.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493</v>
      </c>
      <c r="D34" s="3" t="s">
        <v>414</v>
      </c>
      <c r="E34" s="3" t="s">
        <v>414</v>
      </c>
      <c r="F34" s="3" t="s">
        <v>414</v>
      </c>
      <c r="G34" s="3" t="s">
        <v>414</v>
      </c>
      <c r="H34" s="51">
        <v>41681</v>
      </c>
      <c r="J34" s="3">
        <f t="shared" si="7"/>
        <v>0.5</v>
      </c>
      <c r="K34" s="3">
        <f t="shared" si="7"/>
        <v>0.5</v>
      </c>
      <c r="L34" s="3">
        <f t="shared" si="7"/>
        <v>0.5</v>
      </c>
      <c r="M34" s="3">
        <f t="shared" si="7"/>
        <v>0.5</v>
      </c>
      <c r="P34" s="15" t="s">
        <v>487</v>
      </c>
      <c r="Q34" s="10" t="str">
        <f t="shared" si="1"/>
        <v>CELPA       -PNC</v>
      </c>
      <c r="R34" s="51">
        <f t="shared" si="2"/>
        <v>41681</v>
      </c>
      <c r="S34" s="5">
        <f t="shared" si="3"/>
        <v>0.5</v>
      </c>
      <c r="T34" s="5">
        <f t="shared" si="4"/>
        <v>0.5</v>
      </c>
      <c r="U34" s="5">
        <f t="shared" si="5"/>
        <v>0.5</v>
      </c>
      <c r="V34" s="5">
        <f t="shared" si="6"/>
        <v>0.5</v>
      </c>
    </row>
    <row r="35" spans="1:22" x14ac:dyDescent="0.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389</v>
      </c>
      <c r="D35" s="3" t="s">
        <v>1250</v>
      </c>
      <c r="E35" s="3" t="s">
        <v>1251</v>
      </c>
      <c r="F35" s="3" t="s">
        <v>1252</v>
      </c>
      <c r="G35" s="3" t="s">
        <v>1253</v>
      </c>
      <c r="H35" s="51">
        <v>41681</v>
      </c>
      <c r="J35" s="3">
        <f t="shared" si="7"/>
        <v>65.05</v>
      </c>
      <c r="K35" s="3">
        <f t="shared" si="7"/>
        <v>64.989999999999995</v>
      </c>
      <c r="L35" s="3">
        <f t="shared" si="7"/>
        <v>65.14</v>
      </c>
      <c r="M35" s="3">
        <f t="shared" si="7"/>
        <v>64.5</v>
      </c>
      <c r="P35" s="43" t="s">
        <v>387</v>
      </c>
      <c r="Q35" s="10" t="str">
        <f t="shared" si="1"/>
        <v xml:space="preserve">CIELO       -ON  </v>
      </c>
      <c r="R35" s="51">
        <f t="shared" si="2"/>
        <v>41681</v>
      </c>
      <c r="S35" s="5">
        <f t="shared" si="3"/>
        <v>65.05</v>
      </c>
      <c r="T35" s="5">
        <f t="shared" si="4"/>
        <v>64.989999999999995</v>
      </c>
      <c r="U35" s="5">
        <f t="shared" si="5"/>
        <v>65.14</v>
      </c>
      <c r="V35" s="5">
        <f t="shared" si="6"/>
        <v>64.5</v>
      </c>
    </row>
    <row r="36" spans="1:22" x14ac:dyDescent="0.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663</v>
      </c>
      <c r="D36" s="3" t="s">
        <v>281</v>
      </c>
      <c r="E36" s="3" t="s">
        <v>281</v>
      </c>
      <c r="F36" s="3" t="s">
        <v>281</v>
      </c>
      <c r="G36" s="3" t="s">
        <v>281</v>
      </c>
      <c r="H36" s="51">
        <v>41681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279</v>
      </c>
      <c r="Q36" s="10" t="str">
        <f t="shared" si="1"/>
        <v>CACIQUE     -ON</v>
      </c>
      <c r="R36" s="51">
        <f t="shared" si="2"/>
        <v>41681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 x14ac:dyDescent="0.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664</v>
      </c>
      <c r="D37" s="3" t="s">
        <v>1254</v>
      </c>
      <c r="E37" s="3" t="s">
        <v>1254</v>
      </c>
      <c r="F37" s="3" t="s">
        <v>1254</v>
      </c>
      <c r="G37" s="3" t="s">
        <v>1254</v>
      </c>
      <c r="H37" s="51">
        <v>41681</v>
      </c>
      <c r="J37" s="3">
        <f t="shared" si="7"/>
        <v>12.5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280</v>
      </c>
      <c r="Q37" s="10" t="str">
        <f t="shared" si="1"/>
        <v>CACIQUE     -PN</v>
      </c>
      <c r="R37" s="51">
        <f t="shared" si="2"/>
        <v>41681</v>
      </c>
      <c r="S37" s="5">
        <f t="shared" si="3"/>
        <v>12.5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 x14ac:dyDescent="0.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483</v>
      </c>
      <c r="D38" s="3" t="s">
        <v>801</v>
      </c>
      <c r="E38" s="3" t="s">
        <v>801</v>
      </c>
      <c r="F38" s="3" t="s">
        <v>801</v>
      </c>
      <c r="G38" s="3" t="s">
        <v>801</v>
      </c>
      <c r="H38" s="51">
        <v>41681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482</v>
      </c>
      <c r="Q38" s="10" t="str">
        <f t="shared" si="1"/>
        <v xml:space="preserve">CELESC      -ON  </v>
      </c>
      <c r="R38" s="51">
        <f t="shared" si="2"/>
        <v>41681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 x14ac:dyDescent="0.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376</v>
      </c>
      <c r="D39" s="3" t="s">
        <v>854</v>
      </c>
      <c r="E39" s="3" t="s">
        <v>854</v>
      </c>
      <c r="F39" s="3" t="s">
        <v>854</v>
      </c>
      <c r="G39" s="3" t="s">
        <v>854</v>
      </c>
      <c r="H39" s="51">
        <v>41681</v>
      </c>
      <c r="J39" s="3">
        <f t="shared" si="7"/>
        <v>3.99</v>
      </c>
      <c r="K39" s="3">
        <f t="shared" si="7"/>
        <v>3.99</v>
      </c>
      <c r="L39" s="3">
        <f t="shared" si="7"/>
        <v>3.99</v>
      </c>
      <c r="M39" s="3">
        <f t="shared" si="7"/>
        <v>3.99</v>
      </c>
      <c r="P39" s="10" t="s">
        <v>374</v>
      </c>
      <c r="Q39" s="10" t="str">
        <f t="shared" ref="Q39:Q70" si="8">IF(A39="","",C39)</f>
        <v>ALFA FINANC -ON</v>
      </c>
      <c r="R39" s="51">
        <f t="shared" ref="R39:R70" si="9">IF(A39="","",H39)</f>
        <v>41681</v>
      </c>
      <c r="S39" s="5">
        <f t="shared" ref="S39:S70" si="10">J39</f>
        <v>3.99</v>
      </c>
      <c r="T39" s="5">
        <f t="shared" ref="T39:T70" si="11">K39</f>
        <v>3.99</v>
      </c>
      <c r="U39" s="5">
        <f t="shared" ref="U39:U70" si="12">L39</f>
        <v>3.99</v>
      </c>
      <c r="V39" s="5">
        <f t="shared" ref="V39:V70" si="13">M39</f>
        <v>3.99</v>
      </c>
    </row>
    <row r="40" spans="1:22" x14ac:dyDescent="0.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855</v>
      </c>
      <c r="D40" s="3" t="s">
        <v>856</v>
      </c>
      <c r="E40" s="3" t="s">
        <v>1255</v>
      </c>
      <c r="F40" s="3" t="s">
        <v>856</v>
      </c>
      <c r="G40" s="3" t="s">
        <v>1255</v>
      </c>
      <c r="H40" s="51">
        <v>41681</v>
      </c>
      <c r="J40" s="3">
        <f t="shared" si="7"/>
        <v>3.54</v>
      </c>
      <c r="K40" s="3">
        <f t="shared" si="7"/>
        <v>3.53</v>
      </c>
      <c r="L40" s="3">
        <f t="shared" si="7"/>
        <v>3.54</v>
      </c>
      <c r="M40" s="3">
        <f t="shared" si="7"/>
        <v>3.53</v>
      </c>
      <c r="P40" s="14" t="s">
        <v>375</v>
      </c>
      <c r="Q40" s="10" t="str">
        <f t="shared" si="8"/>
        <v>ALFA FINANC -PN</v>
      </c>
      <c r="R40" s="51">
        <f t="shared" si="9"/>
        <v>41681</v>
      </c>
      <c r="S40" s="5">
        <f t="shared" si="10"/>
        <v>3.54</v>
      </c>
      <c r="T40" s="5">
        <f t="shared" si="11"/>
        <v>3.53</v>
      </c>
      <c r="U40" s="5">
        <f t="shared" si="12"/>
        <v>3.54</v>
      </c>
      <c r="V40" s="5">
        <f t="shared" si="13"/>
        <v>3.53</v>
      </c>
    </row>
    <row r="41" spans="1:22" x14ac:dyDescent="0.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255</v>
      </c>
      <c r="D41" s="3" t="s">
        <v>256</v>
      </c>
      <c r="E41" s="3" t="s">
        <v>256</v>
      </c>
      <c r="F41" s="3" t="s">
        <v>256</v>
      </c>
      <c r="G41" s="3" t="s">
        <v>256</v>
      </c>
      <c r="H41" s="51">
        <v>41681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253</v>
      </c>
      <c r="Q41" s="10" t="str">
        <f t="shared" si="8"/>
        <v>SEG AL BAHIA-ON</v>
      </c>
      <c r="R41" s="51">
        <f t="shared" si="9"/>
        <v>41681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 x14ac:dyDescent="0.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257</v>
      </c>
      <c r="D42" s="3" t="s">
        <v>128</v>
      </c>
      <c r="E42" s="3" t="s">
        <v>128</v>
      </c>
      <c r="F42" s="3" t="s">
        <v>128</v>
      </c>
      <c r="G42" s="3" t="s">
        <v>128</v>
      </c>
      <c r="H42" s="51">
        <v>41681</v>
      </c>
      <c r="J42" s="3">
        <f t="shared" si="7"/>
        <v>30</v>
      </c>
      <c r="K42" s="3">
        <f t="shared" si="7"/>
        <v>30</v>
      </c>
      <c r="L42" s="3">
        <f t="shared" si="7"/>
        <v>30</v>
      </c>
      <c r="M42" s="3">
        <f t="shared" si="7"/>
        <v>30</v>
      </c>
      <c r="P42" s="14" t="s">
        <v>254</v>
      </c>
      <c r="Q42" s="10" t="str">
        <f t="shared" si="8"/>
        <v>SEG AL BAHIA-PN</v>
      </c>
      <c r="R42" s="51">
        <f t="shared" si="9"/>
        <v>41681</v>
      </c>
      <c r="S42" s="5">
        <f t="shared" si="10"/>
        <v>30</v>
      </c>
      <c r="T42" s="5">
        <f t="shared" si="11"/>
        <v>30</v>
      </c>
      <c r="U42" s="5">
        <f t="shared" si="12"/>
        <v>30</v>
      </c>
      <c r="V42" s="5">
        <f t="shared" si="13"/>
        <v>30</v>
      </c>
    </row>
    <row r="43" spans="1:22" x14ac:dyDescent="0.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276</v>
      </c>
      <c r="D43" s="3" t="s">
        <v>1256</v>
      </c>
      <c r="E43" s="3" t="s">
        <v>1257</v>
      </c>
      <c r="F43" s="3" t="s">
        <v>894</v>
      </c>
      <c r="G43" s="3" t="s">
        <v>1258</v>
      </c>
      <c r="H43" s="51">
        <v>41681</v>
      </c>
      <c r="J43" s="3">
        <f t="shared" si="7"/>
        <v>35.11</v>
      </c>
      <c r="K43" s="3">
        <f t="shared" si="7"/>
        <v>34.630000000000003</v>
      </c>
      <c r="L43" s="3">
        <f t="shared" si="7"/>
        <v>35.299999999999997</v>
      </c>
      <c r="M43" s="3">
        <f t="shared" si="7"/>
        <v>34.380000000000003</v>
      </c>
      <c r="P43" s="14" t="s">
        <v>275</v>
      </c>
      <c r="Q43" s="10" t="str">
        <f t="shared" si="8"/>
        <v xml:space="preserve">COSAN       -ON  </v>
      </c>
      <c r="R43" s="51">
        <f t="shared" si="9"/>
        <v>41681</v>
      </c>
      <c r="S43" s="5">
        <f t="shared" si="10"/>
        <v>35.11</v>
      </c>
      <c r="T43" s="5">
        <f t="shared" si="11"/>
        <v>34.630000000000003</v>
      </c>
      <c r="U43" s="5">
        <f t="shared" si="12"/>
        <v>35.299999999999997</v>
      </c>
      <c r="V43" s="5">
        <f t="shared" si="13"/>
        <v>34.380000000000003</v>
      </c>
    </row>
    <row r="44" spans="1:22" x14ac:dyDescent="0.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388</v>
      </c>
      <c r="D44" s="3" t="s">
        <v>1259</v>
      </c>
      <c r="E44" s="3" t="s">
        <v>1260</v>
      </c>
      <c r="F44" s="3" t="s">
        <v>1261</v>
      </c>
      <c r="G44" s="3" t="s">
        <v>1262</v>
      </c>
      <c r="H44" s="51">
        <v>41681</v>
      </c>
      <c r="J44" s="3">
        <f t="shared" si="7"/>
        <v>24.57</v>
      </c>
      <c r="K44" s="3">
        <f t="shared" si="7"/>
        <v>24.77</v>
      </c>
      <c r="L44" s="3">
        <f t="shared" si="7"/>
        <v>24.82</v>
      </c>
      <c r="M44" s="3">
        <f t="shared" si="7"/>
        <v>24.54</v>
      </c>
      <c r="P44" s="14" t="s">
        <v>386</v>
      </c>
      <c r="Q44" s="10" t="str">
        <f t="shared" si="8"/>
        <v xml:space="preserve">CETIP       -ON  </v>
      </c>
      <c r="R44" s="51">
        <f t="shared" si="9"/>
        <v>41681</v>
      </c>
      <c r="S44" s="5">
        <f t="shared" si="10"/>
        <v>24.57</v>
      </c>
      <c r="T44" s="5">
        <f t="shared" si="11"/>
        <v>24.77</v>
      </c>
      <c r="U44" s="5">
        <f t="shared" si="12"/>
        <v>24.82</v>
      </c>
      <c r="V44" s="5">
        <f t="shared" si="13"/>
        <v>24.54</v>
      </c>
    </row>
    <row r="45" spans="1:22" x14ac:dyDescent="0.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326</v>
      </c>
      <c r="D45" s="3" t="s">
        <v>1263</v>
      </c>
      <c r="E45" s="3" t="s">
        <v>1264</v>
      </c>
      <c r="F45" s="3" t="s">
        <v>800</v>
      </c>
      <c r="G45" s="3" t="s">
        <v>1265</v>
      </c>
      <c r="H45" s="51">
        <v>41681</v>
      </c>
      <c r="J45" s="3">
        <f t="shared" si="7"/>
        <v>11.72</v>
      </c>
      <c r="K45" s="3">
        <f t="shared" si="7"/>
        <v>11.69</v>
      </c>
      <c r="L45" s="3">
        <f t="shared" si="7"/>
        <v>11.84</v>
      </c>
      <c r="M45" s="3">
        <f t="shared" si="7"/>
        <v>11.52</v>
      </c>
      <c r="P45" s="14" t="s">
        <v>324</v>
      </c>
      <c r="Q45" s="10" t="str">
        <f t="shared" si="8"/>
        <v xml:space="preserve">DURATEX     -ON  </v>
      </c>
      <c r="R45" s="51">
        <f t="shared" si="9"/>
        <v>41681</v>
      </c>
      <c r="S45" s="5">
        <f t="shared" si="10"/>
        <v>11.72</v>
      </c>
      <c r="T45" s="5">
        <f t="shared" si="11"/>
        <v>11.69</v>
      </c>
      <c r="U45" s="5">
        <f t="shared" si="12"/>
        <v>11.84</v>
      </c>
      <c r="V45" s="5">
        <f t="shared" si="13"/>
        <v>11.52</v>
      </c>
    </row>
    <row r="46" spans="1:22" x14ac:dyDescent="0.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392</v>
      </c>
      <c r="D46" s="3" t="s">
        <v>857</v>
      </c>
      <c r="E46" s="3" t="s">
        <v>857</v>
      </c>
      <c r="F46" s="3" t="s">
        <v>857</v>
      </c>
      <c r="G46" s="3" t="s">
        <v>857</v>
      </c>
      <c r="H46" s="51">
        <v>41681</v>
      </c>
      <c r="J46" s="3">
        <f t="shared" si="7"/>
        <v>7.02</v>
      </c>
      <c r="K46" s="3">
        <f t="shared" si="7"/>
        <v>7.02</v>
      </c>
      <c r="L46" s="3">
        <f t="shared" si="7"/>
        <v>7.02</v>
      </c>
      <c r="M46" s="3">
        <f t="shared" si="7"/>
        <v>7.02</v>
      </c>
      <c r="P46" s="14" t="s">
        <v>391</v>
      </c>
      <c r="Q46" s="10" t="str">
        <f t="shared" si="8"/>
        <v>EMBRATEL PAR-PN *</v>
      </c>
      <c r="R46" s="46">
        <f t="shared" si="9"/>
        <v>41681</v>
      </c>
      <c r="S46" s="6">
        <f t="shared" si="10"/>
        <v>7.02</v>
      </c>
      <c r="T46" s="6">
        <f t="shared" si="11"/>
        <v>7.02</v>
      </c>
      <c r="U46" s="6">
        <f t="shared" si="12"/>
        <v>7.02</v>
      </c>
      <c r="V46" s="6">
        <f t="shared" si="13"/>
        <v>7.02</v>
      </c>
    </row>
    <row r="47" spans="1:22" x14ac:dyDescent="0.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415</v>
      </c>
      <c r="D47" s="3" t="s">
        <v>267</v>
      </c>
      <c r="E47" s="3" t="s">
        <v>267</v>
      </c>
      <c r="F47" s="3" t="s">
        <v>267</v>
      </c>
      <c r="G47" s="3" t="s">
        <v>267</v>
      </c>
      <c r="H47" s="51">
        <v>41681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265</v>
      </c>
      <c r="Q47" s="10" t="str">
        <f t="shared" si="8"/>
        <v>ELEKEIROZ   -ON</v>
      </c>
      <c r="R47" s="51">
        <f t="shared" si="9"/>
        <v>41681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 x14ac:dyDescent="0.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416</v>
      </c>
      <c r="D48" s="3" t="s">
        <v>1266</v>
      </c>
      <c r="E48" s="3" t="s">
        <v>1266</v>
      </c>
      <c r="F48" s="3" t="s">
        <v>1266</v>
      </c>
      <c r="G48" s="3" t="s">
        <v>1266</v>
      </c>
      <c r="H48" s="51">
        <v>41681</v>
      </c>
      <c r="J48" s="3">
        <f t="shared" si="7"/>
        <v>9.8000000000000007</v>
      </c>
      <c r="K48" s="3">
        <f t="shared" si="7"/>
        <v>9.8000000000000007</v>
      </c>
      <c r="L48" s="3">
        <f t="shared" si="7"/>
        <v>9.8000000000000007</v>
      </c>
      <c r="M48" s="3">
        <f t="shared" si="7"/>
        <v>9.8000000000000007</v>
      </c>
      <c r="P48" s="14" t="s">
        <v>266</v>
      </c>
      <c r="Q48" s="10" t="str">
        <f t="shared" si="8"/>
        <v>ELEKEIROZ   -PN</v>
      </c>
      <c r="R48" s="51">
        <f t="shared" si="9"/>
        <v>41681</v>
      </c>
      <c r="S48" s="5">
        <f t="shared" si="10"/>
        <v>9.8000000000000007</v>
      </c>
      <c r="T48" s="5">
        <f t="shared" si="11"/>
        <v>9.8000000000000007</v>
      </c>
      <c r="U48" s="5">
        <f t="shared" si="12"/>
        <v>9.8000000000000007</v>
      </c>
      <c r="V48" s="5">
        <f t="shared" si="13"/>
        <v>9.8000000000000007</v>
      </c>
    </row>
    <row r="49" spans="1:22" x14ac:dyDescent="0.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478</v>
      </c>
      <c r="D49" s="3" t="s">
        <v>479</v>
      </c>
      <c r="E49" s="3" t="s">
        <v>479</v>
      </c>
      <c r="F49" s="3" t="s">
        <v>479</v>
      </c>
      <c r="G49" s="3" t="s">
        <v>479</v>
      </c>
      <c r="H49" s="51">
        <v>41681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477</v>
      </c>
      <c r="Q49" s="10" t="str">
        <f t="shared" si="8"/>
        <v xml:space="preserve">ELETROBRAS  -PNA </v>
      </c>
      <c r="R49" s="51">
        <f t="shared" si="9"/>
        <v>41681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 x14ac:dyDescent="0.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346</v>
      </c>
      <c r="D50" s="3" t="s">
        <v>1267</v>
      </c>
      <c r="E50" s="3" t="s">
        <v>1268</v>
      </c>
      <c r="F50" s="3" t="s">
        <v>916</v>
      </c>
      <c r="G50" s="3" t="s">
        <v>1269</v>
      </c>
      <c r="H50" s="51">
        <v>41681</v>
      </c>
      <c r="J50" s="3">
        <f t="shared" si="7"/>
        <v>7.91</v>
      </c>
      <c r="K50" s="3">
        <f t="shared" si="7"/>
        <v>7.83</v>
      </c>
      <c r="L50" s="3">
        <f t="shared" si="7"/>
        <v>7.97</v>
      </c>
      <c r="M50" s="3">
        <f t="shared" si="7"/>
        <v>7.82</v>
      </c>
      <c r="P50" s="15" t="s">
        <v>344</v>
      </c>
      <c r="Q50" s="10" t="str">
        <f t="shared" si="8"/>
        <v xml:space="preserve">ETERNIT     -ON  </v>
      </c>
      <c r="R50" s="46">
        <f t="shared" si="9"/>
        <v>41681</v>
      </c>
      <c r="S50" s="6">
        <f t="shared" si="10"/>
        <v>7.91</v>
      </c>
      <c r="T50" s="6">
        <f t="shared" si="11"/>
        <v>7.83</v>
      </c>
      <c r="U50" s="6">
        <f t="shared" si="12"/>
        <v>7.97</v>
      </c>
      <c r="V50" s="6">
        <f t="shared" si="13"/>
        <v>7.82</v>
      </c>
    </row>
    <row r="51" spans="1:22" x14ac:dyDescent="0.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328</v>
      </c>
      <c r="D51" s="3" t="s">
        <v>1270</v>
      </c>
      <c r="E51" s="3" t="s">
        <v>1271</v>
      </c>
      <c r="F51" s="3" t="s">
        <v>1272</v>
      </c>
      <c r="G51" s="3" t="s">
        <v>1271</v>
      </c>
      <c r="H51" s="51">
        <v>41681</v>
      </c>
      <c r="J51" s="3">
        <f t="shared" si="7"/>
        <v>5.91</v>
      </c>
      <c r="K51" s="3">
        <f t="shared" si="7"/>
        <v>5.89</v>
      </c>
      <c r="L51" s="3">
        <f t="shared" si="7"/>
        <v>5.98</v>
      </c>
      <c r="M51" s="3">
        <f t="shared" si="7"/>
        <v>5.89</v>
      </c>
      <c r="P51" s="14" t="s">
        <v>327</v>
      </c>
      <c r="Q51" s="10" t="str">
        <f t="shared" si="8"/>
        <v xml:space="preserve">EUCATEX     -PN  </v>
      </c>
      <c r="R51" s="51">
        <f t="shared" si="9"/>
        <v>41681</v>
      </c>
      <c r="S51" s="5">
        <f t="shared" si="10"/>
        <v>5.91</v>
      </c>
      <c r="T51" s="5">
        <f t="shared" si="11"/>
        <v>5.89</v>
      </c>
      <c r="U51" s="5">
        <f t="shared" si="12"/>
        <v>5.98</v>
      </c>
      <c r="V51" s="5">
        <f t="shared" si="13"/>
        <v>5.89</v>
      </c>
    </row>
    <row r="52" spans="1:22" x14ac:dyDescent="0.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495</v>
      </c>
      <c r="D52" s="3" t="s">
        <v>419</v>
      </c>
      <c r="E52" s="3" t="s">
        <v>419</v>
      </c>
      <c r="F52" s="3" t="s">
        <v>419</v>
      </c>
      <c r="G52" s="3" t="s">
        <v>419</v>
      </c>
      <c r="H52" s="51">
        <v>41681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494</v>
      </c>
      <c r="Q52" s="10" t="str">
        <f t="shared" si="8"/>
        <v>CELGPAR     -ON</v>
      </c>
      <c r="R52" s="51">
        <f t="shared" si="9"/>
        <v>41681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 x14ac:dyDescent="0.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308</v>
      </c>
      <c r="D53" s="3" t="s">
        <v>796</v>
      </c>
      <c r="E53" s="3" t="s">
        <v>796</v>
      </c>
      <c r="F53" s="3" t="s">
        <v>796</v>
      </c>
      <c r="G53" s="3" t="s">
        <v>796</v>
      </c>
      <c r="H53" s="51">
        <v>41681</v>
      </c>
      <c r="J53" s="3">
        <f t="shared" si="7"/>
        <v>16</v>
      </c>
      <c r="K53" s="3">
        <f t="shared" si="7"/>
        <v>16</v>
      </c>
      <c r="L53" s="3">
        <f t="shared" si="7"/>
        <v>16</v>
      </c>
      <c r="M53" s="3">
        <f t="shared" si="7"/>
        <v>16</v>
      </c>
      <c r="P53" s="14" t="s">
        <v>307</v>
      </c>
      <c r="Q53" s="10" t="str">
        <f t="shared" si="8"/>
        <v>HABITASUL   -PNA</v>
      </c>
      <c r="R53" s="51">
        <f t="shared" si="9"/>
        <v>41681</v>
      </c>
      <c r="S53" s="5">
        <f t="shared" si="10"/>
        <v>16</v>
      </c>
      <c r="T53" s="5">
        <f t="shared" si="11"/>
        <v>16</v>
      </c>
      <c r="U53" s="5">
        <f t="shared" si="12"/>
        <v>16</v>
      </c>
      <c r="V53" s="5">
        <f t="shared" si="13"/>
        <v>16</v>
      </c>
    </row>
    <row r="54" spans="1:22" x14ac:dyDescent="0.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361</v>
      </c>
      <c r="D54" s="3" t="s">
        <v>1273</v>
      </c>
      <c r="E54" s="61" t="s">
        <v>1274</v>
      </c>
      <c r="F54" s="61" t="s">
        <v>1275</v>
      </c>
      <c r="G54" s="61" t="s">
        <v>1276</v>
      </c>
      <c r="H54" s="51">
        <v>41681</v>
      </c>
      <c r="J54" s="3">
        <f t="shared" si="7"/>
        <v>20.46</v>
      </c>
      <c r="K54" s="3">
        <f t="shared" si="7"/>
        <v>20.41</v>
      </c>
      <c r="L54" s="3">
        <f t="shared" si="7"/>
        <v>20.68</v>
      </c>
      <c r="M54" s="3">
        <f t="shared" si="7"/>
        <v>20.309999999999999</v>
      </c>
      <c r="P54" s="14" t="s">
        <v>360</v>
      </c>
      <c r="Q54" s="10" t="str">
        <f t="shared" si="8"/>
        <v xml:space="preserve">IGUATEMI    -ON  </v>
      </c>
      <c r="R54" s="51">
        <f t="shared" si="9"/>
        <v>41681</v>
      </c>
      <c r="S54" s="5">
        <f t="shared" si="10"/>
        <v>20.46</v>
      </c>
      <c r="T54" s="5">
        <f t="shared" si="11"/>
        <v>20.41</v>
      </c>
      <c r="U54" s="5">
        <f t="shared" si="12"/>
        <v>20.68</v>
      </c>
      <c r="V54" s="5">
        <f t="shared" si="13"/>
        <v>20.309999999999999</v>
      </c>
    </row>
    <row r="55" spans="1:22" x14ac:dyDescent="0.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287</v>
      </c>
      <c r="D55" s="3" t="s">
        <v>836</v>
      </c>
      <c r="E55" s="3" t="s">
        <v>1277</v>
      </c>
      <c r="F55" s="3" t="s">
        <v>1066</v>
      </c>
      <c r="G55" s="3" t="s">
        <v>1278</v>
      </c>
      <c r="H55" s="51">
        <v>41681</v>
      </c>
      <c r="J55" s="3">
        <f t="shared" si="7"/>
        <v>7.92</v>
      </c>
      <c r="K55" s="3">
        <f t="shared" si="7"/>
        <v>7.88</v>
      </c>
      <c r="L55" s="3">
        <f t="shared" si="7"/>
        <v>7.98</v>
      </c>
      <c r="M55" s="3">
        <f t="shared" si="7"/>
        <v>7.86</v>
      </c>
      <c r="P55" s="43" t="s">
        <v>286</v>
      </c>
      <c r="Q55" s="10" t="str">
        <f t="shared" si="8"/>
        <v xml:space="preserve">JBS         -ON  </v>
      </c>
      <c r="R55" s="51">
        <f t="shared" si="9"/>
        <v>41681</v>
      </c>
      <c r="S55" s="5">
        <f t="shared" si="10"/>
        <v>7.92</v>
      </c>
      <c r="T55" s="5">
        <f t="shared" si="11"/>
        <v>7.88</v>
      </c>
      <c r="U55" s="5">
        <f t="shared" si="12"/>
        <v>7.98</v>
      </c>
      <c r="V55" s="5">
        <f t="shared" si="13"/>
        <v>7.86</v>
      </c>
    </row>
    <row r="56" spans="1:22" x14ac:dyDescent="0.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261</v>
      </c>
      <c r="D56" s="3" t="s">
        <v>859</v>
      </c>
      <c r="E56" s="3" t="s">
        <v>859</v>
      </c>
      <c r="F56" s="3" t="s">
        <v>859</v>
      </c>
      <c r="G56" s="3" t="s">
        <v>859</v>
      </c>
      <c r="H56" s="51">
        <v>41681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259</v>
      </c>
      <c r="Q56" s="10" t="str">
        <f t="shared" si="8"/>
        <v>JOSAPAR     -ON</v>
      </c>
      <c r="R56" s="51">
        <f t="shared" si="9"/>
        <v>41681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 x14ac:dyDescent="0.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262</v>
      </c>
      <c r="D57" s="3" t="s">
        <v>411</v>
      </c>
      <c r="E57" s="3" t="s">
        <v>411</v>
      </c>
      <c r="F57" s="3" t="s">
        <v>411</v>
      </c>
      <c r="G57" s="3" t="s">
        <v>411</v>
      </c>
      <c r="H57" s="51">
        <v>41681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260</v>
      </c>
      <c r="Q57" s="10" t="str">
        <f t="shared" si="8"/>
        <v>JOSAPAR     -PN</v>
      </c>
      <c r="R57" s="51">
        <f t="shared" si="9"/>
        <v>41681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 x14ac:dyDescent="0.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321</v>
      </c>
      <c r="D58" s="3" t="s">
        <v>1279</v>
      </c>
      <c r="E58" s="3" t="s">
        <v>1280</v>
      </c>
      <c r="F58" s="3" t="s">
        <v>1281</v>
      </c>
      <c r="G58" s="3" t="s">
        <v>899</v>
      </c>
      <c r="H58" s="51">
        <v>41681</v>
      </c>
      <c r="J58" s="3">
        <f t="shared" si="7"/>
        <v>4.5599999999999996</v>
      </c>
      <c r="K58" s="3">
        <f t="shared" si="7"/>
        <v>4.4800000000000004</v>
      </c>
      <c r="L58" s="3">
        <f t="shared" si="7"/>
        <v>4.6399999999999997</v>
      </c>
      <c r="M58" s="3">
        <f t="shared" si="7"/>
        <v>4.47</v>
      </c>
      <c r="P58" s="14" t="s">
        <v>320</v>
      </c>
      <c r="Q58" s="10" t="str">
        <f t="shared" si="8"/>
        <v xml:space="preserve">LOCAMERICA  -ON  </v>
      </c>
      <c r="R58" s="51">
        <f t="shared" si="9"/>
        <v>41681</v>
      </c>
      <c r="S58" s="5">
        <f t="shared" si="10"/>
        <v>4.5599999999999996</v>
      </c>
      <c r="T58" s="5">
        <f t="shared" si="11"/>
        <v>4.4800000000000004</v>
      </c>
      <c r="U58" s="5">
        <f t="shared" si="12"/>
        <v>4.6399999999999997</v>
      </c>
      <c r="V58" s="5">
        <f t="shared" si="13"/>
        <v>4.47</v>
      </c>
    </row>
    <row r="59" spans="1:22" x14ac:dyDescent="0.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333</v>
      </c>
      <c r="D59" s="3" t="s">
        <v>1282</v>
      </c>
      <c r="E59" s="61" t="s">
        <v>1282</v>
      </c>
      <c r="F59" s="61" t="s">
        <v>1282</v>
      </c>
      <c r="G59" s="61" t="s">
        <v>1283</v>
      </c>
      <c r="H59" s="51">
        <v>41681</v>
      </c>
      <c r="J59" s="3">
        <f t="shared" si="7"/>
        <v>5.27</v>
      </c>
      <c r="K59" s="3">
        <f t="shared" si="7"/>
        <v>5.27</v>
      </c>
      <c r="L59" s="3">
        <f t="shared" si="7"/>
        <v>5.27</v>
      </c>
      <c r="M59" s="3">
        <f t="shared" si="7"/>
        <v>5.18</v>
      </c>
      <c r="P59" s="14" t="s">
        <v>332</v>
      </c>
      <c r="Q59" s="10" t="str">
        <f t="shared" si="8"/>
        <v xml:space="preserve">MAGNESITA SA-ON  </v>
      </c>
      <c r="R59" s="46">
        <f t="shared" si="9"/>
        <v>41681</v>
      </c>
      <c r="S59" s="6">
        <f t="shared" si="10"/>
        <v>5.27</v>
      </c>
      <c r="T59" s="6">
        <f t="shared" si="11"/>
        <v>5.27</v>
      </c>
      <c r="U59" s="6">
        <f t="shared" si="12"/>
        <v>5.27</v>
      </c>
      <c r="V59" s="6">
        <f t="shared" si="13"/>
        <v>5.18</v>
      </c>
    </row>
    <row r="60" spans="1:22" x14ac:dyDescent="0.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371</v>
      </c>
      <c r="D60" s="3" t="s">
        <v>372</v>
      </c>
      <c r="E60" s="61">
        <v>83591</v>
      </c>
      <c r="F60" s="61">
        <v>83591</v>
      </c>
      <c r="G60" s="61">
        <v>83591</v>
      </c>
      <c r="H60" s="51">
        <v>41681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368</v>
      </c>
      <c r="Q60" s="10" t="str">
        <f t="shared" si="8"/>
        <v>MERC FINANC -ON</v>
      </c>
      <c r="R60" s="51">
        <f t="shared" si="9"/>
        <v>41681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 x14ac:dyDescent="0.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373</v>
      </c>
      <c r="D61" s="3" t="s">
        <v>409</v>
      </c>
      <c r="E61" s="3" t="s">
        <v>409</v>
      </c>
      <c r="F61" s="3" t="s">
        <v>409</v>
      </c>
      <c r="G61" s="3" t="s">
        <v>409</v>
      </c>
      <c r="H61" s="51">
        <v>41681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369</v>
      </c>
      <c r="Q61" s="10" t="str">
        <f t="shared" si="8"/>
        <v>MERC FINANC -PN</v>
      </c>
      <c r="R61" s="51">
        <f t="shared" si="9"/>
        <v>41681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 x14ac:dyDescent="0.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861</v>
      </c>
      <c r="D62" s="3" t="s">
        <v>862</v>
      </c>
      <c r="E62" s="3" t="s">
        <v>862</v>
      </c>
      <c r="F62" s="3" t="s">
        <v>862</v>
      </c>
      <c r="G62" s="3" t="s">
        <v>862</v>
      </c>
      <c r="H62" s="51">
        <v>41681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309</v>
      </c>
      <c r="Q62" s="10" t="str">
        <f t="shared" si="8"/>
        <v xml:space="preserve">MONT ARANHA -ON  </v>
      </c>
      <c r="R62" s="51">
        <f t="shared" si="9"/>
        <v>41681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 x14ac:dyDescent="0.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363</v>
      </c>
      <c r="D63" s="3" t="s">
        <v>1284</v>
      </c>
      <c r="E63" s="3" t="s">
        <v>1285</v>
      </c>
      <c r="F63" s="3" t="s">
        <v>1286</v>
      </c>
      <c r="G63" s="3" t="s">
        <v>1287</v>
      </c>
      <c r="H63" s="51">
        <v>41681</v>
      </c>
      <c r="J63" s="3">
        <f t="shared" si="7"/>
        <v>44.26</v>
      </c>
      <c r="K63" s="3">
        <f t="shared" si="7"/>
        <v>43.81</v>
      </c>
      <c r="L63" s="3">
        <f t="shared" si="7"/>
        <v>44.79</v>
      </c>
      <c r="M63" s="3">
        <f t="shared" si="7"/>
        <v>43.54</v>
      </c>
      <c r="P63" s="14" t="s">
        <v>362</v>
      </c>
      <c r="Q63" s="10" t="str">
        <f t="shared" si="8"/>
        <v xml:space="preserve">MULTIPLAN   -ON  </v>
      </c>
      <c r="R63" s="51">
        <f t="shared" si="9"/>
        <v>41681</v>
      </c>
      <c r="S63" s="5">
        <f t="shared" si="10"/>
        <v>44.26</v>
      </c>
      <c r="T63" s="5">
        <f t="shared" si="11"/>
        <v>43.81</v>
      </c>
      <c r="U63" s="5">
        <f t="shared" si="12"/>
        <v>44.79</v>
      </c>
      <c r="V63" s="5">
        <f t="shared" si="13"/>
        <v>43.54</v>
      </c>
    </row>
    <row r="64" spans="1:22" x14ac:dyDescent="0.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338</v>
      </c>
      <c r="D64" s="3" t="s">
        <v>722</v>
      </c>
      <c r="E64" s="3" t="s">
        <v>722</v>
      </c>
      <c r="F64" s="3" t="s">
        <v>722</v>
      </c>
      <c r="G64" s="3" t="s">
        <v>722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337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 x14ac:dyDescent="0.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296</v>
      </c>
      <c r="D65" s="3" t="s">
        <v>1288</v>
      </c>
      <c r="E65" s="3" t="s">
        <v>1289</v>
      </c>
      <c r="F65" s="3" t="s">
        <v>1290</v>
      </c>
      <c r="G65" s="3" t="s">
        <v>1279</v>
      </c>
      <c r="H65" s="51">
        <v>41681</v>
      </c>
      <c r="J65" s="3">
        <f t="shared" si="7"/>
        <v>4.63</v>
      </c>
      <c r="K65" s="3">
        <f t="shared" si="7"/>
        <v>4.5999999999999996</v>
      </c>
      <c r="L65" s="3">
        <f t="shared" si="7"/>
        <v>4.67</v>
      </c>
      <c r="M65" s="3">
        <f t="shared" si="7"/>
        <v>4.5599999999999996</v>
      </c>
      <c r="P65" s="14" t="s">
        <v>294</v>
      </c>
      <c r="Q65" s="10" t="str">
        <f t="shared" si="8"/>
        <v xml:space="preserve">OI          -ON  </v>
      </c>
      <c r="R65" s="51">
        <f t="shared" si="9"/>
        <v>41681</v>
      </c>
      <c r="S65" s="5">
        <f t="shared" si="10"/>
        <v>4.63</v>
      </c>
      <c r="T65" s="5">
        <f t="shared" si="11"/>
        <v>4.5999999999999996</v>
      </c>
      <c r="U65" s="5">
        <f t="shared" si="12"/>
        <v>4.67</v>
      </c>
      <c r="V65" s="5">
        <f t="shared" si="13"/>
        <v>4.5599999999999996</v>
      </c>
    </row>
    <row r="66" spans="1:22" x14ac:dyDescent="0.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297</v>
      </c>
      <c r="D66" s="3" t="s">
        <v>1291</v>
      </c>
      <c r="E66" s="3" t="s">
        <v>1291</v>
      </c>
      <c r="F66" s="3" t="s">
        <v>1292</v>
      </c>
      <c r="G66" s="3" t="s">
        <v>1293</v>
      </c>
      <c r="H66" s="51">
        <v>41681</v>
      </c>
      <c r="J66" s="3">
        <f t="shared" si="7"/>
        <v>4.25</v>
      </c>
      <c r="K66" s="3">
        <f t="shared" si="7"/>
        <v>4.25</v>
      </c>
      <c r="L66" s="3">
        <f t="shared" si="7"/>
        <v>4.3099999999999996</v>
      </c>
      <c r="M66" s="3">
        <f t="shared" si="7"/>
        <v>4.2</v>
      </c>
      <c r="P66" s="10" t="s">
        <v>295</v>
      </c>
      <c r="Q66" s="10" t="str">
        <f t="shared" si="8"/>
        <v xml:space="preserve">OI          -PN  </v>
      </c>
      <c r="R66" s="51">
        <f t="shared" si="9"/>
        <v>41681</v>
      </c>
      <c r="S66" s="5">
        <f t="shared" si="10"/>
        <v>4.25</v>
      </c>
      <c r="T66" s="5">
        <f t="shared" si="11"/>
        <v>4.25</v>
      </c>
      <c r="U66" s="5">
        <f t="shared" si="12"/>
        <v>4.3099999999999996</v>
      </c>
      <c r="V66" s="5">
        <f t="shared" si="13"/>
        <v>4.2</v>
      </c>
    </row>
    <row r="67" spans="1:22" x14ac:dyDescent="0.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341</v>
      </c>
      <c r="D67" s="3" t="s">
        <v>1294</v>
      </c>
      <c r="E67" s="3" t="s">
        <v>1294</v>
      </c>
      <c r="F67" s="3" t="s">
        <v>1294</v>
      </c>
      <c r="G67" s="3" t="s">
        <v>1294</v>
      </c>
      <c r="H67" s="51">
        <v>41681</v>
      </c>
      <c r="J67" s="3">
        <f t="shared" si="7"/>
        <v>20.5</v>
      </c>
      <c r="K67" s="3">
        <f t="shared" si="7"/>
        <v>20.5</v>
      </c>
      <c r="L67" s="3">
        <f t="shared" si="7"/>
        <v>20.5</v>
      </c>
      <c r="M67" s="3">
        <f t="shared" si="7"/>
        <v>20.5</v>
      </c>
      <c r="P67" s="14" t="s">
        <v>339</v>
      </c>
      <c r="Q67" s="10" t="str">
        <f t="shared" si="8"/>
        <v>PANATLANTICA-PN</v>
      </c>
      <c r="R67" s="51">
        <f t="shared" si="9"/>
        <v>41681</v>
      </c>
      <c r="S67" s="5">
        <f t="shared" si="10"/>
        <v>20.5</v>
      </c>
      <c r="T67" s="5">
        <f t="shared" si="11"/>
        <v>20.5</v>
      </c>
      <c r="U67" s="5">
        <f t="shared" si="12"/>
        <v>20.5</v>
      </c>
      <c r="V67" s="5">
        <f t="shared" si="13"/>
        <v>20.5</v>
      </c>
    </row>
    <row r="68" spans="1:22" x14ac:dyDescent="0.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248</v>
      </c>
      <c r="D68" s="3" t="s">
        <v>821</v>
      </c>
      <c r="E68" s="3" t="s">
        <v>1295</v>
      </c>
      <c r="F68" s="3" t="s">
        <v>1296</v>
      </c>
      <c r="G68" s="3" t="s">
        <v>912</v>
      </c>
      <c r="H68" s="51">
        <v>41681</v>
      </c>
      <c r="J68" s="3">
        <f t="shared" si="7"/>
        <v>13.74</v>
      </c>
      <c r="K68" s="3">
        <f t="shared" si="7"/>
        <v>13.75</v>
      </c>
      <c r="L68" s="3">
        <f t="shared" si="7"/>
        <v>13.83</v>
      </c>
      <c r="M68" s="3">
        <f t="shared" si="7"/>
        <v>13.64</v>
      </c>
      <c r="P68" s="14" t="s">
        <v>20</v>
      </c>
      <c r="Q68" s="10" t="str">
        <f t="shared" si="8"/>
        <v>PETROBRAS   -ON</v>
      </c>
      <c r="R68" s="51">
        <f t="shared" si="9"/>
        <v>41681</v>
      </c>
      <c r="S68" s="5">
        <f t="shared" si="10"/>
        <v>13.74</v>
      </c>
      <c r="T68" s="5">
        <f t="shared" si="11"/>
        <v>13.75</v>
      </c>
      <c r="U68" s="5">
        <f t="shared" si="12"/>
        <v>13.83</v>
      </c>
      <c r="V68" s="5">
        <f t="shared" si="13"/>
        <v>13.64</v>
      </c>
    </row>
    <row r="69" spans="1:22" x14ac:dyDescent="0.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245</v>
      </c>
      <c r="D69" s="3" t="s">
        <v>1297</v>
      </c>
      <c r="E69" s="3" t="s">
        <v>1298</v>
      </c>
      <c r="F69" s="3" t="s">
        <v>1299</v>
      </c>
      <c r="G69" s="3" t="s">
        <v>1300</v>
      </c>
      <c r="H69" s="51">
        <v>41681</v>
      </c>
      <c r="J69" s="3">
        <f t="shared" si="7"/>
        <v>14.71</v>
      </c>
      <c r="K69" s="3">
        <f t="shared" si="7"/>
        <v>14.79</v>
      </c>
      <c r="L69" s="3">
        <f t="shared" si="7"/>
        <v>14.82</v>
      </c>
      <c r="M69" s="3">
        <f t="shared" si="7"/>
        <v>14.64</v>
      </c>
      <c r="P69" s="14" t="s">
        <v>21</v>
      </c>
      <c r="Q69" s="10" t="str">
        <f t="shared" si="8"/>
        <v>PETROBRAS   -PN</v>
      </c>
      <c r="R69" s="51">
        <f t="shared" si="9"/>
        <v>41681</v>
      </c>
      <c r="S69" s="5">
        <f t="shared" si="10"/>
        <v>14.71</v>
      </c>
      <c r="T69" s="5">
        <f t="shared" si="11"/>
        <v>14.79</v>
      </c>
      <c r="U69" s="5">
        <f t="shared" si="12"/>
        <v>14.82</v>
      </c>
      <c r="V69" s="5">
        <f t="shared" si="13"/>
        <v>14.64</v>
      </c>
    </row>
    <row r="70" spans="1:22" x14ac:dyDescent="0.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331</v>
      </c>
      <c r="D70" s="3" t="s">
        <v>1301</v>
      </c>
      <c r="E70" s="3" t="s">
        <v>1302</v>
      </c>
      <c r="F70" s="3" t="s">
        <v>1301</v>
      </c>
      <c r="G70" s="3" t="s">
        <v>1189</v>
      </c>
      <c r="H70" s="51">
        <v>41681</v>
      </c>
      <c r="J70" s="3">
        <f t="shared" si="7"/>
        <v>8.1999999999999993</v>
      </c>
      <c r="K70" s="3">
        <f t="shared" si="7"/>
        <v>8.15</v>
      </c>
      <c r="L70" s="3">
        <f t="shared" si="7"/>
        <v>8.1999999999999993</v>
      </c>
      <c r="M70" s="3">
        <f t="shared" si="7"/>
        <v>8.14</v>
      </c>
      <c r="P70" s="14" t="s">
        <v>330</v>
      </c>
      <c r="Q70" s="10" t="str">
        <f t="shared" si="8"/>
        <v xml:space="preserve">PROVIDENCIA -ON  </v>
      </c>
      <c r="R70" s="51">
        <f t="shared" si="9"/>
        <v>41681</v>
      </c>
      <c r="S70" s="5">
        <f t="shared" si="10"/>
        <v>8.1999999999999993</v>
      </c>
      <c r="T70" s="5">
        <f t="shared" si="11"/>
        <v>8.15</v>
      </c>
      <c r="U70" s="5">
        <f t="shared" si="12"/>
        <v>8.1999999999999993</v>
      </c>
      <c r="V70" s="5">
        <f t="shared" si="13"/>
        <v>8.14</v>
      </c>
    </row>
    <row r="71" spans="1:22" x14ac:dyDescent="0.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417</v>
      </c>
      <c r="D71" s="3" t="s">
        <v>665</v>
      </c>
      <c r="E71" s="3" t="s">
        <v>665</v>
      </c>
      <c r="F71" s="3" t="s">
        <v>665</v>
      </c>
      <c r="G71" s="3" t="s">
        <v>665</v>
      </c>
      <c r="H71" s="51">
        <v>41681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322</v>
      </c>
      <c r="Q71" s="10" t="str">
        <f t="shared" ref="Q71:Q102" si="14">IF(A71="","",C71)</f>
        <v>EVORA       -PN</v>
      </c>
      <c r="R71" s="46">
        <f t="shared" ref="R71:R102" si="15">IF(A71="","",H71)</f>
        <v>41681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 x14ac:dyDescent="0.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251</v>
      </c>
      <c r="D72" s="3" t="s">
        <v>1303</v>
      </c>
      <c r="E72" s="3" t="s">
        <v>1304</v>
      </c>
      <c r="F72" s="3" t="s">
        <v>1305</v>
      </c>
      <c r="G72" s="3" t="s">
        <v>1306</v>
      </c>
      <c r="H72" s="51">
        <v>41681</v>
      </c>
      <c r="J72" s="3">
        <f t="shared" ref="J72:M135" si="20">IF($A72="",0,VALUE(CONCATENATE(LEFT(D72,LEN(D72)-3),",",RIGHT(D72,2))))</f>
        <v>8.2899999999999991</v>
      </c>
      <c r="K72" s="3">
        <f t="shared" si="20"/>
        <v>8.16</v>
      </c>
      <c r="L72" s="3">
        <f t="shared" si="20"/>
        <v>8.4700000000000006</v>
      </c>
      <c r="M72" s="3">
        <f t="shared" si="20"/>
        <v>8.09</v>
      </c>
      <c r="P72" s="15" t="s">
        <v>250</v>
      </c>
      <c r="Q72" s="10" t="str">
        <f t="shared" si="14"/>
        <v xml:space="preserve">QGEP PART   -ON  </v>
      </c>
      <c r="R72" s="51">
        <f t="shared" si="15"/>
        <v>41681</v>
      </c>
      <c r="S72" s="5">
        <f t="shared" si="16"/>
        <v>8.2899999999999991</v>
      </c>
      <c r="T72" s="5">
        <f t="shared" si="17"/>
        <v>8.16</v>
      </c>
      <c r="U72" s="5">
        <f t="shared" si="18"/>
        <v>8.4700000000000006</v>
      </c>
      <c r="V72" s="5">
        <f t="shared" si="19"/>
        <v>8.09</v>
      </c>
    </row>
    <row r="73" spans="1:22" x14ac:dyDescent="0.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367</v>
      </c>
      <c r="D73" s="3" t="s">
        <v>1307</v>
      </c>
      <c r="E73" s="3" t="s">
        <v>1307</v>
      </c>
      <c r="F73" s="3" t="s">
        <v>1308</v>
      </c>
      <c r="G73" s="3" t="s">
        <v>901</v>
      </c>
      <c r="H73" s="51">
        <v>41681</v>
      </c>
      <c r="J73" s="3">
        <f t="shared" si="20"/>
        <v>33.14</v>
      </c>
      <c r="K73" s="3">
        <f t="shared" si="20"/>
        <v>33.14</v>
      </c>
      <c r="L73" s="3">
        <f t="shared" si="20"/>
        <v>33.42</v>
      </c>
      <c r="M73" s="3">
        <f t="shared" si="20"/>
        <v>33</v>
      </c>
      <c r="P73" s="14" t="s">
        <v>365</v>
      </c>
      <c r="Q73" s="10" t="str">
        <f t="shared" si="14"/>
        <v xml:space="preserve">SAO CARLOS  -ON  </v>
      </c>
      <c r="R73" s="51">
        <f t="shared" si="15"/>
        <v>41681</v>
      </c>
      <c r="S73" s="5">
        <f t="shared" si="16"/>
        <v>33.14</v>
      </c>
      <c r="T73" s="5">
        <f t="shared" si="17"/>
        <v>33.14</v>
      </c>
      <c r="U73" s="5">
        <f t="shared" si="18"/>
        <v>33.42</v>
      </c>
      <c r="V73" s="5">
        <f t="shared" si="19"/>
        <v>33</v>
      </c>
    </row>
    <row r="74" spans="1:22" x14ac:dyDescent="0.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278</v>
      </c>
      <c r="D74" s="3" t="s">
        <v>1014</v>
      </c>
      <c r="E74" s="3" t="s">
        <v>1058</v>
      </c>
      <c r="F74" s="3" t="s">
        <v>1014</v>
      </c>
      <c r="G74" s="3" t="s">
        <v>1059</v>
      </c>
      <c r="H74" s="51">
        <v>41681</v>
      </c>
      <c r="J74" s="3">
        <f t="shared" si="20"/>
        <v>27.1</v>
      </c>
      <c r="K74" s="3">
        <f t="shared" si="20"/>
        <v>26.94</v>
      </c>
      <c r="L74" s="3">
        <f t="shared" si="20"/>
        <v>27.1</v>
      </c>
      <c r="M74" s="3">
        <f t="shared" si="20"/>
        <v>26.92</v>
      </c>
      <c r="P74" s="15" t="s">
        <v>277</v>
      </c>
      <c r="Q74" s="10" t="str">
        <f t="shared" si="14"/>
        <v xml:space="preserve">SAO MARTINHO-ON  </v>
      </c>
      <c r="R74" s="51">
        <f t="shared" si="15"/>
        <v>41681</v>
      </c>
      <c r="S74" s="5">
        <f t="shared" si="16"/>
        <v>27.1</v>
      </c>
      <c r="T74" s="5">
        <f t="shared" si="17"/>
        <v>26.94</v>
      </c>
      <c r="U74" s="5">
        <f t="shared" si="18"/>
        <v>27.1</v>
      </c>
      <c r="V74" s="5">
        <f t="shared" si="19"/>
        <v>26.92</v>
      </c>
    </row>
    <row r="75" spans="1:22" x14ac:dyDescent="0.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366</v>
      </c>
      <c r="D75" s="3" t="s">
        <v>1309</v>
      </c>
      <c r="E75" s="3" t="s">
        <v>1310</v>
      </c>
      <c r="F75" s="3" t="s">
        <v>1309</v>
      </c>
      <c r="G75" s="3" t="s">
        <v>1161</v>
      </c>
      <c r="H75" s="51">
        <v>41681</v>
      </c>
      <c r="J75" s="3">
        <f t="shared" si="20"/>
        <v>15.16</v>
      </c>
      <c r="K75" s="3">
        <f t="shared" si="20"/>
        <v>15.04</v>
      </c>
      <c r="L75" s="3">
        <f t="shared" si="20"/>
        <v>15.16</v>
      </c>
      <c r="M75" s="3">
        <f t="shared" si="20"/>
        <v>14.9</v>
      </c>
      <c r="P75" s="14" t="s">
        <v>364</v>
      </c>
      <c r="Q75" s="10" t="str">
        <f t="shared" si="14"/>
        <v xml:space="preserve">SIERRABRASIL-ON  </v>
      </c>
      <c r="R75" s="51">
        <f t="shared" si="15"/>
        <v>41681</v>
      </c>
      <c r="S75" s="5">
        <f t="shared" si="16"/>
        <v>15.16</v>
      </c>
      <c r="T75" s="5">
        <f t="shared" si="17"/>
        <v>15.04</v>
      </c>
      <c r="U75" s="5">
        <f t="shared" si="18"/>
        <v>15.16</v>
      </c>
      <c r="V75" s="5">
        <f t="shared" si="19"/>
        <v>14.9</v>
      </c>
    </row>
    <row r="76" spans="1:22" x14ac:dyDescent="0.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252</v>
      </c>
      <c r="D76" s="3" t="s">
        <v>1311</v>
      </c>
      <c r="E76" s="3" t="s">
        <v>1312</v>
      </c>
      <c r="F76" s="3" t="s">
        <v>1311</v>
      </c>
      <c r="G76" s="3" t="s">
        <v>1313</v>
      </c>
      <c r="H76" s="51">
        <v>41681</v>
      </c>
      <c r="J76" s="3">
        <f t="shared" si="20"/>
        <v>14.2</v>
      </c>
      <c r="K76" s="3">
        <f t="shared" si="20"/>
        <v>14.19</v>
      </c>
      <c r="L76" s="3">
        <f t="shared" si="20"/>
        <v>14.2</v>
      </c>
      <c r="M76" s="3">
        <f t="shared" si="20"/>
        <v>14.08</v>
      </c>
      <c r="P76" s="14" t="s">
        <v>57</v>
      </c>
      <c r="Q76" s="10" t="str">
        <f t="shared" si="14"/>
        <v xml:space="preserve">SUL AMERICA -UNT </v>
      </c>
      <c r="R76" s="51">
        <f t="shared" si="15"/>
        <v>41681</v>
      </c>
      <c r="S76" s="5">
        <f t="shared" si="16"/>
        <v>14.2</v>
      </c>
      <c r="T76" s="5">
        <f t="shared" si="17"/>
        <v>14.19</v>
      </c>
      <c r="U76" s="5">
        <f t="shared" si="18"/>
        <v>14.2</v>
      </c>
      <c r="V76" s="5">
        <f t="shared" si="19"/>
        <v>14.08</v>
      </c>
    </row>
    <row r="77" spans="1:22" x14ac:dyDescent="0.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263</v>
      </c>
      <c r="D77" s="3" t="s">
        <v>1314</v>
      </c>
      <c r="E77" s="3" t="s">
        <v>1315</v>
      </c>
      <c r="F77" s="3" t="s">
        <v>1315</v>
      </c>
      <c r="G77" s="3" t="s">
        <v>1316</v>
      </c>
      <c r="H77" s="51">
        <v>41681</v>
      </c>
      <c r="J77" s="3">
        <f t="shared" si="20"/>
        <v>2.2400000000000002</v>
      </c>
      <c r="K77" s="3">
        <f t="shared" si="20"/>
        <v>2.29</v>
      </c>
      <c r="L77" s="3">
        <f t="shared" si="20"/>
        <v>2.29</v>
      </c>
      <c r="M77" s="3">
        <f t="shared" si="20"/>
        <v>2.23</v>
      </c>
      <c r="P77" s="15" t="s">
        <v>78</v>
      </c>
      <c r="Q77" s="10" t="str">
        <f t="shared" si="14"/>
        <v xml:space="preserve">TEREOS      -ON  </v>
      </c>
      <c r="R77" s="51">
        <f t="shared" si="15"/>
        <v>41681</v>
      </c>
      <c r="S77" s="5">
        <f t="shared" si="16"/>
        <v>2.2400000000000002</v>
      </c>
      <c r="T77" s="5">
        <f t="shared" si="17"/>
        <v>2.29</v>
      </c>
      <c r="U77" s="5">
        <f t="shared" si="18"/>
        <v>2.29</v>
      </c>
      <c r="V77" s="5">
        <f t="shared" si="19"/>
        <v>2.23</v>
      </c>
    </row>
    <row r="78" spans="1:22" x14ac:dyDescent="0.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293</v>
      </c>
      <c r="D78" s="3" t="s">
        <v>1317</v>
      </c>
      <c r="E78" s="3" t="s">
        <v>1318</v>
      </c>
      <c r="F78" s="3" t="s">
        <v>1317</v>
      </c>
      <c r="G78" s="3" t="s">
        <v>1319</v>
      </c>
      <c r="H78" s="51">
        <v>41681</v>
      </c>
      <c r="J78" s="3">
        <f t="shared" si="20"/>
        <v>12.84</v>
      </c>
      <c r="K78" s="3">
        <f t="shared" si="20"/>
        <v>12.63</v>
      </c>
      <c r="L78" s="3">
        <f t="shared" si="20"/>
        <v>12.84</v>
      </c>
      <c r="M78" s="3">
        <f t="shared" si="20"/>
        <v>12.35</v>
      </c>
      <c r="P78" s="15" t="s">
        <v>291</v>
      </c>
      <c r="Q78" s="10" t="str">
        <f t="shared" si="14"/>
        <v xml:space="preserve">TIM PART S/A-ON  </v>
      </c>
      <c r="R78" s="51">
        <f t="shared" si="15"/>
        <v>41681</v>
      </c>
      <c r="S78" s="5">
        <f t="shared" si="16"/>
        <v>12.84</v>
      </c>
      <c r="T78" s="5">
        <f t="shared" si="17"/>
        <v>12.63</v>
      </c>
      <c r="U78" s="5">
        <f t="shared" si="18"/>
        <v>12.84</v>
      </c>
      <c r="V78" s="5">
        <f t="shared" si="19"/>
        <v>12.35</v>
      </c>
    </row>
    <row r="79" spans="1:22" x14ac:dyDescent="0.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343</v>
      </c>
      <c r="D79" s="3" t="s">
        <v>864</v>
      </c>
      <c r="E79" s="3" t="s">
        <v>543</v>
      </c>
      <c r="F79" s="3" t="s">
        <v>543</v>
      </c>
      <c r="G79" s="3" t="s">
        <v>864</v>
      </c>
      <c r="H79" s="51">
        <v>41681</v>
      </c>
      <c r="J79" s="3">
        <f t="shared" si="20"/>
        <v>89.05</v>
      </c>
      <c r="K79" s="3">
        <f t="shared" si="20"/>
        <v>90</v>
      </c>
      <c r="L79" s="3">
        <f t="shared" si="20"/>
        <v>90</v>
      </c>
      <c r="M79" s="3">
        <f t="shared" si="20"/>
        <v>89.05</v>
      </c>
      <c r="P79" s="15" t="s">
        <v>342</v>
      </c>
      <c r="Q79" s="10" t="str">
        <f t="shared" si="14"/>
        <v>TEKNO       -PN</v>
      </c>
      <c r="R79" s="51">
        <f t="shared" si="15"/>
        <v>41681</v>
      </c>
      <c r="S79" s="5">
        <f t="shared" si="16"/>
        <v>89.05</v>
      </c>
      <c r="T79" s="5">
        <f t="shared" si="17"/>
        <v>90</v>
      </c>
      <c r="U79" s="5">
        <f t="shared" si="18"/>
        <v>90</v>
      </c>
      <c r="V79" s="5">
        <f t="shared" si="19"/>
        <v>89.05</v>
      </c>
    </row>
    <row r="80" spans="1:22" x14ac:dyDescent="0.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382</v>
      </c>
      <c r="D80" s="3" t="s">
        <v>1320</v>
      </c>
      <c r="E80" s="3" t="s">
        <v>1320</v>
      </c>
      <c r="F80" s="3" t="s">
        <v>1320</v>
      </c>
      <c r="G80" s="3" t="s">
        <v>1320</v>
      </c>
      <c r="H80" s="51">
        <v>41681</v>
      </c>
      <c r="J80" s="3">
        <f t="shared" si="20"/>
        <v>14.32</v>
      </c>
      <c r="K80" s="3">
        <f t="shared" si="20"/>
        <v>14.32</v>
      </c>
      <c r="L80" s="3">
        <f t="shared" si="20"/>
        <v>14.32</v>
      </c>
      <c r="M80" s="3">
        <f t="shared" si="20"/>
        <v>14.32</v>
      </c>
      <c r="P80" s="15" t="s">
        <v>380</v>
      </c>
      <c r="Q80" s="10" t="str">
        <f t="shared" si="14"/>
        <v xml:space="preserve">TARPON INV  -ON  </v>
      </c>
      <c r="R80" s="51">
        <f t="shared" si="15"/>
        <v>41681</v>
      </c>
      <c r="S80" s="5">
        <f t="shared" si="16"/>
        <v>14.32</v>
      </c>
      <c r="T80" s="5">
        <f t="shared" si="17"/>
        <v>14.32</v>
      </c>
      <c r="U80" s="5">
        <f t="shared" si="18"/>
        <v>14.32</v>
      </c>
      <c r="V80" s="5">
        <f t="shared" si="19"/>
        <v>14.32</v>
      </c>
    </row>
    <row r="81" spans="1:22" x14ac:dyDescent="0.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311</v>
      </c>
      <c r="D81" s="3" t="s">
        <v>1321</v>
      </c>
      <c r="E81" s="3" t="s">
        <v>1322</v>
      </c>
      <c r="F81" s="3" t="s">
        <v>1323</v>
      </c>
      <c r="G81" s="3" t="s">
        <v>1324</v>
      </c>
      <c r="H81" s="51">
        <v>41681</v>
      </c>
      <c r="J81" s="3">
        <f t="shared" si="20"/>
        <v>51.74</v>
      </c>
      <c r="K81" s="3">
        <f t="shared" si="20"/>
        <v>51.33</v>
      </c>
      <c r="L81" s="3">
        <f t="shared" si="20"/>
        <v>51.97</v>
      </c>
      <c r="M81" s="3">
        <f t="shared" si="20"/>
        <v>51.02</v>
      </c>
      <c r="P81" s="14" t="s">
        <v>310</v>
      </c>
      <c r="Q81" s="10" t="str">
        <f t="shared" si="14"/>
        <v xml:space="preserve">ULTRAPAR    -ON  </v>
      </c>
      <c r="R81" s="51">
        <f t="shared" si="15"/>
        <v>41681</v>
      </c>
      <c r="S81" s="5">
        <f t="shared" si="16"/>
        <v>51.74</v>
      </c>
      <c r="T81" s="5">
        <f t="shared" si="17"/>
        <v>51.33</v>
      </c>
      <c r="U81" s="5">
        <f t="shared" si="18"/>
        <v>51.97</v>
      </c>
      <c r="V81" s="5">
        <f t="shared" si="19"/>
        <v>51.02</v>
      </c>
    </row>
    <row r="82" spans="1:22" x14ac:dyDescent="0.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439</v>
      </c>
      <c r="D82" s="3" t="s">
        <v>693</v>
      </c>
      <c r="E82" s="3" t="s">
        <v>693</v>
      </c>
      <c r="F82" s="3" t="s">
        <v>693</v>
      </c>
      <c r="G82" s="3" t="s">
        <v>693</v>
      </c>
      <c r="H82" s="51">
        <v>41681</v>
      </c>
      <c r="J82" s="3">
        <f t="shared" si="20"/>
        <v>0.61</v>
      </c>
      <c r="K82" s="3">
        <f t="shared" si="20"/>
        <v>0.61</v>
      </c>
      <c r="L82" s="3">
        <f t="shared" si="20"/>
        <v>0.61</v>
      </c>
      <c r="M82" s="3">
        <f t="shared" si="20"/>
        <v>0.61</v>
      </c>
      <c r="P82" s="14" t="s">
        <v>438</v>
      </c>
      <c r="Q82" s="10" t="str">
        <f t="shared" si="14"/>
        <v>UNIPAR      -ON</v>
      </c>
      <c r="R82" s="51">
        <f t="shared" si="15"/>
        <v>41681</v>
      </c>
      <c r="S82" s="5">
        <f t="shared" si="16"/>
        <v>0.61</v>
      </c>
      <c r="T82" s="5">
        <f t="shared" si="17"/>
        <v>0.61</v>
      </c>
      <c r="U82" s="5">
        <f t="shared" si="18"/>
        <v>0.61</v>
      </c>
      <c r="V82" s="5">
        <f t="shared" si="19"/>
        <v>0.61</v>
      </c>
    </row>
    <row r="83" spans="1:22" x14ac:dyDescent="0.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336</v>
      </c>
      <c r="D83" s="3" t="s">
        <v>1325</v>
      </c>
      <c r="E83" s="3" t="s">
        <v>1326</v>
      </c>
      <c r="F83" s="3" t="s">
        <v>902</v>
      </c>
      <c r="G83" s="3" t="s">
        <v>1327</v>
      </c>
      <c r="H83" s="51">
        <v>41681</v>
      </c>
      <c r="J83" s="3">
        <f t="shared" si="20"/>
        <v>30.71</v>
      </c>
      <c r="K83" s="3">
        <f t="shared" si="20"/>
        <v>30.51</v>
      </c>
      <c r="L83" s="3">
        <f t="shared" si="20"/>
        <v>30.77</v>
      </c>
      <c r="M83" s="3">
        <f t="shared" si="20"/>
        <v>30.37</v>
      </c>
      <c r="P83" s="14" t="s">
        <v>335</v>
      </c>
      <c r="Q83" s="10" t="str">
        <f t="shared" si="14"/>
        <v xml:space="preserve">VALE        -PNA </v>
      </c>
      <c r="R83" s="46">
        <f t="shared" si="15"/>
        <v>41681</v>
      </c>
      <c r="S83" s="6">
        <f t="shared" si="16"/>
        <v>30.71</v>
      </c>
      <c r="T83" s="6">
        <f t="shared" si="17"/>
        <v>30.51</v>
      </c>
      <c r="U83" s="6">
        <f t="shared" si="18"/>
        <v>30.77</v>
      </c>
      <c r="V83" s="6">
        <f t="shared" si="19"/>
        <v>30.37</v>
      </c>
    </row>
    <row r="84" spans="1:22" x14ac:dyDescent="0.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289</v>
      </c>
      <c r="D84" s="3" t="s">
        <v>792</v>
      </c>
      <c r="E84" s="3" t="s">
        <v>866</v>
      </c>
      <c r="F84" s="3" t="s">
        <v>792</v>
      </c>
      <c r="G84" s="3" t="s">
        <v>866</v>
      </c>
      <c r="H84" s="51">
        <v>41681</v>
      </c>
      <c r="J84" s="3">
        <f t="shared" si="20"/>
        <v>7.6</v>
      </c>
      <c r="K84" s="3">
        <f t="shared" si="20"/>
        <v>7.29</v>
      </c>
      <c r="L84" s="3">
        <f t="shared" si="20"/>
        <v>7.6</v>
      </c>
      <c r="M84" s="3">
        <f t="shared" si="20"/>
        <v>7.29</v>
      </c>
      <c r="P84" s="43" t="s">
        <v>288</v>
      </c>
      <c r="Q84" s="10" t="str">
        <f t="shared" si="14"/>
        <v xml:space="preserve">VIGOR FOOD  -ON  </v>
      </c>
      <c r="R84" s="51">
        <f t="shared" si="15"/>
        <v>41681</v>
      </c>
      <c r="S84" s="5">
        <f t="shared" si="16"/>
        <v>7.6</v>
      </c>
      <c r="T84" s="5">
        <f t="shared" si="17"/>
        <v>7.29</v>
      </c>
      <c r="U84" s="5">
        <f t="shared" si="18"/>
        <v>7.6</v>
      </c>
      <c r="V84" s="5">
        <f t="shared" si="19"/>
        <v>7.29</v>
      </c>
    </row>
    <row r="85" spans="1:22" x14ac:dyDescent="0.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666</v>
      </c>
      <c r="D85" s="3" t="s">
        <v>1328</v>
      </c>
      <c r="E85" s="3" t="s">
        <v>1329</v>
      </c>
      <c r="F85" s="3" t="s">
        <v>1328</v>
      </c>
      <c r="G85" s="3" t="s">
        <v>1330</v>
      </c>
      <c r="H85" s="51">
        <v>41681</v>
      </c>
      <c r="J85" s="3">
        <f t="shared" si="20"/>
        <v>39.700000000000003</v>
      </c>
      <c r="K85" s="3">
        <f t="shared" si="20"/>
        <v>39.28</v>
      </c>
      <c r="L85" s="3">
        <f t="shared" si="20"/>
        <v>39.700000000000003</v>
      </c>
      <c r="M85" s="3">
        <f t="shared" si="20"/>
        <v>39.200000000000003</v>
      </c>
      <c r="P85" s="15" t="s">
        <v>299</v>
      </c>
      <c r="Q85" s="10" t="str">
        <f t="shared" si="14"/>
        <v>TELEF BRASIL-ON</v>
      </c>
      <c r="R85" s="51">
        <f t="shared" si="15"/>
        <v>41681</v>
      </c>
      <c r="S85" s="5">
        <f t="shared" si="16"/>
        <v>39.700000000000003</v>
      </c>
      <c r="T85" s="5">
        <f t="shared" si="17"/>
        <v>39.28</v>
      </c>
      <c r="U85" s="5">
        <f t="shared" si="18"/>
        <v>39.700000000000003</v>
      </c>
      <c r="V85" s="5">
        <f t="shared" si="19"/>
        <v>39.200000000000003</v>
      </c>
    </row>
    <row r="86" spans="1:22" x14ac:dyDescent="0.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667</v>
      </c>
      <c r="D86" s="3" t="s">
        <v>1331</v>
      </c>
      <c r="E86" s="3" t="s">
        <v>1332</v>
      </c>
      <c r="F86" s="3" t="s">
        <v>1333</v>
      </c>
      <c r="G86" s="3" t="s">
        <v>1334</v>
      </c>
      <c r="H86" s="51">
        <v>41681</v>
      </c>
      <c r="J86" s="3">
        <f t="shared" si="20"/>
        <v>45.5</v>
      </c>
      <c r="K86" s="3">
        <f t="shared" si="20"/>
        <v>45.43</v>
      </c>
      <c r="L86" s="3">
        <f t="shared" si="20"/>
        <v>45.71</v>
      </c>
      <c r="M86" s="3">
        <f t="shared" si="20"/>
        <v>45.05</v>
      </c>
      <c r="P86" s="15" t="s">
        <v>300</v>
      </c>
      <c r="Q86" s="10" t="str">
        <f t="shared" si="14"/>
        <v>TELEF BRASIL-PN</v>
      </c>
      <c r="R86" s="51">
        <f t="shared" si="15"/>
        <v>41681</v>
      </c>
      <c r="S86" s="5">
        <f t="shared" si="16"/>
        <v>45.5</v>
      </c>
      <c r="T86" s="5">
        <f t="shared" si="17"/>
        <v>45.43</v>
      </c>
      <c r="U86" s="5">
        <f t="shared" si="18"/>
        <v>45.71</v>
      </c>
      <c r="V86" s="5">
        <f t="shared" si="19"/>
        <v>45.05</v>
      </c>
    </row>
    <row r="87" spans="1:22" x14ac:dyDescent="0.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498</v>
      </c>
      <c r="D87" s="3" t="s">
        <v>454</v>
      </c>
      <c r="E87" s="3" t="s">
        <v>499</v>
      </c>
      <c r="F87" s="3" t="s">
        <v>499</v>
      </c>
      <c r="G87" s="3" t="s">
        <v>499</v>
      </c>
      <c r="H87" s="51">
        <v>41681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497</v>
      </c>
      <c r="Q87" s="10" t="str">
        <f t="shared" si="14"/>
        <v>CELPE       -ON</v>
      </c>
      <c r="R87" s="51">
        <f t="shared" si="15"/>
        <v>41681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 x14ac:dyDescent="0.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501</v>
      </c>
      <c r="D88" s="3" t="s">
        <v>454</v>
      </c>
      <c r="E88" s="3" t="s">
        <v>502</v>
      </c>
      <c r="F88" s="3" t="s">
        <v>502</v>
      </c>
      <c r="G88" s="3" t="s">
        <v>502</v>
      </c>
      <c r="H88" s="51">
        <v>41681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500</v>
      </c>
      <c r="Q88" s="10" t="str">
        <f t="shared" si="14"/>
        <v>COELCE      -PNB</v>
      </c>
      <c r="R88" s="51">
        <f t="shared" si="15"/>
        <v>41681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 x14ac:dyDescent="0.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505</v>
      </c>
      <c r="D89" s="3" t="s">
        <v>454</v>
      </c>
      <c r="E89" s="3" t="s">
        <v>455</v>
      </c>
      <c r="F89" s="3" t="s">
        <v>454</v>
      </c>
      <c r="G89" s="3" t="s">
        <v>454</v>
      </c>
      <c r="H89" s="51" t="s">
        <v>454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503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 x14ac:dyDescent="0.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506</v>
      </c>
      <c r="D90" s="3" t="s">
        <v>454</v>
      </c>
      <c r="E90" s="3" t="s">
        <v>455</v>
      </c>
      <c r="F90" s="3" t="s">
        <v>454</v>
      </c>
      <c r="G90" s="3" t="s">
        <v>454</v>
      </c>
      <c r="H90" s="51" t="s">
        <v>454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504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 x14ac:dyDescent="0.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509</v>
      </c>
      <c r="D91" s="3" t="s">
        <v>490</v>
      </c>
      <c r="E91" s="3" t="s">
        <v>490</v>
      </c>
      <c r="F91" s="3" t="s">
        <v>490</v>
      </c>
      <c r="G91" s="3" t="s">
        <v>490</v>
      </c>
      <c r="H91" s="51">
        <v>41681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507</v>
      </c>
      <c r="Q91" s="10" t="str">
        <f t="shared" si="14"/>
        <v xml:space="preserve">CEEE-D      -ON  </v>
      </c>
      <c r="R91" s="51">
        <f t="shared" si="15"/>
        <v>41681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 x14ac:dyDescent="0.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510</v>
      </c>
      <c r="D92" s="3" t="s">
        <v>511</v>
      </c>
      <c r="E92" s="3" t="s">
        <v>511</v>
      </c>
      <c r="F92" s="3" t="s">
        <v>511</v>
      </c>
      <c r="G92" s="3" t="s">
        <v>511</v>
      </c>
      <c r="H92" s="51">
        <v>41681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508</v>
      </c>
      <c r="Q92" s="10" t="str">
        <f t="shared" si="14"/>
        <v xml:space="preserve">CEEE-D      -PN  </v>
      </c>
      <c r="R92" s="51">
        <f t="shared" si="15"/>
        <v>41681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 x14ac:dyDescent="0.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514</v>
      </c>
      <c r="D93" s="3" t="s">
        <v>452</v>
      </c>
      <c r="E93" s="3" t="s">
        <v>452</v>
      </c>
      <c r="F93" s="3" t="s">
        <v>452</v>
      </c>
      <c r="G93" s="3" t="s">
        <v>452</v>
      </c>
      <c r="H93" s="51">
        <v>41681</v>
      </c>
      <c r="J93" s="3">
        <f t="shared" si="20"/>
        <v>21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512</v>
      </c>
      <c r="Q93" s="10" t="str">
        <f t="shared" si="14"/>
        <v>ELEKTRO     -ON</v>
      </c>
      <c r="R93" s="51">
        <f t="shared" si="15"/>
        <v>41681</v>
      </c>
      <c r="S93" s="5">
        <f t="shared" si="16"/>
        <v>21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 x14ac:dyDescent="0.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515</v>
      </c>
      <c r="D94" s="3" t="s">
        <v>661</v>
      </c>
      <c r="E94" s="3" t="s">
        <v>661</v>
      </c>
      <c r="F94" s="3" t="s">
        <v>661</v>
      </c>
      <c r="G94" s="3" t="s">
        <v>661</v>
      </c>
      <c r="H94" s="51">
        <v>41681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513</v>
      </c>
      <c r="Q94" s="10" t="str">
        <f t="shared" si="14"/>
        <v>ELEKTRO     -PN</v>
      </c>
      <c r="R94" s="51">
        <f t="shared" si="15"/>
        <v>41681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 x14ac:dyDescent="0.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518</v>
      </c>
      <c r="D95" s="3" t="s">
        <v>1335</v>
      </c>
      <c r="E95" s="3" t="s">
        <v>1336</v>
      </c>
      <c r="F95" s="3" t="s">
        <v>1337</v>
      </c>
      <c r="G95" s="3" t="s">
        <v>1335</v>
      </c>
      <c r="H95" s="51">
        <v>41681</v>
      </c>
      <c r="J95" s="3">
        <f t="shared" si="20"/>
        <v>2.66</v>
      </c>
      <c r="K95" s="3">
        <f t="shared" si="20"/>
        <v>2.69</v>
      </c>
      <c r="L95" s="3">
        <f t="shared" si="20"/>
        <v>2.74</v>
      </c>
      <c r="M95" s="3">
        <f t="shared" si="20"/>
        <v>2.66</v>
      </c>
      <c r="P95" s="14" t="s">
        <v>517</v>
      </c>
      <c r="Q95" s="10" t="str">
        <f t="shared" si="14"/>
        <v xml:space="preserve">ENEVA       -ON  </v>
      </c>
      <c r="R95" s="51">
        <f t="shared" si="15"/>
        <v>41681</v>
      </c>
      <c r="S95" s="5">
        <f t="shared" si="16"/>
        <v>2.66</v>
      </c>
      <c r="T95" s="5">
        <f t="shared" si="17"/>
        <v>2.69</v>
      </c>
      <c r="U95" s="5">
        <f t="shared" si="18"/>
        <v>2.74</v>
      </c>
      <c r="V95" s="5">
        <f t="shared" si="19"/>
        <v>2.66</v>
      </c>
    </row>
    <row r="96" spans="1:22" x14ac:dyDescent="0.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521</v>
      </c>
      <c r="D96" s="3" t="s">
        <v>906</v>
      </c>
      <c r="E96" s="3" t="s">
        <v>906</v>
      </c>
      <c r="F96" s="3" t="s">
        <v>906</v>
      </c>
      <c r="G96" s="3" t="s">
        <v>906</v>
      </c>
      <c r="H96" s="51">
        <v>41681</v>
      </c>
      <c r="J96" s="3">
        <f t="shared" si="20"/>
        <v>1.01</v>
      </c>
      <c r="K96" s="3">
        <f t="shared" si="20"/>
        <v>1.01</v>
      </c>
      <c r="L96" s="3">
        <f t="shared" si="20"/>
        <v>1.01</v>
      </c>
      <c r="M96" s="3">
        <f t="shared" si="20"/>
        <v>1.01</v>
      </c>
      <c r="P96" s="14" t="s">
        <v>519</v>
      </c>
      <c r="Q96" s="10" t="str">
        <f t="shared" si="14"/>
        <v>REDE ENERGIA-ON</v>
      </c>
      <c r="R96" s="51">
        <f t="shared" si="15"/>
        <v>41681</v>
      </c>
      <c r="S96" s="5">
        <f t="shared" si="16"/>
        <v>1.01</v>
      </c>
      <c r="T96" s="5">
        <f t="shared" si="17"/>
        <v>1.01</v>
      </c>
      <c r="U96" s="5">
        <f t="shared" si="18"/>
        <v>1.01</v>
      </c>
      <c r="V96" s="5">
        <f t="shared" si="19"/>
        <v>1.01</v>
      </c>
    </row>
    <row r="97" spans="1:22" x14ac:dyDescent="0.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522</v>
      </c>
      <c r="D97" s="3" t="s">
        <v>1338</v>
      </c>
      <c r="E97" s="3" t="s">
        <v>1339</v>
      </c>
      <c r="F97" s="3" t="s">
        <v>1338</v>
      </c>
      <c r="G97" s="3" t="s">
        <v>1339</v>
      </c>
      <c r="H97" s="51">
        <v>41681</v>
      </c>
      <c r="J97" s="3">
        <f t="shared" si="20"/>
        <v>0.96</v>
      </c>
      <c r="K97" s="3">
        <f t="shared" si="20"/>
        <v>0.93</v>
      </c>
      <c r="L97" s="3">
        <f t="shared" si="20"/>
        <v>0.96</v>
      </c>
      <c r="M97" s="3">
        <f t="shared" si="20"/>
        <v>0.93</v>
      </c>
      <c r="P97" s="15" t="s">
        <v>520</v>
      </c>
      <c r="Q97" s="10" t="str">
        <f t="shared" si="14"/>
        <v>REDE ENERGIA-PN</v>
      </c>
      <c r="R97" s="51">
        <f t="shared" si="15"/>
        <v>41681</v>
      </c>
      <c r="S97" s="5">
        <f t="shared" si="16"/>
        <v>0.96</v>
      </c>
      <c r="T97" s="5">
        <f t="shared" si="17"/>
        <v>0.93</v>
      </c>
      <c r="U97" s="5">
        <f t="shared" si="18"/>
        <v>0.96</v>
      </c>
      <c r="V97" s="5">
        <f t="shared" si="19"/>
        <v>0.93</v>
      </c>
    </row>
    <row r="98" spans="1:22" x14ac:dyDescent="0.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526</v>
      </c>
      <c r="D98" s="3" t="s">
        <v>763</v>
      </c>
      <c r="E98" s="3" t="s">
        <v>1340</v>
      </c>
      <c r="F98" s="3" t="s">
        <v>763</v>
      </c>
      <c r="G98" s="3" t="s">
        <v>1340</v>
      </c>
      <c r="H98" s="51">
        <v>41681</v>
      </c>
      <c r="J98" s="3">
        <f t="shared" si="20"/>
        <v>45.8</v>
      </c>
      <c r="K98" s="3">
        <f t="shared" si="20"/>
        <v>44.5</v>
      </c>
      <c r="L98" s="3">
        <f t="shared" si="20"/>
        <v>45.8</v>
      </c>
      <c r="M98" s="3">
        <f t="shared" si="20"/>
        <v>44.5</v>
      </c>
      <c r="P98" s="10" t="s">
        <v>523</v>
      </c>
      <c r="Q98" s="10" t="str">
        <f t="shared" si="14"/>
        <v xml:space="preserve">RENOVA      -UNT </v>
      </c>
      <c r="R98" s="51">
        <f t="shared" si="15"/>
        <v>41681</v>
      </c>
      <c r="S98" s="5">
        <f t="shared" si="16"/>
        <v>45.8</v>
      </c>
      <c r="T98" s="5">
        <f t="shared" si="17"/>
        <v>44.5</v>
      </c>
      <c r="U98" s="5">
        <f t="shared" si="18"/>
        <v>45.8</v>
      </c>
      <c r="V98" s="5">
        <f t="shared" si="19"/>
        <v>44.5</v>
      </c>
    </row>
    <row r="99" spans="1:22" x14ac:dyDescent="0.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527</v>
      </c>
      <c r="D99" s="3" t="s">
        <v>447</v>
      </c>
      <c r="E99" s="3" t="s">
        <v>447</v>
      </c>
      <c r="F99" s="3" t="s">
        <v>447</v>
      </c>
      <c r="G99" s="3" t="s">
        <v>447</v>
      </c>
      <c r="H99" s="51">
        <v>41681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524</v>
      </c>
      <c r="Q99" s="10" t="str">
        <f t="shared" si="14"/>
        <v xml:space="preserve">RENOVA      -ON  </v>
      </c>
      <c r="R99" s="51">
        <f t="shared" si="15"/>
        <v>41681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 x14ac:dyDescent="0.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528</v>
      </c>
      <c r="D100" s="3" t="s">
        <v>454</v>
      </c>
      <c r="E100" s="3" t="s">
        <v>455</v>
      </c>
      <c r="F100" s="3" t="s">
        <v>454</v>
      </c>
      <c r="G100" s="3" t="s">
        <v>454</v>
      </c>
      <c r="H100" s="51" t="s">
        <v>454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525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 x14ac:dyDescent="0.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531</v>
      </c>
      <c r="D101" s="3" t="s">
        <v>454</v>
      </c>
      <c r="E101" s="3" t="s">
        <v>455</v>
      </c>
      <c r="F101" s="3" t="s">
        <v>454</v>
      </c>
      <c r="G101" s="3" t="s">
        <v>454</v>
      </c>
      <c r="H101" s="51" t="s">
        <v>454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529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 x14ac:dyDescent="0.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532</v>
      </c>
      <c r="D102" s="3" t="s">
        <v>454</v>
      </c>
      <c r="E102" s="3" t="s">
        <v>455</v>
      </c>
      <c r="F102" s="3" t="s">
        <v>454</v>
      </c>
      <c r="G102" s="3" t="s">
        <v>454</v>
      </c>
      <c r="H102" s="51" t="s">
        <v>454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530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 x14ac:dyDescent="0.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535</v>
      </c>
      <c r="D103" s="3" t="s">
        <v>454</v>
      </c>
      <c r="E103" s="3" t="s">
        <v>455</v>
      </c>
      <c r="F103" s="3" t="s">
        <v>454</v>
      </c>
      <c r="G103" s="3" t="s">
        <v>454</v>
      </c>
      <c r="H103" s="51" t="s">
        <v>454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534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 x14ac:dyDescent="0.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539</v>
      </c>
      <c r="D104" s="3" t="s">
        <v>867</v>
      </c>
      <c r="E104" s="3" t="s">
        <v>867</v>
      </c>
      <c r="F104" s="3" t="s">
        <v>867</v>
      </c>
      <c r="G104" s="3" t="s">
        <v>867</v>
      </c>
      <c r="H104" s="51">
        <v>41681</v>
      </c>
      <c r="J104" s="3">
        <f t="shared" si="20"/>
        <v>47</v>
      </c>
      <c r="K104" s="3">
        <f t="shared" si="20"/>
        <v>47</v>
      </c>
      <c r="L104" s="3">
        <f t="shared" si="20"/>
        <v>47</v>
      </c>
      <c r="M104" s="3">
        <f t="shared" si="20"/>
        <v>47</v>
      </c>
      <c r="P104" s="15" t="s">
        <v>537</v>
      </c>
      <c r="Q104" s="10" t="str">
        <f t="shared" si="21"/>
        <v>COMGAS      -ON</v>
      </c>
      <c r="R104" s="51">
        <f t="shared" si="22"/>
        <v>41681</v>
      </c>
      <c r="S104" s="5">
        <f t="shared" si="23"/>
        <v>47</v>
      </c>
      <c r="T104" s="5">
        <f t="shared" si="24"/>
        <v>47</v>
      </c>
      <c r="U104" s="5">
        <f t="shared" si="25"/>
        <v>47</v>
      </c>
      <c r="V104" s="5">
        <f t="shared" si="26"/>
        <v>47</v>
      </c>
    </row>
    <row r="105" spans="1:22" x14ac:dyDescent="0.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540</v>
      </c>
      <c r="D105" s="3" t="s">
        <v>1341</v>
      </c>
      <c r="E105" s="3" t="s">
        <v>1342</v>
      </c>
      <c r="F105" s="3" t="s">
        <v>1343</v>
      </c>
      <c r="G105" s="3" t="s">
        <v>1341</v>
      </c>
      <c r="H105" s="51">
        <v>41681</v>
      </c>
      <c r="J105" s="3">
        <f t="shared" si="20"/>
        <v>51.48</v>
      </c>
      <c r="K105" s="3">
        <f t="shared" si="20"/>
        <v>51.79</v>
      </c>
      <c r="L105" s="3">
        <f t="shared" si="20"/>
        <v>51.8</v>
      </c>
      <c r="M105" s="3">
        <f t="shared" si="20"/>
        <v>51.48</v>
      </c>
      <c r="P105" s="15" t="s">
        <v>538</v>
      </c>
      <c r="Q105" s="10" t="str">
        <f t="shared" si="21"/>
        <v>COMGAS      -PNA</v>
      </c>
      <c r="R105" s="51">
        <f t="shared" si="22"/>
        <v>41681</v>
      </c>
      <c r="S105" s="5">
        <f t="shared" si="23"/>
        <v>51.48</v>
      </c>
      <c r="T105" s="5">
        <f t="shared" si="24"/>
        <v>51.79</v>
      </c>
      <c r="U105" s="5">
        <f t="shared" si="25"/>
        <v>51.8</v>
      </c>
      <c r="V105" s="5">
        <f t="shared" si="26"/>
        <v>51.48</v>
      </c>
    </row>
    <row r="106" spans="1:22" x14ac:dyDescent="0.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542</v>
      </c>
      <c r="D106" s="3" t="s">
        <v>543</v>
      </c>
      <c r="E106" s="3" t="s">
        <v>543</v>
      </c>
      <c r="F106" s="3" t="s">
        <v>543</v>
      </c>
      <c r="G106" s="3" t="s">
        <v>543</v>
      </c>
      <c r="H106" s="51">
        <v>41681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541</v>
      </c>
      <c r="Q106" s="10" t="str">
        <f t="shared" si="21"/>
        <v>CEG         -ON *</v>
      </c>
      <c r="R106" s="51">
        <f t="shared" si="22"/>
        <v>41681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 x14ac:dyDescent="0.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545</v>
      </c>
      <c r="D107" s="3" t="s">
        <v>1344</v>
      </c>
      <c r="E107" s="3" t="s">
        <v>874</v>
      </c>
      <c r="F107" s="3" t="s">
        <v>1345</v>
      </c>
      <c r="G107" s="3" t="s">
        <v>546</v>
      </c>
      <c r="H107" s="51">
        <v>41681</v>
      </c>
      <c r="J107" s="3">
        <f t="shared" si="20"/>
        <v>0.19</v>
      </c>
      <c r="K107" s="3">
        <f t="shared" si="20"/>
        <v>0.2</v>
      </c>
      <c r="L107" s="3">
        <f t="shared" si="20"/>
        <v>0.21</v>
      </c>
      <c r="M107" s="3">
        <f t="shared" si="20"/>
        <v>0.18</v>
      </c>
      <c r="P107" s="14" t="s">
        <v>544</v>
      </c>
      <c r="Q107" s="10" t="str">
        <f t="shared" si="21"/>
        <v>INEPAR TEL  -ON</v>
      </c>
      <c r="R107" s="51">
        <f t="shared" si="22"/>
        <v>41681</v>
      </c>
      <c r="S107" s="5">
        <f t="shared" si="23"/>
        <v>0.19</v>
      </c>
      <c r="T107" s="5">
        <f t="shared" si="24"/>
        <v>0.2</v>
      </c>
      <c r="U107" s="5">
        <f t="shared" si="25"/>
        <v>0.21</v>
      </c>
      <c r="V107" s="5">
        <f t="shared" si="26"/>
        <v>0.18</v>
      </c>
    </row>
    <row r="108" spans="1:22" x14ac:dyDescent="0.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548</v>
      </c>
      <c r="D108" s="3" t="s">
        <v>918</v>
      </c>
      <c r="E108" s="3" t="s">
        <v>1346</v>
      </c>
      <c r="F108" s="3" t="s">
        <v>1346</v>
      </c>
      <c r="G108" s="3" t="s">
        <v>918</v>
      </c>
      <c r="H108" s="51">
        <v>41681</v>
      </c>
      <c r="J108" s="3">
        <f t="shared" si="20"/>
        <v>6.9</v>
      </c>
      <c r="K108" s="3">
        <f t="shared" si="20"/>
        <v>6.91</v>
      </c>
      <c r="L108" s="3">
        <f t="shared" si="20"/>
        <v>6.91</v>
      </c>
      <c r="M108" s="3">
        <f t="shared" si="20"/>
        <v>6.9</v>
      </c>
      <c r="P108" s="14" t="s">
        <v>547</v>
      </c>
      <c r="Q108" s="10" t="str">
        <f t="shared" si="21"/>
        <v>EMBRATEL PAR-ON *</v>
      </c>
      <c r="R108" s="51">
        <f t="shared" si="22"/>
        <v>41681</v>
      </c>
      <c r="S108" s="5">
        <f t="shared" si="23"/>
        <v>6.9</v>
      </c>
      <c r="T108" s="5">
        <f t="shared" si="24"/>
        <v>6.91</v>
      </c>
      <c r="U108" s="5">
        <f t="shared" si="25"/>
        <v>6.91</v>
      </c>
      <c r="V108" s="5">
        <f t="shared" si="26"/>
        <v>6.9</v>
      </c>
    </row>
    <row r="109" spans="1:22" x14ac:dyDescent="0.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551</v>
      </c>
      <c r="D109" s="3" t="s">
        <v>552</v>
      </c>
      <c r="E109" s="3" t="s">
        <v>552</v>
      </c>
      <c r="F109" s="3" t="s">
        <v>552</v>
      </c>
      <c r="G109" s="3" t="s">
        <v>552</v>
      </c>
      <c r="H109" s="51">
        <v>41681</v>
      </c>
      <c r="J109" s="3">
        <f t="shared" si="20"/>
        <v>1.87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549</v>
      </c>
      <c r="Q109" s="10" t="str">
        <f t="shared" si="21"/>
        <v>JEREISSATI  -ON</v>
      </c>
      <c r="R109" s="51">
        <f t="shared" si="22"/>
        <v>41681</v>
      </c>
      <c r="S109" s="5">
        <f t="shared" si="23"/>
        <v>1.87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 x14ac:dyDescent="0.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553</v>
      </c>
      <c r="D110" s="3" t="s">
        <v>826</v>
      </c>
      <c r="E110" s="3" t="s">
        <v>511</v>
      </c>
      <c r="F110" s="3" t="s">
        <v>511</v>
      </c>
      <c r="G110" s="3" t="s">
        <v>1347</v>
      </c>
      <c r="H110" s="51">
        <v>41681</v>
      </c>
      <c r="J110" s="3">
        <f t="shared" si="20"/>
        <v>1.56</v>
      </c>
      <c r="K110" s="3">
        <f t="shared" si="20"/>
        <v>1.6</v>
      </c>
      <c r="L110" s="3">
        <f t="shared" si="20"/>
        <v>1.6</v>
      </c>
      <c r="M110" s="3">
        <f t="shared" si="20"/>
        <v>1.54</v>
      </c>
      <c r="P110" s="15" t="s">
        <v>550</v>
      </c>
      <c r="Q110" s="10" t="str">
        <f t="shared" si="21"/>
        <v>JEREISSATI  -PN</v>
      </c>
      <c r="R110" s="51">
        <f t="shared" si="22"/>
        <v>41681</v>
      </c>
      <c r="S110" s="5">
        <f t="shared" si="23"/>
        <v>1.56</v>
      </c>
      <c r="T110" s="5">
        <f t="shared" si="24"/>
        <v>1.6</v>
      </c>
      <c r="U110" s="5">
        <f t="shared" si="25"/>
        <v>1.6</v>
      </c>
      <c r="V110" s="5">
        <f t="shared" si="26"/>
        <v>1.54</v>
      </c>
    </row>
    <row r="111" spans="1:22" x14ac:dyDescent="0.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558</v>
      </c>
      <c r="D111" s="3" t="s">
        <v>554</v>
      </c>
      <c r="E111" s="3" t="s">
        <v>554</v>
      </c>
      <c r="F111" s="3" t="s">
        <v>554</v>
      </c>
      <c r="G111" s="3" t="s">
        <v>554</v>
      </c>
      <c r="H111" s="51">
        <v>41681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555</v>
      </c>
      <c r="Q111" s="10" t="str">
        <f t="shared" si="21"/>
        <v>LA FONTE TEL-ON</v>
      </c>
      <c r="R111" s="51">
        <f t="shared" si="22"/>
        <v>41681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 x14ac:dyDescent="0.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559</v>
      </c>
      <c r="D112" s="3" t="s">
        <v>560</v>
      </c>
      <c r="E112" s="3" t="s">
        <v>560</v>
      </c>
      <c r="F112" s="3" t="s">
        <v>560</v>
      </c>
      <c r="G112" s="3" t="s">
        <v>560</v>
      </c>
      <c r="H112" s="51">
        <v>41681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556</v>
      </c>
      <c r="Q112" s="10" t="str">
        <f t="shared" si="21"/>
        <v>LA FONTE TEL-PN</v>
      </c>
      <c r="R112" s="51">
        <f t="shared" si="22"/>
        <v>41681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 x14ac:dyDescent="0.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 x14ac:dyDescent="0.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 x14ac:dyDescent="0.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 x14ac:dyDescent="0.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 x14ac:dyDescent="0.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 x14ac:dyDescent="0.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 x14ac:dyDescent="0.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 x14ac:dyDescent="0.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 x14ac:dyDescent="0.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 x14ac:dyDescent="0.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 x14ac:dyDescent="0.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 x14ac:dyDescent="0.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 x14ac:dyDescent="0.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 x14ac:dyDescent="0.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 x14ac:dyDescent="0.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 x14ac:dyDescent="0.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 x14ac:dyDescent="0.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 x14ac:dyDescent="0.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 x14ac:dyDescent="0.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 x14ac:dyDescent="0.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 x14ac:dyDescent="0.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 x14ac:dyDescent="0.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 x14ac:dyDescent="0.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 x14ac:dyDescent="0.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 x14ac:dyDescent="0.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 x14ac:dyDescent="0.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 x14ac:dyDescent="0.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 x14ac:dyDescent="0.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 x14ac:dyDescent="0.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 x14ac:dyDescent="0.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 x14ac:dyDescent="0.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 x14ac:dyDescent="0.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 x14ac:dyDescent="0.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 x14ac:dyDescent="0.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 x14ac:dyDescent="0.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 x14ac:dyDescent="0.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 x14ac:dyDescent="0.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 x14ac:dyDescent="0.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 x14ac:dyDescent="0.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 x14ac:dyDescent="0.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 x14ac:dyDescent="0.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 x14ac:dyDescent="0.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 x14ac:dyDescent="0.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 x14ac:dyDescent="0.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 x14ac:dyDescent="0.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 x14ac:dyDescent="0.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 x14ac:dyDescent="0.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 x14ac:dyDescent="0.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 x14ac:dyDescent="0.2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 x14ac:dyDescent="0.2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 x14ac:dyDescent="0.2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 x14ac:dyDescent="0.2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 x14ac:dyDescent="0.2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 x14ac:dyDescent="0.2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 x14ac:dyDescent="0.2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 x14ac:dyDescent="0.2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 x14ac:dyDescent="0.2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 x14ac:dyDescent="0.2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 x14ac:dyDescent="0.2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 x14ac:dyDescent="0.2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988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565</v>
      </c>
      <c r="D7" s="3" t="s">
        <v>566</v>
      </c>
      <c r="E7" s="3" t="s">
        <v>566</v>
      </c>
      <c r="F7" s="3" t="s">
        <v>566</v>
      </c>
      <c r="G7" s="3" t="s">
        <v>566</v>
      </c>
      <c r="H7" s="51">
        <v>41681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563</v>
      </c>
      <c r="Q7" s="10" t="str">
        <f t="shared" ref="Q7:Q38" si="1">IF(A7="","",C7)</f>
        <v xml:space="preserve">INDUSVAL    -ON  </v>
      </c>
      <c r="R7" s="51">
        <f t="shared" ref="R7:R38" si="2">IF(A7="","",H7)</f>
        <v>41681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 x14ac:dyDescent="0.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567</v>
      </c>
      <c r="D8" s="3" t="s">
        <v>1348</v>
      </c>
      <c r="E8" s="3" t="s">
        <v>842</v>
      </c>
      <c r="F8" s="3" t="s">
        <v>842</v>
      </c>
      <c r="G8" s="3" t="s">
        <v>844</v>
      </c>
      <c r="H8" s="51">
        <v>41681</v>
      </c>
      <c r="J8" s="3">
        <f t="shared" ref="J8:M71" si="7">IF($A8="",0,VALUE(CONCATENATE(LEFT(D8,LEN(D8)-3),",",RIGHT(D8,2))))</f>
        <v>5.15</v>
      </c>
      <c r="K8" s="3">
        <f t="shared" si="0"/>
        <v>5.19</v>
      </c>
      <c r="L8" s="3">
        <f t="shared" si="0"/>
        <v>5.19</v>
      </c>
      <c r="M8" s="3">
        <f t="shared" si="0"/>
        <v>5.13</v>
      </c>
      <c r="P8" s="15" t="s">
        <v>564</v>
      </c>
      <c r="Q8" s="10" t="str">
        <f t="shared" si="1"/>
        <v xml:space="preserve">INDUSVAL    -PN  </v>
      </c>
      <c r="R8" s="51">
        <f t="shared" si="2"/>
        <v>41681</v>
      </c>
      <c r="S8" s="5">
        <f t="shared" si="3"/>
        <v>5.15</v>
      </c>
      <c r="T8" s="5">
        <f t="shared" si="4"/>
        <v>5.19</v>
      </c>
      <c r="U8" s="5">
        <f t="shared" si="5"/>
        <v>5.19</v>
      </c>
      <c r="V8" s="5">
        <f t="shared" si="6"/>
        <v>5.13</v>
      </c>
    </row>
    <row r="9" spans="1:22" x14ac:dyDescent="0.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570</v>
      </c>
      <c r="D9" s="3" t="s">
        <v>788</v>
      </c>
      <c r="E9" s="3" t="s">
        <v>788</v>
      </c>
      <c r="F9" s="3" t="s">
        <v>788</v>
      </c>
      <c r="G9" s="3" t="s">
        <v>788</v>
      </c>
      <c r="H9" s="51">
        <v>41681</v>
      </c>
      <c r="J9" s="3">
        <f t="shared" si="7"/>
        <v>12.4</v>
      </c>
      <c r="K9" s="3">
        <f t="shared" si="0"/>
        <v>12.4</v>
      </c>
      <c r="L9" s="3">
        <f t="shared" si="0"/>
        <v>12.4</v>
      </c>
      <c r="M9" s="3">
        <f t="shared" si="0"/>
        <v>12.4</v>
      </c>
      <c r="P9" s="14" t="s">
        <v>568</v>
      </c>
      <c r="Q9" s="10" t="str">
        <f t="shared" si="1"/>
        <v>MERC BRASIL -ON</v>
      </c>
      <c r="R9" s="51">
        <f t="shared" si="2"/>
        <v>41681</v>
      </c>
      <c r="S9" s="5">
        <f t="shared" si="3"/>
        <v>12.4</v>
      </c>
      <c r="T9" s="5">
        <f t="shared" si="4"/>
        <v>12.4</v>
      </c>
      <c r="U9" s="5">
        <f t="shared" si="5"/>
        <v>12.4</v>
      </c>
      <c r="V9" s="5">
        <f t="shared" si="6"/>
        <v>12.4</v>
      </c>
    </row>
    <row r="10" spans="1:22" x14ac:dyDescent="0.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571</v>
      </c>
      <c r="D10" s="3" t="s">
        <v>868</v>
      </c>
      <c r="E10" s="3" t="s">
        <v>868</v>
      </c>
      <c r="F10" s="3" t="s">
        <v>868</v>
      </c>
      <c r="G10" s="3" t="s">
        <v>868</v>
      </c>
      <c r="H10" s="51">
        <v>41681</v>
      </c>
      <c r="J10" s="3">
        <f t="shared" si="7"/>
        <v>7.4</v>
      </c>
      <c r="K10" s="3">
        <f t="shared" si="0"/>
        <v>7.4</v>
      </c>
      <c r="L10" s="3">
        <f t="shared" si="0"/>
        <v>7.4</v>
      </c>
      <c r="M10" s="3">
        <f t="shared" si="0"/>
        <v>7.4</v>
      </c>
      <c r="P10" s="14" t="s">
        <v>569</v>
      </c>
      <c r="Q10" s="10" t="str">
        <f t="shared" si="1"/>
        <v>MERC BRASIL -PN</v>
      </c>
      <c r="R10" s="46">
        <f t="shared" si="2"/>
        <v>41681</v>
      </c>
      <c r="S10" s="6">
        <f t="shared" si="3"/>
        <v>7.4</v>
      </c>
      <c r="T10" s="6">
        <f t="shared" si="4"/>
        <v>7.4</v>
      </c>
      <c r="U10" s="5">
        <f t="shared" si="5"/>
        <v>7.4</v>
      </c>
      <c r="V10" s="5">
        <f t="shared" si="6"/>
        <v>7.4</v>
      </c>
    </row>
    <row r="11" spans="1:22" x14ac:dyDescent="0.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574</v>
      </c>
      <c r="D11" s="3" t="s">
        <v>454</v>
      </c>
      <c r="E11" s="3" t="s">
        <v>455</v>
      </c>
      <c r="F11" s="3" t="s">
        <v>454</v>
      </c>
      <c r="G11" s="3" t="s">
        <v>454</v>
      </c>
      <c r="H11" s="51" t="s">
        <v>454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572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 x14ac:dyDescent="0.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575</v>
      </c>
      <c r="D12" s="3" t="s">
        <v>799</v>
      </c>
      <c r="E12" s="3" t="s">
        <v>1195</v>
      </c>
      <c r="F12" s="3" t="s">
        <v>1349</v>
      </c>
      <c r="G12" s="3" t="s">
        <v>799</v>
      </c>
      <c r="H12" s="51">
        <v>41681</v>
      </c>
      <c r="J12" s="3">
        <f t="shared" si="7"/>
        <v>3.65</v>
      </c>
      <c r="K12" s="3">
        <f t="shared" si="0"/>
        <v>3.68</v>
      </c>
      <c r="L12" s="3">
        <f t="shared" si="0"/>
        <v>3.7</v>
      </c>
      <c r="M12" s="3">
        <f t="shared" si="0"/>
        <v>3.65</v>
      </c>
      <c r="P12" s="14" t="s">
        <v>573</v>
      </c>
      <c r="Q12" s="10" t="str">
        <f t="shared" si="1"/>
        <v xml:space="preserve">PANAMERICANO-PN  </v>
      </c>
      <c r="R12" s="46">
        <f t="shared" si="2"/>
        <v>41681</v>
      </c>
      <c r="S12" s="6">
        <f t="shared" si="3"/>
        <v>3.65</v>
      </c>
      <c r="T12" s="6">
        <f t="shared" si="4"/>
        <v>3.68</v>
      </c>
      <c r="U12" s="6">
        <f t="shared" si="5"/>
        <v>3.7</v>
      </c>
      <c r="V12" s="6">
        <f t="shared" si="6"/>
        <v>3.65</v>
      </c>
    </row>
    <row r="13" spans="1:22" x14ac:dyDescent="0.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579</v>
      </c>
      <c r="D13" s="3" t="s">
        <v>454</v>
      </c>
      <c r="E13" s="3" t="s">
        <v>421</v>
      </c>
      <c r="F13" s="3" t="s">
        <v>421</v>
      </c>
      <c r="G13" s="3" t="s">
        <v>421</v>
      </c>
      <c r="H13" s="51">
        <v>41681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578</v>
      </c>
      <c r="Q13" s="10" t="str">
        <f t="shared" si="1"/>
        <v>PATAGONIA   -DR3</v>
      </c>
      <c r="R13" s="51">
        <f t="shared" si="2"/>
        <v>41681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 x14ac:dyDescent="0.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583</v>
      </c>
      <c r="D14" s="3" t="s">
        <v>1350</v>
      </c>
      <c r="E14" s="3" t="s">
        <v>964</v>
      </c>
      <c r="F14" s="3" t="s">
        <v>1351</v>
      </c>
      <c r="G14" s="3" t="s">
        <v>1352</v>
      </c>
      <c r="H14" s="51">
        <v>41681</v>
      </c>
      <c r="J14" s="3">
        <f t="shared" si="7"/>
        <v>11.49</v>
      </c>
      <c r="K14" s="3">
        <f t="shared" si="0"/>
        <v>11.6</v>
      </c>
      <c r="L14" s="3">
        <f t="shared" si="0"/>
        <v>11.63</v>
      </c>
      <c r="M14" s="3">
        <f t="shared" si="0"/>
        <v>11.45</v>
      </c>
      <c r="P14" s="15" t="s">
        <v>580</v>
      </c>
      <c r="Q14" s="10" t="str">
        <f t="shared" si="1"/>
        <v xml:space="preserve">SANTANDER BR-UNT </v>
      </c>
      <c r="R14" s="51">
        <f t="shared" si="2"/>
        <v>41681</v>
      </c>
      <c r="S14" s="5">
        <f t="shared" si="3"/>
        <v>11.49</v>
      </c>
      <c r="T14" s="5">
        <f t="shared" si="4"/>
        <v>11.6</v>
      </c>
      <c r="U14" s="5">
        <f t="shared" si="5"/>
        <v>11.63</v>
      </c>
      <c r="V14" s="5">
        <f t="shared" si="6"/>
        <v>11.45</v>
      </c>
    </row>
    <row r="15" spans="1:22" x14ac:dyDescent="0.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584</v>
      </c>
      <c r="D15" s="3" t="s">
        <v>585</v>
      </c>
      <c r="E15" s="3" t="s">
        <v>585</v>
      </c>
      <c r="F15" s="3" t="s">
        <v>585</v>
      </c>
      <c r="G15" s="3" t="s">
        <v>833</v>
      </c>
      <c r="H15" s="51">
        <v>41681</v>
      </c>
      <c r="J15" s="3">
        <f t="shared" si="7"/>
        <v>0.11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581</v>
      </c>
      <c r="Q15" s="10" t="str">
        <f t="shared" si="1"/>
        <v xml:space="preserve">SANTANDER BR-ON  </v>
      </c>
      <c r="R15" s="51">
        <f t="shared" si="2"/>
        <v>41681</v>
      </c>
      <c r="S15" s="5">
        <f t="shared" si="3"/>
        <v>0.11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 x14ac:dyDescent="0.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586</v>
      </c>
      <c r="D16" s="3" t="s">
        <v>585</v>
      </c>
      <c r="E16" s="3" t="s">
        <v>420</v>
      </c>
      <c r="F16" s="3" t="s">
        <v>420</v>
      </c>
      <c r="G16" s="3" t="s">
        <v>585</v>
      </c>
      <c r="H16" s="51">
        <v>41681</v>
      </c>
      <c r="J16" s="3">
        <f t="shared" si="7"/>
        <v>0.11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582</v>
      </c>
      <c r="Q16" s="10" t="str">
        <f t="shared" si="1"/>
        <v xml:space="preserve">SANTANDER BR-PN  </v>
      </c>
      <c r="R16" s="51">
        <f t="shared" si="2"/>
        <v>41681</v>
      </c>
      <c r="S16" s="5">
        <f t="shared" si="3"/>
        <v>0.11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 x14ac:dyDescent="0.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588</v>
      </c>
      <c r="D17" s="3" t="s">
        <v>454</v>
      </c>
      <c r="E17" s="3" t="s">
        <v>455</v>
      </c>
      <c r="F17" s="3" t="s">
        <v>454</v>
      </c>
      <c r="G17" s="3" t="s">
        <v>454</v>
      </c>
      <c r="H17" s="51" t="s">
        <v>454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587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 x14ac:dyDescent="0.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591</v>
      </c>
      <c r="D18" s="3" t="s">
        <v>936</v>
      </c>
      <c r="E18" s="3" t="s">
        <v>936</v>
      </c>
      <c r="F18" s="3" t="s">
        <v>936</v>
      </c>
      <c r="G18" s="3" t="s">
        <v>1353</v>
      </c>
      <c r="H18" s="51">
        <v>41681</v>
      </c>
      <c r="J18" s="3">
        <f t="shared" si="7"/>
        <v>1.38</v>
      </c>
      <c r="K18" s="3">
        <f t="shared" si="0"/>
        <v>1.38</v>
      </c>
      <c r="L18" s="3">
        <f t="shared" si="0"/>
        <v>1.38</v>
      </c>
      <c r="M18" s="3">
        <f t="shared" si="0"/>
        <v>1.37</v>
      </c>
      <c r="P18" s="10" t="s">
        <v>590</v>
      </c>
      <c r="Q18" s="10" t="str">
        <f t="shared" si="1"/>
        <v xml:space="preserve">IDEIASNET   -ON  </v>
      </c>
      <c r="R18" s="51">
        <f t="shared" si="2"/>
        <v>41681</v>
      </c>
      <c r="S18" s="5">
        <f t="shared" si="3"/>
        <v>1.38</v>
      </c>
      <c r="T18" s="5">
        <f t="shared" si="4"/>
        <v>1.38</v>
      </c>
      <c r="U18" s="5">
        <f t="shared" si="5"/>
        <v>1.38</v>
      </c>
      <c r="V18" s="5">
        <f t="shared" si="6"/>
        <v>1.37</v>
      </c>
    </row>
    <row r="19" spans="1:22" x14ac:dyDescent="0.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596</v>
      </c>
      <c r="D19" s="3" t="s">
        <v>1354</v>
      </c>
      <c r="E19" s="3" t="s">
        <v>1354</v>
      </c>
      <c r="F19" s="3" t="s">
        <v>1354</v>
      </c>
      <c r="G19" s="3" t="s">
        <v>1354</v>
      </c>
      <c r="H19" s="51">
        <v>41681</v>
      </c>
      <c r="J19" s="3">
        <f t="shared" si="7"/>
        <v>41.99</v>
      </c>
      <c r="K19" s="3">
        <f t="shared" si="0"/>
        <v>41.99</v>
      </c>
      <c r="L19" s="3">
        <f t="shared" si="0"/>
        <v>41.99</v>
      </c>
      <c r="M19" s="3">
        <f t="shared" si="0"/>
        <v>41.99</v>
      </c>
      <c r="P19" s="10" t="s">
        <v>593</v>
      </c>
      <c r="Q19" s="10" t="str">
        <f t="shared" si="1"/>
        <v xml:space="preserve">LINX        -ON  </v>
      </c>
      <c r="R19" s="51">
        <f t="shared" si="2"/>
        <v>41681</v>
      </c>
      <c r="S19" s="5">
        <f t="shared" si="3"/>
        <v>41.99</v>
      </c>
      <c r="T19" s="5">
        <f t="shared" si="4"/>
        <v>41.99</v>
      </c>
      <c r="U19" s="5">
        <f t="shared" si="5"/>
        <v>41.99</v>
      </c>
      <c r="V19" s="5">
        <f t="shared" si="6"/>
        <v>41.99</v>
      </c>
    </row>
    <row r="20" spans="1:22" x14ac:dyDescent="0.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597</v>
      </c>
      <c r="D20" s="3" t="s">
        <v>869</v>
      </c>
      <c r="E20" s="3" t="s">
        <v>795</v>
      </c>
      <c r="F20" s="3" t="s">
        <v>869</v>
      </c>
      <c r="G20" s="3" t="s">
        <v>795</v>
      </c>
      <c r="H20" s="51">
        <v>41681</v>
      </c>
      <c r="J20" s="3">
        <f t="shared" si="7"/>
        <v>4.7</v>
      </c>
      <c r="K20" s="3">
        <f t="shared" si="0"/>
        <v>4.4000000000000004</v>
      </c>
      <c r="L20" s="3">
        <f t="shared" si="0"/>
        <v>4.7</v>
      </c>
      <c r="M20" s="3">
        <f t="shared" si="0"/>
        <v>4.4000000000000004</v>
      </c>
      <c r="P20" s="10" t="s">
        <v>594</v>
      </c>
      <c r="Q20" s="10" t="str">
        <f t="shared" si="1"/>
        <v>TELEBRAS    -ON</v>
      </c>
      <c r="R20" s="51">
        <f t="shared" si="2"/>
        <v>41681</v>
      </c>
      <c r="S20" s="5">
        <f t="shared" si="3"/>
        <v>4.7</v>
      </c>
      <c r="T20" s="5">
        <f t="shared" si="4"/>
        <v>4.4000000000000004</v>
      </c>
      <c r="U20" s="5">
        <f t="shared" si="5"/>
        <v>4.7</v>
      </c>
      <c r="V20" s="5">
        <f t="shared" si="6"/>
        <v>4.4000000000000004</v>
      </c>
    </row>
    <row r="21" spans="1:22" x14ac:dyDescent="0.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598</v>
      </c>
      <c r="D21" s="3" t="s">
        <v>1355</v>
      </c>
      <c r="E21" s="3" t="s">
        <v>1356</v>
      </c>
      <c r="F21" s="3" t="s">
        <v>1355</v>
      </c>
      <c r="G21" s="3" t="s">
        <v>1356</v>
      </c>
      <c r="H21" s="51">
        <v>41681</v>
      </c>
      <c r="J21" s="3">
        <f t="shared" si="7"/>
        <v>2.5499999999999998</v>
      </c>
      <c r="K21" s="3">
        <f t="shared" si="0"/>
        <v>2.5299999999999998</v>
      </c>
      <c r="L21" s="3">
        <f t="shared" si="0"/>
        <v>2.5499999999999998</v>
      </c>
      <c r="M21" s="3">
        <f t="shared" si="0"/>
        <v>2.5299999999999998</v>
      </c>
      <c r="P21" s="14" t="s">
        <v>595</v>
      </c>
      <c r="Q21" s="10" t="str">
        <f t="shared" si="1"/>
        <v>TELEBRAS    -PN</v>
      </c>
      <c r="R21" s="51">
        <f t="shared" si="2"/>
        <v>41681</v>
      </c>
      <c r="S21" s="5">
        <f t="shared" si="3"/>
        <v>2.5499999999999998</v>
      </c>
      <c r="T21" s="5">
        <f t="shared" si="4"/>
        <v>2.5299999999999998</v>
      </c>
      <c r="U21" s="5">
        <f t="shared" si="5"/>
        <v>2.5499999999999998</v>
      </c>
      <c r="V21" s="5">
        <f t="shared" si="6"/>
        <v>2.5299999999999998</v>
      </c>
    </row>
    <row r="22" spans="1:22" x14ac:dyDescent="0.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600</v>
      </c>
      <c r="D22" s="3" t="s">
        <v>752</v>
      </c>
      <c r="E22" s="3" t="s">
        <v>870</v>
      </c>
      <c r="F22" s="3" t="s">
        <v>870</v>
      </c>
      <c r="G22" s="3" t="s">
        <v>871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599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 x14ac:dyDescent="0.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602</v>
      </c>
      <c r="D23" s="3" t="s">
        <v>1357</v>
      </c>
      <c r="E23" s="3" t="s">
        <v>1358</v>
      </c>
      <c r="F23" s="3" t="s">
        <v>1359</v>
      </c>
      <c r="G23" s="3" t="s">
        <v>1360</v>
      </c>
      <c r="H23" s="51">
        <v>41681</v>
      </c>
      <c r="J23" s="3">
        <f t="shared" si="7"/>
        <v>32.119999999999997</v>
      </c>
      <c r="K23" s="3">
        <f t="shared" si="7"/>
        <v>32.04</v>
      </c>
      <c r="L23" s="3">
        <f t="shared" si="7"/>
        <v>32.130000000000003</v>
      </c>
      <c r="M23" s="3">
        <f t="shared" si="7"/>
        <v>31.93</v>
      </c>
      <c r="P23" s="14" t="s">
        <v>601</v>
      </c>
      <c r="Q23" s="10" t="str">
        <f t="shared" si="1"/>
        <v xml:space="preserve">TOTVS       -ON  </v>
      </c>
      <c r="R23" s="51">
        <f t="shared" si="2"/>
        <v>41681</v>
      </c>
      <c r="S23" s="5">
        <f t="shared" si="3"/>
        <v>32.119999999999997</v>
      </c>
      <c r="T23" s="5">
        <f t="shared" si="4"/>
        <v>32.04</v>
      </c>
      <c r="U23" s="5">
        <f t="shared" si="5"/>
        <v>32.130000000000003</v>
      </c>
      <c r="V23" s="5">
        <f t="shared" si="6"/>
        <v>31.93</v>
      </c>
    </row>
    <row r="24" spans="1:22" x14ac:dyDescent="0.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607</v>
      </c>
      <c r="D24" s="3" t="s">
        <v>863</v>
      </c>
      <c r="E24" s="3" t="s">
        <v>888</v>
      </c>
      <c r="F24" s="3" t="s">
        <v>1303</v>
      </c>
      <c r="G24" s="3" t="s">
        <v>762</v>
      </c>
      <c r="H24" s="51">
        <v>41681</v>
      </c>
      <c r="J24" s="3">
        <f t="shared" si="7"/>
        <v>8.2200000000000006</v>
      </c>
      <c r="K24" s="3">
        <f t="shared" si="7"/>
        <v>8.0500000000000007</v>
      </c>
      <c r="L24" s="3">
        <f t="shared" si="7"/>
        <v>8.2899999999999991</v>
      </c>
      <c r="M24" s="3">
        <f t="shared" si="7"/>
        <v>8</v>
      </c>
      <c r="P24" s="15" t="s">
        <v>604</v>
      </c>
      <c r="Q24" s="10" t="str">
        <f t="shared" si="1"/>
        <v xml:space="preserve">BEMATECH    -ON  </v>
      </c>
      <c r="R24" s="51">
        <f t="shared" si="2"/>
        <v>41681</v>
      </c>
      <c r="S24" s="5">
        <f t="shared" si="3"/>
        <v>8.2200000000000006</v>
      </c>
      <c r="T24" s="5">
        <f t="shared" si="4"/>
        <v>8.0500000000000007</v>
      </c>
      <c r="U24" s="5">
        <f t="shared" si="5"/>
        <v>8.2899999999999991</v>
      </c>
      <c r="V24" s="5">
        <f t="shared" si="6"/>
        <v>8</v>
      </c>
    </row>
    <row r="25" spans="1:22" x14ac:dyDescent="0.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608</v>
      </c>
      <c r="D25" s="3" t="s">
        <v>240</v>
      </c>
      <c r="E25" s="3" t="s">
        <v>872</v>
      </c>
      <c r="F25" s="3" t="s">
        <v>872</v>
      </c>
      <c r="G25" s="3" t="s">
        <v>240</v>
      </c>
      <c r="H25" s="51">
        <v>41681</v>
      </c>
      <c r="J25" s="3">
        <f t="shared" si="7"/>
        <v>19</v>
      </c>
      <c r="K25" s="3">
        <f t="shared" si="7"/>
        <v>19.03</v>
      </c>
      <c r="L25" s="3">
        <f t="shared" si="7"/>
        <v>19.03</v>
      </c>
      <c r="M25" s="3">
        <f t="shared" si="7"/>
        <v>19</v>
      </c>
      <c r="P25" s="10" t="s">
        <v>605</v>
      </c>
      <c r="Q25" s="10" t="str">
        <f t="shared" si="1"/>
        <v>ITAUTEC     -ON</v>
      </c>
      <c r="R25" s="51">
        <f t="shared" si="2"/>
        <v>41681</v>
      </c>
      <c r="S25" s="5">
        <f t="shared" si="3"/>
        <v>19</v>
      </c>
      <c r="T25" s="5">
        <f t="shared" si="4"/>
        <v>19.03</v>
      </c>
      <c r="U25" s="5">
        <f t="shared" si="5"/>
        <v>19.03</v>
      </c>
      <c r="V25" s="5">
        <f t="shared" si="6"/>
        <v>19</v>
      </c>
    </row>
    <row r="26" spans="1:22" x14ac:dyDescent="0.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609</v>
      </c>
      <c r="D26" s="3" t="s">
        <v>1361</v>
      </c>
      <c r="E26" s="3" t="s">
        <v>1204</v>
      </c>
      <c r="F26" s="3" t="s">
        <v>843</v>
      </c>
      <c r="G26" s="3" t="s">
        <v>1361</v>
      </c>
      <c r="H26" s="51">
        <v>41681</v>
      </c>
      <c r="J26" s="3">
        <f t="shared" si="7"/>
        <v>2.72</v>
      </c>
      <c r="K26" s="3">
        <f t="shared" si="7"/>
        <v>2.79</v>
      </c>
      <c r="L26" s="3">
        <f t="shared" si="7"/>
        <v>2.84</v>
      </c>
      <c r="M26" s="3">
        <f t="shared" si="7"/>
        <v>2.72</v>
      </c>
      <c r="P26" s="15" t="s">
        <v>606</v>
      </c>
      <c r="Q26" s="10" t="str">
        <f t="shared" si="1"/>
        <v xml:space="preserve">POSITIVO INF-ON  </v>
      </c>
      <c r="R26" s="51">
        <f t="shared" si="2"/>
        <v>41681</v>
      </c>
      <c r="S26" s="5">
        <f t="shared" si="3"/>
        <v>2.72</v>
      </c>
      <c r="T26" s="5">
        <f t="shared" si="4"/>
        <v>2.79</v>
      </c>
      <c r="U26" s="5">
        <f t="shared" si="5"/>
        <v>2.84</v>
      </c>
      <c r="V26" s="5">
        <f t="shared" si="6"/>
        <v>2.72</v>
      </c>
    </row>
    <row r="27" spans="1:22" x14ac:dyDescent="0.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613</v>
      </c>
      <c r="D27" s="3" t="s">
        <v>910</v>
      </c>
      <c r="E27" s="3" t="s">
        <v>962</v>
      </c>
      <c r="F27" s="3" t="s">
        <v>962</v>
      </c>
      <c r="G27" s="3" t="s">
        <v>873</v>
      </c>
      <c r="H27" s="51">
        <v>41681</v>
      </c>
      <c r="J27" s="3">
        <f t="shared" si="7"/>
        <v>0.35</v>
      </c>
      <c r="K27" s="3">
        <f t="shared" si="7"/>
        <v>0.36</v>
      </c>
      <c r="L27" s="3">
        <f t="shared" si="7"/>
        <v>0.36</v>
      </c>
      <c r="M27" s="3">
        <f t="shared" si="7"/>
        <v>0.34</v>
      </c>
      <c r="P27" s="15" t="s">
        <v>611</v>
      </c>
      <c r="Q27" s="10" t="str">
        <f t="shared" si="1"/>
        <v>PET MANGUINH-ON</v>
      </c>
      <c r="R27" s="51">
        <f t="shared" si="2"/>
        <v>41681</v>
      </c>
      <c r="S27" s="5">
        <f t="shared" si="3"/>
        <v>0.35</v>
      </c>
      <c r="T27" s="5">
        <f t="shared" si="4"/>
        <v>0.36</v>
      </c>
      <c r="U27" s="5">
        <f t="shared" si="5"/>
        <v>0.36</v>
      </c>
      <c r="V27" s="5">
        <f t="shared" si="6"/>
        <v>0.34</v>
      </c>
    </row>
    <row r="28" spans="1:22" x14ac:dyDescent="0.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615</v>
      </c>
      <c r="D28" s="3" t="s">
        <v>873</v>
      </c>
      <c r="E28" s="3" t="s">
        <v>873</v>
      </c>
      <c r="F28" s="3" t="s">
        <v>873</v>
      </c>
      <c r="G28" s="3" t="s">
        <v>873</v>
      </c>
      <c r="H28" s="51">
        <v>41681</v>
      </c>
      <c r="J28" s="3">
        <f t="shared" si="7"/>
        <v>0.34</v>
      </c>
      <c r="K28" s="3">
        <f t="shared" si="7"/>
        <v>0.34</v>
      </c>
      <c r="L28" s="3">
        <f t="shared" si="7"/>
        <v>0.34</v>
      </c>
      <c r="M28" s="3">
        <f t="shared" si="7"/>
        <v>0.34</v>
      </c>
      <c r="P28" s="15" t="s">
        <v>612</v>
      </c>
      <c r="Q28" s="10" t="str">
        <f t="shared" si="1"/>
        <v>PET MANGUINH-PN</v>
      </c>
      <c r="R28" s="51">
        <f t="shared" si="2"/>
        <v>41681</v>
      </c>
      <c r="S28" s="5">
        <f t="shared" si="3"/>
        <v>0.34</v>
      </c>
      <c r="T28" s="5">
        <f t="shared" si="4"/>
        <v>0.34</v>
      </c>
      <c r="U28" s="5">
        <f t="shared" si="5"/>
        <v>0.34</v>
      </c>
      <c r="V28" s="5">
        <f t="shared" si="6"/>
        <v>0.34</v>
      </c>
    </row>
    <row r="29" spans="1:22" x14ac:dyDescent="0.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619</v>
      </c>
      <c r="D29" s="3" t="s">
        <v>1362</v>
      </c>
      <c r="E29" s="3" t="s">
        <v>911</v>
      </c>
      <c r="F29" s="3" t="s">
        <v>1363</v>
      </c>
      <c r="G29" s="3" t="s">
        <v>1364</v>
      </c>
      <c r="H29" s="51">
        <v>41681</v>
      </c>
      <c r="J29" s="3">
        <f>IF($A29="",0,VALUE(CONCATENATE(LEFT(D29,LEN(D29)-3),",",RIGHT(D29,2))))</f>
        <v>11.35</v>
      </c>
      <c r="K29" s="3">
        <f t="shared" si="7"/>
        <v>11.31</v>
      </c>
      <c r="L29" s="3">
        <f t="shared" si="7"/>
        <v>11.43</v>
      </c>
      <c r="M29" s="3">
        <f t="shared" si="7"/>
        <v>11.12</v>
      </c>
      <c r="P29" s="15" t="s">
        <v>618</v>
      </c>
      <c r="Q29" s="10" t="str">
        <f t="shared" si="1"/>
        <v>SID NACIONAL-ON</v>
      </c>
      <c r="R29" s="51">
        <f t="shared" si="2"/>
        <v>41681</v>
      </c>
      <c r="S29" s="5">
        <f t="shared" si="3"/>
        <v>11.35</v>
      </c>
      <c r="T29" s="5">
        <f t="shared" si="4"/>
        <v>11.31</v>
      </c>
      <c r="U29" s="5">
        <f t="shared" si="5"/>
        <v>11.43</v>
      </c>
      <c r="V29" s="5">
        <f t="shared" si="6"/>
        <v>11.12</v>
      </c>
    </row>
    <row r="30" spans="1:22" x14ac:dyDescent="0.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623</v>
      </c>
      <c r="D30" s="3" t="s">
        <v>1365</v>
      </c>
      <c r="E30" s="3" t="s">
        <v>985</v>
      </c>
      <c r="F30" s="3" t="s">
        <v>1366</v>
      </c>
      <c r="G30" s="3" t="s">
        <v>1367</v>
      </c>
      <c r="H30" s="51">
        <v>41681</v>
      </c>
      <c r="J30" s="3">
        <f t="shared" si="7"/>
        <v>10.7</v>
      </c>
      <c r="K30" s="3">
        <f t="shared" si="7"/>
        <v>10.65</v>
      </c>
      <c r="L30" s="3">
        <f t="shared" si="7"/>
        <v>10.82</v>
      </c>
      <c r="M30" s="3">
        <f t="shared" si="7"/>
        <v>10.63</v>
      </c>
      <c r="P30" s="14" t="s">
        <v>620</v>
      </c>
      <c r="Q30" s="10" t="str">
        <f t="shared" si="1"/>
        <v xml:space="preserve">USIMINAS    -ON  </v>
      </c>
      <c r="R30" s="51">
        <f t="shared" si="2"/>
        <v>41681</v>
      </c>
      <c r="S30" s="5">
        <f t="shared" si="3"/>
        <v>10.7</v>
      </c>
      <c r="T30" s="5">
        <f t="shared" si="4"/>
        <v>10.65</v>
      </c>
      <c r="U30" s="5">
        <f t="shared" si="5"/>
        <v>10.82</v>
      </c>
      <c r="V30" s="5">
        <f t="shared" si="6"/>
        <v>10.63</v>
      </c>
    </row>
    <row r="31" spans="1:22" x14ac:dyDescent="0.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624</v>
      </c>
      <c r="D31" s="3" t="s">
        <v>1368</v>
      </c>
      <c r="E31" s="3" t="s">
        <v>1369</v>
      </c>
      <c r="F31" s="3" t="s">
        <v>1185</v>
      </c>
      <c r="G31" s="3" t="s">
        <v>964</v>
      </c>
      <c r="H31" s="51">
        <v>41681</v>
      </c>
      <c r="J31" s="3">
        <f t="shared" si="7"/>
        <v>11.79</v>
      </c>
      <c r="K31" s="3">
        <f t="shared" si="7"/>
        <v>11.64</v>
      </c>
      <c r="L31" s="3">
        <f t="shared" si="7"/>
        <v>11.85</v>
      </c>
      <c r="M31" s="3">
        <f t="shared" si="7"/>
        <v>11.6</v>
      </c>
      <c r="P31" s="14" t="s">
        <v>621</v>
      </c>
      <c r="Q31" s="10" t="str">
        <f t="shared" si="1"/>
        <v xml:space="preserve">USIMINAS    -PNA </v>
      </c>
      <c r="R31" s="51">
        <f t="shared" si="2"/>
        <v>41681</v>
      </c>
      <c r="S31" s="5">
        <f t="shared" si="3"/>
        <v>11.79</v>
      </c>
      <c r="T31" s="5">
        <f t="shared" si="4"/>
        <v>11.64</v>
      </c>
      <c r="U31" s="5">
        <f t="shared" si="5"/>
        <v>11.85</v>
      </c>
      <c r="V31" s="5">
        <f t="shared" si="6"/>
        <v>11.6</v>
      </c>
    </row>
    <row r="32" spans="1:22" x14ac:dyDescent="0.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625</v>
      </c>
      <c r="D32" s="3" t="s">
        <v>626</v>
      </c>
      <c r="E32" s="3" t="s">
        <v>626</v>
      </c>
      <c r="F32" s="3" t="s">
        <v>626</v>
      </c>
      <c r="G32" s="3" t="s">
        <v>626</v>
      </c>
      <c r="H32" s="51">
        <v>41681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622</v>
      </c>
      <c r="Q32" s="10" t="str">
        <f t="shared" si="1"/>
        <v xml:space="preserve">USIMINAS    -PNB </v>
      </c>
      <c r="R32" s="51">
        <f t="shared" si="2"/>
        <v>41681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 x14ac:dyDescent="0.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629</v>
      </c>
      <c r="D33" s="3" t="s">
        <v>1370</v>
      </c>
      <c r="E33" s="3" t="s">
        <v>1035</v>
      </c>
      <c r="F33" s="3" t="s">
        <v>1127</v>
      </c>
      <c r="G33" s="3" t="s">
        <v>1035</v>
      </c>
      <c r="H33" s="51">
        <v>41681</v>
      </c>
      <c r="J33" s="3">
        <f t="shared" si="7"/>
        <v>13.3</v>
      </c>
      <c r="K33" s="3">
        <f t="shared" si="7"/>
        <v>13.21</v>
      </c>
      <c r="L33" s="3">
        <f t="shared" si="7"/>
        <v>13.39</v>
      </c>
      <c r="M33" s="3">
        <f t="shared" si="7"/>
        <v>13.21</v>
      </c>
      <c r="P33" s="14" t="s">
        <v>627</v>
      </c>
      <c r="Q33" s="10" t="str">
        <f t="shared" si="1"/>
        <v xml:space="preserve">GERDAU      -ON  </v>
      </c>
      <c r="R33" s="51">
        <f t="shared" si="2"/>
        <v>41681</v>
      </c>
      <c r="S33" s="5">
        <f t="shared" si="3"/>
        <v>13.3</v>
      </c>
      <c r="T33" s="5">
        <f t="shared" si="4"/>
        <v>13.21</v>
      </c>
      <c r="U33" s="5">
        <f t="shared" si="5"/>
        <v>13.39</v>
      </c>
      <c r="V33" s="5">
        <f t="shared" si="6"/>
        <v>13.21</v>
      </c>
    </row>
    <row r="34" spans="1:22" x14ac:dyDescent="0.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630</v>
      </c>
      <c r="D34" s="3" t="s">
        <v>1371</v>
      </c>
      <c r="E34" s="3" t="s">
        <v>1372</v>
      </c>
      <c r="F34" s="3" t="s">
        <v>1373</v>
      </c>
      <c r="G34" s="3" t="s">
        <v>1245</v>
      </c>
      <c r="H34" s="51">
        <v>41681</v>
      </c>
      <c r="J34" s="3">
        <f t="shared" si="7"/>
        <v>16.53</v>
      </c>
      <c r="K34" s="3">
        <f t="shared" si="7"/>
        <v>16.399999999999999</v>
      </c>
      <c r="L34" s="3">
        <f t="shared" si="7"/>
        <v>16.579999999999998</v>
      </c>
      <c r="M34" s="3">
        <f t="shared" si="7"/>
        <v>16.25</v>
      </c>
      <c r="P34" s="14" t="s">
        <v>628</v>
      </c>
      <c r="Q34" s="10" t="str">
        <f t="shared" si="1"/>
        <v xml:space="preserve">GERDAU      -PN  </v>
      </c>
      <c r="R34" s="51">
        <f t="shared" si="2"/>
        <v>41681</v>
      </c>
      <c r="S34" s="5">
        <f t="shared" si="3"/>
        <v>16.53</v>
      </c>
      <c r="T34" s="5">
        <f t="shared" si="4"/>
        <v>16.399999999999999</v>
      </c>
      <c r="U34" s="5">
        <f t="shared" si="5"/>
        <v>16.579999999999998</v>
      </c>
      <c r="V34" s="5">
        <f t="shared" si="6"/>
        <v>16.25</v>
      </c>
    </row>
    <row r="35" spans="1:22" x14ac:dyDescent="0.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633</v>
      </c>
      <c r="D35" s="3" t="s">
        <v>858</v>
      </c>
      <c r="E35" s="3" t="s">
        <v>1374</v>
      </c>
      <c r="F35" s="3" t="s">
        <v>1375</v>
      </c>
      <c r="G35" s="3" t="s">
        <v>1374</v>
      </c>
      <c r="H35" s="51">
        <v>41681</v>
      </c>
      <c r="J35" s="3">
        <f t="shared" si="7"/>
        <v>16.489999999999998</v>
      </c>
      <c r="K35" s="3">
        <f t="shared" si="7"/>
        <v>16.239999999999998</v>
      </c>
      <c r="L35" s="3">
        <f t="shared" si="7"/>
        <v>16.8</v>
      </c>
      <c r="M35" s="3">
        <f t="shared" si="7"/>
        <v>16.239999999999998</v>
      </c>
      <c r="P35" s="14" t="s">
        <v>631</v>
      </c>
      <c r="Q35" s="10" t="str">
        <f t="shared" si="1"/>
        <v xml:space="preserve">GERDAU MET  -ON  </v>
      </c>
      <c r="R35" s="51">
        <f t="shared" si="2"/>
        <v>41681</v>
      </c>
      <c r="S35" s="5">
        <f t="shared" si="3"/>
        <v>16.489999999999998</v>
      </c>
      <c r="T35" s="5">
        <f t="shared" si="4"/>
        <v>16.239999999999998</v>
      </c>
      <c r="U35" s="5">
        <f t="shared" si="5"/>
        <v>16.8</v>
      </c>
      <c r="V35" s="5">
        <f t="shared" si="6"/>
        <v>16.239999999999998</v>
      </c>
    </row>
    <row r="36" spans="1:22" x14ac:dyDescent="0.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634</v>
      </c>
      <c r="D36" s="3" t="s">
        <v>1376</v>
      </c>
      <c r="E36" s="3" t="s">
        <v>1276</v>
      </c>
      <c r="F36" s="3" t="s">
        <v>1377</v>
      </c>
      <c r="G36" s="3" t="s">
        <v>1378</v>
      </c>
      <c r="H36" s="51">
        <v>41681</v>
      </c>
      <c r="J36" s="3">
        <f t="shared" si="7"/>
        <v>20.420000000000002</v>
      </c>
      <c r="K36" s="3">
        <f t="shared" si="7"/>
        <v>20.309999999999999</v>
      </c>
      <c r="L36" s="3">
        <f t="shared" si="7"/>
        <v>20.52</v>
      </c>
      <c r="M36" s="3">
        <f t="shared" si="7"/>
        <v>20.11</v>
      </c>
      <c r="P36" s="14" t="s">
        <v>632</v>
      </c>
      <c r="Q36" s="10" t="str">
        <f t="shared" si="1"/>
        <v xml:space="preserve">GERDAU MET  -PN  </v>
      </c>
      <c r="R36" s="51">
        <f t="shared" si="2"/>
        <v>41681</v>
      </c>
      <c r="S36" s="5">
        <f t="shared" si="3"/>
        <v>20.420000000000002</v>
      </c>
      <c r="T36" s="5">
        <f t="shared" si="4"/>
        <v>20.309999999999999</v>
      </c>
      <c r="U36" s="5">
        <f t="shared" si="5"/>
        <v>20.52</v>
      </c>
      <c r="V36" s="5">
        <f t="shared" si="6"/>
        <v>20.11</v>
      </c>
    </row>
    <row r="37" spans="1:22" x14ac:dyDescent="0.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637</v>
      </c>
      <c r="D37" s="3" t="s">
        <v>454</v>
      </c>
      <c r="E37" s="3" t="s">
        <v>638</v>
      </c>
      <c r="F37" s="3" t="s">
        <v>638</v>
      </c>
      <c r="G37" s="3" t="s">
        <v>638</v>
      </c>
      <c r="H37" s="51">
        <v>41681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635</v>
      </c>
      <c r="Q37" s="10" t="str">
        <f t="shared" si="1"/>
        <v>FIBAM       -ON</v>
      </c>
      <c r="R37" s="51">
        <f t="shared" si="2"/>
        <v>41681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 x14ac:dyDescent="0.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639</v>
      </c>
      <c r="D38" s="3" t="s">
        <v>798</v>
      </c>
      <c r="E38" s="3" t="s">
        <v>798</v>
      </c>
      <c r="F38" s="3" t="s">
        <v>798</v>
      </c>
      <c r="G38" s="3" t="s">
        <v>798</v>
      </c>
      <c r="H38" s="51">
        <v>41681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636</v>
      </c>
      <c r="Q38" s="10" t="str">
        <f t="shared" si="1"/>
        <v>FIBAM       -PN</v>
      </c>
      <c r="R38" s="51">
        <f t="shared" si="2"/>
        <v>41681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 x14ac:dyDescent="0.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642</v>
      </c>
      <c r="D39" s="3" t="s">
        <v>454</v>
      </c>
      <c r="E39" s="3" t="s">
        <v>643</v>
      </c>
      <c r="F39" s="3" t="s">
        <v>643</v>
      </c>
      <c r="G39" s="3" t="s">
        <v>643</v>
      </c>
      <c r="H39" s="51">
        <v>41681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640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41681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 x14ac:dyDescent="0.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644</v>
      </c>
      <c r="D40" s="3" t="s">
        <v>965</v>
      </c>
      <c r="E40" s="3" t="s">
        <v>1379</v>
      </c>
      <c r="F40" s="3" t="s">
        <v>1379</v>
      </c>
      <c r="G40" s="3" t="s">
        <v>965</v>
      </c>
      <c r="H40" s="51">
        <v>41681</v>
      </c>
      <c r="J40" s="3">
        <f t="shared" si="7"/>
        <v>0.54</v>
      </c>
      <c r="K40" s="3">
        <f t="shared" si="7"/>
        <v>0.55000000000000004</v>
      </c>
      <c r="L40" s="3">
        <f t="shared" si="7"/>
        <v>0.55000000000000004</v>
      </c>
      <c r="M40" s="3">
        <f t="shared" si="7"/>
        <v>0.54</v>
      </c>
      <c r="P40" s="14" t="s">
        <v>641</v>
      </c>
      <c r="Q40" s="10" t="str">
        <f t="shared" si="8"/>
        <v xml:space="preserve">MANGELS INDL-PN  </v>
      </c>
      <c r="R40" s="51">
        <f t="shared" si="9"/>
        <v>41681</v>
      </c>
      <c r="S40" s="5">
        <f t="shared" si="10"/>
        <v>0.54</v>
      </c>
      <c r="T40" s="5">
        <f t="shared" si="11"/>
        <v>0.55000000000000004</v>
      </c>
      <c r="U40" s="5">
        <f t="shared" si="12"/>
        <v>0.55000000000000004</v>
      </c>
      <c r="V40" s="5">
        <f t="shared" si="13"/>
        <v>0.54</v>
      </c>
    </row>
    <row r="41" spans="1:22" x14ac:dyDescent="0.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647</v>
      </c>
      <c r="D41" s="3" t="s">
        <v>454</v>
      </c>
      <c r="E41" s="3" t="s">
        <v>648</v>
      </c>
      <c r="F41" s="3" t="s">
        <v>648</v>
      </c>
      <c r="G41" s="3" t="s">
        <v>648</v>
      </c>
      <c r="H41" s="51">
        <v>41681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645</v>
      </c>
      <c r="Q41" s="10" t="str">
        <f t="shared" si="8"/>
        <v>MET DUQUE   -ON</v>
      </c>
      <c r="R41" s="51">
        <f t="shared" si="9"/>
        <v>41681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 x14ac:dyDescent="0.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649</v>
      </c>
      <c r="D42" s="3" t="s">
        <v>748</v>
      </c>
      <c r="E42" s="3" t="s">
        <v>753</v>
      </c>
      <c r="F42" s="3" t="s">
        <v>753</v>
      </c>
      <c r="G42" s="3" t="s">
        <v>748</v>
      </c>
      <c r="H42" s="51">
        <v>41681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646</v>
      </c>
      <c r="Q42" s="10" t="str">
        <f t="shared" si="8"/>
        <v>MET DUQUE   -PN</v>
      </c>
      <c r="R42" s="51">
        <f t="shared" si="9"/>
        <v>41681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 x14ac:dyDescent="0.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652</v>
      </c>
      <c r="D43" s="3" t="s">
        <v>914</v>
      </c>
      <c r="E43" s="3" t="s">
        <v>1380</v>
      </c>
      <c r="F43" s="3" t="s">
        <v>1381</v>
      </c>
      <c r="G43" s="3" t="s">
        <v>1380</v>
      </c>
      <c r="H43" s="51">
        <v>41681</v>
      </c>
      <c r="J43" s="3">
        <f t="shared" si="7"/>
        <v>3.9</v>
      </c>
      <c r="K43" s="3">
        <f t="shared" si="7"/>
        <v>3.88</v>
      </c>
      <c r="L43" s="3">
        <f t="shared" si="7"/>
        <v>3.92</v>
      </c>
      <c r="M43" s="3">
        <f t="shared" si="7"/>
        <v>3.88</v>
      </c>
      <c r="P43" s="14" t="s">
        <v>651</v>
      </c>
      <c r="Q43" s="10" t="str">
        <f t="shared" si="8"/>
        <v xml:space="preserve">PARANAPANEMA-ON  </v>
      </c>
      <c r="R43" s="51">
        <f t="shared" si="9"/>
        <v>41681</v>
      </c>
      <c r="S43" s="5">
        <f t="shared" si="10"/>
        <v>3.9</v>
      </c>
      <c r="T43" s="5">
        <f t="shared" si="11"/>
        <v>3.88</v>
      </c>
      <c r="U43" s="5">
        <f t="shared" si="12"/>
        <v>3.92</v>
      </c>
      <c r="V43" s="5">
        <f t="shared" si="13"/>
        <v>3.88</v>
      </c>
    </row>
    <row r="44" spans="1:22" x14ac:dyDescent="0.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658</v>
      </c>
      <c r="D44" s="3" t="s">
        <v>454</v>
      </c>
      <c r="E44" s="3" t="s">
        <v>546</v>
      </c>
      <c r="F44" s="3" t="s">
        <v>546</v>
      </c>
      <c r="G44" s="3" t="s">
        <v>546</v>
      </c>
      <c r="H44" s="51">
        <v>41681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654</v>
      </c>
      <c r="Q44" s="10" t="str">
        <f t="shared" si="8"/>
        <v>MILLENNIUM  -ON</v>
      </c>
      <c r="R44" s="51">
        <f t="shared" si="9"/>
        <v>41681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 x14ac:dyDescent="0.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659</v>
      </c>
      <c r="D45" s="3" t="s">
        <v>754</v>
      </c>
      <c r="E45" s="3" t="s">
        <v>746</v>
      </c>
      <c r="F45" s="3" t="s">
        <v>746</v>
      </c>
      <c r="G45" s="3" t="s">
        <v>754</v>
      </c>
      <c r="H45" s="51">
        <v>41681</v>
      </c>
      <c r="J45" s="3">
        <f t="shared" si="7"/>
        <v>0.23</v>
      </c>
      <c r="K45" s="3">
        <f t="shared" si="7"/>
        <v>0.24</v>
      </c>
      <c r="L45" s="3">
        <f t="shared" si="7"/>
        <v>0.24</v>
      </c>
      <c r="M45" s="3">
        <f t="shared" si="7"/>
        <v>0.23</v>
      </c>
      <c r="P45" s="14" t="s">
        <v>655</v>
      </c>
      <c r="Q45" s="10" t="str">
        <f t="shared" si="8"/>
        <v>MILLENNIUM  -PNA</v>
      </c>
      <c r="R45" s="51">
        <f t="shared" si="9"/>
        <v>41681</v>
      </c>
      <c r="S45" s="5">
        <f t="shared" si="10"/>
        <v>0.23</v>
      </c>
      <c r="T45" s="5">
        <f t="shared" si="11"/>
        <v>0.24</v>
      </c>
      <c r="U45" s="5">
        <f t="shared" si="12"/>
        <v>0.24</v>
      </c>
      <c r="V45" s="5">
        <f t="shared" si="13"/>
        <v>0.23</v>
      </c>
    </row>
    <row r="46" spans="1:22" x14ac:dyDescent="0.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660</v>
      </c>
      <c r="D46" s="3" t="s">
        <v>754</v>
      </c>
      <c r="E46" s="3" t="s">
        <v>754</v>
      </c>
      <c r="F46" s="3" t="s">
        <v>754</v>
      </c>
      <c r="G46" s="3" t="s">
        <v>754</v>
      </c>
      <c r="H46" s="51">
        <v>41681</v>
      </c>
      <c r="J46" s="3">
        <f t="shared" si="7"/>
        <v>0.23</v>
      </c>
      <c r="K46" s="3">
        <f t="shared" si="7"/>
        <v>0.23</v>
      </c>
      <c r="L46" s="3">
        <f t="shared" si="7"/>
        <v>0.23</v>
      </c>
      <c r="M46" s="3">
        <f t="shared" si="7"/>
        <v>0.23</v>
      </c>
      <c r="P46" s="14" t="s">
        <v>656</v>
      </c>
      <c r="Q46" s="10" t="str">
        <f t="shared" si="8"/>
        <v>MILLENNIUM  -PNB</v>
      </c>
      <c r="R46" s="46">
        <f t="shared" si="9"/>
        <v>41681</v>
      </c>
      <c r="S46" s="6">
        <f t="shared" si="10"/>
        <v>0.23</v>
      </c>
      <c r="T46" s="6">
        <f t="shared" si="11"/>
        <v>0.23</v>
      </c>
      <c r="U46" s="6">
        <f t="shared" si="12"/>
        <v>0.23</v>
      </c>
      <c r="V46" s="6">
        <f t="shared" si="13"/>
        <v>0.23</v>
      </c>
    </row>
    <row r="47" spans="1:22" x14ac:dyDescent="0.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679</v>
      </c>
      <c r="D47" s="3" t="s">
        <v>446</v>
      </c>
      <c r="E47" s="3" t="s">
        <v>446</v>
      </c>
      <c r="F47" s="3" t="s">
        <v>446</v>
      </c>
      <c r="G47" s="3" t="s">
        <v>446</v>
      </c>
      <c r="H47" s="51">
        <v>41681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678</v>
      </c>
      <c r="Q47" s="10" t="str">
        <f t="shared" si="8"/>
        <v>GPC PART    -ON</v>
      </c>
      <c r="R47" s="51">
        <f t="shared" si="9"/>
        <v>41681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 x14ac:dyDescent="0.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681</v>
      </c>
      <c r="D48" s="3" t="s">
        <v>915</v>
      </c>
      <c r="E48" s="3" t="s">
        <v>915</v>
      </c>
      <c r="F48" s="3" t="s">
        <v>915</v>
      </c>
      <c r="G48" s="3" t="s">
        <v>915</v>
      </c>
      <c r="H48" s="51">
        <v>41681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680</v>
      </c>
      <c r="Q48" s="10" t="str">
        <f t="shared" si="8"/>
        <v>M G POLIEST -ON</v>
      </c>
      <c r="R48" s="51">
        <f t="shared" si="9"/>
        <v>41681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 x14ac:dyDescent="0.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338</v>
      </c>
      <c r="D49" s="3" t="s">
        <v>722</v>
      </c>
      <c r="E49" s="3" t="s">
        <v>722</v>
      </c>
      <c r="F49" s="3" t="s">
        <v>722</v>
      </c>
      <c r="G49" s="3" t="s">
        <v>722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337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 x14ac:dyDescent="0.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686</v>
      </c>
      <c r="D50" s="3" t="s">
        <v>1382</v>
      </c>
      <c r="E50" s="3" t="s">
        <v>1383</v>
      </c>
      <c r="F50" s="3" t="s">
        <v>1384</v>
      </c>
      <c r="G50" s="3" t="s">
        <v>1385</v>
      </c>
      <c r="H50" s="51">
        <v>41681</v>
      </c>
      <c r="J50" s="3">
        <f t="shared" si="7"/>
        <v>1.07</v>
      </c>
      <c r="K50" s="3">
        <f t="shared" si="7"/>
        <v>1.0900000000000001</v>
      </c>
      <c r="L50" s="3">
        <f t="shared" si="7"/>
        <v>1.1100000000000001</v>
      </c>
      <c r="M50" s="3">
        <f t="shared" si="7"/>
        <v>1.06</v>
      </c>
      <c r="P50" s="15" t="s">
        <v>685</v>
      </c>
      <c r="Q50" s="10" t="str">
        <f t="shared" si="8"/>
        <v xml:space="preserve">CCX CARVAO  -ON  </v>
      </c>
      <c r="R50" s="46">
        <f t="shared" si="9"/>
        <v>41681</v>
      </c>
      <c r="S50" s="6">
        <f t="shared" si="10"/>
        <v>1.07</v>
      </c>
      <c r="T50" s="6">
        <f t="shared" si="11"/>
        <v>1.0900000000000001</v>
      </c>
      <c r="U50" s="6">
        <f t="shared" si="12"/>
        <v>1.1100000000000001</v>
      </c>
      <c r="V50" s="6">
        <f t="shared" si="13"/>
        <v>1.06</v>
      </c>
    </row>
    <row r="51" spans="1:22" x14ac:dyDescent="0.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689</v>
      </c>
      <c r="D51" s="3" t="s">
        <v>1386</v>
      </c>
      <c r="E51" s="3" t="s">
        <v>1387</v>
      </c>
      <c r="F51" s="3" t="s">
        <v>1388</v>
      </c>
      <c r="G51" s="3" t="s">
        <v>903</v>
      </c>
      <c r="H51" s="51">
        <v>41681</v>
      </c>
      <c r="J51" s="3">
        <f t="shared" si="7"/>
        <v>2.85</v>
      </c>
      <c r="K51" s="3">
        <f t="shared" si="7"/>
        <v>2.91</v>
      </c>
      <c r="L51" s="3">
        <f t="shared" si="7"/>
        <v>2.95</v>
      </c>
      <c r="M51" s="3">
        <f t="shared" si="7"/>
        <v>2.8</v>
      </c>
      <c r="P51" s="14" t="s">
        <v>688</v>
      </c>
      <c r="Q51" s="10" t="str">
        <f t="shared" si="8"/>
        <v xml:space="preserve">MMX MINER   -ON  </v>
      </c>
      <c r="R51" s="51">
        <f t="shared" si="9"/>
        <v>41681</v>
      </c>
      <c r="S51" s="5">
        <f t="shared" si="10"/>
        <v>2.85</v>
      </c>
      <c r="T51" s="5">
        <f t="shared" si="11"/>
        <v>2.91</v>
      </c>
      <c r="U51" s="5">
        <f t="shared" si="12"/>
        <v>2.95</v>
      </c>
      <c r="V51" s="5">
        <f t="shared" si="13"/>
        <v>2.8</v>
      </c>
    </row>
    <row r="52" spans="1:22" x14ac:dyDescent="0.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695</v>
      </c>
      <c r="D52" s="3" t="s">
        <v>696</v>
      </c>
      <c r="E52" s="3" t="s">
        <v>697</v>
      </c>
      <c r="F52" s="3" t="s">
        <v>697</v>
      </c>
      <c r="G52" s="3" t="s">
        <v>696</v>
      </c>
      <c r="H52" s="51">
        <v>41681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690</v>
      </c>
      <c r="Q52" s="10" t="str">
        <f t="shared" si="8"/>
        <v>SANSUY      -ON</v>
      </c>
      <c r="R52" s="51">
        <f t="shared" si="9"/>
        <v>41681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 x14ac:dyDescent="0.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698</v>
      </c>
      <c r="D53" s="3" t="s">
        <v>1389</v>
      </c>
      <c r="E53" s="3" t="s">
        <v>1390</v>
      </c>
      <c r="F53" s="3" t="s">
        <v>1389</v>
      </c>
      <c r="G53" s="3" t="s">
        <v>1390</v>
      </c>
      <c r="H53" s="51">
        <v>41681</v>
      </c>
      <c r="J53" s="3">
        <f t="shared" si="7"/>
        <v>0.76</v>
      </c>
      <c r="K53" s="3">
        <f t="shared" si="7"/>
        <v>0.74</v>
      </c>
      <c r="L53" s="3">
        <f t="shared" si="7"/>
        <v>0.76</v>
      </c>
      <c r="M53" s="3">
        <f t="shared" si="7"/>
        <v>0.74</v>
      </c>
      <c r="P53" s="14" t="s">
        <v>691</v>
      </c>
      <c r="Q53" s="10" t="str">
        <f t="shared" si="8"/>
        <v>SANSUY      -PNA</v>
      </c>
      <c r="R53" s="51">
        <f t="shared" si="9"/>
        <v>41681</v>
      </c>
      <c r="S53" s="5">
        <f t="shared" si="10"/>
        <v>0.76</v>
      </c>
      <c r="T53" s="5">
        <f t="shared" si="11"/>
        <v>0.74</v>
      </c>
      <c r="U53" s="5">
        <f t="shared" si="12"/>
        <v>0.76</v>
      </c>
      <c r="V53" s="5">
        <f t="shared" si="13"/>
        <v>0.74</v>
      </c>
    </row>
    <row r="54" spans="1:22" x14ac:dyDescent="0.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699</v>
      </c>
      <c r="D54" s="3" t="s">
        <v>454</v>
      </c>
      <c r="E54" s="61" t="s">
        <v>700</v>
      </c>
      <c r="F54" s="61" t="s">
        <v>700</v>
      </c>
      <c r="G54" s="61" t="s">
        <v>700</v>
      </c>
      <c r="H54" s="51">
        <v>41681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692</v>
      </c>
      <c r="Q54" s="10" t="str">
        <f t="shared" si="8"/>
        <v>SANSUY      -PNB</v>
      </c>
      <c r="R54" s="51">
        <f t="shared" si="9"/>
        <v>41681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 x14ac:dyDescent="0.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703</v>
      </c>
      <c r="D55" s="3" t="s">
        <v>441</v>
      </c>
      <c r="E55" s="3" t="s">
        <v>441</v>
      </c>
      <c r="F55" s="3" t="s">
        <v>441</v>
      </c>
      <c r="G55" s="3" t="s">
        <v>441</v>
      </c>
      <c r="H55" s="51">
        <v>41681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3" t="s">
        <v>701</v>
      </c>
      <c r="Q55" s="10" t="str">
        <f t="shared" si="8"/>
        <v>MELHOR SP   -ON</v>
      </c>
      <c r="R55" s="51">
        <f t="shared" si="9"/>
        <v>41681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 x14ac:dyDescent="0.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704</v>
      </c>
      <c r="D56" s="3" t="s">
        <v>441</v>
      </c>
      <c r="E56" s="3" t="s">
        <v>441</v>
      </c>
      <c r="F56" s="3" t="s">
        <v>441</v>
      </c>
      <c r="G56" s="3" t="s">
        <v>441</v>
      </c>
      <c r="H56" s="51">
        <v>41681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702</v>
      </c>
      <c r="Q56" s="10" t="str">
        <f t="shared" si="8"/>
        <v>MELHOR SP   -PN</v>
      </c>
      <c r="R56" s="51">
        <f t="shared" si="9"/>
        <v>41681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 x14ac:dyDescent="0.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706</v>
      </c>
      <c r="D57" s="3" t="s">
        <v>1108</v>
      </c>
      <c r="E57" s="3" t="s">
        <v>1391</v>
      </c>
      <c r="F57" s="3" t="s">
        <v>1392</v>
      </c>
      <c r="G57" s="3" t="s">
        <v>1393</v>
      </c>
      <c r="H57" s="51">
        <v>41681</v>
      </c>
      <c r="J57" s="3">
        <f t="shared" si="7"/>
        <v>26.39</v>
      </c>
      <c r="K57" s="3">
        <f t="shared" si="7"/>
        <v>25.96</v>
      </c>
      <c r="L57" s="3">
        <f t="shared" si="7"/>
        <v>26.47</v>
      </c>
      <c r="M57" s="3">
        <f t="shared" si="7"/>
        <v>25.56</v>
      </c>
      <c r="P57" s="10" t="s">
        <v>705</v>
      </c>
      <c r="Q57" s="10" t="str">
        <f t="shared" si="8"/>
        <v xml:space="preserve">FIBRIA      -ON  </v>
      </c>
      <c r="R57" s="51">
        <f t="shared" si="9"/>
        <v>41681</v>
      </c>
      <c r="S57" s="5">
        <f t="shared" si="10"/>
        <v>26.39</v>
      </c>
      <c r="T57" s="5">
        <f t="shared" si="11"/>
        <v>25.96</v>
      </c>
      <c r="U57" s="5">
        <f t="shared" si="12"/>
        <v>26.47</v>
      </c>
      <c r="V57" s="5">
        <f t="shared" si="13"/>
        <v>25.56</v>
      </c>
    </row>
    <row r="58" spans="1:22" x14ac:dyDescent="0.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708</v>
      </c>
      <c r="D58" s="3" t="s">
        <v>1394</v>
      </c>
      <c r="E58" s="3" t="s">
        <v>1395</v>
      </c>
      <c r="F58" s="3" t="s">
        <v>1396</v>
      </c>
      <c r="G58" s="3" t="s">
        <v>1397</v>
      </c>
      <c r="H58" s="51">
        <v>41681</v>
      </c>
      <c r="J58" s="3">
        <f t="shared" si="7"/>
        <v>60.49</v>
      </c>
      <c r="K58" s="3">
        <f t="shared" si="7"/>
        <v>59.03</v>
      </c>
      <c r="L58" s="3">
        <f t="shared" si="7"/>
        <v>61</v>
      </c>
      <c r="M58" s="3">
        <f t="shared" si="7"/>
        <v>58.66</v>
      </c>
      <c r="P58" s="14" t="s">
        <v>707</v>
      </c>
      <c r="Q58" s="10" t="str">
        <f t="shared" si="8"/>
        <v xml:space="preserve">KLABIN S/A  -UNT </v>
      </c>
      <c r="R58" s="51">
        <f t="shared" si="9"/>
        <v>41681</v>
      </c>
      <c r="S58" s="5">
        <f t="shared" si="10"/>
        <v>60.49</v>
      </c>
      <c r="T58" s="5">
        <f t="shared" si="11"/>
        <v>59.03</v>
      </c>
      <c r="U58" s="5">
        <f t="shared" si="12"/>
        <v>61</v>
      </c>
      <c r="V58" s="5">
        <f t="shared" si="13"/>
        <v>58.66</v>
      </c>
    </row>
    <row r="59" spans="1:22" x14ac:dyDescent="0.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710</v>
      </c>
      <c r="D59" s="3" t="s">
        <v>454</v>
      </c>
      <c r="E59" s="61" t="s">
        <v>193</v>
      </c>
      <c r="F59" s="61" t="s">
        <v>193</v>
      </c>
      <c r="G59" s="61" t="s">
        <v>193</v>
      </c>
      <c r="H59" s="51">
        <v>41681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709</v>
      </c>
      <c r="Q59" s="10" t="str">
        <f t="shared" si="8"/>
        <v xml:space="preserve">SUZANO PAPEL-ON  </v>
      </c>
      <c r="R59" s="46">
        <f t="shared" si="9"/>
        <v>41681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 x14ac:dyDescent="0.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712</v>
      </c>
      <c r="D60" s="3" t="s">
        <v>454</v>
      </c>
      <c r="E60" s="61" t="s">
        <v>713</v>
      </c>
      <c r="F60" s="61" t="s">
        <v>713</v>
      </c>
      <c r="G60" s="61" t="s">
        <v>713</v>
      </c>
      <c r="H60" s="51">
        <v>41681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711</v>
      </c>
      <c r="Q60" s="10" t="str">
        <f t="shared" si="8"/>
        <v xml:space="preserve">EUCATEX     -ON  </v>
      </c>
      <c r="R60" s="51">
        <f t="shared" si="9"/>
        <v>41681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 x14ac:dyDescent="0.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717</v>
      </c>
      <c r="D61" s="3" t="s">
        <v>693</v>
      </c>
      <c r="E61" s="3" t="s">
        <v>693</v>
      </c>
      <c r="F61" s="3" t="s">
        <v>693</v>
      </c>
      <c r="G61" s="3" t="s">
        <v>693</v>
      </c>
      <c r="H61" s="51">
        <v>41681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715</v>
      </c>
      <c r="Q61" s="10" t="str">
        <f t="shared" si="8"/>
        <v>METAL IGUACU-ON</v>
      </c>
      <c r="R61" s="51">
        <f t="shared" si="9"/>
        <v>41681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 x14ac:dyDescent="0.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718</v>
      </c>
      <c r="D62" s="3" t="s">
        <v>833</v>
      </c>
      <c r="E62" s="3" t="s">
        <v>585</v>
      </c>
      <c r="F62" s="3" t="s">
        <v>585</v>
      </c>
      <c r="G62" s="3" t="s">
        <v>833</v>
      </c>
      <c r="H62" s="51">
        <v>41681</v>
      </c>
      <c r="J62" s="3">
        <f t="shared" si="7"/>
        <v>0.1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716</v>
      </c>
      <c r="Q62" s="10" t="str">
        <f t="shared" si="8"/>
        <v>METAL IGUACU-PN</v>
      </c>
      <c r="R62" s="51">
        <f t="shared" si="9"/>
        <v>41681</v>
      </c>
      <c r="S62" s="5">
        <f t="shared" si="10"/>
        <v>0.1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 x14ac:dyDescent="0.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989</v>
      </c>
      <c r="D63" s="3" t="s">
        <v>454</v>
      </c>
      <c r="E63" s="3" t="s">
        <v>414</v>
      </c>
      <c r="F63" s="3" t="s">
        <v>414</v>
      </c>
      <c r="G63" s="3" t="s">
        <v>414</v>
      </c>
      <c r="H63" s="51">
        <v>41681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984</v>
      </c>
      <c r="Q63" s="10" t="str">
        <f t="shared" si="8"/>
        <v>CAF BRASILIA-PN *</v>
      </c>
      <c r="R63" s="51">
        <f t="shared" si="9"/>
        <v>41681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 x14ac:dyDescent="0.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723</v>
      </c>
      <c r="D64" s="3" t="s">
        <v>256</v>
      </c>
      <c r="E64" s="3" t="s">
        <v>128</v>
      </c>
      <c r="F64" s="3" t="s">
        <v>256</v>
      </c>
      <c r="G64" s="3" t="s">
        <v>128</v>
      </c>
      <c r="H64" s="51">
        <v>41681</v>
      </c>
      <c r="J64" s="3">
        <f t="shared" si="7"/>
        <v>30.01</v>
      </c>
      <c r="K64" s="3">
        <f t="shared" si="7"/>
        <v>30</v>
      </c>
      <c r="L64" s="3">
        <f t="shared" si="7"/>
        <v>30.01</v>
      </c>
      <c r="M64" s="3">
        <f t="shared" si="7"/>
        <v>30</v>
      </c>
      <c r="P64" s="14" t="s">
        <v>720</v>
      </c>
      <c r="Q64" s="10" t="str">
        <f t="shared" si="8"/>
        <v>PAR AL BAHIA-ON</v>
      </c>
      <c r="R64" s="51">
        <f t="shared" si="9"/>
        <v>41681</v>
      </c>
      <c r="S64" s="5">
        <f t="shared" si="10"/>
        <v>30.01</v>
      </c>
      <c r="T64" s="5">
        <f t="shared" si="11"/>
        <v>30</v>
      </c>
      <c r="U64" s="5">
        <f t="shared" si="12"/>
        <v>30.01</v>
      </c>
      <c r="V64" s="5">
        <f t="shared" si="13"/>
        <v>30</v>
      </c>
    </row>
    <row r="65" spans="1:22" x14ac:dyDescent="0.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724</v>
      </c>
      <c r="D65" s="3" t="s">
        <v>128</v>
      </c>
      <c r="E65" s="3" t="s">
        <v>128</v>
      </c>
      <c r="F65" s="3" t="s">
        <v>128</v>
      </c>
      <c r="G65" s="3" t="s">
        <v>128</v>
      </c>
      <c r="H65" s="51">
        <v>41681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721</v>
      </c>
      <c r="Q65" s="10" t="str">
        <f t="shared" si="8"/>
        <v>PAR AL BAHIA-PN</v>
      </c>
      <c r="R65" s="51">
        <f t="shared" si="9"/>
        <v>41681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 x14ac:dyDescent="0.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727</v>
      </c>
      <c r="D66" s="3" t="s">
        <v>454</v>
      </c>
      <c r="E66" s="3" t="s">
        <v>455</v>
      </c>
      <c r="F66" s="3" t="s">
        <v>454</v>
      </c>
      <c r="G66" s="3" t="s">
        <v>454</v>
      </c>
      <c r="H66" s="51" t="s">
        <v>454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725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 x14ac:dyDescent="0.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728</v>
      </c>
      <c r="D67" s="3" t="s">
        <v>454</v>
      </c>
      <c r="E67" s="3" t="s">
        <v>455</v>
      </c>
      <c r="F67" s="3" t="s">
        <v>454</v>
      </c>
      <c r="G67" s="3" t="s">
        <v>454</v>
      </c>
      <c r="H67" s="51" t="s">
        <v>454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726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 x14ac:dyDescent="0.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731</v>
      </c>
      <c r="D68" s="3" t="s">
        <v>492</v>
      </c>
      <c r="E68" s="3" t="s">
        <v>1398</v>
      </c>
      <c r="F68" s="3" t="s">
        <v>1398</v>
      </c>
      <c r="G68" s="3" t="s">
        <v>492</v>
      </c>
      <c r="H68" s="51">
        <v>41681</v>
      </c>
      <c r="J68" s="3">
        <f t="shared" si="7"/>
        <v>0.75</v>
      </c>
      <c r="K68" s="3">
        <f t="shared" si="7"/>
        <v>0.77</v>
      </c>
      <c r="L68" s="3">
        <f t="shared" si="7"/>
        <v>0.77</v>
      </c>
      <c r="M68" s="3">
        <f t="shared" si="7"/>
        <v>0.75</v>
      </c>
      <c r="P68" s="14" t="s">
        <v>729</v>
      </c>
      <c r="Q68" s="10" t="str">
        <f t="shared" si="8"/>
        <v>BATTISTELLA -ON</v>
      </c>
      <c r="R68" s="51">
        <f t="shared" si="9"/>
        <v>41681</v>
      </c>
      <c r="S68" s="5">
        <f t="shared" si="10"/>
        <v>0.75</v>
      </c>
      <c r="T68" s="5">
        <f t="shared" si="11"/>
        <v>0.77</v>
      </c>
      <c r="U68" s="5">
        <f t="shared" si="12"/>
        <v>0.77</v>
      </c>
      <c r="V68" s="5">
        <f t="shared" si="13"/>
        <v>0.75</v>
      </c>
    </row>
    <row r="69" spans="1:22" x14ac:dyDescent="0.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732</v>
      </c>
      <c r="D69" s="3" t="s">
        <v>1063</v>
      </c>
      <c r="E69" s="3" t="s">
        <v>1063</v>
      </c>
      <c r="F69" s="3" t="s">
        <v>1063</v>
      </c>
      <c r="G69" s="3" t="s">
        <v>1399</v>
      </c>
      <c r="H69" s="51">
        <v>41681</v>
      </c>
      <c r="J69" s="3">
        <f t="shared" si="7"/>
        <v>0.8</v>
      </c>
      <c r="K69" s="3">
        <f t="shared" si="7"/>
        <v>0.8</v>
      </c>
      <c r="L69" s="3">
        <f t="shared" si="7"/>
        <v>0.8</v>
      </c>
      <c r="M69" s="3">
        <f t="shared" si="7"/>
        <v>0.78</v>
      </c>
      <c r="P69" s="14" t="s">
        <v>730</v>
      </c>
      <c r="Q69" s="10" t="str">
        <f t="shared" si="8"/>
        <v>BATTISTELLA -PN</v>
      </c>
      <c r="R69" s="51">
        <f t="shared" si="9"/>
        <v>41681</v>
      </c>
      <c r="S69" s="5">
        <f t="shared" si="10"/>
        <v>0.8</v>
      </c>
      <c r="T69" s="5">
        <f t="shared" si="11"/>
        <v>0.8</v>
      </c>
      <c r="U69" s="5">
        <f t="shared" si="12"/>
        <v>0.8</v>
      </c>
      <c r="V69" s="5">
        <f t="shared" si="13"/>
        <v>0.78</v>
      </c>
    </row>
    <row r="70" spans="1:22" x14ac:dyDescent="0.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735</v>
      </c>
      <c r="D70" s="3" t="s">
        <v>454</v>
      </c>
      <c r="E70" s="3" t="s">
        <v>455</v>
      </c>
      <c r="F70" s="3" t="s">
        <v>454</v>
      </c>
      <c r="G70" s="3" t="s">
        <v>454</v>
      </c>
      <c r="H70" s="51" t="s">
        <v>454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733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 x14ac:dyDescent="0.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736</v>
      </c>
      <c r="D71" s="3" t="s">
        <v>454</v>
      </c>
      <c r="E71" s="3" t="s">
        <v>455</v>
      </c>
      <c r="F71" s="3" t="s">
        <v>454</v>
      </c>
      <c r="G71" s="3" t="s">
        <v>454</v>
      </c>
      <c r="H71" s="51" t="s">
        <v>454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734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 x14ac:dyDescent="0.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739</v>
      </c>
      <c r="D72" s="3" t="s">
        <v>137</v>
      </c>
      <c r="E72" s="3" t="s">
        <v>137</v>
      </c>
      <c r="F72" s="3" t="s">
        <v>137</v>
      </c>
      <c r="G72" s="3" t="s">
        <v>137</v>
      </c>
      <c r="H72" s="51">
        <v>41681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737</v>
      </c>
      <c r="Q72" s="10" t="str">
        <f t="shared" si="14"/>
        <v>DOCAS       -ON</v>
      </c>
      <c r="R72" s="51">
        <f t="shared" si="15"/>
        <v>41681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 x14ac:dyDescent="0.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740</v>
      </c>
      <c r="D73" s="3" t="s">
        <v>741</v>
      </c>
      <c r="E73" s="3" t="s">
        <v>741</v>
      </c>
      <c r="F73" s="3" t="s">
        <v>741</v>
      </c>
      <c r="G73" s="3" t="s">
        <v>741</v>
      </c>
      <c r="H73" s="51">
        <v>41681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738</v>
      </c>
      <c r="Q73" s="10" t="str">
        <f t="shared" si="14"/>
        <v>DOCAS       -PN</v>
      </c>
      <c r="R73" s="51">
        <f t="shared" si="15"/>
        <v>41681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 x14ac:dyDescent="0.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744</v>
      </c>
      <c r="D74" s="3" t="s">
        <v>791</v>
      </c>
      <c r="E74" s="3" t="s">
        <v>791</v>
      </c>
      <c r="F74" s="3" t="s">
        <v>791</v>
      </c>
      <c r="G74" s="3" t="s">
        <v>791</v>
      </c>
      <c r="H74" s="51">
        <v>41681</v>
      </c>
      <c r="J74" s="3">
        <f t="shared" si="20"/>
        <v>0.27</v>
      </c>
      <c r="K74" s="3">
        <f t="shared" si="20"/>
        <v>0.27</v>
      </c>
      <c r="L74" s="3">
        <f t="shared" si="20"/>
        <v>0.27</v>
      </c>
      <c r="M74" s="3">
        <f t="shared" si="20"/>
        <v>0.27</v>
      </c>
      <c r="P74" s="14" t="s">
        <v>742</v>
      </c>
      <c r="Q74" s="10" t="str">
        <f t="shared" si="14"/>
        <v>J B DUARTE  -ON</v>
      </c>
      <c r="R74" s="51">
        <f t="shared" si="15"/>
        <v>41681</v>
      </c>
      <c r="S74" s="5">
        <f t="shared" si="16"/>
        <v>0.27</v>
      </c>
      <c r="T74" s="5">
        <f t="shared" si="17"/>
        <v>0.27</v>
      </c>
      <c r="U74" s="5">
        <f t="shared" si="18"/>
        <v>0.27</v>
      </c>
      <c r="V74" s="5">
        <f t="shared" si="19"/>
        <v>0.27</v>
      </c>
    </row>
    <row r="75" spans="1:22" x14ac:dyDescent="0.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745</v>
      </c>
      <c r="D75" s="3" t="s">
        <v>1345</v>
      </c>
      <c r="E75" s="3" t="s">
        <v>1345</v>
      </c>
      <c r="F75" s="3" t="s">
        <v>1345</v>
      </c>
      <c r="G75" s="3" t="s">
        <v>1344</v>
      </c>
      <c r="H75" s="51">
        <v>41681</v>
      </c>
      <c r="J75" s="3">
        <f t="shared" si="20"/>
        <v>0.21</v>
      </c>
      <c r="K75" s="3">
        <f t="shared" si="20"/>
        <v>0.21</v>
      </c>
      <c r="L75" s="3">
        <f t="shared" si="20"/>
        <v>0.21</v>
      </c>
      <c r="M75" s="3">
        <f t="shared" si="20"/>
        <v>0.19</v>
      </c>
      <c r="P75" s="14" t="s">
        <v>743</v>
      </c>
      <c r="Q75" s="10" t="str">
        <f t="shared" si="14"/>
        <v>J B DUARTE  -PN</v>
      </c>
      <c r="R75" s="51">
        <f t="shared" si="15"/>
        <v>41681</v>
      </c>
      <c r="S75" s="5">
        <f t="shared" si="16"/>
        <v>0.21</v>
      </c>
      <c r="T75" s="5">
        <f t="shared" si="17"/>
        <v>0.21</v>
      </c>
      <c r="U75" s="5">
        <f t="shared" si="18"/>
        <v>0.21</v>
      </c>
      <c r="V75" s="5">
        <f t="shared" si="19"/>
        <v>0.19</v>
      </c>
    </row>
    <row r="76" spans="1:22" x14ac:dyDescent="0.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755</v>
      </c>
      <c r="D76" s="3" t="s">
        <v>1277</v>
      </c>
      <c r="E76" s="3" t="s">
        <v>836</v>
      </c>
      <c r="F76" s="3" t="s">
        <v>836</v>
      </c>
      <c r="G76" s="3" t="s">
        <v>1400</v>
      </c>
      <c r="H76" s="51">
        <v>41681</v>
      </c>
      <c r="J76" s="3">
        <f t="shared" si="20"/>
        <v>7.88</v>
      </c>
      <c r="K76" s="3">
        <f t="shared" si="20"/>
        <v>7.92</v>
      </c>
      <c r="L76" s="3">
        <f t="shared" si="20"/>
        <v>7.92</v>
      </c>
      <c r="M76" s="3">
        <f t="shared" si="20"/>
        <v>7.78</v>
      </c>
      <c r="P76" s="14" t="s">
        <v>749</v>
      </c>
      <c r="Q76" s="10" t="str">
        <f t="shared" si="14"/>
        <v xml:space="preserve">BRASILAGRO  -ON  </v>
      </c>
      <c r="R76" s="51">
        <f t="shared" si="15"/>
        <v>41681</v>
      </c>
      <c r="S76" s="5">
        <f t="shared" si="16"/>
        <v>7.88</v>
      </c>
      <c r="T76" s="5">
        <f t="shared" si="17"/>
        <v>7.92</v>
      </c>
      <c r="U76" s="5">
        <f t="shared" si="18"/>
        <v>7.92</v>
      </c>
      <c r="V76" s="5">
        <f t="shared" si="19"/>
        <v>7.78</v>
      </c>
    </row>
    <row r="77" spans="1:22" x14ac:dyDescent="0.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756</v>
      </c>
      <c r="D77" s="3" t="s">
        <v>454</v>
      </c>
      <c r="E77" s="3" t="s">
        <v>455</v>
      </c>
      <c r="F77" s="3" t="s">
        <v>454</v>
      </c>
      <c r="G77" s="3" t="s">
        <v>454</v>
      </c>
      <c r="H77" s="51" t="s">
        <v>454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750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 x14ac:dyDescent="0.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757</v>
      </c>
      <c r="D78" s="3" t="s">
        <v>454</v>
      </c>
      <c r="E78" s="3" t="s">
        <v>758</v>
      </c>
      <c r="F78" s="3" t="s">
        <v>758</v>
      </c>
      <c r="G78" s="3" t="s">
        <v>758</v>
      </c>
      <c r="H78" s="51">
        <v>41681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751</v>
      </c>
      <c r="Q78" s="10" t="str">
        <f t="shared" si="14"/>
        <v>COR RIBEIRO -PN</v>
      </c>
      <c r="R78" s="51">
        <f t="shared" si="15"/>
        <v>41681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 x14ac:dyDescent="0.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767</v>
      </c>
      <c r="D79" s="3" t="s">
        <v>917</v>
      </c>
      <c r="E79" s="3" t="s">
        <v>1401</v>
      </c>
      <c r="F79" s="3" t="s">
        <v>1401</v>
      </c>
      <c r="G79" s="3" t="s">
        <v>918</v>
      </c>
      <c r="H79" s="51">
        <v>41681</v>
      </c>
      <c r="J79" s="3">
        <f t="shared" si="20"/>
        <v>6.96</v>
      </c>
      <c r="K79" s="3">
        <f t="shared" si="20"/>
        <v>7</v>
      </c>
      <c r="L79" s="3">
        <f t="shared" si="20"/>
        <v>7</v>
      </c>
      <c r="M79" s="3">
        <f t="shared" si="20"/>
        <v>6.9</v>
      </c>
      <c r="P79" s="15" t="s">
        <v>766</v>
      </c>
      <c r="Q79" s="10" t="str">
        <f t="shared" si="14"/>
        <v xml:space="preserve">GENERALSHOPP-ON  </v>
      </c>
      <c r="R79" s="51">
        <f t="shared" si="15"/>
        <v>41681</v>
      </c>
      <c r="S79" s="5">
        <f t="shared" si="16"/>
        <v>6.96</v>
      </c>
      <c r="T79" s="5">
        <f t="shared" si="17"/>
        <v>7</v>
      </c>
      <c r="U79" s="5">
        <f t="shared" si="18"/>
        <v>7</v>
      </c>
      <c r="V79" s="5">
        <f t="shared" si="19"/>
        <v>6.9</v>
      </c>
    </row>
    <row r="80" spans="1:22" x14ac:dyDescent="0.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769</v>
      </c>
      <c r="D80" s="3" t="s">
        <v>454</v>
      </c>
      <c r="E80" s="3" t="s">
        <v>455</v>
      </c>
      <c r="F80" s="3" t="s">
        <v>454</v>
      </c>
      <c r="G80" s="3" t="s">
        <v>454</v>
      </c>
      <c r="H80" s="51" t="s">
        <v>454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768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 x14ac:dyDescent="0.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772</v>
      </c>
      <c r="D81" s="3" t="s">
        <v>1402</v>
      </c>
      <c r="E81" s="3" t="s">
        <v>1403</v>
      </c>
      <c r="F81" s="3" t="s">
        <v>1403</v>
      </c>
      <c r="G81" s="3" t="s">
        <v>1404</v>
      </c>
      <c r="H81" s="51">
        <v>41681</v>
      </c>
      <c r="J81" s="3">
        <f t="shared" si="20"/>
        <v>3.52</v>
      </c>
      <c r="K81" s="3">
        <f t="shared" si="20"/>
        <v>3.64</v>
      </c>
      <c r="L81" s="3">
        <f t="shared" si="20"/>
        <v>3.64</v>
      </c>
      <c r="M81" s="3">
        <f t="shared" si="20"/>
        <v>3.46</v>
      </c>
      <c r="P81" s="14" t="s">
        <v>770</v>
      </c>
      <c r="Q81" s="10" t="str">
        <f t="shared" si="14"/>
        <v xml:space="preserve">TEMPO PART  -ON  </v>
      </c>
      <c r="R81" s="51">
        <f t="shared" si="15"/>
        <v>41681</v>
      </c>
      <c r="S81" s="5">
        <f t="shared" si="16"/>
        <v>3.52</v>
      </c>
      <c r="T81" s="5">
        <f t="shared" si="17"/>
        <v>3.64</v>
      </c>
      <c r="U81" s="5">
        <f t="shared" si="18"/>
        <v>3.64</v>
      </c>
      <c r="V81" s="5">
        <f t="shared" si="19"/>
        <v>3.46</v>
      </c>
    </row>
    <row r="82" spans="1:22" x14ac:dyDescent="0.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774</v>
      </c>
      <c r="D82" s="3" t="s">
        <v>1405</v>
      </c>
      <c r="E82" s="3" t="s">
        <v>876</v>
      </c>
      <c r="F82" s="3" t="s">
        <v>1406</v>
      </c>
      <c r="G82" s="3" t="s">
        <v>419</v>
      </c>
      <c r="H82" s="51">
        <v>41681</v>
      </c>
      <c r="J82" s="3">
        <f t="shared" si="20"/>
        <v>15.2</v>
      </c>
      <c r="K82" s="3">
        <f t="shared" si="20"/>
        <v>15.01</v>
      </c>
      <c r="L82" s="3">
        <f t="shared" si="20"/>
        <v>15.38</v>
      </c>
      <c r="M82" s="3">
        <f t="shared" si="20"/>
        <v>15</v>
      </c>
      <c r="P82" s="14" t="s">
        <v>773</v>
      </c>
      <c r="Q82" s="10" t="str">
        <f t="shared" si="14"/>
        <v xml:space="preserve">DASA        -ON  </v>
      </c>
      <c r="R82" s="51">
        <f t="shared" si="15"/>
        <v>41681</v>
      </c>
      <c r="S82" s="5">
        <f t="shared" si="16"/>
        <v>15.2</v>
      </c>
      <c r="T82" s="5">
        <f t="shared" si="17"/>
        <v>15.01</v>
      </c>
      <c r="U82" s="5">
        <f t="shared" si="18"/>
        <v>15.38</v>
      </c>
      <c r="V82" s="5">
        <f t="shared" si="19"/>
        <v>15</v>
      </c>
    </row>
    <row r="83" spans="1:22" x14ac:dyDescent="0.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776</v>
      </c>
      <c r="D83" s="3" t="s">
        <v>1407</v>
      </c>
      <c r="E83" s="3" t="s">
        <v>1408</v>
      </c>
      <c r="F83" s="3" t="s">
        <v>1409</v>
      </c>
      <c r="G83" s="3" t="s">
        <v>1410</v>
      </c>
      <c r="H83" s="51">
        <v>41681</v>
      </c>
      <c r="J83" s="3">
        <f t="shared" si="20"/>
        <v>18.03</v>
      </c>
      <c r="K83" s="3">
        <f t="shared" si="20"/>
        <v>18.079999999999998</v>
      </c>
      <c r="L83" s="3">
        <f t="shared" si="20"/>
        <v>18.350000000000001</v>
      </c>
      <c r="M83" s="3">
        <f t="shared" si="20"/>
        <v>17.98</v>
      </c>
      <c r="P83" s="14" t="s">
        <v>775</v>
      </c>
      <c r="Q83" s="10" t="str">
        <f t="shared" si="14"/>
        <v xml:space="preserve">FLEURY      -ON  </v>
      </c>
      <c r="R83" s="46">
        <f t="shared" si="15"/>
        <v>41681</v>
      </c>
      <c r="S83" s="6">
        <f t="shared" si="16"/>
        <v>18.03</v>
      </c>
      <c r="T83" s="6">
        <f t="shared" si="17"/>
        <v>18.079999999999998</v>
      </c>
      <c r="U83" s="6">
        <f t="shared" si="18"/>
        <v>18.350000000000001</v>
      </c>
      <c r="V83" s="6">
        <f t="shared" si="19"/>
        <v>17.98</v>
      </c>
    </row>
    <row r="84" spans="1:22" x14ac:dyDescent="0.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778</v>
      </c>
      <c r="D84" s="3" t="s">
        <v>1411</v>
      </c>
      <c r="E84" s="3" t="s">
        <v>1412</v>
      </c>
      <c r="F84" s="3" t="s">
        <v>1413</v>
      </c>
      <c r="G84" s="3" t="s">
        <v>919</v>
      </c>
      <c r="H84" s="51">
        <v>41681</v>
      </c>
      <c r="J84" s="3">
        <f t="shared" si="20"/>
        <v>8.9499999999999993</v>
      </c>
      <c r="K84" s="3">
        <f t="shared" si="20"/>
        <v>8.98</v>
      </c>
      <c r="L84" s="3">
        <f t="shared" si="20"/>
        <v>8.99</v>
      </c>
      <c r="M84" s="3">
        <f t="shared" si="20"/>
        <v>8.92</v>
      </c>
      <c r="P84" s="43" t="s">
        <v>777</v>
      </c>
      <c r="Q84" s="10" t="str">
        <f t="shared" si="14"/>
        <v xml:space="preserve">ODONTOPREV  -ON  </v>
      </c>
      <c r="R84" s="51">
        <f t="shared" si="15"/>
        <v>41681</v>
      </c>
      <c r="S84" s="5">
        <f t="shared" si="16"/>
        <v>8.9499999999999993</v>
      </c>
      <c r="T84" s="5">
        <f t="shared" si="17"/>
        <v>8.98</v>
      </c>
      <c r="U84" s="5">
        <f t="shared" si="18"/>
        <v>8.99</v>
      </c>
      <c r="V84" s="5">
        <f t="shared" si="19"/>
        <v>8.92</v>
      </c>
    </row>
    <row r="85" spans="1:22" x14ac:dyDescent="0.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780</v>
      </c>
      <c r="D85" s="3" t="s">
        <v>1414</v>
      </c>
      <c r="E85" s="3" t="s">
        <v>896</v>
      </c>
      <c r="F85" s="3" t="s">
        <v>1415</v>
      </c>
      <c r="G85" s="3" t="s">
        <v>1416</v>
      </c>
      <c r="H85" s="51">
        <v>41681</v>
      </c>
      <c r="J85" s="3">
        <f t="shared" si="20"/>
        <v>20.61</v>
      </c>
      <c r="K85" s="3">
        <f t="shared" si="20"/>
        <v>20.47</v>
      </c>
      <c r="L85" s="3">
        <f t="shared" si="20"/>
        <v>20.67</v>
      </c>
      <c r="M85" s="3">
        <f t="shared" si="20"/>
        <v>20.260000000000002</v>
      </c>
      <c r="P85" s="15" t="s">
        <v>779</v>
      </c>
      <c r="Q85" s="10" t="str">
        <f t="shared" si="14"/>
        <v xml:space="preserve">QUALICORP   -ON  </v>
      </c>
      <c r="R85" s="51">
        <f t="shared" si="15"/>
        <v>41681</v>
      </c>
      <c r="S85" s="5">
        <f t="shared" si="16"/>
        <v>20.61</v>
      </c>
      <c r="T85" s="5">
        <f t="shared" si="17"/>
        <v>20.47</v>
      </c>
      <c r="U85" s="5">
        <f t="shared" si="18"/>
        <v>20.67</v>
      </c>
      <c r="V85" s="5">
        <f t="shared" si="19"/>
        <v>20.260000000000002</v>
      </c>
    </row>
    <row r="86" spans="1:22" x14ac:dyDescent="0.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782</v>
      </c>
      <c r="D86" s="3" t="s">
        <v>347</v>
      </c>
      <c r="E86" s="3" t="s">
        <v>875</v>
      </c>
      <c r="F86" s="3" t="s">
        <v>875</v>
      </c>
      <c r="G86" s="3" t="s">
        <v>347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781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 x14ac:dyDescent="0.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784</v>
      </c>
      <c r="D87" s="3" t="s">
        <v>1405</v>
      </c>
      <c r="E87" s="3" t="s">
        <v>1417</v>
      </c>
      <c r="F87" s="3" t="s">
        <v>1417</v>
      </c>
      <c r="G87" s="3" t="s">
        <v>1405</v>
      </c>
      <c r="H87" s="51">
        <v>41681</v>
      </c>
      <c r="J87" s="3">
        <f t="shared" si="20"/>
        <v>15.2</v>
      </c>
      <c r="K87" s="3">
        <f t="shared" si="20"/>
        <v>15.24</v>
      </c>
      <c r="L87" s="3">
        <f t="shared" si="20"/>
        <v>15.24</v>
      </c>
      <c r="M87" s="3">
        <f t="shared" si="20"/>
        <v>15.2</v>
      </c>
      <c r="P87" s="15" t="s">
        <v>783</v>
      </c>
      <c r="Q87" s="10" t="str">
        <f t="shared" si="14"/>
        <v xml:space="preserve">CREMER      -ON  </v>
      </c>
      <c r="R87" s="51">
        <f t="shared" si="15"/>
        <v>41681</v>
      </c>
      <c r="S87" s="5">
        <f t="shared" si="16"/>
        <v>15.2</v>
      </c>
      <c r="T87" s="5">
        <f t="shared" si="17"/>
        <v>15.24</v>
      </c>
      <c r="U87" s="5">
        <f t="shared" si="18"/>
        <v>15.24</v>
      </c>
      <c r="V87" s="5">
        <f t="shared" si="19"/>
        <v>15.2</v>
      </c>
    </row>
    <row r="88" spans="1:22" x14ac:dyDescent="0.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920</v>
      </c>
      <c r="D88" s="3" t="s">
        <v>1418</v>
      </c>
      <c r="E88" s="3" t="s">
        <v>1419</v>
      </c>
      <c r="F88" s="3" t="s">
        <v>1420</v>
      </c>
      <c r="G88" s="3" t="s">
        <v>1421</v>
      </c>
      <c r="H88" s="51">
        <v>41681</v>
      </c>
      <c r="J88" s="3">
        <f t="shared" si="20"/>
        <v>39.049999999999997</v>
      </c>
      <c r="K88" s="3">
        <f t="shared" si="20"/>
        <v>38.78</v>
      </c>
      <c r="L88" s="3">
        <f t="shared" si="20"/>
        <v>39.409999999999997</v>
      </c>
      <c r="M88" s="3">
        <f t="shared" si="20"/>
        <v>38.700000000000003</v>
      </c>
      <c r="P88" s="15" t="s">
        <v>909</v>
      </c>
      <c r="Q88" s="10" t="str">
        <f t="shared" si="14"/>
        <v xml:space="preserve">NATURA      -ON  </v>
      </c>
      <c r="R88" s="51">
        <f t="shared" si="15"/>
        <v>41681</v>
      </c>
      <c r="S88" s="5">
        <f t="shared" si="16"/>
        <v>39.049999999999997</v>
      </c>
      <c r="T88" s="5">
        <f t="shared" si="17"/>
        <v>38.78</v>
      </c>
      <c r="U88" s="5">
        <f t="shared" si="18"/>
        <v>39.409999999999997</v>
      </c>
      <c r="V88" s="5">
        <f t="shared" si="19"/>
        <v>38.700000000000003</v>
      </c>
    </row>
    <row r="89" spans="1:22" x14ac:dyDescent="0.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924</v>
      </c>
      <c r="D89" s="3" t="s">
        <v>454</v>
      </c>
      <c r="E89" s="3" t="s">
        <v>455</v>
      </c>
      <c r="F89" s="3" t="s">
        <v>454</v>
      </c>
      <c r="G89" s="3" t="s">
        <v>454</v>
      </c>
      <c r="H89" s="51" t="s">
        <v>454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922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 x14ac:dyDescent="0.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925</v>
      </c>
      <c r="D90" s="3" t="s">
        <v>926</v>
      </c>
      <c r="E90" s="3" t="s">
        <v>926</v>
      </c>
      <c r="F90" s="3" t="s">
        <v>926</v>
      </c>
      <c r="G90" s="3" t="s">
        <v>926</v>
      </c>
      <c r="H90" s="51">
        <v>41681</v>
      </c>
      <c r="J90" s="3">
        <f t="shared" si="20"/>
        <v>6.27</v>
      </c>
      <c r="K90" s="3">
        <f t="shared" si="20"/>
        <v>6.27</v>
      </c>
      <c r="L90" s="3">
        <f t="shared" si="20"/>
        <v>6.27</v>
      </c>
      <c r="M90" s="3">
        <f t="shared" si="20"/>
        <v>6.27</v>
      </c>
      <c r="P90" s="10" t="s">
        <v>923</v>
      </c>
      <c r="Q90" s="10" t="str">
        <f t="shared" si="14"/>
        <v>BOMBRIL     -PN</v>
      </c>
      <c r="R90" s="51">
        <f t="shared" si="15"/>
        <v>41681</v>
      </c>
      <c r="S90" s="5">
        <f t="shared" si="16"/>
        <v>6.27</v>
      </c>
      <c r="T90" s="5">
        <f t="shared" si="17"/>
        <v>6.27</v>
      </c>
      <c r="U90" s="5">
        <f t="shared" si="18"/>
        <v>6.27</v>
      </c>
      <c r="V90" s="5">
        <f t="shared" si="19"/>
        <v>6.27</v>
      </c>
    </row>
    <row r="91" spans="1:22" x14ac:dyDescent="0.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929</v>
      </c>
      <c r="D91" s="3" t="s">
        <v>1422</v>
      </c>
      <c r="E91" s="3" t="s">
        <v>1423</v>
      </c>
      <c r="F91" s="3" t="s">
        <v>1422</v>
      </c>
      <c r="G91" s="3" t="s">
        <v>1424</v>
      </c>
      <c r="H91" s="51">
        <v>41681</v>
      </c>
      <c r="J91" s="3">
        <f t="shared" si="20"/>
        <v>20.239999999999998</v>
      </c>
      <c r="K91" s="3">
        <f t="shared" si="20"/>
        <v>20.16</v>
      </c>
      <c r="L91" s="3">
        <f t="shared" si="20"/>
        <v>20.239999999999998</v>
      </c>
      <c r="M91" s="3">
        <f t="shared" si="20"/>
        <v>19.899999999999999</v>
      </c>
      <c r="P91" s="10" t="s">
        <v>927</v>
      </c>
      <c r="Q91" s="10" t="str">
        <f t="shared" si="14"/>
        <v>SOUZA CRUZ  -ON</v>
      </c>
      <c r="R91" s="51">
        <f t="shared" si="15"/>
        <v>41681</v>
      </c>
      <c r="S91" s="5">
        <f t="shared" si="16"/>
        <v>20.239999999999998</v>
      </c>
      <c r="T91" s="5">
        <f t="shared" si="17"/>
        <v>20.16</v>
      </c>
      <c r="U91" s="5">
        <f t="shared" si="18"/>
        <v>20.239999999999998</v>
      </c>
      <c r="V91" s="5">
        <f t="shared" si="19"/>
        <v>19.899999999999999</v>
      </c>
    </row>
    <row r="92" spans="1:22" x14ac:dyDescent="0.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933</v>
      </c>
      <c r="D92" s="3" t="s">
        <v>1425</v>
      </c>
      <c r="E92" s="3" t="s">
        <v>880</v>
      </c>
      <c r="F92" s="3" t="s">
        <v>1426</v>
      </c>
      <c r="G92" s="3" t="s">
        <v>905</v>
      </c>
      <c r="H92" s="51">
        <v>41681</v>
      </c>
      <c r="J92" s="3">
        <f t="shared" si="20"/>
        <v>12.46</v>
      </c>
      <c r="K92" s="3">
        <f t="shared" si="20"/>
        <v>12.25</v>
      </c>
      <c r="L92" s="3">
        <f t="shared" si="20"/>
        <v>12.47</v>
      </c>
      <c r="M92" s="3">
        <f t="shared" si="20"/>
        <v>12.19</v>
      </c>
      <c r="P92" s="16" t="s">
        <v>931</v>
      </c>
      <c r="Q92" s="10" t="str">
        <f t="shared" si="14"/>
        <v>LOJAS AMERIC-ON</v>
      </c>
      <c r="R92" s="51">
        <f t="shared" si="15"/>
        <v>41681</v>
      </c>
      <c r="S92" s="5">
        <f t="shared" si="16"/>
        <v>12.46</v>
      </c>
      <c r="T92" s="5">
        <f t="shared" si="17"/>
        <v>12.25</v>
      </c>
      <c r="U92" s="5">
        <f t="shared" si="18"/>
        <v>12.47</v>
      </c>
      <c r="V92" s="5">
        <f t="shared" si="19"/>
        <v>12.19</v>
      </c>
    </row>
    <row r="93" spans="1:22" x14ac:dyDescent="0.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934</v>
      </c>
      <c r="D93" s="3" t="s">
        <v>1427</v>
      </c>
      <c r="E93" s="3" t="s">
        <v>865</v>
      </c>
      <c r="F93" s="3" t="s">
        <v>1427</v>
      </c>
      <c r="G93" s="3" t="s">
        <v>1428</v>
      </c>
      <c r="H93" s="51">
        <v>41681</v>
      </c>
      <c r="J93" s="3">
        <f t="shared" si="20"/>
        <v>14.57</v>
      </c>
      <c r="K93" s="3">
        <f t="shared" si="20"/>
        <v>14.31</v>
      </c>
      <c r="L93" s="3">
        <f t="shared" si="20"/>
        <v>14.57</v>
      </c>
      <c r="M93" s="3">
        <f t="shared" si="20"/>
        <v>14.18</v>
      </c>
      <c r="P93" s="16" t="s">
        <v>932</v>
      </c>
      <c r="Q93" s="10" t="str">
        <f t="shared" si="14"/>
        <v>LOJAS AMERIC-PN</v>
      </c>
      <c r="R93" s="51">
        <f t="shared" si="15"/>
        <v>41681</v>
      </c>
      <c r="S93" s="5">
        <f t="shared" si="16"/>
        <v>14.57</v>
      </c>
      <c r="T93" s="5">
        <f t="shared" si="17"/>
        <v>14.31</v>
      </c>
      <c r="U93" s="5">
        <f t="shared" si="18"/>
        <v>14.57</v>
      </c>
      <c r="V93" s="5">
        <f t="shared" si="19"/>
        <v>14.18</v>
      </c>
    </row>
    <row r="94" spans="1:22" x14ac:dyDescent="0.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937</v>
      </c>
      <c r="D94" s="3" t="s">
        <v>1429</v>
      </c>
      <c r="E94" s="3" t="s">
        <v>1430</v>
      </c>
      <c r="F94" s="3" t="s">
        <v>1431</v>
      </c>
      <c r="G94" s="3" t="s">
        <v>1432</v>
      </c>
      <c r="H94" s="51">
        <v>41681</v>
      </c>
      <c r="J94" s="3">
        <f t="shared" si="20"/>
        <v>23.05</v>
      </c>
      <c r="K94" s="3">
        <f t="shared" si="20"/>
        <v>22.89</v>
      </c>
      <c r="L94" s="3">
        <f t="shared" si="20"/>
        <v>23.16</v>
      </c>
      <c r="M94" s="3">
        <f t="shared" si="20"/>
        <v>22.7</v>
      </c>
      <c r="P94" s="14" t="s">
        <v>935</v>
      </c>
      <c r="Q94" s="10" t="str">
        <f t="shared" si="14"/>
        <v xml:space="preserve">B2W DIGITAL -ON  </v>
      </c>
      <c r="R94" s="51">
        <f t="shared" si="15"/>
        <v>41681</v>
      </c>
      <c r="S94" s="5">
        <f t="shared" si="16"/>
        <v>23.05</v>
      </c>
      <c r="T94" s="5">
        <f t="shared" si="17"/>
        <v>22.89</v>
      </c>
      <c r="U94" s="5">
        <f t="shared" si="18"/>
        <v>23.16</v>
      </c>
      <c r="V94" s="5">
        <f t="shared" si="19"/>
        <v>22.7</v>
      </c>
    </row>
    <row r="95" spans="1:22" x14ac:dyDescent="0.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939</v>
      </c>
      <c r="D95" s="3" t="s">
        <v>1406</v>
      </c>
      <c r="E95" s="3" t="s">
        <v>1433</v>
      </c>
      <c r="F95" s="3" t="s">
        <v>1434</v>
      </c>
      <c r="G95" s="3" t="s">
        <v>1406</v>
      </c>
      <c r="H95" s="51">
        <v>41681</v>
      </c>
      <c r="J95" s="3">
        <f t="shared" si="20"/>
        <v>15.38</v>
      </c>
      <c r="K95" s="3">
        <f t="shared" si="20"/>
        <v>15.46</v>
      </c>
      <c r="L95" s="3">
        <f t="shared" si="20"/>
        <v>15.49</v>
      </c>
      <c r="M95" s="3">
        <f t="shared" si="20"/>
        <v>15.38</v>
      </c>
      <c r="P95" s="14" t="s">
        <v>938</v>
      </c>
      <c r="Q95" s="10" t="str">
        <f t="shared" si="14"/>
        <v xml:space="preserve">HYPERMARCAS -ON  </v>
      </c>
      <c r="R95" s="51">
        <f t="shared" si="15"/>
        <v>41681</v>
      </c>
      <c r="S95" s="5">
        <f t="shared" si="16"/>
        <v>15.38</v>
      </c>
      <c r="T95" s="5">
        <f t="shared" si="17"/>
        <v>15.46</v>
      </c>
      <c r="U95" s="5">
        <f t="shared" si="18"/>
        <v>15.49</v>
      </c>
      <c r="V95" s="5">
        <f t="shared" si="19"/>
        <v>15.38</v>
      </c>
    </row>
    <row r="96" spans="1:22" x14ac:dyDescent="0.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943</v>
      </c>
      <c r="D96" s="3" t="s">
        <v>1428</v>
      </c>
      <c r="E96" s="3" t="s">
        <v>1435</v>
      </c>
      <c r="F96" s="3" t="s">
        <v>990</v>
      </c>
      <c r="G96" s="3" t="s">
        <v>1436</v>
      </c>
      <c r="H96" s="51">
        <v>41681</v>
      </c>
      <c r="J96" s="3">
        <f t="shared" si="20"/>
        <v>14.18</v>
      </c>
      <c r="K96" s="3">
        <f t="shared" si="20"/>
        <v>14.25</v>
      </c>
      <c r="L96" s="3">
        <f t="shared" si="20"/>
        <v>14.3</v>
      </c>
      <c r="M96" s="3">
        <f t="shared" si="20"/>
        <v>14.13</v>
      </c>
      <c r="P96" s="14" t="s">
        <v>941</v>
      </c>
      <c r="Q96" s="10" t="str">
        <f t="shared" si="14"/>
        <v xml:space="preserve">RAIADROGASIL-ON  </v>
      </c>
      <c r="R96" s="51">
        <f t="shared" si="15"/>
        <v>41681</v>
      </c>
      <c r="S96" s="5">
        <f t="shared" si="16"/>
        <v>14.18</v>
      </c>
      <c r="T96" s="5">
        <f t="shared" si="17"/>
        <v>14.25</v>
      </c>
      <c r="U96" s="5">
        <f t="shared" si="18"/>
        <v>14.3</v>
      </c>
      <c r="V96" s="5">
        <f t="shared" si="19"/>
        <v>14.13</v>
      </c>
    </row>
    <row r="97" spans="1:22" x14ac:dyDescent="0.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945</v>
      </c>
      <c r="D97" s="3" t="s">
        <v>860</v>
      </c>
      <c r="E97" s="3" t="s">
        <v>789</v>
      </c>
      <c r="F97" s="3" t="s">
        <v>1437</v>
      </c>
      <c r="G97" s="3" t="s">
        <v>1438</v>
      </c>
      <c r="H97" s="51">
        <v>41681</v>
      </c>
      <c r="J97" s="3">
        <f t="shared" si="20"/>
        <v>4.79</v>
      </c>
      <c r="K97" s="3">
        <f t="shared" si="20"/>
        <v>4.75</v>
      </c>
      <c r="L97" s="3">
        <f t="shared" si="20"/>
        <v>4.82</v>
      </c>
      <c r="M97" s="3">
        <f t="shared" si="20"/>
        <v>4.74</v>
      </c>
      <c r="P97" s="15" t="s">
        <v>944</v>
      </c>
      <c r="Q97" s="10" t="str">
        <f t="shared" si="14"/>
        <v xml:space="preserve">BR PHARMA   -ON  </v>
      </c>
      <c r="R97" s="51">
        <f t="shared" si="15"/>
        <v>41681</v>
      </c>
      <c r="S97" s="5">
        <f t="shared" si="16"/>
        <v>4.79</v>
      </c>
      <c r="T97" s="5">
        <f t="shared" si="17"/>
        <v>4.75</v>
      </c>
      <c r="U97" s="5">
        <f t="shared" si="18"/>
        <v>4.82</v>
      </c>
      <c r="V97" s="5">
        <f t="shared" si="19"/>
        <v>4.74</v>
      </c>
    </row>
    <row r="98" spans="1:22" x14ac:dyDescent="0.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948</v>
      </c>
      <c r="D98" s="3" t="s">
        <v>1439</v>
      </c>
      <c r="E98" s="3" t="s">
        <v>1440</v>
      </c>
      <c r="F98" s="3" t="s">
        <v>1440</v>
      </c>
      <c r="G98" s="3" t="s">
        <v>1439</v>
      </c>
      <c r="H98" s="51">
        <v>41681</v>
      </c>
      <c r="J98" s="3">
        <f t="shared" si="20"/>
        <v>180.01</v>
      </c>
      <c r="K98" s="3">
        <f t="shared" si="20"/>
        <v>185</v>
      </c>
      <c r="L98" s="3">
        <f t="shared" si="20"/>
        <v>185</v>
      </c>
      <c r="M98" s="3">
        <f t="shared" si="20"/>
        <v>180.01</v>
      </c>
      <c r="P98" s="10" t="s">
        <v>946</v>
      </c>
      <c r="Q98" s="10" t="str">
        <f t="shared" si="14"/>
        <v>DIMED       -ON</v>
      </c>
      <c r="R98" s="51">
        <f t="shared" si="15"/>
        <v>41681</v>
      </c>
      <c r="S98" s="5">
        <f t="shared" si="16"/>
        <v>180.01</v>
      </c>
      <c r="T98" s="5">
        <f t="shared" si="17"/>
        <v>185</v>
      </c>
      <c r="U98" s="5">
        <f t="shared" si="18"/>
        <v>185</v>
      </c>
      <c r="V98" s="5">
        <f t="shared" si="19"/>
        <v>180.01</v>
      </c>
    </row>
    <row r="99" spans="1:22" x14ac:dyDescent="0.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949</v>
      </c>
      <c r="D99" s="3" t="s">
        <v>950</v>
      </c>
      <c r="E99" s="3" t="s">
        <v>951</v>
      </c>
      <c r="F99" s="3" t="s">
        <v>951</v>
      </c>
      <c r="G99" s="3" t="s">
        <v>950</v>
      </c>
      <c r="H99" s="51">
        <v>41681</v>
      </c>
      <c r="J99" s="3">
        <f t="shared" si="20"/>
        <v>188</v>
      </c>
      <c r="K99" s="3">
        <f t="shared" si="20"/>
        <v>190</v>
      </c>
      <c r="L99" s="3">
        <f t="shared" si="20"/>
        <v>190</v>
      </c>
      <c r="M99" s="3">
        <f t="shared" si="20"/>
        <v>188</v>
      </c>
      <c r="P99" s="14" t="s">
        <v>947</v>
      </c>
      <c r="Q99" s="10" t="str">
        <f t="shared" si="14"/>
        <v>DIMED       -PN</v>
      </c>
      <c r="R99" s="51">
        <f t="shared" si="15"/>
        <v>41681</v>
      </c>
      <c r="S99" s="5">
        <f t="shared" si="16"/>
        <v>188</v>
      </c>
      <c r="T99" s="5">
        <f t="shared" si="17"/>
        <v>190</v>
      </c>
      <c r="U99" s="5">
        <f t="shared" si="18"/>
        <v>190</v>
      </c>
      <c r="V99" s="5">
        <f t="shared" si="19"/>
        <v>188</v>
      </c>
    </row>
    <row r="100" spans="1:22" x14ac:dyDescent="0.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953</v>
      </c>
      <c r="D100" s="3" t="s">
        <v>1441</v>
      </c>
      <c r="E100" s="3" t="s">
        <v>796</v>
      </c>
      <c r="F100" s="3" t="s">
        <v>1442</v>
      </c>
      <c r="G100" s="3" t="s">
        <v>1443</v>
      </c>
      <c r="H100" s="51">
        <v>41681</v>
      </c>
      <c r="J100" s="3">
        <f t="shared" si="20"/>
        <v>15.98</v>
      </c>
      <c r="K100" s="3">
        <f t="shared" si="20"/>
        <v>16</v>
      </c>
      <c r="L100" s="3">
        <f t="shared" si="20"/>
        <v>16.059999999999999</v>
      </c>
      <c r="M100" s="3">
        <f t="shared" si="20"/>
        <v>15.96</v>
      </c>
      <c r="P100" s="14" t="s">
        <v>952</v>
      </c>
      <c r="Q100" s="10" t="str">
        <f t="shared" si="14"/>
        <v xml:space="preserve">PROFARMA    -ON  </v>
      </c>
      <c r="R100" s="51">
        <f t="shared" si="15"/>
        <v>41681</v>
      </c>
      <c r="S100" s="5">
        <f t="shared" si="16"/>
        <v>15.98</v>
      </c>
      <c r="T100" s="5">
        <f t="shared" si="17"/>
        <v>16</v>
      </c>
      <c r="U100" s="5">
        <f t="shared" si="18"/>
        <v>16.059999999999999</v>
      </c>
      <c r="V100" s="5">
        <f t="shared" si="19"/>
        <v>15.96</v>
      </c>
    </row>
    <row r="101" spans="1:22" x14ac:dyDescent="0.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957</v>
      </c>
      <c r="D101" s="3" t="s">
        <v>454</v>
      </c>
      <c r="E101" s="3" t="s">
        <v>958</v>
      </c>
      <c r="F101" s="3" t="s">
        <v>958</v>
      </c>
      <c r="G101" s="3" t="s">
        <v>958</v>
      </c>
      <c r="H101" s="51">
        <v>41681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955</v>
      </c>
      <c r="Q101" s="10" t="str">
        <f t="shared" si="14"/>
        <v xml:space="preserve">P.ACUCAR-CBD-ON  </v>
      </c>
      <c r="R101" s="51">
        <f t="shared" si="15"/>
        <v>41681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 x14ac:dyDescent="0.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959</v>
      </c>
      <c r="D102" s="3" t="s">
        <v>1444</v>
      </c>
      <c r="E102" s="3" t="s">
        <v>1445</v>
      </c>
      <c r="F102" s="3" t="s">
        <v>1446</v>
      </c>
      <c r="G102" s="3" t="s">
        <v>1447</v>
      </c>
      <c r="H102" s="51">
        <v>41681</v>
      </c>
      <c r="J102" s="3">
        <f t="shared" si="20"/>
        <v>93.84</v>
      </c>
      <c r="K102" s="3">
        <f t="shared" si="20"/>
        <v>93.98</v>
      </c>
      <c r="L102" s="3">
        <f t="shared" si="20"/>
        <v>94.69</v>
      </c>
      <c r="M102" s="3">
        <f t="shared" si="20"/>
        <v>93.26</v>
      </c>
      <c r="P102" s="10" t="s">
        <v>956</v>
      </c>
      <c r="Q102" s="10" t="str">
        <f t="shared" si="14"/>
        <v xml:space="preserve">P.ACUCAR-CBD-PN  </v>
      </c>
      <c r="R102" s="51">
        <f t="shared" si="15"/>
        <v>41681</v>
      </c>
      <c r="S102" s="5">
        <f t="shared" si="16"/>
        <v>93.84</v>
      </c>
      <c r="T102" s="5">
        <f t="shared" si="17"/>
        <v>93.98</v>
      </c>
      <c r="U102" s="5">
        <f t="shared" si="18"/>
        <v>94.69</v>
      </c>
      <c r="V102" s="5">
        <f t="shared" si="19"/>
        <v>93.26</v>
      </c>
    </row>
    <row r="103" spans="1:22" x14ac:dyDescent="0.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963</v>
      </c>
      <c r="D103" s="3" t="s">
        <v>1374</v>
      </c>
      <c r="E103" s="3" t="s">
        <v>1448</v>
      </c>
      <c r="F103" s="3" t="s">
        <v>1372</v>
      </c>
      <c r="G103" s="3" t="s">
        <v>986</v>
      </c>
      <c r="H103" s="51">
        <v>41681</v>
      </c>
      <c r="J103" s="3">
        <f t="shared" si="20"/>
        <v>16.239999999999998</v>
      </c>
      <c r="K103" s="3">
        <f t="shared" si="20"/>
        <v>16.27</v>
      </c>
      <c r="L103" s="3">
        <f t="shared" si="20"/>
        <v>16.399999999999999</v>
      </c>
      <c r="M103" s="3">
        <f t="shared" si="20"/>
        <v>16.16</v>
      </c>
      <c r="P103" s="15" t="s">
        <v>961</v>
      </c>
      <c r="Q103" s="10" t="str">
        <f t="shared" ref="Q103:Q112" si="21">IF(A103="","",C103)</f>
        <v>AMBEV S/A   -ON</v>
      </c>
      <c r="R103" s="51">
        <f t="shared" ref="R103:R112" si="22">IF(A103="","",H103)</f>
        <v>41681</v>
      </c>
      <c r="S103" s="5">
        <f t="shared" ref="S103:S112" si="23">J103</f>
        <v>16.239999999999998</v>
      </c>
      <c r="T103" s="5">
        <f t="shared" ref="T103:T112" si="24">K103</f>
        <v>16.27</v>
      </c>
      <c r="U103" s="5">
        <f t="shared" ref="U103:U112" si="25">L103</f>
        <v>16.399999999999999</v>
      </c>
      <c r="V103" s="5">
        <f t="shared" ref="V103:V112" si="26">M103</f>
        <v>16.16</v>
      </c>
    </row>
    <row r="104" spans="1:22" x14ac:dyDescent="0.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289</v>
      </c>
      <c r="D104" s="3" t="s">
        <v>792</v>
      </c>
      <c r="E104" s="3" t="s">
        <v>866</v>
      </c>
      <c r="F104" s="3" t="s">
        <v>792</v>
      </c>
      <c r="G104" s="3" t="s">
        <v>866</v>
      </c>
      <c r="H104" s="51">
        <v>41681</v>
      </c>
      <c r="J104" s="3">
        <f t="shared" si="20"/>
        <v>7.6</v>
      </c>
      <c r="K104" s="3">
        <f t="shared" si="20"/>
        <v>7.29</v>
      </c>
      <c r="L104" s="3">
        <f t="shared" si="20"/>
        <v>7.6</v>
      </c>
      <c r="M104" s="3">
        <f t="shared" si="20"/>
        <v>7.29</v>
      </c>
      <c r="P104" s="15" t="s">
        <v>288</v>
      </c>
      <c r="Q104" s="10" t="str">
        <f t="shared" si="21"/>
        <v xml:space="preserve">VIGOR FOOD  -ON  </v>
      </c>
      <c r="R104" s="51">
        <f t="shared" si="22"/>
        <v>41681</v>
      </c>
      <c r="S104" s="5">
        <f t="shared" si="23"/>
        <v>7.6</v>
      </c>
      <c r="T104" s="5">
        <f t="shared" si="24"/>
        <v>7.29</v>
      </c>
      <c r="U104" s="5">
        <f t="shared" si="25"/>
        <v>7.6</v>
      </c>
      <c r="V104" s="5">
        <f t="shared" si="26"/>
        <v>7.29</v>
      </c>
    </row>
    <row r="105" spans="1:22" x14ac:dyDescent="0.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969</v>
      </c>
      <c r="D105" s="3" t="s">
        <v>454</v>
      </c>
      <c r="E105" s="3" t="s">
        <v>455</v>
      </c>
      <c r="F105" s="3" t="s">
        <v>454</v>
      </c>
      <c r="G105" s="3" t="s">
        <v>454</v>
      </c>
      <c r="H105" s="51" t="s">
        <v>454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966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 x14ac:dyDescent="0.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970</v>
      </c>
      <c r="D106" s="3" t="s">
        <v>700</v>
      </c>
      <c r="E106" s="3" t="s">
        <v>700</v>
      </c>
      <c r="F106" s="3" t="s">
        <v>700</v>
      </c>
      <c r="G106" s="3" t="s">
        <v>700</v>
      </c>
      <c r="H106" s="51">
        <v>41681</v>
      </c>
      <c r="J106" s="3">
        <f t="shared" si="20"/>
        <v>3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967</v>
      </c>
      <c r="Q106" s="10" t="str">
        <f t="shared" si="21"/>
        <v>CLARION     -PN</v>
      </c>
      <c r="R106" s="51">
        <f t="shared" si="22"/>
        <v>41681</v>
      </c>
      <c r="S106" s="5">
        <f t="shared" si="23"/>
        <v>3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 x14ac:dyDescent="0.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973</v>
      </c>
      <c r="D107" s="3" t="s">
        <v>694</v>
      </c>
      <c r="E107" s="3" t="s">
        <v>915</v>
      </c>
      <c r="F107" s="3" t="s">
        <v>694</v>
      </c>
      <c r="G107" s="3" t="s">
        <v>915</v>
      </c>
      <c r="H107" s="51">
        <v>41681</v>
      </c>
      <c r="J107" s="3">
        <f t="shared" si="20"/>
        <v>0.08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972</v>
      </c>
      <c r="Q107" s="10" t="str">
        <f t="shared" si="21"/>
        <v>MINUPAR     -ON</v>
      </c>
      <c r="R107" s="51">
        <f t="shared" si="22"/>
        <v>41681</v>
      </c>
      <c r="S107" s="5">
        <f t="shared" si="23"/>
        <v>0.08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 x14ac:dyDescent="0.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976</v>
      </c>
      <c r="D108" s="3" t="s">
        <v>454</v>
      </c>
      <c r="E108" s="3" t="s">
        <v>455</v>
      </c>
      <c r="F108" s="3" t="s">
        <v>454</v>
      </c>
      <c r="G108" s="3" t="s">
        <v>454</v>
      </c>
      <c r="H108" s="51" t="s">
        <v>454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974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 x14ac:dyDescent="0.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977</v>
      </c>
      <c r="D109" s="3" t="s">
        <v>978</v>
      </c>
      <c r="E109" s="3" t="s">
        <v>884</v>
      </c>
      <c r="F109" s="3" t="s">
        <v>978</v>
      </c>
      <c r="G109" s="3" t="s">
        <v>884</v>
      </c>
      <c r="H109" s="51">
        <v>41681</v>
      </c>
      <c r="J109" s="3">
        <f t="shared" si="20"/>
        <v>9.9</v>
      </c>
      <c r="K109" s="3">
        <f t="shared" si="20"/>
        <v>9.4</v>
      </c>
      <c r="L109" s="3">
        <f t="shared" si="20"/>
        <v>9.9</v>
      </c>
      <c r="M109" s="3">
        <f t="shared" si="20"/>
        <v>9.4</v>
      </c>
      <c r="P109" s="14" t="s">
        <v>975</v>
      </c>
      <c r="Q109" s="10" t="str">
        <f t="shared" si="21"/>
        <v>EXCELSIOR   -PN</v>
      </c>
      <c r="R109" s="51">
        <f t="shared" si="22"/>
        <v>41681</v>
      </c>
      <c r="S109" s="5">
        <f t="shared" si="23"/>
        <v>9.9</v>
      </c>
      <c r="T109" s="5">
        <f t="shared" si="24"/>
        <v>9.4</v>
      </c>
      <c r="U109" s="5">
        <f t="shared" si="25"/>
        <v>9.9</v>
      </c>
      <c r="V109" s="5">
        <f t="shared" si="26"/>
        <v>9.4</v>
      </c>
    </row>
    <row r="110" spans="1:22" x14ac:dyDescent="0.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981</v>
      </c>
      <c r="D110" s="3" t="s">
        <v>1449</v>
      </c>
      <c r="E110" s="3" t="s">
        <v>1450</v>
      </c>
      <c r="F110" s="3" t="s">
        <v>1451</v>
      </c>
      <c r="G110" s="3" t="s">
        <v>1452</v>
      </c>
      <c r="H110" s="51">
        <v>41681</v>
      </c>
      <c r="J110" s="3">
        <f t="shared" si="20"/>
        <v>10.41</v>
      </c>
      <c r="K110" s="3">
        <f t="shared" si="20"/>
        <v>10.199999999999999</v>
      </c>
      <c r="L110" s="3">
        <f t="shared" si="20"/>
        <v>10.57</v>
      </c>
      <c r="M110" s="3">
        <f t="shared" si="20"/>
        <v>10.16</v>
      </c>
      <c r="P110" s="15" t="s">
        <v>980</v>
      </c>
      <c r="Q110" s="10" t="str">
        <f t="shared" si="21"/>
        <v xml:space="preserve">MINERVA     -ON  </v>
      </c>
      <c r="R110" s="51">
        <f t="shared" si="22"/>
        <v>41681</v>
      </c>
      <c r="S110" s="5">
        <f t="shared" si="23"/>
        <v>10.41</v>
      </c>
      <c r="T110" s="5">
        <f t="shared" si="24"/>
        <v>10.199999999999999</v>
      </c>
      <c r="U110" s="5">
        <f t="shared" si="25"/>
        <v>10.57</v>
      </c>
      <c r="V110" s="5">
        <f t="shared" si="26"/>
        <v>10.16</v>
      </c>
    </row>
    <row r="111" spans="1:22" x14ac:dyDescent="0.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982</v>
      </c>
      <c r="D111" s="3" t="s">
        <v>904</v>
      </c>
      <c r="E111" s="3" t="s">
        <v>1453</v>
      </c>
      <c r="F111" s="3" t="s">
        <v>913</v>
      </c>
      <c r="G111" s="3" t="s">
        <v>904</v>
      </c>
      <c r="H111" s="51">
        <v>41681</v>
      </c>
      <c r="J111" s="3">
        <f t="shared" si="20"/>
        <v>3.85</v>
      </c>
      <c r="K111" s="3">
        <f t="shared" si="20"/>
        <v>3.91</v>
      </c>
      <c r="L111" s="3">
        <f t="shared" si="20"/>
        <v>3.96</v>
      </c>
      <c r="M111" s="3">
        <f t="shared" si="20"/>
        <v>3.85</v>
      </c>
      <c r="P111" s="14" t="s">
        <v>979</v>
      </c>
      <c r="Q111" s="10" t="str">
        <f t="shared" si="21"/>
        <v xml:space="preserve">MARFRIG     -ON  </v>
      </c>
      <c r="R111" s="51">
        <f t="shared" si="22"/>
        <v>41681</v>
      </c>
      <c r="S111" s="5">
        <f t="shared" si="23"/>
        <v>3.85</v>
      </c>
      <c r="T111" s="5">
        <f t="shared" si="24"/>
        <v>3.91</v>
      </c>
      <c r="U111" s="5">
        <f t="shared" si="25"/>
        <v>3.96</v>
      </c>
      <c r="V111" s="5">
        <f t="shared" si="26"/>
        <v>3.85</v>
      </c>
    </row>
    <row r="112" spans="1:22" x14ac:dyDescent="0.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987</v>
      </c>
      <c r="D112" s="3" t="s">
        <v>454</v>
      </c>
      <c r="E112" s="3" t="s">
        <v>697</v>
      </c>
      <c r="F112" s="3" t="s">
        <v>697</v>
      </c>
      <c r="G112" s="3" t="s">
        <v>697</v>
      </c>
      <c r="H112" s="51">
        <v>41681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983</v>
      </c>
      <c r="Q112" s="10" t="str">
        <f t="shared" si="21"/>
        <v>CAF BRASILIA-ON *</v>
      </c>
      <c r="R112" s="51">
        <f t="shared" si="22"/>
        <v>41681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 x14ac:dyDescent="0.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984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 x14ac:dyDescent="0.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 x14ac:dyDescent="0.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 x14ac:dyDescent="0.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 x14ac:dyDescent="0.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 x14ac:dyDescent="0.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 x14ac:dyDescent="0.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 x14ac:dyDescent="0.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 x14ac:dyDescent="0.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 x14ac:dyDescent="0.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 x14ac:dyDescent="0.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 x14ac:dyDescent="0.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 x14ac:dyDescent="0.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 x14ac:dyDescent="0.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 x14ac:dyDescent="0.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 x14ac:dyDescent="0.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 x14ac:dyDescent="0.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 x14ac:dyDescent="0.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 x14ac:dyDescent="0.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 x14ac:dyDescent="0.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 x14ac:dyDescent="0.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 x14ac:dyDescent="0.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 x14ac:dyDescent="0.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 x14ac:dyDescent="0.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 x14ac:dyDescent="0.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 x14ac:dyDescent="0.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 x14ac:dyDescent="0.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 x14ac:dyDescent="0.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 x14ac:dyDescent="0.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 x14ac:dyDescent="0.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 x14ac:dyDescent="0.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 x14ac:dyDescent="0.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 x14ac:dyDescent="0.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 x14ac:dyDescent="0.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 x14ac:dyDescent="0.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 x14ac:dyDescent="0.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 x14ac:dyDescent="0.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 x14ac:dyDescent="0.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 x14ac:dyDescent="0.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 x14ac:dyDescent="0.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 x14ac:dyDescent="0.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 x14ac:dyDescent="0.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 x14ac:dyDescent="0.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 x14ac:dyDescent="0.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 x14ac:dyDescent="0.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 x14ac:dyDescent="0.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 x14ac:dyDescent="0.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 x14ac:dyDescent="0.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 x14ac:dyDescent="0.2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 x14ac:dyDescent="0.2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 x14ac:dyDescent="0.2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 x14ac:dyDescent="0.2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 x14ac:dyDescent="0.2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 x14ac:dyDescent="0.2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 x14ac:dyDescent="0.2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 x14ac:dyDescent="0.2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 x14ac:dyDescent="0.2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 x14ac:dyDescent="0.2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 x14ac:dyDescent="0.2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 x14ac:dyDescent="0.2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1093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IF(Tabela1768[[#This Row],[Código]]="IBOV","^BVSP",IF(Tabela1768[[#This Row],[Código]]="","",CONCATENATE(LEFT(Tabela1768[[#This Row],[Código]],6),".SA")))</f>
        <v>IGUA3.SA</v>
      </c>
      <c r="C7" s="3" t="s">
        <v>995</v>
      </c>
      <c r="D7" s="3" t="s">
        <v>996</v>
      </c>
      <c r="E7" s="3" t="s">
        <v>996</v>
      </c>
      <c r="F7" s="3" t="s">
        <v>996</v>
      </c>
      <c r="G7" s="3" t="s">
        <v>996</v>
      </c>
      <c r="H7" s="51">
        <v>41681</v>
      </c>
      <c r="J7" s="3">
        <f>IF($A7="",0,VALUE(CONCATENATE(LEFT(D7,LEN(D7)-3),",",RIGHT(D7,2))))</f>
        <v>3.75</v>
      </c>
      <c r="K7" s="3">
        <f t="shared" ref="K7:M22" si="0">IF($A7="",0,VALUE(CONCATENATE(LEFT(E7,LEN(E7)-3),",",RIGHT(E7,2))))</f>
        <v>3.75</v>
      </c>
      <c r="L7" s="3">
        <f t="shared" si="0"/>
        <v>3.75</v>
      </c>
      <c r="M7" s="3">
        <f t="shared" si="0"/>
        <v>3.75</v>
      </c>
      <c r="P7" s="14" t="s">
        <v>992</v>
      </c>
      <c r="Q7" s="10" t="str">
        <f t="shared" ref="Q7:Q70" si="1">IF(A7="","",C7)</f>
        <v>IGUACU CAFE -ON</v>
      </c>
      <c r="R7" s="51">
        <f t="shared" ref="R7:R70" si="2">IF(A7="","",H7)</f>
        <v>41681</v>
      </c>
      <c r="S7" s="5">
        <f t="shared" ref="S7:V38" si="3">J7</f>
        <v>3.75</v>
      </c>
      <c r="T7" s="5">
        <f t="shared" si="3"/>
        <v>3.75</v>
      </c>
      <c r="U7" s="5">
        <f t="shared" si="3"/>
        <v>3.75</v>
      </c>
      <c r="V7" s="5">
        <f t="shared" si="3"/>
        <v>3.75</v>
      </c>
    </row>
    <row r="8" spans="1:22" x14ac:dyDescent="0.2">
      <c r="A8" s="33" t="str">
        <f>IF(Tabela1768[[#This Row],[Código]]="IBOV","^BVSP",IF(Tabela1768[[#This Row],[Código]]="","",CONCATENATE(LEFT(Tabela1768[[#This Row],[Código]],6),".SA")))</f>
        <v>IGUA5.SA</v>
      </c>
      <c r="C8" s="3" t="s">
        <v>997</v>
      </c>
      <c r="D8" s="3" t="s">
        <v>998</v>
      </c>
      <c r="E8" s="3" t="s">
        <v>998</v>
      </c>
      <c r="F8" s="3" t="s">
        <v>998</v>
      </c>
      <c r="G8" s="3" t="s">
        <v>998</v>
      </c>
      <c r="H8" s="51">
        <v>41681</v>
      </c>
      <c r="J8" s="3">
        <f t="shared" ref="J8:M71" si="4">IF($A8="",0,VALUE(CONCATENATE(LEFT(D8,LEN(D8)-3),",",RIGHT(D8,2))))</f>
        <v>2.86</v>
      </c>
      <c r="K8" s="3">
        <f t="shared" si="0"/>
        <v>2.86</v>
      </c>
      <c r="L8" s="3">
        <f t="shared" si="0"/>
        <v>2.86</v>
      </c>
      <c r="M8" s="3">
        <f t="shared" si="0"/>
        <v>2.86</v>
      </c>
      <c r="P8" s="15" t="s">
        <v>993</v>
      </c>
      <c r="Q8" s="10" t="str">
        <f t="shared" si="1"/>
        <v>IGUACU CAFE -PNA</v>
      </c>
      <c r="R8" s="51">
        <f t="shared" si="2"/>
        <v>41681</v>
      </c>
      <c r="S8" s="5">
        <f t="shared" si="3"/>
        <v>2.86</v>
      </c>
      <c r="T8" s="5">
        <f t="shared" si="3"/>
        <v>2.86</v>
      </c>
      <c r="U8" s="5">
        <f t="shared" si="3"/>
        <v>2.86</v>
      </c>
      <c r="V8" s="5">
        <f t="shared" si="3"/>
        <v>2.86</v>
      </c>
    </row>
    <row r="9" spans="1:22" x14ac:dyDescent="0.2">
      <c r="A9" s="33" t="str">
        <f>IF(Tabela1768[[#This Row],[Código]]="IBOV","^BVSP",IF(Tabela1768[[#This Row],[Código]]="","",CONCATENATE(LEFT(Tabela1768[[#This Row],[Código]],6),".SA")))</f>
        <v>IGUA6.SA</v>
      </c>
      <c r="C9" s="3" t="s">
        <v>999</v>
      </c>
      <c r="D9" s="3" t="s">
        <v>839</v>
      </c>
      <c r="E9" s="3" t="s">
        <v>839</v>
      </c>
      <c r="F9" s="3" t="s">
        <v>839</v>
      </c>
      <c r="G9" s="3" t="s">
        <v>839</v>
      </c>
      <c r="H9" s="51">
        <v>41681</v>
      </c>
      <c r="J9" s="3">
        <f t="shared" si="4"/>
        <v>3.3</v>
      </c>
      <c r="K9" s="3">
        <f t="shared" si="0"/>
        <v>3.3</v>
      </c>
      <c r="L9" s="3">
        <f t="shared" si="0"/>
        <v>3.3</v>
      </c>
      <c r="M9" s="3">
        <f t="shared" si="0"/>
        <v>3.3</v>
      </c>
      <c r="P9" s="14" t="s">
        <v>994</v>
      </c>
      <c r="Q9" s="10" t="str">
        <f t="shared" si="1"/>
        <v>IGUACU CAFE -PNB</v>
      </c>
      <c r="R9" s="51">
        <f t="shared" si="2"/>
        <v>41681</v>
      </c>
      <c r="S9" s="5">
        <f t="shared" si="3"/>
        <v>3.3</v>
      </c>
      <c r="T9" s="5">
        <f t="shared" si="3"/>
        <v>3.3</v>
      </c>
      <c r="U9" s="5">
        <f t="shared" si="3"/>
        <v>3.3</v>
      </c>
      <c r="V9" s="5">
        <f t="shared" si="3"/>
        <v>3.3</v>
      </c>
    </row>
    <row r="10" spans="1:22" x14ac:dyDescent="0.2">
      <c r="A10" s="33" t="str">
        <f>IF(Tabela1768[[#This Row],[Código]]="IBOV","^BVSP",IF(Tabela1768[[#This Row],[Código]]="","",CONCATENATE(LEFT(Tabela1768[[#This Row],[Código]],6),".SA")))</f>
        <v>JOPA3.SA</v>
      </c>
      <c r="C10" s="3" t="s">
        <v>261</v>
      </c>
      <c r="D10" s="3" t="s">
        <v>859</v>
      </c>
      <c r="E10" s="3" t="s">
        <v>859</v>
      </c>
      <c r="F10" s="3" t="s">
        <v>859</v>
      </c>
      <c r="G10" s="3" t="s">
        <v>859</v>
      </c>
      <c r="H10" s="51">
        <v>41681</v>
      </c>
      <c r="J10" s="3">
        <f t="shared" si="4"/>
        <v>17.010000000000002</v>
      </c>
      <c r="K10" s="3">
        <f t="shared" si="0"/>
        <v>17.010000000000002</v>
      </c>
      <c r="L10" s="3">
        <f t="shared" si="0"/>
        <v>17.010000000000002</v>
      </c>
      <c r="M10" s="3">
        <f t="shared" si="0"/>
        <v>17.010000000000002</v>
      </c>
      <c r="P10" s="14" t="s">
        <v>259</v>
      </c>
      <c r="Q10" s="10" t="str">
        <f t="shared" si="1"/>
        <v>JOSAPAR     -ON</v>
      </c>
      <c r="R10" s="46">
        <f t="shared" si="2"/>
        <v>41681</v>
      </c>
      <c r="S10" s="6">
        <f t="shared" si="3"/>
        <v>17.010000000000002</v>
      </c>
      <c r="T10" s="6">
        <f t="shared" si="3"/>
        <v>17.010000000000002</v>
      </c>
      <c r="U10" s="5">
        <f t="shared" si="3"/>
        <v>17.010000000000002</v>
      </c>
      <c r="V10" s="5">
        <f t="shared" si="3"/>
        <v>17.010000000000002</v>
      </c>
    </row>
    <row r="11" spans="1:22" x14ac:dyDescent="0.2">
      <c r="A11" s="33" t="str">
        <f>IF(Tabela1768[[#This Row],[Código]]="IBOV","^BVSP",IF(Tabela1768[[#This Row],[Código]]="","",CONCATENATE(LEFT(Tabela1768[[#This Row],[Código]],6),".SA")))</f>
        <v>JOPA4.SA</v>
      </c>
      <c r="C11" s="3" t="s">
        <v>262</v>
      </c>
      <c r="D11" s="3" t="s">
        <v>411</v>
      </c>
      <c r="E11" s="3" t="s">
        <v>411</v>
      </c>
      <c r="F11" s="3" t="s">
        <v>411</v>
      </c>
      <c r="G11" s="3" t="s">
        <v>411</v>
      </c>
      <c r="H11" s="51">
        <v>41681</v>
      </c>
      <c r="J11" s="3">
        <f t="shared" si="4"/>
        <v>19.5</v>
      </c>
      <c r="K11" s="3">
        <f t="shared" si="0"/>
        <v>19.5</v>
      </c>
      <c r="L11" s="3">
        <f t="shared" si="0"/>
        <v>19.5</v>
      </c>
      <c r="M11" s="3">
        <f t="shared" si="0"/>
        <v>19.5</v>
      </c>
      <c r="P11" s="14" t="s">
        <v>260</v>
      </c>
      <c r="Q11" s="10" t="str">
        <f t="shared" si="1"/>
        <v>JOSAPAR     -PN</v>
      </c>
      <c r="R11" s="51">
        <f t="shared" si="2"/>
        <v>41681</v>
      </c>
      <c r="S11" s="5">
        <f t="shared" si="3"/>
        <v>19.5</v>
      </c>
      <c r="T11" s="5">
        <f t="shared" si="3"/>
        <v>19.5</v>
      </c>
      <c r="U11" s="5">
        <f t="shared" si="3"/>
        <v>19.5</v>
      </c>
      <c r="V11" s="5">
        <f t="shared" si="3"/>
        <v>19.5</v>
      </c>
    </row>
    <row r="12" spans="1:22" x14ac:dyDescent="0.2">
      <c r="A12" s="33" t="str">
        <f>IF(Tabela1768[[#This Row],[Código]]="IBOV","^BVSP",IF(Tabela1768[[#This Row],[Código]]="","",CONCATENATE(LEFT(Tabela1768[[#This Row],[Código]],6),".SA")))</f>
        <v>SMTO3.SA</v>
      </c>
      <c r="C12" s="3" t="s">
        <v>278</v>
      </c>
      <c r="D12" s="3" t="s">
        <v>1014</v>
      </c>
      <c r="E12" s="3" t="s">
        <v>1085</v>
      </c>
      <c r="F12" s="3" t="s">
        <v>1014</v>
      </c>
      <c r="G12" s="3" t="s">
        <v>1059</v>
      </c>
      <c r="H12" s="51">
        <v>41681</v>
      </c>
      <c r="J12" s="3">
        <f t="shared" si="4"/>
        <v>27.1</v>
      </c>
      <c r="K12" s="3">
        <f t="shared" si="0"/>
        <v>26.93</v>
      </c>
      <c r="L12" s="3">
        <f t="shared" si="0"/>
        <v>27.1</v>
      </c>
      <c r="M12" s="3">
        <f t="shared" si="0"/>
        <v>26.92</v>
      </c>
      <c r="P12" s="14" t="s">
        <v>277</v>
      </c>
      <c r="Q12" s="10" t="str">
        <f t="shared" si="1"/>
        <v xml:space="preserve">SAO MARTINHO-ON  </v>
      </c>
      <c r="R12" s="46">
        <f t="shared" si="2"/>
        <v>41681</v>
      </c>
      <c r="S12" s="6">
        <f t="shared" si="3"/>
        <v>27.1</v>
      </c>
      <c r="T12" s="6">
        <f t="shared" si="3"/>
        <v>26.93</v>
      </c>
      <c r="U12" s="6">
        <f t="shared" si="3"/>
        <v>27.1</v>
      </c>
      <c r="V12" s="6">
        <f t="shared" si="3"/>
        <v>26.92</v>
      </c>
    </row>
    <row r="13" spans="1:22" x14ac:dyDescent="0.2">
      <c r="A13" s="33" t="str">
        <f>IF(Tabela1768[[#This Row],[Código]]="IBOV","^BVSP",IF(Tabela1768[[#This Row],[Código]]="","",CONCATENATE(LEFT(Tabela1768[[#This Row],[Código]],6),".SA")))</f>
        <v>BSEV3.SA</v>
      </c>
      <c r="C13" s="3" t="s">
        <v>1003</v>
      </c>
      <c r="D13" s="3" t="s">
        <v>1004</v>
      </c>
      <c r="E13" s="3" t="s">
        <v>1004</v>
      </c>
      <c r="F13" s="3" t="s">
        <v>1004</v>
      </c>
      <c r="G13" s="3" t="s">
        <v>1004</v>
      </c>
      <c r="H13" s="51">
        <v>41681</v>
      </c>
      <c r="J13" s="3">
        <f t="shared" si="4"/>
        <v>9.9499999999999993</v>
      </c>
      <c r="K13" s="3">
        <f t="shared" si="0"/>
        <v>9.9499999999999993</v>
      </c>
      <c r="L13" s="3">
        <f t="shared" si="0"/>
        <v>9.9499999999999993</v>
      </c>
      <c r="M13" s="3">
        <f t="shared" si="0"/>
        <v>9.9499999999999993</v>
      </c>
      <c r="P13" s="14" t="s">
        <v>1002</v>
      </c>
      <c r="Q13" s="10" t="str">
        <f t="shared" si="1"/>
        <v xml:space="preserve">BIOSEV      -ON  </v>
      </c>
      <c r="R13" s="51">
        <f t="shared" si="2"/>
        <v>41681</v>
      </c>
      <c r="S13" s="5">
        <f t="shared" si="3"/>
        <v>9.9499999999999993</v>
      </c>
      <c r="T13" s="5">
        <f t="shared" si="3"/>
        <v>9.9499999999999993</v>
      </c>
      <c r="U13" s="5">
        <f t="shared" si="3"/>
        <v>9.9499999999999993</v>
      </c>
      <c r="V13" s="5">
        <f t="shared" si="3"/>
        <v>9.9499999999999993</v>
      </c>
    </row>
    <row r="14" spans="1:22" x14ac:dyDescent="0.2">
      <c r="A14" s="33" t="str">
        <f>IF(Tabela1768[[#This Row],[Código]]="IBOV","^BVSP",IF(Tabela1768[[#This Row],[Código]]="","",CONCATENATE(LEFT(Tabela1768[[#This Row],[Código]],6),".SA")))</f>
        <v>VAGR3.SA</v>
      </c>
      <c r="C14" s="3" t="s">
        <v>1007</v>
      </c>
      <c r="D14" s="3" t="s">
        <v>1015</v>
      </c>
      <c r="E14" s="3" t="s">
        <v>1016</v>
      </c>
      <c r="F14" s="3" t="s">
        <v>1025</v>
      </c>
      <c r="G14" s="3" t="s">
        <v>1015</v>
      </c>
      <c r="H14" s="51">
        <v>41681</v>
      </c>
      <c r="J14" s="3">
        <f t="shared" si="4"/>
        <v>3.11</v>
      </c>
      <c r="K14" s="3">
        <f t="shared" si="0"/>
        <v>3.14</v>
      </c>
      <c r="L14" s="3">
        <f t="shared" si="0"/>
        <v>3.16</v>
      </c>
      <c r="M14" s="3">
        <f t="shared" si="0"/>
        <v>3.11</v>
      </c>
      <c r="P14" s="15" t="s">
        <v>1005</v>
      </c>
      <c r="Q14" s="10" t="str">
        <f t="shared" si="1"/>
        <v xml:space="preserve">V-AGRO      -ON  </v>
      </c>
      <c r="R14" s="51">
        <f t="shared" si="2"/>
        <v>41681</v>
      </c>
      <c r="S14" s="5">
        <f t="shared" si="3"/>
        <v>3.11</v>
      </c>
      <c r="T14" s="5">
        <f t="shared" si="3"/>
        <v>3.14</v>
      </c>
      <c r="U14" s="5">
        <f t="shared" si="3"/>
        <v>3.16</v>
      </c>
      <c r="V14" s="5">
        <f t="shared" si="3"/>
        <v>3.11</v>
      </c>
    </row>
    <row r="15" spans="1:22" x14ac:dyDescent="0.2">
      <c r="A15" s="33" t="str">
        <f>IF(Tabela1768[[#This Row],[Código]]="IBOV","^BVSP",IF(Tabela1768[[#This Row],[Código]]="","",CONCATENATE(LEFT(Tabela1768[[#This Row],[Código]],6),".SA")))</f>
        <v>RNAR3.SA</v>
      </c>
      <c r="C15" s="3" t="s">
        <v>1009</v>
      </c>
      <c r="D15" s="3" t="s">
        <v>765</v>
      </c>
      <c r="E15" s="3" t="s">
        <v>1017</v>
      </c>
      <c r="F15" s="3" t="s">
        <v>546</v>
      </c>
      <c r="G15" s="3" t="s">
        <v>1017</v>
      </c>
      <c r="H15" s="51">
        <v>41681</v>
      </c>
      <c r="J15" s="3">
        <f t="shared" si="4"/>
        <v>0.17</v>
      </c>
      <c r="K15" s="3">
        <f t="shared" si="0"/>
        <v>0.16</v>
      </c>
      <c r="L15" s="3">
        <f t="shared" si="0"/>
        <v>0.18</v>
      </c>
      <c r="M15" s="3">
        <f t="shared" si="0"/>
        <v>0.16</v>
      </c>
      <c r="P15" s="14" t="s">
        <v>1008</v>
      </c>
      <c r="Q15" s="10" t="str">
        <f t="shared" si="1"/>
        <v xml:space="preserve">RENAR       -ON  </v>
      </c>
      <c r="R15" s="51">
        <f t="shared" si="2"/>
        <v>41681</v>
      </c>
      <c r="S15" s="5">
        <f t="shared" si="3"/>
        <v>0.17</v>
      </c>
      <c r="T15" s="5">
        <f t="shared" si="3"/>
        <v>0.16</v>
      </c>
      <c r="U15" s="5">
        <f t="shared" si="3"/>
        <v>0.18</v>
      </c>
      <c r="V15" s="5">
        <f t="shared" si="3"/>
        <v>0.16</v>
      </c>
    </row>
    <row r="16" spans="1:22" x14ac:dyDescent="0.2">
      <c r="A16" s="33" t="str">
        <f>IF(Tabela1768[[#This Row],[Código]]="IBOV","^BVSP",IF(Tabela1768[[#This Row],[Código]]="","",CONCATENATE(LEFT(Tabela1768[[#This Row],[Código]],6),".SA")))</f>
        <v>SLCE3.SA</v>
      </c>
      <c r="C16" s="3" t="s">
        <v>1011</v>
      </c>
      <c r="D16" s="3" t="s">
        <v>1018</v>
      </c>
      <c r="E16" s="3" t="s">
        <v>1094</v>
      </c>
      <c r="F16" s="3" t="s">
        <v>1018</v>
      </c>
      <c r="G16" s="3" t="s">
        <v>1080</v>
      </c>
      <c r="H16" s="51">
        <v>41681</v>
      </c>
      <c r="J16" s="3">
        <f t="shared" si="4"/>
        <v>17.68</v>
      </c>
      <c r="K16" s="3">
        <f t="shared" si="0"/>
        <v>17.46</v>
      </c>
      <c r="L16" s="3">
        <f t="shared" si="0"/>
        <v>17.68</v>
      </c>
      <c r="M16" s="3">
        <f t="shared" si="0"/>
        <v>17.45</v>
      </c>
      <c r="P16" s="14" t="s">
        <v>1010</v>
      </c>
      <c r="Q16" s="10" t="str">
        <f t="shared" si="1"/>
        <v xml:space="preserve">SLC AGRICOLA-ON  </v>
      </c>
      <c r="R16" s="51">
        <f t="shared" si="2"/>
        <v>41681</v>
      </c>
      <c r="S16" s="5">
        <f t="shared" si="3"/>
        <v>17.68</v>
      </c>
      <c r="T16" s="5">
        <f t="shared" si="3"/>
        <v>17.46</v>
      </c>
      <c r="U16" s="5">
        <f t="shared" si="3"/>
        <v>17.68</v>
      </c>
      <c r="V16" s="5">
        <f t="shared" si="3"/>
        <v>17.45</v>
      </c>
    </row>
    <row r="17" spans="1:22" x14ac:dyDescent="0.2">
      <c r="A17" s="33" t="str">
        <f>IF(Tabela1768[[#This Row],[Código]]="IBOV","^BVSP",IF(Tabela1768[[#This Row],[Código]]="","",CONCATENATE(LEFT(Tabela1768[[#This Row],[Código]],6),".SA")))</f>
        <v>CVCB3.SA</v>
      </c>
      <c r="C17" s="3" t="s">
        <v>1020</v>
      </c>
      <c r="D17" s="3" t="s">
        <v>1021</v>
      </c>
      <c r="E17" s="3" t="s">
        <v>1060</v>
      </c>
      <c r="F17" s="3" t="s">
        <v>1021</v>
      </c>
      <c r="G17" s="3" t="s">
        <v>1027</v>
      </c>
      <c r="H17" s="51">
        <v>41681</v>
      </c>
      <c r="J17" s="3">
        <f t="shared" si="4"/>
        <v>13.34</v>
      </c>
      <c r="K17" s="3">
        <f t="shared" si="0"/>
        <v>13.24</v>
      </c>
      <c r="L17" s="3">
        <f t="shared" si="0"/>
        <v>13.34</v>
      </c>
      <c r="M17" s="3">
        <f t="shared" si="0"/>
        <v>13.15</v>
      </c>
      <c r="P17" s="15" t="s">
        <v>1013</v>
      </c>
      <c r="Q17" s="10" t="str">
        <f t="shared" si="1"/>
        <v xml:space="preserve">CVC BRASIL  -ON  </v>
      </c>
      <c r="R17" s="51">
        <f t="shared" si="2"/>
        <v>41681</v>
      </c>
      <c r="S17" s="5">
        <f t="shared" si="3"/>
        <v>13.34</v>
      </c>
      <c r="T17" s="5">
        <f t="shared" si="3"/>
        <v>13.24</v>
      </c>
      <c r="U17" s="5">
        <f t="shared" si="3"/>
        <v>13.34</v>
      </c>
      <c r="V17" s="5">
        <f t="shared" si="3"/>
        <v>13.15</v>
      </c>
    </row>
    <row r="18" spans="1:22" x14ac:dyDescent="0.2">
      <c r="A18" s="33" t="str">
        <f>IF(Tabela1768[[#This Row],[Código]]="IBOV","^BVSP",IF(Tabela1768[[#This Row],[Código]]="","",CONCATENATE(LEFT(Tabela1768[[#This Row],[Código]],6),".SA")))</f>
        <v>AHEB3.SA</v>
      </c>
      <c r="C18" s="3" t="s">
        <v>1028</v>
      </c>
      <c r="D18" s="3" t="s">
        <v>411</v>
      </c>
      <c r="E18" s="3" t="s">
        <v>411</v>
      </c>
      <c r="F18" s="3" t="s">
        <v>411</v>
      </c>
      <c r="G18" s="3" t="s">
        <v>411</v>
      </c>
      <c r="H18" s="51">
        <v>41681</v>
      </c>
      <c r="J18" s="3">
        <f t="shared" si="4"/>
        <v>19.5</v>
      </c>
      <c r="K18" s="3">
        <f t="shared" si="0"/>
        <v>19.5</v>
      </c>
      <c r="L18" s="3">
        <f t="shared" si="0"/>
        <v>19.5</v>
      </c>
      <c r="M18" s="3">
        <f t="shared" si="0"/>
        <v>19.5</v>
      </c>
      <c r="P18" s="10" t="s">
        <v>1022</v>
      </c>
      <c r="Q18" s="10" t="str">
        <f t="shared" si="1"/>
        <v>SPTURIS     -ON</v>
      </c>
      <c r="R18" s="51">
        <f t="shared" si="2"/>
        <v>41681</v>
      </c>
      <c r="S18" s="5">
        <f t="shared" si="3"/>
        <v>19.5</v>
      </c>
      <c r="T18" s="5">
        <f t="shared" si="3"/>
        <v>19.5</v>
      </c>
      <c r="U18" s="5">
        <f t="shared" si="3"/>
        <v>19.5</v>
      </c>
      <c r="V18" s="5">
        <f t="shared" si="3"/>
        <v>19.5</v>
      </c>
    </row>
    <row r="19" spans="1:22" x14ac:dyDescent="0.2">
      <c r="A19" s="33" t="str">
        <f>IF(Tabela1768[[#This Row],[Código]]="IBOV","^BVSP",IF(Tabela1768[[#This Row],[Código]]="","",CONCATENATE(LEFT(Tabela1768[[#This Row],[Código]],6),".SA")))</f>
        <v>AHEB5.SA</v>
      </c>
      <c r="C19" s="3" t="s">
        <v>1029</v>
      </c>
      <c r="D19" s="3" t="s">
        <v>1030</v>
      </c>
      <c r="E19" s="3" t="s">
        <v>1030</v>
      </c>
      <c r="F19" s="3" t="s">
        <v>1030</v>
      </c>
      <c r="G19" s="3" t="s">
        <v>1030</v>
      </c>
      <c r="H19" s="51">
        <v>41681</v>
      </c>
      <c r="J19" s="3">
        <f t="shared" si="4"/>
        <v>20.010000000000002</v>
      </c>
      <c r="K19" s="3">
        <f t="shared" si="0"/>
        <v>20.010000000000002</v>
      </c>
      <c r="L19" s="3">
        <f t="shared" si="0"/>
        <v>20.010000000000002</v>
      </c>
      <c r="M19" s="3">
        <f t="shared" si="0"/>
        <v>20.010000000000002</v>
      </c>
      <c r="P19" s="10" t="s">
        <v>1023</v>
      </c>
      <c r="Q19" s="10" t="str">
        <f t="shared" si="1"/>
        <v>SPTURIS     -PNA</v>
      </c>
      <c r="R19" s="51">
        <f t="shared" si="2"/>
        <v>41681</v>
      </c>
      <c r="S19" s="5">
        <f t="shared" si="3"/>
        <v>20.010000000000002</v>
      </c>
      <c r="T19" s="5">
        <f t="shared" si="3"/>
        <v>20.010000000000002</v>
      </c>
      <c r="U19" s="5">
        <f t="shared" si="3"/>
        <v>20.010000000000002</v>
      </c>
      <c r="V19" s="5">
        <f t="shared" si="3"/>
        <v>20.010000000000002</v>
      </c>
    </row>
    <row r="20" spans="1:22" x14ac:dyDescent="0.2">
      <c r="A20" s="33" t="str">
        <f>IF(Tabela1768[[#This Row],[Código]]="IBOV","^BVSP",IF(Tabela1768[[#This Row],[Código]]="","",CONCATENATE(LEFT(Tabela1768[[#This Row],[Código]],6),".SA")))</f>
        <v>AHEB6.SA</v>
      </c>
      <c r="C20" s="3" t="s">
        <v>1031</v>
      </c>
      <c r="D20" s="3" t="s">
        <v>454</v>
      </c>
      <c r="E20" s="3" t="s">
        <v>1032</v>
      </c>
      <c r="F20" s="3" t="s">
        <v>1032</v>
      </c>
      <c r="G20" s="3" t="s">
        <v>1032</v>
      </c>
      <c r="H20" s="51">
        <v>41681</v>
      </c>
      <c r="J20" s="3" t="e">
        <f t="shared" si="4"/>
        <v>#VALUE!</v>
      </c>
      <c r="K20" s="3">
        <f t="shared" si="0"/>
        <v>35.01</v>
      </c>
      <c r="L20" s="3">
        <f t="shared" si="0"/>
        <v>35.01</v>
      </c>
      <c r="M20" s="3">
        <f t="shared" si="0"/>
        <v>35.01</v>
      </c>
      <c r="P20" s="10" t="s">
        <v>1024</v>
      </c>
      <c r="Q20" s="10" t="str">
        <f t="shared" si="1"/>
        <v>SPTURIS     -PNB</v>
      </c>
      <c r="R20" s="51">
        <f t="shared" si="2"/>
        <v>41681</v>
      </c>
      <c r="S20" s="5" t="e">
        <f t="shared" si="3"/>
        <v>#VALUE!</v>
      </c>
      <c r="T20" s="5">
        <f t="shared" si="3"/>
        <v>35.01</v>
      </c>
      <c r="U20" s="5">
        <f t="shared" si="3"/>
        <v>35.01</v>
      </c>
      <c r="V20" s="5">
        <f t="shared" si="3"/>
        <v>35.01</v>
      </c>
    </row>
    <row r="21" spans="1:22" x14ac:dyDescent="0.2">
      <c r="A21" s="33" t="str">
        <f>IF(Tabela1768[[#This Row],[Código]]="IBOV","^BVSP",IF(Tabela1768[[#This Row],[Código]]="","",CONCATENATE(LEFT(Tabela1768[[#This Row],[Código]],6),".SA")))</f>
        <v>SHOW3.SA</v>
      </c>
      <c r="C21" s="3" t="s">
        <v>1036</v>
      </c>
      <c r="D21" s="3" t="s">
        <v>899</v>
      </c>
      <c r="E21" s="3" t="s">
        <v>1046</v>
      </c>
      <c r="F21" s="3" t="s">
        <v>898</v>
      </c>
      <c r="G21" s="3" t="s">
        <v>1037</v>
      </c>
      <c r="H21" s="51">
        <v>41681</v>
      </c>
      <c r="J21" s="3">
        <f t="shared" si="4"/>
        <v>4.47</v>
      </c>
      <c r="K21" s="3">
        <f t="shared" si="0"/>
        <v>4.41</v>
      </c>
      <c r="L21" s="3">
        <f t="shared" si="0"/>
        <v>4.49</v>
      </c>
      <c r="M21" s="3">
        <f t="shared" si="0"/>
        <v>4.3600000000000003</v>
      </c>
      <c r="P21" s="14" t="s">
        <v>1034</v>
      </c>
      <c r="Q21" s="10" t="str">
        <f t="shared" si="1"/>
        <v xml:space="preserve">TIME FOR FUN-ON  </v>
      </c>
      <c r="R21" s="51">
        <f t="shared" si="2"/>
        <v>41681</v>
      </c>
      <c r="S21" s="5">
        <f t="shared" si="3"/>
        <v>4.47</v>
      </c>
      <c r="T21" s="5">
        <f t="shared" si="3"/>
        <v>4.41</v>
      </c>
      <c r="U21" s="5">
        <f t="shared" si="3"/>
        <v>4.49</v>
      </c>
      <c r="V21" s="5">
        <f t="shared" si="3"/>
        <v>4.3600000000000003</v>
      </c>
    </row>
    <row r="22" spans="1:22" x14ac:dyDescent="0.2">
      <c r="A22" s="33" t="str">
        <f>IF(Tabela1768[[#This Row],[Código]]="IBOV","^BVSP",IF(Tabela1768[[#This Row],[Código]]="","",CONCATENATE(LEFT(Tabela1768[[#This Row],[Código]],6),".SA")))</f>
        <v>BMKS3.SA</v>
      </c>
      <c r="C22" s="3" t="s">
        <v>1039</v>
      </c>
      <c r="D22" s="3" t="s">
        <v>1040</v>
      </c>
      <c r="E22" s="3" t="s">
        <v>1041</v>
      </c>
      <c r="F22" s="3" t="s">
        <v>1042</v>
      </c>
      <c r="G22" s="3" t="s">
        <v>1040</v>
      </c>
      <c r="H22" s="51">
        <v>41681</v>
      </c>
      <c r="J22" s="3">
        <f t="shared" si="4"/>
        <v>340</v>
      </c>
      <c r="K22" s="3">
        <f t="shared" si="0"/>
        <v>341</v>
      </c>
      <c r="L22" s="3">
        <f t="shared" si="0"/>
        <v>350</v>
      </c>
      <c r="M22" s="3">
        <f t="shared" si="0"/>
        <v>340</v>
      </c>
      <c r="P22" s="14" t="s">
        <v>1038</v>
      </c>
      <c r="Q22" s="10" t="str">
        <f t="shared" si="1"/>
        <v>BIC MONARK  -ON</v>
      </c>
      <c r="R22" s="51">
        <f t="shared" si="2"/>
        <v>41681</v>
      </c>
      <c r="S22" s="5">
        <f t="shared" si="3"/>
        <v>340</v>
      </c>
      <c r="T22" s="5">
        <f t="shared" si="3"/>
        <v>341</v>
      </c>
      <c r="U22" s="5">
        <f t="shared" si="3"/>
        <v>350</v>
      </c>
      <c r="V22" s="5">
        <f t="shared" si="3"/>
        <v>340</v>
      </c>
    </row>
    <row r="23" spans="1:22" x14ac:dyDescent="0.2">
      <c r="A23" s="33" t="str">
        <f>IF(Tabela1768[[#This Row],[Código]]="IBOV","^BVSP",IF(Tabela1768[[#This Row],[Código]]="","",CONCATENATE(LEFT(Tabela1768[[#This Row],[Código]],6),".SA")))</f>
        <v>UCAS3.SA</v>
      </c>
      <c r="C23" s="3" t="s">
        <v>1047</v>
      </c>
      <c r="D23" s="3" t="s">
        <v>860</v>
      </c>
      <c r="E23" s="3" t="s">
        <v>1048</v>
      </c>
      <c r="F23" s="3" t="s">
        <v>1049</v>
      </c>
      <c r="G23" s="3" t="s">
        <v>860</v>
      </c>
      <c r="H23" s="51">
        <v>41681</v>
      </c>
      <c r="J23" s="3">
        <f t="shared" si="4"/>
        <v>4.79</v>
      </c>
      <c r="K23" s="3">
        <f t="shared" si="4"/>
        <v>4.8</v>
      </c>
      <c r="L23" s="3">
        <f t="shared" si="4"/>
        <v>4.96</v>
      </c>
      <c r="M23" s="3">
        <f t="shared" si="4"/>
        <v>4.79</v>
      </c>
      <c r="P23" s="14" t="s">
        <v>1045</v>
      </c>
      <c r="Q23" s="10" t="str">
        <f t="shared" si="1"/>
        <v xml:space="preserve">UNICASA     -ON  </v>
      </c>
      <c r="R23" s="51">
        <f t="shared" si="2"/>
        <v>41681</v>
      </c>
      <c r="S23" s="5">
        <f t="shared" si="3"/>
        <v>4.79</v>
      </c>
      <c r="T23" s="5">
        <f t="shared" si="3"/>
        <v>4.8</v>
      </c>
      <c r="U23" s="5">
        <f t="shared" si="3"/>
        <v>4.96</v>
      </c>
      <c r="V23" s="5">
        <f t="shared" si="3"/>
        <v>4.79</v>
      </c>
    </row>
    <row r="24" spans="1:22" x14ac:dyDescent="0.2">
      <c r="A24" s="33" t="str">
        <f>IF(Tabela1768[[#This Row],[Código]]="IBOV","^BVSP",IF(Tabela1768[[#This Row],[Código]]="","",CONCATENATE(LEFT(Tabela1768[[#This Row],[Código]],6),".SA")))</f>
        <v>WHRL3.SA</v>
      </c>
      <c r="C24" s="3" t="s">
        <v>1053</v>
      </c>
      <c r="D24" s="3" t="s">
        <v>810</v>
      </c>
      <c r="E24" s="3" t="s">
        <v>810</v>
      </c>
      <c r="F24" s="3" t="s">
        <v>810</v>
      </c>
      <c r="G24" s="3" t="s">
        <v>810</v>
      </c>
      <c r="H24" s="51">
        <v>41681</v>
      </c>
      <c r="J24" s="3">
        <f t="shared" si="4"/>
        <v>3.78</v>
      </c>
      <c r="K24" s="3">
        <f t="shared" si="4"/>
        <v>3.78</v>
      </c>
      <c r="L24" s="3">
        <f t="shared" si="4"/>
        <v>3.78</v>
      </c>
      <c r="M24" s="3">
        <f t="shared" si="4"/>
        <v>3.78</v>
      </c>
      <c r="P24" s="15" t="s">
        <v>1051</v>
      </c>
      <c r="Q24" s="10" t="str">
        <f t="shared" si="1"/>
        <v>WHIRLPOOL   -ON</v>
      </c>
      <c r="R24" s="51">
        <f t="shared" si="2"/>
        <v>41681</v>
      </c>
      <c r="S24" s="5">
        <f t="shared" si="3"/>
        <v>3.78</v>
      </c>
      <c r="T24" s="5">
        <f t="shared" si="3"/>
        <v>3.78</v>
      </c>
      <c r="U24" s="5">
        <f t="shared" si="3"/>
        <v>3.78</v>
      </c>
      <c r="V24" s="5">
        <f t="shared" si="3"/>
        <v>3.78</v>
      </c>
    </row>
    <row r="25" spans="1:22" x14ac:dyDescent="0.2">
      <c r="A25" s="33" t="str">
        <f>IF(Tabela1768[[#This Row],[Código]]="IBOV","^BVSP",IF(Tabela1768[[#This Row],[Código]]="","",CONCATENATE(LEFT(Tabela1768[[#This Row],[Código]],6),".SA")))</f>
        <v>WHRL4.SA</v>
      </c>
      <c r="C25" s="3" t="s">
        <v>1054</v>
      </c>
      <c r="D25" s="3" t="s">
        <v>1055</v>
      </c>
      <c r="E25" s="3" t="s">
        <v>1055</v>
      </c>
      <c r="F25" s="3" t="s">
        <v>1055</v>
      </c>
      <c r="G25" s="3" t="s">
        <v>1055</v>
      </c>
      <c r="H25" s="51">
        <v>41681</v>
      </c>
      <c r="J25" s="3">
        <f t="shared" si="4"/>
        <v>4.05</v>
      </c>
      <c r="K25" s="3">
        <f t="shared" si="4"/>
        <v>4.05</v>
      </c>
      <c r="L25" s="3">
        <f t="shared" si="4"/>
        <v>4.05</v>
      </c>
      <c r="M25" s="3">
        <f t="shared" si="4"/>
        <v>4.05</v>
      </c>
      <c r="P25" s="10" t="s">
        <v>1052</v>
      </c>
      <c r="Q25" s="10" t="str">
        <f t="shared" si="1"/>
        <v>WHIRLPOOL   -PN</v>
      </c>
      <c r="R25" s="51">
        <f t="shared" si="2"/>
        <v>41681</v>
      </c>
      <c r="S25" s="5">
        <f t="shared" si="3"/>
        <v>4.05</v>
      </c>
      <c r="T25" s="5">
        <f t="shared" si="3"/>
        <v>4.05</v>
      </c>
      <c r="U25" s="5">
        <f t="shared" si="3"/>
        <v>4.05</v>
      </c>
      <c r="V25" s="5">
        <f t="shared" si="3"/>
        <v>4.05</v>
      </c>
    </row>
    <row r="26" spans="1:22" x14ac:dyDescent="0.2">
      <c r="A26" s="33" t="str">
        <f>IF(Tabela1768[[#This Row],[Código]]="IBOV","^BVSP",IF(Tabela1768[[#This Row],[Código]]="","",CONCATENATE(LEFT(Tabela1768[[#This Row],[Código]],6),".SA")))</f>
        <v>BMTO3.SA</v>
      </c>
      <c r="C26" s="3" t="s">
        <v>1061</v>
      </c>
      <c r="D26" s="3" t="s">
        <v>492</v>
      </c>
      <c r="E26" s="3" t="s">
        <v>492</v>
      </c>
      <c r="F26" s="3" t="s">
        <v>492</v>
      </c>
      <c r="G26" s="3" t="s">
        <v>492</v>
      </c>
      <c r="H26" s="51">
        <v>41681</v>
      </c>
      <c r="J26" s="3">
        <f t="shared" si="4"/>
        <v>0.75</v>
      </c>
      <c r="K26" s="3">
        <f t="shared" si="4"/>
        <v>0.75</v>
      </c>
      <c r="L26" s="3">
        <f t="shared" si="4"/>
        <v>0.75</v>
      </c>
      <c r="M26" s="3">
        <f t="shared" si="4"/>
        <v>0.75</v>
      </c>
      <c r="P26" s="15" t="s">
        <v>1056</v>
      </c>
      <c r="Q26" s="10" t="str">
        <f t="shared" si="1"/>
        <v>BRASMOTOR   -ON</v>
      </c>
      <c r="R26" s="51">
        <f t="shared" si="2"/>
        <v>41681</v>
      </c>
      <c r="S26" s="5">
        <f t="shared" si="3"/>
        <v>0.75</v>
      </c>
      <c r="T26" s="5">
        <f t="shared" si="3"/>
        <v>0.75</v>
      </c>
      <c r="U26" s="5">
        <f t="shared" si="3"/>
        <v>0.75</v>
      </c>
      <c r="V26" s="5">
        <f t="shared" si="3"/>
        <v>0.75</v>
      </c>
    </row>
    <row r="27" spans="1:22" x14ac:dyDescent="0.2">
      <c r="A27" s="33" t="str">
        <f>IF(Tabela1768[[#This Row],[Código]]="IBOV","^BVSP",IF(Tabela1768[[#This Row],[Código]]="","",CONCATENATE(LEFT(Tabela1768[[#This Row],[Código]],6),".SA")))</f>
        <v>BMTO4.SA</v>
      </c>
      <c r="C27" s="3" t="s">
        <v>1062</v>
      </c>
      <c r="D27" s="3" t="s">
        <v>1063</v>
      </c>
      <c r="E27" s="3" t="s">
        <v>1063</v>
      </c>
      <c r="F27" s="3" t="s">
        <v>1063</v>
      </c>
      <c r="G27" s="3" t="s">
        <v>1063</v>
      </c>
      <c r="H27" s="51">
        <v>41681</v>
      </c>
      <c r="J27" s="3">
        <f t="shared" si="4"/>
        <v>0.8</v>
      </c>
      <c r="K27" s="3">
        <f t="shared" si="4"/>
        <v>0.8</v>
      </c>
      <c r="L27" s="3">
        <f t="shared" si="4"/>
        <v>0.8</v>
      </c>
      <c r="M27" s="3">
        <f t="shared" si="4"/>
        <v>0.8</v>
      </c>
      <c r="P27" s="15" t="s">
        <v>1057</v>
      </c>
      <c r="Q27" s="10" t="str">
        <f t="shared" si="1"/>
        <v>BRASMOTOR   -PN</v>
      </c>
      <c r="R27" s="51">
        <f t="shared" si="2"/>
        <v>41681</v>
      </c>
      <c r="S27" s="5">
        <f t="shared" si="3"/>
        <v>0.8</v>
      </c>
      <c r="T27" s="5">
        <f t="shared" si="3"/>
        <v>0.8</v>
      </c>
      <c r="U27" s="5">
        <f t="shared" si="3"/>
        <v>0.8</v>
      </c>
      <c r="V27" s="5">
        <f t="shared" si="3"/>
        <v>0.8</v>
      </c>
    </row>
    <row r="28" spans="1:22" x14ac:dyDescent="0.2">
      <c r="A28" s="33" t="str">
        <f>IF(Tabela1768[[#This Row],[Código]]="IBOV","^BVSP",IF(Tabela1768[[#This Row],[Código]]="","",CONCATENATE(LEFT(Tabela1768[[#This Row],[Código]],6),".SA")))</f>
        <v>MGLU3.SA</v>
      </c>
      <c r="C28" s="3" t="s">
        <v>1065</v>
      </c>
      <c r="D28" s="3" t="s">
        <v>897</v>
      </c>
      <c r="E28" s="3" t="s">
        <v>1066</v>
      </c>
      <c r="F28" s="3" t="s">
        <v>887</v>
      </c>
      <c r="G28" s="3" t="s">
        <v>836</v>
      </c>
      <c r="H28" s="51">
        <v>41681</v>
      </c>
      <c r="J28" s="3">
        <f t="shared" si="4"/>
        <v>7.95</v>
      </c>
      <c r="K28" s="3">
        <f t="shared" si="4"/>
        <v>7.98</v>
      </c>
      <c r="L28" s="3">
        <f t="shared" si="4"/>
        <v>8.02</v>
      </c>
      <c r="M28" s="3">
        <f t="shared" si="4"/>
        <v>7.92</v>
      </c>
      <c r="P28" s="15" t="s">
        <v>1064</v>
      </c>
      <c r="Q28" s="10" t="str">
        <f t="shared" si="1"/>
        <v xml:space="preserve">MAGAZ LUIZA -ON  </v>
      </c>
      <c r="R28" s="51">
        <f t="shared" si="2"/>
        <v>41681</v>
      </c>
      <c r="S28" s="5">
        <f t="shared" si="3"/>
        <v>7.95</v>
      </c>
      <c r="T28" s="5">
        <f t="shared" si="3"/>
        <v>7.98</v>
      </c>
      <c r="U28" s="5">
        <f t="shared" si="3"/>
        <v>8.02</v>
      </c>
      <c r="V28" s="5">
        <f t="shared" si="3"/>
        <v>7.92</v>
      </c>
    </row>
    <row r="29" spans="1:22" x14ac:dyDescent="0.2">
      <c r="A29" s="33" t="str">
        <f>IF(Tabela1768[[#This Row],[Código]]="IBOV","^BVSP",IF(Tabela1768[[#This Row],[Código]]="","",CONCATENATE(LEFT(Tabela1768[[#This Row],[Código]],6),".SA")))</f>
        <v>VVAR11.SA</v>
      </c>
      <c r="C29" s="3" t="s">
        <v>1071</v>
      </c>
      <c r="D29" s="3" t="s">
        <v>1072</v>
      </c>
      <c r="E29" s="3" t="s">
        <v>1095</v>
      </c>
      <c r="F29" s="3" t="s">
        <v>1073</v>
      </c>
      <c r="G29" s="3" t="s">
        <v>1074</v>
      </c>
      <c r="H29" s="51">
        <v>41681</v>
      </c>
      <c r="J29" s="3">
        <f>IF($A29="",0,VALUE(CONCATENATE(LEFT(D29,LEN(D29)-3),",",RIGHT(D29,2))))</f>
        <v>24.55</v>
      </c>
      <c r="K29" s="3">
        <f t="shared" si="4"/>
        <v>24.33</v>
      </c>
      <c r="L29" s="3">
        <f t="shared" si="4"/>
        <v>24.73</v>
      </c>
      <c r="M29" s="3">
        <f t="shared" si="4"/>
        <v>24.2</v>
      </c>
      <c r="P29" s="15" t="s">
        <v>1067</v>
      </c>
      <c r="Q29" s="10" t="str">
        <f t="shared" si="1"/>
        <v xml:space="preserve">VIAVAREJO   -UNT </v>
      </c>
      <c r="R29" s="51">
        <f t="shared" si="2"/>
        <v>41681</v>
      </c>
      <c r="S29" s="5">
        <f t="shared" si="3"/>
        <v>24.55</v>
      </c>
      <c r="T29" s="5">
        <f t="shared" si="3"/>
        <v>24.33</v>
      </c>
      <c r="U29" s="5">
        <f t="shared" si="3"/>
        <v>24.73</v>
      </c>
      <c r="V29" s="5">
        <f t="shared" si="3"/>
        <v>24.2</v>
      </c>
    </row>
    <row r="30" spans="1:22" x14ac:dyDescent="0.2">
      <c r="A30" s="33" t="str">
        <f>IF(Tabela1768[[#This Row],[Código]]="IBOV","^BVSP",IF(Tabela1768[[#This Row],[Código]]="","",CONCATENATE(LEFT(Tabela1768[[#This Row],[Código]],6),".SA")))</f>
        <v>VVAR3.SA</v>
      </c>
      <c r="C30" s="3" t="s">
        <v>1075</v>
      </c>
      <c r="D30" s="3" t="s">
        <v>1076</v>
      </c>
      <c r="E30" s="3" t="s">
        <v>1077</v>
      </c>
      <c r="F30" s="3" t="s">
        <v>1077</v>
      </c>
      <c r="G30" s="3" t="s">
        <v>1076</v>
      </c>
      <c r="H30" s="51">
        <v>41681</v>
      </c>
      <c r="J30" s="3">
        <f t="shared" si="4"/>
        <v>6.2</v>
      </c>
      <c r="K30" s="3">
        <f t="shared" si="4"/>
        <v>6.22</v>
      </c>
      <c r="L30" s="3">
        <f t="shared" si="4"/>
        <v>6.22</v>
      </c>
      <c r="M30" s="3">
        <f t="shared" si="4"/>
        <v>6.2</v>
      </c>
      <c r="P30" s="14" t="s">
        <v>1068</v>
      </c>
      <c r="Q30" s="10" t="str">
        <f t="shared" si="1"/>
        <v xml:space="preserve">VIAVAREJO   -ON  </v>
      </c>
      <c r="R30" s="51">
        <f t="shared" si="2"/>
        <v>41681</v>
      </c>
      <c r="S30" s="5">
        <f t="shared" si="3"/>
        <v>6.2</v>
      </c>
      <c r="T30" s="5">
        <f t="shared" si="3"/>
        <v>6.22</v>
      </c>
      <c r="U30" s="5">
        <f t="shared" si="3"/>
        <v>6.22</v>
      </c>
      <c r="V30" s="5">
        <f t="shared" si="3"/>
        <v>6.2</v>
      </c>
    </row>
    <row r="31" spans="1:22" x14ac:dyDescent="0.2">
      <c r="A31" s="33" t="str">
        <f>IF(Tabela1768[[#This Row],[Código]]="IBOV","^BVSP",IF(Tabela1768[[#This Row],[Código]]="","",CONCATENATE(LEFT(Tabela1768[[#This Row],[Código]],6),".SA")))</f>
        <v>VVAR4.SA</v>
      </c>
      <c r="C31" s="3" t="s">
        <v>1078</v>
      </c>
      <c r="D31" s="3" t="s">
        <v>454</v>
      </c>
      <c r="E31" s="3" t="s">
        <v>455</v>
      </c>
      <c r="F31" s="3" t="s">
        <v>454</v>
      </c>
      <c r="G31" s="3" t="s">
        <v>454</v>
      </c>
      <c r="H31" s="51" t="s">
        <v>454</v>
      </c>
      <c r="J31" s="3" t="e">
        <f t="shared" si="4"/>
        <v>#VALUE!</v>
      </c>
      <c r="K31" s="3">
        <f t="shared" si="4"/>
        <v>0</v>
      </c>
      <c r="L31" s="3" t="e">
        <f t="shared" si="4"/>
        <v>#VALUE!</v>
      </c>
      <c r="M31" s="3" t="e">
        <f t="shared" si="4"/>
        <v>#VALUE!</v>
      </c>
      <c r="P31" s="14" t="s">
        <v>1069</v>
      </c>
      <c r="Q31" s="10" t="str">
        <f t="shared" si="1"/>
        <v xml:space="preserve">VIAVAREJO   -PN  </v>
      </c>
      <c r="R31" s="51" t="str">
        <f t="shared" si="2"/>
        <v>N/A</v>
      </c>
      <c r="S31" s="5" t="e">
        <f t="shared" si="3"/>
        <v>#VALUE!</v>
      </c>
      <c r="T31" s="5">
        <f t="shared" si="3"/>
        <v>0</v>
      </c>
      <c r="U31" s="5" t="e">
        <f t="shared" si="3"/>
        <v>#VALUE!</v>
      </c>
      <c r="V31" s="5" t="e">
        <f t="shared" si="3"/>
        <v>#VALUE!</v>
      </c>
    </row>
    <row r="32" spans="1:22" x14ac:dyDescent="0.2">
      <c r="A32" s="33" t="str">
        <f>IF(Tabela1768[[#This Row],[Código]]="IBOV","^BVSP",IF(Tabela1768[[#This Row],[Código]]="","",CONCATENATE(LEFT(Tabela1768[[#This Row],[Código]],6),".SA")))</f>
        <v>IGBR3.SA</v>
      </c>
      <c r="C32" s="3" t="s">
        <v>1081</v>
      </c>
      <c r="D32" s="3" t="s">
        <v>1082</v>
      </c>
      <c r="E32" s="3" t="s">
        <v>914</v>
      </c>
      <c r="F32" s="3" t="s">
        <v>914</v>
      </c>
      <c r="G32" s="3" t="s">
        <v>1083</v>
      </c>
      <c r="H32" s="51">
        <v>41681</v>
      </c>
      <c r="J32" s="3">
        <f t="shared" si="4"/>
        <v>3.84</v>
      </c>
      <c r="K32" s="3">
        <f t="shared" si="4"/>
        <v>3.9</v>
      </c>
      <c r="L32" s="3">
        <f t="shared" si="4"/>
        <v>3.9</v>
      </c>
      <c r="M32" s="3">
        <f t="shared" si="4"/>
        <v>3.81</v>
      </c>
      <c r="P32" s="14" t="s">
        <v>1079</v>
      </c>
      <c r="Q32" s="10" t="str">
        <f t="shared" si="1"/>
        <v>IGB S/A     -ON</v>
      </c>
      <c r="R32" s="51">
        <f t="shared" si="2"/>
        <v>41681</v>
      </c>
      <c r="S32" s="5">
        <f t="shared" si="3"/>
        <v>3.84</v>
      </c>
      <c r="T32" s="5">
        <f t="shared" si="3"/>
        <v>3.9</v>
      </c>
      <c r="U32" s="5">
        <f t="shared" si="3"/>
        <v>3.9</v>
      </c>
      <c r="V32" s="5">
        <f t="shared" si="3"/>
        <v>3.81</v>
      </c>
    </row>
    <row r="33" spans="1:22" x14ac:dyDescent="0.2">
      <c r="A33" s="33" t="str">
        <f>IF(Tabela1768[[#This Row],[Código]]="IBOV","^BVSP",IF(Tabela1768[[#This Row],[Código]]="","",CONCATENATE(LEFT(Tabela1768[[#This Row],[Código]],6),".SA")))</f>
        <v>HGTX3.SA</v>
      </c>
      <c r="C33" s="3" t="s">
        <v>1086</v>
      </c>
      <c r="D33" s="3" t="s">
        <v>1087</v>
      </c>
      <c r="E33" s="3" t="s">
        <v>1096</v>
      </c>
      <c r="F33" s="3" t="s">
        <v>1088</v>
      </c>
      <c r="G33" s="3" t="s">
        <v>1089</v>
      </c>
      <c r="H33" s="51">
        <v>41681</v>
      </c>
      <c r="J33" s="3">
        <f t="shared" si="4"/>
        <v>25.42</v>
      </c>
      <c r="K33" s="3">
        <f t="shared" si="4"/>
        <v>24.86</v>
      </c>
      <c r="L33" s="3">
        <f t="shared" si="4"/>
        <v>25.54</v>
      </c>
      <c r="M33" s="3">
        <f t="shared" si="4"/>
        <v>24.76</v>
      </c>
      <c r="P33" s="14" t="s">
        <v>1084</v>
      </c>
      <c r="Q33" s="10" t="str">
        <f t="shared" si="1"/>
        <v xml:space="preserve">CIA HERING  -ON  </v>
      </c>
      <c r="R33" s="51">
        <f t="shared" si="2"/>
        <v>41681</v>
      </c>
      <c r="S33" s="5">
        <f t="shared" si="3"/>
        <v>25.42</v>
      </c>
      <c r="T33" s="5">
        <f t="shared" si="3"/>
        <v>24.86</v>
      </c>
      <c r="U33" s="5">
        <f t="shared" si="3"/>
        <v>25.54</v>
      </c>
      <c r="V33" s="5">
        <f t="shared" si="3"/>
        <v>24.76</v>
      </c>
    </row>
    <row r="34" spans="1:22" x14ac:dyDescent="0.2">
      <c r="A34" s="33" t="str">
        <f>IF(Tabela1768[[#This Row],[Código]]="IBOV","^BVSP",IF(Tabela1768[[#This Row],[Código]]="","",CONCATENATE(LEFT(Tabela1768[[#This Row],[Código]],6),".SA")))</f>
        <v>CEDO3.SA</v>
      </c>
      <c r="C34" s="3" t="s">
        <v>1097</v>
      </c>
      <c r="D34" s="3" t="s">
        <v>790</v>
      </c>
      <c r="E34" s="3" t="s">
        <v>790</v>
      </c>
      <c r="F34" s="3" t="s">
        <v>790</v>
      </c>
      <c r="G34" s="3" t="s">
        <v>790</v>
      </c>
      <c r="H34" s="51">
        <v>41681</v>
      </c>
      <c r="J34" s="3">
        <f t="shared" si="4"/>
        <v>11.5</v>
      </c>
      <c r="K34" s="3">
        <f t="shared" si="4"/>
        <v>11.5</v>
      </c>
      <c r="L34" s="3">
        <f t="shared" si="4"/>
        <v>11.5</v>
      </c>
      <c r="M34" s="3">
        <f t="shared" si="4"/>
        <v>11.5</v>
      </c>
      <c r="P34" s="14" t="s">
        <v>1091</v>
      </c>
      <c r="Q34" s="10" t="str">
        <f t="shared" si="1"/>
        <v xml:space="preserve">CEDRO       -ON  </v>
      </c>
      <c r="R34" s="51">
        <f t="shared" si="2"/>
        <v>41681</v>
      </c>
      <c r="S34" s="5">
        <f t="shared" si="3"/>
        <v>11.5</v>
      </c>
      <c r="T34" s="5">
        <f t="shared" si="3"/>
        <v>11.5</v>
      </c>
      <c r="U34" s="5">
        <f t="shared" si="3"/>
        <v>11.5</v>
      </c>
      <c r="V34" s="5">
        <f t="shared" si="3"/>
        <v>11.5</v>
      </c>
    </row>
    <row r="35" spans="1:22" x14ac:dyDescent="0.2">
      <c r="A35" s="33" t="str">
        <f>IF(Tabela1768[[#This Row],[Código]]="IBOV","^BVSP",IF(Tabela1768[[#This Row],[Código]]="","",CONCATENATE(LEFT(Tabela1768[[#This Row],[Código]],6),".SA")))</f>
        <v>CEDO4.SA</v>
      </c>
      <c r="C35" s="3" t="s">
        <v>1098</v>
      </c>
      <c r="D35" s="3" t="s">
        <v>1099</v>
      </c>
      <c r="E35" s="3" t="s">
        <v>1099</v>
      </c>
      <c r="F35" s="3" t="s">
        <v>1099</v>
      </c>
      <c r="G35" s="3" t="s">
        <v>1099</v>
      </c>
      <c r="H35" s="51">
        <v>41681</v>
      </c>
      <c r="J35" s="3">
        <f t="shared" si="4"/>
        <v>11.1</v>
      </c>
      <c r="K35" s="3">
        <f t="shared" si="4"/>
        <v>11.1</v>
      </c>
      <c r="L35" s="3">
        <f t="shared" si="4"/>
        <v>11.1</v>
      </c>
      <c r="M35" s="3">
        <f t="shared" si="4"/>
        <v>11.1</v>
      </c>
      <c r="P35" s="14" t="s">
        <v>1092</v>
      </c>
      <c r="Q35" s="10" t="str">
        <f t="shared" si="1"/>
        <v xml:space="preserve">CEDRO       -PN  </v>
      </c>
      <c r="R35" s="51">
        <f t="shared" si="2"/>
        <v>41681</v>
      </c>
      <c r="S35" s="5">
        <f t="shared" si="3"/>
        <v>11.1</v>
      </c>
      <c r="T35" s="5">
        <f t="shared" si="3"/>
        <v>11.1</v>
      </c>
      <c r="U35" s="5">
        <f t="shared" si="3"/>
        <v>11.1</v>
      </c>
      <c r="V35" s="5">
        <f t="shared" si="3"/>
        <v>11.1</v>
      </c>
    </row>
    <row r="36" spans="1:22" x14ac:dyDescent="0.2">
      <c r="A36" s="33" t="str">
        <f>IF(Tabela1768[[#This Row],[Código]]="IBOV","^BVSP",IF(Tabela1768[[#This Row],[Código]]="","",CONCATENATE(LEFT(Tabela1768[[#This Row],[Código]],6),".SA")))</f>
        <v/>
      </c>
      <c r="C36" s="3" t="s">
        <v>101</v>
      </c>
      <c r="H36" s="51"/>
      <c r="J36" s="3">
        <f t="shared" si="4"/>
        <v>0</v>
      </c>
      <c r="K36" s="3">
        <f t="shared" si="4"/>
        <v>0</v>
      </c>
      <c r="L36" s="3">
        <f t="shared" si="4"/>
        <v>0</v>
      </c>
      <c r="M36" s="3">
        <f t="shared" si="4"/>
        <v>0</v>
      </c>
      <c r="P36" s="14"/>
      <c r="Q36" s="10" t="str">
        <f t="shared" si="1"/>
        <v/>
      </c>
      <c r="R36" s="51" t="str">
        <f t="shared" si="2"/>
        <v/>
      </c>
      <c r="S36" s="5">
        <f t="shared" si="3"/>
        <v>0</v>
      </c>
      <c r="T36" s="5">
        <f t="shared" si="3"/>
        <v>0</v>
      </c>
      <c r="U36" s="5">
        <f t="shared" si="3"/>
        <v>0</v>
      </c>
      <c r="V36" s="5">
        <f t="shared" si="3"/>
        <v>0</v>
      </c>
    </row>
    <row r="37" spans="1:22" x14ac:dyDescent="0.2">
      <c r="A37" s="33" t="str">
        <f>IF(Tabela1768[[#This Row],[Código]]="IBOV","^BVSP",IF(Tabela1768[[#This Row],[Código]]="","",CONCATENATE(LEFT(Tabela1768[[#This Row],[Código]],6),".SA")))</f>
        <v/>
      </c>
      <c r="H37" s="51"/>
      <c r="J37" s="3">
        <f t="shared" si="4"/>
        <v>0</v>
      </c>
      <c r="K37" s="3">
        <f t="shared" si="4"/>
        <v>0</v>
      </c>
      <c r="L37" s="3">
        <f t="shared" si="4"/>
        <v>0</v>
      </c>
      <c r="M37" s="3">
        <f t="shared" si="4"/>
        <v>0</v>
      </c>
      <c r="P37" s="15"/>
      <c r="Q37" s="10" t="str">
        <f t="shared" si="1"/>
        <v/>
      </c>
      <c r="R37" s="51" t="str">
        <f t="shared" si="2"/>
        <v/>
      </c>
      <c r="S37" s="5">
        <f t="shared" si="3"/>
        <v>0</v>
      </c>
      <c r="T37" s="5">
        <f t="shared" si="3"/>
        <v>0</v>
      </c>
      <c r="U37" s="5">
        <f t="shared" si="3"/>
        <v>0</v>
      </c>
      <c r="V37" s="5">
        <f t="shared" si="3"/>
        <v>0</v>
      </c>
    </row>
    <row r="38" spans="1:22" x14ac:dyDescent="0.2">
      <c r="A38" s="33" t="str">
        <f>IF(Tabela1768[[#This Row],[Código]]="IBOV","^BVSP",IF(Tabela1768[[#This Row],[Código]]="","",CONCATENATE(LEFT(Tabela1768[[#This Row],[Código]],6),".SA")))</f>
        <v/>
      </c>
      <c r="H38" s="51"/>
      <c r="J38" s="3">
        <f t="shared" si="4"/>
        <v>0</v>
      </c>
      <c r="K38" s="3">
        <f t="shared" si="4"/>
        <v>0</v>
      </c>
      <c r="L38" s="3">
        <f t="shared" si="4"/>
        <v>0</v>
      </c>
      <c r="M38" s="3">
        <f t="shared" si="4"/>
        <v>0</v>
      </c>
      <c r="P38" s="15"/>
      <c r="Q38" s="10" t="str">
        <f t="shared" si="1"/>
        <v/>
      </c>
      <c r="R38" s="51" t="str">
        <f t="shared" si="2"/>
        <v/>
      </c>
      <c r="S38" s="5">
        <f t="shared" si="3"/>
        <v>0</v>
      </c>
      <c r="T38" s="5">
        <f t="shared" si="3"/>
        <v>0</v>
      </c>
      <c r="U38" s="5">
        <f t="shared" si="3"/>
        <v>0</v>
      </c>
      <c r="V38" s="5">
        <f t="shared" si="3"/>
        <v>0</v>
      </c>
    </row>
    <row r="39" spans="1:22" x14ac:dyDescent="0.2">
      <c r="A39" s="33" t="str">
        <f>IF(Tabela1768[[#This Row],[Código]]="IBOV","^BVSP",IF(Tabela1768[[#This Row],[Código]]="","",CONCATENATE(LEFT(Tabela1768[[#This Row],[Código]],6),".SA")))</f>
        <v/>
      </c>
      <c r="H39" s="51"/>
      <c r="J39" s="3">
        <f t="shared" si="4"/>
        <v>0</v>
      </c>
      <c r="K39" s="3">
        <f t="shared" si="4"/>
        <v>0</v>
      </c>
      <c r="L39" s="3">
        <f t="shared" si="4"/>
        <v>0</v>
      </c>
      <c r="M39" s="3">
        <f t="shared" si="4"/>
        <v>0</v>
      </c>
      <c r="P39" s="14"/>
      <c r="Q39" s="10" t="str">
        <f t="shared" si="1"/>
        <v/>
      </c>
      <c r="R39" s="51" t="str">
        <f t="shared" si="2"/>
        <v/>
      </c>
      <c r="S39" s="5">
        <f t="shared" ref="S39:V70" si="5">J39</f>
        <v>0</v>
      </c>
      <c r="T39" s="5">
        <f t="shared" si="5"/>
        <v>0</v>
      </c>
      <c r="U39" s="5">
        <f t="shared" si="5"/>
        <v>0</v>
      </c>
      <c r="V39" s="5">
        <f t="shared" si="5"/>
        <v>0</v>
      </c>
    </row>
    <row r="40" spans="1:22" x14ac:dyDescent="0.2">
      <c r="A40" s="33" t="str">
        <f>IF(Tabela1768[[#This Row],[Código]]="IBOV","^BVSP",IF(Tabela1768[[#This Row],[Código]]="","",CONCATENATE(LEFT(Tabela1768[[#This Row],[Código]],6),".SA")))</f>
        <v/>
      </c>
      <c r="H40" s="51"/>
      <c r="J40" s="3">
        <f t="shared" si="4"/>
        <v>0</v>
      </c>
      <c r="K40" s="3">
        <f t="shared" si="4"/>
        <v>0</v>
      </c>
      <c r="L40" s="3">
        <f t="shared" si="4"/>
        <v>0</v>
      </c>
      <c r="M40" s="3">
        <f t="shared" si="4"/>
        <v>0</v>
      </c>
      <c r="P40" s="14"/>
      <c r="Q40" s="10" t="str">
        <f t="shared" si="1"/>
        <v/>
      </c>
      <c r="R40" s="51" t="str">
        <f t="shared" si="2"/>
        <v/>
      </c>
      <c r="S40" s="5">
        <f t="shared" si="5"/>
        <v>0</v>
      </c>
      <c r="T40" s="5">
        <f t="shared" si="5"/>
        <v>0</v>
      </c>
      <c r="U40" s="5">
        <f t="shared" si="5"/>
        <v>0</v>
      </c>
      <c r="V40" s="5">
        <f t="shared" si="5"/>
        <v>0</v>
      </c>
    </row>
    <row r="41" spans="1:22" x14ac:dyDescent="0.2">
      <c r="A41" s="33" t="str">
        <f>IF(Tabela1768[[#This Row],[Código]]="IBOV","^BVSP",IF(Tabela1768[[#This Row],[Código]]="","",CONCATENATE(LEFT(Tabela1768[[#This Row],[Código]],6),".SA")))</f>
        <v/>
      </c>
      <c r="H41" s="51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1" t="str">
        <f t="shared" si="2"/>
        <v/>
      </c>
      <c r="S41" s="5">
        <f t="shared" si="5"/>
        <v>0</v>
      </c>
      <c r="T41" s="5">
        <f t="shared" si="5"/>
        <v>0</v>
      </c>
      <c r="U41" s="5">
        <f t="shared" si="5"/>
        <v>0</v>
      </c>
      <c r="V41" s="5">
        <f t="shared" si="5"/>
        <v>0</v>
      </c>
    </row>
    <row r="42" spans="1:22" x14ac:dyDescent="0.2">
      <c r="A42" s="33" t="str">
        <f>IF(Tabela1768[[#This Row],[Código]]="IBOV","^BVSP",IF(Tabela1768[[#This Row],[Código]]="","",CONCATENATE(LEFT(Tabela1768[[#This Row],[Código]],6),".SA")))</f>
        <v/>
      </c>
      <c r="H42" s="51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1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 x14ac:dyDescent="0.2">
      <c r="A43" s="33" t="str">
        <f>IF(Tabela1768[[#This Row],[Código]]="IBOV","^BVSP",IF(Tabela1768[[#This Row],[Código]]="","",CONCATENATE(LEFT(Tabela1768[[#This Row],[Código]],6),".SA")))</f>
        <v/>
      </c>
      <c r="H43" s="51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1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 x14ac:dyDescent="0.2">
      <c r="A44" s="33" t="str">
        <f>IF(Tabela1768[[#This Row],[Código]]="IBOV","^BVSP",IF(Tabela1768[[#This Row],[Código]]="","",CONCATENATE(LEFT(Tabela1768[[#This Row],[Código]],6),".SA")))</f>
        <v/>
      </c>
      <c r="H44" s="51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1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 x14ac:dyDescent="0.2">
      <c r="A45" s="33" t="str">
        <f>IF(Tabela1768[[#This Row],[Código]]="IBOV","^BVSP",IF(Tabela1768[[#This Row],[Código]]="","",CONCATENATE(LEFT(Tabela1768[[#This Row],[Código]],6),".SA")))</f>
        <v/>
      </c>
      <c r="H45" s="51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1" t="str">
        <f t="shared" si="2"/>
        <v/>
      </c>
      <c r="S45" s="5">
        <f t="shared" si="5"/>
        <v>0</v>
      </c>
      <c r="T45" s="5">
        <f t="shared" si="5"/>
        <v>0</v>
      </c>
      <c r="U45" s="5">
        <f t="shared" si="5"/>
        <v>0</v>
      </c>
      <c r="V45" s="5">
        <f t="shared" si="5"/>
        <v>0</v>
      </c>
    </row>
    <row r="46" spans="1:22" x14ac:dyDescent="0.2">
      <c r="A46" s="33" t="str">
        <f>IF(Tabela1768[[#This Row],[Código]]="IBOV","^BVSP",IF(Tabela1768[[#This Row],[Código]]="","",CONCATENATE(LEFT(Tabela1768[[#This Row],[Código]],6),".SA")))</f>
        <v/>
      </c>
      <c r="H46" s="51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46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 x14ac:dyDescent="0.2">
      <c r="A47" s="33" t="str">
        <f>IF(Tabela1768[[#This Row],[Código]]="IBOV","^BVSP",IF(Tabela1768[[#This Row],[Código]]="","",CONCATENATE(LEFT(Tabela1768[[#This Row],[Código]],6),".SA")))</f>
        <v/>
      </c>
      <c r="H47" s="51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1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 x14ac:dyDescent="0.2">
      <c r="A48" s="33" t="str">
        <f>IF(Tabela1768[[#This Row],[Código]]="IBOV","^BVSP",IF(Tabela1768[[#This Row],[Código]]="","",CONCATENATE(LEFT(Tabela1768[[#This Row],[Código]],6),".SA")))</f>
        <v/>
      </c>
      <c r="H48" s="51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1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 x14ac:dyDescent="0.2">
      <c r="A49" s="33" t="str">
        <f>IF(Tabela1768[[#This Row],[Código]]="IBOV","^BVSP",IF(Tabela1768[[#This Row],[Código]]="","",CONCATENATE(LEFT(Tabela1768[[#This Row],[Código]],6),".SA")))</f>
        <v/>
      </c>
      <c r="H49" s="51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15"/>
      <c r="Q49" s="10" t="str">
        <f t="shared" si="1"/>
        <v/>
      </c>
      <c r="R49" s="51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 x14ac:dyDescent="0.2">
      <c r="A50" s="33" t="str">
        <f>IF(Tabela1768[[#This Row],[Código]]="IBOV","^BVSP",IF(Tabela1768[[#This Row],[Código]]="","",CONCATENATE(LEFT(Tabela1768[[#This Row],[Código]],6),".SA")))</f>
        <v/>
      </c>
      <c r="H50" s="51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15"/>
      <c r="Q50" s="10" t="str">
        <f t="shared" si="1"/>
        <v/>
      </c>
      <c r="R50" s="46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 x14ac:dyDescent="0.2">
      <c r="A51" s="33" t="str">
        <f>IF(Tabela1768[[#This Row],[Código]]="IBOV","^BVSP",IF(Tabela1768[[#This Row],[Código]]="","",CONCATENATE(LEFT(Tabela1768[[#This Row],[Código]],6),".SA")))</f>
        <v/>
      </c>
      <c r="H51" s="51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1" t="str">
        <f t="shared" si="2"/>
        <v/>
      </c>
      <c r="S51" s="5">
        <f t="shared" si="5"/>
        <v>0</v>
      </c>
      <c r="T51" s="5">
        <f t="shared" si="5"/>
        <v>0</v>
      </c>
      <c r="U51" s="5">
        <f t="shared" si="5"/>
        <v>0</v>
      </c>
      <c r="V51" s="5">
        <f t="shared" si="5"/>
        <v>0</v>
      </c>
    </row>
    <row r="52" spans="1:22" x14ac:dyDescent="0.2">
      <c r="A52" s="33" t="str">
        <f>IF(Tabela1768[[#This Row],[Código]]="IBOV","^BVSP",IF(Tabela1768[[#This Row],[Código]]="","",CONCATENATE(LEFT(Tabela1768[[#This Row],[Código]],6),".SA")))</f>
        <v/>
      </c>
      <c r="H52" s="51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4"/>
      <c r="Q52" s="10" t="str">
        <f t="shared" si="1"/>
        <v/>
      </c>
      <c r="R52" s="51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 x14ac:dyDescent="0.2">
      <c r="A53" s="33" t="str">
        <f>IF(Tabela1768[[#This Row],[Código]]="IBOV","^BVSP",IF(Tabela1768[[#This Row],[Código]]="","",CONCATENATE(LEFT(Tabela1768[[#This Row],[Código]],6),".SA")))</f>
        <v/>
      </c>
      <c r="H53" s="51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14"/>
      <c r="Q53" s="10" t="str">
        <f t="shared" si="1"/>
        <v/>
      </c>
      <c r="R53" s="51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 x14ac:dyDescent="0.2">
      <c r="A54" s="33" t="str">
        <f>IF(Tabela1768[[#This Row],[Código]]="IBOV","^BVSP",IF(Tabela1768[[#This Row],[Código]]="","",CONCATENATE(LEFT(Tabela1768[[#This Row],[Código]],6),".SA")))</f>
        <v/>
      </c>
      <c r="E54" s="61"/>
      <c r="F54" s="61"/>
      <c r="G54" s="61"/>
      <c r="H54" s="51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14"/>
      <c r="Q54" s="10" t="str">
        <f t="shared" si="1"/>
        <v/>
      </c>
      <c r="R54" s="51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 x14ac:dyDescent="0.2">
      <c r="A55" s="33" t="str">
        <f>IF(Tabela1768[[#This Row],[Código]]="IBOV","^BVSP",IF(Tabela1768[[#This Row],[Código]]="","",CONCATENATE(LEFT(Tabela1768[[#This Row],[Código]],6),".SA")))</f>
        <v/>
      </c>
      <c r="H55" s="51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43"/>
      <c r="Q55" s="10" t="str">
        <f t="shared" si="1"/>
        <v/>
      </c>
      <c r="R55" s="51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 x14ac:dyDescent="0.2">
      <c r="A56" s="33" t="str">
        <f>IF(Tabela1768[[#This Row],[Código]]="IBOV","^BVSP",IF(Tabela1768[[#This Row],[Código]]="","",CONCATENATE(LEFT(Tabela1768[[#This Row],[Código]],6),".SA")))</f>
        <v/>
      </c>
      <c r="H56" s="51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5"/>
      <c r="Q56" s="10" t="str">
        <f t="shared" si="1"/>
        <v/>
      </c>
      <c r="R56" s="51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 x14ac:dyDescent="0.2">
      <c r="A57" s="33" t="str">
        <f>IF(Tabela1768[[#This Row],[Código]]="IBOV","^BVSP",IF(Tabela1768[[#This Row],[Código]]="","",CONCATENATE(LEFT(Tabela1768[[#This Row],[Código]],6),".SA")))</f>
        <v/>
      </c>
      <c r="H57" s="51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0"/>
      <c r="Q57" s="10" t="str">
        <f t="shared" si="1"/>
        <v/>
      </c>
      <c r="R57" s="51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 x14ac:dyDescent="0.2">
      <c r="A58" s="33" t="str">
        <f>IF(Tabela1768[[#This Row],[Código]]="IBOV","^BVSP",IF(Tabela1768[[#This Row],[Código]]="","",CONCATENATE(LEFT(Tabela1768[[#This Row],[Código]],6),".SA")))</f>
        <v/>
      </c>
      <c r="H58" s="51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1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 x14ac:dyDescent="0.2">
      <c r="A59" s="33" t="str">
        <f>IF(Tabela1768[[#This Row],[Código]]="IBOV","^BVSP",IF(Tabela1768[[#This Row],[Código]]="","",CONCATENATE(LEFT(Tabela1768[[#This Row],[Código]],6),".SA")))</f>
        <v/>
      </c>
      <c r="E59" s="61"/>
      <c r="F59" s="61"/>
      <c r="G59" s="61"/>
      <c r="H59" s="51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46" t="str">
        <f t="shared" si="2"/>
        <v/>
      </c>
      <c r="S59" s="6">
        <f t="shared" si="5"/>
        <v>0</v>
      </c>
      <c r="T59" s="6">
        <f t="shared" si="5"/>
        <v>0</v>
      </c>
      <c r="U59" s="6">
        <f t="shared" si="5"/>
        <v>0</v>
      </c>
      <c r="V59" s="6">
        <f t="shared" si="5"/>
        <v>0</v>
      </c>
    </row>
    <row r="60" spans="1:22" x14ac:dyDescent="0.2">
      <c r="A60" s="33" t="str">
        <f>IF(Tabela1768[[#This Row],[Código]]="IBOV","^BVSP",IF(Tabela1768[[#This Row],[Código]]="","",CONCATENATE(LEFT(Tabela1768[[#This Row],[Código]],6),".SA")))</f>
        <v/>
      </c>
      <c r="E60" s="61"/>
      <c r="F60" s="61"/>
      <c r="G60" s="61"/>
      <c r="H60" s="51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1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 x14ac:dyDescent="0.2">
      <c r="A61" s="33" t="str">
        <f>IF(Tabela1768[[#This Row],[Código]]="IBOV","^BVSP",IF(Tabela1768[[#This Row],[Código]]="","",CONCATENATE(LEFT(Tabela1768[[#This Row],[Código]],6),".SA")))</f>
        <v/>
      </c>
      <c r="H61" s="51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4"/>
      <c r="Q61" s="10" t="str">
        <f t="shared" si="1"/>
        <v/>
      </c>
      <c r="R61" s="51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 x14ac:dyDescent="0.2">
      <c r="A62" s="33" t="str">
        <f>IF(Tabela1768[[#This Row],[Código]]="IBOV","^BVSP",IF(Tabela1768[[#This Row],[Código]]="","",CONCATENATE(LEFT(Tabela1768[[#This Row],[Código]],6),".SA")))</f>
        <v/>
      </c>
      <c r="H62" s="51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1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 x14ac:dyDescent="0.2">
      <c r="A63" s="33" t="str">
        <f>IF(Tabela1768[[#This Row],[Código]]="IBOV","^BVSP",IF(Tabela1768[[#This Row],[Código]]="","",CONCATENATE(LEFT(Tabela1768[[#This Row],[Código]],6),".SA")))</f>
        <v/>
      </c>
      <c r="H63" s="51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Q63" s="10" t="str">
        <f t="shared" si="1"/>
        <v/>
      </c>
      <c r="R63" s="51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 x14ac:dyDescent="0.2">
      <c r="A64" s="33" t="str">
        <f>IF(Tabela1768[[#This Row],[Código]]="IBOV","^BVSP",IF(Tabela1768[[#This Row],[Código]]="","",CONCATENATE(LEFT(Tabela1768[[#This Row],[Código]],6),".SA")))</f>
        <v/>
      </c>
      <c r="H64" s="51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4"/>
      <c r="Q64" s="10" t="str">
        <f t="shared" si="1"/>
        <v/>
      </c>
      <c r="R64" s="51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 x14ac:dyDescent="0.2">
      <c r="A65" s="33" t="str">
        <f>IF(Tabela1768[[#This Row],[Código]]="IBOV","^BVSP",IF(Tabela1768[[#This Row],[Código]]="","",CONCATENATE(LEFT(Tabela1768[[#This Row],[Código]],6),".SA")))</f>
        <v/>
      </c>
      <c r="H65" s="51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14"/>
      <c r="Q65" s="10" t="str">
        <f t="shared" si="1"/>
        <v/>
      </c>
      <c r="R65" s="51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 x14ac:dyDescent="0.2">
      <c r="A66" s="33" t="str">
        <f>IF(Tabela1768[[#This Row],[Código]]="IBOV","^BVSP",IF(Tabela1768[[#This Row],[Código]]="","",CONCATENATE(LEFT(Tabela1768[[#This Row],[Código]],6),".SA")))</f>
        <v/>
      </c>
      <c r="H66" s="51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0"/>
      <c r="Q66" s="10" t="str">
        <f t="shared" si="1"/>
        <v/>
      </c>
      <c r="R66" s="51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 x14ac:dyDescent="0.2">
      <c r="A67" s="33" t="str">
        <f>IF(Tabela1768[[#This Row],[Código]]="IBOV","^BVSP",IF(Tabela1768[[#This Row],[Código]]="","",CONCATENATE(LEFT(Tabela1768[[#This Row],[Código]],6),".SA")))</f>
        <v/>
      </c>
      <c r="H67" s="51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14"/>
      <c r="Q67" s="10" t="str">
        <f t="shared" si="1"/>
        <v/>
      </c>
      <c r="R67" s="51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 x14ac:dyDescent="0.2">
      <c r="A68" s="33" t="str">
        <f>IF(Tabela1768[[#This Row],[Código]]="IBOV","^BVSP",IF(Tabela1768[[#This Row],[Código]]="","",CONCATENATE(LEFT(Tabela1768[[#This Row],[Código]],6),".SA")))</f>
        <v/>
      </c>
      <c r="H68" s="51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1" t="str">
        <f t="shared" si="2"/>
        <v/>
      </c>
      <c r="S68" s="5">
        <f t="shared" si="5"/>
        <v>0</v>
      </c>
      <c r="T68" s="5">
        <f t="shared" si="5"/>
        <v>0</v>
      </c>
      <c r="U68" s="5">
        <f t="shared" si="5"/>
        <v>0</v>
      </c>
      <c r="V68" s="5">
        <f t="shared" si="5"/>
        <v>0</v>
      </c>
    </row>
    <row r="69" spans="1:22" x14ac:dyDescent="0.2">
      <c r="A69" s="33" t="str">
        <f>IF(Tabela1768[[#This Row],[Código]]="IBOV","^BVSP",IF(Tabela1768[[#This Row],[Código]]="","",CONCATENATE(LEFT(Tabela1768[[#This Row],[Código]],6),".SA")))</f>
        <v/>
      </c>
      <c r="H69" s="51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1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 x14ac:dyDescent="0.2">
      <c r="A70" s="33" t="str">
        <f>IF(Tabela1768[[#This Row],[Código]]="IBOV","^BVSP",IF(Tabela1768[[#This Row],[Código]]="","",CONCATENATE(LEFT(Tabela1768[[#This Row],[Código]],6),".SA")))</f>
        <v/>
      </c>
      <c r="H70" s="51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1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 x14ac:dyDescent="0.2">
      <c r="A71" s="33" t="str">
        <f>IF(Tabela1768[[#This Row],[Código]]="IBOV","^BVSP",IF(Tabela1768[[#This Row],[Código]]="","",CONCATENATE(LEFT(Tabela1768[[#This Row],[Código]],6),".SA")))</f>
        <v/>
      </c>
      <c r="H71" s="51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46" t="str">
        <f t="shared" ref="R71:R112" si="7">IF(A71="","",H71)</f>
        <v/>
      </c>
      <c r="S71" s="6">
        <f t="shared" ref="S71:V102" si="8">J71</f>
        <v>0</v>
      </c>
      <c r="T71" s="6">
        <f t="shared" si="8"/>
        <v>0</v>
      </c>
      <c r="U71" s="6">
        <f t="shared" si="8"/>
        <v>0</v>
      </c>
      <c r="V71" s="6">
        <f t="shared" si="8"/>
        <v>0</v>
      </c>
    </row>
    <row r="72" spans="1:22" x14ac:dyDescent="0.2">
      <c r="A72" s="33" t="str">
        <f>IF(Tabela1768[[#This Row],[Código]]="IBOV","^BVSP",IF(Tabela1768[[#This Row],[Código]]="","",CONCATENATE(LEFT(Tabela1768[[#This Row],[Código]],6),".SA")))</f>
        <v/>
      </c>
      <c r="H72" s="51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5"/>
      <c r="Q72" s="10" t="str">
        <f t="shared" si="6"/>
        <v/>
      </c>
      <c r="R72" s="51" t="str">
        <f t="shared" si="7"/>
        <v/>
      </c>
      <c r="S72" s="5">
        <f t="shared" si="8"/>
        <v>0</v>
      </c>
      <c r="T72" s="5">
        <f t="shared" si="8"/>
        <v>0</v>
      </c>
      <c r="U72" s="5">
        <f t="shared" si="8"/>
        <v>0</v>
      </c>
      <c r="V72" s="5">
        <f t="shared" si="8"/>
        <v>0</v>
      </c>
    </row>
    <row r="73" spans="1:22" x14ac:dyDescent="0.2">
      <c r="A73" s="33" t="str">
        <f>IF(Tabela1768[[#This Row],[Código]]="IBOV","^BVSP",IF(Tabela1768[[#This Row],[Código]]="","",CONCATENATE(LEFT(Tabela1768[[#This Row],[Código]],6),".SA")))</f>
        <v/>
      </c>
      <c r="H73" s="51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1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 x14ac:dyDescent="0.2">
      <c r="A74" s="33" t="str">
        <f>IF(Tabela1768[[#This Row],[Código]]="IBOV","^BVSP",IF(Tabela1768[[#This Row],[Código]]="","",CONCATENATE(LEFT(Tabela1768[[#This Row],[Código]],6),".SA")))</f>
        <v/>
      </c>
      <c r="H74" s="51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14"/>
      <c r="Q74" s="10" t="str">
        <f t="shared" si="6"/>
        <v/>
      </c>
      <c r="R74" s="51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 x14ac:dyDescent="0.2">
      <c r="A75" s="33" t="str">
        <f>IF(Tabela1768[[#This Row],[Código]]="IBOV","^BVSP",IF(Tabela1768[[#This Row],[Código]]="","",CONCATENATE(LEFT(Tabela1768[[#This Row],[Código]],6),".SA")))</f>
        <v/>
      </c>
      <c r="H75" s="51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1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 x14ac:dyDescent="0.2">
      <c r="A76" s="33" t="str">
        <f>IF(Tabela1768[[#This Row],[Código]]="IBOV","^BVSP",IF(Tabela1768[[#This Row],[Código]]="","",CONCATENATE(LEFT(Tabela1768[[#This Row],[Código]],6),".SA")))</f>
        <v/>
      </c>
      <c r="H76" s="51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4"/>
      <c r="Q76" s="10" t="str">
        <f t="shared" si="6"/>
        <v/>
      </c>
      <c r="R76" s="51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 x14ac:dyDescent="0.2">
      <c r="A77" s="33" t="str">
        <f>IF(Tabela1768[[#This Row],[Código]]="IBOV","^BVSP",IF(Tabela1768[[#This Row],[Código]]="","",CONCATENATE(LEFT(Tabela1768[[#This Row],[Código]],6),".SA")))</f>
        <v/>
      </c>
      <c r="H77" s="51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5"/>
      <c r="Q77" s="10" t="str">
        <f t="shared" si="6"/>
        <v/>
      </c>
      <c r="R77" s="51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 x14ac:dyDescent="0.2">
      <c r="A78" s="33" t="str">
        <f>IF(Tabela1768[[#This Row],[Código]]="IBOV","^BVSP",IF(Tabela1768[[#This Row],[Código]]="","",CONCATENATE(LEFT(Tabela1768[[#This Row],[Código]],6),".SA")))</f>
        <v/>
      </c>
      <c r="H78" s="51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15"/>
      <c r="Q78" s="10" t="str">
        <f t="shared" si="6"/>
        <v/>
      </c>
      <c r="R78" s="51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 x14ac:dyDescent="0.2">
      <c r="A79" s="33" t="str">
        <f>IF(Tabela1768[[#This Row],[Código]]="IBOV","^BVSP",IF(Tabela1768[[#This Row],[Código]]="","",CONCATENATE(LEFT(Tabela1768[[#This Row],[Código]],6),".SA")))</f>
        <v/>
      </c>
      <c r="H79" s="51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15"/>
      <c r="Q79" s="10" t="str">
        <f t="shared" si="6"/>
        <v/>
      </c>
      <c r="R79" s="51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 x14ac:dyDescent="0.2">
      <c r="A80" s="33" t="str">
        <f>IF(Tabela1768[[#This Row],[Código]]="IBOV","^BVSP",IF(Tabela1768[[#This Row],[Código]]="","",CONCATENATE(LEFT(Tabela1768[[#This Row],[Código]],6),".SA")))</f>
        <v/>
      </c>
      <c r="H80" s="51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15"/>
      <c r="Q80" s="10" t="str">
        <f t="shared" si="6"/>
        <v/>
      </c>
      <c r="R80" s="51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 x14ac:dyDescent="0.2">
      <c r="A81" s="33" t="str">
        <f>IF(Tabela1768[[#This Row],[Código]]="IBOV","^BVSP",IF(Tabela1768[[#This Row],[Código]]="","",CONCATENATE(LEFT(Tabela1768[[#This Row],[Código]],6),".SA")))</f>
        <v/>
      </c>
      <c r="H81" s="51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1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 x14ac:dyDescent="0.2">
      <c r="A82" s="33" t="str">
        <f>IF(Tabela1768[[#This Row],[Código]]="IBOV","^BVSP",IF(Tabela1768[[#This Row],[Código]]="","",CONCATENATE(LEFT(Tabela1768[[#This Row],[Código]],6),".SA")))</f>
        <v/>
      </c>
      <c r="H82" s="51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1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 x14ac:dyDescent="0.2">
      <c r="A83" s="33" t="str">
        <f>IF(Tabela1768[[#This Row],[Código]]="IBOV","^BVSP",IF(Tabela1768[[#This Row],[Código]]="","",CONCATENATE(LEFT(Tabela1768[[#This Row],[Código]],6),".SA")))</f>
        <v/>
      </c>
      <c r="H83" s="51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4"/>
      <c r="Q83" s="10" t="str">
        <f t="shared" si="6"/>
        <v/>
      </c>
      <c r="R83" s="46" t="str">
        <f t="shared" si="7"/>
        <v/>
      </c>
      <c r="S83" s="6">
        <f t="shared" si="8"/>
        <v>0</v>
      </c>
      <c r="T83" s="6">
        <f t="shared" si="8"/>
        <v>0</v>
      </c>
      <c r="U83" s="6">
        <f t="shared" si="8"/>
        <v>0</v>
      </c>
      <c r="V83" s="6">
        <f t="shared" si="8"/>
        <v>0</v>
      </c>
    </row>
    <row r="84" spans="1:22" x14ac:dyDescent="0.2">
      <c r="A84" s="33" t="str">
        <f>IF(Tabela1768[[#This Row],[Código]]="IBOV","^BVSP",IF(Tabela1768[[#This Row],[Código]]="","",CONCATENATE(LEFT(Tabela1768[[#This Row],[Código]],6),".SA")))</f>
        <v/>
      </c>
      <c r="H84" s="51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43"/>
      <c r="Q84" s="10" t="str">
        <f t="shared" si="6"/>
        <v/>
      </c>
      <c r="R84" s="51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 x14ac:dyDescent="0.2">
      <c r="A85" s="33" t="str">
        <f>IF(Tabela1768[[#This Row],[Código]]="IBOV","^BVSP",IF(Tabela1768[[#This Row],[Código]]="","",CONCATENATE(LEFT(Tabela1768[[#This Row],[Código]],6),".SA")))</f>
        <v/>
      </c>
      <c r="H85" s="51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5"/>
      <c r="Q85" s="10" t="str">
        <f t="shared" si="6"/>
        <v/>
      </c>
      <c r="R85" s="51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 x14ac:dyDescent="0.2">
      <c r="A86" s="33" t="str">
        <f>IF(Tabela1768[[#This Row],[Código]]="IBOV","^BVSP",IF(Tabela1768[[#This Row],[Código]]="","",CONCATENATE(LEFT(Tabela1768[[#This Row],[Código]],6),".SA")))</f>
        <v/>
      </c>
      <c r="H86" s="51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5"/>
      <c r="Q86" s="10" t="str">
        <f t="shared" si="6"/>
        <v/>
      </c>
      <c r="R86" s="51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 x14ac:dyDescent="0.2">
      <c r="A87" s="33" t="str">
        <f>IF(Tabela1768[[#This Row],[Código]]="IBOV","^BVSP",IF(Tabela1768[[#This Row],[Código]]="","",CONCATENATE(LEFT(Tabela1768[[#This Row],[Código]],6),".SA")))</f>
        <v/>
      </c>
      <c r="H87" s="51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1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 x14ac:dyDescent="0.2">
      <c r="A88" s="33" t="str">
        <f>IF(Tabela1768[[#This Row],[Código]]="IBOV","^BVSP",IF(Tabela1768[[#This Row],[Código]]="","",CONCATENATE(LEFT(Tabela1768[[#This Row],[Código]],6),".SA")))</f>
        <v/>
      </c>
      <c r="H88" s="51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1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 x14ac:dyDescent="0.2">
      <c r="A89" s="33" t="str">
        <f>IF(Tabela1768[[#This Row],[Código]]="IBOV","^BVSP",IF(Tabela1768[[#This Row],[Código]]="","",CONCATENATE(LEFT(Tabela1768[[#This Row],[Código]],6),".SA")))</f>
        <v/>
      </c>
      <c r="H89" s="51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10"/>
      <c r="Q89" s="10" t="str">
        <f t="shared" si="6"/>
        <v/>
      </c>
      <c r="R89" s="51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 x14ac:dyDescent="0.2">
      <c r="A90" s="33" t="str">
        <f>IF(Tabela1768[[#This Row],[Código]]="IBOV","^BVSP",IF(Tabela1768[[#This Row],[Código]]="","",CONCATENATE(LEFT(Tabela1768[[#This Row],[Código]],6),".SA")))</f>
        <v/>
      </c>
      <c r="H90" s="51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0"/>
      <c r="Q90" s="10" t="str">
        <f t="shared" si="6"/>
        <v/>
      </c>
      <c r="R90" s="51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 x14ac:dyDescent="0.2">
      <c r="A91" s="33" t="str">
        <f>IF(Tabela1768[[#This Row],[Código]]="IBOV","^BVSP",IF(Tabela1768[[#This Row],[Código]]="","",CONCATENATE(LEFT(Tabela1768[[#This Row],[Código]],6),".SA")))</f>
        <v/>
      </c>
      <c r="H91" s="51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1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 x14ac:dyDescent="0.2">
      <c r="A92" s="33" t="str">
        <f>IF(Tabela1768[[#This Row],[Código]]="IBOV","^BVSP",IF(Tabela1768[[#This Row],[Código]]="","",CONCATENATE(LEFT(Tabela1768[[#This Row],[Código]],6),".SA")))</f>
        <v/>
      </c>
      <c r="H92" s="51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1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 x14ac:dyDescent="0.2">
      <c r="A93" s="33" t="str">
        <f>IF(Tabela1768[[#This Row],[Código]]="IBOV","^BVSP",IF(Tabela1768[[#This Row],[Código]]="","",CONCATENATE(LEFT(Tabela1768[[#This Row],[Código]],6),".SA")))</f>
        <v/>
      </c>
      <c r="H93" s="51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1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 x14ac:dyDescent="0.2">
      <c r="A94" s="33" t="str">
        <f>IF(Tabela1768[[#This Row],[Código]]="IBOV","^BVSP",IF(Tabela1768[[#This Row],[Código]]="","",CONCATENATE(LEFT(Tabela1768[[#This Row],[Código]],6),".SA")))</f>
        <v/>
      </c>
      <c r="H94" s="51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1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 x14ac:dyDescent="0.2">
      <c r="A95" s="33" t="str">
        <f>IF(Tabela1768[[#This Row],[Código]]="IBOV","^BVSP",IF(Tabela1768[[#This Row],[Código]]="","",CONCATENATE(LEFT(Tabela1768[[#This Row],[Código]],6),".SA")))</f>
        <v/>
      </c>
      <c r="H95" s="51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1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 x14ac:dyDescent="0.2">
      <c r="A96" s="33" t="str">
        <f>IF(Tabela1768[[#This Row],[Código]]="IBOV","^BVSP",IF(Tabela1768[[#This Row],[Código]]="","",CONCATENATE(LEFT(Tabela1768[[#This Row],[Código]],6),".SA")))</f>
        <v/>
      </c>
      <c r="H96" s="51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1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 x14ac:dyDescent="0.2">
      <c r="A97" s="33" t="str">
        <f>IF(Tabela1768[[#This Row],[Código]]="IBOV","^BVSP",IF(Tabela1768[[#This Row],[Código]]="","",CONCATENATE(LEFT(Tabela1768[[#This Row],[Código]],6),".SA")))</f>
        <v/>
      </c>
      <c r="H97" s="51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1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 x14ac:dyDescent="0.2">
      <c r="A98" s="33" t="str">
        <f>IF(Tabela1768[[#This Row],[Código]]="IBOV","^BVSP",IF(Tabela1768[[#This Row],[Código]]="","",CONCATENATE(LEFT(Tabela1768[[#This Row],[Código]],6),".SA")))</f>
        <v/>
      </c>
      <c r="H98" s="51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0"/>
      <c r="Q98" s="10" t="str">
        <f t="shared" si="6"/>
        <v/>
      </c>
      <c r="R98" s="51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 x14ac:dyDescent="0.2">
      <c r="A99" s="33" t="str">
        <f>IF(Tabela1768[[#This Row],[Código]]="IBOV","^BVSP",IF(Tabela1768[[#This Row],[Código]]="","",CONCATENATE(LEFT(Tabela1768[[#This Row],[Código]],6),".SA")))</f>
        <v/>
      </c>
      <c r="H99" s="51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4"/>
      <c r="Q99" s="10" t="str">
        <f t="shared" si="6"/>
        <v/>
      </c>
      <c r="R99" s="51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 x14ac:dyDescent="0.2">
      <c r="A100" s="33" t="str">
        <f>IF(Tabela1768[[#This Row],[Código]]="IBOV","^BVSP",IF(Tabela1768[[#This Row],[Código]]="","",CONCATENATE(LEFT(Tabela1768[[#This Row],[Código]],6),".SA")))</f>
        <v/>
      </c>
      <c r="H100" s="51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1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 x14ac:dyDescent="0.2">
      <c r="A101" s="33" t="str">
        <f>IF(Tabela1768[[#This Row],[Código]]="IBOV","^BVSP",IF(Tabela1768[[#This Row],[Código]]="","",CONCATENATE(LEFT(Tabela1768[[#This Row],[Código]],6),".SA")))</f>
        <v/>
      </c>
      <c r="H101" s="51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0"/>
      <c r="Q101" s="10" t="str">
        <f t="shared" si="6"/>
        <v/>
      </c>
      <c r="R101" s="51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 x14ac:dyDescent="0.2">
      <c r="A102" s="33" t="str">
        <f>IF(Tabela1768[[#This Row],[Código]]="IBOV","^BVSP",IF(Tabela1768[[#This Row],[Código]]="","",CONCATENATE(LEFT(Tabela1768[[#This Row],[Código]],6),".SA")))</f>
        <v/>
      </c>
      <c r="H102" s="51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0"/>
      <c r="Q102" s="10" t="str">
        <f t="shared" si="6"/>
        <v/>
      </c>
      <c r="R102" s="51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 x14ac:dyDescent="0.2">
      <c r="A103" s="33" t="str">
        <f>IF(Tabela1768[[#This Row],[Código]]="IBOV","^BVSP",IF(Tabela1768[[#This Row],[Código]]="","",CONCATENATE(LEFT(Tabela1768[[#This Row],[Código]],6),".SA")))</f>
        <v/>
      </c>
      <c r="H103" s="51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1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 x14ac:dyDescent="0.2">
      <c r="A104" s="33" t="str">
        <f>IF(Tabela1768[[#This Row],[Código]]="IBOV","^BVSP",IF(Tabela1768[[#This Row],[Código]]="","",CONCATENATE(LEFT(Tabela1768[[#This Row],[Código]],6),".SA")))</f>
        <v/>
      </c>
      <c r="H104" s="51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1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 x14ac:dyDescent="0.2">
      <c r="A105" s="33" t="str">
        <f>IF(Tabela1768[[#This Row],[Código]]="IBOV","^BVSP",IF(Tabela1768[[#This Row],[Código]]="","",CONCATENATE(LEFT(Tabela1768[[#This Row],[Código]],6),".SA")))</f>
        <v/>
      </c>
      <c r="H105" s="51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1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 x14ac:dyDescent="0.2">
      <c r="A106" s="33" t="str">
        <f>IF(Tabela1768[[#This Row],[Código]]="IBOV","^BVSP",IF(Tabela1768[[#This Row],[Código]]="","",CONCATENATE(LEFT(Tabela1768[[#This Row],[Código]],6),".SA")))</f>
        <v/>
      </c>
      <c r="H106" s="51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1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 x14ac:dyDescent="0.2">
      <c r="A107" s="33" t="str">
        <f>IF(Tabela1768[[#This Row],[Código]]="IBOV","^BVSP",IF(Tabela1768[[#This Row],[Código]]="","",CONCATENATE(LEFT(Tabela1768[[#This Row],[Código]],6),".SA")))</f>
        <v/>
      </c>
      <c r="H107" s="51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1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 x14ac:dyDescent="0.2">
      <c r="A108" s="33" t="str">
        <f>IF(Tabela1768[[#This Row],[Código]]="IBOV","^BVSP",IF(Tabela1768[[#This Row],[Código]]="","",CONCATENATE(LEFT(Tabela1768[[#This Row],[Código]],6),".SA")))</f>
        <v/>
      </c>
      <c r="H108" s="51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1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 x14ac:dyDescent="0.2">
      <c r="A109" s="33" t="str">
        <f>IF(Tabela1768[[#This Row],[Código]]="IBOV","^BVSP",IF(Tabela1768[[#This Row],[Código]]="","",CONCATENATE(LEFT(Tabela1768[[#This Row],[Código]],6),".SA")))</f>
        <v/>
      </c>
      <c r="H109" s="51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1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 x14ac:dyDescent="0.2">
      <c r="A110" s="33" t="str">
        <f>IF(Tabela1768[[#This Row],[Código]]="IBOV","^BVSP",IF(Tabela1768[[#This Row],[Código]]="","",CONCATENATE(LEFT(Tabela1768[[#This Row],[Código]],6),".SA")))</f>
        <v/>
      </c>
      <c r="H110" s="51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1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 x14ac:dyDescent="0.2">
      <c r="A111" s="33" t="str">
        <f>IF(Tabela1768[[#This Row],[Código]]="IBOV","^BVSP",IF(Tabela1768[[#This Row],[Código]]="","",CONCATENATE(LEFT(Tabela1768[[#This Row],[Código]],6),".SA")))</f>
        <v/>
      </c>
      <c r="H111" s="51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1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 x14ac:dyDescent="0.2">
      <c r="A112" s="33" t="str">
        <f>IF(Tabela1768[[#This Row],[Código]]="IBOV","^BVSP",IF(Tabela1768[[#This Row],[Código]]="","",CONCATENATE(LEFT(Tabela1768[[#This Row],[Código]],6),".SA")))</f>
        <v/>
      </c>
      <c r="H112" s="51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1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 x14ac:dyDescent="0.2">
      <c r="A113" s="33"/>
      <c r="H113" s="51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P113" s="3" t="s">
        <v>984</v>
      </c>
      <c r="Q113" s="10" t="str">
        <f t="shared" ref="Q113:Q131" si="11">IF(A117="","",C117)</f>
        <v/>
      </c>
      <c r="R113" s="51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 x14ac:dyDescent="0.2">
      <c r="A114" s="33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1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 x14ac:dyDescent="0.2">
      <c r="A115" s="33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1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 x14ac:dyDescent="0.2">
      <c r="A116" s="33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1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 x14ac:dyDescent="0.2">
      <c r="A117" s="33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1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 x14ac:dyDescent="0.2">
      <c r="A118" s="33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1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 x14ac:dyDescent="0.2">
      <c r="A119" s="33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1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 x14ac:dyDescent="0.2">
      <c r="A120" s="33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1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 x14ac:dyDescent="0.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1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 x14ac:dyDescent="0.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1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 x14ac:dyDescent="0.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1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 x14ac:dyDescent="0.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1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 x14ac:dyDescent="0.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1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 x14ac:dyDescent="0.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1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 x14ac:dyDescent="0.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1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 x14ac:dyDescent="0.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1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 x14ac:dyDescent="0.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1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 x14ac:dyDescent="0.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1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 x14ac:dyDescent="0.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1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 x14ac:dyDescent="0.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1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 x14ac:dyDescent="0.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1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 x14ac:dyDescent="0.2">
      <c r="A134" s="33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1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 x14ac:dyDescent="0.2">
      <c r="A135" s="33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1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 x14ac:dyDescent="0.2">
      <c r="A136" s="33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1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 x14ac:dyDescent="0.2">
      <c r="A137" s="33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1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 x14ac:dyDescent="0.2">
      <c r="A138" s="33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1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 x14ac:dyDescent="0.2">
      <c r="A139" s="33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1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 x14ac:dyDescent="0.2">
      <c r="A140" s="33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1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 x14ac:dyDescent="0.2">
      <c r="A141" s="33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1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 x14ac:dyDescent="0.2">
      <c r="A142" s="33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1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 x14ac:dyDescent="0.2">
      <c r="A143" s="33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1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 x14ac:dyDescent="0.2">
      <c r="A144" s="33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1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 x14ac:dyDescent="0.2">
      <c r="A145" s="33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1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 x14ac:dyDescent="0.2">
      <c r="A146" s="33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1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 x14ac:dyDescent="0.2">
      <c r="A147" s="33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1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 x14ac:dyDescent="0.2">
      <c r="A148" s="33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1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 x14ac:dyDescent="0.2">
      <c r="A149" s="33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1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 x14ac:dyDescent="0.2">
      <c r="A150" s="33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1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 x14ac:dyDescent="0.2">
      <c r="A151" s="33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1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 x14ac:dyDescent="0.2">
      <c r="A152" s="33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1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 x14ac:dyDescent="0.2">
      <c r="A153" s="33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1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 x14ac:dyDescent="0.2">
      <c r="A154" s="33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1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 x14ac:dyDescent="0.2">
      <c r="A155" s="33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1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 x14ac:dyDescent="0.2">
      <c r="A156" s="33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1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 x14ac:dyDescent="0.2">
      <c r="A157" s="33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1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 x14ac:dyDescent="0.2">
      <c r="A158" s="33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1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 x14ac:dyDescent="0.2">
      <c r="A159" s="33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 x14ac:dyDescent="0.2">
      <c r="A160" s="33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 x14ac:dyDescent="0.2">
      <c r="A161" s="33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 x14ac:dyDescent="0.2">
      <c r="A162" s="33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 x14ac:dyDescent="0.2">
      <c r="A163" s="33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 x14ac:dyDescent="0.2">
      <c r="A164" s="33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 x14ac:dyDescent="0.2">
      <c r="A165" s="33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 x14ac:dyDescent="0.2">
      <c r="A166" s="33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 x14ac:dyDescent="0.2">
      <c r="A167" s="33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 x14ac:dyDescent="0.2">
      <c r="A168" s="33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 x14ac:dyDescent="0.2">
      <c r="A169" s="33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 x14ac:dyDescent="0.2">
      <c r="A170" s="33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 x14ac:dyDescent="0.2">
      <c r="A171" s="33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 x14ac:dyDescent="0.2">
      <c r="A172" s="33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workbookViewId="0">
      <selection activeCell="S10" sqref="S10"/>
    </sheetView>
  </sheetViews>
  <sheetFormatPr defaultRowHeight="11.25" x14ac:dyDescent="0.2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 x14ac:dyDescent="0.2">
      <c r="A1" s="32" t="s">
        <v>314</v>
      </c>
      <c r="B1" s="70" t="s">
        <v>401</v>
      </c>
      <c r="C1" s="70" t="s">
        <v>402</v>
      </c>
      <c r="D1" s="70" t="s">
        <v>403</v>
      </c>
      <c r="E1" s="31" t="s">
        <v>393</v>
      </c>
      <c r="F1" s="71" t="s">
        <v>317</v>
      </c>
      <c r="G1" s="71" t="s">
        <v>315</v>
      </c>
      <c r="H1" s="71" t="s">
        <v>316</v>
      </c>
      <c r="I1" s="71" t="s">
        <v>404</v>
      </c>
      <c r="J1" s="12" t="s">
        <v>405</v>
      </c>
      <c r="K1" s="65" t="s">
        <v>394</v>
      </c>
      <c r="L1" s="66" t="s">
        <v>395</v>
      </c>
      <c r="M1" s="66" t="s">
        <v>396</v>
      </c>
      <c r="N1" s="62" t="s">
        <v>17</v>
      </c>
    </row>
    <row r="2" spans="1:19" x14ac:dyDescent="0.2">
      <c r="A2" s="63">
        <v>41645</v>
      </c>
      <c r="B2" s="16">
        <f>DAY(Table4[Data Liquidação])</f>
        <v>6</v>
      </c>
      <c r="C2" s="16">
        <f>MONTH(Table4[Data Liquidação])</f>
        <v>1</v>
      </c>
      <c r="D2" s="16">
        <f>YEAR(Table4[Data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f>
        <v>9.400599999999999</v>
      </c>
      <c r="M2" s="67">
        <f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f>
        <v>0</v>
      </c>
      <c r="N2" s="18" t="str">
        <f>IF(Table4[Lucro p/ Ação]&gt;0,Table4[Lucro p/ Ação]/Table4[Preço Médio],"")</f>
        <v/>
      </c>
    </row>
    <row r="3" spans="1:19" x14ac:dyDescent="0.2">
      <c r="A3" s="63">
        <v>41673</v>
      </c>
      <c r="B3" s="16">
        <f>DAY(Table4[Data Liquidação])</f>
        <v>3</v>
      </c>
      <c r="C3" s="16">
        <f>MONTH(Table4[Data Liquidação])</f>
        <v>2</v>
      </c>
      <c r="D3" s="16">
        <f>YEAR(Table4[Data Liquidação])</f>
        <v>2014</v>
      </c>
      <c r="E3" s="99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f>
        <v>0.52643333333333331</v>
      </c>
      <c r="M3" s="59">
        <f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f>
        <v>0</v>
      </c>
      <c r="N3" s="22" t="str">
        <f>IF(Table4[Lucro p/ Ação]&gt;0,Table4[Lucro p/ Ação]/Table4[Preço Médio],"")</f>
        <v/>
      </c>
      <c r="Q3" s="53"/>
      <c r="R3" s="18"/>
      <c r="S3" s="64"/>
    </row>
    <row r="4" spans="1:19" x14ac:dyDescent="0.2">
      <c r="A4" s="51" t="s">
        <v>318</v>
      </c>
      <c r="B4" s="10"/>
      <c r="C4" s="10"/>
      <c r="D4" s="10"/>
      <c r="E4" s="10"/>
      <c r="F4" s="73">
        <f>SUBTOTAL(109,Table4[Aplicação])</f>
        <v>1255.92</v>
      </c>
      <c r="G4" s="73">
        <f>SUBTOTAL(105,Table4[Taxas])</f>
        <v>0</v>
      </c>
      <c r="H4" s="73">
        <f>SUBTOTAL(109,Table4[Resgates])</f>
        <v>0</v>
      </c>
      <c r="I4" s="73">
        <f>SUBTOTAL(109,Table4[Dividendo])</f>
        <v>0</v>
      </c>
      <c r="J4" s="7">
        <f>SUBTOTAL(109,Table4[JPC])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 x14ac:dyDescent="0.2">
      <c r="Q10" s="3">
        <v>3600</v>
      </c>
      <c r="R10" s="53">
        <v>0.5</v>
      </c>
      <c r="S10" s="3">
        <v>10</v>
      </c>
    </row>
    <row r="11" spans="1:19" x14ac:dyDescent="0.2">
      <c r="R11" s="100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workbookViewId="0">
      <selection activeCell="E6" sqref="E6"/>
    </sheetView>
  </sheetViews>
  <sheetFormatPr defaultRowHeight="15" x14ac:dyDescent="0.2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 x14ac:dyDescent="0.25">
      <c r="B3" s="1" t="s">
        <v>11</v>
      </c>
    </row>
    <row r="4" spans="1:7" x14ac:dyDescent="0.25">
      <c r="A4" s="1" t="s">
        <v>878</v>
      </c>
      <c r="B4" t="s">
        <v>397</v>
      </c>
      <c r="C4" t="s">
        <v>398</v>
      </c>
      <c r="D4" t="s">
        <v>406</v>
      </c>
      <c r="E4" t="s">
        <v>407</v>
      </c>
      <c r="F4" t="s">
        <v>399</v>
      </c>
      <c r="G4" t="s">
        <v>400</v>
      </c>
    </row>
    <row r="5" spans="1:7" x14ac:dyDescent="0.25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 x14ac:dyDescent="0.25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 x14ac:dyDescent="0.25">
      <c r="A7" s="2" t="s">
        <v>879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workbookViewId="0">
      <selection activeCell="I9" sqref="I9"/>
    </sheetView>
  </sheetViews>
  <sheetFormatPr defaultRowHeight="15" x14ac:dyDescent="0.2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</cols>
  <sheetData>
    <row r="1" spans="1:9" x14ac:dyDescent="0.25">
      <c r="A1" s="103" t="s">
        <v>1454</v>
      </c>
      <c r="B1" s="103" t="s">
        <v>1455</v>
      </c>
      <c r="C1" s="103" t="s">
        <v>317</v>
      </c>
      <c r="D1" s="103" t="s">
        <v>53</v>
      </c>
      <c r="E1" s="105">
        <v>0.2</v>
      </c>
      <c r="F1" s="105">
        <v>0.8</v>
      </c>
      <c r="G1" s="106">
        <v>0.47</v>
      </c>
    </row>
    <row r="2" spans="1:9" x14ac:dyDescent="0.25">
      <c r="A2">
        <v>1</v>
      </c>
      <c r="B2" s="104">
        <v>1000</v>
      </c>
      <c r="C2" s="76">
        <f>SUM($B$2:B2)</f>
        <v>1000</v>
      </c>
      <c r="D2" s="76">
        <f>C2*85%</f>
        <v>850</v>
      </c>
      <c r="E2" s="76">
        <f>D2*20%</f>
        <v>170</v>
      </c>
      <c r="F2" s="76">
        <f>D2-E2</f>
        <v>680</v>
      </c>
      <c r="G2">
        <f>F2/$G$1-MOD(F2/$G$1,100)</f>
        <v>1400</v>
      </c>
      <c r="H2" s="76">
        <f>SUM(F$2:F2)</f>
        <v>680</v>
      </c>
      <c r="I2" s="107">
        <f>SUM(G$2:G2)</f>
        <v>1400</v>
      </c>
    </row>
    <row r="3" spans="1:9" x14ac:dyDescent="0.25">
      <c r="A3">
        <v>2</v>
      </c>
      <c r="B3" s="104">
        <f>B2</f>
        <v>1000</v>
      </c>
      <c r="C3" s="76">
        <f>SUM($B$2:B3)+SUM(E$2:E2)</f>
        <v>2170</v>
      </c>
      <c r="D3" s="76">
        <f t="shared" ref="D3:D22" si="0">C3*85%</f>
        <v>1844.5</v>
      </c>
      <c r="E3" s="76">
        <f t="shared" ref="E3:E22" si="1">D3*20%</f>
        <v>368.90000000000003</v>
      </c>
      <c r="F3" s="76">
        <f t="shared" ref="F3:F22" si="2">D3-E3</f>
        <v>1475.6</v>
      </c>
      <c r="G3">
        <f t="shared" ref="G3:G22" si="3">F3/$G$1-MOD(F3/$G$1,100)</f>
        <v>3100</v>
      </c>
      <c r="H3" s="76">
        <f>SUM(F$2:F3)</f>
        <v>2155.6</v>
      </c>
      <c r="I3" s="107">
        <f>SUM(G$2:G3)</f>
        <v>4500</v>
      </c>
    </row>
    <row r="4" spans="1:9" x14ac:dyDescent="0.25">
      <c r="A4">
        <v>3</v>
      </c>
      <c r="B4" s="104">
        <f t="shared" ref="B4:B23" si="4">B3</f>
        <v>1000</v>
      </c>
      <c r="C4" s="76">
        <f>SUM($B$2:B4)+SUM(E$2:E3)</f>
        <v>3538.9</v>
      </c>
      <c r="D4" s="76">
        <f t="shared" si="0"/>
        <v>3008.0650000000001</v>
      </c>
      <c r="E4" s="76">
        <f t="shared" si="1"/>
        <v>601.61300000000006</v>
      </c>
      <c r="F4" s="76">
        <f t="shared" si="2"/>
        <v>2406.4520000000002</v>
      </c>
      <c r="G4">
        <f t="shared" si="3"/>
        <v>5100</v>
      </c>
      <c r="H4" s="76">
        <f>SUM(F$2:F4)</f>
        <v>4562.0519999999997</v>
      </c>
      <c r="I4" s="107">
        <f>SUM(G$2:G4)</f>
        <v>9600</v>
      </c>
    </row>
    <row r="5" spans="1:9" x14ac:dyDescent="0.25">
      <c r="A5">
        <v>4</v>
      </c>
      <c r="B5" s="104">
        <f t="shared" si="4"/>
        <v>1000</v>
      </c>
      <c r="C5" s="76">
        <f>SUM($B$2:B5)+SUM(E$2:E4)</f>
        <v>5140.5129999999999</v>
      </c>
      <c r="D5" s="76">
        <f t="shared" si="0"/>
        <v>4369.4360500000003</v>
      </c>
      <c r="E5" s="76">
        <f t="shared" si="1"/>
        <v>873.8872100000001</v>
      </c>
      <c r="F5" s="76">
        <f t="shared" si="2"/>
        <v>3495.5488400000004</v>
      </c>
      <c r="G5">
        <f t="shared" si="3"/>
        <v>7400</v>
      </c>
      <c r="H5" s="76">
        <f>SUM(F$2:F5)</f>
        <v>8057.6008400000001</v>
      </c>
      <c r="I5" s="107">
        <f>SUM(G$2:G5)</f>
        <v>17000</v>
      </c>
    </row>
    <row r="6" spans="1:9" x14ac:dyDescent="0.25">
      <c r="A6">
        <v>5</v>
      </c>
      <c r="B6" s="104">
        <f t="shared" si="4"/>
        <v>1000</v>
      </c>
      <c r="C6" s="76">
        <f>SUM($B$2:B6)+SUM(E$2:E5)</f>
        <v>7014.4002099999998</v>
      </c>
      <c r="D6" s="76">
        <f t="shared" si="0"/>
        <v>5962.2401784999993</v>
      </c>
      <c r="E6" s="76">
        <f t="shared" si="1"/>
        <v>1192.4480357</v>
      </c>
      <c r="F6" s="76">
        <f t="shared" si="2"/>
        <v>4769.7921427999991</v>
      </c>
      <c r="G6">
        <f t="shared" si="3"/>
        <v>10100</v>
      </c>
      <c r="H6" s="76">
        <f>SUM(F$2:F6)</f>
        <v>12827.3929828</v>
      </c>
      <c r="I6" s="107">
        <f>SUM(G$2:G6)</f>
        <v>27100</v>
      </c>
    </row>
    <row r="7" spans="1:9" x14ac:dyDescent="0.25">
      <c r="A7">
        <v>6</v>
      </c>
      <c r="B7" s="104">
        <f t="shared" si="4"/>
        <v>1000</v>
      </c>
      <c r="C7" s="76">
        <f>SUM($B$2:B7)+SUM(E$2:E6)</f>
        <v>9206.8482456999991</v>
      </c>
      <c r="D7" s="76">
        <f t="shared" si="0"/>
        <v>7825.8210088449987</v>
      </c>
      <c r="E7" s="76">
        <f t="shared" si="1"/>
        <v>1565.1642017689999</v>
      </c>
      <c r="F7" s="76">
        <f t="shared" si="2"/>
        <v>6260.6568070759986</v>
      </c>
      <c r="G7">
        <f t="shared" si="3"/>
        <v>13300</v>
      </c>
      <c r="H7" s="76">
        <f>SUM(F$2:F7)</f>
        <v>19088.049789876</v>
      </c>
      <c r="I7" s="107">
        <f>SUM(G$2:G7)</f>
        <v>40400</v>
      </c>
    </row>
    <row r="8" spans="1:9" x14ac:dyDescent="0.25">
      <c r="A8">
        <v>7</v>
      </c>
      <c r="B8" s="104">
        <f t="shared" si="4"/>
        <v>1000</v>
      </c>
      <c r="C8" s="76">
        <f>SUM($B$2:B8)+SUM(E$2:E7)</f>
        <v>11772.012447469</v>
      </c>
      <c r="D8" s="76">
        <f t="shared" si="0"/>
        <v>10006.21058034865</v>
      </c>
      <c r="E8" s="76">
        <f t="shared" si="1"/>
        <v>2001.2421160697302</v>
      </c>
      <c r="F8" s="76">
        <f t="shared" si="2"/>
        <v>8004.9684642789198</v>
      </c>
      <c r="G8">
        <f t="shared" si="3"/>
        <v>17000</v>
      </c>
      <c r="H8" s="76">
        <f>SUM(F$2:F8)</f>
        <v>27093.018254154922</v>
      </c>
      <c r="I8" s="107">
        <f>SUM(G$2:G8)</f>
        <v>57400</v>
      </c>
    </row>
    <row r="9" spans="1:9" x14ac:dyDescent="0.25">
      <c r="A9">
        <v>8</v>
      </c>
      <c r="B9" s="104">
        <f t="shared" si="4"/>
        <v>1000</v>
      </c>
      <c r="C9" s="76">
        <f>SUM($B$2:B9)+SUM(E$2:E8)</f>
        <v>14773.254563538731</v>
      </c>
      <c r="D9" s="76">
        <f t="shared" si="0"/>
        <v>12557.26637900792</v>
      </c>
      <c r="E9" s="76">
        <f t="shared" si="1"/>
        <v>2511.4532758015844</v>
      </c>
      <c r="F9" s="76">
        <f t="shared" si="2"/>
        <v>10045.813103206336</v>
      </c>
      <c r="G9">
        <f t="shared" si="3"/>
        <v>21300</v>
      </c>
      <c r="H9" s="76">
        <f>SUM(F$2:F9)</f>
        <v>37138.831357361254</v>
      </c>
      <c r="I9" s="107">
        <f>SUM(G$2:G9)</f>
        <v>78700</v>
      </c>
    </row>
    <row r="10" spans="1:9" x14ac:dyDescent="0.25">
      <c r="A10">
        <v>9</v>
      </c>
      <c r="B10" s="104">
        <v>0</v>
      </c>
      <c r="C10" s="76">
        <f>SUM($B$2:B10)+SUM(E$2:E9)</f>
        <v>17284.707839340314</v>
      </c>
      <c r="D10" s="76">
        <f t="shared" si="0"/>
        <v>14692.001663439267</v>
      </c>
      <c r="E10" s="76">
        <f t="shared" si="1"/>
        <v>2938.4003326878537</v>
      </c>
      <c r="F10" s="76">
        <f t="shared" si="2"/>
        <v>11753.601330751413</v>
      </c>
      <c r="G10">
        <f t="shared" si="3"/>
        <v>25000</v>
      </c>
      <c r="H10" s="76">
        <f>SUM(F$2:F10)</f>
        <v>48892.432688112669</v>
      </c>
      <c r="I10" s="107">
        <f>SUM(G$2:G10)</f>
        <v>103700</v>
      </c>
    </row>
    <row r="11" spans="1:9" x14ac:dyDescent="0.25">
      <c r="A11">
        <v>10</v>
      </c>
      <c r="B11" s="104">
        <f t="shared" si="4"/>
        <v>0</v>
      </c>
      <c r="C11" s="76">
        <f>SUM($B$2:B11)+SUM(E$2:E10)</f>
        <v>20223.108172028169</v>
      </c>
      <c r="D11" s="76">
        <f t="shared" si="0"/>
        <v>17189.641946223943</v>
      </c>
      <c r="E11" s="76">
        <f t="shared" si="1"/>
        <v>3437.9283892447888</v>
      </c>
      <c r="F11" s="76">
        <f t="shared" si="2"/>
        <v>13751.713556979154</v>
      </c>
      <c r="G11">
        <f t="shared" si="3"/>
        <v>29200</v>
      </c>
      <c r="H11" s="76">
        <f>SUM(F$2:F11)</f>
        <v>62644.146245091819</v>
      </c>
      <c r="I11" s="107">
        <f>SUM(G$2:G11)</f>
        <v>132900</v>
      </c>
    </row>
    <row r="12" spans="1:9" x14ac:dyDescent="0.25">
      <c r="A12">
        <v>11</v>
      </c>
      <c r="B12" s="104">
        <f t="shared" si="4"/>
        <v>0</v>
      </c>
      <c r="C12" s="76">
        <f>SUM($B$2:B12)+SUM(E$2:E11)</f>
        <v>23661.036561272958</v>
      </c>
      <c r="D12" s="76">
        <f t="shared" si="0"/>
        <v>20111.881077082013</v>
      </c>
      <c r="E12" s="76">
        <f t="shared" si="1"/>
        <v>4022.3762154164028</v>
      </c>
      <c r="F12" s="76">
        <f t="shared" si="2"/>
        <v>16089.504861665609</v>
      </c>
      <c r="G12">
        <f t="shared" si="3"/>
        <v>34200</v>
      </c>
      <c r="H12" s="76">
        <f>SUM(F$2:F12)</f>
        <v>78733.651106757432</v>
      </c>
      <c r="I12" s="107">
        <f>SUM(G$2:G12)</f>
        <v>167100</v>
      </c>
    </row>
    <row r="13" spans="1:9" x14ac:dyDescent="0.25">
      <c r="A13">
        <v>12</v>
      </c>
      <c r="B13" s="104">
        <f t="shared" si="4"/>
        <v>0</v>
      </c>
      <c r="C13" s="76">
        <f>SUM($B$2:B13)+SUM(E$2:E12)</f>
        <v>27683.412776689362</v>
      </c>
      <c r="D13" s="76">
        <f t="shared" si="0"/>
        <v>23530.900860185957</v>
      </c>
      <c r="E13" s="76">
        <f t="shared" si="1"/>
        <v>4706.1801720371914</v>
      </c>
      <c r="F13" s="76">
        <f t="shared" si="2"/>
        <v>18824.720688148765</v>
      </c>
      <c r="G13">
        <f t="shared" si="3"/>
        <v>40000</v>
      </c>
      <c r="H13" s="76">
        <f>SUM(F$2:F13)</f>
        <v>97558.371794906197</v>
      </c>
      <c r="I13" s="107">
        <f>SUM(G$2:G13)</f>
        <v>207100</v>
      </c>
    </row>
    <row r="14" spans="1:9" x14ac:dyDescent="0.25">
      <c r="A14">
        <v>13</v>
      </c>
      <c r="B14" s="104">
        <f t="shared" si="4"/>
        <v>0</v>
      </c>
      <c r="C14" s="76">
        <f>SUM($B$2:B14)+SUM(E$2:E13)</f>
        <v>32389.592948726553</v>
      </c>
      <c r="D14" s="76">
        <f t="shared" si="0"/>
        <v>27531.154006417568</v>
      </c>
      <c r="E14" s="76">
        <f t="shared" si="1"/>
        <v>5506.2308012835138</v>
      </c>
      <c r="F14" s="76">
        <f t="shared" si="2"/>
        <v>22024.923205134055</v>
      </c>
      <c r="G14">
        <f t="shared" si="3"/>
        <v>46800</v>
      </c>
      <c r="H14" s="76">
        <f>SUM(F$2:F14)</f>
        <v>119583.29500004025</v>
      </c>
      <c r="I14" s="107">
        <f>SUM(G$2:G14)</f>
        <v>253900</v>
      </c>
    </row>
    <row r="15" spans="1:9" x14ac:dyDescent="0.25">
      <c r="A15">
        <v>14</v>
      </c>
      <c r="B15" s="104">
        <f t="shared" si="4"/>
        <v>0</v>
      </c>
      <c r="C15" s="76">
        <f>SUM($B$2:B15)+SUM(E$2:E14)</f>
        <v>37895.823750010066</v>
      </c>
      <c r="D15" s="76">
        <f t="shared" si="0"/>
        <v>32211.450187508555</v>
      </c>
      <c r="E15" s="76">
        <f t="shared" si="1"/>
        <v>6442.2900375017116</v>
      </c>
      <c r="F15" s="76">
        <f t="shared" si="2"/>
        <v>25769.160150006843</v>
      </c>
      <c r="G15">
        <f t="shared" si="3"/>
        <v>54800</v>
      </c>
      <c r="H15" s="76">
        <f>SUM(F$2:F15)</f>
        <v>145352.45515004708</v>
      </c>
      <c r="I15" s="107">
        <f>SUM(G$2:G15)</f>
        <v>308700</v>
      </c>
    </row>
    <row r="16" spans="1:9" x14ac:dyDescent="0.25">
      <c r="A16">
        <v>15</v>
      </c>
      <c r="B16" s="104">
        <f t="shared" si="4"/>
        <v>0</v>
      </c>
      <c r="C16" s="76">
        <f>SUM($B$2:B16)+SUM(E$2:E15)</f>
        <v>44338.113787511778</v>
      </c>
      <c r="D16" s="76">
        <f t="shared" si="0"/>
        <v>37687.396719385011</v>
      </c>
      <c r="E16" s="76">
        <f t="shared" si="1"/>
        <v>7537.479343877003</v>
      </c>
      <c r="F16" s="76">
        <f t="shared" si="2"/>
        <v>30149.917375508008</v>
      </c>
      <c r="G16">
        <f t="shared" si="3"/>
        <v>64100</v>
      </c>
      <c r="H16" s="76">
        <f>SUM(F$2:F16)</f>
        <v>175502.37252555508</v>
      </c>
      <c r="I16" s="107">
        <f>SUM(G$2:G16)</f>
        <v>372800</v>
      </c>
    </row>
    <row r="17" spans="1:9" x14ac:dyDescent="0.25">
      <c r="A17">
        <v>16</v>
      </c>
      <c r="B17" s="104">
        <f t="shared" si="4"/>
        <v>0</v>
      </c>
      <c r="C17" s="76">
        <f>SUM($B$2:B17)+SUM(E$2:E16)</f>
        <v>51875.593131388785</v>
      </c>
      <c r="D17" s="76">
        <f t="shared" si="0"/>
        <v>44094.254161680466</v>
      </c>
      <c r="E17" s="76">
        <f t="shared" si="1"/>
        <v>8818.8508323360929</v>
      </c>
      <c r="F17" s="76">
        <f t="shared" si="2"/>
        <v>35275.403329344372</v>
      </c>
      <c r="G17">
        <f t="shared" si="3"/>
        <v>75000</v>
      </c>
      <c r="H17" s="76">
        <f>SUM(F$2:F17)</f>
        <v>210777.77585489946</v>
      </c>
      <c r="I17" s="107">
        <f>SUM(G$2:G17)</f>
        <v>447800</v>
      </c>
    </row>
    <row r="18" spans="1:9" x14ac:dyDescent="0.25">
      <c r="A18">
        <v>17</v>
      </c>
      <c r="B18" s="104">
        <f t="shared" si="4"/>
        <v>0</v>
      </c>
      <c r="C18" s="76">
        <f>SUM($B$2:B18)+SUM(E$2:E17)</f>
        <v>60694.44396372488</v>
      </c>
      <c r="D18" s="76">
        <f t="shared" si="0"/>
        <v>51590.27736916615</v>
      </c>
      <c r="E18" s="76">
        <f t="shared" si="1"/>
        <v>10318.05547383323</v>
      </c>
      <c r="F18" s="76">
        <f t="shared" si="2"/>
        <v>41272.221895332921</v>
      </c>
      <c r="G18">
        <f t="shared" si="3"/>
        <v>87800</v>
      </c>
      <c r="H18" s="76">
        <f>SUM(F$2:F18)</f>
        <v>252049.99775023237</v>
      </c>
      <c r="I18" s="107">
        <f>SUM(G$2:G18)</f>
        <v>535600</v>
      </c>
    </row>
    <row r="19" spans="1:9" x14ac:dyDescent="0.25">
      <c r="A19">
        <v>18</v>
      </c>
      <c r="B19" s="104">
        <f t="shared" si="4"/>
        <v>0</v>
      </c>
      <c r="C19" s="76">
        <f>SUM($B$2:B19)+SUM(E$2:E18)</f>
        <v>71012.499437558115</v>
      </c>
      <c r="D19" s="76">
        <f t="shared" si="0"/>
        <v>60360.624521924394</v>
      </c>
      <c r="E19" s="76">
        <f t="shared" si="1"/>
        <v>12072.12490438488</v>
      </c>
      <c r="F19" s="76">
        <f t="shared" si="2"/>
        <v>48288.499617539514</v>
      </c>
      <c r="G19">
        <f t="shared" si="3"/>
        <v>102700</v>
      </c>
      <c r="H19" s="76">
        <f>SUM(F$2:F19)</f>
        <v>300338.49736777187</v>
      </c>
      <c r="I19" s="107">
        <f>SUM(G$2:G19)</f>
        <v>638300</v>
      </c>
    </row>
    <row r="20" spans="1:9" x14ac:dyDescent="0.25">
      <c r="A20">
        <v>19</v>
      </c>
      <c r="B20" s="104">
        <f t="shared" si="4"/>
        <v>0</v>
      </c>
      <c r="C20" s="76">
        <f>SUM($B$2:B20)+SUM(E$2:E19)</f>
        <v>83084.624341942981</v>
      </c>
      <c r="D20" s="76">
        <f t="shared" si="0"/>
        <v>70621.930690651527</v>
      </c>
      <c r="E20" s="76">
        <f t="shared" si="1"/>
        <v>14124.386138130307</v>
      </c>
      <c r="F20" s="76">
        <f t="shared" si="2"/>
        <v>56497.54455252122</v>
      </c>
      <c r="G20">
        <f t="shared" si="3"/>
        <v>120200</v>
      </c>
      <c r="H20" s="76">
        <f>SUM(F$2:F20)</f>
        <v>356836.04192029306</v>
      </c>
      <c r="I20" s="107">
        <f>SUM(G$2:G20)</f>
        <v>758500</v>
      </c>
    </row>
    <row r="21" spans="1:9" x14ac:dyDescent="0.25">
      <c r="A21">
        <v>20</v>
      </c>
      <c r="B21" s="104">
        <f t="shared" si="4"/>
        <v>0</v>
      </c>
      <c r="C21" s="76">
        <f>SUM($B$2:B21)+SUM(E$2:E20)</f>
        <v>97209.010480073281</v>
      </c>
      <c r="D21" s="76">
        <f t="shared" si="0"/>
        <v>82627.65890806228</v>
      </c>
      <c r="E21" s="76">
        <f t="shared" si="1"/>
        <v>16525.531781612455</v>
      </c>
      <c r="F21" s="76">
        <f t="shared" si="2"/>
        <v>66102.127126449821</v>
      </c>
      <c r="G21">
        <f t="shared" si="3"/>
        <v>140600</v>
      </c>
      <c r="H21" s="76">
        <f>SUM(F$2:F21)</f>
        <v>422938.1690467429</v>
      </c>
      <c r="I21" s="107">
        <f>SUM(G$2:G21)</f>
        <v>899100</v>
      </c>
    </row>
    <row r="22" spans="1:9" x14ac:dyDescent="0.25">
      <c r="A22">
        <v>21</v>
      </c>
      <c r="B22" s="104">
        <f t="shared" si="4"/>
        <v>0</v>
      </c>
      <c r="C22" s="76">
        <f>SUM($B$2:B22)+SUM(E$2:E21)</f>
        <v>113734.54226168574</v>
      </c>
      <c r="D22" s="76">
        <f t="shared" si="0"/>
        <v>96674.360922432883</v>
      </c>
      <c r="E22" s="76">
        <f t="shared" si="1"/>
        <v>19334.872184486576</v>
      </c>
      <c r="F22" s="76">
        <f t="shared" si="2"/>
        <v>77339.488737946303</v>
      </c>
      <c r="G22">
        <f t="shared" si="3"/>
        <v>164500</v>
      </c>
      <c r="H22" s="76">
        <f>SUM(F$2:F22)</f>
        <v>500277.65778468922</v>
      </c>
      <c r="I22" s="107">
        <f>SUM(G$2:G22)</f>
        <v>1063600</v>
      </c>
    </row>
    <row r="23" spans="1:9" x14ac:dyDescent="0.25">
      <c r="B23" s="76">
        <f>SUM(B$2:B22)/2</f>
        <v>4000</v>
      </c>
      <c r="F23" s="104">
        <f>SUM(F$2:F22)</f>
        <v>500277.65778468922</v>
      </c>
      <c r="G23" s="107">
        <f>SUM(G$2:G22)</f>
        <v>1063600</v>
      </c>
      <c r="H23">
        <f t="shared" ref="H15:H23" si="5">G23*0.1</f>
        <v>106360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selection activeCell="I2" sqref="I2"/>
    </sheetView>
  </sheetViews>
  <sheetFormatPr defaultRowHeight="15" x14ac:dyDescent="0.2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 x14ac:dyDescent="0.25">
      <c r="A1" s="103" t="s">
        <v>1456</v>
      </c>
      <c r="B1" s="103" t="s">
        <v>1457</v>
      </c>
      <c r="C1" s="103" t="s">
        <v>83</v>
      </c>
      <c r="D1" s="103" t="s">
        <v>1459</v>
      </c>
      <c r="E1" s="103" t="s">
        <v>1460</v>
      </c>
      <c r="F1" s="103" t="s">
        <v>1461</v>
      </c>
      <c r="G1" s="103" t="s">
        <v>1462</v>
      </c>
      <c r="H1" s="103" t="s">
        <v>1463</v>
      </c>
      <c r="I1">
        <v>4</v>
      </c>
    </row>
    <row r="2" spans="1:9" x14ac:dyDescent="0.25">
      <c r="A2" t="s">
        <v>1458</v>
      </c>
      <c r="B2" s="104">
        <v>0.21</v>
      </c>
      <c r="C2" s="104">
        <v>15</v>
      </c>
      <c r="D2" s="104">
        <v>14.97</v>
      </c>
      <c r="E2" s="104">
        <f>IF(D2&gt;C2,0,B2)</f>
        <v>0.21</v>
      </c>
      <c r="F2" s="76">
        <f>B2*2</f>
        <v>0.42</v>
      </c>
      <c r="G2" s="76">
        <f>C2+F2</f>
        <v>15.42</v>
      </c>
      <c r="H2" s="108">
        <f>G2/D2-1</f>
        <v>3.0060120240480881E-2</v>
      </c>
      <c r="I2" s="108">
        <f>H2/$I$1</f>
        <v>7.5150300601202202E-3</v>
      </c>
    </row>
    <row r="3" spans="1:9" x14ac:dyDescent="0.25">
      <c r="A3" t="s">
        <v>1464</v>
      </c>
      <c r="B3" s="104">
        <v>0.76</v>
      </c>
      <c r="C3" s="104">
        <v>30.18</v>
      </c>
      <c r="D3" s="104">
        <v>30.89</v>
      </c>
      <c r="E3" s="104">
        <f>IF(D3&gt;C3,0,B3)</f>
        <v>0</v>
      </c>
      <c r="F3" s="76">
        <f>B3*2</f>
        <v>1.52</v>
      </c>
      <c r="G3" s="76">
        <f>C3+F3</f>
        <v>31.7</v>
      </c>
      <c r="H3" s="108">
        <f>G3/D3-1</f>
        <v>2.6222078342505561E-2</v>
      </c>
      <c r="I3" s="108">
        <f t="shared" ref="I3:I4" si="0">H3/$I$1</f>
        <v>6.5555195856263904E-3</v>
      </c>
    </row>
    <row r="4" spans="1:9" x14ac:dyDescent="0.25">
      <c r="A4" t="s">
        <v>1465</v>
      </c>
      <c r="B4" s="104">
        <v>0.21</v>
      </c>
      <c r="C4" s="104">
        <v>31.18</v>
      </c>
      <c r="D4" s="104">
        <v>30.89</v>
      </c>
      <c r="E4" s="104">
        <f>IF(D4&gt;C4,0,B4)</f>
        <v>0.21</v>
      </c>
      <c r="F4" s="76">
        <f>B4*2</f>
        <v>0.42</v>
      </c>
      <c r="G4" s="76">
        <f>C4+F4</f>
        <v>31.6</v>
      </c>
      <c r="H4" s="108">
        <f>G4/D4-1</f>
        <v>2.2984784719974227E-2</v>
      </c>
      <c r="I4" s="108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1455</vt:i4>
      </vt:variant>
    </vt:vector>
  </HeadingPairs>
  <TitlesOfParts>
    <vt:vector size="1464" baseType="lpstr">
      <vt:lpstr>Patrimonio</vt:lpstr>
      <vt:lpstr>Cotacao</vt:lpstr>
      <vt:lpstr>Cotacao 2</vt:lpstr>
      <vt:lpstr>Cotacao 3</vt:lpstr>
      <vt:lpstr>Cotacao 4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Cotacao!DadosExternos_10</vt:lpstr>
      <vt:lpstr>'Cotacao 2'!DadosExternos_10</vt:lpstr>
      <vt:lpstr>'Cotacao 3'!DadosExternos_10</vt:lpstr>
      <vt:lpstr>'Cotacao 4'!DadosExternos_10</vt:lpstr>
      <vt:lpstr>Cotacao!DadosExternos_103</vt:lpstr>
      <vt:lpstr>'Cotacao 2'!DadosExternos_103</vt:lpstr>
      <vt:lpstr>'Cotacao 3'!DadosExternos_103</vt:lpstr>
      <vt:lpstr>'Cotacao 4'!DadosExternos_103</vt:lpstr>
      <vt:lpstr>Cotacao!DadosExternos_104</vt:lpstr>
      <vt:lpstr>'Cotacao 2'!DadosExternos_104</vt:lpstr>
      <vt:lpstr>'Cotacao 3'!DadosExternos_104</vt:lpstr>
      <vt:lpstr>'Cotacao 4'!DadosExternos_104</vt:lpstr>
      <vt:lpstr>Cotacao!DadosExternos_106</vt:lpstr>
      <vt:lpstr>'Cotacao 2'!DadosExternos_106</vt:lpstr>
      <vt:lpstr>'Cotacao 3'!DadosExternos_106</vt:lpstr>
      <vt:lpstr>'Cotacao 4'!DadosExternos_106</vt:lpstr>
      <vt:lpstr>Cotacao!DadosExternos_107</vt:lpstr>
      <vt:lpstr>'Cotacao 2'!DadosExternos_107</vt:lpstr>
      <vt:lpstr>'Cotacao 3'!DadosExternos_107</vt:lpstr>
      <vt:lpstr>'Cotacao 4'!DadosExternos_107</vt:lpstr>
      <vt:lpstr>Cotacao!DadosExternos_108</vt:lpstr>
      <vt:lpstr>'Cotacao 2'!DadosExternos_108</vt:lpstr>
      <vt:lpstr>'Cotacao 3'!DadosExternos_108</vt:lpstr>
      <vt:lpstr>'Cotacao 4'!DadosExternos_108</vt:lpstr>
      <vt:lpstr>Cotacao!DadosExternos_109</vt:lpstr>
      <vt:lpstr>'Cotacao 2'!DadosExternos_109</vt:lpstr>
      <vt:lpstr>'Cotacao 3'!DadosExternos_109</vt:lpstr>
      <vt:lpstr>'Cotacao 4'!DadosExternos_109</vt:lpstr>
      <vt:lpstr>Cotacao!DadosExternos_11</vt:lpstr>
      <vt:lpstr>'Cotacao 2'!DadosExternos_11</vt:lpstr>
      <vt:lpstr>'Cotacao 3'!DadosExternos_11</vt:lpstr>
      <vt:lpstr>'Cotacao 4'!DadosExternos_11</vt:lpstr>
      <vt:lpstr>Cotacao!DadosExternos_110</vt:lpstr>
      <vt:lpstr>'Cotacao 2'!DadosExternos_110</vt:lpstr>
      <vt:lpstr>'Cotacao 3'!DadosExternos_110</vt:lpstr>
      <vt:lpstr>'Cotacao 4'!DadosExternos_110</vt:lpstr>
      <vt:lpstr>Cotacao!DadosExternos_111</vt:lpstr>
      <vt:lpstr>'Cotacao 2'!DadosExternos_111</vt:lpstr>
      <vt:lpstr>'Cotacao 3'!DadosExternos_111</vt:lpstr>
      <vt:lpstr>'Cotacao 4'!DadosExternos_111</vt:lpstr>
      <vt:lpstr>Cotacao!DadosExternos_112</vt:lpstr>
      <vt:lpstr>'Cotacao 2'!DadosExternos_112</vt:lpstr>
      <vt:lpstr>'Cotacao 3'!DadosExternos_112</vt:lpstr>
      <vt:lpstr>'Cotacao 4'!DadosExternos_112</vt:lpstr>
      <vt:lpstr>Cotacao!DadosExternos_113</vt:lpstr>
      <vt:lpstr>'Cotacao 2'!DadosExternos_113</vt:lpstr>
      <vt:lpstr>'Cotacao 3'!DadosExternos_113</vt:lpstr>
      <vt:lpstr>'Cotacao 4'!DadosExternos_113</vt:lpstr>
      <vt:lpstr>Cotacao!DadosExternos_114</vt:lpstr>
      <vt:lpstr>'Cotacao 2'!DadosExternos_114</vt:lpstr>
      <vt:lpstr>'Cotacao 3'!DadosExternos_114</vt:lpstr>
      <vt:lpstr>'Cotacao 4'!DadosExternos_114</vt:lpstr>
      <vt:lpstr>Cotacao!DadosExternos_115</vt:lpstr>
      <vt:lpstr>'Cotacao 2'!DadosExternos_115</vt:lpstr>
      <vt:lpstr>'Cotacao 3'!DadosExternos_115</vt:lpstr>
      <vt:lpstr>'Cotacao 4'!DadosExternos_115</vt:lpstr>
      <vt:lpstr>Cotacao!DadosExternos_116</vt:lpstr>
      <vt:lpstr>'Cotacao 2'!DadosExternos_116</vt:lpstr>
      <vt:lpstr>'Cotacao 3'!DadosExternos_116</vt:lpstr>
      <vt:lpstr>'Cotacao 4'!DadosExternos_116</vt:lpstr>
      <vt:lpstr>Cotacao!DadosExternos_117</vt:lpstr>
      <vt:lpstr>'Cotacao 2'!DadosExternos_117</vt:lpstr>
      <vt:lpstr>'Cotacao 3'!DadosExternos_117</vt:lpstr>
      <vt:lpstr>'Cotacao 4'!DadosExternos_117</vt:lpstr>
      <vt:lpstr>Cotacao!DadosExternos_118</vt:lpstr>
      <vt:lpstr>'Cotacao 2'!DadosExternos_118</vt:lpstr>
      <vt:lpstr>'Cotacao 3'!DadosExternos_118</vt:lpstr>
      <vt:lpstr>'Cotacao 4'!DadosExternos_118</vt:lpstr>
      <vt:lpstr>Cotacao!DadosExternos_119</vt:lpstr>
      <vt:lpstr>'Cotacao 2'!DadosExternos_119</vt:lpstr>
      <vt:lpstr>'Cotacao 3'!DadosExternos_119</vt:lpstr>
      <vt:lpstr>'Cotacao 4'!DadosExternos_119</vt:lpstr>
      <vt:lpstr>Cotacao!DadosExternos_12</vt:lpstr>
      <vt:lpstr>'Cotacao 2'!DadosExternos_12</vt:lpstr>
      <vt:lpstr>'Cotacao 3'!DadosExternos_12</vt:lpstr>
      <vt:lpstr>'Cotacao 4'!DadosExternos_12</vt:lpstr>
      <vt:lpstr>Cotacao!DadosExternos_120</vt:lpstr>
      <vt:lpstr>'Cotacao 2'!DadosExternos_120</vt:lpstr>
      <vt:lpstr>'Cotacao 3'!DadosExternos_120</vt:lpstr>
      <vt:lpstr>'Cotacao 4'!DadosExternos_120</vt:lpstr>
      <vt:lpstr>Cotacao!DadosExternos_121</vt:lpstr>
      <vt:lpstr>'Cotacao 2'!DadosExternos_121</vt:lpstr>
      <vt:lpstr>'Cotacao 3'!DadosExternos_121</vt:lpstr>
      <vt:lpstr>'Cotacao 4'!DadosExternos_121</vt:lpstr>
      <vt:lpstr>Cotacao!DadosExternos_122</vt:lpstr>
      <vt:lpstr>'Cotacao 2'!DadosExternos_122</vt:lpstr>
      <vt:lpstr>'Cotacao 3'!DadosExternos_122</vt:lpstr>
      <vt:lpstr>'Cotacao 4'!DadosExternos_122</vt:lpstr>
      <vt:lpstr>Cotacao!DadosExternos_123</vt:lpstr>
      <vt:lpstr>'Cotacao 2'!DadosExternos_123</vt:lpstr>
      <vt:lpstr>'Cotacao 3'!DadosExternos_123</vt:lpstr>
      <vt:lpstr>'Cotacao 4'!DadosExternos_123</vt:lpstr>
      <vt:lpstr>Cotacao!DadosExternos_124</vt:lpstr>
      <vt:lpstr>'Cotacao 2'!DadosExternos_124</vt:lpstr>
      <vt:lpstr>'Cotacao 3'!DadosExternos_124</vt:lpstr>
      <vt:lpstr>'Cotacao 4'!DadosExternos_124</vt:lpstr>
      <vt:lpstr>Cotacao!DadosExternos_125</vt:lpstr>
      <vt:lpstr>'Cotacao 2'!DadosExternos_125</vt:lpstr>
      <vt:lpstr>'Cotacao 3'!DadosExternos_125</vt:lpstr>
      <vt:lpstr>'Cotacao 4'!DadosExternos_125</vt:lpstr>
      <vt:lpstr>Cotacao!DadosExternos_126</vt:lpstr>
      <vt:lpstr>'Cotacao 2'!DadosExternos_126</vt:lpstr>
      <vt:lpstr>'Cotacao 3'!DadosExternos_126</vt:lpstr>
      <vt:lpstr>'Cotacao 4'!DadosExternos_126</vt:lpstr>
      <vt:lpstr>Cotacao!DadosExternos_127</vt:lpstr>
      <vt:lpstr>'Cotacao 2'!DadosExternos_127</vt:lpstr>
      <vt:lpstr>'Cotacao 3'!DadosExternos_127</vt:lpstr>
      <vt:lpstr>'Cotacao 4'!DadosExternos_127</vt:lpstr>
      <vt:lpstr>Cotacao!DadosExternos_128</vt:lpstr>
      <vt:lpstr>'Cotacao 2'!DadosExternos_128</vt:lpstr>
      <vt:lpstr>'Cotacao 3'!DadosExternos_128</vt:lpstr>
      <vt:lpstr>'Cotacao 4'!DadosExternos_128</vt:lpstr>
      <vt:lpstr>Cotacao!DadosExternos_129</vt:lpstr>
      <vt:lpstr>'Cotacao 2'!DadosExternos_129</vt:lpstr>
      <vt:lpstr>'Cotacao 3'!DadosExternos_129</vt:lpstr>
      <vt:lpstr>'Cotacao 4'!DadosExternos_129</vt:lpstr>
      <vt:lpstr>Cotacao!DadosExternos_130</vt:lpstr>
      <vt:lpstr>'Cotacao 2'!DadosExternos_130</vt:lpstr>
      <vt:lpstr>'Cotacao 3'!DadosExternos_130</vt:lpstr>
      <vt:lpstr>'Cotacao 4'!DadosExternos_130</vt:lpstr>
      <vt:lpstr>Cotacao!DadosExternos_131</vt:lpstr>
      <vt:lpstr>'Cotacao 2'!DadosExternos_131</vt:lpstr>
      <vt:lpstr>'Cotacao 3'!DadosExternos_131</vt:lpstr>
      <vt:lpstr>'Cotacao 4'!DadosExternos_131</vt:lpstr>
      <vt:lpstr>Cotacao!DadosExternos_132</vt:lpstr>
      <vt:lpstr>'Cotacao 2'!DadosExternos_132</vt:lpstr>
      <vt:lpstr>'Cotacao 3'!DadosExternos_132</vt:lpstr>
      <vt:lpstr>'Cotacao 4'!DadosExternos_132</vt:lpstr>
      <vt:lpstr>Cotacao!DadosExternos_133</vt:lpstr>
      <vt:lpstr>'Cotacao 2'!DadosExternos_133</vt:lpstr>
      <vt:lpstr>'Cotacao 3'!DadosExternos_133</vt:lpstr>
      <vt:lpstr>'Cotacao 4'!DadosExternos_133</vt:lpstr>
      <vt:lpstr>Cotacao!DadosExternos_134</vt:lpstr>
      <vt:lpstr>'Cotacao 2'!DadosExternos_134</vt:lpstr>
      <vt:lpstr>'Cotacao 3'!DadosExternos_134</vt:lpstr>
      <vt:lpstr>'Cotacao 4'!DadosExternos_134</vt:lpstr>
      <vt:lpstr>Cotacao!DadosExternos_135</vt:lpstr>
      <vt:lpstr>'Cotacao 2'!DadosExternos_135</vt:lpstr>
      <vt:lpstr>'Cotacao 3'!DadosExternos_135</vt:lpstr>
      <vt:lpstr>'Cotacao 4'!DadosExternos_135</vt:lpstr>
      <vt:lpstr>Cotacao!DadosExternos_136</vt:lpstr>
      <vt:lpstr>'Cotacao 2'!DadosExternos_136</vt:lpstr>
      <vt:lpstr>'Cotacao 3'!DadosExternos_136</vt:lpstr>
      <vt:lpstr>'Cotacao 4'!DadosExternos_136</vt:lpstr>
      <vt:lpstr>Cotacao!DadosExternos_137</vt:lpstr>
      <vt:lpstr>'Cotacao 2'!DadosExternos_137</vt:lpstr>
      <vt:lpstr>'Cotacao 3'!DadosExternos_137</vt:lpstr>
      <vt:lpstr>'Cotacao 4'!DadosExternos_137</vt:lpstr>
      <vt:lpstr>Cotacao!DadosExternos_138</vt:lpstr>
      <vt:lpstr>'Cotacao 2'!DadosExternos_138</vt:lpstr>
      <vt:lpstr>'Cotacao 3'!DadosExternos_138</vt:lpstr>
      <vt:lpstr>'Cotacao 4'!DadosExternos_138</vt:lpstr>
      <vt:lpstr>Cotacao!DadosExternos_139</vt:lpstr>
      <vt:lpstr>'Cotacao 2'!DadosExternos_139</vt:lpstr>
      <vt:lpstr>'Cotacao 3'!DadosExternos_139</vt:lpstr>
      <vt:lpstr>'Cotacao 4'!DadosExternos_139</vt:lpstr>
      <vt:lpstr>Cotacao!DadosExternos_14</vt:lpstr>
      <vt:lpstr>'Cotacao 2'!DadosExternos_14</vt:lpstr>
      <vt:lpstr>'Cotacao 3'!DadosExternos_14</vt:lpstr>
      <vt:lpstr>'Cotacao 4'!DadosExternos_14</vt:lpstr>
      <vt:lpstr>Cotacao!DadosExternos_140</vt:lpstr>
      <vt:lpstr>'Cotacao 2'!DadosExternos_140</vt:lpstr>
      <vt:lpstr>'Cotacao 3'!DadosExternos_140</vt:lpstr>
      <vt:lpstr>'Cotacao 4'!DadosExternos_140</vt:lpstr>
      <vt:lpstr>Cotacao!DadosExternos_141</vt:lpstr>
      <vt:lpstr>'Cotacao 2'!DadosExternos_141</vt:lpstr>
      <vt:lpstr>'Cotacao 3'!DadosExternos_141</vt:lpstr>
      <vt:lpstr>'Cotacao 4'!DadosExternos_141</vt:lpstr>
      <vt:lpstr>Cotacao!DadosExternos_142</vt:lpstr>
      <vt:lpstr>'Cotacao 2'!DadosExternos_142</vt:lpstr>
      <vt:lpstr>'Cotacao 3'!DadosExternos_142</vt:lpstr>
      <vt:lpstr>'Cotacao 4'!DadosExternos_142</vt:lpstr>
      <vt:lpstr>Cotacao!DadosExternos_143</vt:lpstr>
      <vt:lpstr>'Cotacao 2'!DadosExternos_143</vt:lpstr>
      <vt:lpstr>'Cotacao 3'!DadosExternos_143</vt:lpstr>
      <vt:lpstr>'Cotacao 4'!DadosExternos_143</vt:lpstr>
      <vt:lpstr>Cotacao!DadosExternos_144</vt:lpstr>
      <vt:lpstr>'Cotacao 2'!DadosExternos_144</vt:lpstr>
      <vt:lpstr>'Cotacao 3'!DadosExternos_144</vt:lpstr>
      <vt:lpstr>'Cotacao 4'!DadosExternos_144</vt:lpstr>
      <vt:lpstr>Cotacao!DadosExternos_145</vt:lpstr>
      <vt:lpstr>'Cotacao 2'!DadosExternos_145</vt:lpstr>
      <vt:lpstr>'Cotacao 3'!DadosExternos_145</vt:lpstr>
      <vt:lpstr>'Cotacao 4'!DadosExternos_145</vt:lpstr>
      <vt:lpstr>Cotacao!DadosExternos_146</vt:lpstr>
      <vt:lpstr>'Cotacao 2'!DadosExternos_146</vt:lpstr>
      <vt:lpstr>'Cotacao 3'!DadosExternos_146</vt:lpstr>
      <vt:lpstr>'Cotacao 4'!DadosExternos_146</vt:lpstr>
      <vt:lpstr>Cotacao!DadosExternos_147</vt:lpstr>
      <vt:lpstr>'Cotacao 2'!DadosExternos_147</vt:lpstr>
      <vt:lpstr>'Cotacao 3'!DadosExternos_147</vt:lpstr>
      <vt:lpstr>'Cotacao 4'!DadosExternos_147</vt:lpstr>
      <vt:lpstr>Cotacao!DadosExternos_148</vt:lpstr>
      <vt:lpstr>'Cotacao 2'!DadosExternos_148</vt:lpstr>
      <vt:lpstr>'Cotacao 3'!DadosExternos_148</vt:lpstr>
      <vt:lpstr>'Cotacao 4'!DadosExternos_148</vt:lpstr>
      <vt:lpstr>Cotacao!DadosExternos_149</vt:lpstr>
      <vt:lpstr>'Cotacao 2'!DadosExternos_149</vt:lpstr>
      <vt:lpstr>'Cotacao 3'!DadosExternos_149</vt:lpstr>
      <vt:lpstr>'Cotacao 4'!DadosExternos_149</vt:lpstr>
      <vt:lpstr>Cotacao!DadosExternos_15</vt:lpstr>
      <vt:lpstr>'Cotacao 2'!DadosExternos_15</vt:lpstr>
      <vt:lpstr>'Cotacao 3'!DadosExternos_15</vt:lpstr>
      <vt:lpstr>'Cotacao 4'!DadosExternos_15</vt:lpstr>
      <vt:lpstr>Cotacao!DadosExternos_150</vt:lpstr>
      <vt:lpstr>'Cotacao 2'!DadosExternos_150</vt:lpstr>
      <vt:lpstr>'Cotacao 3'!DadosExternos_150</vt:lpstr>
      <vt:lpstr>'Cotacao 4'!DadosExternos_150</vt:lpstr>
      <vt:lpstr>Cotacao!DadosExternos_151</vt:lpstr>
      <vt:lpstr>'Cotacao 2'!DadosExternos_151</vt:lpstr>
      <vt:lpstr>'Cotacao 3'!DadosExternos_151</vt:lpstr>
      <vt:lpstr>'Cotacao 4'!DadosExternos_151</vt:lpstr>
      <vt:lpstr>Cotacao!DadosExternos_152</vt:lpstr>
      <vt:lpstr>'Cotacao 2'!DadosExternos_152</vt:lpstr>
      <vt:lpstr>'Cotacao 3'!DadosExternos_152</vt:lpstr>
      <vt:lpstr>'Cotacao 4'!DadosExternos_152</vt:lpstr>
      <vt:lpstr>Cotacao!DadosExternos_153</vt:lpstr>
      <vt:lpstr>'Cotacao 2'!DadosExternos_153</vt:lpstr>
      <vt:lpstr>'Cotacao 3'!DadosExternos_153</vt:lpstr>
      <vt:lpstr>'Cotacao 4'!DadosExternos_153</vt:lpstr>
      <vt:lpstr>Cotacao!DadosExternos_154</vt:lpstr>
      <vt:lpstr>'Cotacao 2'!DadosExternos_154</vt:lpstr>
      <vt:lpstr>'Cotacao 3'!DadosExternos_154</vt:lpstr>
      <vt:lpstr>'Cotacao 4'!DadosExternos_154</vt:lpstr>
      <vt:lpstr>Cotacao!DadosExternos_155</vt:lpstr>
      <vt:lpstr>'Cotacao 2'!DadosExternos_155</vt:lpstr>
      <vt:lpstr>'Cotacao 3'!DadosExternos_155</vt:lpstr>
      <vt:lpstr>'Cotacao 4'!DadosExternos_155</vt:lpstr>
      <vt:lpstr>Cotacao!DadosExternos_156</vt:lpstr>
      <vt:lpstr>'Cotacao 2'!DadosExternos_156</vt:lpstr>
      <vt:lpstr>'Cotacao 3'!DadosExternos_156</vt:lpstr>
      <vt:lpstr>'Cotacao 4'!DadosExternos_156</vt:lpstr>
      <vt:lpstr>Cotacao!DadosExternos_157</vt:lpstr>
      <vt:lpstr>'Cotacao 2'!DadosExternos_157</vt:lpstr>
      <vt:lpstr>'Cotacao 3'!DadosExternos_157</vt:lpstr>
      <vt:lpstr>'Cotacao 4'!DadosExternos_157</vt:lpstr>
      <vt:lpstr>Cotacao!DadosExternos_158</vt:lpstr>
      <vt:lpstr>'Cotacao 2'!DadosExternos_158</vt:lpstr>
      <vt:lpstr>'Cotacao 3'!DadosExternos_158</vt:lpstr>
      <vt:lpstr>'Cotacao 4'!DadosExternos_158</vt:lpstr>
      <vt:lpstr>Cotacao!DadosExternos_159</vt:lpstr>
      <vt:lpstr>'Cotacao 2'!DadosExternos_159</vt:lpstr>
      <vt:lpstr>'Cotacao 3'!DadosExternos_159</vt:lpstr>
      <vt:lpstr>'Cotacao 4'!DadosExternos_159</vt:lpstr>
      <vt:lpstr>Cotacao!DadosExternos_16</vt:lpstr>
      <vt:lpstr>'Cotacao 2'!DadosExternos_16</vt:lpstr>
      <vt:lpstr>'Cotacao 3'!DadosExternos_16</vt:lpstr>
      <vt:lpstr>'Cotacao 4'!DadosExternos_16</vt:lpstr>
      <vt:lpstr>Cotacao!DadosExternos_160</vt:lpstr>
      <vt:lpstr>'Cotacao 2'!DadosExternos_160</vt:lpstr>
      <vt:lpstr>'Cotacao 3'!DadosExternos_160</vt:lpstr>
      <vt:lpstr>'Cotacao 4'!DadosExternos_160</vt:lpstr>
      <vt:lpstr>Cotacao!DadosExternos_161</vt:lpstr>
      <vt:lpstr>'Cotacao 2'!DadosExternos_161</vt:lpstr>
      <vt:lpstr>'Cotacao 3'!DadosExternos_161</vt:lpstr>
      <vt:lpstr>'Cotacao 4'!DadosExternos_161</vt:lpstr>
      <vt:lpstr>Cotacao!DadosExternos_162</vt:lpstr>
      <vt:lpstr>'Cotacao 2'!DadosExternos_162</vt:lpstr>
      <vt:lpstr>'Cotacao 3'!DadosExternos_162</vt:lpstr>
      <vt:lpstr>'Cotacao 4'!DadosExternos_162</vt:lpstr>
      <vt:lpstr>Cotacao!DadosExternos_163</vt:lpstr>
      <vt:lpstr>'Cotacao 2'!DadosExternos_163</vt:lpstr>
      <vt:lpstr>'Cotacao 3'!DadosExternos_163</vt:lpstr>
      <vt:lpstr>'Cotacao 4'!DadosExternos_163</vt:lpstr>
      <vt:lpstr>Cotacao!DadosExternos_164</vt:lpstr>
      <vt:lpstr>'Cotacao 2'!DadosExternos_164</vt:lpstr>
      <vt:lpstr>'Cotacao 3'!DadosExternos_164</vt:lpstr>
      <vt:lpstr>'Cotacao 4'!DadosExternos_164</vt:lpstr>
      <vt:lpstr>Cotacao!DadosExternos_165</vt:lpstr>
      <vt:lpstr>'Cotacao 2'!DadosExternos_165</vt:lpstr>
      <vt:lpstr>'Cotacao 3'!DadosExternos_165</vt:lpstr>
      <vt:lpstr>'Cotacao 4'!DadosExternos_165</vt:lpstr>
      <vt:lpstr>Cotacao!DadosExternos_166</vt:lpstr>
      <vt:lpstr>'Cotacao 2'!DadosExternos_166</vt:lpstr>
      <vt:lpstr>'Cotacao 3'!DadosExternos_166</vt:lpstr>
      <vt:lpstr>'Cotacao 4'!DadosExternos_166</vt:lpstr>
      <vt:lpstr>Cotacao!DadosExternos_167</vt:lpstr>
      <vt:lpstr>'Cotacao 2'!DadosExternos_167</vt:lpstr>
      <vt:lpstr>'Cotacao 3'!DadosExternos_167</vt:lpstr>
      <vt:lpstr>'Cotacao 4'!DadosExternos_167</vt:lpstr>
      <vt:lpstr>Cotacao!DadosExternos_168</vt:lpstr>
      <vt:lpstr>'Cotacao 2'!DadosExternos_168</vt:lpstr>
      <vt:lpstr>'Cotacao 3'!DadosExternos_168</vt:lpstr>
      <vt:lpstr>'Cotacao 4'!DadosExternos_168</vt:lpstr>
      <vt:lpstr>Cotacao!DadosExternos_169</vt:lpstr>
      <vt:lpstr>'Cotacao 2'!DadosExternos_169</vt:lpstr>
      <vt:lpstr>'Cotacao 3'!DadosExternos_169</vt:lpstr>
      <vt:lpstr>'Cotacao 4'!DadosExternos_169</vt:lpstr>
      <vt:lpstr>Cotacao!DadosExternos_17</vt:lpstr>
      <vt:lpstr>'Cotacao 2'!DadosExternos_17</vt:lpstr>
      <vt:lpstr>'Cotacao 3'!DadosExternos_17</vt:lpstr>
      <vt:lpstr>'Cotacao 4'!DadosExternos_17</vt:lpstr>
      <vt:lpstr>Cotacao!DadosExternos_170</vt:lpstr>
      <vt:lpstr>'Cotacao 2'!DadosExternos_170</vt:lpstr>
      <vt:lpstr>'Cotacao 3'!DadosExternos_170</vt:lpstr>
      <vt:lpstr>'Cotacao 4'!DadosExternos_170</vt:lpstr>
      <vt:lpstr>Cotacao!DadosExternos_171</vt:lpstr>
      <vt:lpstr>'Cotacao 2'!DadosExternos_171</vt:lpstr>
      <vt:lpstr>'Cotacao 3'!DadosExternos_171</vt:lpstr>
      <vt:lpstr>'Cotacao 4'!DadosExternos_171</vt:lpstr>
      <vt:lpstr>Cotacao!DadosExternos_172</vt:lpstr>
      <vt:lpstr>'Cotacao 2'!DadosExternos_172</vt:lpstr>
      <vt:lpstr>'Cotacao 3'!DadosExternos_172</vt:lpstr>
      <vt:lpstr>'Cotacao 4'!DadosExternos_172</vt:lpstr>
      <vt:lpstr>Cotacao!DadosExternos_173</vt:lpstr>
      <vt:lpstr>'Cotacao 2'!DadosExternos_173</vt:lpstr>
      <vt:lpstr>'Cotacao 3'!DadosExternos_173</vt:lpstr>
      <vt:lpstr>'Cotacao 4'!DadosExternos_173</vt:lpstr>
      <vt:lpstr>Cotacao!DadosExternos_174</vt:lpstr>
      <vt:lpstr>'Cotacao 2'!DadosExternos_174</vt:lpstr>
      <vt:lpstr>'Cotacao 3'!DadosExternos_174</vt:lpstr>
      <vt:lpstr>'Cotacao 4'!DadosExternos_174</vt:lpstr>
      <vt:lpstr>Cotacao!DadosExternos_175</vt:lpstr>
      <vt:lpstr>'Cotacao 2'!DadosExternos_175</vt:lpstr>
      <vt:lpstr>'Cotacao 3'!DadosExternos_175</vt:lpstr>
      <vt:lpstr>'Cotacao 4'!DadosExternos_175</vt:lpstr>
      <vt:lpstr>Cotacao!DadosExternos_176</vt:lpstr>
      <vt:lpstr>'Cotacao 2'!DadosExternos_176</vt:lpstr>
      <vt:lpstr>'Cotacao 3'!DadosExternos_176</vt:lpstr>
      <vt:lpstr>'Cotacao 4'!DadosExternos_176</vt:lpstr>
      <vt:lpstr>Cotacao!DadosExternos_177</vt:lpstr>
      <vt:lpstr>'Cotacao 2'!DadosExternos_177</vt:lpstr>
      <vt:lpstr>'Cotacao 3'!DadosExternos_177</vt:lpstr>
      <vt:lpstr>'Cotacao 4'!DadosExternos_177</vt:lpstr>
      <vt:lpstr>Cotacao!DadosExternos_178</vt:lpstr>
      <vt:lpstr>'Cotacao 2'!DadosExternos_178</vt:lpstr>
      <vt:lpstr>'Cotacao 3'!DadosExternos_178</vt:lpstr>
      <vt:lpstr>'Cotacao 4'!DadosExternos_178</vt:lpstr>
      <vt:lpstr>Cotacao!DadosExternos_179</vt:lpstr>
      <vt:lpstr>'Cotacao 2'!DadosExternos_179</vt:lpstr>
      <vt:lpstr>'Cotacao 3'!DadosExternos_179</vt:lpstr>
      <vt:lpstr>'Cotacao 4'!DadosExternos_179</vt:lpstr>
      <vt:lpstr>Cotacao!DadosExternos_18</vt:lpstr>
      <vt:lpstr>'Cotacao 2'!DadosExternos_18</vt:lpstr>
      <vt:lpstr>'Cotacao 3'!DadosExternos_18</vt:lpstr>
      <vt:lpstr>'Cotacao 4'!DadosExternos_18</vt:lpstr>
      <vt:lpstr>Cotacao!DadosExternos_180</vt:lpstr>
      <vt:lpstr>'Cotacao 2'!DadosExternos_180</vt:lpstr>
      <vt:lpstr>'Cotacao 3'!DadosExternos_180</vt:lpstr>
      <vt:lpstr>'Cotacao 4'!DadosExternos_180</vt:lpstr>
      <vt:lpstr>Cotacao!DadosExternos_181</vt:lpstr>
      <vt:lpstr>'Cotacao 2'!DadosExternos_181</vt:lpstr>
      <vt:lpstr>'Cotacao 3'!DadosExternos_181</vt:lpstr>
      <vt:lpstr>'Cotacao 4'!DadosExternos_181</vt:lpstr>
      <vt:lpstr>Cotacao!DadosExternos_182</vt:lpstr>
      <vt:lpstr>'Cotacao 2'!DadosExternos_182</vt:lpstr>
      <vt:lpstr>'Cotacao 3'!DadosExternos_182</vt:lpstr>
      <vt:lpstr>'Cotacao 4'!DadosExternos_182</vt:lpstr>
      <vt:lpstr>Cotacao!DadosExternos_183</vt:lpstr>
      <vt:lpstr>'Cotacao 2'!DadosExternos_183</vt:lpstr>
      <vt:lpstr>'Cotacao 3'!DadosExternos_183</vt:lpstr>
      <vt:lpstr>'Cotacao 4'!DadosExternos_183</vt:lpstr>
      <vt:lpstr>Cotacao!DadosExternos_184</vt:lpstr>
      <vt:lpstr>'Cotacao 2'!DadosExternos_184</vt:lpstr>
      <vt:lpstr>'Cotacao 3'!DadosExternos_184</vt:lpstr>
      <vt:lpstr>'Cotacao 4'!DadosExternos_184</vt:lpstr>
      <vt:lpstr>Cotacao!DadosExternos_185</vt:lpstr>
      <vt:lpstr>'Cotacao 2'!DadosExternos_185</vt:lpstr>
      <vt:lpstr>'Cotacao 3'!DadosExternos_185</vt:lpstr>
      <vt:lpstr>'Cotacao 4'!DadosExternos_185</vt:lpstr>
      <vt:lpstr>Cotacao!DadosExternos_186</vt:lpstr>
      <vt:lpstr>'Cotacao 2'!DadosExternos_186</vt:lpstr>
      <vt:lpstr>'Cotacao 3'!DadosExternos_186</vt:lpstr>
      <vt:lpstr>'Cotacao 4'!DadosExternos_186</vt:lpstr>
      <vt:lpstr>Cotacao!DadosExternos_187</vt:lpstr>
      <vt:lpstr>'Cotacao 2'!DadosExternos_187</vt:lpstr>
      <vt:lpstr>'Cotacao 3'!DadosExternos_187</vt:lpstr>
      <vt:lpstr>'Cotacao 4'!DadosExternos_187</vt:lpstr>
      <vt:lpstr>Cotacao!DadosExternos_188</vt:lpstr>
      <vt:lpstr>'Cotacao 2'!DadosExternos_188</vt:lpstr>
      <vt:lpstr>'Cotacao 3'!DadosExternos_188</vt:lpstr>
      <vt:lpstr>'Cotacao 4'!DadosExternos_188</vt:lpstr>
      <vt:lpstr>Cotacao!DadosExternos_189</vt:lpstr>
      <vt:lpstr>'Cotacao 2'!DadosExternos_189</vt:lpstr>
      <vt:lpstr>'Cotacao 3'!DadosExternos_189</vt:lpstr>
      <vt:lpstr>'Cotacao 4'!DadosExternos_189</vt:lpstr>
      <vt:lpstr>Cotacao!DadosExternos_190</vt:lpstr>
      <vt:lpstr>'Cotacao 2'!DadosExternos_190</vt:lpstr>
      <vt:lpstr>'Cotacao 3'!DadosExternos_190</vt:lpstr>
      <vt:lpstr>'Cotacao 4'!DadosExternos_190</vt:lpstr>
      <vt:lpstr>Cotacao!DadosExternos_191</vt:lpstr>
      <vt:lpstr>'Cotacao 2'!DadosExternos_191</vt:lpstr>
      <vt:lpstr>'Cotacao 3'!DadosExternos_191</vt:lpstr>
      <vt:lpstr>'Cotacao 4'!DadosExternos_191</vt:lpstr>
      <vt:lpstr>Cotacao!DadosExternos_192</vt:lpstr>
      <vt:lpstr>'Cotacao 2'!DadosExternos_192</vt:lpstr>
      <vt:lpstr>'Cotacao 3'!DadosExternos_192</vt:lpstr>
      <vt:lpstr>'Cotacao 4'!DadosExternos_192</vt:lpstr>
      <vt:lpstr>Cotacao!DadosExternos_193</vt:lpstr>
      <vt:lpstr>'Cotacao 2'!DadosExternos_193</vt:lpstr>
      <vt:lpstr>'Cotacao 3'!DadosExternos_193</vt:lpstr>
      <vt:lpstr>'Cotacao 4'!DadosExternos_193</vt:lpstr>
      <vt:lpstr>Cotacao!DadosExternos_194</vt:lpstr>
      <vt:lpstr>'Cotacao 2'!DadosExternos_194</vt:lpstr>
      <vt:lpstr>'Cotacao 3'!DadosExternos_194</vt:lpstr>
      <vt:lpstr>'Cotacao 4'!DadosExternos_194</vt:lpstr>
      <vt:lpstr>Cotacao!DadosExternos_195</vt:lpstr>
      <vt:lpstr>'Cotacao 2'!DadosExternos_195</vt:lpstr>
      <vt:lpstr>'Cotacao 3'!DadosExternos_195</vt:lpstr>
      <vt:lpstr>'Cotacao 4'!DadosExternos_195</vt:lpstr>
      <vt:lpstr>Cotacao!DadosExternos_196</vt:lpstr>
      <vt:lpstr>'Cotacao 2'!DadosExternos_196</vt:lpstr>
      <vt:lpstr>'Cotacao 3'!DadosExternos_196</vt:lpstr>
      <vt:lpstr>'Cotacao 4'!DadosExternos_196</vt:lpstr>
      <vt:lpstr>Cotacao!DadosExternos_197</vt:lpstr>
      <vt:lpstr>'Cotacao 2'!DadosExternos_197</vt:lpstr>
      <vt:lpstr>'Cotacao 3'!DadosExternos_197</vt:lpstr>
      <vt:lpstr>'Cotacao 4'!DadosExternos_197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2'!DadosExternos_199</vt:lpstr>
      <vt:lpstr>'Cotacao 3'!DadosExternos_199</vt:lpstr>
      <vt:lpstr>'Cotacao 4'!DadosExternos_199</vt:lpstr>
      <vt:lpstr>Cotacao!DadosExternos_2</vt:lpstr>
      <vt:lpstr>'Cotacao 2'!DadosExternos_2</vt:lpstr>
      <vt:lpstr>'Cotacao 3'!DadosExternos_2</vt:lpstr>
      <vt:lpstr>'Cotacao 4'!DadosExternos_2</vt:lpstr>
      <vt:lpstr>Cotacao!DadosExternos_20</vt:lpstr>
      <vt:lpstr>'Cotacao 2'!DadosExternos_20</vt:lpstr>
      <vt:lpstr>'Cotacao 3'!DadosExternos_20</vt:lpstr>
      <vt:lpstr>'Cotacao 4'!DadosExternos_20</vt:lpstr>
      <vt:lpstr>Cotacao!DadosExternos_200</vt:lpstr>
      <vt:lpstr>'Cotacao 2'!DadosExternos_200</vt:lpstr>
      <vt:lpstr>'Cotacao 3'!DadosExternos_200</vt:lpstr>
      <vt:lpstr>'Cotacao 4'!DadosExternos_200</vt:lpstr>
      <vt:lpstr>Cotacao!DadosExternos_201</vt:lpstr>
      <vt:lpstr>'Cotacao 2'!DadosExternos_201</vt:lpstr>
      <vt:lpstr>'Cotacao 3'!DadosExternos_201</vt:lpstr>
      <vt:lpstr>'Cotacao 4'!DadosExternos_201</vt:lpstr>
      <vt:lpstr>Cotacao!DadosExternos_202</vt:lpstr>
      <vt:lpstr>'Cotacao 2'!DadosExternos_202</vt:lpstr>
      <vt:lpstr>'Cotacao 3'!DadosExternos_202</vt:lpstr>
      <vt:lpstr>'Cotacao 4'!DadosExternos_202</vt:lpstr>
      <vt:lpstr>Cotacao!DadosExternos_203</vt:lpstr>
      <vt:lpstr>'Cotacao 2'!DadosExternos_203</vt:lpstr>
      <vt:lpstr>'Cotacao 3'!DadosExternos_203</vt:lpstr>
      <vt:lpstr>'Cotacao 4'!DadosExternos_203</vt:lpstr>
      <vt:lpstr>Cotacao!DadosExternos_204</vt:lpstr>
      <vt:lpstr>'Cotacao 2'!DadosExternos_204</vt:lpstr>
      <vt:lpstr>'Cotacao 3'!DadosExternos_204</vt:lpstr>
      <vt:lpstr>'Cotacao 4'!DadosExternos_204</vt:lpstr>
      <vt:lpstr>Cotacao!DadosExternos_205</vt:lpstr>
      <vt:lpstr>'Cotacao 2'!DadosExternos_205</vt:lpstr>
      <vt:lpstr>'Cotacao 3'!DadosExternos_205</vt:lpstr>
      <vt:lpstr>'Cotacao 4'!DadosExternos_205</vt:lpstr>
      <vt:lpstr>Cotacao!DadosExternos_206</vt:lpstr>
      <vt:lpstr>'Cotacao 2'!DadosExternos_206</vt:lpstr>
      <vt:lpstr>'Cotacao 3'!DadosExternos_206</vt:lpstr>
      <vt:lpstr>'Cotacao 4'!DadosExternos_206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2'!DadosExternos_208</vt:lpstr>
      <vt:lpstr>'Cotacao 3'!DadosExternos_208</vt:lpstr>
      <vt:lpstr>'Cotacao 4'!DadosExternos_208</vt:lpstr>
      <vt:lpstr>Cotacao!DadosExternos_209</vt:lpstr>
      <vt:lpstr>'Cotacao 2'!DadosExternos_209</vt:lpstr>
      <vt:lpstr>'Cotacao 3'!DadosExternos_209</vt:lpstr>
      <vt:lpstr>'Cotacao 4'!DadosExternos_209</vt:lpstr>
      <vt:lpstr>Cotacao!DadosExternos_21</vt:lpstr>
      <vt:lpstr>'Cotacao 2'!DadosExternos_21</vt:lpstr>
      <vt:lpstr>'Cotacao 3'!DadosExternos_21</vt:lpstr>
      <vt:lpstr>'Cotacao 4'!DadosExternos_21</vt:lpstr>
      <vt:lpstr>'Cotacao 2'!DadosExternos_210</vt:lpstr>
      <vt:lpstr>'Cotacao 3'!DadosExternos_210</vt:lpstr>
      <vt:lpstr>'Cotacao 4'!DadosExternos_210</vt:lpstr>
      <vt:lpstr>Cotacao!DadosExternos_211</vt:lpstr>
      <vt:lpstr>'Cotacao 2'!DadosExternos_211</vt:lpstr>
      <vt:lpstr>'Cotacao 3'!DadosExternos_211</vt:lpstr>
      <vt:lpstr>'Cotacao 4'!DadosExternos_211</vt:lpstr>
      <vt:lpstr>Cotacao!DadosExternos_212</vt:lpstr>
      <vt:lpstr>'Cotacao 2'!DadosExternos_212</vt:lpstr>
      <vt:lpstr>'Cotacao 3'!DadosExternos_212</vt:lpstr>
      <vt:lpstr>'Cotacao 4'!DadosExternos_212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2'!DadosExternos_214</vt:lpstr>
      <vt:lpstr>'Cotacao 3'!DadosExternos_214</vt:lpstr>
      <vt:lpstr>'Cotacao 4'!DadosExternos_214</vt:lpstr>
      <vt:lpstr>Cotacao!DadosExternos_215</vt:lpstr>
      <vt:lpstr>'Cotacao 2'!DadosExternos_215</vt:lpstr>
      <vt:lpstr>'Cotacao 3'!DadosExternos_215</vt:lpstr>
      <vt:lpstr>'Cotacao 4'!DadosExternos_215</vt:lpstr>
      <vt:lpstr>Cotacao!DadosExternos_216</vt:lpstr>
      <vt:lpstr>'Cotacao 2'!DadosExternos_216</vt:lpstr>
      <vt:lpstr>'Cotacao 3'!DadosExternos_216</vt:lpstr>
      <vt:lpstr>'Cotacao 4'!DadosExternos_216</vt:lpstr>
      <vt:lpstr>Cotacao!DadosExternos_217</vt:lpstr>
      <vt:lpstr>'Cotacao 2'!DadosExternos_217</vt:lpstr>
      <vt:lpstr>'Cotacao 3'!DadosExternos_217</vt:lpstr>
      <vt:lpstr>'Cotacao 4'!DadosExternos_217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Cotacao!DadosExternos_220</vt:lpstr>
      <vt:lpstr>'Cotacao 2'!DadosExternos_220</vt:lpstr>
      <vt:lpstr>'Cotacao 3'!DadosExternos_220</vt:lpstr>
      <vt:lpstr>'Cotacao 4'!DadosExternos_220</vt:lpstr>
      <vt:lpstr>Cotacao!DadosExternos_221</vt:lpstr>
      <vt:lpstr>'Cotacao 2'!DadosExternos_221</vt:lpstr>
      <vt:lpstr>'Cotacao 3'!DadosExternos_221</vt:lpstr>
      <vt:lpstr>'Cotacao 4'!DadosExternos_221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2'!DadosExternos_223</vt:lpstr>
      <vt:lpstr>'Cotacao 3'!DadosExternos_223</vt:lpstr>
      <vt:lpstr>'Cotacao 4'!DadosExternos_223</vt:lpstr>
      <vt:lpstr>Cotacao!DadosExternos_224</vt:lpstr>
      <vt:lpstr>'Cotacao 2'!DadosExternos_224</vt:lpstr>
      <vt:lpstr>'Cotacao 3'!DadosExternos_224</vt:lpstr>
      <vt:lpstr>'Cotacao 4'!DadosExternos_224</vt:lpstr>
      <vt:lpstr>Cotacao!DadosExternos_225</vt:lpstr>
      <vt:lpstr>'Cotacao 2'!DadosExternos_225</vt:lpstr>
      <vt:lpstr>'Cotacao 3'!DadosExternos_225</vt:lpstr>
      <vt:lpstr>'Cotacao 4'!DadosExternos_225</vt:lpstr>
      <vt:lpstr>Cotacao!DadosExternos_226</vt:lpstr>
      <vt:lpstr>'Cotacao 2'!DadosExternos_227</vt:lpstr>
      <vt:lpstr>'Cotacao 3'!DadosExternos_227</vt:lpstr>
      <vt:lpstr>'Cotacao 4'!DadosExternos_227</vt:lpstr>
      <vt:lpstr>Cotacao!DadosExternos_228</vt:lpstr>
      <vt:lpstr>'Cotacao 2'!DadosExternos_228</vt:lpstr>
      <vt:lpstr>'Cotacao 3'!DadosExternos_228</vt:lpstr>
      <vt:lpstr>'Cotacao 4'!DadosExternos_228</vt:lpstr>
      <vt:lpstr>Cotacao!DadosExternos_229</vt:lpstr>
      <vt:lpstr>'Cotacao 2'!DadosExternos_229</vt:lpstr>
      <vt:lpstr>'Cotacao 3'!DadosExternos_229</vt:lpstr>
      <vt:lpstr>'Cotacao 4'!DadosExternos_229</vt:lpstr>
      <vt:lpstr>Cotacao!DadosExternos_230</vt:lpstr>
      <vt:lpstr>'Cotacao 2'!DadosExternos_230</vt:lpstr>
      <vt:lpstr>'Cotacao 3'!DadosExternos_230</vt:lpstr>
      <vt:lpstr>'Cotacao 4'!DadosExternos_230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2'!DadosExternos_234</vt:lpstr>
      <vt:lpstr>'Cotacao 3'!DadosExternos_234</vt:lpstr>
      <vt:lpstr>'Cotacao 4'!DadosExternos_234</vt:lpstr>
      <vt:lpstr>Cotacao!DadosExternos_235</vt:lpstr>
      <vt:lpstr>'Cotacao 2'!DadosExternos_235</vt:lpstr>
      <vt:lpstr>'Cotacao 3'!DadosExternos_235</vt:lpstr>
      <vt:lpstr>'Cotacao 4'!DadosExternos_235</vt:lpstr>
      <vt:lpstr>Cotacao!DadosExternos_237</vt:lpstr>
      <vt:lpstr>'Cotacao 2'!DadosExternos_237</vt:lpstr>
      <vt:lpstr>'Cotacao 3'!DadosExternos_237</vt:lpstr>
      <vt:lpstr>'Cotacao 4'!DadosExternos_237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2'!DadosExternos_239</vt:lpstr>
      <vt:lpstr>'Cotacao 3'!DadosExternos_239</vt:lpstr>
      <vt:lpstr>'Cotacao 4'!DadosExternos_239</vt:lpstr>
      <vt:lpstr>Cotacao!DadosExternos_24</vt:lpstr>
      <vt:lpstr>'Cotacao 2'!DadosExternos_24</vt:lpstr>
      <vt:lpstr>'Cotacao 3'!DadosExternos_24</vt:lpstr>
      <vt:lpstr>'Cotacao 4'!DadosExternos_24</vt:lpstr>
      <vt:lpstr>Cotacao!DadosExternos_240</vt:lpstr>
      <vt:lpstr>'Cotacao 2'!DadosExternos_240</vt:lpstr>
      <vt:lpstr>'Cotacao 3'!DadosExternos_240</vt:lpstr>
      <vt:lpstr>'Cotacao 4'!DadosExternos_240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2'!DadosExternos_242</vt:lpstr>
      <vt:lpstr>'Cotacao 3'!DadosExternos_242</vt:lpstr>
      <vt:lpstr>'Cotacao 4'!DadosExternos_242</vt:lpstr>
      <vt:lpstr>Cotacao!DadosExternos_243</vt:lpstr>
      <vt:lpstr>'Cotacao 2'!DadosExternos_243</vt:lpstr>
      <vt:lpstr>'Cotacao 3'!DadosExternos_243</vt:lpstr>
      <vt:lpstr>'Cotacao 4'!DadosExternos_243</vt:lpstr>
      <vt:lpstr>Cotacao!DadosExternos_244</vt:lpstr>
      <vt:lpstr>'Cotacao 2'!DadosExternos_244</vt:lpstr>
      <vt:lpstr>'Cotacao 3'!DadosExternos_244</vt:lpstr>
      <vt:lpstr>'Cotacao 4'!DadosExternos_244</vt:lpstr>
      <vt:lpstr>Cotacao!DadosExternos_245</vt:lpstr>
      <vt:lpstr>'Cotacao 2'!DadosExternos_246</vt:lpstr>
      <vt:lpstr>'Cotacao 3'!DadosExternos_246</vt:lpstr>
      <vt:lpstr>'Cotacao 4'!DadosExternos_246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Cotacao!DadosExternos_250</vt:lpstr>
      <vt:lpstr>'Cotacao 2'!DadosExternos_250</vt:lpstr>
      <vt:lpstr>'Cotacao 3'!DadosExternos_250</vt:lpstr>
      <vt:lpstr>'Cotacao 4'!DadosExternos_250</vt:lpstr>
      <vt:lpstr>Cotacao!DadosExternos_251</vt:lpstr>
      <vt:lpstr>'Cotacao 2'!DadosExternos_251</vt:lpstr>
      <vt:lpstr>'Cotacao 3'!DadosExternos_251</vt:lpstr>
      <vt:lpstr>'Cotacao 4'!DadosExternos_251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2'!DadosExternos_257</vt:lpstr>
      <vt:lpstr>'Cotacao 3'!DadosExternos_257</vt:lpstr>
      <vt:lpstr>'Cotacao 4'!DadosExternos_257</vt:lpstr>
      <vt:lpstr>'Cotacao 2'!DadosExternos_258</vt:lpstr>
      <vt:lpstr>'Cotacao 3'!DadosExternos_258</vt:lpstr>
      <vt:lpstr>'Cotacao 4'!DadosExternos_258</vt:lpstr>
      <vt:lpstr>'Cotacao 2'!DadosExternos_259</vt:lpstr>
      <vt:lpstr>'Cotacao 3'!DadosExternos_259</vt:lpstr>
      <vt:lpstr>'Cotacao 4'!DadosExternos_259</vt:lpstr>
      <vt:lpstr>Cotacao!DadosExternos_26</vt:lpstr>
      <vt:lpstr>'Cotacao 2'!DadosExternos_26</vt:lpstr>
      <vt:lpstr>'Cotacao 3'!DadosExternos_26</vt:lpstr>
      <vt:lpstr>'Cotacao 4'!DadosExternos_26</vt:lpstr>
      <vt:lpstr>'Cotacao 2'!DadosExternos_260</vt:lpstr>
      <vt:lpstr>'Cotacao 3'!DadosExternos_260</vt:lpstr>
      <vt:lpstr>'Cotacao 4'!DadosExternos_260</vt:lpstr>
      <vt:lpstr>'Cotacao 2'!DadosExternos_261</vt:lpstr>
      <vt:lpstr>'Cotacao 3'!DadosExternos_261</vt:lpstr>
      <vt:lpstr>'Cotacao 4'!DadosExternos_261</vt:lpstr>
      <vt:lpstr>'Cotacao 2'!DadosExternos_262</vt:lpstr>
      <vt:lpstr>'Cotacao 3'!DadosExternos_262</vt:lpstr>
      <vt:lpstr>'Cotacao 4'!DadosExternos_262</vt:lpstr>
      <vt:lpstr>'Cotacao 2'!DadosExternos_263</vt:lpstr>
      <vt:lpstr>'Cotacao 3'!DadosExternos_263</vt:lpstr>
      <vt:lpstr>'Cotacao 4'!DadosExternos_263</vt:lpstr>
      <vt:lpstr>'Cotacao 2'!DadosExternos_265</vt:lpstr>
      <vt:lpstr>'Cotacao 3'!DadosExternos_265</vt:lpstr>
      <vt:lpstr>'Cotacao 4'!DadosExternos_265</vt:lpstr>
      <vt:lpstr>'Cotacao 2'!DadosExternos_268</vt:lpstr>
      <vt:lpstr>'Cotacao 3'!DadosExternos_268</vt:lpstr>
      <vt:lpstr>'Cotacao 4'!DadosExternos_268</vt:lpstr>
      <vt:lpstr>'Cotacao 2'!DadosExternos_269</vt:lpstr>
      <vt:lpstr>'Cotacao 3'!DadosExternos_269</vt:lpstr>
      <vt:lpstr>'Cotacao 4'!DadosExternos_269</vt:lpstr>
      <vt:lpstr>Cotacao!DadosExternos_27</vt:lpstr>
      <vt:lpstr>'Cotacao 2'!DadosExternos_27</vt:lpstr>
      <vt:lpstr>'Cotacao 3'!DadosExternos_27</vt:lpstr>
      <vt:lpstr>'Cotacao 4'!DadosExternos_27</vt:lpstr>
      <vt:lpstr>'Cotacao 2'!DadosExternos_270</vt:lpstr>
      <vt:lpstr>'Cotacao 3'!DadosExternos_270</vt:lpstr>
      <vt:lpstr>'Cotacao 4'!DadosExternos_270</vt:lpstr>
      <vt:lpstr>'Cotacao 2'!DadosExternos_271</vt:lpstr>
      <vt:lpstr>'Cotacao 3'!DadosExternos_271</vt:lpstr>
      <vt:lpstr>'Cotacao 4'!DadosExternos_271</vt:lpstr>
      <vt:lpstr>'Cotacao 2'!DadosExternos_272</vt:lpstr>
      <vt:lpstr>'Cotacao 3'!DadosExternos_272</vt:lpstr>
      <vt:lpstr>'Cotacao 4'!DadosExternos_272</vt:lpstr>
      <vt:lpstr>'Cotacao 2'!DadosExternos_275</vt:lpstr>
      <vt:lpstr>'Cotacao 3'!DadosExternos_275</vt:lpstr>
      <vt:lpstr>'Cotacao 4'!DadosExternos_275</vt:lpstr>
      <vt:lpstr>'Cotacao 2'!DadosExternos_276</vt:lpstr>
      <vt:lpstr>'Cotacao 3'!DadosExternos_276</vt:lpstr>
      <vt:lpstr>'Cotacao 4'!DadosExternos_276</vt:lpstr>
      <vt:lpstr>'Cotacao 2'!DadosExternos_277</vt:lpstr>
      <vt:lpstr>'Cotacao 3'!DadosExternos_277</vt:lpstr>
      <vt:lpstr>'Cotacao 4'!DadosExternos_277</vt:lpstr>
      <vt:lpstr>'Cotacao 2'!DadosExternos_278</vt:lpstr>
      <vt:lpstr>'Cotacao 3'!DadosExternos_278</vt:lpstr>
      <vt:lpstr>'Cotacao 4'!DadosExternos_278</vt:lpstr>
      <vt:lpstr>'Cotacao 2'!DadosExternos_279</vt:lpstr>
      <vt:lpstr>'Cotacao 3'!DadosExternos_279</vt:lpstr>
      <vt:lpstr>'Cotacao 4'!DadosExternos_279</vt:lpstr>
      <vt:lpstr>Cotacao!DadosExternos_28</vt:lpstr>
      <vt:lpstr>'Cotacao 2'!DadosExternos_28</vt:lpstr>
      <vt:lpstr>'Cotacao 3'!DadosExternos_28</vt:lpstr>
      <vt:lpstr>'Cotacao 4'!DadosExternos_28</vt:lpstr>
      <vt:lpstr>'Cotacao 2'!DadosExternos_280</vt:lpstr>
      <vt:lpstr>'Cotacao 3'!DadosExternos_280</vt:lpstr>
      <vt:lpstr>'Cotacao 4'!DadosExternos_280</vt:lpstr>
      <vt:lpstr>'Cotacao 2'!DadosExternos_281</vt:lpstr>
      <vt:lpstr>'Cotacao 3'!DadosExternos_281</vt:lpstr>
      <vt:lpstr>'Cotacao 4'!DadosExternos_281</vt:lpstr>
      <vt:lpstr>'Cotacao 2'!DadosExternos_282</vt:lpstr>
      <vt:lpstr>'Cotacao 3'!DadosExternos_282</vt:lpstr>
      <vt:lpstr>'Cotacao 4'!DadosExternos_282</vt:lpstr>
      <vt:lpstr>'Cotacao 2'!DadosExternos_287</vt:lpstr>
      <vt:lpstr>'Cotacao 3'!DadosExternos_287</vt:lpstr>
      <vt:lpstr>'Cotacao 4'!DadosExternos_287</vt:lpstr>
      <vt:lpstr>'Cotacao 2'!DadosExternos_288</vt:lpstr>
      <vt:lpstr>'Cotacao 3'!DadosExternos_288</vt:lpstr>
      <vt:lpstr>'Cotacao 4'!DadosExternos_288</vt:lpstr>
      <vt:lpstr>Cotacao!DadosExternos_29</vt:lpstr>
      <vt:lpstr>'Cotacao 2'!DadosExternos_29</vt:lpstr>
      <vt:lpstr>'Cotacao 3'!DadosExternos_29</vt:lpstr>
      <vt:lpstr>'Cotacao 4'!DadosExternos_29</vt:lpstr>
      <vt:lpstr>'Cotacao 2'!DadosExternos_290</vt:lpstr>
      <vt:lpstr>'Cotacao 3'!DadosExternos_290</vt:lpstr>
      <vt:lpstr>'Cotacao 4'!DadosExternos_290</vt:lpstr>
      <vt:lpstr>'Cotacao 2'!DadosExternos_291</vt:lpstr>
      <vt:lpstr>'Cotacao 3'!DadosExternos_291</vt:lpstr>
      <vt:lpstr>'Cotacao 4'!DadosExternos_291</vt:lpstr>
      <vt:lpstr>'Cotacao 2'!DadosExternos_292</vt:lpstr>
      <vt:lpstr>'Cotacao 3'!DadosExternos_292</vt:lpstr>
      <vt:lpstr>'Cotacao 4'!DadosExternos_292</vt:lpstr>
      <vt:lpstr>'Cotacao 2'!DadosExternos_293</vt:lpstr>
      <vt:lpstr>'Cotacao 3'!DadosExternos_293</vt:lpstr>
      <vt:lpstr>'Cotacao 4'!DadosExternos_293</vt:lpstr>
      <vt:lpstr>'Cotacao 2'!DadosExternos_294</vt:lpstr>
      <vt:lpstr>'Cotacao 3'!DadosExternos_294</vt:lpstr>
      <vt:lpstr>'Cotacao 4'!DadosExternos_294</vt:lpstr>
      <vt:lpstr>'Cotacao 2'!DadosExternos_295</vt:lpstr>
      <vt:lpstr>'Cotacao 3'!DadosExternos_295</vt:lpstr>
      <vt:lpstr>'Cotacao 4'!DadosExternos_295</vt:lpstr>
      <vt:lpstr>'Cotacao 2'!DadosExternos_296</vt:lpstr>
      <vt:lpstr>'Cotacao 3'!DadosExternos_296</vt:lpstr>
      <vt:lpstr>'Cotacao 4'!DadosExternos_296</vt:lpstr>
      <vt:lpstr>'Cotacao 2'!DadosExternos_297</vt:lpstr>
      <vt:lpstr>'Cotacao 3'!DadosExternos_297</vt:lpstr>
      <vt:lpstr>'Cotacao 4'!DadosExternos_297</vt:lpstr>
      <vt:lpstr>'Cotacao 2'!DadosExternos_298</vt:lpstr>
      <vt:lpstr>'Cotacao 3'!DadosExternos_298</vt:lpstr>
      <vt:lpstr>'Cotacao 4'!DadosExternos_298</vt:lpstr>
      <vt:lpstr>'Cotacao 2'!DadosExternos_299</vt:lpstr>
      <vt:lpstr>'Cotacao 3'!DadosExternos_299</vt:lpstr>
      <vt:lpstr>'Cotacao 4'!DadosExternos_299</vt:lpstr>
      <vt:lpstr>Cotacao!DadosExternos_3</vt:lpstr>
      <vt:lpstr>'Cotacao 2'!DadosExternos_3</vt:lpstr>
      <vt:lpstr>'Cotacao 3'!DadosExternos_3</vt:lpstr>
      <vt:lpstr>'Cotacao 4'!DadosExternos_3</vt:lpstr>
      <vt:lpstr>Cotacao!DadosExternos_30</vt:lpstr>
      <vt:lpstr>'Cotacao 2'!DadosExternos_30</vt:lpstr>
      <vt:lpstr>'Cotacao 3'!DadosExternos_30</vt:lpstr>
      <vt:lpstr>'Cotacao 4'!DadosExternos_30</vt:lpstr>
      <vt:lpstr>'Cotacao 2'!DadosExternos_300</vt:lpstr>
      <vt:lpstr>'Cotacao 3'!DadosExternos_300</vt:lpstr>
      <vt:lpstr>'Cotacao 4'!DadosExternos_300</vt:lpstr>
      <vt:lpstr>'Cotacao 2'!DadosExternos_302</vt:lpstr>
      <vt:lpstr>'Cotacao 3'!DadosExternos_302</vt:lpstr>
      <vt:lpstr>'Cotacao 4'!DadosExternos_302</vt:lpstr>
      <vt:lpstr>'Cotacao 2'!DadosExternos_304</vt:lpstr>
      <vt:lpstr>'Cotacao 3'!DadosExternos_304</vt:lpstr>
      <vt:lpstr>'Cotacao 4'!DadosExternos_304</vt:lpstr>
      <vt:lpstr>'Cotacao 2'!DadosExternos_305</vt:lpstr>
      <vt:lpstr>'Cotacao 3'!DadosExternos_305</vt:lpstr>
      <vt:lpstr>'Cotacao 4'!DadosExternos_305</vt:lpstr>
      <vt:lpstr>'Cotacao 2'!DadosExternos_307</vt:lpstr>
      <vt:lpstr>'Cotacao 3'!DadosExternos_307</vt:lpstr>
      <vt:lpstr>'Cotacao 4'!DadosExternos_307</vt:lpstr>
      <vt:lpstr>'Cotacao 2'!DadosExternos_308</vt:lpstr>
      <vt:lpstr>'Cotacao 3'!DadosExternos_308</vt:lpstr>
      <vt:lpstr>'Cotacao 4'!DadosExternos_308</vt:lpstr>
      <vt:lpstr>'Cotacao 2'!DadosExternos_309</vt:lpstr>
      <vt:lpstr>'Cotacao 3'!DadosExternos_309</vt:lpstr>
      <vt:lpstr>'Cotacao 4'!DadosExternos_309</vt:lpstr>
      <vt:lpstr>Cotacao!DadosExternos_31</vt:lpstr>
      <vt:lpstr>'Cotacao 2'!DadosExternos_31</vt:lpstr>
      <vt:lpstr>'Cotacao 3'!DadosExternos_31</vt:lpstr>
      <vt:lpstr>'Cotacao 4'!DadosExternos_31</vt:lpstr>
      <vt:lpstr>'Cotacao 2'!DadosExternos_311</vt:lpstr>
      <vt:lpstr>'Cotacao 3'!DadosExternos_311</vt:lpstr>
      <vt:lpstr>'Cotacao 4'!DadosExternos_311</vt:lpstr>
      <vt:lpstr>'Cotacao 2'!DadosExternos_315</vt:lpstr>
      <vt:lpstr>'Cotacao 3'!DadosExternos_315</vt:lpstr>
      <vt:lpstr>'Cotacao 4'!DadosExternos_315</vt:lpstr>
      <vt:lpstr>'Cotacao 2'!DadosExternos_317</vt:lpstr>
      <vt:lpstr>'Cotacao 3'!DadosExternos_317</vt:lpstr>
      <vt:lpstr>'Cotacao 4'!DadosExternos_317</vt:lpstr>
      <vt:lpstr>'Cotacao 2'!DadosExternos_318</vt:lpstr>
      <vt:lpstr>'Cotacao 3'!DadosExternos_318</vt:lpstr>
      <vt:lpstr>'Cotacao 4'!DadosExternos_318</vt:lpstr>
      <vt:lpstr>'Cotacao 2'!DadosExternos_319</vt:lpstr>
      <vt:lpstr>'Cotacao 3'!DadosExternos_319</vt:lpstr>
      <vt:lpstr>'Cotacao 4'!DadosExternos_319</vt:lpstr>
      <vt:lpstr>Cotacao!DadosExternos_32</vt:lpstr>
      <vt:lpstr>'Cotacao 2'!DadosExternos_32</vt:lpstr>
      <vt:lpstr>'Cotacao 3'!DadosExternos_32</vt:lpstr>
      <vt:lpstr>'Cotacao 4'!DadosExternos_32</vt:lpstr>
      <vt:lpstr>'Cotacao 2'!DadosExternos_320</vt:lpstr>
      <vt:lpstr>'Cotacao 3'!DadosExternos_320</vt:lpstr>
      <vt:lpstr>'Cotacao 4'!DadosExternos_320</vt:lpstr>
      <vt:lpstr>'Cotacao 2'!DadosExternos_323</vt:lpstr>
      <vt:lpstr>'Cotacao 3'!DadosExternos_323</vt:lpstr>
      <vt:lpstr>'Cotacao 4'!DadosExternos_323</vt:lpstr>
      <vt:lpstr>'Cotacao 2'!DadosExternos_324</vt:lpstr>
      <vt:lpstr>'Cotacao 3'!DadosExternos_324</vt:lpstr>
      <vt:lpstr>'Cotacao 4'!DadosExternos_324</vt:lpstr>
      <vt:lpstr>'Cotacao 2'!DadosExternos_325</vt:lpstr>
      <vt:lpstr>'Cotacao 3'!DadosExternos_325</vt:lpstr>
      <vt:lpstr>'Cotacao 4'!DadosExternos_325</vt:lpstr>
      <vt:lpstr>'Cotacao 2'!DadosExternos_326</vt:lpstr>
      <vt:lpstr>'Cotacao 3'!DadosExternos_326</vt:lpstr>
      <vt:lpstr>'Cotacao 4'!DadosExternos_326</vt:lpstr>
      <vt:lpstr>'Cotacao 2'!DadosExternos_327</vt:lpstr>
      <vt:lpstr>'Cotacao 3'!DadosExternos_327</vt:lpstr>
      <vt:lpstr>'Cotacao 4'!DadosExternos_327</vt:lpstr>
      <vt:lpstr>'Cotacao 2'!DadosExternos_328</vt:lpstr>
      <vt:lpstr>'Cotacao 3'!DadosExternos_328</vt:lpstr>
      <vt:lpstr>'Cotacao 4'!DadosExternos_328</vt:lpstr>
      <vt:lpstr>'Cotacao 2'!DadosExternos_329</vt:lpstr>
      <vt:lpstr>'Cotacao 3'!DadosExternos_329</vt:lpstr>
      <vt:lpstr>'Cotacao 4'!DadosExternos_329</vt:lpstr>
      <vt:lpstr>Cotacao!DadosExternos_33</vt:lpstr>
      <vt:lpstr>'Cotacao 2'!DadosExternos_33</vt:lpstr>
      <vt:lpstr>'Cotacao 3'!DadosExternos_33</vt:lpstr>
      <vt:lpstr>'Cotacao 4'!DadosExternos_33</vt:lpstr>
      <vt:lpstr>'Cotacao 2'!DadosExternos_330</vt:lpstr>
      <vt:lpstr>'Cotacao 3'!DadosExternos_330</vt:lpstr>
      <vt:lpstr>'Cotacao 4'!DadosExternos_330</vt:lpstr>
      <vt:lpstr>'Cotacao 2'!DadosExternos_331</vt:lpstr>
      <vt:lpstr>'Cotacao 3'!DadosExternos_331</vt:lpstr>
      <vt:lpstr>'Cotacao 4'!DadosExternos_331</vt:lpstr>
      <vt:lpstr>'Cotacao 2'!DadosExternos_333</vt:lpstr>
      <vt:lpstr>'Cotacao 3'!DadosExternos_333</vt:lpstr>
      <vt:lpstr>'Cotacao 4'!DadosExternos_333</vt:lpstr>
      <vt:lpstr>'Cotacao 2'!DadosExternos_336</vt:lpstr>
      <vt:lpstr>'Cotacao 3'!DadosExternos_336</vt:lpstr>
      <vt:lpstr>'Cotacao 4'!DadosExternos_336</vt:lpstr>
      <vt:lpstr>'Cotacao 2'!DadosExternos_337</vt:lpstr>
      <vt:lpstr>'Cotacao 3'!DadosExternos_337</vt:lpstr>
      <vt:lpstr>'Cotacao 4'!DadosExternos_337</vt:lpstr>
      <vt:lpstr>'Cotacao 2'!DadosExternos_338</vt:lpstr>
      <vt:lpstr>'Cotacao 3'!DadosExternos_338</vt:lpstr>
      <vt:lpstr>'Cotacao 4'!DadosExternos_338</vt:lpstr>
      <vt:lpstr>'Cotacao 2'!DadosExternos_339</vt:lpstr>
      <vt:lpstr>'Cotacao 3'!DadosExternos_339</vt:lpstr>
      <vt:lpstr>'Cotacao 4'!DadosExternos_339</vt:lpstr>
      <vt:lpstr>Cotacao!DadosExternos_34</vt:lpstr>
      <vt:lpstr>'Cotacao 2'!DadosExternos_34</vt:lpstr>
      <vt:lpstr>'Cotacao 3'!DadosExternos_34</vt:lpstr>
      <vt:lpstr>'Cotacao 4'!DadosExternos_34</vt:lpstr>
      <vt:lpstr>'Cotacao 2'!DadosExternos_342</vt:lpstr>
      <vt:lpstr>'Cotacao 3'!DadosExternos_342</vt:lpstr>
      <vt:lpstr>'Cotacao 4'!DadosExternos_342</vt:lpstr>
      <vt:lpstr>'Cotacao 2'!DadosExternos_343</vt:lpstr>
      <vt:lpstr>'Cotacao 3'!DadosExternos_343</vt:lpstr>
      <vt:lpstr>'Cotacao 4'!DadosExternos_343</vt:lpstr>
      <vt:lpstr>'Cotacao 2'!DadosExternos_344</vt:lpstr>
      <vt:lpstr>'Cotacao 3'!DadosExternos_344</vt:lpstr>
      <vt:lpstr>'Cotacao 4'!DadosExternos_344</vt:lpstr>
      <vt:lpstr>'Cotacao 2'!DadosExternos_345</vt:lpstr>
      <vt:lpstr>'Cotacao 3'!DadosExternos_345</vt:lpstr>
      <vt:lpstr>'Cotacao 4'!DadosExternos_345</vt:lpstr>
      <vt:lpstr>'Cotacao 2'!DadosExternos_349</vt:lpstr>
      <vt:lpstr>'Cotacao 3'!DadosExternos_349</vt:lpstr>
      <vt:lpstr>'Cotacao 4'!DadosExternos_349</vt:lpstr>
      <vt:lpstr>Cotacao!DadosExternos_35</vt:lpstr>
      <vt:lpstr>'Cotacao 2'!DadosExternos_35</vt:lpstr>
      <vt:lpstr>'Cotacao 3'!DadosExternos_35</vt:lpstr>
      <vt:lpstr>'Cotacao 4'!DadosExternos_35</vt:lpstr>
      <vt:lpstr>'Cotacao 2'!DadosExternos_350</vt:lpstr>
      <vt:lpstr>'Cotacao 3'!DadosExternos_350</vt:lpstr>
      <vt:lpstr>'Cotacao 4'!DadosExternos_350</vt:lpstr>
      <vt:lpstr>'Cotacao 2'!DadosExternos_352</vt:lpstr>
      <vt:lpstr>'Cotacao 3'!DadosExternos_352</vt:lpstr>
      <vt:lpstr>'Cotacao 4'!DadosExternos_352</vt:lpstr>
      <vt:lpstr>'Cotacao 2'!DadosExternos_353</vt:lpstr>
      <vt:lpstr>'Cotacao 3'!DadosExternos_353</vt:lpstr>
      <vt:lpstr>'Cotacao 4'!DadosExternos_353</vt:lpstr>
      <vt:lpstr>'Cotacao 2'!DadosExternos_356</vt:lpstr>
      <vt:lpstr>'Cotacao 3'!DadosExternos_356</vt:lpstr>
      <vt:lpstr>'Cotacao 4'!DadosExternos_356</vt:lpstr>
      <vt:lpstr>'Cotacao 2'!DadosExternos_358</vt:lpstr>
      <vt:lpstr>'Cotacao 3'!DadosExternos_358</vt:lpstr>
      <vt:lpstr>'Cotacao 4'!DadosExternos_358</vt:lpstr>
      <vt:lpstr>Cotacao!DadosExternos_36</vt:lpstr>
      <vt:lpstr>'Cotacao 2'!DadosExternos_36</vt:lpstr>
      <vt:lpstr>'Cotacao 3'!DadosExternos_36</vt:lpstr>
      <vt:lpstr>'Cotacao 4'!DadosExternos_36</vt:lpstr>
      <vt:lpstr>'Cotacao 2'!DadosExternos_360</vt:lpstr>
      <vt:lpstr>'Cotacao 3'!DadosExternos_360</vt:lpstr>
      <vt:lpstr>'Cotacao 4'!DadosExternos_360</vt:lpstr>
      <vt:lpstr>'Cotacao 2'!DadosExternos_361</vt:lpstr>
      <vt:lpstr>'Cotacao 3'!DadosExternos_361</vt:lpstr>
      <vt:lpstr>'Cotacao 4'!DadosExternos_361</vt:lpstr>
      <vt:lpstr>'Cotacao 2'!DadosExternos_362</vt:lpstr>
      <vt:lpstr>'Cotacao 3'!DadosExternos_362</vt:lpstr>
      <vt:lpstr>'Cotacao 4'!DadosExternos_362</vt:lpstr>
      <vt:lpstr>'Cotacao 2'!DadosExternos_363</vt:lpstr>
      <vt:lpstr>'Cotacao 3'!DadosExternos_363</vt:lpstr>
      <vt:lpstr>'Cotacao 4'!DadosExternos_363</vt:lpstr>
      <vt:lpstr>'Cotacao 2'!DadosExternos_365</vt:lpstr>
      <vt:lpstr>'Cotacao 3'!DadosExternos_365</vt:lpstr>
      <vt:lpstr>'Cotacao 4'!DadosExternos_365</vt:lpstr>
      <vt:lpstr>'Cotacao 2'!DadosExternos_367</vt:lpstr>
      <vt:lpstr>'Cotacao 3'!DadosExternos_367</vt:lpstr>
      <vt:lpstr>'Cotacao 4'!DadosExternos_367</vt:lpstr>
      <vt:lpstr>'Cotacao 2'!DadosExternos_369</vt:lpstr>
      <vt:lpstr>'Cotacao 3'!DadosExternos_369</vt:lpstr>
      <vt:lpstr>'Cotacao 4'!DadosExternos_369</vt:lpstr>
      <vt:lpstr>Cotacao!DadosExternos_37</vt:lpstr>
      <vt:lpstr>'Cotacao 2'!DadosExternos_37</vt:lpstr>
      <vt:lpstr>'Cotacao 3'!DadosExternos_37</vt:lpstr>
      <vt:lpstr>'Cotacao 4'!DadosExternos_37</vt:lpstr>
      <vt:lpstr>'Cotacao 2'!DadosExternos_370</vt:lpstr>
      <vt:lpstr>'Cotacao 3'!DadosExternos_370</vt:lpstr>
      <vt:lpstr>'Cotacao 4'!DadosExternos_370</vt:lpstr>
      <vt:lpstr>'Cotacao 2'!DadosExternos_371</vt:lpstr>
      <vt:lpstr>'Cotacao 3'!DadosExternos_371</vt:lpstr>
      <vt:lpstr>'Cotacao 4'!DadosExternos_371</vt:lpstr>
      <vt:lpstr>'Cotacao 3'!DadosExternos_372</vt:lpstr>
      <vt:lpstr>'Cotacao 4'!DadosExternos_372</vt:lpstr>
      <vt:lpstr>'Cotacao 3'!DadosExternos_373</vt:lpstr>
      <vt:lpstr>'Cotacao 4'!DadosExternos_373</vt:lpstr>
      <vt:lpstr>'Cotacao 3'!DadosExternos_374</vt:lpstr>
      <vt:lpstr>'Cotacao 4'!DadosExternos_374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2'!DadosExternos_377</vt:lpstr>
      <vt:lpstr>'Cotacao 3'!DadosExternos_377</vt:lpstr>
      <vt:lpstr>'Cotacao 4'!DadosExternos_377</vt:lpstr>
      <vt:lpstr>'Cotacao 2'!DadosExternos_378</vt:lpstr>
      <vt:lpstr>'Cotacao 3'!DadosExternos_378</vt:lpstr>
      <vt:lpstr>'Cotacao 4'!DadosExternos_378</vt:lpstr>
      <vt:lpstr>'Cotacao 2'!DadosExternos_379</vt:lpstr>
      <vt:lpstr>'Cotacao 3'!DadosExternos_379</vt:lpstr>
      <vt:lpstr>'Cotacao 4'!DadosExternos_379</vt:lpstr>
      <vt:lpstr>Cotacao!DadosExternos_38</vt:lpstr>
      <vt:lpstr>'Cotacao 2'!DadosExternos_38</vt:lpstr>
      <vt:lpstr>'Cotacao 3'!DadosExternos_38</vt:lpstr>
      <vt:lpstr>'Cotacao 4'!DadosExternos_38</vt:lpstr>
      <vt:lpstr>'Cotacao 3'!DadosExternos_380</vt:lpstr>
      <vt:lpstr>'Cotacao 4'!DadosExternos_380</vt:lpstr>
      <vt:lpstr>'Cotacao 3'!DadosExternos_381</vt:lpstr>
      <vt:lpstr>'Cotacao 4'!DadosExternos_381</vt:lpstr>
      <vt:lpstr>'Cotacao 3'!DadosExternos_382</vt:lpstr>
      <vt:lpstr>'Cotacao 4'!DadosExternos_382</vt:lpstr>
      <vt:lpstr>'Cotacao 3'!DadosExternos_388</vt:lpstr>
      <vt:lpstr>'Cotacao 4'!DadosExternos_388</vt:lpstr>
      <vt:lpstr>'Cotacao 3'!DadosExternos_389</vt:lpstr>
      <vt:lpstr>'Cotacao 4'!DadosExternos_389</vt:lpstr>
      <vt:lpstr>Cotacao!DadosExternos_39</vt:lpstr>
      <vt:lpstr>'Cotacao 2'!DadosExternos_39</vt:lpstr>
      <vt:lpstr>'Cotacao 3'!DadosExternos_39</vt:lpstr>
      <vt:lpstr>'Cotacao 4'!DadosExternos_39</vt:lpstr>
      <vt:lpstr>'Cotacao 3'!DadosExternos_390</vt:lpstr>
      <vt:lpstr>'Cotacao 4'!DadosExternos_390</vt:lpstr>
      <vt:lpstr>'Cotacao 3'!DadosExternos_391</vt:lpstr>
      <vt:lpstr>'Cotacao 4'!DadosExternos_391</vt:lpstr>
      <vt:lpstr>'Cotacao 3'!DadosExternos_392</vt:lpstr>
      <vt:lpstr>'Cotacao 4'!DadosExternos_392</vt:lpstr>
      <vt:lpstr>'Cotacao 3'!DadosExternos_394</vt:lpstr>
      <vt:lpstr>'Cotacao 4'!DadosExternos_394</vt:lpstr>
      <vt:lpstr>'Cotacao 3'!DadosExternos_397</vt:lpstr>
      <vt:lpstr>'Cotacao 4'!DadosExternos_397</vt:lpstr>
      <vt:lpstr>'Cotacao 3'!DadosExternos_398</vt:lpstr>
      <vt:lpstr>'Cotacao 4'!DadosExternos_398</vt:lpstr>
      <vt:lpstr>Cotacao!DadosExternos_4</vt:lpstr>
      <vt:lpstr>'Cotacao 2'!DadosExternos_4</vt:lpstr>
      <vt:lpstr>'Cotacao 3'!DadosExternos_4</vt:lpstr>
      <vt:lpstr>'Cotacao 4'!DadosExternos_4</vt:lpstr>
      <vt:lpstr>Cotacao!DadosExternos_40</vt:lpstr>
      <vt:lpstr>'Cotacao 2'!DadosExternos_40</vt:lpstr>
      <vt:lpstr>'Cotacao 3'!DadosExternos_40</vt:lpstr>
      <vt:lpstr>'Cotacao 4'!DadosExternos_40</vt:lpstr>
      <vt:lpstr>'Cotacao 3'!DadosExternos_400</vt:lpstr>
      <vt:lpstr>'Cotacao 4'!DadosExternos_400</vt:lpstr>
      <vt:lpstr>'Cotacao 3'!DadosExternos_401</vt:lpstr>
      <vt:lpstr>'Cotacao 4'!DadosExternos_401</vt:lpstr>
      <vt:lpstr>'Cotacao 3'!DadosExternos_402</vt:lpstr>
      <vt:lpstr>'Cotacao 4'!DadosExternos_402</vt:lpstr>
      <vt:lpstr>'Cotacao 3'!DadosExternos_403</vt:lpstr>
      <vt:lpstr>'Cotacao 4'!DadosExternos_403</vt:lpstr>
      <vt:lpstr>'Cotacao 3'!DadosExternos_404</vt:lpstr>
      <vt:lpstr>'Cotacao 4'!DadosExternos_404</vt:lpstr>
      <vt:lpstr>'Cotacao 3'!DadosExternos_408</vt:lpstr>
      <vt:lpstr>'Cotacao 4'!DadosExternos_408</vt:lpstr>
      <vt:lpstr>'Cotacao 3'!DadosExternos_409</vt:lpstr>
      <vt:lpstr>'Cotacao 4'!DadosExternos_409</vt:lpstr>
      <vt:lpstr>Cotacao!DadosExternos_41</vt:lpstr>
      <vt:lpstr>'Cotacao 2'!DadosExternos_41</vt:lpstr>
      <vt:lpstr>'Cotacao 3'!DadosExternos_41</vt:lpstr>
      <vt:lpstr>'Cotacao 4'!DadosExternos_41</vt:lpstr>
      <vt:lpstr>'Cotacao 3'!DadosExternos_410</vt:lpstr>
      <vt:lpstr>'Cotacao 4'!DadosExternos_410</vt:lpstr>
      <vt:lpstr>'Cotacao 3'!DadosExternos_411</vt:lpstr>
      <vt:lpstr>'Cotacao 4'!DadosExternos_411</vt:lpstr>
      <vt:lpstr>'Cotacao 3'!DadosExternos_414</vt:lpstr>
      <vt:lpstr>'Cotacao 4'!DadosExternos_414</vt:lpstr>
      <vt:lpstr>'Cotacao 3'!DadosExternos_415</vt:lpstr>
      <vt:lpstr>'Cotacao 4'!DadosExternos_415</vt:lpstr>
      <vt:lpstr>'Cotacao 3'!DadosExternos_416</vt:lpstr>
      <vt:lpstr>'Cotacao 4'!DadosExternos_416</vt:lpstr>
      <vt:lpstr>'Cotacao 3'!DadosExternos_418</vt:lpstr>
      <vt:lpstr>'Cotacao 4'!DadosExternos_418</vt:lpstr>
      <vt:lpstr>Cotacao!DadosExternos_42</vt:lpstr>
      <vt:lpstr>'Cotacao 2'!DadosExternos_42</vt:lpstr>
      <vt:lpstr>'Cotacao 3'!DadosExternos_42</vt:lpstr>
      <vt:lpstr>'Cotacao 4'!DadosExternos_42</vt:lpstr>
      <vt:lpstr>'Cotacao 3'!DadosExternos_421</vt:lpstr>
      <vt:lpstr>'Cotacao 4'!DadosExternos_421</vt:lpstr>
      <vt:lpstr>'Cotacao 3'!DadosExternos_423</vt:lpstr>
      <vt:lpstr>'Cotacao 4'!DadosExternos_423</vt:lpstr>
      <vt:lpstr>'Cotacao 3'!DadosExternos_424</vt:lpstr>
      <vt:lpstr>'Cotacao 4'!DadosExternos_424</vt:lpstr>
      <vt:lpstr>'Cotacao 3'!DadosExternos_425</vt:lpstr>
      <vt:lpstr>'Cotacao 4'!DadosExternos_425</vt:lpstr>
      <vt:lpstr>'Cotacao 3'!DadosExternos_426</vt:lpstr>
      <vt:lpstr>'Cotacao 4'!DadosExternos_426</vt:lpstr>
      <vt:lpstr>'Cotacao 3'!DadosExternos_428</vt:lpstr>
      <vt:lpstr>'Cotacao 4'!DadosExternos_428</vt:lpstr>
      <vt:lpstr>Cotacao!DadosExternos_43</vt:lpstr>
      <vt:lpstr>'Cotacao 2'!DadosExternos_43</vt:lpstr>
      <vt:lpstr>'Cotacao 3'!DadosExternos_43</vt:lpstr>
      <vt:lpstr>'Cotacao 4'!DadosExternos_43</vt:lpstr>
      <vt:lpstr>'Cotacao 3'!DadosExternos_431</vt:lpstr>
      <vt:lpstr>'Cotacao 4'!DadosExternos_431</vt:lpstr>
      <vt:lpstr>'Cotacao 3'!DadosExternos_432</vt:lpstr>
      <vt:lpstr>'Cotacao 4'!DadosExternos_432</vt:lpstr>
      <vt:lpstr>'Cotacao 3'!DadosExternos_433</vt:lpstr>
      <vt:lpstr>'Cotacao 4'!DadosExternos_433</vt:lpstr>
      <vt:lpstr>'Cotacao 3'!DadosExternos_434</vt:lpstr>
      <vt:lpstr>'Cotacao 4'!DadosExternos_434</vt:lpstr>
      <vt:lpstr>'Cotacao 3'!DadosExternos_435</vt:lpstr>
      <vt:lpstr>'Cotacao 4'!DadosExternos_435</vt:lpstr>
      <vt:lpstr>'Cotacao 3'!DadosExternos_437</vt:lpstr>
      <vt:lpstr>'Cotacao 4'!DadosExternos_437</vt:lpstr>
      <vt:lpstr>'Cotacao 3'!DadosExternos_438</vt:lpstr>
      <vt:lpstr>'Cotacao 4'!DadosExternos_438</vt:lpstr>
      <vt:lpstr>'Cotacao 3'!DadosExternos_439</vt:lpstr>
      <vt:lpstr>'Cotacao 4'!DadosExternos_439</vt:lpstr>
      <vt:lpstr>Cotacao!DadosExternos_44</vt:lpstr>
      <vt:lpstr>'Cotacao 2'!DadosExternos_44</vt:lpstr>
      <vt:lpstr>'Cotacao 3'!DadosExternos_44</vt:lpstr>
      <vt:lpstr>'Cotacao 4'!DadosExternos_44</vt:lpstr>
      <vt:lpstr>'Cotacao 3'!DadosExternos_440</vt:lpstr>
      <vt:lpstr>'Cotacao 4'!DadosExternos_440</vt:lpstr>
      <vt:lpstr>'Cotacao 3'!DadosExternos_441</vt:lpstr>
      <vt:lpstr>'Cotacao 4'!DadosExternos_441</vt:lpstr>
      <vt:lpstr>'Cotacao 3'!DadosExternos_442</vt:lpstr>
      <vt:lpstr>'Cotacao 4'!DadosExternos_442</vt:lpstr>
      <vt:lpstr>'Cotacao 3'!DadosExternos_444</vt:lpstr>
      <vt:lpstr>'Cotacao 4'!DadosExternos_444</vt:lpstr>
      <vt:lpstr>'Cotacao 3'!DadosExternos_445</vt:lpstr>
      <vt:lpstr>'Cotacao 4'!DadosExternos_445</vt:lpstr>
      <vt:lpstr>'Cotacao 3'!DadosExternos_446</vt:lpstr>
      <vt:lpstr>'Cotacao 4'!DadosExternos_446</vt:lpstr>
      <vt:lpstr>'Cotacao 3'!DadosExternos_447</vt:lpstr>
      <vt:lpstr>'Cotacao 4'!DadosExternos_447</vt:lpstr>
      <vt:lpstr>Cotacao!DadosExternos_45</vt:lpstr>
      <vt:lpstr>'Cotacao 2'!DadosExternos_45</vt:lpstr>
      <vt:lpstr>'Cotacao 3'!DadosExternos_45</vt:lpstr>
      <vt:lpstr>'Cotacao 4'!DadosExternos_45</vt:lpstr>
      <vt:lpstr>'Cotacao 3'!DadosExternos_450</vt:lpstr>
      <vt:lpstr>'Cotacao 4'!DadosExternos_450</vt:lpstr>
      <vt:lpstr>'Cotacao 3'!DadosExternos_451</vt:lpstr>
      <vt:lpstr>'Cotacao 4'!DadosExternos_451</vt:lpstr>
      <vt:lpstr>'Cotacao 3'!DadosExternos_452</vt:lpstr>
      <vt:lpstr>'Cotacao 4'!DadosExternos_452</vt:lpstr>
      <vt:lpstr>'Cotacao 3'!DadosExternos_453</vt:lpstr>
      <vt:lpstr>'Cotacao 4'!DadosExternos_453</vt:lpstr>
      <vt:lpstr>'Cotacao 3'!DadosExternos_454</vt:lpstr>
      <vt:lpstr>'Cotacao 4'!DadosExternos_454</vt:lpstr>
      <vt:lpstr>'Cotacao 3'!DadosExternos_455</vt:lpstr>
      <vt:lpstr>'Cotacao 4'!DadosExternos_455</vt:lpstr>
      <vt:lpstr>'Cotacao 3'!DadosExternos_456</vt:lpstr>
      <vt:lpstr>'Cotacao 4'!DadosExternos_456</vt:lpstr>
      <vt:lpstr>'Cotacao 3'!DadosExternos_457</vt:lpstr>
      <vt:lpstr>'Cotacao 4'!DadosExternos_457</vt:lpstr>
      <vt:lpstr>'Cotacao 3'!DadosExternos_458</vt:lpstr>
      <vt:lpstr>'Cotacao 4'!DadosExternos_458</vt:lpstr>
      <vt:lpstr>'Cotacao 3'!DadosExternos_459</vt:lpstr>
      <vt:lpstr>'Cotacao 4'!DadosExternos_459</vt:lpstr>
      <vt:lpstr>Cotacao!DadosExternos_46</vt:lpstr>
      <vt:lpstr>'Cotacao 2'!DadosExternos_46</vt:lpstr>
      <vt:lpstr>'Cotacao 3'!DadosExternos_46</vt:lpstr>
      <vt:lpstr>'Cotacao 4'!DadosExternos_46</vt:lpstr>
      <vt:lpstr>'Cotacao 3'!DadosExternos_460</vt:lpstr>
      <vt:lpstr>'Cotacao 4'!DadosExternos_460</vt:lpstr>
      <vt:lpstr>'Cotacao 3'!DadosExternos_461</vt:lpstr>
      <vt:lpstr>'Cotacao 4'!DadosExternos_461</vt:lpstr>
      <vt:lpstr>'Cotacao 3'!DadosExternos_462</vt:lpstr>
      <vt:lpstr>'Cotacao 4'!DadosExternos_462</vt:lpstr>
      <vt:lpstr>'Cotacao 3'!DadosExternos_463</vt:lpstr>
      <vt:lpstr>'Cotacao 4'!DadosExternos_463</vt:lpstr>
      <vt:lpstr>'Cotacao 3'!DadosExternos_464</vt:lpstr>
      <vt:lpstr>'Cotacao 4'!DadosExternos_464</vt:lpstr>
      <vt:lpstr>'Cotacao 3'!DadosExternos_465</vt:lpstr>
      <vt:lpstr>'Cotacao 4'!DadosExternos_465</vt:lpstr>
      <vt:lpstr>'Cotacao 3'!DadosExternos_466</vt:lpstr>
      <vt:lpstr>'Cotacao 4'!DadosExternos_466</vt:lpstr>
      <vt:lpstr>'Cotacao 3'!DadosExternos_467</vt:lpstr>
      <vt:lpstr>'Cotacao 4'!DadosExternos_467</vt:lpstr>
      <vt:lpstr>'Cotacao 3'!DadosExternos_468</vt:lpstr>
      <vt:lpstr>'Cotacao 4'!DadosExternos_468</vt:lpstr>
      <vt:lpstr>'Cotacao 3'!DadosExternos_469</vt:lpstr>
      <vt:lpstr>'Cotacao 4'!DadosExternos_469</vt:lpstr>
      <vt:lpstr>Cotacao!DadosExternos_47</vt:lpstr>
      <vt:lpstr>'Cotacao 2'!DadosExternos_47</vt:lpstr>
      <vt:lpstr>'Cotacao 3'!DadosExternos_47</vt:lpstr>
      <vt:lpstr>'Cotacao 4'!DadosExternos_47</vt:lpstr>
      <vt:lpstr>Cotacao!DadosExternos_48</vt:lpstr>
      <vt:lpstr>'Cotacao 2'!DadosExternos_48</vt:lpstr>
      <vt:lpstr>'Cotacao 3'!DadosExternos_48</vt:lpstr>
      <vt:lpstr>'Cotacao 4'!DadosExternos_48</vt:lpstr>
      <vt:lpstr>Cotacao!DadosExternos_49</vt:lpstr>
      <vt:lpstr>'Cotacao 2'!DadosExternos_49</vt:lpstr>
      <vt:lpstr>'Cotacao 3'!DadosExternos_49</vt:lpstr>
      <vt:lpstr>'Cotacao 4'!DadosExternos_49</vt:lpstr>
      <vt:lpstr>Cotacao!DadosExternos_50</vt:lpstr>
      <vt:lpstr>'Cotacao 2'!DadosExternos_50</vt:lpstr>
      <vt:lpstr>'Cotacao 3'!DadosExternos_50</vt:lpstr>
      <vt:lpstr>'Cotacao 4'!DadosExternos_50</vt:lpstr>
      <vt:lpstr>Cotacao!DadosExternos_51</vt:lpstr>
      <vt:lpstr>'Cotacao 2'!DadosExternos_51</vt:lpstr>
      <vt:lpstr>'Cotacao 3'!DadosExternos_51</vt:lpstr>
      <vt:lpstr>'Cotacao 4'!DadosExternos_51</vt:lpstr>
      <vt:lpstr>Cotacao!DadosExternos_52</vt:lpstr>
      <vt:lpstr>'Cotacao 2'!DadosExternos_52</vt:lpstr>
      <vt:lpstr>'Cotacao 3'!DadosExternos_52</vt:lpstr>
      <vt:lpstr>'Cotacao 4'!DadosExternos_52</vt:lpstr>
      <vt:lpstr>Cotacao!DadosExternos_53</vt:lpstr>
      <vt:lpstr>'Cotacao 2'!DadosExternos_53</vt:lpstr>
      <vt:lpstr>'Cotacao 3'!DadosExternos_53</vt:lpstr>
      <vt:lpstr>'Cotacao 4'!DadosExternos_53</vt:lpstr>
      <vt:lpstr>Cotacao!DadosExternos_54</vt:lpstr>
      <vt:lpstr>'Cotacao 2'!DadosExternos_54</vt:lpstr>
      <vt:lpstr>'Cotacao 3'!DadosExternos_54</vt:lpstr>
      <vt:lpstr>'Cotacao 4'!DadosExternos_54</vt:lpstr>
      <vt:lpstr>Cotacao!DadosExternos_55</vt:lpstr>
      <vt:lpstr>'Cotacao 2'!DadosExternos_55</vt:lpstr>
      <vt:lpstr>'Cotacao 3'!DadosExternos_55</vt:lpstr>
      <vt:lpstr>'Cotacao 4'!DadosExternos_55</vt:lpstr>
      <vt:lpstr>Cotacao!DadosExternos_56</vt:lpstr>
      <vt:lpstr>'Cotacao 2'!DadosExternos_56</vt:lpstr>
      <vt:lpstr>'Cotacao 3'!DadosExternos_56</vt:lpstr>
      <vt:lpstr>'Cotacao 4'!DadosExternos_56</vt:lpstr>
      <vt:lpstr>Cotacao!DadosExternos_57</vt:lpstr>
      <vt:lpstr>'Cotacao 2'!DadosExternos_57</vt:lpstr>
      <vt:lpstr>'Cotacao 3'!DadosExternos_57</vt:lpstr>
      <vt:lpstr>'Cotacao 4'!DadosExternos_57</vt:lpstr>
      <vt:lpstr>Cotacao!DadosExternos_58</vt:lpstr>
      <vt:lpstr>'Cotacao 2'!DadosExternos_58</vt:lpstr>
      <vt:lpstr>'Cotacao 3'!DadosExternos_58</vt:lpstr>
      <vt:lpstr>'Cotacao 4'!DadosExternos_58</vt:lpstr>
      <vt:lpstr>Cotacao!DadosExternos_59</vt:lpstr>
      <vt:lpstr>'Cotacao 2'!DadosExternos_59</vt:lpstr>
      <vt:lpstr>'Cotacao 3'!DadosExternos_59</vt:lpstr>
      <vt:lpstr>'Cotacao 4'!DadosExternos_59</vt:lpstr>
      <vt:lpstr>Cotacao!DadosExternos_6</vt:lpstr>
      <vt:lpstr>'Cotacao 2'!DadosExternos_6</vt:lpstr>
      <vt:lpstr>'Cotacao 3'!DadosExternos_6</vt:lpstr>
      <vt:lpstr>'Cotacao 4'!DadosExternos_6</vt:lpstr>
      <vt:lpstr>Cotacao!DadosExternos_60</vt:lpstr>
      <vt:lpstr>'Cotacao 2'!DadosExternos_60</vt:lpstr>
      <vt:lpstr>'Cotacao 3'!DadosExternos_60</vt:lpstr>
      <vt:lpstr>'Cotacao 4'!DadosExternos_60</vt:lpstr>
      <vt:lpstr>Cotacao!DadosExternos_61</vt:lpstr>
      <vt:lpstr>'Cotacao 2'!DadosExternos_61</vt:lpstr>
      <vt:lpstr>'Cotacao 3'!DadosExternos_61</vt:lpstr>
      <vt:lpstr>'Cotacao 4'!DadosExternos_61</vt:lpstr>
      <vt:lpstr>Cotacao!DadosExternos_62</vt:lpstr>
      <vt:lpstr>'Cotacao 2'!DadosExternos_62</vt:lpstr>
      <vt:lpstr>'Cotacao 3'!DadosExternos_62</vt:lpstr>
      <vt:lpstr>'Cotacao 4'!DadosExternos_62</vt:lpstr>
      <vt:lpstr>Cotacao!DadosExternos_63</vt:lpstr>
      <vt:lpstr>'Cotacao 2'!DadosExternos_63</vt:lpstr>
      <vt:lpstr>'Cotacao 3'!DadosExternos_63</vt:lpstr>
      <vt:lpstr>'Cotacao 4'!DadosExternos_63</vt:lpstr>
      <vt:lpstr>Cotacao!DadosExternos_64</vt:lpstr>
      <vt:lpstr>'Cotacao 2'!DadosExternos_64</vt:lpstr>
      <vt:lpstr>'Cotacao 3'!DadosExternos_64</vt:lpstr>
      <vt:lpstr>'Cotacao 4'!DadosExternos_64</vt:lpstr>
      <vt:lpstr>Cotacao!DadosExternos_65</vt:lpstr>
      <vt:lpstr>'Cotacao 2'!DadosExternos_65</vt:lpstr>
      <vt:lpstr>'Cotacao 3'!DadosExternos_65</vt:lpstr>
      <vt:lpstr>'Cotacao 4'!DadosExternos_65</vt:lpstr>
      <vt:lpstr>Cotacao!DadosExternos_66</vt:lpstr>
      <vt:lpstr>'Cotacao 2'!DadosExternos_66</vt:lpstr>
      <vt:lpstr>'Cotacao 3'!DadosExternos_66</vt:lpstr>
      <vt:lpstr>'Cotacao 4'!DadosExternos_66</vt:lpstr>
      <vt:lpstr>Cotacao!DadosExternos_67</vt:lpstr>
      <vt:lpstr>'Cotacao 2'!DadosExternos_67</vt:lpstr>
      <vt:lpstr>'Cotacao 3'!DadosExternos_67</vt:lpstr>
      <vt:lpstr>'Cotacao 4'!DadosExternos_67</vt:lpstr>
      <vt:lpstr>Cotacao!DadosExternos_68</vt:lpstr>
      <vt:lpstr>'Cotacao 2'!DadosExternos_68</vt:lpstr>
      <vt:lpstr>'Cotacao 3'!DadosExternos_68</vt:lpstr>
      <vt:lpstr>'Cotacao 4'!DadosExternos_68</vt:lpstr>
      <vt:lpstr>Cotacao!DadosExternos_69</vt:lpstr>
      <vt:lpstr>'Cotacao 2'!DadosExternos_69</vt:lpstr>
      <vt:lpstr>'Cotacao 3'!DadosExternos_69</vt:lpstr>
      <vt:lpstr>'Cotacao 4'!DadosExternos_69</vt:lpstr>
      <vt:lpstr>Cotacao!DadosExternos_7</vt:lpstr>
      <vt:lpstr>'Cotacao 2'!DadosExternos_7</vt:lpstr>
      <vt:lpstr>'Cotacao 3'!DadosExternos_7</vt:lpstr>
      <vt:lpstr>'Cotacao 4'!DadosExternos_7</vt:lpstr>
      <vt:lpstr>Cotacao!DadosExternos_70</vt:lpstr>
      <vt:lpstr>'Cotacao 2'!DadosExternos_70</vt:lpstr>
      <vt:lpstr>'Cotacao 3'!DadosExternos_70</vt:lpstr>
      <vt:lpstr>'Cotacao 4'!DadosExternos_70</vt:lpstr>
      <vt:lpstr>Cotacao!DadosExternos_71</vt:lpstr>
      <vt:lpstr>'Cotacao 2'!DadosExternos_71</vt:lpstr>
      <vt:lpstr>'Cotacao 3'!DadosExternos_71</vt:lpstr>
      <vt:lpstr>'Cotacao 4'!DadosExternos_71</vt:lpstr>
      <vt:lpstr>Cotacao!DadosExternos_72</vt:lpstr>
      <vt:lpstr>'Cotacao 2'!DadosExternos_72</vt:lpstr>
      <vt:lpstr>'Cotacao 3'!DadosExternos_72</vt:lpstr>
      <vt:lpstr>'Cotacao 4'!DadosExternos_72</vt:lpstr>
      <vt:lpstr>Cotacao!DadosExternos_73</vt:lpstr>
      <vt:lpstr>'Cotacao 2'!DadosExternos_73</vt:lpstr>
      <vt:lpstr>'Cotacao 3'!DadosExternos_73</vt:lpstr>
      <vt:lpstr>'Cotacao 4'!DadosExternos_73</vt:lpstr>
      <vt:lpstr>Cotacao!DadosExternos_8</vt:lpstr>
      <vt:lpstr>'Cotacao 2'!DadosExternos_8</vt:lpstr>
      <vt:lpstr>'Cotacao 3'!DadosExternos_8</vt:lpstr>
      <vt:lpstr>'Cotacao 4'!DadosExternos_8</vt:lpstr>
      <vt:lpstr>Cotacao!DadosExternos_9</vt:lpstr>
      <vt:lpstr>'Cotacao 2'!DadosExternos_9</vt:lpstr>
      <vt:lpstr>'Cotacao 3'!DadosExternos_9</vt:lpstr>
      <vt:lpstr>'Cotacao 4'!DadosExternos_9</vt:lpstr>
      <vt:lpstr>Cotacao!DadosExternos_90</vt:lpstr>
      <vt:lpstr>'Cotacao 2'!DadosExternos_90</vt:lpstr>
      <vt:lpstr>'Cotacao 3'!DadosExternos_90</vt:lpstr>
      <vt:lpstr>'Cotacao 4'!DadosExternos_90</vt:lpstr>
      <vt:lpstr>Cotacao!DadosExternos_96</vt:lpstr>
      <vt:lpstr>'Cotacao 2'!DadosExternos_96</vt:lpstr>
      <vt:lpstr>'Cotacao 3'!DadosExternos_96</vt:lpstr>
      <vt:lpstr>'Cotacao 4'!DadosExternos_96</vt:lpstr>
      <vt:lpstr>Cotacao!DadosExternos_97</vt:lpstr>
      <vt:lpstr>'Cotacao 2'!DadosExternos_97</vt:lpstr>
      <vt:lpstr>'Cotacao 3'!DadosExternos_97</vt:lpstr>
      <vt:lpstr>'Cotacao 4'!DadosExternos_97</vt:lpstr>
      <vt:lpstr>Cotacao!DadosExternos_98</vt:lpstr>
      <vt:lpstr>'Cotacao 2'!DadosExternos_98</vt:lpstr>
      <vt:lpstr>'Cotacao 3'!DadosExternos_98</vt:lpstr>
      <vt:lpstr>'Cotacao 4'!DadosExternos_98</vt:lpstr>
      <vt:lpstr>Cotacao!ExternalData_1</vt:lpstr>
      <vt:lpstr>'Cotacao 2'!ExternalData_1</vt:lpstr>
      <vt:lpstr>'Cotacao 3'!ExternalData_1</vt:lpstr>
      <vt:lpstr>'Cotacao 4'!ExternalData_1</vt:lpstr>
      <vt:lpstr>Cotacao!ExternalData_10</vt:lpstr>
      <vt:lpstr>'Cotacao 2'!ExternalData_10</vt:lpstr>
      <vt:lpstr>'Cotacao 3'!ExternalData_10</vt:lpstr>
      <vt:lpstr>'Cotacao 4'!ExternalData_10</vt:lpstr>
      <vt:lpstr>Cotacao!ExternalData_11</vt:lpstr>
      <vt:lpstr>'Cotacao 2'!ExternalData_11</vt:lpstr>
      <vt:lpstr>'Cotacao 3'!ExternalData_11</vt:lpstr>
      <vt:lpstr>'Cotacao 4'!ExternalData_11</vt:lpstr>
      <vt:lpstr>Cotacao!ExternalData_12</vt:lpstr>
      <vt:lpstr>'Cotacao 2'!ExternalData_12</vt:lpstr>
      <vt:lpstr>'Cotacao 3'!ExternalData_12</vt:lpstr>
      <vt:lpstr>'Cotacao 4'!ExternalData_12</vt:lpstr>
      <vt:lpstr>Cotacao!ExternalData_13</vt:lpstr>
      <vt:lpstr>'Cotacao 2'!ExternalData_13</vt:lpstr>
      <vt:lpstr>'Cotacao 3'!ExternalData_13</vt:lpstr>
      <vt:lpstr>'Cotacao 4'!ExternalData_13</vt:lpstr>
      <vt:lpstr>Cotacao!ExternalData_14</vt:lpstr>
      <vt:lpstr>'Cotacao 2'!ExternalData_14</vt:lpstr>
      <vt:lpstr>'Cotacao 3'!ExternalData_14</vt:lpstr>
      <vt:lpstr>'Cotacao 4'!ExternalData_14</vt:lpstr>
      <vt:lpstr>Cotacao!ExternalData_15</vt:lpstr>
      <vt:lpstr>'Cotacao 2'!ExternalData_15</vt:lpstr>
      <vt:lpstr>'Cotacao 3'!ExternalData_15</vt:lpstr>
      <vt:lpstr>'Cotacao 4'!ExternalData_15</vt:lpstr>
      <vt:lpstr>Cotacao!ExternalData_16</vt:lpstr>
      <vt:lpstr>'Cotacao 2'!ExternalData_16</vt:lpstr>
      <vt:lpstr>'Cotacao 3'!ExternalData_16</vt:lpstr>
      <vt:lpstr>'Cotacao 4'!ExternalData_16</vt:lpstr>
      <vt:lpstr>Cotacao!ExternalData_17</vt:lpstr>
      <vt:lpstr>'Cotacao 2'!ExternalData_17</vt:lpstr>
      <vt:lpstr>'Cotacao 3'!ExternalData_17</vt:lpstr>
      <vt:lpstr>'Cotacao 4'!ExternalData_17</vt:lpstr>
      <vt:lpstr>Cotacao!ExternalData_18</vt:lpstr>
      <vt:lpstr>'Cotacao 2'!ExternalData_18</vt:lpstr>
      <vt:lpstr>'Cotacao 3'!ExternalData_18</vt:lpstr>
      <vt:lpstr>'Cotacao 4'!ExternalData_18</vt:lpstr>
      <vt:lpstr>Cotacao!ExternalData_19</vt:lpstr>
      <vt:lpstr>'Cotacao 2'!ExternalData_19</vt:lpstr>
      <vt:lpstr>'Cotacao 3'!ExternalData_19</vt:lpstr>
      <vt:lpstr>'Cotacao 4'!ExternalData_19</vt:lpstr>
      <vt:lpstr>Cotacao!ExternalData_2</vt:lpstr>
      <vt:lpstr>'Cotacao 2'!ExternalData_2</vt:lpstr>
      <vt:lpstr>'Cotacao 3'!ExternalData_2</vt:lpstr>
      <vt:lpstr>'Cotacao 4'!ExternalData_2</vt:lpstr>
      <vt:lpstr>Cotacao!ExternalData_20</vt:lpstr>
      <vt:lpstr>'Cotacao 2'!ExternalData_20</vt:lpstr>
      <vt:lpstr>'Cotacao 3'!ExternalData_20</vt:lpstr>
      <vt:lpstr>'Cotacao 4'!ExternalData_20</vt:lpstr>
      <vt:lpstr>Cotacao!ExternalData_21</vt:lpstr>
      <vt:lpstr>'Cotacao 2'!ExternalData_21</vt:lpstr>
      <vt:lpstr>'Cotacao 3'!ExternalData_21</vt:lpstr>
      <vt:lpstr>'Cotacao 4'!ExternalData_21</vt:lpstr>
      <vt:lpstr>Cotacao!ExternalData_22</vt:lpstr>
      <vt:lpstr>'Cotacao 2'!ExternalData_22</vt:lpstr>
      <vt:lpstr>'Cotacao 3'!ExternalData_22</vt:lpstr>
      <vt:lpstr>'Cotacao 4'!ExternalData_22</vt:lpstr>
      <vt:lpstr>Cotacao!ExternalData_23</vt:lpstr>
      <vt:lpstr>'Cotacao 2'!ExternalData_23</vt:lpstr>
      <vt:lpstr>'Cotacao 3'!ExternalData_23</vt:lpstr>
      <vt:lpstr>'Cotacao 4'!ExternalData_23</vt:lpstr>
      <vt:lpstr>Cotacao!ExternalData_24</vt:lpstr>
      <vt:lpstr>'Cotacao 2'!ExternalData_24</vt:lpstr>
      <vt:lpstr>'Cotacao 3'!ExternalData_24</vt:lpstr>
      <vt:lpstr>'Cotacao 4'!ExternalData_24</vt:lpstr>
      <vt:lpstr>'Cotacao 2'!ExternalData_25</vt:lpstr>
      <vt:lpstr>'Cotacao 3'!ExternalData_25</vt:lpstr>
      <vt:lpstr>'Cotacao 4'!ExternalData_25</vt:lpstr>
      <vt:lpstr>'Cotacao 2'!ExternalData_26</vt:lpstr>
      <vt:lpstr>'Cotacao 3'!ExternalData_26</vt:lpstr>
      <vt:lpstr>'Cotacao 4'!ExternalData_26</vt:lpstr>
      <vt:lpstr>'Cotacao 2'!ExternalData_27</vt:lpstr>
      <vt:lpstr>'Cotacao 3'!ExternalData_27</vt:lpstr>
      <vt:lpstr>'Cotacao 4'!ExternalData_27</vt:lpstr>
      <vt:lpstr>'Cotacao 2'!ExternalData_28</vt:lpstr>
      <vt:lpstr>'Cotacao 3'!ExternalData_28</vt:lpstr>
      <vt:lpstr>'Cotacao 4'!ExternalData_28</vt:lpstr>
      <vt:lpstr>'Cotacao 2'!ExternalData_29</vt:lpstr>
      <vt:lpstr>'Cotacao 3'!ExternalData_29</vt:lpstr>
      <vt:lpstr>'Cotacao 4'!ExternalData_29</vt:lpstr>
      <vt:lpstr>Cotacao!ExternalData_3</vt:lpstr>
      <vt:lpstr>'Cotacao 2'!ExternalData_3</vt:lpstr>
      <vt:lpstr>'Cotacao 3'!ExternalData_3</vt:lpstr>
      <vt:lpstr>'Cotacao 4'!ExternalData_3</vt:lpstr>
      <vt:lpstr>'Cotacao 2'!ExternalData_30</vt:lpstr>
      <vt:lpstr>'Cotacao 3'!ExternalData_30</vt:lpstr>
      <vt:lpstr>'Cotacao 4'!ExternalData_30</vt:lpstr>
      <vt:lpstr>'Cotacao 2'!ExternalData_31</vt:lpstr>
      <vt:lpstr>'Cotacao 3'!ExternalData_31</vt:lpstr>
      <vt:lpstr>'Cotacao 4'!ExternalData_31</vt:lpstr>
      <vt:lpstr>'Cotacao 2'!ExternalData_32</vt:lpstr>
      <vt:lpstr>'Cotacao 3'!ExternalData_32</vt:lpstr>
      <vt:lpstr>'Cotacao 4'!ExternalData_32</vt:lpstr>
      <vt:lpstr>'Cotacao 2'!ExternalData_33</vt:lpstr>
      <vt:lpstr>'Cotacao 3'!ExternalData_33</vt:lpstr>
      <vt:lpstr>'Cotacao 4'!ExternalData_33</vt:lpstr>
      <vt:lpstr>'Cotacao 2'!ExternalData_34</vt:lpstr>
      <vt:lpstr>'Cotacao 3'!ExternalData_34</vt:lpstr>
      <vt:lpstr>'Cotacao 4'!ExternalData_34</vt:lpstr>
      <vt:lpstr>'Cotacao 2'!ExternalData_35</vt:lpstr>
      <vt:lpstr>'Cotacao 3'!ExternalData_35</vt:lpstr>
      <vt:lpstr>'Cotacao 4'!ExternalData_35</vt:lpstr>
      <vt:lpstr>'Cotacao 2'!ExternalData_36</vt:lpstr>
      <vt:lpstr>'Cotacao 3'!ExternalData_36</vt:lpstr>
      <vt:lpstr>'Cotacao 4'!ExternalData_36</vt:lpstr>
      <vt:lpstr>'Cotacao 2'!ExternalData_37</vt:lpstr>
      <vt:lpstr>'Cotacao 3'!ExternalData_37</vt:lpstr>
      <vt:lpstr>'Cotacao 4'!ExternalData_37</vt:lpstr>
      <vt:lpstr>'Cotacao 2'!ExternalData_38</vt:lpstr>
      <vt:lpstr>'Cotacao 3'!ExternalData_38</vt:lpstr>
      <vt:lpstr>'Cotacao 4'!ExternalData_38</vt:lpstr>
      <vt:lpstr>'Cotacao 2'!ExternalData_39</vt:lpstr>
      <vt:lpstr>'Cotacao 3'!ExternalData_39</vt:lpstr>
      <vt:lpstr>'Cotacao 4'!ExternalData_39</vt:lpstr>
      <vt:lpstr>Cotacao!ExternalData_4</vt:lpstr>
      <vt:lpstr>'Cotacao 2'!ExternalData_4</vt:lpstr>
      <vt:lpstr>'Cotacao 3'!ExternalData_4</vt:lpstr>
      <vt:lpstr>'Cotacao 4'!ExternalData_4</vt:lpstr>
      <vt:lpstr>'Cotacao 2'!ExternalData_40</vt:lpstr>
      <vt:lpstr>'Cotacao 3'!ExternalData_40</vt:lpstr>
      <vt:lpstr>'Cotacao 4'!ExternalData_40</vt:lpstr>
      <vt:lpstr>'Cotacao 2'!ExternalData_41</vt:lpstr>
      <vt:lpstr>'Cotacao 3'!ExternalData_41</vt:lpstr>
      <vt:lpstr>'Cotacao 4'!ExternalData_41</vt:lpstr>
      <vt:lpstr>'Cotacao 2'!ExternalData_42</vt:lpstr>
      <vt:lpstr>'Cotacao 3'!ExternalData_42</vt:lpstr>
      <vt:lpstr>'Cotacao 4'!ExternalData_42</vt:lpstr>
      <vt:lpstr>'Cotacao 2'!ExternalData_43</vt:lpstr>
      <vt:lpstr>'Cotacao 3'!ExternalData_43</vt:lpstr>
      <vt:lpstr>'Cotacao 4'!ExternalData_43</vt:lpstr>
      <vt:lpstr>'Cotacao 3'!ExternalData_44</vt:lpstr>
      <vt:lpstr>'Cotacao 4'!ExternalData_44</vt:lpstr>
      <vt:lpstr>'Cotacao 3'!ExternalData_45</vt:lpstr>
      <vt:lpstr>'Cotacao 4'!ExternalData_45</vt:lpstr>
      <vt:lpstr>'Cotacao 3'!ExternalData_46</vt:lpstr>
      <vt:lpstr>'Cotacao 4'!ExternalData_46</vt:lpstr>
      <vt:lpstr>'Cotacao 3'!ExternalData_47</vt:lpstr>
      <vt:lpstr>'Cotacao 4'!ExternalData_47</vt:lpstr>
      <vt:lpstr>'Cotacao 3'!ExternalData_48</vt:lpstr>
      <vt:lpstr>'Cotacao 4'!ExternalData_48</vt:lpstr>
      <vt:lpstr>'Cotacao 3'!ExternalData_49</vt:lpstr>
      <vt:lpstr>'Cotacao 4'!ExternalData_49</vt:lpstr>
      <vt:lpstr>Cotacao!ExternalData_5</vt:lpstr>
      <vt:lpstr>'Cotacao 2'!ExternalData_5</vt:lpstr>
      <vt:lpstr>'Cotacao 3'!ExternalData_5</vt:lpstr>
      <vt:lpstr>'Cotacao 4'!ExternalData_5</vt:lpstr>
      <vt:lpstr>'Cotacao 3'!ExternalData_50</vt:lpstr>
      <vt:lpstr>'Cotacao 4'!ExternalData_50</vt:lpstr>
      <vt:lpstr>'Cotacao 3'!ExternalData_51</vt:lpstr>
      <vt:lpstr>'Cotacao 4'!ExternalData_51</vt:lpstr>
      <vt:lpstr>'Cotacao 3'!ExternalData_52</vt:lpstr>
      <vt:lpstr>'Cotacao 4'!ExternalData_52</vt:lpstr>
      <vt:lpstr>'Cotacao 3'!ExternalData_53</vt:lpstr>
      <vt:lpstr>'Cotacao 4'!ExternalData_53</vt:lpstr>
      <vt:lpstr>'Cotacao 3'!ExternalData_54</vt:lpstr>
      <vt:lpstr>'Cotacao 4'!ExternalData_54</vt:lpstr>
      <vt:lpstr>'Cotacao 3'!ExternalData_55</vt:lpstr>
      <vt:lpstr>'Cotacao 4'!ExternalData_55</vt:lpstr>
      <vt:lpstr>'Cotacao 3'!ExternalData_56</vt:lpstr>
      <vt:lpstr>'Cotacao 4'!ExternalData_56</vt:lpstr>
      <vt:lpstr>'Cotacao 3'!ExternalData_57</vt:lpstr>
      <vt:lpstr>'Cotacao 4'!ExternalData_57</vt:lpstr>
      <vt:lpstr>'Cotacao 3'!ExternalData_58</vt:lpstr>
      <vt:lpstr>'Cotacao 4'!ExternalData_58</vt:lpstr>
      <vt:lpstr>'Cotacao 3'!ExternalData_59</vt:lpstr>
      <vt:lpstr>'Cotacao 4'!ExternalData_59</vt:lpstr>
      <vt:lpstr>Cotacao!ExternalData_6</vt:lpstr>
      <vt:lpstr>'Cotacao 2'!ExternalData_6</vt:lpstr>
      <vt:lpstr>'Cotacao 3'!ExternalData_6</vt:lpstr>
      <vt:lpstr>'Cotacao 4'!ExternalData_6</vt:lpstr>
      <vt:lpstr>'Cotacao 3'!ExternalData_60</vt:lpstr>
      <vt:lpstr>'Cotacao 4'!ExternalData_60</vt:lpstr>
      <vt:lpstr>'Cotacao 3'!ExternalData_61</vt:lpstr>
      <vt:lpstr>'Cotacao 4'!ExternalData_61</vt:lpstr>
      <vt:lpstr>'Cotacao 3'!ExternalData_62</vt:lpstr>
      <vt:lpstr>'Cotacao 4'!ExternalData_62</vt:lpstr>
      <vt:lpstr>'Cotacao 3'!ExternalData_63</vt:lpstr>
      <vt:lpstr>'Cotacao 4'!ExternalData_63</vt:lpstr>
      <vt:lpstr>'Cotacao 3'!ExternalData_64</vt:lpstr>
      <vt:lpstr>'Cotacao 4'!ExternalData_64</vt:lpstr>
      <vt:lpstr>'Cotacao 4'!ExternalData_65</vt:lpstr>
      <vt:lpstr>'Cotacao 4'!ExternalData_66</vt:lpstr>
      <vt:lpstr>'Cotacao 4'!ExternalData_67</vt:lpstr>
      <vt:lpstr>'Cotacao 4'!ExternalData_68</vt:lpstr>
      <vt:lpstr>'Cotacao 4'!ExternalData_69</vt:lpstr>
      <vt:lpstr>Cotacao!ExternalData_7</vt:lpstr>
      <vt:lpstr>'Cotacao 2'!ExternalData_7</vt:lpstr>
      <vt:lpstr>'Cotacao 3'!ExternalData_7</vt:lpstr>
      <vt:lpstr>'Cotacao 4'!ExternalData_7</vt:lpstr>
      <vt:lpstr>'Cotacao 4'!ExternalData_70</vt:lpstr>
      <vt:lpstr>'Cotacao 4'!ExternalData_71</vt:lpstr>
      <vt:lpstr>'Cotacao 4'!ExternalData_72</vt:lpstr>
      <vt:lpstr>'Cotacao 4'!ExternalData_73</vt:lpstr>
      <vt:lpstr>'Cotacao 4'!ExternalData_74</vt:lpstr>
      <vt:lpstr>'Cotacao 4'!ExternalData_75</vt:lpstr>
      <vt:lpstr>'Cotacao 4'!ExternalData_76</vt:lpstr>
      <vt:lpstr>'Cotacao 4'!ExternalData_77</vt:lpstr>
      <vt:lpstr>'Cotacao 4'!ExternalData_78</vt:lpstr>
      <vt:lpstr>'Cotacao 4'!ExternalData_79</vt:lpstr>
      <vt:lpstr>Cotacao!ExternalData_8</vt:lpstr>
      <vt:lpstr>'Cotacao 2'!ExternalData_8</vt:lpstr>
      <vt:lpstr>'Cotacao 3'!ExternalData_8</vt:lpstr>
      <vt:lpstr>'Cotacao 4'!ExternalData_8</vt:lpstr>
      <vt:lpstr>'Cotacao 4'!ExternalData_80</vt:lpstr>
      <vt:lpstr>'Cotacao 4'!ExternalData_81</vt:lpstr>
      <vt:lpstr>'Cotacao 4'!ExternalData_82</vt:lpstr>
      <vt:lpstr>'Cotacao 4'!ExternalData_83</vt:lpstr>
      <vt:lpstr>'Cotacao 4'!ExternalData_84</vt:lpstr>
      <vt:lpstr>'Cotacao 4'!ExternalData_85</vt:lpstr>
      <vt:lpstr>'Cotacao 4'!ExternalData_86</vt:lpstr>
      <vt:lpstr>'Cotacao 4'!ExternalData_87</vt:lpstr>
      <vt:lpstr>Cotacao!ExternalData_9</vt:lpstr>
      <vt:lpstr>'Cotacao 2'!ExternalData_9</vt:lpstr>
      <vt:lpstr>'Cotacao 3'!ExternalData_9</vt:lpstr>
      <vt:lpstr>'Cotacao 4'!ExternalData_9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2014-02-11T21:30:29Z</dcterms:modified>
</cp:coreProperties>
</file>