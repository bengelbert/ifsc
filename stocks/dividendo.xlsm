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3.xml" ContentType="application/vnd.openxmlformats-officedocument.spreadsheetml.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tables/table5.xml" ContentType="application/vnd.openxmlformats-officedocument.spreadsheetml.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_de_trabalho" defaultThemeVersion="124226"/>
  <bookViews>
    <workbookView xWindow="240" yWindow="75" windowWidth="14190" windowHeight="7185"/>
  </bookViews>
  <sheets>
    <sheet name="Patrimonio" sheetId="1" r:id="rId1"/>
    <sheet name="Cotacao" sheetId="9" r:id="rId2"/>
    <sheet name="Cotacao 2" sheetId="14" r:id="rId3"/>
    <sheet name="Lucro Líquido" sheetId="12" r:id="rId4"/>
    <sheet name="Tabela LL" sheetId="13" r:id="rId5"/>
    <sheet name="Historia" sheetId="15" r:id="rId6"/>
    <sheet name="Tabela Hist" sheetId="16" r:id="rId7"/>
  </sheets>
  <externalReferences>
    <externalReference r:id="rId8"/>
  </externalReferences>
  <definedNames>
    <definedName name="DadosExternos_1" localSheetId="1">Cotacao!$C$7:$C$63</definedName>
    <definedName name="DadosExternos_1" localSheetId="2">'Cotacao 2'!$C$7:$C$63</definedName>
    <definedName name="DadosExternos_10" localSheetId="1">Cotacao!$C$7:$C$63</definedName>
    <definedName name="DadosExternos_10" localSheetId="2">'Cotacao 2'!$C$7:$C$63</definedName>
    <definedName name="DadosExternos_103" localSheetId="1">Cotacao!$C$7:$C$114</definedName>
    <definedName name="DadosExternos_103" localSheetId="2">'Cotacao 2'!$C$7:$C$114</definedName>
    <definedName name="DadosExternos_104" localSheetId="1">Cotacao!$C$7:$C$114</definedName>
    <definedName name="DadosExternos_104" localSheetId="2">'Cotacao 2'!$C$7:$C$114</definedName>
    <definedName name="DadosExternos_106" localSheetId="1">Cotacao!$C$7:$C$114</definedName>
    <definedName name="DadosExternos_106" localSheetId="2">'Cotacao 2'!$C$7:$C$114</definedName>
    <definedName name="DadosExternos_107" localSheetId="1">Cotacao!$C$7:$C$114</definedName>
    <definedName name="DadosExternos_107" localSheetId="2">'Cotacao 2'!$C$7:$C$114</definedName>
    <definedName name="DadosExternos_108" localSheetId="1">Cotacao!$C$7:$C$114</definedName>
    <definedName name="DadosExternos_108" localSheetId="2">'Cotacao 2'!$C$7:$C$114</definedName>
    <definedName name="DadosExternos_109" localSheetId="1">Cotacao!$C$7:$C$114</definedName>
    <definedName name="DadosExternos_109" localSheetId="2">'Cotacao 2'!$C$7:$C$114</definedName>
    <definedName name="DadosExternos_11" localSheetId="1">Cotacao!$C$7:$C$63</definedName>
    <definedName name="DadosExternos_11" localSheetId="2">'Cotacao 2'!$C$7:$C$63</definedName>
    <definedName name="DadosExternos_110" localSheetId="1">Cotacao!$C$7:$C$56</definedName>
    <definedName name="DadosExternos_110" localSheetId="2">'Cotacao 2'!$C$7:$C$56</definedName>
    <definedName name="DadosExternos_111" localSheetId="1">Cotacao!$C$7:$C$57</definedName>
    <definedName name="DadosExternos_111" localSheetId="2">'Cotacao 2'!$C$7:$C$57</definedName>
    <definedName name="DadosExternos_112" localSheetId="1">Cotacao!$C$7:$C$58</definedName>
    <definedName name="DadosExternos_112" localSheetId="2">'Cotacao 2'!$C$7:$C$58</definedName>
    <definedName name="DadosExternos_113" localSheetId="1">Cotacao!$C$7:$C$58</definedName>
    <definedName name="DadosExternos_113" localSheetId="2">'Cotacao 2'!$C$7:$C$58</definedName>
    <definedName name="DadosExternos_114" localSheetId="1">Cotacao!$C$7:$C$60</definedName>
    <definedName name="DadosExternos_114" localSheetId="2">'Cotacao 2'!$C$7:$C$60</definedName>
    <definedName name="DadosExternos_115" localSheetId="1">Cotacao!$C$7:$C$59</definedName>
    <definedName name="DadosExternos_115" localSheetId="2">'Cotacao 2'!$C$7:$C$59</definedName>
    <definedName name="DadosExternos_116" localSheetId="1">Cotacao!$C$7:$C$60</definedName>
    <definedName name="DadosExternos_116" localSheetId="2">'Cotacao 2'!$C$7:$C$60</definedName>
    <definedName name="DadosExternos_117" localSheetId="1">Cotacao!$C$7:$C$62</definedName>
    <definedName name="DadosExternos_117" localSheetId="2">'Cotacao 2'!$C$7:$C$62</definedName>
    <definedName name="DadosExternos_118" localSheetId="1">Cotacao!$C$7:$C$61</definedName>
    <definedName name="DadosExternos_118" localSheetId="2">'Cotacao 2'!$C$7:$C$61</definedName>
    <definedName name="DadosExternos_119" localSheetId="1">Cotacao!$C$7:$C$62</definedName>
    <definedName name="DadosExternos_119" localSheetId="2">'Cotacao 2'!$C$7:$C$62</definedName>
    <definedName name="DadosExternos_12" localSheetId="1">Cotacao!$C$7:$C$63</definedName>
    <definedName name="DadosExternos_12" localSheetId="2">'Cotacao 2'!$C$7:$C$63</definedName>
    <definedName name="DadosExternos_120" localSheetId="1">Cotacao!$C$7:$C$64</definedName>
    <definedName name="DadosExternos_120" localSheetId="2">'Cotacao 2'!$C$7:$C$64</definedName>
    <definedName name="DadosExternos_121" localSheetId="1">Cotacao!$C$7:$C$65</definedName>
    <definedName name="DadosExternos_121" localSheetId="2">'Cotacao 2'!$C$7:$C$65</definedName>
    <definedName name="DadosExternos_122" localSheetId="1">Cotacao!$C$7:$C$65</definedName>
    <definedName name="DadosExternos_122" localSheetId="2">'Cotacao 2'!$C$7:$C$65</definedName>
    <definedName name="DadosExternos_123" localSheetId="1">Cotacao!$C$7:$C$66</definedName>
    <definedName name="DadosExternos_123" localSheetId="2">'Cotacao 2'!$C$7:$C$66</definedName>
    <definedName name="DadosExternos_124" localSheetId="1">Cotacao!$C$7:$C$69</definedName>
    <definedName name="DadosExternos_124" localSheetId="2">'Cotacao 2'!$C$7:$C$69</definedName>
    <definedName name="DadosExternos_125" localSheetId="1">Cotacao!$C$7:$C$67</definedName>
    <definedName name="DadosExternos_125" localSheetId="2">'Cotacao 2'!$C$7:$C$67</definedName>
    <definedName name="DadosExternos_126" localSheetId="1">Cotacao!$C$7:$C$70</definedName>
    <definedName name="DadosExternos_126" localSheetId="2">'Cotacao 2'!$C$7:$C$70</definedName>
    <definedName name="DadosExternos_127" localSheetId="1">Cotacao!$C$7:$C$68</definedName>
    <definedName name="DadosExternos_127" localSheetId="2">'Cotacao 2'!$C$7:$C$68</definedName>
    <definedName name="DadosExternos_128" localSheetId="1">Cotacao!$C$7:$C$69</definedName>
    <definedName name="DadosExternos_128" localSheetId="2">'Cotacao 2'!$C$7:$C$69</definedName>
    <definedName name="DadosExternos_129" localSheetId="1">Cotacao!$C$7:$C$69</definedName>
    <definedName name="DadosExternos_129" localSheetId="2">'Cotacao 2'!$C$7:$C$69</definedName>
    <definedName name="DadosExternos_130" localSheetId="1">Cotacao!$C$7:$C$70</definedName>
    <definedName name="DadosExternos_130" localSheetId="2">'Cotacao 2'!$C$7:$C$70</definedName>
    <definedName name="DadosExternos_131" localSheetId="1">Cotacao!$C$7:$C$70</definedName>
    <definedName name="DadosExternos_131" localSheetId="2">'Cotacao 2'!$C$7:$C$70</definedName>
    <definedName name="DadosExternos_132" localSheetId="1">Cotacao!$C$7:$C$71</definedName>
    <definedName name="DadosExternos_132" localSheetId="2">'Cotacao 2'!$C$7:$C$71</definedName>
    <definedName name="DadosExternos_133" localSheetId="1">Cotacao!$C$7:$C$73</definedName>
    <definedName name="DadosExternos_133" localSheetId="2">'Cotacao 2'!$C$7:$C$73</definedName>
    <definedName name="DadosExternos_134" localSheetId="1">Cotacao!$C$7:$C$74</definedName>
    <definedName name="DadosExternos_134" localSheetId="2">'Cotacao 2'!$C$7:$C$74</definedName>
    <definedName name="DadosExternos_135" localSheetId="1">Cotacao!$C$7:$C$65</definedName>
    <definedName name="DadosExternos_135" localSheetId="2">'Cotacao 2'!$C$7:$C$65</definedName>
    <definedName name="DadosExternos_136" localSheetId="1">Cotacao!$C$7:$C$67</definedName>
    <definedName name="DadosExternos_136" localSheetId="2">'Cotacao 2'!$C$7:$C$67</definedName>
    <definedName name="DadosExternos_137" localSheetId="1">Cotacao!$C$7:$C$70</definedName>
    <definedName name="DadosExternos_137" localSheetId="2">'Cotacao 2'!$C$7:$C$70</definedName>
    <definedName name="DadosExternos_138" localSheetId="1">Cotacao!$C$7:$C$70</definedName>
    <definedName name="DadosExternos_138" localSheetId="2">'Cotacao 2'!$C$7:$C$70</definedName>
    <definedName name="DadosExternos_139" localSheetId="1">Cotacao!$C$7:$C$69</definedName>
    <definedName name="DadosExternos_139" localSheetId="2">'Cotacao 2'!$C$7:$C$69</definedName>
    <definedName name="DadosExternos_14" localSheetId="1">Cotacao!$C$7:$C$63</definedName>
    <definedName name="DadosExternos_14" localSheetId="2">'Cotacao 2'!$C$7:$C$63</definedName>
    <definedName name="DadosExternos_140" localSheetId="1">Cotacao!$C$7:$C$72</definedName>
    <definedName name="DadosExternos_140" localSheetId="2">'Cotacao 2'!$C$7:$C$72</definedName>
    <definedName name="DadosExternos_141" localSheetId="1">Cotacao!$C$7:$C$74</definedName>
    <definedName name="DadosExternos_141" localSheetId="2">'Cotacao 2'!$C$7:$C$74</definedName>
    <definedName name="DadosExternos_142" localSheetId="1">Cotacao!$C$7:$C$76</definedName>
    <definedName name="DadosExternos_142" localSheetId="2">'Cotacao 2'!$C$7:$C$76</definedName>
    <definedName name="DadosExternos_143" localSheetId="1">Cotacao!$C$7:$C$75</definedName>
    <definedName name="DadosExternos_143" localSheetId="2">'Cotacao 2'!$C$7:$C$75</definedName>
    <definedName name="DadosExternos_144" localSheetId="1">Cotacao!$C$7:$C$77</definedName>
    <definedName name="DadosExternos_144" localSheetId="2">'Cotacao 2'!$C$7:$C$77</definedName>
    <definedName name="DadosExternos_145" localSheetId="1">Cotacao!$C$7:$C$78</definedName>
    <definedName name="DadosExternos_145" localSheetId="2">'Cotacao 2'!$C$7:$C$78</definedName>
    <definedName name="DadosExternos_146" localSheetId="1">Cotacao!$C$7:$C$80</definedName>
    <definedName name="DadosExternos_146" localSheetId="2">'Cotacao 2'!$C$7:$C$80</definedName>
    <definedName name="DadosExternos_147" localSheetId="1">Cotacao!$C$7:$C$81</definedName>
    <definedName name="DadosExternos_147" localSheetId="2">'Cotacao 2'!$C$7:$C$81</definedName>
    <definedName name="DadosExternos_148" localSheetId="1">Cotacao!$C$7:$C$83</definedName>
    <definedName name="DadosExternos_148" localSheetId="2">'Cotacao 2'!$C$7:$C$83</definedName>
    <definedName name="DadosExternos_149" localSheetId="1">Cotacao!$C$7:$C$83</definedName>
    <definedName name="DadosExternos_149" localSheetId="2">'Cotacao 2'!$C$7:$C$83</definedName>
    <definedName name="DadosExternos_15" localSheetId="1">Cotacao!$C$7:$C$63</definedName>
    <definedName name="DadosExternos_15" localSheetId="2">'Cotacao 2'!$C$7:$C$63</definedName>
    <definedName name="DadosExternos_150" localSheetId="1">Cotacao!$C$7:$C$81</definedName>
    <definedName name="DadosExternos_150" localSheetId="2">'Cotacao 2'!$C$7:$C$81</definedName>
    <definedName name="DadosExternos_151" localSheetId="1">Cotacao!$C$7:$C$82</definedName>
    <definedName name="DadosExternos_151" localSheetId="2">'Cotacao 2'!$C$7:$C$82</definedName>
    <definedName name="DadosExternos_152" localSheetId="1">Cotacao!$C$7:$C$84</definedName>
    <definedName name="DadosExternos_152" localSheetId="2">'Cotacao 2'!$C$7:$C$84</definedName>
    <definedName name="DadosExternos_153" localSheetId="1">Cotacao!$C$7:$C$85</definedName>
    <definedName name="DadosExternos_153" localSheetId="2">'Cotacao 2'!$C$7:$C$85</definedName>
    <definedName name="DadosExternos_154" localSheetId="1">Cotacao!$C$7:$C$87</definedName>
    <definedName name="DadosExternos_154" localSheetId="2">'Cotacao 2'!$C$7:$C$87</definedName>
    <definedName name="DadosExternos_155" localSheetId="1">Cotacao!$C$7:$C$89</definedName>
    <definedName name="DadosExternos_155" localSheetId="2">'Cotacao 2'!$C$7:$C$89</definedName>
    <definedName name="DadosExternos_156" localSheetId="1">Cotacao!$C$7:$C$91</definedName>
    <definedName name="DadosExternos_156" localSheetId="2">'Cotacao 2'!$C$7:$C$91</definedName>
    <definedName name="DadosExternos_157" localSheetId="1">Cotacao!$C$7:$C$93</definedName>
    <definedName name="DadosExternos_157" localSheetId="2">'Cotacao 2'!$C$7:$C$93</definedName>
    <definedName name="DadosExternos_158" localSheetId="1">Cotacao!$C$7:$C$94</definedName>
    <definedName name="DadosExternos_158" localSheetId="2">'Cotacao 2'!$C$7:$C$94</definedName>
    <definedName name="DadosExternos_159" localSheetId="1">Cotacao!$C$7:$C$94</definedName>
    <definedName name="DadosExternos_159" localSheetId="2">'Cotacao 2'!$C$7:$C$94</definedName>
    <definedName name="DadosExternos_16" localSheetId="1">Cotacao!$C$7:$C$63</definedName>
    <definedName name="DadosExternos_16" localSheetId="2">'Cotacao 2'!$C$7:$C$63</definedName>
    <definedName name="DadosExternos_160" localSheetId="1">Cotacao!$C$7:$C$95</definedName>
    <definedName name="DadosExternos_160" localSheetId="2">'Cotacao 2'!$C$7:$C$95</definedName>
    <definedName name="DadosExternos_161" localSheetId="1">Cotacao!$C$7:$C$94</definedName>
    <definedName name="DadosExternos_161" localSheetId="2">'Cotacao 2'!$C$7:$C$94</definedName>
    <definedName name="DadosExternos_162" localSheetId="1">Cotacao!$C$7:$C$97</definedName>
    <definedName name="DadosExternos_162" localSheetId="2">'Cotacao 2'!$C$7:$C$97</definedName>
    <definedName name="DadosExternos_163" localSheetId="1">Cotacao!$C$7:$C$96</definedName>
    <definedName name="DadosExternos_163" localSheetId="2">'Cotacao 2'!$C$7:$C$96</definedName>
    <definedName name="DadosExternos_164" localSheetId="1">Cotacao!$C$7:$C$95</definedName>
    <definedName name="DadosExternos_164" localSheetId="2">'Cotacao 2'!$C$7:$C$95</definedName>
    <definedName name="DadosExternos_165" localSheetId="1">Cotacao!$C$7:$C$97</definedName>
    <definedName name="DadosExternos_165" localSheetId="2">'Cotacao 2'!$C$7:$C$97</definedName>
    <definedName name="DadosExternos_166" localSheetId="1">Cotacao!$C$7:$C$104</definedName>
    <definedName name="DadosExternos_166" localSheetId="2">'Cotacao 2'!$C$7:$C$104</definedName>
    <definedName name="DadosExternos_167" localSheetId="1">Cotacao!$C$7:$C$106</definedName>
    <definedName name="DadosExternos_167" localSheetId="2">'Cotacao 2'!$C$7:$C$106</definedName>
    <definedName name="DadosExternos_168" localSheetId="1">Cotacao!$C$7:$C$108</definedName>
    <definedName name="DadosExternos_168" localSheetId="2">'Cotacao 2'!$C$7:$C$108</definedName>
    <definedName name="DadosExternos_169" localSheetId="1">Cotacao!$C$7:$C$110</definedName>
    <definedName name="DadosExternos_169" localSheetId="2">'Cotacao 2'!$C$7:$C$110</definedName>
    <definedName name="DadosExternos_17" localSheetId="1">Cotacao!$C$7:$C$63</definedName>
    <definedName name="DadosExternos_17" localSheetId="2">'Cotacao 2'!$C$7:$C$63</definedName>
    <definedName name="DadosExternos_170" localSheetId="1">Cotacao!$C$7:$C$109</definedName>
    <definedName name="DadosExternos_170" localSheetId="2">'Cotacao 2'!$C$7:$C$109</definedName>
    <definedName name="DadosExternos_171" localSheetId="1">Cotacao!$C$7:$C$110</definedName>
    <definedName name="DadosExternos_171" localSheetId="2">'Cotacao 2'!$C$7:$C$110</definedName>
    <definedName name="DadosExternos_172" localSheetId="1">Cotacao!$C$7:$C$110</definedName>
    <definedName name="DadosExternos_172" localSheetId="2">'Cotacao 2'!$C$7:$C$110</definedName>
    <definedName name="DadosExternos_173" localSheetId="1">Cotacao!$C$7:$C$112</definedName>
    <definedName name="DadosExternos_173" localSheetId="2">'Cotacao 2'!$C$7:$C$112</definedName>
    <definedName name="DadosExternos_174" localSheetId="1">Cotacao!$C$7:$C$112</definedName>
    <definedName name="DadosExternos_174" localSheetId="2">'Cotacao 2'!$C$7:$C$112</definedName>
    <definedName name="DadosExternos_175" localSheetId="1">Cotacao!$C$7:$C$112</definedName>
    <definedName name="DadosExternos_175" localSheetId="2">'Cotacao 2'!$C$7:$C$112</definedName>
    <definedName name="DadosExternos_176" localSheetId="1">Cotacao!$C$7:$C$112</definedName>
    <definedName name="DadosExternos_176" localSheetId="2">'Cotacao 2'!$C$7:$C$112</definedName>
    <definedName name="DadosExternos_177" localSheetId="1">Cotacao!$C$7:$C$112</definedName>
    <definedName name="DadosExternos_177" localSheetId="2">'Cotacao 2'!$C$7:$C$112</definedName>
    <definedName name="DadosExternos_178" localSheetId="1">Cotacao!$C$7:$C$112</definedName>
    <definedName name="DadosExternos_178" localSheetId="2">'Cotacao 2'!$C$7:$C$112</definedName>
    <definedName name="DadosExternos_179" localSheetId="1">Cotacao!$C$7:$C$112</definedName>
    <definedName name="DadosExternos_179" localSheetId="2">'Cotacao 2'!$C$7:$C$112</definedName>
    <definedName name="DadosExternos_18" localSheetId="1">Cotacao!$C$7:$C$64</definedName>
    <definedName name="DadosExternos_18" localSheetId="2">'Cotacao 2'!$C$7:$C$64</definedName>
    <definedName name="DadosExternos_180" localSheetId="1">Cotacao!$C$7:$C$112</definedName>
    <definedName name="DadosExternos_180" localSheetId="2">'Cotacao 2'!$C$7:$C$112</definedName>
    <definedName name="DadosExternos_181" localSheetId="1">Cotacao!$C$7:$C$112</definedName>
    <definedName name="DadosExternos_181" localSheetId="2">'Cotacao 2'!$C$7:$C$112</definedName>
    <definedName name="DadosExternos_182" localSheetId="1">Cotacao!$C$7:$C$112</definedName>
    <definedName name="DadosExternos_182" localSheetId="2">'Cotacao 2'!$C$7:$C$112</definedName>
    <definedName name="DadosExternos_183" localSheetId="1">Cotacao!$C$7:$C$112</definedName>
    <definedName name="DadosExternos_183" localSheetId="2">'Cotacao 2'!$C$7:$C$112</definedName>
    <definedName name="DadosExternos_184" localSheetId="1">Cotacao!$C$7:$C$112</definedName>
    <definedName name="DadosExternos_184" localSheetId="2">'Cotacao 2'!$C$7:$C$8</definedName>
    <definedName name="DadosExternos_185" localSheetId="1">Cotacao!$C$7:$C$112</definedName>
    <definedName name="DadosExternos_185" localSheetId="2">'Cotacao 2'!$C$7:$C$8</definedName>
    <definedName name="DadosExternos_186" localSheetId="1">Cotacao!$C$7:$C$112</definedName>
    <definedName name="DadosExternos_186" localSheetId="2">'Cotacao 2'!$C$7:$C$9</definedName>
    <definedName name="DadosExternos_187" localSheetId="1">Cotacao!$C$7:$C$112</definedName>
    <definedName name="DadosExternos_187" localSheetId="2">'Cotacao 2'!$C$7:$C$10</definedName>
    <definedName name="DadosExternos_188" localSheetId="1">Cotacao!$C$7:$C$112</definedName>
    <definedName name="DadosExternos_188" localSheetId="2">'Cotacao 2'!$C$7:$C$13</definedName>
    <definedName name="DadosExternos_189" localSheetId="1">Cotacao!$C$7:$C$112</definedName>
    <definedName name="DadosExternos_189" localSheetId="2">'Cotacao 2'!$C$7:$C$11</definedName>
    <definedName name="DadosExternos_190" localSheetId="1">Cotacao!$C$7:$C$112</definedName>
    <definedName name="DadosExternos_190" localSheetId="2">'Cotacao 2'!$C$7:$C$13</definedName>
    <definedName name="DadosExternos_191" localSheetId="1">Cotacao!$C$7:$C$112</definedName>
    <definedName name="DadosExternos_191" localSheetId="2">'Cotacao 2'!$C$7:$C$14</definedName>
    <definedName name="DadosExternos_192" localSheetId="1">Cotacao!$C$7:$C$112</definedName>
    <definedName name="DadosExternos_192" localSheetId="2">'Cotacao 2'!$C$7:$C$16</definedName>
    <definedName name="DadosExternos_193" localSheetId="1">Cotacao!$C$7:$C$112</definedName>
    <definedName name="DadosExternos_193" localSheetId="2">'Cotacao 2'!$C$7:$C$16</definedName>
    <definedName name="DadosExternos_194" localSheetId="1">Cotacao!$C$7:$C$112</definedName>
    <definedName name="DadosExternos_194" localSheetId="2">'Cotacao 2'!$C$7:$C$17</definedName>
    <definedName name="DadosExternos_195" localSheetId="1">Cotacao!$C$7:$C$112</definedName>
    <definedName name="DadosExternos_195" localSheetId="2">'Cotacao 2'!$C$7:$C$19</definedName>
    <definedName name="DadosExternos_196" localSheetId="1">Cotacao!$C$7:$C$112</definedName>
    <definedName name="DadosExternos_196" localSheetId="2">'Cotacao 2'!$C$7:$C$22</definedName>
    <definedName name="DadosExternos_197" localSheetId="1">Cotacao!$C$7:$C$112</definedName>
    <definedName name="DadosExternos_197" localSheetId="2">'Cotacao 2'!$C$7:$C$41</definedName>
    <definedName name="DadosExternos_198" localSheetId="1">Cotacao!$C$7:$C$112</definedName>
    <definedName name="DadosExternos_198" localSheetId="2">'Cotacao 2'!$C$7:$C$41</definedName>
    <definedName name="DadosExternos_199" localSheetId="2">'Cotacao 2'!$C$7:$C$41</definedName>
    <definedName name="DadosExternos_2" localSheetId="1">Cotacao!$C$7:$C$63</definedName>
    <definedName name="DadosExternos_2" localSheetId="2">'Cotacao 2'!$C$7:$C$63</definedName>
    <definedName name="DadosExternos_20" localSheetId="1">Cotacao!$C$7:$C$64</definedName>
    <definedName name="DadosExternos_20" localSheetId="2">'Cotacao 2'!$C$7:$C$64</definedName>
    <definedName name="DadosExternos_200" localSheetId="1">Cotacao!$C$7:$C$112</definedName>
    <definedName name="DadosExternos_200" localSheetId="2">'Cotacao 2'!$C$7:$C$41</definedName>
    <definedName name="DadosExternos_201" localSheetId="1">Cotacao!$C$7:$C$112</definedName>
    <definedName name="DadosExternos_201" localSheetId="2">'Cotacao 2'!$C$7:$C$41</definedName>
    <definedName name="DadosExternos_202" localSheetId="1">Cotacao!$C$7:$C$112</definedName>
    <definedName name="DadosExternos_202" localSheetId="2">'Cotacao 2'!$C$7:$C$41</definedName>
    <definedName name="DadosExternos_203" localSheetId="1">Cotacao!$C$7:$C$112</definedName>
    <definedName name="DadosExternos_203" localSheetId="2">'Cotacao 2'!$C$7:$C$41</definedName>
    <definedName name="DadosExternos_204" localSheetId="1">Cotacao!$C$7:$C$112</definedName>
    <definedName name="DadosExternos_204" localSheetId="2">'Cotacao 2'!$C$7:$C$41</definedName>
    <definedName name="DadosExternos_205" localSheetId="1">Cotacao!$C$7:$C$112</definedName>
    <definedName name="DadosExternos_205" localSheetId="2">'Cotacao 2'!$C$7:$C$41</definedName>
    <definedName name="DadosExternos_206" localSheetId="1">Cotacao!$C$7:$C$112</definedName>
    <definedName name="DadosExternos_206" localSheetId="2">'Cotacao 2'!$C$7:$C$43</definedName>
    <definedName name="DadosExternos_207" localSheetId="1">Cotacao!$C$7:$C$112</definedName>
    <definedName name="DadosExternos_207" localSheetId="2">'Cotacao 2'!$C$7:$C$43</definedName>
    <definedName name="DadosExternos_208" localSheetId="2">'Cotacao 2'!$C$7:$C$43</definedName>
    <definedName name="DadosExternos_209" localSheetId="1">Cotacao!$C$7:$C$112</definedName>
    <definedName name="DadosExternos_209" localSheetId="2">'Cotacao 2'!$C$7:$C$44</definedName>
    <definedName name="DadosExternos_21" localSheetId="1">Cotacao!$C$7:$C$63</definedName>
    <definedName name="DadosExternos_21" localSheetId="2">'Cotacao 2'!$C$7:$C$63</definedName>
    <definedName name="DadosExternos_210" localSheetId="2">'Cotacao 2'!$C$7:$C$45</definedName>
    <definedName name="DadosExternos_211" localSheetId="1">Cotacao!$C$7:$C$112</definedName>
    <definedName name="DadosExternos_211" localSheetId="2">'Cotacao 2'!$C$7:$C$46</definedName>
    <definedName name="DadosExternos_212" localSheetId="1">Cotacao!$C$7:$C$112</definedName>
    <definedName name="DadosExternos_212" localSheetId="2">'Cotacao 2'!$C$7:$C$47</definedName>
    <definedName name="DadosExternos_213" localSheetId="1">Cotacao!$C$7:$C$112</definedName>
    <definedName name="DadosExternos_213" localSheetId="2">'Cotacao 2'!$C$7:$C$48</definedName>
    <definedName name="DadosExternos_214" localSheetId="2">'Cotacao 2'!$C$7:$C$49</definedName>
    <definedName name="DadosExternos_215" localSheetId="1">Cotacao!$C$7:$C$112</definedName>
    <definedName name="DadosExternos_215" localSheetId="2">'Cotacao 2'!$C$7:$C$50</definedName>
    <definedName name="DadosExternos_216" localSheetId="1">Cotacao!$C$7:$C$112</definedName>
    <definedName name="DadosExternos_216" localSheetId="2">'Cotacao 2'!$C$7:$C$51</definedName>
    <definedName name="DadosExternos_217" localSheetId="1">Cotacao!$C$7:$C$112</definedName>
    <definedName name="DadosExternos_217" localSheetId="2">'Cotacao 2'!$C$7:$C$51</definedName>
    <definedName name="DadosExternos_218" localSheetId="1">Cotacao!$C$7:$C$112</definedName>
    <definedName name="DadosExternos_219" localSheetId="1">Cotacao!$C$7:$C$112</definedName>
    <definedName name="DadosExternos_219" localSheetId="2">'Cotacao 2'!$C$7:$C$51</definedName>
    <definedName name="DadosExternos_220" localSheetId="1">Cotacao!$C$7:$C$112</definedName>
    <definedName name="DadosExternos_220" localSheetId="2">'Cotacao 2'!$C$7:$C$51</definedName>
    <definedName name="DadosExternos_221" localSheetId="1">Cotacao!$C$7:$C$112</definedName>
    <definedName name="DadosExternos_221" localSheetId="2">'Cotacao 2'!$C$7:$C$51</definedName>
    <definedName name="DadosExternos_222" localSheetId="1">Cotacao!$C$7:$C$112</definedName>
    <definedName name="DadosExternos_222" localSheetId="2">'Cotacao 2'!$C$7:$C$52</definedName>
    <definedName name="DadosExternos_223" localSheetId="2">'Cotacao 2'!$C$7:$C$53</definedName>
    <definedName name="DadosExternos_224" localSheetId="1">Cotacao!$C$7:$C$112</definedName>
    <definedName name="DadosExternos_224" localSheetId="2">'Cotacao 2'!$C$7:$C$54</definedName>
    <definedName name="DadosExternos_225" localSheetId="1">Cotacao!$C$7:$C$112</definedName>
    <definedName name="DadosExternos_225" localSheetId="2">'Cotacao 2'!$C$7:$C$55</definedName>
    <definedName name="DadosExternos_226" localSheetId="1">Cotacao!$C$7:$C$112</definedName>
    <definedName name="DadosExternos_227" localSheetId="2">'Cotacao 2'!$C$7:$C$56</definedName>
    <definedName name="DadosExternos_228" localSheetId="1">Cotacao!$C$7:$C$112</definedName>
    <definedName name="DadosExternos_228" localSheetId="2">'Cotacao 2'!$C$7:$C$57</definedName>
    <definedName name="DadosExternos_229" localSheetId="1">Cotacao!$C$7:$C$112</definedName>
    <definedName name="DadosExternos_229" localSheetId="2">'Cotacao 2'!$C$7:$C$58</definedName>
    <definedName name="DadosExternos_230" localSheetId="1">Cotacao!$C$7:$C$112</definedName>
    <definedName name="DadosExternos_230" localSheetId="2">'Cotacao 2'!$C$7:$C$59</definedName>
    <definedName name="DadosExternos_231" localSheetId="1">Cotacao!$C$7:$C$112</definedName>
    <definedName name="DadosExternos_232" localSheetId="1">Cotacao!$C$7:$C$112</definedName>
    <definedName name="DadosExternos_233" localSheetId="1">Cotacao!$C$7:$C$112</definedName>
    <definedName name="DadosExternos_233" localSheetId="2">'Cotacao 2'!$C$7:$C$61</definedName>
    <definedName name="DadosExternos_234" localSheetId="2">'Cotacao 2'!$C$7:$C$63</definedName>
    <definedName name="DadosExternos_235" localSheetId="1">Cotacao!$C$7:$C$112</definedName>
    <definedName name="DadosExternos_235" localSheetId="2">'Cotacao 2'!$C$7:$C$64</definedName>
    <definedName name="DadosExternos_237" localSheetId="1">Cotacao!$C$7:$C$112</definedName>
    <definedName name="DadosExternos_237" localSheetId="2">'Cotacao 2'!$C$7:$C$65</definedName>
    <definedName name="DadosExternos_238" localSheetId="1">Cotacao!$C$7:$C$112</definedName>
    <definedName name="DadosExternos_238" localSheetId="2">'Cotacao 2'!$C$7:$C$66</definedName>
    <definedName name="DadosExternos_239" localSheetId="2">'Cotacao 2'!$C$7:$C$68</definedName>
    <definedName name="DadosExternos_24" localSheetId="1">Cotacao!$C$7:$C$63</definedName>
    <definedName name="DadosExternos_24" localSheetId="2">'Cotacao 2'!$C$7:$C$63</definedName>
    <definedName name="DadosExternos_240" localSheetId="1">Cotacao!$C$7:$C$112</definedName>
    <definedName name="DadosExternos_240" localSheetId="2">'Cotacao 2'!$C$7:$C$68</definedName>
    <definedName name="DadosExternos_241" localSheetId="2">'Cotacao 2'!$C$7:$C$68</definedName>
    <definedName name="DadosExternos_242" localSheetId="2">'Cotacao 2'!$C$7:$C$68</definedName>
    <definedName name="DadosExternos_243" localSheetId="2">'Cotacao 2'!$C$7:$C$68</definedName>
    <definedName name="DadosExternos_244" localSheetId="2">'Cotacao 2'!$C$7:$C$68</definedName>
    <definedName name="DadosExternos_246" localSheetId="2">'Cotacao 2'!$C$7:$C$68</definedName>
    <definedName name="DadosExternos_249" localSheetId="2">'Cotacao 2'!$C$7:$C$68</definedName>
    <definedName name="DadosExternos_250" localSheetId="2">'Cotacao 2'!$C$7:$C$68</definedName>
    <definedName name="DadosExternos_251" localSheetId="2">'Cotacao 2'!$C$7:$C$68</definedName>
    <definedName name="DadosExternos_253" localSheetId="2">'Cotacao 2'!$C$7:$C$69</definedName>
    <definedName name="DadosExternos_256" localSheetId="2">'Cotacao 2'!$C$7:$C$69</definedName>
    <definedName name="DadosExternos_257" localSheetId="2">'Cotacao 2'!$C$7:$C$69</definedName>
    <definedName name="DadosExternos_258" localSheetId="2">'Cotacao 2'!$C$7:$C$69</definedName>
    <definedName name="DadosExternos_259" localSheetId="2">'Cotacao 2'!$C$7:$C$69</definedName>
    <definedName name="DadosExternos_26" localSheetId="1">Cotacao!$C$7:$C$64</definedName>
    <definedName name="DadosExternos_26" localSheetId="2">'Cotacao 2'!$C$7:$C$64</definedName>
    <definedName name="DadosExternos_260" localSheetId="2">'Cotacao 2'!$C$7:$C$69</definedName>
    <definedName name="DadosExternos_261" localSheetId="2">'Cotacao 2'!$C$7:$C$69</definedName>
    <definedName name="DadosExternos_262" localSheetId="2">'Cotacao 2'!$C$7:$C$69</definedName>
    <definedName name="DadosExternos_263" localSheetId="2">'Cotacao 2'!$C$7:$C$69</definedName>
    <definedName name="DadosExternos_265" localSheetId="2">'Cotacao 2'!$C$7:$C$69</definedName>
    <definedName name="DadosExternos_268" localSheetId="2">'Cotacao 2'!$C$7:$C$69</definedName>
    <definedName name="DadosExternos_269" localSheetId="2">'Cotacao 2'!$C$7:$C$69</definedName>
    <definedName name="DadosExternos_27" localSheetId="1">Cotacao!$C$7:$C$65</definedName>
    <definedName name="DadosExternos_27" localSheetId="2">'Cotacao 2'!$C$7:$C$65</definedName>
    <definedName name="DadosExternos_270" localSheetId="2">'Cotacao 2'!$C$7:$C$69</definedName>
    <definedName name="DadosExternos_271" localSheetId="2">'Cotacao 2'!$C$7:$C$69</definedName>
    <definedName name="DadosExternos_272" localSheetId="2">'Cotacao 2'!$C$7:$C$69</definedName>
    <definedName name="DadosExternos_275" localSheetId="2">'Cotacao 2'!$C$7:$C$69</definedName>
    <definedName name="DadosExternos_276" localSheetId="2">'Cotacao 2'!$C$7:$C$69</definedName>
    <definedName name="DadosExternos_277" localSheetId="2">'Cotacao 2'!$C$7:$C$69</definedName>
    <definedName name="DadosExternos_278" localSheetId="2">'Cotacao 2'!$C$7:$C$69</definedName>
    <definedName name="DadosExternos_279" localSheetId="2">'Cotacao 2'!$C$7:$C$69</definedName>
    <definedName name="DadosExternos_28" localSheetId="1">Cotacao!$C$7:$C$65</definedName>
    <definedName name="DadosExternos_28" localSheetId="2">'Cotacao 2'!$C$7:$C$65</definedName>
    <definedName name="DadosExternos_280" localSheetId="2">'Cotacao 2'!$C$7:$C$69</definedName>
    <definedName name="DadosExternos_281" localSheetId="2">'Cotacao 2'!$C$7:$C$69</definedName>
    <definedName name="DadosExternos_282" localSheetId="2">'Cotacao 2'!$C$7:$C$69</definedName>
    <definedName name="DadosExternos_287" localSheetId="2">'Cotacao 2'!$C$7:$C$69</definedName>
    <definedName name="DadosExternos_288" localSheetId="2">'Cotacao 2'!$C$7:$C$71</definedName>
    <definedName name="DadosExternos_29" localSheetId="1">Cotacao!$C$7:$C$65</definedName>
    <definedName name="DadosExternos_29" localSheetId="2">'Cotacao 2'!$C$7:$C$65</definedName>
    <definedName name="DadosExternos_290" localSheetId="2">'Cotacao 2'!$C$7:$C$69</definedName>
    <definedName name="DadosExternos_3" localSheetId="1">Cotacao!$C$7:$C$63</definedName>
    <definedName name="DadosExternos_3" localSheetId="2">'Cotacao 2'!$C$7:$C$63</definedName>
    <definedName name="DadosExternos_30" localSheetId="1">Cotacao!$C$7:$C$65</definedName>
    <definedName name="DadosExternos_30" localSheetId="2">'Cotacao 2'!$C$7:$C$65</definedName>
    <definedName name="DadosExternos_31" localSheetId="1">Cotacao!$C$7:$C$65</definedName>
    <definedName name="DadosExternos_31" localSheetId="2">'Cotacao 2'!$C$7:$C$65</definedName>
    <definedName name="DadosExternos_32" localSheetId="1">Cotacao!$C$7:$C$65</definedName>
    <definedName name="DadosExternos_32" localSheetId="2">'Cotacao 2'!$C$7:$C$65</definedName>
    <definedName name="DadosExternos_33" localSheetId="1">Cotacao!$C$7:$C$65</definedName>
    <definedName name="DadosExternos_33" localSheetId="2">'Cotacao 2'!$C$7:$C$65</definedName>
    <definedName name="DadosExternos_34" localSheetId="1">Cotacao!$C$7:$C$65</definedName>
    <definedName name="DadosExternos_34" localSheetId="2">'Cotacao 2'!$C$7:$C$65</definedName>
    <definedName name="DadosExternos_35" localSheetId="1">Cotacao!$C$7:$C$66</definedName>
    <definedName name="DadosExternos_35" localSheetId="2">'Cotacao 2'!$C$7:$C$66</definedName>
    <definedName name="DadosExternos_36" localSheetId="1">Cotacao!$C$7:$C$67</definedName>
    <definedName name="DadosExternos_36" localSheetId="2">'Cotacao 2'!$C$7:$C$67</definedName>
    <definedName name="DadosExternos_37" localSheetId="1">Cotacao!$C$7:$C$68</definedName>
    <definedName name="DadosExternos_37" localSheetId="2">'Cotacao 2'!$C$7:$C$68</definedName>
    <definedName name="DadosExternos_38" localSheetId="1">Cotacao!$C$7:$C$69</definedName>
    <definedName name="DadosExternos_38" localSheetId="2">'Cotacao 2'!$C$7:$C$69</definedName>
    <definedName name="DadosExternos_39" localSheetId="1">Cotacao!$C$7:$C$70</definedName>
    <definedName name="DadosExternos_39" localSheetId="2">'Cotacao 2'!$C$7:$C$70</definedName>
    <definedName name="DadosExternos_4" localSheetId="1">Cotacao!$C$7:$C$63</definedName>
    <definedName name="DadosExternos_4" localSheetId="2">'Cotacao 2'!$C$7:$C$63</definedName>
    <definedName name="DadosExternos_40" localSheetId="1">Cotacao!$C$7:$C$71</definedName>
    <definedName name="DadosExternos_40" localSheetId="2">'Cotacao 2'!$C$7:$C$71</definedName>
    <definedName name="DadosExternos_41" localSheetId="1">Cotacao!$C$7:$C$72</definedName>
    <definedName name="DadosExternos_41" localSheetId="2">'Cotacao 2'!$C$7:$C$72</definedName>
    <definedName name="DadosExternos_42" localSheetId="1">Cotacao!$C$7:$C$73</definedName>
    <definedName name="DadosExternos_42" localSheetId="2">'Cotacao 2'!$C$7:$C$73</definedName>
    <definedName name="DadosExternos_43" localSheetId="1">Cotacao!$C$7:$C$74</definedName>
    <definedName name="DadosExternos_43" localSheetId="2">'Cotacao 2'!$C$7:$C$74</definedName>
    <definedName name="DadosExternos_44" localSheetId="1">Cotacao!$C$7:$C$75</definedName>
    <definedName name="DadosExternos_44" localSheetId="2">'Cotacao 2'!$C$7:$C$75</definedName>
    <definedName name="DadosExternos_45" localSheetId="1">Cotacao!$C$7:$C$76</definedName>
    <definedName name="DadosExternos_45" localSheetId="2">'Cotacao 2'!$C$7:$C$76</definedName>
    <definedName name="DadosExternos_46" localSheetId="1">Cotacao!$C$7:$C$77</definedName>
    <definedName name="DadosExternos_46" localSheetId="2">'Cotacao 2'!$C$7:$C$77</definedName>
    <definedName name="DadosExternos_47" localSheetId="1">Cotacao!$C$7:$C$78</definedName>
    <definedName name="DadosExternos_47" localSheetId="2">'Cotacao 2'!$C$7:$C$78</definedName>
    <definedName name="DadosExternos_48" localSheetId="1">Cotacao!$C$7:$C$79</definedName>
    <definedName name="DadosExternos_48" localSheetId="2">'Cotacao 2'!$C$7:$C$79</definedName>
    <definedName name="DadosExternos_49" localSheetId="1">Cotacao!$C$7:$C$80</definedName>
    <definedName name="DadosExternos_49" localSheetId="2">'Cotacao 2'!$C$7:$C$80</definedName>
    <definedName name="DadosExternos_50" localSheetId="1">Cotacao!$C$7:$C$81</definedName>
    <definedName name="DadosExternos_50" localSheetId="2">'Cotacao 2'!$C$7:$C$81</definedName>
    <definedName name="DadosExternos_51" localSheetId="1">Cotacao!$C$7:$C$82</definedName>
    <definedName name="DadosExternos_51" localSheetId="2">'Cotacao 2'!$C$7:$C$82</definedName>
    <definedName name="DadosExternos_52" localSheetId="1">Cotacao!$C$7:$C$83</definedName>
    <definedName name="DadosExternos_52" localSheetId="2">'Cotacao 2'!$C$7:$C$83</definedName>
    <definedName name="DadosExternos_53" localSheetId="1">Cotacao!$C$7:$C$84</definedName>
    <definedName name="DadosExternos_53" localSheetId="2">'Cotacao 2'!$C$7:$C$84</definedName>
    <definedName name="DadosExternos_54" localSheetId="1">Cotacao!$C$7:$C$96</definedName>
    <definedName name="DadosExternos_54" localSheetId="2">'Cotacao 2'!$C$7:$C$96</definedName>
    <definedName name="DadosExternos_55" localSheetId="1">Cotacao!$C$7:$C$96</definedName>
    <definedName name="DadosExternos_55" localSheetId="2">'Cotacao 2'!$C$7:$C$96</definedName>
    <definedName name="DadosExternos_56" localSheetId="1">Cotacao!$C$7:$C$96</definedName>
    <definedName name="DadosExternos_56" localSheetId="2">'Cotacao 2'!$C$7:$C$96</definedName>
    <definedName name="DadosExternos_57" localSheetId="1">Cotacao!$C$7:$C$96</definedName>
    <definedName name="DadosExternos_57" localSheetId="2">'Cotacao 2'!$C$7:$C$96</definedName>
    <definedName name="DadosExternos_58" localSheetId="1">Cotacao!$C$7:$C$96</definedName>
    <definedName name="DadosExternos_58" localSheetId="2">'Cotacao 2'!$C$7:$C$96</definedName>
    <definedName name="DadosExternos_59" localSheetId="1">Cotacao!$C$7:$C$96</definedName>
    <definedName name="DadosExternos_59" localSheetId="2">'Cotacao 2'!$C$7:$C$96</definedName>
    <definedName name="DadosExternos_6" localSheetId="1">Cotacao!$C$7:$C$63</definedName>
    <definedName name="DadosExternos_6" localSheetId="2">'Cotacao 2'!$C$7:$C$63</definedName>
    <definedName name="DadosExternos_60" localSheetId="1">Cotacao!$C$7:$C$97</definedName>
    <definedName name="DadosExternos_60" localSheetId="2">'Cotacao 2'!$C$7:$C$97</definedName>
    <definedName name="DadosExternos_61" localSheetId="1">Cotacao!$C$7:$C$97</definedName>
    <definedName name="DadosExternos_61" localSheetId="2">'Cotacao 2'!$C$7:$C$97</definedName>
    <definedName name="DadosExternos_62" localSheetId="1">Cotacao!$C$7:$C$103</definedName>
    <definedName name="DadosExternos_62" localSheetId="2">'Cotacao 2'!$C$7:$C$103</definedName>
    <definedName name="DadosExternos_63" localSheetId="1">Cotacao!$C$7:$C$106</definedName>
    <definedName name="DadosExternos_63" localSheetId="2">'Cotacao 2'!$C$7:$C$106</definedName>
    <definedName name="DadosExternos_64" localSheetId="1">Cotacao!$C$7:$C$106</definedName>
    <definedName name="DadosExternos_64" localSheetId="2">'Cotacao 2'!$C$7:$C$106</definedName>
    <definedName name="DadosExternos_65" localSheetId="1">Cotacao!$C$7:$C$109</definedName>
    <definedName name="DadosExternos_65" localSheetId="2">'Cotacao 2'!$C$7:$C$109</definedName>
    <definedName name="DadosExternos_66" localSheetId="1">Cotacao!$C$7:$C$111</definedName>
    <definedName name="DadosExternos_66" localSheetId="2">'Cotacao 2'!$C$7:$C$111</definedName>
    <definedName name="DadosExternos_67" localSheetId="1">Cotacao!$C$7:$C$112</definedName>
    <definedName name="DadosExternos_67" localSheetId="2">'Cotacao 2'!$C$7:$C$112</definedName>
    <definedName name="DadosExternos_68" localSheetId="1">Cotacao!$C$7:$C$110</definedName>
    <definedName name="DadosExternos_68" localSheetId="2">'Cotacao 2'!$C$7:$C$110</definedName>
    <definedName name="DadosExternos_69" localSheetId="1">Cotacao!$C$7:$C$110</definedName>
    <definedName name="DadosExternos_69" localSheetId="2">'Cotacao 2'!$C$7:$C$110</definedName>
    <definedName name="DadosExternos_7" localSheetId="1">Cotacao!$C$7:$C$63</definedName>
    <definedName name="DadosExternos_7" localSheetId="2">'Cotacao 2'!$C$7:$C$63</definedName>
    <definedName name="DadosExternos_70" localSheetId="1">Cotacao!$C$7:$C$110</definedName>
    <definedName name="DadosExternos_70" localSheetId="2">'Cotacao 2'!$C$7:$C$110</definedName>
    <definedName name="DadosExternos_71" localSheetId="1">Cotacao!$C$7:$C$110</definedName>
    <definedName name="DadosExternos_71" localSheetId="2">'Cotacao 2'!$C$7:$C$110</definedName>
    <definedName name="DadosExternos_72" localSheetId="1">Cotacao!$C$7:$C$112</definedName>
    <definedName name="DadosExternos_72" localSheetId="2">'Cotacao 2'!$C$7:$C$112</definedName>
    <definedName name="DadosExternos_73" localSheetId="1">Cotacao!$C$7:$C$114</definedName>
    <definedName name="DadosExternos_73" localSheetId="2">'Cotacao 2'!$C$7:$C$114</definedName>
    <definedName name="DadosExternos_8" localSheetId="1">Cotacao!$C$7:$C$63</definedName>
    <definedName name="DadosExternos_8" localSheetId="2">'Cotacao 2'!$C$7:$C$63</definedName>
    <definedName name="DadosExternos_9" localSheetId="1">Cotacao!$C$7:$C$63</definedName>
    <definedName name="DadosExternos_9" localSheetId="2">'Cotacao 2'!$C$7:$C$63</definedName>
    <definedName name="DadosExternos_90" localSheetId="1">Cotacao!$C$7:$C$114</definedName>
    <definedName name="DadosExternos_90" localSheetId="2">'Cotacao 2'!$C$7:$C$114</definedName>
    <definedName name="DadosExternos_96" localSheetId="1">Cotacao!$C$7:$C$114</definedName>
    <definedName name="DadosExternos_96" localSheetId="2">'Cotacao 2'!$C$7:$C$114</definedName>
    <definedName name="DadosExternos_97" localSheetId="1">Cotacao!$C$7:$C$114</definedName>
    <definedName name="DadosExternos_97" localSheetId="2">'Cotacao 2'!$C$7:$C$114</definedName>
    <definedName name="DadosExternos_98" localSheetId="1">Cotacao!$C$7:$C$114</definedName>
    <definedName name="DadosExternos_98" localSheetId="2">'Cotacao 2'!$C$7:$C$114</definedName>
    <definedName name="ExternalData_1" localSheetId="1">Cotacao!$C$7:$C$64</definedName>
    <definedName name="ExternalData_1" localSheetId="2">'Cotacao 2'!$C$7:$C$64</definedName>
    <definedName name="ExternalData_10" localSheetId="1">Cotacao!$C$7:$C$93</definedName>
    <definedName name="ExternalData_10" localSheetId="2">'Cotacao 2'!$C$7:$C$93</definedName>
    <definedName name="ExternalData_11" localSheetId="1">Cotacao!$C$7:$C$94</definedName>
    <definedName name="ExternalData_11" localSheetId="2">'Cotacao 2'!$C$7:$C$94</definedName>
    <definedName name="ExternalData_12" localSheetId="1">Cotacao!$C$7:$C$95</definedName>
    <definedName name="ExternalData_12" localSheetId="2">'Cotacao 2'!$C$7:$C$95</definedName>
    <definedName name="ExternalData_13" localSheetId="1">Cotacao!$C$7:$C$96</definedName>
    <definedName name="ExternalData_13" localSheetId="2">'Cotacao 2'!$C$7:$C$96</definedName>
    <definedName name="ExternalData_14" localSheetId="1">Cotacao!$C$7:$C$98</definedName>
    <definedName name="ExternalData_14" localSheetId="2">'Cotacao 2'!$C$7:$C$98</definedName>
    <definedName name="ExternalData_15" localSheetId="1">Cotacao!$C$7:$C$100</definedName>
    <definedName name="ExternalData_15" localSheetId="2">'Cotacao 2'!$C$7:$C$100</definedName>
    <definedName name="ExternalData_16" localSheetId="1">Cotacao!$C$7:$C$101</definedName>
    <definedName name="ExternalData_16" localSheetId="2">'Cotacao 2'!$C$7:$C$101</definedName>
    <definedName name="ExternalData_17" localSheetId="1">Cotacao!$C$7:$C$110</definedName>
    <definedName name="ExternalData_17" localSheetId="2">'Cotacao 2'!$C$7:$C$110</definedName>
    <definedName name="ExternalData_18" localSheetId="1">Cotacao!$C$7:$C$111</definedName>
    <definedName name="ExternalData_18" localSheetId="2">'Cotacao 2'!$C$7:$C$111</definedName>
    <definedName name="ExternalData_19" localSheetId="1">Cotacao!$C$7:$C$113</definedName>
    <definedName name="ExternalData_19" localSheetId="2">'Cotacao 2'!$C$7:$C$113</definedName>
    <definedName name="ExternalData_2" localSheetId="1">Cotacao!$C$7:$C$85</definedName>
    <definedName name="ExternalData_2" localSheetId="2">'Cotacao 2'!$C$7:$C$85</definedName>
    <definedName name="ExternalData_20" localSheetId="1">Cotacao!$C$7:$C$111</definedName>
    <definedName name="ExternalData_20" localSheetId="2">'Cotacao 2'!$C$7:$C$111</definedName>
    <definedName name="ExternalData_21" localSheetId="1">Cotacao!$C$7:$C$112</definedName>
    <definedName name="ExternalData_21" localSheetId="2">'Cotacao 2'!$C$7:$C$112</definedName>
    <definedName name="ExternalData_22" localSheetId="2">'Cotacao 2'!$C$7:$C$23</definedName>
    <definedName name="ExternalData_23" localSheetId="2">'Cotacao 2'!$C$7:$C$23</definedName>
    <definedName name="ExternalData_24" localSheetId="2">'Cotacao 2'!$C$7:$C$24</definedName>
    <definedName name="ExternalData_25" localSheetId="2">'Cotacao 2'!$C$7:$C$26</definedName>
    <definedName name="ExternalData_26" localSheetId="2">'Cotacao 2'!$C$7:$C$27</definedName>
    <definedName name="ExternalData_27" localSheetId="2">'Cotacao 2'!$C$7:$C$29</definedName>
    <definedName name="ExternalData_28" localSheetId="2">'Cotacao 2'!$C$7:$C$28</definedName>
    <definedName name="ExternalData_29" localSheetId="2">'Cotacao 2'!$C$7:$C$28</definedName>
    <definedName name="ExternalData_3" localSheetId="1">Cotacao!$C$7:$C$86</definedName>
    <definedName name="ExternalData_3" localSheetId="2">'Cotacao 2'!$C$7:$C$86</definedName>
    <definedName name="ExternalData_30" localSheetId="2">'Cotacao 2'!$C$7:$C$29</definedName>
    <definedName name="ExternalData_31" localSheetId="2">'Cotacao 2'!$C$7:$C$30</definedName>
    <definedName name="ExternalData_32" localSheetId="2">'Cotacao 2'!$C$7:$C$32</definedName>
    <definedName name="ExternalData_33" localSheetId="2">'Cotacao 2'!$C$7:$C$32</definedName>
    <definedName name="ExternalData_34" localSheetId="2">'Cotacao 2'!$C$7:$C$34</definedName>
    <definedName name="ExternalData_35" localSheetId="2">'Cotacao 2'!$C$7:$C$36</definedName>
    <definedName name="ExternalData_36" localSheetId="2">'Cotacao 2'!$C$7:$C$39</definedName>
    <definedName name="ExternalData_37" localSheetId="2">'Cotacao 2'!$C$7:$C$38</definedName>
    <definedName name="ExternalData_38" localSheetId="2">'Cotacao 2'!$C$7:$C$39</definedName>
    <definedName name="ExternalData_39" localSheetId="2">'Cotacao 2'!$C$7:$C$40</definedName>
    <definedName name="ExternalData_4" localSheetId="1">Cotacao!$C$7:$C$87</definedName>
    <definedName name="ExternalData_4" localSheetId="2">'Cotacao 2'!$C$7:$C$87</definedName>
    <definedName name="ExternalData_40" localSheetId="2">'Cotacao 2'!$C$7:$C$41</definedName>
    <definedName name="ExternalData_5" localSheetId="1">Cotacao!$C$7:$C$88</definedName>
    <definedName name="ExternalData_5" localSheetId="2">'Cotacao 2'!$C$7:$C$88</definedName>
    <definedName name="ExternalData_6" localSheetId="1">Cotacao!$C$7:$C$89</definedName>
    <definedName name="ExternalData_6" localSheetId="2">'Cotacao 2'!$C$7:$C$89</definedName>
    <definedName name="ExternalData_7" localSheetId="1">Cotacao!$C$7:$C$90</definedName>
    <definedName name="ExternalData_7" localSheetId="2">'Cotacao 2'!$C$7:$C$90</definedName>
    <definedName name="ExternalData_8" localSheetId="1">Cotacao!$C$7:$C$91</definedName>
    <definedName name="ExternalData_8" localSheetId="2">'Cotacao 2'!$C$7:$C$91</definedName>
    <definedName name="ExternalData_9" localSheetId="1">Cotacao!$C$7:$C$92</definedName>
    <definedName name="ExternalData_9" localSheetId="2">'Cotacao 2'!$C$7:$C$92</definedName>
  </definedNames>
  <calcPr calcId="144525"/>
  <pivotCaches>
    <pivotCache cacheId="0" r:id="rId9"/>
    <pivotCache cacheId="1" r:id="rId10"/>
  </pivotCaches>
</workbook>
</file>

<file path=xl/calcChain.xml><?xml version="1.0" encoding="utf-8"?>
<calcChain xmlns="http://schemas.openxmlformats.org/spreadsheetml/2006/main">
  <c r="N2" i="1" l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L2" i="12" l="1"/>
  <c r="M2" i="12" s="1"/>
  <c r="L3" i="12"/>
  <c r="M3" i="12" s="1"/>
  <c r="L4" i="12"/>
  <c r="M4" i="12" s="1"/>
  <c r="L5" i="12"/>
  <c r="M5" i="12" s="1"/>
  <c r="L6" i="12"/>
  <c r="M6" i="12" s="1"/>
  <c r="L7" i="12"/>
  <c r="M7" i="12" s="1"/>
  <c r="L8" i="12"/>
  <c r="M8" i="12" s="1"/>
  <c r="L9" i="12"/>
  <c r="M9" i="12" s="1"/>
  <c r="L10" i="12"/>
  <c r="M10" i="12" s="1"/>
  <c r="L11" i="12"/>
  <c r="M11" i="12" s="1"/>
  <c r="L12" i="12"/>
  <c r="M12" i="12" s="1"/>
  <c r="L13" i="12"/>
  <c r="M13" i="12" s="1"/>
  <c r="L14" i="12"/>
  <c r="M14" i="12" s="1"/>
  <c r="L15" i="12"/>
  <c r="M15" i="12" s="1"/>
  <c r="L16" i="12"/>
  <c r="M16" i="12" s="1"/>
  <c r="L17" i="12"/>
  <c r="M17" i="12" s="1"/>
  <c r="L18" i="12"/>
  <c r="M18" i="12" s="1"/>
  <c r="L19" i="12"/>
  <c r="M19" i="12" s="1"/>
  <c r="L20" i="12"/>
  <c r="M20" i="12" s="1"/>
  <c r="L21" i="12"/>
  <c r="M21" i="12" s="1"/>
  <c r="L22" i="12"/>
  <c r="M22" i="12" s="1"/>
  <c r="L23" i="12"/>
  <c r="M23" i="12" s="1"/>
  <c r="L24" i="12"/>
  <c r="M24" i="12" s="1"/>
  <c r="L25" i="12"/>
  <c r="M25" i="12" s="1"/>
  <c r="L26" i="12"/>
  <c r="M26" i="12" s="1"/>
  <c r="L27" i="12"/>
  <c r="M27" i="12" s="1"/>
  <c r="L28" i="12"/>
  <c r="M28" i="12" s="1"/>
  <c r="L29" i="12"/>
  <c r="M29" i="12" s="1"/>
  <c r="L30" i="12"/>
  <c r="M30" i="12" s="1"/>
  <c r="L31" i="12"/>
  <c r="M31" i="12" s="1"/>
  <c r="L32" i="12"/>
  <c r="M32" i="12" s="1"/>
  <c r="L33" i="12"/>
  <c r="M33" i="12" s="1"/>
  <c r="L34" i="12"/>
  <c r="M34" i="12" s="1"/>
  <c r="L35" i="12"/>
  <c r="M35" i="12" s="1"/>
  <c r="L36" i="12"/>
  <c r="M36" i="12" s="1"/>
  <c r="L37" i="12"/>
  <c r="M37" i="12" s="1"/>
  <c r="L38" i="12"/>
  <c r="M38" i="12" s="1"/>
  <c r="L39" i="12"/>
  <c r="M39" i="12" s="1"/>
  <c r="L40" i="12"/>
  <c r="M40" i="12" s="1"/>
  <c r="L41" i="12"/>
  <c r="M41" i="12" s="1"/>
  <c r="L42" i="12"/>
  <c r="M42" i="12" s="1"/>
  <c r="L43" i="12"/>
  <c r="M43" i="12" s="1"/>
  <c r="L44" i="12"/>
  <c r="M44" i="12" s="1"/>
  <c r="L45" i="12"/>
  <c r="M45" i="12" s="1"/>
  <c r="L46" i="12"/>
  <c r="M46" i="12" s="1"/>
  <c r="L47" i="12"/>
  <c r="M47" i="12" s="1"/>
  <c r="L48" i="12"/>
  <c r="M48" i="12" s="1"/>
  <c r="L49" i="12"/>
  <c r="M49" i="12" s="1"/>
  <c r="L50" i="12"/>
  <c r="M50" i="12" s="1"/>
  <c r="L51" i="12"/>
  <c r="M51" i="12" s="1"/>
  <c r="L52" i="12"/>
  <c r="M52" i="12" s="1"/>
  <c r="L53" i="12"/>
  <c r="M53" i="12" s="1"/>
  <c r="L54" i="12"/>
  <c r="M54" i="12" s="1"/>
  <c r="L55" i="12"/>
  <c r="M55" i="12" s="1"/>
  <c r="L56" i="12"/>
  <c r="M56" i="12" s="1"/>
  <c r="L57" i="12"/>
  <c r="M57" i="12" s="1"/>
  <c r="L58" i="12"/>
  <c r="M58" i="12" s="1"/>
  <c r="L59" i="12"/>
  <c r="M59" i="12" s="1"/>
  <c r="L60" i="12"/>
  <c r="M60" i="12" s="1"/>
  <c r="L61" i="12"/>
  <c r="M61" i="12" s="1"/>
  <c r="L62" i="12"/>
  <c r="M62" i="12" s="1"/>
  <c r="L63" i="12"/>
  <c r="M63" i="12" s="1"/>
  <c r="L64" i="12"/>
  <c r="M64" i="12" s="1"/>
  <c r="L65" i="12"/>
  <c r="M65" i="12" s="1"/>
  <c r="L66" i="12"/>
  <c r="M66" i="12" s="1"/>
  <c r="L67" i="12"/>
  <c r="M67" i="12" s="1"/>
  <c r="L68" i="12"/>
  <c r="M68" i="12" s="1"/>
  <c r="L69" i="12"/>
  <c r="M69" i="12" s="1"/>
  <c r="L70" i="12"/>
  <c r="M70" i="12" s="1"/>
  <c r="L71" i="12"/>
  <c r="M71" i="12" s="1"/>
  <c r="L72" i="12"/>
  <c r="M72" i="12" s="1"/>
  <c r="L73" i="12"/>
  <c r="M73" i="12" s="1"/>
  <c r="L74" i="12"/>
  <c r="M74" i="12" s="1"/>
  <c r="L75" i="12"/>
  <c r="M75" i="12" s="1"/>
  <c r="L76" i="12"/>
  <c r="M76" i="12" s="1"/>
  <c r="L77" i="12"/>
  <c r="M77" i="12" s="1"/>
  <c r="L78" i="12"/>
  <c r="M78" i="12" s="1"/>
  <c r="L79" i="12"/>
  <c r="M79" i="12" s="1"/>
  <c r="L80" i="12"/>
  <c r="M80" i="12" s="1"/>
  <c r="L81" i="12"/>
  <c r="M81" i="12" s="1"/>
  <c r="L82" i="12"/>
  <c r="M82" i="12" s="1"/>
  <c r="L83" i="12"/>
  <c r="M83" i="12" s="1"/>
  <c r="L84" i="12"/>
  <c r="M84" i="12" s="1"/>
  <c r="L85" i="12"/>
  <c r="M85" i="12" s="1"/>
  <c r="L86" i="12"/>
  <c r="M86" i="12" s="1"/>
  <c r="L87" i="12"/>
  <c r="M87" i="12" s="1"/>
  <c r="L88" i="12"/>
  <c r="M88" i="12" s="1"/>
  <c r="L89" i="12"/>
  <c r="M89" i="12" s="1"/>
  <c r="L90" i="12"/>
  <c r="M90" i="12" s="1"/>
  <c r="L91" i="12"/>
  <c r="M91" i="12" s="1"/>
  <c r="L92" i="12"/>
  <c r="M92" i="12" s="1"/>
  <c r="L93" i="12"/>
  <c r="M93" i="12" s="1"/>
  <c r="L94" i="12"/>
  <c r="M94" i="12" s="1"/>
  <c r="L95" i="12"/>
  <c r="M95" i="12" s="1"/>
  <c r="L96" i="12"/>
  <c r="M96" i="12" s="1"/>
  <c r="L97" i="12"/>
  <c r="M97" i="12" s="1"/>
  <c r="L98" i="12"/>
  <c r="M98" i="12" s="1"/>
  <c r="L99" i="12"/>
  <c r="M99" i="12" s="1"/>
  <c r="L100" i="12"/>
  <c r="M100" i="12" s="1"/>
  <c r="L101" i="12"/>
  <c r="M101" i="12" s="1"/>
  <c r="L102" i="12"/>
  <c r="M102" i="12" s="1"/>
  <c r="L103" i="12"/>
  <c r="M103" i="12" s="1"/>
  <c r="L104" i="12"/>
  <c r="M104" i="12" s="1"/>
  <c r="L105" i="12"/>
  <c r="M105" i="12" s="1"/>
  <c r="L106" i="12"/>
  <c r="M106" i="12" s="1"/>
  <c r="L107" i="12"/>
  <c r="M107" i="12" s="1"/>
  <c r="L108" i="12"/>
  <c r="M108" i="12" s="1"/>
  <c r="L109" i="12"/>
  <c r="M109" i="12" s="1"/>
  <c r="L110" i="12"/>
  <c r="M110" i="12" s="1"/>
  <c r="L111" i="12"/>
  <c r="M111" i="12" s="1"/>
  <c r="L112" i="12"/>
  <c r="M112" i="12" s="1"/>
  <c r="L113" i="12"/>
  <c r="M113" i="12" s="1"/>
  <c r="L114" i="12"/>
  <c r="M114" i="12" s="1"/>
  <c r="L115" i="12"/>
  <c r="M115" i="12" s="1"/>
  <c r="L116" i="12"/>
  <c r="M116" i="12" s="1"/>
  <c r="L117" i="12"/>
  <c r="M117" i="12" s="1"/>
  <c r="L118" i="12"/>
  <c r="M118" i="12" s="1"/>
  <c r="L119" i="12"/>
  <c r="M119" i="12" s="1"/>
  <c r="L120" i="12"/>
  <c r="M120" i="12" s="1"/>
  <c r="L121" i="12"/>
  <c r="M121" i="12" s="1"/>
  <c r="L122" i="12"/>
  <c r="M122" i="12" s="1"/>
  <c r="L123" i="12"/>
  <c r="M123" i="12" s="1"/>
  <c r="L124" i="12"/>
  <c r="M124" i="12" s="1"/>
  <c r="L125" i="12"/>
  <c r="M125" i="12" s="1"/>
  <c r="L126" i="12"/>
  <c r="M126" i="12" s="1"/>
  <c r="L127" i="12"/>
  <c r="M127" i="12" s="1"/>
  <c r="L128" i="12"/>
  <c r="M128" i="12" s="1"/>
  <c r="L129" i="12"/>
  <c r="M129" i="12" s="1"/>
  <c r="L130" i="12"/>
  <c r="M130" i="12" s="1"/>
  <c r="L131" i="12"/>
  <c r="M131" i="12" s="1"/>
  <c r="L132" i="12"/>
  <c r="M132" i="12" s="1"/>
  <c r="L133" i="12"/>
  <c r="M133" i="12" s="1"/>
  <c r="L134" i="12"/>
  <c r="M134" i="12" s="1"/>
  <c r="L135" i="12"/>
  <c r="M135" i="12" s="1"/>
  <c r="L136" i="12"/>
  <c r="M136" i="12" s="1"/>
  <c r="L137" i="12"/>
  <c r="M137" i="12" s="1"/>
  <c r="L138" i="12"/>
  <c r="M138" i="12" s="1"/>
  <c r="L139" i="12"/>
  <c r="M139" i="12" s="1"/>
  <c r="L140" i="12"/>
  <c r="M140" i="12" s="1"/>
  <c r="L141" i="12"/>
  <c r="M141" i="12" s="1"/>
  <c r="L142" i="12"/>
  <c r="M142" i="12" s="1"/>
  <c r="L143" i="12"/>
  <c r="M143" i="12" s="1"/>
  <c r="L144" i="12"/>
  <c r="M144" i="12" s="1"/>
  <c r="L145" i="12"/>
  <c r="M145" i="12" s="1"/>
  <c r="L146" i="12"/>
  <c r="M146" i="12" s="1"/>
  <c r="L147" i="12"/>
  <c r="M147" i="12" s="1"/>
  <c r="L148" i="12"/>
  <c r="M148" i="12" s="1"/>
  <c r="L149" i="12"/>
  <c r="M149" i="12" s="1"/>
  <c r="L150" i="12"/>
  <c r="M150" i="12" s="1"/>
  <c r="L151" i="12"/>
  <c r="M151" i="12" s="1"/>
  <c r="L152" i="12"/>
  <c r="M152" i="12" s="1"/>
  <c r="L153" i="12"/>
  <c r="M153" i="12" s="1"/>
  <c r="L154" i="12"/>
  <c r="M154" i="12" s="1"/>
  <c r="L155" i="12"/>
  <c r="M155" i="12" s="1"/>
  <c r="L156" i="12"/>
  <c r="M156" i="12" s="1"/>
  <c r="L157" i="12"/>
  <c r="M157" i="12" s="1"/>
  <c r="L158" i="12"/>
  <c r="M158" i="12" s="1"/>
  <c r="L159" i="12"/>
  <c r="M159" i="12" s="1"/>
  <c r="L160" i="12"/>
  <c r="M160" i="12" s="1"/>
  <c r="L161" i="12"/>
  <c r="M161" i="12" s="1"/>
  <c r="L162" i="12"/>
  <c r="M162" i="12" s="1"/>
  <c r="L163" i="12"/>
  <c r="M163" i="12" s="1"/>
  <c r="L164" i="12"/>
  <c r="M164" i="12" s="1"/>
  <c r="L165" i="12"/>
  <c r="M165" i="12" s="1"/>
  <c r="L166" i="12"/>
  <c r="M166" i="12" s="1"/>
  <c r="L167" i="12"/>
  <c r="M167" i="12" s="1"/>
  <c r="L168" i="12"/>
  <c r="M168" i="12" s="1"/>
  <c r="L169" i="12"/>
  <c r="M169" i="12" s="1"/>
  <c r="L170" i="12"/>
  <c r="M170" i="12" s="1"/>
  <c r="L171" i="12"/>
  <c r="M171" i="12" s="1"/>
  <c r="L172" i="12"/>
  <c r="M172" i="12" s="1"/>
  <c r="L173" i="12"/>
  <c r="M173" i="12" s="1"/>
  <c r="L174" i="12"/>
  <c r="M174" i="12" s="1"/>
  <c r="L175" i="12"/>
  <c r="M175" i="12" s="1"/>
  <c r="L176" i="12"/>
  <c r="M176" i="12" s="1"/>
  <c r="L177" i="12"/>
  <c r="M177" i="12" s="1"/>
  <c r="L178" i="12"/>
  <c r="M178" i="12" s="1"/>
  <c r="L179" i="12"/>
  <c r="M179" i="12" s="1"/>
  <c r="L180" i="12"/>
  <c r="M180" i="12" s="1"/>
  <c r="L181" i="12"/>
  <c r="M181" i="12" s="1"/>
  <c r="L182" i="12"/>
  <c r="M182" i="12" s="1"/>
  <c r="L183" i="12"/>
  <c r="M183" i="12" s="1"/>
  <c r="L184" i="12"/>
  <c r="M184" i="12" s="1"/>
  <c r="L185" i="12"/>
  <c r="M185" i="12" s="1"/>
  <c r="L186" i="12"/>
  <c r="M186" i="12" s="1"/>
  <c r="L187" i="12"/>
  <c r="M187" i="12" s="1"/>
  <c r="L188" i="12"/>
  <c r="M188" i="12" s="1"/>
  <c r="L189" i="12"/>
  <c r="M189" i="12" s="1"/>
  <c r="L190" i="12"/>
  <c r="M190" i="12" s="1"/>
  <c r="L191" i="12"/>
  <c r="M191" i="12" s="1"/>
  <c r="L192" i="12"/>
  <c r="M192" i="12" s="1"/>
  <c r="L193" i="12"/>
  <c r="M193" i="12" s="1"/>
  <c r="L194" i="12"/>
  <c r="M194" i="12" s="1"/>
  <c r="L195" i="12"/>
  <c r="M195" i="12" s="1"/>
  <c r="L196" i="12"/>
  <c r="M196" i="12" s="1"/>
  <c r="L197" i="12"/>
  <c r="M197" i="12" s="1"/>
  <c r="L198" i="12"/>
  <c r="M198" i="12" s="1"/>
  <c r="L199" i="12"/>
  <c r="M199" i="12" s="1"/>
  <c r="L200" i="12"/>
  <c r="M200" i="12" s="1"/>
  <c r="L201" i="12"/>
  <c r="M201" i="12" s="1"/>
  <c r="L202" i="12"/>
  <c r="M202" i="12" s="1"/>
  <c r="L203" i="12"/>
  <c r="M203" i="12" s="1"/>
  <c r="L204" i="12"/>
  <c r="M204" i="12" s="1"/>
  <c r="L205" i="12"/>
  <c r="M205" i="12" s="1"/>
  <c r="L206" i="12"/>
  <c r="M206" i="12" s="1"/>
  <c r="L207" i="12"/>
  <c r="M207" i="12" s="1"/>
  <c r="L208" i="12"/>
  <c r="M208" i="12" s="1"/>
  <c r="L209" i="12"/>
  <c r="M209" i="12" s="1"/>
  <c r="L210" i="12"/>
  <c r="M210" i="12" s="1"/>
  <c r="L211" i="12"/>
  <c r="M211" i="12" s="1"/>
  <c r="L212" i="12"/>
  <c r="M212" i="12" s="1"/>
  <c r="L213" i="12"/>
  <c r="M213" i="12" s="1"/>
  <c r="L214" i="12"/>
  <c r="M214" i="12" s="1"/>
  <c r="L215" i="12"/>
  <c r="M215" i="12" s="1"/>
  <c r="L216" i="12"/>
  <c r="M216" i="12" s="1"/>
  <c r="L217" i="12"/>
  <c r="M217" i="12" s="1"/>
  <c r="L218" i="12"/>
  <c r="M218" i="12" s="1"/>
  <c r="L219" i="12"/>
  <c r="M219" i="12" s="1"/>
  <c r="L220" i="12"/>
  <c r="M220" i="12" s="1"/>
  <c r="L221" i="12"/>
  <c r="M221" i="12" s="1"/>
  <c r="L222" i="12"/>
  <c r="M222" i="12" s="1"/>
  <c r="L223" i="12"/>
  <c r="M223" i="12" s="1"/>
  <c r="L224" i="12"/>
  <c r="M224" i="12" s="1"/>
  <c r="L225" i="12"/>
  <c r="M225" i="12" s="1"/>
  <c r="L226" i="12"/>
  <c r="M226" i="12" s="1"/>
  <c r="L227" i="12"/>
  <c r="M227" i="12" s="1"/>
  <c r="L228" i="12"/>
  <c r="M228" i="12" s="1"/>
  <c r="L229" i="12"/>
  <c r="M229" i="12" s="1"/>
  <c r="L230" i="12"/>
  <c r="M230" i="12" s="1"/>
  <c r="L231" i="12"/>
  <c r="M231" i="12" s="1"/>
  <c r="L232" i="12"/>
  <c r="M232" i="12" s="1"/>
  <c r="L233" i="12"/>
  <c r="M233" i="12" s="1"/>
  <c r="L234" i="12"/>
  <c r="M234" i="12" s="1"/>
  <c r="L235" i="12"/>
  <c r="M235" i="12" s="1"/>
  <c r="L236" i="12"/>
  <c r="M236" i="12" s="1"/>
  <c r="L237" i="12"/>
  <c r="M237" i="12" s="1"/>
  <c r="L238" i="12"/>
  <c r="M238" i="12" s="1"/>
  <c r="L239" i="12"/>
  <c r="M239" i="12" s="1"/>
  <c r="L240" i="12"/>
  <c r="M240" i="12" s="1"/>
  <c r="L241" i="12"/>
  <c r="M241" i="12" s="1"/>
  <c r="L242" i="12"/>
  <c r="M242" i="12" s="1"/>
  <c r="L243" i="12"/>
  <c r="M243" i="12" s="1"/>
  <c r="L244" i="12"/>
  <c r="M244" i="12" s="1"/>
  <c r="L245" i="12"/>
  <c r="M245" i="12" s="1"/>
  <c r="L246" i="12"/>
  <c r="M246" i="12" s="1"/>
  <c r="L247" i="12"/>
  <c r="M247" i="12" s="1"/>
  <c r="L248" i="12"/>
  <c r="M248" i="12" s="1"/>
  <c r="L249" i="12"/>
  <c r="M249" i="12" s="1"/>
  <c r="L250" i="12"/>
  <c r="M250" i="12" s="1"/>
  <c r="L251" i="12"/>
  <c r="M251" i="12" s="1"/>
  <c r="L252" i="12"/>
  <c r="M252" i="12" s="1"/>
  <c r="L253" i="12"/>
  <c r="M253" i="12" s="1"/>
  <c r="L254" i="12"/>
  <c r="M254" i="12" s="1"/>
  <c r="L255" i="12"/>
  <c r="M255" i="12" s="1"/>
  <c r="L256" i="12"/>
  <c r="M256" i="12" s="1"/>
  <c r="L257" i="12"/>
  <c r="M257" i="12" s="1"/>
  <c r="L258" i="12"/>
  <c r="M258" i="12" s="1"/>
  <c r="L259" i="12"/>
  <c r="M259" i="12" s="1"/>
  <c r="L260" i="12"/>
  <c r="M260" i="12" s="1"/>
  <c r="L261" i="12"/>
  <c r="M261" i="12" s="1"/>
  <c r="L262" i="12"/>
  <c r="M262" i="12" s="1"/>
  <c r="L263" i="12"/>
  <c r="M263" i="12" s="1"/>
  <c r="L264" i="12"/>
  <c r="M264" i="12" s="1"/>
  <c r="L265" i="12"/>
  <c r="M265" i="12" s="1"/>
  <c r="L266" i="12"/>
  <c r="M266" i="12" s="1"/>
  <c r="L267" i="12"/>
  <c r="M267" i="12" s="1"/>
  <c r="L268" i="12"/>
  <c r="M268" i="12" s="1"/>
  <c r="L269" i="12"/>
  <c r="M269" i="12" s="1"/>
  <c r="L270" i="12"/>
  <c r="M270" i="12" s="1"/>
  <c r="L271" i="12"/>
  <c r="M271" i="12" s="1"/>
  <c r="L272" i="12"/>
  <c r="M272" i="12" s="1"/>
  <c r="L273" i="12"/>
  <c r="M273" i="12" s="1"/>
  <c r="L274" i="12"/>
  <c r="M274" i="12" s="1"/>
  <c r="L275" i="12"/>
  <c r="M275" i="12" s="1"/>
  <c r="L276" i="12"/>
  <c r="M276" i="12" s="1"/>
  <c r="L277" i="12"/>
  <c r="M277" i="12" s="1"/>
  <c r="L278" i="12"/>
  <c r="M278" i="12" s="1"/>
  <c r="L279" i="12"/>
  <c r="M279" i="12" s="1"/>
  <c r="L280" i="12"/>
  <c r="M280" i="12" s="1"/>
  <c r="L281" i="12"/>
  <c r="M281" i="12" s="1"/>
  <c r="L282" i="12"/>
  <c r="M282" i="12" s="1"/>
  <c r="L283" i="12"/>
  <c r="M283" i="12" s="1"/>
  <c r="L284" i="12"/>
  <c r="M284" i="12" s="1"/>
  <c r="L285" i="12"/>
  <c r="M285" i="12" s="1"/>
  <c r="L286" i="12"/>
  <c r="M286" i="12" s="1"/>
  <c r="L287" i="12"/>
  <c r="M287" i="12" s="1"/>
  <c r="L288" i="12"/>
  <c r="M288" i="12" s="1"/>
  <c r="L289" i="12"/>
  <c r="M289" i="12" s="1"/>
  <c r="L290" i="12"/>
  <c r="M290" i="12" s="1"/>
  <c r="L291" i="12"/>
  <c r="M291" i="12" s="1"/>
  <c r="L292" i="12"/>
  <c r="M292" i="12" s="1"/>
  <c r="L293" i="12"/>
  <c r="M293" i="12" s="1"/>
  <c r="L294" i="12"/>
  <c r="M294" i="12" s="1"/>
  <c r="L295" i="12"/>
  <c r="M295" i="12" s="1"/>
  <c r="L296" i="12"/>
  <c r="M296" i="12" s="1"/>
  <c r="L297" i="12"/>
  <c r="M297" i="12" s="1"/>
  <c r="L298" i="12"/>
  <c r="M298" i="12" s="1"/>
  <c r="L299" i="12"/>
  <c r="M299" i="12" s="1"/>
  <c r="L300" i="12"/>
  <c r="M300" i="12" s="1"/>
  <c r="L301" i="12"/>
  <c r="M301" i="12" s="1"/>
  <c r="L302" i="12"/>
  <c r="M302" i="12" s="1"/>
  <c r="L303" i="12"/>
  <c r="M303" i="12" s="1"/>
  <c r="L304" i="12"/>
  <c r="M304" i="12" s="1"/>
  <c r="L305" i="12"/>
  <c r="M305" i="12" s="1"/>
  <c r="L306" i="12"/>
  <c r="M306" i="12" s="1"/>
  <c r="L307" i="12"/>
  <c r="M307" i="12" s="1"/>
  <c r="L308" i="12"/>
  <c r="M308" i="12" s="1"/>
  <c r="L309" i="12"/>
  <c r="M309" i="12" s="1"/>
  <c r="L310" i="12"/>
  <c r="M310" i="12" s="1"/>
  <c r="L311" i="12"/>
  <c r="M311" i="12" s="1"/>
  <c r="L312" i="12"/>
  <c r="M312" i="12" s="1"/>
  <c r="L313" i="12"/>
  <c r="M313" i="12" s="1"/>
  <c r="L314" i="12"/>
  <c r="M314" i="12" s="1"/>
  <c r="L315" i="12"/>
  <c r="M315" i="12" s="1"/>
  <c r="L316" i="12"/>
  <c r="M316" i="12" s="1"/>
  <c r="L317" i="12"/>
  <c r="M317" i="12" s="1"/>
  <c r="L318" i="12"/>
  <c r="M318" i="12" s="1"/>
  <c r="L319" i="12"/>
  <c r="M319" i="12" s="1"/>
  <c r="L320" i="12"/>
  <c r="M320" i="12" s="1"/>
  <c r="L321" i="12"/>
  <c r="M321" i="12" s="1"/>
  <c r="L322" i="12"/>
  <c r="M322" i="12" s="1"/>
  <c r="L323" i="12"/>
  <c r="M323" i="12" s="1"/>
  <c r="L324" i="12"/>
  <c r="M324" i="12" s="1"/>
  <c r="L325" i="12"/>
  <c r="M325" i="12" s="1"/>
  <c r="L326" i="12"/>
  <c r="M326" i="12" s="1"/>
  <c r="L327" i="12"/>
  <c r="M327" i="12" s="1"/>
  <c r="L328" i="12"/>
  <c r="M328" i="12" s="1"/>
  <c r="L329" i="12"/>
  <c r="M329" i="12" s="1"/>
  <c r="L330" i="12"/>
  <c r="M330" i="12" s="1"/>
  <c r="L331" i="12"/>
  <c r="M331" i="12" s="1"/>
  <c r="L332" i="12"/>
  <c r="M332" i="12" s="1"/>
  <c r="L333" i="12"/>
  <c r="M333" i="12" s="1"/>
  <c r="L334" i="12"/>
  <c r="M334" i="12" s="1"/>
  <c r="L335" i="12"/>
  <c r="M335" i="12" s="1"/>
  <c r="L336" i="12"/>
  <c r="M336" i="12" s="1"/>
  <c r="L337" i="12"/>
  <c r="M337" i="12" s="1"/>
  <c r="L338" i="12"/>
  <c r="M338" i="12" s="1"/>
  <c r="L339" i="12"/>
  <c r="M339" i="12" s="1"/>
  <c r="L340" i="12"/>
  <c r="M340" i="12" s="1"/>
  <c r="L341" i="12"/>
  <c r="M341" i="12" s="1"/>
  <c r="L342" i="12"/>
  <c r="M342" i="12" s="1"/>
  <c r="L343" i="12"/>
  <c r="M343" i="12" s="1"/>
  <c r="L344" i="12"/>
  <c r="M344" i="12" s="1"/>
  <c r="L345" i="12"/>
  <c r="M345" i="12" s="1"/>
  <c r="L346" i="12"/>
  <c r="M346" i="12" s="1"/>
  <c r="L347" i="12"/>
  <c r="M347" i="12" s="1"/>
  <c r="L348" i="12"/>
  <c r="M348" i="12" s="1"/>
  <c r="L349" i="12"/>
  <c r="M349" i="12" s="1"/>
  <c r="L350" i="12"/>
  <c r="M350" i="12" s="1"/>
  <c r="L351" i="12"/>
  <c r="M351" i="12" s="1"/>
  <c r="L352" i="12"/>
  <c r="M352" i="12" s="1"/>
  <c r="L353" i="12"/>
  <c r="M353" i="12" s="1"/>
  <c r="L354" i="12"/>
  <c r="M354" i="12" s="1"/>
  <c r="L355" i="12"/>
  <c r="M355" i="12" s="1"/>
  <c r="L356" i="12"/>
  <c r="M356" i="12" s="1"/>
  <c r="L357" i="12"/>
  <c r="M357" i="12" s="1"/>
  <c r="L358" i="12"/>
  <c r="M358" i="12" s="1"/>
  <c r="L359" i="12"/>
  <c r="M359" i="12" s="1"/>
  <c r="L360" i="12"/>
  <c r="M360" i="12" s="1"/>
  <c r="L361" i="12"/>
  <c r="M361" i="12" s="1"/>
  <c r="L362" i="12"/>
  <c r="M362" i="12" s="1"/>
  <c r="L363" i="12"/>
  <c r="M363" i="12" s="1"/>
  <c r="L364" i="12"/>
  <c r="M364" i="12" s="1"/>
  <c r="L365" i="12"/>
  <c r="M365" i="12" s="1"/>
  <c r="L366" i="12"/>
  <c r="M366" i="12" s="1"/>
  <c r="L367" i="12"/>
  <c r="M367" i="12" s="1"/>
  <c r="L368" i="12"/>
  <c r="M368" i="12" s="1"/>
  <c r="L369" i="12"/>
  <c r="M369" i="12" s="1"/>
  <c r="L370" i="12"/>
  <c r="M370" i="12" s="1"/>
  <c r="L371" i="12"/>
  <c r="M371" i="12" s="1"/>
  <c r="L372" i="12"/>
  <c r="M372" i="12" s="1"/>
  <c r="L373" i="12"/>
  <c r="M373" i="12" s="1"/>
  <c r="L374" i="12"/>
  <c r="M374" i="12" s="1"/>
  <c r="L375" i="12"/>
  <c r="M375" i="12" s="1"/>
  <c r="L376" i="12"/>
  <c r="M376" i="12" s="1"/>
  <c r="L377" i="12"/>
  <c r="M377" i="12" s="1"/>
  <c r="L378" i="12"/>
  <c r="M378" i="12" s="1"/>
  <c r="L379" i="12"/>
  <c r="M379" i="12" s="1"/>
  <c r="L380" i="12"/>
  <c r="M380" i="12" s="1"/>
  <c r="L381" i="12"/>
  <c r="M381" i="12" s="1"/>
  <c r="L382" i="12"/>
  <c r="M382" i="12" s="1"/>
  <c r="L383" i="12"/>
  <c r="M383" i="12" s="1"/>
  <c r="L384" i="12"/>
  <c r="M384" i="12" s="1"/>
  <c r="L385" i="12"/>
  <c r="M385" i="12" s="1"/>
  <c r="L386" i="12"/>
  <c r="M386" i="12" s="1"/>
  <c r="L387" i="12"/>
  <c r="M387" i="12" s="1"/>
  <c r="L388" i="12"/>
  <c r="M388" i="12" s="1"/>
  <c r="L389" i="12"/>
  <c r="M389" i="12" s="1"/>
  <c r="L390" i="12"/>
  <c r="M390" i="12" s="1"/>
  <c r="L391" i="12"/>
  <c r="M391" i="12" s="1"/>
  <c r="L392" i="12"/>
  <c r="M392" i="12" s="1"/>
  <c r="L393" i="12"/>
  <c r="M393" i="12" s="1"/>
  <c r="L394" i="12"/>
  <c r="M394" i="12" s="1"/>
  <c r="L395" i="12"/>
  <c r="M395" i="12" s="1"/>
  <c r="L396" i="12"/>
  <c r="M396" i="12" s="1"/>
  <c r="L397" i="12"/>
  <c r="M397" i="12" s="1"/>
  <c r="L398" i="12"/>
  <c r="M398" i="12" s="1"/>
  <c r="L399" i="12"/>
  <c r="M399" i="12" s="1"/>
  <c r="L400" i="12"/>
  <c r="M400" i="12" s="1"/>
  <c r="L401" i="12"/>
  <c r="M401" i="12" s="1"/>
  <c r="L402" i="12"/>
  <c r="M402" i="12" s="1"/>
  <c r="L403" i="12"/>
  <c r="M403" i="12" s="1"/>
  <c r="L404" i="12"/>
  <c r="M404" i="12" s="1"/>
  <c r="L405" i="12"/>
  <c r="M405" i="12" s="1"/>
  <c r="L406" i="12"/>
  <c r="M406" i="12" s="1"/>
  <c r="L407" i="12"/>
  <c r="M407" i="12" s="1"/>
  <c r="L408" i="12"/>
  <c r="M408" i="12" s="1"/>
  <c r="L409" i="12"/>
  <c r="M409" i="12" s="1"/>
  <c r="L410" i="12"/>
  <c r="M410" i="12" s="1"/>
  <c r="L411" i="12"/>
  <c r="M411" i="12" s="1"/>
  <c r="L412" i="12"/>
  <c r="M412" i="12" s="1"/>
  <c r="L413" i="12"/>
  <c r="M413" i="12" s="1"/>
  <c r="L414" i="12"/>
  <c r="M414" i="12" s="1"/>
  <c r="L415" i="12"/>
  <c r="M415" i="12" s="1"/>
  <c r="L416" i="12"/>
  <c r="M416" i="12" s="1"/>
  <c r="L417" i="12"/>
  <c r="M417" i="12" s="1"/>
  <c r="L418" i="12"/>
  <c r="M418" i="12" s="1"/>
  <c r="L419" i="12"/>
  <c r="M419" i="12" s="1"/>
  <c r="L420" i="12"/>
  <c r="M420" i="12" s="1"/>
  <c r="L421" i="12"/>
  <c r="M421" i="12" s="1"/>
  <c r="L422" i="12"/>
  <c r="M422" i="12" s="1"/>
  <c r="L423" i="12"/>
  <c r="M423" i="12" s="1"/>
  <c r="L424" i="12"/>
  <c r="M424" i="12" s="1"/>
  <c r="L425" i="12"/>
  <c r="M425" i="12" s="1"/>
  <c r="L426" i="12"/>
  <c r="M426" i="12" s="1"/>
  <c r="L427" i="12"/>
  <c r="M427" i="12" s="1"/>
  <c r="L428" i="12"/>
  <c r="M428" i="12" s="1"/>
  <c r="L429" i="12"/>
  <c r="M429" i="12" s="1"/>
  <c r="L430" i="12"/>
  <c r="M430" i="12" s="1"/>
  <c r="L431" i="12"/>
  <c r="M431" i="12" s="1"/>
  <c r="L432" i="12"/>
  <c r="M432" i="12" s="1"/>
  <c r="L433" i="12"/>
  <c r="M433" i="12" s="1"/>
  <c r="L434" i="12"/>
  <c r="M434" i="12" s="1"/>
  <c r="L435" i="12"/>
  <c r="M435" i="12" s="1"/>
  <c r="L436" i="12"/>
  <c r="M436" i="12" s="1"/>
  <c r="L437" i="12"/>
  <c r="M437" i="12" s="1"/>
  <c r="L438" i="12"/>
  <c r="M438" i="12" s="1"/>
  <c r="L439" i="12"/>
  <c r="M439" i="12" s="1"/>
  <c r="L440" i="12"/>
  <c r="M440" i="12" s="1"/>
  <c r="L441" i="12"/>
  <c r="M441" i="12" s="1"/>
  <c r="L442" i="12"/>
  <c r="M442" i="12" s="1"/>
  <c r="L443" i="12"/>
  <c r="M443" i="12" s="1"/>
  <c r="L444" i="12"/>
  <c r="M444" i="12" s="1"/>
  <c r="L445" i="12"/>
  <c r="M445" i="12" s="1"/>
  <c r="L446" i="12"/>
  <c r="M446" i="12" s="1"/>
  <c r="L447" i="12"/>
  <c r="M447" i="12" s="1"/>
  <c r="L448" i="12"/>
  <c r="M448" i="12" s="1"/>
  <c r="L449" i="12"/>
  <c r="M449" i="12" s="1"/>
  <c r="L450" i="12"/>
  <c r="M450" i="12" s="1"/>
  <c r="L451" i="12"/>
  <c r="M451" i="12" s="1"/>
  <c r="L452" i="12"/>
  <c r="M452" i="12" s="1"/>
  <c r="L453" i="12"/>
  <c r="M453" i="12" s="1"/>
  <c r="L454" i="12"/>
  <c r="M454" i="12" s="1"/>
  <c r="L455" i="12"/>
  <c r="M455" i="12" s="1"/>
  <c r="L456" i="12"/>
  <c r="M456" i="12" s="1"/>
  <c r="L457" i="12"/>
  <c r="M457" i="12" s="1"/>
  <c r="L458" i="12"/>
  <c r="M458" i="12" s="1"/>
  <c r="L459" i="12"/>
  <c r="M459" i="12" s="1"/>
  <c r="L460" i="12"/>
  <c r="M460" i="12" s="1"/>
  <c r="L461" i="12"/>
  <c r="M461" i="12" s="1"/>
  <c r="L462" i="12"/>
  <c r="M462" i="12" s="1"/>
  <c r="L463" i="12"/>
  <c r="M463" i="12" s="1"/>
  <c r="L464" i="12"/>
  <c r="M464" i="12" s="1"/>
  <c r="L465" i="12"/>
  <c r="M465" i="12" s="1"/>
  <c r="L466" i="12"/>
  <c r="M466" i="12" s="1"/>
  <c r="L467" i="12"/>
  <c r="M467" i="12" s="1"/>
  <c r="L468" i="12"/>
  <c r="M468" i="12" s="1"/>
  <c r="L469" i="12"/>
  <c r="M469" i="12" s="1"/>
  <c r="L470" i="12"/>
  <c r="M470" i="12" s="1"/>
  <c r="L471" i="12"/>
  <c r="M471" i="12" s="1"/>
  <c r="L472" i="12"/>
  <c r="M472" i="12" s="1"/>
  <c r="L473" i="12"/>
  <c r="M473" i="12" s="1"/>
  <c r="L474" i="12"/>
  <c r="M474" i="12" s="1"/>
  <c r="L475" i="12"/>
  <c r="M475" i="12" s="1"/>
  <c r="L476" i="12"/>
  <c r="M476" i="12" s="1"/>
  <c r="L477" i="12"/>
  <c r="M477" i="12" s="1"/>
  <c r="L478" i="12"/>
  <c r="M478" i="12" s="1"/>
  <c r="L479" i="12"/>
  <c r="M479" i="12" s="1"/>
  <c r="L480" i="12"/>
  <c r="M480" i="12" s="1"/>
  <c r="L481" i="12"/>
  <c r="M481" i="12" s="1"/>
  <c r="L482" i="12"/>
  <c r="M482" i="12" s="1"/>
  <c r="L483" i="12"/>
  <c r="M483" i="12" s="1"/>
  <c r="L484" i="12"/>
  <c r="M484" i="12" s="1"/>
  <c r="L485" i="12"/>
  <c r="M485" i="12" s="1"/>
  <c r="L486" i="12"/>
  <c r="M486" i="12" s="1"/>
  <c r="L487" i="12"/>
  <c r="M487" i="12" s="1"/>
  <c r="L488" i="12"/>
  <c r="M488" i="12" s="1"/>
  <c r="L489" i="12"/>
  <c r="M489" i="12" s="1"/>
  <c r="L490" i="12"/>
  <c r="M490" i="12" s="1"/>
  <c r="L491" i="12"/>
  <c r="M491" i="12" s="1"/>
  <c r="L492" i="12"/>
  <c r="M492" i="12" s="1"/>
  <c r="L493" i="12"/>
  <c r="M493" i="12" s="1"/>
  <c r="L494" i="12"/>
  <c r="M494" i="12" s="1"/>
  <c r="L495" i="12"/>
  <c r="M495" i="12" s="1"/>
  <c r="L496" i="12"/>
  <c r="M496" i="12" s="1"/>
  <c r="L497" i="12"/>
  <c r="M497" i="12" s="1"/>
  <c r="L498" i="12"/>
  <c r="M498" i="12" s="1"/>
  <c r="L499" i="12"/>
  <c r="M499" i="12" s="1"/>
  <c r="L500" i="12"/>
  <c r="M500" i="12" s="1"/>
  <c r="L501" i="12"/>
  <c r="M501" i="12" s="1"/>
  <c r="L502" i="12"/>
  <c r="M502" i="12" s="1"/>
  <c r="L503" i="12"/>
  <c r="M503" i="12" s="1"/>
  <c r="L504" i="12"/>
  <c r="M504" i="12" s="1"/>
  <c r="L505" i="12"/>
  <c r="M505" i="12" s="1"/>
  <c r="L506" i="12"/>
  <c r="M506" i="12" s="1"/>
  <c r="L507" i="12"/>
  <c r="M507" i="12" s="1"/>
  <c r="L508" i="12"/>
  <c r="M508" i="12" s="1"/>
  <c r="L509" i="12"/>
  <c r="M509" i="12" s="1"/>
  <c r="L510" i="12"/>
  <c r="M510" i="12" s="1"/>
  <c r="L511" i="12"/>
  <c r="M511" i="12" s="1"/>
  <c r="L512" i="12"/>
  <c r="M512" i="12" s="1"/>
  <c r="L513" i="12"/>
  <c r="M513" i="12" s="1"/>
  <c r="L514" i="12"/>
  <c r="M514" i="12" s="1"/>
  <c r="L515" i="12"/>
  <c r="M515" i="12" s="1"/>
  <c r="L516" i="12"/>
  <c r="M516" i="12" s="1"/>
  <c r="L517" i="12"/>
  <c r="M517" i="12" s="1"/>
  <c r="L518" i="12"/>
  <c r="M518" i="12" s="1"/>
  <c r="L519" i="12"/>
  <c r="M519" i="12" s="1"/>
  <c r="L520" i="12"/>
  <c r="M520" i="12" s="1"/>
  <c r="L521" i="12"/>
  <c r="M521" i="12" s="1"/>
  <c r="L522" i="12"/>
  <c r="M522" i="12" s="1"/>
  <c r="L523" i="12"/>
  <c r="M523" i="12" s="1"/>
  <c r="L524" i="12"/>
  <c r="M524" i="12" s="1"/>
  <c r="L525" i="12"/>
  <c r="M525" i="12" s="1"/>
  <c r="L526" i="12"/>
  <c r="M526" i="12" s="1"/>
  <c r="L527" i="12"/>
  <c r="M527" i="12" s="1"/>
  <c r="L528" i="12"/>
  <c r="M528" i="12" s="1"/>
  <c r="L529" i="12"/>
  <c r="M529" i="12" s="1"/>
  <c r="L530" i="12"/>
  <c r="M530" i="12" s="1"/>
  <c r="L531" i="12"/>
  <c r="M531" i="12" s="1"/>
  <c r="L532" i="12"/>
  <c r="M532" i="12" s="1"/>
  <c r="L533" i="12"/>
  <c r="M533" i="12" s="1"/>
  <c r="L534" i="12"/>
  <c r="M534" i="12" s="1"/>
  <c r="L535" i="12"/>
  <c r="M535" i="12" s="1"/>
  <c r="L536" i="12"/>
  <c r="M536" i="12" s="1"/>
  <c r="L537" i="12"/>
  <c r="M537" i="12" s="1"/>
  <c r="L538" i="12"/>
  <c r="M538" i="12" s="1"/>
  <c r="L539" i="12"/>
  <c r="M539" i="12" s="1"/>
  <c r="L540" i="12"/>
  <c r="M540" i="12" s="1"/>
  <c r="L541" i="12"/>
  <c r="M541" i="12" s="1"/>
  <c r="L542" i="12"/>
  <c r="M542" i="12" s="1"/>
  <c r="L543" i="12"/>
  <c r="M543" i="12" s="1"/>
  <c r="L544" i="12"/>
  <c r="M544" i="12" s="1"/>
  <c r="L545" i="12"/>
  <c r="M545" i="12" s="1"/>
  <c r="L546" i="12"/>
  <c r="M546" i="12" s="1"/>
  <c r="L547" i="12"/>
  <c r="M547" i="12" s="1"/>
  <c r="L548" i="12"/>
  <c r="M548" i="12" s="1"/>
  <c r="L549" i="12"/>
  <c r="M549" i="12" s="1"/>
  <c r="L550" i="12"/>
  <c r="M550" i="12" s="1"/>
  <c r="L551" i="12"/>
  <c r="M551" i="12" s="1"/>
  <c r="L552" i="12"/>
  <c r="M552" i="12" s="1"/>
  <c r="L553" i="12"/>
  <c r="M553" i="12" s="1"/>
  <c r="L554" i="12"/>
  <c r="M554" i="12" s="1"/>
  <c r="L555" i="12"/>
  <c r="M555" i="12" s="1"/>
  <c r="L556" i="12"/>
  <c r="M556" i="12" s="1"/>
  <c r="L557" i="12"/>
  <c r="M557" i="12" s="1"/>
  <c r="L558" i="12"/>
  <c r="M558" i="12" s="1"/>
  <c r="L559" i="12"/>
  <c r="M559" i="12" s="1"/>
  <c r="L560" i="12"/>
  <c r="M560" i="12" s="1"/>
  <c r="L561" i="12"/>
  <c r="M561" i="12" s="1"/>
  <c r="L562" i="12"/>
  <c r="M562" i="12" s="1"/>
  <c r="L563" i="12"/>
  <c r="M563" i="12" s="1"/>
  <c r="L564" i="12"/>
  <c r="M564" i="12" s="1"/>
  <c r="L565" i="12"/>
  <c r="M565" i="12" s="1"/>
  <c r="L566" i="12"/>
  <c r="M566" i="12" s="1"/>
  <c r="L567" i="12"/>
  <c r="M567" i="12" s="1"/>
  <c r="L568" i="12"/>
  <c r="M568" i="12" s="1"/>
  <c r="L569" i="12"/>
  <c r="M569" i="12" s="1"/>
  <c r="L570" i="12"/>
  <c r="M570" i="12" s="1"/>
  <c r="L571" i="12"/>
  <c r="M571" i="12" s="1"/>
  <c r="L572" i="12"/>
  <c r="M572" i="12" s="1"/>
  <c r="L573" i="12"/>
  <c r="M573" i="12" s="1"/>
  <c r="L574" i="12"/>
  <c r="M574" i="12" s="1"/>
  <c r="L575" i="12"/>
  <c r="M575" i="12" s="1"/>
  <c r="L576" i="12"/>
  <c r="M576" i="12" s="1"/>
  <c r="L577" i="12"/>
  <c r="M577" i="12" s="1"/>
  <c r="L578" i="12"/>
  <c r="M578" i="12" s="1"/>
  <c r="L579" i="12"/>
  <c r="M579" i="12" s="1"/>
  <c r="L580" i="12"/>
  <c r="M580" i="12" s="1"/>
  <c r="L581" i="12"/>
  <c r="M581" i="12" s="1"/>
  <c r="L582" i="12"/>
  <c r="M582" i="12" s="1"/>
  <c r="D3" i="12"/>
  <c r="E3" i="12" s="1"/>
  <c r="G3" i="12" s="1"/>
  <c r="D4" i="12"/>
  <c r="E4" i="12" s="1"/>
  <c r="G4" i="12" s="1"/>
  <c r="D5" i="12"/>
  <c r="E5" i="12" s="1"/>
  <c r="G5" i="12" s="1"/>
  <c r="D6" i="12"/>
  <c r="E6" i="12" s="1"/>
  <c r="G6" i="12" s="1"/>
  <c r="I6" i="12"/>
  <c r="D7" i="12"/>
  <c r="E7" i="12" s="1"/>
  <c r="G7" i="12" s="1"/>
  <c r="D8" i="12"/>
  <c r="E8" i="12" s="1"/>
  <c r="G8" i="12" s="1"/>
  <c r="D9" i="12"/>
  <c r="E9" i="12" s="1"/>
  <c r="G9" i="12" s="1"/>
  <c r="D10" i="12"/>
  <c r="E10" i="12" s="1"/>
  <c r="G10" i="12" s="1"/>
  <c r="D11" i="12"/>
  <c r="E11" i="12" s="1"/>
  <c r="G11" i="12" s="1"/>
  <c r="D12" i="12"/>
  <c r="E12" i="12" s="1"/>
  <c r="G12" i="12" s="1"/>
  <c r="D13" i="12"/>
  <c r="E13" i="12" s="1"/>
  <c r="G13" i="12" s="1"/>
  <c r="D14" i="12"/>
  <c r="E14" i="12" s="1"/>
  <c r="G14" i="12" s="1"/>
  <c r="D15" i="12"/>
  <c r="E15" i="12" s="1"/>
  <c r="G15" i="12" s="1"/>
  <c r="D16" i="12"/>
  <c r="E16" i="12" s="1"/>
  <c r="G16" i="12" s="1"/>
  <c r="D17" i="12"/>
  <c r="E17" i="12" s="1"/>
  <c r="G17" i="12" s="1"/>
  <c r="D18" i="12"/>
  <c r="E18" i="12" s="1"/>
  <c r="G18" i="12" s="1"/>
  <c r="D19" i="12"/>
  <c r="E19" i="12" s="1"/>
  <c r="G19" i="12" s="1"/>
  <c r="D20" i="12"/>
  <c r="E20" i="12" s="1"/>
  <c r="G20" i="12" s="1"/>
  <c r="D21" i="12"/>
  <c r="E21" i="12" s="1"/>
  <c r="G21" i="12" s="1"/>
  <c r="D22" i="12"/>
  <c r="E22" i="12" s="1"/>
  <c r="G22" i="12" s="1"/>
  <c r="D23" i="12"/>
  <c r="E23" i="12" s="1"/>
  <c r="G23" i="12" s="1"/>
  <c r="D24" i="12"/>
  <c r="E24" i="12" s="1"/>
  <c r="G24" i="12" s="1"/>
  <c r="D25" i="12"/>
  <c r="E25" i="12" s="1"/>
  <c r="G25" i="12" s="1"/>
  <c r="D26" i="12"/>
  <c r="E26" i="12" s="1"/>
  <c r="G26" i="12" s="1"/>
  <c r="D27" i="12"/>
  <c r="E27" i="12" s="1"/>
  <c r="G27" i="12" s="1"/>
  <c r="D28" i="12"/>
  <c r="E28" i="12" s="1"/>
  <c r="G28" i="12" s="1"/>
  <c r="D29" i="12"/>
  <c r="E29" i="12" s="1"/>
  <c r="G29" i="12" s="1"/>
  <c r="D30" i="12"/>
  <c r="E30" i="12" s="1"/>
  <c r="G30" i="12" s="1"/>
  <c r="D31" i="12"/>
  <c r="E31" i="12" s="1"/>
  <c r="G31" i="12" s="1"/>
  <c r="D32" i="12"/>
  <c r="E32" i="12" s="1"/>
  <c r="G32" i="12" s="1"/>
  <c r="D33" i="12"/>
  <c r="E33" i="12" s="1"/>
  <c r="G33" i="12" s="1"/>
  <c r="D34" i="12"/>
  <c r="E34" i="12" s="1"/>
  <c r="G34" i="12" s="1"/>
  <c r="D35" i="12"/>
  <c r="E35" i="12" s="1"/>
  <c r="G35" i="12" s="1"/>
  <c r="D36" i="12"/>
  <c r="E36" i="12" s="1"/>
  <c r="G36" i="12" s="1"/>
  <c r="D37" i="12"/>
  <c r="E37" i="12" s="1"/>
  <c r="G37" i="12" s="1"/>
  <c r="D38" i="12"/>
  <c r="E38" i="12" s="1"/>
  <c r="G38" i="12" s="1"/>
  <c r="D39" i="12"/>
  <c r="E39" i="12" s="1"/>
  <c r="G39" i="12" s="1"/>
  <c r="D40" i="12"/>
  <c r="E40" i="12" s="1"/>
  <c r="G40" i="12" s="1"/>
  <c r="D41" i="12"/>
  <c r="E41" i="12" s="1"/>
  <c r="G41" i="12" s="1"/>
  <c r="D42" i="12"/>
  <c r="E42" i="12" s="1"/>
  <c r="G42" i="12" s="1"/>
  <c r="D43" i="12"/>
  <c r="E43" i="12" s="1"/>
  <c r="G43" i="12" s="1"/>
  <c r="D44" i="12"/>
  <c r="E44" i="12" s="1"/>
  <c r="G44" i="12" s="1"/>
  <c r="D45" i="12"/>
  <c r="E45" i="12" s="1"/>
  <c r="G45" i="12" s="1"/>
  <c r="D46" i="12"/>
  <c r="E46" i="12" s="1"/>
  <c r="G46" i="12" s="1"/>
  <c r="D47" i="12"/>
  <c r="E47" i="12" s="1"/>
  <c r="G47" i="12" s="1"/>
  <c r="D48" i="12"/>
  <c r="E48" i="12" s="1"/>
  <c r="G48" i="12" s="1"/>
  <c r="D49" i="12"/>
  <c r="E49" i="12" s="1"/>
  <c r="G49" i="12" s="1"/>
  <c r="D50" i="12"/>
  <c r="E50" i="12" s="1"/>
  <c r="G50" i="12" s="1"/>
  <c r="D51" i="12"/>
  <c r="E51" i="12" s="1"/>
  <c r="G51" i="12" s="1"/>
  <c r="D52" i="12"/>
  <c r="E52" i="12" s="1"/>
  <c r="G52" i="12" s="1"/>
  <c r="D53" i="12"/>
  <c r="E53" i="12" s="1"/>
  <c r="G53" i="12" s="1"/>
  <c r="D54" i="12"/>
  <c r="E54" i="12" s="1"/>
  <c r="G54" i="12" s="1"/>
  <c r="D55" i="12"/>
  <c r="E55" i="12" s="1"/>
  <c r="G55" i="12" s="1"/>
  <c r="D56" i="12"/>
  <c r="E56" i="12" s="1"/>
  <c r="G56" i="12" s="1"/>
  <c r="D57" i="12"/>
  <c r="E57" i="12" s="1"/>
  <c r="G57" i="12" s="1"/>
  <c r="D58" i="12"/>
  <c r="E58" i="12" s="1"/>
  <c r="G58" i="12" s="1"/>
  <c r="D59" i="12"/>
  <c r="E59" i="12" s="1"/>
  <c r="G59" i="12" s="1"/>
  <c r="D60" i="12"/>
  <c r="E60" i="12" s="1"/>
  <c r="G60" i="12" s="1"/>
  <c r="D61" i="12"/>
  <c r="E61" i="12" s="1"/>
  <c r="G61" i="12" s="1"/>
  <c r="D62" i="12"/>
  <c r="E62" i="12" s="1"/>
  <c r="G62" i="12" s="1"/>
  <c r="D63" i="12"/>
  <c r="E63" i="12" s="1"/>
  <c r="G63" i="12" s="1"/>
  <c r="D64" i="12"/>
  <c r="E64" i="12" s="1"/>
  <c r="G64" i="12" s="1"/>
  <c r="D65" i="12"/>
  <c r="E65" i="12" s="1"/>
  <c r="G65" i="12" s="1"/>
  <c r="D66" i="12"/>
  <c r="E66" i="12" s="1"/>
  <c r="G66" i="12" s="1"/>
  <c r="D67" i="12"/>
  <c r="E67" i="12" s="1"/>
  <c r="G67" i="12" s="1"/>
  <c r="D68" i="12"/>
  <c r="E68" i="12" s="1"/>
  <c r="G68" i="12" s="1"/>
  <c r="D69" i="12"/>
  <c r="E69" i="12" s="1"/>
  <c r="G69" i="12" s="1"/>
  <c r="D70" i="12"/>
  <c r="E70" i="12" s="1"/>
  <c r="G70" i="12" s="1"/>
  <c r="D71" i="12"/>
  <c r="E71" i="12" s="1"/>
  <c r="G71" i="12" s="1"/>
  <c r="D72" i="12"/>
  <c r="E72" i="12" s="1"/>
  <c r="G72" i="12" s="1"/>
  <c r="D73" i="12"/>
  <c r="E73" i="12" s="1"/>
  <c r="G73" i="12" s="1"/>
  <c r="D74" i="12"/>
  <c r="E74" i="12" s="1"/>
  <c r="G74" i="12" s="1"/>
  <c r="D75" i="12"/>
  <c r="E75" i="12" s="1"/>
  <c r="G75" i="12" s="1"/>
  <c r="D76" i="12"/>
  <c r="E76" i="12" s="1"/>
  <c r="G76" i="12" s="1"/>
  <c r="D77" i="12"/>
  <c r="E77" i="12" s="1"/>
  <c r="G77" i="12" s="1"/>
  <c r="D78" i="12"/>
  <c r="E78" i="12" s="1"/>
  <c r="G78" i="12" s="1"/>
  <c r="D79" i="12"/>
  <c r="E79" i="12" s="1"/>
  <c r="G79" i="12" s="1"/>
  <c r="D80" i="12"/>
  <c r="E80" i="12" s="1"/>
  <c r="G80" i="12" s="1"/>
  <c r="D81" i="12"/>
  <c r="E81" i="12" s="1"/>
  <c r="G81" i="12" s="1"/>
  <c r="D82" i="12"/>
  <c r="E82" i="12" s="1"/>
  <c r="G82" i="12" s="1"/>
  <c r="D83" i="12"/>
  <c r="E83" i="12" s="1"/>
  <c r="G83" i="12" s="1"/>
  <c r="D84" i="12"/>
  <c r="E84" i="12" s="1"/>
  <c r="G84" i="12" s="1"/>
  <c r="D85" i="12"/>
  <c r="E85" i="12" s="1"/>
  <c r="G85" i="12" s="1"/>
  <c r="D86" i="12"/>
  <c r="E86" i="12" s="1"/>
  <c r="G86" i="12" s="1"/>
  <c r="D87" i="12"/>
  <c r="E87" i="12" s="1"/>
  <c r="G87" i="12" s="1"/>
  <c r="D88" i="12"/>
  <c r="E88" i="12" s="1"/>
  <c r="G88" i="12" s="1"/>
  <c r="D89" i="12"/>
  <c r="E89" i="12" s="1"/>
  <c r="G89" i="12" s="1"/>
  <c r="D90" i="12"/>
  <c r="E90" i="12" s="1"/>
  <c r="G90" i="12" s="1"/>
  <c r="D91" i="12"/>
  <c r="E91" i="12" s="1"/>
  <c r="G91" i="12" s="1"/>
  <c r="D92" i="12"/>
  <c r="E92" i="12" s="1"/>
  <c r="G92" i="12" s="1"/>
  <c r="D93" i="12"/>
  <c r="E93" i="12" s="1"/>
  <c r="G93" i="12" s="1"/>
  <c r="D94" i="12"/>
  <c r="E94" i="12" s="1"/>
  <c r="G94" i="12" s="1"/>
  <c r="D95" i="12"/>
  <c r="E95" i="12" s="1"/>
  <c r="G95" i="12" s="1"/>
  <c r="D96" i="12"/>
  <c r="E96" i="12" s="1"/>
  <c r="G96" i="12" s="1"/>
  <c r="D97" i="12"/>
  <c r="E97" i="12" s="1"/>
  <c r="G97" i="12" s="1"/>
  <c r="D98" i="12"/>
  <c r="E98" i="12" s="1"/>
  <c r="G98" i="12" s="1"/>
  <c r="D99" i="12"/>
  <c r="E99" i="12" s="1"/>
  <c r="G99" i="12" s="1"/>
  <c r="D100" i="12"/>
  <c r="E100" i="12" s="1"/>
  <c r="G100" i="12" s="1"/>
  <c r="D101" i="12"/>
  <c r="E101" i="12" s="1"/>
  <c r="G101" i="12" s="1"/>
  <c r="D102" i="12"/>
  <c r="E102" i="12" s="1"/>
  <c r="G102" i="12" s="1"/>
  <c r="D103" i="12"/>
  <c r="E103" i="12" s="1"/>
  <c r="G103" i="12" s="1"/>
  <c r="D104" i="12"/>
  <c r="E104" i="12" s="1"/>
  <c r="G104" i="12" s="1"/>
  <c r="D105" i="12"/>
  <c r="E105" i="12" s="1"/>
  <c r="G105" i="12" s="1"/>
  <c r="D106" i="12"/>
  <c r="E106" i="12" s="1"/>
  <c r="G106" i="12" s="1"/>
  <c r="D107" i="12"/>
  <c r="E107" i="12" s="1"/>
  <c r="G107" i="12" s="1"/>
  <c r="D108" i="12"/>
  <c r="E108" i="12" s="1"/>
  <c r="G108" i="12" s="1"/>
  <c r="D109" i="12"/>
  <c r="E109" i="12" s="1"/>
  <c r="G109" i="12" s="1"/>
  <c r="D110" i="12"/>
  <c r="E110" i="12" s="1"/>
  <c r="G110" i="12" s="1"/>
  <c r="D111" i="12"/>
  <c r="E111" i="12" s="1"/>
  <c r="G111" i="12" s="1"/>
  <c r="D112" i="12"/>
  <c r="E112" i="12" s="1"/>
  <c r="G112" i="12" s="1"/>
  <c r="D113" i="12"/>
  <c r="E113" i="12" s="1"/>
  <c r="G113" i="12" s="1"/>
  <c r="D114" i="12"/>
  <c r="E114" i="12" s="1"/>
  <c r="G114" i="12" s="1"/>
  <c r="D115" i="12"/>
  <c r="E115" i="12" s="1"/>
  <c r="G115" i="12" s="1"/>
  <c r="D116" i="12"/>
  <c r="E116" i="12" s="1"/>
  <c r="G116" i="12" s="1"/>
  <c r="I116" i="12"/>
  <c r="D117" i="12"/>
  <c r="E117" i="12" s="1"/>
  <c r="G117" i="12" s="1"/>
  <c r="I117" i="12"/>
  <c r="D118" i="12"/>
  <c r="E118" i="12" s="1"/>
  <c r="G118" i="12" s="1"/>
  <c r="D119" i="12"/>
  <c r="E119" i="12" s="1"/>
  <c r="G119" i="12" s="1"/>
  <c r="I119" i="12"/>
  <c r="D120" i="12"/>
  <c r="E120" i="12" s="1"/>
  <c r="G120" i="12" s="1"/>
  <c r="I120" i="12"/>
  <c r="D121" i="12"/>
  <c r="E121" i="12" s="1"/>
  <c r="G121" i="12" s="1"/>
  <c r="I121" i="12"/>
  <c r="D122" i="12"/>
  <c r="E122" i="12" s="1"/>
  <c r="G122" i="12" s="1"/>
  <c r="D123" i="12"/>
  <c r="E123" i="12" s="1"/>
  <c r="G123" i="12" s="1"/>
  <c r="I123" i="12"/>
  <c r="D124" i="12"/>
  <c r="E124" i="12" s="1"/>
  <c r="G124" i="12" s="1"/>
  <c r="I124" i="12"/>
  <c r="D125" i="12"/>
  <c r="E125" i="12" s="1"/>
  <c r="G125" i="12" s="1"/>
  <c r="I125" i="12"/>
  <c r="D126" i="12"/>
  <c r="E126" i="12" s="1"/>
  <c r="G126" i="12" s="1"/>
  <c r="D127" i="12"/>
  <c r="E127" i="12" s="1"/>
  <c r="G127" i="12" s="1"/>
  <c r="I127" i="12"/>
  <c r="D128" i="12"/>
  <c r="E128" i="12" s="1"/>
  <c r="G128" i="12" s="1"/>
  <c r="D129" i="12"/>
  <c r="E129" i="12" s="1"/>
  <c r="G129" i="12" s="1"/>
  <c r="D130" i="12"/>
  <c r="E130" i="12" s="1"/>
  <c r="G130" i="12" s="1"/>
  <c r="D131" i="12"/>
  <c r="E131" i="12" s="1"/>
  <c r="G131" i="12" s="1"/>
  <c r="D132" i="12"/>
  <c r="E132" i="12" s="1"/>
  <c r="G132" i="12" s="1"/>
  <c r="D133" i="12"/>
  <c r="E133" i="12" s="1"/>
  <c r="G133" i="12" s="1"/>
  <c r="D134" i="12"/>
  <c r="E134" i="12" s="1"/>
  <c r="G134" i="12" s="1"/>
  <c r="D135" i="12"/>
  <c r="E135" i="12" s="1"/>
  <c r="G135" i="12" s="1"/>
  <c r="D136" i="12"/>
  <c r="E136" i="12" s="1"/>
  <c r="G136" i="12" s="1"/>
  <c r="D137" i="12"/>
  <c r="E137" i="12" s="1"/>
  <c r="G137" i="12" s="1"/>
  <c r="D138" i="12"/>
  <c r="E138" i="12" s="1"/>
  <c r="G138" i="12" s="1"/>
  <c r="D139" i="12"/>
  <c r="E139" i="12" s="1"/>
  <c r="G139" i="12" s="1"/>
  <c r="D140" i="12"/>
  <c r="E140" i="12" s="1"/>
  <c r="G140" i="12" s="1"/>
  <c r="D141" i="12"/>
  <c r="E141" i="12" s="1"/>
  <c r="G141" i="12" s="1"/>
  <c r="D142" i="12"/>
  <c r="E142" i="12" s="1"/>
  <c r="G142" i="12" s="1"/>
  <c r="D143" i="12"/>
  <c r="E143" i="12" s="1"/>
  <c r="G143" i="12" s="1"/>
  <c r="D144" i="12"/>
  <c r="E144" i="12" s="1"/>
  <c r="G144" i="12" s="1"/>
  <c r="D145" i="12"/>
  <c r="E145" i="12" s="1"/>
  <c r="G145" i="12" s="1"/>
  <c r="D146" i="12"/>
  <c r="E146" i="12" s="1"/>
  <c r="G146" i="12" s="1"/>
  <c r="D147" i="12"/>
  <c r="E147" i="12" s="1"/>
  <c r="G147" i="12" s="1"/>
  <c r="D148" i="12"/>
  <c r="E148" i="12" s="1"/>
  <c r="G148" i="12" s="1"/>
  <c r="D149" i="12"/>
  <c r="E149" i="12" s="1"/>
  <c r="G149" i="12" s="1"/>
  <c r="D150" i="12"/>
  <c r="E150" i="12" s="1"/>
  <c r="G150" i="12" s="1"/>
  <c r="D151" i="12"/>
  <c r="E151" i="12" s="1"/>
  <c r="G151" i="12" s="1"/>
  <c r="I151" i="12"/>
  <c r="D152" i="12"/>
  <c r="E152" i="12" s="1"/>
  <c r="G152" i="12" s="1"/>
  <c r="D153" i="12"/>
  <c r="E153" i="12" s="1"/>
  <c r="G153" i="12" s="1"/>
  <c r="D154" i="12"/>
  <c r="E154" i="12" s="1"/>
  <c r="G154" i="12" s="1"/>
  <c r="I154" i="12"/>
  <c r="D155" i="12"/>
  <c r="E155" i="12" s="1"/>
  <c r="G155" i="12" s="1"/>
  <c r="I155" i="12"/>
  <c r="D156" i="12"/>
  <c r="E156" i="12" s="1"/>
  <c r="G156" i="12" s="1"/>
  <c r="D157" i="12"/>
  <c r="E157" i="12" s="1"/>
  <c r="G157" i="12" s="1"/>
  <c r="I157" i="12"/>
  <c r="D158" i="12"/>
  <c r="E158" i="12" s="1"/>
  <c r="G158" i="12" s="1"/>
  <c r="I158" i="12"/>
  <c r="D159" i="12"/>
  <c r="E159" i="12" s="1"/>
  <c r="G159" i="12" s="1"/>
  <c r="D160" i="12"/>
  <c r="E160" i="12" s="1"/>
  <c r="G160" i="12" s="1"/>
  <c r="D161" i="12"/>
  <c r="E161" i="12" s="1"/>
  <c r="G161" i="12" s="1"/>
  <c r="I161" i="12"/>
  <c r="D162" i="12"/>
  <c r="E162" i="12" s="1"/>
  <c r="G162" i="12" s="1"/>
  <c r="I162" i="12"/>
  <c r="D163" i="12"/>
  <c r="E163" i="12" s="1"/>
  <c r="G163" i="12" s="1"/>
  <c r="I163" i="12"/>
  <c r="D164" i="12"/>
  <c r="E164" i="12" s="1"/>
  <c r="G164" i="12" s="1"/>
  <c r="D165" i="12"/>
  <c r="E165" i="12" s="1"/>
  <c r="G165" i="12" s="1"/>
  <c r="I165" i="12"/>
  <c r="D166" i="12"/>
  <c r="E166" i="12" s="1"/>
  <c r="G166" i="12" s="1"/>
  <c r="I166" i="12"/>
  <c r="D167" i="12"/>
  <c r="E167" i="12" s="1"/>
  <c r="G167" i="12" s="1"/>
  <c r="D168" i="12"/>
  <c r="E168" i="12" s="1"/>
  <c r="G168" i="12" s="1"/>
  <c r="D169" i="12"/>
  <c r="E169" i="12" s="1"/>
  <c r="G169" i="12" s="1"/>
  <c r="D170" i="12"/>
  <c r="E170" i="12" s="1"/>
  <c r="G170" i="12" s="1"/>
  <c r="D171" i="12"/>
  <c r="E171" i="12" s="1"/>
  <c r="G171" i="12" s="1"/>
  <c r="D172" i="12"/>
  <c r="E172" i="12" s="1"/>
  <c r="G172" i="12" s="1"/>
  <c r="D173" i="12"/>
  <c r="E173" i="12" s="1"/>
  <c r="G173" i="12" s="1"/>
  <c r="D174" i="12"/>
  <c r="E174" i="12" s="1"/>
  <c r="G174" i="12" s="1"/>
  <c r="D175" i="12"/>
  <c r="E175" i="12" s="1"/>
  <c r="G175" i="12" s="1"/>
  <c r="D176" i="12"/>
  <c r="E176" i="12" s="1"/>
  <c r="G176" i="12" s="1"/>
  <c r="D177" i="12"/>
  <c r="E177" i="12" s="1"/>
  <c r="G177" i="12" s="1"/>
  <c r="D178" i="12"/>
  <c r="E178" i="12" s="1"/>
  <c r="G178" i="12" s="1"/>
  <c r="D179" i="12"/>
  <c r="E179" i="12" s="1"/>
  <c r="G179" i="12" s="1"/>
  <c r="D180" i="12"/>
  <c r="E180" i="12" s="1"/>
  <c r="G180" i="12" s="1"/>
  <c r="D181" i="12"/>
  <c r="E181" i="12" s="1"/>
  <c r="G181" i="12" s="1"/>
  <c r="D182" i="12"/>
  <c r="E182" i="12" s="1"/>
  <c r="G182" i="12" s="1"/>
  <c r="D183" i="12"/>
  <c r="E183" i="12" s="1"/>
  <c r="G183" i="12" s="1"/>
  <c r="D184" i="12"/>
  <c r="E184" i="12" s="1"/>
  <c r="G184" i="12" s="1"/>
  <c r="D185" i="12"/>
  <c r="E185" i="12" s="1"/>
  <c r="G185" i="12" s="1"/>
  <c r="D186" i="12"/>
  <c r="E186" i="12" s="1"/>
  <c r="G186" i="12" s="1"/>
  <c r="D187" i="12"/>
  <c r="E187" i="12" s="1"/>
  <c r="G187" i="12" s="1"/>
  <c r="D188" i="12"/>
  <c r="E188" i="12" s="1"/>
  <c r="G188" i="12" s="1"/>
  <c r="D189" i="12"/>
  <c r="E189" i="12" s="1"/>
  <c r="G189" i="12" s="1"/>
  <c r="D190" i="12"/>
  <c r="E190" i="12" s="1"/>
  <c r="G190" i="12" s="1"/>
  <c r="D191" i="12"/>
  <c r="E191" i="12" s="1"/>
  <c r="G191" i="12" s="1"/>
  <c r="D192" i="12"/>
  <c r="E192" i="12" s="1"/>
  <c r="G192" i="12" s="1"/>
  <c r="D193" i="12"/>
  <c r="E193" i="12" s="1"/>
  <c r="G193" i="12" s="1"/>
  <c r="D194" i="12"/>
  <c r="E194" i="12" s="1"/>
  <c r="G194" i="12" s="1"/>
  <c r="I194" i="12"/>
  <c r="D195" i="12"/>
  <c r="E195" i="12" s="1"/>
  <c r="G195" i="12" s="1"/>
  <c r="D196" i="12"/>
  <c r="E196" i="12" s="1"/>
  <c r="G196" i="12" s="1"/>
  <c r="D197" i="12"/>
  <c r="E197" i="12" s="1"/>
  <c r="G197" i="12" s="1"/>
  <c r="D198" i="12"/>
  <c r="E198" i="12" s="1"/>
  <c r="G198" i="12" s="1"/>
  <c r="I198" i="12"/>
  <c r="D199" i="12"/>
  <c r="E199" i="12" s="1"/>
  <c r="G199" i="12" s="1"/>
  <c r="D200" i="12"/>
  <c r="E200" i="12" s="1"/>
  <c r="G200" i="12" s="1"/>
  <c r="D201" i="12"/>
  <c r="E201" i="12" s="1"/>
  <c r="G201" i="12" s="1"/>
  <c r="I201" i="12"/>
  <c r="D202" i="12"/>
  <c r="E202" i="12" s="1"/>
  <c r="G202" i="12" s="1"/>
  <c r="D203" i="12"/>
  <c r="E203" i="12" s="1"/>
  <c r="G203" i="12" s="1"/>
  <c r="D204" i="12"/>
  <c r="E204" i="12" s="1"/>
  <c r="G204" i="12" s="1"/>
  <c r="D205" i="12"/>
  <c r="E205" i="12" s="1"/>
  <c r="G205" i="12" s="1"/>
  <c r="D206" i="12"/>
  <c r="E206" i="12" s="1"/>
  <c r="G206" i="12" s="1"/>
  <c r="D207" i="12"/>
  <c r="E207" i="12" s="1"/>
  <c r="G207" i="12" s="1"/>
  <c r="D208" i="12"/>
  <c r="E208" i="12" s="1"/>
  <c r="G208" i="12" s="1"/>
  <c r="D209" i="12"/>
  <c r="E209" i="12" s="1"/>
  <c r="G209" i="12" s="1"/>
  <c r="D210" i="12"/>
  <c r="E210" i="12" s="1"/>
  <c r="G210" i="12" s="1"/>
  <c r="D211" i="12"/>
  <c r="E211" i="12" s="1"/>
  <c r="G211" i="12" s="1"/>
  <c r="D212" i="12"/>
  <c r="E212" i="12" s="1"/>
  <c r="G212" i="12" s="1"/>
  <c r="D213" i="12"/>
  <c r="E213" i="12" s="1"/>
  <c r="G213" i="12" s="1"/>
  <c r="D214" i="12"/>
  <c r="E214" i="12" s="1"/>
  <c r="G214" i="12" s="1"/>
  <c r="D215" i="12"/>
  <c r="E215" i="12" s="1"/>
  <c r="G215" i="12" s="1"/>
  <c r="D216" i="12"/>
  <c r="E216" i="12" s="1"/>
  <c r="G216" i="12" s="1"/>
  <c r="D217" i="12"/>
  <c r="E217" i="12" s="1"/>
  <c r="G217" i="12" s="1"/>
  <c r="D218" i="12"/>
  <c r="E218" i="12" s="1"/>
  <c r="G218" i="12" s="1"/>
  <c r="D219" i="12"/>
  <c r="E219" i="12" s="1"/>
  <c r="G219" i="12" s="1"/>
  <c r="D220" i="12"/>
  <c r="E220" i="12" s="1"/>
  <c r="G220" i="12" s="1"/>
  <c r="D221" i="12"/>
  <c r="E221" i="12" s="1"/>
  <c r="G221" i="12" s="1"/>
  <c r="D222" i="12"/>
  <c r="E222" i="12" s="1"/>
  <c r="G222" i="12" s="1"/>
  <c r="D223" i="12"/>
  <c r="E223" i="12" s="1"/>
  <c r="G223" i="12" s="1"/>
  <c r="D224" i="12"/>
  <c r="E224" i="12" s="1"/>
  <c r="G224" i="12" s="1"/>
  <c r="D225" i="12"/>
  <c r="E225" i="12" s="1"/>
  <c r="G225" i="12" s="1"/>
  <c r="D226" i="12"/>
  <c r="E226" i="12" s="1"/>
  <c r="G226" i="12" s="1"/>
  <c r="D227" i="12"/>
  <c r="E227" i="12" s="1"/>
  <c r="G227" i="12" s="1"/>
  <c r="D228" i="12"/>
  <c r="E228" i="12" s="1"/>
  <c r="G228" i="12" s="1"/>
  <c r="D229" i="12"/>
  <c r="E229" i="12" s="1"/>
  <c r="G229" i="12" s="1"/>
  <c r="D230" i="12"/>
  <c r="E230" i="12" s="1"/>
  <c r="G230" i="12" s="1"/>
  <c r="D231" i="12"/>
  <c r="E231" i="12" s="1"/>
  <c r="G231" i="12" s="1"/>
  <c r="D232" i="12"/>
  <c r="E232" i="12" s="1"/>
  <c r="G232" i="12" s="1"/>
  <c r="D233" i="12"/>
  <c r="E233" i="12" s="1"/>
  <c r="G233" i="12" s="1"/>
  <c r="D234" i="12"/>
  <c r="E234" i="12" s="1"/>
  <c r="G234" i="12" s="1"/>
  <c r="D235" i="12"/>
  <c r="E235" i="12" s="1"/>
  <c r="G235" i="12" s="1"/>
  <c r="D236" i="12"/>
  <c r="E236" i="12" s="1"/>
  <c r="G236" i="12" s="1"/>
  <c r="D237" i="12"/>
  <c r="E237" i="12" s="1"/>
  <c r="G237" i="12" s="1"/>
  <c r="D238" i="12"/>
  <c r="E238" i="12" s="1"/>
  <c r="G238" i="12" s="1"/>
  <c r="D239" i="12"/>
  <c r="E239" i="12" s="1"/>
  <c r="G239" i="12" s="1"/>
  <c r="D240" i="12"/>
  <c r="E240" i="12" s="1"/>
  <c r="G240" i="12" s="1"/>
  <c r="D241" i="12"/>
  <c r="E241" i="12" s="1"/>
  <c r="G241" i="12" s="1"/>
  <c r="D242" i="12"/>
  <c r="E242" i="12" s="1"/>
  <c r="G242" i="12" s="1"/>
  <c r="D243" i="12"/>
  <c r="E243" i="12" s="1"/>
  <c r="G243" i="12" s="1"/>
  <c r="D244" i="12"/>
  <c r="E244" i="12" s="1"/>
  <c r="G244" i="12" s="1"/>
  <c r="D245" i="12"/>
  <c r="E245" i="12" s="1"/>
  <c r="G245" i="12" s="1"/>
  <c r="D246" i="12"/>
  <c r="E246" i="12" s="1"/>
  <c r="G246" i="12" s="1"/>
  <c r="D247" i="12"/>
  <c r="E247" i="12" s="1"/>
  <c r="G247" i="12" s="1"/>
  <c r="D248" i="12"/>
  <c r="E248" i="12" s="1"/>
  <c r="G248" i="12" s="1"/>
  <c r="D249" i="12"/>
  <c r="E249" i="12" s="1"/>
  <c r="G249" i="12" s="1"/>
  <c r="D250" i="12"/>
  <c r="E250" i="12" s="1"/>
  <c r="G250" i="12" s="1"/>
  <c r="D251" i="12"/>
  <c r="E251" i="12" s="1"/>
  <c r="G251" i="12" s="1"/>
  <c r="D252" i="12"/>
  <c r="E252" i="12" s="1"/>
  <c r="G252" i="12" s="1"/>
  <c r="D253" i="12"/>
  <c r="E253" i="12" s="1"/>
  <c r="G253" i="12" s="1"/>
  <c r="D254" i="12"/>
  <c r="E254" i="12" s="1"/>
  <c r="G254" i="12" s="1"/>
  <c r="D255" i="12"/>
  <c r="E255" i="12" s="1"/>
  <c r="G255" i="12" s="1"/>
  <c r="D256" i="12"/>
  <c r="E256" i="12" s="1"/>
  <c r="G256" i="12" s="1"/>
  <c r="D257" i="12"/>
  <c r="E257" i="12" s="1"/>
  <c r="G257" i="12" s="1"/>
  <c r="D258" i="12"/>
  <c r="E258" i="12" s="1"/>
  <c r="G258" i="12" s="1"/>
  <c r="D259" i="12"/>
  <c r="E259" i="12" s="1"/>
  <c r="G259" i="12" s="1"/>
  <c r="D260" i="12"/>
  <c r="E260" i="12" s="1"/>
  <c r="G260" i="12" s="1"/>
  <c r="D261" i="12"/>
  <c r="E261" i="12" s="1"/>
  <c r="G261" i="12" s="1"/>
  <c r="D262" i="12"/>
  <c r="E262" i="12" s="1"/>
  <c r="G262" i="12" s="1"/>
  <c r="D263" i="12"/>
  <c r="E263" i="12" s="1"/>
  <c r="G263" i="12" s="1"/>
  <c r="D264" i="12"/>
  <c r="E264" i="12" s="1"/>
  <c r="G264" i="12" s="1"/>
  <c r="D265" i="12"/>
  <c r="E265" i="12" s="1"/>
  <c r="G265" i="12" s="1"/>
  <c r="D266" i="12"/>
  <c r="E266" i="12" s="1"/>
  <c r="G266" i="12" s="1"/>
  <c r="D267" i="12"/>
  <c r="E267" i="12" s="1"/>
  <c r="G267" i="12" s="1"/>
  <c r="D268" i="12"/>
  <c r="E268" i="12" s="1"/>
  <c r="G268" i="12" s="1"/>
  <c r="D269" i="12"/>
  <c r="E269" i="12" s="1"/>
  <c r="G269" i="12" s="1"/>
  <c r="D270" i="12"/>
  <c r="E270" i="12" s="1"/>
  <c r="G270" i="12" s="1"/>
  <c r="D271" i="12"/>
  <c r="E271" i="12" s="1"/>
  <c r="G271" i="12" s="1"/>
  <c r="D272" i="12"/>
  <c r="E272" i="12" s="1"/>
  <c r="G272" i="12" s="1"/>
  <c r="D273" i="12"/>
  <c r="E273" i="12" s="1"/>
  <c r="G273" i="12" s="1"/>
  <c r="D274" i="12"/>
  <c r="E274" i="12" s="1"/>
  <c r="G274" i="12" s="1"/>
  <c r="D275" i="12"/>
  <c r="E275" i="12" s="1"/>
  <c r="G275" i="12" s="1"/>
  <c r="D276" i="12"/>
  <c r="E276" i="12" s="1"/>
  <c r="G276" i="12" s="1"/>
  <c r="D277" i="12"/>
  <c r="E277" i="12" s="1"/>
  <c r="G277" i="12" s="1"/>
  <c r="I277" i="12"/>
  <c r="D278" i="12"/>
  <c r="E278" i="12" s="1"/>
  <c r="G278" i="12" s="1"/>
  <c r="D279" i="12"/>
  <c r="E279" i="12" s="1"/>
  <c r="G279" i="12" s="1"/>
  <c r="I279" i="12"/>
  <c r="D280" i="12"/>
  <c r="E280" i="12" s="1"/>
  <c r="G280" i="12" s="1"/>
  <c r="D281" i="12"/>
  <c r="E281" i="12" s="1"/>
  <c r="G281" i="12" s="1"/>
  <c r="I281" i="12"/>
  <c r="D282" i="12"/>
  <c r="E282" i="12" s="1"/>
  <c r="G282" i="12" s="1"/>
  <c r="D283" i="12"/>
  <c r="E283" i="12" s="1"/>
  <c r="G283" i="12" s="1"/>
  <c r="D284" i="12"/>
  <c r="E284" i="12" s="1"/>
  <c r="G284" i="12" s="1"/>
  <c r="D285" i="12"/>
  <c r="E285" i="12" s="1"/>
  <c r="G285" i="12" s="1"/>
  <c r="D286" i="12"/>
  <c r="E286" i="12" s="1"/>
  <c r="G286" i="12" s="1"/>
  <c r="D287" i="12"/>
  <c r="E287" i="12" s="1"/>
  <c r="G287" i="12" s="1"/>
  <c r="D288" i="12"/>
  <c r="E288" i="12" s="1"/>
  <c r="G288" i="12" s="1"/>
  <c r="D289" i="12"/>
  <c r="E289" i="12" s="1"/>
  <c r="G289" i="12" s="1"/>
  <c r="D290" i="12"/>
  <c r="E290" i="12" s="1"/>
  <c r="G290" i="12" s="1"/>
  <c r="D291" i="12"/>
  <c r="E291" i="12" s="1"/>
  <c r="G291" i="12" s="1"/>
  <c r="D292" i="12"/>
  <c r="E292" i="12" s="1"/>
  <c r="G292" i="12" s="1"/>
  <c r="D293" i="12"/>
  <c r="E293" i="12" s="1"/>
  <c r="G293" i="12" s="1"/>
  <c r="D294" i="12"/>
  <c r="E294" i="12" s="1"/>
  <c r="G294" i="12" s="1"/>
  <c r="D295" i="12"/>
  <c r="E295" i="12" s="1"/>
  <c r="G295" i="12" s="1"/>
  <c r="D296" i="12"/>
  <c r="E296" i="12" s="1"/>
  <c r="G296" i="12" s="1"/>
  <c r="D297" i="12"/>
  <c r="E297" i="12" s="1"/>
  <c r="G297" i="12" s="1"/>
  <c r="D298" i="12"/>
  <c r="E298" i="12" s="1"/>
  <c r="G298" i="12" s="1"/>
  <c r="D299" i="12"/>
  <c r="E299" i="12" s="1"/>
  <c r="G299" i="12" s="1"/>
  <c r="D300" i="12"/>
  <c r="E300" i="12" s="1"/>
  <c r="G300" i="12" s="1"/>
  <c r="D301" i="12"/>
  <c r="E301" i="12" s="1"/>
  <c r="G301" i="12" s="1"/>
  <c r="D302" i="12"/>
  <c r="E302" i="12" s="1"/>
  <c r="G302" i="12" s="1"/>
  <c r="D303" i="12"/>
  <c r="E303" i="12" s="1"/>
  <c r="G303" i="12" s="1"/>
  <c r="D304" i="12"/>
  <c r="E304" i="12" s="1"/>
  <c r="G304" i="12" s="1"/>
  <c r="D305" i="12"/>
  <c r="E305" i="12" s="1"/>
  <c r="G305" i="12" s="1"/>
  <c r="D306" i="12"/>
  <c r="E306" i="12" s="1"/>
  <c r="G306" i="12" s="1"/>
  <c r="D307" i="12"/>
  <c r="E307" i="12" s="1"/>
  <c r="G307" i="12" s="1"/>
  <c r="I307" i="12"/>
  <c r="D308" i="12"/>
  <c r="E308" i="12" s="1"/>
  <c r="G308" i="12" s="1"/>
  <c r="I308" i="12"/>
  <c r="D309" i="12"/>
  <c r="E309" i="12" s="1"/>
  <c r="G309" i="12" s="1"/>
  <c r="D310" i="12"/>
  <c r="E310" i="12" s="1"/>
  <c r="G310" i="12" s="1"/>
  <c r="I310" i="12"/>
  <c r="D311" i="12"/>
  <c r="E311" i="12" s="1"/>
  <c r="G311" i="12" s="1"/>
  <c r="D312" i="12"/>
  <c r="E312" i="12" s="1"/>
  <c r="G312" i="12" s="1"/>
  <c r="D313" i="12"/>
  <c r="E313" i="12" s="1"/>
  <c r="G313" i="12" s="1"/>
  <c r="D314" i="12"/>
  <c r="E314" i="12" s="1"/>
  <c r="G314" i="12" s="1"/>
  <c r="D315" i="12"/>
  <c r="E315" i="12" s="1"/>
  <c r="G315" i="12" s="1"/>
  <c r="D316" i="12"/>
  <c r="E316" i="12" s="1"/>
  <c r="G316" i="12" s="1"/>
  <c r="D317" i="12"/>
  <c r="E317" i="12" s="1"/>
  <c r="G317" i="12" s="1"/>
  <c r="D318" i="12"/>
  <c r="E318" i="12" s="1"/>
  <c r="G318" i="12" s="1"/>
  <c r="D319" i="12"/>
  <c r="E319" i="12" s="1"/>
  <c r="G319" i="12" s="1"/>
  <c r="D320" i="12"/>
  <c r="E320" i="12" s="1"/>
  <c r="G320" i="12" s="1"/>
  <c r="D321" i="12"/>
  <c r="E321" i="12" s="1"/>
  <c r="G321" i="12" s="1"/>
  <c r="D322" i="12"/>
  <c r="E322" i="12" s="1"/>
  <c r="G322" i="12" s="1"/>
  <c r="D323" i="12"/>
  <c r="E323" i="12" s="1"/>
  <c r="G323" i="12" s="1"/>
  <c r="D324" i="12"/>
  <c r="E324" i="12" s="1"/>
  <c r="G324" i="12" s="1"/>
  <c r="D325" i="12"/>
  <c r="E325" i="12" s="1"/>
  <c r="G325" i="12" s="1"/>
  <c r="D326" i="12"/>
  <c r="E326" i="12" s="1"/>
  <c r="G326" i="12" s="1"/>
  <c r="D327" i="12"/>
  <c r="E327" i="12" s="1"/>
  <c r="G327" i="12" s="1"/>
  <c r="D328" i="12"/>
  <c r="E328" i="12" s="1"/>
  <c r="G328" i="12" s="1"/>
  <c r="D329" i="12"/>
  <c r="E329" i="12" s="1"/>
  <c r="G329" i="12" s="1"/>
  <c r="D330" i="12"/>
  <c r="E330" i="12" s="1"/>
  <c r="G330" i="12" s="1"/>
  <c r="D331" i="12"/>
  <c r="E331" i="12" s="1"/>
  <c r="G331" i="12" s="1"/>
  <c r="D332" i="12"/>
  <c r="E332" i="12" s="1"/>
  <c r="G332" i="12" s="1"/>
  <c r="D333" i="12"/>
  <c r="E333" i="12" s="1"/>
  <c r="G333" i="12" s="1"/>
  <c r="D334" i="12"/>
  <c r="E334" i="12" s="1"/>
  <c r="G334" i="12" s="1"/>
  <c r="D335" i="12"/>
  <c r="E335" i="12" s="1"/>
  <c r="G335" i="12" s="1"/>
  <c r="D336" i="12"/>
  <c r="E336" i="12" s="1"/>
  <c r="G336" i="12" s="1"/>
  <c r="D337" i="12"/>
  <c r="E337" i="12" s="1"/>
  <c r="G337" i="12" s="1"/>
  <c r="D338" i="12"/>
  <c r="E338" i="12" s="1"/>
  <c r="G338" i="12" s="1"/>
  <c r="D339" i="12"/>
  <c r="E339" i="12" s="1"/>
  <c r="G339" i="12" s="1"/>
  <c r="D340" i="12"/>
  <c r="E340" i="12" s="1"/>
  <c r="G340" i="12" s="1"/>
  <c r="D341" i="12"/>
  <c r="E341" i="12" s="1"/>
  <c r="G341" i="12" s="1"/>
  <c r="D342" i="12"/>
  <c r="E342" i="12" s="1"/>
  <c r="G342" i="12" s="1"/>
  <c r="D343" i="12"/>
  <c r="E343" i="12" s="1"/>
  <c r="G343" i="12" s="1"/>
  <c r="D344" i="12"/>
  <c r="E344" i="12" s="1"/>
  <c r="G344" i="12" s="1"/>
  <c r="D345" i="12"/>
  <c r="E345" i="12" s="1"/>
  <c r="G345" i="12" s="1"/>
  <c r="D346" i="12"/>
  <c r="E346" i="12" s="1"/>
  <c r="G346" i="12" s="1"/>
  <c r="D347" i="12"/>
  <c r="E347" i="12" s="1"/>
  <c r="G347" i="12" s="1"/>
  <c r="D348" i="12"/>
  <c r="E348" i="12" s="1"/>
  <c r="G348" i="12" s="1"/>
  <c r="D349" i="12"/>
  <c r="E349" i="12" s="1"/>
  <c r="G349" i="12" s="1"/>
  <c r="D350" i="12"/>
  <c r="E350" i="12" s="1"/>
  <c r="G350" i="12" s="1"/>
  <c r="D351" i="12"/>
  <c r="E351" i="12" s="1"/>
  <c r="G351" i="12" s="1"/>
  <c r="D352" i="12"/>
  <c r="E352" i="12" s="1"/>
  <c r="G352" i="12" s="1"/>
  <c r="D353" i="12"/>
  <c r="E353" i="12" s="1"/>
  <c r="G353" i="12" s="1"/>
  <c r="D354" i="12"/>
  <c r="E354" i="12" s="1"/>
  <c r="G354" i="12" s="1"/>
  <c r="D355" i="12"/>
  <c r="E355" i="12" s="1"/>
  <c r="G355" i="12" s="1"/>
  <c r="D356" i="12"/>
  <c r="E356" i="12" s="1"/>
  <c r="G356" i="12" s="1"/>
  <c r="D357" i="12"/>
  <c r="E357" i="12" s="1"/>
  <c r="G357" i="12" s="1"/>
  <c r="D358" i="12"/>
  <c r="E358" i="12" s="1"/>
  <c r="G358" i="12" s="1"/>
  <c r="D359" i="12"/>
  <c r="E359" i="12" s="1"/>
  <c r="G359" i="12" s="1"/>
  <c r="D360" i="12"/>
  <c r="E360" i="12" s="1"/>
  <c r="G360" i="12" s="1"/>
  <c r="D361" i="12"/>
  <c r="E361" i="12" s="1"/>
  <c r="G361" i="12" s="1"/>
  <c r="D362" i="12"/>
  <c r="E362" i="12" s="1"/>
  <c r="G362" i="12" s="1"/>
  <c r="D363" i="12"/>
  <c r="E363" i="12" s="1"/>
  <c r="G363" i="12" s="1"/>
  <c r="D364" i="12"/>
  <c r="E364" i="12" s="1"/>
  <c r="G364" i="12" s="1"/>
  <c r="D365" i="12"/>
  <c r="E365" i="12" s="1"/>
  <c r="G365" i="12" s="1"/>
  <c r="D366" i="12"/>
  <c r="E366" i="12" s="1"/>
  <c r="G366" i="12" s="1"/>
  <c r="D367" i="12"/>
  <c r="E367" i="12" s="1"/>
  <c r="G367" i="12" s="1"/>
  <c r="D368" i="12"/>
  <c r="E368" i="12" s="1"/>
  <c r="G368" i="12" s="1"/>
  <c r="D369" i="12"/>
  <c r="E369" i="12" s="1"/>
  <c r="G369" i="12" s="1"/>
  <c r="D370" i="12"/>
  <c r="E370" i="12" s="1"/>
  <c r="G370" i="12" s="1"/>
  <c r="D371" i="12"/>
  <c r="E371" i="12" s="1"/>
  <c r="G371" i="12" s="1"/>
  <c r="D372" i="12"/>
  <c r="E372" i="12" s="1"/>
  <c r="G372" i="12" s="1"/>
  <c r="D373" i="12"/>
  <c r="E373" i="12" s="1"/>
  <c r="G373" i="12" s="1"/>
  <c r="D374" i="12"/>
  <c r="E374" i="12" s="1"/>
  <c r="G374" i="12" s="1"/>
  <c r="D375" i="12"/>
  <c r="E375" i="12" s="1"/>
  <c r="G375" i="12" s="1"/>
  <c r="D376" i="12"/>
  <c r="E376" i="12" s="1"/>
  <c r="G376" i="12" s="1"/>
  <c r="D377" i="12"/>
  <c r="E377" i="12" s="1"/>
  <c r="G377" i="12" s="1"/>
  <c r="D378" i="12"/>
  <c r="E378" i="12" s="1"/>
  <c r="G378" i="12" s="1"/>
  <c r="D379" i="12"/>
  <c r="E379" i="12" s="1"/>
  <c r="G379" i="12" s="1"/>
  <c r="D380" i="12"/>
  <c r="E380" i="12" s="1"/>
  <c r="G380" i="12" s="1"/>
  <c r="D381" i="12"/>
  <c r="E381" i="12" s="1"/>
  <c r="G381" i="12" s="1"/>
  <c r="D382" i="12"/>
  <c r="E382" i="12" s="1"/>
  <c r="G382" i="12" s="1"/>
  <c r="D383" i="12"/>
  <c r="E383" i="12" s="1"/>
  <c r="G383" i="12" s="1"/>
  <c r="D384" i="12"/>
  <c r="E384" i="12" s="1"/>
  <c r="G384" i="12" s="1"/>
  <c r="D385" i="12"/>
  <c r="E385" i="12" s="1"/>
  <c r="G385" i="12" s="1"/>
  <c r="D386" i="12"/>
  <c r="E386" i="12" s="1"/>
  <c r="G386" i="12" s="1"/>
  <c r="D387" i="12"/>
  <c r="E387" i="12" s="1"/>
  <c r="G387" i="12" s="1"/>
  <c r="D388" i="12"/>
  <c r="E388" i="12" s="1"/>
  <c r="G388" i="12" s="1"/>
  <c r="D389" i="12"/>
  <c r="E389" i="12" s="1"/>
  <c r="G389" i="12" s="1"/>
  <c r="D390" i="12"/>
  <c r="E390" i="12" s="1"/>
  <c r="G390" i="12" s="1"/>
  <c r="D391" i="12"/>
  <c r="E391" i="12" s="1"/>
  <c r="G391" i="12" s="1"/>
  <c r="D392" i="12"/>
  <c r="E392" i="12" s="1"/>
  <c r="G392" i="12" s="1"/>
  <c r="I392" i="12"/>
  <c r="D393" i="12"/>
  <c r="E393" i="12" s="1"/>
  <c r="G393" i="12" s="1"/>
  <c r="I393" i="12"/>
  <c r="D394" i="12"/>
  <c r="E394" i="12" s="1"/>
  <c r="G394" i="12" s="1"/>
  <c r="D395" i="12"/>
  <c r="E395" i="12" s="1"/>
  <c r="G395" i="12" s="1"/>
  <c r="D396" i="12"/>
  <c r="E396" i="12" s="1"/>
  <c r="G396" i="12" s="1"/>
  <c r="D397" i="12"/>
  <c r="E397" i="12" s="1"/>
  <c r="G397" i="12" s="1"/>
  <c r="D398" i="12"/>
  <c r="E398" i="12" s="1"/>
  <c r="G398" i="12" s="1"/>
  <c r="D399" i="12"/>
  <c r="E399" i="12" s="1"/>
  <c r="G399" i="12" s="1"/>
  <c r="D400" i="12"/>
  <c r="E400" i="12" s="1"/>
  <c r="G400" i="12" s="1"/>
  <c r="D401" i="12"/>
  <c r="E401" i="12" s="1"/>
  <c r="G401" i="12" s="1"/>
  <c r="D402" i="12"/>
  <c r="E402" i="12" s="1"/>
  <c r="G402" i="12" s="1"/>
  <c r="D403" i="12"/>
  <c r="E403" i="12" s="1"/>
  <c r="G403" i="12" s="1"/>
  <c r="D404" i="12"/>
  <c r="E404" i="12" s="1"/>
  <c r="G404" i="12" s="1"/>
  <c r="D405" i="12"/>
  <c r="E405" i="12" s="1"/>
  <c r="G405" i="12" s="1"/>
  <c r="D406" i="12"/>
  <c r="E406" i="12" s="1"/>
  <c r="G406" i="12" s="1"/>
  <c r="D407" i="12"/>
  <c r="E407" i="12" s="1"/>
  <c r="G407" i="12" s="1"/>
  <c r="D408" i="12"/>
  <c r="E408" i="12" s="1"/>
  <c r="G408" i="12" s="1"/>
  <c r="D409" i="12"/>
  <c r="E409" i="12" s="1"/>
  <c r="G409" i="12" s="1"/>
  <c r="D410" i="12"/>
  <c r="E410" i="12" s="1"/>
  <c r="G410" i="12" s="1"/>
  <c r="D411" i="12"/>
  <c r="E411" i="12" s="1"/>
  <c r="G411" i="12" s="1"/>
  <c r="I411" i="12"/>
  <c r="D412" i="12"/>
  <c r="E412" i="12" s="1"/>
  <c r="G412" i="12" s="1"/>
  <c r="D413" i="12"/>
  <c r="E413" i="12" s="1"/>
  <c r="G413" i="12" s="1"/>
  <c r="D414" i="12"/>
  <c r="E414" i="12" s="1"/>
  <c r="G414" i="12" s="1"/>
  <c r="D415" i="12"/>
  <c r="E415" i="12" s="1"/>
  <c r="G415" i="12" s="1"/>
  <c r="D416" i="12"/>
  <c r="E416" i="12" s="1"/>
  <c r="G416" i="12" s="1"/>
  <c r="D417" i="12"/>
  <c r="E417" i="12" s="1"/>
  <c r="G417" i="12" s="1"/>
  <c r="D418" i="12"/>
  <c r="E418" i="12" s="1"/>
  <c r="G418" i="12" s="1"/>
  <c r="D419" i="12"/>
  <c r="E419" i="12" s="1"/>
  <c r="G419" i="12" s="1"/>
  <c r="D420" i="12"/>
  <c r="E420" i="12" s="1"/>
  <c r="G420" i="12" s="1"/>
  <c r="D421" i="12"/>
  <c r="E421" i="12" s="1"/>
  <c r="G421" i="12" s="1"/>
  <c r="D422" i="12"/>
  <c r="E422" i="12" s="1"/>
  <c r="G422" i="12" s="1"/>
  <c r="D423" i="12"/>
  <c r="E423" i="12" s="1"/>
  <c r="G423" i="12" s="1"/>
  <c r="D424" i="12"/>
  <c r="E424" i="12" s="1"/>
  <c r="G424" i="12" s="1"/>
  <c r="D425" i="12"/>
  <c r="E425" i="12" s="1"/>
  <c r="G425" i="12" s="1"/>
  <c r="D426" i="12"/>
  <c r="E426" i="12" s="1"/>
  <c r="G426" i="12" s="1"/>
  <c r="D427" i="12"/>
  <c r="E427" i="12" s="1"/>
  <c r="G427" i="12" s="1"/>
  <c r="D428" i="12"/>
  <c r="E428" i="12" s="1"/>
  <c r="G428" i="12" s="1"/>
  <c r="I428" i="12"/>
  <c r="D429" i="12"/>
  <c r="E429" i="12" s="1"/>
  <c r="G429" i="12" s="1"/>
  <c r="D430" i="12"/>
  <c r="E430" i="12" s="1"/>
  <c r="G430" i="12" s="1"/>
  <c r="D431" i="12"/>
  <c r="E431" i="12" s="1"/>
  <c r="G431" i="12" s="1"/>
  <c r="I431" i="12"/>
  <c r="D432" i="12"/>
  <c r="E432" i="12" s="1"/>
  <c r="G432" i="12" s="1"/>
  <c r="D433" i="12"/>
  <c r="E433" i="12" s="1"/>
  <c r="G433" i="12" s="1"/>
  <c r="D434" i="12"/>
  <c r="E434" i="12" s="1"/>
  <c r="G434" i="12" s="1"/>
  <c r="D435" i="12"/>
  <c r="E435" i="12" s="1"/>
  <c r="G435" i="12" s="1"/>
  <c r="D436" i="12"/>
  <c r="E436" i="12" s="1"/>
  <c r="G436" i="12" s="1"/>
  <c r="D437" i="12"/>
  <c r="E437" i="12" s="1"/>
  <c r="G437" i="12" s="1"/>
  <c r="D438" i="12"/>
  <c r="E438" i="12" s="1"/>
  <c r="G438" i="12" s="1"/>
  <c r="D439" i="12"/>
  <c r="E439" i="12" s="1"/>
  <c r="G439" i="12" s="1"/>
  <c r="D440" i="12"/>
  <c r="E440" i="12" s="1"/>
  <c r="G440" i="12" s="1"/>
  <c r="D441" i="12"/>
  <c r="E441" i="12" s="1"/>
  <c r="G441" i="12" s="1"/>
  <c r="D442" i="12"/>
  <c r="E442" i="12" s="1"/>
  <c r="G442" i="12" s="1"/>
  <c r="D443" i="12"/>
  <c r="E443" i="12" s="1"/>
  <c r="G443" i="12" s="1"/>
  <c r="D444" i="12"/>
  <c r="E444" i="12" s="1"/>
  <c r="G444" i="12" s="1"/>
  <c r="D445" i="12"/>
  <c r="E445" i="12" s="1"/>
  <c r="G445" i="12" s="1"/>
  <c r="D446" i="12"/>
  <c r="E446" i="12" s="1"/>
  <c r="G446" i="12" s="1"/>
  <c r="D447" i="12"/>
  <c r="E447" i="12" s="1"/>
  <c r="G447" i="12" s="1"/>
  <c r="D448" i="12"/>
  <c r="E448" i="12" s="1"/>
  <c r="G448" i="12" s="1"/>
  <c r="D449" i="12"/>
  <c r="E449" i="12" s="1"/>
  <c r="G449" i="12" s="1"/>
  <c r="D450" i="12"/>
  <c r="E450" i="12" s="1"/>
  <c r="G450" i="12" s="1"/>
  <c r="D451" i="12"/>
  <c r="E451" i="12" s="1"/>
  <c r="G451" i="12" s="1"/>
  <c r="D452" i="12"/>
  <c r="E452" i="12" s="1"/>
  <c r="G452" i="12" s="1"/>
  <c r="D453" i="12"/>
  <c r="E453" i="12" s="1"/>
  <c r="G453" i="12" s="1"/>
  <c r="D454" i="12"/>
  <c r="E454" i="12" s="1"/>
  <c r="G454" i="12" s="1"/>
  <c r="D455" i="12"/>
  <c r="E455" i="12" s="1"/>
  <c r="G455" i="12" s="1"/>
  <c r="D456" i="12"/>
  <c r="E456" i="12" s="1"/>
  <c r="G456" i="12" s="1"/>
  <c r="D457" i="12"/>
  <c r="E457" i="12" s="1"/>
  <c r="G457" i="12" s="1"/>
  <c r="D458" i="12"/>
  <c r="E458" i="12" s="1"/>
  <c r="G458" i="12" s="1"/>
  <c r="D459" i="12"/>
  <c r="E459" i="12" s="1"/>
  <c r="G459" i="12" s="1"/>
  <c r="D460" i="12"/>
  <c r="E460" i="12" s="1"/>
  <c r="G460" i="12" s="1"/>
  <c r="D461" i="12"/>
  <c r="E461" i="12" s="1"/>
  <c r="G461" i="12" s="1"/>
  <c r="D462" i="12"/>
  <c r="E462" i="12" s="1"/>
  <c r="G462" i="12" s="1"/>
  <c r="D463" i="12"/>
  <c r="E463" i="12" s="1"/>
  <c r="G463" i="12" s="1"/>
  <c r="D464" i="12"/>
  <c r="E464" i="12" s="1"/>
  <c r="G464" i="12" s="1"/>
  <c r="D465" i="12"/>
  <c r="E465" i="12" s="1"/>
  <c r="G465" i="12" s="1"/>
  <c r="D466" i="12"/>
  <c r="E466" i="12" s="1"/>
  <c r="G466" i="12" s="1"/>
  <c r="D467" i="12"/>
  <c r="E467" i="12" s="1"/>
  <c r="G467" i="12" s="1"/>
  <c r="D468" i="12"/>
  <c r="E468" i="12" s="1"/>
  <c r="G468" i="12" s="1"/>
  <c r="D469" i="12"/>
  <c r="E469" i="12" s="1"/>
  <c r="G469" i="12" s="1"/>
  <c r="D470" i="12"/>
  <c r="E470" i="12" s="1"/>
  <c r="G470" i="12" s="1"/>
  <c r="D471" i="12"/>
  <c r="E471" i="12" s="1"/>
  <c r="G471" i="12" s="1"/>
  <c r="D472" i="12"/>
  <c r="E472" i="12" s="1"/>
  <c r="G472" i="12" s="1"/>
  <c r="D473" i="12"/>
  <c r="E473" i="12" s="1"/>
  <c r="G473" i="12" s="1"/>
  <c r="D474" i="12"/>
  <c r="E474" i="12" s="1"/>
  <c r="G474" i="12" s="1"/>
  <c r="D475" i="12"/>
  <c r="E475" i="12" s="1"/>
  <c r="G475" i="12" s="1"/>
  <c r="I475" i="12"/>
  <c r="D476" i="12"/>
  <c r="E476" i="12" s="1"/>
  <c r="G476" i="12" s="1"/>
  <c r="D477" i="12"/>
  <c r="E477" i="12" s="1"/>
  <c r="G477" i="12" s="1"/>
  <c r="D478" i="12"/>
  <c r="E478" i="12" s="1"/>
  <c r="G478" i="12" s="1"/>
  <c r="D479" i="12"/>
  <c r="E479" i="12" s="1"/>
  <c r="G479" i="12" s="1"/>
  <c r="D480" i="12"/>
  <c r="E480" i="12" s="1"/>
  <c r="G480" i="12" s="1"/>
  <c r="D481" i="12"/>
  <c r="E481" i="12" s="1"/>
  <c r="G481" i="12" s="1"/>
  <c r="D482" i="12"/>
  <c r="E482" i="12" s="1"/>
  <c r="G482" i="12" s="1"/>
  <c r="D483" i="12"/>
  <c r="E483" i="12" s="1"/>
  <c r="G483" i="12" s="1"/>
  <c r="I483" i="12"/>
  <c r="D484" i="12"/>
  <c r="E484" i="12" s="1"/>
  <c r="G484" i="12" s="1"/>
  <c r="D485" i="12"/>
  <c r="E485" i="12" s="1"/>
  <c r="G485" i="12" s="1"/>
  <c r="D486" i="12"/>
  <c r="E486" i="12" s="1"/>
  <c r="G486" i="12" s="1"/>
  <c r="D487" i="12"/>
  <c r="E487" i="12" s="1"/>
  <c r="G487" i="12" s="1"/>
  <c r="D488" i="12"/>
  <c r="E488" i="12" s="1"/>
  <c r="G488" i="12" s="1"/>
  <c r="D489" i="12"/>
  <c r="E489" i="12" s="1"/>
  <c r="G489" i="12" s="1"/>
  <c r="D490" i="12"/>
  <c r="E490" i="12" s="1"/>
  <c r="G490" i="12" s="1"/>
  <c r="D491" i="12"/>
  <c r="E491" i="12" s="1"/>
  <c r="G491" i="12" s="1"/>
  <c r="D492" i="12"/>
  <c r="E492" i="12" s="1"/>
  <c r="G492" i="12" s="1"/>
  <c r="D493" i="12"/>
  <c r="E493" i="12" s="1"/>
  <c r="G493" i="12" s="1"/>
  <c r="D494" i="12"/>
  <c r="E494" i="12" s="1"/>
  <c r="G494" i="12" s="1"/>
  <c r="D495" i="12"/>
  <c r="E495" i="12" s="1"/>
  <c r="G495" i="12" s="1"/>
  <c r="D496" i="12"/>
  <c r="E496" i="12" s="1"/>
  <c r="G496" i="12" s="1"/>
  <c r="D497" i="12"/>
  <c r="E497" i="12" s="1"/>
  <c r="G497" i="12" s="1"/>
  <c r="D498" i="12"/>
  <c r="E498" i="12" s="1"/>
  <c r="G498" i="12" s="1"/>
  <c r="I498" i="12"/>
  <c r="D499" i="12"/>
  <c r="E499" i="12" s="1"/>
  <c r="G499" i="12" s="1"/>
  <c r="D500" i="12"/>
  <c r="E500" i="12" s="1"/>
  <c r="G500" i="12" s="1"/>
  <c r="D501" i="12"/>
  <c r="E501" i="12" s="1"/>
  <c r="G501" i="12" s="1"/>
  <c r="D502" i="12"/>
  <c r="E502" i="12" s="1"/>
  <c r="G502" i="12" s="1"/>
  <c r="D503" i="12"/>
  <c r="E503" i="12" s="1"/>
  <c r="G503" i="12" s="1"/>
  <c r="D504" i="12"/>
  <c r="E504" i="12" s="1"/>
  <c r="G504" i="12" s="1"/>
  <c r="D505" i="12"/>
  <c r="E505" i="12" s="1"/>
  <c r="G505" i="12" s="1"/>
  <c r="D506" i="12"/>
  <c r="E506" i="12" s="1"/>
  <c r="G506" i="12" s="1"/>
  <c r="D507" i="12"/>
  <c r="E507" i="12" s="1"/>
  <c r="G507" i="12" s="1"/>
  <c r="D508" i="12"/>
  <c r="E508" i="12" s="1"/>
  <c r="G508" i="12" s="1"/>
  <c r="D509" i="12"/>
  <c r="E509" i="12" s="1"/>
  <c r="G509" i="12" s="1"/>
  <c r="D510" i="12"/>
  <c r="E510" i="12" s="1"/>
  <c r="G510" i="12" s="1"/>
  <c r="D511" i="12"/>
  <c r="E511" i="12" s="1"/>
  <c r="G511" i="12" s="1"/>
  <c r="D512" i="12"/>
  <c r="E512" i="12" s="1"/>
  <c r="G512" i="12" s="1"/>
  <c r="D513" i="12"/>
  <c r="E513" i="12" s="1"/>
  <c r="G513" i="12" s="1"/>
  <c r="D514" i="12"/>
  <c r="E514" i="12" s="1"/>
  <c r="G514" i="12" s="1"/>
  <c r="I514" i="12"/>
  <c r="D515" i="12"/>
  <c r="E515" i="12" s="1"/>
  <c r="G515" i="12" s="1"/>
  <c r="D516" i="12"/>
  <c r="E516" i="12" s="1"/>
  <c r="G516" i="12" s="1"/>
  <c r="D517" i="12"/>
  <c r="E517" i="12" s="1"/>
  <c r="G517" i="12" s="1"/>
  <c r="D518" i="12"/>
  <c r="E518" i="12" s="1"/>
  <c r="G518" i="12" s="1"/>
  <c r="I518" i="12"/>
  <c r="D519" i="12"/>
  <c r="E519" i="12" s="1"/>
  <c r="G519" i="12" s="1"/>
  <c r="D520" i="12"/>
  <c r="E520" i="12" s="1"/>
  <c r="G520" i="12" s="1"/>
  <c r="D521" i="12"/>
  <c r="E521" i="12" s="1"/>
  <c r="G521" i="12" s="1"/>
  <c r="D522" i="12"/>
  <c r="E522" i="12" s="1"/>
  <c r="G522" i="12" s="1"/>
  <c r="D523" i="12"/>
  <c r="E523" i="12" s="1"/>
  <c r="G523" i="12" s="1"/>
  <c r="D524" i="12"/>
  <c r="E524" i="12" s="1"/>
  <c r="G524" i="12" s="1"/>
  <c r="D525" i="12"/>
  <c r="E525" i="12" s="1"/>
  <c r="G525" i="12" s="1"/>
  <c r="D526" i="12"/>
  <c r="E526" i="12" s="1"/>
  <c r="G526" i="12" s="1"/>
  <c r="D527" i="12"/>
  <c r="E527" i="12" s="1"/>
  <c r="G527" i="12" s="1"/>
  <c r="D528" i="12"/>
  <c r="E528" i="12" s="1"/>
  <c r="G528" i="12" s="1"/>
  <c r="D529" i="12"/>
  <c r="E529" i="12" s="1"/>
  <c r="G529" i="12" s="1"/>
  <c r="I529" i="12"/>
  <c r="D530" i="12"/>
  <c r="E530" i="12" s="1"/>
  <c r="G530" i="12" s="1"/>
  <c r="D531" i="12"/>
  <c r="E531" i="12" s="1"/>
  <c r="G531" i="12" s="1"/>
  <c r="D532" i="12"/>
  <c r="E532" i="12" s="1"/>
  <c r="G532" i="12" s="1"/>
  <c r="I532" i="12"/>
  <c r="D533" i="12"/>
  <c r="E533" i="12" s="1"/>
  <c r="G533" i="12" s="1"/>
  <c r="I533" i="12"/>
  <c r="D534" i="12"/>
  <c r="E534" i="12" s="1"/>
  <c r="G534" i="12" s="1"/>
  <c r="D535" i="12"/>
  <c r="E535" i="12" s="1"/>
  <c r="G535" i="12" s="1"/>
  <c r="D536" i="12"/>
  <c r="E536" i="12" s="1"/>
  <c r="G536" i="12" s="1"/>
  <c r="D537" i="12"/>
  <c r="E537" i="12" s="1"/>
  <c r="G537" i="12" s="1"/>
  <c r="D538" i="12"/>
  <c r="E538" i="12" s="1"/>
  <c r="G538" i="12" s="1"/>
  <c r="D539" i="12"/>
  <c r="E539" i="12" s="1"/>
  <c r="G539" i="12" s="1"/>
  <c r="D540" i="12"/>
  <c r="E540" i="12" s="1"/>
  <c r="G540" i="12" s="1"/>
  <c r="D541" i="12"/>
  <c r="E541" i="12" s="1"/>
  <c r="G541" i="12" s="1"/>
  <c r="D542" i="12"/>
  <c r="E542" i="12" s="1"/>
  <c r="G542" i="12" s="1"/>
  <c r="D543" i="12"/>
  <c r="E543" i="12" s="1"/>
  <c r="G543" i="12" s="1"/>
  <c r="D544" i="12"/>
  <c r="E544" i="12" s="1"/>
  <c r="G544" i="12" s="1"/>
  <c r="D545" i="12"/>
  <c r="E545" i="12" s="1"/>
  <c r="G545" i="12" s="1"/>
  <c r="D546" i="12"/>
  <c r="E546" i="12" s="1"/>
  <c r="G546" i="12" s="1"/>
  <c r="D547" i="12"/>
  <c r="E547" i="12" s="1"/>
  <c r="G547" i="12" s="1"/>
  <c r="D548" i="12"/>
  <c r="E548" i="12" s="1"/>
  <c r="G548" i="12" s="1"/>
  <c r="D549" i="12"/>
  <c r="E549" i="12" s="1"/>
  <c r="G549" i="12" s="1"/>
  <c r="D550" i="12"/>
  <c r="E550" i="12" s="1"/>
  <c r="G550" i="12" s="1"/>
  <c r="I550" i="12"/>
  <c r="D551" i="12"/>
  <c r="E551" i="12" s="1"/>
  <c r="G551" i="12" s="1"/>
  <c r="I551" i="12"/>
  <c r="D552" i="12"/>
  <c r="E552" i="12" s="1"/>
  <c r="G552" i="12" s="1"/>
  <c r="D553" i="12"/>
  <c r="E553" i="12" s="1"/>
  <c r="G553" i="12" s="1"/>
  <c r="D554" i="12"/>
  <c r="E554" i="12" s="1"/>
  <c r="G554" i="12" s="1"/>
  <c r="D555" i="12"/>
  <c r="E555" i="12" s="1"/>
  <c r="G555" i="12" s="1"/>
  <c r="D556" i="12"/>
  <c r="E556" i="12" s="1"/>
  <c r="G556" i="12" s="1"/>
  <c r="I556" i="12"/>
  <c r="D557" i="12"/>
  <c r="E557" i="12" s="1"/>
  <c r="G557" i="12" s="1"/>
  <c r="I557" i="12"/>
  <c r="D558" i="12"/>
  <c r="E558" i="12" s="1"/>
  <c r="G558" i="12" s="1"/>
  <c r="D559" i="12"/>
  <c r="E559" i="12" s="1"/>
  <c r="G559" i="12" s="1"/>
  <c r="D560" i="12"/>
  <c r="E560" i="12" s="1"/>
  <c r="G560" i="12" s="1"/>
  <c r="D561" i="12"/>
  <c r="E561" i="12" s="1"/>
  <c r="G561" i="12" s="1"/>
  <c r="D562" i="12"/>
  <c r="E562" i="12" s="1"/>
  <c r="G562" i="12" s="1"/>
  <c r="D563" i="12"/>
  <c r="E563" i="12" s="1"/>
  <c r="G563" i="12" s="1"/>
  <c r="D564" i="12"/>
  <c r="E564" i="12" s="1"/>
  <c r="G564" i="12" s="1"/>
  <c r="D565" i="12"/>
  <c r="E565" i="12" s="1"/>
  <c r="G565" i="12" s="1"/>
  <c r="D566" i="12"/>
  <c r="E566" i="12" s="1"/>
  <c r="G566" i="12" s="1"/>
  <c r="D567" i="12"/>
  <c r="E567" i="12" s="1"/>
  <c r="G567" i="12" s="1"/>
  <c r="D568" i="12"/>
  <c r="E568" i="12" s="1"/>
  <c r="G568" i="12" s="1"/>
  <c r="D569" i="12"/>
  <c r="E569" i="12" s="1"/>
  <c r="G569" i="12" s="1"/>
  <c r="D570" i="12"/>
  <c r="E570" i="12" s="1"/>
  <c r="G570" i="12" s="1"/>
  <c r="D571" i="12"/>
  <c r="E571" i="12" s="1"/>
  <c r="G571" i="12" s="1"/>
  <c r="D572" i="12"/>
  <c r="E572" i="12" s="1"/>
  <c r="G572" i="12" s="1"/>
  <c r="D573" i="12"/>
  <c r="E573" i="12" s="1"/>
  <c r="G573" i="12" s="1"/>
  <c r="D574" i="12"/>
  <c r="E574" i="12" s="1"/>
  <c r="G574" i="12" s="1"/>
  <c r="D575" i="12"/>
  <c r="E575" i="12" s="1"/>
  <c r="G575" i="12" s="1"/>
  <c r="D576" i="12"/>
  <c r="E576" i="12" s="1"/>
  <c r="G576" i="12" s="1"/>
  <c r="D577" i="12"/>
  <c r="E577" i="12" s="1"/>
  <c r="G577" i="12" s="1"/>
  <c r="D578" i="12"/>
  <c r="E578" i="12" s="1"/>
  <c r="G578" i="12" s="1"/>
  <c r="D579" i="12"/>
  <c r="E579" i="12" s="1"/>
  <c r="G579" i="12" s="1"/>
  <c r="D580" i="12"/>
  <c r="E580" i="12" s="1"/>
  <c r="G580" i="12" s="1"/>
  <c r="D581" i="12"/>
  <c r="E581" i="12" s="1"/>
  <c r="G581" i="12" s="1"/>
  <c r="D582" i="12"/>
  <c r="E582" i="12" s="1"/>
  <c r="G582" i="12" s="1"/>
  <c r="D2" i="12"/>
  <c r="E2" i="12" s="1"/>
  <c r="G2" i="12" s="1"/>
  <c r="M2" i="15"/>
  <c r="N2" i="15" s="1"/>
  <c r="J3" i="15"/>
  <c r="D2" i="15"/>
  <c r="C2" i="15"/>
  <c r="B2" i="15"/>
  <c r="L2" i="15"/>
  <c r="H99" i="1"/>
  <c r="J99" i="1"/>
  <c r="H89" i="1"/>
  <c r="J89" i="1"/>
  <c r="H104" i="1"/>
  <c r="J104" i="1"/>
  <c r="N573" i="12"/>
  <c r="H65" i="1"/>
  <c r="J65" i="1"/>
  <c r="H40" i="1"/>
  <c r="J40" i="1"/>
  <c r="H86" i="1"/>
  <c r="J86" i="1"/>
  <c r="H85" i="1"/>
  <c r="J85" i="1"/>
  <c r="H106" i="1"/>
  <c r="J106" i="1"/>
  <c r="H143" i="1"/>
  <c r="H141" i="1"/>
  <c r="H142" i="1"/>
  <c r="H73" i="1"/>
  <c r="H117" i="1"/>
  <c r="H125" i="1"/>
  <c r="H122" i="1"/>
  <c r="H113" i="1"/>
  <c r="H140" i="1"/>
  <c r="H9" i="1"/>
  <c r="J143" i="1"/>
  <c r="J141" i="1"/>
  <c r="J142" i="1"/>
  <c r="J73" i="1"/>
  <c r="J117" i="1"/>
  <c r="J125" i="1"/>
  <c r="J122" i="1"/>
  <c r="J113" i="1"/>
  <c r="J140" i="1"/>
  <c r="J9" i="1"/>
  <c r="H19" i="1"/>
  <c r="J19" i="1"/>
  <c r="H36" i="1"/>
  <c r="J36" i="1"/>
  <c r="H2" i="1"/>
  <c r="J2" i="1"/>
  <c r="H46" i="1"/>
  <c r="J46" i="1"/>
  <c r="H150" i="1"/>
  <c r="J150" i="1"/>
  <c r="H63" i="1"/>
  <c r="J63" i="1"/>
  <c r="N491" i="12"/>
  <c r="H82" i="1"/>
  <c r="J82" i="1"/>
  <c r="H107" i="1"/>
  <c r="J107" i="1"/>
  <c r="H116" i="1"/>
  <c r="J116" i="1"/>
  <c r="H34" i="1"/>
  <c r="J34" i="1"/>
  <c r="I59" i="1"/>
  <c r="I18" i="1"/>
  <c r="I32" i="1"/>
  <c r="I50" i="1"/>
  <c r="I69" i="1"/>
  <c r="I85" i="1"/>
  <c r="I101" i="1"/>
  <c r="I117" i="1"/>
  <c r="I135" i="1"/>
  <c r="I151" i="1"/>
  <c r="I2" i="1"/>
  <c r="I15" i="1"/>
  <c r="I29" i="1"/>
  <c r="I47" i="1"/>
  <c r="I65" i="1"/>
  <c r="I82" i="1"/>
  <c r="I98" i="1"/>
  <c r="I115" i="1"/>
  <c r="I132" i="1"/>
  <c r="I148" i="1"/>
  <c r="I7" i="1"/>
  <c r="I12" i="1"/>
  <c r="I43" i="1"/>
  <c r="I41" i="1"/>
  <c r="I61" i="1"/>
  <c r="I79" i="1"/>
  <c r="I95" i="1"/>
  <c r="I111" i="1"/>
  <c r="I129" i="1"/>
  <c r="I145" i="1"/>
  <c r="I160" i="1"/>
  <c r="I8" i="1"/>
  <c r="I24" i="1"/>
  <c r="I63" i="1"/>
  <c r="I56" i="1"/>
  <c r="I77" i="1"/>
  <c r="I92" i="1"/>
  <c r="I108" i="1"/>
  <c r="I126" i="1"/>
  <c r="I142" i="1"/>
  <c r="I159" i="1"/>
  <c r="F27" i="1"/>
  <c r="F84" i="1"/>
  <c r="F73" i="1"/>
  <c r="F6" i="1"/>
  <c r="F104" i="1"/>
  <c r="F54" i="1"/>
  <c r="F72" i="1"/>
  <c r="F2" i="1"/>
  <c r="F35" i="1"/>
  <c r="F40" i="1"/>
  <c r="F29" i="1"/>
  <c r="F83" i="1"/>
  <c r="F13" i="1"/>
  <c r="F103" i="1"/>
  <c r="F126" i="1"/>
  <c r="F108" i="1"/>
  <c r="F115" i="1"/>
  <c r="F48" i="1"/>
  <c r="F141" i="1"/>
  <c r="F78" i="1"/>
  <c r="F106" i="1"/>
  <c r="F98" i="1"/>
  <c r="F43" i="1"/>
  <c r="F12" i="1"/>
  <c r="F116" i="1"/>
  <c r="F155" i="1"/>
  <c r="F38" i="1"/>
  <c r="F133" i="1"/>
  <c r="F45" i="1"/>
  <c r="F50" i="1"/>
  <c r="F74" i="1"/>
  <c r="F75" i="1"/>
  <c r="F143" i="1"/>
  <c r="F64" i="1"/>
  <c r="F67" i="1"/>
  <c r="F7" i="1"/>
  <c r="F107" i="1"/>
  <c r="F34" i="1"/>
  <c r="F121" i="1"/>
  <c r="I9" i="1"/>
  <c r="I25" i="1"/>
  <c r="I39" i="1"/>
  <c r="I57" i="1"/>
  <c r="I114" i="1"/>
  <c r="I93" i="1"/>
  <c r="I109" i="1"/>
  <c r="I127" i="1"/>
  <c r="I143" i="1"/>
  <c r="I158" i="1"/>
  <c r="I42" i="1"/>
  <c r="I38" i="1"/>
  <c r="I54" i="1"/>
  <c r="I75" i="1"/>
  <c r="I90" i="1"/>
  <c r="I106" i="1"/>
  <c r="I123" i="1"/>
  <c r="I140" i="1"/>
  <c r="I156" i="1"/>
  <c r="I58" i="1"/>
  <c r="I20" i="1"/>
  <c r="I35" i="1"/>
  <c r="I70" i="1"/>
  <c r="I72" i="1"/>
  <c r="I87" i="1"/>
  <c r="I103" i="1"/>
  <c r="I119" i="1"/>
  <c r="I137" i="1"/>
  <c r="I153" i="1"/>
  <c r="I3" i="1"/>
  <c r="I17" i="1"/>
  <c r="I31" i="1"/>
  <c r="I49" i="1"/>
  <c r="I68" i="1"/>
  <c r="I121" i="1"/>
  <c r="I100" i="1"/>
  <c r="I116" i="1"/>
  <c r="I134" i="1"/>
  <c r="I150" i="1"/>
  <c r="F51" i="1"/>
  <c r="F57" i="1"/>
  <c r="F142" i="1"/>
  <c r="F5" i="1"/>
  <c r="F85" i="1"/>
  <c r="F161" i="1"/>
  <c r="F42" i="1"/>
  <c r="F144" i="1"/>
  <c r="F87" i="1"/>
  <c r="F158" i="1"/>
  <c r="F18" i="1"/>
  <c r="F10" i="1"/>
  <c r="F125" i="1"/>
  <c r="F112" i="1"/>
  <c r="F90" i="1"/>
  <c r="F140" i="1"/>
  <c r="F52" i="1"/>
  <c r="F30" i="1"/>
  <c r="F47" i="1"/>
  <c r="F152" i="1"/>
  <c r="F23" i="1"/>
  <c r="F100" i="1"/>
  <c r="F92" i="1"/>
  <c r="F59" i="1"/>
  <c r="F76" i="1"/>
  <c r="F156" i="1"/>
  <c r="F138" i="1"/>
  <c r="F86" i="1"/>
  <c r="F31" i="1"/>
  <c r="F20" i="1"/>
  <c r="F88" i="1"/>
  <c r="F95" i="1"/>
  <c r="F36" i="1"/>
  <c r="F132" i="1"/>
  <c r="F123" i="1"/>
  <c r="F25" i="1"/>
  <c r="F68" i="1"/>
  <c r="F11" i="1"/>
  <c r="F93" i="1"/>
  <c r="F44" i="1"/>
  <c r="I14" i="1"/>
  <c r="I28" i="1"/>
  <c r="I46" i="1"/>
  <c r="I64" i="1"/>
  <c r="I81" i="1"/>
  <c r="I97" i="1"/>
  <c r="I113" i="1"/>
  <c r="I131" i="1"/>
  <c r="I147" i="1"/>
  <c r="I5" i="1"/>
  <c r="I34" i="1"/>
  <c r="I26" i="1"/>
  <c r="I40" i="1"/>
  <c r="I60" i="1"/>
  <c r="I78" i="1"/>
  <c r="I94" i="1"/>
  <c r="I110" i="1"/>
  <c r="I128" i="1"/>
  <c r="I144" i="1"/>
  <c r="I161" i="1"/>
  <c r="I11" i="1"/>
  <c r="I23" i="1"/>
  <c r="I44" i="1"/>
  <c r="I55" i="1"/>
  <c r="I76" i="1"/>
  <c r="I91" i="1"/>
  <c r="I107" i="1"/>
  <c r="I125" i="1"/>
  <c r="I141" i="1"/>
  <c r="I157" i="1"/>
  <c r="I6" i="1"/>
  <c r="I21" i="1"/>
  <c r="I36" i="1"/>
  <c r="I52" i="1"/>
  <c r="I73" i="1"/>
  <c r="I88" i="1"/>
  <c r="I104" i="1"/>
  <c r="I120" i="1"/>
  <c r="I138" i="1"/>
  <c r="I154" i="1"/>
  <c r="F134" i="1"/>
  <c r="F139" i="1"/>
  <c r="F109" i="1"/>
  <c r="F53" i="1"/>
  <c r="F94" i="1"/>
  <c r="I37" i="1"/>
  <c r="I136" i="1"/>
  <c r="I83" i="1"/>
  <c r="I130" i="1"/>
  <c r="F91" i="1"/>
  <c r="F131" i="1"/>
  <c r="F66" i="1"/>
  <c r="F14" i="1"/>
  <c r="F114" i="1"/>
  <c r="F8" i="1"/>
  <c r="F118" i="1"/>
  <c r="F145" i="1"/>
  <c r="I122" i="1"/>
  <c r="I86" i="1"/>
  <c r="I48" i="1"/>
  <c r="I13" i="1"/>
  <c r="I146" i="1"/>
  <c r="F82" i="1"/>
  <c r="F111" i="1"/>
  <c r="F147" i="1"/>
  <c r="F137" i="1"/>
  <c r="F4" i="1"/>
  <c r="F148" i="1"/>
  <c r="F150" i="1"/>
  <c r="F60" i="1"/>
  <c r="F102" i="1"/>
  <c r="I4" i="1"/>
  <c r="I74" i="1"/>
  <c r="I139" i="1"/>
  <c r="I33" i="1"/>
  <c r="I102" i="1"/>
  <c r="I66" i="1"/>
  <c r="I67" i="1"/>
  <c r="I133" i="1"/>
  <c r="I27" i="1"/>
  <c r="I96" i="1"/>
  <c r="F55" i="1"/>
  <c r="F49" i="1"/>
  <c r="F17" i="1"/>
  <c r="F146" i="1"/>
  <c r="F105" i="1"/>
  <c r="F63" i="1"/>
  <c r="F124" i="1"/>
  <c r="F3" i="1"/>
  <c r="F56" i="1"/>
  <c r="F70" i="1"/>
  <c r="F19" i="1"/>
  <c r="F16" i="1"/>
  <c r="F46" i="1"/>
  <c r="F127" i="1"/>
  <c r="F149" i="1"/>
  <c r="F97" i="1"/>
  <c r="F15" i="1"/>
  <c r="F71" i="1"/>
  <c r="F79" i="1"/>
  <c r="I22" i="1"/>
  <c r="I89" i="1"/>
  <c r="I155" i="1"/>
  <c r="I51" i="1"/>
  <c r="I118" i="1"/>
  <c r="I16" i="1"/>
  <c r="I84" i="1"/>
  <c r="I149" i="1"/>
  <c r="I45" i="1"/>
  <c r="I112" i="1"/>
  <c r="F119" i="1"/>
  <c r="F159" i="1"/>
  <c r="F129" i="1"/>
  <c r="F128" i="1"/>
  <c r="F157" i="1"/>
  <c r="F58" i="1"/>
  <c r="F117" i="1"/>
  <c r="F80" i="1"/>
  <c r="F39" i="1"/>
  <c r="F153" i="1"/>
  <c r="F24" i="1"/>
  <c r="F22" i="1"/>
  <c r="F61" i="1"/>
  <c r="F62" i="1"/>
  <c r="F160" i="1"/>
  <c r="F122" i="1"/>
  <c r="F41" i="1"/>
  <c r="F21" i="1"/>
  <c r="F81" i="1"/>
  <c r="I105" i="1"/>
  <c r="I10" i="1"/>
  <c r="I71" i="1"/>
  <c r="I30" i="1"/>
  <c r="I99" i="1"/>
  <c r="I62" i="1"/>
  <c r="F120" i="1"/>
  <c r="F110" i="1"/>
  <c r="F136" i="1"/>
  <c r="F96" i="1"/>
  <c r="F151" i="1"/>
  <c r="F99" i="1"/>
  <c r="F135" i="1"/>
  <c r="F26" i="1"/>
  <c r="F33" i="1"/>
  <c r="F37" i="1"/>
  <c r="F28" i="1"/>
  <c r="I53" i="1"/>
  <c r="I19" i="1"/>
  <c r="I152" i="1"/>
  <c r="I124" i="1"/>
  <c r="I80" i="1"/>
  <c r="F32" i="1"/>
  <c r="F77" i="1"/>
  <c r="F130" i="1"/>
  <c r="F113" i="1"/>
  <c r="F89" i="1"/>
  <c r="F9" i="1"/>
  <c r="F69" i="1"/>
  <c r="F101" i="1"/>
  <c r="F65" i="1"/>
  <c r="F154" i="1"/>
  <c r="N499" i="12" l="1"/>
  <c r="N508" i="12"/>
  <c r="F3" i="15"/>
  <c r="H3" i="15"/>
  <c r="G3" i="15"/>
  <c r="I3" i="15"/>
  <c r="H115" i="1"/>
  <c r="J115" i="1"/>
  <c r="N548" i="12"/>
  <c r="H112" i="1"/>
  <c r="J112" i="1"/>
  <c r="H110" i="1"/>
  <c r="J110" i="1"/>
  <c r="H83" i="1"/>
  <c r="J83" i="1"/>
  <c r="H57" i="1"/>
  <c r="J57" i="1"/>
  <c r="H48" i="1"/>
  <c r="J48" i="1"/>
  <c r="N3" i="15" l="1"/>
  <c r="H44" i="1"/>
  <c r="J44" i="1"/>
  <c r="H37" i="1"/>
  <c r="J37" i="1"/>
  <c r="H66" i="1"/>
  <c r="H59" i="1"/>
  <c r="J66" i="1"/>
  <c r="J59" i="1"/>
  <c r="H131" i="1"/>
  <c r="J131" i="1"/>
  <c r="H111" i="1"/>
  <c r="J111" i="1"/>
  <c r="H135" i="1"/>
  <c r="J135" i="1"/>
  <c r="H133" i="1"/>
  <c r="J133" i="1"/>
  <c r="H101" i="1"/>
  <c r="J101" i="1"/>
  <c r="H53" i="1"/>
  <c r="J53" i="1"/>
  <c r="H128" i="1"/>
  <c r="J128" i="1"/>
  <c r="H153" i="1"/>
  <c r="J153" i="1"/>
  <c r="H120" i="1"/>
  <c r="H127" i="1"/>
  <c r="H118" i="1"/>
  <c r="J120" i="1"/>
  <c r="J127" i="1"/>
  <c r="J118" i="1"/>
  <c r="H90" i="1"/>
  <c r="H98" i="1"/>
  <c r="J90" i="1"/>
  <c r="J98" i="1"/>
  <c r="H148" i="1"/>
  <c r="J148" i="1"/>
  <c r="H134" i="1"/>
  <c r="J134" i="1"/>
  <c r="H147" i="1"/>
  <c r="J147" i="1"/>
  <c r="H149" i="1"/>
  <c r="J149" i="1"/>
  <c r="H121" i="1"/>
  <c r="J121" i="1"/>
  <c r="H87" i="1"/>
  <c r="J87" i="1"/>
  <c r="H81" i="1"/>
  <c r="J81" i="1"/>
  <c r="H95" i="1"/>
  <c r="J95" i="1"/>
  <c r="M172" i="14"/>
  <c r="V156" i="14" s="1"/>
  <c r="L172" i="14"/>
  <c r="U156" i="14" s="1"/>
  <c r="K172" i="14"/>
  <c r="T156" i="14" s="1"/>
  <c r="J172" i="14"/>
  <c r="M171" i="14"/>
  <c r="V155" i="14" s="1"/>
  <c r="L171" i="14"/>
  <c r="U155" i="14" s="1"/>
  <c r="K171" i="14"/>
  <c r="T155" i="14" s="1"/>
  <c r="J171" i="14"/>
  <c r="M170" i="14"/>
  <c r="V154" i="14" s="1"/>
  <c r="L170" i="14"/>
  <c r="U154" i="14" s="1"/>
  <c r="K170" i="14"/>
  <c r="T154" i="14" s="1"/>
  <c r="J170" i="14"/>
  <c r="M169" i="14"/>
  <c r="V153" i="14" s="1"/>
  <c r="L169" i="14"/>
  <c r="U153" i="14" s="1"/>
  <c r="K169" i="14"/>
  <c r="T153" i="14" s="1"/>
  <c r="J169" i="14"/>
  <c r="S153" i="14" s="1"/>
  <c r="M168" i="14"/>
  <c r="V152" i="14" s="1"/>
  <c r="L168" i="14"/>
  <c r="U152" i="14" s="1"/>
  <c r="K168" i="14"/>
  <c r="T152" i="14" s="1"/>
  <c r="J168" i="14"/>
  <c r="S152" i="14" s="1"/>
  <c r="M167" i="14"/>
  <c r="V151" i="14" s="1"/>
  <c r="L167" i="14"/>
  <c r="U151" i="14" s="1"/>
  <c r="K167" i="14"/>
  <c r="T151" i="14" s="1"/>
  <c r="J167" i="14"/>
  <c r="S151" i="14" s="1"/>
  <c r="M166" i="14"/>
  <c r="V150" i="14" s="1"/>
  <c r="L166" i="14"/>
  <c r="U150" i="14" s="1"/>
  <c r="K166" i="14"/>
  <c r="T150" i="14" s="1"/>
  <c r="J166" i="14"/>
  <c r="S150" i="14" s="1"/>
  <c r="M165" i="14"/>
  <c r="V149" i="14" s="1"/>
  <c r="L165" i="14"/>
  <c r="U149" i="14" s="1"/>
  <c r="K165" i="14"/>
  <c r="T149" i="14" s="1"/>
  <c r="J165" i="14"/>
  <c r="S149" i="14" s="1"/>
  <c r="M164" i="14"/>
  <c r="V148" i="14" s="1"/>
  <c r="L164" i="14"/>
  <c r="U148" i="14" s="1"/>
  <c r="K164" i="14"/>
  <c r="T148" i="14" s="1"/>
  <c r="J164" i="14"/>
  <c r="S148" i="14" s="1"/>
  <c r="M163" i="14"/>
  <c r="V147" i="14" s="1"/>
  <c r="L163" i="14"/>
  <c r="U147" i="14" s="1"/>
  <c r="K163" i="14"/>
  <c r="T147" i="14" s="1"/>
  <c r="J163" i="14"/>
  <c r="S147" i="14" s="1"/>
  <c r="M162" i="14"/>
  <c r="V146" i="14" s="1"/>
  <c r="L162" i="14"/>
  <c r="U146" i="14" s="1"/>
  <c r="K162" i="14"/>
  <c r="T146" i="14" s="1"/>
  <c r="J162" i="14"/>
  <c r="S146" i="14" s="1"/>
  <c r="M161" i="14"/>
  <c r="V145" i="14" s="1"/>
  <c r="L161" i="14"/>
  <c r="U145" i="14" s="1"/>
  <c r="K161" i="14"/>
  <c r="T145" i="14" s="1"/>
  <c r="J161" i="14"/>
  <c r="S145" i="14" s="1"/>
  <c r="M160" i="14"/>
  <c r="V144" i="14" s="1"/>
  <c r="L160" i="14"/>
  <c r="U144" i="14" s="1"/>
  <c r="K160" i="14"/>
  <c r="T144" i="14" s="1"/>
  <c r="J160" i="14"/>
  <c r="S144" i="14" s="1"/>
  <c r="M159" i="14"/>
  <c r="V143" i="14" s="1"/>
  <c r="L159" i="14"/>
  <c r="U143" i="14" s="1"/>
  <c r="K159" i="14"/>
  <c r="T143" i="14" s="1"/>
  <c r="J159" i="14"/>
  <c r="S143" i="14" s="1"/>
  <c r="V158" i="14"/>
  <c r="U158" i="14"/>
  <c r="T158" i="14"/>
  <c r="S158" i="14"/>
  <c r="R158" i="14"/>
  <c r="Q158" i="14"/>
  <c r="P158" i="14"/>
  <c r="M158" i="14"/>
  <c r="V142" i="14" s="1"/>
  <c r="L158" i="14"/>
  <c r="U142" i="14" s="1"/>
  <c r="K158" i="14"/>
  <c r="T142" i="14" s="1"/>
  <c r="J158" i="14"/>
  <c r="S142" i="14" s="1"/>
  <c r="V157" i="14"/>
  <c r="U157" i="14"/>
  <c r="T157" i="14"/>
  <c r="S157" i="14"/>
  <c r="R157" i="14"/>
  <c r="Q157" i="14"/>
  <c r="P157" i="14"/>
  <c r="M157" i="14"/>
  <c r="V141" i="14" s="1"/>
  <c r="L157" i="14"/>
  <c r="U141" i="14" s="1"/>
  <c r="K157" i="14"/>
  <c r="T141" i="14" s="1"/>
  <c r="J157" i="14"/>
  <c r="S141" i="14" s="1"/>
  <c r="S156" i="14"/>
  <c r="R156" i="14"/>
  <c r="Q156" i="14"/>
  <c r="P156" i="14"/>
  <c r="M156" i="14"/>
  <c r="V140" i="14" s="1"/>
  <c r="L156" i="14"/>
  <c r="U140" i="14" s="1"/>
  <c r="K156" i="14"/>
  <c r="T140" i="14" s="1"/>
  <c r="J156" i="14"/>
  <c r="S140" i="14" s="1"/>
  <c r="S155" i="14"/>
  <c r="R155" i="14"/>
  <c r="Q155" i="14"/>
  <c r="P155" i="14"/>
  <c r="M155" i="14"/>
  <c r="V139" i="14" s="1"/>
  <c r="L155" i="14"/>
  <c r="U139" i="14" s="1"/>
  <c r="K155" i="14"/>
  <c r="T139" i="14" s="1"/>
  <c r="J155" i="14"/>
  <c r="S139" i="14" s="1"/>
  <c r="S154" i="14"/>
  <c r="R154" i="14"/>
  <c r="Q154" i="14"/>
  <c r="P154" i="14"/>
  <c r="M154" i="14"/>
  <c r="V138" i="14" s="1"/>
  <c r="L154" i="14"/>
  <c r="U138" i="14" s="1"/>
  <c r="K154" i="14"/>
  <c r="T138" i="14" s="1"/>
  <c r="J154" i="14"/>
  <c r="S138" i="14" s="1"/>
  <c r="R153" i="14"/>
  <c r="Q153" i="14"/>
  <c r="P153" i="14"/>
  <c r="M153" i="14"/>
  <c r="V137" i="14" s="1"/>
  <c r="L153" i="14"/>
  <c r="U137" i="14" s="1"/>
  <c r="K153" i="14"/>
  <c r="J153" i="14"/>
  <c r="S137" i="14" s="1"/>
  <c r="R152" i="14"/>
  <c r="Q152" i="14"/>
  <c r="P152" i="14"/>
  <c r="M152" i="14"/>
  <c r="V136" i="14" s="1"/>
  <c r="L152" i="14"/>
  <c r="U136" i="14" s="1"/>
  <c r="K152" i="14"/>
  <c r="T136" i="14" s="1"/>
  <c r="J152" i="14"/>
  <c r="S136" i="14" s="1"/>
  <c r="R151" i="14"/>
  <c r="Q151" i="14"/>
  <c r="P151" i="14"/>
  <c r="M151" i="14"/>
  <c r="V135" i="14" s="1"/>
  <c r="L151" i="14"/>
  <c r="U135" i="14" s="1"/>
  <c r="K151" i="14"/>
  <c r="T135" i="14" s="1"/>
  <c r="J151" i="14"/>
  <c r="S135" i="14" s="1"/>
  <c r="R150" i="14"/>
  <c r="Q150" i="14"/>
  <c r="P150" i="14"/>
  <c r="M150" i="14"/>
  <c r="V134" i="14" s="1"/>
  <c r="L150" i="14"/>
  <c r="U134" i="14" s="1"/>
  <c r="K150" i="14"/>
  <c r="T134" i="14" s="1"/>
  <c r="J150" i="14"/>
  <c r="S134" i="14" s="1"/>
  <c r="R149" i="14"/>
  <c r="Q149" i="14"/>
  <c r="P149" i="14"/>
  <c r="M149" i="14"/>
  <c r="V133" i="14" s="1"/>
  <c r="L149" i="14"/>
  <c r="U133" i="14" s="1"/>
  <c r="K149" i="14"/>
  <c r="T133" i="14" s="1"/>
  <c r="J149" i="14"/>
  <c r="S133" i="14" s="1"/>
  <c r="R148" i="14"/>
  <c r="Q148" i="14"/>
  <c r="P148" i="14"/>
  <c r="M148" i="14"/>
  <c r="V132" i="14" s="1"/>
  <c r="L148" i="14"/>
  <c r="U132" i="14" s="1"/>
  <c r="K148" i="14"/>
  <c r="T132" i="14" s="1"/>
  <c r="J148" i="14"/>
  <c r="S132" i="14" s="1"/>
  <c r="R147" i="14"/>
  <c r="Q147" i="14"/>
  <c r="P147" i="14"/>
  <c r="M147" i="14"/>
  <c r="L147" i="14"/>
  <c r="K147" i="14"/>
  <c r="J147" i="14"/>
  <c r="R146" i="14"/>
  <c r="Q146" i="14"/>
  <c r="P146" i="14"/>
  <c r="M146" i="14"/>
  <c r="L146" i="14"/>
  <c r="K146" i="14"/>
  <c r="J146" i="14"/>
  <c r="R145" i="14"/>
  <c r="Q145" i="14"/>
  <c r="P145" i="14"/>
  <c r="M145" i="14"/>
  <c r="L145" i="14"/>
  <c r="K145" i="14"/>
  <c r="J145" i="14"/>
  <c r="R144" i="14"/>
  <c r="Q144" i="14"/>
  <c r="P144" i="14"/>
  <c r="M144" i="14"/>
  <c r="L144" i="14"/>
  <c r="K144" i="14"/>
  <c r="J144" i="14"/>
  <c r="R143" i="14"/>
  <c r="Q143" i="14"/>
  <c r="P143" i="14"/>
  <c r="M143" i="14"/>
  <c r="L143" i="14"/>
  <c r="K143" i="14"/>
  <c r="J143" i="14"/>
  <c r="R142" i="14"/>
  <c r="Q142" i="14"/>
  <c r="P142" i="14"/>
  <c r="M142" i="14"/>
  <c r="L142" i="14"/>
  <c r="K142" i="14"/>
  <c r="J142" i="14"/>
  <c r="R141" i="14"/>
  <c r="Q141" i="14"/>
  <c r="P141" i="14"/>
  <c r="M141" i="14"/>
  <c r="L141" i="14"/>
  <c r="K141" i="14"/>
  <c r="J141" i="14"/>
  <c r="R140" i="14"/>
  <c r="Q140" i="14"/>
  <c r="P140" i="14"/>
  <c r="M140" i="14"/>
  <c r="L140" i="14"/>
  <c r="K140" i="14"/>
  <c r="J140" i="14"/>
  <c r="R139" i="14"/>
  <c r="Q139" i="14"/>
  <c r="P139" i="14"/>
  <c r="M139" i="14"/>
  <c r="L139" i="14"/>
  <c r="K139" i="14"/>
  <c r="J139" i="14"/>
  <c r="R138" i="14"/>
  <c r="Q138" i="14"/>
  <c r="P138" i="14"/>
  <c r="M138" i="14"/>
  <c r="L138" i="14"/>
  <c r="K138" i="14"/>
  <c r="J138" i="14"/>
  <c r="T137" i="14"/>
  <c r="R137" i="14"/>
  <c r="Q137" i="14"/>
  <c r="P137" i="14"/>
  <c r="M137" i="14"/>
  <c r="L137" i="14"/>
  <c r="K137" i="14"/>
  <c r="J137" i="14"/>
  <c r="R136" i="14"/>
  <c r="Q136" i="14"/>
  <c r="P136" i="14"/>
  <c r="M136" i="14"/>
  <c r="L136" i="14"/>
  <c r="K136" i="14"/>
  <c r="J136" i="14"/>
  <c r="R135" i="14"/>
  <c r="Q135" i="14"/>
  <c r="P135" i="14"/>
  <c r="M135" i="14"/>
  <c r="V131" i="14" s="1"/>
  <c r="L135" i="14"/>
  <c r="U131" i="14" s="1"/>
  <c r="K135" i="14"/>
  <c r="T131" i="14" s="1"/>
  <c r="J135" i="14"/>
  <c r="S131" i="14" s="1"/>
  <c r="R134" i="14"/>
  <c r="Q134" i="14"/>
  <c r="P134" i="14"/>
  <c r="M134" i="14"/>
  <c r="V130" i="14" s="1"/>
  <c r="L134" i="14"/>
  <c r="U130" i="14" s="1"/>
  <c r="K134" i="14"/>
  <c r="T130" i="14" s="1"/>
  <c r="J134" i="14"/>
  <c r="S130" i="14" s="1"/>
  <c r="R133" i="14"/>
  <c r="Q133" i="14"/>
  <c r="P133" i="14"/>
  <c r="A133" i="14"/>
  <c r="M133" i="14" s="1"/>
  <c r="V129" i="14" s="1"/>
  <c r="R132" i="14"/>
  <c r="Q132" i="14"/>
  <c r="P132" i="14"/>
  <c r="A132" i="14"/>
  <c r="M132" i="14" s="1"/>
  <c r="V128" i="14" s="1"/>
  <c r="R131" i="14"/>
  <c r="Q131" i="14"/>
  <c r="A131" i="14"/>
  <c r="M131" i="14" s="1"/>
  <c r="V127" i="14" s="1"/>
  <c r="R130" i="14"/>
  <c r="Q130" i="14"/>
  <c r="A130" i="14"/>
  <c r="M130" i="14" s="1"/>
  <c r="V126" i="14" s="1"/>
  <c r="A129" i="14"/>
  <c r="M129" i="14" s="1"/>
  <c r="V125" i="14" s="1"/>
  <c r="A128" i="14"/>
  <c r="M128" i="14" s="1"/>
  <c r="V124" i="14" s="1"/>
  <c r="A127" i="14"/>
  <c r="M127" i="14" s="1"/>
  <c r="V123" i="14" s="1"/>
  <c r="A126" i="14"/>
  <c r="M126" i="14" s="1"/>
  <c r="V122" i="14" s="1"/>
  <c r="A125" i="14"/>
  <c r="M125" i="14" s="1"/>
  <c r="V121" i="14" s="1"/>
  <c r="A124" i="14"/>
  <c r="M124" i="14" s="1"/>
  <c r="V120" i="14" s="1"/>
  <c r="A123" i="14"/>
  <c r="M123" i="14" s="1"/>
  <c r="V119" i="14" s="1"/>
  <c r="A122" i="14"/>
  <c r="M122" i="14" s="1"/>
  <c r="V118" i="14" s="1"/>
  <c r="A121" i="14"/>
  <c r="M121" i="14" s="1"/>
  <c r="V117" i="14" s="1"/>
  <c r="M120" i="14"/>
  <c r="L120" i="14"/>
  <c r="K120" i="14"/>
  <c r="T116" i="14" s="1"/>
  <c r="J120" i="14"/>
  <c r="S116" i="14" s="1"/>
  <c r="M119" i="14"/>
  <c r="V115" i="14" s="1"/>
  <c r="L119" i="14"/>
  <c r="U115" i="14" s="1"/>
  <c r="K119" i="14"/>
  <c r="T115" i="14" s="1"/>
  <c r="J119" i="14"/>
  <c r="S115" i="14" s="1"/>
  <c r="M118" i="14"/>
  <c r="V114" i="14" s="1"/>
  <c r="L118" i="14"/>
  <c r="U114" i="14" s="1"/>
  <c r="K118" i="14"/>
  <c r="T114" i="14" s="1"/>
  <c r="J118" i="14"/>
  <c r="S114" i="14" s="1"/>
  <c r="M117" i="14"/>
  <c r="V113" i="14" s="1"/>
  <c r="L117" i="14"/>
  <c r="U113" i="14" s="1"/>
  <c r="K117" i="14"/>
  <c r="T113" i="14" s="1"/>
  <c r="J117" i="14"/>
  <c r="S113" i="14" s="1"/>
  <c r="V116" i="14"/>
  <c r="U116" i="14"/>
  <c r="R116" i="14"/>
  <c r="Q116" i="14"/>
  <c r="M116" i="14"/>
  <c r="L116" i="14"/>
  <c r="K116" i="14"/>
  <c r="J116" i="14"/>
  <c r="R115" i="14"/>
  <c r="Q115" i="14"/>
  <c r="M115" i="14"/>
  <c r="L115" i="14"/>
  <c r="K115" i="14"/>
  <c r="J115" i="14"/>
  <c r="R114" i="14"/>
  <c r="Q114" i="14"/>
  <c r="M114" i="14"/>
  <c r="L114" i="14"/>
  <c r="K114" i="14"/>
  <c r="J114" i="14"/>
  <c r="R113" i="14"/>
  <c r="Q113" i="14"/>
  <c r="M113" i="14"/>
  <c r="L113" i="14"/>
  <c r="K113" i="14"/>
  <c r="J113" i="14"/>
  <c r="A112" i="14"/>
  <c r="R112" i="14" s="1"/>
  <c r="A111" i="14"/>
  <c r="R111" i="14" s="1"/>
  <c r="A110" i="14"/>
  <c r="R110" i="14" s="1"/>
  <c r="A109" i="14"/>
  <c r="R109" i="14" s="1"/>
  <c r="A108" i="14"/>
  <c r="R108" i="14" s="1"/>
  <c r="A107" i="14"/>
  <c r="R107" i="14" s="1"/>
  <c r="A106" i="14"/>
  <c r="R106" i="14" s="1"/>
  <c r="A105" i="14"/>
  <c r="R105" i="14" s="1"/>
  <c r="A104" i="14"/>
  <c r="R104" i="14" s="1"/>
  <c r="A103" i="14"/>
  <c r="R103" i="14" s="1"/>
  <c r="A102" i="14"/>
  <c r="R102" i="14" s="1"/>
  <c r="A101" i="14"/>
  <c r="R101" i="14" s="1"/>
  <c r="A100" i="14"/>
  <c r="R100" i="14" s="1"/>
  <c r="A99" i="14"/>
  <c r="R99" i="14" s="1"/>
  <c r="A98" i="14"/>
  <c r="R98" i="14" s="1"/>
  <c r="A97" i="14"/>
  <c r="R97" i="14" s="1"/>
  <c r="A96" i="14"/>
  <c r="R96" i="14" s="1"/>
  <c r="A95" i="14"/>
  <c r="R95" i="14" s="1"/>
  <c r="A94" i="14"/>
  <c r="R94" i="14" s="1"/>
  <c r="A93" i="14"/>
  <c r="R93" i="14" s="1"/>
  <c r="A92" i="14"/>
  <c r="R92" i="14" s="1"/>
  <c r="A91" i="14"/>
  <c r="R91" i="14" s="1"/>
  <c r="A90" i="14"/>
  <c r="R90" i="14" s="1"/>
  <c r="A89" i="14"/>
  <c r="R89" i="14" s="1"/>
  <c r="A88" i="14"/>
  <c r="R88" i="14" s="1"/>
  <c r="A87" i="14"/>
  <c r="R87" i="14" s="1"/>
  <c r="A86" i="14"/>
  <c r="R86" i="14" s="1"/>
  <c r="A85" i="14"/>
  <c r="R85" i="14" s="1"/>
  <c r="A84" i="14"/>
  <c r="R84" i="14" s="1"/>
  <c r="A83" i="14"/>
  <c r="R83" i="14" s="1"/>
  <c r="A82" i="14"/>
  <c r="R82" i="14" s="1"/>
  <c r="A81" i="14"/>
  <c r="R81" i="14" s="1"/>
  <c r="A80" i="14"/>
  <c r="R80" i="14" s="1"/>
  <c r="A79" i="14"/>
  <c r="R79" i="14" s="1"/>
  <c r="A78" i="14"/>
  <c r="R78" i="14" s="1"/>
  <c r="A77" i="14"/>
  <c r="R77" i="14" s="1"/>
  <c r="A76" i="14"/>
  <c r="R76" i="14" s="1"/>
  <c r="A75" i="14"/>
  <c r="R75" i="14" s="1"/>
  <c r="A74" i="14"/>
  <c r="R74" i="14" s="1"/>
  <c r="A73" i="14"/>
  <c r="R73" i="14" s="1"/>
  <c r="A72" i="14"/>
  <c r="R72" i="14" s="1"/>
  <c r="A71" i="14"/>
  <c r="R71" i="14" s="1"/>
  <c r="A70" i="14"/>
  <c r="R70" i="14" s="1"/>
  <c r="A69" i="14"/>
  <c r="R69" i="14" s="1"/>
  <c r="A68" i="14"/>
  <c r="R68" i="14" s="1"/>
  <c r="A67" i="14"/>
  <c r="R67" i="14" s="1"/>
  <c r="A66" i="14"/>
  <c r="R66" i="14" s="1"/>
  <c r="A65" i="14"/>
  <c r="R65" i="14" s="1"/>
  <c r="A64" i="14"/>
  <c r="R64" i="14" s="1"/>
  <c r="A63" i="14"/>
  <c r="R63" i="14" s="1"/>
  <c r="A62" i="14"/>
  <c r="R62" i="14" s="1"/>
  <c r="A61" i="14"/>
  <c r="R61" i="14" s="1"/>
  <c r="A60" i="14"/>
  <c r="R60" i="14" s="1"/>
  <c r="A59" i="14"/>
  <c r="R59" i="14" s="1"/>
  <c r="A58" i="14"/>
  <c r="R58" i="14" s="1"/>
  <c r="A57" i="14"/>
  <c r="R57" i="14" s="1"/>
  <c r="A56" i="14"/>
  <c r="R56" i="14" s="1"/>
  <c r="A55" i="14"/>
  <c r="R55" i="14" s="1"/>
  <c r="A54" i="14"/>
  <c r="R54" i="14" s="1"/>
  <c r="A53" i="14"/>
  <c r="R53" i="14" s="1"/>
  <c r="A52" i="14"/>
  <c r="R52" i="14" s="1"/>
  <c r="A51" i="14"/>
  <c r="R51" i="14" s="1"/>
  <c r="A50" i="14"/>
  <c r="R50" i="14" s="1"/>
  <c r="A49" i="14"/>
  <c r="R49" i="14" s="1"/>
  <c r="A48" i="14"/>
  <c r="R48" i="14" s="1"/>
  <c r="A47" i="14"/>
  <c r="R47" i="14" s="1"/>
  <c r="A46" i="14"/>
  <c r="R46" i="14" s="1"/>
  <c r="A45" i="14"/>
  <c r="R45" i="14" s="1"/>
  <c r="A44" i="14"/>
  <c r="R44" i="14" s="1"/>
  <c r="A43" i="14"/>
  <c r="R43" i="14" s="1"/>
  <c r="A42" i="14"/>
  <c r="R42" i="14" s="1"/>
  <c r="A41" i="14"/>
  <c r="R41" i="14" s="1"/>
  <c r="A40" i="14"/>
  <c r="R40" i="14" s="1"/>
  <c r="A39" i="14"/>
  <c r="R39" i="14" s="1"/>
  <c r="A38" i="14"/>
  <c r="R38" i="14" s="1"/>
  <c r="A37" i="14"/>
  <c r="R37" i="14" s="1"/>
  <c r="A36" i="14"/>
  <c r="R36" i="14" s="1"/>
  <c r="A35" i="14"/>
  <c r="R35" i="14" s="1"/>
  <c r="A34" i="14"/>
  <c r="R34" i="14" s="1"/>
  <c r="A33" i="14"/>
  <c r="R33" i="14" s="1"/>
  <c r="A32" i="14"/>
  <c r="R32" i="14" s="1"/>
  <c r="A31" i="14"/>
  <c r="R31" i="14" s="1"/>
  <c r="A30" i="14"/>
  <c r="R30" i="14" s="1"/>
  <c r="A29" i="14"/>
  <c r="R29" i="14" s="1"/>
  <c r="A28" i="14"/>
  <c r="R28" i="14" s="1"/>
  <c r="A27" i="14"/>
  <c r="R27" i="14" s="1"/>
  <c r="A26" i="14"/>
  <c r="R26" i="14" s="1"/>
  <c r="A25" i="14"/>
  <c r="R25" i="14" s="1"/>
  <c r="A24" i="14"/>
  <c r="R24" i="14" s="1"/>
  <c r="A23" i="14"/>
  <c r="R23" i="14" s="1"/>
  <c r="A22" i="14"/>
  <c r="R22" i="14" s="1"/>
  <c r="A21" i="14"/>
  <c r="R21" i="14" s="1"/>
  <c r="A20" i="14"/>
  <c r="R20" i="14" s="1"/>
  <c r="A19" i="14"/>
  <c r="R19" i="14" s="1"/>
  <c r="A18" i="14"/>
  <c r="R18" i="14" s="1"/>
  <c r="A17" i="14"/>
  <c r="R17" i="14" s="1"/>
  <c r="A16" i="14"/>
  <c r="R16" i="14" s="1"/>
  <c r="A15" i="14"/>
  <c r="R15" i="14" s="1"/>
  <c r="A14" i="14"/>
  <c r="R14" i="14" s="1"/>
  <c r="A13" i="14"/>
  <c r="R13" i="14" s="1"/>
  <c r="A12" i="14"/>
  <c r="R12" i="14" s="1"/>
  <c r="A11" i="14"/>
  <c r="R11" i="14" s="1"/>
  <c r="A10" i="14"/>
  <c r="R10" i="14" s="1"/>
  <c r="A9" i="14"/>
  <c r="R9" i="14" s="1"/>
  <c r="A8" i="14"/>
  <c r="R8" i="14" s="1"/>
  <c r="A7" i="14"/>
  <c r="R7" i="14" s="1"/>
  <c r="R124" i="14" l="1"/>
  <c r="Q120" i="14"/>
  <c r="R128" i="14"/>
  <c r="R121" i="14"/>
  <c r="Q124" i="14"/>
  <c r="Q117" i="14"/>
  <c r="R120" i="14"/>
  <c r="Q129" i="14"/>
  <c r="Q118" i="14"/>
  <c r="R125" i="14"/>
  <c r="Q128" i="14"/>
  <c r="R129" i="14"/>
  <c r="R118" i="14"/>
  <c r="N557" i="12"/>
  <c r="Q123" i="14"/>
  <c r="Q127" i="14"/>
  <c r="Q119" i="14"/>
  <c r="Q122" i="14"/>
  <c r="R123" i="14"/>
  <c r="Q126" i="14"/>
  <c r="R127" i="14"/>
  <c r="R117" i="14"/>
  <c r="R119" i="14"/>
  <c r="Q121" i="14"/>
  <c r="R122" i="14"/>
  <c r="Q125" i="14"/>
  <c r="R126" i="14"/>
  <c r="J7" i="14"/>
  <c r="S7" i="14" s="1"/>
  <c r="K7" i="14"/>
  <c r="T7" i="14" s="1"/>
  <c r="L7" i="14"/>
  <c r="U7" i="14" s="1"/>
  <c r="M7" i="14"/>
  <c r="V7" i="14" s="1"/>
  <c r="Q7" i="14"/>
  <c r="J8" i="14"/>
  <c r="S8" i="14" s="1"/>
  <c r="K8" i="14"/>
  <c r="T8" i="14" s="1"/>
  <c r="L8" i="14"/>
  <c r="U8" i="14" s="1"/>
  <c r="M8" i="14"/>
  <c r="V8" i="14" s="1"/>
  <c r="Q8" i="14"/>
  <c r="J9" i="14"/>
  <c r="S9" i="14" s="1"/>
  <c r="K9" i="14"/>
  <c r="T9" i="14" s="1"/>
  <c r="L9" i="14"/>
  <c r="U9" i="14" s="1"/>
  <c r="M9" i="14"/>
  <c r="V9" i="14" s="1"/>
  <c r="Q9" i="14"/>
  <c r="J10" i="14"/>
  <c r="S10" i="14" s="1"/>
  <c r="K10" i="14"/>
  <c r="T10" i="14" s="1"/>
  <c r="L10" i="14"/>
  <c r="U10" i="14" s="1"/>
  <c r="M10" i="14"/>
  <c r="V10" i="14" s="1"/>
  <c r="Q10" i="14"/>
  <c r="J11" i="14"/>
  <c r="S11" i="14" s="1"/>
  <c r="K11" i="14"/>
  <c r="T11" i="14" s="1"/>
  <c r="L11" i="14"/>
  <c r="U11" i="14" s="1"/>
  <c r="M11" i="14"/>
  <c r="V11" i="14" s="1"/>
  <c r="Q11" i="14"/>
  <c r="J12" i="14"/>
  <c r="S12" i="14" s="1"/>
  <c r="K12" i="14"/>
  <c r="T12" i="14" s="1"/>
  <c r="L12" i="14"/>
  <c r="U12" i="14" s="1"/>
  <c r="M12" i="14"/>
  <c r="V12" i="14" s="1"/>
  <c r="Q12" i="14"/>
  <c r="J13" i="14"/>
  <c r="S13" i="14" s="1"/>
  <c r="K13" i="14"/>
  <c r="T13" i="14" s="1"/>
  <c r="L13" i="14"/>
  <c r="U13" i="14" s="1"/>
  <c r="M13" i="14"/>
  <c r="V13" i="14" s="1"/>
  <c r="Q13" i="14"/>
  <c r="J14" i="14"/>
  <c r="S14" i="14" s="1"/>
  <c r="K14" i="14"/>
  <c r="T14" i="14" s="1"/>
  <c r="L14" i="14"/>
  <c r="U14" i="14" s="1"/>
  <c r="M14" i="14"/>
  <c r="V14" i="14" s="1"/>
  <c r="Q14" i="14"/>
  <c r="J15" i="14"/>
  <c r="S15" i="14" s="1"/>
  <c r="K15" i="14"/>
  <c r="T15" i="14" s="1"/>
  <c r="L15" i="14"/>
  <c r="U15" i="14" s="1"/>
  <c r="M15" i="14"/>
  <c r="V15" i="14" s="1"/>
  <c r="Q15" i="14"/>
  <c r="J16" i="14"/>
  <c r="S16" i="14" s="1"/>
  <c r="K16" i="14"/>
  <c r="T16" i="14" s="1"/>
  <c r="L16" i="14"/>
  <c r="U16" i="14" s="1"/>
  <c r="M16" i="14"/>
  <c r="V16" i="14" s="1"/>
  <c r="Q16" i="14"/>
  <c r="J17" i="14"/>
  <c r="S17" i="14" s="1"/>
  <c r="K17" i="14"/>
  <c r="T17" i="14" s="1"/>
  <c r="L17" i="14"/>
  <c r="U17" i="14" s="1"/>
  <c r="M17" i="14"/>
  <c r="V17" i="14" s="1"/>
  <c r="Q17" i="14"/>
  <c r="J18" i="14"/>
  <c r="S18" i="14" s="1"/>
  <c r="K18" i="14"/>
  <c r="T18" i="14" s="1"/>
  <c r="L18" i="14"/>
  <c r="U18" i="14" s="1"/>
  <c r="M18" i="14"/>
  <c r="V18" i="14" s="1"/>
  <c r="Q18" i="14"/>
  <c r="J19" i="14"/>
  <c r="S19" i="14" s="1"/>
  <c r="K19" i="14"/>
  <c r="T19" i="14" s="1"/>
  <c r="L19" i="14"/>
  <c r="U19" i="14" s="1"/>
  <c r="M19" i="14"/>
  <c r="V19" i="14" s="1"/>
  <c r="Q19" i="14"/>
  <c r="J20" i="14"/>
  <c r="S20" i="14" s="1"/>
  <c r="K20" i="14"/>
  <c r="T20" i="14" s="1"/>
  <c r="L20" i="14"/>
  <c r="U20" i="14" s="1"/>
  <c r="M20" i="14"/>
  <c r="V20" i="14" s="1"/>
  <c r="Q20" i="14"/>
  <c r="J21" i="14"/>
  <c r="S21" i="14" s="1"/>
  <c r="K21" i="14"/>
  <c r="T21" i="14" s="1"/>
  <c r="L21" i="14"/>
  <c r="U21" i="14" s="1"/>
  <c r="M21" i="14"/>
  <c r="V21" i="14" s="1"/>
  <c r="Q21" i="14"/>
  <c r="J22" i="14"/>
  <c r="S22" i="14" s="1"/>
  <c r="K22" i="14"/>
  <c r="T22" i="14" s="1"/>
  <c r="L22" i="14"/>
  <c r="U22" i="14" s="1"/>
  <c r="M22" i="14"/>
  <c r="V22" i="14" s="1"/>
  <c r="Q22" i="14"/>
  <c r="J23" i="14"/>
  <c r="S23" i="14" s="1"/>
  <c r="K23" i="14"/>
  <c r="T23" i="14" s="1"/>
  <c r="L23" i="14"/>
  <c r="U23" i="14" s="1"/>
  <c r="M23" i="14"/>
  <c r="V23" i="14" s="1"/>
  <c r="Q23" i="14"/>
  <c r="J24" i="14"/>
  <c r="S24" i="14" s="1"/>
  <c r="K24" i="14"/>
  <c r="T24" i="14" s="1"/>
  <c r="L24" i="14"/>
  <c r="U24" i="14" s="1"/>
  <c r="M24" i="14"/>
  <c r="V24" i="14" s="1"/>
  <c r="Q24" i="14"/>
  <c r="J25" i="14"/>
  <c r="S25" i="14" s="1"/>
  <c r="K25" i="14"/>
  <c r="T25" i="14" s="1"/>
  <c r="L25" i="14"/>
  <c r="U25" i="14" s="1"/>
  <c r="M25" i="14"/>
  <c r="V25" i="14" s="1"/>
  <c r="Q25" i="14"/>
  <c r="J26" i="14"/>
  <c r="S26" i="14" s="1"/>
  <c r="K26" i="14"/>
  <c r="T26" i="14" s="1"/>
  <c r="L26" i="14"/>
  <c r="U26" i="14" s="1"/>
  <c r="M26" i="14"/>
  <c r="V26" i="14" s="1"/>
  <c r="Q26" i="14"/>
  <c r="J27" i="14"/>
  <c r="S27" i="14" s="1"/>
  <c r="K27" i="14"/>
  <c r="T27" i="14" s="1"/>
  <c r="L27" i="14"/>
  <c r="U27" i="14" s="1"/>
  <c r="M27" i="14"/>
  <c r="V27" i="14" s="1"/>
  <c r="Q27" i="14"/>
  <c r="J28" i="14"/>
  <c r="S28" i="14" s="1"/>
  <c r="K28" i="14"/>
  <c r="T28" i="14" s="1"/>
  <c r="L28" i="14"/>
  <c r="U28" i="14" s="1"/>
  <c r="M28" i="14"/>
  <c r="V28" i="14" s="1"/>
  <c r="Q28" i="14"/>
  <c r="J29" i="14"/>
  <c r="S29" i="14" s="1"/>
  <c r="K29" i="14"/>
  <c r="T29" i="14" s="1"/>
  <c r="L29" i="14"/>
  <c r="U29" i="14" s="1"/>
  <c r="M29" i="14"/>
  <c r="V29" i="14" s="1"/>
  <c r="Q29" i="14"/>
  <c r="J30" i="14"/>
  <c r="S30" i="14" s="1"/>
  <c r="K30" i="14"/>
  <c r="T30" i="14" s="1"/>
  <c r="L30" i="14"/>
  <c r="U30" i="14" s="1"/>
  <c r="M30" i="14"/>
  <c r="V30" i="14" s="1"/>
  <c r="Q30" i="14"/>
  <c r="J31" i="14"/>
  <c r="S31" i="14" s="1"/>
  <c r="K31" i="14"/>
  <c r="T31" i="14" s="1"/>
  <c r="L31" i="14"/>
  <c r="U31" i="14" s="1"/>
  <c r="M31" i="14"/>
  <c r="V31" i="14" s="1"/>
  <c r="Q31" i="14"/>
  <c r="J32" i="14"/>
  <c r="S32" i="14" s="1"/>
  <c r="K32" i="14"/>
  <c r="T32" i="14" s="1"/>
  <c r="L32" i="14"/>
  <c r="U32" i="14" s="1"/>
  <c r="M32" i="14"/>
  <c r="V32" i="14" s="1"/>
  <c r="Q32" i="14"/>
  <c r="J33" i="14"/>
  <c r="S33" i="14" s="1"/>
  <c r="K33" i="14"/>
  <c r="T33" i="14" s="1"/>
  <c r="L33" i="14"/>
  <c r="U33" i="14" s="1"/>
  <c r="M33" i="14"/>
  <c r="V33" i="14" s="1"/>
  <c r="Q33" i="14"/>
  <c r="J34" i="14"/>
  <c r="S34" i="14" s="1"/>
  <c r="K34" i="14"/>
  <c r="T34" i="14" s="1"/>
  <c r="L34" i="14"/>
  <c r="U34" i="14" s="1"/>
  <c r="M34" i="14"/>
  <c r="V34" i="14" s="1"/>
  <c r="Q34" i="14"/>
  <c r="J35" i="14"/>
  <c r="S35" i="14" s="1"/>
  <c r="K35" i="14"/>
  <c r="T35" i="14" s="1"/>
  <c r="L35" i="14"/>
  <c r="U35" i="14" s="1"/>
  <c r="M35" i="14"/>
  <c r="V35" i="14" s="1"/>
  <c r="Q35" i="14"/>
  <c r="J36" i="14"/>
  <c r="S36" i="14" s="1"/>
  <c r="K36" i="14"/>
  <c r="T36" i="14" s="1"/>
  <c r="L36" i="14"/>
  <c r="U36" i="14" s="1"/>
  <c r="M36" i="14"/>
  <c r="V36" i="14" s="1"/>
  <c r="Q36" i="14"/>
  <c r="J37" i="14"/>
  <c r="S37" i="14" s="1"/>
  <c r="K37" i="14"/>
  <c r="T37" i="14" s="1"/>
  <c r="L37" i="14"/>
  <c r="U37" i="14" s="1"/>
  <c r="M37" i="14"/>
  <c r="V37" i="14" s="1"/>
  <c r="Q37" i="14"/>
  <c r="J38" i="14"/>
  <c r="S38" i="14" s="1"/>
  <c r="K38" i="14"/>
  <c r="T38" i="14" s="1"/>
  <c r="L38" i="14"/>
  <c r="U38" i="14" s="1"/>
  <c r="M38" i="14"/>
  <c r="V38" i="14" s="1"/>
  <c r="Q38" i="14"/>
  <c r="J39" i="14"/>
  <c r="S39" i="14" s="1"/>
  <c r="K39" i="14"/>
  <c r="T39" i="14" s="1"/>
  <c r="L39" i="14"/>
  <c r="U39" i="14" s="1"/>
  <c r="M39" i="14"/>
  <c r="V39" i="14" s="1"/>
  <c r="Q39" i="14"/>
  <c r="J40" i="14"/>
  <c r="S40" i="14" s="1"/>
  <c r="K40" i="14"/>
  <c r="T40" i="14" s="1"/>
  <c r="L40" i="14"/>
  <c r="U40" i="14" s="1"/>
  <c r="M40" i="14"/>
  <c r="V40" i="14" s="1"/>
  <c r="Q40" i="14"/>
  <c r="J41" i="14"/>
  <c r="S41" i="14" s="1"/>
  <c r="K41" i="14"/>
  <c r="T41" i="14" s="1"/>
  <c r="L41" i="14"/>
  <c r="U41" i="14" s="1"/>
  <c r="M41" i="14"/>
  <c r="V41" i="14" s="1"/>
  <c r="Q41" i="14"/>
  <c r="J42" i="14"/>
  <c r="S42" i="14" s="1"/>
  <c r="K42" i="14"/>
  <c r="T42" i="14" s="1"/>
  <c r="L42" i="14"/>
  <c r="U42" i="14" s="1"/>
  <c r="M42" i="14"/>
  <c r="V42" i="14" s="1"/>
  <c r="Q42" i="14"/>
  <c r="J43" i="14"/>
  <c r="S43" i="14" s="1"/>
  <c r="K43" i="14"/>
  <c r="T43" i="14" s="1"/>
  <c r="L43" i="14"/>
  <c r="U43" i="14" s="1"/>
  <c r="M43" i="14"/>
  <c r="V43" i="14" s="1"/>
  <c r="Q43" i="14"/>
  <c r="J44" i="14"/>
  <c r="S44" i="14" s="1"/>
  <c r="K44" i="14"/>
  <c r="T44" i="14" s="1"/>
  <c r="L44" i="14"/>
  <c r="U44" i="14" s="1"/>
  <c r="M44" i="14"/>
  <c r="V44" i="14" s="1"/>
  <c r="Q44" i="14"/>
  <c r="J45" i="14"/>
  <c r="S45" i="14" s="1"/>
  <c r="K45" i="14"/>
  <c r="T45" i="14" s="1"/>
  <c r="L45" i="14"/>
  <c r="U45" i="14" s="1"/>
  <c r="M45" i="14"/>
  <c r="V45" i="14" s="1"/>
  <c r="Q45" i="14"/>
  <c r="J46" i="14"/>
  <c r="S46" i="14" s="1"/>
  <c r="K46" i="14"/>
  <c r="T46" i="14" s="1"/>
  <c r="L46" i="14"/>
  <c r="U46" i="14" s="1"/>
  <c r="M46" i="14"/>
  <c r="V46" i="14" s="1"/>
  <c r="Q46" i="14"/>
  <c r="J47" i="14"/>
  <c r="S47" i="14" s="1"/>
  <c r="K47" i="14"/>
  <c r="T47" i="14" s="1"/>
  <c r="L47" i="14"/>
  <c r="U47" i="14" s="1"/>
  <c r="M47" i="14"/>
  <c r="V47" i="14" s="1"/>
  <c r="Q47" i="14"/>
  <c r="J48" i="14"/>
  <c r="S48" i="14" s="1"/>
  <c r="K48" i="14"/>
  <c r="T48" i="14" s="1"/>
  <c r="L48" i="14"/>
  <c r="U48" i="14" s="1"/>
  <c r="M48" i="14"/>
  <c r="V48" i="14" s="1"/>
  <c r="Q48" i="14"/>
  <c r="J49" i="14"/>
  <c r="S49" i="14" s="1"/>
  <c r="K49" i="14"/>
  <c r="T49" i="14" s="1"/>
  <c r="L49" i="14"/>
  <c r="U49" i="14" s="1"/>
  <c r="M49" i="14"/>
  <c r="V49" i="14" s="1"/>
  <c r="Q49" i="14"/>
  <c r="J50" i="14"/>
  <c r="S50" i="14" s="1"/>
  <c r="K50" i="14"/>
  <c r="T50" i="14" s="1"/>
  <c r="L50" i="14"/>
  <c r="U50" i="14" s="1"/>
  <c r="M50" i="14"/>
  <c r="V50" i="14" s="1"/>
  <c r="Q50" i="14"/>
  <c r="J51" i="14"/>
  <c r="S51" i="14" s="1"/>
  <c r="K51" i="14"/>
  <c r="T51" i="14" s="1"/>
  <c r="L51" i="14"/>
  <c r="U51" i="14" s="1"/>
  <c r="M51" i="14"/>
  <c r="V51" i="14" s="1"/>
  <c r="Q51" i="14"/>
  <c r="J52" i="14"/>
  <c r="S52" i="14" s="1"/>
  <c r="K52" i="14"/>
  <c r="T52" i="14" s="1"/>
  <c r="L52" i="14"/>
  <c r="U52" i="14" s="1"/>
  <c r="M52" i="14"/>
  <c r="V52" i="14" s="1"/>
  <c r="Q52" i="14"/>
  <c r="J53" i="14"/>
  <c r="S53" i="14" s="1"/>
  <c r="K53" i="14"/>
  <c r="T53" i="14" s="1"/>
  <c r="L53" i="14"/>
  <c r="U53" i="14" s="1"/>
  <c r="M53" i="14"/>
  <c r="V53" i="14" s="1"/>
  <c r="Q53" i="14"/>
  <c r="J54" i="14"/>
  <c r="S54" i="14" s="1"/>
  <c r="K54" i="14"/>
  <c r="T54" i="14" s="1"/>
  <c r="L54" i="14"/>
  <c r="U54" i="14" s="1"/>
  <c r="M54" i="14"/>
  <c r="V54" i="14" s="1"/>
  <c r="Q54" i="14"/>
  <c r="J55" i="14"/>
  <c r="S55" i="14" s="1"/>
  <c r="K55" i="14"/>
  <c r="T55" i="14" s="1"/>
  <c r="L55" i="14"/>
  <c r="U55" i="14" s="1"/>
  <c r="M55" i="14"/>
  <c r="V55" i="14" s="1"/>
  <c r="Q55" i="14"/>
  <c r="J56" i="14"/>
  <c r="S56" i="14" s="1"/>
  <c r="K56" i="14"/>
  <c r="T56" i="14" s="1"/>
  <c r="L56" i="14"/>
  <c r="U56" i="14" s="1"/>
  <c r="M56" i="14"/>
  <c r="V56" i="14" s="1"/>
  <c r="Q56" i="14"/>
  <c r="J57" i="14"/>
  <c r="S57" i="14" s="1"/>
  <c r="K57" i="14"/>
  <c r="T57" i="14" s="1"/>
  <c r="L57" i="14"/>
  <c r="U57" i="14" s="1"/>
  <c r="M57" i="14"/>
  <c r="V57" i="14" s="1"/>
  <c r="Q57" i="14"/>
  <c r="J58" i="14"/>
  <c r="S58" i="14" s="1"/>
  <c r="K58" i="14"/>
  <c r="T58" i="14" s="1"/>
  <c r="L58" i="14"/>
  <c r="U58" i="14" s="1"/>
  <c r="M58" i="14"/>
  <c r="V58" i="14" s="1"/>
  <c r="Q58" i="14"/>
  <c r="J59" i="14"/>
  <c r="S59" i="14" s="1"/>
  <c r="K59" i="14"/>
  <c r="T59" i="14" s="1"/>
  <c r="L59" i="14"/>
  <c r="U59" i="14" s="1"/>
  <c r="M59" i="14"/>
  <c r="V59" i="14" s="1"/>
  <c r="Q59" i="14"/>
  <c r="J60" i="14"/>
  <c r="S60" i="14" s="1"/>
  <c r="K60" i="14"/>
  <c r="T60" i="14" s="1"/>
  <c r="L60" i="14"/>
  <c r="U60" i="14" s="1"/>
  <c r="M60" i="14"/>
  <c r="V60" i="14" s="1"/>
  <c r="Q60" i="14"/>
  <c r="J61" i="14"/>
  <c r="S61" i="14" s="1"/>
  <c r="K61" i="14"/>
  <c r="T61" i="14" s="1"/>
  <c r="L61" i="14"/>
  <c r="U61" i="14" s="1"/>
  <c r="M61" i="14"/>
  <c r="V61" i="14" s="1"/>
  <c r="Q61" i="14"/>
  <c r="J62" i="14"/>
  <c r="S62" i="14" s="1"/>
  <c r="K62" i="14"/>
  <c r="T62" i="14" s="1"/>
  <c r="L62" i="14"/>
  <c r="U62" i="14" s="1"/>
  <c r="M62" i="14"/>
  <c r="V62" i="14" s="1"/>
  <c r="Q62" i="14"/>
  <c r="J63" i="14"/>
  <c r="S63" i="14" s="1"/>
  <c r="K63" i="14"/>
  <c r="T63" i="14" s="1"/>
  <c r="L63" i="14"/>
  <c r="U63" i="14" s="1"/>
  <c r="M63" i="14"/>
  <c r="V63" i="14" s="1"/>
  <c r="Q63" i="14"/>
  <c r="J64" i="14"/>
  <c r="S64" i="14" s="1"/>
  <c r="K64" i="14"/>
  <c r="T64" i="14" s="1"/>
  <c r="L64" i="14"/>
  <c r="U64" i="14" s="1"/>
  <c r="M64" i="14"/>
  <c r="V64" i="14" s="1"/>
  <c r="Q64" i="14"/>
  <c r="J65" i="14"/>
  <c r="S65" i="14" s="1"/>
  <c r="K65" i="14"/>
  <c r="T65" i="14" s="1"/>
  <c r="L65" i="14"/>
  <c r="U65" i="14" s="1"/>
  <c r="M65" i="14"/>
  <c r="V65" i="14" s="1"/>
  <c r="Q65" i="14"/>
  <c r="J66" i="14"/>
  <c r="S66" i="14" s="1"/>
  <c r="K66" i="14"/>
  <c r="T66" i="14" s="1"/>
  <c r="L66" i="14"/>
  <c r="U66" i="14" s="1"/>
  <c r="M66" i="14"/>
  <c r="V66" i="14" s="1"/>
  <c r="Q66" i="14"/>
  <c r="J67" i="14"/>
  <c r="S67" i="14" s="1"/>
  <c r="K67" i="14"/>
  <c r="T67" i="14" s="1"/>
  <c r="L67" i="14"/>
  <c r="U67" i="14" s="1"/>
  <c r="M67" i="14"/>
  <c r="V67" i="14" s="1"/>
  <c r="Q67" i="14"/>
  <c r="J68" i="14"/>
  <c r="S68" i="14" s="1"/>
  <c r="K68" i="14"/>
  <c r="T68" i="14" s="1"/>
  <c r="L68" i="14"/>
  <c r="U68" i="14" s="1"/>
  <c r="M68" i="14"/>
  <c r="V68" i="14" s="1"/>
  <c r="Q68" i="14"/>
  <c r="J69" i="14"/>
  <c r="S69" i="14" s="1"/>
  <c r="K69" i="14"/>
  <c r="T69" i="14" s="1"/>
  <c r="L69" i="14"/>
  <c r="U69" i="14" s="1"/>
  <c r="M69" i="14"/>
  <c r="V69" i="14" s="1"/>
  <c r="Q69" i="14"/>
  <c r="J70" i="14"/>
  <c r="S70" i="14" s="1"/>
  <c r="K70" i="14"/>
  <c r="T70" i="14" s="1"/>
  <c r="L70" i="14"/>
  <c r="U70" i="14" s="1"/>
  <c r="M70" i="14"/>
  <c r="V70" i="14" s="1"/>
  <c r="Q70" i="14"/>
  <c r="J71" i="14"/>
  <c r="S71" i="14" s="1"/>
  <c r="K71" i="14"/>
  <c r="T71" i="14" s="1"/>
  <c r="L71" i="14"/>
  <c r="U71" i="14" s="1"/>
  <c r="M71" i="14"/>
  <c r="V71" i="14" s="1"/>
  <c r="Q71" i="14"/>
  <c r="J72" i="14"/>
  <c r="S72" i="14" s="1"/>
  <c r="K72" i="14"/>
  <c r="T72" i="14" s="1"/>
  <c r="L72" i="14"/>
  <c r="U72" i="14" s="1"/>
  <c r="M72" i="14"/>
  <c r="V72" i="14" s="1"/>
  <c r="Q72" i="14"/>
  <c r="J73" i="14"/>
  <c r="S73" i="14" s="1"/>
  <c r="K73" i="14"/>
  <c r="T73" i="14" s="1"/>
  <c r="L73" i="14"/>
  <c r="U73" i="14" s="1"/>
  <c r="M73" i="14"/>
  <c r="V73" i="14" s="1"/>
  <c r="Q73" i="14"/>
  <c r="J74" i="14"/>
  <c r="S74" i="14" s="1"/>
  <c r="K74" i="14"/>
  <c r="T74" i="14" s="1"/>
  <c r="L74" i="14"/>
  <c r="U74" i="14" s="1"/>
  <c r="M74" i="14"/>
  <c r="V74" i="14" s="1"/>
  <c r="Q74" i="14"/>
  <c r="J75" i="14"/>
  <c r="S75" i="14" s="1"/>
  <c r="K75" i="14"/>
  <c r="T75" i="14" s="1"/>
  <c r="L75" i="14"/>
  <c r="U75" i="14" s="1"/>
  <c r="M75" i="14"/>
  <c r="V75" i="14" s="1"/>
  <c r="Q75" i="14"/>
  <c r="J76" i="14"/>
  <c r="S76" i="14" s="1"/>
  <c r="K76" i="14"/>
  <c r="T76" i="14" s="1"/>
  <c r="L76" i="14"/>
  <c r="U76" i="14" s="1"/>
  <c r="M76" i="14"/>
  <c r="V76" i="14" s="1"/>
  <c r="Q76" i="14"/>
  <c r="J77" i="14"/>
  <c r="S77" i="14" s="1"/>
  <c r="K77" i="14"/>
  <c r="T77" i="14" s="1"/>
  <c r="L77" i="14"/>
  <c r="U77" i="14" s="1"/>
  <c r="M77" i="14"/>
  <c r="V77" i="14" s="1"/>
  <c r="Q77" i="14"/>
  <c r="J78" i="14"/>
  <c r="S78" i="14" s="1"/>
  <c r="K78" i="14"/>
  <c r="T78" i="14" s="1"/>
  <c r="L78" i="14"/>
  <c r="U78" i="14" s="1"/>
  <c r="M78" i="14"/>
  <c r="V78" i="14" s="1"/>
  <c r="Q78" i="14"/>
  <c r="J79" i="14"/>
  <c r="S79" i="14" s="1"/>
  <c r="K79" i="14"/>
  <c r="T79" i="14" s="1"/>
  <c r="L79" i="14"/>
  <c r="U79" i="14" s="1"/>
  <c r="M79" i="14"/>
  <c r="V79" i="14" s="1"/>
  <c r="Q79" i="14"/>
  <c r="J80" i="14"/>
  <c r="S80" i="14" s="1"/>
  <c r="K80" i="14"/>
  <c r="T80" i="14" s="1"/>
  <c r="L80" i="14"/>
  <c r="U80" i="14" s="1"/>
  <c r="M80" i="14"/>
  <c r="V80" i="14" s="1"/>
  <c r="Q80" i="14"/>
  <c r="J81" i="14"/>
  <c r="S81" i="14" s="1"/>
  <c r="K81" i="14"/>
  <c r="T81" i="14" s="1"/>
  <c r="L81" i="14"/>
  <c r="U81" i="14" s="1"/>
  <c r="M81" i="14"/>
  <c r="V81" i="14" s="1"/>
  <c r="Q81" i="14"/>
  <c r="J82" i="14"/>
  <c r="S82" i="14" s="1"/>
  <c r="K82" i="14"/>
  <c r="T82" i="14" s="1"/>
  <c r="L82" i="14"/>
  <c r="U82" i="14" s="1"/>
  <c r="M82" i="14"/>
  <c r="V82" i="14" s="1"/>
  <c r="Q82" i="14"/>
  <c r="J83" i="14"/>
  <c r="S83" i="14" s="1"/>
  <c r="K83" i="14"/>
  <c r="T83" i="14" s="1"/>
  <c r="L83" i="14"/>
  <c r="U83" i="14" s="1"/>
  <c r="M83" i="14"/>
  <c r="V83" i="14" s="1"/>
  <c r="Q83" i="14"/>
  <c r="J84" i="14"/>
  <c r="S84" i="14" s="1"/>
  <c r="K84" i="14"/>
  <c r="T84" i="14" s="1"/>
  <c r="L84" i="14"/>
  <c r="U84" i="14" s="1"/>
  <c r="M84" i="14"/>
  <c r="V84" i="14" s="1"/>
  <c r="Q84" i="14"/>
  <c r="J85" i="14"/>
  <c r="S85" i="14" s="1"/>
  <c r="K85" i="14"/>
  <c r="T85" i="14" s="1"/>
  <c r="L85" i="14"/>
  <c r="U85" i="14" s="1"/>
  <c r="M85" i="14"/>
  <c r="V85" i="14" s="1"/>
  <c r="Q85" i="14"/>
  <c r="J86" i="14"/>
  <c r="S86" i="14" s="1"/>
  <c r="K86" i="14"/>
  <c r="T86" i="14" s="1"/>
  <c r="L86" i="14"/>
  <c r="U86" i="14" s="1"/>
  <c r="M86" i="14"/>
  <c r="V86" i="14" s="1"/>
  <c r="Q86" i="14"/>
  <c r="J87" i="14"/>
  <c r="S87" i="14" s="1"/>
  <c r="K87" i="14"/>
  <c r="T87" i="14" s="1"/>
  <c r="L87" i="14"/>
  <c r="U87" i="14" s="1"/>
  <c r="M87" i="14"/>
  <c r="V87" i="14" s="1"/>
  <c r="Q87" i="14"/>
  <c r="J88" i="14"/>
  <c r="S88" i="14" s="1"/>
  <c r="K88" i="14"/>
  <c r="T88" i="14" s="1"/>
  <c r="L88" i="14"/>
  <c r="U88" i="14" s="1"/>
  <c r="M88" i="14"/>
  <c r="V88" i="14" s="1"/>
  <c r="Q88" i="14"/>
  <c r="J89" i="14"/>
  <c r="S89" i="14" s="1"/>
  <c r="K89" i="14"/>
  <c r="T89" i="14" s="1"/>
  <c r="L89" i="14"/>
  <c r="U89" i="14" s="1"/>
  <c r="M89" i="14"/>
  <c r="V89" i="14" s="1"/>
  <c r="Q89" i="14"/>
  <c r="J90" i="14"/>
  <c r="S90" i="14" s="1"/>
  <c r="K90" i="14"/>
  <c r="T90" i="14" s="1"/>
  <c r="L90" i="14"/>
  <c r="U90" i="14" s="1"/>
  <c r="M90" i="14"/>
  <c r="V90" i="14" s="1"/>
  <c r="Q90" i="14"/>
  <c r="J91" i="14"/>
  <c r="S91" i="14" s="1"/>
  <c r="K91" i="14"/>
  <c r="T91" i="14" s="1"/>
  <c r="L91" i="14"/>
  <c r="U91" i="14" s="1"/>
  <c r="M91" i="14"/>
  <c r="V91" i="14" s="1"/>
  <c r="Q91" i="14"/>
  <c r="J92" i="14"/>
  <c r="S92" i="14" s="1"/>
  <c r="K92" i="14"/>
  <c r="T92" i="14" s="1"/>
  <c r="L92" i="14"/>
  <c r="U92" i="14" s="1"/>
  <c r="M92" i="14"/>
  <c r="V92" i="14" s="1"/>
  <c r="Q92" i="14"/>
  <c r="J93" i="14"/>
  <c r="S93" i="14" s="1"/>
  <c r="K93" i="14"/>
  <c r="T93" i="14" s="1"/>
  <c r="L93" i="14"/>
  <c r="U93" i="14" s="1"/>
  <c r="M93" i="14"/>
  <c r="V93" i="14" s="1"/>
  <c r="Q93" i="14"/>
  <c r="J94" i="14"/>
  <c r="S94" i="14" s="1"/>
  <c r="K94" i="14"/>
  <c r="T94" i="14" s="1"/>
  <c r="L94" i="14"/>
  <c r="U94" i="14" s="1"/>
  <c r="M94" i="14"/>
  <c r="V94" i="14" s="1"/>
  <c r="Q94" i="14"/>
  <c r="J95" i="14"/>
  <c r="S95" i="14" s="1"/>
  <c r="K95" i="14"/>
  <c r="T95" i="14" s="1"/>
  <c r="L95" i="14"/>
  <c r="U95" i="14" s="1"/>
  <c r="M95" i="14"/>
  <c r="V95" i="14" s="1"/>
  <c r="Q95" i="14"/>
  <c r="J96" i="14"/>
  <c r="S96" i="14" s="1"/>
  <c r="K96" i="14"/>
  <c r="T96" i="14" s="1"/>
  <c r="L96" i="14"/>
  <c r="U96" i="14" s="1"/>
  <c r="M96" i="14"/>
  <c r="V96" i="14" s="1"/>
  <c r="Q96" i="14"/>
  <c r="J97" i="14"/>
  <c r="S97" i="14" s="1"/>
  <c r="K97" i="14"/>
  <c r="T97" i="14" s="1"/>
  <c r="L97" i="14"/>
  <c r="U97" i="14" s="1"/>
  <c r="M97" i="14"/>
  <c r="V97" i="14" s="1"/>
  <c r="Q97" i="14"/>
  <c r="J98" i="14"/>
  <c r="S98" i="14" s="1"/>
  <c r="K98" i="14"/>
  <c r="T98" i="14" s="1"/>
  <c r="L98" i="14"/>
  <c r="U98" i="14" s="1"/>
  <c r="M98" i="14"/>
  <c r="V98" i="14" s="1"/>
  <c r="Q98" i="14"/>
  <c r="J99" i="14"/>
  <c r="S99" i="14" s="1"/>
  <c r="K99" i="14"/>
  <c r="T99" i="14" s="1"/>
  <c r="L99" i="14"/>
  <c r="U99" i="14" s="1"/>
  <c r="M99" i="14"/>
  <c r="V99" i="14" s="1"/>
  <c r="Q99" i="14"/>
  <c r="J100" i="14"/>
  <c r="S100" i="14" s="1"/>
  <c r="K100" i="14"/>
  <c r="T100" i="14" s="1"/>
  <c r="L100" i="14"/>
  <c r="U100" i="14" s="1"/>
  <c r="M100" i="14"/>
  <c r="V100" i="14" s="1"/>
  <c r="Q100" i="14"/>
  <c r="J101" i="14"/>
  <c r="S101" i="14" s="1"/>
  <c r="K101" i="14"/>
  <c r="T101" i="14" s="1"/>
  <c r="L101" i="14"/>
  <c r="U101" i="14" s="1"/>
  <c r="M101" i="14"/>
  <c r="V101" i="14" s="1"/>
  <c r="Q101" i="14"/>
  <c r="J102" i="14"/>
  <c r="S102" i="14" s="1"/>
  <c r="K102" i="14"/>
  <c r="T102" i="14" s="1"/>
  <c r="L102" i="14"/>
  <c r="U102" i="14" s="1"/>
  <c r="M102" i="14"/>
  <c r="V102" i="14" s="1"/>
  <c r="Q102" i="14"/>
  <c r="J103" i="14"/>
  <c r="S103" i="14" s="1"/>
  <c r="K103" i="14"/>
  <c r="T103" i="14" s="1"/>
  <c r="L103" i="14"/>
  <c r="U103" i="14" s="1"/>
  <c r="M103" i="14"/>
  <c r="V103" i="14" s="1"/>
  <c r="Q103" i="14"/>
  <c r="J104" i="14"/>
  <c r="S104" i="14" s="1"/>
  <c r="K104" i="14"/>
  <c r="T104" i="14" s="1"/>
  <c r="L104" i="14"/>
  <c r="U104" i="14" s="1"/>
  <c r="M104" i="14"/>
  <c r="V104" i="14" s="1"/>
  <c r="Q104" i="14"/>
  <c r="J105" i="14"/>
  <c r="S105" i="14" s="1"/>
  <c r="K105" i="14"/>
  <c r="T105" i="14" s="1"/>
  <c r="L105" i="14"/>
  <c r="U105" i="14" s="1"/>
  <c r="M105" i="14"/>
  <c r="V105" i="14" s="1"/>
  <c r="Q105" i="14"/>
  <c r="J106" i="14"/>
  <c r="S106" i="14" s="1"/>
  <c r="K106" i="14"/>
  <c r="T106" i="14" s="1"/>
  <c r="L106" i="14"/>
  <c r="U106" i="14" s="1"/>
  <c r="M106" i="14"/>
  <c r="V106" i="14" s="1"/>
  <c r="Q106" i="14"/>
  <c r="J107" i="14"/>
  <c r="S107" i="14" s="1"/>
  <c r="K107" i="14"/>
  <c r="T107" i="14" s="1"/>
  <c r="L107" i="14"/>
  <c r="U107" i="14" s="1"/>
  <c r="M107" i="14"/>
  <c r="V107" i="14" s="1"/>
  <c r="Q107" i="14"/>
  <c r="J108" i="14"/>
  <c r="S108" i="14" s="1"/>
  <c r="K108" i="14"/>
  <c r="T108" i="14" s="1"/>
  <c r="L108" i="14"/>
  <c r="U108" i="14" s="1"/>
  <c r="M108" i="14"/>
  <c r="V108" i="14" s="1"/>
  <c r="Q108" i="14"/>
  <c r="J109" i="14"/>
  <c r="S109" i="14" s="1"/>
  <c r="K109" i="14"/>
  <c r="T109" i="14" s="1"/>
  <c r="L109" i="14"/>
  <c r="U109" i="14" s="1"/>
  <c r="M109" i="14"/>
  <c r="V109" i="14" s="1"/>
  <c r="Q109" i="14"/>
  <c r="J110" i="14"/>
  <c r="S110" i="14" s="1"/>
  <c r="K110" i="14"/>
  <c r="T110" i="14" s="1"/>
  <c r="L110" i="14"/>
  <c r="U110" i="14" s="1"/>
  <c r="M110" i="14"/>
  <c r="V110" i="14" s="1"/>
  <c r="Q110" i="14"/>
  <c r="J111" i="14"/>
  <c r="S111" i="14" s="1"/>
  <c r="K111" i="14"/>
  <c r="T111" i="14" s="1"/>
  <c r="L111" i="14"/>
  <c r="U111" i="14" s="1"/>
  <c r="M111" i="14"/>
  <c r="V111" i="14" s="1"/>
  <c r="Q111" i="14"/>
  <c r="J112" i="14"/>
  <c r="S112" i="14" s="1"/>
  <c r="K112" i="14"/>
  <c r="T112" i="14" s="1"/>
  <c r="L112" i="14"/>
  <c r="U112" i="14" s="1"/>
  <c r="M112" i="14"/>
  <c r="V112" i="14" s="1"/>
  <c r="Q112" i="14"/>
  <c r="J121" i="14"/>
  <c r="S117" i="14" s="1"/>
  <c r="K121" i="14"/>
  <c r="T117" i="14" s="1"/>
  <c r="L121" i="14"/>
  <c r="U117" i="14" s="1"/>
  <c r="J122" i="14"/>
  <c r="S118" i="14" s="1"/>
  <c r="K122" i="14"/>
  <c r="T118" i="14" s="1"/>
  <c r="L122" i="14"/>
  <c r="U118" i="14" s="1"/>
  <c r="J123" i="14"/>
  <c r="S119" i="14" s="1"/>
  <c r="K123" i="14"/>
  <c r="T119" i="14" s="1"/>
  <c r="L123" i="14"/>
  <c r="U119" i="14" s="1"/>
  <c r="J124" i="14"/>
  <c r="S120" i="14" s="1"/>
  <c r="K124" i="14"/>
  <c r="T120" i="14" s="1"/>
  <c r="L124" i="14"/>
  <c r="U120" i="14" s="1"/>
  <c r="J125" i="14"/>
  <c r="S121" i="14" s="1"/>
  <c r="K125" i="14"/>
  <c r="T121" i="14" s="1"/>
  <c r="L125" i="14"/>
  <c r="U121" i="14" s="1"/>
  <c r="J126" i="14"/>
  <c r="S122" i="14" s="1"/>
  <c r="K126" i="14"/>
  <c r="T122" i="14" s="1"/>
  <c r="L126" i="14"/>
  <c r="U122" i="14" s="1"/>
  <c r="J127" i="14"/>
  <c r="S123" i="14" s="1"/>
  <c r="K127" i="14"/>
  <c r="T123" i="14" s="1"/>
  <c r="L127" i="14"/>
  <c r="U123" i="14" s="1"/>
  <c r="J128" i="14"/>
  <c r="S124" i="14" s="1"/>
  <c r="K128" i="14"/>
  <c r="T124" i="14" s="1"/>
  <c r="L128" i="14"/>
  <c r="U124" i="14" s="1"/>
  <c r="J129" i="14"/>
  <c r="S125" i="14" s="1"/>
  <c r="K129" i="14"/>
  <c r="T125" i="14" s="1"/>
  <c r="L129" i="14"/>
  <c r="U125" i="14" s="1"/>
  <c r="J130" i="14"/>
  <c r="S126" i="14" s="1"/>
  <c r="K130" i="14"/>
  <c r="T126" i="14" s="1"/>
  <c r="L130" i="14"/>
  <c r="U126" i="14" s="1"/>
  <c r="J131" i="14"/>
  <c r="S127" i="14" s="1"/>
  <c r="K131" i="14"/>
  <c r="T127" i="14" s="1"/>
  <c r="L131" i="14"/>
  <c r="U127" i="14" s="1"/>
  <c r="J132" i="14"/>
  <c r="S128" i="14" s="1"/>
  <c r="K132" i="14"/>
  <c r="T128" i="14" s="1"/>
  <c r="L132" i="14"/>
  <c r="U128" i="14" s="1"/>
  <c r="J133" i="14"/>
  <c r="S129" i="14" s="1"/>
  <c r="K133" i="14"/>
  <c r="T129" i="14" s="1"/>
  <c r="L133" i="14"/>
  <c r="U129" i="14" s="1"/>
  <c r="H126" i="1"/>
  <c r="H136" i="1"/>
  <c r="J126" i="1"/>
  <c r="J136" i="1"/>
  <c r="H108" i="1"/>
  <c r="J108" i="1"/>
  <c r="H77" i="1"/>
  <c r="J77" i="1"/>
  <c r="H92" i="1"/>
  <c r="H72" i="1"/>
  <c r="J92" i="1"/>
  <c r="J72" i="1"/>
  <c r="H79" i="1"/>
  <c r="J79" i="1"/>
  <c r="H74" i="1"/>
  <c r="J74" i="1"/>
  <c r="H139" i="1"/>
  <c r="H69" i="1"/>
  <c r="H41" i="1"/>
  <c r="H47" i="1"/>
  <c r="H84" i="1"/>
  <c r="H64" i="1"/>
  <c r="H137" i="1"/>
  <c r="J139" i="1"/>
  <c r="J69" i="1"/>
  <c r="J41" i="1"/>
  <c r="J47" i="1"/>
  <c r="J84" i="1"/>
  <c r="J64" i="1"/>
  <c r="J137" i="1"/>
  <c r="H109" i="1"/>
  <c r="H62" i="1"/>
  <c r="J109" i="1"/>
  <c r="J62" i="1"/>
  <c r="H114" i="1"/>
  <c r="J114" i="1"/>
  <c r="H16" i="1"/>
  <c r="J16" i="1"/>
  <c r="H15" i="1"/>
  <c r="J15" i="1"/>
  <c r="H26" i="1"/>
  <c r="J26" i="1"/>
  <c r="H119" i="1"/>
  <c r="J119" i="1"/>
  <c r="H151" i="1"/>
  <c r="J151" i="1"/>
  <c r="H132" i="1"/>
  <c r="J132" i="1"/>
  <c r="H138" i="1"/>
  <c r="J138" i="1"/>
  <c r="H39" i="1"/>
  <c r="J39" i="1"/>
  <c r="H67" i="1"/>
  <c r="J67" i="1"/>
  <c r="H45" i="1"/>
  <c r="J45" i="1"/>
  <c r="N286" i="12"/>
  <c r="H27" i="1"/>
  <c r="J27" i="1"/>
  <c r="H30" i="1"/>
  <c r="J30" i="1"/>
  <c r="H50" i="1"/>
  <c r="J50" i="1"/>
  <c r="H18" i="1"/>
  <c r="J18" i="1"/>
  <c r="H80" i="1"/>
  <c r="J80" i="1"/>
  <c r="H96" i="1"/>
  <c r="J96" i="1"/>
  <c r="H51" i="1"/>
  <c r="J51" i="1"/>
  <c r="H56" i="1"/>
  <c r="J56" i="1"/>
  <c r="H123" i="1"/>
  <c r="J123" i="1"/>
  <c r="H55" i="1"/>
  <c r="J55" i="1"/>
  <c r="H60" i="1"/>
  <c r="J60" i="1"/>
  <c r="H61" i="1"/>
  <c r="J61" i="1"/>
  <c r="H145" i="1"/>
  <c r="J145" i="1"/>
  <c r="H75" i="1"/>
  <c r="J75" i="1"/>
  <c r="H146" i="1"/>
  <c r="J146" i="1"/>
  <c r="H158" i="1"/>
  <c r="J158" i="1"/>
  <c r="H155" i="1"/>
  <c r="J155" i="1"/>
  <c r="H130" i="1"/>
  <c r="J130" i="1"/>
  <c r="H129" i="1"/>
  <c r="J129" i="1"/>
  <c r="H93" i="1"/>
  <c r="J93" i="1"/>
  <c r="H97" i="1"/>
  <c r="J97" i="1"/>
  <c r="N495" i="12"/>
  <c r="H35" i="1"/>
  <c r="J35" i="1"/>
  <c r="H76" i="1"/>
  <c r="J76" i="1"/>
  <c r="H94" i="1"/>
  <c r="J94" i="1"/>
  <c r="H13" i="1"/>
  <c r="J13" i="1"/>
  <c r="H152" i="1"/>
  <c r="J152" i="1"/>
  <c r="H58" i="1"/>
  <c r="J58" i="1"/>
  <c r="H52" i="1"/>
  <c r="J52" i="1"/>
  <c r="H17" i="1"/>
  <c r="J17" i="1"/>
  <c r="H24" i="1"/>
  <c r="J24" i="1"/>
  <c r="H100" i="1"/>
  <c r="J100" i="1"/>
  <c r="H91" i="1"/>
  <c r="J91" i="1"/>
  <c r="H144" i="1"/>
  <c r="J144" i="1"/>
  <c r="H10" i="1"/>
  <c r="J10" i="1"/>
  <c r="H43" i="1"/>
  <c r="J43" i="1"/>
  <c r="K114" i="9"/>
  <c r="J115" i="9"/>
  <c r="J114" i="9"/>
  <c r="J113" i="9"/>
  <c r="J134" i="9"/>
  <c r="S130" i="9" s="1"/>
  <c r="J135" i="9"/>
  <c r="S131" i="9" s="1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A133" i="9"/>
  <c r="J133" i="9" s="1"/>
  <c r="A132" i="9"/>
  <c r="J132" i="9" s="1"/>
  <c r="A131" i="9"/>
  <c r="J131" i="9" s="1"/>
  <c r="A130" i="9"/>
  <c r="J130" i="9" s="1"/>
  <c r="A129" i="9"/>
  <c r="J129" i="9" s="1"/>
  <c r="A128" i="9"/>
  <c r="J128" i="9" s="1"/>
  <c r="A127" i="9"/>
  <c r="J127" i="9" s="1"/>
  <c r="A126" i="9"/>
  <c r="J126" i="9" s="1"/>
  <c r="A125" i="9"/>
  <c r="J125" i="9" s="1"/>
  <c r="A124" i="9"/>
  <c r="J124" i="9" s="1"/>
  <c r="A123" i="9"/>
  <c r="J123" i="9" s="1"/>
  <c r="A122" i="9"/>
  <c r="J122" i="9" s="1"/>
  <c r="A121" i="9"/>
  <c r="J121" i="9" s="1"/>
  <c r="J120" i="9"/>
  <c r="J119" i="9"/>
  <c r="J118" i="9"/>
  <c r="J117" i="9"/>
  <c r="J116" i="9"/>
  <c r="H156" i="1"/>
  <c r="J156" i="1"/>
  <c r="H154" i="1"/>
  <c r="J154" i="1"/>
  <c r="Q131" i="9"/>
  <c r="R131" i="9"/>
  <c r="A112" i="9"/>
  <c r="J112" i="9" s="1"/>
  <c r="A111" i="9"/>
  <c r="A110" i="9"/>
  <c r="A109" i="9"/>
  <c r="A108" i="9"/>
  <c r="A107" i="9"/>
  <c r="Q107" i="9" s="1"/>
  <c r="A106" i="9"/>
  <c r="Q106" i="9" s="1"/>
  <c r="A105" i="9"/>
  <c r="A104" i="9"/>
  <c r="A103" i="9"/>
  <c r="A102" i="9"/>
  <c r="A101" i="9"/>
  <c r="A100" i="9"/>
  <c r="A99" i="9"/>
  <c r="A98" i="9"/>
  <c r="A97" i="9"/>
  <c r="A96" i="9"/>
  <c r="A95" i="9"/>
  <c r="A94" i="9"/>
  <c r="A93" i="9"/>
  <c r="A92" i="9"/>
  <c r="A91" i="9"/>
  <c r="A90" i="9"/>
  <c r="Q90" i="9" s="1"/>
  <c r="A89" i="9"/>
  <c r="A88" i="9"/>
  <c r="A87" i="9"/>
  <c r="A86" i="9"/>
  <c r="A85" i="9"/>
  <c r="A84" i="9"/>
  <c r="A83" i="9"/>
  <c r="A82" i="9"/>
  <c r="A81" i="9"/>
  <c r="Q81" i="9" s="1"/>
  <c r="A80" i="9"/>
  <c r="A79" i="9"/>
  <c r="A78" i="9"/>
  <c r="Q78" i="9" s="1"/>
  <c r="A77" i="9"/>
  <c r="Q77" i="9" s="1"/>
  <c r="A76" i="9"/>
  <c r="A75" i="9"/>
  <c r="A74" i="9"/>
  <c r="A73" i="9"/>
  <c r="A72" i="9"/>
  <c r="Q72" i="9" s="1"/>
  <c r="A71" i="9"/>
  <c r="Q71" i="9" s="1"/>
  <c r="A70" i="9"/>
  <c r="A69" i="9"/>
  <c r="Q69" i="9" s="1"/>
  <c r="A68" i="9"/>
  <c r="Q68" i="9" s="1"/>
  <c r="A67" i="9"/>
  <c r="Q67" i="9" s="1"/>
  <c r="A66" i="9"/>
  <c r="A65" i="9"/>
  <c r="A64" i="9"/>
  <c r="Q64" i="9" s="1"/>
  <c r="A63" i="9"/>
  <c r="Q63" i="9" s="1"/>
  <c r="A62" i="9"/>
  <c r="A61" i="9"/>
  <c r="A60" i="9"/>
  <c r="A59" i="9"/>
  <c r="Q59" i="9" s="1"/>
  <c r="A58" i="9"/>
  <c r="Q58" i="9" s="1"/>
  <c r="A57" i="9"/>
  <c r="A56" i="9"/>
  <c r="A55" i="9"/>
  <c r="Q55" i="9" s="1"/>
  <c r="A54" i="9"/>
  <c r="Q54" i="9" s="1"/>
  <c r="A53" i="9"/>
  <c r="A52" i="9"/>
  <c r="Q52" i="9" s="1"/>
  <c r="A51" i="9"/>
  <c r="Q51" i="9" s="1"/>
  <c r="A50" i="9"/>
  <c r="Q50" i="9" s="1"/>
  <c r="A49" i="9"/>
  <c r="A48" i="9"/>
  <c r="A47" i="9"/>
  <c r="Q47" i="9" s="1"/>
  <c r="A46" i="9"/>
  <c r="Q46" i="9" s="1"/>
  <c r="A45" i="9"/>
  <c r="A44" i="9"/>
  <c r="A43" i="9"/>
  <c r="Q43" i="9" s="1"/>
  <c r="A42" i="9"/>
  <c r="Q42" i="9" s="1"/>
  <c r="A41" i="9"/>
  <c r="A40" i="9"/>
  <c r="A39" i="9"/>
  <c r="Q39" i="9" s="1"/>
  <c r="A38" i="9"/>
  <c r="Q38" i="9" s="1"/>
  <c r="A37" i="9"/>
  <c r="A36" i="9"/>
  <c r="A35" i="9"/>
  <c r="A34" i="9"/>
  <c r="A33" i="9"/>
  <c r="A32" i="9"/>
  <c r="A31" i="9"/>
  <c r="A30" i="9"/>
  <c r="A29" i="9"/>
  <c r="J29" i="9" s="1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Q8" i="9" s="1"/>
  <c r="A7" i="9"/>
  <c r="M134" i="9"/>
  <c r="M135" i="9"/>
  <c r="M136" i="9"/>
  <c r="M137" i="9"/>
  <c r="M138" i="9"/>
  <c r="M139" i="9"/>
  <c r="M140" i="9"/>
  <c r="M141" i="9"/>
  <c r="M142" i="9"/>
  <c r="M143" i="9"/>
  <c r="M144" i="9"/>
  <c r="M145" i="9"/>
  <c r="M146" i="9"/>
  <c r="M147" i="9"/>
  <c r="M148" i="9"/>
  <c r="M149" i="9"/>
  <c r="M150" i="9"/>
  <c r="M151" i="9"/>
  <c r="M152" i="9"/>
  <c r="M153" i="9"/>
  <c r="M154" i="9"/>
  <c r="M155" i="9"/>
  <c r="M156" i="9"/>
  <c r="M157" i="9"/>
  <c r="M158" i="9"/>
  <c r="M159" i="9"/>
  <c r="M160" i="9"/>
  <c r="M161" i="9"/>
  <c r="M162" i="9"/>
  <c r="M163" i="9"/>
  <c r="M164" i="9"/>
  <c r="M165" i="9"/>
  <c r="M166" i="9"/>
  <c r="M167" i="9"/>
  <c r="M168" i="9"/>
  <c r="M169" i="9"/>
  <c r="M170" i="9"/>
  <c r="M171" i="9"/>
  <c r="M172" i="9"/>
  <c r="L134" i="9"/>
  <c r="L135" i="9"/>
  <c r="L136" i="9"/>
  <c r="L137" i="9"/>
  <c r="L138" i="9"/>
  <c r="L139" i="9"/>
  <c r="L140" i="9"/>
  <c r="L141" i="9"/>
  <c r="L142" i="9"/>
  <c r="L143" i="9"/>
  <c r="L144" i="9"/>
  <c r="L145" i="9"/>
  <c r="L146" i="9"/>
  <c r="L147" i="9"/>
  <c r="L148" i="9"/>
  <c r="L149" i="9"/>
  <c r="L150" i="9"/>
  <c r="L151" i="9"/>
  <c r="L152" i="9"/>
  <c r="L153" i="9"/>
  <c r="L154" i="9"/>
  <c r="L155" i="9"/>
  <c r="L156" i="9"/>
  <c r="L157" i="9"/>
  <c r="L158" i="9"/>
  <c r="L159" i="9"/>
  <c r="L160" i="9"/>
  <c r="L161" i="9"/>
  <c r="L162" i="9"/>
  <c r="L163" i="9"/>
  <c r="L164" i="9"/>
  <c r="L165" i="9"/>
  <c r="L166" i="9"/>
  <c r="L167" i="9"/>
  <c r="L168" i="9"/>
  <c r="L169" i="9"/>
  <c r="L170" i="9"/>
  <c r="L171" i="9"/>
  <c r="L172" i="9"/>
  <c r="K134" i="9"/>
  <c r="K135" i="9"/>
  <c r="K136" i="9"/>
  <c r="K137" i="9"/>
  <c r="K138" i="9"/>
  <c r="K139" i="9"/>
  <c r="K140" i="9"/>
  <c r="K141" i="9"/>
  <c r="K142" i="9"/>
  <c r="K143" i="9"/>
  <c r="K144" i="9"/>
  <c r="K145" i="9"/>
  <c r="K146" i="9"/>
  <c r="K147" i="9"/>
  <c r="K148" i="9"/>
  <c r="K149" i="9"/>
  <c r="K150" i="9"/>
  <c r="K151" i="9"/>
  <c r="K152" i="9"/>
  <c r="K153" i="9"/>
  <c r="K154" i="9"/>
  <c r="K155" i="9"/>
  <c r="K156" i="9"/>
  <c r="K157" i="9"/>
  <c r="K158" i="9"/>
  <c r="K159" i="9"/>
  <c r="K160" i="9"/>
  <c r="K161" i="9"/>
  <c r="K162" i="9"/>
  <c r="K163" i="9"/>
  <c r="K164" i="9"/>
  <c r="K165" i="9"/>
  <c r="K166" i="9"/>
  <c r="K167" i="9"/>
  <c r="K168" i="9"/>
  <c r="K169" i="9"/>
  <c r="K170" i="9"/>
  <c r="K171" i="9"/>
  <c r="K172" i="9"/>
  <c r="H68" i="1"/>
  <c r="J68" i="1"/>
  <c r="H20" i="1"/>
  <c r="J20" i="1"/>
  <c r="H157" i="1"/>
  <c r="J157" i="1"/>
  <c r="H159" i="1"/>
  <c r="J159" i="1"/>
  <c r="H28" i="1"/>
  <c r="J28" i="1"/>
  <c r="H29" i="1"/>
  <c r="J29" i="1"/>
  <c r="Q130" i="9"/>
  <c r="H88" i="1"/>
  <c r="J88" i="1"/>
  <c r="H105" i="1"/>
  <c r="J105" i="1"/>
  <c r="H78" i="1"/>
  <c r="J78" i="1"/>
  <c r="H25" i="1"/>
  <c r="J25" i="1"/>
  <c r="H31" i="1"/>
  <c r="J31" i="1"/>
  <c r="H33" i="1"/>
  <c r="J33" i="1"/>
  <c r="H32" i="1"/>
  <c r="J32" i="1"/>
  <c r="N72" i="12"/>
  <c r="H7" i="1"/>
  <c r="J7" i="1"/>
  <c r="M155" i="1" l="1"/>
  <c r="M154" i="1"/>
  <c r="M156" i="1"/>
  <c r="M158" i="1"/>
  <c r="M157" i="1"/>
  <c r="M159" i="1"/>
  <c r="R128" i="9"/>
  <c r="Q40" i="9"/>
  <c r="Q44" i="9"/>
  <c r="Q48" i="9"/>
  <c r="Q56" i="9"/>
  <c r="Q60" i="9"/>
  <c r="Q65" i="9"/>
  <c r="Q129" i="9"/>
  <c r="Q37" i="9"/>
  <c r="Q41" i="9"/>
  <c r="Q45" i="9"/>
  <c r="Q49" i="9"/>
  <c r="Q53" i="9"/>
  <c r="Q57" i="9"/>
  <c r="R109" i="9"/>
  <c r="Q73" i="9"/>
  <c r="K5" i="12"/>
  <c r="K8" i="12"/>
  <c r="K12" i="12"/>
  <c r="K16" i="12"/>
  <c r="K20" i="12"/>
  <c r="K24" i="12"/>
  <c r="K28" i="12"/>
  <c r="K32" i="12"/>
  <c r="K36" i="12"/>
  <c r="K40" i="12"/>
  <c r="K44" i="12"/>
  <c r="K48" i="12"/>
  <c r="K52" i="12"/>
  <c r="K56" i="12"/>
  <c r="K60" i="12"/>
  <c r="K64" i="12"/>
  <c r="K68" i="12"/>
  <c r="K72" i="12"/>
  <c r="K76" i="12"/>
  <c r="K80" i="12"/>
  <c r="K84" i="12"/>
  <c r="K9" i="12"/>
  <c r="K13" i="12"/>
  <c r="K17" i="12"/>
  <c r="K21" i="12"/>
  <c r="K25" i="12"/>
  <c r="K29" i="12"/>
  <c r="K33" i="12"/>
  <c r="K37" i="12"/>
  <c r="K41" i="12"/>
  <c r="K45" i="12"/>
  <c r="K49" i="12"/>
  <c r="K53" i="12"/>
  <c r="K57" i="12"/>
  <c r="K61" i="12"/>
  <c r="K65" i="12"/>
  <c r="K69" i="12"/>
  <c r="K73" i="12"/>
  <c r="K77" i="12"/>
  <c r="K81" i="12"/>
  <c r="K85" i="12"/>
  <c r="K3" i="12"/>
  <c r="K86" i="12"/>
  <c r="K87" i="12"/>
  <c r="K91" i="12"/>
  <c r="K95" i="12"/>
  <c r="K99" i="12"/>
  <c r="K103" i="12"/>
  <c r="K107" i="12"/>
  <c r="K111" i="12"/>
  <c r="K115" i="12"/>
  <c r="K117" i="12"/>
  <c r="K122" i="12"/>
  <c r="K124" i="12"/>
  <c r="K130" i="12"/>
  <c r="K88" i="12"/>
  <c r="K4" i="12"/>
  <c r="K6" i="12"/>
  <c r="K10" i="12"/>
  <c r="K14" i="12"/>
  <c r="K18" i="12"/>
  <c r="K22" i="12"/>
  <c r="K26" i="12"/>
  <c r="K30" i="12"/>
  <c r="K34" i="12"/>
  <c r="K38" i="12"/>
  <c r="K42" i="12"/>
  <c r="K46" i="12"/>
  <c r="K50" i="12"/>
  <c r="K54" i="12"/>
  <c r="K58" i="12"/>
  <c r="K62" i="12"/>
  <c r="K66" i="12"/>
  <c r="K70" i="12"/>
  <c r="K74" i="12"/>
  <c r="K78" i="12"/>
  <c r="K82" i="12"/>
  <c r="K116" i="12"/>
  <c r="K118" i="12"/>
  <c r="K127" i="12"/>
  <c r="K128" i="12"/>
  <c r="K129" i="12"/>
  <c r="K134" i="12"/>
  <c r="K138" i="12"/>
  <c r="K142" i="12"/>
  <c r="K146" i="12"/>
  <c r="K150" i="12"/>
  <c r="K153" i="12"/>
  <c r="K155" i="12"/>
  <c r="K7" i="12"/>
  <c r="K11" i="12"/>
  <c r="K15" i="12"/>
  <c r="K19" i="12"/>
  <c r="K23" i="12"/>
  <c r="K27" i="12"/>
  <c r="K31" i="12"/>
  <c r="K35" i="12"/>
  <c r="K39" i="12"/>
  <c r="K43" i="12"/>
  <c r="K47" i="12"/>
  <c r="K51" i="12"/>
  <c r="K55" i="12"/>
  <c r="K59" i="12"/>
  <c r="K63" i="12"/>
  <c r="K67" i="12"/>
  <c r="K71" i="12"/>
  <c r="K75" i="12"/>
  <c r="K79" i="12"/>
  <c r="K83" i="12"/>
  <c r="K89" i="12"/>
  <c r="K90" i="12"/>
  <c r="K92" i="12"/>
  <c r="K93" i="12"/>
  <c r="K94" i="12"/>
  <c r="K96" i="12"/>
  <c r="K97" i="12"/>
  <c r="K98" i="12"/>
  <c r="K100" i="12"/>
  <c r="K101" i="12"/>
  <c r="K102" i="12"/>
  <c r="K104" i="12"/>
  <c r="K105" i="12"/>
  <c r="K106" i="12"/>
  <c r="K108" i="12"/>
  <c r="K109" i="12"/>
  <c r="K110" i="12"/>
  <c r="K112" i="12"/>
  <c r="K113" i="12"/>
  <c r="K114" i="12"/>
  <c r="K120" i="12"/>
  <c r="K132" i="12"/>
  <c r="K136" i="12"/>
  <c r="K140" i="12"/>
  <c r="K144" i="12"/>
  <c r="K148" i="12"/>
  <c r="K133" i="12"/>
  <c r="K137" i="12"/>
  <c r="K141" i="12"/>
  <c r="K145" i="12"/>
  <c r="K149" i="12"/>
  <c r="K154" i="12"/>
  <c r="K156" i="12"/>
  <c r="K164" i="12"/>
  <c r="K166" i="12"/>
  <c r="K170" i="12"/>
  <c r="K174" i="12"/>
  <c r="K178" i="12"/>
  <c r="K182" i="12"/>
  <c r="K186" i="12"/>
  <c r="K190" i="12"/>
  <c r="K197" i="12"/>
  <c r="K200" i="12"/>
  <c r="K203" i="12"/>
  <c r="K207" i="12"/>
  <c r="K211" i="12"/>
  <c r="K215" i="12"/>
  <c r="K219" i="12"/>
  <c r="K223" i="12"/>
  <c r="K227" i="12"/>
  <c r="K231" i="12"/>
  <c r="K235" i="12"/>
  <c r="K239" i="12"/>
  <c r="K243" i="12"/>
  <c r="K247" i="12"/>
  <c r="K251" i="12"/>
  <c r="K255" i="12"/>
  <c r="K259" i="12"/>
  <c r="K263" i="12"/>
  <c r="K267" i="12"/>
  <c r="K119" i="12"/>
  <c r="K126" i="12"/>
  <c r="K157" i="12"/>
  <c r="K162" i="12"/>
  <c r="K167" i="12"/>
  <c r="K171" i="12"/>
  <c r="K175" i="12"/>
  <c r="K179" i="12"/>
  <c r="K183" i="12"/>
  <c r="K187" i="12"/>
  <c r="K191" i="12"/>
  <c r="K194" i="12"/>
  <c r="K204" i="12"/>
  <c r="K208" i="12"/>
  <c r="K212" i="12"/>
  <c r="K216" i="12"/>
  <c r="K220" i="12"/>
  <c r="K224" i="12"/>
  <c r="K228" i="12"/>
  <c r="K232" i="12"/>
  <c r="K236" i="12"/>
  <c r="K240" i="12"/>
  <c r="K244" i="12"/>
  <c r="K248" i="12"/>
  <c r="K252" i="12"/>
  <c r="K256" i="12"/>
  <c r="K260" i="12"/>
  <c r="K264" i="12"/>
  <c r="K268" i="12"/>
  <c r="K272" i="12"/>
  <c r="K276" i="12"/>
  <c r="K281" i="12"/>
  <c r="K285" i="12"/>
  <c r="K289" i="12"/>
  <c r="K293" i="12"/>
  <c r="K297" i="12"/>
  <c r="K301" i="12"/>
  <c r="K305" i="12"/>
  <c r="K310" i="12"/>
  <c r="K314" i="12"/>
  <c r="K318" i="12"/>
  <c r="K322" i="12"/>
  <c r="K326" i="12"/>
  <c r="K147" i="12"/>
  <c r="K151" i="12"/>
  <c r="K168" i="12"/>
  <c r="K173" i="12"/>
  <c r="K184" i="12"/>
  <c r="K189" i="12"/>
  <c r="K195" i="12"/>
  <c r="K225" i="12"/>
  <c r="K230" i="12"/>
  <c r="K241" i="12"/>
  <c r="K246" i="12"/>
  <c r="K257" i="12"/>
  <c r="K262" i="12"/>
  <c r="K279" i="12"/>
  <c r="K280" i="12"/>
  <c r="K282" i="12"/>
  <c r="K283" i="12"/>
  <c r="K284" i="12"/>
  <c r="K286" i="12"/>
  <c r="K287" i="12"/>
  <c r="K288" i="12"/>
  <c r="K290" i="12"/>
  <c r="K291" i="12"/>
  <c r="K292" i="12"/>
  <c r="K294" i="12"/>
  <c r="K295" i="12"/>
  <c r="K296" i="12"/>
  <c r="K298" i="12"/>
  <c r="K299" i="12"/>
  <c r="K300" i="12"/>
  <c r="K302" i="12"/>
  <c r="K303" i="12"/>
  <c r="K304" i="12"/>
  <c r="K306" i="12"/>
  <c r="K329" i="12"/>
  <c r="K333" i="12"/>
  <c r="K337" i="12"/>
  <c r="K341" i="12"/>
  <c r="K345" i="12"/>
  <c r="K349" i="12"/>
  <c r="K353" i="12"/>
  <c r="K357" i="12"/>
  <c r="K361" i="12"/>
  <c r="K365" i="12"/>
  <c r="K369" i="12"/>
  <c r="K373" i="12"/>
  <c r="K377" i="12"/>
  <c r="K381" i="12"/>
  <c r="K385" i="12"/>
  <c r="K389" i="12"/>
  <c r="K123" i="12"/>
  <c r="K125" i="12"/>
  <c r="K135" i="12"/>
  <c r="K158" i="12"/>
  <c r="K160" i="12"/>
  <c r="K172" i="12"/>
  <c r="K177" i="12"/>
  <c r="K188" i="12"/>
  <c r="K193" i="12"/>
  <c r="K202" i="12"/>
  <c r="K206" i="12"/>
  <c r="K210" i="12"/>
  <c r="K214" i="12"/>
  <c r="K218" i="12"/>
  <c r="K229" i="12"/>
  <c r="K234" i="12"/>
  <c r="K245" i="12"/>
  <c r="K250" i="12"/>
  <c r="K261" i="12"/>
  <c r="K266" i="12"/>
  <c r="K269" i="12"/>
  <c r="K270" i="12"/>
  <c r="K271" i="12"/>
  <c r="K273" i="12"/>
  <c r="K274" i="12"/>
  <c r="K275" i="12"/>
  <c r="K307" i="12"/>
  <c r="K330" i="12"/>
  <c r="K334" i="12"/>
  <c r="K338" i="12"/>
  <c r="K342" i="12"/>
  <c r="K346" i="12"/>
  <c r="K350" i="12"/>
  <c r="K354" i="12"/>
  <c r="K358" i="12"/>
  <c r="K362" i="12"/>
  <c r="K366" i="12"/>
  <c r="K370" i="12"/>
  <c r="K374" i="12"/>
  <c r="K378" i="12"/>
  <c r="K382" i="12"/>
  <c r="K386" i="12"/>
  <c r="K390" i="12"/>
  <c r="K396" i="12"/>
  <c r="K400" i="12"/>
  <c r="K404" i="12"/>
  <c r="K408" i="12"/>
  <c r="K411" i="12"/>
  <c r="K415" i="12"/>
  <c r="K419" i="12"/>
  <c r="K423" i="12"/>
  <c r="K427" i="12"/>
  <c r="K430" i="12"/>
  <c r="K433" i="12"/>
  <c r="K437" i="12"/>
  <c r="K441" i="12"/>
  <c r="K445" i="12"/>
  <c r="K449" i="12"/>
  <c r="K453" i="12"/>
  <c r="K457" i="12"/>
  <c r="K461" i="12"/>
  <c r="K465" i="12"/>
  <c r="K469" i="12"/>
  <c r="K473" i="12"/>
  <c r="K476" i="12"/>
  <c r="K480" i="12"/>
  <c r="K483" i="12"/>
  <c r="K487" i="12"/>
  <c r="K491" i="12"/>
  <c r="K495" i="12"/>
  <c r="K498" i="12"/>
  <c r="K502" i="12"/>
  <c r="K506" i="12"/>
  <c r="K159" i="12"/>
  <c r="K165" i="12"/>
  <c r="K176" i="12"/>
  <c r="K192" i="12"/>
  <c r="K198" i="12"/>
  <c r="K221" i="12"/>
  <c r="K237" i="12"/>
  <c r="K253" i="12"/>
  <c r="K313" i="12"/>
  <c r="K327" i="12"/>
  <c r="K335" i="12"/>
  <c r="K343" i="12"/>
  <c r="K355" i="12"/>
  <c r="K367" i="12"/>
  <c r="K375" i="12"/>
  <c r="K387" i="12"/>
  <c r="K429" i="12"/>
  <c r="K507" i="12"/>
  <c r="K511" i="12"/>
  <c r="K514" i="12"/>
  <c r="K521" i="12"/>
  <c r="K534" i="12"/>
  <c r="K538" i="12"/>
  <c r="K546" i="12"/>
  <c r="K552" i="12"/>
  <c r="K558" i="12"/>
  <c r="K566" i="12"/>
  <c r="K578" i="12"/>
  <c r="K258" i="12"/>
  <c r="K278" i="12"/>
  <c r="K522" i="12"/>
  <c r="K526" i="12"/>
  <c r="K121" i="12"/>
  <c r="K131" i="12"/>
  <c r="K139" i="12"/>
  <c r="K143" i="12"/>
  <c r="K152" i="12"/>
  <c r="K161" i="12"/>
  <c r="K163" i="12"/>
  <c r="K169" i="12"/>
  <c r="K185" i="12"/>
  <c r="K196" i="12"/>
  <c r="K199" i="12"/>
  <c r="K222" i="12"/>
  <c r="K238" i="12"/>
  <c r="K254" i="12"/>
  <c r="K277" i="12"/>
  <c r="K312" i="12"/>
  <c r="K319" i="12"/>
  <c r="K321" i="12"/>
  <c r="K393" i="12"/>
  <c r="K394" i="12"/>
  <c r="K395" i="12"/>
  <c r="K397" i="12"/>
  <c r="K398" i="12"/>
  <c r="K399" i="12"/>
  <c r="K401" i="12"/>
  <c r="K402" i="12"/>
  <c r="K403" i="12"/>
  <c r="K405" i="12"/>
  <c r="K406" i="12"/>
  <c r="K407" i="12"/>
  <c r="K409" i="12"/>
  <c r="K410" i="12"/>
  <c r="K412" i="12"/>
  <c r="K413" i="12"/>
  <c r="K414" i="12"/>
  <c r="K416" i="12"/>
  <c r="K417" i="12"/>
  <c r="K418" i="12"/>
  <c r="K420" i="12"/>
  <c r="K421" i="12"/>
  <c r="K422" i="12"/>
  <c r="K424" i="12"/>
  <c r="K425" i="12"/>
  <c r="K426" i="12"/>
  <c r="K431" i="12"/>
  <c r="K432" i="12"/>
  <c r="K434" i="12"/>
  <c r="K435" i="12"/>
  <c r="K436" i="12"/>
  <c r="K438" i="12"/>
  <c r="K439" i="12"/>
  <c r="K440" i="12"/>
  <c r="K442" i="12"/>
  <c r="K443" i="12"/>
  <c r="K444" i="12"/>
  <c r="K446" i="12"/>
  <c r="K447" i="12"/>
  <c r="K448" i="12"/>
  <c r="K450" i="12"/>
  <c r="K451" i="12"/>
  <c r="K452" i="12"/>
  <c r="K454" i="12"/>
  <c r="K455" i="12"/>
  <c r="K456" i="12"/>
  <c r="K458" i="12"/>
  <c r="K459" i="12"/>
  <c r="K460" i="12"/>
  <c r="K462" i="12"/>
  <c r="K463" i="12"/>
  <c r="K464" i="12"/>
  <c r="K466" i="12"/>
  <c r="K467" i="12"/>
  <c r="K468" i="12"/>
  <c r="K470" i="12"/>
  <c r="K471" i="12"/>
  <c r="K472" i="12"/>
  <c r="K474" i="12"/>
  <c r="K509" i="12"/>
  <c r="K513" i="12"/>
  <c r="K516" i="12"/>
  <c r="K519" i="12"/>
  <c r="K523" i="12"/>
  <c r="K527" i="12"/>
  <c r="K530" i="12"/>
  <c r="K536" i="12"/>
  <c r="K540" i="12"/>
  <c r="K544" i="12"/>
  <c r="K548" i="12"/>
  <c r="K554" i="12"/>
  <c r="K560" i="12"/>
  <c r="K564" i="12"/>
  <c r="K568" i="12"/>
  <c r="K572" i="12"/>
  <c r="K576" i="12"/>
  <c r="K580" i="12"/>
  <c r="K324" i="12"/>
  <c r="K508" i="12"/>
  <c r="K512" i="12"/>
  <c r="K515" i="12"/>
  <c r="K539" i="12"/>
  <c r="K543" i="12"/>
  <c r="K547" i="12"/>
  <c r="K553" i="12"/>
  <c r="K556" i="12"/>
  <c r="K567" i="12"/>
  <c r="K571" i="12"/>
  <c r="K575" i="12"/>
  <c r="K181" i="12"/>
  <c r="K201" i="12"/>
  <c r="K205" i="12"/>
  <c r="K209" i="12"/>
  <c r="K213" i="12"/>
  <c r="K217" i="12"/>
  <c r="K233" i="12"/>
  <c r="K249" i="12"/>
  <c r="K265" i="12"/>
  <c r="K309" i="12"/>
  <c r="K316" i="12"/>
  <c r="K323" i="12"/>
  <c r="K325" i="12"/>
  <c r="K328" i="12"/>
  <c r="K332" i="12"/>
  <c r="K336" i="12"/>
  <c r="K340" i="12"/>
  <c r="K344" i="12"/>
  <c r="K348" i="12"/>
  <c r="K352" i="12"/>
  <c r="K356" i="12"/>
  <c r="K360" i="12"/>
  <c r="K364" i="12"/>
  <c r="K368" i="12"/>
  <c r="K372" i="12"/>
  <c r="K376" i="12"/>
  <c r="K380" i="12"/>
  <c r="K384" i="12"/>
  <c r="K388" i="12"/>
  <c r="K475" i="12"/>
  <c r="K477" i="12"/>
  <c r="K478" i="12"/>
  <c r="K479" i="12"/>
  <c r="K481" i="12"/>
  <c r="K482" i="12"/>
  <c r="K484" i="12"/>
  <c r="K485" i="12"/>
  <c r="K486" i="12"/>
  <c r="K488" i="12"/>
  <c r="K489" i="12"/>
  <c r="K490" i="12"/>
  <c r="K492" i="12"/>
  <c r="K493" i="12"/>
  <c r="K494" i="12"/>
  <c r="K496" i="12"/>
  <c r="K497" i="12"/>
  <c r="K499" i="12"/>
  <c r="K500" i="12"/>
  <c r="K501" i="12"/>
  <c r="K503" i="12"/>
  <c r="K504" i="12"/>
  <c r="K505" i="12"/>
  <c r="K510" i="12"/>
  <c r="K517" i="12"/>
  <c r="K520" i="12"/>
  <c r="K524" i="12"/>
  <c r="K528" i="12"/>
  <c r="K531" i="12"/>
  <c r="K533" i="12"/>
  <c r="K537" i="12"/>
  <c r="K541" i="12"/>
  <c r="K545" i="12"/>
  <c r="K549" i="12"/>
  <c r="K551" i="12"/>
  <c r="K555" i="12"/>
  <c r="K557" i="12"/>
  <c r="K561" i="12"/>
  <c r="K565" i="12"/>
  <c r="K569" i="12"/>
  <c r="K573" i="12"/>
  <c r="K577" i="12"/>
  <c r="K581" i="12"/>
  <c r="K311" i="12"/>
  <c r="K320" i="12"/>
  <c r="K331" i="12"/>
  <c r="K339" i="12"/>
  <c r="K347" i="12"/>
  <c r="K351" i="12"/>
  <c r="K359" i="12"/>
  <c r="K363" i="12"/>
  <c r="K371" i="12"/>
  <c r="K379" i="12"/>
  <c r="K383" i="12"/>
  <c r="K391" i="12"/>
  <c r="K428" i="12"/>
  <c r="K525" i="12"/>
  <c r="K542" i="12"/>
  <c r="K562" i="12"/>
  <c r="K570" i="12"/>
  <c r="K574" i="12"/>
  <c r="K582" i="12"/>
  <c r="K180" i="12"/>
  <c r="K226" i="12"/>
  <c r="K242" i="12"/>
  <c r="K308" i="12"/>
  <c r="K315" i="12"/>
  <c r="K317" i="12"/>
  <c r="K392" i="12"/>
  <c r="K518" i="12"/>
  <c r="K529" i="12"/>
  <c r="K532" i="12"/>
  <c r="K535" i="12"/>
  <c r="K550" i="12"/>
  <c r="K559" i="12"/>
  <c r="K563" i="12"/>
  <c r="K579" i="12"/>
  <c r="K2" i="12"/>
  <c r="U99" i="1"/>
  <c r="U89" i="1"/>
  <c r="U104" i="1"/>
  <c r="U65" i="1"/>
  <c r="U40" i="1"/>
  <c r="U86" i="1"/>
  <c r="N544" i="12"/>
  <c r="N527" i="12"/>
  <c r="N516" i="12"/>
  <c r="N519" i="12"/>
  <c r="N492" i="12"/>
  <c r="U85" i="1"/>
  <c r="U106" i="1"/>
  <c r="U143" i="1"/>
  <c r="U141" i="1"/>
  <c r="U142" i="1"/>
  <c r="U73" i="1"/>
  <c r="U117" i="1"/>
  <c r="U125" i="1"/>
  <c r="U122" i="1"/>
  <c r="U113" i="1"/>
  <c r="U140" i="1"/>
  <c r="U9" i="1"/>
  <c r="U19" i="1"/>
  <c r="U36" i="1"/>
  <c r="U2" i="1"/>
  <c r="U46" i="1"/>
  <c r="U150" i="1"/>
  <c r="U63" i="1"/>
  <c r="U82" i="1"/>
  <c r="U107" i="1"/>
  <c r="U116" i="1"/>
  <c r="U34" i="1"/>
  <c r="U115" i="1"/>
  <c r="U112" i="1"/>
  <c r="U83" i="1"/>
  <c r="U110" i="1"/>
  <c r="U57" i="1"/>
  <c r="U48" i="1"/>
  <c r="U44" i="1"/>
  <c r="U37" i="1"/>
  <c r="U59" i="1"/>
  <c r="U66" i="1"/>
  <c r="U111" i="1"/>
  <c r="U131" i="1"/>
  <c r="U135" i="1"/>
  <c r="U133" i="1"/>
  <c r="U101" i="1"/>
  <c r="U53" i="1"/>
  <c r="U128" i="1"/>
  <c r="U153" i="1"/>
  <c r="U118" i="1"/>
  <c r="U120" i="1"/>
  <c r="U127" i="1"/>
  <c r="Q66" i="9"/>
  <c r="Q74" i="9"/>
  <c r="Q102" i="9"/>
  <c r="R129" i="9"/>
  <c r="Q128" i="9"/>
  <c r="Q70" i="9"/>
  <c r="U90" i="1"/>
  <c r="U98" i="1"/>
  <c r="U148" i="1"/>
  <c r="U134" i="1"/>
  <c r="U147" i="1"/>
  <c r="U149" i="1"/>
  <c r="U121" i="1"/>
  <c r="U3" i="1"/>
  <c r="U21" i="1"/>
  <c r="U18" i="1"/>
  <c r="U4" i="1"/>
  <c r="U6" i="1"/>
  <c r="U49" i="1"/>
  <c r="U69" i="1"/>
  <c r="U15" i="1"/>
  <c r="U109" i="1"/>
  <c r="U62" i="1"/>
  <c r="U47" i="1"/>
  <c r="U145" i="1"/>
  <c r="U91" i="1"/>
  <c r="U84" i="1"/>
  <c r="U5" i="1"/>
  <c r="U64" i="1"/>
  <c r="U31" i="1"/>
  <c r="U26" i="1"/>
  <c r="U146" i="1"/>
  <c r="U137" i="1"/>
  <c r="U39" i="1"/>
  <c r="U14" i="1"/>
  <c r="U45" i="1"/>
  <c r="U139" i="1"/>
  <c r="U68" i="1"/>
  <c r="U20" i="1"/>
  <c r="U7" i="1"/>
  <c r="U60" i="1"/>
  <c r="U55" i="1"/>
  <c r="U61" i="1"/>
  <c r="U23" i="1"/>
  <c r="U12" i="1"/>
  <c r="U77" i="1"/>
  <c r="U16" i="1"/>
  <c r="U35" i="1"/>
  <c r="U8" i="1"/>
  <c r="U27" i="1"/>
  <c r="U56" i="1"/>
  <c r="U67" i="1"/>
  <c r="U29" i="1"/>
  <c r="U22" i="1"/>
  <c r="U28" i="1"/>
  <c r="U30" i="1"/>
  <c r="U11" i="1"/>
  <c r="U50" i="1"/>
  <c r="U10" i="1"/>
  <c r="U76" i="1"/>
  <c r="U72" i="1"/>
  <c r="U41" i="1"/>
  <c r="U25" i="1"/>
  <c r="U74" i="1"/>
  <c r="U123" i="1"/>
  <c r="U24" i="1"/>
  <c r="U32" i="1"/>
  <c r="U80" i="1"/>
  <c r="U13" i="1"/>
  <c r="U33" i="1"/>
  <c r="U79" i="1"/>
  <c r="U94" i="1"/>
  <c r="U17" i="1"/>
  <c r="U96" i="1"/>
  <c r="U54" i="1"/>
  <c r="U88" i="1"/>
  <c r="U51" i="1"/>
  <c r="U92" i="1"/>
  <c r="U38" i="1"/>
  <c r="U75" i="1"/>
  <c r="U52" i="1"/>
  <c r="U108" i="1"/>
  <c r="U100" i="1"/>
  <c r="U42" i="1"/>
  <c r="U43" i="1"/>
  <c r="U71" i="1"/>
  <c r="U103" i="1"/>
  <c r="U93" i="1"/>
  <c r="U97" i="1"/>
  <c r="U105" i="1"/>
  <c r="U126" i="1"/>
  <c r="U58" i="1"/>
  <c r="U78" i="1"/>
  <c r="U70" i="1"/>
  <c r="U136" i="1"/>
  <c r="U119" i="1"/>
  <c r="U102" i="1"/>
  <c r="U129" i="1"/>
  <c r="U130" i="1"/>
  <c r="U114" i="1"/>
  <c r="U124" i="1"/>
  <c r="U132" i="1"/>
  <c r="U138" i="1"/>
  <c r="U144" i="1"/>
  <c r="U151" i="1"/>
  <c r="U152" i="1"/>
  <c r="U155" i="1"/>
  <c r="U154" i="1"/>
  <c r="U158" i="1"/>
  <c r="U156" i="1"/>
  <c r="U160" i="1"/>
  <c r="U157" i="1"/>
  <c r="U159" i="1"/>
  <c r="U161" i="1"/>
  <c r="U95" i="1"/>
  <c r="U81" i="1"/>
  <c r="U87" i="1"/>
  <c r="Q62" i="9"/>
  <c r="Q101" i="9"/>
  <c r="R110" i="9"/>
  <c r="R111" i="9"/>
  <c r="R87" i="9"/>
  <c r="R88" i="9"/>
  <c r="R104" i="9"/>
  <c r="R105" i="9"/>
  <c r="R103" i="9"/>
  <c r="R19" i="9"/>
  <c r="R20" i="9"/>
  <c r="R21" i="9"/>
  <c r="R22" i="9"/>
  <c r="R91" i="9"/>
  <c r="Q79" i="9"/>
  <c r="Q80" i="9"/>
  <c r="R94" i="9"/>
  <c r="R95" i="9"/>
  <c r="R97" i="9"/>
  <c r="R98" i="9"/>
  <c r="R99" i="9"/>
  <c r="R13" i="9"/>
  <c r="R14" i="9"/>
  <c r="R7" i="9"/>
  <c r="R30" i="9"/>
  <c r="R31" i="9"/>
  <c r="R9" i="9"/>
  <c r="R11" i="9"/>
  <c r="R12" i="9"/>
  <c r="R10" i="9"/>
  <c r="R61" i="9"/>
  <c r="R15" i="9"/>
  <c r="R16" i="9"/>
  <c r="R32" i="9"/>
  <c r="R33" i="9"/>
  <c r="R34" i="9"/>
  <c r="R17" i="9"/>
  <c r="R18" i="9"/>
  <c r="R35" i="9"/>
  <c r="R36" i="9"/>
  <c r="R25" i="9"/>
  <c r="R26" i="9"/>
  <c r="R27" i="9"/>
  <c r="R28" i="9"/>
  <c r="R29" i="9"/>
  <c r="R23" i="9"/>
  <c r="R24" i="9"/>
  <c r="R85" i="9"/>
  <c r="R86" i="9"/>
  <c r="R83" i="9"/>
  <c r="R84" i="9"/>
  <c r="R92" i="9"/>
  <c r="R93" i="9"/>
  <c r="R76" i="9"/>
  <c r="Q76" i="9"/>
  <c r="R75" i="9"/>
  <c r="Q75" i="9"/>
  <c r="R112" i="9"/>
  <c r="Q112" i="9"/>
  <c r="Q93" i="9"/>
  <c r="Q92" i="9"/>
  <c r="Q84" i="9"/>
  <c r="Q83" i="9"/>
  <c r="Q86" i="9"/>
  <c r="Q85" i="9"/>
  <c r="Q24" i="9"/>
  <c r="Q23" i="9"/>
  <c r="Q29" i="9"/>
  <c r="Q28" i="9"/>
  <c r="Q27" i="9"/>
  <c r="Q26" i="9"/>
  <c r="Q25" i="9"/>
  <c r="Q36" i="9"/>
  <c r="Q35" i="9"/>
  <c r="Q103" i="9"/>
  <c r="Q91" i="9"/>
  <c r="Q22" i="9"/>
  <c r="Q21" i="9"/>
  <c r="Q20" i="9"/>
  <c r="Q19" i="9"/>
  <c r="Q18" i="9"/>
  <c r="Q17" i="9"/>
  <c r="Q34" i="9"/>
  <c r="Q33" i="9"/>
  <c r="Q32" i="9"/>
  <c r="Q16" i="9"/>
  <c r="Q15" i="9"/>
  <c r="Q61" i="9"/>
  <c r="Q10" i="9"/>
  <c r="Q12" i="9"/>
  <c r="Q11" i="9"/>
  <c r="Q9" i="9"/>
  <c r="Q31" i="9"/>
  <c r="Q30" i="9"/>
  <c r="Q7" i="9"/>
  <c r="Q109" i="9"/>
  <c r="Q14" i="9"/>
  <c r="Q13" i="9"/>
  <c r="Q99" i="9"/>
  <c r="Q98" i="9"/>
  <c r="Q97" i="9"/>
  <c r="Q105" i="9"/>
  <c r="Q104" i="9"/>
  <c r="Q88" i="9"/>
  <c r="Q87" i="9"/>
  <c r="Q95" i="9"/>
  <c r="Q94" i="9"/>
  <c r="Q111" i="9"/>
  <c r="Q110" i="9"/>
  <c r="S113" i="9"/>
  <c r="S114" i="9"/>
  <c r="S115" i="9"/>
  <c r="S116" i="9"/>
  <c r="S117" i="9"/>
  <c r="S118" i="9"/>
  <c r="S119" i="9"/>
  <c r="S120" i="9"/>
  <c r="S121" i="9"/>
  <c r="S122" i="9"/>
  <c r="S123" i="9"/>
  <c r="S124" i="9"/>
  <c r="S125" i="9"/>
  <c r="S126" i="9"/>
  <c r="S127" i="9"/>
  <c r="S129" i="9"/>
  <c r="S128" i="9"/>
  <c r="H124" i="1" l="1"/>
  <c r="J124" i="1"/>
  <c r="H3" i="1"/>
  <c r="J3" i="1"/>
  <c r="H103" i="1" l="1"/>
  <c r="J103" i="1"/>
  <c r="H5" i="1" l="1"/>
  <c r="J5" i="1"/>
  <c r="H21" i="1"/>
  <c r="J21" i="1"/>
  <c r="H71" i="1"/>
  <c r="J71" i="1"/>
  <c r="H14" i="1"/>
  <c r="J14" i="1"/>
  <c r="H23" i="1"/>
  <c r="J23" i="1"/>
  <c r="H38" i="1"/>
  <c r="J38" i="1"/>
  <c r="H22" i="1"/>
  <c r="J22" i="1"/>
  <c r="H54" i="1"/>
  <c r="J54" i="1"/>
  <c r="H12" i="1"/>
  <c r="J12" i="1"/>
  <c r="H6" i="1" l="1"/>
  <c r="H70" i="1"/>
  <c r="H49" i="1"/>
  <c r="H161" i="1"/>
  <c r="H160" i="1"/>
  <c r="H4" i="1"/>
  <c r="H102" i="1"/>
  <c r="H42" i="1"/>
  <c r="H8" i="1"/>
  <c r="H11" i="1"/>
  <c r="V158" i="9"/>
  <c r="U158" i="9"/>
  <c r="T158" i="9"/>
  <c r="S158" i="9"/>
  <c r="P158" i="9"/>
  <c r="V157" i="9"/>
  <c r="U157" i="9"/>
  <c r="T157" i="9"/>
  <c r="S157" i="9"/>
  <c r="P157" i="9"/>
  <c r="P156" i="9"/>
  <c r="P155" i="9"/>
  <c r="P154" i="9"/>
  <c r="P153" i="9"/>
  <c r="P152" i="9"/>
  <c r="P151" i="9"/>
  <c r="P150" i="9"/>
  <c r="P149" i="9"/>
  <c r="P148" i="9"/>
  <c r="P147" i="9"/>
  <c r="P146" i="9"/>
  <c r="P145" i="9"/>
  <c r="P144" i="9"/>
  <c r="P143" i="9"/>
  <c r="P142" i="9"/>
  <c r="P141" i="9"/>
  <c r="P140" i="9"/>
  <c r="P139" i="9"/>
  <c r="P138" i="9"/>
  <c r="P137" i="9"/>
  <c r="P136" i="9"/>
  <c r="P135" i="9"/>
  <c r="P134" i="9"/>
  <c r="P133" i="9"/>
  <c r="P132" i="9"/>
  <c r="R78" i="9"/>
  <c r="M160" i="1" l="1"/>
  <c r="M161" i="1"/>
  <c r="M116" i="9"/>
  <c r="L116" i="9"/>
  <c r="K116" i="9"/>
  <c r="M117" i="9"/>
  <c r="L117" i="9"/>
  <c r="K117" i="9"/>
  <c r="M118" i="9"/>
  <c r="L118" i="9"/>
  <c r="K118" i="9"/>
  <c r="Q113" i="9"/>
  <c r="R113" i="9"/>
  <c r="M119" i="9"/>
  <c r="V113" i="9" s="1"/>
  <c r="L119" i="9"/>
  <c r="K119" i="9"/>
  <c r="T113" i="9" s="1"/>
  <c r="Q114" i="9"/>
  <c r="R114" i="9"/>
  <c r="M120" i="9"/>
  <c r="L120" i="9"/>
  <c r="K120" i="9"/>
  <c r="Q115" i="9"/>
  <c r="R115" i="9"/>
  <c r="M121" i="9"/>
  <c r="L121" i="9"/>
  <c r="K121" i="9"/>
  <c r="Q116" i="9"/>
  <c r="R116" i="9"/>
  <c r="M122" i="9"/>
  <c r="L122" i="9"/>
  <c r="K122" i="9"/>
  <c r="Q117" i="9"/>
  <c r="R117" i="9"/>
  <c r="M123" i="9"/>
  <c r="L123" i="9"/>
  <c r="K123" i="9"/>
  <c r="Q118" i="9"/>
  <c r="R118" i="9"/>
  <c r="M124" i="9"/>
  <c r="L124" i="9"/>
  <c r="K124" i="9"/>
  <c r="Q119" i="9"/>
  <c r="R119" i="9"/>
  <c r="M125" i="9"/>
  <c r="L125" i="9"/>
  <c r="K125" i="9"/>
  <c r="Q120" i="9"/>
  <c r="R120" i="9"/>
  <c r="M126" i="9"/>
  <c r="L126" i="9"/>
  <c r="K126" i="9"/>
  <c r="Q121" i="9"/>
  <c r="R121" i="9"/>
  <c r="M127" i="9"/>
  <c r="L127" i="9"/>
  <c r="K127" i="9"/>
  <c r="Q122" i="9"/>
  <c r="R122" i="9"/>
  <c r="M128" i="9"/>
  <c r="L128" i="9"/>
  <c r="K128" i="9"/>
  <c r="Q123" i="9"/>
  <c r="R123" i="9"/>
  <c r="M129" i="9"/>
  <c r="L129" i="9"/>
  <c r="K129" i="9"/>
  <c r="Q124" i="9"/>
  <c r="R124" i="9"/>
  <c r="M130" i="9"/>
  <c r="L130" i="9"/>
  <c r="K130" i="9"/>
  <c r="Q125" i="9"/>
  <c r="R125" i="9"/>
  <c r="M131" i="9"/>
  <c r="L131" i="9"/>
  <c r="K131" i="9"/>
  <c r="Q126" i="9"/>
  <c r="R126" i="9"/>
  <c r="M132" i="9"/>
  <c r="L132" i="9"/>
  <c r="K132" i="9"/>
  <c r="Q127" i="9"/>
  <c r="R127" i="9"/>
  <c r="M133" i="9"/>
  <c r="L133" i="9"/>
  <c r="K133" i="9"/>
  <c r="R89" i="9"/>
  <c r="Q89" i="9"/>
  <c r="R82" i="9"/>
  <c r="Q82" i="9"/>
  <c r="R108" i="9"/>
  <c r="Q108" i="9"/>
  <c r="R100" i="9"/>
  <c r="Q100" i="9"/>
  <c r="R96" i="9"/>
  <c r="Q96" i="9"/>
  <c r="R69" i="9"/>
  <c r="R67" i="9"/>
  <c r="R65" i="9"/>
  <c r="R63" i="9"/>
  <c r="R62" i="9"/>
  <c r="R107" i="9"/>
  <c r="R106" i="9"/>
  <c r="R102" i="9"/>
  <c r="R81" i="9"/>
  <c r="R80" i="9"/>
  <c r="R77" i="9"/>
  <c r="R74" i="9"/>
  <c r="R59" i="9"/>
  <c r="R58" i="9"/>
  <c r="R57" i="9"/>
  <c r="R56" i="9"/>
  <c r="R55" i="9"/>
  <c r="R53" i="9"/>
  <c r="R52" i="9"/>
  <c r="R49" i="9"/>
  <c r="R48" i="9"/>
  <c r="R47" i="9"/>
  <c r="R44" i="9"/>
  <c r="R43" i="9"/>
  <c r="R42" i="9"/>
  <c r="R39" i="9"/>
  <c r="R38" i="9"/>
  <c r="R158" i="9"/>
  <c r="Q158" i="9"/>
  <c r="R157" i="9"/>
  <c r="Q157" i="9"/>
  <c r="R156" i="9"/>
  <c r="Q156" i="9"/>
  <c r="R155" i="9"/>
  <c r="Q155" i="9"/>
  <c r="R154" i="9"/>
  <c r="Q154" i="9"/>
  <c r="R153" i="9"/>
  <c r="Q153" i="9"/>
  <c r="R152" i="9"/>
  <c r="Q152" i="9"/>
  <c r="R151" i="9"/>
  <c r="Q151" i="9"/>
  <c r="R150" i="9"/>
  <c r="Q150" i="9"/>
  <c r="R149" i="9"/>
  <c r="Q149" i="9"/>
  <c r="R148" i="9"/>
  <c r="Q148" i="9"/>
  <c r="R147" i="9"/>
  <c r="Q147" i="9"/>
  <c r="R146" i="9"/>
  <c r="Q146" i="9"/>
  <c r="R145" i="9"/>
  <c r="Q145" i="9"/>
  <c r="R144" i="9"/>
  <c r="Q144" i="9"/>
  <c r="R143" i="9"/>
  <c r="Q143" i="9"/>
  <c r="R142" i="9"/>
  <c r="Q142" i="9"/>
  <c r="R141" i="9"/>
  <c r="Q141" i="9"/>
  <c r="R140" i="9"/>
  <c r="Q140" i="9"/>
  <c r="R139" i="9"/>
  <c r="Q139" i="9"/>
  <c r="R138" i="9"/>
  <c r="Q138" i="9"/>
  <c r="R137" i="9"/>
  <c r="Q137" i="9"/>
  <c r="R136" i="9"/>
  <c r="Q136" i="9"/>
  <c r="R135" i="9"/>
  <c r="Q135" i="9"/>
  <c r="R134" i="9"/>
  <c r="Q134" i="9"/>
  <c r="R133" i="9"/>
  <c r="Q133" i="9"/>
  <c r="R132" i="9"/>
  <c r="Q132" i="9"/>
  <c r="R66" i="9"/>
  <c r="R72" i="9"/>
  <c r="R71" i="9"/>
  <c r="R79" i="9"/>
  <c r="R40" i="9"/>
  <c r="R90" i="9"/>
  <c r="R54" i="9"/>
  <c r="R130" i="9"/>
  <c r="R70" i="9"/>
  <c r="R73" i="9"/>
  <c r="R68" i="9"/>
  <c r="R64" i="9"/>
  <c r="R101" i="9"/>
  <c r="R8" i="9"/>
  <c r="R37" i="9"/>
  <c r="R60" i="9"/>
  <c r="R41" i="9"/>
  <c r="R50" i="9"/>
  <c r="R46" i="9"/>
  <c r="R45" i="9"/>
  <c r="R51" i="9"/>
  <c r="J7" i="9"/>
  <c r="S112" i="9" s="1"/>
  <c r="K7" i="9"/>
  <c r="L7" i="9"/>
  <c r="M7" i="9"/>
  <c r="J8" i="9"/>
  <c r="K8" i="9"/>
  <c r="L8" i="9"/>
  <c r="M8" i="9"/>
  <c r="J9" i="9"/>
  <c r="K9" i="9"/>
  <c r="L9" i="9"/>
  <c r="M9" i="9"/>
  <c r="J10" i="9"/>
  <c r="K10" i="9"/>
  <c r="L10" i="9"/>
  <c r="M10" i="9"/>
  <c r="J11" i="9"/>
  <c r="K11" i="9"/>
  <c r="L11" i="9"/>
  <c r="M11" i="9"/>
  <c r="J12" i="9"/>
  <c r="K12" i="9"/>
  <c r="L12" i="9"/>
  <c r="M12" i="9"/>
  <c r="J13" i="9"/>
  <c r="K13" i="9"/>
  <c r="L13" i="9"/>
  <c r="M13" i="9"/>
  <c r="J14" i="9"/>
  <c r="K14" i="9"/>
  <c r="L14" i="9"/>
  <c r="M14" i="9"/>
  <c r="J15" i="9"/>
  <c r="K15" i="9"/>
  <c r="L15" i="9"/>
  <c r="M15" i="9"/>
  <c r="J16" i="9"/>
  <c r="K16" i="9"/>
  <c r="L16" i="9"/>
  <c r="M16" i="9"/>
  <c r="J17" i="9"/>
  <c r="K17" i="9"/>
  <c r="L17" i="9"/>
  <c r="M17" i="9"/>
  <c r="J18" i="9"/>
  <c r="K18" i="9"/>
  <c r="L18" i="9"/>
  <c r="M18" i="9"/>
  <c r="J19" i="9"/>
  <c r="K19" i="9"/>
  <c r="L19" i="9"/>
  <c r="M19" i="9"/>
  <c r="J20" i="9"/>
  <c r="K20" i="9"/>
  <c r="L20" i="9"/>
  <c r="M20" i="9"/>
  <c r="J21" i="9"/>
  <c r="K21" i="9"/>
  <c r="L21" i="9"/>
  <c r="M21" i="9"/>
  <c r="J22" i="9"/>
  <c r="K22" i="9"/>
  <c r="L22" i="9"/>
  <c r="M22" i="9"/>
  <c r="J23" i="9"/>
  <c r="K23" i="9"/>
  <c r="L23" i="9"/>
  <c r="M23" i="9"/>
  <c r="J24" i="9"/>
  <c r="K24" i="9"/>
  <c r="L24" i="9"/>
  <c r="M24" i="9"/>
  <c r="J25" i="9"/>
  <c r="K25" i="9"/>
  <c r="L25" i="9"/>
  <c r="M25" i="9"/>
  <c r="J26" i="9"/>
  <c r="K26" i="9"/>
  <c r="L26" i="9"/>
  <c r="M26" i="9"/>
  <c r="J27" i="9"/>
  <c r="K27" i="9"/>
  <c r="L27" i="9"/>
  <c r="M27" i="9"/>
  <c r="J28" i="9"/>
  <c r="K28" i="9"/>
  <c r="L28" i="9"/>
  <c r="M28" i="9"/>
  <c r="K29" i="9"/>
  <c r="L29" i="9"/>
  <c r="M29" i="9"/>
  <c r="J30" i="9"/>
  <c r="K30" i="9"/>
  <c r="L30" i="9"/>
  <c r="M30" i="9"/>
  <c r="J31" i="9"/>
  <c r="K31" i="9"/>
  <c r="L31" i="9"/>
  <c r="M31" i="9"/>
  <c r="J32" i="9"/>
  <c r="K32" i="9"/>
  <c r="L32" i="9"/>
  <c r="M32" i="9"/>
  <c r="J33" i="9"/>
  <c r="K33" i="9"/>
  <c r="L33" i="9"/>
  <c r="M33" i="9"/>
  <c r="J34" i="9"/>
  <c r="K34" i="9"/>
  <c r="L34" i="9"/>
  <c r="M34" i="9"/>
  <c r="J35" i="9"/>
  <c r="K35" i="9"/>
  <c r="L35" i="9"/>
  <c r="M35" i="9"/>
  <c r="J36" i="9"/>
  <c r="K36" i="9"/>
  <c r="L36" i="9"/>
  <c r="M36" i="9"/>
  <c r="J37" i="9"/>
  <c r="K37" i="9"/>
  <c r="L37" i="9"/>
  <c r="M37" i="9"/>
  <c r="J38" i="9"/>
  <c r="K38" i="9"/>
  <c r="L38" i="9"/>
  <c r="M38" i="9"/>
  <c r="J39" i="9"/>
  <c r="K39" i="9"/>
  <c r="L39" i="9"/>
  <c r="M39" i="9"/>
  <c r="J40" i="9"/>
  <c r="K40" i="9"/>
  <c r="L40" i="9"/>
  <c r="M40" i="9"/>
  <c r="J41" i="9"/>
  <c r="K41" i="9"/>
  <c r="L41" i="9"/>
  <c r="M41" i="9"/>
  <c r="J42" i="9"/>
  <c r="K42" i="9"/>
  <c r="L42" i="9"/>
  <c r="M42" i="9"/>
  <c r="J43" i="9"/>
  <c r="K43" i="9"/>
  <c r="L43" i="9"/>
  <c r="M43" i="9"/>
  <c r="J44" i="9"/>
  <c r="K44" i="9"/>
  <c r="L44" i="9"/>
  <c r="M44" i="9"/>
  <c r="J45" i="9"/>
  <c r="K45" i="9"/>
  <c r="L45" i="9"/>
  <c r="M45" i="9"/>
  <c r="J46" i="9"/>
  <c r="K46" i="9"/>
  <c r="L46" i="9"/>
  <c r="M46" i="9"/>
  <c r="J47" i="9"/>
  <c r="K47" i="9"/>
  <c r="L47" i="9"/>
  <c r="M47" i="9"/>
  <c r="J48" i="9"/>
  <c r="K48" i="9"/>
  <c r="L48" i="9"/>
  <c r="M48" i="9"/>
  <c r="J49" i="9"/>
  <c r="K49" i="9"/>
  <c r="L49" i="9"/>
  <c r="M49" i="9"/>
  <c r="J50" i="9"/>
  <c r="K50" i="9"/>
  <c r="L50" i="9"/>
  <c r="M50" i="9"/>
  <c r="J51" i="9"/>
  <c r="K51" i="9"/>
  <c r="L51" i="9"/>
  <c r="M51" i="9"/>
  <c r="J52" i="9"/>
  <c r="K52" i="9"/>
  <c r="L52" i="9"/>
  <c r="M52" i="9"/>
  <c r="J53" i="9"/>
  <c r="K53" i="9"/>
  <c r="L53" i="9"/>
  <c r="M53" i="9"/>
  <c r="J54" i="9"/>
  <c r="K54" i="9"/>
  <c r="L54" i="9"/>
  <c r="M54" i="9"/>
  <c r="J55" i="9"/>
  <c r="K55" i="9"/>
  <c r="L55" i="9"/>
  <c r="M55" i="9"/>
  <c r="J56" i="9"/>
  <c r="K56" i="9"/>
  <c r="L56" i="9"/>
  <c r="M56" i="9"/>
  <c r="J57" i="9"/>
  <c r="K57" i="9"/>
  <c r="L57" i="9"/>
  <c r="M57" i="9"/>
  <c r="J58" i="9"/>
  <c r="K58" i="9"/>
  <c r="L58" i="9"/>
  <c r="M58" i="9"/>
  <c r="J59" i="9"/>
  <c r="K59" i="9"/>
  <c r="L59" i="9"/>
  <c r="M59" i="9"/>
  <c r="J60" i="9"/>
  <c r="K60" i="9"/>
  <c r="L60" i="9"/>
  <c r="M60" i="9"/>
  <c r="J61" i="9"/>
  <c r="K61" i="9"/>
  <c r="L61" i="9"/>
  <c r="M61" i="9"/>
  <c r="J62" i="9"/>
  <c r="K62" i="9"/>
  <c r="L62" i="9"/>
  <c r="M62" i="9"/>
  <c r="J63" i="9"/>
  <c r="K63" i="9"/>
  <c r="L63" i="9"/>
  <c r="M63" i="9"/>
  <c r="J64" i="9"/>
  <c r="K64" i="9"/>
  <c r="L64" i="9"/>
  <c r="M64" i="9"/>
  <c r="J65" i="9"/>
  <c r="K65" i="9"/>
  <c r="L65" i="9"/>
  <c r="M65" i="9"/>
  <c r="J66" i="9"/>
  <c r="K66" i="9"/>
  <c r="L66" i="9"/>
  <c r="M66" i="9"/>
  <c r="J67" i="9"/>
  <c r="K67" i="9"/>
  <c r="L67" i="9"/>
  <c r="M67" i="9"/>
  <c r="J68" i="9"/>
  <c r="K68" i="9"/>
  <c r="L68" i="9"/>
  <c r="M68" i="9"/>
  <c r="J69" i="9"/>
  <c r="K69" i="9"/>
  <c r="L69" i="9"/>
  <c r="M69" i="9"/>
  <c r="J70" i="9"/>
  <c r="K70" i="9"/>
  <c r="L70" i="9"/>
  <c r="M70" i="9"/>
  <c r="J71" i="9"/>
  <c r="K71" i="9"/>
  <c r="L71" i="9"/>
  <c r="M71" i="9"/>
  <c r="J72" i="9"/>
  <c r="K72" i="9"/>
  <c r="L72" i="9"/>
  <c r="M72" i="9"/>
  <c r="J73" i="9"/>
  <c r="K73" i="9"/>
  <c r="L73" i="9"/>
  <c r="M73" i="9"/>
  <c r="J74" i="9"/>
  <c r="K74" i="9"/>
  <c r="L74" i="9"/>
  <c r="M74" i="9"/>
  <c r="J75" i="9"/>
  <c r="S30" i="9" s="1"/>
  <c r="K75" i="9"/>
  <c r="T30" i="9" s="1"/>
  <c r="L75" i="9"/>
  <c r="U30" i="9" s="1"/>
  <c r="M75" i="9"/>
  <c r="V30" i="9" s="1"/>
  <c r="J76" i="9"/>
  <c r="K76" i="9"/>
  <c r="L76" i="9"/>
  <c r="M76" i="9"/>
  <c r="J77" i="9"/>
  <c r="K77" i="9"/>
  <c r="L77" i="9"/>
  <c r="M77" i="9"/>
  <c r="J78" i="9"/>
  <c r="K78" i="9"/>
  <c r="L78" i="9"/>
  <c r="M78" i="9"/>
  <c r="J79" i="9"/>
  <c r="K79" i="9"/>
  <c r="L79" i="9"/>
  <c r="M79" i="9"/>
  <c r="J80" i="9"/>
  <c r="K80" i="9"/>
  <c r="L80" i="9"/>
  <c r="M80" i="9"/>
  <c r="J81" i="9"/>
  <c r="K81" i="9"/>
  <c r="L81" i="9"/>
  <c r="M81" i="9"/>
  <c r="J82" i="9"/>
  <c r="K82" i="9"/>
  <c r="L82" i="9"/>
  <c r="M82" i="9"/>
  <c r="J83" i="9"/>
  <c r="K83" i="9"/>
  <c r="L83" i="9"/>
  <c r="M83" i="9"/>
  <c r="J84" i="9"/>
  <c r="S32" i="9" s="1"/>
  <c r="K84" i="9"/>
  <c r="T32" i="9" s="1"/>
  <c r="L84" i="9"/>
  <c r="U32" i="9" s="1"/>
  <c r="M84" i="9"/>
  <c r="V32" i="9" s="1"/>
  <c r="J85" i="9"/>
  <c r="S33" i="9" s="1"/>
  <c r="K85" i="9"/>
  <c r="T33" i="9" s="1"/>
  <c r="L85" i="9"/>
  <c r="U33" i="9" s="1"/>
  <c r="M85" i="9"/>
  <c r="V33" i="9" s="1"/>
  <c r="J86" i="9"/>
  <c r="S34" i="9" s="1"/>
  <c r="K86" i="9"/>
  <c r="T34" i="9" s="1"/>
  <c r="L86" i="9"/>
  <c r="U34" i="9" s="1"/>
  <c r="M86" i="9"/>
  <c r="V34" i="9" s="1"/>
  <c r="J87" i="9"/>
  <c r="K87" i="9"/>
  <c r="L87" i="9"/>
  <c r="M87" i="9"/>
  <c r="J88" i="9"/>
  <c r="K88" i="9"/>
  <c r="L88" i="9"/>
  <c r="M88" i="9"/>
  <c r="J89" i="9"/>
  <c r="K89" i="9"/>
  <c r="L89" i="9"/>
  <c r="M89" i="9"/>
  <c r="J90" i="9"/>
  <c r="K90" i="9"/>
  <c r="L90" i="9"/>
  <c r="M90" i="9"/>
  <c r="J91" i="9"/>
  <c r="K91" i="9"/>
  <c r="L91" i="9"/>
  <c r="M91" i="9"/>
  <c r="J92" i="9"/>
  <c r="K92" i="9"/>
  <c r="L92" i="9"/>
  <c r="M92" i="9"/>
  <c r="J93" i="9"/>
  <c r="K93" i="9"/>
  <c r="L93" i="9"/>
  <c r="M93" i="9"/>
  <c r="J94" i="9"/>
  <c r="K94" i="9"/>
  <c r="L94" i="9"/>
  <c r="M94" i="9"/>
  <c r="J95" i="9"/>
  <c r="S35" i="9" s="1"/>
  <c r="K95" i="9"/>
  <c r="T35" i="9" s="1"/>
  <c r="L95" i="9"/>
  <c r="U35" i="9" s="1"/>
  <c r="M95" i="9"/>
  <c r="V35" i="9" s="1"/>
  <c r="J96" i="9"/>
  <c r="S36" i="9" s="1"/>
  <c r="K96" i="9"/>
  <c r="T36" i="9" s="1"/>
  <c r="L96" i="9"/>
  <c r="U36" i="9" s="1"/>
  <c r="M96" i="9"/>
  <c r="V36" i="9" s="1"/>
  <c r="J97" i="9"/>
  <c r="K97" i="9"/>
  <c r="L97" i="9"/>
  <c r="M97" i="9"/>
  <c r="J98" i="9"/>
  <c r="K98" i="9"/>
  <c r="L98" i="9"/>
  <c r="M98" i="9"/>
  <c r="J99" i="9"/>
  <c r="K99" i="9"/>
  <c r="L99" i="9"/>
  <c r="M99" i="9"/>
  <c r="J100" i="9"/>
  <c r="K100" i="9"/>
  <c r="L100" i="9"/>
  <c r="M100" i="9"/>
  <c r="J101" i="9"/>
  <c r="K101" i="9"/>
  <c r="L101" i="9"/>
  <c r="U29" i="9" s="1"/>
  <c r="M101" i="9"/>
  <c r="V29" i="9" s="1"/>
  <c r="J102" i="9"/>
  <c r="K102" i="9"/>
  <c r="L102" i="9"/>
  <c r="M102" i="9"/>
  <c r="J103" i="9"/>
  <c r="K103" i="9"/>
  <c r="L103" i="9"/>
  <c r="M103" i="9"/>
  <c r="J104" i="9"/>
  <c r="S85" i="9" s="1"/>
  <c r="K104" i="9"/>
  <c r="T85" i="9" s="1"/>
  <c r="L104" i="9"/>
  <c r="U85" i="9" s="1"/>
  <c r="M104" i="9"/>
  <c r="V85" i="9" s="1"/>
  <c r="J105" i="9"/>
  <c r="S86" i="9" s="1"/>
  <c r="K105" i="9"/>
  <c r="T86" i="9" s="1"/>
  <c r="L105" i="9"/>
  <c r="U86" i="9" s="1"/>
  <c r="M105" i="9"/>
  <c r="V86" i="9" s="1"/>
  <c r="J106" i="9"/>
  <c r="S83" i="9" s="1"/>
  <c r="K106" i="9"/>
  <c r="T83" i="9" s="1"/>
  <c r="L106" i="9"/>
  <c r="U83" i="9" s="1"/>
  <c r="M106" i="9"/>
  <c r="V83" i="9" s="1"/>
  <c r="J107" i="9"/>
  <c r="S84" i="9" s="1"/>
  <c r="K107" i="9"/>
  <c r="T84" i="9" s="1"/>
  <c r="L107" i="9"/>
  <c r="U84" i="9" s="1"/>
  <c r="M107" i="9"/>
  <c r="V84" i="9" s="1"/>
  <c r="J108" i="9"/>
  <c r="S92" i="9" s="1"/>
  <c r="K108" i="9"/>
  <c r="T92" i="9" s="1"/>
  <c r="L108" i="9"/>
  <c r="U92" i="9" s="1"/>
  <c r="M108" i="9"/>
  <c r="V92" i="9" s="1"/>
  <c r="J109" i="9"/>
  <c r="S93" i="9" s="1"/>
  <c r="K109" i="9"/>
  <c r="T93" i="9" s="1"/>
  <c r="L109" i="9"/>
  <c r="U93" i="9" s="1"/>
  <c r="M109" i="9"/>
  <c r="V93" i="9" s="1"/>
  <c r="J110" i="9"/>
  <c r="K110" i="9"/>
  <c r="L110" i="9"/>
  <c r="M110" i="9"/>
  <c r="J111" i="9"/>
  <c r="K111" i="9"/>
  <c r="L111" i="9"/>
  <c r="M111" i="9"/>
  <c r="S108" i="9"/>
  <c r="K112" i="9"/>
  <c r="L112" i="9"/>
  <c r="M112" i="9"/>
  <c r="K113" i="9"/>
  <c r="L113" i="9"/>
  <c r="M113" i="9"/>
  <c r="L114" i="9"/>
  <c r="M114" i="9"/>
  <c r="K115" i="9"/>
  <c r="L115" i="9"/>
  <c r="M115" i="9"/>
  <c r="S132" i="9"/>
  <c r="T132" i="9"/>
  <c r="U132" i="9"/>
  <c r="V132" i="9"/>
  <c r="S133" i="9"/>
  <c r="T133" i="9"/>
  <c r="U133" i="9"/>
  <c r="V133" i="9"/>
  <c r="S134" i="9"/>
  <c r="T134" i="9"/>
  <c r="U134" i="9"/>
  <c r="V134" i="9"/>
  <c r="S135" i="9"/>
  <c r="T135" i="9"/>
  <c r="U135" i="9"/>
  <c r="V135" i="9"/>
  <c r="S136" i="9"/>
  <c r="T136" i="9"/>
  <c r="U136" i="9"/>
  <c r="V136" i="9"/>
  <c r="S137" i="9"/>
  <c r="T137" i="9"/>
  <c r="U137" i="9"/>
  <c r="V137" i="9"/>
  <c r="S138" i="9"/>
  <c r="T138" i="9"/>
  <c r="U138" i="9"/>
  <c r="V138" i="9"/>
  <c r="S139" i="9"/>
  <c r="T139" i="9"/>
  <c r="U139" i="9"/>
  <c r="V139" i="9"/>
  <c r="S140" i="9"/>
  <c r="T140" i="9"/>
  <c r="U140" i="9"/>
  <c r="V140" i="9"/>
  <c r="S141" i="9"/>
  <c r="T141" i="9"/>
  <c r="U141" i="9"/>
  <c r="V141" i="9"/>
  <c r="S142" i="9"/>
  <c r="T142" i="9"/>
  <c r="U142" i="9"/>
  <c r="V142" i="9"/>
  <c r="S143" i="9"/>
  <c r="T143" i="9"/>
  <c r="U143" i="9"/>
  <c r="V143" i="9"/>
  <c r="S144" i="9"/>
  <c r="T144" i="9"/>
  <c r="U144" i="9"/>
  <c r="V144" i="9"/>
  <c r="S145" i="9"/>
  <c r="T145" i="9"/>
  <c r="U145" i="9"/>
  <c r="V145" i="9"/>
  <c r="S146" i="9"/>
  <c r="T146" i="9"/>
  <c r="U146" i="9"/>
  <c r="V146" i="9"/>
  <c r="S147" i="9"/>
  <c r="T147" i="9"/>
  <c r="U147" i="9"/>
  <c r="V147" i="9"/>
  <c r="S148" i="9"/>
  <c r="T148" i="9"/>
  <c r="U148" i="9"/>
  <c r="V148" i="9"/>
  <c r="S149" i="9"/>
  <c r="T149" i="9"/>
  <c r="U149" i="9"/>
  <c r="V149" i="9"/>
  <c r="S150" i="9"/>
  <c r="T150" i="9"/>
  <c r="U150" i="9"/>
  <c r="V150" i="9"/>
  <c r="S151" i="9"/>
  <c r="T151" i="9"/>
  <c r="U151" i="9"/>
  <c r="V151" i="9"/>
  <c r="S152" i="9"/>
  <c r="T152" i="9"/>
  <c r="U152" i="9"/>
  <c r="V152" i="9"/>
  <c r="S153" i="9"/>
  <c r="T153" i="9"/>
  <c r="U153" i="9"/>
  <c r="V153" i="9"/>
  <c r="S154" i="9"/>
  <c r="T154" i="9"/>
  <c r="U154" i="9"/>
  <c r="V154" i="9"/>
  <c r="S155" i="9"/>
  <c r="T155" i="9"/>
  <c r="U155" i="9"/>
  <c r="V155" i="9"/>
  <c r="S156" i="9"/>
  <c r="T156" i="9"/>
  <c r="U156" i="9"/>
  <c r="V156" i="9"/>
  <c r="V23" i="9" l="1"/>
  <c r="V26" i="9"/>
  <c r="V7" i="9"/>
  <c r="V13" i="9"/>
  <c r="V28" i="9"/>
  <c r="V25" i="9"/>
  <c r="T125" i="9"/>
  <c r="V123" i="9"/>
  <c r="U122" i="9"/>
  <c r="T121" i="9"/>
  <c r="V119" i="9"/>
  <c r="U118" i="9"/>
  <c r="T117" i="9"/>
  <c r="V24" i="9"/>
  <c r="V27" i="9"/>
  <c r="U125" i="9"/>
  <c r="T124" i="9"/>
  <c r="V122" i="9"/>
  <c r="U121" i="9"/>
  <c r="T120" i="9"/>
  <c r="V118" i="9"/>
  <c r="U117" i="9"/>
  <c r="U24" i="9"/>
  <c r="U23" i="9"/>
  <c r="U28" i="9"/>
  <c r="U27" i="9"/>
  <c r="U26" i="9"/>
  <c r="U25" i="9"/>
  <c r="U7" i="9"/>
  <c r="U13" i="9"/>
  <c r="T26" i="9"/>
  <c r="T28" i="9"/>
  <c r="T13" i="9"/>
  <c r="U113" i="9"/>
  <c r="S28" i="9"/>
  <c r="S27" i="9"/>
  <c r="S26" i="9"/>
  <c r="S25" i="9"/>
  <c r="S7" i="9"/>
  <c r="S13" i="9"/>
  <c r="V125" i="9"/>
  <c r="U124" i="9"/>
  <c r="T123" i="9"/>
  <c r="V121" i="9"/>
  <c r="U120" i="9"/>
  <c r="T119" i="9"/>
  <c r="V117" i="9"/>
  <c r="U116" i="9"/>
  <c r="T115" i="9"/>
  <c r="T27" i="9"/>
  <c r="T25" i="9"/>
  <c r="T7" i="9"/>
  <c r="V124" i="9"/>
  <c r="U123" i="9"/>
  <c r="T122" i="9"/>
  <c r="V120" i="9"/>
  <c r="U119" i="9"/>
  <c r="T118" i="9"/>
  <c r="V116" i="9"/>
  <c r="U115" i="9"/>
  <c r="T114" i="9"/>
  <c r="V16" i="9"/>
  <c r="U16" i="9"/>
  <c r="T16" i="9"/>
  <c r="S16" i="9"/>
  <c r="V11" i="9"/>
  <c r="U11" i="9"/>
  <c r="T11" i="9"/>
  <c r="S11" i="9"/>
  <c r="V95" i="9"/>
  <c r="U95" i="9"/>
  <c r="T95" i="9"/>
  <c r="S95" i="9"/>
  <c r="V94" i="9"/>
  <c r="U94" i="9"/>
  <c r="T94" i="9"/>
  <c r="S94" i="9"/>
  <c r="S111" i="9"/>
  <c r="V91" i="9"/>
  <c r="U91" i="9"/>
  <c r="T91" i="9"/>
  <c r="S91" i="9"/>
  <c r="V22" i="9"/>
  <c r="U22" i="9"/>
  <c r="T22" i="9"/>
  <c r="S22" i="9"/>
  <c r="V21" i="9"/>
  <c r="U21" i="9"/>
  <c r="T21" i="9"/>
  <c r="S21" i="9"/>
  <c r="V20" i="9"/>
  <c r="U20" i="9"/>
  <c r="T20" i="9"/>
  <c r="S20" i="9"/>
  <c r="V87" i="9"/>
  <c r="U87" i="9"/>
  <c r="T87" i="9"/>
  <c r="S87" i="9"/>
  <c r="V111" i="9"/>
  <c r="U111" i="9"/>
  <c r="T111" i="9"/>
  <c r="V110" i="9"/>
  <c r="U110" i="9"/>
  <c r="T110" i="9"/>
  <c r="S110" i="9"/>
  <c r="V109" i="9"/>
  <c r="U109" i="9"/>
  <c r="T109" i="9"/>
  <c r="S109" i="9"/>
  <c r="T82" i="9"/>
  <c r="S82" i="9"/>
  <c r="V115" i="9"/>
  <c r="U114" i="9"/>
  <c r="T116" i="9"/>
  <c r="V114" i="9"/>
  <c r="U82" i="9"/>
  <c r="V82" i="9"/>
  <c r="V108" i="9"/>
  <c r="V112" i="9"/>
  <c r="U108" i="9"/>
  <c r="U112" i="9"/>
  <c r="T108" i="9"/>
  <c r="T112" i="9"/>
  <c r="V100" i="9"/>
  <c r="V75" i="9"/>
  <c r="U100" i="9"/>
  <c r="U75" i="9"/>
  <c r="T100" i="9"/>
  <c r="T75" i="9"/>
  <c r="S100" i="9"/>
  <c r="S75" i="9"/>
  <c r="V96" i="9"/>
  <c r="V76" i="9"/>
  <c r="U96" i="9"/>
  <c r="U76" i="9"/>
  <c r="T96" i="9"/>
  <c r="T76" i="9"/>
  <c r="S96" i="9"/>
  <c r="S76" i="9"/>
  <c r="T66" i="9"/>
  <c r="T24" i="9"/>
  <c r="S66" i="9"/>
  <c r="S24" i="9"/>
  <c r="T72" i="9"/>
  <c r="T23" i="9"/>
  <c r="S72" i="9"/>
  <c r="S23" i="9"/>
  <c r="T71" i="9"/>
  <c r="T29" i="9"/>
  <c r="S71" i="9"/>
  <c r="S29" i="9"/>
  <c r="V79" i="9"/>
  <c r="V103" i="9"/>
  <c r="U79" i="9"/>
  <c r="U103" i="9"/>
  <c r="T79" i="9"/>
  <c r="T103" i="9"/>
  <c r="S79" i="9"/>
  <c r="S103" i="9"/>
  <c r="V40" i="9"/>
  <c r="V19" i="9"/>
  <c r="U40" i="9"/>
  <c r="U19" i="9"/>
  <c r="T40" i="9"/>
  <c r="T19" i="9"/>
  <c r="S40" i="9"/>
  <c r="S19" i="9"/>
  <c r="V90" i="9"/>
  <c r="V18" i="9"/>
  <c r="U90" i="9"/>
  <c r="U18" i="9"/>
  <c r="T90" i="9"/>
  <c r="T18" i="9"/>
  <c r="S90" i="9"/>
  <c r="S18" i="9"/>
  <c r="V54" i="9"/>
  <c r="V17" i="9"/>
  <c r="U54" i="9"/>
  <c r="U17" i="9"/>
  <c r="T54" i="9"/>
  <c r="T17" i="9"/>
  <c r="S54" i="9"/>
  <c r="S17" i="9"/>
  <c r="V70" i="9"/>
  <c r="V15" i="9"/>
  <c r="U70" i="9"/>
  <c r="U15" i="9"/>
  <c r="T70" i="9"/>
  <c r="T15" i="9"/>
  <c r="S70" i="9"/>
  <c r="S15" i="9"/>
  <c r="V73" i="9"/>
  <c r="V61" i="9"/>
  <c r="U73" i="9"/>
  <c r="U61" i="9"/>
  <c r="T73" i="9"/>
  <c r="T61" i="9"/>
  <c r="S73" i="9"/>
  <c r="S61" i="9"/>
  <c r="V68" i="9"/>
  <c r="V10" i="9"/>
  <c r="U68" i="9"/>
  <c r="U10" i="9"/>
  <c r="T68" i="9"/>
  <c r="T10" i="9"/>
  <c r="S68" i="9"/>
  <c r="S10" i="9"/>
  <c r="V64" i="9"/>
  <c r="V12" i="9"/>
  <c r="U64" i="9"/>
  <c r="U12" i="9"/>
  <c r="T64" i="9"/>
  <c r="T12" i="9"/>
  <c r="S64" i="9"/>
  <c r="S12" i="9"/>
  <c r="V101" i="9"/>
  <c r="V9" i="9"/>
  <c r="U101" i="9"/>
  <c r="U9" i="9"/>
  <c r="T101" i="9"/>
  <c r="T9" i="9"/>
  <c r="S101" i="9"/>
  <c r="S9" i="9"/>
  <c r="V8" i="9"/>
  <c r="V31" i="9"/>
  <c r="U8" i="9"/>
  <c r="U31" i="9"/>
  <c r="T8" i="9"/>
  <c r="T31" i="9"/>
  <c r="S8" i="9"/>
  <c r="S31" i="9"/>
  <c r="V37" i="9"/>
  <c r="V14" i="9"/>
  <c r="U37" i="9"/>
  <c r="U14" i="9"/>
  <c r="T37" i="9"/>
  <c r="T14" i="9"/>
  <c r="S37" i="9"/>
  <c r="S14" i="9"/>
  <c r="V60" i="9"/>
  <c r="V99" i="9"/>
  <c r="U60" i="9"/>
  <c r="U99" i="9"/>
  <c r="T60" i="9"/>
  <c r="T99" i="9"/>
  <c r="S60" i="9"/>
  <c r="S99" i="9"/>
  <c r="V41" i="9"/>
  <c r="V98" i="9"/>
  <c r="U41" i="9"/>
  <c r="U98" i="9"/>
  <c r="T41" i="9"/>
  <c r="T98" i="9"/>
  <c r="S41" i="9"/>
  <c r="S98" i="9"/>
  <c r="V50" i="9"/>
  <c r="V97" i="9"/>
  <c r="U50" i="9"/>
  <c r="U97" i="9"/>
  <c r="T50" i="9"/>
  <c r="T97" i="9"/>
  <c r="S50" i="9"/>
  <c r="S97" i="9"/>
  <c r="V46" i="9"/>
  <c r="V105" i="9"/>
  <c r="U46" i="9"/>
  <c r="U105" i="9"/>
  <c r="T46" i="9"/>
  <c r="T105" i="9"/>
  <c r="S46" i="9"/>
  <c r="S105" i="9"/>
  <c r="V45" i="9"/>
  <c r="V104" i="9"/>
  <c r="U45" i="9"/>
  <c r="U104" i="9"/>
  <c r="T45" i="9"/>
  <c r="T104" i="9"/>
  <c r="S45" i="9"/>
  <c r="S104" i="9"/>
  <c r="V51" i="9"/>
  <c r="V88" i="9"/>
  <c r="U51" i="9"/>
  <c r="U88" i="9"/>
  <c r="T51" i="9"/>
  <c r="T88" i="9"/>
  <c r="S51" i="9"/>
  <c r="S88" i="9"/>
  <c r="T127" i="9"/>
  <c r="T129" i="9"/>
  <c r="U127" i="9"/>
  <c r="U129" i="9"/>
  <c r="V127" i="9"/>
  <c r="V129" i="9"/>
  <c r="T126" i="9"/>
  <c r="T128" i="9"/>
  <c r="U126" i="9"/>
  <c r="U128" i="9"/>
  <c r="V126" i="9"/>
  <c r="V128" i="9"/>
  <c r="V89" i="9"/>
  <c r="V131" i="9"/>
  <c r="U89" i="9"/>
  <c r="U131" i="9"/>
  <c r="T89" i="9"/>
  <c r="T131" i="9"/>
  <c r="S89" i="9"/>
  <c r="V78" i="9"/>
  <c r="U78" i="9"/>
  <c r="T78" i="9"/>
  <c r="S78" i="9"/>
  <c r="V72" i="9"/>
  <c r="U72" i="9"/>
  <c r="V71" i="9"/>
  <c r="U71" i="9"/>
  <c r="V69" i="9"/>
  <c r="U69" i="9"/>
  <c r="T69" i="9"/>
  <c r="S69" i="9"/>
  <c r="V67" i="9"/>
  <c r="U67" i="9"/>
  <c r="T67" i="9"/>
  <c r="S67" i="9"/>
  <c r="V66" i="9"/>
  <c r="U66" i="9"/>
  <c r="V65" i="9"/>
  <c r="U65" i="9"/>
  <c r="T65" i="9"/>
  <c r="S65" i="9"/>
  <c r="V63" i="9"/>
  <c r="U63" i="9"/>
  <c r="T63" i="9"/>
  <c r="S63" i="9"/>
  <c r="V62" i="9"/>
  <c r="U62" i="9"/>
  <c r="T62" i="9"/>
  <c r="S62" i="9"/>
  <c r="V130" i="9"/>
  <c r="U130" i="9"/>
  <c r="T130" i="9"/>
  <c r="V107" i="9"/>
  <c r="U107" i="9"/>
  <c r="T107" i="9"/>
  <c r="S107" i="9"/>
  <c r="V106" i="9"/>
  <c r="U106" i="9"/>
  <c r="T106" i="9"/>
  <c r="S106" i="9"/>
  <c r="V102" i="9"/>
  <c r="U102" i="9"/>
  <c r="T102" i="9"/>
  <c r="S102" i="9"/>
  <c r="V81" i="9"/>
  <c r="U81" i="9"/>
  <c r="T81" i="9"/>
  <c r="S81" i="9"/>
  <c r="V80" i="9"/>
  <c r="U80" i="9"/>
  <c r="T80" i="9"/>
  <c r="S80" i="9"/>
  <c r="V77" i="9"/>
  <c r="U77" i="9"/>
  <c r="T77" i="9"/>
  <c r="S77" i="9"/>
  <c r="V74" i="9"/>
  <c r="U74" i="9"/>
  <c r="T74" i="9"/>
  <c r="S74" i="9"/>
  <c r="V59" i="9"/>
  <c r="U59" i="9"/>
  <c r="T59" i="9"/>
  <c r="S59" i="9"/>
  <c r="V58" i="9"/>
  <c r="U58" i="9"/>
  <c r="T58" i="9"/>
  <c r="S58" i="9"/>
  <c r="V57" i="9"/>
  <c r="U57" i="9"/>
  <c r="T57" i="9"/>
  <c r="S57" i="9"/>
  <c r="V56" i="9"/>
  <c r="U56" i="9"/>
  <c r="T56" i="9"/>
  <c r="S56" i="9"/>
  <c r="V55" i="9"/>
  <c r="U55" i="9"/>
  <c r="T55" i="9"/>
  <c r="S55" i="9"/>
  <c r="V53" i="9"/>
  <c r="U53" i="9"/>
  <c r="T53" i="9"/>
  <c r="S53" i="9"/>
  <c r="V52" i="9"/>
  <c r="U52" i="9"/>
  <c r="T52" i="9"/>
  <c r="S52" i="9"/>
  <c r="V49" i="9"/>
  <c r="U49" i="9"/>
  <c r="T49" i="9"/>
  <c r="S49" i="9"/>
  <c r="V48" i="9"/>
  <c r="U48" i="9"/>
  <c r="T48" i="9"/>
  <c r="S48" i="9"/>
  <c r="V47" i="9"/>
  <c r="U47" i="9"/>
  <c r="T47" i="9"/>
  <c r="S47" i="9"/>
  <c r="V44" i="9"/>
  <c r="U44" i="9"/>
  <c r="T44" i="9"/>
  <c r="S44" i="9"/>
  <c r="V43" i="9"/>
  <c r="U43" i="9"/>
  <c r="T43" i="9"/>
  <c r="S43" i="9"/>
  <c r="V42" i="9"/>
  <c r="U42" i="9"/>
  <c r="T42" i="9"/>
  <c r="S42" i="9"/>
  <c r="V39" i="9"/>
  <c r="U39" i="9"/>
  <c r="T39" i="9"/>
  <c r="S39" i="9"/>
  <c r="V38" i="9"/>
  <c r="U38" i="9"/>
  <c r="T38" i="9"/>
  <c r="S38" i="9"/>
  <c r="J42" i="1"/>
  <c r="J102" i="1"/>
  <c r="J49" i="1"/>
  <c r="J11" i="1"/>
  <c r="J70" i="1"/>
  <c r="J6" i="1"/>
  <c r="J8" i="1"/>
  <c r="J160" i="1"/>
  <c r="J9" i="12" l="1"/>
  <c r="H9" i="12" s="1"/>
  <c r="I9" i="12" s="1"/>
  <c r="J13" i="12"/>
  <c r="H13" i="12" s="1"/>
  <c r="I13" i="12" s="1"/>
  <c r="J17" i="12"/>
  <c r="H17" i="12" s="1"/>
  <c r="I17" i="12" s="1"/>
  <c r="J21" i="12"/>
  <c r="H21" i="12" s="1"/>
  <c r="I21" i="12" s="1"/>
  <c r="J25" i="12"/>
  <c r="H25" i="12" s="1"/>
  <c r="I25" i="12" s="1"/>
  <c r="J29" i="12"/>
  <c r="H29" i="12" s="1"/>
  <c r="I29" i="12" s="1"/>
  <c r="J33" i="12"/>
  <c r="H33" i="12" s="1"/>
  <c r="I33" i="12" s="1"/>
  <c r="J37" i="12"/>
  <c r="H37" i="12" s="1"/>
  <c r="I37" i="12" s="1"/>
  <c r="J41" i="12"/>
  <c r="H41" i="12" s="1"/>
  <c r="I41" i="12" s="1"/>
  <c r="J45" i="12"/>
  <c r="H45" i="12" s="1"/>
  <c r="I45" i="12" s="1"/>
  <c r="J49" i="12"/>
  <c r="H49" i="12" s="1"/>
  <c r="I49" i="12" s="1"/>
  <c r="J53" i="12"/>
  <c r="H53" i="12" s="1"/>
  <c r="I53" i="12" s="1"/>
  <c r="J57" i="12"/>
  <c r="H57" i="12" s="1"/>
  <c r="I57" i="12" s="1"/>
  <c r="J61" i="12"/>
  <c r="H61" i="12" s="1"/>
  <c r="I61" i="12" s="1"/>
  <c r="J65" i="12"/>
  <c r="H65" i="12" s="1"/>
  <c r="I65" i="12" s="1"/>
  <c r="J69" i="12"/>
  <c r="H69" i="12" s="1"/>
  <c r="I69" i="12" s="1"/>
  <c r="J73" i="12"/>
  <c r="H73" i="12" s="1"/>
  <c r="I73" i="12" s="1"/>
  <c r="J77" i="12"/>
  <c r="H77" i="12" s="1"/>
  <c r="I77" i="12" s="1"/>
  <c r="J81" i="12"/>
  <c r="H81" i="12" s="1"/>
  <c r="I81" i="12" s="1"/>
  <c r="J85" i="12"/>
  <c r="H85" i="12" s="1"/>
  <c r="I85" i="12" s="1"/>
  <c r="J3" i="12"/>
  <c r="H3" i="12" s="1"/>
  <c r="I3" i="12" s="1"/>
  <c r="J6" i="12"/>
  <c r="H6" i="12" s="1"/>
  <c r="J10" i="12"/>
  <c r="H10" i="12" s="1"/>
  <c r="I10" i="12" s="1"/>
  <c r="J14" i="12"/>
  <c r="H14" i="12" s="1"/>
  <c r="I14" i="12" s="1"/>
  <c r="J18" i="12"/>
  <c r="H18" i="12" s="1"/>
  <c r="I18" i="12" s="1"/>
  <c r="J22" i="12"/>
  <c r="H22" i="12" s="1"/>
  <c r="I22" i="12" s="1"/>
  <c r="J26" i="12"/>
  <c r="H26" i="12" s="1"/>
  <c r="I26" i="12" s="1"/>
  <c r="J30" i="12"/>
  <c r="H30" i="12" s="1"/>
  <c r="I30" i="12" s="1"/>
  <c r="J34" i="12"/>
  <c r="H34" i="12" s="1"/>
  <c r="I34" i="12" s="1"/>
  <c r="J38" i="12"/>
  <c r="H38" i="12" s="1"/>
  <c r="I38" i="12" s="1"/>
  <c r="J42" i="12"/>
  <c r="H42" i="12" s="1"/>
  <c r="I42" i="12" s="1"/>
  <c r="J46" i="12"/>
  <c r="H46" i="12" s="1"/>
  <c r="I46" i="12" s="1"/>
  <c r="J50" i="12"/>
  <c r="H50" i="12" s="1"/>
  <c r="I50" i="12" s="1"/>
  <c r="J54" i="12"/>
  <c r="H54" i="12" s="1"/>
  <c r="I54" i="12" s="1"/>
  <c r="J58" i="12"/>
  <c r="H58" i="12" s="1"/>
  <c r="I58" i="12" s="1"/>
  <c r="J62" i="12"/>
  <c r="H62" i="12" s="1"/>
  <c r="I62" i="12" s="1"/>
  <c r="J66" i="12"/>
  <c r="H66" i="12" s="1"/>
  <c r="I66" i="12" s="1"/>
  <c r="J70" i="12"/>
  <c r="H70" i="12" s="1"/>
  <c r="I70" i="12" s="1"/>
  <c r="J74" i="12"/>
  <c r="H74" i="12" s="1"/>
  <c r="I74" i="12" s="1"/>
  <c r="J78" i="12"/>
  <c r="H78" i="12" s="1"/>
  <c r="I78" i="12" s="1"/>
  <c r="J82" i="12"/>
  <c r="H82" i="12" s="1"/>
  <c r="I82" i="12" s="1"/>
  <c r="J86" i="12"/>
  <c r="H86" i="12" s="1"/>
  <c r="I86" i="12" s="1"/>
  <c r="J88" i="12"/>
  <c r="H88" i="12" s="1"/>
  <c r="I88" i="12" s="1"/>
  <c r="J92" i="12"/>
  <c r="H92" i="12" s="1"/>
  <c r="I92" i="12" s="1"/>
  <c r="J96" i="12"/>
  <c r="H96" i="12" s="1"/>
  <c r="I96" i="12" s="1"/>
  <c r="J100" i="12"/>
  <c r="H100" i="12" s="1"/>
  <c r="I100" i="12" s="1"/>
  <c r="J104" i="12"/>
  <c r="H104" i="12" s="1"/>
  <c r="I104" i="12" s="1"/>
  <c r="J108" i="12"/>
  <c r="H108" i="12" s="1"/>
  <c r="I108" i="12" s="1"/>
  <c r="J112" i="12"/>
  <c r="H112" i="12" s="1"/>
  <c r="I112" i="12" s="1"/>
  <c r="J118" i="12"/>
  <c r="H118" i="12" s="1"/>
  <c r="I118" i="12" s="1"/>
  <c r="J120" i="12"/>
  <c r="H120" i="12" s="1"/>
  <c r="J127" i="12"/>
  <c r="H127" i="12" s="1"/>
  <c r="J7" i="12"/>
  <c r="H7" i="12" s="1"/>
  <c r="I7" i="12" s="1"/>
  <c r="J8" i="12"/>
  <c r="H8" i="12" s="1"/>
  <c r="I8" i="12" s="1"/>
  <c r="J11" i="12"/>
  <c r="H11" i="12" s="1"/>
  <c r="I11" i="12" s="1"/>
  <c r="J12" i="12"/>
  <c r="H12" i="12" s="1"/>
  <c r="I12" i="12" s="1"/>
  <c r="J15" i="12"/>
  <c r="H15" i="12" s="1"/>
  <c r="I15" i="12" s="1"/>
  <c r="J16" i="12"/>
  <c r="H16" i="12" s="1"/>
  <c r="I16" i="12" s="1"/>
  <c r="J19" i="12"/>
  <c r="H19" i="12" s="1"/>
  <c r="I19" i="12" s="1"/>
  <c r="J20" i="12"/>
  <c r="H20" i="12" s="1"/>
  <c r="I20" i="12" s="1"/>
  <c r="J23" i="12"/>
  <c r="H23" i="12" s="1"/>
  <c r="I23" i="12" s="1"/>
  <c r="J24" i="12"/>
  <c r="H24" i="12" s="1"/>
  <c r="I24" i="12" s="1"/>
  <c r="J27" i="12"/>
  <c r="H27" i="12" s="1"/>
  <c r="I27" i="12" s="1"/>
  <c r="J28" i="12"/>
  <c r="H28" i="12" s="1"/>
  <c r="I28" i="12" s="1"/>
  <c r="J31" i="12"/>
  <c r="H31" i="12" s="1"/>
  <c r="I31" i="12" s="1"/>
  <c r="J32" i="12"/>
  <c r="H32" i="12" s="1"/>
  <c r="I32" i="12" s="1"/>
  <c r="J35" i="12"/>
  <c r="H35" i="12" s="1"/>
  <c r="I35" i="12" s="1"/>
  <c r="J36" i="12"/>
  <c r="H36" i="12" s="1"/>
  <c r="I36" i="12" s="1"/>
  <c r="J39" i="12"/>
  <c r="H39" i="12" s="1"/>
  <c r="I39" i="12" s="1"/>
  <c r="J40" i="12"/>
  <c r="H40" i="12" s="1"/>
  <c r="I40" i="12" s="1"/>
  <c r="J43" i="12"/>
  <c r="H43" i="12" s="1"/>
  <c r="I43" i="12" s="1"/>
  <c r="J44" i="12"/>
  <c r="H44" i="12" s="1"/>
  <c r="I44" i="12" s="1"/>
  <c r="J47" i="12"/>
  <c r="H47" i="12" s="1"/>
  <c r="I47" i="12" s="1"/>
  <c r="J48" i="12"/>
  <c r="H48" i="12" s="1"/>
  <c r="I48" i="12" s="1"/>
  <c r="J51" i="12"/>
  <c r="H51" i="12" s="1"/>
  <c r="I51" i="12" s="1"/>
  <c r="J52" i="12"/>
  <c r="H52" i="12" s="1"/>
  <c r="I52" i="12" s="1"/>
  <c r="J55" i="12"/>
  <c r="H55" i="12" s="1"/>
  <c r="I55" i="12" s="1"/>
  <c r="J56" i="12"/>
  <c r="H56" i="12" s="1"/>
  <c r="I56" i="12" s="1"/>
  <c r="J59" i="12"/>
  <c r="H59" i="12" s="1"/>
  <c r="I59" i="12" s="1"/>
  <c r="J60" i="12"/>
  <c r="H60" i="12" s="1"/>
  <c r="I60" i="12" s="1"/>
  <c r="J63" i="12"/>
  <c r="H63" i="12" s="1"/>
  <c r="I63" i="12" s="1"/>
  <c r="J64" i="12"/>
  <c r="H64" i="12" s="1"/>
  <c r="I64" i="12" s="1"/>
  <c r="J67" i="12"/>
  <c r="H67" i="12" s="1"/>
  <c r="I67" i="12" s="1"/>
  <c r="J68" i="12"/>
  <c r="H68" i="12" s="1"/>
  <c r="I68" i="12" s="1"/>
  <c r="J71" i="12"/>
  <c r="H71" i="12" s="1"/>
  <c r="I71" i="12" s="1"/>
  <c r="J72" i="12"/>
  <c r="H72" i="12" s="1"/>
  <c r="I72" i="12" s="1"/>
  <c r="J75" i="12"/>
  <c r="H75" i="12" s="1"/>
  <c r="I75" i="12" s="1"/>
  <c r="J76" i="12"/>
  <c r="H76" i="12" s="1"/>
  <c r="I76" i="12" s="1"/>
  <c r="J79" i="12"/>
  <c r="H79" i="12" s="1"/>
  <c r="I79" i="12" s="1"/>
  <c r="J80" i="12"/>
  <c r="H80" i="12" s="1"/>
  <c r="I80" i="12" s="1"/>
  <c r="J83" i="12"/>
  <c r="H83" i="12" s="1"/>
  <c r="I83" i="12" s="1"/>
  <c r="J84" i="12"/>
  <c r="H84" i="12" s="1"/>
  <c r="I84" i="12" s="1"/>
  <c r="J117" i="12"/>
  <c r="H117" i="12" s="1"/>
  <c r="J119" i="12"/>
  <c r="H119" i="12" s="1"/>
  <c r="J123" i="12"/>
  <c r="H123" i="12" s="1"/>
  <c r="J130" i="12"/>
  <c r="H130" i="12" s="1"/>
  <c r="I130" i="12" s="1"/>
  <c r="J131" i="12"/>
  <c r="H131" i="12" s="1"/>
  <c r="I131" i="12" s="1"/>
  <c r="J135" i="12"/>
  <c r="H135" i="12" s="1"/>
  <c r="I135" i="12" s="1"/>
  <c r="J139" i="12"/>
  <c r="H139" i="12" s="1"/>
  <c r="I139" i="12" s="1"/>
  <c r="J143" i="12"/>
  <c r="H143" i="12" s="1"/>
  <c r="I143" i="12" s="1"/>
  <c r="J147" i="12"/>
  <c r="H147" i="12" s="1"/>
  <c r="I147" i="12" s="1"/>
  <c r="J156" i="12"/>
  <c r="H156" i="12" s="1"/>
  <c r="I156" i="12" s="1"/>
  <c r="J158" i="12"/>
  <c r="H158" i="12" s="1"/>
  <c r="J161" i="12"/>
  <c r="H161" i="12" s="1"/>
  <c r="J91" i="12"/>
  <c r="H91" i="12" s="1"/>
  <c r="I91" i="12" s="1"/>
  <c r="J95" i="12"/>
  <c r="H95" i="12" s="1"/>
  <c r="I95" i="12" s="1"/>
  <c r="J99" i="12"/>
  <c r="H99" i="12" s="1"/>
  <c r="I99" i="12" s="1"/>
  <c r="J103" i="12"/>
  <c r="H103" i="12" s="1"/>
  <c r="I103" i="12" s="1"/>
  <c r="J107" i="12"/>
  <c r="H107" i="12" s="1"/>
  <c r="I107" i="12" s="1"/>
  <c r="J111" i="12"/>
  <c r="H111" i="12" s="1"/>
  <c r="I111" i="12" s="1"/>
  <c r="J115" i="12"/>
  <c r="H115" i="12" s="1"/>
  <c r="I115" i="12" s="1"/>
  <c r="J121" i="12"/>
  <c r="H121" i="12" s="1"/>
  <c r="J125" i="12"/>
  <c r="H125" i="12" s="1"/>
  <c r="J126" i="12"/>
  <c r="H126" i="12" s="1"/>
  <c r="I126" i="12" s="1"/>
  <c r="J133" i="12"/>
  <c r="H133" i="12" s="1"/>
  <c r="I133" i="12" s="1"/>
  <c r="J137" i="12"/>
  <c r="H137" i="12" s="1"/>
  <c r="I137" i="12" s="1"/>
  <c r="J141" i="12"/>
  <c r="H141" i="12" s="1"/>
  <c r="I141" i="12" s="1"/>
  <c r="J145" i="12"/>
  <c r="H145" i="12" s="1"/>
  <c r="I145" i="12" s="1"/>
  <c r="J149" i="12"/>
  <c r="H149" i="12" s="1"/>
  <c r="I149" i="12" s="1"/>
  <c r="J5" i="12"/>
  <c r="H5" i="12" s="1"/>
  <c r="I5" i="12" s="1"/>
  <c r="J93" i="12"/>
  <c r="H93" i="12" s="1"/>
  <c r="I93" i="12" s="1"/>
  <c r="J102" i="12"/>
  <c r="H102" i="12" s="1"/>
  <c r="I102" i="12" s="1"/>
  <c r="J109" i="12"/>
  <c r="H109" i="12" s="1"/>
  <c r="I109" i="12" s="1"/>
  <c r="J129" i="12"/>
  <c r="H129" i="12" s="1"/>
  <c r="I129" i="12" s="1"/>
  <c r="J150" i="12"/>
  <c r="H150" i="12" s="1"/>
  <c r="I150" i="12" s="1"/>
  <c r="J155" i="12"/>
  <c r="H155" i="12" s="1"/>
  <c r="J157" i="12"/>
  <c r="H157" i="12" s="1"/>
  <c r="J162" i="12"/>
  <c r="H162" i="12" s="1"/>
  <c r="J167" i="12"/>
  <c r="H167" i="12" s="1"/>
  <c r="I167" i="12" s="1"/>
  <c r="J171" i="12"/>
  <c r="H171" i="12" s="1"/>
  <c r="I171" i="12" s="1"/>
  <c r="J175" i="12"/>
  <c r="H175" i="12" s="1"/>
  <c r="I175" i="12" s="1"/>
  <c r="J179" i="12"/>
  <c r="H179" i="12" s="1"/>
  <c r="I179" i="12" s="1"/>
  <c r="J183" i="12"/>
  <c r="H183" i="12" s="1"/>
  <c r="I183" i="12" s="1"/>
  <c r="J187" i="12"/>
  <c r="H187" i="12" s="1"/>
  <c r="I187" i="12" s="1"/>
  <c r="J191" i="12"/>
  <c r="H191" i="12" s="1"/>
  <c r="I191" i="12" s="1"/>
  <c r="J194" i="12"/>
  <c r="H194" i="12" s="1"/>
  <c r="J204" i="12"/>
  <c r="H204" i="12" s="1"/>
  <c r="I204" i="12" s="1"/>
  <c r="J208" i="12"/>
  <c r="H208" i="12" s="1"/>
  <c r="I208" i="12" s="1"/>
  <c r="J212" i="12"/>
  <c r="H212" i="12" s="1"/>
  <c r="I212" i="12" s="1"/>
  <c r="J216" i="12"/>
  <c r="H216" i="12" s="1"/>
  <c r="I216" i="12" s="1"/>
  <c r="J220" i="12"/>
  <c r="H220" i="12" s="1"/>
  <c r="I220" i="12" s="1"/>
  <c r="J224" i="12"/>
  <c r="H224" i="12" s="1"/>
  <c r="I224" i="12" s="1"/>
  <c r="J228" i="12"/>
  <c r="H228" i="12" s="1"/>
  <c r="I228" i="12" s="1"/>
  <c r="J232" i="12"/>
  <c r="H232" i="12" s="1"/>
  <c r="I232" i="12" s="1"/>
  <c r="J236" i="12"/>
  <c r="H236" i="12" s="1"/>
  <c r="I236" i="12" s="1"/>
  <c r="J240" i="12"/>
  <c r="H240" i="12" s="1"/>
  <c r="I240" i="12" s="1"/>
  <c r="J244" i="12"/>
  <c r="H244" i="12" s="1"/>
  <c r="I244" i="12" s="1"/>
  <c r="J248" i="12"/>
  <c r="H248" i="12" s="1"/>
  <c r="I248" i="12" s="1"/>
  <c r="J252" i="12"/>
  <c r="H252" i="12" s="1"/>
  <c r="I252" i="12" s="1"/>
  <c r="J256" i="12"/>
  <c r="H256" i="12" s="1"/>
  <c r="I256" i="12" s="1"/>
  <c r="J260" i="12"/>
  <c r="H260" i="12" s="1"/>
  <c r="I260" i="12" s="1"/>
  <c r="J264" i="12"/>
  <c r="H264" i="12" s="1"/>
  <c r="I264" i="12" s="1"/>
  <c r="J4" i="12"/>
  <c r="H4" i="12" s="1"/>
  <c r="I4" i="12" s="1"/>
  <c r="J90" i="12"/>
  <c r="H90" i="12" s="1"/>
  <c r="I90" i="12" s="1"/>
  <c r="J97" i="12"/>
  <c r="H97" i="12" s="1"/>
  <c r="I97" i="12" s="1"/>
  <c r="J106" i="12"/>
  <c r="H106" i="12" s="1"/>
  <c r="I106" i="12" s="1"/>
  <c r="J113" i="12"/>
  <c r="H113" i="12" s="1"/>
  <c r="I113" i="12" s="1"/>
  <c r="J132" i="12"/>
  <c r="H132" i="12" s="1"/>
  <c r="I132" i="12" s="1"/>
  <c r="J136" i="12"/>
  <c r="H136" i="12" s="1"/>
  <c r="I136" i="12" s="1"/>
  <c r="J140" i="12"/>
  <c r="H140" i="12" s="1"/>
  <c r="I140" i="12" s="1"/>
  <c r="J144" i="12"/>
  <c r="H144" i="12" s="1"/>
  <c r="I144" i="12" s="1"/>
  <c r="J148" i="12"/>
  <c r="H148" i="12" s="1"/>
  <c r="I148" i="12" s="1"/>
  <c r="J151" i="12"/>
  <c r="H151" i="12" s="1"/>
  <c r="J152" i="12"/>
  <c r="H152" i="12" s="1"/>
  <c r="I152" i="12" s="1"/>
  <c r="J159" i="12"/>
  <c r="H159" i="12" s="1"/>
  <c r="I159" i="12" s="1"/>
  <c r="J160" i="12"/>
  <c r="H160" i="12" s="1"/>
  <c r="I160" i="12" s="1"/>
  <c r="J165" i="12"/>
  <c r="H165" i="12" s="1"/>
  <c r="J168" i="12"/>
  <c r="H168" i="12" s="1"/>
  <c r="I168" i="12" s="1"/>
  <c r="J172" i="12"/>
  <c r="H172" i="12" s="1"/>
  <c r="I172" i="12" s="1"/>
  <c r="J176" i="12"/>
  <c r="H176" i="12" s="1"/>
  <c r="I176" i="12" s="1"/>
  <c r="J180" i="12"/>
  <c r="H180" i="12" s="1"/>
  <c r="I180" i="12" s="1"/>
  <c r="J184" i="12"/>
  <c r="H184" i="12" s="1"/>
  <c r="I184" i="12" s="1"/>
  <c r="J188" i="12"/>
  <c r="H188" i="12" s="1"/>
  <c r="I188" i="12" s="1"/>
  <c r="J192" i="12"/>
  <c r="H192" i="12" s="1"/>
  <c r="I192" i="12" s="1"/>
  <c r="J195" i="12"/>
  <c r="H195" i="12" s="1"/>
  <c r="I195" i="12" s="1"/>
  <c r="J198" i="12"/>
  <c r="H198" i="12" s="1"/>
  <c r="J201" i="12"/>
  <c r="H201" i="12" s="1"/>
  <c r="J205" i="12"/>
  <c r="H205" i="12" s="1"/>
  <c r="I205" i="12" s="1"/>
  <c r="J209" i="12"/>
  <c r="H209" i="12" s="1"/>
  <c r="I209" i="12" s="1"/>
  <c r="J213" i="12"/>
  <c r="H213" i="12" s="1"/>
  <c r="I213" i="12" s="1"/>
  <c r="J217" i="12"/>
  <c r="H217" i="12" s="1"/>
  <c r="I217" i="12" s="1"/>
  <c r="J221" i="12"/>
  <c r="H221" i="12" s="1"/>
  <c r="I221" i="12" s="1"/>
  <c r="J225" i="12"/>
  <c r="H225" i="12" s="1"/>
  <c r="I225" i="12" s="1"/>
  <c r="J229" i="12"/>
  <c r="H229" i="12" s="1"/>
  <c r="I229" i="12" s="1"/>
  <c r="J233" i="12"/>
  <c r="H233" i="12" s="1"/>
  <c r="I233" i="12" s="1"/>
  <c r="J237" i="12"/>
  <c r="H237" i="12" s="1"/>
  <c r="I237" i="12" s="1"/>
  <c r="J241" i="12"/>
  <c r="H241" i="12" s="1"/>
  <c r="I241" i="12" s="1"/>
  <c r="J245" i="12"/>
  <c r="H245" i="12" s="1"/>
  <c r="I245" i="12" s="1"/>
  <c r="J249" i="12"/>
  <c r="H249" i="12" s="1"/>
  <c r="I249" i="12" s="1"/>
  <c r="J253" i="12"/>
  <c r="H253" i="12" s="1"/>
  <c r="I253" i="12" s="1"/>
  <c r="J257" i="12"/>
  <c r="H257" i="12" s="1"/>
  <c r="I257" i="12" s="1"/>
  <c r="J261" i="12"/>
  <c r="H261" i="12" s="1"/>
  <c r="I261" i="12" s="1"/>
  <c r="J265" i="12"/>
  <c r="H265" i="12" s="1"/>
  <c r="I265" i="12" s="1"/>
  <c r="J269" i="12"/>
  <c r="H269" i="12" s="1"/>
  <c r="I269" i="12" s="1"/>
  <c r="J273" i="12"/>
  <c r="H273" i="12" s="1"/>
  <c r="I273" i="12" s="1"/>
  <c r="J279" i="12"/>
  <c r="H279" i="12" s="1"/>
  <c r="J282" i="12"/>
  <c r="H282" i="12" s="1"/>
  <c r="I282" i="12" s="1"/>
  <c r="J286" i="12"/>
  <c r="H286" i="12" s="1"/>
  <c r="I286" i="12" s="1"/>
  <c r="J290" i="12"/>
  <c r="H290" i="12" s="1"/>
  <c r="I290" i="12" s="1"/>
  <c r="J294" i="12"/>
  <c r="H294" i="12" s="1"/>
  <c r="I294" i="12" s="1"/>
  <c r="J298" i="12"/>
  <c r="H298" i="12" s="1"/>
  <c r="I298" i="12" s="1"/>
  <c r="J302" i="12"/>
  <c r="H302" i="12" s="1"/>
  <c r="I302" i="12" s="1"/>
  <c r="J306" i="12"/>
  <c r="H306" i="12" s="1"/>
  <c r="I306" i="12" s="1"/>
  <c r="J308" i="12"/>
  <c r="H308" i="12" s="1"/>
  <c r="J311" i="12"/>
  <c r="H311" i="12" s="1"/>
  <c r="I311" i="12" s="1"/>
  <c r="J315" i="12"/>
  <c r="H315" i="12" s="1"/>
  <c r="I315" i="12" s="1"/>
  <c r="J319" i="12"/>
  <c r="H319" i="12" s="1"/>
  <c r="I319" i="12" s="1"/>
  <c r="J323" i="12"/>
  <c r="H323" i="12" s="1"/>
  <c r="I323" i="12" s="1"/>
  <c r="J327" i="12"/>
  <c r="H327" i="12" s="1"/>
  <c r="I327" i="12" s="1"/>
  <c r="J101" i="12"/>
  <c r="H101" i="12" s="1"/>
  <c r="I101" i="12" s="1"/>
  <c r="J110" i="12"/>
  <c r="H110" i="12" s="1"/>
  <c r="I110" i="12" s="1"/>
  <c r="J114" i="12"/>
  <c r="H114" i="12" s="1"/>
  <c r="I114" i="12" s="1"/>
  <c r="J128" i="12"/>
  <c r="H128" i="12" s="1"/>
  <c r="I128" i="12" s="1"/>
  <c r="J138" i="12"/>
  <c r="H138" i="12" s="1"/>
  <c r="I138" i="12" s="1"/>
  <c r="J154" i="12"/>
  <c r="H154" i="12" s="1"/>
  <c r="J174" i="12"/>
  <c r="H174" i="12" s="1"/>
  <c r="I174" i="12" s="1"/>
  <c r="J177" i="12"/>
  <c r="H177" i="12" s="1"/>
  <c r="I177" i="12" s="1"/>
  <c r="J190" i="12"/>
  <c r="H190" i="12" s="1"/>
  <c r="I190" i="12" s="1"/>
  <c r="J193" i="12"/>
  <c r="H193" i="12" s="1"/>
  <c r="I193" i="12" s="1"/>
  <c r="J202" i="12"/>
  <c r="H202" i="12" s="1"/>
  <c r="I202" i="12" s="1"/>
  <c r="J203" i="12"/>
  <c r="H203" i="12" s="1"/>
  <c r="I203" i="12" s="1"/>
  <c r="J206" i="12"/>
  <c r="H206" i="12" s="1"/>
  <c r="I206" i="12" s="1"/>
  <c r="J207" i="12"/>
  <c r="H207" i="12" s="1"/>
  <c r="I207" i="12" s="1"/>
  <c r="J210" i="12"/>
  <c r="H210" i="12" s="1"/>
  <c r="I210" i="12" s="1"/>
  <c r="J211" i="12"/>
  <c r="H211" i="12" s="1"/>
  <c r="I211" i="12" s="1"/>
  <c r="J214" i="12"/>
  <c r="H214" i="12" s="1"/>
  <c r="I214" i="12" s="1"/>
  <c r="J215" i="12"/>
  <c r="H215" i="12" s="1"/>
  <c r="I215" i="12" s="1"/>
  <c r="J218" i="12"/>
  <c r="H218" i="12" s="1"/>
  <c r="I218" i="12" s="1"/>
  <c r="J231" i="12"/>
  <c r="H231" i="12" s="1"/>
  <c r="I231" i="12" s="1"/>
  <c r="J234" i="12"/>
  <c r="H234" i="12" s="1"/>
  <c r="I234" i="12" s="1"/>
  <c r="J247" i="12"/>
  <c r="H247" i="12" s="1"/>
  <c r="I247" i="12" s="1"/>
  <c r="J250" i="12"/>
  <c r="H250" i="12" s="1"/>
  <c r="I250" i="12" s="1"/>
  <c r="J263" i="12"/>
  <c r="H263" i="12" s="1"/>
  <c r="I263" i="12" s="1"/>
  <c r="J266" i="12"/>
  <c r="H266" i="12" s="1"/>
  <c r="I266" i="12" s="1"/>
  <c r="J270" i="12"/>
  <c r="H270" i="12" s="1"/>
  <c r="I270" i="12" s="1"/>
  <c r="J271" i="12"/>
  <c r="H271" i="12" s="1"/>
  <c r="I271" i="12" s="1"/>
  <c r="J274" i="12"/>
  <c r="H274" i="12" s="1"/>
  <c r="I274" i="12" s="1"/>
  <c r="J275" i="12"/>
  <c r="H275" i="12" s="1"/>
  <c r="I275" i="12" s="1"/>
  <c r="J281" i="12"/>
  <c r="H281" i="12" s="1"/>
  <c r="J285" i="12"/>
  <c r="H285" i="12" s="1"/>
  <c r="I285" i="12" s="1"/>
  <c r="J289" i="12"/>
  <c r="H289" i="12" s="1"/>
  <c r="I289" i="12" s="1"/>
  <c r="J293" i="12"/>
  <c r="H293" i="12" s="1"/>
  <c r="I293" i="12" s="1"/>
  <c r="J297" i="12"/>
  <c r="H297" i="12" s="1"/>
  <c r="I297" i="12" s="1"/>
  <c r="J301" i="12"/>
  <c r="H301" i="12" s="1"/>
  <c r="I301" i="12" s="1"/>
  <c r="J305" i="12"/>
  <c r="H305" i="12" s="1"/>
  <c r="I305" i="12" s="1"/>
  <c r="J307" i="12"/>
  <c r="H307" i="12" s="1"/>
  <c r="J330" i="12"/>
  <c r="H330" i="12" s="1"/>
  <c r="I330" i="12" s="1"/>
  <c r="J334" i="12"/>
  <c r="H334" i="12" s="1"/>
  <c r="I334" i="12" s="1"/>
  <c r="J338" i="12"/>
  <c r="H338" i="12" s="1"/>
  <c r="I338" i="12" s="1"/>
  <c r="J342" i="12"/>
  <c r="H342" i="12" s="1"/>
  <c r="I342" i="12" s="1"/>
  <c r="J346" i="12"/>
  <c r="H346" i="12" s="1"/>
  <c r="I346" i="12" s="1"/>
  <c r="J350" i="12"/>
  <c r="H350" i="12" s="1"/>
  <c r="I350" i="12" s="1"/>
  <c r="J354" i="12"/>
  <c r="H354" i="12" s="1"/>
  <c r="I354" i="12" s="1"/>
  <c r="J358" i="12"/>
  <c r="H358" i="12" s="1"/>
  <c r="I358" i="12" s="1"/>
  <c r="J362" i="12"/>
  <c r="H362" i="12" s="1"/>
  <c r="I362" i="12" s="1"/>
  <c r="J366" i="12"/>
  <c r="H366" i="12" s="1"/>
  <c r="I366" i="12" s="1"/>
  <c r="J370" i="12"/>
  <c r="H370" i="12" s="1"/>
  <c r="I370" i="12" s="1"/>
  <c r="J374" i="12"/>
  <c r="H374" i="12" s="1"/>
  <c r="I374" i="12" s="1"/>
  <c r="J378" i="12"/>
  <c r="H378" i="12" s="1"/>
  <c r="I378" i="12" s="1"/>
  <c r="J382" i="12"/>
  <c r="H382" i="12" s="1"/>
  <c r="I382" i="12" s="1"/>
  <c r="J386" i="12"/>
  <c r="H386" i="12" s="1"/>
  <c r="I386" i="12" s="1"/>
  <c r="J390" i="12"/>
  <c r="H390" i="12" s="1"/>
  <c r="I390" i="12" s="1"/>
  <c r="J87" i="12"/>
  <c r="H87" i="12" s="1"/>
  <c r="I87" i="12" s="1"/>
  <c r="J89" i="12"/>
  <c r="H89" i="12" s="1"/>
  <c r="I89" i="12" s="1"/>
  <c r="J122" i="12"/>
  <c r="H122" i="12" s="1"/>
  <c r="I122" i="12" s="1"/>
  <c r="J124" i="12"/>
  <c r="H124" i="12" s="1"/>
  <c r="J142" i="12"/>
  <c r="H142" i="12" s="1"/>
  <c r="I142" i="12" s="1"/>
  <c r="J153" i="12"/>
  <c r="H153" i="12" s="1"/>
  <c r="I153" i="12" s="1"/>
  <c r="J178" i="12"/>
  <c r="H178" i="12" s="1"/>
  <c r="I178" i="12" s="1"/>
  <c r="J181" i="12"/>
  <c r="H181" i="12" s="1"/>
  <c r="I181" i="12" s="1"/>
  <c r="J199" i="12"/>
  <c r="H199" i="12" s="1"/>
  <c r="I199" i="12" s="1"/>
  <c r="J200" i="12"/>
  <c r="H200" i="12" s="1"/>
  <c r="I200" i="12" s="1"/>
  <c r="J219" i="12"/>
  <c r="H219" i="12" s="1"/>
  <c r="I219" i="12" s="1"/>
  <c r="J222" i="12"/>
  <c r="H222" i="12" s="1"/>
  <c r="I222" i="12" s="1"/>
  <c r="J235" i="12"/>
  <c r="H235" i="12" s="1"/>
  <c r="I235" i="12" s="1"/>
  <c r="J238" i="12"/>
  <c r="H238" i="12" s="1"/>
  <c r="I238" i="12" s="1"/>
  <c r="J251" i="12"/>
  <c r="H251" i="12" s="1"/>
  <c r="I251" i="12" s="1"/>
  <c r="J254" i="12"/>
  <c r="H254" i="12" s="1"/>
  <c r="I254" i="12" s="1"/>
  <c r="J267" i="12"/>
  <c r="H267" i="12" s="1"/>
  <c r="I267" i="12" s="1"/>
  <c r="J268" i="12"/>
  <c r="H268" i="12" s="1"/>
  <c r="I268" i="12" s="1"/>
  <c r="J272" i="12"/>
  <c r="H272" i="12" s="1"/>
  <c r="I272" i="12" s="1"/>
  <c r="J276" i="12"/>
  <c r="H276" i="12" s="1"/>
  <c r="I276" i="12" s="1"/>
  <c r="J309" i="12"/>
  <c r="H309" i="12" s="1"/>
  <c r="I309" i="12" s="1"/>
  <c r="J312" i="12"/>
  <c r="H312" i="12" s="1"/>
  <c r="I312" i="12" s="1"/>
  <c r="J313" i="12"/>
  <c r="H313" i="12" s="1"/>
  <c r="I313" i="12" s="1"/>
  <c r="J316" i="12"/>
  <c r="H316" i="12" s="1"/>
  <c r="I316" i="12" s="1"/>
  <c r="J317" i="12"/>
  <c r="H317" i="12" s="1"/>
  <c r="I317" i="12" s="1"/>
  <c r="J320" i="12"/>
  <c r="H320" i="12" s="1"/>
  <c r="I320" i="12" s="1"/>
  <c r="J321" i="12"/>
  <c r="H321" i="12" s="1"/>
  <c r="I321" i="12" s="1"/>
  <c r="J324" i="12"/>
  <c r="H324" i="12" s="1"/>
  <c r="I324" i="12" s="1"/>
  <c r="J325" i="12"/>
  <c r="H325" i="12" s="1"/>
  <c r="I325" i="12" s="1"/>
  <c r="J331" i="12"/>
  <c r="H331" i="12" s="1"/>
  <c r="I331" i="12" s="1"/>
  <c r="J335" i="12"/>
  <c r="H335" i="12" s="1"/>
  <c r="I335" i="12" s="1"/>
  <c r="J339" i="12"/>
  <c r="H339" i="12" s="1"/>
  <c r="I339" i="12" s="1"/>
  <c r="J343" i="12"/>
  <c r="H343" i="12" s="1"/>
  <c r="I343" i="12" s="1"/>
  <c r="J347" i="12"/>
  <c r="H347" i="12" s="1"/>
  <c r="I347" i="12" s="1"/>
  <c r="J351" i="12"/>
  <c r="H351" i="12" s="1"/>
  <c r="I351" i="12" s="1"/>
  <c r="J355" i="12"/>
  <c r="H355" i="12" s="1"/>
  <c r="I355" i="12" s="1"/>
  <c r="J359" i="12"/>
  <c r="H359" i="12" s="1"/>
  <c r="I359" i="12" s="1"/>
  <c r="J363" i="12"/>
  <c r="H363" i="12" s="1"/>
  <c r="I363" i="12" s="1"/>
  <c r="J367" i="12"/>
  <c r="H367" i="12" s="1"/>
  <c r="I367" i="12" s="1"/>
  <c r="J371" i="12"/>
  <c r="H371" i="12" s="1"/>
  <c r="I371" i="12" s="1"/>
  <c r="J375" i="12"/>
  <c r="H375" i="12" s="1"/>
  <c r="I375" i="12" s="1"/>
  <c r="J379" i="12"/>
  <c r="H379" i="12" s="1"/>
  <c r="I379" i="12" s="1"/>
  <c r="J383" i="12"/>
  <c r="H383" i="12" s="1"/>
  <c r="I383" i="12" s="1"/>
  <c r="J387" i="12"/>
  <c r="H387" i="12" s="1"/>
  <c r="I387" i="12" s="1"/>
  <c r="J391" i="12"/>
  <c r="H391" i="12" s="1"/>
  <c r="I391" i="12" s="1"/>
  <c r="J393" i="12"/>
  <c r="H393" i="12" s="1"/>
  <c r="J397" i="12"/>
  <c r="H397" i="12" s="1"/>
  <c r="I397" i="12" s="1"/>
  <c r="J401" i="12"/>
  <c r="H401" i="12" s="1"/>
  <c r="I401" i="12" s="1"/>
  <c r="J405" i="12"/>
  <c r="H405" i="12" s="1"/>
  <c r="I405" i="12" s="1"/>
  <c r="J409" i="12"/>
  <c r="H409" i="12" s="1"/>
  <c r="I409" i="12" s="1"/>
  <c r="J412" i="12"/>
  <c r="H412" i="12" s="1"/>
  <c r="I412" i="12" s="1"/>
  <c r="J416" i="12"/>
  <c r="H416" i="12" s="1"/>
  <c r="I416" i="12" s="1"/>
  <c r="J420" i="12"/>
  <c r="H420" i="12" s="1"/>
  <c r="I420" i="12" s="1"/>
  <c r="J424" i="12"/>
  <c r="H424" i="12" s="1"/>
  <c r="I424" i="12" s="1"/>
  <c r="J434" i="12"/>
  <c r="H434" i="12" s="1"/>
  <c r="I434" i="12" s="1"/>
  <c r="J438" i="12"/>
  <c r="H438" i="12" s="1"/>
  <c r="I438" i="12" s="1"/>
  <c r="J442" i="12"/>
  <c r="H442" i="12" s="1"/>
  <c r="I442" i="12" s="1"/>
  <c r="J446" i="12"/>
  <c r="H446" i="12" s="1"/>
  <c r="I446" i="12" s="1"/>
  <c r="J450" i="12"/>
  <c r="H450" i="12" s="1"/>
  <c r="I450" i="12" s="1"/>
  <c r="J454" i="12"/>
  <c r="H454" i="12" s="1"/>
  <c r="I454" i="12" s="1"/>
  <c r="J458" i="12"/>
  <c r="H458" i="12" s="1"/>
  <c r="I458" i="12" s="1"/>
  <c r="J462" i="12"/>
  <c r="H462" i="12" s="1"/>
  <c r="I462" i="12" s="1"/>
  <c r="J466" i="12"/>
  <c r="H466" i="12" s="1"/>
  <c r="I466" i="12" s="1"/>
  <c r="J470" i="12"/>
  <c r="H470" i="12" s="1"/>
  <c r="I470" i="12" s="1"/>
  <c r="J474" i="12"/>
  <c r="H474" i="12" s="1"/>
  <c r="I474" i="12" s="1"/>
  <c r="J477" i="12"/>
  <c r="H477" i="12" s="1"/>
  <c r="I477" i="12" s="1"/>
  <c r="J481" i="12"/>
  <c r="H481" i="12" s="1"/>
  <c r="I481" i="12" s="1"/>
  <c r="J484" i="12"/>
  <c r="H484" i="12" s="1"/>
  <c r="I484" i="12" s="1"/>
  <c r="J488" i="12"/>
  <c r="H488" i="12" s="1"/>
  <c r="I488" i="12" s="1"/>
  <c r="J492" i="12"/>
  <c r="H492" i="12" s="1"/>
  <c r="I492" i="12" s="1"/>
  <c r="J496" i="12"/>
  <c r="H496" i="12" s="1"/>
  <c r="I496" i="12" s="1"/>
  <c r="J499" i="12"/>
  <c r="H499" i="12" s="1"/>
  <c r="I499" i="12" s="1"/>
  <c r="J503" i="12"/>
  <c r="H503" i="12" s="1"/>
  <c r="I503" i="12" s="1"/>
  <c r="J164" i="12"/>
  <c r="H164" i="12" s="1"/>
  <c r="I164" i="12" s="1"/>
  <c r="J173" i="12"/>
  <c r="H173" i="12" s="1"/>
  <c r="I173" i="12" s="1"/>
  <c r="J189" i="12"/>
  <c r="H189" i="12" s="1"/>
  <c r="I189" i="12" s="1"/>
  <c r="J197" i="12"/>
  <c r="H197" i="12" s="1"/>
  <c r="I197" i="12" s="1"/>
  <c r="J226" i="12"/>
  <c r="H226" i="12" s="1"/>
  <c r="I226" i="12" s="1"/>
  <c r="J242" i="12"/>
  <c r="H242" i="12" s="1"/>
  <c r="I242" i="12" s="1"/>
  <c r="J258" i="12"/>
  <c r="H258" i="12" s="1"/>
  <c r="I258" i="12" s="1"/>
  <c r="J284" i="12"/>
  <c r="H284" i="12" s="1"/>
  <c r="I284" i="12" s="1"/>
  <c r="J296" i="12"/>
  <c r="H296" i="12" s="1"/>
  <c r="I296" i="12" s="1"/>
  <c r="J304" i="12"/>
  <c r="H304" i="12" s="1"/>
  <c r="I304" i="12" s="1"/>
  <c r="J518" i="12"/>
  <c r="H518" i="12" s="1"/>
  <c r="J529" i="12"/>
  <c r="H529" i="12" s="1"/>
  <c r="J532" i="12"/>
  <c r="H532" i="12" s="1"/>
  <c r="J556" i="12"/>
  <c r="H556" i="12" s="1"/>
  <c r="J134" i="12"/>
  <c r="H134" i="12" s="1"/>
  <c r="I134" i="12" s="1"/>
  <c r="J146" i="12"/>
  <c r="H146" i="12" s="1"/>
  <c r="I146" i="12" s="1"/>
  <c r="J163" i="12"/>
  <c r="H163" i="12" s="1"/>
  <c r="J295" i="12"/>
  <c r="H295" i="12" s="1"/>
  <c r="I295" i="12" s="1"/>
  <c r="J513" i="12"/>
  <c r="H513" i="12" s="1"/>
  <c r="I513" i="12" s="1"/>
  <c r="J516" i="12"/>
  <c r="H516" i="12" s="1"/>
  <c r="I516" i="12" s="1"/>
  <c r="J530" i="12"/>
  <c r="H530" i="12" s="1"/>
  <c r="I530" i="12" s="1"/>
  <c r="J536" i="12"/>
  <c r="H536" i="12" s="1"/>
  <c r="I536" i="12" s="1"/>
  <c r="J540" i="12"/>
  <c r="H540" i="12" s="1"/>
  <c r="I540" i="12" s="1"/>
  <c r="J544" i="12"/>
  <c r="H544" i="12" s="1"/>
  <c r="I544" i="12" s="1"/>
  <c r="J548" i="12"/>
  <c r="H548" i="12" s="1"/>
  <c r="I548" i="12" s="1"/>
  <c r="J554" i="12"/>
  <c r="H554" i="12" s="1"/>
  <c r="I554" i="12" s="1"/>
  <c r="J564" i="12"/>
  <c r="H564" i="12" s="1"/>
  <c r="I564" i="12" s="1"/>
  <c r="J568" i="12"/>
  <c r="H568" i="12" s="1"/>
  <c r="I568" i="12" s="1"/>
  <c r="J572" i="12"/>
  <c r="H572" i="12" s="1"/>
  <c r="I572" i="12" s="1"/>
  <c r="J576" i="12"/>
  <c r="H576" i="12" s="1"/>
  <c r="I576" i="12" s="1"/>
  <c r="J94" i="12"/>
  <c r="H94" i="12" s="1"/>
  <c r="I94" i="12" s="1"/>
  <c r="J98" i="12"/>
  <c r="H98" i="12" s="1"/>
  <c r="I98" i="12" s="1"/>
  <c r="J105" i="12"/>
  <c r="H105" i="12" s="1"/>
  <c r="I105" i="12" s="1"/>
  <c r="J116" i="12"/>
  <c r="H116" i="12" s="1"/>
  <c r="J170" i="12"/>
  <c r="H170" i="12" s="1"/>
  <c r="I170" i="12" s="1"/>
  <c r="J186" i="12"/>
  <c r="H186" i="12" s="1"/>
  <c r="I186" i="12" s="1"/>
  <c r="J223" i="12"/>
  <c r="H223" i="12" s="1"/>
  <c r="I223" i="12" s="1"/>
  <c r="J239" i="12"/>
  <c r="H239" i="12" s="1"/>
  <c r="I239" i="12" s="1"/>
  <c r="J255" i="12"/>
  <c r="H255" i="12" s="1"/>
  <c r="I255" i="12" s="1"/>
  <c r="J310" i="12"/>
  <c r="H310" i="12" s="1"/>
  <c r="J326" i="12"/>
  <c r="H326" i="12" s="1"/>
  <c r="I326" i="12" s="1"/>
  <c r="J328" i="12"/>
  <c r="H328" i="12" s="1"/>
  <c r="I328" i="12" s="1"/>
  <c r="J329" i="12"/>
  <c r="H329" i="12" s="1"/>
  <c r="I329" i="12" s="1"/>
  <c r="J332" i="12"/>
  <c r="H332" i="12" s="1"/>
  <c r="I332" i="12" s="1"/>
  <c r="J333" i="12"/>
  <c r="H333" i="12" s="1"/>
  <c r="I333" i="12" s="1"/>
  <c r="J336" i="12"/>
  <c r="H336" i="12" s="1"/>
  <c r="I336" i="12" s="1"/>
  <c r="J337" i="12"/>
  <c r="H337" i="12" s="1"/>
  <c r="I337" i="12" s="1"/>
  <c r="J340" i="12"/>
  <c r="H340" i="12" s="1"/>
  <c r="I340" i="12" s="1"/>
  <c r="J341" i="12"/>
  <c r="H341" i="12" s="1"/>
  <c r="I341" i="12" s="1"/>
  <c r="J344" i="12"/>
  <c r="H344" i="12" s="1"/>
  <c r="I344" i="12" s="1"/>
  <c r="J345" i="12"/>
  <c r="H345" i="12" s="1"/>
  <c r="I345" i="12" s="1"/>
  <c r="J348" i="12"/>
  <c r="H348" i="12" s="1"/>
  <c r="I348" i="12" s="1"/>
  <c r="J349" i="12"/>
  <c r="H349" i="12" s="1"/>
  <c r="I349" i="12" s="1"/>
  <c r="J352" i="12"/>
  <c r="H352" i="12" s="1"/>
  <c r="I352" i="12" s="1"/>
  <c r="J353" i="12"/>
  <c r="H353" i="12" s="1"/>
  <c r="I353" i="12" s="1"/>
  <c r="J356" i="12"/>
  <c r="H356" i="12" s="1"/>
  <c r="I356" i="12" s="1"/>
  <c r="J357" i="12"/>
  <c r="H357" i="12" s="1"/>
  <c r="I357" i="12" s="1"/>
  <c r="J360" i="12"/>
  <c r="H360" i="12" s="1"/>
  <c r="I360" i="12" s="1"/>
  <c r="J361" i="12"/>
  <c r="H361" i="12" s="1"/>
  <c r="I361" i="12" s="1"/>
  <c r="J364" i="12"/>
  <c r="H364" i="12" s="1"/>
  <c r="I364" i="12" s="1"/>
  <c r="J365" i="12"/>
  <c r="H365" i="12" s="1"/>
  <c r="I365" i="12" s="1"/>
  <c r="J368" i="12"/>
  <c r="H368" i="12" s="1"/>
  <c r="I368" i="12" s="1"/>
  <c r="J369" i="12"/>
  <c r="H369" i="12" s="1"/>
  <c r="I369" i="12" s="1"/>
  <c r="J372" i="12"/>
  <c r="H372" i="12" s="1"/>
  <c r="I372" i="12" s="1"/>
  <c r="J373" i="12"/>
  <c r="H373" i="12" s="1"/>
  <c r="I373" i="12" s="1"/>
  <c r="J376" i="12"/>
  <c r="H376" i="12" s="1"/>
  <c r="I376" i="12" s="1"/>
  <c r="J377" i="12"/>
  <c r="H377" i="12" s="1"/>
  <c r="I377" i="12" s="1"/>
  <c r="J380" i="12"/>
  <c r="H380" i="12" s="1"/>
  <c r="I380" i="12" s="1"/>
  <c r="J381" i="12"/>
  <c r="H381" i="12" s="1"/>
  <c r="I381" i="12" s="1"/>
  <c r="J384" i="12"/>
  <c r="H384" i="12" s="1"/>
  <c r="I384" i="12" s="1"/>
  <c r="J385" i="12"/>
  <c r="H385" i="12" s="1"/>
  <c r="I385" i="12" s="1"/>
  <c r="J388" i="12"/>
  <c r="H388" i="12" s="1"/>
  <c r="I388" i="12" s="1"/>
  <c r="J389" i="12"/>
  <c r="H389" i="12" s="1"/>
  <c r="I389" i="12" s="1"/>
  <c r="J396" i="12"/>
  <c r="H396" i="12" s="1"/>
  <c r="I396" i="12" s="1"/>
  <c r="J400" i="12"/>
  <c r="H400" i="12" s="1"/>
  <c r="I400" i="12" s="1"/>
  <c r="J404" i="12"/>
  <c r="H404" i="12" s="1"/>
  <c r="I404" i="12" s="1"/>
  <c r="J408" i="12"/>
  <c r="H408" i="12" s="1"/>
  <c r="I408" i="12" s="1"/>
  <c r="J411" i="12"/>
  <c r="H411" i="12" s="1"/>
  <c r="J415" i="12"/>
  <c r="H415" i="12" s="1"/>
  <c r="I415" i="12" s="1"/>
  <c r="J419" i="12"/>
  <c r="H419" i="12" s="1"/>
  <c r="I419" i="12" s="1"/>
  <c r="J423" i="12"/>
  <c r="H423" i="12" s="1"/>
  <c r="I423" i="12" s="1"/>
  <c r="J427" i="12"/>
  <c r="H427" i="12" s="1"/>
  <c r="I427" i="12" s="1"/>
  <c r="J433" i="12"/>
  <c r="H433" i="12" s="1"/>
  <c r="I433" i="12" s="1"/>
  <c r="J437" i="12"/>
  <c r="H437" i="12" s="1"/>
  <c r="I437" i="12" s="1"/>
  <c r="J441" i="12"/>
  <c r="H441" i="12" s="1"/>
  <c r="I441" i="12" s="1"/>
  <c r="J445" i="12"/>
  <c r="H445" i="12" s="1"/>
  <c r="I445" i="12" s="1"/>
  <c r="J449" i="12"/>
  <c r="H449" i="12" s="1"/>
  <c r="I449" i="12" s="1"/>
  <c r="J453" i="12"/>
  <c r="H453" i="12" s="1"/>
  <c r="I453" i="12" s="1"/>
  <c r="J457" i="12"/>
  <c r="H457" i="12" s="1"/>
  <c r="I457" i="12" s="1"/>
  <c r="J461" i="12"/>
  <c r="H461" i="12" s="1"/>
  <c r="I461" i="12" s="1"/>
  <c r="J465" i="12"/>
  <c r="H465" i="12" s="1"/>
  <c r="I465" i="12" s="1"/>
  <c r="J469" i="12"/>
  <c r="H469" i="12" s="1"/>
  <c r="I469" i="12" s="1"/>
  <c r="J473" i="12"/>
  <c r="H473" i="12" s="1"/>
  <c r="I473" i="12" s="1"/>
  <c r="J475" i="12"/>
  <c r="H475" i="12" s="1"/>
  <c r="J478" i="12"/>
  <c r="H478" i="12" s="1"/>
  <c r="I478" i="12" s="1"/>
  <c r="J479" i="12"/>
  <c r="H479" i="12" s="1"/>
  <c r="I479" i="12" s="1"/>
  <c r="J482" i="12"/>
  <c r="H482" i="12" s="1"/>
  <c r="I482" i="12" s="1"/>
  <c r="J485" i="12"/>
  <c r="H485" i="12" s="1"/>
  <c r="I485" i="12" s="1"/>
  <c r="J486" i="12"/>
  <c r="H486" i="12" s="1"/>
  <c r="I486" i="12" s="1"/>
  <c r="J489" i="12"/>
  <c r="H489" i="12" s="1"/>
  <c r="I489" i="12" s="1"/>
  <c r="J490" i="12"/>
  <c r="H490" i="12" s="1"/>
  <c r="I490" i="12" s="1"/>
  <c r="J493" i="12"/>
  <c r="H493" i="12" s="1"/>
  <c r="I493" i="12" s="1"/>
  <c r="J494" i="12"/>
  <c r="H494" i="12" s="1"/>
  <c r="I494" i="12" s="1"/>
  <c r="J497" i="12"/>
  <c r="H497" i="12" s="1"/>
  <c r="I497" i="12" s="1"/>
  <c r="J500" i="12"/>
  <c r="H500" i="12" s="1"/>
  <c r="I500" i="12" s="1"/>
  <c r="J501" i="12"/>
  <c r="H501" i="12" s="1"/>
  <c r="I501" i="12" s="1"/>
  <c r="J504" i="12"/>
  <c r="H504" i="12" s="1"/>
  <c r="I504" i="12" s="1"/>
  <c r="J505" i="12"/>
  <c r="H505" i="12" s="1"/>
  <c r="I505" i="12" s="1"/>
  <c r="J510" i="12"/>
  <c r="H510" i="12" s="1"/>
  <c r="I510" i="12" s="1"/>
  <c r="J517" i="12"/>
  <c r="H517" i="12" s="1"/>
  <c r="I517" i="12" s="1"/>
  <c r="J520" i="12"/>
  <c r="H520" i="12" s="1"/>
  <c r="I520" i="12" s="1"/>
  <c r="J524" i="12"/>
  <c r="H524" i="12" s="1"/>
  <c r="I524" i="12" s="1"/>
  <c r="J528" i="12"/>
  <c r="H528" i="12" s="1"/>
  <c r="I528" i="12" s="1"/>
  <c r="J531" i="12"/>
  <c r="H531" i="12" s="1"/>
  <c r="I531" i="12" s="1"/>
  <c r="J533" i="12"/>
  <c r="H533" i="12" s="1"/>
  <c r="J537" i="12"/>
  <c r="H537" i="12" s="1"/>
  <c r="I537" i="12" s="1"/>
  <c r="J541" i="12"/>
  <c r="H541" i="12" s="1"/>
  <c r="I541" i="12" s="1"/>
  <c r="J545" i="12"/>
  <c r="H545" i="12" s="1"/>
  <c r="I545" i="12" s="1"/>
  <c r="J549" i="12"/>
  <c r="H549" i="12" s="1"/>
  <c r="I549" i="12" s="1"/>
  <c r="J551" i="12"/>
  <c r="H551" i="12" s="1"/>
  <c r="J555" i="12"/>
  <c r="H555" i="12" s="1"/>
  <c r="I555" i="12" s="1"/>
  <c r="J557" i="12"/>
  <c r="H557" i="12" s="1"/>
  <c r="J561" i="12"/>
  <c r="H561" i="12" s="1"/>
  <c r="I561" i="12" s="1"/>
  <c r="J565" i="12"/>
  <c r="H565" i="12" s="1"/>
  <c r="I565" i="12" s="1"/>
  <c r="J569" i="12"/>
  <c r="H569" i="12" s="1"/>
  <c r="I569" i="12" s="1"/>
  <c r="J573" i="12"/>
  <c r="H573" i="12" s="1"/>
  <c r="I573" i="12" s="1"/>
  <c r="J577" i="12"/>
  <c r="H577" i="12" s="1"/>
  <c r="I577" i="12" s="1"/>
  <c r="J581" i="12"/>
  <c r="H581" i="12" s="1"/>
  <c r="I581" i="12" s="1"/>
  <c r="J227" i="12"/>
  <c r="H227" i="12" s="1"/>
  <c r="I227" i="12" s="1"/>
  <c r="J243" i="12"/>
  <c r="H243" i="12" s="1"/>
  <c r="I243" i="12" s="1"/>
  <c r="J277" i="12"/>
  <c r="H277" i="12" s="1"/>
  <c r="J291" i="12"/>
  <c r="H291" i="12" s="1"/>
  <c r="I291" i="12" s="1"/>
  <c r="J395" i="12"/>
  <c r="H395" i="12" s="1"/>
  <c r="I395" i="12" s="1"/>
  <c r="J399" i="12"/>
  <c r="H399" i="12" s="1"/>
  <c r="I399" i="12" s="1"/>
  <c r="J406" i="12"/>
  <c r="H406" i="12" s="1"/>
  <c r="I406" i="12" s="1"/>
  <c r="J410" i="12"/>
  <c r="H410" i="12" s="1"/>
  <c r="I410" i="12" s="1"/>
  <c r="J417" i="12"/>
  <c r="H417" i="12" s="1"/>
  <c r="I417" i="12" s="1"/>
  <c r="J422" i="12"/>
  <c r="H422" i="12" s="1"/>
  <c r="I422" i="12" s="1"/>
  <c r="J426" i="12"/>
  <c r="H426" i="12" s="1"/>
  <c r="I426" i="12" s="1"/>
  <c r="J435" i="12"/>
  <c r="H435" i="12" s="1"/>
  <c r="I435" i="12" s="1"/>
  <c r="J440" i="12"/>
  <c r="H440" i="12" s="1"/>
  <c r="I440" i="12" s="1"/>
  <c r="J447" i="12"/>
  <c r="H447" i="12" s="1"/>
  <c r="I447" i="12" s="1"/>
  <c r="J452" i="12"/>
  <c r="H452" i="12" s="1"/>
  <c r="I452" i="12" s="1"/>
  <c r="J456" i="12"/>
  <c r="H456" i="12" s="1"/>
  <c r="I456" i="12" s="1"/>
  <c r="J460" i="12"/>
  <c r="H460" i="12" s="1"/>
  <c r="I460" i="12" s="1"/>
  <c r="J467" i="12"/>
  <c r="H467" i="12" s="1"/>
  <c r="I467" i="12" s="1"/>
  <c r="J472" i="12"/>
  <c r="H472" i="12" s="1"/>
  <c r="I472" i="12" s="1"/>
  <c r="J519" i="12"/>
  <c r="H519" i="12" s="1"/>
  <c r="I519" i="12" s="1"/>
  <c r="J523" i="12"/>
  <c r="H523" i="12" s="1"/>
  <c r="I523" i="12" s="1"/>
  <c r="J527" i="12"/>
  <c r="H527" i="12" s="1"/>
  <c r="I527" i="12" s="1"/>
  <c r="J580" i="12"/>
  <c r="H580" i="12" s="1"/>
  <c r="I580" i="12" s="1"/>
  <c r="J166" i="12"/>
  <c r="H166" i="12" s="1"/>
  <c r="J182" i="12"/>
  <c r="H182" i="12" s="1"/>
  <c r="I182" i="12" s="1"/>
  <c r="J230" i="12"/>
  <c r="H230" i="12" s="1"/>
  <c r="I230" i="12" s="1"/>
  <c r="J246" i="12"/>
  <c r="H246" i="12" s="1"/>
  <c r="I246" i="12" s="1"/>
  <c r="J262" i="12"/>
  <c r="H262" i="12" s="1"/>
  <c r="I262" i="12" s="1"/>
  <c r="J314" i="12"/>
  <c r="H314" i="12" s="1"/>
  <c r="I314" i="12" s="1"/>
  <c r="J428" i="12"/>
  <c r="H428" i="12" s="1"/>
  <c r="J429" i="12"/>
  <c r="H429" i="12" s="1"/>
  <c r="I429" i="12" s="1"/>
  <c r="J476" i="12"/>
  <c r="H476" i="12" s="1"/>
  <c r="I476" i="12" s="1"/>
  <c r="J480" i="12"/>
  <c r="H480" i="12" s="1"/>
  <c r="I480" i="12" s="1"/>
  <c r="J483" i="12"/>
  <c r="H483" i="12" s="1"/>
  <c r="J487" i="12"/>
  <c r="H487" i="12" s="1"/>
  <c r="I487" i="12" s="1"/>
  <c r="J491" i="12"/>
  <c r="H491" i="12" s="1"/>
  <c r="I491" i="12" s="1"/>
  <c r="J495" i="12"/>
  <c r="H495" i="12" s="1"/>
  <c r="I495" i="12" s="1"/>
  <c r="J498" i="12"/>
  <c r="H498" i="12" s="1"/>
  <c r="J502" i="12"/>
  <c r="H502" i="12" s="1"/>
  <c r="I502" i="12" s="1"/>
  <c r="J506" i="12"/>
  <c r="H506" i="12" s="1"/>
  <c r="I506" i="12" s="1"/>
  <c r="J507" i="12"/>
  <c r="H507" i="12" s="1"/>
  <c r="I507" i="12" s="1"/>
  <c r="J511" i="12"/>
  <c r="H511" i="12" s="1"/>
  <c r="I511" i="12" s="1"/>
  <c r="J514" i="12"/>
  <c r="H514" i="12" s="1"/>
  <c r="J521" i="12"/>
  <c r="H521" i="12" s="1"/>
  <c r="I521" i="12" s="1"/>
  <c r="J525" i="12"/>
  <c r="H525" i="12" s="1"/>
  <c r="I525" i="12" s="1"/>
  <c r="J534" i="12"/>
  <c r="H534" i="12" s="1"/>
  <c r="I534" i="12" s="1"/>
  <c r="J538" i="12"/>
  <c r="H538" i="12" s="1"/>
  <c r="I538" i="12" s="1"/>
  <c r="J542" i="12"/>
  <c r="H542" i="12" s="1"/>
  <c r="I542" i="12" s="1"/>
  <c r="J546" i="12"/>
  <c r="H546" i="12" s="1"/>
  <c r="I546" i="12" s="1"/>
  <c r="J552" i="12"/>
  <c r="H552" i="12" s="1"/>
  <c r="I552" i="12" s="1"/>
  <c r="J558" i="12"/>
  <c r="H558" i="12" s="1"/>
  <c r="I558" i="12" s="1"/>
  <c r="J562" i="12"/>
  <c r="H562" i="12" s="1"/>
  <c r="I562" i="12" s="1"/>
  <c r="J566" i="12"/>
  <c r="H566" i="12" s="1"/>
  <c r="I566" i="12" s="1"/>
  <c r="J570" i="12"/>
  <c r="H570" i="12" s="1"/>
  <c r="I570" i="12" s="1"/>
  <c r="J574" i="12"/>
  <c r="H574" i="12" s="1"/>
  <c r="I574" i="12" s="1"/>
  <c r="J578" i="12"/>
  <c r="H578" i="12" s="1"/>
  <c r="I578" i="12" s="1"/>
  <c r="J582" i="12"/>
  <c r="H582" i="12" s="1"/>
  <c r="I582" i="12" s="1"/>
  <c r="J278" i="12"/>
  <c r="H278" i="12" s="1"/>
  <c r="I278" i="12" s="1"/>
  <c r="J280" i="12"/>
  <c r="H280" i="12" s="1"/>
  <c r="I280" i="12" s="1"/>
  <c r="J288" i="12"/>
  <c r="H288" i="12" s="1"/>
  <c r="I288" i="12" s="1"/>
  <c r="J292" i="12"/>
  <c r="H292" i="12" s="1"/>
  <c r="I292" i="12" s="1"/>
  <c r="J300" i="12"/>
  <c r="H300" i="12" s="1"/>
  <c r="I300" i="12" s="1"/>
  <c r="J318" i="12"/>
  <c r="H318" i="12" s="1"/>
  <c r="I318" i="12" s="1"/>
  <c r="J392" i="12"/>
  <c r="H392" i="12" s="1"/>
  <c r="J430" i="12"/>
  <c r="H430" i="12" s="1"/>
  <c r="I430" i="12" s="1"/>
  <c r="J508" i="12"/>
  <c r="H508" i="12" s="1"/>
  <c r="I508" i="12" s="1"/>
  <c r="J512" i="12"/>
  <c r="H512" i="12" s="1"/>
  <c r="I512" i="12" s="1"/>
  <c r="J515" i="12"/>
  <c r="H515" i="12" s="1"/>
  <c r="I515" i="12" s="1"/>
  <c r="J522" i="12"/>
  <c r="H522" i="12" s="1"/>
  <c r="I522" i="12" s="1"/>
  <c r="J526" i="12"/>
  <c r="H526" i="12" s="1"/>
  <c r="I526" i="12" s="1"/>
  <c r="J535" i="12"/>
  <c r="H535" i="12" s="1"/>
  <c r="I535" i="12" s="1"/>
  <c r="J539" i="12"/>
  <c r="H539" i="12" s="1"/>
  <c r="I539" i="12" s="1"/>
  <c r="J543" i="12"/>
  <c r="H543" i="12" s="1"/>
  <c r="I543" i="12" s="1"/>
  <c r="J547" i="12"/>
  <c r="H547" i="12" s="1"/>
  <c r="I547" i="12" s="1"/>
  <c r="J550" i="12"/>
  <c r="H550" i="12" s="1"/>
  <c r="J553" i="12"/>
  <c r="H553" i="12" s="1"/>
  <c r="I553" i="12" s="1"/>
  <c r="J559" i="12"/>
  <c r="H559" i="12" s="1"/>
  <c r="I559" i="12" s="1"/>
  <c r="J563" i="12"/>
  <c r="H563" i="12" s="1"/>
  <c r="I563" i="12" s="1"/>
  <c r="J567" i="12"/>
  <c r="H567" i="12" s="1"/>
  <c r="I567" i="12" s="1"/>
  <c r="J571" i="12"/>
  <c r="H571" i="12" s="1"/>
  <c r="I571" i="12" s="1"/>
  <c r="J575" i="12"/>
  <c r="H575" i="12" s="1"/>
  <c r="I575" i="12" s="1"/>
  <c r="J579" i="12"/>
  <c r="H579" i="12" s="1"/>
  <c r="I579" i="12" s="1"/>
  <c r="J2" i="12"/>
  <c r="H2" i="12" s="1"/>
  <c r="I2" i="12" s="1"/>
  <c r="J169" i="12"/>
  <c r="H169" i="12" s="1"/>
  <c r="I169" i="12" s="1"/>
  <c r="J185" i="12"/>
  <c r="H185" i="12" s="1"/>
  <c r="I185" i="12" s="1"/>
  <c r="J196" i="12"/>
  <c r="H196" i="12" s="1"/>
  <c r="I196" i="12" s="1"/>
  <c r="J259" i="12"/>
  <c r="H259" i="12" s="1"/>
  <c r="I259" i="12" s="1"/>
  <c r="J283" i="12"/>
  <c r="H283" i="12" s="1"/>
  <c r="I283" i="12" s="1"/>
  <c r="J287" i="12"/>
  <c r="H287" i="12" s="1"/>
  <c r="I287" i="12" s="1"/>
  <c r="J299" i="12"/>
  <c r="H299" i="12" s="1"/>
  <c r="I299" i="12" s="1"/>
  <c r="J303" i="12"/>
  <c r="H303" i="12" s="1"/>
  <c r="I303" i="12" s="1"/>
  <c r="J322" i="12"/>
  <c r="H322" i="12" s="1"/>
  <c r="I322" i="12" s="1"/>
  <c r="J394" i="12"/>
  <c r="H394" i="12" s="1"/>
  <c r="I394" i="12" s="1"/>
  <c r="J398" i="12"/>
  <c r="H398" i="12" s="1"/>
  <c r="I398" i="12" s="1"/>
  <c r="J402" i="12"/>
  <c r="H402" i="12" s="1"/>
  <c r="I402" i="12" s="1"/>
  <c r="J403" i="12"/>
  <c r="H403" i="12" s="1"/>
  <c r="I403" i="12" s="1"/>
  <c r="J407" i="12"/>
  <c r="H407" i="12" s="1"/>
  <c r="I407" i="12" s="1"/>
  <c r="J413" i="12"/>
  <c r="H413" i="12" s="1"/>
  <c r="I413" i="12" s="1"/>
  <c r="J414" i="12"/>
  <c r="H414" i="12" s="1"/>
  <c r="I414" i="12" s="1"/>
  <c r="J418" i="12"/>
  <c r="H418" i="12" s="1"/>
  <c r="I418" i="12" s="1"/>
  <c r="J421" i="12"/>
  <c r="H421" i="12" s="1"/>
  <c r="I421" i="12" s="1"/>
  <c r="J425" i="12"/>
  <c r="H425" i="12" s="1"/>
  <c r="I425" i="12" s="1"/>
  <c r="J431" i="12"/>
  <c r="H431" i="12" s="1"/>
  <c r="J432" i="12"/>
  <c r="H432" i="12" s="1"/>
  <c r="I432" i="12" s="1"/>
  <c r="J436" i="12"/>
  <c r="H436" i="12" s="1"/>
  <c r="I436" i="12" s="1"/>
  <c r="J439" i="12"/>
  <c r="H439" i="12" s="1"/>
  <c r="I439" i="12" s="1"/>
  <c r="J443" i="12"/>
  <c r="H443" i="12" s="1"/>
  <c r="I443" i="12" s="1"/>
  <c r="J444" i="12"/>
  <c r="H444" i="12" s="1"/>
  <c r="I444" i="12" s="1"/>
  <c r="J448" i="12"/>
  <c r="H448" i="12" s="1"/>
  <c r="I448" i="12" s="1"/>
  <c r="J451" i="12"/>
  <c r="H451" i="12" s="1"/>
  <c r="I451" i="12" s="1"/>
  <c r="J455" i="12"/>
  <c r="H455" i="12" s="1"/>
  <c r="I455" i="12" s="1"/>
  <c r="J459" i="12"/>
  <c r="H459" i="12" s="1"/>
  <c r="I459" i="12" s="1"/>
  <c r="J463" i="12"/>
  <c r="H463" i="12" s="1"/>
  <c r="I463" i="12" s="1"/>
  <c r="J464" i="12"/>
  <c r="H464" i="12" s="1"/>
  <c r="I464" i="12" s="1"/>
  <c r="J468" i="12"/>
  <c r="H468" i="12" s="1"/>
  <c r="I468" i="12" s="1"/>
  <c r="J471" i="12"/>
  <c r="H471" i="12" s="1"/>
  <c r="I471" i="12" s="1"/>
  <c r="J509" i="12"/>
  <c r="H509" i="12" s="1"/>
  <c r="I509" i="12" s="1"/>
  <c r="J560" i="12"/>
  <c r="H560" i="12" s="1"/>
  <c r="I560" i="12" s="1"/>
  <c r="T99" i="1"/>
  <c r="K99" i="1" s="1"/>
  <c r="M99" i="1" s="1"/>
  <c r="T89" i="1"/>
  <c r="K89" i="1" s="1"/>
  <c r="M89" i="1" s="1"/>
  <c r="T104" i="1"/>
  <c r="K104" i="1" s="1"/>
  <c r="M104" i="1" s="1"/>
  <c r="T65" i="1"/>
  <c r="K65" i="1" s="1"/>
  <c r="M65" i="1" s="1"/>
  <c r="T40" i="1"/>
  <c r="K40" i="1" s="1"/>
  <c r="M40" i="1" s="1"/>
  <c r="T86" i="1"/>
  <c r="K86" i="1" s="1"/>
  <c r="M86" i="1" s="1"/>
  <c r="T85" i="1"/>
  <c r="K85" i="1" s="1"/>
  <c r="M85" i="1" s="1"/>
  <c r="T106" i="1"/>
  <c r="K106" i="1" s="1"/>
  <c r="M106" i="1" s="1"/>
  <c r="T143" i="1"/>
  <c r="K143" i="1" s="1"/>
  <c r="M143" i="1" s="1"/>
  <c r="T141" i="1"/>
  <c r="K141" i="1" s="1"/>
  <c r="M141" i="1" s="1"/>
  <c r="T142" i="1"/>
  <c r="K142" i="1" s="1"/>
  <c r="M142" i="1" s="1"/>
  <c r="T73" i="1"/>
  <c r="K73" i="1" s="1"/>
  <c r="M73" i="1" s="1"/>
  <c r="T117" i="1"/>
  <c r="K117" i="1" s="1"/>
  <c r="M117" i="1" s="1"/>
  <c r="T125" i="1"/>
  <c r="K125" i="1" s="1"/>
  <c r="M125" i="1" s="1"/>
  <c r="T122" i="1"/>
  <c r="K122" i="1" s="1"/>
  <c r="M122" i="1" s="1"/>
  <c r="T113" i="1"/>
  <c r="K113" i="1" s="1"/>
  <c r="M113" i="1" s="1"/>
  <c r="T140" i="1"/>
  <c r="K140" i="1" s="1"/>
  <c r="M140" i="1" s="1"/>
  <c r="T9" i="1"/>
  <c r="K9" i="1" s="1"/>
  <c r="M9" i="1" s="1"/>
  <c r="T19" i="1"/>
  <c r="K19" i="1" s="1"/>
  <c r="M19" i="1" s="1"/>
  <c r="T36" i="1"/>
  <c r="K36" i="1" s="1"/>
  <c r="M36" i="1" s="1"/>
  <c r="T2" i="1"/>
  <c r="K2" i="1" s="1"/>
  <c r="M2" i="1" s="1"/>
  <c r="T46" i="1"/>
  <c r="K46" i="1" s="1"/>
  <c r="M46" i="1" s="1"/>
  <c r="T150" i="1"/>
  <c r="K150" i="1" s="1"/>
  <c r="M150" i="1" s="1"/>
  <c r="T63" i="1"/>
  <c r="K63" i="1" s="1"/>
  <c r="M63" i="1" s="1"/>
  <c r="T82" i="1"/>
  <c r="K82" i="1" s="1"/>
  <c r="M82" i="1" s="1"/>
  <c r="T107" i="1"/>
  <c r="K107" i="1" s="1"/>
  <c r="M107" i="1" s="1"/>
  <c r="T116" i="1"/>
  <c r="K116" i="1" s="1"/>
  <c r="M116" i="1" s="1"/>
  <c r="T34" i="1"/>
  <c r="K34" i="1" s="1"/>
  <c r="M34" i="1" s="1"/>
  <c r="T115" i="1"/>
  <c r="K115" i="1" s="1"/>
  <c r="M115" i="1" s="1"/>
  <c r="T112" i="1"/>
  <c r="K112" i="1" s="1"/>
  <c r="M112" i="1" s="1"/>
  <c r="T110" i="1"/>
  <c r="K110" i="1" s="1"/>
  <c r="M110" i="1" s="1"/>
  <c r="T83" i="1"/>
  <c r="K83" i="1" s="1"/>
  <c r="M83" i="1" s="1"/>
  <c r="T57" i="1"/>
  <c r="K57" i="1" s="1"/>
  <c r="M57" i="1" s="1"/>
  <c r="T48" i="1"/>
  <c r="K48" i="1" s="1"/>
  <c r="M48" i="1" s="1"/>
  <c r="T44" i="1"/>
  <c r="K44" i="1" s="1"/>
  <c r="M44" i="1" s="1"/>
  <c r="T37" i="1"/>
  <c r="K37" i="1" s="1"/>
  <c r="M37" i="1" s="1"/>
  <c r="T66" i="1"/>
  <c r="K66" i="1" s="1"/>
  <c r="M66" i="1" s="1"/>
  <c r="T59" i="1"/>
  <c r="K59" i="1" s="1"/>
  <c r="M59" i="1" s="1"/>
  <c r="T131" i="1"/>
  <c r="K131" i="1" s="1"/>
  <c r="M131" i="1" s="1"/>
  <c r="T111" i="1"/>
  <c r="K111" i="1" s="1"/>
  <c r="M111" i="1" s="1"/>
  <c r="T135" i="1"/>
  <c r="K135" i="1" s="1"/>
  <c r="M135" i="1" s="1"/>
  <c r="T133" i="1"/>
  <c r="K133" i="1" s="1"/>
  <c r="M133" i="1" s="1"/>
  <c r="T101" i="1"/>
  <c r="K101" i="1" s="1"/>
  <c r="M101" i="1" s="1"/>
  <c r="T53" i="1"/>
  <c r="K53" i="1" s="1"/>
  <c r="M53" i="1" s="1"/>
  <c r="T128" i="1"/>
  <c r="K128" i="1" s="1"/>
  <c r="M128" i="1" s="1"/>
  <c r="T153" i="1"/>
  <c r="K153" i="1" s="1"/>
  <c r="M153" i="1" s="1"/>
  <c r="T127" i="1"/>
  <c r="K127" i="1" s="1"/>
  <c r="M127" i="1" s="1"/>
  <c r="T90" i="1"/>
  <c r="K90" i="1" s="1"/>
  <c r="M90" i="1" s="1"/>
  <c r="T134" i="1"/>
  <c r="K134" i="1" s="1"/>
  <c r="M134" i="1" s="1"/>
  <c r="T147" i="1"/>
  <c r="K147" i="1" s="1"/>
  <c r="M147" i="1" s="1"/>
  <c r="T149" i="1"/>
  <c r="K149" i="1" s="1"/>
  <c r="M149" i="1" s="1"/>
  <c r="T121" i="1"/>
  <c r="K121" i="1" s="1"/>
  <c r="M121" i="1" s="1"/>
  <c r="T98" i="1"/>
  <c r="K98" i="1" s="1"/>
  <c r="M98" i="1" s="1"/>
  <c r="T120" i="1"/>
  <c r="K120" i="1" s="1"/>
  <c r="M120" i="1" s="1"/>
  <c r="T148" i="1"/>
  <c r="K148" i="1" s="1"/>
  <c r="M148" i="1" s="1"/>
  <c r="T3" i="1"/>
  <c r="T4" i="1"/>
  <c r="K4" i="1" s="1"/>
  <c r="M4" i="1" s="1"/>
  <c r="T49" i="1"/>
  <c r="T62" i="1"/>
  <c r="T84" i="1"/>
  <c r="T26" i="1"/>
  <c r="T14" i="1"/>
  <c r="T55" i="1"/>
  <c r="T77" i="1"/>
  <c r="T27" i="1"/>
  <c r="T22" i="1"/>
  <c r="T50" i="1"/>
  <c r="T41" i="1"/>
  <c r="T24" i="1"/>
  <c r="T33" i="1"/>
  <c r="T96" i="1"/>
  <c r="T92" i="1"/>
  <c r="T108" i="1"/>
  <c r="T71" i="1"/>
  <c r="T105" i="1"/>
  <c r="T70" i="1"/>
  <c r="T129" i="1"/>
  <c r="T132" i="1"/>
  <c r="T152" i="1"/>
  <c r="T156" i="1"/>
  <c r="T161" i="1"/>
  <c r="T18" i="1"/>
  <c r="K18" i="1" s="1"/>
  <c r="M18" i="1" s="1"/>
  <c r="T109" i="1"/>
  <c r="T91" i="1"/>
  <c r="T31" i="1"/>
  <c r="T39" i="1"/>
  <c r="T68" i="1"/>
  <c r="T60" i="1"/>
  <c r="T12" i="1"/>
  <c r="T8" i="1"/>
  <c r="T29" i="1"/>
  <c r="T11" i="1"/>
  <c r="T72" i="1"/>
  <c r="T123" i="1"/>
  <c r="T13" i="1"/>
  <c r="T17" i="1"/>
  <c r="T51" i="1"/>
  <c r="T52" i="1"/>
  <c r="T43" i="1"/>
  <c r="T97" i="1"/>
  <c r="T78" i="1"/>
  <c r="T102" i="1"/>
  <c r="T124" i="1"/>
  <c r="T151" i="1"/>
  <c r="T158" i="1"/>
  <c r="T159" i="1"/>
  <c r="T87" i="1"/>
  <c r="K87" i="1" s="1"/>
  <c r="M87" i="1" s="1"/>
  <c r="T6" i="1"/>
  <c r="T47" i="1"/>
  <c r="T146" i="1"/>
  <c r="T20" i="1"/>
  <c r="T16" i="1"/>
  <c r="T28" i="1"/>
  <c r="T25" i="1"/>
  <c r="T79" i="1"/>
  <c r="T38" i="1"/>
  <c r="T103" i="1"/>
  <c r="T136" i="1"/>
  <c r="T138" i="1"/>
  <c r="T160" i="1"/>
  <c r="T69" i="1"/>
  <c r="T45" i="1"/>
  <c r="T56" i="1"/>
  <c r="T32" i="1"/>
  <c r="T100" i="1"/>
  <c r="T130" i="1"/>
  <c r="T95" i="1"/>
  <c r="K95" i="1" s="1"/>
  <c r="M95" i="1" s="1"/>
  <c r="T21" i="1"/>
  <c r="T64" i="1"/>
  <c r="T23" i="1"/>
  <c r="T76" i="1"/>
  <c r="T88" i="1"/>
  <c r="T58" i="1"/>
  <c r="T154" i="1"/>
  <c r="T118" i="1"/>
  <c r="K118" i="1" s="1"/>
  <c r="M118" i="1" s="1"/>
  <c r="T145" i="1"/>
  <c r="T137" i="1"/>
  <c r="T7" i="1"/>
  <c r="T35" i="1"/>
  <c r="T30" i="1"/>
  <c r="T74" i="1"/>
  <c r="T94" i="1"/>
  <c r="T75" i="1"/>
  <c r="T93" i="1"/>
  <c r="T119" i="1"/>
  <c r="T144" i="1"/>
  <c r="T157" i="1"/>
  <c r="T5" i="1"/>
  <c r="T61" i="1"/>
  <c r="T10" i="1"/>
  <c r="T54" i="1"/>
  <c r="T126" i="1"/>
  <c r="T155" i="1"/>
  <c r="T15" i="1"/>
  <c r="T139" i="1"/>
  <c r="T67" i="1"/>
  <c r="T80" i="1"/>
  <c r="T42" i="1"/>
  <c r="T114" i="1"/>
  <c r="T81" i="1"/>
  <c r="K81" i="1" s="1"/>
  <c r="M81" i="1" s="1"/>
  <c r="J4" i="1"/>
  <c r="J161" i="1"/>
  <c r="R153" i="1" l="1"/>
  <c r="R48" i="1"/>
  <c r="S48" i="1" s="1"/>
  <c r="R112" i="1"/>
  <c r="S112" i="1" s="1"/>
  <c r="R9" i="1"/>
  <c r="S9" i="1" s="1"/>
  <c r="R125" i="1"/>
  <c r="R89" i="1"/>
  <c r="S89" i="1" s="1"/>
  <c r="R118" i="1"/>
  <c r="S118" i="1" s="1"/>
  <c r="R95" i="1"/>
  <c r="S95" i="1" s="1"/>
  <c r="R98" i="1"/>
  <c r="S98" i="1" s="1"/>
  <c r="R128" i="1"/>
  <c r="S128" i="1" s="1"/>
  <c r="R66" i="1"/>
  <c r="S66" i="1" s="1"/>
  <c r="R115" i="1"/>
  <c r="S115" i="1" s="1"/>
  <c r="R2" i="1"/>
  <c r="R143" i="1"/>
  <c r="S143" i="1" s="1"/>
  <c r="R40" i="1"/>
  <c r="S40" i="1" s="1"/>
  <c r="R90" i="1"/>
  <c r="S90" i="1" s="1"/>
  <c r="R53" i="1"/>
  <c r="R37" i="1"/>
  <c r="S37" i="1" s="1"/>
  <c r="R83" i="1"/>
  <c r="S83" i="1" s="1"/>
  <c r="R63" i="1"/>
  <c r="S63" i="1" s="1"/>
  <c r="R36" i="1"/>
  <c r="R73" i="1"/>
  <c r="S73" i="1" s="1"/>
  <c r="R106" i="1"/>
  <c r="S106" i="1" s="1"/>
  <c r="R81" i="1"/>
  <c r="S81" i="1" s="1"/>
  <c r="R18" i="1"/>
  <c r="R148" i="1"/>
  <c r="S148" i="1" s="1"/>
  <c r="R149" i="1"/>
  <c r="S149" i="1" s="1"/>
  <c r="R127" i="1"/>
  <c r="S127" i="1" s="1"/>
  <c r="R101" i="1"/>
  <c r="S101" i="1" s="1"/>
  <c r="R131" i="1"/>
  <c r="S131" i="1" s="1"/>
  <c r="R44" i="1"/>
  <c r="S44" i="1" s="1"/>
  <c r="R110" i="1"/>
  <c r="S110" i="1" s="1"/>
  <c r="R116" i="1"/>
  <c r="R150" i="1"/>
  <c r="S150" i="1" s="1"/>
  <c r="R19" i="1"/>
  <c r="S19" i="1" s="1"/>
  <c r="R122" i="1"/>
  <c r="S122" i="1" s="1"/>
  <c r="R142" i="1"/>
  <c r="R85" i="1"/>
  <c r="S85" i="1" s="1"/>
  <c r="R104" i="1"/>
  <c r="S104" i="1" s="1"/>
  <c r="R147" i="1"/>
  <c r="S147" i="1" s="1"/>
  <c r="R59" i="1"/>
  <c r="S59" i="1" s="1"/>
  <c r="R46" i="1"/>
  <c r="S46" i="1" s="1"/>
  <c r="R86" i="1"/>
  <c r="S86" i="1" s="1"/>
  <c r="R87" i="1"/>
  <c r="S87" i="1" s="1"/>
  <c r="R134" i="1"/>
  <c r="S134" i="1" s="1"/>
  <c r="R57" i="1"/>
  <c r="S57" i="1" s="1"/>
  <c r="R140" i="1"/>
  <c r="S140" i="1" s="1"/>
  <c r="R99" i="1"/>
  <c r="S99" i="1" s="1"/>
  <c r="R120" i="1"/>
  <c r="S120" i="1" s="1"/>
  <c r="R133" i="1"/>
  <c r="S133" i="1" s="1"/>
  <c r="R107" i="1"/>
  <c r="S107" i="1" s="1"/>
  <c r="R141" i="1"/>
  <c r="S141" i="1" s="1"/>
  <c r="R4" i="1"/>
  <c r="R135" i="1"/>
  <c r="S135" i="1" s="1"/>
  <c r="R82" i="1"/>
  <c r="S82" i="1" s="1"/>
  <c r="R117" i="1"/>
  <c r="S117" i="1" s="1"/>
  <c r="R121" i="1"/>
  <c r="S121" i="1" s="1"/>
  <c r="R111" i="1"/>
  <c r="S111" i="1" s="1"/>
  <c r="R34" i="1"/>
  <c r="S34" i="1" s="1"/>
  <c r="R113" i="1"/>
  <c r="S113" i="1" s="1"/>
  <c r="R65" i="1"/>
  <c r="S65" i="1" s="1"/>
  <c r="L99" i="1"/>
  <c r="P99" i="1"/>
  <c r="Q99" i="1" s="1"/>
  <c r="L9" i="1"/>
  <c r="P9" i="1"/>
  <c r="Q9" i="1" s="1"/>
  <c r="L140" i="1"/>
  <c r="P140" i="1"/>
  <c r="Q140" i="1" s="1"/>
  <c r="L113" i="1"/>
  <c r="P113" i="1"/>
  <c r="Q113" i="1" s="1"/>
  <c r="L122" i="1"/>
  <c r="P122" i="1"/>
  <c r="Q122" i="1" s="1"/>
  <c r="L125" i="1"/>
  <c r="S125" i="1"/>
  <c r="P125" i="1"/>
  <c r="Q125" i="1" s="1"/>
  <c r="O125" i="1" s="1"/>
  <c r="L117" i="1"/>
  <c r="P117" i="1"/>
  <c r="Q117" i="1" s="1"/>
  <c r="O117" i="1" s="1"/>
  <c r="L73" i="1"/>
  <c r="P73" i="1"/>
  <c r="P142" i="1"/>
  <c r="Q142" i="1" s="1"/>
  <c r="L142" i="1"/>
  <c r="S142" i="1"/>
  <c r="L141" i="1"/>
  <c r="P141" i="1"/>
  <c r="Q141" i="1" s="1"/>
  <c r="L143" i="1"/>
  <c r="P143" i="1"/>
  <c r="Q143" i="1" s="1"/>
  <c r="L106" i="1"/>
  <c r="P106" i="1"/>
  <c r="Q106" i="1" s="1"/>
  <c r="O106" i="1" s="1"/>
  <c r="L85" i="1"/>
  <c r="P85" i="1"/>
  <c r="Q85" i="1" s="1"/>
  <c r="L86" i="1"/>
  <c r="P86" i="1"/>
  <c r="Q86" i="1" s="1"/>
  <c r="O86" i="1" s="1"/>
  <c r="L40" i="1"/>
  <c r="P40" i="1"/>
  <c r="Q40" i="1" s="1"/>
  <c r="L65" i="1"/>
  <c r="P65" i="1"/>
  <c r="Q65" i="1" s="1"/>
  <c r="O65" i="1" s="1"/>
  <c r="L104" i="1"/>
  <c r="P104" i="1"/>
  <c r="Q104" i="1" s="1"/>
  <c r="L89" i="1"/>
  <c r="P89" i="1"/>
  <c r="Q89" i="1" s="1"/>
  <c r="O89" i="1" s="1"/>
  <c r="L116" i="1"/>
  <c r="S116" i="1"/>
  <c r="P116" i="1"/>
  <c r="Q116" i="1" s="1"/>
  <c r="O116" i="1" s="1"/>
  <c r="L107" i="1"/>
  <c r="P107" i="1"/>
  <c r="Q107" i="1" s="1"/>
  <c r="O107" i="1" s="1"/>
  <c r="L82" i="1"/>
  <c r="P82" i="1"/>
  <c r="L63" i="1"/>
  <c r="P63" i="1"/>
  <c r="Q63" i="1" s="1"/>
  <c r="O63" i="1" s="1"/>
  <c r="L150" i="1"/>
  <c r="P150" i="1"/>
  <c r="L46" i="1"/>
  <c r="P46" i="1"/>
  <c r="Q46" i="1" s="1"/>
  <c r="O46" i="1" s="1"/>
  <c r="L2" i="1"/>
  <c r="S2" i="1"/>
  <c r="P2" i="1"/>
  <c r="L36" i="1"/>
  <c r="S36" i="1"/>
  <c r="P36" i="1"/>
  <c r="Q36" i="1" s="1"/>
  <c r="L19" i="1"/>
  <c r="P19" i="1"/>
  <c r="Q19" i="1" s="1"/>
  <c r="O19" i="1" s="1"/>
  <c r="K17" i="1"/>
  <c r="M17" i="1" s="1"/>
  <c r="P81" i="1"/>
  <c r="Q81" i="1" s="1"/>
  <c r="P118" i="1"/>
  <c r="Q118" i="1" s="1"/>
  <c r="P95" i="1"/>
  <c r="Q95" i="1" s="1"/>
  <c r="P87" i="1"/>
  <c r="Q87" i="1" s="1"/>
  <c r="P148" i="1"/>
  <c r="Q148" i="1" s="1"/>
  <c r="O148" i="1" s="1"/>
  <c r="P120" i="1"/>
  <c r="Q120" i="1" s="1"/>
  <c r="P98" i="1"/>
  <c r="Q98" i="1" s="1"/>
  <c r="O98" i="1" s="1"/>
  <c r="P121" i="1"/>
  <c r="Q121" i="1" s="1"/>
  <c r="P149" i="1"/>
  <c r="Q149" i="1" s="1"/>
  <c r="O149" i="1" s="1"/>
  <c r="P147" i="1"/>
  <c r="Q147" i="1" s="1"/>
  <c r="P134" i="1"/>
  <c r="Q134" i="1" s="1"/>
  <c r="O134" i="1" s="1"/>
  <c r="P90" i="1"/>
  <c r="Q90" i="1" s="1"/>
  <c r="P127" i="1"/>
  <c r="Q127" i="1" s="1"/>
  <c r="O127" i="1" s="1"/>
  <c r="P153" i="1"/>
  <c r="Q153" i="1" s="1"/>
  <c r="L153" i="1"/>
  <c r="S153" i="1"/>
  <c r="P128" i="1"/>
  <c r="Q128" i="1" s="1"/>
  <c r="O128" i="1" s="1"/>
  <c r="L128" i="1"/>
  <c r="P53" i="1"/>
  <c r="Q53" i="1" s="1"/>
  <c r="O53" i="1" s="1"/>
  <c r="S53" i="1"/>
  <c r="L53" i="1"/>
  <c r="P101" i="1"/>
  <c r="L101" i="1"/>
  <c r="P133" i="1"/>
  <c r="Q133" i="1" s="1"/>
  <c r="L133" i="1"/>
  <c r="P135" i="1"/>
  <c r="Q135" i="1" s="1"/>
  <c r="L135" i="1"/>
  <c r="P111" i="1"/>
  <c r="Q111" i="1" s="1"/>
  <c r="O111" i="1" s="1"/>
  <c r="L111" i="1"/>
  <c r="P131" i="1"/>
  <c r="Q131" i="1" s="1"/>
  <c r="L131" i="1"/>
  <c r="P59" i="1"/>
  <c r="Q59" i="1" s="1"/>
  <c r="O59" i="1" s="1"/>
  <c r="L59" i="1"/>
  <c r="P66" i="1"/>
  <c r="Q66" i="1" s="1"/>
  <c r="L66" i="1"/>
  <c r="L37" i="1"/>
  <c r="P37" i="1"/>
  <c r="Q37" i="1" s="1"/>
  <c r="L44" i="1"/>
  <c r="P44" i="1"/>
  <c r="L48" i="1"/>
  <c r="P48" i="1"/>
  <c r="Q48" i="1" s="1"/>
  <c r="L57" i="1"/>
  <c r="P57" i="1"/>
  <c r="L83" i="1"/>
  <c r="P83" i="1"/>
  <c r="Q83" i="1" s="1"/>
  <c r="L110" i="1"/>
  <c r="P110" i="1"/>
  <c r="L112" i="1"/>
  <c r="P112" i="1"/>
  <c r="Q112" i="1" s="1"/>
  <c r="L115" i="1"/>
  <c r="P115" i="1"/>
  <c r="L34" i="1"/>
  <c r="P34" i="1"/>
  <c r="Q34" i="1" s="1"/>
  <c r="K139" i="1"/>
  <c r="M139" i="1" s="1"/>
  <c r="K5" i="1"/>
  <c r="M5" i="1" s="1"/>
  <c r="K30" i="1"/>
  <c r="M30" i="1" s="1"/>
  <c r="K76" i="1"/>
  <c r="M76" i="1" s="1"/>
  <c r="K136" i="1"/>
  <c r="M136" i="1" s="1"/>
  <c r="K146" i="1"/>
  <c r="M146" i="1" s="1"/>
  <c r="K97" i="1"/>
  <c r="M97" i="1" s="1"/>
  <c r="K11" i="1"/>
  <c r="M11" i="1" s="1"/>
  <c r="K91" i="1"/>
  <c r="M91" i="1" s="1"/>
  <c r="K105" i="1"/>
  <c r="M105" i="1" s="1"/>
  <c r="K50" i="1"/>
  <c r="M50" i="1" s="1"/>
  <c r="K84" i="1"/>
  <c r="M84" i="1" s="1"/>
  <c r="K42" i="1"/>
  <c r="M42" i="1" s="1"/>
  <c r="K54" i="1"/>
  <c r="M54" i="1" s="1"/>
  <c r="K75" i="1"/>
  <c r="M75" i="1" s="1"/>
  <c r="K23" i="1"/>
  <c r="M23" i="1" s="1"/>
  <c r="K56" i="1"/>
  <c r="M56" i="1" s="1"/>
  <c r="K28" i="1"/>
  <c r="M28" i="1" s="1"/>
  <c r="K43" i="1"/>
  <c r="M43" i="1" s="1"/>
  <c r="K29" i="1"/>
  <c r="M29" i="1" s="1"/>
  <c r="K109" i="1"/>
  <c r="M109" i="1" s="1"/>
  <c r="K132" i="1"/>
  <c r="M132" i="1" s="1"/>
  <c r="K71" i="1"/>
  <c r="M71" i="1" s="1"/>
  <c r="K33" i="1"/>
  <c r="M33" i="1" s="1"/>
  <c r="K22" i="1"/>
  <c r="M22" i="1" s="1"/>
  <c r="K62" i="1"/>
  <c r="M62" i="1" s="1"/>
  <c r="K80" i="1"/>
  <c r="M80" i="1" s="1"/>
  <c r="K10" i="1"/>
  <c r="M10" i="1" s="1"/>
  <c r="K144" i="1"/>
  <c r="M144" i="1" s="1"/>
  <c r="K94" i="1"/>
  <c r="M94" i="1" s="1"/>
  <c r="K7" i="1"/>
  <c r="M7" i="1" s="1"/>
  <c r="K58" i="1"/>
  <c r="M58" i="1" s="1"/>
  <c r="K64" i="1"/>
  <c r="M64" i="1" s="1"/>
  <c r="K130" i="1"/>
  <c r="M130" i="1" s="1"/>
  <c r="K45" i="1"/>
  <c r="M45" i="1" s="1"/>
  <c r="K160" i="1"/>
  <c r="R160" i="1" s="1"/>
  <c r="K38" i="1"/>
  <c r="M38" i="1" s="1"/>
  <c r="K16" i="1"/>
  <c r="M16" i="1" s="1"/>
  <c r="K6" i="1"/>
  <c r="M6" i="1" s="1"/>
  <c r="K159" i="1"/>
  <c r="R159" i="1" s="1"/>
  <c r="K102" i="1"/>
  <c r="M102" i="1" s="1"/>
  <c r="K52" i="1"/>
  <c r="M52" i="1" s="1"/>
  <c r="K123" i="1"/>
  <c r="M123" i="1" s="1"/>
  <c r="K8" i="1"/>
  <c r="M8" i="1" s="1"/>
  <c r="K39" i="1"/>
  <c r="M39" i="1" s="1"/>
  <c r="K161" i="1"/>
  <c r="R161" i="1" s="1"/>
  <c r="K129" i="1"/>
  <c r="M129" i="1" s="1"/>
  <c r="K108" i="1"/>
  <c r="M108" i="1" s="1"/>
  <c r="K24" i="1"/>
  <c r="M24" i="1" s="1"/>
  <c r="K27" i="1"/>
  <c r="M27" i="1" s="1"/>
  <c r="K14" i="1"/>
  <c r="M14" i="1" s="1"/>
  <c r="K49" i="1"/>
  <c r="M49" i="1" s="1"/>
  <c r="K114" i="1"/>
  <c r="M114" i="1" s="1"/>
  <c r="K126" i="1"/>
  <c r="M126" i="1" s="1"/>
  <c r="K93" i="1"/>
  <c r="M93" i="1" s="1"/>
  <c r="K145" i="1"/>
  <c r="M145" i="1" s="1"/>
  <c r="K32" i="1"/>
  <c r="M32" i="1" s="1"/>
  <c r="K25" i="1"/>
  <c r="M25" i="1" s="1"/>
  <c r="K151" i="1"/>
  <c r="M151" i="1" s="1"/>
  <c r="K60" i="1"/>
  <c r="M60" i="1" s="1"/>
  <c r="K152" i="1"/>
  <c r="M152" i="1" s="1"/>
  <c r="K96" i="1"/>
  <c r="M96" i="1" s="1"/>
  <c r="K55" i="1"/>
  <c r="M55" i="1" s="1"/>
  <c r="K3" i="1"/>
  <c r="M3" i="1" s="1"/>
  <c r="K15" i="1"/>
  <c r="M15" i="1" s="1"/>
  <c r="K157" i="1"/>
  <c r="R157" i="1" s="1"/>
  <c r="K35" i="1"/>
  <c r="M35" i="1" s="1"/>
  <c r="K154" i="1"/>
  <c r="R154" i="1" s="1"/>
  <c r="K103" i="1"/>
  <c r="M103" i="1" s="1"/>
  <c r="K47" i="1"/>
  <c r="M47" i="1" s="1"/>
  <c r="K124" i="1"/>
  <c r="M124" i="1" s="1"/>
  <c r="K13" i="1"/>
  <c r="M13" i="1" s="1"/>
  <c r="K68" i="1"/>
  <c r="M68" i="1" s="1"/>
  <c r="K67" i="1"/>
  <c r="M67" i="1" s="1"/>
  <c r="K155" i="1"/>
  <c r="R155" i="1" s="1"/>
  <c r="K61" i="1"/>
  <c r="M61" i="1" s="1"/>
  <c r="K119" i="1"/>
  <c r="M119" i="1" s="1"/>
  <c r="K74" i="1"/>
  <c r="M74" i="1" s="1"/>
  <c r="K137" i="1"/>
  <c r="M137" i="1" s="1"/>
  <c r="K88" i="1"/>
  <c r="M88" i="1" s="1"/>
  <c r="K21" i="1"/>
  <c r="M21" i="1" s="1"/>
  <c r="K100" i="1"/>
  <c r="M100" i="1" s="1"/>
  <c r="K69" i="1"/>
  <c r="M69" i="1" s="1"/>
  <c r="K138" i="1"/>
  <c r="M138" i="1" s="1"/>
  <c r="K79" i="1"/>
  <c r="M79" i="1" s="1"/>
  <c r="K20" i="1"/>
  <c r="M20" i="1" s="1"/>
  <c r="K158" i="1"/>
  <c r="R158" i="1" s="1"/>
  <c r="K78" i="1"/>
  <c r="M78" i="1" s="1"/>
  <c r="K51" i="1"/>
  <c r="M51" i="1" s="1"/>
  <c r="K72" i="1"/>
  <c r="M72" i="1" s="1"/>
  <c r="K12" i="1"/>
  <c r="M12" i="1" s="1"/>
  <c r="K31" i="1"/>
  <c r="M31" i="1" s="1"/>
  <c r="K156" i="1"/>
  <c r="R156" i="1" s="1"/>
  <c r="K70" i="1"/>
  <c r="M70" i="1" s="1"/>
  <c r="K92" i="1"/>
  <c r="M92" i="1" s="1"/>
  <c r="K41" i="1"/>
  <c r="M41" i="1" s="1"/>
  <c r="K77" i="1"/>
  <c r="M77" i="1" s="1"/>
  <c r="K26" i="1"/>
  <c r="M26" i="1" s="1"/>
  <c r="L148" i="1"/>
  <c r="L147" i="1"/>
  <c r="L90" i="1"/>
  <c r="L95" i="1"/>
  <c r="L87" i="1"/>
  <c r="L121" i="1"/>
  <c r="L134" i="1"/>
  <c r="L81" i="1"/>
  <c r="L118" i="1"/>
  <c r="L120" i="1"/>
  <c r="L98" i="1"/>
  <c r="L149" i="1"/>
  <c r="L127" i="1"/>
  <c r="P4" i="1"/>
  <c r="Q4" i="1" s="1"/>
  <c r="O131" i="1" l="1"/>
  <c r="O135" i="1"/>
  <c r="O153" i="1"/>
  <c r="O147" i="1"/>
  <c r="O120" i="1"/>
  <c r="O118" i="1"/>
  <c r="O141" i="1"/>
  <c r="O142" i="1"/>
  <c r="O122" i="1"/>
  <c r="O140" i="1"/>
  <c r="O133" i="1"/>
  <c r="O121" i="1"/>
  <c r="O143" i="1"/>
  <c r="O95" i="1"/>
  <c r="O66" i="1"/>
  <c r="O99" i="1"/>
  <c r="O4" i="1"/>
  <c r="O34" i="1"/>
  <c r="O112" i="1"/>
  <c r="O83" i="1"/>
  <c r="O48" i="1"/>
  <c r="O37" i="1"/>
  <c r="O81" i="1"/>
  <c r="O36" i="1"/>
  <c r="O90" i="1"/>
  <c r="O87" i="1"/>
  <c r="O104" i="1"/>
  <c r="O40" i="1"/>
  <c r="O85" i="1"/>
  <c r="O113" i="1"/>
  <c r="O9" i="1"/>
  <c r="Q115" i="1"/>
  <c r="O115" i="1" s="1"/>
  <c r="Q110" i="1"/>
  <c r="O110" i="1" s="1"/>
  <c r="Q57" i="1"/>
  <c r="O57" i="1" s="1"/>
  <c r="Q44" i="1"/>
  <c r="O44" i="1" s="1"/>
  <c r="Q150" i="1"/>
  <c r="O150" i="1" s="1"/>
  <c r="Q82" i="1"/>
  <c r="O82" i="1" s="1"/>
  <c r="Q73" i="1"/>
  <c r="O73" i="1" s="1"/>
  <c r="Q101" i="1"/>
  <c r="O101" i="1" s="1"/>
  <c r="Q2" i="1"/>
  <c r="O2" i="1" s="1"/>
  <c r="R31" i="1"/>
  <c r="S31" i="1" s="1"/>
  <c r="R124" i="1"/>
  <c r="S124" i="1" s="1"/>
  <c r="R60" i="1"/>
  <c r="S60" i="1" s="1"/>
  <c r="R108" i="1"/>
  <c r="S108" i="1" s="1"/>
  <c r="R39" i="1"/>
  <c r="S39" i="1" s="1"/>
  <c r="R64" i="1"/>
  <c r="S64" i="1" s="1"/>
  <c r="R62" i="1"/>
  <c r="S62" i="1" s="1"/>
  <c r="R43" i="1"/>
  <c r="S43" i="1" s="1"/>
  <c r="R84" i="1"/>
  <c r="S84" i="1" s="1"/>
  <c r="R76" i="1"/>
  <c r="S76" i="1" s="1"/>
  <c r="R92" i="1"/>
  <c r="S92" i="1" s="1"/>
  <c r="R12" i="1"/>
  <c r="S12" i="1" s="1"/>
  <c r="R69" i="1"/>
  <c r="S69" i="1" s="1"/>
  <c r="R47" i="1"/>
  <c r="S47" i="1" s="1"/>
  <c r="R55" i="1"/>
  <c r="S55" i="1" s="1"/>
  <c r="R151" i="1"/>
  <c r="S151" i="1" s="1"/>
  <c r="R14" i="1"/>
  <c r="S14" i="1" s="1"/>
  <c r="R8" i="1"/>
  <c r="S8" i="1" s="1"/>
  <c r="R58" i="1"/>
  <c r="S58" i="1" s="1"/>
  <c r="R132" i="1"/>
  <c r="S132" i="1" s="1"/>
  <c r="R75" i="1"/>
  <c r="S75" i="1" s="1"/>
  <c r="R97" i="1"/>
  <c r="S97" i="1" s="1"/>
  <c r="L97" i="1"/>
  <c r="R26" i="1"/>
  <c r="S26" i="1" s="1"/>
  <c r="R70" i="1"/>
  <c r="S70" i="1" s="1"/>
  <c r="R72" i="1"/>
  <c r="S72" i="1" s="1"/>
  <c r="R20" i="1"/>
  <c r="S20" i="1" s="1"/>
  <c r="R100" i="1"/>
  <c r="S100" i="1" s="1"/>
  <c r="R74" i="1"/>
  <c r="S74" i="1" s="1"/>
  <c r="R67" i="1"/>
  <c r="S67" i="1" s="1"/>
  <c r="R68" i="1"/>
  <c r="S68" i="1" s="1"/>
  <c r="R103" i="1"/>
  <c r="S103" i="1" s="1"/>
  <c r="R15" i="1"/>
  <c r="S15" i="1" s="1"/>
  <c r="R96" i="1"/>
  <c r="S96" i="1" s="1"/>
  <c r="R25" i="1"/>
  <c r="S25" i="1" s="1"/>
  <c r="R126" i="1"/>
  <c r="S126" i="1" s="1"/>
  <c r="R27" i="1"/>
  <c r="S27" i="1" s="1"/>
  <c r="R123" i="1"/>
  <c r="S123" i="1" s="1"/>
  <c r="R6" i="1"/>
  <c r="S6" i="1" s="1"/>
  <c r="R45" i="1"/>
  <c r="S45" i="1" s="1"/>
  <c r="R7" i="1"/>
  <c r="S7" i="1" s="1"/>
  <c r="R80" i="1"/>
  <c r="S80" i="1" s="1"/>
  <c r="R22" i="1"/>
  <c r="S22" i="1" s="1"/>
  <c r="R109" i="1"/>
  <c r="S109" i="1" s="1"/>
  <c r="R56" i="1"/>
  <c r="S56" i="1" s="1"/>
  <c r="R54" i="1"/>
  <c r="S54" i="1" s="1"/>
  <c r="R105" i="1"/>
  <c r="S105" i="1" s="1"/>
  <c r="R146" i="1"/>
  <c r="S146" i="1" s="1"/>
  <c r="R5" i="1"/>
  <c r="S5" i="1" s="1"/>
  <c r="R41" i="1"/>
  <c r="S41" i="1" s="1"/>
  <c r="R138" i="1"/>
  <c r="S138" i="1" s="1"/>
  <c r="R61" i="1"/>
  <c r="S61" i="1" s="1"/>
  <c r="R3" i="1"/>
  <c r="S3" i="1" s="1"/>
  <c r="R49" i="1"/>
  <c r="S49" i="1" s="1"/>
  <c r="R38" i="1"/>
  <c r="S38" i="1" s="1"/>
  <c r="R71" i="1"/>
  <c r="S71" i="1" s="1"/>
  <c r="R77" i="1"/>
  <c r="S77" i="1" s="1"/>
  <c r="R51" i="1"/>
  <c r="S51" i="1" s="1"/>
  <c r="R79" i="1"/>
  <c r="S79" i="1" s="1"/>
  <c r="R21" i="1"/>
  <c r="S21" i="1" s="1"/>
  <c r="R119" i="1"/>
  <c r="S119" i="1" s="1"/>
  <c r="R13" i="1"/>
  <c r="S13" i="1" s="1"/>
  <c r="R152" i="1"/>
  <c r="S152" i="1" s="1"/>
  <c r="R32" i="1"/>
  <c r="S32" i="1" s="1"/>
  <c r="R114" i="1"/>
  <c r="S114" i="1" s="1"/>
  <c r="R24" i="1"/>
  <c r="S24" i="1" s="1"/>
  <c r="R52" i="1"/>
  <c r="S52" i="1" s="1"/>
  <c r="R16" i="1"/>
  <c r="S16" i="1" s="1"/>
  <c r="R130" i="1"/>
  <c r="S130" i="1" s="1"/>
  <c r="R94" i="1"/>
  <c r="S94" i="1" s="1"/>
  <c r="R33" i="1"/>
  <c r="S33" i="1" s="1"/>
  <c r="R29" i="1"/>
  <c r="S29" i="1" s="1"/>
  <c r="R23" i="1"/>
  <c r="S23" i="1" s="1"/>
  <c r="R42" i="1"/>
  <c r="S42" i="1" s="1"/>
  <c r="R91" i="1"/>
  <c r="S91" i="1" s="1"/>
  <c r="R136" i="1"/>
  <c r="S136" i="1" s="1"/>
  <c r="R139" i="1"/>
  <c r="S139" i="1" s="1"/>
  <c r="R17" i="1"/>
  <c r="S17" i="1" s="1"/>
  <c r="R78" i="1"/>
  <c r="S78" i="1" s="1"/>
  <c r="R88" i="1"/>
  <c r="S88" i="1" s="1"/>
  <c r="R35" i="1"/>
  <c r="S35" i="1" s="1"/>
  <c r="R145" i="1"/>
  <c r="S145" i="1" s="1"/>
  <c r="R102" i="1"/>
  <c r="S102" i="1" s="1"/>
  <c r="R144" i="1"/>
  <c r="S144" i="1" s="1"/>
  <c r="R11" i="1"/>
  <c r="S11" i="1" s="1"/>
  <c r="R137" i="1"/>
  <c r="S137" i="1" s="1"/>
  <c r="R93" i="1"/>
  <c r="S93" i="1" s="1"/>
  <c r="R129" i="1"/>
  <c r="S129" i="1" s="1"/>
  <c r="R10" i="1"/>
  <c r="S10" i="1" s="1"/>
  <c r="R28" i="1"/>
  <c r="S28" i="1" s="1"/>
  <c r="R50" i="1"/>
  <c r="S50" i="1" s="1"/>
  <c r="R30" i="1"/>
  <c r="S30" i="1" s="1"/>
  <c r="L17" i="1"/>
  <c r="L30" i="1"/>
  <c r="L58" i="1"/>
  <c r="L159" i="1"/>
  <c r="L26" i="1"/>
  <c r="P77" i="1"/>
  <c r="Q77" i="1" s="1"/>
  <c r="P92" i="1"/>
  <c r="Q92" i="1" s="1"/>
  <c r="P156" i="1"/>
  <c r="Q156" i="1" s="1"/>
  <c r="P31" i="1"/>
  <c r="Q31" i="1" s="1"/>
  <c r="O31" i="1" s="1"/>
  <c r="L12" i="1"/>
  <c r="P72" i="1"/>
  <c r="Q72" i="1" s="1"/>
  <c r="P78" i="1"/>
  <c r="Q78" i="1" s="1"/>
  <c r="P20" i="1"/>
  <c r="Q20" i="1" s="1"/>
  <c r="P138" i="1"/>
  <c r="Q138" i="1" s="1"/>
  <c r="O138" i="1" s="1"/>
  <c r="P100" i="1"/>
  <c r="Q100" i="1" s="1"/>
  <c r="P88" i="1"/>
  <c r="Q88" i="1" s="1"/>
  <c r="P74" i="1"/>
  <c r="Q74" i="1" s="1"/>
  <c r="P61" i="1"/>
  <c r="Q61" i="1" s="1"/>
  <c r="L155" i="1"/>
  <c r="P67" i="1"/>
  <c r="Q67" i="1" s="1"/>
  <c r="P68" i="1"/>
  <c r="Q68" i="1" s="1"/>
  <c r="P124" i="1"/>
  <c r="Q124" i="1" s="1"/>
  <c r="P103" i="1"/>
  <c r="Q103" i="1" s="1"/>
  <c r="P35" i="1"/>
  <c r="Q35" i="1" s="1"/>
  <c r="P15" i="1"/>
  <c r="Q15" i="1" s="1"/>
  <c r="O15" i="1" s="1"/>
  <c r="P3" i="1"/>
  <c r="Q3" i="1" s="1"/>
  <c r="P96" i="1"/>
  <c r="Q96" i="1" s="1"/>
  <c r="P60" i="1"/>
  <c r="Q60" i="1" s="1"/>
  <c r="P151" i="1"/>
  <c r="Q151" i="1" s="1"/>
  <c r="P32" i="1"/>
  <c r="Q32" i="1" s="1"/>
  <c r="P93" i="1"/>
  <c r="Q93" i="1" s="1"/>
  <c r="P114" i="1"/>
  <c r="Q114" i="1" s="1"/>
  <c r="P14" i="1"/>
  <c r="Q14" i="1" s="1"/>
  <c r="O14" i="1" s="1"/>
  <c r="P24" i="1"/>
  <c r="Q24" i="1" s="1"/>
  <c r="P129" i="1"/>
  <c r="Q129" i="1" s="1"/>
  <c r="L39" i="1"/>
  <c r="P8" i="1"/>
  <c r="Q8" i="1" s="1"/>
  <c r="O8" i="1" s="1"/>
  <c r="P52" i="1"/>
  <c r="Q52" i="1" s="1"/>
  <c r="P159" i="1"/>
  <c r="P6" i="1"/>
  <c r="Q6" i="1" s="1"/>
  <c r="P16" i="1"/>
  <c r="Q16" i="1" s="1"/>
  <c r="O16" i="1" s="1"/>
  <c r="P160" i="1"/>
  <c r="Q160" i="1" s="1"/>
  <c r="O160" i="1" s="1"/>
  <c r="P130" i="1"/>
  <c r="Q130" i="1" s="1"/>
  <c r="P58" i="1"/>
  <c r="Q58" i="1" s="1"/>
  <c r="O58" i="1" s="1"/>
  <c r="L7" i="1"/>
  <c r="P94" i="1"/>
  <c r="Q94" i="1" s="1"/>
  <c r="P10" i="1"/>
  <c r="Q10" i="1" s="1"/>
  <c r="P33" i="1"/>
  <c r="Q33" i="1" s="1"/>
  <c r="P132" i="1"/>
  <c r="Q132" i="1" s="1"/>
  <c r="P29" i="1"/>
  <c r="Q29" i="1" s="1"/>
  <c r="L43" i="1"/>
  <c r="P28" i="1"/>
  <c r="Q28" i="1" s="1"/>
  <c r="O28" i="1" s="1"/>
  <c r="P23" i="1"/>
  <c r="Q23" i="1" s="1"/>
  <c r="P75" i="1"/>
  <c r="Q75" i="1" s="1"/>
  <c r="P50" i="1"/>
  <c r="Q50" i="1" s="1"/>
  <c r="P91" i="1"/>
  <c r="Q91" i="1" s="1"/>
  <c r="P97" i="1"/>
  <c r="P136" i="1"/>
  <c r="Q136" i="1" s="1"/>
  <c r="O136" i="1" s="1"/>
  <c r="L76" i="1"/>
  <c r="P30" i="1"/>
  <c r="Q30" i="1" s="1"/>
  <c r="O30" i="1" s="1"/>
  <c r="P139" i="1"/>
  <c r="Q139" i="1" s="1"/>
  <c r="O139" i="1" s="1"/>
  <c r="L42" i="1"/>
  <c r="L24" i="1"/>
  <c r="L136" i="1"/>
  <c r="L61" i="1"/>
  <c r="L16" i="1"/>
  <c r="L31" i="1"/>
  <c r="L130" i="1"/>
  <c r="L129" i="1"/>
  <c r="L14" i="1"/>
  <c r="L4" i="1"/>
  <c r="L75" i="1"/>
  <c r="L138" i="1"/>
  <c r="L93" i="1"/>
  <c r="L78" i="1"/>
  <c r="L60" i="1"/>
  <c r="L67" i="1"/>
  <c r="L15" i="1"/>
  <c r="L88" i="1"/>
  <c r="L114" i="1"/>
  <c r="L92" i="1"/>
  <c r="L28" i="1"/>
  <c r="L29" i="1"/>
  <c r="L132" i="1"/>
  <c r="L91" i="1"/>
  <c r="L32" i="1"/>
  <c r="L6" i="1"/>
  <c r="P42" i="1"/>
  <c r="L52" i="1"/>
  <c r="L50" i="1"/>
  <c r="L96" i="1"/>
  <c r="L68" i="1"/>
  <c r="L103" i="1"/>
  <c r="L3" i="1"/>
  <c r="L139" i="1"/>
  <c r="L151" i="1"/>
  <c r="L33" i="1"/>
  <c r="L124" i="1"/>
  <c r="L160" i="1"/>
  <c r="L35" i="1"/>
  <c r="L100" i="1"/>
  <c r="L72" i="1"/>
  <c r="S160" i="1"/>
  <c r="L156" i="1"/>
  <c r="L10" i="1"/>
  <c r="L94" i="1"/>
  <c r="L74" i="1"/>
  <c r="L23" i="1"/>
  <c r="L20" i="1"/>
  <c r="L77" i="1"/>
  <c r="L8" i="1"/>
  <c r="S159" i="1"/>
  <c r="P47" i="1"/>
  <c r="Q47" i="1" s="1"/>
  <c r="P157" i="1"/>
  <c r="Q157" i="1" s="1"/>
  <c r="O157" i="1" s="1"/>
  <c r="L157" i="1"/>
  <c r="S157" i="1"/>
  <c r="P145" i="1"/>
  <c r="Q145" i="1" s="1"/>
  <c r="L145" i="1"/>
  <c r="P108" i="1"/>
  <c r="Q108" i="1" s="1"/>
  <c r="L108" i="1"/>
  <c r="L102" i="1"/>
  <c r="P102" i="1"/>
  <c r="Q102" i="1" s="1"/>
  <c r="P64" i="1"/>
  <c r="Q64" i="1" s="1"/>
  <c r="L64" i="1"/>
  <c r="P109" i="1"/>
  <c r="Q109" i="1" s="1"/>
  <c r="P54" i="1"/>
  <c r="Q54" i="1" s="1"/>
  <c r="L54" i="1"/>
  <c r="P146" i="1"/>
  <c r="Q146" i="1" s="1"/>
  <c r="O146" i="1" s="1"/>
  <c r="L146" i="1"/>
  <c r="L109" i="1"/>
  <c r="P26" i="1"/>
  <c r="L70" i="1"/>
  <c r="P12" i="1"/>
  <c r="Q12" i="1" s="1"/>
  <c r="O12" i="1" s="1"/>
  <c r="P158" i="1"/>
  <c r="Q158" i="1" s="1"/>
  <c r="O158" i="1" s="1"/>
  <c r="L158" i="1"/>
  <c r="S158" i="1"/>
  <c r="P69" i="1"/>
  <c r="Q69" i="1" s="1"/>
  <c r="L69" i="1"/>
  <c r="P137" i="1"/>
  <c r="Q137" i="1" s="1"/>
  <c r="L137" i="1"/>
  <c r="P155" i="1"/>
  <c r="S155" i="1"/>
  <c r="P55" i="1"/>
  <c r="Q55" i="1" s="1"/>
  <c r="L55" i="1"/>
  <c r="P25" i="1"/>
  <c r="Q25" i="1" s="1"/>
  <c r="O25" i="1" s="1"/>
  <c r="L25" i="1"/>
  <c r="P27" i="1"/>
  <c r="Q27" i="1" s="1"/>
  <c r="L27" i="1"/>
  <c r="P123" i="1"/>
  <c r="Q123" i="1" s="1"/>
  <c r="L123" i="1"/>
  <c r="P45" i="1"/>
  <c r="Q45" i="1" s="1"/>
  <c r="L45" i="1"/>
  <c r="P80" i="1"/>
  <c r="Q80" i="1" s="1"/>
  <c r="O80" i="1" s="1"/>
  <c r="L80" i="1"/>
  <c r="P71" i="1"/>
  <c r="Q71" i="1" s="1"/>
  <c r="L11" i="1"/>
  <c r="P11" i="1"/>
  <c r="P13" i="1"/>
  <c r="Q13" i="1" s="1"/>
  <c r="L13" i="1"/>
  <c r="P154" i="1"/>
  <c r="Q154" i="1" s="1"/>
  <c r="S154" i="1"/>
  <c r="L154" i="1"/>
  <c r="P17" i="1"/>
  <c r="P49" i="1"/>
  <c r="Q49" i="1" s="1"/>
  <c r="L49" i="1"/>
  <c r="P39" i="1"/>
  <c r="Q39" i="1" s="1"/>
  <c r="P38" i="1"/>
  <c r="Q38" i="1" s="1"/>
  <c r="L38" i="1"/>
  <c r="P144" i="1"/>
  <c r="Q144" i="1" s="1"/>
  <c r="L144" i="1"/>
  <c r="P22" i="1"/>
  <c r="Q22" i="1" s="1"/>
  <c r="L22" i="1"/>
  <c r="P56" i="1"/>
  <c r="Q56" i="1" s="1"/>
  <c r="O56" i="1" s="1"/>
  <c r="L56" i="1"/>
  <c r="P105" i="1"/>
  <c r="Q105" i="1" s="1"/>
  <c r="L105" i="1"/>
  <c r="P5" i="1"/>
  <c r="Q5" i="1" s="1"/>
  <c r="O5" i="1" s="1"/>
  <c r="L5" i="1"/>
  <c r="L47" i="1"/>
  <c r="L71" i="1"/>
  <c r="P41" i="1"/>
  <c r="Q41" i="1" s="1"/>
  <c r="O41" i="1" s="1"/>
  <c r="L41" i="1"/>
  <c r="P18" i="1"/>
  <c r="Q18" i="1" s="1"/>
  <c r="S18" i="1"/>
  <c r="L18" i="1"/>
  <c r="P51" i="1"/>
  <c r="Q51" i="1" s="1"/>
  <c r="L51" i="1"/>
  <c r="P79" i="1"/>
  <c r="Q79" i="1" s="1"/>
  <c r="L79" i="1"/>
  <c r="P21" i="1"/>
  <c r="Q21" i="1" s="1"/>
  <c r="L21" i="1"/>
  <c r="P119" i="1"/>
  <c r="Q119" i="1" s="1"/>
  <c r="O119" i="1" s="1"/>
  <c r="L119" i="1"/>
  <c r="P70" i="1"/>
  <c r="P152" i="1"/>
  <c r="Q152" i="1" s="1"/>
  <c r="L152" i="1"/>
  <c r="P126" i="1"/>
  <c r="Q126" i="1" s="1"/>
  <c r="L126" i="1"/>
  <c r="L161" i="1"/>
  <c r="S161" i="1"/>
  <c r="P7" i="1"/>
  <c r="P62" i="1"/>
  <c r="Q62" i="1" s="1"/>
  <c r="L62" i="1"/>
  <c r="P43" i="1"/>
  <c r="P84" i="1"/>
  <c r="Q84" i="1" s="1"/>
  <c r="O84" i="1" s="1"/>
  <c r="L84" i="1"/>
  <c r="P76" i="1"/>
  <c r="Q76" i="1" s="1"/>
  <c r="O76" i="1" s="1"/>
  <c r="P161" i="1"/>
  <c r="S156" i="1"/>
  <c r="S4" i="1"/>
  <c r="O3" i="1" l="1"/>
  <c r="O23" i="1"/>
  <c r="O39" i="1"/>
  <c r="O47" i="1"/>
  <c r="O50" i="1"/>
  <c r="O93" i="1"/>
  <c r="O72" i="1"/>
  <c r="O69" i="1"/>
  <c r="O109" i="1"/>
  <c r="O68" i="1"/>
  <c r="O74" i="1"/>
  <c r="O124" i="1"/>
  <c r="O154" i="1"/>
  <c r="O156" i="1"/>
  <c r="O152" i="1"/>
  <c r="O137" i="1"/>
  <c r="O130" i="1"/>
  <c r="O129" i="1"/>
  <c r="O126" i="1"/>
  <c r="O144" i="1"/>
  <c r="O123" i="1"/>
  <c r="O145" i="1"/>
  <c r="O132" i="1"/>
  <c r="O151" i="1"/>
  <c r="O79" i="1"/>
  <c r="O49" i="1"/>
  <c r="O91" i="1"/>
  <c r="O33" i="1"/>
  <c r="O6" i="1"/>
  <c r="O114" i="1"/>
  <c r="O60" i="1"/>
  <c r="O35" i="1"/>
  <c r="O67" i="1"/>
  <c r="O88" i="1"/>
  <c r="O78" i="1"/>
  <c r="O18" i="1"/>
  <c r="O22" i="1"/>
  <c r="O27" i="1"/>
  <c r="O64" i="1"/>
  <c r="O10" i="1"/>
  <c r="O96" i="1"/>
  <c r="O103" i="1"/>
  <c r="O100" i="1"/>
  <c r="O92" i="1"/>
  <c r="O20" i="1"/>
  <c r="O105" i="1"/>
  <c r="O38" i="1"/>
  <c r="O71" i="1"/>
  <c r="O45" i="1"/>
  <c r="O55" i="1"/>
  <c r="O108" i="1"/>
  <c r="O62" i="1"/>
  <c r="O21" i="1"/>
  <c r="O51" i="1"/>
  <c r="O13" i="1"/>
  <c r="O54" i="1"/>
  <c r="O102" i="1"/>
  <c r="O75" i="1"/>
  <c r="O29" i="1"/>
  <c r="O94" i="1"/>
  <c r="O52" i="1"/>
  <c r="O24" i="1"/>
  <c r="O32" i="1"/>
  <c r="O61" i="1"/>
  <c r="O77" i="1"/>
  <c r="Q70" i="1"/>
  <c r="O70" i="1" s="1"/>
  <c r="Q155" i="1"/>
  <c r="O155" i="1" s="1"/>
  <c r="Q161" i="1"/>
  <c r="O161" i="1" s="1"/>
  <c r="Q43" i="1"/>
  <c r="O43" i="1" s="1"/>
  <c r="Q11" i="1"/>
  <c r="O11" i="1" s="1"/>
  <c r="Q26" i="1"/>
  <c r="O26" i="1" s="1"/>
  <c r="Q97" i="1"/>
  <c r="O97" i="1" s="1"/>
  <c r="Q159" i="1"/>
  <c r="O159" i="1" s="1"/>
  <c r="Q7" i="1"/>
  <c r="O7" i="1" s="1"/>
  <c r="Q17" i="1"/>
  <c r="O17" i="1" s="1"/>
  <c r="Q42" i="1"/>
  <c r="O42" i="1" s="1"/>
</calcChain>
</file>

<file path=xl/connections.xml><?xml version="1.0" encoding="utf-8"?>
<connections xmlns="http://schemas.openxmlformats.org/spreadsheetml/2006/main">
  <connection id="1" name="Conexão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2" name="Conexão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3" name="Conexão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+USIM5.SA&amp;f=nol1hgd1" htmlTables="1" htmlFormat="all"/>
  </connection>
  <connection id="4" name="Conexão100" type="4" refreshedVersion="3" background="1" saveData="1">
    <webPr xl2000="1" url="http://download.finance.yahoo.com/d/quotes.csv?s=PETR4.SA&amp;f=nol1hgd1" htmlFormat="all"/>
  </connection>
  <connection id="5" name="Conexão10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+USIM5.SA&amp;f=nol1hgd1" htmlTables="1" htmlFormat="all"/>
  </connection>
  <connection id="6" name="Conexão102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7" name="Conexão103" type="4" refreshedVersion="3" background="1" saveData="1">
    <webPr xl2000="1" url="http://download.finance.yahoo.com/d/quotes.csv?s=PREB32.SA&amp;f=nol1hgd1" htmlFormat="all"/>
  </connection>
  <connection id="8" name="Conexão104" type="4" refreshedVersion="3" background="1" saveData="1">
    <webPr xl2000="1" url="http://download.finance.yahoo.com/d/quotes.csv?s=PETR3.SA+PETR4.SA&amp;f=nol1hgd1" htmlFormat="all"/>
  </connection>
  <connection id="9" name="Conexão105" type="4" refreshedVersion="3" background="1" saveData="1">
    <webPr xl2000="1" url="http://download.finance.yahoo.com/d/quotes.csv?s=PETR3.SA+PETR4.SA+QGEP3.SA&amp;f=nol1hgd1" htmlFormat="all"/>
  </connection>
  <connection id="10" name="Conexão106" type="4" refreshedVersion="3" background="1" saveData="1">
    <webPr xl2000="1" url="http://download.finance.yahoo.com/d/quotes.csv?s=PETR3.SA+PETR4.SA+QGEP3.SA+SULA3.SA+SULA4.SA+SULA11.SA&amp;f=nol1hgd1" htmlFormat="all"/>
  </connection>
  <connection id="11" name="Conexão107" type="4" refreshedVersion="3" background="1" saveData="1">
    <webPr xl2000="1" url="http://download.finance.yahoo.com/d/quotes.csv?s=PETR3.SA+PETR4.SA+QGEP3.SA+SULA11.SA&amp;f=nol1hgd1" htmlFormat="all"/>
  </connection>
  <connection id="12" name="Conexão108" type="4" refreshedVersion="3" background="1" saveData="1">
    <webPr xl2000="1" url="http://download.finance.yahoo.com/d/quotes.csv?s=PETR3.SA+PETR4.SA+QGEP3.SA+SULA11.SA+CSAB3.SA+CSAB4.SA&amp;f=nol1hgd1" htmlFormat="all"/>
  </connection>
  <connection id="13" name="Conexão109" type="4" refreshedVersion="3" background="1" saveData="1">
    <webPr xl2000="1" url="http://download.finance.yahoo.com/d/quotes.csv?s=PETR3.SA+PETR4.SA+QGEP3.SA+SULA11.SA+CSAB3.SA+CSAB4.SA+BBSE3.SA&amp;f=nol1hgd1" htmlFormat="all"/>
  </connection>
  <connection id="14" name="Conexão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15" name="Conexão1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6" name="Conexão1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7" name="Conexão1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8" name="Conexão1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9" name="Conexão11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0" name="Conexão11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1" name="Conexão116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2" name="Conexão117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3" name="Conexão118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4" name="Conexão119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5" name="Conexão12" type="4" refreshedVersion="0" background="1" saveData="1">
    <webPr url="http://download.finance.yahoo.com/d/quotes.csv?s=TRPL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6" name="Conexão120" type="4" refreshedVersion="3" background="1" saveData="1">
    <webPr xl2000="1" url="http://download.finance.yahoo.com/d/quotes.csv?s=PETR3.SA+PETR4.SA+QGEP3.SA+SULA11.SA+CSAB3.SA+CSAB4.SA+BBSE3.SA+ODER3.SA+ODER4.SA&amp;f=nol1hgd1" htmlFormat="all"/>
  </connection>
  <connection id="27" name="Conexão121" type="4" refreshedVersion="0" background="1" saveData="1">
    <webPr url="http://download.finance.yahoo.com/d/quotes.csv?s=TRPL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8" name="Conexão122" type="4" refreshedVersion="0" background="1" saveData="1">
    <webPr url="http://download.finance.yahoo.com/d/quotes.csv?s=TRPL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9" name="Conexão123" type="4" refreshedVersion="3" background="1" saveData="1">
    <webPr xl2000="1" url="http://download.finance.yahoo.com/d/quotes.csv?s=PETR3.SA+PETR4.SA+QGEP3.SA+SULA11.SA+CSAB3.SA+CSAB4.SA+BBSE3.SA+JOPA3.SA+JOPA4.SA&amp;f=nol1hgd1" htmlFormat="all"/>
  </connection>
  <connection id="30" name="Conexão124" type="4" refreshedVersion="3" background="1" saveData="1">
    <webPr xl2000="1" url="http://download.finance.yahoo.com/d/quotes.csv?s=PETR3.SA+PETR4.SA+QGEP3.SA+SULA11.SA+CSAB3.SA+CSAB4.SA+BBSE3.SA+JOPA3.SA+JOPA4.SA+TERI3.SA&amp;f=nol1hgd1" htmlFormat="all"/>
  </connection>
  <connection id="31" name="Conexão125" type="4" refreshedVersion="3" background="1" saveData="1">
    <webPr xl2000="1" url="http://download.finance.yahoo.com/d/quotes.csv?s=PETR3.SA+PETR4.SA+QGEP3.SA+SULA11.SA+CSAB3.SA+CSAB4.SA+BBSE3.SA+JOPA3.SA+JOPA4.SA+TERI3.SA+ELEK3.SA+ELEK4.SA&amp;f=nol1hgd1" htmlFormat="all"/>
  </connection>
  <connection id="32" name="Conexão126" type="4" refreshedVersion="3" background="1" saveData="1">
    <webPr xl2000="1" url="http://download.finance.yahoo.com/d/quotes.csv?s=PETR3.SA+PETR4.SA+QGEP3.SA+SULA11.SA+CSAB3.SA+CSAB4.SA+BBSE3.SA+JOPA3.SA+JOPA4.SA+TERI3.SA+ELEK3.SA+ELEK4.SA+BRKM3.SA+BRKM5.SA+BRKM6.SA&amp;f=nol1hgd1" htmlFormat="all"/>
  </connection>
  <connection id="33" name="Conexão12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34" name="Conexão12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5" name="Conexão12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6" name="Conexão13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37" name="Conexão130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38" name="Conexão131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39" name="Conexão132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40" name="Conexão133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41" name="Conexão134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42" name="Conexão13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43" name="Conexão136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44" name="Conexão13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45" name="Conexão138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46" name="Conexão13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47" name="Conexão14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48" name="Conexão14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49" name="Conexão141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50" name="Conexão142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51" name="Conexão14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52" name="Conexão14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53" name="Conexão14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54" name="Conexão146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55" name="Conexão14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56" name="Conexão14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57" name="Conexão149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58" name="Conexão15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&amp;f=nol1hgd1" htmlTables="1" htmlFormat="all"/>
  </connection>
  <connection id="59" name="Conexão150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3.SA+PTPA4.SA&amp;f=nol1hgd1" htmlFormat="all"/>
  </connection>
  <connection id="60" name="Conexão15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&amp;f=nol1hgd1" htmlTables="1" htmlFormat="all"/>
  </connection>
  <connection id="61" name="Conexão15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&amp;f=nol1hgd1" htmlTables="1" htmlFormat="all"/>
  </connection>
  <connection id="62" name="Conexão15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PTPA4.SA&amp;f=nol1hgd1" htmlFormat="all"/>
  </connection>
  <connection id="63" name="Conexão154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&amp;f=nol1hgd1" htmlFormat="all"/>
  </connection>
  <connection id="64" name="Conexão15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&amp;f=nol1hgd1" htmlFormat="all"/>
  </connection>
  <connection id="65" name="Conexão15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&amp;f=nol1hgd1" htmlFormat="all"/>
  </connection>
  <connection id="66" name="Conexão15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&amp;f=nol1hgd1" htmlFormat="all"/>
  </connection>
  <connection id="67" name="Conexão158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&amp;f=nol1hgd1" htmlFormat="all"/>
  </connection>
  <connection id="68" name="Conexão159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&amp;f=nol1hgd1" htmlFormat="all"/>
  </connection>
  <connection id="69" name="Conexão16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&amp;f=nol1hgd1" htmlTables="1" htmlFormat="all"/>
  </connection>
  <connection id="70" name="Conexão160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&amp;f=nol1hgd1" htmlFormat="all"/>
  </connection>
  <connection id="71" name="Conexão16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&amp;f=nol1hgd1" htmlTables="1" htmlFormat="all"/>
  </connection>
  <connection id="72" name="Conexão16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&amp;f=nol1hgd1" htmlTables="1" htmlFormat="all"/>
  </connection>
  <connection id="73" name="Conexão16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&amp;f=nol1hgd1" htmlFormat="all"/>
  </connection>
  <connection id="74" name="Conexão164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&amp;f=nol1hgd1" htmlFormat="all"/>
  </connection>
  <connection id="75" name="Conexão165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76" name="Conexão16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&amp;f=nol1hgd1" htmlFormat="all"/>
  </connection>
  <connection id="77" name="Conexão167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&amp;f=nol1hgd1" htmlTables="1" htmlFormat="all"/>
  </connection>
  <connection id="78" name="Conexão168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&amp;f=nol1hgd1" htmlFormat="all"/>
  </connection>
  <connection id="79" name="Conexão16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80" name="Conexão17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81" name="Conexão17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82" name="Conexão17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83" name="Conexão17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84" name="Conexão17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&amp;f=nol1hgd1" htmlFormat="all"/>
  </connection>
  <connection id="85" name="Conexão17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86" name="Conexão17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&amp;f=nol1hgd1" htmlFormat="all"/>
  </connection>
  <connection id="87" name="Conexão17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&amp;f=nol1hgd1" htmlFormat="all"/>
  </connection>
  <connection id="88" name="Conexão17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&amp;f=nol1hgd1" htmlFormat="all"/>
  </connection>
  <connection id="89" name="Conexão178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&amp;f=nol1hgd1" htmlFormat="all"/>
  </connection>
  <connection id="90" name="Conexão179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&amp;f=nol1hgd1" htmlFormat="all"/>
  </connection>
  <connection id="91" name="Conexão18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92" name="Conexão180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&amp;f=nol1hgd1" htmlTables="1" htmlFormat="all"/>
  </connection>
  <connection id="93" name="Conexão18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94" name="Conexão18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95" name="Conexão18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&amp;f=nol1hgd1" htmlFormat="all"/>
  </connection>
  <connection id="96" name="Conexão184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&amp;f=nol1hgd1" htmlFormat="all"/>
  </connection>
  <connection id="97" name="Conexão18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MNZC3B.SA&amp;f=nol1hgd1" htmlFormat="all"/>
  </connection>
  <connection id="98" name="Conexão18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&amp;f=nol1hgd1" htmlFormat="all"/>
  </connection>
  <connection id="99" name="Conexão187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&amp;f=nol1hgd1" htmlTables="1" htmlFormat="all"/>
  </connection>
  <connection id="100" name="Conexão188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&amp;f=nol1hgd1" htmlTables="1" htmlFormat="all"/>
  </connection>
  <connection id="101" name="Conexão189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&amp;f=nol1hgd1" htmlFormat="all"/>
  </connection>
  <connection id="102" name="Conexão19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EKTR3.SA+EKTR4.SA&amp;f=nol1hgd1" htmlTables="1" htmlFormat="all"/>
  </connection>
  <connection id="103" name="Conexão190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&amp;f=nol1hgd1" htmlFormat="all"/>
  </connection>
  <connection id="104" name="Conexão19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EKTR3.SA+EKTR4.SA&amp;f=nol1hgd1" htmlTables="1" htmlFormat="all"/>
  </connection>
  <connection id="105" name="Conexão19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EKTR3.SA+EKTR4.SA&amp;f=nol1hgd1" htmlTables="1" htmlFormat="all"/>
  </connection>
  <connection id="106" name="Conexão19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&amp;f=nol1hgd1" htmlFormat="all"/>
  </connection>
  <connection id="107" name="Conexão194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&amp;f=nol1hgd1" htmlTables="1" htmlFormat="all"/>
  </connection>
  <connection id="108" name="Conexão19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&amp;f=nol1hgd1" htmlFormat="all"/>
  </connection>
  <connection id="109" name="Conexão19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&amp;f=nol1hgd1" htmlFormat="all"/>
  </connection>
  <connection id="110" name="Conexão19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11" name="Conexão198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Tables="1" htmlFormat="all"/>
  </connection>
  <connection id="112" name="Conexão19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13" name="Conexão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14" name="Conexão20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&amp;f=nol1hgd1" htmlTables="1" htmlFormat="all"/>
  </connection>
  <connection id="115" name="Conexão200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16" name="Conexão20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&amp;f=nol1hgd1" htmlTables="1" htmlFormat="all"/>
  </connection>
  <connection id="117" name="Conexão20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&amp;f=nol1hgd1" htmlTables="1" htmlFormat="all"/>
  </connection>
  <connection id="118" name="Conexão20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19" name="Conexão20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20" name="Conexão205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21" name="Conexão20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22" name="Conexão20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23" name="Conexão208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24" name="Conexão20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25" name="Conexão2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&amp;f=nol1hgd1" htmlTables="1" htmlFormat="all"/>
  </connection>
  <connection id="126" name="Conexão2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27" name="Conexão2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28" name="Conexão2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29" name="Conexão213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&amp;f=nol1hgd1" htmlTables="1" htmlFormat="all"/>
  </connection>
  <connection id="130" name="Conexão21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31" name="Conexão21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32" name="Conexão216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&amp;f=nol1hgd1" htmlTables="1" htmlFormat="all"/>
  </connection>
  <connection id="133" name="Conexão21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34" name="Conexão21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35" name="Conexão219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Tables="1" htmlFormat="all"/>
  </connection>
  <connection id="136" name="Conexão2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3.SA+EMAE4.SA&amp;f=nol1hgd1" htmlTables="1" htmlFormat="all"/>
  </connection>
  <connection id="137" name="Conexão220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38" name="Conexão22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3.SA+EMAE4.SA&amp;f=nol1hgd1" htmlTables="1" htmlFormat="all"/>
  </connection>
  <connection id="139" name="Conexão22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3.SA+EMAE4.SA&amp;f=nol1hgd1" htmlTables="1" htmlFormat="all"/>
  </connection>
  <connection id="140" name="Conexão223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41" name="Conexão224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Tables="1" htmlFormat="all"/>
  </connection>
  <connection id="142" name="Conexão225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Tables="1" htmlFormat="all"/>
  </connection>
  <connection id="143" name="Conexão22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44" name="Conexão22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45" name="Conexão22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46" name="Conexão229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Tables="1" htmlFormat="all"/>
  </connection>
  <connection id="147" name="Conexão23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&amp;f=nol1hgd1" htmlTables="1" htmlFormat="all"/>
  </connection>
  <connection id="148" name="Conexão23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49" name="Conexão23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&amp;f=nol1hgd1" htmlTables="1" htmlFormat="all"/>
  </connection>
  <connection id="150" name="Conexão23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&amp;f=nol1hgd1" htmlTables="1" htmlFormat="all"/>
  </connection>
  <connection id="151" name="Conexão23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52" name="Conexão234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Tables="1" htmlFormat="all"/>
  </connection>
  <connection id="153" name="Conexão23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54" name="Conexão236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Tables="1" htmlFormat="all"/>
  </connection>
  <connection id="155" name="Conexão237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Tables="1" htmlFormat="all"/>
  </connection>
  <connection id="156" name="Conexão238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57" name="Conexão239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Tables="1" htmlFormat="all"/>
  </connection>
  <connection id="158" name="Conexão24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&amp;f=nol1hgd1" htmlTables="1" htmlFormat="all"/>
  </connection>
  <connection id="159" name="Conexão24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60" name="Conexão24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&amp;f=nol1hgd1" htmlTables="1" htmlFormat="all"/>
  </connection>
  <connection id="161" name="Conexão24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&amp;f=nol1hgd1" htmlTables="1" htmlFormat="all"/>
  </connection>
  <connection id="162" name="Conexão24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63" name="Conexão24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64" name="Conexão245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65" name="Conexão24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66" name="Conexão247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Tables="1" htmlFormat="all"/>
  </connection>
  <connection id="167" name="Conexão24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68" name="Conexão249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69" name="Conexão25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&amp;f=nol1hgd1" htmlTables="1" htmlFormat="all"/>
  </connection>
  <connection id="170" name="Conexão25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71" name="Conexão25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&amp;f=nol1hgd1" htmlTables="1" htmlFormat="all"/>
  </connection>
  <connection id="172" name="Conexão25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&amp;f=nol1hgd1" htmlTables="1" htmlFormat="all"/>
  </connection>
  <connection id="173" name="Conexão25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74" name="Conexão25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75" name="Conexão25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76" name="Conexão256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77" name="Conexão25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78" name="Conexão25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79" name="Conexão259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80" name="Conexão26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GNAN3B.SA&amp;f=nol1hgd1" htmlTables="1" htmlFormat="all"/>
  </connection>
  <connection id="181" name="Conexão26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82" name="Conexão26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GNAN3B.SA&amp;f=nol1hgd1" htmlTables="1" htmlFormat="all"/>
  </connection>
  <connection id="183" name="Conexão26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GNAN3B.SA&amp;f=nol1hgd1" htmlTables="1" htmlFormat="all"/>
  </connection>
  <connection id="184" name="Conexão263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Tables="1" htmlFormat="all"/>
  </connection>
  <connection id="185" name="Conexão264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86" name="Conexão265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87" name="Conexão266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88" name="Conexão267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Tables="1" htmlFormat="all"/>
  </connection>
  <connection id="189" name="Conexão268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Tables="1" htmlFormat="all"/>
  </connection>
  <connection id="190" name="Conexão269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91" name="Conexão27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PRMN3B.SA&amp;f=nol1hgd1" htmlTables="1" htmlFormat="all"/>
  </connection>
  <connection id="192" name="Conexão270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93" name="Conexão27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PRMN3B.SA&amp;f=nol1hgd1" htmlTables="1" htmlFormat="all"/>
  </connection>
  <connection id="194" name="Conexão27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PRMN3B.SA&amp;f=nol1hgd1" htmlTables="1" htmlFormat="all"/>
  </connection>
  <connection id="195" name="Conexão273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Tables="1" htmlFormat="all"/>
  </connection>
  <connection id="196" name="Conexão27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97" name="Conexão275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98" name="Conexão27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99" name="Conexão27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00" name="Conexão278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201" name="Conexão279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Tables="1" htmlFormat="all"/>
  </connection>
  <connection id="202" name="Conexão28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&amp;f=nol1hgd1" htmlTables="1" htmlFormat="all"/>
  </connection>
  <connection id="203" name="Conexão28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04" name="Conexão28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&amp;f=nol1hgd1" htmlTables="1" htmlFormat="all"/>
  </connection>
  <connection id="205" name="Conexão28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&amp;f=nol1hgd1" htmlTables="1" htmlFormat="all"/>
  </connection>
  <connection id="206" name="Conexão28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207" name="Conexão28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08" name="Conexão285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Tables="1" htmlFormat="all"/>
  </connection>
  <connection id="209" name="Conexão286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Tables="1" htmlFormat="all"/>
  </connection>
  <connection id="210" name="Conexão28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211" name="Conexão28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12" name="Conexão289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213" name="Conexão29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RNEW11.SA+RNEW3.SA+RNEW4.SA&amp;f=nol1hgd1" htmlTables="1" htmlFormat="all"/>
  </connection>
  <connection id="214" name="Conexão29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15" name="Conexão29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RNEW11.SA+RNEW3.SA+RNEW4.SA&amp;f=nol1hgd1" htmlTables="1" htmlFormat="all"/>
  </connection>
  <connection id="216" name="Conexão29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RNEW11.SA+RNEW3.SA+RNEW4.SA&amp;f=nol1hgd1" htmlTables="1" htmlFormat="all"/>
  </connection>
  <connection id="217" name="Conexão29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218" name="Conexão29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19" name="Conexão29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220" name="Conexão296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21" name="Conexão29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222" name="Conexão298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223" name="Conexão299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Tables="1" htmlFormat="all"/>
  </connection>
  <connection id="224" name="Conexão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25" name="Conexão30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&amp;f=nol1hgd1" htmlTables="1" htmlFormat="all"/>
  </connection>
  <connection id="226" name="Conexão30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27" name="Conexão30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&amp;f=nol1hgd1" htmlTables="1" htmlFormat="all"/>
  </connection>
  <connection id="228" name="Conexão30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&amp;f=nol1hgd1" htmlTables="1" htmlFormat="all"/>
  </connection>
  <connection id="229" name="Conexão30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230" name="Conexão304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Tables="1" htmlFormat="all"/>
  </connection>
  <connection id="231" name="Conexão305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32" name="Conexão30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233" name="Conexão30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34" name="Conexão308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Tables="1" htmlFormat="all"/>
  </connection>
  <connection id="235" name="Conexão309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Tables="1" htmlFormat="all"/>
  </connection>
  <connection id="236" name="Conexão3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TAEE4.SA+TAEE3.SA&amp;f=nol1hgd1" htmlTables="1" htmlFormat="all"/>
  </connection>
  <connection id="237" name="Conexão3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38" name="Conexão3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39" name="Conexão31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TAEE4.SA+TAEE3.SA&amp;f=nol1hgd1" htmlTables="1" htmlFormat="all"/>
  </connection>
  <connection id="240" name="Conexão3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41" name="Conexão314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TAEE4.SA+TAEE3.SA&amp;f=nol1hgd1" htmlTables="1" htmlFormat="all"/>
  </connection>
  <connection id="242" name="Conexão31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43" name="Conexão316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Tables="1" htmlFormat="all"/>
  </connection>
  <connection id="244" name="Conexão317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Tables="1" htmlFormat="all"/>
  </connection>
  <connection id="245" name="Conexão318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246" name="Conexão319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+CATA3.SA+CATA4.SA&amp;f=nol1hgd1" htmlFormat="all"/>
  </connection>
  <connection id="247" name="Conexão3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&amp;f=nol1hgd1" htmlTables="1" htmlFormat="all"/>
  </connection>
  <connection id="248" name="Conexão320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Tables="1" htmlFormat="all"/>
  </connection>
  <connection id="249" name="Conexão32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&amp;f=nol1hgd1" htmlTables="1" htmlFormat="all"/>
  </connection>
  <connection id="250" name="Conexão32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&amp;f=nol1hgd1" htmlTables="1" htmlFormat="all"/>
  </connection>
  <connection id="251" name="Conexão323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52" name="Conexão324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Tables="1" htmlFormat="all"/>
  </connection>
  <connection id="253" name="Conexão32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254" name="Conexão33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UPKP3B.SA&amp;f=nol1hgd1" htmlTables="1" htmlFormat="all"/>
  </connection>
  <connection id="255" name="Conexão33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UPKP3B.SA&amp;f=nol1hgd1" htmlTables="1" htmlFormat="all"/>
  </connection>
  <connection id="256" name="Conexão33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UPKP3B.SA&amp;f=nol1hgd1" htmlTables="1" htmlFormat="all"/>
  </connection>
  <connection id="257" name="Conexão34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BB3M.SA&amp;f=nol1hgd1" htmlTables="1" htmlFormat="all"/>
  </connection>
  <connection id="258" name="Conexão34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BB3M.SA&amp;f=nol1hgd1" htmlTables="1" htmlFormat="all"/>
  </connection>
  <connection id="259" name="Conexão34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BB3M.SA&amp;f=nol1hgd1" htmlTables="1" htmlFormat="all"/>
  </connection>
  <connection id="260" name="Conexão35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CASN4.SA&amp;f=nol1hgd1" htmlTables="1" htmlFormat="all"/>
  </connection>
  <connection id="261" name="Conexão35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CASN4.SA&amp;f=nol1hgd1" htmlTables="1" htmlFormat="all"/>
  </connection>
  <connection id="262" name="Conexão35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CASN4.SA&amp;f=nol1hgd1" htmlTables="1" htmlFormat="all"/>
  </connection>
  <connection id="263" name="Conexão36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&amp;f=nol1hgd1" htmlTables="1" htmlFormat="all"/>
  </connection>
  <connection id="264" name="Conexão36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&amp;f=nol1hgd1" htmlTables="1" htmlFormat="all"/>
  </connection>
  <connection id="265" name="Conexão36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&amp;f=nol1hgd1" htmlTables="1" htmlFormat="all"/>
  </connection>
  <connection id="266" name="Conexão37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&amp;f=nol1hgd1" htmlTables="1" htmlFormat="all"/>
  </connection>
  <connection id="267" name="Conexão37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&amp;f=nol1hgd1" htmlTables="1" htmlFormat="all"/>
  </connection>
  <connection id="268" name="Conexão37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&amp;f=nol1hgd1" htmlTables="1" htmlFormat="all"/>
  </connection>
  <connection id="269" name="Conexão38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&amp;f=nol1hgd1" htmlTables="1" htmlFormat="all"/>
  </connection>
  <connection id="270" name="Conexão38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&amp;f=nol1hgd1" htmlTables="1" htmlFormat="all"/>
  </connection>
  <connection id="271" name="Conexão38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&amp;f=nol1hgd1" htmlTables="1" htmlFormat="all"/>
  </connection>
  <connection id="272" name="Conexão39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+OPDL3B.SA&amp;f=nol1hgd1" htmlTables="1" htmlFormat="all"/>
  </connection>
  <connection id="273" name="Conexão39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+OPDL3B.SA&amp;f=nol1hgd1" htmlTables="1" htmlFormat="all"/>
  </connection>
  <connection id="274" name="Conexão39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+OPDL3B.SA&amp;f=nol1hgd1" htmlTables="1" htmlFormat="all"/>
  </connection>
  <connection id="275" name="Conexão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76" name="Conexão40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&amp;f=nol1hgd1" htmlTables="1" htmlFormat="all"/>
  </connection>
  <connection id="277" name="Conexão40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&amp;f=nol1hgd1" htmlTables="1" htmlFormat="all"/>
  </connection>
  <connection id="278" name="Conexão40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&amp;f=nol1hgd1" htmlTables="1" htmlFormat="all"/>
  </connection>
  <connection id="279" name="Conexão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&amp;f=nol1hgd1" htmlFormat="all"/>
  </connection>
  <connection id="280" name="Conexão4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81" name="Conexão41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&amp;f=nol1hgd1" htmlFormat="all"/>
  </connection>
  <connection id="282" name="Conexão4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83" name="Conexão4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NEMO3.SA+NEMO5.SA+NEMO6.SA&amp;f=nol1hgd1" htmlFormat="all"/>
  </connection>
  <connection id="284" name="Conexão42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NEMO3.SA+NEMO5.SA+NEMO6.SA&amp;f=nol1hgd1" htmlFormat="all"/>
  </connection>
  <connection id="285" name="Conexão4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3.SA+SUZB5.SA+SUZB6.SA&amp;f=nol1hgd1" htmlFormat="all"/>
  </connection>
  <connection id="286" name="Conexão43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3.SA+SUZB5.SA+SUZB6.SA&amp;f=nol1hgd1" htmlFormat="all"/>
  </connection>
  <connection id="287" name="Conexão44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&amp;f=nol1hgd1" htmlFormat="all"/>
  </connection>
  <connection id="288" name="Conexão4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&amp;f=nol1hgd1" htmlFormat="all"/>
  </connection>
  <connection id="289" name="Conexão45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&amp;f=nol1hgd1" htmlFormat="all"/>
  </connection>
  <connection id="290" name="Conexão4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&amp;f=nol1hgd1" htmlFormat="all"/>
  </connection>
  <connection id="291" name="Conexão46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&amp;f=nol1hgd1" htmlFormat="all"/>
  </connection>
  <connection id="292" name="Conexão4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&amp;f=nol1hgd1" htmlFormat="all"/>
  </connection>
  <connection id="293" name="Conexão47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3.SA+ABCB4.SA&amp;f=nol1hgd1" htmlFormat="all"/>
  </connection>
  <connection id="294" name="Conexão4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3.SA+ABCB4.SA&amp;f=nol1hgd1" htmlFormat="all"/>
  </connection>
  <connection id="295" name="Conexão48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&amp;f=nol1hgd1" htmlFormat="all"/>
  </connection>
  <connection id="296" name="Conexão48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&amp;f=nol1hgd1" htmlFormat="all"/>
  </connection>
  <connection id="297" name="Conexão49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&amp;f=nol1hgd1" htmlFormat="all"/>
  </connection>
  <connection id="298" name="Conexão49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&amp;f=nol1hgd1" htmlFormat="all"/>
  </connection>
  <connection id="299" name="Conexão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300" name="Conexão50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&amp;f=nol1hgd1" htmlFormat="all"/>
  </connection>
  <connection id="301" name="Conexão50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&amp;f=nol1hgd1" htmlFormat="all"/>
  </connection>
  <connection id="302" name="Conexão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&amp;f=nol1hgd1" htmlFormat="all"/>
  </connection>
  <connection id="303" name="Conexão5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304" name="Conexão51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&amp;f=nol1hgd1" htmlFormat="all"/>
  </connection>
  <connection id="305" name="Conexão5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306" name="Conexão5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307" name="Conexão5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&amp;f=nol1hgd1" htmlFormat="all"/>
  </connection>
  <connection id="308" name="Conexão52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&amp;f=nol1hgd1" htmlFormat="all"/>
  </connection>
  <connection id="309" name="Conexão5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BPAC3.SA+BPAC5.SA&amp;f=nol1hgd1" htmlFormat="all"/>
  </connection>
  <connection id="310" name="Conexão53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BPAC3.SA+BPAC5.SA&amp;f=nol1hgd1" htmlFormat="all"/>
  </connection>
  <connection id="311" name="Conexão54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3.SA+DAYC4.SA&amp;f=nol1hgd1" htmlFormat="all"/>
  </connection>
  <connection id="312" name="Conexão5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3.SA+DAYC4.SA&amp;f=nol1hgd1" htmlFormat="all"/>
  </connection>
  <connection id="313" name="Conexão55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&amp;f=nol1hgd1" htmlFormat="all"/>
  </connection>
  <connection id="314" name="Conexão5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&amp;f=nol1hgd1" htmlFormat="all"/>
  </connection>
  <connection id="315" name="Conexão56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&amp;f=nol1hgd1" htmlFormat="all"/>
  </connection>
  <connection id="316" name="Conexão5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&amp;f=nol1hgd1" htmlFormat="all"/>
  </connection>
  <connection id="317" name="Conexão57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&amp;f=nol1hgd1" htmlFormat="all"/>
  </connection>
  <connection id="318" name="Conexão5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&amp;f=nol1hgd1" htmlFormat="all"/>
  </connection>
  <connection id="319" name="Conexão58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PAR3.SA&amp;f=nol1hgd1" htmlFormat="all"/>
  </connection>
  <connection id="320" name="Conexão58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PAR3.SA&amp;f=nol1hgd1" htmlFormat="all"/>
  </connection>
  <connection id="321" name="Conexão59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&amp;f=nol1hgd1" htmlFormat="all"/>
  </connection>
  <connection id="322" name="Conexão59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&amp;f=nol1hgd1" htmlFormat="all"/>
  </connection>
  <connection id="323" name="Conexão6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324" name="Conexão60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&amp;f=nol1hgd1" htmlFormat="all"/>
  </connection>
  <connection id="325" name="Conexão60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&amp;f=nol1hgd1" htmlFormat="all"/>
  </connection>
  <connection id="326" name="Conexão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&amp;f=nol1hgd1" htmlFormat="all"/>
  </connection>
  <connection id="327" name="Conexão6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328" name="Conexão6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329" name="Conexão6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330" name="Conexão61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&amp;f=nol1hgd1" htmlFormat="all"/>
  </connection>
  <connection id="331" name="Conexão6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&amp;f=nol1hgd1" htmlFormat="all"/>
  </connection>
  <connection id="332" name="Conexão62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&amp;f=nol1hgd1" htmlFormat="all"/>
  </connection>
  <connection id="333" name="Conexão6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BPAT33.SA&amp;f=nol1hgd1" htmlFormat="all"/>
  </connection>
  <connection id="334" name="Conexão63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BPAT33.SA&amp;f=nol1hgd1" htmlFormat="all"/>
  </connection>
  <connection id="335" name="Conexão64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BPAT33.SA&amp;f=nol1hgd1" htmlFormat="all"/>
  </connection>
  <connection id="336" name="Conexão6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BPAT33.SA&amp;f=nol1hgd1" htmlFormat="all"/>
  </connection>
  <connection id="337" name="Conexão65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3.SA+PINE4.SA&amp;f=nol1hgd1" htmlFormat="all"/>
  </connection>
  <connection id="338" name="Conexão6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3.SA+PINE4.SA&amp;f=nol1hgd1" htmlFormat="all"/>
  </connection>
  <connection id="339" name="Conexão66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&amp;f=nol1hgd1" htmlFormat="all"/>
  </connection>
  <connection id="340" name="Conexão6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&amp;f=nol1hgd1" htmlFormat="all"/>
  </connection>
  <connection id="341" name="Conexão67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ANB3.SA+SANB4.SA+SANB11.SA&amp;f=nol1hgd1" htmlFormat="all"/>
  </connection>
  <connection id="342" name="Conexão6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ANB3.SA+SANB4.SA+SANB11.SA&amp;f=nol1hgd1" htmlFormat="all"/>
  </connection>
  <connection id="343" name="Conexão68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3.SA+SFSA4.SA&amp;f=nol1hgd1" htmlFormat="all"/>
  </connection>
  <connection id="344" name="Conexão68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3.SA+SFSA4.SA&amp;f=nol1hgd1" htmlFormat="all"/>
  </connection>
  <connection id="345" name="Conexão69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&amp;f=nol1hgd1" htmlFormat="all"/>
  </connection>
  <connection id="346" name="Conexão69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&amp;f=nol1hgd1" htmlFormat="all"/>
  </connection>
  <connection id="347" name="Conexão7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348" name="Conexão70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&amp;f=nol1hgd1" htmlFormat="all"/>
  </connection>
  <connection id="349" name="Conexão70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&amp;f=nol1hgd1" htmlFormat="all"/>
  </connection>
  <connection id="350" name="Conexão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&amp;f=nol1hgd1" htmlFormat="all"/>
  </connection>
  <connection id="351" name="Conexão7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352" name="Conexão7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353" name="Conexão71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&amp;f=nol1hgd1" htmlFormat="all"/>
  </connection>
  <connection id="354" name="Conexão7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355" name="Conexão7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&amp;f=nol1hgd1" htmlFormat="all"/>
  </connection>
  <connection id="356" name="Conexão72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&amp;f=nol1hgd1" htmlFormat="all"/>
  </connection>
  <connection id="357" name="Conexão7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&amp;f=nol1hgd1" htmlFormat="all"/>
  </connection>
  <connection id="358" name="Conexão73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&amp;f=nol1hgd1" htmlFormat="all"/>
  </connection>
  <connection id="359" name="Conexão74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3.SA+PRBC4.SA&amp;f=nol1hgd1" htmlFormat="all"/>
  </connection>
  <connection id="360" name="Conexão7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3.SA+PRBC4.SA&amp;f=nol1hgd1" htmlFormat="all"/>
  </connection>
  <connection id="361" name="Conexão75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&amp;f=nol1hgd1" htmlFormat="all"/>
  </connection>
  <connection id="362" name="Conexão7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&amp;f=nol1hgd1" htmlFormat="all"/>
  </connection>
  <connection id="363" name="Conexão76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Format="all"/>
  </connection>
  <connection id="364" name="Conexão7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Format="all"/>
  </connection>
  <connection id="365" name="Conexão77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Format="all"/>
  </connection>
  <connection id="366" name="Conexão7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Format="all"/>
  </connection>
  <connection id="367" name="Conexão78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Format="all"/>
  </connection>
  <connection id="368" name="Conexão78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Format="all"/>
  </connection>
  <connection id="369" name="Conexão79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Format="all"/>
  </connection>
  <connection id="370" name="Conexão79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Format="all"/>
  </connection>
  <connection id="371" name="Conexão8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372" name="Conexão8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73" name="Conexão80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74" name="Conexão81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375" name="Conexão8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376" name="Conexão8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377" name="Conexão812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378" name="Conexão8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379" name="Conexão81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380" name="Conexão82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381" name="Conexão821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382" name="Conexão83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383" name="Conexão831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384" name="Conexão8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85" name="Conexão84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86" name="Conexão85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3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87" name="Conexão85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3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88" name="Conexão86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89" name="Conexão86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90" name="Conexão8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91" name="Conexão87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92" name="Conexão88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393" name="Conexão89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394" name="Conexão9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395" name="Conexão9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396" name="Conexão9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397" name="Conexão9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398" name="Conexão9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399" name="Conexão9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400" name="Conexão9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401" name="Conexão96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402" name="Conexão97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403" name="Conexão9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404" name="Conexão9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405" name="Connection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406" name="Connection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&amp;f=nol1hgd1" htmlTables="1" htmlFormat="all"/>
  </connection>
  <connection id="407" name="Connection10" type="4" refreshedVersion="0" background="1" saveData="1">
    <webPr url="http://download.finance.yahoo.com/d/quotes.csv?s=PETR3.SA+PETR4.SA+QGEP3.SA+SULA11.SA+CSAB3.SA+CSAB4.SA+BBSE3.SA+JOPA3.SA+JOPA4.SA+TERI3.SA+ELEK3.SA+ELEK4.SA+BRKM3.SA+BRKM5.SA+BRKM6.SA+CSAN3.SA+SMTO3.SA&amp;f=nol1hgd1" htmlTables="1" htmlFormat="all"/>
  </connection>
  <connection id="408" name="Connection1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&amp;f=nol1hgd1" htmlTables="1" htmlFormat="all"/>
  </connection>
  <connection id="409" name="Connection11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&amp;f=nol1hgd1" htmlTables="1" htmlFormat="all"/>
  </connection>
  <connection id="410" name="Connection1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&amp;f=nol1hgd1" htmlTables="1" htmlFormat="all"/>
  </connection>
  <connection id="411" name="Connection13" type="4" refreshedVersion="0" background="1" saveData="1">
    <webPr url="http://download.finance.yahoo.com/d/quotes.csv?s=PETR3.SA+PETR4.SA+QGEP3.SA+SULA11.SA+CSAB3.SA+CSAB4.SA+BBSE3.SA+JOPA3.SA+JOPA4.SA+TERI3.SA+ELEK3.SA+ELEK4.SA+BRKM3.SA+BRKM5.SA+BRKM6.SA+CSAN3.SA+SMTO3.SA+CIQU3.SA+CIQU4.SA&amp;f=nol1hgd1" htmlTables="1" htmlFormat="all"/>
  </connection>
  <connection id="412" name="Connection14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&amp;f=nol1hgd1" htmlFormat="all"/>
  </connection>
  <connection id="413" name="Connection15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BAUH3.SA+BAUH4.SA&amp;f=nol1hgd1" htmlFormat="all"/>
  </connection>
  <connection id="414" name="Connection16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BAUH4.SA&amp;f=nol1hgd1" htmlFormat="all"/>
  </connection>
  <connection id="415" name="Connection17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&amp;f=nol1hgd1" htmlFormat="all"/>
  </connection>
  <connection id="416" name="Connection18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&amp;f=nol1hgd1" htmlFormat="all"/>
  </connection>
  <connection id="417" name="Connection19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&amp;f=nol1hgd1" htmlFormat="all"/>
  </connection>
  <connection id="418" name="Connection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+LTEL11.SA+LTEL5B.SA&amp;f=nol1hgd1" htmlTables="1" htmlFormat="all"/>
  </connection>
  <connection id="419" name="Connection20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JBDU3.SA+JBDU4.SA&amp;f=nol1hgd1" htmlFormat="all"/>
  </connection>
  <connection id="420" name="Connection2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+LTEL11.SA+LTEL5B.SA&amp;f=nol1hgd1" htmlTables="1" htmlFormat="all"/>
  </connection>
  <connection id="421" name="Connection2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+LTEL11.SA+LTEL5B.SA&amp;f=nol1hgd1" htmlTables="1" htmlFormat="all"/>
  </connection>
  <connection id="422" name="Connection23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&amp;f=nol1hgd1" htmlFormat="all"/>
  </connection>
  <connection id="423" name="Connection24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&amp;f=nol1hgd1" htmlFormat="all"/>
  </connection>
  <connection id="424" name="Connection25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&amp;f=nol1hgd1" htmlFormat="all"/>
  </connection>
  <connection id="425" name="Connection26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HBTS6.SA+HBTS3.SA&amp;f=nol1hgd1" htmlFormat="all"/>
  </connection>
  <connection id="426" name="Connection27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&amp;f=nol1hgd1" htmlFormat="all"/>
  </connection>
  <connection id="427" name="Connection28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&amp;f=nol1hgd1" htmlFormat="all"/>
  </connection>
  <connection id="428" name="Connection29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&amp;f=nol1hgd1" htmlFormat="all"/>
  </connection>
  <connection id="429" name="Connection3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11.SA&amp;f=nol1hgd1" htmlTables="1" htmlFormat="all"/>
  </connection>
  <connection id="430" name="Connection30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431" name="Connection3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11.SA&amp;f=nol1hgd1" htmlTables="1" htmlFormat="all"/>
  </connection>
  <connection id="432" name="Connection3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11.SA&amp;f=nol1hgd1" htmlTables="1" htmlFormat="all"/>
  </connection>
  <connection id="433" name="Connection4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Tables="1" htmlFormat="all"/>
  </connection>
  <connection id="434" name="Connection4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Tables="1" htmlFormat="all"/>
  </connection>
  <connection id="435" name="Connection4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Tables="1" htmlFormat="all"/>
  </connection>
  <connection id="436" name="Connection5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437" name="Connection5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438" name="Connection6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439" name="Connection7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440" name="Connection8" type="4" refreshedVersion="0" background="1" saveData="1">
    <webPr url="http://download.finance.yahoo.com/d/quotes.csv?s=PETR3.SA+PETR4.SA+QGEP3.SA+SULA11.SA+CSAB3.SA+CSAB4.SA+BBSE3.SA+JOPA3.SA+JOPA4.SA+TERI3.SA+ELEK3.SA+ELEK4.SA+BRKM3.SA+BRKM5.SA+BRKM6.SA+CZLT33.SA&amp;f=nol1hgd1" htmlTables="1" htmlFormat="all"/>
  </connection>
  <connection id="441" name="Connection9" type="4" refreshedVersion="0" background="1" saveData="1">
    <webPr url="http://download.finance.yahoo.com/d/quotes.csv?s=PETR3.SA+PETR4.SA+QGEP3.SA+SULA11.SA+CSAB3.SA+CSAB4.SA+BBSE3.SA+JOPA3.SA+JOPA4.SA+TERI3.SA+ELEK3.SA+ELEK4.SA+BRKM3.SA+BRKM5.SA+BRKM6.SA+CSAN3.SA&amp;f=nol1hgd1" htmlTables="1" htmlFormat="all"/>
  </connection>
</connections>
</file>

<file path=xl/sharedStrings.xml><?xml version="1.0" encoding="utf-8"?>
<sst xmlns="http://schemas.openxmlformats.org/spreadsheetml/2006/main" count="2161" uniqueCount="812">
  <si>
    <t>Ativo</t>
  </si>
  <si>
    <t>ELPL4</t>
  </si>
  <si>
    <t>ELET3</t>
  </si>
  <si>
    <t>Patrimônio Líquido</t>
  </si>
  <si>
    <t>Total Ações</t>
  </si>
  <si>
    <t>VPA</t>
  </si>
  <si>
    <t>Cotação</t>
  </si>
  <si>
    <t>PVPA</t>
  </si>
  <si>
    <t>Comprar ?</t>
  </si>
  <si>
    <t>PAPEL</t>
  </si>
  <si>
    <t>BICB4</t>
  </si>
  <si>
    <t>Valores</t>
  </si>
  <si>
    <t>Utilidade Pública / Energia Elétrica / Energia Elétrica</t>
  </si>
  <si>
    <t>Classificação Setorial</t>
  </si>
  <si>
    <t>Financeiro e Outros / Intermediários Financeiros / Bancos</t>
  </si>
  <si>
    <t>DAYC4</t>
  </si>
  <si>
    <t>ITSA4</t>
  </si>
  <si>
    <t>Rentabilidade</t>
  </si>
  <si>
    <t>SUZB5</t>
  </si>
  <si>
    <t>Materiais Básicos / Madeira e Papel / Papel e Celulose</t>
  </si>
  <si>
    <t>PETR3</t>
  </si>
  <si>
    <t>PETR4</t>
  </si>
  <si>
    <t>ABCB4</t>
  </si>
  <si>
    <t>BRSR6</t>
  </si>
  <si>
    <t>BBAS3</t>
  </si>
  <si>
    <t>BBSE3</t>
  </si>
  <si>
    <t>Financeiro e Outros / Previdência e Seguros / Seguradoras</t>
  </si>
  <si>
    <t>ELET6</t>
  </si>
  <si>
    <t>ENBR3</t>
  </si>
  <si>
    <t>GETI3</t>
  </si>
  <si>
    <t>CMIG4</t>
  </si>
  <si>
    <t>CMIG3</t>
  </si>
  <si>
    <t>CPFE3</t>
  </si>
  <si>
    <t>GETI4</t>
  </si>
  <si>
    <t>CPLE3</t>
  </si>
  <si>
    <t>EQTL3</t>
  </si>
  <si>
    <t>SBSP3</t>
  </si>
  <si>
    <t>Utilidade Pública / Água e Saneamento / Água e Saneamento</t>
  </si>
  <si>
    <t>GEPA4</t>
  </si>
  <si>
    <t>UNIP6</t>
  </si>
  <si>
    <t>Materiais Básicos / Químicos / Petroquímicos</t>
  </si>
  <si>
    <t>Ativos</t>
  </si>
  <si>
    <t>URL =</t>
  </si>
  <si>
    <t>Yahoo tags =</t>
  </si>
  <si>
    <t>Carteira ações</t>
  </si>
  <si>
    <t>Código</t>
  </si>
  <si>
    <t>nol1hgd1</t>
  </si>
  <si>
    <t>Data</t>
  </si>
  <si>
    <t>Abertura</t>
  </si>
  <si>
    <t>Fechamento</t>
  </si>
  <si>
    <t>Máxima</t>
  </si>
  <si>
    <t>Mínima</t>
  </si>
  <si>
    <t>PL</t>
  </si>
  <si>
    <t>Lucro Líquido</t>
  </si>
  <si>
    <t>KLBN4</t>
  </si>
  <si>
    <t>LIGT3</t>
  </si>
  <si>
    <t>TAEE11</t>
  </si>
  <si>
    <t>SULA11</t>
  </si>
  <si>
    <t>Lucro Prev</t>
  </si>
  <si>
    <t>BEES3</t>
  </si>
  <si>
    <t>BEES4</t>
  </si>
  <si>
    <t>Lucro Med A.A</t>
  </si>
  <si>
    <t>BMIN4</t>
  </si>
  <si>
    <t>BAZA3</t>
  </si>
  <si>
    <t>Ref</t>
  </si>
  <si>
    <t>ENGI4</t>
  </si>
  <si>
    <t>RDTR3</t>
  </si>
  <si>
    <t>SAPR4</t>
  </si>
  <si>
    <t>AELP3</t>
  </si>
  <si>
    <t>CSRN6</t>
  </si>
  <si>
    <t>CEBR6</t>
  </si>
  <si>
    <t>CEPE5</t>
  </si>
  <si>
    <t>CLSC4</t>
  </si>
  <si>
    <t>CESP3</t>
  </si>
  <si>
    <t>Payout</t>
  </si>
  <si>
    <t>UNIP5</t>
  </si>
  <si>
    <t>PINE4</t>
  </si>
  <si>
    <t>SFSA4</t>
  </si>
  <si>
    <t>RPAD5</t>
  </si>
  <si>
    <t>BRGE6</t>
  </si>
  <si>
    <t>TERI3</t>
  </si>
  <si>
    <t>FESA4</t>
  </si>
  <si>
    <t>ITUB4</t>
  </si>
  <si>
    <t>COCE5</t>
  </si>
  <si>
    <t>PRBC4</t>
  </si>
  <si>
    <t>Exercício</t>
  </si>
  <si>
    <t>Lucro/Ação</t>
  </si>
  <si>
    <t>Lucro por ação</t>
  </si>
  <si>
    <t>Dividendo / Ação</t>
  </si>
  <si>
    <t>ENGI11</t>
  </si>
  <si>
    <t>Yield</t>
  </si>
  <si>
    <t>CESP5</t>
  </si>
  <si>
    <t>CESP6</t>
  </si>
  <si>
    <t>CEEB3</t>
  </si>
  <si>
    <t>CEEB5</t>
  </si>
  <si>
    <t>CEBR3</t>
  </si>
  <si>
    <t>CEBR5</t>
  </si>
  <si>
    <t>CEPE6</t>
  </si>
  <si>
    <t>COCE3</t>
  </si>
  <si>
    <t>ENMA3B</t>
  </si>
  <si>
    <t>CSRN3</t>
  </si>
  <si>
    <t>CSRN5</t>
  </si>
  <si>
    <t>EEEL3</t>
  </si>
  <si>
    <t>EEEL4</t>
  </si>
  <si>
    <t>CPLE5</t>
  </si>
  <si>
    <t>CPLE6</t>
  </si>
  <si>
    <t xml:space="preserve"> </t>
  </si>
  <si>
    <t xml:space="preserve">ABC BRASIL  -PN  </t>
  </si>
  <si>
    <t>AES ELPA    -ON</t>
  </si>
  <si>
    <t>AMAZONIA    -ON</t>
  </si>
  <si>
    <t xml:space="preserve">BRASIL      -ON  </t>
  </si>
  <si>
    <t>9.00</t>
  </si>
  <si>
    <t xml:space="preserve">BICBANCO    -PN  </t>
  </si>
  <si>
    <t>MERC INVEST -PN</t>
  </si>
  <si>
    <t>0.26</t>
  </si>
  <si>
    <t>ALFA CONSORC-PNB</t>
  </si>
  <si>
    <t>5.96</t>
  </si>
  <si>
    <t xml:space="preserve">BANRISUL    -PNB </t>
  </si>
  <si>
    <t>CEB         -ON</t>
  </si>
  <si>
    <t>CEB         -PNA</t>
  </si>
  <si>
    <t>CEB         -PNB</t>
  </si>
  <si>
    <t>17.08</t>
  </si>
  <si>
    <t>32.01</t>
  </si>
  <si>
    <t>CELPE       -PNA</t>
  </si>
  <si>
    <t>17.56</t>
  </si>
  <si>
    <t>18.00</t>
  </si>
  <si>
    <t>CELPE       -PNB</t>
  </si>
  <si>
    <t>21.51</t>
  </si>
  <si>
    <t xml:space="preserve">CESP        -ON  </t>
  </si>
  <si>
    <t xml:space="preserve">CESP        -PNA </t>
  </si>
  <si>
    <t xml:space="preserve">CESP        -PNB </t>
  </si>
  <si>
    <t xml:space="preserve">CELESC      -PN  </t>
  </si>
  <si>
    <t xml:space="preserve">CEMIG       -ON  </t>
  </si>
  <si>
    <t xml:space="preserve">CEMIG       -PN  </t>
  </si>
  <si>
    <t>COELCE      -ON</t>
  </si>
  <si>
    <t>COELCE      -PNA</t>
  </si>
  <si>
    <t xml:space="preserve">CPFL ENERGIA-ON  </t>
  </si>
  <si>
    <t xml:space="preserve">COPEL       -ON  </t>
  </si>
  <si>
    <t xml:space="preserve">COPEL       -PNA </t>
  </si>
  <si>
    <t>30.00</t>
  </si>
  <si>
    <t xml:space="preserve">COPEL       -PNB </t>
  </si>
  <si>
    <t>10.12</t>
  </si>
  <si>
    <t xml:space="preserve">DAYCOVAL    -PN  </t>
  </si>
  <si>
    <t xml:space="preserve">CEEE-GT     -ON  </t>
  </si>
  <si>
    <t xml:space="preserve">CEEE-GT     -PN  </t>
  </si>
  <si>
    <t xml:space="preserve">ELETROBRAS  -ON  </t>
  </si>
  <si>
    <t xml:space="preserve">ELETROBRAS  -PNB </t>
  </si>
  <si>
    <t xml:space="preserve">ELETROPAULO -PN  </t>
  </si>
  <si>
    <t>11.00</t>
  </si>
  <si>
    <t xml:space="preserve">ENERGIAS BR -ON  </t>
  </si>
  <si>
    <t>ENERGISA    -UNT</t>
  </si>
  <si>
    <t>ENERGISA    -PN</t>
  </si>
  <si>
    <t xml:space="preserve">CEMAR       -ON  </t>
  </si>
  <si>
    <t xml:space="preserve">EQUATORIAL  -ON  </t>
  </si>
  <si>
    <t>AES TIETE   -ON</t>
  </si>
  <si>
    <t>AES TIETE   -PN</t>
  </si>
  <si>
    <t xml:space="preserve">ITAUSA      -PN  </t>
  </si>
  <si>
    <t xml:space="preserve">ITAUUNIBANCO-PN  </t>
  </si>
  <si>
    <t xml:space="preserve">KLABIN S/A  -PN  </t>
  </si>
  <si>
    <t xml:space="preserve">LIGHT S/A   -ON  </t>
  </si>
  <si>
    <t xml:space="preserve">PINE        -PN  </t>
  </si>
  <si>
    <t xml:space="preserve">PARANA      -PN  </t>
  </si>
  <si>
    <t>REDENTOR    -ON</t>
  </si>
  <si>
    <t>ALFA HOLDING-PNA</t>
  </si>
  <si>
    <t xml:space="preserve">SABESP      -ON  </t>
  </si>
  <si>
    <t xml:space="preserve">SOFISA      -PN  </t>
  </si>
  <si>
    <t xml:space="preserve">SUZANO PAPEL-PNA </t>
  </si>
  <si>
    <t xml:space="preserve">TAESA       -UNT </t>
  </si>
  <si>
    <t>UNIPAR      -PNA</t>
  </si>
  <si>
    <t>UNIPAR      -PNB</t>
  </si>
  <si>
    <t>TRPL3</t>
  </si>
  <si>
    <t>TRPL4</t>
  </si>
  <si>
    <t>1.10</t>
  </si>
  <si>
    <t>4.12</t>
  </si>
  <si>
    <t>3.82</t>
  </si>
  <si>
    <t xml:space="preserve">TRAN PAULIST-ON  </t>
  </si>
  <si>
    <t xml:space="preserve">TRAN PAULIST-PN  </t>
  </si>
  <si>
    <t>5.70</t>
  </si>
  <si>
    <t>GEPA3</t>
  </si>
  <si>
    <t>62.04</t>
  </si>
  <si>
    <t>LIPR3</t>
  </si>
  <si>
    <t>ELETROPAR   -ON</t>
  </si>
  <si>
    <t>49.45</t>
  </si>
  <si>
    <t>ELPL3</t>
  </si>
  <si>
    <t xml:space="preserve">ELETROPAULO -ON  </t>
  </si>
  <si>
    <t>EMAE4</t>
  </si>
  <si>
    <t>EMAE        -PN</t>
  </si>
  <si>
    <t>ENGI3</t>
  </si>
  <si>
    <t>ENERGISA    -ON</t>
  </si>
  <si>
    <t>GTDP3B</t>
  </si>
  <si>
    <t>GTDP4B</t>
  </si>
  <si>
    <t xml:space="preserve">GTD PART    -ON  </t>
  </si>
  <si>
    <t xml:space="preserve">GTD PART    -PN  </t>
  </si>
  <si>
    <t>TBLE3</t>
  </si>
  <si>
    <t xml:space="preserve">TRACTEBEL   -ON  </t>
  </si>
  <si>
    <t>CASN3</t>
  </si>
  <si>
    <t>CASAN       -ON</t>
  </si>
  <si>
    <t>CSMG3</t>
  </si>
  <si>
    <t xml:space="preserve">COPASA      -ON  </t>
  </si>
  <si>
    <t>SAPR3</t>
  </si>
  <si>
    <t>8.19</t>
  </si>
  <si>
    <t>RANI3</t>
  </si>
  <si>
    <t>RANI4</t>
  </si>
  <si>
    <t>CELUL IRANI -ON</t>
  </si>
  <si>
    <t>CELUL IRANI -PN</t>
  </si>
  <si>
    <t>KLBN3</t>
  </si>
  <si>
    <t xml:space="preserve">KLABIN S/A  -ON  </t>
  </si>
  <si>
    <t>SUZB6</t>
  </si>
  <si>
    <t>4.00</t>
  </si>
  <si>
    <t xml:space="preserve">SUZANO PAPEL-PNB </t>
  </si>
  <si>
    <t>RPAD3</t>
  </si>
  <si>
    <t>RPAD6</t>
  </si>
  <si>
    <t>ALFA HOLDING-ON</t>
  </si>
  <si>
    <t>3.08</t>
  </si>
  <si>
    <t>ALFA HOLDING-PNB</t>
  </si>
  <si>
    <t>BRIV3</t>
  </si>
  <si>
    <t>BRIV4</t>
  </si>
  <si>
    <t>ALFA INVEST -ON</t>
  </si>
  <si>
    <t>ALFA INVEST -PN</t>
  </si>
  <si>
    <t>BBDC3</t>
  </si>
  <si>
    <t>BBDC4</t>
  </si>
  <si>
    <t xml:space="preserve">BRADESCO    -ON  </t>
  </si>
  <si>
    <t xml:space="preserve">BRADESCO    -PN  </t>
  </si>
  <si>
    <t>28.74</t>
  </si>
  <si>
    <t>BGIP3</t>
  </si>
  <si>
    <t>BGIP4</t>
  </si>
  <si>
    <t>BRSR3</t>
  </si>
  <si>
    <t>BRSR5</t>
  </si>
  <si>
    <t xml:space="preserve">BANRISUL    -ON  </t>
  </si>
  <si>
    <t xml:space="preserve">BANRISUL    -PNA </t>
  </si>
  <si>
    <t>15.72</t>
  </si>
  <si>
    <t>BICB3</t>
  </si>
  <si>
    <t xml:space="preserve">BICBANCO    -ON  </t>
  </si>
  <si>
    <t>9.69</t>
  </si>
  <si>
    <t>9.65</t>
  </si>
  <si>
    <t>BMIN3</t>
  </si>
  <si>
    <t>MERC INVEST -ON</t>
  </si>
  <si>
    <t>BNBR3</t>
  </si>
  <si>
    <t>BNBR4</t>
  </si>
  <si>
    <t>NORD BRASIL -ON</t>
  </si>
  <si>
    <t>NORD BRASIL -PN</t>
  </si>
  <si>
    <t>BSLI3</t>
  </si>
  <si>
    <t>BSLI4</t>
  </si>
  <si>
    <t>BRB BANCO   -ON</t>
  </si>
  <si>
    <t>BRB BANCO   -PN</t>
  </si>
  <si>
    <t>29.99</t>
  </si>
  <si>
    <t>BRGE3</t>
  </si>
  <si>
    <t>BRGE5</t>
  </si>
  <si>
    <t>BRGE7</t>
  </si>
  <si>
    <t>BRGE8</t>
  </si>
  <si>
    <t>BRGE11</t>
  </si>
  <si>
    <t>BRGE12</t>
  </si>
  <si>
    <t>ALFA CONSORC-ON</t>
  </si>
  <si>
    <t>4.20</t>
  </si>
  <si>
    <t>ALFA CONSORC-PNA</t>
  </si>
  <si>
    <t>3.27</t>
  </si>
  <si>
    <t>ALFA CONSORC-PNC</t>
  </si>
  <si>
    <t>3.60</t>
  </si>
  <si>
    <t>ALFA CONSORC-PND</t>
  </si>
  <si>
    <t>ALFA CONSORC-PNE</t>
  </si>
  <si>
    <t>ALFA CONSORC-PNF</t>
  </si>
  <si>
    <t>ITUB3</t>
  </si>
  <si>
    <t xml:space="preserve">ITAUUNIBANCO-ON  </t>
  </si>
  <si>
    <t>ITSA3</t>
  </si>
  <si>
    <t xml:space="preserve">ITAUSA      -ON  </t>
  </si>
  <si>
    <t>PSSA3</t>
  </si>
  <si>
    <t xml:space="preserve">PORTO SEGURO-ON  </t>
  </si>
  <si>
    <t>58.00</t>
  </si>
  <si>
    <t>19.00</t>
  </si>
  <si>
    <t>FESA3</t>
  </si>
  <si>
    <t xml:space="preserve">FERBASA     -PN  </t>
  </si>
  <si>
    <t xml:space="preserve">FERBASA     -ON  </t>
  </si>
  <si>
    <t>Materiais Básicos / Siderurgia e Metalurgia / Siderurgia</t>
  </si>
  <si>
    <t>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</t>
  </si>
  <si>
    <t>PETROBRAS   -PN</t>
  </si>
  <si>
    <t>Cotação 1</t>
  </si>
  <si>
    <t>Cotação 2</t>
  </si>
  <si>
    <t>PETROBRAS   -ON</t>
  </si>
  <si>
    <t>Petróleo. Gás e Biocombustíveis / Petróleo. Gás e Biocombustíveis / Exploração e/ou Refino</t>
  </si>
  <si>
    <t>QGEP3</t>
  </si>
  <si>
    <t xml:space="preserve">QGEP PART   -ON  </t>
  </si>
  <si>
    <t xml:space="preserve">SUL AMERICA -UNT </t>
  </si>
  <si>
    <t>CSAB3</t>
  </si>
  <si>
    <t>CSAB4</t>
  </si>
  <si>
    <t>SEG AL BAHIA-ON</t>
  </si>
  <si>
    <t>30.01</t>
  </si>
  <si>
    <t>SEG AL BAHIA-PN</t>
  </si>
  <si>
    <t xml:space="preserve">BBSEGURIDADE-ON  </t>
  </si>
  <si>
    <t>JOPA3</t>
  </si>
  <si>
    <t>JOPA4</t>
  </si>
  <si>
    <t>JOSAPAR     -ON</t>
  </si>
  <si>
    <t>17.00</t>
  </si>
  <si>
    <t>JOSAPAR     -PN</t>
  </si>
  <si>
    <t xml:space="preserve">TEREOS      -ON  </t>
  </si>
  <si>
    <t>Consumo não Cíclico / Alimentos Processados / Alimentos Diversos</t>
  </si>
  <si>
    <t>ELEK3</t>
  </si>
  <si>
    <t>ELEK4</t>
  </si>
  <si>
    <t>10.00</t>
  </si>
  <si>
    <t>BRKM3</t>
  </si>
  <si>
    <t>BRKM5</t>
  </si>
  <si>
    <t>BRKM6</t>
  </si>
  <si>
    <t xml:space="preserve">BRASKEM     -ON  </t>
  </si>
  <si>
    <t xml:space="preserve">BRASKEM     -PNA </t>
  </si>
  <si>
    <t xml:space="preserve">BRASKEM     -PNB </t>
  </si>
  <si>
    <t>Consumo não Cíclico / Alimentos Processados / Açucar e Alcool</t>
  </si>
  <si>
    <t>CSAN3</t>
  </si>
  <si>
    <t xml:space="preserve">COSAN       -ON  </t>
  </si>
  <si>
    <t>SMTO3</t>
  </si>
  <si>
    <t xml:space="preserve">SAO MARTINHO-ON  </t>
  </si>
  <si>
    <t>CIQU3</t>
  </si>
  <si>
    <t>CIQU4</t>
  </si>
  <si>
    <t>7.08</t>
  </si>
  <si>
    <t>Consumo não Cíclico / Alimentos Processados / Café</t>
  </si>
  <si>
    <t>BRFS3</t>
  </si>
  <si>
    <t>Consumo não Cíclico / Alimentos Processados / Carnes e Derivados</t>
  </si>
  <si>
    <t xml:space="preserve">BRF SA      -ON  </t>
  </si>
  <si>
    <t>JBSS3</t>
  </si>
  <si>
    <t xml:space="preserve">JBS         -ON  </t>
  </si>
  <si>
    <t>VIGR3</t>
  </si>
  <si>
    <t xml:space="preserve">VIGOR FOOD  -ON  </t>
  </si>
  <si>
    <t>Consumo não Cíclico / Alimentos Processados / Laticínios</t>
  </si>
  <si>
    <t>TIMP3</t>
  </si>
  <si>
    <t>Telecomunicações / Telefonia Móvel / Telefonia móvel</t>
  </si>
  <si>
    <t xml:space="preserve">TIM PART S/A-ON  </t>
  </si>
  <si>
    <t>OIBR3</t>
  </si>
  <si>
    <t>OIBR4</t>
  </si>
  <si>
    <t xml:space="preserve">OI          -ON  </t>
  </si>
  <si>
    <t xml:space="preserve">OI          -PN  </t>
  </si>
  <si>
    <t>Telecomunicações / Telefonia Fixa / Telefonia Fixa</t>
  </si>
  <si>
    <t>VIVT3</t>
  </si>
  <si>
    <t>VIVT4</t>
  </si>
  <si>
    <t>BRAP3</t>
  </si>
  <si>
    <t>BRAP4</t>
  </si>
  <si>
    <t>Financeiro e Outros / Holdings Diversificadas / Holdings Diversificadas</t>
  </si>
  <si>
    <t xml:space="preserve">BRADESPAR   -ON  </t>
  </si>
  <si>
    <t xml:space="preserve">BRADESPAR   -PN  </t>
  </si>
  <si>
    <t>Cotação Atual</t>
  </si>
  <si>
    <t>Média Payout</t>
  </si>
  <si>
    <t>% Yield</t>
  </si>
  <si>
    <t>Média Dividendo</t>
  </si>
  <si>
    <t>HBTS5</t>
  </si>
  <si>
    <t>HABITASUL   -PNA</t>
  </si>
  <si>
    <t>MOAR3</t>
  </si>
  <si>
    <t>159.00</t>
  </si>
  <si>
    <t>158.99</t>
  </si>
  <si>
    <t>UGPA3</t>
  </si>
  <si>
    <t xml:space="preserve">ULTRAPAR    -ON  </t>
  </si>
  <si>
    <t>BAHI3</t>
  </si>
  <si>
    <t>BAHEMA      -ON</t>
  </si>
  <si>
    <t>Data Liquidação</t>
  </si>
  <si>
    <t>Taxas</t>
  </si>
  <si>
    <t>Resgates</t>
  </si>
  <si>
    <t>Aplicação</t>
  </si>
  <si>
    <t>Total</t>
  </si>
  <si>
    <t>Consumo Cíclico / Diversos / Aluguel de carros</t>
  </si>
  <si>
    <t>LCAM3</t>
  </si>
  <si>
    <t xml:space="preserve">LOCAMERICA  -ON  </t>
  </si>
  <si>
    <t>0.13</t>
  </si>
  <si>
    <t>6.61</t>
  </si>
  <si>
    <t>16.51</t>
  </si>
  <si>
    <t>PTPA4</t>
  </si>
  <si>
    <t>Materiais Básicos / Embalagens / Embalagens</t>
  </si>
  <si>
    <t>Rótulos de Linha</t>
  </si>
  <si>
    <t>Total geral</t>
  </si>
  <si>
    <t>DTEX3</t>
  </si>
  <si>
    <t>Materiais Básicos / Madeira e Papel / Madeira</t>
  </si>
  <si>
    <t xml:space="preserve">DURATEX     -ON  </t>
  </si>
  <si>
    <t>EUCA4</t>
  </si>
  <si>
    <t xml:space="preserve">EUCATEX     -PN  </t>
  </si>
  <si>
    <t>Materiais Básicos / Materiais Diversos / Materiais Diversos</t>
  </si>
  <si>
    <t>PRVI3</t>
  </si>
  <si>
    <t xml:space="preserve">PROVIDENCIA -ON  </t>
  </si>
  <si>
    <t>MAGG3</t>
  </si>
  <si>
    <t xml:space="preserve">MAGNESITA SA-ON  </t>
  </si>
  <si>
    <t>Materiais Básicos / Mineração / Minerais Metálicos</t>
  </si>
  <si>
    <t>VALE5</t>
  </si>
  <si>
    <t xml:space="preserve">VALE        -PNA </t>
  </si>
  <si>
    <t>NUTR3M</t>
  </si>
  <si>
    <t xml:space="preserve">NUTRIPLANT  -ON  </t>
  </si>
  <si>
    <t>PATI4</t>
  </si>
  <si>
    <t>Materiais Básicos / Siderurgia e Metalurgia / Artefatos de Ferro e Aço</t>
  </si>
  <si>
    <t>PANATLANTICA-PN</t>
  </si>
  <si>
    <t>18.75</t>
  </si>
  <si>
    <t>TKNO4</t>
  </si>
  <si>
    <t>TEKNO       -PN</t>
  </si>
  <si>
    <t>88.00</t>
  </si>
  <si>
    <t>ETER3</t>
  </si>
  <si>
    <t>Construção e Transporte / Construção e Engenharia / Materiais de Construção</t>
  </si>
  <si>
    <t xml:space="preserve">ETERNIT     -ON  </t>
  </si>
  <si>
    <t>9.50</t>
  </si>
  <si>
    <t>49.60</t>
  </si>
  <si>
    <t xml:space="preserve">CACIQUE     -ON  </t>
  </si>
  <si>
    <t xml:space="preserve">CACIQUE     -PN  </t>
  </si>
  <si>
    <t xml:space="preserve">TELEF BRASIL-ON  </t>
  </si>
  <si>
    <t xml:space="preserve">TELEF BRASIL-PN  </t>
  </si>
  <si>
    <t xml:space="preserve">BANESTES    -ON  </t>
  </si>
  <si>
    <t xml:space="preserve">BANESTES    -PN  </t>
  </si>
  <si>
    <t xml:space="preserve">COELBA      -ON  </t>
  </si>
  <si>
    <t xml:space="preserve">COELBA      -PNA </t>
  </si>
  <si>
    <t xml:space="preserve">COSERN      -ON  </t>
  </si>
  <si>
    <t xml:space="preserve">COSERN      -PNA </t>
  </si>
  <si>
    <t xml:space="preserve">COSERN      -PNB </t>
  </si>
  <si>
    <t>GER PARANAP -ON</t>
  </si>
  <si>
    <t>GER PARANAP -PN</t>
  </si>
  <si>
    <t xml:space="preserve">SANEPAR     -ON  </t>
  </si>
  <si>
    <t xml:space="preserve">SANEPAR     -PN  </t>
  </si>
  <si>
    <t>0.51</t>
  </si>
  <si>
    <t>Financeiro e Outros / Exploração de Imóveis / Exploração de Imóveis</t>
  </si>
  <si>
    <t>ALSC3</t>
  </si>
  <si>
    <t xml:space="preserve">ALIANSCE    -ON  </t>
  </si>
  <si>
    <t>BRML3</t>
  </si>
  <si>
    <t xml:space="preserve">BR MALLS PAR-ON  </t>
  </si>
  <si>
    <t>BRPR3</t>
  </si>
  <si>
    <t xml:space="preserve">BR PROPERT  -ON  </t>
  </si>
  <si>
    <t>CCPR3</t>
  </si>
  <si>
    <t xml:space="preserve">CYRE COM-CCP-ON  </t>
  </si>
  <si>
    <t>IGTA3</t>
  </si>
  <si>
    <t xml:space="preserve">IGUATEMI    -ON  </t>
  </si>
  <si>
    <t>MULT3</t>
  </si>
  <si>
    <t xml:space="preserve">MULTIPLAN   -ON  </t>
  </si>
  <si>
    <t>SSBR3</t>
  </si>
  <si>
    <t>SCAR3</t>
  </si>
  <si>
    <t xml:space="preserve">SIERRABRASIL-ON  </t>
  </si>
  <si>
    <t xml:space="preserve">SAO CARLOS  -ON  </t>
  </si>
  <si>
    <t>MERC3</t>
  </si>
  <si>
    <t>MERC4</t>
  </si>
  <si>
    <t>Financeiro e Outros / Intermediários Financeiros / Soc. Crédito e Financiamento</t>
  </si>
  <si>
    <t>MERC FINANC -ON</t>
  </si>
  <si>
    <t>8.55</t>
  </si>
  <si>
    <t>MERC FINANC -PN</t>
  </si>
  <si>
    <t>CRIV3</t>
  </si>
  <si>
    <t>CRIV4</t>
  </si>
  <si>
    <t>ALFA FINANC -ON</t>
  </si>
  <si>
    <t>ALFA FINANC -PN</t>
  </si>
  <si>
    <t>BRIN3</t>
  </si>
  <si>
    <t>Financeiro e Outros / Previdência e Seguros / Corretoras de Seguros</t>
  </si>
  <si>
    <t xml:space="preserve">BR INSURANCE-ON  </t>
  </si>
  <si>
    <t>TRPN3</t>
  </si>
  <si>
    <t>Financeiro e Outros / Serviços Financeiros Diversos / Gestão de Recursos e Investimentos</t>
  </si>
  <si>
    <t xml:space="preserve">TARPON INV  -ON  </t>
  </si>
  <si>
    <t>BVMF3</t>
  </si>
  <si>
    <t>Financeiro e Outros / Serviços Financeiros Diversos / Serviços Financeiros Diversos</t>
  </si>
  <si>
    <t xml:space="preserve">BMFBOVESPA  -ON  </t>
  </si>
  <si>
    <t>CTIP3</t>
  </si>
  <si>
    <t>CIEL3</t>
  </si>
  <si>
    <t xml:space="preserve">CETIP       -ON  </t>
  </si>
  <si>
    <t xml:space="preserve">CIELO       -ON  </t>
  </si>
  <si>
    <t>1.40</t>
  </si>
  <si>
    <t>0.46</t>
  </si>
  <si>
    <t>5.95</t>
  </si>
  <si>
    <t>Soma de Dividendo / Ação</t>
  </si>
  <si>
    <t>EBTP4</t>
  </si>
  <si>
    <t>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</t>
  </si>
  <si>
    <t>EMBRATEL PAR-PN *</t>
  </si>
  <si>
    <t>9.89</t>
  </si>
  <si>
    <t>Nome</t>
  </si>
  <si>
    <t>Quantidade</t>
  </si>
  <si>
    <t>Preço Médio</t>
  </si>
  <si>
    <t>Lucro p/ Ação</t>
  </si>
  <si>
    <t>Total Aplicado</t>
  </si>
  <si>
    <t>Total de Ativos</t>
  </si>
  <si>
    <t>Total Lucro p/ Ação</t>
  </si>
  <si>
    <t>% Rentabilidade</t>
  </si>
  <si>
    <t>Dia</t>
  </si>
  <si>
    <t>Mês</t>
  </si>
  <si>
    <t>Ano</t>
  </si>
  <si>
    <t>16.00</t>
  </si>
  <si>
    <t>Dividendo</t>
  </si>
  <si>
    <t>JPC</t>
  </si>
  <si>
    <t>Total Dividendo</t>
  </si>
  <si>
    <t>Total JPC</t>
  </si>
  <si>
    <t>3.30</t>
  </si>
  <si>
    <t>30.05</t>
  </si>
  <si>
    <t>10.50</t>
  </si>
  <si>
    <t>0.47</t>
  </si>
  <si>
    <t>43.24</t>
  </si>
  <si>
    <t>6.58</t>
  </si>
  <si>
    <t>43.25</t>
  </si>
  <si>
    <t>5.97</t>
  </si>
  <si>
    <t>5.65</t>
  </si>
  <si>
    <t>23.54</t>
  </si>
  <si>
    <t>3.81</t>
  </si>
  <si>
    <t>5.64</t>
  </si>
  <si>
    <t>19.50</t>
  </si>
  <si>
    <t>20.80</t>
  </si>
  <si>
    <t>13.08</t>
  </si>
  <si>
    <t>2.99</t>
  </si>
  <si>
    <t>0.31</t>
  </si>
  <si>
    <t>BANESE      -ON</t>
  </si>
  <si>
    <t>BANESE      -PN</t>
  </si>
  <si>
    <t>5.67</t>
  </si>
  <si>
    <t>19.90</t>
  </si>
  <si>
    <t>0.50</t>
  </si>
  <si>
    <t>ELEKEIROZ   -ON</t>
  </si>
  <si>
    <t>ELEKEIROZ   -PN</t>
  </si>
  <si>
    <t>MONT ARANHA -ON</t>
  </si>
  <si>
    <t>EVORA       -PN</t>
  </si>
  <si>
    <t>3.85</t>
  </si>
  <si>
    <t>15.50</t>
  </si>
  <si>
    <t>1.85</t>
  </si>
  <si>
    <t>12.25</t>
  </si>
  <si>
    <t>5.26</t>
  </si>
  <si>
    <t>0.65</t>
  </si>
  <si>
    <t>24.00</t>
  </si>
  <si>
    <t>12.40</t>
  </si>
  <si>
    <t>59.50</t>
  </si>
  <si>
    <t>61.99</t>
  </si>
  <si>
    <t>12.20</t>
  </si>
  <si>
    <t>6.80</t>
  </si>
  <si>
    <t>18.19</t>
  </si>
  <si>
    <t>7.70</t>
  </si>
  <si>
    <t>11.80</t>
  </si>
  <si>
    <t>21.80</t>
  </si>
  <si>
    <t>5.80</t>
  </si>
  <si>
    <t>9.70</t>
  </si>
  <si>
    <t>28.35</t>
  </si>
  <si>
    <t>12.28</t>
  </si>
  <si>
    <t>0.63</t>
  </si>
  <si>
    <t>23.47</t>
  </si>
  <si>
    <t>2.46</t>
  </si>
  <si>
    <t>8.96</t>
  </si>
  <si>
    <t>8.40</t>
  </si>
  <si>
    <t>17.97</t>
  </si>
  <si>
    <t>17.23</t>
  </si>
  <si>
    <t>17.18</t>
  </si>
  <si>
    <t>26.80</t>
  </si>
  <si>
    <t>8.70</t>
  </si>
  <si>
    <t>26.95</t>
  </si>
  <si>
    <t>0.33</t>
  </si>
  <si>
    <t>7.40</t>
  </si>
  <si>
    <t>7.41</t>
  </si>
  <si>
    <t>2.10</t>
  </si>
  <si>
    <t>17.39</t>
  </si>
  <si>
    <t>12.53</t>
  </si>
  <si>
    <t>8.76</t>
  </si>
  <si>
    <t>27.80</t>
  </si>
  <si>
    <t>8.74</t>
  </si>
  <si>
    <t>13.45</t>
  </si>
  <si>
    <t>4.53</t>
  </si>
  <si>
    <t>22.39</t>
  </si>
  <si>
    <t>6.55</t>
  </si>
  <si>
    <t>3.88</t>
  </si>
  <si>
    <t>3.84</t>
  </si>
  <si>
    <t>12.19</t>
  </si>
  <si>
    <t>8.28</t>
  </si>
  <si>
    <t>23.41</t>
  </si>
  <si>
    <t>23.55</t>
  </si>
  <si>
    <t>30.07</t>
  </si>
  <si>
    <t>30.28</t>
  </si>
  <si>
    <t>29.81</t>
  </si>
  <si>
    <t>27.64</t>
  </si>
  <si>
    <t>45.05</t>
  </si>
  <si>
    <t>5.50</t>
  </si>
  <si>
    <t>11.70</t>
  </si>
  <si>
    <t>31.98</t>
  </si>
  <si>
    <t>21.64</t>
  </si>
  <si>
    <t>21.52</t>
  </si>
  <si>
    <t>21.82</t>
  </si>
  <si>
    <t>21.50</t>
  </si>
  <si>
    <t>16.09</t>
  </si>
  <si>
    <t>15.90</t>
  </si>
  <si>
    <t>15.85</t>
  </si>
  <si>
    <t>13.83</t>
  </si>
  <si>
    <t>13.57</t>
  </si>
  <si>
    <t>13.60</t>
  </si>
  <si>
    <t>48.31</t>
  </si>
  <si>
    <t>48.01</t>
  </si>
  <si>
    <t>48.20</t>
  </si>
  <si>
    <t>48.35</t>
  </si>
  <si>
    <t>48.08</t>
  </si>
  <si>
    <t>18.49</t>
  </si>
  <si>
    <t>18.35</t>
  </si>
  <si>
    <t>22.34</t>
  </si>
  <si>
    <t>22.20</t>
  </si>
  <si>
    <t>22.00</t>
  </si>
  <si>
    <t>31.16</t>
  </si>
  <si>
    <t>31.18</t>
  </si>
  <si>
    <t>30.81</t>
  </si>
  <si>
    <t>33.70</t>
  </si>
  <si>
    <t>7.86</t>
  </si>
  <si>
    <t>7.89</t>
  </si>
  <si>
    <t>7.78</t>
  </si>
  <si>
    <t>5.74</t>
  </si>
  <si>
    <t>5.76</t>
  </si>
  <si>
    <t>5.60</t>
  </si>
  <si>
    <t>9.99</t>
  </si>
  <si>
    <t>9.46</t>
  </si>
  <si>
    <t>8.90</t>
  </si>
  <si>
    <t>9.08</t>
  </si>
  <si>
    <t>8.89</t>
  </si>
  <si>
    <t>10.39</t>
  </si>
  <si>
    <t>10.43</t>
  </si>
  <si>
    <t>10.22</t>
  </si>
  <si>
    <t>15.00</t>
  </si>
  <si>
    <t>22.90</t>
  </si>
  <si>
    <t>18.68</t>
  </si>
  <si>
    <t>18.76</t>
  </si>
  <si>
    <t>18.67</t>
  </si>
  <si>
    <t>0.12</t>
  </si>
  <si>
    <t>8.73</t>
  </si>
  <si>
    <t>28.99</t>
  </si>
  <si>
    <t>29.05</t>
  </si>
  <si>
    <t>31.50</t>
  </si>
  <si>
    <t>12.71</t>
  </si>
  <si>
    <t>20.97</t>
  </si>
  <si>
    <t>20.55</t>
  </si>
  <si>
    <t>8.72</t>
  </si>
  <si>
    <t>11.66</t>
  </si>
  <si>
    <t>3.20</t>
  </si>
  <si>
    <t>23.50</t>
  </si>
  <si>
    <t>24.06</t>
  </si>
  <si>
    <t>23.25</t>
  </si>
  <si>
    <t>2.70</t>
  </si>
  <si>
    <t>9.28</t>
  </si>
  <si>
    <t>9.27</t>
  </si>
  <si>
    <t>17.96</t>
  </si>
  <si>
    <t>18.16</t>
  </si>
  <si>
    <t>35.28</t>
  </si>
  <si>
    <t>34.93</t>
  </si>
  <si>
    <t>26.44</t>
  </si>
  <si>
    <t>26.42</t>
  </si>
  <si>
    <t>0.66</t>
  </si>
  <si>
    <t>0.49</t>
  </si>
  <si>
    <t>14.74</t>
  </si>
  <si>
    <t>14.95</t>
  </si>
  <si>
    <t>14.65</t>
  </si>
  <si>
    <t>15.79</t>
  </si>
  <si>
    <t>15.69</t>
  </si>
  <si>
    <t>9.74</t>
  </si>
  <si>
    <t>9.54</t>
  </si>
  <si>
    <t>14.08</t>
  </si>
  <si>
    <t>13.87</t>
  </si>
  <si>
    <t>23.46</t>
  </si>
  <si>
    <t>2.39</t>
  </si>
  <si>
    <t>16.44</t>
  </si>
  <si>
    <t>20.31</t>
  </si>
  <si>
    <t>20.00</t>
  </si>
  <si>
    <t>38.73</t>
  </si>
  <si>
    <t>38.90</t>
  </si>
  <si>
    <t>38.10</t>
  </si>
  <si>
    <t>27.37</t>
  </si>
  <si>
    <t>27.47</t>
  </si>
  <si>
    <t>26.53</t>
  </si>
  <si>
    <t>44.83</t>
  </si>
  <si>
    <t>44.42</t>
  </si>
  <si>
    <t>8.99</t>
  </si>
  <si>
    <t>9.01</t>
  </si>
  <si>
    <t>13.47</t>
  </si>
  <si>
    <t>4.63</t>
  </si>
  <si>
    <t>4.57</t>
  </si>
  <si>
    <t>4.45</t>
  </si>
  <si>
    <t>4.37</t>
  </si>
  <si>
    <t>40.85</t>
  </si>
  <si>
    <t>46.12</t>
  </si>
  <si>
    <t>47.26</t>
  </si>
  <si>
    <t>18.10</t>
  </si>
  <si>
    <t>22.38</t>
  </si>
  <si>
    <t>22.19</t>
  </si>
  <si>
    <t>15.95</t>
  </si>
  <si>
    <t>54.70</t>
  </si>
  <si>
    <t>54.74</t>
  </si>
  <si>
    <t>5.30</t>
  </si>
  <si>
    <t>6.50</t>
  </si>
  <si>
    <t>12.26</t>
  </si>
  <si>
    <t>12.49</t>
  </si>
  <si>
    <t>12.15</t>
  </si>
  <si>
    <t>6.59</t>
  </si>
  <si>
    <t>7.71</t>
  </si>
  <si>
    <t>7.75</t>
  </si>
  <si>
    <t>7.76</t>
  </si>
  <si>
    <t>7.67</t>
  </si>
  <si>
    <t>5.68</t>
  </si>
  <si>
    <t>5.75</t>
  </si>
  <si>
    <t>29.93</t>
  </si>
  <si>
    <t>29.74</t>
  </si>
  <si>
    <t>8.44</t>
  </si>
  <si>
    <t>8.27</t>
  </si>
  <si>
    <t>18.05</t>
  </si>
  <si>
    <t>17.66</t>
  </si>
  <si>
    <t>16.82</t>
  </si>
  <si>
    <t>16.69</t>
  </si>
  <si>
    <t>17.95</t>
  </si>
  <si>
    <t>20.60</t>
  </si>
  <si>
    <t>21.22</t>
  </si>
  <si>
    <t>47.05</t>
  </si>
  <si>
    <t>17.35</t>
  </si>
  <si>
    <t>17.36</t>
  </si>
  <si>
    <t>17.15</t>
  </si>
  <si>
    <t>34.51</t>
  </si>
  <si>
    <t>34.20</t>
  </si>
  <si>
    <t>4.01</t>
  </si>
  <si>
    <t>18.66</t>
  </si>
  <si>
    <t>10.34</t>
  </si>
  <si>
    <t>23.26</t>
  </si>
  <si>
    <t>23.64</t>
  </si>
  <si>
    <t>66.99</t>
  </si>
  <si>
    <t>67.17</t>
  </si>
  <si>
    <t>12.05</t>
  </si>
  <si>
    <t>45.00</t>
  </si>
  <si>
    <t>12.00</t>
  </si>
  <si>
    <t>14.39</t>
  </si>
  <si>
    <t>48.50</t>
  </si>
  <si>
    <t>48.41</t>
  </si>
  <si>
    <t>33.77</t>
  </si>
  <si>
    <t>10.33</t>
  </si>
  <si>
    <t>3.15</t>
  </si>
  <si>
    <t>3.40</t>
  </si>
  <si>
    <t>2.21</t>
  </si>
  <si>
    <t>12.23</t>
  </si>
  <si>
    <t>12.35</t>
  </si>
  <si>
    <t>12.22</t>
  </si>
  <si>
    <t>10.14</t>
  </si>
  <si>
    <t>8.62</t>
  </si>
  <si>
    <t>12.84</t>
  </si>
  <si>
    <t>3.36</t>
  </si>
  <si>
    <t>9.49</t>
  </si>
  <si>
    <t>35.71</t>
  </si>
  <si>
    <t>15.18</t>
  </si>
  <si>
    <t>16.15</t>
  </si>
  <si>
    <t>2.41</t>
  </si>
  <si>
    <t>20.17</t>
  </si>
  <si>
    <t>45.20</t>
  </si>
  <si>
    <t>9.15</t>
  </si>
  <si>
    <t>4.72</t>
  </si>
  <si>
    <t>18.20</t>
  </si>
  <si>
    <t>6.62</t>
  </si>
  <si>
    <t>1.52</t>
  </si>
  <si>
    <t>17.14</t>
  </si>
  <si>
    <t>10.27</t>
  </si>
  <si>
    <t>66.55</t>
  </si>
  <si>
    <t>15.12</t>
  </si>
  <si>
    <t>53.55</t>
  </si>
  <si>
    <t>1.51</t>
  </si>
  <si>
    <t>21.67</t>
  </si>
  <si>
    <t>8.34</t>
  </si>
  <si>
    <t>8.30</t>
  </si>
  <si>
    <t>23.17</t>
  </si>
  <si>
    <t>23.02</t>
  </si>
  <si>
    <t>30.03</t>
  </si>
  <si>
    <t>27.83</t>
  </si>
  <si>
    <t>27.99</t>
  </si>
  <si>
    <t>7.45</t>
  </si>
  <si>
    <t>11.85</t>
  </si>
  <si>
    <t>27.50</t>
  </si>
  <si>
    <t>19.40</t>
  </si>
  <si>
    <t>21.47</t>
  </si>
  <si>
    <t>13.81</t>
  </si>
  <si>
    <t>13.30</t>
  </si>
  <si>
    <t>48.10</t>
  </si>
  <si>
    <t>18.73</t>
  </si>
  <si>
    <t>30.83</t>
  </si>
  <si>
    <t>32.88</t>
  </si>
  <si>
    <t>9.57</t>
  </si>
  <si>
    <t>9.19</t>
  </si>
  <si>
    <t>10.25</t>
  </si>
  <si>
    <t>15.40</t>
  </si>
  <si>
    <t>23.65</t>
  </si>
  <si>
    <t>23.80</t>
  </si>
  <si>
    <t>12.38</t>
  </si>
  <si>
    <t>17.24</t>
  </si>
  <si>
    <t>19.05</t>
  </si>
  <si>
    <t>10.56</t>
  </si>
  <si>
    <t>28.75</t>
  </si>
  <si>
    <t>31.25</t>
  </si>
  <si>
    <t>31.17</t>
  </si>
  <si>
    <t>20.61</t>
  </si>
  <si>
    <t>11.32</t>
  </si>
  <si>
    <t>29.00</t>
  </si>
  <si>
    <t>29.34</t>
  </si>
  <si>
    <t>3.25</t>
  </si>
  <si>
    <t>2.85</t>
  </si>
  <si>
    <t>2.97</t>
  </si>
  <si>
    <t>9.43</t>
  </si>
  <si>
    <t>35.17</t>
  </si>
  <si>
    <t>41.50</t>
  </si>
  <si>
    <t>42.00</t>
  </si>
  <si>
    <t>26.83</t>
  </si>
  <si>
    <t>16.04</t>
  </si>
  <si>
    <t>14.07</t>
  </si>
  <si>
    <t>14.19</t>
  </si>
  <si>
    <t>23.96</t>
  </si>
  <si>
    <t>38.26</t>
  </si>
  <si>
    <t>44.71</t>
  </si>
  <si>
    <t>13.46</t>
  </si>
  <si>
    <t>13.27</t>
  </si>
  <si>
    <t>4.69</t>
  </si>
  <si>
    <t>41.55</t>
  </si>
  <si>
    <t>41.77</t>
  </si>
  <si>
    <t>46.90</t>
  </si>
  <si>
    <t>22.41</t>
  </si>
  <si>
    <t>22.52</t>
  </si>
  <si>
    <t>53.92</t>
  </si>
  <si>
    <t>4.81</t>
  </si>
  <si>
    <t>6.42</t>
  </si>
  <si>
    <t>12.54</t>
  </si>
  <si>
    <t>30.23</t>
  </si>
  <si>
    <t>18.18</t>
  </si>
  <si>
    <t>21.35</t>
  </si>
  <si>
    <t>47.25</t>
  </si>
  <si>
    <t>47.81</t>
  </si>
  <si>
    <t>34.28</t>
  </si>
  <si>
    <t>34.80</t>
  </si>
  <si>
    <t>15.10</t>
  </si>
  <si>
    <t>66.60</t>
  </si>
  <si>
    <t>Média de Crescimento</t>
  </si>
  <si>
    <t>Lucro Anterior</t>
  </si>
  <si>
    <t>Crescimento</t>
  </si>
  <si>
    <t>Row Labels</t>
  </si>
  <si>
    <t>Grand Total</t>
  </si>
  <si>
    <t>Average of Lucro Líquido</t>
  </si>
  <si>
    <t>Lucro Médio</t>
  </si>
  <si>
    <t>% A.A.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</si>
</sst>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&quot;R$ &quot;#,##0.00_);[Red]\(&quot;R$ &quot;#,##0.00\)"/>
    <numFmt numFmtId="165" formatCode="_(&quot;R$ &quot;* #,##0.00_);_(&quot;R$ &quot;* \(#,##0.00\);_(&quot;R$ &quot;* &quot;-&quot;??_);_(@_)"/>
    <numFmt numFmtId="166" formatCode="_-* #,##0_-;\-* #,##0_-;_-* &quot;-&quot;??_-;_-@_-"/>
    <numFmt numFmtId="167" formatCode="&quot;R$&quot;\ #,##0.00"/>
    <numFmt numFmtId="168" formatCode="_-* #,##0.000000000_-;\-* #,##0.000000000_-;_-* &quot;-&quot;??_-;_-@_-"/>
    <numFmt numFmtId="169" formatCode="_(* #,##0.000000000_);_(* \(#,##0.000000000\);_(* &quot;-&quot;?????????_);_(@_)"/>
    <numFmt numFmtId="170" formatCode="_-* #,##0.0000_-;\-* #,##0.0000_-;_-* &quot;-&quot;??_-;_-@_-"/>
    <numFmt numFmtId="171" formatCode="_-* #,##0.00000_-;\-* #,##0.00000_-;_-* &quot;-&quot;??_-;_-@_-"/>
    <numFmt numFmtId="172" formatCode="&quot;R$ &quot;#,##0.00"/>
    <numFmt numFmtId="173" formatCode="0.0000%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scheme val="minor"/>
    </font>
    <font>
      <b/>
      <sz val="8"/>
      <color theme="1"/>
      <name val="Calibri"/>
      <scheme val="minor"/>
    </font>
    <font>
      <sz val="10"/>
      <name val="Arial"/>
      <family val="2"/>
    </font>
    <font>
      <sz val="8"/>
      <color theme="1" tint="0.499984740745262"/>
      <name val="Calibri"/>
      <family val="2"/>
      <scheme val="minor"/>
    </font>
    <font>
      <u/>
      <sz val="11"/>
      <color theme="10"/>
      <name val="Calibri"/>
      <family val="2"/>
    </font>
    <font>
      <u/>
      <sz val="8"/>
      <color theme="1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4" tint="0.39997558519241921"/>
      </top>
      <bottom/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9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/>
    <xf numFmtId="0" fontId="2" fillId="0" borderId="0" xfId="0" applyFont="1" applyBorder="1"/>
    <xf numFmtId="44" fontId="2" fillId="0" borderId="0" xfId="2" applyFont="1"/>
    <xf numFmtId="44" fontId="2" fillId="0" borderId="0" xfId="2" applyFont="1" applyBorder="1"/>
    <xf numFmtId="44" fontId="2" fillId="0" borderId="0" xfId="0" applyNumberFormat="1" applyFont="1"/>
    <xf numFmtId="166" fontId="2" fillId="0" borderId="0" xfId="1" applyNumberFormat="1" applyFont="1" applyBorder="1"/>
    <xf numFmtId="9" fontId="2" fillId="0" borderId="0" xfId="3" applyFont="1" applyBorder="1"/>
    <xf numFmtId="0" fontId="2" fillId="0" borderId="0" xfId="0" applyNumberFormat="1" applyFont="1"/>
    <xf numFmtId="44" fontId="3" fillId="0" borderId="0" xfId="2" applyFont="1" applyBorder="1"/>
    <xf numFmtId="44" fontId="3" fillId="0" borderId="0" xfId="2" applyFont="1"/>
    <xf numFmtId="44" fontId="2" fillId="0" borderId="0" xfId="2" applyNumberFormat="1" applyFont="1" applyBorder="1"/>
    <xf numFmtId="0" fontId="2" fillId="0" borderId="0" xfId="0" applyNumberFormat="1" applyFont="1" applyBorder="1"/>
    <xf numFmtId="0" fontId="2" fillId="0" borderId="0" xfId="2" applyNumberFormat="1" applyFont="1" applyBorder="1"/>
    <xf numFmtId="0" fontId="2" fillId="0" borderId="0" xfId="2" applyNumberFormat="1" applyFont="1"/>
    <xf numFmtId="44" fontId="2" fillId="0" borderId="0" xfId="0" applyNumberFormat="1" applyFont="1" applyBorder="1"/>
    <xf numFmtId="10" fontId="2" fillId="0" borderId="0" xfId="3" applyNumberFormat="1" applyFont="1"/>
    <xf numFmtId="10" fontId="2" fillId="0" borderId="0" xfId="3" applyNumberFormat="1" applyFont="1" applyBorder="1"/>
    <xf numFmtId="14" fontId="2" fillId="0" borderId="0" xfId="0" applyNumberFormat="1" applyFont="1"/>
    <xf numFmtId="166" fontId="2" fillId="0" borderId="0" xfId="2" applyNumberFormat="1" applyFont="1"/>
    <xf numFmtId="10" fontId="2" fillId="0" borderId="0" xfId="0" applyNumberFormat="1" applyFont="1"/>
    <xf numFmtId="9" fontId="2" fillId="0" borderId="0" xfId="3" applyFont="1"/>
    <xf numFmtId="167" fontId="0" fillId="0" borderId="0" xfId="0" applyNumberFormat="1"/>
    <xf numFmtId="0" fontId="4" fillId="0" borderId="0" xfId="0" applyFont="1" applyBorder="1"/>
    <xf numFmtId="0" fontId="4" fillId="0" borderId="0" xfId="0" applyNumberFormat="1" applyFont="1" applyBorder="1"/>
    <xf numFmtId="0" fontId="4" fillId="0" borderId="0" xfId="2" applyNumberFormat="1" applyFont="1" applyBorder="1"/>
    <xf numFmtId="166" fontId="4" fillId="0" borderId="0" xfId="2" applyNumberFormat="1" applyFont="1" applyBorder="1"/>
    <xf numFmtId="10" fontId="4" fillId="0" borderId="0" xfId="0" applyNumberFormat="1" applyFont="1" applyBorder="1"/>
    <xf numFmtId="44" fontId="4" fillId="0" borderId="0" xfId="2" applyFont="1" applyBorder="1"/>
    <xf numFmtId="44" fontId="5" fillId="0" borderId="0" xfId="2" applyFont="1" applyBorder="1"/>
    <xf numFmtId="9" fontId="4" fillId="0" borderId="0" xfId="3" applyNumberFormat="1" applyFont="1" applyBorder="1"/>
    <xf numFmtId="0" fontId="3" fillId="0" borderId="0" xfId="0" applyFont="1"/>
    <xf numFmtId="14" fontId="3" fillId="0" borderId="0" xfId="0" applyNumberFormat="1" applyFont="1"/>
    <xf numFmtId="0" fontId="7" fillId="2" borderId="1" xfId="4" applyNumberFormat="1" applyFont="1" applyFill="1" applyBorder="1" applyAlignment="1" applyProtection="1">
      <alignment horizontal="center" vertical="center"/>
    </xf>
    <xf numFmtId="2" fontId="2" fillId="0" borderId="0" xfId="3" applyNumberFormat="1" applyFont="1"/>
    <xf numFmtId="2" fontId="4" fillId="0" borderId="0" xfId="3" applyNumberFormat="1" applyFont="1" applyBorder="1"/>
    <xf numFmtId="2" fontId="2" fillId="0" borderId="0" xfId="3" applyNumberFormat="1" applyFont="1" applyBorder="1"/>
    <xf numFmtId="2" fontId="2" fillId="0" borderId="0" xfId="0" applyNumberFormat="1" applyFont="1"/>
    <xf numFmtId="0" fontId="2" fillId="0" borderId="0" xfId="1" applyNumberFormat="1" applyFont="1" applyBorder="1"/>
    <xf numFmtId="166" fontId="2" fillId="0" borderId="0" xfId="2" applyNumberFormat="1" applyFont="1" applyBorder="1"/>
    <xf numFmtId="44" fontId="3" fillId="0" borderId="0" xfId="2" applyNumberFormat="1" applyFont="1" applyBorder="1"/>
    <xf numFmtId="2" fontId="2" fillId="0" borderId="0" xfId="0" applyNumberFormat="1" applyFont="1" applyBorder="1"/>
    <xf numFmtId="10" fontId="2" fillId="0" borderId="0" xfId="2" applyNumberFormat="1" applyFont="1" applyBorder="1"/>
    <xf numFmtId="10" fontId="2" fillId="0" borderId="0" xfId="0" applyNumberFormat="1" applyFont="1" applyBorder="1"/>
    <xf numFmtId="0" fontId="3" fillId="0" borderId="0" xfId="2" applyNumberFormat="1" applyFont="1" applyBorder="1"/>
    <xf numFmtId="9" fontId="2" fillId="0" borderId="0" xfId="0" applyNumberFormat="1" applyFont="1" applyBorder="1"/>
    <xf numFmtId="14" fontId="2" fillId="0" borderId="0" xfId="0" applyNumberFormat="1" applyFont="1"/>
    <xf numFmtId="14" fontId="2" fillId="0" borderId="0" xfId="0" applyNumberFormat="1" applyFont="1" applyBorder="1"/>
    <xf numFmtId="44" fontId="2" fillId="0" borderId="0" xfId="2" applyNumberFormat="1" applyFont="1"/>
    <xf numFmtId="44" fontId="3" fillId="0" borderId="0" xfId="0" applyNumberFormat="1" applyFont="1" applyBorder="1"/>
    <xf numFmtId="10" fontId="4" fillId="0" borderId="0" xfId="2" applyNumberFormat="1" applyFont="1" applyBorder="1"/>
    <xf numFmtId="10" fontId="4" fillId="0" borderId="0" xfId="3" applyNumberFormat="1" applyFont="1" applyBorder="1"/>
    <xf numFmtId="10" fontId="2" fillId="0" borderId="0" xfId="1" applyNumberFormat="1" applyFont="1" applyBorder="1"/>
    <xf numFmtId="10" fontId="0" fillId="0" borderId="0" xfId="0" applyNumberFormat="1"/>
    <xf numFmtId="14" fontId="2" fillId="0" borderId="0" xfId="0" applyNumberFormat="1" applyFont="1"/>
    <xf numFmtId="44" fontId="3" fillId="0" borderId="0" xfId="0" applyNumberFormat="1" applyFont="1"/>
    <xf numFmtId="9" fontId="2" fillId="0" borderId="0" xfId="0" applyNumberFormat="1" applyFont="1"/>
    <xf numFmtId="44" fontId="2" fillId="0" borderId="0" xfId="3" applyNumberFormat="1" applyFont="1"/>
    <xf numFmtId="44" fontId="2" fillId="0" borderId="0" xfId="3" applyNumberFormat="1" applyFont="1" applyBorder="1"/>
    <xf numFmtId="166" fontId="2" fillId="0" borderId="0" xfId="1" applyNumberFormat="1" applyFont="1"/>
    <xf numFmtId="168" fontId="2" fillId="0" borderId="0" xfId="1" applyNumberFormat="1" applyFont="1"/>
    <xf numFmtId="168" fontId="2" fillId="0" borderId="0" xfId="1" applyNumberFormat="1" applyFont="1" applyBorder="1"/>
    <xf numFmtId="168" fontId="2" fillId="0" borderId="0" xfId="0" applyNumberFormat="1" applyFont="1"/>
    <xf numFmtId="168" fontId="2" fillId="0" borderId="0" xfId="0" applyNumberFormat="1" applyFont="1" applyBorder="1"/>
    <xf numFmtId="166" fontId="2" fillId="0" borderId="0" xfId="0" applyNumberFormat="1" applyFont="1"/>
    <xf numFmtId="169" fontId="2" fillId="0" borderId="0" xfId="0" applyNumberFormat="1" applyFont="1"/>
    <xf numFmtId="43" fontId="2" fillId="0" borderId="0" xfId="1" applyFont="1"/>
    <xf numFmtId="0" fontId="9" fillId="0" borderId="0" xfId="5" applyNumberFormat="1" applyFont="1" applyBorder="1" applyAlignment="1" applyProtection="1"/>
    <xf numFmtId="0" fontId="2" fillId="0" borderId="0" xfId="3" applyNumberFormat="1" applyFont="1"/>
    <xf numFmtId="0" fontId="2" fillId="0" borderId="0" xfId="3" applyNumberFormat="1" applyFont="1" applyBorder="1"/>
    <xf numFmtId="0" fontId="9" fillId="0" borderId="0" xfId="5" applyNumberFormat="1" applyFont="1" applyAlignment="1" applyProtection="1"/>
    <xf numFmtId="170" fontId="2" fillId="0" borderId="0" xfId="0" applyNumberFormat="1" applyFont="1"/>
    <xf numFmtId="10" fontId="2" fillId="0" borderId="0" xfId="2" applyNumberFormat="1" applyFont="1"/>
    <xf numFmtId="0" fontId="9" fillId="0" borderId="0" xfId="5" applyFont="1" applyAlignment="1" applyProtection="1"/>
    <xf numFmtId="168" fontId="2" fillId="0" borderId="0" xfId="2" applyNumberFormat="1" applyFont="1"/>
    <xf numFmtId="166" fontId="2" fillId="0" borderId="0" xfId="0" applyNumberFormat="1" applyFont="1" applyBorder="1"/>
    <xf numFmtId="171" fontId="2" fillId="0" borderId="0" xfId="1" applyNumberFormat="1" applyFont="1"/>
    <xf numFmtId="3" fontId="2" fillId="0" borderId="0" xfId="0" applyNumberFormat="1" applyFont="1"/>
    <xf numFmtId="44" fontId="2" fillId="0" borderId="2" xfId="2" applyFont="1" applyBorder="1"/>
    <xf numFmtId="44" fontId="2" fillId="3" borderId="0" xfId="2" applyNumberFormat="1" applyFont="1" applyFill="1"/>
    <xf numFmtId="172" fontId="0" fillId="0" borderId="0" xfId="0" applyNumberFormat="1"/>
    <xf numFmtId="10" fontId="3" fillId="0" borderId="0" xfId="3" applyNumberFormat="1" applyFont="1"/>
    <xf numFmtId="14" fontId="2" fillId="0" borderId="0" xfId="2" applyNumberFormat="1" applyFont="1"/>
    <xf numFmtId="164" fontId="2" fillId="0" borderId="0" xfId="0" applyNumberFormat="1" applyFont="1"/>
    <xf numFmtId="0" fontId="3" fillId="0" borderId="0" xfId="2" applyNumberFormat="1" applyFont="1"/>
    <xf numFmtId="170" fontId="3" fillId="0" borderId="0" xfId="1" applyNumberFormat="1" applyFont="1"/>
    <xf numFmtId="170" fontId="2" fillId="0" borderId="0" xfId="1" applyNumberFormat="1" applyFont="1"/>
    <xf numFmtId="0" fontId="0" fillId="0" borderId="0" xfId="0" applyNumberFormat="1"/>
    <xf numFmtId="165" fontId="0" fillId="0" borderId="0" xfId="0" applyNumberFormat="1"/>
    <xf numFmtId="0" fontId="3" fillId="0" borderId="0" xfId="0" applyNumberFormat="1" applyFont="1"/>
    <xf numFmtId="165" fontId="3" fillId="0" borderId="0" xfId="2" applyNumberFormat="1" applyFont="1"/>
    <xf numFmtId="165" fontId="2" fillId="0" borderId="0" xfId="2" applyNumberFormat="1" applyFont="1"/>
    <xf numFmtId="165" fontId="2" fillId="0" borderId="0" xfId="0" applyNumberFormat="1" applyFont="1"/>
    <xf numFmtId="165" fontId="2" fillId="0" borderId="0" xfId="1" applyNumberFormat="1" applyFont="1"/>
    <xf numFmtId="173" fontId="2" fillId="0" borderId="0" xfId="3" applyNumberFormat="1" applyFont="1"/>
    <xf numFmtId="44" fontId="0" fillId="0" borderId="0" xfId="0" applyNumberFormat="1"/>
  </cellXfs>
  <cellStyles count="6">
    <cellStyle name="Comma" xfId="1" builtinId="3"/>
    <cellStyle name="Currency" xfId="2" builtinId="4"/>
    <cellStyle name="Hyperlink" xfId="5" builtinId="8"/>
    <cellStyle name="Normal" xfId="0" builtinId="0"/>
    <cellStyle name="Normal 2" xfId="4"/>
    <cellStyle name="Percent" xfId="3" builtinId="5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(&quot;R$ &quot;* #,##0.00_);_(&quot;R$ &quot;* \(#,##0.00\);_(&quot;R$ &quot;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(&quot;R$ &quot;* #,##0.00_);_(&quot;R$ &quot;* \(#,##0.00\);_(&quot;R$ &quot;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4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4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4" formatCode="d/m/yyyy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00000_-;\-* #,##0.0000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00000_-;\-* #,##0.0000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74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74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114300</xdr:rowOff>
        </xdr:from>
        <xdr:to>
          <xdr:col>18</xdr:col>
          <xdr:colOff>200025</xdr:colOff>
          <xdr:row>2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114300</xdr:rowOff>
        </xdr:from>
        <xdr:to>
          <xdr:col>18</xdr:col>
          <xdr:colOff>200025</xdr:colOff>
          <xdr:row>2</xdr:row>
          <xdr:rowOff>66675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&#243;pia%20de%20dividend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trimonio"/>
      <sheetName val="Proventos"/>
      <sheetName val="Tabela Proventos"/>
      <sheetName val="Cotacoes"/>
    </sheetNames>
    <sheetDataSet>
      <sheetData sheetId="0"/>
      <sheetData sheetId="1"/>
      <sheetData sheetId="2"/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ngelbert" refreshedDate="41647.493908912038" createdVersion="3" refreshedVersion="3" minRefreshableVersion="3" recordCount="3">
  <cacheSource type="worksheet">
    <worksheetSource name="Table4"/>
  </cacheSource>
  <cacheFields count="14">
    <cacheField name="Data Liquidação" numFmtId="14">
      <sharedItems containsSemiMixedTypes="0" containsNonDate="0" containsDate="1" containsString="0" minDate="2014-01-06T00:00:00" maxDate="2015-05-06T00:00:00" count="11">
        <d v="2014-01-06T00:00:00"/>
        <d v="2014-01-07T00:00:00"/>
        <d v="2014-01-08T00:00:00"/>
        <d v="2015-05-05T00:00:00" u="1"/>
        <d v="2014-07-08T00:00:00" u="1"/>
        <d v="2014-05-06T00:00:00" u="1"/>
        <d v="2014-05-30T00:00:00" u="1"/>
        <d v="2014-01-20T00:00:00" u="1"/>
        <d v="2014-01-30T00:00:00" u="1"/>
        <d v="2015-01-30T00:00:00" u="1"/>
        <d v="2014-05-05T00:00:00" u="1"/>
      </sharedItems>
    </cacheField>
    <cacheField name="Dia" numFmtId="0">
      <sharedItems containsSemiMixedTypes="0" containsString="0" containsNumber="1" containsInteger="1" minValue="6" maxValue="8"/>
    </cacheField>
    <cacheField name="Mês" numFmtId="0">
      <sharedItems containsSemiMixedTypes="0" containsString="0" containsNumber="1" containsInteger="1" minValue="1" maxValue="1"/>
    </cacheField>
    <cacheField name="Ano" numFmtId="0">
      <sharedItems containsSemiMixedTypes="0" containsString="0" containsNumber="1" containsInteger="1" minValue="2014" maxValue="2015" count="2">
        <n v="2014"/>
        <n v="2015" u="1"/>
      </sharedItems>
    </cacheField>
    <cacheField name="Nome" numFmtId="14">
      <sharedItems count="2">
        <s v="AELP3"/>
        <s v="UNIP6" u="1"/>
      </sharedItems>
    </cacheField>
    <cacheField name="Aplicação" numFmtId="165">
      <sharedItems containsString="0" containsBlank="1" containsNumber="1" minValue="940.06" maxValue="940.06"/>
    </cacheField>
    <cacheField name="Taxas" numFmtId="165">
      <sharedItems containsString="0" containsBlank="1" containsNumber="1" containsInteger="1" minValue="0" maxValue="0"/>
    </cacheField>
    <cacheField name="Resgates" numFmtId="165">
      <sharedItems containsString="0" containsBlank="1" containsNumber="1" containsInteger="1" minValue="0" maxValue="0"/>
    </cacheField>
    <cacheField name="Dividendo" numFmtId="165">
      <sharedItems containsSemiMixedTypes="0" containsString="0" containsNumber="1" containsInteger="1" minValue="0" maxValue="94"/>
    </cacheField>
    <cacheField name="JPC" numFmtId="44">
      <sharedItems containsString="0" containsBlank="1" containsNumber="1" containsInteger="1" minValue="94" maxValue="94" count="2">
        <m/>
        <n v="94"/>
      </sharedItems>
    </cacheField>
    <cacheField name="Quantidade" numFmtId="0">
      <sharedItems containsString="0" containsBlank="1" containsNumber="1" containsInteger="1" minValue="100" maxValue="100"/>
    </cacheField>
    <cacheField name="Preço Médio" numFmtId="170">
      <sharedItems containsSemiMixedTypes="0" containsString="0" containsNumber="1" minValue="9.400599999999999" maxValue="9.400599999999999"/>
    </cacheField>
    <cacheField name="Lucro p/ Ação" numFmtId="170">
      <sharedItems containsSemiMixedTypes="0" containsString="0" containsNumber="1" minValue="0" maxValue="0.94"/>
    </cacheField>
    <cacheField name="Rentabilidade" numFmtId="10">
      <sharedItems containsMixedTypes="1" containsNumber="1" minValue="9.9993617428674769E-2" maxValue="9.9993617428674769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Engelbert" refreshedDate="41654.803078240744" createdVersion="3" refreshedVersion="4" minRefreshableVersion="3" recordCount="581">
  <cacheSource type="worksheet">
    <worksheetSource name="Tabela2"/>
  </cacheSource>
  <cacheFields count="13">
    <cacheField name="Ativo" numFmtId="0">
      <sharedItems containsBlank="1" count="171">
        <s v="ABCB4"/>
        <s v="AELP3"/>
        <s v="ALSC3"/>
        <s v="BAHI3"/>
        <s v="BAZA3"/>
        <s v="BBAS3"/>
        <s v="BBDC3"/>
        <s v="BBDC4"/>
        <s v="BBSE3"/>
        <s v="BEES3"/>
        <s v="BEES4"/>
        <s v="BGIP3"/>
        <s v="BGIP4"/>
        <s v="BICB3"/>
        <s v="BICB4"/>
        <s v="BMIN3"/>
        <s v="BMIN4"/>
        <s v="BNBR3"/>
        <s v="BNBR4"/>
        <s v="BRAP3"/>
        <s v="BRAP4"/>
        <s v="BRFS3"/>
        <s v="BRGE11"/>
        <s v="BRGE12"/>
        <s v="BRGE3"/>
        <s v="BRGE5"/>
        <s v="BRGE6"/>
        <s v="BRGE7"/>
        <s v="BRGE8"/>
        <s v="BRIV3"/>
        <s v="BRIV4"/>
        <s v="BRKM3"/>
        <s v="BRKM5"/>
        <s v="BRKM6"/>
        <s v="BRML3"/>
        <s v="BRPR3"/>
        <s v="BRSR3"/>
        <s v="BRSR5"/>
        <s v="BRSR6"/>
        <s v="BSLI3"/>
        <s v="BSLI4"/>
        <s v="CASN3"/>
        <s v="CCPR3"/>
        <s v="CEBR3"/>
        <s v="CEBR5"/>
        <s v="CEBR6"/>
        <s v="CEEB3"/>
        <s v="CEEB5"/>
        <s v="CEPE5"/>
        <s v="CEPE6"/>
        <s v="CESP3"/>
        <s v="CESP5"/>
        <s v="CESP6"/>
        <s v="CIQU3"/>
        <s v="CIQU4"/>
        <s v="CLSC4"/>
        <s v="CMIG3"/>
        <s v="CMIG4"/>
        <s v="COCE3"/>
        <s v="COCE5"/>
        <s v="CPFE3"/>
        <s v="CPLE3"/>
        <s v="CPLE5"/>
        <s v="CPLE6"/>
        <s v="CRIV3"/>
        <s v="CRIV4"/>
        <s v="CSAB3"/>
        <s v="CSAB4"/>
        <s v="CSAN3"/>
        <s v="CSMG3"/>
        <s v="CSRN3"/>
        <s v="CSRN5"/>
        <s v="CSRN6"/>
        <s v="DAYC4"/>
        <s v="DTEX3"/>
        <s v="EEEL3"/>
        <s v="EEEL4"/>
        <s v="ELEK3"/>
        <s v="ELEK4"/>
        <s v="ELET3"/>
        <s v="ELET6"/>
        <s v="ELPL3"/>
        <s v="ELPL4"/>
        <s v="EMAE4"/>
        <s v="ENBR3"/>
        <s v="ENGI11"/>
        <s v="ENGI3"/>
        <s v="ENGI4"/>
        <s v="ENMA3B"/>
        <s v="EQTL3"/>
        <s v="ETER3"/>
        <s v="EUCA4"/>
        <s v="FESA3"/>
        <s v="FESA4"/>
        <s v="GEPA3"/>
        <s v="GEPA4"/>
        <s v="GETI3"/>
        <s v="GETI4"/>
        <s v="GTDP3B"/>
        <s v="GTDP4B"/>
        <s v="HBTS5"/>
        <s v="IGTA3"/>
        <s v="ITSA3"/>
        <s v="ITSA4"/>
        <s v="ITUB3"/>
        <s v="ITUB4"/>
        <s v="JBSS3"/>
        <s v="KLBN3"/>
        <s v="KLBN4"/>
        <s v="LCAM3"/>
        <s v="LIGT3"/>
        <s v="LIPR3"/>
        <s v="MAGG3"/>
        <s v="MERC3"/>
        <s v="MERC4"/>
        <s v="MOAR3"/>
        <s v="MULT3"/>
        <s v="OIBR3"/>
        <s v="OIBR4"/>
        <s v="PATI4"/>
        <s v="PETR3"/>
        <s v="PETR4"/>
        <s v="PINE4"/>
        <s v="PRBC4"/>
        <s v="PRVI3"/>
        <s v="PSSA3"/>
        <s v="PTPA4"/>
        <s v="QGEP3"/>
        <s v="RANI3"/>
        <s v="RANI4"/>
        <s v="RDTR3"/>
        <s v="RPAD3"/>
        <s v="RPAD5"/>
        <s v="RPAD6"/>
        <s v="SAPR3"/>
        <s v="SAPR4"/>
        <s v="SBSP3"/>
        <s v="SCAR3"/>
        <s v="SFSA4"/>
        <s v="SMTO3"/>
        <s v="SSBR3"/>
        <s v="SULA11"/>
        <s v="SUZB5"/>
        <s v="SUZB6"/>
        <s v="TAEE11"/>
        <s v="TBLE3"/>
        <s v="TERI3"/>
        <s v="TIMP3"/>
        <s v="TKNO4"/>
        <s v="TRPL3"/>
        <s v="TRPL4"/>
        <s v="UGPA3"/>
        <s v="UNIP6"/>
        <s v="VALE5"/>
        <s v="VIGR3"/>
        <s v="VIVT3"/>
        <s v="VIVT4"/>
        <s v="BRIN3"/>
        <s v="TRPN3"/>
        <s v="BVMF3"/>
        <s v="CIEL3"/>
        <s v="CTIP3"/>
        <s v="EBTP4"/>
        <m u="1"/>
        <s v="TIBR5" u="1"/>
        <s v="RNAR3" u="1"/>
        <s v="BBRK3" u="1"/>
        <s v="RSID3" u="1"/>
        <s v="UNIP5" u="1"/>
        <s v="NUTR3M" u="1"/>
        <s v="TIBR6" u="1"/>
      </sharedItems>
    </cacheField>
    <cacheField name="Exercício" numFmtId="0">
      <sharedItems containsSemiMixedTypes="0" containsString="0" containsNumber="1" containsInteger="1" minValue="2004" maxValue="2012" count="9">
        <n v="2012"/>
        <n v="2011"/>
        <n v="2010"/>
        <n v="2009"/>
        <n v="2008"/>
        <n v="2006" u="1"/>
        <n v="2004" u="1"/>
        <n v="2007" u="1"/>
        <n v="2005" u="1"/>
      </sharedItems>
    </cacheField>
    <cacheField name="Lucro Líquido" numFmtId="44">
      <sharedItems containsString="0" containsBlank="1" containsNumber="1" minValue="-6878916000" maxValue="46307964102" count="367">
        <n v="226618835.09"/>
        <n v="259319392"/>
        <n v="221437904"/>
        <n v="165523361"/>
        <n v="-30675397.18"/>
        <n v="436885000"/>
        <n v="376137000"/>
        <n v="335010000"/>
        <n v="127417790.75"/>
        <n v="101417617.86"/>
        <n v="54564689.799999997"/>
        <n v="47715454.25"/>
        <n v="-2048000"/>
        <n v="-2767000"/>
        <n v="47518888.590000004"/>
        <n v="165948458.28999999"/>
        <n v="78567508.840000004"/>
        <n v="142163159.71000001"/>
        <n v="12309870442.799999"/>
        <n v="12247330314.43"/>
        <n v="11758093384.549999"/>
        <n v="10147521914.51"/>
        <n v="11381244459.27"/>
        <n v="11037515599"/>
        <n v="10159097403"/>
        <n v="8134916341"/>
        <n v="2000000000"/>
        <n v="81395000"/>
        <n v="87892000"/>
        <n v="167023000"/>
        <n v="132496000"/>
        <n v="87990976.469999999"/>
        <n v="90962523.890000001"/>
        <n v="54465018.079999998"/>
        <n v="39114199.380000003"/>
        <n v="108819511.64"/>
        <n v="232542541"/>
        <n v="348395895.98000002"/>
        <n v="5431000"/>
        <n v="5361000"/>
        <n v="2644000"/>
        <n v="508363303.81999999"/>
        <n v="314799260.60000002"/>
        <n v="313589945.75999999"/>
        <n v="459012514.60000002"/>
        <n v="476737173.38"/>
        <n v="2023882601.55"/>
        <n v="1758226163.3499999"/>
        <n v="961256848.75"/>
        <n v="813227000"/>
        <n v="1367409000"/>
        <n v="804106000"/>
        <n v="63154000"/>
        <n v="56638000"/>
        <n v="50724000"/>
        <n v="46296000"/>
        <n v="66187000"/>
        <n v="67513447"/>
        <n v="82086317"/>
        <n v="76789552"/>
        <n v="-731143033.12"/>
        <n v="-525142000"/>
        <n v="1895309000"/>
        <n v="398491000"/>
        <n v="1741995406.21"/>
        <n v="478868368.80000001"/>
        <n v="562602916.05999994"/>
        <n v="2228426774.9000001"/>
        <n v="1216399447.4000001"/>
        <n v="335408130.56999999"/>
        <n v="813367859.21000004"/>
        <n v="818590368.54999995"/>
        <n v="904348943.24000001"/>
        <n v="215388793.88999999"/>
        <n v="96039575.989999995"/>
        <n v="196040834.49000001"/>
        <n v="190454809.5"/>
        <n v="21418024.760000002"/>
        <n v="7903625"/>
        <n v="-11477601"/>
        <n v="32515448"/>
        <n v="153035960.99000001"/>
        <n v="113733898.18000001"/>
        <n v="93892304.709999993"/>
        <n v="55498182.030000001"/>
        <n v="26190000"/>
        <n v="2049000"/>
        <n v="48919970.259999998"/>
        <n v="805497405.55999994"/>
        <n v="750490000"/>
        <n v="945719000"/>
        <n v="887625000"/>
        <n v="15128479.970000001"/>
        <n v="283416000"/>
        <n v="448291000"/>
        <n v="586949000"/>
        <n v="147982000"/>
        <n v="108581000"/>
        <n v="93042000"/>
        <n v="11833190.779999999"/>
        <n v="-9978849.7799999993"/>
        <n v="9148149.2799999993"/>
        <n v="8891946.6600000001"/>
        <n v="-258366398.66"/>
        <n v="323886563.73000002"/>
        <n v="259841000"/>
        <n v="120919000"/>
        <n v="245522000"/>
        <n v="4271685000"/>
        <n v="2415450000"/>
        <n v="2257976000"/>
        <n v="1861403000"/>
        <n v="400000153.68000001"/>
        <n v="471181647.69999999"/>
        <n v="458054165.95999998"/>
        <n v="1225923257.8099999"/>
        <n v="1572292596.6700001"/>
        <n v="1595150826.9300001"/>
        <n v="1649898817.26"/>
        <n v="700688167.34000003"/>
        <n v="1203117000"/>
        <n v="1041534000"/>
        <n v="900821000"/>
        <n v="94365000"/>
        <n v="76912864.659999996"/>
        <n v="61174998.299999997"/>
        <n v="67848826.769999996"/>
        <n v="13717907.74"/>
        <n v="28253000"/>
        <n v="23457000"/>
        <n v="638200000"/>
        <n v="2605800000"/>
        <n v="771500000"/>
        <n v="486927674.55000001"/>
        <n v="470437900"/>
        <n v="677124500"/>
        <n v="525306600"/>
        <n v="245872000"/>
        <n v="232128000"/>
        <n v="253664000"/>
        <n v="244788000"/>
        <n v="357464258.91000003"/>
        <n v="305060417.76999998"/>
        <n v="276916946.19"/>
        <n v="211087826.47999999"/>
        <n v="459255478.19"/>
        <n v="374211888.35000002"/>
        <n v="466895395.82999998"/>
        <n v="179469272.13999999"/>
        <n v="-130200000"/>
        <n v="88173075.810000002"/>
        <n v="459346.49"/>
        <n v="14826895.1"/>
        <n v="45200803.640000001"/>
        <n v="3829778.75"/>
        <n v="-6878916000"/>
        <n v="3732565000"/>
        <n v="2247913000"/>
        <n v="170526000"/>
        <n v="6136497000"/>
        <n v="107945984.63"/>
        <n v="1573104991"/>
        <n v="1347688144.1600001"/>
        <n v="1063193672.4299999"/>
        <m/>
        <n v="13974263.699999999"/>
        <n v="-7526000"/>
        <n v="-170585000"/>
        <n v="341644899.63"/>
        <n v="491579920.89999998"/>
        <n v="588911630.5"/>
        <n v="695571557.70000005"/>
        <n v="290441196.88"/>
        <n v="212054242.16999999"/>
        <n v="194647783.53"/>
        <n v="276855137.25"/>
        <n v="384946993.33999997"/>
        <n v="247502000"/>
        <n v="278621000"/>
        <n v="140995000"/>
        <n v="159996000"/>
        <n v="188871000"/>
        <n v="113004000"/>
        <n v="97193000"/>
        <n v="102085000"/>
        <n v="88379478.969999999"/>
        <n v="88914485.760000005"/>
        <n v="120405032.8"/>
        <n v="85326018.709999993"/>
        <n v="90654592"/>
        <n v="133778304"/>
        <n v="324648000"/>
        <n v="281411183"/>
        <n v="183200569"/>
        <n v="101987946"/>
        <n v="901262803.92999995"/>
        <n v="844863980.05999994"/>
        <n v="737339863.24000001"/>
        <n v="780235000"/>
        <n v="3061251.15"/>
        <n v="2796437"/>
        <n v="2520287"/>
        <n v="1605331"/>
        <n v="645407.11"/>
        <n v="9737000"/>
        <n v="18645000"/>
        <n v="268308000"/>
        <n v="151938000"/>
        <n v="151547000"/>
        <n v="92927000"/>
        <n v="4539233257.3500004"/>
        <n v="4693567188.1000004"/>
        <n v="4309548054.5299997"/>
        <n v="2858809105.48"/>
        <n v="10799538178.68"/>
        <n v="11890195760.129999"/>
        <n v="10272015528.35"/>
        <n v="718939800.83000004"/>
        <n v="-75180667.959999993"/>
        <n v="-357505564.80000001"/>
        <n v="751965362.53999996"/>
        <n v="182710744"/>
        <n v="559786811"/>
        <n v="3722000"/>
        <n v="22576000"/>
        <n v="423923458.43000001"/>
        <n v="310647000"/>
        <n v="575150000"/>
        <n v="13335000"/>
        <n v="23655000"/>
        <n v="23252000"/>
        <n v="11051000"/>
        <n v="70727730.280000001"/>
        <n v="97911000"/>
        <n v="91765000"/>
        <n v="16768000"/>
        <n v="8649000"/>
        <n v="24344000"/>
        <n v="172669675.86000001"/>
        <n v="181046595.15000001"/>
        <n v="111311611.06999999"/>
        <n v="74101153.209999993"/>
        <n v="386792226.60000002"/>
        <n v="296889622.02999997"/>
        <n v="216710069.06"/>
        <n v="170612814.30000001"/>
        <n v="837439831.94000006"/>
        <n v="1005731443.8099999"/>
        <n v="1971024029.29"/>
        <n v="15469895.77"/>
        <n v="13306306.460000001"/>
        <n v="19966613.23"/>
        <n v="8984823.1899999995"/>
        <n v="20894905121.599998"/>
        <n v="33133022202"/>
        <n v="46307964102"/>
        <n v="44612179501"/>
        <n v="187453404.96000001"/>
        <n v="161513908.16999999"/>
        <n v="116428578.18000001"/>
        <n v="86911496.730000004"/>
        <n v="196691606.94"/>
        <n v="359474959.12"/>
        <n v="117452154.81999999"/>
        <n v="45071000"/>
        <n v="29451000"/>
        <n v="23814000"/>
        <n v="682580077"/>
        <n v="580084000"/>
        <n v="623912000"/>
        <n v="328416000"/>
        <n v="313688976.75999999"/>
        <n v="96465537.109999999"/>
        <n v="86203563.489999995"/>
        <n v="74229898.859999999"/>
        <n v="82468112.400000006"/>
        <n v="92137357.700000003"/>
        <n v="35594641.18"/>
        <n v="26381000"/>
        <n v="9354000"/>
        <n v="34360000"/>
        <n v="50944000"/>
        <n v="42494000"/>
        <n v="60637000"/>
        <n v="52406000"/>
        <n v="47835000"/>
        <n v="43244000"/>
        <n v="40621000"/>
        <n v="335756000"/>
        <n v="249170000"/>
        <n v="135511000"/>
        <n v="137871000"/>
        <n v="1911900245.4200001"/>
        <n v="1223420217"/>
        <n v="1630452307"/>
        <n v="221047209.75999999"/>
        <n v="96359523.819999993"/>
        <n v="91934228.780000001"/>
        <n v="26389234.239999998"/>
        <n v="27175402.329999998"/>
        <n v="76030857.450000003"/>
        <n v="72949906.010000005"/>
        <n v="126610718.51000001"/>
        <n v="142288162.75"/>
        <n v="93031657.010000005"/>
        <n v="185531000"/>
        <n v="239206591.03"/>
        <n v="200230437.22"/>
        <n v="483247945.06999999"/>
        <n v="445682000"/>
        <n v="614021000"/>
        <n v="419093000"/>
        <n v="-182125692.53"/>
        <n v="78013713"/>
        <n v="2190730959"/>
        <n v="3206936280"/>
        <n v="589182430.70000005"/>
        <n v="495399428.38999999"/>
        <n v="428630102.26999998"/>
        <n v="287794829.95999998"/>
        <n v="1499500000"/>
        <n v="1447636528"/>
        <n v="1211648449"/>
        <n v="166896668.09999999"/>
        <n v="234522118.69999999"/>
        <n v="106303610.3"/>
        <n v="1281227722.3699999"/>
        <n v="2216909132.75"/>
        <n v="21385000"/>
        <n v="27650101.780000001"/>
        <n v="27290081.850000001"/>
        <n v="20461132.460000001"/>
        <n v="843488000"/>
        <n v="920137051"/>
        <n v="818571312"/>
        <n v="1011009000"/>
        <n v="860126713.70000005"/>
        <n v="773025274.29999995"/>
        <n v="39281689.020000003"/>
        <n v="4448000"/>
        <n v="30296000"/>
        <n v="9733695883.3700008"/>
        <n v="39810556422"/>
        <n v="37074251331"/>
        <n v="30653409.600000001"/>
        <n v="4453572915.3800001"/>
        <n v="4091563016"/>
        <n v="5004201060"/>
        <n v="109798096.84"/>
        <n v="106752609.08"/>
        <n v="13071107.109999999"/>
        <n v="40688154.170000002"/>
        <n v="105074345.66"/>
        <n v="155991429.46000001"/>
        <n v="1074289736.8800001"/>
        <n v="1047998632.27"/>
        <n v="1144560312.5999999"/>
        <n v="2314615815.0500002"/>
        <n v="1810326710.1800001"/>
        <n v="1829334179.3199999"/>
        <n v="275394800.88"/>
        <n v="220517318.09"/>
        <n v="112319339.34999999"/>
        <n v="66605139.840000004"/>
        <n v="796111000"/>
        <n v="391378000"/>
        <n v="723006000"/>
      </sharedItems>
    </cacheField>
    <cacheField name="Total Ações" numFmtId="166">
      <sharedItems containsSemiMixedTypes="0" containsString="0" containsNumber="1" containsInteger="1" minValue="2857301" maxValue="13044496930"/>
    </cacheField>
    <cacheField name="Lucro por ação" numFmtId="168">
      <sharedItems containsSemiMixedTypes="0" containsString="0" containsNumber="1" minValue="-6.6983599058695811" maxValue="17.53690548444203"/>
    </cacheField>
    <cacheField name="Dividendo / Ação" numFmtId="168">
      <sharedItems containsString="0" containsBlank="1" containsNumber="1" minValue="0" maxValue="9.5598858660000001"/>
    </cacheField>
    <cacheField name="Payout" numFmtId="10">
      <sharedItems containsMixedTypes="1" containsNumber="1" minValue="8.6546948480594434E-6" maxValue="19.095577865856068"/>
    </cacheField>
    <cacheField name="Cotação" numFmtId="44">
      <sharedItems containsSemiMixedTypes="0" containsString="0" containsNumber="1" minValue="0.12" maxValue="158.99"/>
    </cacheField>
    <cacheField name="Yield" numFmtId="10">
      <sharedItems containsMixedTypes="1" containsNumber="1" minValue="3.0927835051546394E-7" maxValue="1.0447962695081967"/>
    </cacheField>
    <cacheField name="Cotação 1" numFmtId="44">
      <sharedItems containsSemiMixedTypes="0" containsString="0" containsNumber="1" minValue="0" maxValue="62.04"/>
    </cacheField>
    <cacheField name="Cotação 2" numFmtId="44">
      <sharedItems containsSemiMixedTypes="0" containsString="0" containsNumber="1" minValue="0" maxValue="158.99"/>
    </cacheField>
    <cacheField name="Lucro Anterior" numFmtId="44">
      <sharedItems containsSemiMixedTypes="0" containsString="0" containsNumber="1" minValue="-525142000" maxValue="46307964102"/>
    </cacheField>
    <cacheField name="Crescimento" numFmtId="10">
      <sharedItems containsMixedTypes="1" containsNumber="1" minValue="-10.562828055910773" maxValue="12.18223027573507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">
  <r>
    <x v="0"/>
    <n v="6"/>
    <n v="1"/>
    <x v="0"/>
    <x v="0"/>
    <n v="940.06"/>
    <n v="0"/>
    <n v="0"/>
    <n v="0"/>
    <x v="0"/>
    <n v="100"/>
    <n v="9.400599999999999"/>
    <n v="0"/>
    <s v=""/>
  </r>
  <r>
    <x v="1"/>
    <n v="7"/>
    <n v="1"/>
    <x v="0"/>
    <x v="0"/>
    <m/>
    <m/>
    <m/>
    <n v="94"/>
    <x v="0"/>
    <m/>
    <n v="9.400599999999999"/>
    <n v="0.94"/>
    <n v="9.9993617428674769E-2"/>
  </r>
  <r>
    <x v="2"/>
    <n v="8"/>
    <n v="1"/>
    <x v="0"/>
    <x v="0"/>
    <m/>
    <m/>
    <m/>
    <n v="0"/>
    <x v="1"/>
    <m/>
    <n v="9.400599999999999"/>
    <n v="0.94"/>
    <n v="9.9993617428674769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581">
  <r>
    <x v="0"/>
    <x v="0"/>
    <x v="0"/>
    <n v="147232649"/>
    <n v="1.5391887372073296"/>
    <n v="0.62"/>
    <n v="0.40280960028652135"/>
    <n v="12.19"/>
    <n v="5.0861361771944218E-2"/>
    <n v="12.19"/>
    <n v="0"/>
    <n v="259319392"/>
    <n v="-0.12610147146265094"/>
  </r>
  <r>
    <x v="0"/>
    <x v="1"/>
    <x v="1"/>
    <n v="147232649"/>
    <n v="1.7612899975738399"/>
    <n v="0.6"/>
    <n v="0.34065940352042778"/>
    <n v="12.19"/>
    <n v="4.922067268252666E-2"/>
    <n v="12.19"/>
    <n v="0"/>
    <n v="221437904"/>
    <n v="0.17107047761796013"/>
  </r>
  <r>
    <x v="0"/>
    <x v="2"/>
    <x v="2"/>
    <n v="147232649"/>
    <n v="1.5039999993479707"/>
    <n v="0.54"/>
    <n v="0.35904255334714513"/>
    <n v="12.19"/>
    <n v="4.4298605414274002E-2"/>
    <n v="12.19"/>
    <n v="0"/>
    <n v="165523361"/>
    <n v="0.33780454107622915"/>
  </r>
  <r>
    <x v="0"/>
    <x v="3"/>
    <x v="3"/>
    <n v="147232649"/>
    <n v="1.1242300001000458"/>
    <n v="0.51"/>
    <n v="0.45364382729033637"/>
    <n v="12.19"/>
    <n v="4.1837571780147666E-2"/>
    <n v="12.19"/>
    <n v="0"/>
    <n v="0"/>
    <s v=""/>
  </r>
  <r>
    <x v="1"/>
    <x v="0"/>
    <x v="4"/>
    <n v="95061053"/>
    <n v="-0.32269153572283699"/>
    <n v="0"/>
    <s v=""/>
    <n v="8.3000000000000007"/>
    <s v=""/>
    <n v="8.3000000000000007"/>
    <n v="0"/>
    <n v="436885000"/>
    <n v="0"/>
  </r>
  <r>
    <x v="1"/>
    <x v="1"/>
    <x v="5"/>
    <n v="95061053"/>
    <n v="4.5958358992720187"/>
    <n v="3.2228539679999999"/>
    <n v="0.70125523161314363"/>
    <n v="8.3000000000000007"/>
    <n v="0.38829565879518069"/>
    <n v="8.3000000000000007"/>
    <n v="0"/>
    <n v="376137000"/>
    <n v="0.16150498355652321"/>
  </r>
  <r>
    <x v="1"/>
    <x v="2"/>
    <x v="6"/>
    <n v="95061053"/>
    <n v="3.9567939564061003"/>
    <n v="3.5129712419999999"/>
    <n v="0.8878327455773769"/>
    <n v="8.3000000000000007"/>
    <n v="0.42324954722891561"/>
    <n v="8.3000000000000007"/>
    <n v="0"/>
    <n v="335010000"/>
    <n v="0.12276349959702704"/>
  </r>
  <r>
    <x v="1"/>
    <x v="3"/>
    <x v="7"/>
    <n v="95061053"/>
    <n v="3.5241562072744976"/>
    <n v="3.1989132250000001"/>
    <n v="0.90771039558259736"/>
    <n v="8.3000000000000007"/>
    <n v="0.38541123192771082"/>
    <n v="8.3000000000000007"/>
    <n v="0"/>
    <n v="0"/>
    <s v=""/>
  </r>
  <r>
    <x v="2"/>
    <x v="0"/>
    <x v="8"/>
    <n v="159025920"/>
    <n v="0.80123913604775876"/>
    <n v="0.346085953"/>
    <n v="0.43193840319274063"/>
    <n v="18"/>
    <n v="1.9226997388888889E-2"/>
    <n v="0"/>
    <n v="18"/>
    <n v="101417617.86"/>
    <n v="0.25636741858689138"/>
  </r>
  <r>
    <x v="2"/>
    <x v="1"/>
    <x v="9"/>
    <n v="159025920"/>
    <n v="0.63774268911634024"/>
    <n v="0.18179478700000001"/>
    <n v="0.28505977426710427"/>
    <n v="18"/>
    <n v="1.0099710388888889E-2"/>
    <n v="0"/>
    <n v="18"/>
    <n v="54564689.799999997"/>
    <n v="0.8586675418064964"/>
  </r>
  <r>
    <x v="2"/>
    <x v="2"/>
    <x v="10"/>
    <n v="159025920"/>
    <n v="0.34311821494257033"/>
    <n v="9.2918793E-2"/>
    <n v="0.27080693753187179"/>
    <n v="18"/>
    <n v="5.1621551666666664E-3"/>
    <n v="0"/>
    <n v="18"/>
    <n v="47715454.25"/>
    <n v="0.14354333742929826"/>
  </r>
  <r>
    <x v="2"/>
    <x v="3"/>
    <x v="11"/>
    <n v="159025920"/>
    <n v="0.30004828300946162"/>
    <n v="8.036008E-2"/>
    <n v="0.26782382886512285"/>
    <n v="18"/>
    <n v="4.4644488888888889E-3"/>
    <n v="0"/>
    <n v="18"/>
    <n v="0"/>
    <s v=""/>
  </r>
  <r>
    <x v="3"/>
    <x v="0"/>
    <x v="12"/>
    <n v="5996334"/>
    <n v="-0.34154201550480678"/>
    <n v="1"/>
    <s v=""/>
    <n v="4.8099999999999996"/>
    <n v="0.20790020790020791"/>
    <n v="0"/>
    <n v="4.8099999999999996"/>
    <n v="-2767000"/>
    <n v="0"/>
  </r>
  <r>
    <x v="3"/>
    <x v="1"/>
    <x v="13"/>
    <n v="5996334"/>
    <n v="-0.4614486117684572"/>
    <n v="1"/>
    <s v=""/>
    <n v="4.8099999999999996"/>
    <n v="0.20790020790020791"/>
    <n v="0"/>
    <n v="4.8099999999999996"/>
    <n v="47518888.590000004"/>
    <n v="0"/>
  </r>
  <r>
    <x v="3"/>
    <x v="2"/>
    <x v="14"/>
    <n v="5996334"/>
    <n v="7.9246567302621909"/>
    <n v="1.5139"/>
    <n v="0.19103666588090965"/>
    <n v="4.8099999999999996"/>
    <n v="0.31474012474012475"/>
    <n v="0"/>
    <n v="4.8099999999999996"/>
    <n v="0"/>
    <s v=""/>
  </r>
  <r>
    <x v="4"/>
    <x v="0"/>
    <x v="15"/>
    <n v="2964596762"/>
    <n v="5.5976738697524085E-2"/>
    <n v="2.6766000000000002E-2"/>
    <n v="0.47816290521376681"/>
    <n v="0.33"/>
    <n v="8.1109090909090908E-2"/>
    <n v="0.33"/>
    <n v="0"/>
    <n v="78567508.840000004"/>
    <n v="1.1121766585211228"/>
  </r>
  <r>
    <x v="4"/>
    <x v="1"/>
    <x v="16"/>
    <n v="2964596762"/>
    <n v="2.6501920884173184E-2"/>
    <n v="2.648E-2"/>
    <n v="0.99917285678011836"/>
    <n v="0.33"/>
    <n v="8.024242424242424E-2"/>
    <n v="0.33"/>
    <n v="0"/>
    <n v="142163159.71000001"/>
    <n v="-0.4473426941250418"/>
  </r>
  <r>
    <x v="4"/>
    <x v="2"/>
    <x v="17"/>
    <n v="2964596762"/>
    <n v="4.7953624429547294E-2"/>
    <n v="3.7429999999999998E-2"/>
    <n v="0.78054579701251903"/>
    <n v="0.33"/>
    <n v="0.11342424242424241"/>
    <n v="0.33"/>
    <n v="0"/>
    <n v="0"/>
    <s v=""/>
  </r>
  <r>
    <x v="5"/>
    <x v="0"/>
    <x v="18"/>
    <n v="2865417020"/>
    <n v="4.2960135843682536"/>
    <n v="1.722"/>
    <n v="0.40083672134226433"/>
    <n v="23.17"/>
    <n v="7.4320241691842898E-2"/>
    <n v="23.17"/>
    <n v="0"/>
    <n v="12247330314.43"/>
    <n v="5.1064294637594987E-3"/>
  </r>
  <r>
    <x v="5"/>
    <x v="1"/>
    <x v="19"/>
    <n v="2865417020"/>
    <n v="4.2741877461277875"/>
    <n v="1.7096750979999999"/>
    <n v="0.39999999989445595"/>
    <n v="23.17"/>
    <n v="7.3788308070781169E-2"/>
    <n v="23.17"/>
    <n v="0"/>
    <n v="11758093384.549999"/>
    <n v="4.1608525623963111E-2"/>
  </r>
  <r>
    <x v="5"/>
    <x v="2"/>
    <x v="20"/>
    <n v="2865417020"/>
    <n v="4.1034492719492537"/>
    <n v="1.6421960419999999"/>
    <n v="0.40019893829951275"/>
    <n v="23.17"/>
    <n v="7.0875962106171767E-2"/>
    <n v="23.17"/>
    <n v="0"/>
    <n v="10147521914.51"/>
    <n v="0.15871574199184857"/>
  </r>
  <r>
    <x v="5"/>
    <x v="3"/>
    <x v="21"/>
    <n v="2865417020"/>
    <n v="3.5413769945814031"/>
    <n v="1.4165507980000001"/>
    <n v="0.4000000000472807"/>
    <n v="23.17"/>
    <n v="6.1137280880448855E-2"/>
    <n v="23.17"/>
    <n v="0"/>
    <n v="0"/>
    <s v=""/>
  </r>
  <r>
    <x v="6"/>
    <x v="0"/>
    <x v="22"/>
    <n v="4207274039"/>
    <n v="2.705135047959732"/>
    <n v="0.97174542699999999"/>
    <n v="0.35922251930930776"/>
    <n v="30.03"/>
    <n v="3.2359155078255077E-2"/>
    <n v="30.03"/>
    <n v="0"/>
    <n v="11037515599"/>
    <n v="3.1141868583283605E-2"/>
  </r>
  <r>
    <x v="6"/>
    <x v="1"/>
    <x v="23"/>
    <n v="4207274039"/>
    <n v="2.6234363382765142"/>
    <n v="0.933388"/>
    <n v="0.35578831717075171"/>
    <n v="30.03"/>
    <n v="3.1081851481851479E-2"/>
    <n v="30.03"/>
    <n v="0"/>
    <n v="10159097403"/>
    <n v="8.6466165364316838E-2"/>
  </r>
  <r>
    <x v="6"/>
    <x v="2"/>
    <x v="24"/>
    <n v="4207274039"/>
    <n v="2.4146507474503967"/>
    <n v="0.87638400000000005"/>
    <n v="0.36294441377303294"/>
    <n v="30.03"/>
    <n v="2.9183616383616384E-2"/>
    <n v="30.03"/>
    <n v="0"/>
    <n v="8134916341"/>
    <n v="0.24882629115656929"/>
  </r>
  <r>
    <x v="6"/>
    <x v="3"/>
    <x v="25"/>
    <n v="4207274039"/>
    <n v="1.933536124719258"/>
    <n v="0.834144"/>
    <n v="0.43140854175719862"/>
    <n v="30.03"/>
    <n v="2.7777022977022975E-2"/>
    <n v="30.03"/>
    <n v="0"/>
    <n v="0"/>
    <s v=""/>
  </r>
  <r>
    <x v="7"/>
    <x v="0"/>
    <x v="22"/>
    <n v="4207274039"/>
    <n v="2.705135047959732"/>
    <n v="1.0689199700000001"/>
    <n v="0.39514477135113873"/>
    <n v="27.83"/>
    <n v="3.8408910168882503E-2"/>
    <n v="27.83"/>
    <n v="0"/>
    <n v="11037515599"/>
    <n v="3.1141868583283605E-2"/>
  </r>
  <r>
    <x v="7"/>
    <x v="1"/>
    <x v="23"/>
    <n v="4207274039"/>
    <n v="2.6234363382765142"/>
    <n v="1.0267269999999999"/>
    <n v="0.3913672251237153"/>
    <n v="27.83"/>
    <n v="3.6892813510600073E-2"/>
    <n v="27.83"/>
    <n v="0"/>
    <n v="10159097403"/>
    <n v="8.6466165364316838E-2"/>
  </r>
  <r>
    <x v="7"/>
    <x v="2"/>
    <x v="24"/>
    <n v="4207274039"/>
    <n v="2.4146507474503967"/>
    <n v="0.96402200000000005"/>
    <n v="0.39923868949490948"/>
    <n v="27.83"/>
    <n v="3.4639669421487607E-2"/>
    <n v="27.83"/>
    <n v="0"/>
    <n v="8134916341"/>
    <n v="0.24882629115656929"/>
  </r>
  <r>
    <x v="7"/>
    <x v="3"/>
    <x v="25"/>
    <n v="4207274039"/>
    <n v="1.933536124719258"/>
    <n v="0.91755799999999998"/>
    <n v="0.47454918905806631"/>
    <n v="27.83"/>
    <n v="3.2970104204096302E-2"/>
    <n v="27.83"/>
    <n v="0"/>
    <n v="0"/>
    <s v=""/>
  </r>
  <r>
    <x v="8"/>
    <x v="0"/>
    <x v="26"/>
    <n v="2000000000"/>
    <n v="1"/>
    <n v="0.25"/>
    <n v="0.25"/>
    <n v="23.96"/>
    <n v="1.0434056761268781E-2"/>
    <n v="0"/>
    <n v="23.96"/>
    <n v="0"/>
    <s v=""/>
  </r>
  <r>
    <x v="9"/>
    <x v="0"/>
    <x v="27"/>
    <n v="1579564303"/>
    <n v="5.153003258266213E-2"/>
    <n v="2.0200094799999999E-2"/>
    <n v="0.39200624931870415"/>
    <n v="0.47"/>
    <n v="4.297892510638298E-2"/>
    <n v="0.47"/>
    <n v="0"/>
    <n v="87892000"/>
    <n v="-7.3920265780730854E-2"/>
  </r>
  <r>
    <x v="9"/>
    <x v="1"/>
    <x v="28"/>
    <n v="1579564303"/>
    <n v="5.5643192134103327E-2"/>
    <n v="3.1132696000000001E-2"/>
    <n v="0.55950593066207266"/>
    <n v="0.47"/>
    <n v="6.6239778723404266E-2"/>
    <n v="0.47"/>
    <n v="0"/>
    <n v="167023000"/>
    <n v="-0.47377307316956352"/>
  </r>
  <r>
    <x v="9"/>
    <x v="2"/>
    <x v="29"/>
    <n v="1579564303"/>
    <n v="0.1057399180791692"/>
    <n v="2.6446688999999999E-2"/>
    <n v="0.25011073850273774"/>
    <n v="0.47"/>
    <n v="5.626955106382979E-2"/>
    <n v="0.47"/>
    <n v="0"/>
    <n v="132496000"/>
    <n v="0.26058899891317466"/>
  </r>
  <r>
    <x v="9"/>
    <x v="3"/>
    <x v="30"/>
    <n v="1579564303"/>
    <n v="8.3881358769855668E-2"/>
    <n v="2.117499288E-2"/>
    <n v="0.2524397934241574"/>
    <n v="0.47"/>
    <n v="4.5053176340425535E-2"/>
    <n v="0.47"/>
    <n v="0"/>
    <n v="0"/>
    <s v=""/>
  </r>
  <r>
    <x v="10"/>
    <x v="0"/>
    <x v="27"/>
    <n v="1579564303"/>
    <n v="5.153003258266213E-2"/>
    <n v="2.0200094799999999E-2"/>
    <n v="0.39200624931870415"/>
    <n v="0.46"/>
    <n v="4.3913249565217388E-2"/>
    <n v="0.46"/>
    <n v="0"/>
    <n v="87892000"/>
    <n v="-7.3920265780730854E-2"/>
  </r>
  <r>
    <x v="10"/>
    <x v="1"/>
    <x v="28"/>
    <n v="1579564303"/>
    <n v="5.5643192134103327E-2"/>
    <n v="3.1132696000000001E-2"/>
    <n v="0.55950593066207266"/>
    <n v="0.46"/>
    <n v="6.7679773913043473E-2"/>
    <n v="0.46"/>
    <n v="0"/>
    <n v="167023000"/>
    <n v="-0.47377307316956352"/>
  </r>
  <r>
    <x v="10"/>
    <x v="2"/>
    <x v="29"/>
    <n v="1579564303"/>
    <n v="0.1057399180791692"/>
    <n v="2.6446688999999999E-2"/>
    <n v="0.25011073850273774"/>
    <n v="0.46"/>
    <n v="5.7492802173913039E-2"/>
    <n v="0.46"/>
    <n v="0"/>
    <n v="132496000"/>
    <n v="0.26058899891317466"/>
  </r>
  <r>
    <x v="10"/>
    <x v="3"/>
    <x v="30"/>
    <n v="1579564303"/>
    <n v="8.3881358769855668E-2"/>
    <n v="2.117499288E-2"/>
    <n v="0.2524397934241574"/>
    <n v="0.46"/>
    <n v="4.6032593217391303E-2"/>
    <n v="0.46"/>
    <n v="0"/>
    <n v="0"/>
    <s v=""/>
  </r>
  <r>
    <x v="11"/>
    <x v="0"/>
    <x v="31"/>
    <n v="10541442"/>
    <n v="8.3471479964505804"/>
    <n v="4.946395323"/>
    <n v="0.5925850751781726"/>
    <n v="43.25"/>
    <n v="0.11436752191907515"/>
    <n v="43.25"/>
    <n v="0"/>
    <n v="90962523.890000001"/>
    <n v="-3.2667820690567728E-2"/>
  </r>
  <r>
    <x v="11"/>
    <x v="1"/>
    <x v="32"/>
    <n v="10541442"/>
    <n v="8.6290399254675023"/>
    <n v="5.5438895290000003"/>
    <n v="0.64246886987252461"/>
    <n v="43.25"/>
    <n v="0.12818241685549134"/>
    <n v="43.25"/>
    <n v="0"/>
    <n v="54465018.079999998"/>
    <n v="0.67010912869598749"/>
  </r>
  <r>
    <x v="11"/>
    <x v="2"/>
    <x v="33"/>
    <n v="10541442"/>
    <n v="5.1667521464330965"/>
    <n v="2.2723217359999999"/>
    <n v="0.43979693076020943"/>
    <n v="43.25"/>
    <n v="5.2539230890173406E-2"/>
    <n v="43.25"/>
    <n v="0"/>
    <n v="39114199.380000003"/>
    <n v="0.39246153425932651"/>
  </r>
  <r>
    <x v="11"/>
    <x v="3"/>
    <x v="34"/>
    <n v="10541442"/>
    <n v="3.7105169653259966"/>
    <n v="1.979881029"/>
    <n v="0.53358630279865937"/>
    <n v="43.25"/>
    <n v="4.577759604624277E-2"/>
    <n v="43.25"/>
    <n v="0"/>
    <n v="0"/>
    <s v=""/>
  </r>
  <r>
    <x v="12"/>
    <x v="0"/>
    <x v="31"/>
    <n v="10541442"/>
    <n v="8.3471479964505804"/>
    <n v="5.4410348859999997"/>
    <n v="0.65184358637389272"/>
    <n v="45"/>
    <n v="0.12091188635555555"/>
    <n v="45"/>
    <n v="0"/>
    <n v="90962523.890000001"/>
    <n v="-3.2667820690567728E-2"/>
  </r>
  <r>
    <x v="12"/>
    <x v="1"/>
    <x v="32"/>
    <n v="10541442"/>
    <n v="8.6290399254675023"/>
    <n v="6.0982784810000004"/>
    <n v="0.70671575675547815"/>
    <n v="45"/>
    <n v="0.13551729957777778"/>
    <n v="45"/>
    <n v="0"/>
    <n v="54465018.079999998"/>
    <n v="0.67010912869598749"/>
  </r>
  <r>
    <x v="12"/>
    <x v="2"/>
    <x v="33"/>
    <n v="10541442"/>
    <n v="5.1667521464330965"/>
    <n v="2.4995539089999999"/>
    <n v="0.48377662372010322"/>
    <n v="45"/>
    <n v="5.5545642422222222E-2"/>
    <n v="45"/>
    <n v="0"/>
    <n v="39114199.380000003"/>
    <n v="0.39246153425932651"/>
  </r>
  <r>
    <x v="12"/>
    <x v="3"/>
    <x v="34"/>
    <n v="10541442"/>
    <n v="3.7105169653259966"/>
    <n v="2.1790691309999999"/>
    <n v="0.58726833790626598"/>
    <n v="45"/>
    <n v="4.8423758466666661E-2"/>
    <n v="45"/>
    <n v="0"/>
    <n v="0"/>
    <s v=""/>
  </r>
  <r>
    <x v="13"/>
    <x v="0"/>
    <x v="35"/>
    <n v="252903569"/>
    <n v="0.43028064835257424"/>
    <n v="0.48572491200000001"/>
    <n v="1.1288560474650824"/>
    <n v="9.65"/>
    <n v="5.0334187772020728E-2"/>
    <n v="9.65"/>
    <n v="0"/>
    <n v="232542541"/>
    <n v="-0.53204471245542984"/>
  </r>
  <r>
    <x v="13"/>
    <x v="1"/>
    <x v="36"/>
    <n v="252903569"/>
    <n v="0.91949094241528873"/>
    <n v="0.46371743599999998"/>
    <n v="0.50431974325045792"/>
    <n v="9.65"/>
    <n v="4.8053620310880826E-2"/>
    <n v="9.65"/>
    <n v="0"/>
    <n v="348395895.98000002"/>
    <n v="-0.33253363864725516"/>
  </r>
  <r>
    <x v="13"/>
    <x v="2"/>
    <x v="37"/>
    <n v="252903569"/>
    <n v="1.3775839437837274"/>
    <n v="0.60299663000000003"/>
    <n v="0.43772042547460682"/>
    <n v="9.65"/>
    <n v="6.2486697409326428E-2"/>
    <n v="9.65"/>
    <n v="0"/>
    <n v="0"/>
    <s v=""/>
  </r>
  <r>
    <x v="14"/>
    <x v="0"/>
    <x v="35"/>
    <n v="252903569"/>
    <n v="0.43028064835257424"/>
    <n v="0.48572491200000001"/>
    <n v="1.1288560474650824"/>
    <n v="7.4"/>
    <n v="6.5638501621621617E-2"/>
    <n v="7.4"/>
    <n v="0"/>
    <n v="232542541"/>
    <n v="-0.53204471245542984"/>
  </r>
  <r>
    <x v="14"/>
    <x v="1"/>
    <x v="36"/>
    <n v="252903569"/>
    <n v="0.91949094241528873"/>
    <n v="0.46371743599999998"/>
    <n v="0.50431974325045792"/>
    <n v="7.4"/>
    <n v="6.2664518378378373E-2"/>
    <n v="7.4"/>
    <n v="0"/>
    <n v="348395895.98000002"/>
    <n v="-0.33253363864725516"/>
  </r>
  <r>
    <x v="14"/>
    <x v="2"/>
    <x v="37"/>
    <n v="252903569"/>
    <n v="1.3775839437837274"/>
    <n v="0.60299663000000003"/>
    <n v="0.43772042547460682"/>
    <n v="7.4"/>
    <n v="8.1486031081081087E-2"/>
    <n v="7.4"/>
    <n v="0"/>
    <n v="0"/>
    <s v=""/>
  </r>
  <r>
    <x v="15"/>
    <x v="0"/>
    <x v="38"/>
    <n v="182520000"/>
    <n v="2.9755643217181677E-2"/>
    <n v="8.9999999999999993E-3"/>
    <n v="0.30246363468974408"/>
    <n v="1.1000000000000001"/>
    <n v="8.1818181818181807E-3"/>
    <n v="1.1000000000000001"/>
    <n v="0"/>
    <n v="5361000"/>
    <n v="1.3057265435552967E-2"/>
  </r>
  <r>
    <x v="15"/>
    <x v="1"/>
    <x v="39"/>
    <n v="182520000"/>
    <n v="2.9372123602892833E-2"/>
    <n v="8.9999999999999993E-3"/>
    <n v="0.30641298265249017"/>
    <n v="1.1000000000000001"/>
    <n v="8.1818181818181807E-3"/>
    <n v="1.1000000000000001"/>
    <n v="0"/>
    <n v="2644000"/>
    <n v="1.0276096822995462"/>
  </r>
  <r>
    <x v="15"/>
    <x v="2"/>
    <x v="40"/>
    <n v="182520000"/>
    <n v="1.4486083716852947E-2"/>
    <n v="3.9100000000000003E-3"/>
    <n v="0.26991422087745842"/>
    <n v="1.1000000000000001"/>
    <n v="3.5545454545454543E-3"/>
    <n v="1.1000000000000001"/>
    <n v="0"/>
    <n v="0"/>
    <s v=""/>
  </r>
  <r>
    <x v="16"/>
    <x v="0"/>
    <x v="38"/>
    <n v="182520000"/>
    <n v="2.9755643217181677E-2"/>
    <n v="1.2352500000000001E-2"/>
    <n v="0.41513133861167378"/>
    <n v="0.26"/>
    <n v="4.7509615384615386E-2"/>
    <n v="0.26"/>
    <n v="0"/>
    <n v="5361000"/>
    <n v="1.3057265435552967E-2"/>
  </r>
  <r>
    <x v="16"/>
    <x v="1"/>
    <x v="39"/>
    <n v="182520000"/>
    <n v="2.9372123602892833E-2"/>
    <n v="1.1599999999999999E-2"/>
    <n v="0.39493228875209846"/>
    <n v="0.26"/>
    <n v="4.4615384615384612E-2"/>
    <n v="0.26"/>
    <n v="0"/>
    <n v="2644000"/>
    <n v="1.0276096822995462"/>
  </r>
  <r>
    <x v="16"/>
    <x v="2"/>
    <x v="40"/>
    <n v="182520000"/>
    <n v="1.4486083716852947E-2"/>
    <n v="9.8600000000000007E-3"/>
    <n v="0.68065325264750387"/>
    <n v="0.26"/>
    <n v="3.7923076923076927E-2"/>
    <n v="0.26"/>
    <n v="0"/>
    <n v="0"/>
    <s v=""/>
  </r>
  <r>
    <x v="17"/>
    <x v="0"/>
    <x v="41"/>
    <n v="87001901"/>
    <n v="5.8431286900271298"/>
    <n v="2.09879358938"/>
    <n v="0.35919003340832723"/>
    <n v="28.74"/>
    <n v="7.3026916819067506E-2"/>
    <n v="28.74"/>
    <n v="0"/>
    <n v="314799260.60000002"/>
    <n v="0.6148808699584345"/>
  </r>
  <r>
    <x v="17"/>
    <x v="1"/>
    <x v="42"/>
    <n v="87001901"/>
    <n v="3.6183032437417664"/>
    <n v="1.8628371749999999"/>
    <n v="0.51483721775447411"/>
    <n v="28.74"/>
    <n v="6.4816881524008357E-2"/>
    <n v="28.74"/>
    <n v="0"/>
    <n v="313589945.75999999"/>
    <n v="3.8563571834844268E-3"/>
  </r>
  <r>
    <x v="17"/>
    <x v="2"/>
    <x v="43"/>
    <n v="87001901"/>
    <n v="3.6044033768871326"/>
    <n v="2.2732746009999998"/>
    <n v="0.63069372744935825"/>
    <n v="28.74"/>
    <n v="7.9097933228949202E-2"/>
    <n v="28.74"/>
    <n v="0"/>
    <n v="459012514.60000002"/>
    <n v="-0.31681613074695025"/>
  </r>
  <r>
    <x v="17"/>
    <x v="3"/>
    <x v="44"/>
    <n v="87001901"/>
    <n v="5.2758906337000617"/>
    <n v="2.646819604"/>
    <n v="0.50168204532013683"/>
    <n v="28.74"/>
    <n v="9.2095323729993045E-2"/>
    <n v="28.74"/>
    <n v="0"/>
    <n v="0"/>
    <s v=""/>
  </r>
  <r>
    <x v="18"/>
    <x v="0"/>
    <x v="41"/>
    <n v="87001901"/>
    <n v="5.8431286900271298"/>
    <n v="2.308672948101"/>
    <n v="0.3951090367120223"/>
    <n v="23.54"/>
    <n v="9.8074466784239589E-2"/>
    <n v="23.54"/>
    <n v="0"/>
    <n v="314799260.60000002"/>
    <n v="0.6148808699584345"/>
  </r>
  <r>
    <x v="18"/>
    <x v="1"/>
    <x v="42"/>
    <n v="87001901"/>
    <n v="3.6183032437417664"/>
    <n v="2.0491208919999999"/>
    <n v="0.56632093939173522"/>
    <n v="23.54"/>
    <n v="8.7048466100254879E-2"/>
    <n v="23.54"/>
    <n v="0"/>
    <n v="313589945.75999999"/>
    <n v="3.8563571834844268E-3"/>
  </r>
  <r>
    <x v="18"/>
    <x v="2"/>
    <x v="43"/>
    <n v="87001901"/>
    <n v="3.6044033768871326"/>
    <n v="2.5006020599999998"/>
    <n v="0.69376309988911189"/>
    <n v="23.54"/>
    <n v="0.10622778504672897"/>
    <n v="23.54"/>
    <n v="0"/>
    <n v="459012514.60000002"/>
    <n v="-0.31681613074695025"/>
  </r>
  <r>
    <x v="18"/>
    <x v="3"/>
    <x v="44"/>
    <n v="87001901"/>
    <n v="5.2758906337000617"/>
    <n v="2.911501565"/>
    <n v="0.55185024996587539"/>
    <n v="23.54"/>
    <n v="0.1236831590909091"/>
    <n v="23.54"/>
    <n v="0"/>
    <n v="0"/>
    <s v=""/>
  </r>
  <r>
    <x v="19"/>
    <x v="0"/>
    <x v="45"/>
    <n v="349547945"/>
    <n v="1.3638677617744255"/>
    <n v="0.59109131800000003"/>
    <n v="0.43339342315047885"/>
    <n v="18.16"/>
    <n v="3.2549081387665199E-2"/>
    <n v="0"/>
    <n v="18.16"/>
    <n v="2023882601.55"/>
    <n v="-0.76444425530666227"/>
  </r>
  <r>
    <x v="19"/>
    <x v="1"/>
    <x v="46"/>
    <n v="349547945"/>
    <n v="5.79"/>
    <n v="1.7780234450000001"/>
    <n v="0.30708522366148533"/>
    <n v="18.16"/>
    <n v="9.7908780011013219E-2"/>
    <n v="0"/>
    <n v="18.16"/>
    <n v="1758226163.3499999"/>
    <n v="0.15109343936381703"/>
  </r>
  <r>
    <x v="19"/>
    <x v="2"/>
    <x v="47"/>
    <n v="349547945"/>
    <n v="5.0299999999999994"/>
    <n v="1.5299646339999999"/>
    <n v="0.30416791928429426"/>
    <n v="18.16"/>
    <n v="8.4249153854625544E-2"/>
    <n v="0"/>
    <n v="18.16"/>
    <n v="961256848.75"/>
    <n v="0.8290909090909091"/>
  </r>
  <r>
    <x v="19"/>
    <x v="3"/>
    <x v="48"/>
    <n v="349547945"/>
    <n v="2.75"/>
    <n v="0.86687395199999995"/>
    <n v="0.31522689163636364"/>
    <n v="18.16"/>
    <n v="4.7735349779735682E-2"/>
    <n v="0"/>
    <n v="18.16"/>
    <n v="0"/>
    <s v=""/>
  </r>
  <r>
    <x v="20"/>
    <x v="0"/>
    <x v="45"/>
    <n v="349547945"/>
    <n v="1.3638677617744255"/>
    <n v="0.65020045000000004"/>
    <n v="0.47673276561216849"/>
    <n v="22.41"/>
    <n v="2.9013853190539941E-2"/>
    <n v="0"/>
    <n v="22.41"/>
    <n v="2023882601.55"/>
    <n v="-0.76444425530666227"/>
  </r>
  <r>
    <x v="20"/>
    <x v="1"/>
    <x v="46"/>
    <n v="349547945"/>
    <n v="5.79"/>
    <n v="1.955825792"/>
    <n v="0.33779374645941279"/>
    <n v="22.41"/>
    <n v="8.727468951360999E-2"/>
    <n v="0"/>
    <n v="22.41"/>
    <n v="1758226163.3499999"/>
    <n v="0.15109343936381703"/>
  </r>
  <r>
    <x v="20"/>
    <x v="2"/>
    <x v="47"/>
    <n v="349547945"/>
    <n v="5.0299999999999994"/>
    <n v="1.6829611"/>
    <n v="0.33458471172962229"/>
    <n v="22.41"/>
    <n v="7.5098665774207943E-2"/>
    <n v="0"/>
    <n v="22.41"/>
    <n v="961256848.75"/>
    <n v="0.8290909090909091"/>
  </r>
  <r>
    <x v="20"/>
    <x v="3"/>
    <x v="48"/>
    <n v="349547945"/>
    <n v="2.75"/>
    <n v="0.953561349"/>
    <n v="0.34674958145454543"/>
    <n v="22.41"/>
    <n v="4.2550707228915664E-2"/>
    <n v="0"/>
    <n v="22.41"/>
    <n v="0"/>
    <s v=""/>
  </r>
  <r>
    <x v="21"/>
    <x v="0"/>
    <x v="49"/>
    <n v="872473246"/>
    <n v="0.93209391087735427"/>
    <n v="0.32"/>
    <n v="0.34331304632040011"/>
    <n v="44.71"/>
    <n v="7.1572355177812567E-3"/>
    <n v="0"/>
    <n v="44.71"/>
    <n v="1367409000"/>
    <n v="-0.40527888875969076"/>
  </r>
  <r>
    <x v="21"/>
    <x v="1"/>
    <x v="50"/>
    <n v="872473246"/>
    <n v="1.5672790039913729"/>
    <n v="0.72453109900000001"/>
    <n v="0.46228597279415107"/>
    <n v="44.71"/>
    <n v="1.620512411093715E-2"/>
    <n v="0"/>
    <n v="44.71"/>
    <n v="804106000"/>
    <n v="0.7005332630275114"/>
  </r>
  <r>
    <x v="21"/>
    <x v="2"/>
    <x v="51"/>
    <n v="872473246"/>
    <n v="0.92163972211934164"/>
    <n v="0.30086882500000001"/>
    <n v="0.32644949840935888"/>
    <n v="44.71"/>
    <n v="6.7293407515097298E-3"/>
    <n v="0"/>
    <n v="44.71"/>
    <n v="0"/>
    <s v=""/>
  </r>
  <r>
    <x v="22"/>
    <x v="0"/>
    <x v="52"/>
    <n v="73646388"/>
    <n v="0.85753017513907126"/>
    <n v="0.24782000000000001"/>
    <n v="0.28899274589353013"/>
    <n v="3.82"/>
    <n v="6.4874345549738227E-2"/>
    <n v="3.82"/>
    <n v="0"/>
    <n v="56638000"/>
    <n v="0.11504643525548208"/>
  </r>
  <r>
    <x v="22"/>
    <x v="1"/>
    <x v="53"/>
    <n v="73646388"/>
    <n v="0.76905333089791184"/>
    <n v="0.22899"/>
    <n v="0.29775568325364593"/>
    <n v="3.82"/>
    <n v="5.9945026178010473E-2"/>
    <n v="3.82"/>
    <n v="0"/>
    <n v="50724000"/>
    <n v="0.11659175143916101"/>
  </r>
  <r>
    <x v="22"/>
    <x v="2"/>
    <x v="54"/>
    <n v="73646388"/>
    <n v="0.6887506825181976"/>
    <n v="0.22311"/>
    <n v="0.32393434324343506"/>
    <n v="3.82"/>
    <n v="5.8405759162303665E-2"/>
    <n v="3.82"/>
    <n v="0"/>
    <n v="46296000"/>
    <n v="9.5645412130637597E-2"/>
  </r>
  <r>
    <x v="22"/>
    <x v="3"/>
    <x v="55"/>
    <n v="73646388"/>
    <n v="0.62862553422171907"/>
    <n v="0.19269"/>
    <n v="0.30652588784603418"/>
    <n v="3.82"/>
    <n v="5.0442408376963351E-2"/>
    <n v="3.82"/>
    <n v="0"/>
    <n v="0"/>
    <s v=""/>
  </r>
  <r>
    <x v="23"/>
    <x v="0"/>
    <x v="52"/>
    <n v="73646388"/>
    <n v="0.85753017513907126"/>
    <n v="3.3640000000000003E-2"/>
    <n v="3.9228940246381863E-2"/>
    <n v="4"/>
    <n v="8.4100000000000008E-3"/>
    <n v="4"/>
    <n v="0"/>
    <n v="56638000"/>
    <n v="0.11504643525548208"/>
  </r>
  <r>
    <x v="23"/>
    <x v="1"/>
    <x v="53"/>
    <n v="73646388"/>
    <n v="0.76905333089791184"/>
    <n v="1.0189999999999999E-2"/>
    <n v="1.3250056388290545E-2"/>
    <n v="4"/>
    <n v="2.5474999999999999E-3"/>
    <n v="4"/>
    <n v="0"/>
    <n v="50724000"/>
    <n v="0.11659175143916101"/>
  </r>
  <r>
    <x v="23"/>
    <x v="2"/>
    <x v="54"/>
    <n v="73646388"/>
    <n v="0.6887506825181976"/>
    <n v="3.8589999999999999E-2"/>
    <n v="5.6028982590489711E-2"/>
    <n v="4"/>
    <n v="9.6474999999999998E-3"/>
    <n v="4"/>
    <n v="0"/>
    <n v="46296000"/>
    <n v="9.5645412130637597E-2"/>
  </r>
  <r>
    <x v="23"/>
    <x v="3"/>
    <x v="55"/>
    <n v="73646388"/>
    <n v="0.62862553422171907"/>
    <n v="6.8790000000000004E-2"/>
    <n v="0.10942921700622084"/>
    <n v="4"/>
    <n v="1.7197500000000001E-2"/>
    <n v="4"/>
    <n v="0"/>
    <n v="0"/>
    <s v=""/>
  </r>
  <r>
    <x v="24"/>
    <x v="0"/>
    <x v="52"/>
    <n v="73646388"/>
    <n v="0.85753017513907126"/>
    <n v="3.058E-2"/>
    <n v="3.5660552697216331E-2"/>
    <n v="4.2"/>
    <n v="7.2809523809523801E-3"/>
    <n v="4.2"/>
    <n v="0"/>
    <n v="56638000"/>
    <n v="0.11504643525548208"/>
  </r>
  <r>
    <x v="24"/>
    <x v="1"/>
    <x v="53"/>
    <n v="73646388"/>
    <n v="0.76905333089791184"/>
    <n v="2.5999999999999999E-3"/>
    <n v="3.380779843921042E-3"/>
    <n v="4.2"/>
    <n v="6.19047619047619E-4"/>
    <n v="4.2"/>
    <n v="0"/>
    <n v="50724000"/>
    <n v="0.11659175143916101"/>
  </r>
  <r>
    <x v="24"/>
    <x v="2"/>
    <x v="54"/>
    <n v="73646388"/>
    <n v="0.6887506825181976"/>
    <n v="3.508E-2"/>
    <n v="5.0932798892831796E-2"/>
    <n v="4.2"/>
    <n v="8.3523809523809514E-3"/>
    <n v="4.2"/>
    <n v="0"/>
    <n v="46296000"/>
    <n v="9.5645412130637597E-2"/>
  </r>
  <r>
    <x v="24"/>
    <x v="3"/>
    <x v="55"/>
    <n v="73646388"/>
    <n v="0.62862553422171907"/>
    <n v="6.2530000000000002E-2"/>
    <n v="9.9470983273716951E-2"/>
    <n v="4.2"/>
    <n v="1.4888095238095238E-2"/>
    <n v="4.2"/>
    <n v="0"/>
    <n v="0"/>
    <s v=""/>
  </r>
  <r>
    <x v="25"/>
    <x v="0"/>
    <x v="52"/>
    <n v="73646388"/>
    <n v="0.85753017513907126"/>
    <n v="0.20652000000000001"/>
    <n v="0.24083117537701496"/>
    <n v="3.27"/>
    <n v="6.3155963302752291E-2"/>
    <n v="3.27"/>
    <n v="0"/>
    <n v="56638000"/>
    <n v="0.11504643525548208"/>
  </r>
  <r>
    <x v="25"/>
    <x v="1"/>
    <x v="53"/>
    <n v="73646388"/>
    <n v="0.76905333089791184"/>
    <n v="0.19086"/>
    <n v="0.24817524654260389"/>
    <n v="3.27"/>
    <n v="5.8366972477064218E-2"/>
    <n v="3.27"/>
    <n v="0"/>
    <n v="50724000"/>
    <n v="0.11659175143916101"/>
  </r>
  <r>
    <x v="25"/>
    <x v="2"/>
    <x v="54"/>
    <n v="73646388"/>
    <n v="0.6887506825181976"/>
    <n v="0.18592"/>
    <n v="0.26993802651525906"/>
    <n v="3.27"/>
    <n v="5.6856269113149845E-2"/>
    <n v="3.27"/>
    <n v="0"/>
    <n v="46296000"/>
    <n v="9.5645412130637597E-2"/>
  </r>
  <r>
    <x v="25"/>
    <x v="3"/>
    <x v="55"/>
    <n v="73646388"/>
    <n v="0.62862553422171907"/>
    <n v="0.16084999999999999"/>
    <n v="0.25587570221617417"/>
    <n v="3.27"/>
    <n v="4.9189602446483176E-2"/>
    <n v="3.27"/>
    <n v="0"/>
    <n v="0"/>
    <s v=""/>
  </r>
  <r>
    <x v="26"/>
    <x v="0"/>
    <x v="52"/>
    <n v="73646388"/>
    <n v="0.85753017513907126"/>
    <n v="0.49564999999999998"/>
    <n v="0.57799715318427969"/>
    <n v="5.97"/>
    <n v="8.302345058626466E-2"/>
    <n v="5.97"/>
    <n v="0"/>
    <n v="56638000"/>
    <n v="0.11504643525548208"/>
  </r>
  <r>
    <x v="26"/>
    <x v="1"/>
    <x v="53"/>
    <n v="73646388"/>
    <n v="0.76905333089791184"/>
    <n v="0.45779999999999998"/>
    <n v="0.59527731251809735"/>
    <n v="5.97"/>
    <n v="7.6683417085427141E-2"/>
    <n v="5.97"/>
    <n v="0"/>
    <n v="50724000"/>
    <n v="0.11659175143916101"/>
  </r>
  <r>
    <x v="26"/>
    <x v="2"/>
    <x v="54"/>
    <n v="73646388"/>
    <n v="0.6887506825181976"/>
    <n v="0.44624000000000003"/>
    <n v="0.64789772457061756"/>
    <n v="5.97"/>
    <n v="7.4747068676716918E-2"/>
    <n v="5.97"/>
    <n v="0"/>
    <n v="46296000"/>
    <n v="9.5645412130637597E-2"/>
  </r>
  <r>
    <x v="26"/>
    <x v="3"/>
    <x v="55"/>
    <n v="73646388"/>
    <n v="0.62862553422171907"/>
    <n v="0.38367000000000001"/>
    <n v="0.61033155529548988"/>
    <n v="5.97"/>
    <n v="6.4266331658291459E-2"/>
    <n v="5.97"/>
    <n v="0"/>
    <n v="0"/>
    <s v=""/>
  </r>
  <r>
    <x v="27"/>
    <x v="0"/>
    <x v="52"/>
    <n v="73646388"/>
    <n v="0.85753017513907126"/>
    <n v="0.28913"/>
    <n v="0.33716597780726482"/>
    <n v="3.6"/>
    <n v="8.0313888888888893E-2"/>
    <n v="3.6"/>
    <n v="0"/>
    <n v="56638000"/>
    <n v="0.11504643525548208"/>
  </r>
  <r>
    <x v="27"/>
    <x v="1"/>
    <x v="53"/>
    <n v="73646388"/>
    <n v="0.76905333089791184"/>
    <n v="0.26712000000000002"/>
    <n v="0.34733611996468805"/>
    <n v="3.6"/>
    <n v="7.4200000000000002E-2"/>
    <n v="3.6"/>
    <n v="0"/>
    <n v="50724000"/>
    <n v="0.11659175143916101"/>
  </r>
  <r>
    <x v="27"/>
    <x v="2"/>
    <x v="54"/>
    <n v="73646388"/>
    <n v="0.6887506825181976"/>
    <n v="0.26029999999999998"/>
    <n v="0.37793065997161107"/>
    <n v="3.6"/>
    <n v="7.2305555555555553E-2"/>
    <n v="3.6"/>
    <n v="0"/>
    <n v="46296000"/>
    <n v="9.5645412130637597E-2"/>
  </r>
  <r>
    <x v="27"/>
    <x v="3"/>
    <x v="55"/>
    <n v="73646388"/>
    <n v="0.62862553422171907"/>
    <n v="0.22452"/>
    <n v="0.35716016575427684"/>
    <n v="3.6"/>
    <n v="6.2366666666666667E-2"/>
    <n v="3.6"/>
    <n v="0"/>
    <n v="0"/>
    <s v=""/>
  </r>
  <r>
    <x v="28"/>
    <x v="0"/>
    <x v="52"/>
    <n v="73646388"/>
    <n v="0.85753017513907126"/>
    <n v="0.20652000000000001"/>
    <n v="0.24083117537701496"/>
    <n v="3.81"/>
    <n v="5.4204724409448818E-2"/>
    <n v="3.81"/>
    <n v="0"/>
    <n v="56638000"/>
    <n v="0.11504643525548208"/>
  </r>
  <r>
    <x v="28"/>
    <x v="1"/>
    <x v="53"/>
    <n v="73646388"/>
    <n v="0.76905333089791184"/>
    <n v="0.19086"/>
    <n v="0.24817524654260389"/>
    <n v="3.81"/>
    <n v="5.0094488188976376E-2"/>
    <n v="3.81"/>
    <n v="0"/>
    <n v="50724000"/>
    <n v="0.11659175143916101"/>
  </r>
  <r>
    <x v="28"/>
    <x v="2"/>
    <x v="54"/>
    <n v="73646388"/>
    <n v="0.6887506825181976"/>
    <n v="0.18592"/>
    <n v="0.26993802651525906"/>
    <n v="3.81"/>
    <n v="4.8797900262467192E-2"/>
    <n v="3.81"/>
    <n v="0"/>
    <n v="46296000"/>
    <n v="9.5645412130637597E-2"/>
  </r>
  <r>
    <x v="28"/>
    <x v="3"/>
    <x v="55"/>
    <n v="73646388"/>
    <n v="0.62862553422171907"/>
    <n v="0.16084999999999999"/>
    <n v="0.25587570221617417"/>
    <n v="3.81"/>
    <n v="4.2217847769028871E-2"/>
    <n v="3.81"/>
    <n v="0"/>
    <n v="0"/>
    <s v=""/>
  </r>
  <r>
    <x v="29"/>
    <x v="0"/>
    <x v="56"/>
    <n v="90224492"/>
    <n v="0.73358129852368692"/>
    <n v="7.9699999999999993E-2"/>
    <n v="0.10864508154773594"/>
    <n v="6.61"/>
    <n v="1.2057488653555219E-2"/>
    <n v="6.61"/>
    <n v="0"/>
    <n v="67513447"/>
    <n v="-1.9647152662787271E-2"/>
  </r>
  <r>
    <x v="29"/>
    <x v="1"/>
    <x v="57"/>
    <n v="90224492"/>
    <n v="0.74828292743393887"/>
    <n v="9.9199999999999997E-2"/>
    <n v="0.13257017681825667"/>
    <n v="6.61"/>
    <n v="1.5007564296520422E-2"/>
    <n v="6.61"/>
    <n v="0"/>
    <n v="82086317"/>
    <n v="-0.17753104941960063"/>
  </r>
  <r>
    <x v="29"/>
    <x v="2"/>
    <x v="58"/>
    <n v="90224492"/>
    <n v="0.90980082215370084"/>
    <n v="0.1905"/>
    <n v="0.20938648917577821"/>
    <n v="6.61"/>
    <n v="2.8819969742813919E-2"/>
    <n v="6.61"/>
    <n v="0"/>
    <n v="76789552"/>
    <n v="6.8977678109126028E-2"/>
  </r>
  <r>
    <x v="29"/>
    <x v="3"/>
    <x v="59"/>
    <n v="90224492"/>
    <n v="0.85109431261746538"/>
    <n v="0.1767"/>
    <n v="0.20761506378367722"/>
    <n v="6.61"/>
    <n v="2.6732223903177001E-2"/>
    <n v="6.61"/>
    <n v="0"/>
    <n v="0"/>
    <s v=""/>
  </r>
  <r>
    <x v="30"/>
    <x v="0"/>
    <x v="56"/>
    <n v="90224492"/>
    <n v="0.73358129852368692"/>
    <n v="0.39119999999999999"/>
    <n v="0.53327422712012928"/>
    <n v="5.64"/>
    <n v="6.9361702127659575E-2"/>
    <n v="5.64"/>
    <n v="0"/>
    <n v="67513447"/>
    <n v="-1.9647152662787271E-2"/>
  </r>
  <r>
    <x v="30"/>
    <x v="1"/>
    <x v="57"/>
    <n v="90224492"/>
    <n v="0.74828292743393887"/>
    <n v="0.37240000000000001"/>
    <n v="0.49767272023305226"/>
    <n v="5.64"/>
    <n v="6.6028368794326248E-2"/>
    <n v="5.64"/>
    <n v="0"/>
    <n v="82086317"/>
    <n v="-0.17753104941960063"/>
  </r>
  <r>
    <x v="30"/>
    <x v="2"/>
    <x v="58"/>
    <n v="90224492"/>
    <n v="0.90980082215370084"/>
    <n v="0.34889999999999999"/>
    <n v="0.3834905305691812"/>
    <n v="5.64"/>
    <n v="6.1861702127659575E-2"/>
    <n v="5.64"/>
    <n v="0"/>
    <n v="76789552"/>
    <n v="6.8977678109126028E-2"/>
  </r>
  <r>
    <x v="30"/>
    <x v="3"/>
    <x v="59"/>
    <n v="90224492"/>
    <n v="0.85109431261746538"/>
    <n v="0.3286"/>
    <n v="0.38609117124683834"/>
    <n v="5.64"/>
    <n v="5.8262411347517737E-2"/>
    <n v="5.64"/>
    <n v="0"/>
    <n v="0"/>
    <s v=""/>
  </r>
  <r>
    <x v="31"/>
    <x v="0"/>
    <x v="60"/>
    <n v="797265348"/>
    <n v="-0.91706360367238737"/>
    <n v="0"/>
    <s v=""/>
    <n v="16"/>
    <s v=""/>
    <n v="0"/>
    <n v="16"/>
    <n v="-525142000"/>
    <n v="0"/>
  </r>
  <r>
    <x v="31"/>
    <x v="1"/>
    <x v="61"/>
    <n v="797265348"/>
    <n v="-0.65867907255389713"/>
    <n v="0"/>
    <s v=""/>
    <n v="16"/>
    <s v=""/>
    <n v="0"/>
    <n v="16"/>
    <n v="1895309000"/>
    <n v="0"/>
  </r>
  <r>
    <x v="31"/>
    <x v="2"/>
    <x v="62"/>
    <n v="797265348"/>
    <n v="2.3772624820011616"/>
    <n v="0.83324714"/>
    <n v="0.35050699967240423"/>
    <n v="16"/>
    <n v="5.207794625E-2"/>
    <n v="0"/>
    <n v="16"/>
    <n v="398491000"/>
    <n v="3.7562153223033894"/>
  </r>
  <r>
    <x v="31"/>
    <x v="3"/>
    <x v="63"/>
    <n v="797265348"/>
    <n v="0.49982230006564893"/>
    <n v="0"/>
    <s v=""/>
    <n v="16"/>
    <s v=""/>
    <n v="0"/>
    <n v="16"/>
    <n v="0"/>
    <s v=""/>
  </r>
  <r>
    <x v="32"/>
    <x v="0"/>
    <x v="60"/>
    <n v="797265348"/>
    <n v="-0.91706360367238737"/>
    <n v="0"/>
    <s v=""/>
    <n v="20.170000000000002"/>
    <s v=""/>
    <n v="0"/>
    <n v="20.170000000000002"/>
    <n v="-525142000"/>
    <n v="0"/>
  </r>
  <r>
    <x v="32"/>
    <x v="1"/>
    <x v="61"/>
    <n v="797265348"/>
    <n v="-0.65867907255389713"/>
    <n v="0"/>
    <s v=""/>
    <n v="20.170000000000002"/>
    <s v=""/>
    <n v="0"/>
    <n v="20.170000000000002"/>
    <n v="1895309000"/>
    <n v="0"/>
  </r>
  <r>
    <x v="32"/>
    <x v="2"/>
    <x v="62"/>
    <n v="797265348"/>
    <n v="2.3772624820011616"/>
    <n v="0.83324714"/>
    <n v="0.35050699967240423"/>
    <n v="20.170000000000002"/>
    <n v="4.1311211700545358E-2"/>
    <n v="0"/>
    <n v="20.170000000000002"/>
    <n v="398491000"/>
    <n v="3.7562153223033894"/>
  </r>
  <r>
    <x v="32"/>
    <x v="3"/>
    <x v="63"/>
    <n v="797265348"/>
    <n v="0.49982230006564893"/>
    <n v="0"/>
    <s v=""/>
    <n v="20.170000000000002"/>
    <s v=""/>
    <n v="0"/>
    <n v="20.170000000000002"/>
    <n v="0"/>
    <s v=""/>
  </r>
  <r>
    <x v="33"/>
    <x v="0"/>
    <x v="60"/>
    <n v="797265348"/>
    <n v="-0.91706360367238737"/>
    <n v="0"/>
    <s v=""/>
    <n v="10.5"/>
    <s v=""/>
    <n v="0"/>
    <n v="10.5"/>
    <n v="-525142000"/>
    <n v="0"/>
  </r>
  <r>
    <x v="33"/>
    <x v="1"/>
    <x v="61"/>
    <n v="797265348"/>
    <n v="-0.65867907255389713"/>
    <n v="0"/>
    <s v=""/>
    <n v="10.5"/>
    <s v=""/>
    <n v="0"/>
    <n v="10.5"/>
    <n v="1895309000"/>
    <n v="0"/>
  </r>
  <r>
    <x v="33"/>
    <x v="2"/>
    <x v="62"/>
    <n v="797265348"/>
    <n v="2.3772624820011616"/>
    <n v="0.60198830400000003"/>
    <n v="0.25322752895727813"/>
    <n v="10.5"/>
    <n v="5.7332219428571432E-2"/>
    <n v="0"/>
    <n v="10.5"/>
    <n v="398491000"/>
    <n v="3.7562153223033894"/>
  </r>
  <r>
    <x v="33"/>
    <x v="3"/>
    <x v="63"/>
    <n v="797265348"/>
    <n v="0.49982230006564893"/>
    <n v="0"/>
    <s v=""/>
    <n v="10.5"/>
    <s v=""/>
    <n v="0"/>
    <n v="10.5"/>
    <n v="0"/>
    <s v=""/>
  </r>
  <r>
    <x v="34"/>
    <x v="0"/>
    <x v="64"/>
    <n v="457066306"/>
    <n v="3.8112531668654657"/>
    <n v="0.47533848406620999"/>
    <n v="0.12471973475778002"/>
    <n v="17.14"/>
    <n v="2.7732700353921235E-2"/>
    <n v="0"/>
    <n v="17.14"/>
    <n v="478868368.80000001"/>
    <n v="2.637733288952202"/>
  </r>
  <r>
    <x v="34"/>
    <x v="1"/>
    <x v="65"/>
    <n v="457066306"/>
    <n v="1.0477000000083139"/>
    <n v="0.15065705026321699"/>
    <n v="0.14379789086763528"/>
    <n v="17.14"/>
    <n v="8.7897928975039074E-3"/>
    <n v="0"/>
    <n v="17.14"/>
    <n v="562602916.05999994"/>
    <n v="-0.14883418636790335"/>
  </r>
  <r>
    <x v="34"/>
    <x v="2"/>
    <x v="66"/>
    <n v="457066306"/>
    <n v="1.2309000000100641"/>
    <n v="0.16521896199328401"/>
    <n v="0.13422614509052982"/>
    <n v="17.14"/>
    <n v="9.6393793461659275E-3"/>
    <n v="0"/>
    <n v="17.14"/>
    <n v="2228426774.9000001"/>
    <n v="-0.74753358629643707"/>
  </r>
  <r>
    <x v="34"/>
    <x v="3"/>
    <x v="67"/>
    <n v="457066306"/>
    <n v="4.875499999993437"/>
    <n v="0.24224801190112999"/>
    <n v="4.968680379478127E-2"/>
    <n v="17.14"/>
    <n v="1.4133489609167443E-2"/>
    <n v="0"/>
    <n v="17.14"/>
    <n v="0"/>
    <s v=""/>
  </r>
  <r>
    <x v="35"/>
    <x v="0"/>
    <x v="68"/>
    <n v="312653445"/>
    <n v="3.8905678694824557"/>
    <n v="0.51"/>
    <n v="0.13108626223961567"/>
    <n v="18"/>
    <n v="2.8333333333333335E-2"/>
    <n v="0"/>
    <n v="18"/>
    <n v="335408130.56999999"/>
    <n v="2.6266248088047957"/>
  </r>
  <r>
    <x v="35"/>
    <x v="1"/>
    <x v="69"/>
    <n v="312653445"/>
    <n v="1.072779257461884"/>
    <n v="0.19"/>
    <n v="0.17711006125297937"/>
    <n v="18"/>
    <n v="1.0555555555555556E-2"/>
    <n v="0"/>
    <n v="18"/>
    <n v="813367859.21000004"/>
    <n v="-0.58763045924168689"/>
  </r>
  <r>
    <x v="35"/>
    <x v="2"/>
    <x v="70"/>
    <n v="312653445"/>
    <n v="2.6014997506584328"/>
    <n v="0.11"/>
    <n v="4.2283302149907678E-2"/>
    <n v="18"/>
    <n v="6.1111111111111114E-3"/>
    <n v="0"/>
    <n v="18"/>
    <n v="0"/>
    <s v=""/>
  </r>
  <r>
    <x v="36"/>
    <x v="0"/>
    <x v="71"/>
    <n v="408974477"/>
    <n v="2.0015683486038176"/>
    <n v="0.79800700000000002"/>
    <n v="0.39869085687563216"/>
    <n v="12.2"/>
    <n v="6.5410409836065581E-2"/>
    <n v="12.2"/>
    <n v="0"/>
    <n v="904348943.24000001"/>
    <n v="-9.4829076023192793E-2"/>
  </r>
  <r>
    <x v="36"/>
    <x v="1"/>
    <x v="72"/>
    <n v="408974477"/>
    <n v="2.2112601008106432"/>
    <n v="0.840279"/>
    <n v="0.38000007312208794"/>
    <n v="12.2"/>
    <n v="6.8875327868852462E-2"/>
    <n v="12.2"/>
    <n v="0"/>
    <n v="0"/>
    <s v=""/>
  </r>
  <r>
    <x v="37"/>
    <x v="0"/>
    <x v="71"/>
    <n v="408974477"/>
    <n v="2.0015683486038176"/>
    <n v="0.82645999999999997"/>
    <n v="0.41290620956136337"/>
    <n v="15.72"/>
    <n v="5.2573791348600504E-2"/>
    <n v="15.72"/>
    <n v="0"/>
    <n v="904348943.24000001"/>
    <n v="-9.4829076023192793E-2"/>
  </r>
  <r>
    <x v="37"/>
    <x v="1"/>
    <x v="72"/>
    <n v="408974477"/>
    <n v="2.2112601008106432"/>
    <n v="0.82327300000000003"/>
    <n v="0.37230943555585794"/>
    <n v="15.72"/>
    <n v="5.2371055979643769E-2"/>
    <n v="15.72"/>
    <n v="0"/>
    <n v="0"/>
    <s v=""/>
  </r>
  <r>
    <x v="38"/>
    <x v="0"/>
    <x v="71"/>
    <n v="408974477"/>
    <n v="2.0015683486038176"/>
    <n v="0.79800700000000002"/>
    <n v="0.39869085687563216"/>
    <n v="11.85"/>
    <n v="6.7342362869198313E-2"/>
    <n v="11.85"/>
    <n v="0"/>
    <n v="904348943.24000001"/>
    <n v="-9.4829076023192793E-2"/>
  </r>
  <r>
    <x v="38"/>
    <x v="1"/>
    <x v="72"/>
    <n v="408974477"/>
    <n v="2.2112601008106432"/>
    <n v="0.84058699999999997"/>
    <n v="0.3801393602190184"/>
    <n v="11.85"/>
    <n v="7.0935611814345989E-2"/>
    <n v="11.85"/>
    <n v="0"/>
    <n v="0"/>
    <s v=""/>
  </r>
  <r>
    <x v="39"/>
    <x v="0"/>
    <x v="73"/>
    <n v="36304650"/>
    <n v="5.9328156004809296"/>
    <n v="1.375"/>
    <n v="0.23176179618468826"/>
    <n v="27.5"/>
    <n v="0.05"/>
    <n v="27.5"/>
    <n v="0"/>
    <n v="96039575.989999995"/>
    <n v="1.2427087132540766"/>
  </r>
  <r>
    <x v="39"/>
    <x v="1"/>
    <x v="74"/>
    <n v="36304650"/>
    <n v="2.6453794759073559"/>
    <n v="0.59060447900000002"/>
    <n v="0.22325888757318069"/>
    <n v="27.5"/>
    <n v="2.1476526509090911E-2"/>
    <n v="27.5"/>
    <n v="0"/>
    <n v="196040834.49000001"/>
    <n v="-0.51010422782658094"/>
  </r>
  <r>
    <x v="39"/>
    <x v="2"/>
    <x v="75"/>
    <n v="36304650"/>
    <n v="5.3998822324412989"/>
    <n v="0.52209249599999996"/>
    <n v="9.6685904159795125E-2"/>
    <n v="27.5"/>
    <n v="1.898518167272727E-2"/>
    <n v="27.5"/>
    <n v="0"/>
    <n v="190454809.5"/>
    <n v="2.9329923485077458E-2"/>
  </r>
  <r>
    <x v="39"/>
    <x v="3"/>
    <x v="76"/>
    <n v="36304650"/>
    <n v="5.2460169565055716"/>
    <n v="0.18859646699999999"/>
    <n v="3.5950411247932017E-2"/>
    <n v="27.5"/>
    <n v="6.8580533454545454E-3"/>
    <n v="27.5"/>
    <n v="0"/>
    <n v="0"/>
    <s v=""/>
  </r>
  <r>
    <x v="40"/>
    <x v="0"/>
    <x v="73"/>
    <n v="36304650"/>
    <n v="5.9328156004809296"/>
    <n v="1.5129999999999999"/>
    <n v="0.2550222528199515"/>
    <n v="29.99"/>
    <n v="5.0450150050016671E-2"/>
    <n v="29.99"/>
    <n v="0"/>
    <n v="96039575.989999995"/>
    <n v="1.2427087132540766"/>
  </r>
  <r>
    <x v="40"/>
    <x v="1"/>
    <x v="74"/>
    <n v="36304650"/>
    <n v="2.6453794759073559"/>
    <n v="0.649664927"/>
    <n v="0.24558477636830051"/>
    <n v="29.99"/>
    <n v="2.1662718472824277E-2"/>
    <n v="29.99"/>
    <n v="0"/>
    <n v="196040834.49000001"/>
    <n v="-0.51010422782658094"/>
  </r>
  <r>
    <x v="40"/>
    <x v="2"/>
    <x v="75"/>
    <n v="36304650"/>
    <n v="5.3998822324412989"/>
    <n v="1.954906128"/>
    <n v="0.3620275487223325"/>
    <n v="29.99"/>
    <n v="6.5185266022007332E-2"/>
    <n v="29.99"/>
    <n v="0"/>
    <n v="190454809.5"/>
    <n v="2.9329923485077458E-2"/>
  </r>
  <r>
    <x v="40"/>
    <x v="3"/>
    <x v="76"/>
    <n v="36304650"/>
    <n v="5.2460169565055716"/>
    <n v="1.4895923250000001"/>
    <n v="0.28394729512888067"/>
    <n v="29.99"/>
    <n v="4.9669634044681568E-2"/>
    <n v="29.99"/>
    <n v="0"/>
    <n v="0"/>
    <s v=""/>
  </r>
  <r>
    <x v="41"/>
    <x v="0"/>
    <x v="77"/>
    <n v="715094432"/>
    <n v="2.995132363161793E-2"/>
    <n v="7.6962999999999997E-3"/>
    <n v="0.25696026308084252"/>
    <n v="4.12"/>
    <n v="1.8680339805825241E-3"/>
    <n v="4.12"/>
    <n v="0"/>
    <n v="7903625"/>
    <n v="1.7098989084122795"/>
  </r>
  <r>
    <x v="41"/>
    <x v="1"/>
    <x v="78"/>
    <n v="715094432"/>
    <n v="1.1052561237115044E-2"/>
    <n v="3.2377399999999998E-3"/>
    <n v="0.29294024530056523"/>
    <n v="4.12"/>
    <n v="7.8585922330097078E-4"/>
    <n v="4.12"/>
    <n v="0"/>
    <n v="-11477601"/>
    <n v="-1.688612977572578"/>
  </r>
  <r>
    <x v="41"/>
    <x v="2"/>
    <x v="79"/>
    <n v="715094432"/>
    <n v="-1.6050468981976356E-2"/>
    <n v="0"/>
    <s v=""/>
    <n v="4.12"/>
    <s v=""/>
    <n v="4.12"/>
    <n v="0"/>
    <n v="32515448"/>
    <n v="0"/>
  </r>
  <r>
    <x v="41"/>
    <x v="3"/>
    <x v="80"/>
    <n v="715094432"/>
    <n v="4.5470145682801236E-2"/>
    <n v="1.1338000000000001E-2"/>
    <n v="0.24935042168313351"/>
    <n v="4.12"/>
    <n v="2.7519417475728157E-3"/>
    <n v="4.12"/>
    <n v="0"/>
    <n v="0"/>
    <s v=""/>
  </r>
  <r>
    <x v="42"/>
    <x v="0"/>
    <x v="81"/>
    <n v="83000000"/>
    <n v="1.8438067589156628"/>
    <n v="0.87951522900000001"/>
    <n v="0.47701052442027075"/>
    <n v="20.6"/>
    <n v="4.2694914029126209E-2"/>
    <n v="0"/>
    <n v="20.6"/>
    <n v="113733898.18000001"/>
    <n v="0.34556155586788129"/>
  </r>
  <r>
    <x v="42"/>
    <x v="1"/>
    <x v="82"/>
    <n v="83000000"/>
    <n v="1.3702879298795181"/>
    <n v="0"/>
    <s v=""/>
    <n v="20.6"/>
    <s v=""/>
    <n v="0"/>
    <n v="20.6"/>
    <n v="93892304.709999993"/>
    <n v="0.21132289308781638"/>
  </r>
  <r>
    <x v="42"/>
    <x v="2"/>
    <x v="83"/>
    <n v="83000000"/>
    <n v="1.1312325868674697"/>
    <n v="0"/>
    <s v=""/>
    <n v="20.6"/>
    <s v=""/>
    <n v="0"/>
    <n v="20.6"/>
    <n v="0"/>
    <s v=""/>
  </r>
  <r>
    <x v="43"/>
    <x v="0"/>
    <x v="84"/>
    <n v="9183458"/>
    <n v="6.0432771653118031"/>
    <n v="2.4664000000000001"/>
    <n v="0.40812293272879302"/>
    <n v="16.510000000000002"/>
    <n v="0.14938824954572985"/>
    <n v="16.510000000000002"/>
    <n v="0"/>
    <n v="26190000"/>
    <n v="1.1190600240549831"/>
  </r>
  <r>
    <x v="43"/>
    <x v="1"/>
    <x v="85"/>
    <n v="9183458"/>
    <n v="2.8518669111352173"/>
    <n v="0"/>
    <s v=""/>
    <n v="16.510000000000002"/>
    <s v=""/>
    <n v="16.510000000000002"/>
    <n v="0"/>
    <n v="2049000"/>
    <n v="11.781844802342606"/>
  </r>
  <r>
    <x v="43"/>
    <x v="2"/>
    <x v="86"/>
    <n v="9183458"/>
    <n v="0.22311856819076212"/>
    <n v="0"/>
    <s v=""/>
    <n v="16.510000000000002"/>
    <s v=""/>
    <n v="16.510000000000002"/>
    <n v="0"/>
    <n v="48919970.259999998"/>
    <n v="-0.9581152648067861"/>
  </r>
  <r>
    <x v="43"/>
    <x v="3"/>
    <x v="87"/>
    <n v="9183458"/>
    <n v="5.3269661885533743"/>
    <n v="2.8779460000000001"/>
    <n v="0.540259858638516"/>
    <n v="16.510000000000002"/>
    <n v="0.1743153240460327"/>
    <n v="16.510000000000002"/>
    <n v="0"/>
    <n v="0"/>
    <s v=""/>
  </r>
  <r>
    <x v="44"/>
    <x v="0"/>
    <x v="84"/>
    <n v="9183458"/>
    <n v="6.0432771653118031"/>
    <n v="4.5993199999999996"/>
    <n v="0.76106388540309444"/>
    <n v="24"/>
    <n v="0.19163833333333333"/>
    <n v="24"/>
    <n v="0"/>
    <n v="26190000"/>
    <n v="1.1190600240549831"/>
  </r>
  <r>
    <x v="44"/>
    <x v="1"/>
    <x v="85"/>
    <n v="9183458"/>
    <n v="2.8518669111352173"/>
    <n v="0"/>
    <s v=""/>
    <n v="24"/>
    <s v=""/>
    <n v="24"/>
    <n v="0"/>
    <n v="2049000"/>
    <n v="11.781844802342606"/>
  </r>
  <r>
    <x v="44"/>
    <x v="2"/>
    <x v="86"/>
    <n v="9183458"/>
    <n v="0.22311856819076212"/>
    <n v="0"/>
    <s v=""/>
    <n v="24"/>
    <s v=""/>
    <n v="24"/>
    <n v="0"/>
    <n v="48919970.259999998"/>
    <n v="-0.9581152648067861"/>
  </r>
  <r>
    <x v="44"/>
    <x v="3"/>
    <x v="87"/>
    <n v="9183458"/>
    <n v="5.3269661885533743"/>
    <n v="0"/>
    <s v=""/>
    <n v="24"/>
    <s v=""/>
    <n v="24"/>
    <n v="0"/>
    <n v="0"/>
    <s v=""/>
  </r>
  <r>
    <x v="45"/>
    <x v="0"/>
    <x v="84"/>
    <n v="9183458"/>
    <n v="6.0432771653118031"/>
    <n v="3.7692600000000001"/>
    <n v="0.62371125746729261"/>
    <n v="17.079999999999998"/>
    <n v="0.22068266978922718"/>
    <n v="17.079999999999998"/>
    <n v="0"/>
    <n v="26190000"/>
    <n v="1.1190600240549831"/>
  </r>
  <r>
    <x v="45"/>
    <x v="1"/>
    <x v="85"/>
    <n v="9183458"/>
    <n v="2.8518669111352173"/>
    <n v="0"/>
    <s v=""/>
    <n v="17.079999999999998"/>
    <s v=""/>
    <n v="17.079999999999998"/>
    <n v="0"/>
    <n v="2049000"/>
    <n v="11.781844802342606"/>
  </r>
  <r>
    <x v="45"/>
    <x v="2"/>
    <x v="86"/>
    <n v="9183458"/>
    <n v="0.22311856819076212"/>
    <n v="0"/>
    <s v=""/>
    <n v="17.079999999999998"/>
    <s v=""/>
    <n v="17.079999999999998"/>
    <n v="0"/>
    <n v="48919970.259999998"/>
    <n v="-0.9581152648067861"/>
  </r>
  <r>
    <x v="45"/>
    <x v="3"/>
    <x v="87"/>
    <n v="9183458"/>
    <n v="5.3269661885533743"/>
    <n v="4.3982070000000002"/>
    <n v="0.82564950561370198"/>
    <n v="17.079999999999998"/>
    <n v="0.25750626463700238"/>
    <n v="17.079999999999998"/>
    <n v="0"/>
    <n v="0"/>
    <s v=""/>
  </r>
  <r>
    <x v="46"/>
    <x v="0"/>
    <x v="88"/>
    <n v="188177338"/>
    <n v="4.2805229052607805"/>
    <n v="2.3192654978"/>
    <n v="0.54181826592952298"/>
    <n v="31.98"/>
    <n v="7.2522373289555978E-2"/>
    <n v="31.98"/>
    <n v="0"/>
    <n v="750490000"/>
    <n v="7.3295321136857217E-2"/>
  </r>
  <r>
    <x v="46"/>
    <x v="1"/>
    <x v="89"/>
    <n v="188177338"/>
    <n v="3.988206061242082"/>
    <n v="4.4176596381"/>
    <n v="1.1076808896690182"/>
    <n v="31.98"/>
    <n v="0.13813820006566604"/>
    <n v="31.98"/>
    <n v="0"/>
    <n v="945719000"/>
    <n v="-0.20643446943542432"/>
  </r>
  <r>
    <x v="46"/>
    <x v="2"/>
    <x v="90"/>
    <n v="188177338"/>
    <n v="5.0256795534008454"/>
    <n v="3.6718683019"/>
    <n v="0.73062125487393448"/>
    <n v="31.98"/>
    <n v="0.11481764546278925"/>
    <n v="31.98"/>
    <n v="0"/>
    <n v="887625000"/>
    <n v="6.5448810026756732E-2"/>
  </r>
  <r>
    <x v="46"/>
    <x v="3"/>
    <x v="91"/>
    <n v="188177338"/>
    <n v="4.7169601261975549"/>
    <n v="3.24332932"/>
    <n v="0.68758887784250122"/>
    <n v="31.98"/>
    <n v="0.10141742714196372"/>
    <n v="31.98"/>
    <n v="0"/>
    <n v="0"/>
    <s v=""/>
  </r>
  <r>
    <x v="47"/>
    <x v="0"/>
    <x v="88"/>
    <n v="188177338"/>
    <n v="4.2805229052607805"/>
    <n v="2.3192654978"/>
    <n v="0.54181826592952298"/>
    <n v="32.01"/>
    <n v="7.2454404804748518E-2"/>
    <n v="32.01"/>
    <n v="0"/>
    <n v="750490000"/>
    <n v="7.3295321136857217E-2"/>
  </r>
  <r>
    <x v="47"/>
    <x v="1"/>
    <x v="89"/>
    <n v="188177338"/>
    <n v="3.988206061242082"/>
    <n v="4.4176596381"/>
    <n v="1.1076808896690182"/>
    <n v="32.01"/>
    <n v="0.13800873596063731"/>
    <n v="32.01"/>
    <n v="0"/>
    <n v="945719000"/>
    <n v="-0.20643446943542432"/>
  </r>
  <r>
    <x v="47"/>
    <x v="2"/>
    <x v="90"/>
    <n v="188177338"/>
    <n v="5.0256795534008454"/>
    <n v="3.6718683019"/>
    <n v="0.73062125487393448"/>
    <n v="32.01"/>
    <n v="0.11471003754764136"/>
    <n v="32.01"/>
    <n v="0"/>
    <n v="887625000"/>
    <n v="6.5448810026756732E-2"/>
  </r>
  <r>
    <x v="47"/>
    <x v="3"/>
    <x v="91"/>
    <n v="188177338"/>
    <n v="4.7169601261975549"/>
    <n v="3.24332932"/>
    <n v="0.68758887784250122"/>
    <n v="32.01"/>
    <n v="0.10132237800687285"/>
    <n v="32.01"/>
    <n v="0"/>
    <n v="0"/>
    <s v=""/>
  </r>
  <r>
    <x v="48"/>
    <x v="0"/>
    <x v="92"/>
    <n v="74612388"/>
    <n v="0.20276096738788202"/>
    <n v="0.20233950000000001"/>
    <n v="0.99792135836935647"/>
    <n v="18"/>
    <n v="1.1241083333333334E-2"/>
    <n v="18"/>
    <n v="0"/>
    <n v="283416000"/>
    <n v="-0.94662093893781574"/>
  </r>
  <r>
    <x v="48"/>
    <x v="1"/>
    <x v="93"/>
    <n v="74612388"/>
    <n v="3.7985113142337705"/>
    <n v="3.2507519999999999"/>
    <n v="0.85579631889440255"/>
    <n v="18"/>
    <n v="0.18059733333333333"/>
    <n v="18"/>
    <n v="0"/>
    <n v="1035240000"/>
    <n v="-0.72623159846992003"/>
  </r>
  <r>
    <x v="48"/>
    <x v="2"/>
    <x v="94"/>
    <n v="74612388"/>
    <n v="6.0082650082182063"/>
    <n v="3.3315596300000001"/>
    <n v="0.55449611916968322"/>
    <n v="18"/>
    <n v="0.18508664611111111"/>
    <n v="18"/>
    <n v="0"/>
    <n v="0"/>
    <s v=""/>
  </r>
  <r>
    <x v="48"/>
    <x v="2"/>
    <x v="95"/>
    <n v="74612388"/>
    <n v="7.866642734983901"/>
    <n v="4.429843"/>
    <n v="0.56311734868801888"/>
    <n v="18"/>
    <n v="0.24610238888888888"/>
    <n v="18"/>
    <n v="0"/>
    <n v="0"/>
    <s v=""/>
  </r>
  <r>
    <x v="49"/>
    <x v="0"/>
    <x v="92"/>
    <n v="74612388"/>
    <n v="0.20276096738788202"/>
    <n v="0.22263450000000001"/>
    <n v="1.0980145876602565"/>
    <n v="21.51"/>
    <n v="1.0350278940027893E-2"/>
    <n v="21.51"/>
    <n v="0"/>
    <n v="283416000"/>
    <n v="-0.94662093893781574"/>
  </r>
  <r>
    <x v="49"/>
    <x v="1"/>
    <x v="93"/>
    <n v="74612388"/>
    <n v="3.7985113142337705"/>
    <n v="3.5758272"/>
    <n v="0.94137595078384284"/>
    <n v="21.51"/>
    <n v="0.1662402231520223"/>
    <n v="21.51"/>
    <n v="0"/>
    <n v="1035240000"/>
    <n v="-0.72623159846992003"/>
  </r>
  <r>
    <x v="49"/>
    <x v="2"/>
    <x v="94"/>
    <n v="74612388"/>
    <n v="6.0082650082182063"/>
    <n v="3.6647560000000001"/>
    <n v="0.60995245632262973"/>
    <n v="21.51"/>
    <n v="0.17037452347745233"/>
    <n v="21.51"/>
    <n v="0"/>
    <n v="0"/>
    <s v=""/>
  </r>
  <r>
    <x v="49"/>
    <x v="2"/>
    <x v="95"/>
    <n v="74612388"/>
    <n v="7.866642734983901"/>
    <n v="4.8728273"/>
    <n v="0.6194290835568208"/>
    <n v="21.51"/>
    <n v="0.22653776383077637"/>
    <n v="21.51"/>
    <n v="0"/>
    <n v="0"/>
    <s v=""/>
  </r>
  <r>
    <x v="50"/>
    <x v="0"/>
    <x v="96"/>
    <n v="327502673"/>
    <n v="0.4518497471927504"/>
    <n v="1.1599999999999999"/>
    <n v="2.5672250725088186"/>
    <n v="19.399999999999999"/>
    <n v="5.9793814432989693E-2"/>
    <n v="19.399999999999999"/>
    <n v="0"/>
    <n v="108581000"/>
    <n v="0.36287195734060296"/>
  </r>
  <r>
    <x v="50"/>
    <x v="1"/>
    <x v="97"/>
    <n v="327502673"/>
    <n v="0.33154233217510259"/>
    <n v="1.6978355000000001"/>
    <n v="5.121021767752107"/>
    <n v="19.399999999999999"/>
    <n v="8.7517293814433003E-2"/>
    <n v="19.399999999999999"/>
    <n v="0"/>
    <n v="93042000"/>
    <n v="0.16701059736463097"/>
  </r>
  <r>
    <x v="50"/>
    <x v="2"/>
    <x v="98"/>
    <n v="327502673"/>
    <n v="0.28409539118479193"/>
    <n v="0.70331069999999996"/>
    <n v="2.475614606301467"/>
    <n v="19.399999999999999"/>
    <n v="3.6253128865979381E-2"/>
    <n v="19.399999999999999"/>
    <n v="0"/>
    <n v="0"/>
    <s v=""/>
  </r>
  <r>
    <x v="51"/>
    <x v="0"/>
    <x v="96"/>
    <n v="327502673"/>
    <n v="0.4518497471927504"/>
    <n v="1.82"/>
    <n v="4.027887613763836"/>
    <n v="21.64"/>
    <n v="8.4103512014787427E-2"/>
    <n v="21.64"/>
    <n v="0"/>
    <n v="108581000"/>
    <n v="0.36287195734060296"/>
  </r>
  <r>
    <x v="51"/>
    <x v="1"/>
    <x v="97"/>
    <n v="327502673"/>
    <n v="0.33154233217510259"/>
    <n v="1.8245449413999999"/>
    <n v="5.5032035560284793"/>
    <n v="21.64"/>
    <n v="8.4313537033271713E-2"/>
    <n v="21.64"/>
    <n v="0"/>
    <n v="93042000"/>
    <n v="0.16701059736463097"/>
  </r>
  <r>
    <x v="51"/>
    <x v="2"/>
    <x v="98"/>
    <n v="327502673"/>
    <n v="0.28409539118479193"/>
    <n v="1.8245449413999999"/>
    <n v="6.4222968693399576"/>
    <n v="21.64"/>
    <n v="8.4313537033271713E-2"/>
    <n v="21.64"/>
    <n v="0"/>
    <n v="0"/>
    <s v=""/>
  </r>
  <r>
    <x v="52"/>
    <x v="0"/>
    <x v="96"/>
    <n v="327502673"/>
    <n v="0.4518497471927504"/>
    <n v="1.1599999999999999"/>
    <n v="2.5672250725088186"/>
    <n v="21.47"/>
    <n v="5.4028877503493243E-2"/>
    <n v="21.47"/>
    <n v="0"/>
    <n v="108581000"/>
    <n v="0.36287195734060296"/>
  </r>
  <r>
    <x v="52"/>
    <x v="1"/>
    <x v="97"/>
    <n v="327502673"/>
    <n v="0.33154233217510259"/>
    <n v="1.4108145000000001"/>
    <n v="4.2553072808056518"/>
    <n v="21.47"/>
    <n v="6.5710968793665586E-2"/>
    <n v="21.47"/>
    <n v="0"/>
    <n v="93042000"/>
    <n v="0.16701059736463097"/>
  </r>
  <r>
    <x v="52"/>
    <x v="2"/>
    <x v="98"/>
    <n v="327502673"/>
    <n v="0.28409539118479193"/>
    <n v="0.70331069999999996"/>
    <n v="2.475614606301467"/>
    <n v="21.47"/>
    <n v="3.2757834187238009E-2"/>
    <n v="21.47"/>
    <n v="0"/>
    <n v="0"/>
    <s v=""/>
  </r>
  <r>
    <x v="53"/>
    <x v="0"/>
    <x v="99"/>
    <n v="24948000"/>
    <n v="0.47431420474587138"/>
    <n v="5.0590000000000003E-2"/>
    <n v="0.10665925560273948"/>
    <n v="7.08"/>
    <n v="7.1454802259887009E-3"/>
    <n v="0"/>
    <n v="7.08"/>
    <n v="-9978849.7799999993"/>
    <n v="-2.1858271284648998"/>
  </r>
  <r>
    <x v="53"/>
    <x v="1"/>
    <x v="100"/>
    <n v="24948000"/>
    <n v="-0.39998596200096198"/>
    <n v="0"/>
    <s v=""/>
    <n v="7.08"/>
    <s v=""/>
    <n v="0"/>
    <n v="7.08"/>
    <n v="9148149.2799999993"/>
    <n v="0"/>
  </r>
  <r>
    <x v="53"/>
    <x v="2"/>
    <x v="101"/>
    <n v="24948000"/>
    <n v="0.36668868366201696"/>
    <n v="9.9110000000000004E-2"/>
    <n v="0.27028377044586227"/>
    <n v="7.08"/>
    <n v="1.399858757062147E-2"/>
    <n v="0"/>
    <n v="7.08"/>
    <n v="8891946.6600000001"/>
    <n v="2.8812883139809564E-2"/>
  </r>
  <r>
    <x v="53"/>
    <x v="3"/>
    <x v="102"/>
    <n v="24948000"/>
    <n v="0.35641921837421836"/>
    <n v="8.3030000000000007E-2"/>
    <n v="0.23295601280631167"/>
    <n v="7.08"/>
    <n v="1.1727401129943504E-2"/>
    <n v="0"/>
    <n v="7.08"/>
    <n v="0"/>
    <s v=""/>
  </r>
  <r>
    <x v="54"/>
    <x v="0"/>
    <x v="99"/>
    <n v="24948000"/>
    <n v="0.47431420474587138"/>
    <n v="5.5649999999999998E-2"/>
    <n v="0.11732728947010183"/>
    <n v="13.08"/>
    <n v="4.2545871559633028E-3"/>
    <n v="0"/>
    <n v="13.08"/>
    <n v="-9978849.7799999993"/>
    <n v="-2.1858271284648998"/>
  </r>
  <r>
    <x v="54"/>
    <x v="1"/>
    <x v="100"/>
    <n v="24948000"/>
    <n v="-0.39998596200096198"/>
    <n v="0"/>
    <s v=""/>
    <n v="13.08"/>
    <s v=""/>
    <n v="0"/>
    <n v="13.08"/>
    <n v="9148149.2799999993"/>
    <n v="0"/>
  </r>
  <r>
    <x v="54"/>
    <x v="2"/>
    <x v="101"/>
    <n v="24948000"/>
    <n v="0.36668868366201696"/>
    <n v="0.10902000000000001"/>
    <n v="0.29730942038147418"/>
    <n v="13.08"/>
    <n v="8.3348623853211016E-3"/>
    <n v="0"/>
    <n v="13.08"/>
    <n v="8891946.6600000001"/>
    <n v="2.8812883139809564E-2"/>
  </r>
  <r>
    <x v="54"/>
    <x v="3"/>
    <x v="102"/>
    <n v="24948000"/>
    <n v="0.35641921837421836"/>
    <n v="9.1329999999999995E-2"/>
    <n v="0.25624319703240322"/>
    <n v="13.08"/>
    <n v="6.9824159021406726E-3"/>
    <n v="0"/>
    <n v="13.08"/>
    <n v="0"/>
    <s v=""/>
  </r>
  <r>
    <x v="55"/>
    <x v="0"/>
    <x v="103"/>
    <n v="38571591"/>
    <n v="-6.6983599058695811"/>
    <n v="0"/>
    <s v=""/>
    <n v="15.9"/>
    <s v=""/>
    <n v="15.9"/>
    <n v="0"/>
    <n v="323886563.73000002"/>
    <n v="0"/>
  </r>
  <r>
    <x v="55"/>
    <x v="1"/>
    <x v="104"/>
    <n v="38571591"/>
    <n v="8.3970236988668692"/>
    <n v="2.2201449599999998"/>
    <n v="0.26439665286398989"/>
    <n v="15.9"/>
    <n v="0.13963175849056603"/>
    <n v="15.9"/>
    <n v="0"/>
    <n v="259841000"/>
    <n v="0.24647982316108696"/>
  </r>
  <r>
    <x v="55"/>
    <x v="2"/>
    <x v="105"/>
    <n v="38571591"/>
    <n v="6.7365901499888867"/>
    <n v="2.09736089"/>
    <n v="0.31133865105382136"/>
    <n v="15.9"/>
    <n v="0.13190948993710691"/>
    <n v="15.9"/>
    <n v="0"/>
    <n v="120919000"/>
    <n v="1.1488847906449773"/>
  </r>
  <r>
    <x v="55"/>
    <x v="3"/>
    <x v="106"/>
    <n v="38571591"/>
    <n v="3.1349238355244409"/>
    <n v="0.97620123000000003"/>
    <n v="0.31139551747249755"/>
    <n v="15.9"/>
    <n v="6.1396303773584904E-2"/>
    <n v="15.9"/>
    <n v="0"/>
    <n v="245522000"/>
    <n v="-0.50750238267853798"/>
  </r>
  <r>
    <x v="55"/>
    <x v="4"/>
    <x v="107"/>
    <n v="38571591"/>
    <n v="6.3653583799537854"/>
    <n v="1.9821435199999999"/>
    <n v="0.31139543159773997"/>
    <n v="15.9"/>
    <n v="0.1246631144654088"/>
    <n v="15.9"/>
    <n v="0"/>
    <n v="0"/>
    <s v=""/>
  </r>
  <r>
    <x v="56"/>
    <x v="0"/>
    <x v="108"/>
    <n v="962672385"/>
    <n v="4.4373195560190499"/>
    <n v="1.4286055"/>
    <n v="0.32195235929360838"/>
    <n v="13.81"/>
    <n v="0.10344717595944967"/>
    <n v="13.81"/>
    <n v="0"/>
    <n v="2415450000"/>
    <n v="0.76848413339129351"/>
  </r>
  <r>
    <x v="56"/>
    <x v="1"/>
    <x v="109"/>
    <n v="962672385"/>
    <n v="2.5091090568677732"/>
    <n v="1.9"/>
    <n v="0.75724089983232934"/>
    <n v="13.81"/>
    <n v="0.13758146270818247"/>
    <n v="13.81"/>
    <n v="0"/>
    <n v="2257976000"/>
    <n v="6.9741219570092827E-2"/>
  </r>
  <r>
    <x v="56"/>
    <x v="2"/>
    <x v="110"/>
    <n v="962672385"/>
    <n v="2.3455290036184011"/>
    <n v="1.75"/>
    <n v="0.74610034550854398"/>
    <n v="13.81"/>
    <n v="0.12671976828385229"/>
    <n v="13.81"/>
    <n v="0"/>
    <n v="1861403000"/>
    <n v="0.21305058603644667"/>
  </r>
  <r>
    <x v="56"/>
    <x v="3"/>
    <x v="111"/>
    <n v="962672385"/>
    <n v="1.9335788883151561"/>
    <n v="1.5"/>
    <n v="0.77576353830954392"/>
    <n v="13.81"/>
    <n v="0.10861694424330195"/>
    <n v="13.81"/>
    <n v="0"/>
    <n v="0"/>
    <s v=""/>
  </r>
  <r>
    <x v="57"/>
    <x v="0"/>
    <x v="108"/>
    <n v="962672385"/>
    <n v="4.4373195560190499"/>
    <n v="1.4286055"/>
    <n v="0.32195235929360838"/>
    <n v="13.3"/>
    <n v="0.10741394736842104"/>
    <n v="13.3"/>
    <n v="0"/>
    <n v="2415450000"/>
    <n v="0.76848413339129351"/>
  </r>
  <r>
    <x v="57"/>
    <x v="1"/>
    <x v="109"/>
    <n v="962672385"/>
    <n v="2.5091090568677732"/>
    <n v="1.9"/>
    <n v="0.75724089983232934"/>
    <n v="13.3"/>
    <n v="0.14285714285714285"/>
    <n v="13.3"/>
    <n v="0"/>
    <n v="2257976000"/>
    <n v="6.9741219570092827E-2"/>
  </r>
  <r>
    <x v="57"/>
    <x v="2"/>
    <x v="110"/>
    <n v="962672385"/>
    <n v="2.3455290036184011"/>
    <n v="1.75"/>
    <n v="0.74610034550854398"/>
    <n v="13.3"/>
    <n v="0.13157894736842105"/>
    <n v="13.3"/>
    <n v="0"/>
    <n v="1861403000"/>
    <n v="0.21305058603644667"/>
  </r>
  <r>
    <x v="57"/>
    <x v="3"/>
    <x v="111"/>
    <n v="962672385"/>
    <n v="1.9335788883151561"/>
    <n v="1.5"/>
    <n v="0.77576353830954392"/>
    <n v="13.3"/>
    <n v="0.11278195488721804"/>
    <n v="13.3"/>
    <n v="0"/>
    <n v="0"/>
    <s v=""/>
  </r>
  <r>
    <x v="58"/>
    <x v="0"/>
    <x v="112"/>
    <n v="77855299"/>
    <n v="5.1377383276120998"/>
    <n v="2.7486247275000002"/>
    <n v="0.53498729445364657"/>
    <n v="48.35"/>
    <n v="5.6848494881075497E-2"/>
    <n v="48.35"/>
    <n v="0"/>
    <n v="471181647.69999999"/>
    <n v="-0.15107017509587095"/>
  </r>
  <r>
    <x v="58"/>
    <x v="1"/>
    <x v="113"/>
    <n v="77855299"/>
    <n v="6.0520177014540781"/>
    <n v="3.5452297189999999"/>
    <n v="0.58579301877260059"/>
    <n v="48.35"/>
    <n v="7.3324296153050667E-2"/>
    <n v="48.35"/>
    <n v="0"/>
    <n v="458054165.95999998"/>
    <n v="2.8659234465179706E-2"/>
  </r>
  <r>
    <x v="58"/>
    <x v="2"/>
    <x v="114"/>
    <n v="77855299"/>
    <n v="5.8834038510339548"/>
    <n v="4.272592929"/>
    <n v="0.72621105692908205"/>
    <n v="48.35"/>
    <n v="8.8368002668045495E-2"/>
    <n v="48.35"/>
    <n v="0"/>
    <n v="0"/>
    <s v=""/>
  </r>
  <r>
    <x v="59"/>
    <x v="0"/>
    <x v="112"/>
    <n v="77855299"/>
    <n v="5.1377383276120998"/>
    <n v="2.7486247275000002"/>
    <n v="0.53498729445364657"/>
    <n v="48.1"/>
    <n v="5.7143965228690231E-2"/>
    <n v="48.1"/>
    <n v="0"/>
    <n v="471181647.69999999"/>
    <n v="-0.15107017509587095"/>
  </r>
  <r>
    <x v="59"/>
    <x v="1"/>
    <x v="113"/>
    <n v="77855299"/>
    <n v="6.0520177014540781"/>
    <n v="3.5452297189999999"/>
    <n v="0.58579301877260059"/>
    <n v="48.1"/>
    <n v="7.370539956340956E-2"/>
    <n v="48.1"/>
    <n v="0"/>
    <n v="458054165.95999998"/>
    <n v="2.8659234465179706E-2"/>
  </r>
  <r>
    <x v="59"/>
    <x v="2"/>
    <x v="114"/>
    <n v="77855299"/>
    <n v="5.8834038510339548"/>
    <n v="4.272592929"/>
    <n v="0.72621105692908205"/>
    <n v="48.1"/>
    <n v="8.8827295821205812E-2"/>
    <n v="48.1"/>
    <n v="0"/>
    <n v="0"/>
    <s v=""/>
  </r>
  <r>
    <x v="60"/>
    <x v="0"/>
    <x v="115"/>
    <n v="962274260"/>
    <n v="1.2739852958448665"/>
    <n v="1.139118233"/>
    <n v="0.89413766133350314"/>
    <n v="18.73"/>
    <n v="6.0817844794447413E-2"/>
    <n v="18.73"/>
    <n v="0"/>
    <n v="1572292596.6700001"/>
    <n v="-0.2202957258678091"/>
  </r>
  <r>
    <x v="60"/>
    <x v="1"/>
    <x v="116"/>
    <n v="962274260"/>
    <n v="1.6339339645954991"/>
    <n v="1.5653283019999999"/>
    <n v="0.9580119735056225"/>
    <n v="18.73"/>
    <n v="8.3573320982381197E-2"/>
    <n v="18.73"/>
    <n v="0"/>
    <n v="1595150826.9300001"/>
    <n v="-1.4329823784746787E-2"/>
  </r>
  <r>
    <x v="60"/>
    <x v="2"/>
    <x v="117"/>
    <n v="962274260"/>
    <n v="1.6576883464907397"/>
    <n v="2.6197703689999998"/>
    <n v="1.580375692780823"/>
    <n v="18.73"/>
    <n v="0.13987028131340096"/>
    <n v="18.73"/>
    <n v="0"/>
    <n v="1649898817.26"/>
    <n v="-3.3182635054506138E-2"/>
  </r>
  <r>
    <x v="60"/>
    <x v="3"/>
    <x v="118"/>
    <n v="962274260"/>
    <n v="1.7145827191304068"/>
    <n v="2.5560733889999998"/>
    <n v="1.4907845276175278"/>
    <n v="18.73"/>
    <n v="0.13646948152696209"/>
    <n v="18.73"/>
    <n v="0"/>
    <n v="0"/>
    <s v=""/>
  </r>
  <r>
    <x v="61"/>
    <x v="0"/>
    <x v="119"/>
    <n v="273655375"/>
    <n v="2.5604765385660708"/>
    <n v="0.93527000000000005"/>
    <n v="0.36527184917061339"/>
    <n v="22.2"/>
    <n v="4.2129279279279286E-2"/>
    <n v="22.2"/>
    <n v="0"/>
    <n v="1203117000"/>
    <n v="-0.41760596239600967"/>
  </r>
  <r>
    <x v="61"/>
    <x v="1"/>
    <x v="120"/>
    <n v="273655375"/>
    <n v="4.396467637443628"/>
    <n v="1.4683299999999999"/>
    <n v="0.33397948559761848"/>
    <n v="22.2"/>
    <n v="6.6140990990990994E-2"/>
    <n v="22.2"/>
    <n v="0"/>
    <n v="1041534000"/>
    <n v="0.15513943855889489"/>
  </r>
  <r>
    <x v="61"/>
    <x v="2"/>
    <x v="121"/>
    <n v="273655375"/>
    <n v="3.8060060029882474"/>
    <n v="0.98026999999999997"/>
    <n v="0.25755871095062666"/>
    <n v="22.2"/>
    <n v="4.4156306306306306E-2"/>
    <n v="22.2"/>
    <n v="0"/>
    <n v="900821000"/>
    <n v="0.15620528384662435"/>
  </r>
  <r>
    <x v="61"/>
    <x v="3"/>
    <x v="122"/>
    <n v="273655375"/>
    <n v="3.2918081729620696"/>
    <n v="0.86965000000000003"/>
    <n v="0.26418611119051399"/>
    <n v="22.2"/>
    <n v="3.9173423423423427E-2"/>
    <n v="22.2"/>
    <n v="0"/>
    <n v="0"/>
    <s v=""/>
  </r>
  <r>
    <x v="62"/>
    <x v="0"/>
    <x v="119"/>
    <n v="273655375"/>
    <n v="2.5604765385660708"/>
    <n v="2.5250699999999999"/>
    <n v="0.98617189494503266"/>
    <n v="30"/>
    <n v="8.4168999999999994E-2"/>
    <n v="30"/>
    <n v="0"/>
    <n v="1203117000"/>
    <n v="-0.41760596239600967"/>
  </r>
  <r>
    <x v="62"/>
    <x v="1"/>
    <x v="120"/>
    <n v="273655375"/>
    <n v="4.396467637443628"/>
    <n v="2.5250699999999999"/>
    <n v="0.57434063166861571"/>
    <n v="30"/>
    <n v="8.4168999999999994E-2"/>
    <n v="30"/>
    <n v="0"/>
    <n v="1041534000"/>
    <n v="0.15513943855889489"/>
  </r>
  <r>
    <x v="62"/>
    <x v="2"/>
    <x v="121"/>
    <n v="273655375"/>
    <n v="3.8060060029882474"/>
    <n v="2.5250699999999999"/>
    <n v="0.66344351480724584"/>
    <n v="30"/>
    <n v="8.4168999999999994E-2"/>
    <n v="30"/>
    <n v="0"/>
    <n v="900821000"/>
    <n v="0.15620528384662435"/>
  </r>
  <r>
    <x v="62"/>
    <x v="3"/>
    <x v="122"/>
    <n v="273655375"/>
    <n v="3.2918081729620696"/>
    <n v="1.6297900000000001"/>
    <n v="0.49510479176356903"/>
    <n v="30"/>
    <n v="5.4326333333333338E-2"/>
    <n v="30"/>
    <n v="0"/>
    <n v="0"/>
    <s v=""/>
  </r>
  <r>
    <x v="63"/>
    <x v="0"/>
    <x v="119"/>
    <n v="273655375"/>
    <n v="2.5604765385660708"/>
    <n v="1.0288900000000001"/>
    <n v="0.40183535545152993"/>
    <n v="30.83"/>
    <n v="3.3373013298735002E-2"/>
    <n v="30.83"/>
    <n v="0"/>
    <n v="1203117000"/>
    <n v="-0.41760596239600967"/>
  </r>
  <r>
    <x v="63"/>
    <x v="1"/>
    <x v="120"/>
    <n v="273655375"/>
    <n v="4.396467637443628"/>
    <n v="1.6154599999999999"/>
    <n v="0.3674449883905721"/>
    <n v="30.83"/>
    <n v="5.2398962049951349E-2"/>
    <n v="30.83"/>
    <n v="0"/>
    <n v="1041534000"/>
    <n v="0.15513943855889489"/>
  </r>
  <r>
    <x v="63"/>
    <x v="2"/>
    <x v="121"/>
    <n v="273655375"/>
    <n v="3.8060060029882474"/>
    <n v="1.0785400000000001"/>
    <n v="0.28337842850305417"/>
    <n v="30.83"/>
    <n v="3.4983457671099581E-2"/>
    <n v="30.83"/>
    <n v="0"/>
    <n v="900821000"/>
    <n v="0.15620528384662435"/>
  </r>
  <r>
    <x v="63"/>
    <x v="3"/>
    <x v="122"/>
    <n v="273655375"/>
    <n v="3.2918081729620696"/>
    <n v="0.95679000000000003"/>
    <n v="0.29065788458112102"/>
    <n v="30.83"/>
    <n v="3.1034382095361662E-2"/>
    <n v="30.83"/>
    <n v="0"/>
    <n v="0"/>
    <s v=""/>
  </r>
  <r>
    <x v="64"/>
    <x v="0"/>
    <x v="123"/>
    <n v="105765903"/>
    <n v="0.8922062528979684"/>
    <n v="0.23760000000000001"/>
    <n v="0.2663061363090129"/>
    <n v="3.85"/>
    <n v="6.1714285714285715E-2"/>
    <n v="0"/>
    <n v="3.85"/>
    <n v="76912864.659999996"/>
    <n v="0.22690788357901748"/>
  </r>
  <r>
    <x v="64"/>
    <x v="1"/>
    <x v="124"/>
    <n v="105765903"/>
    <n v="0.72719905450057942"/>
    <n v="0.17430000000000001"/>
    <n v="0.23968678028563242"/>
    <n v="3.85"/>
    <n v="4.5272727272727277E-2"/>
    <n v="0"/>
    <n v="3.85"/>
    <n v="61174998.299999997"/>
    <n v="0.25725977600885352"/>
  </r>
  <r>
    <x v="64"/>
    <x v="2"/>
    <x v="125"/>
    <n v="105765903"/>
    <n v="0.57840000004538317"/>
    <n v="0.1163"/>
    <n v="0.20107192252917483"/>
    <n v="3.85"/>
    <n v="3.0207792207792208E-2"/>
    <n v="0"/>
    <n v="3.85"/>
    <n v="67848826.769999996"/>
    <n v="-9.8363211093148828E-2"/>
  </r>
  <r>
    <x v="64"/>
    <x v="3"/>
    <x v="126"/>
    <n v="105765903"/>
    <n v="0.64149999995745322"/>
    <n v="0.16420000000000001"/>
    <n v="0.25596258770208946"/>
    <n v="3.85"/>
    <n v="4.2649350649350652E-2"/>
    <n v="0"/>
    <n v="3.85"/>
    <n v="0"/>
    <s v=""/>
  </r>
  <r>
    <x v="65"/>
    <x v="0"/>
    <x v="123"/>
    <n v="105765903"/>
    <n v="0.8922062528979684"/>
    <n v="0.26429999999999998"/>
    <n v="0.29623195213161657"/>
    <n v="4.01"/>
    <n v="6.5910224438902737E-2"/>
    <n v="0"/>
    <n v="4.01"/>
    <n v="76912864.659999996"/>
    <n v="0.22690788357901748"/>
  </r>
  <r>
    <x v="65"/>
    <x v="1"/>
    <x v="124"/>
    <n v="105765903"/>
    <n v="0.72719905450057942"/>
    <n v="0.2402"/>
    <n v="0.33030846026740618"/>
    <n v="4.01"/>
    <n v="5.9900249376558606E-2"/>
    <n v="0"/>
    <n v="4.01"/>
    <n v="61174998.299999997"/>
    <n v="0.25725977600885352"/>
  </r>
  <r>
    <x v="65"/>
    <x v="2"/>
    <x v="125"/>
    <n v="105765903"/>
    <n v="0.57840000004538317"/>
    <n v="0.2198"/>
    <n v="0.38001383122882737"/>
    <n v="4.01"/>
    <n v="5.4812967581047381E-2"/>
    <n v="0"/>
    <n v="4.01"/>
    <n v="67848826.769999996"/>
    <n v="-9.8363211093148828E-2"/>
  </r>
  <r>
    <x v="65"/>
    <x v="3"/>
    <x v="126"/>
    <n v="105765903"/>
    <n v="0.64149999995745322"/>
    <n v="0.19839999999999999"/>
    <n v="0.30927513641957699"/>
    <n v="4.01"/>
    <n v="4.947630922693267E-2"/>
    <n v="0"/>
    <n v="4.01"/>
    <n v="0"/>
    <s v=""/>
  </r>
  <r>
    <x v="66"/>
    <x v="0"/>
    <x v="127"/>
    <n v="7680000"/>
    <n v="1.7861859036458334"/>
    <n v="1.24"/>
    <n v="0.69421665318766745"/>
    <n v="30.01"/>
    <n v="4.1319560146617793E-2"/>
    <n v="0"/>
    <n v="30.01"/>
    <n v="28253000"/>
    <n v="-0.51446190705411809"/>
  </r>
  <r>
    <x v="66"/>
    <x v="1"/>
    <x v="128"/>
    <n v="7680000"/>
    <n v="3.6787760416666666"/>
    <n v="2.48"/>
    <n v="0.67413725976002548"/>
    <n v="30.01"/>
    <n v="8.2639120293235585E-2"/>
    <n v="0"/>
    <n v="30.01"/>
    <n v="23457000"/>
    <n v="0.20445922325958144"/>
  </r>
  <r>
    <x v="66"/>
    <x v="2"/>
    <x v="129"/>
    <n v="7680000"/>
    <n v="3.0542968749999999"/>
    <n v="2.5"/>
    <n v="0.81851899219849089"/>
    <n v="30.01"/>
    <n v="8.3305564811729418E-2"/>
    <n v="0"/>
    <n v="30.01"/>
    <n v="0"/>
    <s v=""/>
  </r>
  <r>
    <x v="67"/>
    <x v="0"/>
    <x v="127"/>
    <n v="7680000"/>
    <n v="1.7861859036458334"/>
    <n v="1.37"/>
    <n v="0.7669974313444391"/>
    <n v="30.05"/>
    <n v="4.5590682196339438E-2"/>
    <n v="0"/>
    <n v="30.05"/>
    <n v="28253000"/>
    <n v="-0.51446190705411809"/>
  </r>
  <r>
    <x v="67"/>
    <x v="1"/>
    <x v="128"/>
    <n v="7680000"/>
    <n v="3.6787760416666666"/>
    <n v="2.74"/>
    <n v="0.7448129402187379"/>
    <n v="30.05"/>
    <n v="9.1181364392678876E-2"/>
    <n v="0"/>
    <n v="30.05"/>
    <n v="23457000"/>
    <n v="0.20445922325958144"/>
  </r>
  <r>
    <x v="67"/>
    <x v="2"/>
    <x v="129"/>
    <n v="7680000"/>
    <n v="3.0542968749999999"/>
    <n v="2.75"/>
    <n v="0.90037089141833992"/>
    <n v="30.05"/>
    <n v="9.1514143094841932E-2"/>
    <n v="0"/>
    <n v="30.05"/>
    <n v="0"/>
    <s v=""/>
  </r>
  <r>
    <x v="68"/>
    <x v="0"/>
    <x v="130"/>
    <n v="407214353"/>
    <n v="1.5672335596677753"/>
    <n v="0.74068530099999996"/>
    <n v="0.4726068405254234"/>
    <n v="38.26"/>
    <n v="1.9359260350235233E-2"/>
    <n v="0"/>
    <n v="38.26"/>
    <n v="2605800000"/>
    <n v="-0.75508481080666212"/>
  </r>
  <r>
    <x v="68"/>
    <x v="1"/>
    <x v="131"/>
    <n v="407214353"/>
    <n v="6.399086821971621"/>
    <n v="0.61834152200000003"/>
    <n v="9.6629650323994662E-2"/>
    <n v="38.26"/>
    <n v="1.6161566178776791E-2"/>
    <n v="0"/>
    <n v="38.26"/>
    <n v="771500000"/>
    <n v="2.3775761503564485"/>
  </r>
  <r>
    <x v="68"/>
    <x v="2"/>
    <x v="132"/>
    <n v="407214353"/>
    <n v="1.8945795852141782"/>
    <n v="0.49227156500000002"/>
    <n v="0.25983155779879774"/>
    <n v="38.26"/>
    <n v="1.2866481050705699E-2"/>
    <n v="0"/>
    <n v="38.26"/>
    <n v="0"/>
    <s v=""/>
  </r>
  <r>
    <x v="69"/>
    <x v="0"/>
    <x v="133"/>
    <n v="119684430"/>
    <n v="4.0684295739220211"/>
    <n v="1.3564000000000001"/>
    <n v="0.33339645564822007"/>
    <n v="32.880000000000003"/>
    <n v="4.1253041362530413E-2"/>
    <n v="32.880000000000003"/>
    <n v="0"/>
    <n v="470437900"/>
    <n v="3.5051968708303516E-2"/>
  </r>
  <r>
    <x v="69"/>
    <x v="1"/>
    <x v="134"/>
    <n v="119684430"/>
    <n v="3.9306524666575258"/>
    <n v="1.33"/>
    <n v="0.33836621560465263"/>
    <n v="32.880000000000003"/>
    <n v="4.0450121654501216E-2"/>
    <n v="32.880000000000003"/>
    <n v="0"/>
    <n v="677124500"/>
    <n v="-0.30524165053841645"/>
  </r>
  <r>
    <x v="69"/>
    <x v="2"/>
    <x v="135"/>
    <n v="119684430"/>
    <n v="5.6575821934398656"/>
    <n v="1.95"/>
    <n v="0.34467020245169089"/>
    <n v="32.880000000000003"/>
    <n v="5.930656934306569E-2"/>
    <n v="32.880000000000003"/>
    <n v="0"/>
    <n v="525306600"/>
    <n v="0.28900817160873293"/>
  </r>
  <r>
    <x v="69"/>
    <x v="3"/>
    <x v="136"/>
    <n v="119684430"/>
    <n v="4.3890972284364809"/>
    <n v="1.5"/>
    <n v="0.34175592882328149"/>
    <n v="32.880000000000003"/>
    <n v="4.5620437956204379E-2"/>
    <n v="32.880000000000003"/>
    <n v="0"/>
    <n v="0"/>
    <s v=""/>
  </r>
  <r>
    <x v="70"/>
    <x v="0"/>
    <x v="137"/>
    <n v="168074028"/>
    <n v="1.4628792022524741"/>
    <n v="0.210547822"/>
    <n v="0.14392700482432735"/>
    <n v="9.5"/>
    <n v="2.2162928631578947E-2"/>
    <n v="9.5"/>
    <n v="0"/>
    <n v="232128000"/>
    <n v="5.9208712434518862E-2"/>
  </r>
  <r>
    <x v="70"/>
    <x v="1"/>
    <x v="138"/>
    <n v="168074028"/>
    <n v="1.3811057113476213"/>
    <n v="1.158632954"/>
    <n v="0.83891692321615097"/>
    <n v="9.5"/>
    <n v="0.12196136357894737"/>
    <n v="9.5"/>
    <n v="0"/>
    <n v="253664000"/>
    <n v="-8.4899709852403138E-2"/>
  </r>
  <r>
    <x v="70"/>
    <x v="2"/>
    <x v="139"/>
    <n v="168074028"/>
    <n v="1.5092397261996957"/>
    <n v="1.1372260759999999"/>
    <n v="0.75350923796815517"/>
    <n v="9.5"/>
    <n v="0.11970800799999999"/>
    <n v="9.5"/>
    <n v="0"/>
    <n v="244788000"/>
    <n v="3.6259947383041613E-2"/>
  </r>
  <r>
    <x v="70"/>
    <x v="3"/>
    <x v="140"/>
    <n v="168074028"/>
    <n v="1.4564296632433893"/>
    <n v="0.9505576"/>
    <n v="0.65266289474162464"/>
    <n v="9.5"/>
    <n v="0.1000586947368421"/>
    <n v="9.5"/>
    <n v="0"/>
    <n v="0"/>
    <s v=""/>
  </r>
  <r>
    <x v="71"/>
    <x v="0"/>
    <x v="137"/>
    <n v="168074028"/>
    <n v="1.4628792022524741"/>
    <n v="0.23160260399999999"/>
    <n v="0.1583197051700434"/>
    <n v="10.119999999999999"/>
    <n v="2.2885632806324111E-2"/>
    <n v="10.119999999999999"/>
    <n v="0"/>
    <n v="232128000"/>
    <n v="5.9208712434518862E-2"/>
  </r>
  <r>
    <x v="71"/>
    <x v="1"/>
    <x v="138"/>
    <n v="168074028"/>
    <n v="1.3811057113476213"/>
    <n v="1.2744962500000001"/>
    <n v="0.92280861597220065"/>
    <n v="10.119999999999999"/>
    <n v="0.12593836462450594"/>
    <n v="10.119999999999999"/>
    <n v="0"/>
    <n v="253664000"/>
    <n v="-8.4899709852403138E-2"/>
  </r>
  <r>
    <x v="71"/>
    <x v="2"/>
    <x v="139"/>
    <n v="168074028"/>
    <n v="1.5092397261996957"/>
    <n v="1.250948685"/>
    <n v="0.82886016269259011"/>
    <n v="10.119999999999999"/>
    <n v="0.12361153013833993"/>
    <n v="10.119999999999999"/>
    <n v="0"/>
    <n v="244788000"/>
    <n v="3.6259947383041613E-2"/>
  </r>
  <r>
    <x v="71"/>
    <x v="3"/>
    <x v="140"/>
    <n v="168074028"/>
    <n v="1.4564296632433893"/>
    <n v="1.0456133000000001"/>
    <n v="0.717929143019153"/>
    <n v="10.119999999999999"/>
    <n v="0.10332147233201583"/>
    <n v="10.119999999999999"/>
    <n v="0"/>
    <n v="0"/>
    <s v=""/>
  </r>
  <r>
    <x v="72"/>
    <x v="0"/>
    <x v="137"/>
    <n v="168074028"/>
    <n v="1.4628792022524741"/>
    <n v="0.23160260399999999"/>
    <n v="0.1583197051700434"/>
    <n v="9"/>
    <n v="2.5733622666666664E-2"/>
    <n v="9"/>
    <n v="0"/>
    <n v="232128000"/>
    <n v="5.9208712434518862E-2"/>
  </r>
  <r>
    <x v="72"/>
    <x v="1"/>
    <x v="138"/>
    <n v="168074028"/>
    <n v="1.3811057113476213"/>
    <n v="1.2744962500000001"/>
    <n v="0.92280861597220065"/>
    <n v="9"/>
    <n v="0.14161069444444446"/>
    <n v="9"/>
    <n v="0"/>
    <n v="253664000"/>
    <n v="-8.4899709852403138E-2"/>
  </r>
  <r>
    <x v="72"/>
    <x v="2"/>
    <x v="139"/>
    <n v="168074028"/>
    <n v="1.5092397261996957"/>
    <n v="1.250948685"/>
    <n v="0.82886016269259011"/>
    <n v="9"/>
    <n v="0.13899429833333332"/>
    <n v="9"/>
    <n v="0"/>
    <n v="244788000"/>
    <n v="3.6259947383041613E-2"/>
  </r>
  <r>
    <x v="72"/>
    <x v="3"/>
    <x v="140"/>
    <n v="168074028"/>
    <n v="1.4564296632433893"/>
    <n v="1.0456133000000001"/>
    <n v="0.717929143019153"/>
    <n v="9"/>
    <n v="0.11617925555555557"/>
    <n v="9"/>
    <n v="0"/>
    <n v="0"/>
    <s v=""/>
  </r>
  <r>
    <x v="73"/>
    <x v="0"/>
    <x v="141"/>
    <n v="243051520"/>
    <n v="1.4707345130365777"/>
    <n v="0.74467047200000003"/>
    <n v="0.50632555733155615"/>
    <n v="7.78"/>
    <n v="9.5715998971722366E-2"/>
    <n v="7.78"/>
    <n v="0"/>
    <n v="305060417.76999998"/>
    <n v="0.17178184414442743"/>
  </r>
  <r>
    <x v="73"/>
    <x v="1"/>
    <x v="142"/>
    <n v="243051520"/>
    <n v="1.2551265582293005"/>
    <n v="0.63549999999999995"/>
    <n v="0.50632344271046792"/>
    <n v="7.78"/>
    <n v="8.1683804627249348E-2"/>
    <n v="7.78"/>
    <n v="0"/>
    <n v="276916946.19"/>
    <n v="0.10163145292195308"/>
  </r>
  <r>
    <x v="73"/>
    <x v="2"/>
    <x v="143"/>
    <n v="243051520"/>
    <n v="1.1393343526096853"/>
    <n v="0.57389999999999997"/>
    <n v="0.50371517253514031"/>
    <n v="7.78"/>
    <n v="7.3766066838046263E-2"/>
    <n v="7.78"/>
    <n v="0"/>
    <n v="211087826.47999999"/>
    <n v="0.31185654240576088"/>
  </r>
  <r>
    <x v="73"/>
    <x v="3"/>
    <x v="144"/>
    <n v="243051520"/>
    <n v="0.8684900488587769"/>
    <n v="0.43609999999999999"/>
    <n v="0.50213586278052236"/>
    <n v="7.78"/>
    <n v="5.6053984575835471E-2"/>
    <n v="7.78"/>
    <n v="0"/>
    <n v="0"/>
    <s v=""/>
  </r>
  <r>
    <x v="74"/>
    <x v="0"/>
    <x v="145"/>
    <n v="605059489"/>
    <n v="0.7590253298052152"/>
    <n v="0.28884578700000002"/>
    <n v="0.38054828430314053"/>
    <n v="12.54"/>
    <n v="2.30339543062201E-2"/>
    <n v="0"/>
    <n v="12.54"/>
    <n v="374211888.35000002"/>
    <n v="0.22726052401750207"/>
  </r>
  <r>
    <x v="74"/>
    <x v="1"/>
    <x v="146"/>
    <n v="605059489"/>
    <n v="0.61847123324761211"/>
    <n v="0.23499071399999999"/>
    <n v="0.37995415367349633"/>
    <n v="12.54"/>
    <n v="1.8739291387559809E-2"/>
    <n v="0"/>
    <n v="12.54"/>
    <n v="466895395.82999998"/>
    <n v="-0.19851021943627545"/>
  </r>
  <r>
    <x v="74"/>
    <x v="2"/>
    <x v="147"/>
    <n v="605059489"/>
    <n v="0.77165205127458136"/>
    <n v="0.34668314900000002"/>
    <n v="0.44927392913342723"/>
    <n v="12.54"/>
    <n v="2.7646184130781504E-2"/>
    <n v="0"/>
    <n v="12.54"/>
    <n v="179469272.13999999"/>
    <n v="1.6015339019472106"/>
  </r>
  <r>
    <x v="74"/>
    <x v="3"/>
    <x v="148"/>
    <n v="605059489"/>
    <n v="0.29661425926335649"/>
    <n v="7.8760800000000006E-2"/>
    <n v="0.26553275016380867"/>
    <n v="12.54"/>
    <n v="6.280765550239235E-3"/>
    <n v="0"/>
    <n v="12.54"/>
    <n v="0"/>
    <s v=""/>
  </r>
  <r>
    <x v="75"/>
    <x v="0"/>
    <x v="149"/>
    <n v="387229828"/>
    <n v="-0.33623442871761416"/>
    <n v="0"/>
    <s v=""/>
    <n v="1.4"/>
    <s v=""/>
    <n v="1.4"/>
    <n v="0"/>
    <n v="88173075.810000002"/>
    <n v="0"/>
  </r>
  <r>
    <x v="75"/>
    <x v="1"/>
    <x v="150"/>
    <n v="387229828"/>
    <n v="0.22770217951805097"/>
    <n v="0.1"/>
    <n v="0.43917014853198871"/>
    <n v="1.4"/>
    <n v="7.1428571428571438E-2"/>
    <n v="1.4"/>
    <n v="0"/>
    <n v="0"/>
    <s v=""/>
  </r>
  <r>
    <x v="76"/>
    <x v="0"/>
    <x v="149"/>
    <n v="387229828"/>
    <n v="-0.33623442871761416"/>
    <n v="0"/>
    <s v=""/>
    <n v="1.85"/>
    <s v=""/>
    <n v="1.85"/>
    <n v="0"/>
    <n v="88173075.810000002"/>
    <n v="0"/>
  </r>
  <r>
    <x v="76"/>
    <x v="1"/>
    <x v="150"/>
    <n v="387229828"/>
    <n v="0.22770217951805097"/>
    <n v="0.1"/>
    <n v="0.43917014853198871"/>
    <n v="1.85"/>
    <n v="5.4054054054054057E-2"/>
    <n v="1.85"/>
    <n v="0"/>
    <n v="0"/>
    <s v=""/>
  </r>
  <r>
    <x v="77"/>
    <x v="0"/>
    <x v="151"/>
    <n v="31485170"/>
    <n v="1.4589296802272307E-2"/>
    <n v="0"/>
    <s v=""/>
    <n v="10"/>
    <s v=""/>
    <n v="0"/>
    <n v="10"/>
    <n v="14826895.1"/>
    <n v="-0.96901937412371653"/>
  </r>
  <r>
    <x v="77"/>
    <x v="1"/>
    <x v="152"/>
    <n v="31485170"/>
    <n v="0.47091678717313579"/>
    <n v="0.11279"/>
    <n v="0.2395115295784348"/>
    <n v="10"/>
    <n v="1.1279000000000001E-2"/>
    <n v="0"/>
    <n v="10"/>
    <n v="45200803.640000001"/>
    <n v="-0.67197717947476743"/>
  </r>
  <r>
    <x v="77"/>
    <x v="2"/>
    <x v="153"/>
    <n v="31485170"/>
    <n v="1.4356220290377979"/>
    <n v="0.31025000000000003"/>
    <n v="0.21610841414013407"/>
    <n v="10"/>
    <n v="3.1025000000000004E-2"/>
    <n v="0"/>
    <n v="10"/>
    <n v="3829778.75"/>
    <n v="10.802458207278946"/>
  </r>
  <r>
    <x v="77"/>
    <x v="3"/>
    <x v="154"/>
    <n v="31485170"/>
    <n v="0.12163754396117284"/>
    <n v="4.3194999999999997E-2"/>
    <n v="0.35511239863399419"/>
    <n v="10"/>
    <n v="4.3194999999999996E-3"/>
    <n v="0"/>
    <n v="10"/>
    <n v="0"/>
    <s v=""/>
  </r>
  <r>
    <x v="78"/>
    <x v="0"/>
    <x v="151"/>
    <n v="31485170"/>
    <n v="1.4589296802272307E-2"/>
    <n v="2E-3"/>
    <n v="0.13708679911758986"/>
    <n v="9.5"/>
    <n v="2.105263157894737E-4"/>
    <n v="0"/>
    <n v="9.5"/>
    <n v="14826895.1"/>
    <n v="-0.96901937412371653"/>
  </r>
  <r>
    <x v="78"/>
    <x v="1"/>
    <x v="152"/>
    <n v="31485170"/>
    <n v="0.47091678717313579"/>
    <n v="0.11279"/>
    <n v="0.2395115295784348"/>
    <n v="9.5"/>
    <n v="1.1872631578947369E-2"/>
    <n v="0"/>
    <n v="9.5"/>
    <n v="45200803.640000001"/>
    <n v="-0.67197717947476743"/>
  </r>
  <r>
    <x v="78"/>
    <x v="2"/>
    <x v="153"/>
    <n v="31485170"/>
    <n v="1.4356220290377979"/>
    <n v="0.31025000000000003"/>
    <n v="0.21610841414013407"/>
    <n v="9.5"/>
    <n v="3.2657894736842108E-2"/>
    <n v="0"/>
    <n v="9.5"/>
    <n v="3829778.75"/>
    <n v="10.802458207278946"/>
  </r>
  <r>
    <x v="78"/>
    <x v="3"/>
    <x v="154"/>
    <n v="31485170"/>
    <n v="0.12163754396117284"/>
    <n v="4.3194999999999997E-2"/>
    <n v="0.35511239863399419"/>
    <n v="9.5"/>
    <n v="4.5468421052631573E-3"/>
    <n v="0"/>
    <n v="9.5"/>
    <n v="0"/>
    <s v=""/>
  </r>
  <r>
    <x v="79"/>
    <x v="0"/>
    <x v="155"/>
    <n v="1352634100"/>
    <n v="-5.0855704436255156"/>
    <n v="0.40852810099999998"/>
    <s v=""/>
    <n v="5.65"/>
    <n v="7.2305858584070792E-2"/>
    <n v="5.65"/>
    <n v="0"/>
    <n v="3732565000"/>
    <n v="0"/>
  </r>
  <r>
    <x v="79"/>
    <x v="1"/>
    <x v="156"/>
    <n v="1352634100"/>
    <n v="2.7594787089871531"/>
    <n v="1.2317791624600001"/>
    <n v="0.44638110757959637"/>
    <n v="5.65"/>
    <n v="0.21801401105486726"/>
    <n v="5.65"/>
    <n v="0"/>
    <n v="2247913000"/>
    <n v="0.66045794476921493"/>
  </r>
  <r>
    <x v="79"/>
    <x v="2"/>
    <x v="157"/>
    <n v="1352634100"/>
    <n v="1.6618781087952759"/>
    <n v="0.83224516954000005"/>
    <n v="0.50078592716003034"/>
    <n v="5.65"/>
    <n v="0.14730003000707964"/>
    <n v="5.65"/>
    <n v="0"/>
    <n v="170526000"/>
    <n v="12.182230275735078"/>
  </r>
  <r>
    <x v="79"/>
    <x v="3"/>
    <x v="158"/>
    <n v="1352634100"/>
    <n v="0.12606957047733752"/>
    <n v="0.41"/>
    <n v="3.2521725777887238"/>
    <n v="5.65"/>
    <n v="7.2566371681415914E-2"/>
    <n v="5.65"/>
    <n v="0"/>
    <n v="6136497000"/>
    <n v="-0.9722111817214284"/>
  </r>
  <r>
    <x v="79"/>
    <x v="4"/>
    <x v="159"/>
    <n v="1352634100"/>
    <n v="4.5367013887939098"/>
    <n v="1.54227975422"/>
    <n v="0.33995619769676261"/>
    <n v="5.65"/>
    <n v="0.27296986800353978"/>
    <n v="5.65"/>
    <n v="0"/>
    <n v="0"/>
    <s v=""/>
  </r>
  <r>
    <x v="80"/>
    <x v="0"/>
    <x v="155"/>
    <n v="1352634100"/>
    <n v="-5.0855704436255156"/>
    <n v="1.671821523"/>
    <s v=""/>
    <n v="9.57"/>
    <n v="0.17469399404388714"/>
    <n v="9.57"/>
    <n v="0"/>
    <n v="3732565000"/>
    <n v="0"/>
  </r>
  <r>
    <x v="80"/>
    <x v="1"/>
    <x v="156"/>
    <n v="1352634100"/>
    <n v="2.7594787089871531"/>
    <n v="1.6336924400499999"/>
    <n v="0.59202936943464768"/>
    <n v="9.57"/>
    <n v="0.17070976385057471"/>
    <n v="9.57"/>
    <n v="0"/>
    <n v="2247913000"/>
    <n v="0.66045794476921493"/>
  </r>
  <r>
    <x v="80"/>
    <x v="2"/>
    <x v="157"/>
    <n v="1352634100"/>
    <n v="1.6618781087952759"/>
    <n v="1.6305332803199999"/>
    <n v="0.98113891246933971"/>
    <n v="9.57"/>
    <n v="0.17037965311598743"/>
    <n v="9.57"/>
    <n v="0"/>
    <n v="170526000"/>
    <n v="12.182230275735078"/>
  </r>
  <r>
    <x v="80"/>
    <x v="3"/>
    <x v="158"/>
    <n v="1352634100"/>
    <n v="0.12606957047733752"/>
    <n v="1.63"/>
    <n v="12.929369028769806"/>
    <n v="9.57"/>
    <n v="0.17032392894461859"/>
    <n v="9.57"/>
    <n v="0"/>
    <n v="6136497000"/>
    <n v="-0.9722111817214284"/>
  </r>
  <r>
    <x v="80"/>
    <x v="4"/>
    <x v="159"/>
    <n v="1352634100"/>
    <n v="4.5367013887939098"/>
    <n v="1.69650772972"/>
    <n v="0.37395181748363199"/>
    <n v="9.57"/>
    <n v="0.17727353497596654"/>
    <n v="9.57"/>
    <n v="0"/>
    <n v="0"/>
    <s v=""/>
  </r>
  <r>
    <x v="81"/>
    <x v="0"/>
    <x v="160"/>
    <n v="167343887"/>
    <n v="0.64505484224828602"/>
    <n v="0.30919236900000002"/>
    <n v="0.47932725831858769"/>
    <n v="11"/>
    <n v="2.8108397181818182E-2"/>
    <n v="11"/>
    <n v="0"/>
    <n v="1573104991"/>
    <n v="-0.93138030503521552"/>
  </r>
  <r>
    <x v="81"/>
    <x v="1"/>
    <x v="161"/>
    <n v="167343887"/>
    <n v="9.4004329599443324"/>
    <n v="5.1351776620000003"/>
    <n v="0.54627033498150812"/>
    <n v="11"/>
    <n v="0.46683433290909093"/>
    <n v="11"/>
    <n v="0"/>
    <n v="1347688144.1600001"/>
    <n v="0.16726187569194639"/>
  </r>
  <r>
    <x v="81"/>
    <x v="2"/>
    <x v="162"/>
    <n v="167343887"/>
    <n v="8.0534052860861305"/>
    <n v="8.6908053330000001"/>
    <n v="1.0791466496806148"/>
    <n v="11"/>
    <n v="0.79007321209090908"/>
    <n v="11"/>
    <n v="0"/>
    <n v="1063193672.4299999"/>
    <n v="0.26758480520277095"/>
  </r>
  <r>
    <x v="81"/>
    <x v="3"/>
    <x v="163"/>
    <n v="167343887"/>
    <n v="6.3533463426124426"/>
    <n v="6.086401306"/>
    <n v="0.95798355351383579"/>
    <n v="11"/>
    <n v="0.55330920963636365"/>
    <n v="11"/>
    <n v="0"/>
    <n v="0"/>
    <s v=""/>
  </r>
  <r>
    <x v="82"/>
    <x v="0"/>
    <x v="160"/>
    <n v="167343887"/>
    <n v="0.64505484224828602"/>
    <n v="0.34011160499999998"/>
    <n v="0.52725998275521624"/>
    <n v="9.15"/>
    <n v="3.7170667213114753E-2"/>
    <n v="9.15"/>
    <n v="0"/>
    <n v="1573104991"/>
    <n v="-0.93138030503521552"/>
  </r>
  <r>
    <x v="82"/>
    <x v="1"/>
    <x v="161"/>
    <n v="167343887"/>
    <n v="9.4004329599443324"/>
    <n v="5.648695429"/>
    <n v="0.60089736856476139"/>
    <n v="9.15"/>
    <n v="0.61734376273224045"/>
    <n v="9.15"/>
    <n v="0"/>
    <n v="1347688144.1600001"/>
    <n v="0.16726187569194639"/>
  </r>
  <r>
    <x v="82"/>
    <x v="2"/>
    <x v="162"/>
    <n v="167343887"/>
    <n v="8.0534052860861305"/>
    <n v="9.5598858660000001"/>
    <n v="1.1870613146114248"/>
    <n v="9.15"/>
    <n v="1.0447962695081967"/>
    <n v="9.15"/>
    <n v="0"/>
    <n v="1063193672.4299999"/>
    <n v="0.26758480520277095"/>
  </r>
  <r>
    <x v="82"/>
    <x v="3"/>
    <x v="163"/>
    <n v="167343887"/>
    <n v="6.3533463426124426"/>
    <n v="6.6950414370000004"/>
    <n v="1.0537819089281784"/>
    <n v="9.15"/>
    <n v="0.73169851770491801"/>
    <n v="9.15"/>
    <n v="0"/>
    <n v="0"/>
    <s v=""/>
  </r>
  <r>
    <x v="83"/>
    <x v="0"/>
    <x v="164"/>
    <n v="36947084"/>
    <n v="0"/>
    <n v="0"/>
    <s v=""/>
    <n v="5.67"/>
    <s v=""/>
    <n v="5.67"/>
    <n v="0"/>
    <n v="0"/>
    <s v=""/>
  </r>
  <r>
    <x v="83"/>
    <x v="1"/>
    <x v="164"/>
    <n v="36947084"/>
    <n v="0"/>
    <n v="0"/>
    <s v=""/>
    <n v="5.67"/>
    <s v=""/>
    <n v="5.67"/>
    <n v="0"/>
    <n v="13974263.699999999"/>
    <n v="0"/>
  </r>
  <r>
    <x v="83"/>
    <x v="2"/>
    <x v="165"/>
    <n v="36947084"/>
    <n v="0.37822372396154452"/>
    <n v="8.7654448199999999E-2"/>
    <n v="0.23175290878610291"/>
    <n v="5.67"/>
    <n v="1.5459338306878307E-2"/>
    <n v="5.67"/>
    <n v="0"/>
    <n v="-7526000"/>
    <n v="-2.8567982593675261"/>
  </r>
  <r>
    <x v="83"/>
    <x v="3"/>
    <x v="166"/>
    <n v="36947084"/>
    <n v="-0.20369672475370451"/>
    <n v="0"/>
    <s v=""/>
    <n v="5.67"/>
    <s v=""/>
    <n v="5.67"/>
    <n v="0"/>
    <n v="-170585000"/>
    <n v="0"/>
  </r>
  <r>
    <x v="83"/>
    <x v="4"/>
    <x v="167"/>
    <n v="36947084"/>
    <n v="-4.6170084762304926"/>
    <n v="0.36506361199999998"/>
    <s v=""/>
    <n v="5.67"/>
    <n v="6.4385116754850091E-2"/>
    <n v="5.67"/>
    <n v="0"/>
    <n v="0"/>
    <s v=""/>
  </r>
  <r>
    <x v="84"/>
    <x v="0"/>
    <x v="168"/>
    <n v="476415612"/>
    <n v="0.71711524774717084"/>
    <n v="0.77853000000000006"/>
    <n v="1.0856413978726078"/>
    <n v="10.25"/>
    <n v="7.5954146341463413E-2"/>
    <n v="10.25"/>
    <n v="0"/>
    <n v="491579920.89999998"/>
    <n v="-0.30500639854348455"/>
  </r>
  <r>
    <x v="84"/>
    <x v="1"/>
    <x v="169"/>
    <n v="476415612"/>
    <n v="1.0318299999371137"/>
    <n v="2.3355890000000001"/>
    <n v="2.2635405058414135"/>
    <n v="10.25"/>
    <n v="0.22786234146341464"/>
    <n v="10.25"/>
    <n v="0"/>
    <n v="588911630.5"/>
    <n v="-0.1652738790663093"/>
  </r>
  <r>
    <x v="84"/>
    <x v="2"/>
    <x v="170"/>
    <n v="476415612"/>
    <n v="1.2361300000806859"/>
    <n v="2.22437"/>
    <n v="1.7994628395515107"/>
    <n v="10.25"/>
    <n v="0.21701170731707317"/>
    <n v="10.25"/>
    <n v="0"/>
    <n v="695571557.70000005"/>
    <n v="-0.15334141544356028"/>
  </r>
  <r>
    <x v="84"/>
    <x v="3"/>
    <x v="171"/>
    <n v="476415612"/>
    <n v="1.4600100000501244"/>
    <n v="1.869219"/>
    <n v="1.2802782172285305"/>
    <n v="10.25"/>
    <n v="0.18236282926829267"/>
    <n v="10.25"/>
    <n v="0"/>
    <n v="0"/>
    <s v=""/>
  </r>
  <r>
    <x v="85"/>
    <x v="0"/>
    <x v="172"/>
    <n v="1245690889"/>
    <n v="0.23315671603984894"/>
    <n v="0.79500000000000004"/>
    <n v="3.4097237836551368"/>
    <n v="12.4"/>
    <n v="6.4112903225806456E-2"/>
    <n v="12.4"/>
    <n v="0"/>
    <n v="212054242.16999999"/>
    <n v="0.36965520664830009"/>
  </r>
  <r>
    <x v="85"/>
    <x v="1"/>
    <x v="173"/>
    <n v="1245690889"/>
    <n v="0.17023022648919767"/>
    <n v="9.6000000000000002E-2"/>
    <n v="0.56394215046228524"/>
    <n v="12.4"/>
    <n v="7.7419354838709677E-3"/>
    <n v="12.4"/>
    <n v="0"/>
    <n v="194647783.53"/>
    <n v="8.9425414070113174E-2"/>
  </r>
  <r>
    <x v="85"/>
    <x v="2"/>
    <x v="174"/>
    <n v="1245690889"/>
    <n v="0.15625688944892011"/>
    <n v="8.8999999999999996E-2"/>
    <n v="0.56957488603466555"/>
    <n v="12.4"/>
    <n v="7.1774193548387087E-3"/>
    <n v="12.4"/>
    <n v="0"/>
    <n v="276855137.25"/>
    <n v="-0.29693273723061464"/>
  </r>
  <r>
    <x v="85"/>
    <x v="3"/>
    <x v="175"/>
    <n v="1245690889"/>
    <n v="0.22225027066887379"/>
    <n v="0.113"/>
    <n v="0.50843582624183359"/>
    <n v="12.4"/>
    <n v="9.112903225806452E-3"/>
    <n v="12.4"/>
    <n v="0"/>
    <n v="0"/>
    <s v=""/>
  </r>
  <r>
    <x v="86"/>
    <x v="0"/>
    <x v="172"/>
    <n v="1245690889"/>
    <n v="0.23315671603984894"/>
    <n v="0.159"/>
    <n v="0.68194475673102728"/>
    <n v="3.4"/>
    <n v="4.6764705882352944E-2"/>
    <n v="3.4"/>
    <n v="0"/>
    <n v="212054242.16999999"/>
    <n v="0.36965520664830009"/>
  </r>
  <r>
    <x v="86"/>
    <x v="1"/>
    <x v="173"/>
    <n v="1245690889"/>
    <n v="0.17023022648919767"/>
    <n v="9.6000000000000002E-2"/>
    <n v="0.56394215046228524"/>
    <n v="3.4"/>
    <n v="2.823529411764706E-2"/>
    <n v="3.4"/>
    <n v="0"/>
    <n v="194647783.53"/>
    <n v="8.9425414070113174E-2"/>
  </r>
  <r>
    <x v="86"/>
    <x v="2"/>
    <x v="174"/>
    <n v="1245690889"/>
    <n v="0.15625688944892011"/>
    <n v="8.8999999999999996E-2"/>
    <n v="0.56957488603466555"/>
    <n v="3.4"/>
    <n v="2.6176470588235294E-2"/>
    <n v="3.4"/>
    <n v="0"/>
    <n v="276855137.25"/>
    <n v="-0.29693273723061464"/>
  </r>
  <r>
    <x v="86"/>
    <x v="3"/>
    <x v="175"/>
    <n v="1245690889"/>
    <n v="0.22225027066887379"/>
    <n v="0.113"/>
    <n v="0.50843582624183359"/>
    <n v="3.4"/>
    <n v="3.3235294117647057E-2"/>
    <n v="3.4"/>
    <n v="0"/>
    <n v="0"/>
    <s v=""/>
  </r>
  <r>
    <x v="87"/>
    <x v="0"/>
    <x v="172"/>
    <n v="1245690889"/>
    <n v="0.23315671603984894"/>
    <n v="0.159"/>
    <n v="0.68194475673102728"/>
    <n v="2.1"/>
    <n v="7.5714285714285706E-2"/>
    <n v="2.1"/>
    <n v="0"/>
    <n v="212054242.16999999"/>
    <n v="0.36965520664830009"/>
  </r>
  <r>
    <x v="87"/>
    <x v="1"/>
    <x v="173"/>
    <n v="1245690889"/>
    <n v="0.17023022648919767"/>
    <n v="9.6000000000000002E-2"/>
    <n v="0.56394215046228524"/>
    <n v="2.1"/>
    <n v="4.5714285714285714E-2"/>
    <n v="2.1"/>
    <n v="0"/>
    <n v="194647783.53"/>
    <n v="8.9425414070113174E-2"/>
  </r>
  <r>
    <x v="87"/>
    <x v="2"/>
    <x v="174"/>
    <n v="1245690889"/>
    <n v="0.15625688944892011"/>
    <n v="8.8999999999999996E-2"/>
    <n v="0.56957488603466555"/>
    <n v="2.1"/>
    <n v="4.238095238095238E-2"/>
    <n v="2.1"/>
    <n v="0"/>
    <n v="276855137.25"/>
    <n v="-0.29693273723061464"/>
  </r>
  <r>
    <x v="87"/>
    <x v="3"/>
    <x v="175"/>
    <n v="1245690889"/>
    <n v="0.22225027066887379"/>
    <n v="0.113"/>
    <n v="0.50843582624183359"/>
    <n v="2.1"/>
    <n v="5.3809523809523807E-2"/>
    <n v="2.1"/>
    <n v="0"/>
    <n v="0"/>
    <s v=""/>
  </r>
  <r>
    <x v="88"/>
    <x v="0"/>
    <x v="176"/>
    <n v="164183899"/>
    <n v="2.3446086716456889"/>
    <n v="0.46"/>
    <n v="0.19619478745556479"/>
    <n v="15.4"/>
    <n v="2.987012987012987E-2"/>
    <n v="15.4"/>
    <n v="0"/>
    <n v="247502000"/>
    <n v="0.55532881891863495"/>
  </r>
  <r>
    <x v="88"/>
    <x v="1"/>
    <x v="177"/>
    <n v="164183899"/>
    <n v="1.5074681592255279"/>
    <n v="0.56999999999999995"/>
    <n v="0.37811743917220869"/>
    <n v="15.4"/>
    <n v="3.7012987012987011E-2"/>
    <n v="15.4"/>
    <n v="0"/>
    <n v="278621000"/>
    <n v="-0.11168935579155914"/>
  </r>
  <r>
    <x v="88"/>
    <x v="2"/>
    <x v="178"/>
    <n v="164183899"/>
    <n v="1.6970056241629394"/>
    <n v="1.52"/>
    <n v="0.89569532260669515"/>
    <n v="15.4"/>
    <n v="9.8701298701298706E-2"/>
    <n v="15.4"/>
    <n v="0"/>
    <n v="0"/>
    <s v=""/>
  </r>
  <r>
    <x v="89"/>
    <x v="0"/>
    <x v="179"/>
    <n v="198447352"/>
    <n v="0.7104907098987141"/>
    <n v="0.17"/>
    <n v="0.23927124961878082"/>
    <n v="23.65"/>
    <n v="7.1881606765327706E-3"/>
    <n v="23.65"/>
    <n v="0"/>
    <n v="159996000"/>
    <n v="-0.11875921898047448"/>
  </r>
  <r>
    <x v="89"/>
    <x v="1"/>
    <x v="180"/>
    <n v="198447352"/>
    <n v="0.80623902706446793"/>
    <n v="0.46"/>
    <n v="0.57055040076001906"/>
    <n v="23.65"/>
    <n v="1.945031712473573E-2"/>
    <n v="23.65"/>
    <n v="0"/>
    <n v="188871000"/>
    <n v="-0.15288212589545247"/>
  </r>
  <r>
    <x v="89"/>
    <x v="2"/>
    <x v="181"/>
    <n v="198447352"/>
    <n v="0.95174361409468444"/>
    <n v="1.8"/>
    <n v="1.8912656448051846"/>
    <n v="23.65"/>
    <n v="7.6109936575052856E-2"/>
    <n v="23.65"/>
    <n v="0"/>
    <n v="0"/>
    <s v=""/>
  </r>
  <r>
    <x v="90"/>
    <x v="0"/>
    <x v="182"/>
    <n v="89500000"/>
    <n v="1.2626145251396648"/>
    <n v="0.8"/>
    <n v="0.6336058900569892"/>
    <n v="8.2799999999999994"/>
    <n v="9.6618357487922718E-2"/>
    <n v="0"/>
    <n v="8.2799999999999994"/>
    <n v="97193000"/>
    <n v="0.16267632442665625"/>
  </r>
  <r>
    <x v="90"/>
    <x v="1"/>
    <x v="183"/>
    <n v="89500000"/>
    <n v="1.0859553072625698"/>
    <n v="0.9"/>
    <n v="0.82876338830985774"/>
    <n v="8.2799999999999994"/>
    <n v="0.10869565217391305"/>
    <n v="0"/>
    <n v="8.2799999999999994"/>
    <n v="102085000"/>
    <n v="-4.7920850271832349E-2"/>
  </r>
  <r>
    <x v="90"/>
    <x v="2"/>
    <x v="184"/>
    <n v="89500000"/>
    <n v="1.1406145251396649"/>
    <n v="0.8"/>
    <n v="0.7013763040603419"/>
    <n v="8.2799999999999994"/>
    <n v="9.6618357487922718E-2"/>
    <n v="0"/>
    <n v="8.2799999999999994"/>
    <n v="0"/>
    <s v=""/>
  </r>
  <r>
    <x v="91"/>
    <x v="0"/>
    <x v="185"/>
    <n v="92619256"/>
    <n v="0.95422359007072999"/>
    <n v="0.190493"/>
    <n v="0.1996314092233667"/>
    <n v="6.61"/>
    <n v="2.8818910741301058E-2"/>
    <n v="0"/>
    <n v="6.61"/>
    <n v="88914485.760000005"/>
    <n v="-6.017093676322971E-3"/>
  </r>
  <r>
    <x v="91"/>
    <x v="1"/>
    <x v="186"/>
    <n v="92619256"/>
    <n v="0.96000000000000008"/>
    <n v="0.28855599999999998"/>
    <n v="0.30057916666666662"/>
    <n v="6.61"/>
    <n v="4.3654462934947041E-2"/>
    <n v="0"/>
    <n v="6.61"/>
    <n v="120405032.8"/>
    <n v="-0.2615384615384615"/>
  </r>
  <r>
    <x v="91"/>
    <x v="2"/>
    <x v="187"/>
    <n v="92619256"/>
    <n v="1.3"/>
    <n v="0.28032499999999999"/>
    <n v="0.21563461538461537"/>
    <n v="6.61"/>
    <n v="4.2409228441754911E-2"/>
    <n v="0"/>
    <n v="6.61"/>
    <n v="0"/>
    <s v=""/>
  </r>
  <r>
    <x v="92"/>
    <x v="0"/>
    <x v="188"/>
    <n v="88320000"/>
    <n v="0.96610075532155792"/>
    <n v="0.22040999999999999"/>
    <n v="0.22814390609459623"/>
    <n v="19"/>
    <n v="1.1600526315789473E-2"/>
    <n v="19"/>
    <n v="0"/>
    <n v="90654592"/>
    <n v="-5.8778856894529996E-2"/>
  </r>
  <r>
    <x v="92"/>
    <x v="1"/>
    <x v="189"/>
    <n v="88320000"/>
    <n v="1.0264333333333333"/>
    <n v="0.244201419"/>
    <n v="0.23791259604455559"/>
    <n v="19"/>
    <n v="1.2852706263157895E-2"/>
    <n v="19"/>
    <n v="0"/>
    <n v="133778304"/>
    <n v="-0.32235206091415247"/>
  </r>
  <r>
    <x v="92"/>
    <x v="2"/>
    <x v="190"/>
    <n v="88320000"/>
    <n v="1.5146999999999999"/>
    <n v="0.31610713000000001"/>
    <n v="0.20869289628309237"/>
    <n v="19"/>
    <n v="1.6637217368421053E-2"/>
    <n v="19"/>
    <n v="0"/>
    <n v="0"/>
    <s v=""/>
  </r>
  <r>
    <x v="93"/>
    <x v="0"/>
    <x v="188"/>
    <n v="88320000"/>
    <n v="0.96610075532155792"/>
    <n v="0.24245"/>
    <n v="0.25095726161532989"/>
    <n v="12.35"/>
    <n v="1.963157894736842E-2"/>
    <n v="12.35"/>
    <n v="0"/>
    <n v="90654592"/>
    <n v="-5.8778856894529996E-2"/>
  </r>
  <r>
    <x v="93"/>
    <x v="1"/>
    <x v="189"/>
    <n v="88320000"/>
    <n v="1.0264333333333333"/>
    <n v="0.26862156100000001"/>
    <n v="0.2617038557464359"/>
    <n v="12.35"/>
    <n v="2.1750733684210526E-2"/>
    <n v="12.35"/>
    <n v="0"/>
    <n v="133778304"/>
    <n v="-0.32235206091415247"/>
  </r>
  <r>
    <x v="93"/>
    <x v="2"/>
    <x v="190"/>
    <n v="88320000"/>
    <n v="1.5146999999999999"/>
    <n v="0.3477384"/>
    <n v="0.2295757575757576"/>
    <n v="12.35"/>
    <n v="2.8156955465587045E-2"/>
    <n v="12.35"/>
    <n v="0"/>
    <n v="0"/>
    <s v=""/>
  </r>
  <r>
    <x v="94"/>
    <x v="0"/>
    <x v="191"/>
    <n v="94433283"/>
    <n v="3.4378556975510426"/>
    <n v="3.9972394429999998"/>
    <n v="1.1627129800263096"/>
    <n v="62.04"/>
    <n v="6.4430036154094136E-2"/>
    <n v="62.04"/>
    <n v="0"/>
    <n v="281411183"/>
    <n v="0.15364285292102275"/>
  </r>
  <r>
    <x v="94"/>
    <x v="1"/>
    <x v="192"/>
    <n v="94433283"/>
    <n v="2.9799999963995747"/>
    <n v="3.6127542309999998"/>
    <n v="1.2123336360284955"/>
    <n v="62.04"/>
    <n v="5.8232660074145709E-2"/>
    <n v="62.04"/>
    <n v="0"/>
    <n v="183200569"/>
    <n v="0.53608247253860886"/>
  </r>
  <r>
    <x v="94"/>
    <x v="2"/>
    <x v="193"/>
    <n v="94433283"/>
    <n v="1.9399999997882102"/>
    <n v="2.6568953629999998"/>
    <n v="1.3695336924175532"/>
    <n v="62.04"/>
    <n v="4.2825521647324304E-2"/>
    <n v="62.04"/>
    <n v="0"/>
    <n v="101987946"/>
    <n v="0.796296289759576"/>
  </r>
  <r>
    <x v="94"/>
    <x v="3"/>
    <x v="194"/>
    <n v="94433283"/>
    <n v="1.0800000038122153"/>
    <n v="1.4826292830000001"/>
    <n v="1.3728048868209002"/>
    <n v="62.04"/>
    <n v="2.389795749516441E-2"/>
    <n v="62.04"/>
    <n v="0"/>
    <n v="0"/>
    <s v=""/>
  </r>
  <r>
    <x v="95"/>
    <x v="0"/>
    <x v="191"/>
    <n v="94433283"/>
    <n v="3.4378556975510426"/>
    <n v="3.9972394429999998"/>
    <n v="1.1627129800263096"/>
    <n v="61.99"/>
    <n v="6.4482004242619767E-2"/>
    <n v="61.99"/>
    <n v="0"/>
    <n v="281411183"/>
    <n v="0.15364285292102275"/>
  </r>
  <r>
    <x v="95"/>
    <x v="1"/>
    <x v="192"/>
    <n v="94433283"/>
    <n v="2.9799999963995747"/>
    <n v="3.6127542300000002"/>
    <n v="1.2123336356929251"/>
    <n v="61.99"/>
    <n v="5.8279629456363932E-2"/>
    <n v="61.99"/>
    <n v="0"/>
    <n v="183200569"/>
    <n v="0.53608247253860886"/>
  </r>
  <r>
    <x v="95"/>
    <x v="2"/>
    <x v="193"/>
    <n v="94433283"/>
    <n v="1.9399999997882102"/>
    <n v="2.6568953610000001"/>
    <n v="1.3695336913866254"/>
    <n v="61.99"/>
    <n v="4.2860063897402809E-2"/>
    <n v="61.99"/>
    <n v="0"/>
    <n v="101987946"/>
    <n v="0.796296289759576"/>
  </r>
  <r>
    <x v="95"/>
    <x v="3"/>
    <x v="194"/>
    <n v="94433283"/>
    <n v="1.0800000038122153"/>
    <n v="2.1814776419999999"/>
    <n v="2.0198866984257009"/>
    <n v="61.99"/>
    <n v="3.519079919341829E-2"/>
    <n v="61.99"/>
    <n v="0"/>
    <n v="0"/>
    <s v=""/>
  </r>
  <r>
    <x v="96"/>
    <x v="0"/>
    <x v="195"/>
    <n v="381253493"/>
    <n v="2.363946351909227"/>
    <n v="2.4435890119999999"/>
    <n v="1.0336905530984026"/>
    <n v="17.239999999999998"/>
    <n v="0.1417395018561485"/>
    <n v="17.239999999999998"/>
    <n v="0"/>
    <n v="844863980.05999994"/>
    <n v="6.6754915822064831E-2"/>
  </r>
  <r>
    <x v="96"/>
    <x v="1"/>
    <x v="196"/>
    <n v="381253493"/>
    <n v="2.2160163659405474"/>
    <n v="2.307552448"/>
    <n v="1.0413065911724897"/>
    <n v="17.239999999999998"/>
    <n v="0.13384874988399073"/>
    <n v="17.239999999999998"/>
    <n v="0"/>
    <n v="737339863.24000001"/>
    <n v="0.14582707673978201"/>
  </r>
  <r>
    <x v="96"/>
    <x v="2"/>
    <x v="197"/>
    <n v="381253493"/>
    <n v="1.9339884795232551"/>
    <n v="2.1575277719999999"/>
    <n v="1.1155846039640573"/>
    <n v="17.239999999999998"/>
    <n v="0.12514662250580047"/>
    <n v="17.239999999999998"/>
    <n v="0"/>
    <n v="780235000"/>
    <n v="-5.4977201432901635E-2"/>
  </r>
  <r>
    <x v="96"/>
    <x v="3"/>
    <x v="198"/>
    <n v="381253493"/>
    <n v="2.0464992828275541"/>
    <n v="1.9523818630000001"/>
    <n v="0.95401052880042236"/>
    <n v="17.239999999999998"/>
    <n v="0.11324720783062646"/>
    <n v="17.239999999999998"/>
    <n v="0"/>
    <n v="0"/>
    <s v=""/>
  </r>
  <r>
    <x v="97"/>
    <x v="0"/>
    <x v="195"/>
    <n v="381253493"/>
    <n v="2.363946351909227"/>
    <n v="2.687947914"/>
    <n v="1.13705960874666"/>
    <n v="18.760000000000002"/>
    <n v="0.14328080565031981"/>
    <n v="18.760000000000002"/>
    <n v="0"/>
    <n v="844863980.05999994"/>
    <n v="6.6754915822064831E-2"/>
  </r>
  <r>
    <x v="97"/>
    <x v="1"/>
    <x v="196"/>
    <n v="381253493"/>
    <n v="2.2160163659405474"/>
    <n v="2.5383076930000001"/>
    <n v="1.1454372503799908"/>
    <n v="18.760000000000002"/>
    <n v="0.13530424802771854"/>
    <n v="18.760000000000002"/>
    <n v="0"/>
    <n v="737339863.24000001"/>
    <n v="0.14582707673978201"/>
  </r>
  <r>
    <x v="97"/>
    <x v="2"/>
    <x v="197"/>
    <n v="381253493"/>
    <n v="1.9339884795232551"/>
    <n v="2.373280549"/>
    <n v="1.2271430642570498"/>
    <n v="18.760000000000002"/>
    <n v="0.12650749195095948"/>
    <n v="18.760000000000002"/>
    <n v="0"/>
    <n v="780235000"/>
    <n v="-5.4977201432901635E-2"/>
  </r>
  <r>
    <x v="97"/>
    <x v="3"/>
    <x v="198"/>
    <n v="381253493"/>
    <n v="2.0464992828275541"/>
    <n v="2.1476200489999999"/>
    <n v="1.0494115815338727"/>
    <n v="18.760000000000002"/>
    <n v="0.11447868065031981"/>
    <n v="18.760000000000002"/>
    <n v="0"/>
    <n v="0"/>
    <s v=""/>
  </r>
  <r>
    <x v="98"/>
    <x v="0"/>
    <x v="199"/>
    <n v="166355563"/>
    <n v="1.8401856209641753E-2"/>
    <n v="1.6664410399999999E-2"/>
    <n v="0.90558312216724046"/>
    <n v="0.13"/>
    <n v="0.12818777230769229"/>
    <n v="0.13"/>
    <n v="0"/>
    <n v="2796437"/>
    <n v="9.4696984055067102E-2"/>
  </r>
  <r>
    <x v="98"/>
    <x v="1"/>
    <x v="200"/>
    <n v="166355563"/>
    <n v="1.6809999915662573E-2"/>
    <n v="1.4520999999999999E-2"/>
    <n v="0.86383105727860132"/>
    <n v="0.13"/>
    <n v="0.11169999999999999"/>
    <n v="0.13"/>
    <n v="0"/>
    <n v="2520287"/>
    <n v="0.10957085443046766"/>
  </r>
  <r>
    <x v="98"/>
    <x v="2"/>
    <x v="201"/>
    <n v="166355563"/>
    <n v="1.5150001325774719E-2"/>
    <n v="2.696E-3"/>
    <n v="0.17795377980682361"/>
    <n v="0.13"/>
    <n v="2.0738461538461539E-2"/>
    <n v="0.13"/>
    <n v="0"/>
    <n v="1605331"/>
    <n v="0.56994850283212628"/>
  </r>
  <r>
    <x v="98"/>
    <x v="3"/>
    <x v="202"/>
    <n v="166355563"/>
    <n v="9.6499989002471771E-3"/>
    <n v="1.01E-2"/>
    <n v="1.0466322436307527"/>
    <n v="0.13"/>
    <n v="7.7692307692307686E-2"/>
    <n v="0.13"/>
    <n v="0"/>
    <n v="0"/>
    <s v=""/>
  </r>
  <r>
    <x v="99"/>
    <x v="0"/>
    <x v="199"/>
    <n v="166355563"/>
    <n v="1.8401856209641753E-2"/>
    <n v="1.8330851400000001E-2"/>
    <n v="0.99614143221027074"/>
    <n v="0.12"/>
    <n v="0.15275709500000001"/>
    <n v="0.12"/>
    <n v="0"/>
    <n v="2796437"/>
    <n v="9.4696984055067102E-2"/>
  </r>
  <r>
    <x v="99"/>
    <x v="1"/>
    <x v="200"/>
    <n v="166355563"/>
    <n v="1.6809999915662573E-2"/>
    <n v="1.5972E-2"/>
    <n v="0.95014872576639497"/>
    <n v="0.12"/>
    <n v="0.1331"/>
    <n v="0.12"/>
    <n v="0"/>
    <n v="2520287"/>
    <n v="0.10957085443046766"/>
  </r>
  <r>
    <x v="99"/>
    <x v="2"/>
    <x v="201"/>
    <n v="166355563"/>
    <n v="1.5150001325774719E-2"/>
    <n v="3.0049999999999999E-3"/>
    <n v="0.1983498176259291"/>
    <n v="0.12"/>
    <n v="2.5041666666666667E-2"/>
    <n v="0.12"/>
    <n v="0"/>
    <n v="1605331"/>
    <n v="0.56994850283212628"/>
  </r>
  <r>
    <x v="99"/>
    <x v="3"/>
    <x v="202"/>
    <n v="166355563"/>
    <n v="9.6499989002471771E-3"/>
    <n v="1.11E-2"/>
    <n v="1.1502591984456789"/>
    <n v="0.12"/>
    <n v="9.2500000000000013E-2"/>
    <n v="0.12"/>
    <n v="0"/>
    <n v="0"/>
    <s v=""/>
  </r>
  <r>
    <x v="100"/>
    <x v="0"/>
    <x v="203"/>
    <n v="9133687"/>
    <n v="7.0662275814794173E-2"/>
    <n v="1.3493369900000001"/>
    <n v="19.095577865856068"/>
    <n v="17.97"/>
    <n v="7.5088313299944365E-2"/>
    <n v="0"/>
    <n v="17.97"/>
    <n v="9737000"/>
    <n v="-0.93371602033480539"/>
  </r>
  <r>
    <x v="100"/>
    <x v="1"/>
    <x v="204"/>
    <n v="9133687"/>
    <n v="1.0660536101138565"/>
    <n v="0.91752482999999996"/>
    <n v="0.86067419245642496"/>
    <n v="17.97"/>
    <n v="5.1058699499165278E-2"/>
    <n v="0"/>
    <n v="17.97"/>
    <n v="18645000"/>
    <n v="-0.47776883883078569"/>
  </r>
  <r>
    <x v="100"/>
    <x v="2"/>
    <x v="205"/>
    <n v="9133687"/>
    <n v="2.0413443114483778"/>
    <n v="0.50479059999999998"/>
    <n v="0.24728341866142128"/>
    <n v="17.97"/>
    <n v="2.8090740122426267E-2"/>
    <n v="0"/>
    <n v="17.97"/>
    <n v="0"/>
    <s v=""/>
  </r>
  <r>
    <x v="101"/>
    <x v="0"/>
    <x v="206"/>
    <n v="176611578"/>
    <n v="1.5191982487127769"/>
    <n v="0.40200000000000002"/>
    <n v="0.26461325922447337"/>
    <n v="21.35"/>
    <n v="1.8829039812646369E-2"/>
    <n v="0"/>
    <n v="21.35"/>
    <n v="151938000"/>
    <n v="0.765904513683213"/>
  </r>
  <r>
    <x v="101"/>
    <x v="1"/>
    <x v="207"/>
    <n v="176611578"/>
    <n v="0.86029467445220376"/>
    <n v="0.38"/>
    <n v="0.44170911582355965"/>
    <n v="21.35"/>
    <n v="1.7798594847775174E-2"/>
    <n v="0"/>
    <n v="21.35"/>
    <n v="151547000"/>
    <n v="2.5800576718773005E-3"/>
  </r>
  <r>
    <x v="101"/>
    <x v="2"/>
    <x v="208"/>
    <n v="176611578"/>
    <n v="0.85808077656154569"/>
    <n v="0.36499999999999999"/>
    <n v="0.42536787907381868"/>
    <n v="21.35"/>
    <n v="1.7096018735362997E-2"/>
    <n v="0"/>
    <n v="21.35"/>
    <n v="92927000"/>
    <n v="0.63081773865507329"/>
  </r>
  <r>
    <x v="101"/>
    <x v="3"/>
    <x v="209"/>
    <n v="176611578"/>
    <n v="0.52616595725111526"/>
    <n v="0.315"/>
    <n v="0.59867043023018063"/>
    <n v="21.35"/>
    <n v="1.4754098360655736E-2"/>
    <n v="0"/>
    <n v="21.35"/>
    <n v="0"/>
    <s v=""/>
  </r>
  <r>
    <x v="102"/>
    <x v="0"/>
    <x v="210"/>
    <n v="5470667261"/>
    <n v="0.82974032979667278"/>
    <n v="0.34289999999999998"/>
    <n v="0.41326182142312806"/>
    <n v="10.56"/>
    <n v="3.2471590909090908E-2"/>
    <n v="10.56"/>
    <n v="0"/>
    <n v="4693567188.1000004"/>
    <n v="-3.2882011605436468E-2"/>
  </r>
  <r>
    <x v="102"/>
    <x v="1"/>
    <x v="211"/>
    <n v="5470667261"/>
    <n v="0.85795150100977791"/>
    <n v="0.33350000000000002"/>
    <n v="0.38871661114583117"/>
    <n v="10.56"/>
    <n v="3.1581439393939391E-2"/>
    <n v="10.56"/>
    <n v="0"/>
    <n v="4309548054.5299997"/>
    <n v="8.9108910890629778E-2"/>
  </r>
  <r>
    <x v="102"/>
    <x v="2"/>
    <x v="212"/>
    <n v="5470667261"/>
    <n v="0.78775546910931016"/>
    <n v="0.29649999999999999"/>
    <n v="0.37638583497902339"/>
    <n v="10.56"/>
    <n v="2.8077651515151514E-2"/>
    <n v="10.56"/>
    <n v="0"/>
    <n v="2858809105.48"/>
    <n v="0.50746268656732063"/>
  </r>
  <r>
    <x v="102"/>
    <x v="3"/>
    <x v="213"/>
    <n v="5470667261"/>
    <n v="0.52257045970612181"/>
    <n v="0.25769999999999998"/>
    <n v="0.49313924125164449"/>
    <n v="10.56"/>
    <n v="2.4403409090909087E-2"/>
    <n v="10.56"/>
    <n v="0"/>
    <n v="0"/>
    <s v=""/>
  </r>
  <r>
    <x v="103"/>
    <x v="0"/>
    <x v="210"/>
    <n v="5470667261"/>
    <n v="0.82974032979667278"/>
    <n v="0.34289999999999998"/>
    <n v="0.41326182142312806"/>
    <n v="8.6199999999999992"/>
    <n v="3.9779582366589329E-2"/>
    <n v="8.6199999999999992"/>
    <n v="0"/>
    <n v="4693567188.1000004"/>
    <n v="-3.2882011605436468E-2"/>
  </r>
  <r>
    <x v="103"/>
    <x v="1"/>
    <x v="211"/>
    <n v="5470667261"/>
    <n v="0.85795150100977791"/>
    <n v="0.33350000000000002"/>
    <n v="0.38871661114583117"/>
    <n v="8.6199999999999992"/>
    <n v="3.8689095127610214E-2"/>
    <n v="8.6199999999999992"/>
    <n v="0"/>
    <n v="4309548054.5299997"/>
    <n v="8.9108910890629778E-2"/>
  </r>
  <r>
    <x v="103"/>
    <x v="2"/>
    <x v="212"/>
    <n v="5470667261"/>
    <n v="0.78775546910931016"/>
    <n v="0.29649999999999999"/>
    <n v="0.37638583497902339"/>
    <n v="8.6199999999999992"/>
    <n v="3.439675174013921E-2"/>
    <n v="8.6199999999999992"/>
    <n v="0"/>
    <n v="2858809105.48"/>
    <n v="0.50746268656732063"/>
  </r>
  <r>
    <x v="103"/>
    <x v="3"/>
    <x v="213"/>
    <n v="5470667261"/>
    <n v="0.52257045970612181"/>
    <n v="0.25769999999999998"/>
    <n v="0.49313924125164449"/>
    <n v="8.6199999999999992"/>
    <n v="2.9895591647331788E-2"/>
    <n v="8.6199999999999992"/>
    <n v="0"/>
    <n v="0"/>
    <s v=""/>
  </r>
  <r>
    <x v="104"/>
    <x v="0"/>
    <x v="214"/>
    <n v="5028029710"/>
    <n v="2.14786681892538"/>
    <n v="1"/>
    <n v="0.46557821518017567"/>
    <n v="28.99"/>
    <n v="3.4494653328734047E-2"/>
    <n v="28.99"/>
    <n v="0"/>
    <n v="11890195760.129999"/>
    <n v="-9.172747055243391E-2"/>
  </r>
  <r>
    <x v="104"/>
    <x v="1"/>
    <x v="215"/>
    <n v="5028029710"/>
    <n v="2.364782319500256"/>
    <n v="0.97270000000000001"/>
    <n v="0.41132750020118491"/>
    <n v="28.99"/>
    <n v="3.355294929285961E-2"/>
    <n v="28.99"/>
    <n v="0"/>
    <n v="10272015528.35"/>
    <n v="0.15753288410769439"/>
  </r>
  <r>
    <x v="104"/>
    <x v="2"/>
    <x v="216"/>
    <n v="5028029710"/>
    <n v="2.0429504439722175"/>
    <n v="0.86070000000000002"/>
    <n v="0.42130243664966005"/>
    <n v="28.99"/>
    <n v="2.9689548120041397E-2"/>
    <n v="28.99"/>
    <n v="0"/>
    <n v="0"/>
    <s v=""/>
  </r>
  <r>
    <x v="105"/>
    <x v="0"/>
    <x v="214"/>
    <n v="5028029710"/>
    <n v="2.14786681892538"/>
    <n v="1"/>
    <n v="0.46557821518017567"/>
    <n v="31.25"/>
    <n v="3.2000000000000001E-2"/>
    <n v="31.25"/>
    <n v="0"/>
    <n v="11890195760.129999"/>
    <n v="-9.172747055243391E-2"/>
  </r>
  <r>
    <x v="105"/>
    <x v="1"/>
    <x v="215"/>
    <n v="5028029710"/>
    <n v="2.364782319500256"/>
    <n v="0.97270000000000001"/>
    <n v="0.41132750020118491"/>
    <n v="31.25"/>
    <n v="3.1126400000000002E-2"/>
    <n v="31.25"/>
    <n v="0"/>
    <n v="10272015528.35"/>
    <n v="0.15753288410769439"/>
  </r>
  <r>
    <x v="105"/>
    <x v="2"/>
    <x v="216"/>
    <n v="5028029710"/>
    <n v="2.0429504439722175"/>
    <n v="0.86070000000000002"/>
    <n v="0.42130243664966005"/>
    <n v="31.25"/>
    <n v="2.7542400000000002E-2"/>
    <n v="31.25"/>
    <n v="0"/>
    <n v="0"/>
    <s v=""/>
  </r>
  <r>
    <x v="106"/>
    <x v="0"/>
    <x v="217"/>
    <n v="2943644008"/>
    <n v="0.244234628533927"/>
    <n v="5.8005724000000002E-2"/>
    <n v="0.23749999886663223"/>
    <n v="8.9"/>
    <n v="6.5174970786516856E-3"/>
    <n v="0"/>
    <n v="8.9"/>
    <n v="-75180667.959999993"/>
    <n v="-10.562828055910773"/>
  </r>
  <r>
    <x v="106"/>
    <x v="1"/>
    <x v="218"/>
    <n v="2943644008"/>
    <n v="-2.5539999998532428E-2"/>
    <n v="0"/>
    <s v=""/>
    <n v="8.9"/>
    <s v=""/>
    <n v="0"/>
    <n v="8.9"/>
    <n v="-357505564.80000001"/>
    <n v="0"/>
  </r>
  <r>
    <x v="106"/>
    <x v="2"/>
    <x v="219"/>
    <n v="2943644008"/>
    <n v="-0.12145000000964791"/>
    <n v="0"/>
    <s v=""/>
    <n v="8.9"/>
    <s v=""/>
    <n v="0"/>
    <n v="8.9"/>
    <n v="0"/>
    <s v=""/>
  </r>
  <r>
    <x v="107"/>
    <x v="0"/>
    <x v="220"/>
    <n v="917683296"/>
    <n v="0.81941707538719322"/>
    <n v="0.2064"/>
    <n v="0.25188637898773503"/>
    <n v="11"/>
    <n v="1.8763636363636364E-2"/>
    <n v="11"/>
    <n v="0"/>
    <n v="182710744"/>
    <n v="3.1156056074075202"/>
  </r>
  <r>
    <x v="107"/>
    <x v="1"/>
    <x v="221"/>
    <n v="917683296"/>
    <n v="0.19909999974544595"/>
    <n v="0.1447"/>
    <n v="0.72677046803115197"/>
    <n v="11"/>
    <n v="1.3154545454545453E-2"/>
    <n v="11"/>
    <n v="0"/>
    <n v="559786811"/>
    <n v="-0.67360655805090053"/>
  </r>
  <r>
    <x v="107"/>
    <x v="2"/>
    <x v="222"/>
    <n v="917683296"/>
    <n v="0.61000000047946823"/>
    <n v="0.12509999999999999"/>
    <n v="0.20508196705191753"/>
    <n v="11"/>
    <n v="1.1372727272727272E-2"/>
    <n v="11"/>
    <n v="0"/>
    <n v="0"/>
    <s v=""/>
  </r>
  <r>
    <x v="108"/>
    <x v="0"/>
    <x v="220"/>
    <n v="917683296"/>
    <n v="0.81941707538719322"/>
    <n v="0.22700000000000001"/>
    <n v="0.27702620169678221"/>
    <n v="12.71"/>
    <n v="1.7859952793076318E-2"/>
    <n v="12.71"/>
    <n v="0"/>
    <n v="182710744"/>
    <n v="3.1156056074075202"/>
  </r>
  <r>
    <x v="108"/>
    <x v="1"/>
    <x v="221"/>
    <n v="917683296"/>
    <n v="0.19909999974544595"/>
    <n v="0.15920000000000001"/>
    <n v="0.79959819288569045"/>
    <n v="12.71"/>
    <n v="1.2525570416994493E-2"/>
    <n v="12.71"/>
    <n v="0"/>
    <n v="559786811"/>
    <n v="-0.67360655805090053"/>
  </r>
  <r>
    <x v="108"/>
    <x v="2"/>
    <x v="222"/>
    <n v="917683296"/>
    <n v="0.61000000047946823"/>
    <n v="0.1376"/>
    <n v="0.22557377031449924"/>
    <n v="12.71"/>
    <n v="1.0826121164437451E-2"/>
    <n v="12.71"/>
    <n v="0"/>
    <n v="0"/>
    <s v=""/>
  </r>
  <r>
    <x v="109"/>
    <x v="0"/>
    <x v="223"/>
    <n v="65075322"/>
    <n v="5.7195260593562641E-2"/>
    <n v="0.15492519799999999"/>
    <n v="2.7087069171853182"/>
    <n v="6.5"/>
    <n v="2.3834645846153843E-2"/>
    <n v="0"/>
    <n v="6.5"/>
    <n v="22576000"/>
    <n v="-0.83513465627214745"/>
  </r>
  <r>
    <x v="109"/>
    <x v="1"/>
    <x v="224"/>
    <n v="65075322"/>
    <n v="0.34692106479319457"/>
    <n v="0.22154209999999999"/>
    <n v="0.63859512287633768"/>
    <n v="6.5"/>
    <n v="3.40834E-2"/>
    <n v="0"/>
    <n v="6.5"/>
    <n v="0"/>
    <s v=""/>
  </r>
  <r>
    <x v="110"/>
    <x v="0"/>
    <x v="225"/>
    <n v="203934060"/>
    <n v="2.0787280870591212"/>
    <n v="1.71"/>
    <n v="0.82261841298311467"/>
    <n v="20.61"/>
    <n v="8.296943231441048E-2"/>
    <n v="20.61"/>
    <n v="0"/>
    <n v="310647000"/>
    <n v="0.36464687709844301"/>
  </r>
  <r>
    <x v="110"/>
    <x v="1"/>
    <x v="226"/>
    <n v="203934060"/>
    <n v="1.523271786968788"/>
    <n v="1.45"/>
    <n v="0.95189841524302499"/>
    <n v="20.61"/>
    <n v="7.0354196991751577E-2"/>
    <n v="20.61"/>
    <n v="0"/>
    <n v="575150000"/>
    <n v="-0.45988524732678426"/>
  </r>
  <r>
    <x v="110"/>
    <x v="2"/>
    <x v="227"/>
    <n v="203934060"/>
    <n v="2.8202743573094167"/>
    <n v="1.72"/>
    <n v="0.6098697438928975"/>
    <n v="20.61"/>
    <n v="8.3454633672974288E-2"/>
    <n v="20.61"/>
    <n v="0"/>
    <n v="0"/>
    <s v=""/>
  </r>
  <r>
    <x v="111"/>
    <x v="0"/>
    <x v="228"/>
    <n v="11764889"/>
    <n v="1.1334573577362268"/>
    <n v="0.27145999999999998"/>
    <n v="0.23949732043044619"/>
    <n v="49.6"/>
    <n v="5.4729838709677413E-3"/>
    <n v="49.6"/>
    <n v="0"/>
    <n v="23655000"/>
    <n v="-0.43627140139505394"/>
  </r>
  <r>
    <x v="111"/>
    <x v="1"/>
    <x v="229"/>
    <n v="11764889"/>
    <n v="2.0106437043307421"/>
    <n v="1.9100999999999999"/>
    <n v="0.94999427093214961"/>
    <n v="49.6"/>
    <n v="3.8510080645161288E-2"/>
    <n v="49.6"/>
    <n v="0"/>
    <n v="23252000"/>
    <n v="1.7331842422157129E-2"/>
  </r>
  <r>
    <x v="111"/>
    <x v="2"/>
    <x v="230"/>
    <n v="11764889"/>
    <n v="1.9763892375015182"/>
    <n v="0.92493999999999998"/>
    <n v="0.46799485771804578"/>
    <n v="49.6"/>
    <n v="1.8647983870967742E-2"/>
    <n v="49.6"/>
    <n v="0"/>
    <n v="11051000"/>
    <n v="1.1040629807257263"/>
  </r>
  <r>
    <x v="111"/>
    <x v="3"/>
    <x v="231"/>
    <n v="11764889"/>
    <n v="0.93932037947829339"/>
    <n v="6.5060000000000007E-2"/>
    <n v="6.9262843031399887E-2"/>
    <n v="49.6"/>
    <n v="1.3116935483870969E-3"/>
    <n v="49.6"/>
    <n v="0"/>
    <n v="0"/>
    <s v=""/>
  </r>
  <r>
    <x v="112"/>
    <x v="0"/>
    <x v="232"/>
    <n v="290677834"/>
    <n v="0.24331999900618498"/>
    <n v="5.7530390000000001E-2"/>
    <n v="0.23643921681315488"/>
    <n v="5.65"/>
    <n v="1.0182369911504424E-2"/>
    <n v="0"/>
    <n v="5.65"/>
    <n v="97911000"/>
    <n v="-0.27763243884752475"/>
  </r>
  <r>
    <x v="112"/>
    <x v="1"/>
    <x v="233"/>
    <n v="290677834"/>
    <n v="0.33683682946392124"/>
    <n v="0.03"/>
    <n v="8.9063894965836304E-2"/>
    <n v="5.65"/>
    <n v="5.3097345132743353E-3"/>
    <n v="0"/>
    <n v="5.65"/>
    <n v="91765000"/>
    <n v="6.6975426360812884E-2"/>
  </r>
  <r>
    <x v="112"/>
    <x v="2"/>
    <x v="234"/>
    <n v="290677834"/>
    <n v="0.31569314638556167"/>
    <n v="0"/>
    <s v=""/>
    <n v="5.65"/>
    <s v=""/>
    <n v="0"/>
    <n v="5.65"/>
    <n v="0"/>
    <s v=""/>
  </r>
  <r>
    <x v="113"/>
    <x v="0"/>
    <x v="235"/>
    <n v="11759999"/>
    <n v="1.4258504613818419"/>
    <n v="0.42399999999999999"/>
    <n v="0.29736638692748091"/>
    <n v="83.91"/>
    <n v="5.0530330115600049E-3"/>
    <n v="0"/>
    <n v="83.91"/>
    <n v="8649000"/>
    <n v="0.93872123944964736"/>
  </r>
  <r>
    <x v="113"/>
    <x v="1"/>
    <x v="236"/>
    <n v="11759999"/>
    <n v="0.7354592462125209"/>
    <n v="0.18870000000000001"/>
    <n v="0.25657437984738124"/>
    <n v="83.91"/>
    <n v="2.2488380407579551E-3"/>
    <n v="0"/>
    <n v="83.91"/>
    <n v="24344000"/>
    <n v="-0.64471738416036806"/>
  </r>
  <r>
    <x v="113"/>
    <x v="2"/>
    <x v="237"/>
    <n v="11759999"/>
    <n v="2.0700682032370921"/>
    <n v="0.54059999999999997"/>
    <n v="0.2611508157821229"/>
    <n v="83.91"/>
    <n v="6.4426170897390056E-3"/>
    <n v="0"/>
    <n v="83.91"/>
    <n v="0"/>
    <s v=""/>
  </r>
  <r>
    <x v="114"/>
    <x v="0"/>
    <x v="235"/>
    <n v="11759999"/>
    <n v="1.4258504613818419"/>
    <n v="0.52300000000000002"/>
    <n v="0.36679863293177484"/>
    <n v="6.58"/>
    <n v="7.9483282674772032E-2"/>
    <n v="0"/>
    <n v="6.58"/>
    <n v="8649000"/>
    <n v="0.93872123944964736"/>
  </r>
  <r>
    <x v="114"/>
    <x v="1"/>
    <x v="236"/>
    <n v="11759999"/>
    <n v="0.7354592462125209"/>
    <n v="0.38419999999999999"/>
    <n v="0.5223946832928662"/>
    <n v="6.58"/>
    <n v="5.8389057750759879E-2"/>
    <n v="0"/>
    <n v="6.58"/>
    <n v="24344000"/>
    <n v="-0.64471738416036806"/>
  </r>
  <r>
    <x v="114"/>
    <x v="2"/>
    <x v="237"/>
    <n v="11759999"/>
    <n v="2.0700682032370921"/>
    <n v="0.62594000000000005"/>
    <n v="0.3023765106005587"/>
    <n v="6.58"/>
    <n v="9.5127659574468088E-2"/>
    <n v="0"/>
    <n v="6.58"/>
    <n v="0"/>
    <s v=""/>
  </r>
  <r>
    <x v="115"/>
    <x v="0"/>
    <x v="238"/>
    <n v="12251221"/>
    <n v="14.094078937927902"/>
    <n v="3.8149609419999999"/>
    <n v="0.27067827268469036"/>
    <n v="158.99"/>
    <n v="2.3994974161896974E-2"/>
    <n v="0"/>
    <n v="158.99"/>
    <n v="181046595.15000001"/>
    <n v="-4.6269410827967095E-2"/>
  </r>
  <r>
    <x v="115"/>
    <x v="1"/>
    <x v="239"/>
    <n v="12251221"/>
    <n v="14.777840931120254"/>
    <n v="5.4828608059999997"/>
    <n v="0.37101907048233224"/>
    <n v="158.99"/>
    <n v="3.4485570199383607E-2"/>
    <n v="0"/>
    <n v="158.99"/>
    <n v="111311611.06999999"/>
    <n v="0.62648436591350842"/>
  </r>
  <r>
    <x v="115"/>
    <x v="2"/>
    <x v="240"/>
    <n v="12251221"/>
    <n v="9.0857565192889744"/>
    <n v="3.6731054410000001"/>
    <n v="0.40427073223919574"/>
    <n v="158.99"/>
    <n v="2.3102745084596515E-2"/>
    <n v="0"/>
    <n v="158.99"/>
    <n v="74101153.209999993"/>
    <n v="0.50215760818926669"/>
  </r>
  <r>
    <x v="115"/>
    <x v="3"/>
    <x v="241"/>
    <n v="12251221"/>
    <n v="6.0484708593535288"/>
    <n v="3.9996022359999999"/>
    <n v="0.66125841208524638"/>
    <n v="158.99"/>
    <n v="2.5156313202088179E-2"/>
    <n v="0"/>
    <n v="158.99"/>
    <n v="0"/>
    <s v=""/>
  </r>
  <r>
    <x v="116"/>
    <x v="0"/>
    <x v="242"/>
    <n v="189997214"/>
    <n v="2.0357784119929256"/>
    <n v="1.0304815780000001"/>
    <n v="0.50618553175009351"/>
    <n v="47.25"/>
    <n v="2.1809133925925928E-2"/>
    <n v="0"/>
    <n v="47.25"/>
    <n v="296889622.02999997"/>
    <n v="0.30281491133063465"/>
  </r>
  <r>
    <x v="116"/>
    <x v="1"/>
    <x v="243"/>
    <n v="189997214"/>
    <n v="1.5625998707012618"/>
    <n v="0.784386535"/>
    <n v="0.50197529752001313"/>
    <n v="47.25"/>
    <n v="1.6600773227513226E-2"/>
    <n v="0"/>
    <n v="47.25"/>
    <n v="216710069.06"/>
    <n v="0.36998536024554007"/>
  </r>
  <r>
    <x v="116"/>
    <x v="2"/>
    <x v="244"/>
    <n v="189997214"/>
    <n v="1.1405960355818692"/>
    <n v="0.54198311700000001"/>
    <n v="0.47517534700487551"/>
    <n v="47.25"/>
    <n v="1.1470542158730159E-2"/>
    <n v="0"/>
    <n v="47.25"/>
    <n v="170612814.30000001"/>
    <n v="0.2701863570396541"/>
  </r>
  <r>
    <x v="116"/>
    <x v="3"/>
    <x v="245"/>
    <n v="189997214"/>
    <n v="0.89797534768062448"/>
    <n v="0.32047732699999998"/>
    <n v="0.35688878077528419"/>
    <n v="47.25"/>
    <n v="6.7825889312169308E-3"/>
    <n v="0"/>
    <n v="47.25"/>
    <n v="0"/>
    <s v=""/>
  </r>
  <r>
    <x v="117"/>
    <x v="0"/>
    <x v="246"/>
    <n v="1797086404"/>
    <n v="0.46599864651805584"/>
    <n v="4.07"/>
    <n v="8.7339309468193953"/>
    <n v="4.6900000000000004"/>
    <n v="0.86780383795309168"/>
    <n v="0"/>
    <n v="4.6900000000000004"/>
    <n v="1005731443.8099999"/>
    <n v="-0.16733255473495279"/>
  </r>
  <r>
    <x v="117"/>
    <x v="1"/>
    <x v="247"/>
    <n v="1797086404"/>
    <n v="0.55964556939021837"/>
    <n v="0.92"/>
    <n v="1.6438975850419375"/>
    <n v="4.6900000000000004"/>
    <n v="0.19616204690831557"/>
    <n v="0"/>
    <n v="4.6900000000000004"/>
    <n v="1971024029.29"/>
    <n v="-0.48974166277806197"/>
  </r>
  <r>
    <x v="117"/>
    <x v="2"/>
    <x v="248"/>
    <n v="1797086404"/>
    <n v="1.0967886824489046"/>
    <n v="0"/>
    <s v=""/>
    <n v="4.6900000000000004"/>
    <s v=""/>
    <n v="0"/>
    <n v="4.6900000000000004"/>
    <n v="0"/>
    <s v=""/>
  </r>
  <r>
    <x v="118"/>
    <x v="0"/>
    <x v="246"/>
    <n v="1797086404"/>
    <n v="0.46599864651805584"/>
    <n v="4.07"/>
    <n v="8.7339309468193953"/>
    <n v="4.37"/>
    <n v="0.93135011441647597"/>
    <n v="0"/>
    <n v="4.37"/>
    <n v="1005731443.8099999"/>
    <n v="-0.16733255473495279"/>
  </r>
  <r>
    <x v="118"/>
    <x v="1"/>
    <x v="247"/>
    <n v="1797086404"/>
    <n v="0.55964556939021837"/>
    <n v="0.92"/>
    <n v="1.6438975850419375"/>
    <n v="4.37"/>
    <n v="0.2105263157894737"/>
    <n v="0"/>
    <n v="4.37"/>
    <n v="1971024029.29"/>
    <n v="-0.48974166277806197"/>
  </r>
  <r>
    <x v="118"/>
    <x v="2"/>
    <x v="248"/>
    <n v="1797086404"/>
    <n v="1.0967886824489046"/>
    <n v="0"/>
    <s v=""/>
    <n v="4.37"/>
    <s v=""/>
    <n v="0"/>
    <n v="4.37"/>
    <n v="0"/>
    <s v=""/>
  </r>
  <r>
    <x v="119"/>
    <x v="0"/>
    <x v="249"/>
    <n v="12587262"/>
    <n v="1.2290119781410762"/>
    <n v="1.0680540000000001"/>
    <n v="0.86903465466257634"/>
    <n v="20"/>
    <n v="5.3402700000000004E-2"/>
    <n v="0"/>
    <n v="20"/>
    <n v="13306306.460000001"/>
    <n v="0.1625987885146003"/>
  </r>
  <r>
    <x v="119"/>
    <x v="1"/>
    <x v="250"/>
    <n v="12587262"/>
    <n v="1.0571247710582334"/>
    <n v="1.003811"/>
    <n v="0.9495671915767675"/>
    <n v="20"/>
    <n v="5.019055E-2"/>
    <n v="0"/>
    <n v="20"/>
    <n v="19966613.23"/>
    <n v="-0.333572183388259"/>
  </r>
  <r>
    <x v="119"/>
    <x v="2"/>
    <x v="251"/>
    <n v="12587262"/>
    <n v="1.5862554723974125"/>
    <n v="0.962588"/>
    <n v="0.6068303730074307"/>
    <n v="20"/>
    <n v="4.8129400000000003E-2"/>
    <n v="0"/>
    <n v="20"/>
    <n v="8984823.1899999995"/>
    <n v="1.2222600053190362"/>
  </r>
  <r>
    <x v="119"/>
    <x v="3"/>
    <x v="252"/>
    <n v="12587262"/>
    <n v="0.71380282622225544"/>
    <n v="0.86186600000000002"/>
    <n v="1.2074286740518487"/>
    <n v="20"/>
    <n v="4.3093300000000001E-2"/>
    <n v="0"/>
    <n v="20"/>
    <n v="0"/>
    <s v=""/>
  </r>
  <r>
    <x v="120"/>
    <x v="0"/>
    <x v="253"/>
    <n v="13044496930"/>
    <n v="1.6018176272896711"/>
    <n v="0.47"/>
    <n v="0.29341667365420099"/>
    <n v="15.12"/>
    <n v="3.1084656084656083E-2"/>
    <n v="0"/>
    <n v="15.12"/>
    <n v="33133022202"/>
    <n v="-0.36936313885852756"/>
  </r>
  <r>
    <x v="120"/>
    <x v="1"/>
    <x v="254"/>
    <n v="13044496930"/>
    <n v="2.5399999999846679"/>
    <n v="0.92"/>
    <n v="0.3622047244116352"/>
    <n v="15.12"/>
    <n v="6.084656084656085E-2"/>
    <n v="0"/>
    <n v="15.12"/>
    <n v="46307964102"/>
    <n v="-0.28450704226556545"/>
  </r>
  <r>
    <x v="120"/>
    <x v="2"/>
    <x v="255"/>
    <n v="13044496930"/>
    <n v="3.5500000000383305"/>
    <n v="1.03"/>
    <n v="0.29014084506728982"/>
    <n v="15.12"/>
    <n v="6.8121693121693125E-2"/>
    <n v="0"/>
    <n v="15.12"/>
    <n v="44612179501"/>
    <n v="3.801169590833342E-2"/>
  </r>
  <r>
    <x v="120"/>
    <x v="3"/>
    <x v="256"/>
    <n v="13044496930"/>
    <n v="3.4200000000306643"/>
    <n v="0.95"/>
    <n v="0.27777777777528717"/>
    <n v="15.12"/>
    <n v="6.2830687830687834E-2"/>
    <n v="0"/>
    <n v="15.12"/>
    <n v="0"/>
    <s v=""/>
  </r>
  <r>
    <x v="121"/>
    <x v="0"/>
    <x v="253"/>
    <n v="13044496930"/>
    <n v="1.6018176272896711"/>
    <n v="0.96"/>
    <n v="0.5993191632085807"/>
    <n v="16.04"/>
    <n v="5.9850374064837904E-2"/>
    <n v="0"/>
    <n v="16.04"/>
    <n v="33133022202"/>
    <n v="-0.36936313885852756"/>
  </r>
  <r>
    <x v="121"/>
    <x v="1"/>
    <x v="254"/>
    <n v="13044496930"/>
    <n v="2.5399999999846679"/>
    <n v="0.92"/>
    <n v="0.3622047244116352"/>
    <n v="16.04"/>
    <n v="5.7356608478803001E-2"/>
    <n v="0"/>
    <n v="16.04"/>
    <n v="46307964102"/>
    <n v="-0.28450704226556545"/>
  </r>
  <r>
    <x v="121"/>
    <x v="2"/>
    <x v="255"/>
    <n v="13044496930"/>
    <n v="3.5500000000383305"/>
    <n v="1.03"/>
    <n v="0.29014084506728982"/>
    <n v="16.04"/>
    <n v="6.4214463840399014E-2"/>
    <n v="0"/>
    <n v="16.04"/>
    <n v="44612179501"/>
    <n v="3.801169590833342E-2"/>
  </r>
  <r>
    <x v="121"/>
    <x v="3"/>
    <x v="256"/>
    <n v="13044496930"/>
    <n v="3.4200000000306643"/>
    <n v="0.95"/>
    <n v="0.27777777777528717"/>
    <n v="16.04"/>
    <n v="5.922693266832918E-2"/>
    <n v="0"/>
    <n v="16.04"/>
    <n v="0"/>
    <s v=""/>
  </r>
  <r>
    <x v="122"/>
    <x v="0"/>
    <x v="257"/>
    <n v="110842313"/>
    <n v="1.6911718989480129"/>
    <n v="0.92906"/>
    <n v="0.54935870243463614"/>
    <n v="8.6999999999999993"/>
    <n v="0.10678850574712645"/>
    <n v="8.6999999999999993"/>
    <n v="0"/>
    <n v="161513908.16999999"/>
    <n v="0.16060224833825232"/>
  </r>
  <r>
    <x v="122"/>
    <x v="1"/>
    <x v="258"/>
    <n v="110842313"/>
    <n v="1.4571502867321073"/>
    <n v="0.83615399999999995"/>
    <n v="0.57382825067084131"/>
    <n v="8.6999999999999993"/>
    <n v="9.6109655172413794E-2"/>
    <n v="8.6999999999999993"/>
    <n v="0"/>
    <n v="116428578.18000001"/>
    <n v="0.38723594064936107"/>
  </r>
  <r>
    <x v="122"/>
    <x v="2"/>
    <x v="259"/>
    <n v="110842313"/>
    <n v="1.0503983093532161"/>
    <n v="0.69679500000000005"/>
    <n v="0.66336264424211833"/>
    <n v="8.6999999999999993"/>
    <n v="8.0091379310344837E-2"/>
    <n v="8.6999999999999993"/>
    <n v="0"/>
    <n v="86911496.730000004"/>
    <n v="0.3396222888865672"/>
  </r>
  <r>
    <x v="122"/>
    <x v="3"/>
    <x v="260"/>
    <n v="110842313"/>
    <n v="0.78410035281382129"/>
    <n v="0.69679500000000005"/>
    <n v="0.88865538384147214"/>
    <n v="8.6999999999999993"/>
    <n v="8.0091379310344837E-2"/>
    <n v="8.6999999999999993"/>
    <n v="0"/>
    <n v="0"/>
    <s v=""/>
  </r>
  <r>
    <x v="123"/>
    <x v="0"/>
    <x v="261"/>
    <n v="87289932"/>
    <n v="2.2533137835414969"/>
    <n v="0.72"/>
    <n v="0.31952939943783043"/>
    <n v="11.32"/>
    <n v="6.3604240282685506E-2"/>
    <n v="11.32"/>
    <n v="0"/>
    <n v="359474959.12"/>
    <n v="-0.45283641614007286"/>
  </r>
  <r>
    <x v="123"/>
    <x v="1"/>
    <x v="262"/>
    <n v="87289932"/>
    <n v="4.118172060438769"/>
    <n v="1.0900000000000001"/>
    <n v="0.26468053884175652"/>
    <n v="11.32"/>
    <n v="9.6289752650176683E-2"/>
    <n v="11.32"/>
    <n v="0"/>
    <n v="117452154.81999999"/>
    <n v="2.0606076122733499"/>
  </r>
  <r>
    <x v="123"/>
    <x v="2"/>
    <x v="263"/>
    <n v="87289932"/>
    <n v="1.3455406841192177"/>
    <n v="0.52"/>
    <n v="0.38646174444022008"/>
    <n v="11.32"/>
    <n v="4.5936395759717315E-2"/>
    <n v="11.32"/>
    <n v="0"/>
    <n v="0"/>
    <s v=""/>
  </r>
  <r>
    <x v="124"/>
    <x v="0"/>
    <x v="264"/>
    <n v="80041132"/>
    <n v="0.56309798317195214"/>
    <n v="0.66"/>
    <n v="1.1720873093563489"/>
    <n v="7.7"/>
    <n v="8.5714285714285715E-2"/>
    <n v="0"/>
    <n v="7.7"/>
    <n v="29451000"/>
    <n v="0.53037248310753449"/>
  </r>
  <r>
    <x v="124"/>
    <x v="1"/>
    <x v="265"/>
    <n v="80041132"/>
    <n v="0.36794831937159511"/>
    <n v="0.5"/>
    <n v="1.3588864894231094"/>
    <n v="7.7"/>
    <n v="6.4935064935064929E-2"/>
    <n v="0"/>
    <n v="7.7"/>
    <n v="23814000"/>
    <n v="0.23670949861426061"/>
  </r>
  <r>
    <x v="124"/>
    <x v="2"/>
    <x v="266"/>
    <n v="80041132"/>
    <n v="0.29752202904876457"/>
    <n v="0.41"/>
    <n v="1.37804921978668"/>
    <n v="7.7"/>
    <n v="5.3246753246753244E-2"/>
    <n v="0"/>
    <n v="7.7"/>
    <n v="0"/>
    <s v=""/>
  </r>
  <r>
    <x v="125"/>
    <x v="0"/>
    <x v="267"/>
    <n v="323293030"/>
    <n v="2.111335579984511"/>
    <n v="1.05"/>
    <n v="0.49731554280333917"/>
    <n v="29"/>
    <n v="3.6206896551724141E-2"/>
    <n v="29"/>
    <n v="0"/>
    <n v="580084000"/>
    <n v="0.17669178429330934"/>
  </r>
  <r>
    <x v="125"/>
    <x v="1"/>
    <x v="268"/>
    <n v="323293030"/>
    <n v="1.7942978851106068"/>
    <n v="0.84"/>
    <n v="0.46814969073444535"/>
    <n v="29"/>
    <n v="2.8965517241379309E-2"/>
    <n v="29"/>
    <n v="0"/>
    <n v="623912000"/>
    <n v="-7.0247086127530833E-2"/>
  </r>
  <r>
    <x v="125"/>
    <x v="2"/>
    <x v="269"/>
    <n v="323293030"/>
    <n v="1.9298652989827836"/>
    <n v="0.72"/>
    <n v="0.37308303350472499"/>
    <n v="29"/>
    <n v="2.4827586206896551E-2"/>
    <n v="29"/>
    <n v="0"/>
    <n v="328416000"/>
    <n v="0.89976127837864173"/>
  </r>
  <r>
    <x v="125"/>
    <x v="3"/>
    <x v="270"/>
    <n v="323293030"/>
    <n v="1.0158462123356016"/>
    <n v="0.4"/>
    <n v="0.39376038926239892"/>
    <n v="29"/>
    <n v="1.3793103448275864E-2"/>
    <n v="29"/>
    <n v="0"/>
    <n v="0"/>
    <s v=""/>
  </r>
  <r>
    <x v="126"/>
    <x v="0"/>
    <x v="271"/>
    <n v="17887362"/>
    <n v="17.53690548444203"/>
    <n v="5.0837892499999997"/>
    <n v="0.28989089634486048"/>
    <n v="58"/>
    <n v="8.7651538793103445E-2"/>
    <n v="0"/>
    <n v="58"/>
    <n v="96465537.109999999"/>
    <n v="2.2518242903919079"/>
  </r>
  <r>
    <x v="126"/>
    <x v="1"/>
    <x v="272"/>
    <n v="17887362"/>
    <n v="5.392943750453532"/>
    <n v="2.3852000000000002"/>
    <n v="0.44228163881728072"/>
    <n v="58"/>
    <n v="4.1124137931034484E-2"/>
    <n v="0"/>
    <n v="58"/>
    <n v="86203563.489999995"/>
    <n v="0.11904349663213676"/>
  </r>
  <r>
    <x v="126"/>
    <x v="2"/>
    <x v="273"/>
    <n v="17887362"/>
    <n v="4.8192440836161303"/>
    <n v="1.2701"/>
    <n v="0.26354755599906815"/>
    <n v="58"/>
    <n v="2.1898275862068967E-2"/>
    <n v="0"/>
    <n v="58"/>
    <n v="74229898.859999999"/>
    <n v="0.16130514541832697"/>
  </r>
  <r>
    <x v="126"/>
    <x v="3"/>
    <x v="274"/>
    <n v="17887362"/>
    <n v="4.1498516583943452"/>
    <n v="0.79869999999999997"/>
    <n v="0.1924647109697005"/>
    <n v="58"/>
    <n v="1.3770689655172414E-2"/>
    <n v="0"/>
    <n v="58"/>
    <n v="0"/>
    <s v=""/>
  </r>
  <r>
    <x v="127"/>
    <x v="0"/>
    <x v="275"/>
    <n v="265806905"/>
    <n v="0.31025571890241155"/>
    <n v="3.0000000000000001E-6"/>
    <n v="9.6694430343236506E-6"/>
    <n v="9.6999999999999993"/>
    <n v="3.0927835051546394E-7"/>
    <n v="0"/>
    <n v="9.6999999999999993"/>
    <n v="92137357.700000003"/>
    <n v="-0.10494380934477343"/>
  </r>
  <r>
    <x v="127"/>
    <x v="1"/>
    <x v="276"/>
    <n v="265806905"/>
    <n v="0.34663267193905289"/>
    <n v="3.0000000000000001E-6"/>
    <n v="8.6546948480594434E-6"/>
    <n v="9.6999999999999993"/>
    <n v="3.0927835051546394E-7"/>
    <n v="0"/>
    <n v="9.6999999999999993"/>
    <n v="35594641.18"/>
    <n v="1.5885176713558318"/>
  </r>
  <r>
    <x v="127"/>
    <x v="2"/>
    <x v="277"/>
    <n v="265806905"/>
    <n v="0.13391164981210701"/>
    <n v="0.18173600000000001"/>
    <n v="1.3571336045444582"/>
    <n v="9.6999999999999993"/>
    <n v="1.8735670103092787E-2"/>
    <n v="0"/>
    <n v="9.6999999999999993"/>
    <n v="0"/>
    <s v=""/>
  </r>
  <r>
    <x v="128"/>
    <x v="0"/>
    <x v="278"/>
    <n v="166720235"/>
    <n v="0.15823514164312449"/>
    <n v="6.1899999999999997E-2"/>
    <n v="0.39118996802623096"/>
    <n v="3.25"/>
    <n v="1.9046153846153845E-2"/>
    <n v="3.25"/>
    <n v="0"/>
    <n v="9354000"/>
    <n v="1.8202907846910414"/>
  </r>
  <r>
    <x v="128"/>
    <x v="1"/>
    <x v="279"/>
    <n v="166720235"/>
    <n v="5.610596698115259E-2"/>
    <n v="6.0350000000000001E-2"/>
    <n v="1.0756431668002993"/>
    <n v="3.25"/>
    <n v="1.8569230769230768E-2"/>
    <n v="3.25"/>
    <n v="0"/>
    <n v="34360000"/>
    <n v="-0.72776484284051224"/>
  </r>
  <r>
    <x v="128"/>
    <x v="2"/>
    <x v="280"/>
    <n v="166720235"/>
    <n v="0.20609375940478972"/>
    <n v="5.9830000000000001E-2"/>
    <n v="0.29030476309807918"/>
    <n v="3.25"/>
    <n v="1.8409230769230768E-2"/>
    <n v="3.25"/>
    <n v="0"/>
    <n v="0"/>
    <s v=""/>
  </r>
  <r>
    <x v="129"/>
    <x v="0"/>
    <x v="278"/>
    <n v="166720235"/>
    <n v="0.15823514164312449"/>
    <n v="6.1899999999999997E-2"/>
    <n v="0.39118996802623096"/>
    <n v="3.36"/>
    <n v="1.8422619047619049E-2"/>
    <n v="3.36"/>
    <n v="0"/>
    <n v="9354000"/>
    <n v="1.8202907846910414"/>
  </r>
  <r>
    <x v="129"/>
    <x v="1"/>
    <x v="279"/>
    <n v="166720235"/>
    <n v="5.610596698115259E-2"/>
    <n v="6.6379999999999995E-2"/>
    <n v="1.1831183663994012"/>
    <n v="3.36"/>
    <n v="1.9755952380952381E-2"/>
    <n v="3.36"/>
    <n v="0"/>
    <n v="34360000"/>
    <n v="-0.72776484284051224"/>
  </r>
  <r>
    <x v="129"/>
    <x v="2"/>
    <x v="280"/>
    <n v="166720235"/>
    <n v="0.20609375940478972"/>
    <n v="6.5809999999999994E-2"/>
    <n v="0.31932068292636784"/>
    <n v="3.36"/>
    <n v="1.9586309523809523E-2"/>
    <n v="3.36"/>
    <n v="0"/>
    <n v="0"/>
    <s v=""/>
  </r>
  <r>
    <x v="130"/>
    <x v="0"/>
    <x v="281"/>
    <n v="108480828"/>
    <n v="0.46961293473903054"/>
    <n v="0.25598361800000002"/>
    <n v="0.5450949048970577"/>
    <n v="5.96"/>
    <n v="4.2950271476510073E-2"/>
    <n v="5.96"/>
    <n v="0"/>
    <n v="42494000"/>
    <n v="0.19885160257918755"/>
  </r>
  <r>
    <x v="130"/>
    <x v="1"/>
    <x v="282"/>
    <n v="108480828"/>
    <n v="0.39171898651068554"/>
    <n v="0.36250183699999999"/>
    <n v="0.9254129860517023"/>
    <n v="5.96"/>
    <n v="6.0822455872483222E-2"/>
    <n v="5.96"/>
    <n v="0"/>
    <n v="60637000"/>
    <n v="-0.29920675495159721"/>
  </r>
  <r>
    <x v="130"/>
    <x v="2"/>
    <x v="283"/>
    <n v="108480828"/>
    <n v="0.55896512884285876"/>
    <n v="0.41899999999999998"/>
    <n v="0.74959953381598687"/>
    <n v="5.96"/>
    <n v="7.030201342281879E-2"/>
    <n v="5.96"/>
    <n v="0"/>
    <n v="0"/>
    <s v=""/>
  </r>
  <r>
    <x v="131"/>
    <x v="0"/>
    <x v="284"/>
    <n v="84682269"/>
    <n v="0.61885446172917258"/>
    <n v="1.0399999999999999E-3"/>
    <n v="1.6805243628592145E-3"/>
    <n v="3.08"/>
    <n v="3.3766233766233762E-4"/>
    <n v="3.08"/>
    <n v="0"/>
    <n v="47835000"/>
    <n v="9.5557646075049574E-2"/>
  </r>
  <r>
    <x v="131"/>
    <x v="1"/>
    <x v="285"/>
    <n v="84682269"/>
    <n v="0.56487621983770886"/>
    <n v="0"/>
    <s v=""/>
    <n v="3.08"/>
    <s v=""/>
    <n v="3.08"/>
    <n v="0"/>
    <n v="43244000"/>
    <n v="0.10616501711220061"/>
  </r>
  <r>
    <x v="131"/>
    <x v="2"/>
    <x v="286"/>
    <n v="84682269"/>
    <n v="0.51066180099638092"/>
    <n v="4.8799999999999998E-3"/>
    <n v="9.5562268226806035E-3"/>
    <n v="3.08"/>
    <n v="1.5844155844155843E-3"/>
    <n v="3.08"/>
    <n v="0"/>
    <n v="40621000"/>
    <n v="6.4572511755003559E-2"/>
  </r>
  <r>
    <x v="131"/>
    <x v="3"/>
    <x v="287"/>
    <n v="84682269"/>
    <n v="0.47968719402169063"/>
    <n v="3.2800000000000003E-2"/>
    <n v="6.8377893779079796E-2"/>
    <n v="3.08"/>
    <n v="1.064935064935065E-2"/>
    <n v="3.08"/>
    <n v="0"/>
    <n v="0"/>
    <s v=""/>
  </r>
  <r>
    <x v="132"/>
    <x v="0"/>
    <x v="284"/>
    <n v="84682269"/>
    <n v="0.61885446172917258"/>
    <n v="0.38174999999999998"/>
    <n v="0.61686555338606264"/>
    <n v="6.8"/>
    <n v="5.6139705882352939E-2"/>
    <n v="6.8"/>
    <n v="0"/>
    <n v="47835000"/>
    <n v="9.5557646075049574E-2"/>
  </r>
  <r>
    <x v="132"/>
    <x v="1"/>
    <x v="285"/>
    <n v="84682269"/>
    <n v="0.56487621983770886"/>
    <n v="0.34691"/>
    <n v="0.61413454455503291"/>
    <n v="6.8"/>
    <n v="5.1016176470588238E-2"/>
    <n v="6.8"/>
    <n v="0"/>
    <n v="43244000"/>
    <n v="0.10616501711220061"/>
  </r>
  <r>
    <x v="132"/>
    <x v="2"/>
    <x v="286"/>
    <n v="84682269"/>
    <n v="0.51066180099638092"/>
    <n v="0.34364"/>
    <n v="0.67293069371843495"/>
    <n v="6.8"/>
    <n v="5.053529411764706E-2"/>
    <n v="6.8"/>
    <n v="0"/>
    <n v="40621000"/>
    <n v="6.4572511755003559E-2"/>
  </r>
  <r>
    <x v="132"/>
    <x v="3"/>
    <x v="287"/>
    <n v="84682269"/>
    <n v="0.47968719402169063"/>
    <n v="0.29580000000000001"/>
    <n v="0.61665185914182319"/>
    <n v="6.8"/>
    <n v="4.3500000000000004E-2"/>
    <n v="6.8"/>
    <n v="0"/>
    <n v="0"/>
    <s v=""/>
  </r>
  <r>
    <x v="133"/>
    <x v="0"/>
    <x v="284"/>
    <n v="84682269"/>
    <n v="0.61885446172917258"/>
    <n v="1.14E-3"/>
    <n v="1.8421132439033698E-3"/>
    <n v="2.99"/>
    <n v="3.8127090301003341E-4"/>
    <n v="2.99"/>
    <n v="0"/>
    <n v="47835000"/>
    <n v="9.5557646075049574E-2"/>
  </r>
  <r>
    <x v="133"/>
    <x v="1"/>
    <x v="285"/>
    <n v="84682269"/>
    <n v="0.56487621983770886"/>
    <n v="0"/>
    <s v=""/>
    <n v="2.99"/>
    <s v=""/>
    <n v="2.99"/>
    <n v="0"/>
    <n v="43244000"/>
    <n v="0.10616501711220061"/>
  </r>
  <r>
    <x v="133"/>
    <x v="2"/>
    <x v="286"/>
    <n v="84682269"/>
    <n v="0.51066180099638092"/>
    <n v="5.3800000000000002E-3"/>
    <n v="1.0535348423365093E-2"/>
    <n v="2.99"/>
    <n v="1.7993311036789297E-3"/>
    <n v="2.99"/>
    <n v="0"/>
    <n v="40621000"/>
    <n v="6.4572511755003559E-2"/>
  </r>
  <r>
    <x v="133"/>
    <x v="3"/>
    <x v="287"/>
    <n v="84682269"/>
    <n v="0.47968719402169063"/>
    <n v="3.6089999999999997E-2"/>
    <n v="7.5236530075822844E-2"/>
    <n v="2.99"/>
    <n v="1.2070234113712372E-2"/>
    <n v="2.99"/>
    <n v="0"/>
    <n v="0"/>
    <s v=""/>
  </r>
  <r>
    <x v="134"/>
    <x v="0"/>
    <x v="288"/>
    <n v="476620206"/>
    <n v="0.70445187965866474"/>
    <n v="0.37269999999999998"/>
    <n v="0.52906381651020384"/>
    <n v="8.19"/>
    <n v="4.5506715506715506E-2"/>
    <n v="8.19"/>
    <n v="0"/>
    <n v="249170000"/>
    <n v="0.34749769233856398"/>
  </r>
  <r>
    <x v="134"/>
    <x v="1"/>
    <x v="289"/>
    <n v="476620206"/>
    <n v="0.52278522157325402"/>
    <n v="0.27800000000000002"/>
    <n v="0.53176713596339853"/>
    <n v="8.19"/>
    <n v="3.3943833943833948E-2"/>
    <n v="8.19"/>
    <n v="0"/>
    <n v="135511000"/>
    <n v="0.83874371822213689"/>
  </r>
  <r>
    <x v="134"/>
    <x v="2"/>
    <x v="290"/>
    <n v="476620206"/>
    <n v="0.28431652350047448"/>
    <n v="8.72E-2"/>
    <n v="0.30670042995181207"/>
    <n v="8.19"/>
    <n v="1.0647130647130647E-2"/>
    <n v="8.19"/>
    <n v="0"/>
    <n v="137871000"/>
    <n v="-1.7117450370273679E-2"/>
  </r>
  <r>
    <x v="134"/>
    <x v="3"/>
    <x v="291"/>
    <n v="476620206"/>
    <n v="0.28926805507695996"/>
    <n v="9.1499999999999998E-2"/>
    <n v="0.31631560552255367"/>
    <n v="8.19"/>
    <n v="1.1172161172161172E-2"/>
    <n v="8.19"/>
    <n v="0"/>
    <n v="0"/>
    <s v=""/>
  </r>
  <r>
    <x v="135"/>
    <x v="0"/>
    <x v="288"/>
    <n v="476620206"/>
    <n v="0.70445187965866474"/>
    <n v="0.40989999999999999"/>
    <n v="0.58187083012485252"/>
    <n v="5.8"/>
    <n v="7.0672413793103447E-2"/>
    <n v="5.8"/>
    <n v="0"/>
    <n v="249170000"/>
    <n v="0.34749769233856398"/>
  </r>
  <r>
    <x v="135"/>
    <x v="1"/>
    <x v="289"/>
    <n v="476620206"/>
    <n v="0.52278522157325402"/>
    <n v="0.30580000000000002"/>
    <n v="0.58494384955973844"/>
    <n v="5.8"/>
    <n v="5.272413793103449E-2"/>
    <n v="5.8"/>
    <n v="0"/>
    <n v="135511000"/>
    <n v="0.83874371822213689"/>
  </r>
  <r>
    <x v="135"/>
    <x v="2"/>
    <x v="290"/>
    <n v="476620206"/>
    <n v="0.28431652350047448"/>
    <n v="9.5899999999999999E-2"/>
    <n v="0.3373001288116832"/>
    <n v="5.8"/>
    <n v="1.653448275862069E-2"/>
    <n v="5.8"/>
    <n v="0"/>
    <n v="137871000"/>
    <n v="-1.7117450370273679E-2"/>
  </r>
  <r>
    <x v="135"/>
    <x v="3"/>
    <x v="291"/>
    <n v="476620206"/>
    <n v="0.28926805507695996"/>
    <n v="0.10059999999999999"/>
    <n v="0.34777431601714642"/>
    <n v="5.8"/>
    <n v="1.7344827586206896E-2"/>
    <n v="5.8"/>
    <n v="0"/>
    <n v="0"/>
    <s v=""/>
  </r>
  <r>
    <x v="136"/>
    <x v="0"/>
    <x v="292"/>
    <n v="683509869"/>
    <n v="2.7971801610080336"/>
    <n v="2.3450000000000002"/>
    <n v="0.83834428425050789"/>
    <n v="23.46"/>
    <n v="9.995737425404945E-2"/>
    <n v="23.46"/>
    <n v="0"/>
    <n v="1223420217"/>
    <n v="0.56275024627944337"/>
  </r>
  <r>
    <x v="136"/>
    <x v="1"/>
    <x v="293"/>
    <n v="683509869"/>
    <n v="1.7899086355401257"/>
    <n v="2.54"/>
    <n v="1.4190668448468184"/>
    <n v="23.46"/>
    <n v="0.1082693947144075"/>
    <n v="23.46"/>
    <n v="0"/>
    <n v="1630452307"/>
    <n v="-0.24964366528998994"/>
  </r>
  <r>
    <x v="136"/>
    <x v="2"/>
    <x v="294"/>
    <n v="683509869"/>
    <n v="2.385411507496463"/>
    <n v="2"/>
    <n v="0.83842976095098998"/>
    <n v="23.46"/>
    <n v="8.525149190110827E-2"/>
    <n v="23.46"/>
    <n v="0"/>
    <n v="0"/>
    <s v=""/>
  </r>
  <r>
    <x v="137"/>
    <x v="0"/>
    <x v="295"/>
    <n v="57737317"/>
    <n v="3.8284981229730501"/>
    <n v="1.0118932270000001"/>
    <n v="0.26430553039273963"/>
    <n v="34.28"/>
    <n v="2.9518472199533255E-2"/>
    <n v="0"/>
    <n v="34.28"/>
    <n v="96359523.819999993"/>
    <n v="1.2939840401548386"/>
  </r>
  <r>
    <x v="137"/>
    <x v="1"/>
    <x v="296"/>
    <n v="57737317"/>
    <n v="1.6689297117841482"/>
    <n v="0"/>
    <s v=""/>
    <n v="34.28"/>
    <s v=""/>
    <n v="0"/>
    <n v="34.28"/>
    <n v="91934228.780000001"/>
    <n v="4.8135445293066903E-2"/>
  </r>
  <r>
    <x v="137"/>
    <x v="2"/>
    <x v="297"/>
    <n v="57737317"/>
    <n v="1.5922843934712103"/>
    <n v="0.74785255399999995"/>
    <n v="0.46967272747657041"/>
    <n v="34.28"/>
    <n v="2.1816002158693112E-2"/>
    <n v="0"/>
    <n v="34.28"/>
    <n v="0"/>
    <s v=""/>
  </r>
  <r>
    <x v="138"/>
    <x v="0"/>
    <x v="298"/>
    <n v="137747421"/>
    <n v="0.19157697507817587"/>
    <n v="0.59209073000000001"/>
    <n v="3.090615298411453"/>
    <n v="2.85"/>
    <n v="0.20775113333333334"/>
    <n v="2.85"/>
    <n v="0"/>
    <n v="27175402.329999998"/>
    <n v="-2.8929400214697809E-2"/>
  </r>
  <r>
    <x v="138"/>
    <x v="1"/>
    <x v="299"/>
    <n v="137747421"/>
    <n v="0.19728429129718514"/>
    <n v="0.28363851000000001"/>
    <n v="1.4377146205357658"/>
    <n v="2.85"/>
    <n v="9.9522284210526321E-2"/>
    <n v="2.85"/>
    <n v="0"/>
    <n v="76030857.450000003"/>
    <n v="-0.64257403847021854"/>
  </r>
  <r>
    <x v="138"/>
    <x v="2"/>
    <x v="300"/>
    <n v="137747421"/>
    <n v="0.55195848240236745"/>
    <n v="0.69388981999999999"/>
    <n v="1.2571413287823472"/>
    <n v="2.85"/>
    <n v="0.24347011228070176"/>
    <n v="2.85"/>
    <n v="0"/>
    <n v="0"/>
    <s v=""/>
  </r>
  <r>
    <x v="139"/>
    <x v="0"/>
    <x v="301"/>
    <n v="113000000"/>
    <n v="0.64557438946902657"/>
    <n v="0.26730199999999998"/>
    <n v="0.41405298035421001"/>
    <n v="26.8"/>
    <n v="9.973955223880596E-3"/>
    <n v="0"/>
    <n v="26.8"/>
    <n v="126610718.51000001"/>
    <n v="-0.42382519530336404"/>
  </r>
  <r>
    <x v="139"/>
    <x v="1"/>
    <x v="302"/>
    <n v="113000000"/>
    <n v="1.1204488363716814"/>
    <n v="0.32134299999999999"/>
    <n v="0.28679845930368064"/>
    <n v="26.8"/>
    <n v="1.1990410447761193E-2"/>
    <n v="0"/>
    <n v="26.8"/>
    <n v="142288162.75"/>
    <n v="-0.1101809450414033"/>
  </r>
  <r>
    <x v="139"/>
    <x v="2"/>
    <x v="303"/>
    <n v="113000000"/>
    <n v="1.2591872809734512"/>
    <n v="0.41675099999999998"/>
    <n v="0.33096824141824127"/>
    <n v="26.8"/>
    <n v="1.5550410447761193E-2"/>
    <n v="0"/>
    <n v="26.8"/>
    <n v="93031657.010000005"/>
    <n v="0.52945961969381461"/>
  </r>
  <r>
    <x v="139"/>
    <x v="3"/>
    <x v="304"/>
    <n v="113000000"/>
    <n v="0.82328900008849559"/>
    <n v="0.24957299999999999"/>
    <n v="0.30314142418175549"/>
    <n v="26.8"/>
    <n v="9.3124253731343282E-3"/>
    <n v="0"/>
    <n v="26.8"/>
    <n v="0"/>
    <s v=""/>
  </r>
  <r>
    <x v="140"/>
    <x v="0"/>
    <x v="305"/>
    <n v="76423831"/>
    <n v="2.4276589850618717"/>
    <n v="0.35"/>
    <n v="0.14417181414426697"/>
    <n v="17.350000000000001"/>
    <n v="2.0172910662824204E-2"/>
    <n v="0"/>
    <n v="17.350000000000001"/>
    <n v="239206591.03"/>
    <n v="-0.22439010061921039"/>
  </r>
  <r>
    <x v="140"/>
    <x v="1"/>
    <x v="306"/>
    <n v="76423831"/>
    <n v="3.13"/>
    <n v="0.32"/>
    <n v="0.10223642172523963"/>
    <n v="17.350000000000001"/>
    <n v="1.844380403458213E-2"/>
    <n v="0"/>
    <n v="17.350000000000001"/>
    <n v="200230437.22"/>
    <n v="0.19465648854961826"/>
  </r>
  <r>
    <x v="140"/>
    <x v="2"/>
    <x v="307"/>
    <n v="76423831"/>
    <n v="2.62"/>
    <n v="0.26"/>
    <n v="9.9236641221374045E-2"/>
    <n v="17.350000000000001"/>
    <n v="1.4985590778097982E-2"/>
    <n v="0"/>
    <n v="17.350000000000001"/>
    <n v="0"/>
    <s v=""/>
  </r>
  <r>
    <x v="141"/>
    <x v="0"/>
    <x v="308"/>
    <n v="1022205493"/>
    <n v="0.47275029177523703"/>
    <n v="0.30062499999999998"/>
    <n v="0.63590653507820194"/>
    <n v="14.07"/>
    <n v="2.1366382373845059E-2"/>
    <n v="0"/>
    <n v="14.07"/>
    <n v="445682000"/>
    <n v="8.4288674593095525E-2"/>
  </r>
  <r>
    <x v="141"/>
    <x v="1"/>
    <x v="309"/>
    <n v="1022205493"/>
    <n v="0.43600039625300663"/>
    <n v="0.76497757200000005"/>
    <n v="1.7545341210105032"/>
    <n v="14.07"/>
    <n v="5.4369408102345418E-2"/>
    <n v="0"/>
    <n v="14.07"/>
    <n v="614021000"/>
    <n v="-0.27415837569073376"/>
  </r>
  <r>
    <x v="141"/>
    <x v="2"/>
    <x v="310"/>
    <n v="1022205493"/>
    <n v="0.6006825478876584"/>
    <n v="1.0517938200000001"/>
    <n v="1.7509978002502413"/>
    <n v="14.07"/>
    <n v="7.4754358208955235E-2"/>
    <n v="0"/>
    <n v="14.07"/>
    <n v="419093000"/>
    <n v="0.46511872066581872"/>
  </r>
  <r>
    <x v="141"/>
    <x v="3"/>
    <x v="311"/>
    <n v="1022205493"/>
    <n v="0.40998899230137476"/>
    <n v="2.1419339700000002"/>
    <n v="5.2243694592305223"/>
    <n v="14.07"/>
    <n v="0.15223411300639661"/>
    <n v="0"/>
    <n v="14.07"/>
    <n v="0"/>
    <s v=""/>
  </r>
  <r>
    <x v="142"/>
    <x v="0"/>
    <x v="312"/>
    <n v="1107677313"/>
    <n v="-0.16442125372843128"/>
    <n v="0"/>
    <s v=""/>
    <n v="9.43"/>
    <s v=""/>
    <n v="9.43"/>
    <n v="0"/>
    <n v="78013713"/>
    <n v="0"/>
  </r>
  <r>
    <x v="142"/>
    <x v="1"/>
    <x v="313"/>
    <n v="1107677313"/>
    <n v="7.04299998604377E-2"/>
    <n v="0.24881"/>
    <n v="3.5327275378820899"/>
    <n v="9.43"/>
    <n v="2.6384941675503714E-2"/>
    <n v="9.43"/>
    <n v="0"/>
    <n v="2190730959"/>
    <n v="-0.96438918586533751"/>
  </r>
  <r>
    <x v="142"/>
    <x v="2"/>
    <x v="314"/>
    <n v="1107677313"/>
    <n v="1.9777699997002647"/>
    <n v="0.64239000000000002"/>
    <n v="0.32480520995735379"/>
    <n v="9.43"/>
    <n v="6.81219512195122E-2"/>
    <n v="9.43"/>
    <n v="0"/>
    <n v="3206936280"/>
    <n v="-0.31687730353033394"/>
  </r>
  <r>
    <x v="142"/>
    <x v="3"/>
    <x v="315"/>
    <n v="1107677313"/>
    <n v="2.8951900001584669"/>
    <n v="0.77659999999999996"/>
    <n v="0.26823800854434188"/>
    <n v="9.43"/>
    <n v="8.2354188759278898E-2"/>
    <n v="9.43"/>
    <n v="0"/>
    <n v="0"/>
    <s v=""/>
  </r>
  <r>
    <x v="143"/>
    <x v="0"/>
    <x v="312"/>
    <n v="1107677313"/>
    <n v="-0.16442125372843128"/>
    <n v="0"/>
    <s v=""/>
    <n v="5.7"/>
    <s v=""/>
    <n v="5.7"/>
    <n v="0"/>
    <n v="78013713"/>
    <n v="0"/>
  </r>
  <r>
    <x v="143"/>
    <x v="1"/>
    <x v="313"/>
    <n v="1107677313"/>
    <n v="7.04299998604377E-2"/>
    <n v="0.24881"/>
    <n v="3.5327275378820899"/>
    <n v="5.7"/>
    <n v="4.3650877192982454E-2"/>
    <n v="5.7"/>
    <n v="0"/>
    <n v="2190730959"/>
    <n v="-0.96438918586533751"/>
  </r>
  <r>
    <x v="143"/>
    <x v="2"/>
    <x v="314"/>
    <n v="1107677313"/>
    <n v="1.9777699997002647"/>
    <n v="0.59360000000000002"/>
    <n v="0.3001360118163191"/>
    <n v="5.7"/>
    <n v="0.10414035087719298"/>
    <n v="5.7"/>
    <n v="0"/>
    <n v="3206936280"/>
    <n v="-0.31687730353033394"/>
  </r>
  <r>
    <x v="143"/>
    <x v="3"/>
    <x v="315"/>
    <n v="1107677313"/>
    <n v="2.8951900001584669"/>
    <n v="0.77659999999999996"/>
    <n v="0.26823800854434188"/>
    <n v="5.7"/>
    <n v="0.1362456140350877"/>
    <n v="5.7"/>
    <n v="0"/>
    <n v="0"/>
    <s v=""/>
  </r>
  <r>
    <x v="144"/>
    <x v="0"/>
    <x v="316"/>
    <n v="1033496721"/>
    <n v="0.57008640543137246"/>
    <n v="1.51"/>
    <n v="2.6487212913933891"/>
    <n v="17.95"/>
    <n v="8.4122562674094709E-2"/>
    <n v="17.95"/>
    <n v="0"/>
    <n v="495399428.38999999"/>
    <n v="0.18930785329079947"/>
  </r>
  <r>
    <x v="144"/>
    <x v="1"/>
    <x v="317"/>
    <n v="1033496721"/>
    <n v="0.47934300934274565"/>
    <n v="1.88"/>
    <n v="3.9220348755638983"/>
    <n v="17.95"/>
    <n v="0.10473537604456824"/>
    <n v="17.95"/>
    <n v="0"/>
    <n v="428630102.26999998"/>
    <n v="0.15577376802607557"/>
  </r>
  <r>
    <x v="144"/>
    <x v="2"/>
    <x v="318"/>
    <n v="1033496721"/>
    <n v="0.41473774764883842"/>
    <n v="1.63"/>
    <n v="3.9301944644308895"/>
    <n v="17.95"/>
    <n v="9.0807799442896936E-2"/>
    <n v="17.95"/>
    <n v="0"/>
    <n v="287794829.95999998"/>
    <n v="0.48935998026640859"/>
  </r>
  <r>
    <x v="144"/>
    <x v="3"/>
    <x v="319"/>
    <n v="1033496721"/>
    <n v="0.2784670953590766"/>
    <n v="1.0900000000000001"/>
    <n v="3.9142865285195416"/>
    <n v="17.95"/>
    <n v="6.0724233983286913E-2"/>
    <n v="17.95"/>
    <n v="0"/>
    <n v="0"/>
    <s v=""/>
  </r>
  <r>
    <x v="145"/>
    <x v="0"/>
    <x v="320"/>
    <n v="652742192"/>
    <n v="2.2972316151427821"/>
    <n v="2.3690660666999999"/>
    <n v="1.0312700082498008"/>
    <n v="35.17"/>
    <n v="6.736042270969575E-2"/>
    <n v="35.17"/>
    <n v="0"/>
    <n v="1447636528"/>
    <n v="3.5826307914219813E-2"/>
  </r>
  <r>
    <x v="145"/>
    <x v="1"/>
    <x v="321"/>
    <n v="652742192"/>
    <n v="2.2177768585242608"/>
    <n v="2.1897556102000002"/>
    <n v="0.98736516335421309"/>
    <n v="35.17"/>
    <n v="6.2262030429343196E-2"/>
    <n v="35.17"/>
    <n v="0"/>
    <n v="1211648449"/>
    <n v="0.19476612972580143"/>
  </r>
  <r>
    <x v="145"/>
    <x v="2"/>
    <x v="322"/>
    <n v="652742192"/>
    <n v="1.8562434968199513"/>
    <n v="1.0178134248999999"/>
    <n v="0.5483189175577885"/>
    <n v="35.17"/>
    <n v="2.8939818734717085E-2"/>
    <n v="35.17"/>
    <n v="0"/>
    <n v="0"/>
    <s v=""/>
  </r>
  <r>
    <x v="146"/>
    <x v="0"/>
    <x v="164"/>
    <n v="817720079"/>
    <n v="0"/>
    <n v="0"/>
    <s v=""/>
    <n v="2.41"/>
    <s v=""/>
    <n v="0"/>
    <n v="2.41"/>
    <n v="166896668.09999999"/>
    <n v="0"/>
  </r>
  <r>
    <x v="146"/>
    <x v="1"/>
    <x v="323"/>
    <n v="817720079"/>
    <n v="0.20409999997077238"/>
    <n v="6.6000000000000003E-2"/>
    <n v="0.32337089666561175"/>
    <n v="2.41"/>
    <n v="2.7385892116182572E-2"/>
    <n v="0"/>
    <n v="2.41"/>
    <n v="234522118.69999999"/>
    <n v="-0.28835425406720927"/>
  </r>
  <r>
    <x v="146"/>
    <x v="2"/>
    <x v="324"/>
    <n v="817720079"/>
    <n v="0.28680000005234063"/>
    <n v="6.6400000000000001E-2"/>
    <n v="0.23152022310977016"/>
    <n v="2.41"/>
    <n v="2.7551867219917012E-2"/>
    <n v="0"/>
    <n v="2.41"/>
    <n v="106303610.3"/>
    <n v="1.2061538459338665"/>
  </r>
  <r>
    <x v="146"/>
    <x v="3"/>
    <x v="325"/>
    <n v="817720079"/>
    <n v="0.13000000003668738"/>
    <n v="0"/>
    <s v=""/>
    <n v="2.41"/>
    <s v=""/>
    <n v="0"/>
    <n v="2.41"/>
    <n v="0"/>
    <s v=""/>
  </r>
  <r>
    <x v="147"/>
    <x v="0"/>
    <x v="164"/>
    <n v="2417632647"/>
    <n v="0"/>
    <m/>
    <s v=""/>
    <n v="13.46"/>
    <s v=""/>
    <n v="0"/>
    <n v="13.46"/>
    <n v="1281227722.3699999"/>
    <n v="0"/>
  </r>
  <r>
    <x v="147"/>
    <x v="1"/>
    <x v="326"/>
    <n v="2417632647"/>
    <n v="0.52995136542346666"/>
    <n v="0.22"/>
    <n v="0.41513243356624857"/>
    <n v="13.46"/>
    <n v="1.6344725111441305E-2"/>
    <n v="0"/>
    <n v="13.46"/>
    <n v="2216909132.75"/>
    <n v="-0.4220657475569688"/>
  </r>
  <r>
    <x v="147"/>
    <x v="2"/>
    <x v="327"/>
    <n v="2417632647"/>
    <n v="0.9169751804522186"/>
    <n v="0.2"/>
    <n v="0.21810841150724203"/>
    <n v="13.46"/>
    <n v="1.4858841010401188E-2"/>
    <n v="0"/>
    <n v="13.46"/>
    <n v="0"/>
    <s v=""/>
  </r>
  <r>
    <x v="148"/>
    <x v="0"/>
    <x v="328"/>
    <n v="2857301"/>
    <n v="7.4843357420166789"/>
    <n v="5.7389999999999999"/>
    <n v="0.76680151690437226"/>
    <n v="88"/>
    <n v="6.5215909090909088E-2"/>
    <n v="0"/>
    <n v="88"/>
    <n v="27650101.780000001"/>
    <n v="-0.22658512543095599"/>
  </r>
  <r>
    <x v="148"/>
    <x v="1"/>
    <x v="329"/>
    <n v="2857301"/>
    <n v="9.677000001049942"/>
    <n v="9.48"/>
    <n v="0.97964245106659431"/>
    <n v="88"/>
    <n v="0.10772727272727273"/>
    <n v="0"/>
    <n v="88"/>
    <n v="27290081.850000001"/>
    <n v="1.3192336028116314E-2"/>
  </r>
  <r>
    <x v="148"/>
    <x v="2"/>
    <x v="330"/>
    <n v="2857301"/>
    <n v="9.5509999996500206"/>
    <n v="6.27"/>
    <n v="0.65647576172440081"/>
    <n v="88"/>
    <n v="7.1249999999999994E-2"/>
    <n v="0"/>
    <n v="88"/>
    <n v="20461132.460000001"/>
    <n v="0.33375226925245172"/>
  </r>
  <r>
    <x v="148"/>
    <x v="3"/>
    <x v="331"/>
    <n v="2857301"/>
    <n v="7.16099999965002"/>
    <n v="3.63"/>
    <n v="0.50691244242108768"/>
    <n v="88"/>
    <n v="4.1250000000000002E-2"/>
    <n v="0"/>
    <n v="88"/>
    <n v="0"/>
    <s v=""/>
  </r>
  <r>
    <x v="149"/>
    <x v="0"/>
    <x v="332"/>
    <n v="152661565"/>
    <n v="5.5252152039709532"/>
    <n v="1.8032159999999999"/>
    <n v="0.32636122457348538"/>
    <n v="42"/>
    <n v="4.2933714285714283E-2"/>
    <n v="42"/>
    <n v="0"/>
    <n v="920137051"/>
    <n v="-8.330177653067905E-2"/>
  </r>
  <r>
    <x v="149"/>
    <x v="1"/>
    <x v="333"/>
    <n v="152661565"/>
    <n v="6.0273000018046456"/>
    <n v="4.9819000000000004"/>
    <n v="0.82655583735808069"/>
    <n v="42"/>
    <n v="0.11861666666666668"/>
    <n v="42"/>
    <n v="0"/>
    <n v="818571312"/>
    <n v="0.12407683669226843"/>
  </r>
  <r>
    <x v="149"/>
    <x v="2"/>
    <x v="334"/>
    <n v="152661565"/>
    <n v="5.3620000030787054"/>
    <n v="5.0853999999999999"/>
    <n v="0.94841477006342978"/>
    <n v="42"/>
    <n v="0.12108095238095237"/>
    <n v="42"/>
    <n v="0"/>
    <n v="0"/>
    <s v=""/>
  </r>
  <r>
    <x v="150"/>
    <x v="0"/>
    <x v="332"/>
    <n v="152661565"/>
    <n v="5.5252152039709532"/>
    <n v="1.8032159999999999"/>
    <n v="0.32636122457348538"/>
    <n v="26.83"/>
    <n v="6.7208945210585166E-2"/>
    <n v="26.83"/>
    <n v="0"/>
    <n v="920137051"/>
    <n v="-8.330177653067905E-2"/>
  </r>
  <r>
    <x v="150"/>
    <x v="1"/>
    <x v="333"/>
    <n v="152661565"/>
    <n v="6.0273000018046456"/>
    <n v="4.9819000000000004"/>
    <n v="0.82655583735808069"/>
    <n v="26.83"/>
    <n v="0.1856839358926575"/>
    <n v="26.83"/>
    <n v="0"/>
    <n v="818571312"/>
    <n v="0.12407683669226843"/>
  </r>
  <r>
    <x v="150"/>
    <x v="2"/>
    <x v="334"/>
    <n v="152661565"/>
    <n v="5.3620000030787054"/>
    <n v="5.0853999999999999"/>
    <n v="0.94841477006342978"/>
    <n v="26.83"/>
    <n v="0.18954155795751026"/>
    <n v="26.83"/>
    <n v="0"/>
    <n v="0"/>
    <s v=""/>
  </r>
  <r>
    <x v="151"/>
    <x v="0"/>
    <x v="335"/>
    <n v="544383996"/>
    <n v="1.8571615025949439"/>
    <n v="1.17"/>
    <n v="0.62999367495244851"/>
    <n v="53.92"/>
    <n v="2.1698813056379818E-2"/>
    <n v="0"/>
    <n v="53.92"/>
    <n v="860126713.70000005"/>
    <n v="0.1754186725011142"/>
  </r>
  <r>
    <x v="151"/>
    <x v="1"/>
    <x v="336"/>
    <n v="544383996"/>
    <n v="1.5800000000367389"/>
    <n v="0.98"/>
    <n v="0.62025316454253965"/>
    <n v="53.92"/>
    <n v="1.8175074183976261E-2"/>
    <n v="0"/>
    <n v="53.92"/>
    <n v="773025274.29999995"/>
    <n v="0.1126760563926883"/>
  </r>
  <r>
    <x v="151"/>
    <x v="2"/>
    <x v="337"/>
    <n v="544383996"/>
    <n v="1.4199999999632611"/>
    <n v="0.8"/>
    <n v="0.56338028170471688"/>
    <n v="53.92"/>
    <n v="1.483679525222552E-2"/>
    <n v="0"/>
    <n v="53.92"/>
    <n v="0"/>
    <s v=""/>
  </r>
  <r>
    <x v="152"/>
    <x v="0"/>
    <x v="338"/>
    <n v="835502072"/>
    <n v="4.7015669184360807E-2"/>
    <n v="9.6799999999999994E-3"/>
    <n v="0.20588880617740807"/>
    <n v="0.51"/>
    <n v="1.8980392156862744E-2"/>
    <n v="0.51"/>
    <n v="0"/>
    <n v="4448000"/>
    <n v="7.8313149775179856"/>
  </r>
  <r>
    <x v="152"/>
    <x v="1"/>
    <x v="339"/>
    <n v="835502072"/>
    <n v="5.323745025972838E-3"/>
    <n v="0"/>
    <s v=""/>
    <n v="0.51"/>
    <s v=""/>
    <n v="0.51"/>
    <n v="0"/>
    <n v="30296000"/>
    <n v="-0.85318193820966459"/>
  </r>
  <r>
    <x v="152"/>
    <x v="2"/>
    <x v="340"/>
    <n v="835502072"/>
    <n v="3.6260831678703483E-2"/>
    <n v="0"/>
    <s v=""/>
    <n v="0.51"/>
    <s v=""/>
    <n v="0.51"/>
    <n v="0"/>
    <n v="0"/>
    <s v=""/>
  </r>
  <r>
    <x v="153"/>
    <x v="0"/>
    <x v="341"/>
    <n v="5365304100"/>
    <n v="1.8141927655824766"/>
    <n v="1.8288805334"/>
    <n v="1.0080960348294674"/>
    <n v="30.23"/>
    <n v="6.0498859854449222E-2"/>
    <n v="0"/>
    <n v="30.23"/>
    <n v="39810556422"/>
    <n v="-0.75549962727998965"/>
  </r>
  <r>
    <x v="153"/>
    <x v="1"/>
    <x v="342"/>
    <n v="5365304100"/>
    <n v="7.42"/>
    <n v="1.7557325829999999"/>
    <n v="0.23662164191374663"/>
    <n v="30.23"/>
    <n v="5.8079145980813755E-2"/>
    <n v="0"/>
    <n v="30.23"/>
    <n v="37074251331"/>
    <n v="7.3806078147612197E-2"/>
  </r>
  <r>
    <x v="153"/>
    <x v="2"/>
    <x v="343"/>
    <n v="5365304100"/>
    <n v="6.91"/>
    <n v="1.873923027"/>
    <n v="0.27119001837916062"/>
    <n v="30.23"/>
    <n v="6.1988853026794577E-2"/>
    <n v="0"/>
    <n v="30.23"/>
    <n v="0"/>
    <s v=""/>
  </r>
  <r>
    <x v="154"/>
    <x v="0"/>
    <x v="344"/>
    <n v="149714346"/>
    <n v="0.20474597404312878"/>
    <n v="4.87E-2"/>
    <n v="0.23785571475872622"/>
    <n v="9.15"/>
    <n v="5.322404371584699E-3"/>
    <n v="0"/>
    <n v="9.15"/>
    <n v="0"/>
    <s v=""/>
  </r>
  <r>
    <x v="154"/>
    <x v="1"/>
    <x v="164"/>
    <n v="149714346"/>
    <n v="0"/>
    <n v="0"/>
    <s v=""/>
    <n v="9.15"/>
    <s v=""/>
    <n v="0"/>
    <n v="9.15"/>
    <n v="0"/>
    <s v=""/>
  </r>
  <r>
    <x v="154"/>
    <x v="2"/>
    <x v="164"/>
    <n v="149714346"/>
    <n v="0"/>
    <n v="0"/>
    <s v=""/>
    <n v="9.15"/>
    <s v=""/>
    <n v="0"/>
    <n v="9.15"/>
    <n v="0"/>
    <s v=""/>
  </r>
  <r>
    <x v="155"/>
    <x v="0"/>
    <x v="345"/>
    <n v="1125601930"/>
    <n v="3.9566144981467826"/>
    <n v="3.566950672031"/>
    <n v="0.90151584737449275"/>
    <n v="41.55"/>
    <n v="8.5847188255860421E-2"/>
    <n v="0"/>
    <n v="41.55"/>
    <n v="4091563016"/>
    <n v="8.847716580787468E-2"/>
  </r>
  <r>
    <x v="155"/>
    <x v="1"/>
    <x v="346"/>
    <n v="1125601930"/>
    <n v="3.6350000003997862"/>
    <n v="3.5070000000000001"/>
    <n v="0.96478679494203345"/>
    <n v="41.55"/>
    <n v="8.4404332129963913E-2"/>
    <n v="0"/>
    <n v="41.55"/>
    <n v="5004201060"/>
    <n v="-0.18237437566107706"/>
  </r>
  <r>
    <x v="155"/>
    <x v="2"/>
    <x v="347"/>
    <n v="1125601930"/>
    <n v="4.4457999996499646"/>
    <n v="4.6006999999999998"/>
    <n v="1.0348418733101423"/>
    <n v="41.55"/>
    <n v="0.11072683513838749"/>
    <n v="0"/>
    <n v="41.55"/>
    <n v="0"/>
    <s v=""/>
  </r>
  <r>
    <x v="156"/>
    <x v="0"/>
    <x v="345"/>
    <n v="1125601930"/>
    <n v="3.9566144981467826"/>
    <n v="3.9236457392339998"/>
    <n v="0.99166743211191666"/>
    <n v="46.9"/>
    <n v="8.365982386426439E-2"/>
    <n v="0"/>
    <n v="46.9"/>
    <n v="4091563016"/>
    <n v="8.847716580787468E-2"/>
  </r>
  <r>
    <x v="156"/>
    <x v="1"/>
    <x v="346"/>
    <n v="1125601930"/>
    <n v="3.6350000003997862"/>
    <n v="3.8576999999999999"/>
    <n v="1.0612654744362366"/>
    <n v="46.9"/>
    <n v="8.2253731343283579E-2"/>
    <n v="0"/>
    <n v="46.9"/>
    <n v="5004201060"/>
    <n v="-0.18237437566107706"/>
  </r>
  <r>
    <x v="156"/>
    <x v="2"/>
    <x v="347"/>
    <n v="1125601930"/>
    <n v="4.4457999996499646"/>
    <n v="5.0608000000000004"/>
    <n v="1.1383328085830351"/>
    <n v="46.9"/>
    <n v="0.10790618336886995"/>
    <n v="0"/>
    <n v="46.9"/>
    <n v="0"/>
    <s v=""/>
  </r>
  <r>
    <x v="157"/>
    <x v="0"/>
    <x v="348"/>
    <n v="98312688"/>
    <n v="1.1168252956322382"/>
    <n v="1.072465845"/>
    <n v="0.96028076118465222"/>
    <n v="18.2"/>
    <n v="5.8926694780219779E-2"/>
    <n v="0"/>
    <n v="18.2"/>
    <n v="106752609.08"/>
    <n v="2.8528462079252082E-2"/>
  </r>
  <r>
    <x v="157"/>
    <x v="1"/>
    <x v="349"/>
    <n v="98312688"/>
    <n v="1.0858477298474434"/>
    <n v="0.91520231900000004"/>
    <n v="0.84284591093502748"/>
    <n v="18.2"/>
    <n v="5.028584170329671E-2"/>
    <n v="0"/>
    <n v="18.2"/>
    <n v="13071107.109999999"/>
    <n v="7.1670671184638461"/>
  </r>
  <r>
    <x v="157"/>
    <x v="2"/>
    <x v="350"/>
    <n v="98312688"/>
    <n v="0.13295442710304087"/>
    <n v="6.6522439999999999E-3"/>
    <n v="5.0034016504350409E-2"/>
    <n v="18.2"/>
    <n v="3.6550791208791208E-4"/>
    <n v="0"/>
    <n v="18.2"/>
    <n v="0"/>
    <s v=""/>
  </r>
  <r>
    <x v="158"/>
    <x v="0"/>
    <x v="351"/>
    <n v="46288258"/>
    <n v="0.87901675128927947"/>
    <n v="0.63615900000000003"/>
    <n v="0.72371658340631972"/>
    <n v="15.1"/>
    <n v="4.2129735099337755E-2"/>
    <n v="0"/>
    <n v="15.1"/>
    <n v="105074345.66"/>
    <n v="-0.6127679509738857"/>
  </r>
  <r>
    <x v="158"/>
    <x v="1"/>
    <x v="352"/>
    <n v="46288258"/>
    <n v="2.27"/>
    <n v="2.1378400000000002"/>
    <n v="0.94177973568281947"/>
    <n v="15.1"/>
    <n v="0.14157880794701988"/>
    <n v="0"/>
    <n v="15.1"/>
    <n v="155991429.46000001"/>
    <n v="-0.32640949554896148"/>
  </r>
  <r>
    <x v="158"/>
    <x v="2"/>
    <x v="353"/>
    <n v="46288258"/>
    <n v="3.37"/>
    <n v="3.2867000000000002"/>
    <n v="0.97528189910979235"/>
    <n v="15.1"/>
    <n v="0.21766225165562916"/>
    <n v="0"/>
    <n v="15.1"/>
    <n v="0"/>
    <s v=""/>
  </r>
  <r>
    <x v="159"/>
    <x v="0"/>
    <x v="354"/>
    <n v="1980000000"/>
    <n v="0.5425705741818182"/>
    <n v="0.35504000000000002"/>
    <n v="0.65436648593667424"/>
    <n v="10.34"/>
    <n v="3.4336557059961317E-2"/>
    <n v="0"/>
    <n v="10.34"/>
    <n v="1047998632.27"/>
    <n v="2.5086964620414376E-2"/>
  </r>
  <r>
    <x v="159"/>
    <x v="1"/>
    <x v="355"/>
    <n v="1980000000"/>
    <n v="0.52929223852020202"/>
    <n v="0.470941"/>
    <n v="0.88975610395621763"/>
    <n v="10.34"/>
    <n v="4.5545551257253389E-2"/>
    <n v="0"/>
    <n v="10.34"/>
    <n v="1144560312.5999999"/>
    <n v="-8.4365742256647835E-2"/>
  </r>
  <r>
    <x v="159"/>
    <x v="2"/>
    <x v="356"/>
    <n v="1980000000"/>
    <n v="0.57806076393939387"/>
    <n v="0.57673300000000005"/>
    <n v="0.99770307202594877"/>
    <n v="10.34"/>
    <n v="5.5776885880077377E-2"/>
    <n v="0"/>
    <n v="10.34"/>
    <n v="0"/>
    <s v=""/>
  </r>
  <r>
    <x v="160"/>
    <x v="0"/>
    <x v="357"/>
    <n v="786115469"/>
    <n v="2.9443712868217329"/>
    <n v="2.4300000000000002"/>
    <n v="0.8253035243469703"/>
    <n v="66.599999999999994"/>
    <n v="3.6486486486486495E-2"/>
    <n v="0"/>
    <n v="66.599999999999994"/>
    <n v="1810326710.1800001"/>
    <n v="0.2785624837960099"/>
  </r>
  <r>
    <x v="160"/>
    <x v="1"/>
    <x v="358"/>
    <n v="786115469"/>
    <n v="2.3028763350540302"/>
    <n v="2.25"/>
    <n v="0.97703900368024332"/>
    <n v="66.599999999999994"/>
    <n v="3.3783783783783786E-2"/>
    <n v="0"/>
    <n v="66.599999999999994"/>
    <n v="1829334179.3199999"/>
    <n v="-1.0390375555692777E-2"/>
  </r>
  <r>
    <x v="160"/>
    <x v="2"/>
    <x v="359"/>
    <n v="786115469"/>
    <n v="2.3270553137022674"/>
    <n v="1.19"/>
    <n v="0.51137589768192904"/>
    <n v="66.599999999999994"/>
    <n v="1.7867867867867867E-2"/>
    <n v="0"/>
    <n v="66.599999999999994"/>
    <n v="0"/>
    <s v=""/>
  </r>
  <r>
    <x v="161"/>
    <x v="0"/>
    <x v="360"/>
    <n v="260378479"/>
    <n v="1.0576711329510455"/>
    <n v="0.53490000000000004"/>
    <n v="0.50573376102981715"/>
    <n v="23.41"/>
    <n v="2.2849209739427598E-2"/>
    <n v="0"/>
    <n v="23.41"/>
    <n v="220517318.09"/>
    <n v="0.24885792764631209"/>
  </r>
  <r>
    <x v="161"/>
    <x v="1"/>
    <x v="361"/>
    <n v="260378479"/>
    <n v="0.84691069299164312"/>
    <n v="0.254"/>
    <n v="0.29991355889340077"/>
    <n v="23.41"/>
    <n v="1.0850064075181546E-2"/>
    <n v="0"/>
    <n v="23.41"/>
    <n v="112319339.34999999"/>
    <n v="0.96330675880172922"/>
  </r>
  <r>
    <x v="161"/>
    <x v="2"/>
    <x v="362"/>
    <n v="260378479"/>
    <n v="0.43136951940640222"/>
    <n v="0.13089999999999999"/>
    <n v="0.30345213120326281"/>
    <n v="23.41"/>
    <n v="5.5916275096112768E-3"/>
    <n v="0"/>
    <n v="23.41"/>
    <n v="66605139.840000004"/>
    <n v="0.68634642341139762"/>
  </r>
  <r>
    <x v="161"/>
    <x v="3"/>
    <x v="363"/>
    <n v="260378479"/>
    <n v="0.2558012478442967"/>
    <n v="0.29799999999999999"/>
    <n v="1.164966951925853"/>
    <n v="23.41"/>
    <n v="1.2729602733874412E-2"/>
    <n v="0"/>
    <n v="23.41"/>
    <n v="0"/>
    <s v=""/>
  </r>
  <r>
    <x v="162"/>
    <x v="0"/>
    <x v="364"/>
    <n v="1231364363"/>
    <n v="0.64652756237026165"/>
    <n v="0.33180395810000002"/>
    <n v="0.51320930059587822"/>
    <n v="8.9600000000000009"/>
    <n v="3.7031691752232143E-2"/>
    <n v="0"/>
    <n v="8.9600000000000009"/>
    <n v="391378000"/>
    <n v="1.0341230217334649"/>
  </r>
  <r>
    <x v="162"/>
    <x v="1"/>
    <x v="365"/>
    <n v="1231364363"/>
    <n v="0.31784093462513174"/>
    <n v="0.33180395810000002"/>
    <n v="1.043930853309806"/>
    <n v="8.9600000000000009"/>
    <n v="3.7031691752232143E-2"/>
    <n v="0"/>
    <n v="8.9600000000000009"/>
    <n v="723006000"/>
    <n v="-0.45867945770851137"/>
  </r>
  <r>
    <x v="162"/>
    <x v="2"/>
    <x v="366"/>
    <n v="1231364363"/>
    <n v="0.58715845750036544"/>
    <n v="0.33180395810000002"/>
    <n v="0.56510121562848048"/>
    <n v="8.9600000000000009"/>
    <n v="3.7031691752232143E-2"/>
    <n v="0"/>
    <n v="8.9600000000000009"/>
    <n v="0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1" applyNumberFormats="0" applyBorderFormats="0" applyFontFormats="0" applyPatternFormats="0" applyAlignmentFormats="0" applyWidthHeightFormats="1" dataCaption="Valores" updatedVersion="4" minRefreshableVersion="3" showCalcMbrs="0" useAutoFormatting="1" itemPrintTitles="1" createdVersion="3" indent="0" outline="1" outlineData="1" multipleFieldFilters="0">
  <location ref="A3:H168" firstHeaderRow="1" firstDataRow="2" firstDataCol="1"/>
  <pivotFields count="13">
    <pivotField axis="axisRow" showAll="0" sortType="ascending">
      <items count="172">
        <item sd="0" x="0"/>
        <item sd="0" x="1"/>
        <item sd="0" x="2"/>
        <item sd="0" x="3"/>
        <item sd="0" x="4"/>
        <item sd="0" x="5"/>
        <item sd="0" x="6"/>
        <item sd="0" x="7"/>
        <item sd="0" m="1" x="166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157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159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160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161"/>
        <item sd="0" x="73"/>
        <item sd="0" x="74"/>
        <item sd="0" x="162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m="1" x="169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m="1" x="165"/>
        <item sd="0" x="131"/>
        <item sd="0" x="132"/>
        <item sd="0" x="133"/>
        <item sd="0" m="1" x="167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m="1" x="164"/>
        <item sd="0" m="1" x="170"/>
        <item sd="0" x="147"/>
        <item sd="0" x="148"/>
        <item sd="0" x="149"/>
        <item sd="0" x="150"/>
        <item sd="0" x="158"/>
        <item sd="0" x="151"/>
        <item sd="0" m="1" x="168"/>
        <item sd="0" x="152"/>
        <item sd="0" x="153"/>
        <item sd="0" x="154"/>
        <item sd="0" x="155"/>
        <item sd="0" x="156"/>
        <item m="1" x="163"/>
        <item t="default"/>
      </items>
    </pivotField>
    <pivotField axis="axisRow" showAll="0" sortType="ascending">
      <items count="10">
        <item m="1" x="6"/>
        <item m="1" x="8"/>
        <item m="1" x="5"/>
        <item m="1" x="7"/>
        <item x="4"/>
        <item x="3"/>
        <item x="2"/>
        <item x="1"/>
        <item x="0"/>
        <item t="default"/>
      </items>
    </pivotField>
    <pivotField dataField="1" numFmtId="44" showAll="0">
      <items count="368">
        <item x="155"/>
        <item x="60"/>
        <item x="61"/>
        <item x="219"/>
        <item x="103"/>
        <item x="312"/>
        <item x="167"/>
        <item x="149"/>
        <item x="218"/>
        <item x="4"/>
        <item x="79"/>
        <item x="100"/>
        <item x="166"/>
        <item x="13"/>
        <item x="12"/>
        <item x="151"/>
        <item x="203"/>
        <item x="202"/>
        <item x="86"/>
        <item x="201"/>
        <item x="40"/>
        <item x="200"/>
        <item x="199"/>
        <item x="223"/>
        <item x="154"/>
        <item x="339"/>
        <item x="39"/>
        <item x="38"/>
        <item x="78"/>
        <item x="236"/>
        <item x="102"/>
        <item x="252"/>
        <item x="101"/>
        <item x="279"/>
        <item x="204"/>
        <item x="231"/>
        <item x="99"/>
        <item x="350"/>
        <item x="250"/>
        <item x="228"/>
        <item x="127"/>
        <item x="165"/>
        <item x="152"/>
        <item x="92"/>
        <item x="249"/>
        <item x="235"/>
        <item x="205"/>
        <item x="251"/>
        <item x="331"/>
        <item x="328"/>
        <item x="77"/>
        <item x="224"/>
        <item x="230"/>
        <item x="129"/>
        <item x="229"/>
        <item x="266"/>
        <item x="237"/>
        <item x="85"/>
        <item x="278"/>
        <item x="298"/>
        <item x="299"/>
        <item x="330"/>
        <item x="329"/>
        <item x="128"/>
        <item x="265"/>
        <item x="340"/>
        <item x="344"/>
        <item x="80"/>
        <item x="280"/>
        <item x="277"/>
        <item x="34"/>
        <item x="338"/>
        <item x="287"/>
        <item x="351"/>
        <item x="282"/>
        <item x="286"/>
        <item x="264"/>
        <item x="153"/>
        <item x="55"/>
        <item x="14"/>
        <item x="11"/>
        <item x="285"/>
        <item x="87"/>
        <item x="54"/>
        <item x="281"/>
        <item x="284"/>
        <item x="33"/>
        <item x="10"/>
        <item x="84"/>
        <item x="53"/>
        <item x="283"/>
        <item x="125"/>
        <item x="52"/>
        <item x="56"/>
        <item x="363"/>
        <item x="57"/>
        <item x="126"/>
        <item x="232"/>
        <item x="301"/>
        <item x="241"/>
        <item x="274"/>
        <item x="300"/>
        <item x="59"/>
        <item x="124"/>
        <item x="313"/>
        <item x="16"/>
        <item x="27"/>
        <item x="58"/>
        <item x="275"/>
        <item x="188"/>
        <item x="273"/>
        <item x="260"/>
        <item x="28"/>
        <item x="31"/>
        <item x="150"/>
        <item x="185"/>
        <item x="186"/>
        <item x="189"/>
        <item x="32"/>
        <item x="234"/>
        <item x="297"/>
        <item x="276"/>
        <item x="209"/>
        <item x="304"/>
        <item x="98"/>
        <item x="83"/>
        <item x="123"/>
        <item x="74"/>
        <item x="296"/>
        <item x="272"/>
        <item x="183"/>
        <item x="233"/>
        <item x="9"/>
        <item x="194"/>
        <item x="184"/>
        <item x="352"/>
        <item x="325"/>
        <item x="349"/>
        <item x="160"/>
        <item x="97"/>
        <item x="35"/>
        <item x="348"/>
        <item x="240"/>
        <item x="362"/>
        <item x="182"/>
        <item x="82"/>
        <item x="259"/>
        <item x="263"/>
        <item x="187"/>
        <item x="106"/>
        <item x="302"/>
        <item x="8"/>
        <item x="30"/>
        <item x="190"/>
        <item x="290"/>
        <item x="291"/>
        <item x="179"/>
        <item x="17"/>
        <item x="303"/>
        <item x="96"/>
        <item x="208"/>
        <item x="207"/>
        <item x="81"/>
        <item x="353"/>
        <item x="180"/>
        <item x="258"/>
        <item x="3"/>
        <item x="15"/>
        <item x="323"/>
        <item x="29"/>
        <item x="158"/>
        <item x="245"/>
        <item x="238"/>
        <item x="148"/>
        <item x="239"/>
        <item x="221"/>
        <item x="193"/>
        <item x="305"/>
        <item x="257"/>
        <item x="181"/>
        <item x="76"/>
        <item x="174"/>
        <item x="75"/>
        <item x="261"/>
        <item x="307"/>
        <item x="144"/>
        <item x="173"/>
        <item x="73"/>
        <item x="244"/>
        <item x="361"/>
        <item x="295"/>
        <item x="2"/>
        <item x="0"/>
        <item x="138"/>
        <item x="36"/>
        <item x="324"/>
        <item x="306"/>
        <item x="140"/>
        <item x="107"/>
        <item x="137"/>
        <item x="177"/>
        <item x="289"/>
        <item x="139"/>
        <item x="1"/>
        <item x="105"/>
        <item x="206"/>
        <item x="360"/>
        <item x="175"/>
        <item x="143"/>
        <item x="178"/>
        <item x="192"/>
        <item x="93"/>
        <item x="319"/>
        <item x="172"/>
        <item x="243"/>
        <item x="142"/>
        <item x="226"/>
        <item x="43"/>
        <item x="271"/>
        <item x="42"/>
        <item x="104"/>
        <item x="191"/>
        <item x="270"/>
        <item x="7"/>
        <item x="69"/>
        <item x="288"/>
        <item x="168"/>
        <item x="37"/>
        <item x="141"/>
        <item x="262"/>
        <item x="146"/>
        <item x="6"/>
        <item x="176"/>
        <item x="242"/>
        <item x="365"/>
        <item x="63"/>
        <item x="112"/>
        <item x="311"/>
        <item x="225"/>
        <item x="318"/>
        <item x="5"/>
        <item x="309"/>
        <item x="94"/>
        <item x="114"/>
        <item x="44"/>
        <item x="145"/>
        <item x="147"/>
        <item x="134"/>
        <item x="113"/>
        <item x="45"/>
        <item x="65"/>
        <item x="308"/>
        <item x="133"/>
        <item x="169"/>
        <item x="317"/>
        <item x="41"/>
        <item x="136"/>
        <item x="222"/>
        <item x="66"/>
        <item x="227"/>
        <item x="268"/>
        <item x="95"/>
        <item x="170"/>
        <item x="316"/>
        <item x="310"/>
        <item x="269"/>
        <item x="130"/>
        <item x="135"/>
        <item x="267"/>
        <item x="171"/>
        <item x="119"/>
        <item x="217"/>
        <item x="366"/>
        <item x="197"/>
        <item x="89"/>
        <item x="220"/>
        <item x="132"/>
        <item x="337"/>
        <item x="198"/>
        <item x="364"/>
        <item x="51"/>
        <item x="88"/>
        <item x="49"/>
        <item x="70"/>
        <item x="334"/>
        <item x="71"/>
        <item x="246"/>
        <item x="332"/>
        <item x="196"/>
        <item x="336"/>
        <item x="91"/>
        <item x="122"/>
        <item x="195"/>
        <item x="72"/>
        <item x="333"/>
        <item x="90"/>
        <item x="48"/>
        <item x="247"/>
        <item x="335"/>
        <item x="121"/>
        <item x="355"/>
        <item x="163"/>
        <item x="354"/>
        <item x="356"/>
        <item x="120"/>
        <item x="322"/>
        <item x="68"/>
        <item x="293"/>
        <item x="115"/>
        <item x="326"/>
        <item x="162"/>
        <item x="50"/>
        <item x="321"/>
        <item x="320"/>
        <item x="116"/>
        <item x="161"/>
        <item x="117"/>
        <item x="294"/>
        <item x="118"/>
        <item x="64"/>
        <item x="47"/>
        <item x="358"/>
        <item x="359"/>
        <item x="111"/>
        <item x="62"/>
        <item x="292"/>
        <item x="248"/>
        <item x="26"/>
        <item x="46"/>
        <item x="314"/>
        <item x="327"/>
        <item x="67"/>
        <item x="157"/>
        <item x="110"/>
        <item x="357"/>
        <item x="109"/>
        <item x="131"/>
        <item x="213"/>
        <item x="315"/>
        <item x="156"/>
        <item x="346"/>
        <item x="108"/>
        <item x="212"/>
        <item x="345"/>
        <item x="210"/>
        <item x="211"/>
        <item x="347"/>
        <item x="159"/>
        <item x="25"/>
        <item x="341"/>
        <item x="21"/>
        <item x="24"/>
        <item x="216"/>
        <item x="214"/>
        <item x="23"/>
        <item x="22"/>
        <item x="20"/>
        <item x="215"/>
        <item x="19"/>
        <item x="18"/>
        <item x="253"/>
        <item x="254"/>
        <item x="343"/>
        <item x="342"/>
        <item x="256"/>
        <item x="255"/>
        <item x="164"/>
        <item t="default"/>
      </items>
    </pivotField>
    <pivotField numFmtId="166" showAll="0" defaultSubtotal="0"/>
    <pivotField numFmtId="168" showAll="0" defaultSubtotal="0"/>
    <pivotField dataField="1" showAll="0" defaultSubtotal="0"/>
    <pivotField dataField="1" numFmtId="10" showAll="0"/>
    <pivotField dataField="1" numFmtId="44" showAll="0" defaultSubtotal="0"/>
    <pivotField dataField="1" numFmtId="10" showAll="0" defaultSubtotal="0"/>
    <pivotField numFmtId="44" showAll="0" defaultSubtotal="0"/>
    <pivotField numFmtId="44" showAll="0" defaultSubtotal="0"/>
    <pivotField numFmtId="44" showAll="0" defaultSubtotal="0"/>
    <pivotField dataField="1" showAll="0" defaultSubtotal="0"/>
  </pivotFields>
  <rowFields count="2">
    <field x="0"/>
    <field x="1"/>
  </rowFields>
  <rowItems count="16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9"/>
    </i>
    <i>
      <x v="140"/>
    </i>
    <i>
      <x v="141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8"/>
    </i>
    <i>
      <x v="159"/>
    </i>
    <i>
      <x v="160"/>
    </i>
    <i>
      <x v="161"/>
    </i>
    <i>
      <x v="162"/>
    </i>
    <i>
      <x v="163"/>
    </i>
    <i>
      <x v="165"/>
    </i>
    <i>
      <x v="166"/>
    </i>
    <i>
      <x v="167"/>
    </i>
    <i>
      <x v="168"/>
    </i>
    <i>
      <x v="169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oma de Dividendo / Ação" fld="5" baseField="0" baseItem="0" numFmtId="172"/>
    <dataField name="Média Dividendo" fld="5" subtotal="average" baseField="0" baseItem="0" numFmtId="167"/>
    <dataField name="Média Payout" fld="6" subtotal="average" baseField="0" baseItem="0" numFmtId="10"/>
    <dataField name="Cotação Atual" fld="7" subtotal="average" baseField="0" baseItem="7" numFmtId="167"/>
    <dataField name="% Yield" fld="8" subtotal="average" baseField="0" baseItem="0" numFmtId="10"/>
    <dataField name="Média de Crescimento" fld="12" subtotal="average" baseField="0" baseItem="0" numFmtId="10"/>
    <dataField name="Average of Lucro Líquido" fld="2" subtotal="average" baseField="0" baseItem="22" numFmtId="44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3:G6" firstHeaderRow="1" firstDataRow="2" firstDataCol="1"/>
  <pivotFields count="14">
    <pivotField axis="axisRow" showAll="0">
      <items count="12">
        <item x="0"/>
        <item m="1" x="7"/>
        <item m="1" x="8"/>
        <item m="1" x="10"/>
        <item m="1" x="5"/>
        <item m="1" x="6"/>
        <item m="1" x="9"/>
        <item m="1" x="3"/>
        <item x="1"/>
        <item m="1" x="4"/>
        <item x="2"/>
        <item t="default"/>
      </items>
    </pivotField>
    <pivotField showAll="0" defaultSubtotal="0"/>
    <pivotField showAll="0" defaultSubtotal="0"/>
    <pivotField axis="axisRow" showAll="0" defaultSubtotal="0">
      <items count="2">
        <item sd="0" x="0"/>
        <item sd="0" m="1" x="1"/>
      </items>
    </pivotField>
    <pivotField axis="axisRow" showAll="0">
      <items count="3">
        <item sd="0" x="0"/>
        <item sd="0" m="1" x="1"/>
        <item t="default"/>
      </items>
    </pivotField>
    <pivotField dataField="1" numFmtId="44" showAll="0"/>
    <pivotField numFmtId="44" showAll="0"/>
    <pivotField numFmtId="44" showAll="0"/>
    <pivotField dataField="1" numFmtId="165" showAll="0" defaultSubtotal="0"/>
    <pivotField dataField="1" showAll="0" defaultSubtotal="0">
      <items count="2">
        <item x="1"/>
        <item x="0"/>
      </items>
    </pivotField>
    <pivotField dataField="1" showAll="0"/>
    <pivotField numFmtId="170" showAll="0"/>
    <pivotField dataField="1" numFmtId="170" showAll="0"/>
    <pivotField dataField="1" numFmtId="10" showAll="0"/>
  </pivotFields>
  <rowFields count="3">
    <field x="4"/>
    <field x="3"/>
    <field x="0"/>
  </rowFields>
  <rowItems count="2">
    <i>
      <x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Total Aplicado" fld="5" baseField="0" baseItem="0" numFmtId="165"/>
    <dataField name="Total de Ativos" fld="10" baseField="0" baseItem="0"/>
    <dataField name="Total Dividendo" fld="8" baseField="0" baseItem="0" numFmtId="165"/>
    <dataField name="Total JPC" fld="9" baseField="0" baseItem="0" numFmtId="165"/>
    <dataField name="Total Lucro p/ Ação" fld="12" baseField="0" baseItem="0" numFmtId="165"/>
    <dataField name="% Rentabilidade" fld="13" baseField="0" baseItem="0" numFmtId="10"/>
  </dataField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DadosExternos_110" connectionId="5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dosExternos_50" connectionId="15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dosExternos_197" connectionId="8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15" connectionId="41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19" connectionId="418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dosExternos_195" connectionId="75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dosExternos_111" connectionId="6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dosExternos_231" connectionId="21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dosExternos_149" connectionId="31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dosExternos_39" connectionId="3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dosExternos_168" connectionId="35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dosExternos_12" connectionId="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dosExternos_10" connectionId="394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dosExternos_32" connectionId="32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dosExternos_112" connectionId="80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dosExternos_7" connectionId="32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dosExternos_148" connectionId="309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adosExternos_2" connectionId="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adosExternos_171" connectionId="36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adosExternos_48" connectionId="13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3" connectionId="406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adosExternos_154" connectionId="32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adosExternos_107" connectionId="2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adosExternos_52" connectionId="180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adosExternos_222" connectionId="18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adosExternos_126" connectionId="23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adosExternos_42" connectionId="69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adosExternos_191" connectionId="4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DadosExternos_163" connectionId="34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adosExternos_153" connectionId="319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DadosExternos_36" connectionId="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21" connectionId="43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alData_5" connectionId="429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DadosExternos_18" connectionId="11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DadosExternos_177" connectionId="38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DadosExternos_11" connectionId="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DadosExternos_47" connectionId="12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DadosExternos_240" connectionId="25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DadosExternos_189" connectionId="44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DadosExternos_118" connectionId="14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DadosExternos_30" connectionId="27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ExternalData_10" connectionId="44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DadosExternos_115" connectionId="114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DadosExternos_144" connectionId="29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DadosExternos_166" connectionId="35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DadosExternos_157" connectionId="33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adosExternos_63" connectionId="26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DadosExternos_155" connectionId="32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DadosExternos_1" connectionId="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DadosExternos_146" connectionId="30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DadosExternos_186" connectionId="35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DadosExternos_66" connectionId="27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DadosExternos_96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DadosExternos_73" connectionId="32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DadosExternos_43" connectionId="8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DadosExternos_6" connectionId="29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ExternalData_8" connectionId="43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DadosExternos_167" connectionId="35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DadosExternos_130" connectionId="260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DadosExternos_221" connectionId="186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DadosExternos_9" connectionId="37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DadosExternos_53" connectionId="19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DadosExternos_103" connectionId="37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DadosExternos_139" connectionId="287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DadosExternos_205" connectionId="13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DadosExternos_4" connectionId="224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DadosExternos_129" connectionId="257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DadosExternos_143" connectionId="29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DadosExternos_21" connectionId="2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DadosExternos_233" connectionId="220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DadosExternos_31" connectionId="299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ExternalData_17" connectionId="405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DadosExternos_215" connectionId="16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DadosExternos_49" connectionId="14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DadosExternos_176" connectionId="374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DadosExternos_162" connectionId="341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DadosExternos_131" connectionId="263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DadosExternos_120" connectionId="169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DadosExternos_229" connectionId="207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ExternalData_1" connectionId="405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DadosExternos_141" connectionId="291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DadosExternos_35" connectionId="394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DadosExternos_133" connectionId="269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DadosExternos_51" connectionId="169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DadosExternos_136" connectionId="279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DadosExternos_26" connectionId="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DadosExternos_138" connectionId="285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ExternalData_4" connectionId="418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DadosExternos_218" connectionId="176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DadosExternos_238" connectionId="233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DadosExternos_15" connectionId="371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DadosExternos_152" connectionId="317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DadosExternos_16" connectionId="1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DadosExternos_104" connectionId="394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DadosExternos_203" connectionId="122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DadosExternos_172" connectionId="365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DadosExternos_27" connectionId="2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DadosExternos_170" connectionId="361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DadosExternos_235" connectionId="226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DadosExternos_182" connectionId="390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ExternalData_18" connectionId="406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DadosExternos_137" connectionId="283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ExternalData_20" connectionId="429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DadosExternos_72" connectionId="299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DadosExternos_190" connectionId="46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DadosExternos_164" connectionId="345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ExternalData_16" connectionId="412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DadosExternos_196" connectionId="79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DadosExternos_151" connectionId="315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DadosExternos_59" connectionId="254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DadosExternos_3" connectionId="113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DadosExternos_212" connectionId="163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DadosExternos_90" connectionId="394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DadosExternos_57" connectionId="236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DadosExternos_178" connectionId="382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ExternalData_13" connectionId="408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DadosExternos_61" connectionId="260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DadosExternos_34" connectionId="371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ExternalData_12" connectionId="407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DadosExternos_200" connectionId="112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DadosExternos_20" connectionId="1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DadosExternos_70" connectionId="224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DadosExternos_220" connectionId="181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DadosExternos_24" connectionId="2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DadosExternos_228" connectionId="203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DadosExternos_135" connectionId="276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ExternalData_9" connectionId="439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DadosExternos_209" connectionId="148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DadosExternos_121" connectionId="180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DadosExternos_230" connectionId="211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DadosExternos_192" connectionId="52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DadosExternos_44" connectionId="91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DadosExternos_45" connectionId="102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DadosExternos_226" connectionId="199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DadosExternos_173" connectionId="367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DadosExternos_213" connectionId="164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DadosExternos_128" connectionId="254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DadosExternos_169" connectionId="359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DadosExternos_8" connectionId="347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DadosExternos_113" connectionId="91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DadosExternos_174" connectionId="369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DadosExternos_114" connectionId="102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DadosExternos_184" connectionId="6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DadosExternos_122" connectionId="191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DadosExternos_116" connectionId="125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DadosExternos_62" connectionId="263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DadosExternos_55" connectionId="213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DadosExternos_160" connectionId="337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DadosExternos_132" connectionId="266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DadosExternos_140" connectionId="289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DadosExternos_46" connectionId="114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DadosExternos_17" connectionId="2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DadosExternos_14" connectionId="347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DadosExternos_180" connectionId="386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DadosExternos_37" connectionId="14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DadosExternos_65" connectionId="272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DadosExternos_175" connectionId="372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DadosExternos_123" connectionId="202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DadosExternos_183" connectionId="403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DadosExternos_60" connectionId="257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DadosExternos_232" connectionId="218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ExternalData_6" connectionId="433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ExternalData_2" connectionId="405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DadosExternos_201" connectionId="119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DadosExternos_211" connectionId="159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DadosExternos_219" connectionId="178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DadosExternos_156" connectionId="326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DadosExternos_134" connectionId="272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ExternalData_11" connectionId="441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DadosExternos_33" connectionId="347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DadosExternos_106" connectionId="14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DadosExternos_194" connectionId="56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DadosExternos_217" connectionId="174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DadosExternos_28" connectionId="113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DadosExternos_193" connectionId="54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DadosExternos_150" connectionId="313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DadosExternos_198" connectionId="85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ExternalData_14" connectionId="410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DadosExternos_69" connectionId="113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DadosExternos_67" connectionId="1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DadosExternos_108" connectionId="36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DadosExternos_41" connectionId="58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DadosExternos_187" connectionId="40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DadosExternos_29" connectionId="224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DadosExternos_165" connectionId="348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DadosExternos_64" connectionId="269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DadosExternos_185" connectionId="34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DadosExternos_58" connectionId="247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DadosExternos_142" connectionId="293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DadosExternos_202" connectionId="120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DadosExternos_161" connectionId="339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DadosExternos_97" connectionId="113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DadosExternos_71" connectionId="275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DadosExternos_145" connectionId="300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DadosExternos_56" connectionId="225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DadosExternos_188" connectionId="43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DadosExternos_125" connectionId="225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DadosExternos_117" connectionId="136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DadosExternos_40" connectionId="47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ExternalData_7" connectionId="436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DadosExternos_237" connectionId="231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DadosExternos_38" connectionId="25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DadosExternos_181" connectionId="388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DadosExternos_158" connectionId="333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DadosExternos_68" connectionId="2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DadosExternos_54" connectionId="202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DadosExternos_216" connectionId="170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DadosExternos_127" connectionId="247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DadosExternos_124" connectionId="213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DadosExternos_225" connectionId="197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DadosExternos_179" connectionId="384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DadosExternos_204" connectionId="124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DadosExternos_147" connectionId="307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DadosExternos_98" connectionId="224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DadosExternos_109" connectionId="47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DadosExternos_206" connectionId="140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DadosExternos_119" connectionId="158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DadosExternos_159" connectionId="335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DadosExternos_224" connectionId="196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DadosExternos_69" connectionId="126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DadosExternos_171" connectionId="364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DadosExternos_135" connectionId="278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DadosExternos_56" connectionId="227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DadosExternos_14" connectionId="354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DadosExternos_8" connectionId="352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DadosExternos_262" connectionId="177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DadosExternos_45" connectionId="104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DadosExternos_251" connectionId="151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DadosExternos_139" connectionId="288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DadosExternos_42" connectionId="71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ExternalData_26" connectionId="412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DadosExternos_161" connectionId="340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DadosExternos_193" connectionId="29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DadosExternos_24" connectionId="16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DadosExternos_32" connectionId="327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ExternalData_13" connectionId="409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ExternalData_5" connectionId="431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DadosExternos_110" connectionId="60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ExternalData_7" connectionId="437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DadosExternos_146" connectionId="304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DadosExternos_234" connectionId="103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DadosExternos_177" connectionId="381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DadosExternos_103" connectionId="375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DadosExternos_30" connectionId="280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DadosExternos_210" connectionId="65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DadosExternos_140" connectionId="290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ExternalData_11" connectionId="441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DadosExternos_12" connectionId="23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DadosExternos_229" connectionId="97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DadosExternos_277" connectionId="217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DadosExternos_107" connectionId="28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DadosExternos_215" connectionId="73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DadosExternos_187" connectionId="9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DadosExternos_11" connectionId="402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ExternalData_9" connectionId="439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DadosExternos_168" connectionId="358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DadosExternos_52" connectionId="182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DadosExternos_265" connectionId="185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DadosExternos_219" connectionId="78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DadosExternos_233" connectionId="101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DadosExternos_125" connectionId="228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DadosExternos_109" connectionId="50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DadosExternos_269" connectionId="192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ExternalData_25" connectionId="411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DadosExternos_154" connectionId="322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DadosExternos_290" connectionId="253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DadosExternos_72" connectionId="305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DadosExternos_165" connectionId="349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DadosExternos_16" connectionId="395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ExternalData_34" connectionId="423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DadosExternos_4" connectionId="238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DadosExternos_57" connectionId="239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DadosExternos_192" connectionId="26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DadosExternos_188" connectionId="10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DadosExternos_155" connectionId="325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DadosExternos_98" connectionId="237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DadosExternos_144" connectionId="298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DadosExternos_21" connectionId="18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DadosExternos_174" connectionId="370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DadosExternos_198" connectionId="37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DadosExternos_249" connectionId="143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DadosExternos_206" connectionId="59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DadosExternos_50" connectionId="161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ExternalData_27" connectionId="413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DadosExternos_195" connectionId="31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DadosExternos_108" connectionId="39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ExternalData_19" connectionId="420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DadosExternos_228" connectionId="96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ExternalData_28" connectionId="414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DadosExternos_20" connectionId="400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DadosExternos_46" connectionId="116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DadosExternos_116" connectionId="132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DadosExternos_256" connectionId="156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DadosExternos_199" connectionId="41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DadosExternos_178" connectionId="383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DadosExternos_270" connectionId="198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DadosExternos_209" connectionId="64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DadosExternos_112" connectionId="82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DadosExternos_38" connectionId="27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DadosExternos_201" connectionId="45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ExternalData_23" connectionId="441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ExternalData_3" connectionId="408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DadosExternos_271" connectionId="200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DadosExternos_117" connectionId="138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DadosExternos_276" connectionId="212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DadosExternos_166" connectionId="353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DadosExternos_288" connectionId="246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DadosExternos_15" connectionId="378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DadosExternos_134" connectionId="273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DadosExternos_222" connectionId="87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DadosExternos_205" connectionId="57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DadosExternos_149" connectionId="312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DadosExternos_170" connectionId="362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DadosExternos_106" connectionId="22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DadosExternos_243" connectionId="123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DadosExternos_128" connectionId="256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DadosExternos_121" connectionId="183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DadosExternos_118" connectionId="150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ExternalData_14" connectionId="410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DadosExternos_66" connectionId="277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DadosExternos_55" connectionId="215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DadosExternos_3" connectionId="127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DadosExternos_35" connectionId="397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DadosExternos_126" connectionId="241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DadosExternos_133" connectionId="270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DadosExternos_34" connectionId="379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DadosExternos_131" connectionId="265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ExternalData_15" connectionId="411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DadosExternos_190" connectionId="12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DadosExternos_239" connectionId="110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DadosExternos_9" connectionId="376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ExternalData_4" connectionId="421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ExternalData_8" connectionId="438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DadosExternos_145" connectionId="301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DadosExternos_173" connectionId="368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DadosExternos_158" connectionId="334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DadosExternos_278" connectionId="219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DadosExternos_62" connectionId="264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DadosExternos_59" connectionId="255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ExternalData_30" connectionId="416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ExternalData_17" connectionId="436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DadosExternos_261" connectionId="175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DadosExternos_181" connectionId="389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DadosExternos_60" connectionId="258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DadosExternos_40" connectionId="49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DadosExternos_18" connectionId="128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DadosExternos_68" connectionId="17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ExternalData_16" connectionId="412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DadosExternos_197" connectionId="33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ExternalData_2" connectionId="438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ExternalData_6" connectionId="435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DadosExternos_156" connectionId="330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DadosExternos_259" connectionId="168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DadosExternos_2" connectionId="19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DadosExternos_212" connectionId="67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DadosExternos_159" connectionId="336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DadosExternos_17" connectionId="15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DadosExternos_97" connectionId="131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DadosExternos_150" connectionId="314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DadosExternos_160" connectionId="338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DadosExternos_73" connectionId="329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DadosExternos_31" connectionId="303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DadosExternos_143" connectionId="296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DadosExternos_224" connectionId="89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DadosExternos_167" connectionId="356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DadosExternos_43" connectionId="83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DadosExternos_204" connectionId="55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DadosExternos_130" connectionId="261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DadosExternos_26" connectionId="393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ExternalData_29" connectionId="415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ExternalData_38" connectionId="427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DadosExternos_258" connectionId="165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DadosExternos_287" connectionId="245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DadosExternos_176" connectionId="377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DadosExternos_41" connectionId="61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ExternalData_40" connectionId="430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DadosExternos_111" connectionId="72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ExternalData_22" connectionId="440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DadosExternos_235" connectionId="106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DadosExternos_211" connectionId="66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DadosExternos_152" connectionId="318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DadosExternos_49" connectionId="149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DadosExternos_65" connectionId="274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DadosExternos_148" connectionId="310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DadosExternos_275" connectionId="210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DadosExternos_208" connectionId="63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DadosExternos_142" connectionId="294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DadosExternos_246" connectionId="137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DadosExternos_207" connectionId="62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DadosExternos_113" connectionId="93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DadosExternos_120" connectionId="172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DadosExternos_272" connectionId="206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DadosExternos_185" connectionId="7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DadosExternos_268" connectionId="190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DadosExternos_119" connectionId="160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DadosExternos_136" connectionId="281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DadosExternos_186" connectionId="8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DadosExternos_141" connectionId="292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ExternalData_31" connectionId="417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ExternalData_33" connectionId="422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DadosExternos_48" connectionId="139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DadosExternos_53" connectionId="193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DadosExternos_225" connectionId="90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DadosExternos_10" connectionId="401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DadosExternos_184" connectionId="4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DadosExternos_241" connectionId="118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DadosExternos_129" connectionId="259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DadosExternos_260" connectionId="173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DadosExternos_237" connectionId="108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DadosExternos_240" connectionId="115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DadosExternos_115" connectionId="117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DadosExternos_238" connectionId="109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DadosExternos_7" connectionId="328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DadosExternos_104" connectionId="396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DadosExternos_63" connectionId="268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DadosExternos_263" connectionId="179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DadosExternos_96" connectionId="24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DadosExternos_183" connectionId="404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ExternalData_32" connectionId="419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DadosExternos_281" connectionId="229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DadosExternos_28" connectionId="130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DadosExternos_71" connectionId="282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DadosExternos_147" connectionId="308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DadosExternos_182" connectionId="391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DadosExternos_122" connectionId="194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DadosExternos_153" connectionId="320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DadosExternos_58" connectionId="250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DadosExternos_90" connectionId="398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ExternalData_20" connectionId="432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ExternalData_21" connectionId="434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DadosExternos_36" connectionId="5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ExternalData_36" connectionId="425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DadosExternos_132" connectionId="267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DadosExternos_203" connectionId="53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DadosExternos_151" connectionId="316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DadosExternos_157" connectionId="332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DadosExternos_163" connectionId="344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DadosExternos_1" connectionId="399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DadosExternos_47" connectionId="129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DadosExternos_194" connectionId="30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DadosExternos_175" connectionId="373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DadosExternos_29" connectionId="242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DadosExternos_179" connectionId="385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DadosExternos_202" connectionId="51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DadosExternos_138" connectionId="286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ExternalData_1" connectionId="439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DadosExternos_200" connectionId="42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DadosExternos_213" connectionId="68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DadosExternos_67" connectionId="392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DadosExternos_169" connectionId="360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DadosExternos_64" connectionId="271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DadosExternos_180" connectionId="387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DadosExternos_214" connectionId="70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ExternalData_37" connectionId="426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DadosExternos_27" connectionId="20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DadosExternos_196" connectionId="32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DadosExternos_191" connectionId="13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DadosExternos_221" connectionId="86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DadosExternos_70" connectionId="240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DadosExternos_280" connectionId="222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DadosExternos_282" connectionId="232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DadosExternos_220" connectionId="84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ExternalData_24" connectionId="407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DadosExternos_37" connectionId="21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DadosExternos_54" connectionId="205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ExternalData_35" connectionId="424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DadosExternos_39" connectionId="38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DadosExternos_189" connectionId="11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DadosExternos_244" connectionId="133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DadosExternos_51" connectionId="171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DadosExternos_242" connectionId="121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DadosExternos_216" connectionId="74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DadosExternos_250" connectionId="144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ExternalData_10" connectionId="440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DadosExternos_162" connectionId="342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DadosExternos_6" connectionId="306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DadosExternos_257" connectionId="162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DadosExternos_33" connectionId="351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DadosExternos_44" connectionId="94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DadosExternos_137" connectionId="284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DadosExternos_164" connectionId="346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DadosExternos_227" connectionId="95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ExternalData_12" connectionId="407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DadosExternos_114" connectionId="105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DadosExternos_127" connectionId="249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ExternalData_18" connectionId="410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DadosExternos_230" connectionId="98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DadosExternos_253" connectionId="153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DadosExternos_61" connectionId="262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DadosExternos_279" connectionId="221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DadosExternos_217" connectionId="76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DadosExternos_223" connectionId="88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DadosExternos_124" connectionId="216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ExternalData_39" connectionId="428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DadosExternos_123" connectionId="204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DadosExternos_172" connectionId="366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ela3" displayName="Tabela3" ref="A1:U161">
  <autoFilter ref="A1:U161">
    <filterColumn colId="14">
      <filters>
        <filter val="Sim"/>
      </filters>
    </filterColumn>
  </autoFilter>
  <sortState ref="A4:U115">
    <sortCondition descending="1" ref="P1:P164"/>
  </sortState>
  <tableColumns count="21">
    <tableColumn id="10" name="Classificação Setorial" totalsRowFunction="count" dataDxfId="102" totalsRowDxfId="101"/>
    <tableColumn id="9" name="PAPEL" dataDxfId="100" totalsRowDxfId="99"/>
    <tableColumn id="24" name="Ref"/>
    <tableColumn id="2" name="Patrimônio Líquido" dataDxfId="98" totalsRowDxfId="97"/>
    <tableColumn id="13" name="Lucro Líquido" dataDxfId="96" totalsRowDxfId="95" dataCellStyle="Currency"/>
    <tableColumn id="22" name="Lucro Médio" dataDxfId="94" totalsRowDxfId="93" dataCellStyle="Currency">
      <calculatedColumnFormula>GETPIVOTDATA("Average of Lucro Líquido",'Tabela LL'!$A$3,"Ativo",Tabela3[[#This Row],[PAPEL]])/4*Tabela3[[#This Row],[Ref]]</calculatedColumnFormula>
    </tableColumn>
    <tableColumn id="3" name="Total Ações" dataDxfId="92" totalsRowDxfId="91"/>
    <tableColumn id="19" name="Lucro/Ação" dataDxfId="90" totalsRowDxfId="89">
      <calculatedColumnFormula>Tabela3[[#This Row],[Lucro Líquido]]/Tabela3[[#This Row],[Total Ações]]</calculatedColumnFormula>
    </tableColumn>
    <tableColumn id="26" name="Payout" dataDxfId="88" totalsRowDxfId="87">
      <calculatedColumnFormula>IF(GETPIVOTDATA("Payout",'Tabela LL'!$A$3,"Ativo",Tabela3[[#This Row],[PAPEL]])&gt;1,1,GETPIVOTDATA("Payout",'Tabela LL'!$A$3,"Ativo",Tabela3[[#This Row],[PAPEL]]))</calculatedColumnFormula>
    </tableColumn>
    <tableColumn id="4" name="VPA" dataDxfId="86" totalsRowDxfId="85">
      <calculatedColumnFormula>Tabela3[Patrimônio Líquido]/Tabela3[Total Ações]</calculatedColumnFormula>
    </tableColumn>
    <tableColumn id="5" name="Cotação" dataDxfId="84" totalsRowDxfId="83">
      <calculatedColumnFormula>MAX(Tabela3[[#This Row],[Cotação 1]],Tabela3[[#This Row],[Cotação 2]])</calculatedColumnFormula>
    </tableColumn>
    <tableColumn id="6" name="PVPA" dataDxfId="82" totalsRowDxfId="81">
      <calculatedColumnFormula>Tabela3[Cotação]/Tabela3[VPA]</calculatedColumnFormula>
    </tableColumn>
    <tableColumn id="16" name="PL" dataDxfId="80">
      <calculatedColumnFormula>IF(Tabela3[[#This Row],[Lucro/Ação]]&gt;0,Tabela3[[#This Row],[Cotação]]/Tabela3[[#This Row],[Lucro/Ação]],0)</calculatedColumnFormula>
    </tableColumn>
    <tableColumn id="21" name="Lucro Prev" dataDxfId="1" totalsRowDxfId="79">
      <calculatedColumnFormula>Tabela3[[#This Row],[Lucro/Ação]]*Tabela3[[#This Row],[Payout]]</calculatedColumnFormula>
    </tableColumn>
    <tableColumn id="8" name="Comprar ?" dataDxfId="0" totalsRowDxfId="78">
      <calculatedColumnFormula>IF(AND(Tabela3[% A.A.]&gt;=10%,Tabela3[PVPA]&lt;=2,Tabela3[PL]&lt;=15,Tabela3[PL]&gt;0),"Sim","Não")</calculatedColumnFormula>
    </tableColumn>
    <tableColumn id="14" name="% Yield" dataDxfId="77" totalsRowDxfId="76">
      <calculatedColumnFormula>Tabela3[[#This Row],[Lucro Prev]]/Tabela3[[#This Row],[Cotação]]</calculatedColumnFormula>
    </tableColumn>
    <tableColumn id="12" name="% A.A." dataDxfId="75" totalsRowDxfId="74" dataCellStyle="Percent">
      <calculatedColumnFormula>((1+Tabela3[[#This Row],[% Yield]])^(1/(3*Tabela3[[#This Row],[Ref]])))^(12)-1</calculatedColumnFormula>
    </tableColumn>
    <tableColumn id="17" name="Ativos" dataDxfId="73" totalsRowDxfId="72">
      <calculatedColumnFormula>($X$1/Tabela3[[#This Row],[Cotação]]-MOD($X$1/Tabela3[[#This Row],[Cotação]],100))</calculatedColumnFormula>
    </tableColumn>
    <tableColumn id="18" name="Lucro Med A.A" totalsRowFunction="sum" dataDxfId="71" totalsRowDxfId="70">
      <calculatedColumnFormula>Tabela3[[#This Row],[Ativos]]*Tabela3[[#This Row],[Lucro Prev]]</calculatedColumnFormula>
    </tableColumn>
    <tableColumn id="15" name="Cotação 1" dataDxfId="69" totalsRowDxfId="68">
      <calculatedColumnFormula>SUMPRODUCT(N(Tabela1[Código]=Tabela3[[#This Row],[PAPEL]]),Tabela1[Fechamento])</calculatedColumnFormula>
    </tableColumn>
    <tableColumn id="20" name="Cotação 2" totalsRowFunction="sum" dataDxfId="67" totalsRowDxfId="66">
      <calculatedColumnFormula>SUMPRODUCT(N(Tabela17[Código]=Tabela3[[#This Row],[PAPEL]]),Tabela17[Fechamento])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ela1" displayName="Tabela1" ref="P6:V112" totalsRowShown="0" headerRowDxfId="65" dataDxfId="64">
  <autoFilter ref="P6:V112"/>
  <sortState ref="P7:V112">
    <sortCondition ref="P6:P112"/>
  </sortState>
  <tableColumns count="7">
    <tableColumn id="1" name="Código" dataDxfId="63"/>
    <tableColumn id="2" name="Ativo" dataDxfId="62">
      <calculatedColumnFormula>IF(A7="","",C7)</calculatedColumnFormula>
    </tableColumn>
    <tableColumn id="3" name="Data" dataDxfId="61">
      <calculatedColumnFormula>IF(A7="","",H7)</calculatedColumnFormula>
    </tableColumn>
    <tableColumn id="4" name="Abertura" dataDxfId="60">
      <calculatedColumnFormula>J7</calculatedColumnFormula>
    </tableColumn>
    <tableColumn id="5" name="Fechamento" dataDxfId="59">
      <calculatedColumnFormula>K7</calculatedColumnFormula>
    </tableColumn>
    <tableColumn id="6" name="Máxima" dataDxfId="58">
      <calculatedColumnFormula>L7</calculatedColumnFormula>
    </tableColumn>
    <tableColumn id="7" name="Mínima" dataDxfId="57">
      <calculatedColumnFormula>M7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Tabela17" displayName="Tabela17" ref="P6:V112" totalsRowShown="0" headerRowDxfId="56" dataDxfId="55">
  <autoFilter ref="P6:V112"/>
  <sortState ref="P7:V112">
    <sortCondition ref="P6:P112"/>
  </sortState>
  <tableColumns count="7">
    <tableColumn id="1" name="Código" dataDxfId="54"/>
    <tableColumn id="2" name="Ativo" dataDxfId="53">
      <calculatedColumnFormula>IF(A7="","",C7)</calculatedColumnFormula>
    </tableColumn>
    <tableColumn id="3" name="Data" dataDxfId="52">
      <calculatedColumnFormula>IF(A7="","",H7)</calculatedColumnFormula>
    </tableColumn>
    <tableColumn id="4" name="Abertura" dataDxfId="51">
      <calculatedColumnFormula>J7</calculatedColumnFormula>
    </tableColumn>
    <tableColumn id="5" name="Fechamento" dataDxfId="50">
      <calculatedColumnFormula>K7</calculatedColumnFormula>
    </tableColumn>
    <tableColumn id="6" name="Máxima" dataDxfId="49">
      <calculatedColumnFormula>L7</calculatedColumnFormula>
    </tableColumn>
    <tableColumn id="7" name="Mínima" dataDxfId="48">
      <calculatedColumnFormula>M7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" name="Tabela2" displayName="Tabela2" ref="A1:M582" totalsRowShown="0" headerRowDxfId="47" dataDxfId="46">
  <autoFilter ref="A1:M582"/>
  <sortState ref="A2:K563">
    <sortCondition ref="A1:A563"/>
  </sortState>
  <tableColumns count="13">
    <tableColumn id="1" name="Ativo" dataDxfId="45"/>
    <tableColumn id="4" name="Exercício" dataDxfId="44"/>
    <tableColumn id="2" name="Lucro Líquido" dataDxfId="43"/>
    <tableColumn id="6" name="Total Ações" dataDxfId="42">
      <calculatedColumnFormula>SUMPRODUCT(N(Tabela3[PAPEL]=Tabela2[[#This Row],[Ativo]]),Tabela3[Total Ações])</calculatedColumnFormula>
    </tableColumn>
    <tableColumn id="7" name="Lucro por ação" dataDxfId="41">
      <calculatedColumnFormula>(Tabela2[[#This Row],[Lucro Líquido]])/Tabela2[[#This Row],[Total Ações]]</calculatedColumnFormula>
    </tableColumn>
    <tableColumn id="8" name="Dividendo / Ação" dataDxfId="40"/>
    <tableColumn id="5" name="Payout" dataDxfId="39">
      <calculatedColumnFormula>IF(AND(Tabela2[[#This Row],[Dividendo / Ação]]&gt;0,Tabela2[[#This Row],[Lucro por ação]]&gt;0),Tabela2[[#This Row],[Dividendo / Ação]]/Tabela2[[#This Row],[Lucro por ação]],"")</calculatedColumnFormula>
    </tableColumn>
    <tableColumn id="9" name="Cotação" dataDxfId="38">
      <calculatedColumnFormula>MAX(Tabela2[[#This Row],[Cotação 1]],Tabela2[[#This Row],[Cotação 2]])</calculatedColumnFormula>
    </tableColumn>
    <tableColumn id="10" name="Yield" dataDxfId="37">
      <calculatedColumnFormula>IF(Tabela2[[#This Row],[Dividendo / Ação]]&gt;0,Tabela2[[#This Row],[Dividendo / Ação]]/Tabela2[[#This Row],[Cotação]],"")</calculatedColumnFormula>
    </tableColumn>
    <tableColumn id="11" name="Cotação 1" dataDxfId="36">
      <calculatedColumnFormula>SUMPRODUCT(N(Tabela1[Código]=Tabela2[[#This Row],[Ativo]]),Tabela1[Fechamento])</calculatedColumnFormula>
    </tableColumn>
    <tableColumn id="12" name="Cotação 2" dataDxfId="35">
      <calculatedColumnFormula>SUMPRODUCT(N(Tabela17[Código]=Tabela2[[#This Row],[Ativo]]),Tabela17[Fechamento])</calculatedColumnFormula>
    </tableColumn>
    <tableColumn id="3" name="Lucro Anterior" dataDxfId="34">
      <calculatedColumnFormula>SUMPRODUCT(N(Tabela2[Ativo]=Tabela2[[#This Row],[Ativo]]),N(Tabela2[Exercício]=Tabela2[[#This Row],[Exercício]]-1),Tabela2[Lucro Líquido])</calculatedColumnFormula>
    </tableColumn>
    <tableColumn id="13" name="Crescimento" dataDxfId="33" dataCellStyle="Percent">
      <calculatedColumnFormula>IF(Tabela2[[#This Row],[Lucro Anterior]]=0,"",IF(Tabela2[[#This Row],[Lucro Líquido]]&gt;0,Tabela2[[#This Row],[Lucro Líquido]]/Tabela2[[#This Row],[Lucro Anterior]]-1,0))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Table4" displayName="Table4" ref="A1:N3" totalsRowCount="1" headerRowDxfId="32" dataDxfId="31" totalsRowDxfId="30">
  <autoFilter ref="A1:N2"/>
  <tableColumns count="14">
    <tableColumn id="1" name="Data Liquidação" totalsRowLabel="Total" dataDxfId="29" totalsRowDxfId="28"/>
    <tableColumn id="16" name="Dia" dataDxfId="27" totalsRowDxfId="26">
      <calculatedColumnFormula>DAY(Table4[Data Liquidação])</calculatedColumnFormula>
    </tableColumn>
    <tableColumn id="15" name="Mês" dataDxfId="25" totalsRowDxfId="24">
      <calculatedColumnFormula>MONTH(Table4[Data Liquidação])</calculatedColumnFormula>
    </tableColumn>
    <tableColumn id="14" name="Ano" dataDxfId="23" totalsRowDxfId="22">
      <calculatedColumnFormula>YEAR(Table4[Data Liquidação])</calculatedColumnFormula>
    </tableColumn>
    <tableColumn id="7" name="Nome" dataDxfId="21" totalsRowDxfId="20"/>
    <tableColumn id="2" name="Aplicação" totalsRowFunction="sum" dataDxfId="19" totalsRowDxfId="18"/>
    <tableColumn id="3" name="Taxas" totalsRowFunction="min" dataDxfId="17" totalsRowDxfId="16"/>
    <tableColumn id="4" name="Resgates" totalsRowFunction="sum" dataDxfId="15" totalsRowDxfId="14"/>
    <tableColumn id="5" name="Dividendo" totalsRowFunction="sum" dataDxfId="13" totalsRowDxfId="12"/>
    <tableColumn id="18" name="JPC" totalsRowFunction="sum" dataDxfId="11" totalsRowDxfId="10"/>
    <tableColumn id="8" name="Quantidade" dataDxfId="9" totalsRowDxfId="8"/>
    <tableColumn id="9" name="Preço Médio" dataDxfId="7" totalsRowDxfId="6">
      <calculatedColumnFormula>SUMPRODUCT(N(Table4[Nome]=Table4[[#This Row],[Nome]]),N(DATE(YEAR(Table4[Data Liquidação]),MONTH(Table4[Data Liquidação]),DAY(Table4[Data Liquidação]))&lt;=DATE(YEAR(Table4[[#This Row],[Data Liquidação]]),MONTH(Table4[[#This Row],[Data Liquidação]]),DAY(Table4[[#This Row],[Data Liquidação]]))),Table4[Aplicação])/SUMPRODUCT(N(Table4[Nome]=Table4[[#This Row],[Nome]]),N(DATE(YEAR(Table4[Data Liquidação]),MONTH(Table4[Data Liquidação]),DAY(Table4[Data Liquidação]))&lt;=DATE(YEAR(Table4[[#This Row],[Data Liquidação]]),MONTH(Table4[[#This Row],[Data Liquidação]]),DAY(Table4[[#This Row],[Data Liquidação]]))),Table4[Quantidade])</calculatedColumnFormula>
    </tableColumn>
    <tableColumn id="13" name="Lucro p/ Ação" dataDxfId="5" totalsRowDxfId="4">
      <calculatedColumnFormula>IF(OR(Table4[Dividendo]&gt;0,Table4[JPC]&gt;0),(Table4[[#This Row],[Dividendo]]+Table4[[#This Row],[JPC]])/SUMPRODUCT(N(Table4[Nome]=Table4[[#This Row],[Nome]]),N(DATE(YEAR(Table4[Data Liquidação]),MONTH(Table4[Data Liquidação]),DAY(Table4[Data Liquidação]))&lt;=DATE(YEAR(Table4[[#This Row],[Data Liquidação]]),MONTH(Table4[[#This Row],[Data Liquidação]]),DAY(Table4[[#This Row],[Data Liquidação]]))),Table4[Quantidade]),0)</calculatedColumnFormula>
    </tableColumn>
    <tableColumn id="6" name="Rentabilidade" totalsRowFunction="custom" dataDxfId="3" totalsRowDxfId="2">
      <calculatedColumnFormula>IF(Table4[Lucro p/ Ação]&gt;0,Table4[Lucro p/ Ação]/Table4[Preço Médio],"")</calculatedColumnFormula>
      <totalsRowFormula>(Table4[[#Totals],[JPC]]+Table4[[#Totals],[Dividendo]])/Table4[[#Totals],[Aplicação]]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bmfbovespa.com.br/cias-listadas/empresas-listadas/ResumoEmpresaPrincipal.aspx?codigoCvm=20575&amp;idioma=pt-br" TargetMode="External"/><Relationship Id="rId18" Type="http://schemas.openxmlformats.org/officeDocument/2006/relationships/hyperlink" Target="http://www.bmfbovespa.com.br/cias-listadas/empresas-listadas/ResumoEmpresaPrincipal.aspx?codigoCvm=17671&amp;idioma=pt-br" TargetMode="External"/><Relationship Id="rId26" Type="http://schemas.openxmlformats.org/officeDocument/2006/relationships/hyperlink" Target="http://www.bmfbovespa.com.br/cias-listadas/empresas-listadas/ResumoEmpresaPrincipal.aspx?codigoCvm=22691&amp;idioma=pt-br" TargetMode="External"/><Relationship Id="rId39" Type="http://schemas.openxmlformats.org/officeDocument/2006/relationships/hyperlink" Target="http://www.bmfbovespa.com.br/cias-listadas/empresas-listadas/ResumoEmpresaPrincipal.aspx?codigoCvm=11231&amp;idioma=pt-br" TargetMode="External"/><Relationship Id="rId21" Type="http://schemas.openxmlformats.org/officeDocument/2006/relationships/hyperlink" Target="http://www.bmfbovespa.com.br/cias-listadas/empresas-listadas/ResumoEmpresaPrincipal.aspx?codigoCvm=18724&amp;idioma=pt-br" TargetMode="External"/><Relationship Id="rId34" Type="http://schemas.openxmlformats.org/officeDocument/2006/relationships/hyperlink" Target="http://www.bmfbovespa.com.br/cias-listadas/empresas-listadas/ResumoEmpresaPrincipal.aspx?codigoCvm=5770&amp;idioma=pt-br" TargetMode="External"/><Relationship Id="rId42" Type="http://schemas.openxmlformats.org/officeDocument/2006/relationships/hyperlink" Target="http://www.bmfbovespa.com.br/cias-listadas/empresas-listadas/ResumoEmpresaPrincipal.aspx?codigoCvm=19909&amp;idioma=pt-br" TargetMode="External"/><Relationship Id="rId47" Type="http://schemas.openxmlformats.org/officeDocument/2006/relationships/hyperlink" Target="http://www.bmfbovespa.com.br/cias-listadas/empresas-listadas/ResumoEmpresaPrincipal.aspx?codigoCvm=22357&amp;idioma=pt-br" TargetMode="External"/><Relationship Id="rId50" Type="http://schemas.openxmlformats.org/officeDocument/2006/relationships/hyperlink" Target="http://www.bmfbovespa.com.br/cias-listadas/empresas-listadas/ResumoEmpresaPrincipal.aspx?codigoCvm=8540&amp;idioma=pt-br" TargetMode="External"/><Relationship Id="rId55" Type="http://schemas.openxmlformats.org/officeDocument/2006/relationships/hyperlink" Target="http://www.bmfbovespa.com.br/cias-listadas/empresas-listadas/ResumoEmpresaPrincipal.aspx?codigoCvm=21610&amp;idioma=pt-br" TargetMode="External"/><Relationship Id="rId7" Type="http://schemas.openxmlformats.org/officeDocument/2006/relationships/hyperlink" Target="http://www.bmfbovespa.com.br/cias-listadas/empresas-listadas/ResumoEmpresaPrincipal.aspx?codigoCvm=4820&amp;idioma=pt-br" TargetMode="External"/><Relationship Id="rId12" Type="http://schemas.openxmlformats.org/officeDocument/2006/relationships/hyperlink" Target="http://www.bmfbovespa.com.br/cias-listadas/empresas-listadas/ResumoEmpresaPrincipal.aspx?codigoCvm=16292&amp;idioma=pt-br" TargetMode="External"/><Relationship Id="rId17" Type="http://schemas.openxmlformats.org/officeDocument/2006/relationships/hyperlink" Target="http://www.bmfbovespa.com.br/cias-listadas/empresas-listadas/ResumoEmpresaPrincipal.aspx?codigoCvm=11312&amp;idioma=pt-br" TargetMode="External"/><Relationship Id="rId25" Type="http://schemas.openxmlformats.org/officeDocument/2006/relationships/hyperlink" Target="http://www.bmfbovespa.com.br/cias-listadas/empresas-listadas/ResumoEmpresaPrincipal.aspx?codigoCvm=701&amp;idioma=pt-br" TargetMode="External"/><Relationship Id="rId33" Type="http://schemas.openxmlformats.org/officeDocument/2006/relationships/hyperlink" Target="http://www.bmfbovespa.com.br/cias-listadas/empresas-listadas/ResumoEmpresaPrincipal.aspx?codigoCvm=21091&amp;idioma=pt-br" TargetMode="External"/><Relationship Id="rId38" Type="http://schemas.openxmlformats.org/officeDocument/2006/relationships/hyperlink" Target="http://www.bmfbovespa.com.br/cias-listadas/empresas-listadas/ResumoEmpresaPrincipal.aspx?codigoCvm=94&amp;idioma=pt-br" TargetMode="External"/><Relationship Id="rId46" Type="http://schemas.openxmlformats.org/officeDocument/2006/relationships/hyperlink" Target="http://www.bmfbovespa.com.br/cias-listadas/empresas-listadas/ResumoEmpresaPrincipal.aspx?codigoCvm=20982&amp;idioma=pt-br" TargetMode="External"/><Relationship Id="rId59" Type="http://schemas.openxmlformats.org/officeDocument/2006/relationships/printerSettings" Target="../printerSettings/printerSettings1.bin"/><Relationship Id="rId2" Type="http://schemas.openxmlformats.org/officeDocument/2006/relationships/hyperlink" Target="http://www.bmfbovespa.com.br/cias-listadas/empresas-listadas/ResumoEmpresaPrincipal.aspx?codigoCvm=22365&amp;idioma=pt-br" TargetMode="External"/><Relationship Id="rId16" Type="http://schemas.openxmlformats.org/officeDocument/2006/relationships/hyperlink" Target="http://www.bmfbovespa.com.br/cias-listadas/empresas-listadas/ResumoEmpresaPrincipal.aspx?codigoCvm=11312&amp;idioma=pt-br" TargetMode="External"/><Relationship Id="rId20" Type="http://schemas.openxmlformats.org/officeDocument/2006/relationships/hyperlink" Target="http://www.bmfbovespa.com.br/cias-listadas/empresas-listadas/ResumoEmpresaPrincipal.aspx?codigoCvm=18724&amp;idioma=pt-br" TargetMode="External"/><Relationship Id="rId29" Type="http://schemas.openxmlformats.org/officeDocument/2006/relationships/hyperlink" Target="http://www.bmfbovespa.com.br/cias-listadas/empresas-listadas/ResumoEmpresaPrincipal.aspx?codigoCvm=2453&amp;idioma=pt-br" TargetMode="External"/><Relationship Id="rId41" Type="http://schemas.openxmlformats.org/officeDocument/2006/relationships/hyperlink" Target="http://www.bmfbovespa.com.br/cias-listadas/empresas-listadas/ResumoEmpresaPrincipal.aspx?codigoCvm=21300&amp;idioma=pt-br" TargetMode="External"/><Relationship Id="rId54" Type="http://schemas.openxmlformats.org/officeDocument/2006/relationships/hyperlink" Target="http://www.bmfbovespa.com.br/cias-listadas/empresas-listadas/ResumoEmpresaPrincipal.aspx?codigoCvm=21717&amp;idioma=pt-br" TargetMode="External"/><Relationship Id="rId1" Type="http://schemas.openxmlformats.org/officeDocument/2006/relationships/hyperlink" Target="http://www.bmfbovespa.com.br/cias-listadas/empresas-listadas/ResumoEmpresaPrincipal.aspx?codigoCvm=11592&amp;idioma=pt-br" TargetMode="External"/><Relationship Id="rId6" Type="http://schemas.openxmlformats.org/officeDocument/2006/relationships/hyperlink" Target="http://www.bmfbovespa.com.br/cias-listadas/empresas-listadas/ResumoEmpresaPrincipal.aspx?codigoCvm=23159&amp;idioma=pt-br" TargetMode="External"/><Relationship Id="rId11" Type="http://schemas.openxmlformats.org/officeDocument/2006/relationships/hyperlink" Target="http://www.bmfbovespa.com.br/cias-listadas/empresas-listadas/ResumoEmpresaPrincipal.aspx?codigoCvm=2909&amp;idioma=pt-br" TargetMode="External"/><Relationship Id="rId24" Type="http://schemas.openxmlformats.org/officeDocument/2006/relationships/hyperlink" Target="http://www.bmfbovespa.com.br/cias-listadas/empresas-listadas/ResumoEmpresaPrincipal.aspx?codigoCvm=18465&amp;idioma=pt-br" TargetMode="External"/><Relationship Id="rId32" Type="http://schemas.openxmlformats.org/officeDocument/2006/relationships/hyperlink" Target="http://www.bmfbovespa.com.br/cias-listadas/empresas-listadas/ResumoEmpresaPrincipal.aspx?codigoCvm=13412&amp;idioma=pt-br" TargetMode="External"/><Relationship Id="rId37" Type="http://schemas.openxmlformats.org/officeDocument/2006/relationships/hyperlink" Target="http://www.bmfbovespa.com.br/cias-listadas/empresas-listadas/ResumoEmpresaPrincipal.aspx?codigoCvm=4170&amp;idioma=pt-br" TargetMode="External"/><Relationship Id="rId40" Type="http://schemas.openxmlformats.org/officeDocument/2006/relationships/hyperlink" Target="http://www.bmfbovespa.com.br/cias-listadas/empresas-listadas/ResumoEmpresaPrincipal.aspx?codigoCvm=5762&amp;idioma=pt-br" TargetMode="External"/><Relationship Id="rId45" Type="http://schemas.openxmlformats.org/officeDocument/2006/relationships/hyperlink" Target="http://www.bmfbovespa.com.br/cias-listadas/empresas-listadas/ResumoEmpresaPrincipal.aspx?codigoCvm=20494&amp;idioma=pt-br" TargetMode="External"/><Relationship Id="rId53" Type="http://schemas.openxmlformats.org/officeDocument/2006/relationships/hyperlink" Target="http://www.bmfbovespa.com.br/cias-listadas/empresas-listadas/ResumoEmpresaPrincipal.aspx?codigoCvm=22217&amp;idioma=pt-br" TargetMode="External"/><Relationship Id="rId58" Type="http://schemas.openxmlformats.org/officeDocument/2006/relationships/hyperlink" Target="http://www.bmfbovespa.com.br/Cias-Listadas/Empresas-Listadas/ResumoEmpresaPrincipal.aspx?codigoCvm=17647&amp;idioma=pt-BR" TargetMode="External"/><Relationship Id="rId5" Type="http://schemas.openxmlformats.org/officeDocument/2006/relationships/hyperlink" Target="http://www.bmfbovespa.com.br/cias-listadas/empresas-listadas/ResumoEmpresaPrincipal.aspx?codigoCvm=3115&amp;idioma=pt-br" TargetMode="External"/><Relationship Id="rId15" Type="http://schemas.openxmlformats.org/officeDocument/2006/relationships/hyperlink" Target="http://www.bmfbovespa.com.br/cias-listadas/empresas-listadas/ResumoEmpresaPrincipal.aspx?codigoCvm=17639&amp;idioma=pt-br" TargetMode="External"/><Relationship Id="rId23" Type="http://schemas.openxmlformats.org/officeDocument/2006/relationships/hyperlink" Target="http://www.bmfbovespa.com.br/cias-listadas/empresas-listadas/ResumoEmpresaPrincipal.aspx?codigoCvm=8893&amp;idioma=pt-br" TargetMode="External"/><Relationship Id="rId28" Type="http://schemas.openxmlformats.org/officeDocument/2006/relationships/hyperlink" Target="http://www.bmfbovespa.com.br/cias-listadas/empresas-listadas/ResumoEmpresaPrincipal.aspx?codigoCvm=2577" TargetMode="External"/><Relationship Id="rId36" Type="http://schemas.openxmlformats.org/officeDocument/2006/relationships/hyperlink" Target="http://www.bmfbovespa.com.br/cias-listadas/empresas-listadas/ResumoEmpresaPrincipal.aspx?codigoCvm=20842&amp;idioma=pt-br" TargetMode="External"/><Relationship Id="rId49" Type="http://schemas.openxmlformats.org/officeDocument/2006/relationships/hyperlink" Target="http://www.bmfbovespa.com.br/cias-listadas/empresas-listadas/ResumoEmpresaPrincipal.aspx?codigoCvm=8540&amp;idioma=pt-br" TargetMode="External"/><Relationship Id="rId57" Type="http://schemas.openxmlformats.org/officeDocument/2006/relationships/hyperlink" Target="http://www.bmfbovespa.com.br/cias-listadas/empresas-listadas/ResumoEmpresaPrincipal.aspx?codigoCvm=21792&amp;idioma=pt-br" TargetMode="External"/><Relationship Id="rId10" Type="http://schemas.openxmlformats.org/officeDocument/2006/relationships/hyperlink" Target="http://www.bmfbovespa.com.br/cias-listadas/empresas-listadas/ResumoEmpresaPrincipal.aspx?codigoCvm=2909&amp;idioma=pt-br" TargetMode="External"/><Relationship Id="rId19" Type="http://schemas.openxmlformats.org/officeDocument/2006/relationships/hyperlink" Target="http://www.bmfbovespa.com.br/cias-listadas/empresas-listadas/ResumoEmpresaPrincipal.aspx?codigoCvm=17671&amp;idioma=pt-br" TargetMode="External"/><Relationship Id="rId31" Type="http://schemas.openxmlformats.org/officeDocument/2006/relationships/hyperlink" Target="http://www.bmfbovespa.com.br/Cias-Listadas/Empresas-Listadas/ResumoEmpresaPrincipal.aspx?codigoCvm=19313&amp;idioma=pt-BR" TargetMode="External"/><Relationship Id="rId44" Type="http://schemas.openxmlformats.org/officeDocument/2006/relationships/hyperlink" Target="http://www.bmfbovespa.com.br/cias-listadas/empresas-listadas/ResumoEmpresaPrincipal.aspx?codigoCvm=21040&amp;idioma=pt-br" TargetMode="External"/><Relationship Id="rId52" Type="http://schemas.openxmlformats.org/officeDocument/2006/relationships/hyperlink" Target="http://www.bmfbovespa.com.br/cias-listadas/empresas-listadas/ResumoEmpresaPrincipal.aspx?codigoCvm=3891&amp;idioma=pt-br" TargetMode="External"/><Relationship Id="rId60" Type="http://schemas.openxmlformats.org/officeDocument/2006/relationships/table" Target="../tables/table1.xml"/><Relationship Id="rId4" Type="http://schemas.openxmlformats.org/officeDocument/2006/relationships/hyperlink" Target="http://www.bmfbovespa.com.br/cias-listadas/empresas-listadas/ResumoEmpresaPrincipal.aspx?codigoCvm=3115&amp;idioma=pt-br" TargetMode="External"/><Relationship Id="rId9" Type="http://schemas.openxmlformats.org/officeDocument/2006/relationships/hyperlink" Target="http://www.bmfbovespa.com.br/cias-listadas/empresas-listadas/ResumoEmpresaPrincipal.aspx?codigoCvm=20516&amp;idioma=pt-br" TargetMode="External"/><Relationship Id="rId14" Type="http://schemas.openxmlformats.org/officeDocument/2006/relationships/hyperlink" Target="http://www.bmfbovespa.com.br/cias-listadas/empresas-listadas/ResumoEmpresaPrincipal.aspx?codigoCvm=22772&amp;idioma=pt-br" TargetMode="External"/><Relationship Id="rId22" Type="http://schemas.openxmlformats.org/officeDocument/2006/relationships/hyperlink" Target="http://www.bmfbovespa.com.br/cias-listadas/empresas-listadas/ResumoEmpresaPrincipal.aspx?codigoCvm=3298&amp;idioma=pt-br" TargetMode="External"/><Relationship Id="rId27" Type="http://schemas.openxmlformats.org/officeDocument/2006/relationships/hyperlink" Target="http://www.bmfbovespa.com.br/cias-listadas/empresas-listadas/ResumoEmpresaPrincipal.aspx?codigoCvm=14176&amp;idioma=pt-br" TargetMode="External"/><Relationship Id="rId30" Type="http://schemas.openxmlformats.org/officeDocument/2006/relationships/hyperlink" Target="http://www.bmfbovespa.com.br/cias-listadas/empresas-listadas/ResumoEmpresaPrincipal.aspx?codigoCvm=14915&amp;idioma=pt-br" TargetMode="External"/><Relationship Id="rId35" Type="http://schemas.openxmlformats.org/officeDocument/2006/relationships/hyperlink" Target="http://www.bmfbovespa.com.br/cias-listadas/empresas-listadas/ResumoEmpresaPrincipal.aspx?codigoCvm=20974&amp;idioma=pt-br" TargetMode="External"/><Relationship Id="rId43" Type="http://schemas.openxmlformats.org/officeDocument/2006/relationships/hyperlink" Target="http://www.bmfbovespa.com.br/cias-listadas/empresas-listadas/ResumoEmpresaPrincipal.aspx?codigoCvm=19925&amp;idioma=pt-br" TargetMode="External"/><Relationship Id="rId48" Type="http://schemas.openxmlformats.org/officeDocument/2006/relationships/hyperlink" Target="http://www.bmfbovespa.com.br/cias-listadas/empresas-listadas/ResumoEmpresaPrincipal.aspx?codigoCvm=13781&amp;idioma=pt-br" TargetMode="External"/><Relationship Id="rId56" Type="http://schemas.openxmlformats.org/officeDocument/2006/relationships/hyperlink" Target="http://www.bmfbovespa.com.br/cias-listadas/empresas-listadas/ResumoEmpresaPrincipal.aspx?codigoCvm=21733&amp;idioma=pt-br" TargetMode="External"/><Relationship Id="rId8" Type="http://schemas.openxmlformats.org/officeDocument/2006/relationships/hyperlink" Target="http://www.bmfbovespa.com.br/cias-listadas/empresas-listadas/ResumoEmpresaPrincipal.aspx?codigoCvm=19836&amp;idioma=pt-br" TargetMode="External"/><Relationship Id="rId51" Type="http://schemas.openxmlformats.org/officeDocument/2006/relationships/hyperlink" Target="http://www.bmfbovespa.com.br/cias-listadas/empresas-listadas/ResumoEmpresaPrincipal.aspx?codigoCvm=3891&amp;idioma=pt-br" TargetMode="External"/><Relationship Id="rId3" Type="http://schemas.openxmlformats.org/officeDocument/2006/relationships/hyperlink" Target="http://www.bmfbovespa.com.br/cias-listadas/empresas-listadas/ResumoEmpresaPrincipal.aspx?codigoCvm=21121&amp;idioma=pt-br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2.xml"/><Relationship Id="rId21" Type="http://schemas.openxmlformats.org/officeDocument/2006/relationships/queryTable" Target="../queryTables/queryTable16.xml"/><Relationship Id="rId42" Type="http://schemas.openxmlformats.org/officeDocument/2006/relationships/queryTable" Target="../queryTables/queryTable37.xml"/><Relationship Id="rId63" Type="http://schemas.openxmlformats.org/officeDocument/2006/relationships/queryTable" Target="../queryTables/queryTable58.xml"/><Relationship Id="rId84" Type="http://schemas.openxmlformats.org/officeDocument/2006/relationships/queryTable" Target="../queryTables/queryTable79.xml"/><Relationship Id="rId138" Type="http://schemas.openxmlformats.org/officeDocument/2006/relationships/queryTable" Target="../queryTables/queryTable133.xml"/><Relationship Id="rId159" Type="http://schemas.openxmlformats.org/officeDocument/2006/relationships/queryTable" Target="../queryTables/queryTable154.xml"/><Relationship Id="rId170" Type="http://schemas.openxmlformats.org/officeDocument/2006/relationships/queryTable" Target="../queryTables/queryTable165.xml"/><Relationship Id="rId191" Type="http://schemas.openxmlformats.org/officeDocument/2006/relationships/queryTable" Target="../queryTables/queryTable186.xml"/><Relationship Id="rId205" Type="http://schemas.openxmlformats.org/officeDocument/2006/relationships/queryTable" Target="../queryTables/queryTable200.xml"/><Relationship Id="rId107" Type="http://schemas.openxmlformats.org/officeDocument/2006/relationships/queryTable" Target="../queryTables/queryTable102.xml"/><Relationship Id="rId11" Type="http://schemas.openxmlformats.org/officeDocument/2006/relationships/queryTable" Target="../queryTables/queryTable6.xml"/><Relationship Id="rId32" Type="http://schemas.openxmlformats.org/officeDocument/2006/relationships/queryTable" Target="../queryTables/queryTable27.xml"/><Relationship Id="rId53" Type="http://schemas.openxmlformats.org/officeDocument/2006/relationships/queryTable" Target="../queryTables/queryTable48.xml"/><Relationship Id="rId74" Type="http://schemas.openxmlformats.org/officeDocument/2006/relationships/queryTable" Target="../queryTables/queryTable69.xml"/><Relationship Id="rId128" Type="http://schemas.openxmlformats.org/officeDocument/2006/relationships/queryTable" Target="../queryTables/queryTable123.xml"/><Relationship Id="rId149" Type="http://schemas.openxmlformats.org/officeDocument/2006/relationships/queryTable" Target="../queryTables/queryTable144.xml"/><Relationship Id="rId5" Type="http://schemas.openxmlformats.org/officeDocument/2006/relationships/table" Target="../tables/table2.xml"/><Relationship Id="rId95" Type="http://schemas.openxmlformats.org/officeDocument/2006/relationships/queryTable" Target="../queryTables/queryTable90.xml"/><Relationship Id="rId160" Type="http://schemas.openxmlformats.org/officeDocument/2006/relationships/queryTable" Target="../queryTables/queryTable155.xml"/><Relationship Id="rId181" Type="http://schemas.openxmlformats.org/officeDocument/2006/relationships/queryTable" Target="../queryTables/queryTable176.xml"/><Relationship Id="rId216" Type="http://schemas.openxmlformats.org/officeDocument/2006/relationships/queryTable" Target="../queryTables/queryTable211.xml"/><Relationship Id="rId211" Type="http://schemas.openxmlformats.org/officeDocument/2006/relationships/queryTable" Target="../queryTables/queryTable206.xml"/><Relationship Id="rId22" Type="http://schemas.openxmlformats.org/officeDocument/2006/relationships/queryTable" Target="../queryTables/queryTable17.xml"/><Relationship Id="rId27" Type="http://schemas.openxmlformats.org/officeDocument/2006/relationships/queryTable" Target="../queryTables/queryTable22.xml"/><Relationship Id="rId43" Type="http://schemas.openxmlformats.org/officeDocument/2006/relationships/queryTable" Target="../queryTables/queryTable38.xml"/><Relationship Id="rId48" Type="http://schemas.openxmlformats.org/officeDocument/2006/relationships/queryTable" Target="../queryTables/queryTable43.xml"/><Relationship Id="rId64" Type="http://schemas.openxmlformats.org/officeDocument/2006/relationships/queryTable" Target="../queryTables/queryTable59.xml"/><Relationship Id="rId69" Type="http://schemas.openxmlformats.org/officeDocument/2006/relationships/queryTable" Target="../queryTables/queryTable64.xml"/><Relationship Id="rId113" Type="http://schemas.openxmlformats.org/officeDocument/2006/relationships/queryTable" Target="../queryTables/queryTable108.xml"/><Relationship Id="rId118" Type="http://schemas.openxmlformats.org/officeDocument/2006/relationships/queryTable" Target="../queryTables/queryTable113.xml"/><Relationship Id="rId134" Type="http://schemas.openxmlformats.org/officeDocument/2006/relationships/queryTable" Target="../queryTables/queryTable129.xml"/><Relationship Id="rId139" Type="http://schemas.openxmlformats.org/officeDocument/2006/relationships/queryTable" Target="../queryTables/queryTable134.xml"/><Relationship Id="rId80" Type="http://schemas.openxmlformats.org/officeDocument/2006/relationships/queryTable" Target="../queryTables/queryTable75.xml"/><Relationship Id="rId85" Type="http://schemas.openxmlformats.org/officeDocument/2006/relationships/queryTable" Target="../queryTables/queryTable80.xml"/><Relationship Id="rId150" Type="http://schemas.openxmlformats.org/officeDocument/2006/relationships/queryTable" Target="../queryTables/queryTable145.xml"/><Relationship Id="rId155" Type="http://schemas.openxmlformats.org/officeDocument/2006/relationships/queryTable" Target="../queryTables/queryTable150.xml"/><Relationship Id="rId171" Type="http://schemas.openxmlformats.org/officeDocument/2006/relationships/queryTable" Target="../queryTables/queryTable166.xml"/><Relationship Id="rId176" Type="http://schemas.openxmlformats.org/officeDocument/2006/relationships/queryTable" Target="../queryTables/queryTable171.xml"/><Relationship Id="rId192" Type="http://schemas.openxmlformats.org/officeDocument/2006/relationships/queryTable" Target="../queryTables/queryTable187.xml"/><Relationship Id="rId197" Type="http://schemas.openxmlformats.org/officeDocument/2006/relationships/queryTable" Target="../queryTables/queryTable192.xml"/><Relationship Id="rId206" Type="http://schemas.openxmlformats.org/officeDocument/2006/relationships/queryTable" Target="../queryTables/queryTable201.xml"/><Relationship Id="rId201" Type="http://schemas.openxmlformats.org/officeDocument/2006/relationships/queryTable" Target="../queryTables/queryTable196.xml"/><Relationship Id="rId222" Type="http://schemas.openxmlformats.org/officeDocument/2006/relationships/queryTable" Target="../queryTables/queryTable217.xml"/><Relationship Id="rId12" Type="http://schemas.openxmlformats.org/officeDocument/2006/relationships/queryTable" Target="../queryTables/queryTable7.xml"/><Relationship Id="rId17" Type="http://schemas.openxmlformats.org/officeDocument/2006/relationships/queryTable" Target="../queryTables/queryTable12.xml"/><Relationship Id="rId33" Type="http://schemas.openxmlformats.org/officeDocument/2006/relationships/queryTable" Target="../queryTables/queryTable28.xml"/><Relationship Id="rId38" Type="http://schemas.openxmlformats.org/officeDocument/2006/relationships/queryTable" Target="../queryTables/queryTable33.xml"/><Relationship Id="rId59" Type="http://schemas.openxmlformats.org/officeDocument/2006/relationships/queryTable" Target="../queryTables/queryTable54.xml"/><Relationship Id="rId103" Type="http://schemas.openxmlformats.org/officeDocument/2006/relationships/queryTable" Target="../queryTables/queryTable98.xml"/><Relationship Id="rId108" Type="http://schemas.openxmlformats.org/officeDocument/2006/relationships/queryTable" Target="../queryTables/queryTable103.xml"/><Relationship Id="rId124" Type="http://schemas.openxmlformats.org/officeDocument/2006/relationships/queryTable" Target="../queryTables/queryTable119.xml"/><Relationship Id="rId129" Type="http://schemas.openxmlformats.org/officeDocument/2006/relationships/queryTable" Target="../queryTables/queryTable124.xml"/><Relationship Id="rId54" Type="http://schemas.openxmlformats.org/officeDocument/2006/relationships/queryTable" Target="../queryTables/queryTable49.xml"/><Relationship Id="rId70" Type="http://schemas.openxmlformats.org/officeDocument/2006/relationships/queryTable" Target="../queryTables/queryTable65.xml"/><Relationship Id="rId75" Type="http://schemas.openxmlformats.org/officeDocument/2006/relationships/queryTable" Target="../queryTables/queryTable70.xml"/><Relationship Id="rId91" Type="http://schemas.openxmlformats.org/officeDocument/2006/relationships/queryTable" Target="../queryTables/queryTable86.xml"/><Relationship Id="rId96" Type="http://schemas.openxmlformats.org/officeDocument/2006/relationships/queryTable" Target="../queryTables/queryTable91.xml"/><Relationship Id="rId140" Type="http://schemas.openxmlformats.org/officeDocument/2006/relationships/queryTable" Target="../queryTables/queryTable135.xml"/><Relationship Id="rId145" Type="http://schemas.openxmlformats.org/officeDocument/2006/relationships/queryTable" Target="../queryTables/queryTable140.xml"/><Relationship Id="rId161" Type="http://schemas.openxmlformats.org/officeDocument/2006/relationships/queryTable" Target="../queryTables/queryTable156.xml"/><Relationship Id="rId166" Type="http://schemas.openxmlformats.org/officeDocument/2006/relationships/queryTable" Target="../queryTables/queryTable161.xml"/><Relationship Id="rId182" Type="http://schemas.openxmlformats.org/officeDocument/2006/relationships/queryTable" Target="../queryTables/queryTable177.xml"/><Relationship Id="rId187" Type="http://schemas.openxmlformats.org/officeDocument/2006/relationships/queryTable" Target="../queryTables/queryTable182.xml"/><Relationship Id="rId217" Type="http://schemas.openxmlformats.org/officeDocument/2006/relationships/queryTable" Target="../queryTables/queryTable212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1.xml"/><Relationship Id="rId212" Type="http://schemas.openxmlformats.org/officeDocument/2006/relationships/queryTable" Target="../queryTables/queryTable207.xml"/><Relationship Id="rId23" Type="http://schemas.openxmlformats.org/officeDocument/2006/relationships/queryTable" Target="../queryTables/queryTable18.xml"/><Relationship Id="rId28" Type="http://schemas.openxmlformats.org/officeDocument/2006/relationships/queryTable" Target="../queryTables/queryTable23.xml"/><Relationship Id="rId49" Type="http://schemas.openxmlformats.org/officeDocument/2006/relationships/queryTable" Target="../queryTables/queryTable44.xml"/><Relationship Id="rId114" Type="http://schemas.openxmlformats.org/officeDocument/2006/relationships/queryTable" Target="../queryTables/queryTable109.xml"/><Relationship Id="rId119" Type="http://schemas.openxmlformats.org/officeDocument/2006/relationships/queryTable" Target="../queryTables/queryTable114.xml"/><Relationship Id="rId44" Type="http://schemas.openxmlformats.org/officeDocument/2006/relationships/queryTable" Target="../queryTables/queryTable39.xml"/><Relationship Id="rId60" Type="http://schemas.openxmlformats.org/officeDocument/2006/relationships/queryTable" Target="../queryTables/queryTable55.xml"/><Relationship Id="rId65" Type="http://schemas.openxmlformats.org/officeDocument/2006/relationships/queryTable" Target="../queryTables/queryTable60.xml"/><Relationship Id="rId81" Type="http://schemas.openxmlformats.org/officeDocument/2006/relationships/queryTable" Target="../queryTables/queryTable76.xml"/><Relationship Id="rId86" Type="http://schemas.openxmlformats.org/officeDocument/2006/relationships/queryTable" Target="../queryTables/queryTable81.xml"/><Relationship Id="rId130" Type="http://schemas.openxmlformats.org/officeDocument/2006/relationships/queryTable" Target="../queryTables/queryTable125.xml"/><Relationship Id="rId135" Type="http://schemas.openxmlformats.org/officeDocument/2006/relationships/queryTable" Target="../queryTables/queryTable130.xml"/><Relationship Id="rId151" Type="http://schemas.openxmlformats.org/officeDocument/2006/relationships/queryTable" Target="../queryTables/queryTable146.xml"/><Relationship Id="rId156" Type="http://schemas.openxmlformats.org/officeDocument/2006/relationships/queryTable" Target="../queryTables/queryTable151.xml"/><Relationship Id="rId177" Type="http://schemas.openxmlformats.org/officeDocument/2006/relationships/queryTable" Target="../queryTables/queryTable172.xml"/><Relationship Id="rId198" Type="http://schemas.openxmlformats.org/officeDocument/2006/relationships/queryTable" Target="../queryTables/queryTable193.xml"/><Relationship Id="rId172" Type="http://schemas.openxmlformats.org/officeDocument/2006/relationships/queryTable" Target="../queryTables/queryTable167.xml"/><Relationship Id="rId193" Type="http://schemas.openxmlformats.org/officeDocument/2006/relationships/queryTable" Target="../queryTables/queryTable188.xml"/><Relationship Id="rId202" Type="http://schemas.openxmlformats.org/officeDocument/2006/relationships/queryTable" Target="../queryTables/queryTable197.xml"/><Relationship Id="rId207" Type="http://schemas.openxmlformats.org/officeDocument/2006/relationships/queryTable" Target="../queryTables/queryTable202.xml"/><Relationship Id="rId223" Type="http://schemas.openxmlformats.org/officeDocument/2006/relationships/queryTable" Target="../queryTables/queryTable218.xml"/><Relationship Id="rId13" Type="http://schemas.openxmlformats.org/officeDocument/2006/relationships/queryTable" Target="../queryTables/queryTable8.xml"/><Relationship Id="rId18" Type="http://schemas.openxmlformats.org/officeDocument/2006/relationships/queryTable" Target="../queryTables/queryTable13.xml"/><Relationship Id="rId39" Type="http://schemas.openxmlformats.org/officeDocument/2006/relationships/queryTable" Target="../queryTables/queryTable34.xml"/><Relationship Id="rId109" Type="http://schemas.openxmlformats.org/officeDocument/2006/relationships/queryTable" Target="../queryTables/queryTable104.xml"/><Relationship Id="rId34" Type="http://schemas.openxmlformats.org/officeDocument/2006/relationships/queryTable" Target="../queryTables/queryTable29.xml"/><Relationship Id="rId50" Type="http://schemas.openxmlformats.org/officeDocument/2006/relationships/queryTable" Target="../queryTables/queryTable45.xml"/><Relationship Id="rId55" Type="http://schemas.openxmlformats.org/officeDocument/2006/relationships/queryTable" Target="../queryTables/queryTable50.xml"/><Relationship Id="rId76" Type="http://schemas.openxmlformats.org/officeDocument/2006/relationships/queryTable" Target="../queryTables/queryTable71.xml"/><Relationship Id="rId97" Type="http://schemas.openxmlformats.org/officeDocument/2006/relationships/queryTable" Target="../queryTables/queryTable92.xml"/><Relationship Id="rId104" Type="http://schemas.openxmlformats.org/officeDocument/2006/relationships/queryTable" Target="../queryTables/queryTable99.xml"/><Relationship Id="rId120" Type="http://schemas.openxmlformats.org/officeDocument/2006/relationships/queryTable" Target="../queryTables/queryTable115.xml"/><Relationship Id="rId125" Type="http://schemas.openxmlformats.org/officeDocument/2006/relationships/queryTable" Target="../queryTables/queryTable120.xml"/><Relationship Id="rId141" Type="http://schemas.openxmlformats.org/officeDocument/2006/relationships/queryTable" Target="../queryTables/queryTable136.xml"/><Relationship Id="rId146" Type="http://schemas.openxmlformats.org/officeDocument/2006/relationships/queryTable" Target="../queryTables/queryTable141.xml"/><Relationship Id="rId167" Type="http://schemas.openxmlformats.org/officeDocument/2006/relationships/queryTable" Target="../queryTables/queryTable162.xml"/><Relationship Id="rId188" Type="http://schemas.openxmlformats.org/officeDocument/2006/relationships/queryTable" Target="../queryTables/queryTable183.xml"/><Relationship Id="rId7" Type="http://schemas.openxmlformats.org/officeDocument/2006/relationships/queryTable" Target="../queryTables/queryTable2.xml"/><Relationship Id="rId71" Type="http://schemas.openxmlformats.org/officeDocument/2006/relationships/queryTable" Target="../queryTables/queryTable66.xml"/><Relationship Id="rId92" Type="http://schemas.openxmlformats.org/officeDocument/2006/relationships/queryTable" Target="../queryTables/queryTable87.xml"/><Relationship Id="rId162" Type="http://schemas.openxmlformats.org/officeDocument/2006/relationships/queryTable" Target="../queryTables/queryTable157.xml"/><Relationship Id="rId183" Type="http://schemas.openxmlformats.org/officeDocument/2006/relationships/queryTable" Target="../queryTables/queryTable178.xml"/><Relationship Id="rId213" Type="http://schemas.openxmlformats.org/officeDocument/2006/relationships/queryTable" Target="../queryTables/queryTable208.xml"/><Relationship Id="rId218" Type="http://schemas.openxmlformats.org/officeDocument/2006/relationships/queryTable" Target="../queryTables/queryTable213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24.xml"/><Relationship Id="rId24" Type="http://schemas.openxmlformats.org/officeDocument/2006/relationships/queryTable" Target="../queryTables/queryTable19.xml"/><Relationship Id="rId40" Type="http://schemas.openxmlformats.org/officeDocument/2006/relationships/queryTable" Target="../queryTables/queryTable35.xml"/><Relationship Id="rId45" Type="http://schemas.openxmlformats.org/officeDocument/2006/relationships/queryTable" Target="../queryTables/queryTable40.xml"/><Relationship Id="rId66" Type="http://schemas.openxmlformats.org/officeDocument/2006/relationships/queryTable" Target="../queryTables/queryTable61.xml"/><Relationship Id="rId87" Type="http://schemas.openxmlformats.org/officeDocument/2006/relationships/queryTable" Target="../queryTables/queryTable82.xml"/><Relationship Id="rId110" Type="http://schemas.openxmlformats.org/officeDocument/2006/relationships/queryTable" Target="../queryTables/queryTable105.xml"/><Relationship Id="rId115" Type="http://schemas.openxmlformats.org/officeDocument/2006/relationships/queryTable" Target="../queryTables/queryTable110.xml"/><Relationship Id="rId131" Type="http://schemas.openxmlformats.org/officeDocument/2006/relationships/queryTable" Target="../queryTables/queryTable126.xml"/><Relationship Id="rId136" Type="http://schemas.openxmlformats.org/officeDocument/2006/relationships/queryTable" Target="../queryTables/queryTable131.xml"/><Relationship Id="rId157" Type="http://schemas.openxmlformats.org/officeDocument/2006/relationships/queryTable" Target="../queryTables/queryTable152.xml"/><Relationship Id="rId178" Type="http://schemas.openxmlformats.org/officeDocument/2006/relationships/queryTable" Target="../queryTables/queryTable173.xml"/><Relationship Id="rId61" Type="http://schemas.openxmlformats.org/officeDocument/2006/relationships/queryTable" Target="../queryTables/queryTable56.xml"/><Relationship Id="rId82" Type="http://schemas.openxmlformats.org/officeDocument/2006/relationships/queryTable" Target="../queryTables/queryTable77.xml"/><Relationship Id="rId152" Type="http://schemas.openxmlformats.org/officeDocument/2006/relationships/queryTable" Target="../queryTables/queryTable147.xml"/><Relationship Id="rId173" Type="http://schemas.openxmlformats.org/officeDocument/2006/relationships/queryTable" Target="../queryTables/queryTable168.xml"/><Relationship Id="rId194" Type="http://schemas.openxmlformats.org/officeDocument/2006/relationships/queryTable" Target="../queryTables/queryTable189.xml"/><Relationship Id="rId199" Type="http://schemas.openxmlformats.org/officeDocument/2006/relationships/queryTable" Target="../queryTables/queryTable194.xml"/><Relationship Id="rId203" Type="http://schemas.openxmlformats.org/officeDocument/2006/relationships/queryTable" Target="../queryTables/queryTable198.xml"/><Relationship Id="rId208" Type="http://schemas.openxmlformats.org/officeDocument/2006/relationships/queryTable" Target="../queryTables/queryTable203.xml"/><Relationship Id="rId19" Type="http://schemas.openxmlformats.org/officeDocument/2006/relationships/queryTable" Target="../queryTables/queryTable14.xml"/><Relationship Id="rId224" Type="http://schemas.openxmlformats.org/officeDocument/2006/relationships/queryTable" Target="../queryTables/queryTable219.xml"/><Relationship Id="rId14" Type="http://schemas.openxmlformats.org/officeDocument/2006/relationships/queryTable" Target="../queryTables/queryTable9.xml"/><Relationship Id="rId30" Type="http://schemas.openxmlformats.org/officeDocument/2006/relationships/queryTable" Target="../queryTables/queryTable25.xml"/><Relationship Id="rId35" Type="http://schemas.openxmlformats.org/officeDocument/2006/relationships/queryTable" Target="../queryTables/queryTable30.xml"/><Relationship Id="rId56" Type="http://schemas.openxmlformats.org/officeDocument/2006/relationships/queryTable" Target="../queryTables/queryTable51.xml"/><Relationship Id="rId77" Type="http://schemas.openxmlformats.org/officeDocument/2006/relationships/queryTable" Target="../queryTables/queryTable72.xml"/><Relationship Id="rId100" Type="http://schemas.openxmlformats.org/officeDocument/2006/relationships/queryTable" Target="../queryTables/queryTable95.xml"/><Relationship Id="rId105" Type="http://schemas.openxmlformats.org/officeDocument/2006/relationships/queryTable" Target="../queryTables/queryTable100.xml"/><Relationship Id="rId126" Type="http://schemas.openxmlformats.org/officeDocument/2006/relationships/queryTable" Target="../queryTables/queryTable121.xml"/><Relationship Id="rId147" Type="http://schemas.openxmlformats.org/officeDocument/2006/relationships/queryTable" Target="../queryTables/queryTable142.xml"/><Relationship Id="rId168" Type="http://schemas.openxmlformats.org/officeDocument/2006/relationships/queryTable" Target="../queryTables/queryTable163.xml"/><Relationship Id="rId8" Type="http://schemas.openxmlformats.org/officeDocument/2006/relationships/queryTable" Target="../queryTables/queryTable3.xml"/><Relationship Id="rId51" Type="http://schemas.openxmlformats.org/officeDocument/2006/relationships/queryTable" Target="../queryTables/queryTable46.xml"/><Relationship Id="rId72" Type="http://schemas.openxmlformats.org/officeDocument/2006/relationships/queryTable" Target="../queryTables/queryTable67.xml"/><Relationship Id="rId93" Type="http://schemas.openxmlformats.org/officeDocument/2006/relationships/queryTable" Target="../queryTables/queryTable88.xml"/><Relationship Id="rId98" Type="http://schemas.openxmlformats.org/officeDocument/2006/relationships/queryTable" Target="../queryTables/queryTable93.xml"/><Relationship Id="rId121" Type="http://schemas.openxmlformats.org/officeDocument/2006/relationships/queryTable" Target="../queryTables/queryTable116.xml"/><Relationship Id="rId142" Type="http://schemas.openxmlformats.org/officeDocument/2006/relationships/queryTable" Target="../queryTables/queryTable137.xml"/><Relationship Id="rId163" Type="http://schemas.openxmlformats.org/officeDocument/2006/relationships/queryTable" Target="../queryTables/queryTable158.xml"/><Relationship Id="rId184" Type="http://schemas.openxmlformats.org/officeDocument/2006/relationships/queryTable" Target="../queryTables/queryTable179.xml"/><Relationship Id="rId189" Type="http://schemas.openxmlformats.org/officeDocument/2006/relationships/queryTable" Target="../queryTables/queryTable184.xml"/><Relationship Id="rId219" Type="http://schemas.openxmlformats.org/officeDocument/2006/relationships/queryTable" Target="../queryTables/queryTable214.xml"/><Relationship Id="rId3" Type="http://schemas.openxmlformats.org/officeDocument/2006/relationships/vmlDrawing" Target="../drawings/vmlDrawing1.vml"/><Relationship Id="rId214" Type="http://schemas.openxmlformats.org/officeDocument/2006/relationships/queryTable" Target="../queryTables/queryTable209.xml"/><Relationship Id="rId25" Type="http://schemas.openxmlformats.org/officeDocument/2006/relationships/queryTable" Target="../queryTables/queryTable20.xml"/><Relationship Id="rId46" Type="http://schemas.openxmlformats.org/officeDocument/2006/relationships/queryTable" Target="../queryTables/queryTable41.xml"/><Relationship Id="rId67" Type="http://schemas.openxmlformats.org/officeDocument/2006/relationships/queryTable" Target="../queryTables/queryTable62.xml"/><Relationship Id="rId116" Type="http://schemas.openxmlformats.org/officeDocument/2006/relationships/queryTable" Target="../queryTables/queryTable111.xml"/><Relationship Id="rId137" Type="http://schemas.openxmlformats.org/officeDocument/2006/relationships/queryTable" Target="../queryTables/queryTable132.xml"/><Relationship Id="rId158" Type="http://schemas.openxmlformats.org/officeDocument/2006/relationships/queryTable" Target="../queryTables/queryTable153.xml"/><Relationship Id="rId20" Type="http://schemas.openxmlformats.org/officeDocument/2006/relationships/queryTable" Target="../queryTables/queryTable15.xml"/><Relationship Id="rId41" Type="http://schemas.openxmlformats.org/officeDocument/2006/relationships/queryTable" Target="../queryTables/queryTable36.xml"/><Relationship Id="rId62" Type="http://schemas.openxmlformats.org/officeDocument/2006/relationships/queryTable" Target="../queryTables/queryTable57.xml"/><Relationship Id="rId83" Type="http://schemas.openxmlformats.org/officeDocument/2006/relationships/queryTable" Target="../queryTables/queryTable78.xml"/><Relationship Id="rId88" Type="http://schemas.openxmlformats.org/officeDocument/2006/relationships/queryTable" Target="../queryTables/queryTable83.xml"/><Relationship Id="rId111" Type="http://schemas.openxmlformats.org/officeDocument/2006/relationships/queryTable" Target="../queryTables/queryTable106.xml"/><Relationship Id="rId132" Type="http://schemas.openxmlformats.org/officeDocument/2006/relationships/queryTable" Target="../queryTables/queryTable127.xml"/><Relationship Id="rId153" Type="http://schemas.openxmlformats.org/officeDocument/2006/relationships/queryTable" Target="../queryTables/queryTable148.xml"/><Relationship Id="rId174" Type="http://schemas.openxmlformats.org/officeDocument/2006/relationships/queryTable" Target="../queryTables/queryTable169.xml"/><Relationship Id="rId179" Type="http://schemas.openxmlformats.org/officeDocument/2006/relationships/queryTable" Target="../queryTables/queryTable174.xml"/><Relationship Id="rId195" Type="http://schemas.openxmlformats.org/officeDocument/2006/relationships/queryTable" Target="../queryTables/queryTable190.xml"/><Relationship Id="rId209" Type="http://schemas.openxmlformats.org/officeDocument/2006/relationships/queryTable" Target="../queryTables/queryTable204.xml"/><Relationship Id="rId190" Type="http://schemas.openxmlformats.org/officeDocument/2006/relationships/queryTable" Target="../queryTables/queryTable185.xml"/><Relationship Id="rId204" Type="http://schemas.openxmlformats.org/officeDocument/2006/relationships/queryTable" Target="../queryTables/queryTable199.xml"/><Relationship Id="rId220" Type="http://schemas.openxmlformats.org/officeDocument/2006/relationships/queryTable" Target="../queryTables/queryTable215.xml"/><Relationship Id="rId225" Type="http://schemas.openxmlformats.org/officeDocument/2006/relationships/queryTable" Target="../queryTables/queryTable220.xml"/><Relationship Id="rId15" Type="http://schemas.openxmlformats.org/officeDocument/2006/relationships/queryTable" Target="../queryTables/queryTable10.xml"/><Relationship Id="rId36" Type="http://schemas.openxmlformats.org/officeDocument/2006/relationships/queryTable" Target="../queryTables/queryTable31.xml"/><Relationship Id="rId57" Type="http://schemas.openxmlformats.org/officeDocument/2006/relationships/queryTable" Target="../queryTables/queryTable52.xml"/><Relationship Id="rId106" Type="http://schemas.openxmlformats.org/officeDocument/2006/relationships/queryTable" Target="../queryTables/queryTable101.xml"/><Relationship Id="rId127" Type="http://schemas.openxmlformats.org/officeDocument/2006/relationships/queryTable" Target="../queryTables/queryTable122.xml"/><Relationship Id="rId10" Type="http://schemas.openxmlformats.org/officeDocument/2006/relationships/queryTable" Target="../queryTables/queryTable5.xml"/><Relationship Id="rId31" Type="http://schemas.openxmlformats.org/officeDocument/2006/relationships/queryTable" Target="../queryTables/queryTable26.xml"/><Relationship Id="rId52" Type="http://schemas.openxmlformats.org/officeDocument/2006/relationships/queryTable" Target="../queryTables/queryTable47.xml"/><Relationship Id="rId73" Type="http://schemas.openxmlformats.org/officeDocument/2006/relationships/queryTable" Target="../queryTables/queryTable68.xml"/><Relationship Id="rId78" Type="http://schemas.openxmlformats.org/officeDocument/2006/relationships/queryTable" Target="../queryTables/queryTable73.xml"/><Relationship Id="rId94" Type="http://schemas.openxmlformats.org/officeDocument/2006/relationships/queryTable" Target="../queryTables/queryTable89.xml"/><Relationship Id="rId99" Type="http://schemas.openxmlformats.org/officeDocument/2006/relationships/queryTable" Target="../queryTables/queryTable94.xml"/><Relationship Id="rId101" Type="http://schemas.openxmlformats.org/officeDocument/2006/relationships/queryTable" Target="../queryTables/queryTable96.xml"/><Relationship Id="rId122" Type="http://schemas.openxmlformats.org/officeDocument/2006/relationships/queryTable" Target="../queryTables/queryTable117.xml"/><Relationship Id="rId143" Type="http://schemas.openxmlformats.org/officeDocument/2006/relationships/queryTable" Target="../queryTables/queryTable138.xml"/><Relationship Id="rId148" Type="http://schemas.openxmlformats.org/officeDocument/2006/relationships/queryTable" Target="../queryTables/queryTable143.xml"/><Relationship Id="rId164" Type="http://schemas.openxmlformats.org/officeDocument/2006/relationships/queryTable" Target="../queryTables/queryTable159.xml"/><Relationship Id="rId169" Type="http://schemas.openxmlformats.org/officeDocument/2006/relationships/queryTable" Target="../queryTables/queryTable164.xml"/><Relationship Id="rId185" Type="http://schemas.openxmlformats.org/officeDocument/2006/relationships/queryTable" Target="../queryTables/queryTable180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4.xml"/><Relationship Id="rId180" Type="http://schemas.openxmlformats.org/officeDocument/2006/relationships/queryTable" Target="../queryTables/queryTable175.xml"/><Relationship Id="rId210" Type="http://schemas.openxmlformats.org/officeDocument/2006/relationships/queryTable" Target="../queryTables/queryTable205.xml"/><Relationship Id="rId215" Type="http://schemas.openxmlformats.org/officeDocument/2006/relationships/queryTable" Target="../queryTables/queryTable210.xml"/><Relationship Id="rId26" Type="http://schemas.openxmlformats.org/officeDocument/2006/relationships/queryTable" Target="../queryTables/queryTable21.xml"/><Relationship Id="rId47" Type="http://schemas.openxmlformats.org/officeDocument/2006/relationships/queryTable" Target="../queryTables/queryTable42.xml"/><Relationship Id="rId68" Type="http://schemas.openxmlformats.org/officeDocument/2006/relationships/queryTable" Target="../queryTables/queryTable63.xml"/><Relationship Id="rId89" Type="http://schemas.openxmlformats.org/officeDocument/2006/relationships/queryTable" Target="../queryTables/queryTable84.xml"/><Relationship Id="rId112" Type="http://schemas.openxmlformats.org/officeDocument/2006/relationships/queryTable" Target="../queryTables/queryTable107.xml"/><Relationship Id="rId133" Type="http://schemas.openxmlformats.org/officeDocument/2006/relationships/queryTable" Target="../queryTables/queryTable128.xml"/><Relationship Id="rId154" Type="http://schemas.openxmlformats.org/officeDocument/2006/relationships/queryTable" Target="../queryTables/queryTable149.xml"/><Relationship Id="rId175" Type="http://schemas.openxmlformats.org/officeDocument/2006/relationships/queryTable" Target="../queryTables/queryTable170.xml"/><Relationship Id="rId196" Type="http://schemas.openxmlformats.org/officeDocument/2006/relationships/queryTable" Target="../queryTables/queryTable191.xml"/><Relationship Id="rId200" Type="http://schemas.openxmlformats.org/officeDocument/2006/relationships/queryTable" Target="../queryTables/queryTable195.xml"/><Relationship Id="rId16" Type="http://schemas.openxmlformats.org/officeDocument/2006/relationships/queryTable" Target="../queryTables/queryTable11.xml"/><Relationship Id="rId221" Type="http://schemas.openxmlformats.org/officeDocument/2006/relationships/queryTable" Target="../queryTables/queryTable216.xml"/><Relationship Id="rId37" Type="http://schemas.openxmlformats.org/officeDocument/2006/relationships/queryTable" Target="../queryTables/queryTable32.xml"/><Relationship Id="rId58" Type="http://schemas.openxmlformats.org/officeDocument/2006/relationships/queryTable" Target="../queryTables/queryTable53.xml"/><Relationship Id="rId79" Type="http://schemas.openxmlformats.org/officeDocument/2006/relationships/queryTable" Target="../queryTables/queryTable74.xml"/><Relationship Id="rId102" Type="http://schemas.openxmlformats.org/officeDocument/2006/relationships/queryTable" Target="../queryTables/queryTable97.xml"/><Relationship Id="rId123" Type="http://schemas.openxmlformats.org/officeDocument/2006/relationships/queryTable" Target="../queryTables/queryTable118.xml"/><Relationship Id="rId144" Type="http://schemas.openxmlformats.org/officeDocument/2006/relationships/queryTable" Target="../queryTables/queryTable139.xml"/><Relationship Id="rId90" Type="http://schemas.openxmlformats.org/officeDocument/2006/relationships/queryTable" Target="../queryTables/queryTable85.xml"/><Relationship Id="rId165" Type="http://schemas.openxmlformats.org/officeDocument/2006/relationships/queryTable" Target="../queryTables/queryTable160.xml"/><Relationship Id="rId186" Type="http://schemas.openxmlformats.org/officeDocument/2006/relationships/queryTable" Target="../queryTables/queryTable18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332.xml"/><Relationship Id="rId21" Type="http://schemas.openxmlformats.org/officeDocument/2006/relationships/queryTable" Target="../queryTables/queryTable236.xml"/><Relationship Id="rId42" Type="http://schemas.openxmlformats.org/officeDocument/2006/relationships/queryTable" Target="../queryTables/queryTable257.xml"/><Relationship Id="rId63" Type="http://schemas.openxmlformats.org/officeDocument/2006/relationships/queryTable" Target="../queryTables/queryTable278.xml"/><Relationship Id="rId84" Type="http://schemas.openxmlformats.org/officeDocument/2006/relationships/queryTable" Target="../queryTables/queryTable299.xml"/><Relationship Id="rId138" Type="http://schemas.openxmlformats.org/officeDocument/2006/relationships/queryTable" Target="../queryTables/queryTable353.xml"/><Relationship Id="rId159" Type="http://schemas.openxmlformats.org/officeDocument/2006/relationships/queryTable" Target="../queryTables/queryTable374.xml"/><Relationship Id="rId170" Type="http://schemas.openxmlformats.org/officeDocument/2006/relationships/queryTable" Target="../queryTables/queryTable385.xml"/><Relationship Id="rId191" Type="http://schemas.openxmlformats.org/officeDocument/2006/relationships/queryTable" Target="../queryTables/queryTable406.xml"/><Relationship Id="rId205" Type="http://schemas.openxmlformats.org/officeDocument/2006/relationships/queryTable" Target="../queryTables/queryTable420.xml"/><Relationship Id="rId226" Type="http://schemas.openxmlformats.org/officeDocument/2006/relationships/queryTable" Target="../queryTables/queryTable441.xml"/><Relationship Id="rId247" Type="http://schemas.openxmlformats.org/officeDocument/2006/relationships/queryTable" Target="../queryTables/queryTable462.xml"/><Relationship Id="rId107" Type="http://schemas.openxmlformats.org/officeDocument/2006/relationships/queryTable" Target="../queryTables/queryTable322.xml"/><Relationship Id="rId268" Type="http://schemas.openxmlformats.org/officeDocument/2006/relationships/queryTable" Target="../queryTables/queryTable483.xml"/><Relationship Id="rId11" Type="http://schemas.openxmlformats.org/officeDocument/2006/relationships/queryTable" Target="../queryTables/queryTable226.xml"/><Relationship Id="rId32" Type="http://schemas.openxmlformats.org/officeDocument/2006/relationships/queryTable" Target="../queryTables/queryTable247.xml"/><Relationship Id="rId53" Type="http://schemas.openxmlformats.org/officeDocument/2006/relationships/queryTable" Target="../queryTables/queryTable268.xml"/><Relationship Id="rId74" Type="http://schemas.openxmlformats.org/officeDocument/2006/relationships/queryTable" Target="../queryTables/queryTable289.xml"/><Relationship Id="rId128" Type="http://schemas.openxmlformats.org/officeDocument/2006/relationships/queryTable" Target="../queryTables/queryTable343.xml"/><Relationship Id="rId149" Type="http://schemas.openxmlformats.org/officeDocument/2006/relationships/queryTable" Target="../queryTables/queryTable364.xml"/><Relationship Id="rId5" Type="http://schemas.openxmlformats.org/officeDocument/2006/relationships/table" Target="../tables/table3.xml"/><Relationship Id="rId95" Type="http://schemas.openxmlformats.org/officeDocument/2006/relationships/queryTable" Target="../queryTables/queryTable310.xml"/><Relationship Id="rId160" Type="http://schemas.openxmlformats.org/officeDocument/2006/relationships/queryTable" Target="../queryTables/queryTable375.xml"/><Relationship Id="rId181" Type="http://schemas.openxmlformats.org/officeDocument/2006/relationships/queryTable" Target="../queryTables/queryTable396.xml"/><Relationship Id="rId216" Type="http://schemas.openxmlformats.org/officeDocument/2006/relationships/queryTable" Target="../queryTables/queryTable431.xml"/><Relationship Id="rId237" Type="http://schemas.openxmlformats.org/officeDocument/2006/relationships/queryTable" Target="../queryTables/queryTable452.xml"/><Relationship Id="rId258" Type="http://schemas.openxmlformats.org/officeDocument/2006/relationships/queryTable" Target="../queryTables/queryTable473.xml"/><Relationship Id="rId279" Type="http://schemas.openxmlformats.org/officeDocument/2006/relationships/queryTable" Target="../queryTables/queryTable494.xml"/><Relationship Id="rId22" Type="http://schemas.openxmlformats.org/officeDocument/2006/relationships/queryTable" Target="../queryTables/queryTable237.xml"/><Relationship Id="rId43" Type="http://schemas.openxmlformats.org/officeDocument/2006/relationships/queryTable" Target="../queryTables/queryTable258.xml"/><Relationship Id="rId64" Type="http://schemas.openxmlformats.org/officeDocument/2006/relationships/queryTable" Target="../queryTables/queryTable279.xml"/><Relationship Id="rId118" Type="http://schemas.openxmlformats.org/officeDocument/2006/relationships/queryTable" Target="../queryTables/queryTable333.xml"/><Relationship Id="rId139" Type="http://schemas.openxmlformats.org/officeDocument/2006/relationships/queryTable" Target="../queryTables/queryTable354.xml"/><Relationship Id="rId85" Type="http://schemas.openxmlformats.org/officeDocument/2006/relationships/queryTable" Target="../queryTables/queryTable300.xml"/><Relationship Id="rId150" Type="http://schemas.openxmlformats.org/officeDocument/2006/relationships/queryTable" Target="../queryTables/queryTable365.xml"/><Relationship Id="rId171" Type="http://schemas.openxmlformats.org/officeDocument/2006/relationships/queryTable" Target="../queryTables/queryTable386.xml"/><Relationship Id="rId192" Type="http://schemas.openxmlformats.org/officeDocument/2006/relationships/queryTable" Target="../queryTables/queryTable407.xml"/><Relationship Id="rId206" Type="http://schemas.openxmlformats.org/officeDocument/2006/relationships/queryTable" Target="../queryTables/queryTable421.xml"/><Relationship Id="rId227" Type="http://schemas.openxmlformats.org/officeDocument/2006/relationships/queryTable" Target="../queryTables/queryTable442.xml"/><Relationship Id="rId248" Type="http://schemas.openxmlformats.org/officeDocument/2006/relationships/queryTable" Target="../queryTables/queryTable463.xml"/><Relationship Id="rId269" Type="http://schemas.openxmlformats.org/officeDocument/2006/relationships/queryTable" Target="../queryTables/queryTable484.xml"/><Relationship Id="rId12" Type="http://schemas.openxmlformats.org/officeDocument/2006/relationships/queryTable" Target="../queryTables/queryTable227.xml"/><Relationship Id="rId33" Type="http://schemas.openxmlformats.org/officeDocument/2006/relationships/queryTable" Target="../queryTables/queryTable248.xml"/><Relationship Id="rId108" Type="http://schemas.openxmlformats.org/officeDocument/2006/relationships/queryTable" Target="../queryTables/queryTable323.xml"/><Relationship Id="rId129" Type="http://schemas.openxmlformats.org/officeDocument/2006/relationships/queryTable" Target="../queryTables/queryTable344.xml"/><Relationship Id="rId280" Type="http://schemas.openxmlformats.org/officeDocument/2006/relationships/queryTable" Target="../queryTables/queryTable495.xml"/><Relationship Id="rId54" Type="http://schemas.openxmlformats.org/officeDocument/2006/relationships/queryTable" Target="../queryTables/queryTable269.xml"/><Relationship Id="rId75" Type="http://schemas.openxmlformats.org/officeDocument/2006/relationships/queryTable" Target="../queryTables/queryTable290.xml"/><Relationship Id="rId96" Type="http://schemas.openxmlformats.org/officeDocument/2006/relationships/queryTable" Target="../queryTables/queryTable311.xml"/><Relationship Id="rId140" Type="http://schemas.openxmlformats.org/officeDocument/2006/relationships/queryTable" Target="../queryTables/queryTable355.xml"/><Relationship Id="rId161" Type="http://schemas.openxmlformats.org/officeDocument/2006/relationships/queryTable" Target="../queryTables/queryTable376.xml"/><Relationship Id="rId182" Type="http://schemas.openxmlformats.org/officeDocument/2006/relationships/queryTable" Target="../queryTables/queryTable397.xml"/><Relationship Id="rId217" Type="http://schemas.openxmlformats.org/officeDocument/2006/relationships/queryTable" Target="../queryTables/queryTable432.xml"/><Relationship Id="rId6" Type="http://schemas.openxmlformats.org/officeDocument/2006/relationships/queryTable" Target="../queryTables/queryTable221.xml"/><Relationship Id="rId238" Type="http://schemas.openxmlformats.org/officeDocument/2006/relationships/queryTable" Target="../queryTables/queryTable453.xml"/><Relationship Id="rId259" Type="http://schemas.openxmlformats.org/officeDocument/2006/relationships/queryTable" Target="../queryTables/queryTable474.xml"/><Relationship Id="rId23" Type="http://schemas.openxmlformats.org/officeDocument/2006/relationships/queryTable" Target="../queryTables/queryTable238.xml"/><Relationship Id="rId119" Type="http://schemas.openxmlformats.org/officeDocument/2006/relationships/queryTable" Target="../queryTables/queryTable334.xml"/><Relationship Id="rId270" Type="http://schemas.openxmlformats.org/officeDocument/2006/relationships/queryTable" Target="../queryTables/queryTable485.xml"/><Relationship Id="rId44" Type="http://schemas.openxmlformats.org/officeDocument/2006/relationships/queryTable" Target="../queryTables/queryTable259.xml"/><Relationship Id="rId65" Type="http://schemas.openxmlformats.org/officeDocument/2006/relationships/queryTable" Target="../queryTables/queryTable280.xml"/><Relationship Id="rId86" Type="http://schemas.openxmlformats.org/officeDocument/2006/relationships/queryTable" Target="../queryTables/queryTable301.xml"/><Relationship Id="rId130" Type="http://schemas.openxmlformats.org/officeDocument/2006/relationships/queryTable" Target="../queryTables/queryTable345.xml"/><Relationship Id="rId151" Type="http://schemas.openxmlformats.org/officeDocument/2006/relationships/queryTable" Target="../queryTables/queryTable366.xml"/><Relationship Id="rId172" Type="http://schemas.openxmlformats.org/officeDocument/2006/relationships/queryTable" Target="../queryTables/queryTable387.xml"/><Relationship Id="rId193" Type="http://schemas.openxmlformats.org/officeDocument/2006/relationships/queryTable" Target="../queryTables/queryTable408.xml"/><Relationship Id="rId202" Type="http://schemas.openxmlformats.org/officeDocument/2006/relationships/queryTable" Target="../queryTables/queryTable417.xml"/><Relationship Id="rId207" Type="http://schemas.openxmlformats.org/officeDocument/2006/relationships/queryTable" Target="../queryTables/queryTable422.xml"/><Relationship Id="rId223" Type="http://schemas.openxmlformats.org/officeDocument/2006/relationships/queryTable" Target="../queryTables/queryTable438.xml"/><Relationship Id="rId228" Type="http://schemas.openxmlformats.org/officeDocument/2006/relationships/queryTable" Target="../queryTables/queryTable443.xml"/><Relationship Id="rId244" Type="http://schemas.openxmlformats.org/officeDocument/2006/relationships/queryTable" Target="../queryTables/queryTable459.xml"/><Relationship Id="rId249" Type="http://schemas.openxmlformats.org/officeDocument/2006/relationships/queryTable" Target="../queryTables/queryTable464.xml"/><Relationship Id="rId13" Type="http://schemas.openxmlformats.org/officeDocument/2006/relationships/queryTable" Target="../queryTables/queryTable228.xml"/><Relationship Id="rId18" Type="http://schemas.openxmlformats.org/officeDocument/2006/relationships/queryTable" Target="../queryTables/queryTable233.xml"/><Relationship Id="rId39" Type="http://schemas.openxmlformats.org/officeDocument/2006/relationships/queryTable" Target="../queryTables/queryTable254.xml"/><Relationship Id="rId109" Type="http://schemas.openxmlformats.org/officeDocument/2006/relationships/queryTable" Target="../queryTables/queryTable324.xml"/><Relationship Id="rId260" Type="http://schemas.openxmlformats.org/officeDocument/2006/relationships/queryTable" Target="../queryTables/queryTable475.xml"/><Relationship Id="rId265" Type="http://schemas.openxmlformats.org/officeDocument/2006/relationships/queryTable" Target="../queryTables/queryTable480.xml"/><Relationship Id="rId281" Type="http://schemas.openxmlformats.org/officeDocument/2006/relationships/queryTable" Target="../queryTables/queryTable496.xml"/><Relationship Id="rId34" Type="http://schemas.openxmlformats.org/officeDocument/2006/relationships/queryTable" Target="../queryTables/queryTable249.xml"/><Relationship Id="rId50" Type="http://schemas.openxmlformats.org/officeDocument/2006/relationships/queryTable" Target="../queryTables/queryTable265.xml"/><Relationship Id="rId55" Type="http://schemas.openxmlformats.org/officeDocument/2006/relationships/queryTable" Target="../queryTables/queryTable270.xml"/><Relationship Id="rId76" Type="http://schemas.openxmlformats.org/officeDocument/2006/relationships/queryTable" Target="../queryTables/queryTable291.xml"/><Relationship Id="rId97" Type="http://schemas.openxmlformats.org/officeDocument/2006/relationships/queryTable" Target="../queryTables/queryTable312.xml"/><Relationship Id="rId104" Type="http://schemas.openxmlformats.org/officeDocument/2006/relationships/queryTable" Target="../queryTables/queryTable319.xml"/><Relationship Id="rId120" Type="http://schemas.openxmlformats.org/officeDocument/2006/relationships/queryTable" Target="../queryTables/queryTable335.xml"/><Relationship Id="rId125" Type="http://schemas.openxmlformats.org/officeDocument/2006/relationships/queryTable" Target="../queryTables/queryTable340.xml"/><Relationship Id="rId141" Type="http://schemas.openxmlformats.org/officeDocument/2006/relationships/queryTable" Target="../queryTables/queryTable356.xml"/><Relationship Id="rId146" Type="http://schemas.openxmlformats.org/officeDocument/2006/relationships/queryTable" Target="../queryTables/queryTable361.xml"/><Relationship Id="rId167" Type="http://schemas.openxmlformats.org/officeDocument/2006/relationships/queryTable" Target="../queryTables/queryTable382.xml"/><Relationship Id="rId188" Type="http://schemas.openxmlformats.org/officeDocument/2006/relationships/queryTable" Target="../queryTables/queryTable403.xml"/><Relationship Id="rId7" Type="http://schemas.openxmlformats.org/officeDocument/2006/relationships/queryTable" Target="../queryTables/queryTable222.xml"/><Relationship Id="rId71" Type="http://schemas.openxmlformats.org/officeDocument/2006/relationships/queryTable" Target="../queryTables/queryTable286.xml"/><Relationship Id="rId92" Type="http://schemas.openxmlformats.org/officeDocument/2006/relationships/queryTable" Target="../queryTables/queryTable307.xml"/><Relationship Id="rId162" Type="http://schemas.openxmlformats.org/officeDocument/2006/relationships/queryTable" Target="../queryTables/queryTable377.xml"/><Relationship Id="rId183" Type="http://schemas.openxmlformats.org/officeDocument/2006/relationships/queryTable" Target="../queryTables/queryTable398.xml"/><Relationship Id="rId213" Type="http://schemas.openxmlformats.org/officeDocument/2006/relationships/queryTable" Target="../queryTables/queryTable428.xml"/><Relationship Id="rId218" Type="http://schemas.openxmlformats.org/officeDocument/2006/relationships/queryTable" Target="../queryTables/queryTable433.xml"/><Relationship Id="rId234" Type="http://schemas.openxmlformats.org/officeDocument/2006/relationships/queryTable" Target="../queryTables/queryTable449.xml"/><Relationship Id="rId239" Type="http://schemas.openxmlformats.org/officeDocument/2006/relationships/queryTable" Target="../queryTables/queryTable454.xml"/><Relationship Id="rId2" Type="http://schemas.openxmlformats.org/officeDocument/2006/relationships/drawing" Target="../drawings/drawing2.xml"/><Relationship Id="rId29" Type="http://schemas.openxmlformats.org/officeDocument/2006/relationships/queryTable" Target="../queryTables/queryTable244.xml"/><Relationship Id="rId250" Type="http://schemas.openxmlformats.org/officeDocument/2006/relationships/queryTable" Target="../queryTables/queryTable465.xml"/><Relationship Id="rId255" Type="http://schemas.openxmlformats.org/officeDocument/2006/relationships/queryTable" Target="../queryTables/queryTable470.xml"/><Relationship Id="rId271" Type="http://schemas.openxmlformats.org/officeDocument/2006/relationships/queryTable" Target="../queryTables/queryTable486.xml"/><Relationship Id="rId276" Type="http://schemas.openxmlformats.org/officeDocument/2006/relationships/queryTable" Target="../queryTables/queryTable491.xml"/><Relationship Id="rId24" Type="http://schemas.openxmlformats.org/officeDocument/2006/relationships/queryTable" Target="../queryTables/queryTable239.xml"/><Relationship Id="rId40" Type="http://schemas.openxmlformats.org/officeDocument/2006/relationships/queryTable" Target="../queryTables/queryTable255.xml"/><Relationship Id="rId45" Type="http://schemas.openxmlformats.org/officeDocument/2006/relationships/queryTable" Target="../queryTables/queryTable260.xml"/><Relationship Id="rId66" Type="http://schemas.openxmlformats.org/officeDocument/2006/relationships/queryTable" Target="../queryTables/queryTable281.xml"/><Relationship Id="rId87" Type="http://schemas.openxmlformats.org/officeDocument/2006/relationships/queryTable" Target="../queryTables/queryTable302.xml"/><Relationship Id="rId110" Type="http://schemas.openxmlformats.org/officeDocument/2006/relationships/queryTable" Target="../queryTables/queryTable325.xml"/><Relationship Id="rId115" Type="http://schemas.openxmlformats.org/officeDocument/2006/relationships/queryTable" Target="../queryTables/queryTable330.xml"/><Relationship Id="rId131" Type="http://schemas.openxmlformats.org/officeDocument/2006/relationships/queryTable" Target="../queryTables/queryTable346.xml"/><Relationship Id="rId136" Type="http://schemas.openxmlformats.org/officeDocument/2006/relationships/queryTable" Target="../queryTables/queryTable351.xml"/><Relationship Id="rId157" Type="http://schemas.openxmlformats.org/officeDocument/2006/relationships/queryTable" Target="../queryTables/queryTable372.xml"/><Relationship Id="rId178" Type="http://schemas.openxmlformats.org/officeDocument/2006/relationships/queryTable" Target="../queryTables/queryTable393.xml"/><Relationship Id="rId61" Type="http://schemas.openxmlformats.org/officeDocument/2006/relationships/queryTable" Target="../queryTables/queryTable276.xml"/><Relationship Id="rId82" Type="http://schemas.openxmlformats.org/officeDocument/2006/relationships/queryTable" Target="../queryTables/queryTable297.xml"/><Relationship Id="rId152" Type="http://schemas.openxmlformats.org/officeDocument/2006/relationships/queryTable" Target="../queryTables/queryTable367.xml"/><Relationship Id="rId173" Type="http://schemas.openxmlformats.org/officeDocument/2006/relationships/queryTable" Target="../queryTables/queryTable388.xml"/><Relationship Id="rId194" Type="http://schemas.openxmlformats.org/officeDocument/2006/relationships/queryTable" Target="../queryTables/queryTable409.xml"/><Relationship Id="rId199" Type="http://schemas.openxmlformats.org/officeDocument/2006/relationships/queryTable" Target="../queryTables/queryTable414.xml"/><Relationship Id="rId203" Type="http://schemas.openxmlformats.org/officeDocument/2006/relationships/queryTable" Target="../queryTables/queryTable418.xml"/><Relationship Id="rId208" Type="http://schemas.openxmlformats.org/officeDocument/2006/relationships/queryTable" Target="../queryTables/queryTable423.xml"/><Relationship Id="rId229" Type="http://schemas.openxmlformats.org/officeDocument/2006/relationships/queryTable" Target="../queryTables/queryTable444.xml"/><Relationship Id="rId19" Type="http://schemas.openxmlformats.org/officeDocument/2006/relationships/queryTable" Target="../queryTables/queryTable234.xml"/><Relationship Id="rId224" Type="http://schemas.openxmlformats.org/officeDocument/2006/relationships/queryTable" Target="../queryTables/queryTable439.xml"/><Relationship Id="rId240" Type="http://schemas.openxmlformats.org/officeDocument/2006/relationships/queryTable" Target="../queryTables/queryTable455.xml"/><Relationship Id="rId245" Type="http://schemas.openxmlformats.org/officeDocument/2006/relationships/queryTable" Target="../queryTables/queryTable460.xml"/><Relationship Id="rId261" Type="http://schemas.openxmlformats.org/officeDocument/2006/relationships/queryTable" Target="../queryTables/queryTable476.xml"/><Relationship Id="rId266" Type="http://schemas.openxmlformats.org/officeDocument/2006/relationships/queryTable" Target="../queryTables/queryTable481.xml"/><Relationship Id="rId14" Type="http://schemas.openxmlformats.org/officeDocument/2006/relationships/queryTable" Target="../queryTables/queryTable229.xml"/><Relationship Id="rId30" Type="http://schemas.openxmlformats.org/officeDocument/2006/relationships/queryTable" Target="../queryTables/queryTable245.xml"/><Relationship Id="rId35" Type="http://schemas.openxmlformats.org/officeDocument/2006/relationships/queryTable" Target="../queryTables/queryTable250.xml"/><Relationship Id="rId56" Type="http://schemas.openxmlformats.org/officeDocument/2006/relationships/queryTable" Target="../queryTables/queryTable271.xml"/><Relationship Id="rId77" Type="http://schemas.openxmlformats.org/officeDocument/2006/relationships/queryTable" Target="../queryTables/queryTable292.xml"/><Relationship Id="rId100" Type="http://schemas.openxmlformats.org/officeDocument/2006/relationships/queryTable" Target="../queryTables/queryTable315.xml"/><Relationship Id="rId105" Type="http://schemas.openxmlformats.org/officeDocument/2006/relationships/queryTable" Target="../queryTables/queryTable320.xml"/><Relationship Id="rId126" Type="http://schemas.openxmlformats.org/officeDocument/2006/relationships/queryTable" Target="../queryTables/queryTable341.xml"/><Relationship Id="rId147" Type="http://schemas.openxmlformats.org/officeDocument/2006/relationships/queryTable" Target="../queryTables/queryTable362.xml"/><Relationship Id="rId168" Type="http://schemas.openxmlformats.org/officeDocument/2006/relationships/queryTable" Target="../queryTables/queryTable383.xml"/><Relationship Id="rId282" Type="http://schemas.openxmlformats.org/officeDocument/2006/relationships/queryTable" Target="../queryTables/queryTable497.xml"/><Relationship Id="rId8" Type="http://schemas.openxmlformats.org/officeDocument/2006/relationships/queryTable" Target="../queryTables/queryTable223.xml"/><Relationship Id="rId51" Type="http://schemas.openxmlformats.org/officeDocument/2006/relationships/queryTable" Target="../queryTables/queryTable266.xml"/><Relationship Id="rId72" Type="http://schemas.openxmlformats.org/officeDocument/2006/relationships/queryTable" Target="../queryTables/queryTable287.xml"/><Relationship Id="rId93" Type="http://schemas.openxmlformats.org/officeDocument/2006/relationships/queryTable" Target="../queryTables/queryTable308.xml"/><Relationship Id="rId98" Type="http://schemas.openxmlformats.org/officeDocument/2006/relationships/queryTable" Target="../queryTables/queryTable313.xml"/><Relationship Id="rId121" Type="http://schemas.openxmlformats.org/officeDocument/2006/relationships/queryTable" Target="../queryTables/queryTable336.xml"/><Relationship Id="rId142" Type="http://schemas.openxmlformats.org/officeDocument/2006/relationships/queryTable" Target="../queryTables/queryTable357.xml"/><Relationship Id="rId163" Type="http://schemas.openxmlformats.org/officeDocument/2006/relationships/queryTable" Target="../queryTables/queryTable378.xml"/><Relationship Id="rId184" Type="http://schemas.openxmlformats.org/officeDocument/2006/relationships/queryTable" Target="../queryTables/queryTable399.xml"/><Relationship Id="rId189" Type="http://schemas.openxmlformats.org/officeDocument/2006/relationships/queryTable" Target="../queryTables/queryTable404.xml"/><Relationship Id="rId219" Type="http://schemas.openxmlformats.org/officeDocument/2006/relationships/queryTable" Target="../queryTables/queryTable434.xml"/><Relationship Id="rId3" Type="http://schemas.openxmlformats.org/officeDocument/2006/relationships/vmlDrawing" Target="../drawings/vmlDrawing2.vml"/><Relationship Id="rId214" Type="http://schemas.openxmlformats.org/officeDocument/2006/relationships/queryTable" Target="../queryTables/queryTable429.xml"/><Relationship Id="rId230" Type="http://schemas.openxmlformats.org/officeDocument/2006/relationships/queryTable" Target="../queryTables/queryTable445.xml"/><Relationship Id="rId235" Type="http://schemas.openxmlformats.org/officeDocument/2006/relationships/queryTable" Target="../queryTables/queryTable450.xml"/><Relationship Id="rId251" Type="http://schemas.openxmlformats.org/officeDocument/2006/relationships/queryTable" Target="../queryTables/queryTable466.xml"/><Relationship Id="rId256" Type="http://schemas.openxmlformats.org/officeDocument/2006/relationships/queryTable" Target="../queryTables/queryTable471.xml"/><Relationship Id="rId277" Type="http://schemas.openxmlformats.org/officeDocument/2006/relationships/queryTable" Target="../queryTables/queryTable492.xml"/><Relationship Id="rId25" Type="http://schemas.openxmlformats.org/officeDocument/2006/relationships/queryTable" Target="../queryTables/queryTable240.xml"/><Relationship Id="rId46" Type="http://schemas.openxmlformats.org/officeDocument/2006/relationships/queryTable" Target="../queryTables/queryTable261.xml"/><Relationship Id="rId67" Type="http://schemas.openxmlformats.org/officeDocument/2006/relationships/queryTable" Target="../queryTables/queryTable282.xml"/><Relationship Id="rId116" Type="http://schemas.openxmlformats.org/officeDocument/2006/relationships/queryTable" Target="../queryTables/queryTable331.xml"/><Relationship Id="rId137" Type="http://schemas.openxmlformats.org/officeDocument/2006/relationships/queryTable" Target="../queryTables/queryTable352.xml"/><Relationship Id="rId158" Type="http://schemas.openxmlformats.org/officeDocument/2006/relationships/queryTable" Target="../queryTables/queryTable373.xml"/><Relationship Id="rId272" Type="http://schemas.openxmlformats.org/officeDocument/2006/relationships/queryTable" Target="../queryTables/queryTable487.xml"/><Relationship Id="rId20" Type="http://schemas.openxmlformats.org/officeDocument/2006/relationships/queryTable" Target="../queryTables/queryTable235.xml"/><Relationship Id="rId41" Type="http://schemas.openxmlformats.org/officeDocument/2006/relationships/queryTable" Target="../queryTables/queryTable256.xml"/><Relationship Id="rId62" Type="http://schemas.openxmlformats.org/officeDocument/2006/relationships/queryTable" Target="../queryTables/queryTable277.xml"/><Relationship Id="rId83" Type="http://schemas.openxmlformats.org/officeDocument/2006/relationships/queryTable" Target="../queryTables/queryTable298.xml"/><Relationship Id="rId88" Type="http://schemas.openxmlformats.org/officeDocument/2006/relationships/queryTable" Target="../queryTables/queryTable303.xml"/><Relationship Id="rId111" Type="http://schemas.openxmlformats.org/officeDocument/2006/relationships/queryTable" Target="../queryTables/queryTable326.xml"/><Relationship Id="rId132" Type="http://schemas.openxmlformats.org/officeDocument/2006/relationships/queryTable" Target="../queryTables/queryTable347.xml"/><Relationship Id="rId153" Type="http://schemas.openxmlformats.org/officeDocument/2006/relationships/queryTable" Target="../queryTables/queryTable368.xml"/><Relationship Id="rId174" Type="http://schemas.openxmlformats.org/officeDocument/2006/relationships/queryTable" Target="../queryTables/queryTable389.xml"/><Relationship Id="rId179" Type="http://schemas.openxmlformats.org/officeDocument/2006/relationships/queryTable" Target="../queryTables/queryTable394.xml"/><Relationship Id="rId195" Type="http://schemas.openxmlformats.org/officeDocument/2006/relationships/queryTable" Target="../queryTables/queryTable410.xml"/><Relationship Id="rId209" Type="http://schemas.openxmlformats.org/officeDocument/2006/relationships/queryTable" Target="../queryTables/queryTable424.xml"/><Relationship Id="rId190" Type="http://schemas.openxmlformats.org/officeDocument/2006/relationships/queryTable" Target="../queryTables/queryTable405.xml"/><Relationship Id="rId204" Type="http://schemas.openxmlformats.org/officeDocument/2006/relationships/queryTable" Target="../queryTables/queryTable419.xml"/><Relationship Id="rId220" Type="http://schemas.openxmlformats.org/officeDocument/2006/relationships/queryTable" Target="../queryTables/queryTable435.xml"/><Relationship Id="rId225" Type="http://schemas.openxmlformats.org/officeDocument/2006/relationships/queryTable" Target="../queryTables/queryTable440.xml"/><Relationship Id="rId241" Type="http://schemas.openxmlformats.org/officeDocument/2006/relationships/queryTable" Target="../queryTables/queryTable456.xml"/><Relationship Id="rId246" Type="http://schemas.openxmlformats.org/officeDocument/2006/relationships/queryTable" Target="../queryTables/queryTable461.xml"/><Relationship Id="rId267" Type="http://schemas.openxmlformats.org/officeDocument/2006/relationships/queryTable" Target="../queryTables/queryTable482.xml"/><Relationship Id="rId15" Type="http://schemas.openxmlformats.org/officeDocument/2006/relationships/queryTable" Target="../queryTables/queryTable230.xml"/><Relationship Id="rId36" Type="http://schemas.openxmlformats.org/officeDocument/2006/relationships/queryTable" Target="../queryTables/queryTable251.xml"/><Relationship Id="rId57" Type="http://schemas.openxmlformats.org/officeDocument/2006/relationships/queryTable" Target="../queryTables/queryTable272.xml"/><Relationship Id="rId106" Type="http://schemas.openxmlformats.org/officeDocument/2006/relationships/queryTable" Target="../queryTables/queryTable321.xml"/><Relationship Id="rId127" Type="http://schemas.openxmlformats.org/officeDocument/2006/relationships/queryTable" Target="../queryTables/queryTable342.xml"/><Relationship Id="rId262" Type="http://schemas.openxmlformats.org/officeDocument/2006/relationships/queryTable" Target="../queryTables/queryTable477.xml"/><Relationship Id="rId10" Type="http://schemas.openxmlformats.org/officeDocument/2006/relationships/queryTable" Target="../queryTables/queryTable225.xml"/><Relationship Id="rId31" Type="http://schemas.openxmlformats.org/officeDocument/2006/relationships/queryTable" Target="../queryTables/queryTable246.xml"/><Relationship Id="rId52" Type="http://schemas.openxmlformats.org/officeDocument/2006/relationships/queryTable" Target="../queryTables/queryTable267.xml"/><Relationship Id="rId73" Type="http://schemas.openxmlformats.org/officeDocument/2006/relationships/queryTable" Target="../queryTables/queryTable288.xml"/><Relationship Id="rId78" Type="http://schemas.openxmlformats.org/officeDocument/2006/relationships/queryTable" Target="../queryTables/queryTable293.xml"/><Relationship Id="rId94" Type="http://schemas.openxmlformats.org/officeDocument/2006/relationships/queryTable" Target="../queryTables/queryTable309.xml"/><Relationship Id="rId99" Type="http://schemas.openxmlformats.org/officeDocument/2006/relationships/queryTable" Target="../queryTables/queryTable314.xml"/><Relationship Id="rId101" Type="http://schemas.openxmlformats.org/officeDocument/2006/relationships/queryTable" Target="../queryTables/queryTable316.xml"/><Relationship Id="rId122" Type="http://schemas.openxmlformats.org/officeDocument/2006/relationships/queryTable" Target="../queryTables/queryTable337.xml"/><Relationship Id="rId143" Type="http://schemas.openxmlformats.org/officeDocument/2006/relationships/queryTable" Target="../queryTables/queryTable358.xml"/><Relationship Id="rId148" Type="http://schemas.openxmlformats.org/officeDocument/2006/relationships/queryTable" Target="../queryTables/queryTable363.xml"/><Relationship Id="rId164" Type="http://schemas.openxmlformats.org/officeDocument/2006/relationships/queryTable" Target="../queryTables/queryTable379.xml"/><Relationship Id="rId169" Type="http://schemas.openxmlformats.org/officeDocument/2006/relationships/queryTable" Target="../queryTables/queryTable384.xml"/><Relationship Id="rId185" Type="http://schemas.openxmlformats.org/officeDocument/2006/relationships/queryTable" Target="../queryTables/queryTable400.xml"/><Relationship Id="rId4" Type="http://schemas.openxmlformats.org/officeDocument/2006/relationships/ctrlProp" Target="../ctrlProps/ctrlProp2.xml"/><Relationship Id="rId9" Type="http://schemas.openxmlformats.org/officeDocument/2006/relationships/queryTable" Target="../queryTables/queryTable224.xml"/><Relationship Id="rId180" Type="http://schemas.openxmlformats.org/officeDocument/2006/relationships/queryTable" Target="../queryTables/queryTable395.xml"/><Relationship Id="rId210" Type="http://schemas.openxmlformats.org/officeDocument/2006/relationships/queryTable" Target="../queryTables/queryTable425.xml"/><Relationship Id="rId215" Type="http://schemas.openxmlformats.org/officeDocument/2006/relationships/queryTable" Target="../queryTables/queryTable430.xml"/><Relationship Id="rId236" Type="http://schemas.openxmlformats.org/officeDocument/2006/relationships/queryTable" Target="../queryTables/queryTable451.xml"/><Relationship Id="rId257" Type="http://schemas.openxmlformats.org/officeDocument/2006/relationships/queryTable" Target="../queryTables/queryTable472.xml"/><Relationship Id="rId278" Type="http://schemas.openxmlformats.org/officeDocument/2006/relationships/queryTable" Target="../queryTables/queryTable493.xml"/><Relationship Id="rId26" Type="http://schemas.openxmlformats.org/officeDocument/2006/relationships/queryTable" Target="../queryTables/queryTable241.xml"/><Relationship Id="rId231" Type="http://schemas.openxmlformats.org/officeDocument/2006/relationships/queryTable" Target="../queryTables/queryTable446.xml"/><Relationship Id="rId252" Type="http://schemas.openxmlformats.org/officeDocument/2006/relationships/queryTable" Target="../queryTables/queryTable467.xml"/><Relationship Id="rId273" Type="http://schemas.openxmlformats.org/officeDocument/2006/relationships/queryTable" Target="../queryTables/queryTable488.xml"/><Relationship Id="rId47" Type="http://schemas.openxmlformats.org/officeDocument/2006/relationships/queryTable" Target="../queryTables/queryTable262.xml"/><Relationship Id="rId68" Type="http://schemas.openxmlformats.org/officeDocument/2006/relationships/queryTable" Target="../queryTables/queryTable283.xml"/><Relationship Id="rId89" Type="http://schemas.openxmlformats.org/officeDocument/2006/relationships/queryTable" Target="../queryTables/queryTable304.xml"/><Relationship Id="rId112" Type="http://schemas.openxmlformats.org/officeDocument/2006/relationships/queryTable" Target="../queryTables/queryTable327.xml"/><Relationship Id="rId133" Type="http://schemas.openxmlformats.org/officeDocument/2006/relationships/queryTable" Target="../queryTables/queryTable348.xml"/><Relationship Id="rId154" Type="http://schemas.openxmlformats.org/officeDocument/2006/relationships/queryTable" Target="../queryTables/queryTable369.xml"/><Relationship Id="rId175" Type="http://schemas.openxmlformats.org/officeDocument/2006/relationships/queryTable" Target="../queryTables/queryTable390.xml"/><Relationship Id="rId196" Type="http://schemas.openxmlformats.org/officeDocument/2006/relationships/queryTable" Target="../queryTables/queryTable411.xml"/><Relationship Id="rId200" Type="http://schemas.openxmlformats.org/officeDocument/2006/relationships/queryTable" Target="../queryTables/queryTable415.xml"/><Relationship Id="rId16" Type="http://schemas.openxmlformats.org/officeDocument/2006/relationships/queryTable" Target="../queryTables/queryTable231.xml"/><Relationship Id="rId221" Type="http://schemas.openxmlformats.org/officeDocument/2006/relationships/queryTable" Target="../queryTables/queryTable436.xml"/><Relationship Id="rId242" Type="http://schemas.openxmlformats.org/officeDocument/2006/relationships/queryTable" Target="../queryTables/queryTable457.xml"/><Relationship Id="rId263" Type="http://schemas.openxmlformats.org/officeDocument/2006/relationships/queryTable" Target="../queryTables/queryTable478.xml"/><Relationship Id="rId37" Type="http://schemas.openxmlformats.org/officeDocument/2006/relationships/queryTable" Target="../queryTables/queryTable252.xml"/><Relationship Id="rId58" Type="http://schemas.openxmlformats.org/officeDocument/2006/relationships/queryTable" Target="../queryTables/queryTable273.xml"/><Relationship Id="rId79" Type="http://schemas.openxmlformats.org/officeDocument/2006/relationships/queryTable" Target="../queryTables/queryTable294.xml"/><Relationship Id="rId102" Type="http://schemas.openxmlformats.org/officeDocument/2006/relationships/queryTable" Target="../queryTables/queryTable317.xml"/><Relationship Id="rId123" Type="http://schemas.openxmlformats.org/officeDocument/2006/relationships/queryTable" Target="../queryTables/queryTable338.xml"/><Relationship Id="rId144" Type="http://schemas.openxmlformats.org/officeDocument/2006/relationships/queryTable" Target="../queryTables/queryTable359.xml"/><Relationship Id="rId90" Type="http://schemas.openxmlformats.org/officeDocument/2006/relationships/queryTable" Target="../queryTables/queryTable305.xml"/><Relationship Id="rId165" Type="http://schemas.openxmlformats.org/officeDocument/2006/relationships/queryTable" Target="../queryTables/queryTable380.xml"/><Relationship Id="rId186" Type="http://schemas.openxmlformats.org/officeDocument/2006/relationships/queryTable" Target="../queryTables/queryTable401.xml"/><Relationship Id="rId211" Type="http://schemas.openxmlformats.org/officeDocument/2006/relationships/queryTable" Target="../queryTables/queryTable426.xml"/><Relationship Id="rId232" Type="http://schemas.openxmlformats.org/officeDocument/2006/relationships/queryTable" Target="../queryTables/queryTable447.xml"/><Relationship Id="rId253" Type="http://schemas.openxmlformats.org/officeDocument/2006/relationships/queryTable" Target="../queryTables/queryTable468.xml"/><Relationship Id="rId274" Type="http://schemas.openxmlformats.org/officeDocument/2006/relationships/queryTable" Target="../queryTables/queryTable489.xml"/><Relationship Id="rId27" Type="http://schemas.openxmlformats.org/officeDocument/2006/relationships/queryTable" Target="../queryTables/queryTable242.xml"/><Relationship Id="rId48" Type="http://schemas.openxmlformats.org/officeDocument/2006/relationships/queryTable" Target="../queryTables/queryTable263.xml"/><Relationship Id="rId69" Type="http://schemas.openxmlformats.org/officeDocument/2006/relationships/queryTable" Target="../queryTables/queryTable284.xml"/><Relationship Id="rId113" Type="http://schemas.openxmlformats.org/officeDocument/2006/relationships/queryTable" Target="../queryTables/queryTable328.xml"/><Relationship Id="rId134" Type="http://schemas.openxmlformats.org/officeDocument/2006/relationships/queryTable" Target="../queryTables/queryTable349.xml"/><Relationship Id="rId80" Type="http://schemas.openxmlformats.org/officeDocument/2006/relationships/queryTable" Target="../queryTables/queryTable295.xml"/><Relationship Id="rId155" Type="http://schemas.openxmlformats.org/officeDocument/2006/relationships/queryTable" Target="../queryTables/queryTable370.xml"/><Relationship Id="rId176" Type="http://schemas.openxmlformats.org/officeDocument/2006/relationships/queryTable" Target="../queryTables/queryTable391.xml"/><Relationship Id="rId197" Type="http://schemas.openxmlformats.org/officeDocument/2006/relationships/queryTable" Target="../queryTables/queryTable412.xml"/><Relationship Id="rId201" Type="http://schemas.openxmlformats.org/officeDocument/2006/relationships/queryTable" Target="../queryTables/queryTable416.xml"/><Relationship Id="rId222" Type="http://schemas.openxmlformats.org/officeDocument/2006/relationships/queryTable" Target="../queryTables/queryTable437.xml"/><Relationship Id="rId243" Type="http://schemas.openxmlformats.org/officeDocument/2006/relationships/queryTable" Target="../queryTables/queryTable458.xml"/><Relationship Id="rId264" Type="http://schemas.openxmlformats.org/officeDocument/2006/relationships/queryTable" Target="../queryTables/queryTable479.xml"/><Relationship Id="rId17" Type="http://schemas.openxmlformats.org/officeDocument/2006/relationships/queryTable" Target="../queryTables/queryTable232.xml"/><Relationship Id="rId38" Type="http://schemas.openxmlformats.org/officeDocument/2006/relationships/queryTable" Target="../queryTables/queryTable253.xml"/><Relationship Id="rId59" Type="http://schemas.openxmlformats.org/officeDocument/2006/relationships/queryTable" Target="../queryTables/queryTable274.xml"/><Relationship Id="rId103" Type="http://schemas.openxmlformats.org/officeDocument/2006/relationships/queryTable" Target="../queryTables/queryTable318.xml"/><Relationship Id="rId124" Type="http://schemas.openxmlformats.org/officeDocument/2006/relationships/queryTable" Target="../queryTables/queryTable339.xml"/><Relationship Id="rId70" Type="http://schemas.openxmlformats.org/officeDocument/2006/relationships/queryTable" Target="../queryTables/queryTable285.xml"/><Relationship Id="rId91" Type="http://schemas.openxmlformats.org/officeDocument/2006/relationships/queryTable" Target="../queryTables/queryTable306.xml"/><Relationship Id="rId145" Type="http://schemas.openxmlformats.org/officeDocument/2006/relationships/queryTable" Target="../queryTables/queryTable360.xml"/><Relationship Id="rId166" Type="http://schemas.openxmlformats.org/officeDocument/2006/relationships/queryTable" Target="../queryTables/queryTable381.xml"/><Relationship Id="rId187" Type="http://schemas.openxmlformats.org/officeDocument/2006/relationships/queryTable" Target="../queryTables/queryTable402.xml"/><Relationship Id="rId1" Type="http://schemas.openxmlformats.org/officeDocument/2006/relationships/printerSettings" Target="../printerSettings/printerSettings3.bin"/><Relationship Id="rId212" Type="http://schemas.openxmlformats.org/officeDocument/2006/relationships/queryTable" Target="../queryTables/queryTable427.xml"/><Relationship Id="rId233" Type="http://schemas.openxmlformats.org/officeDocument/2006/relationships/queryTable" Target="../queryTables/queryTable448.xml"/><Relationship Id="rId254" Type="http://schemas.openxmlformats.org/officeDocument/2006/relationships/queryTable" Target="../queryTables/queryTable469.xml"/><Relationship Id="rId28" Type="http://schemas.openxmlformats.org/officeDocument/2006/relationships/queryTable" Target="../queryTables/queryTable243.xml"/><Relationship Id="rId49" Type="http://schemas.openxmlformats.org/officeDocument/2006/relationships/queryTable" Target="../queryTables/queryTable264.xml"/><Relationship Id="rId114" Type="http://schemas.openxmlformats.org/officeDocument/2006/relationships/queryTable" Target="../queryTables/queryTable329.xml"/><Relationship Id="rId275" Type="http://schemas.openxmlformats.org/officeDocument/2006/relationships/queryTable" Target="../queryTables/queryTable490.xml"/><Relationship Id="rId60" Type="http://schemas.openxmlformats.org/officeDocument/2006/relationships/queryTable" Target="../queryTables/queryTable275.xml"/><Relationship Id="rId81" Type="http://schemas.openxmlformats.org/officeDocument/2006/relationships/queryTable" Target="../queryTables/queryTable296.xml"/><Relationship Id="rId135" Type="http://schemas.openxmlformats.org/officeDocument/2006/relationships/queryTable" Target="../queryTables/queryTable350.xml"/><Relationship Id="rId156" Type="http://schemas.openxmlformats.org/officeDocument/2006/relationships/queryTable" Target="../queryTables/queryTable371.xml"/><Relationship Id="rId177" Type="http://schemas.openxmlformats.org/officeDocument/2006/relationships/queryTable" Target="../queryTables/queryTable392.xml"/><Relationship Id="rId198" Type="http://schemas.openxmlformats.org/officeDocument/2006/relationships/queryTable" Target="../queryTables/queryTable41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X161"/>
  <sheetViews>
    <sheetView tabSelected="1" workbookViewId="0">
      <pane xSplit="2" topLeftCell="C1" activePane="topRight" state="frozen"/>
      <selection activeCell="B1" sqref="B1"/>
      <selection pane="topRight" activeCell="F165" sqref="F165"/>
    </sheetView>
  </sheetViews>
  <sheetFormatPr defaultRowHeight="11.25" x14ac:dyDescent="0.2"/>
  <cols>
    <col min="1" max="1" width="5.28515625" style="3" customWidth="1"/>
    <col min="2" max="2" width="7.28515625" style="3" bestFit="1" customWidth="1"/>
    <col min="3" max="3" width="5.42578125" style="16" bestFit="1" customWidth="1"/>
    <col min="4" max="4" width="17.85546875" style="5" bestFit="1" customWidth="1"/>
    <col min="5" max="5" width="16.85546875" style="12" bestFit="1" customWidth="1"/>
    <col min="6" max="6" width="16.85546875" style="5" bestFit="1" customWidth="1"/>
    <col min="7" max="7" width="12.5703125" style="16" bestFit="1" customWidth="1"/>
    <col min="8" max="8" width="7.42578125" style="16" customWidth="1"/>
    <col min="9" max="9" width="7.7109375" style="5" bestFit="1" customWidth="1"/>
    <col min="10" max="10" width="9.28515625" style="3" bestFit="1" customWidth="1"/>
    <col min="11" max="11" width="9.42578125" style="3" bestFit="1" customWidth="1"/>
    <col min="12" max="12" width="7.42578125" style="3" bestFit="1" customWidth="1"/>
    <col min="13" max="13" width="6.5703125" style="3" customWidth="1"/>
    <col min="14" max="14" width="11.140625" style="16" bestFit="1" customWidth="1"/>
    <col min="15" max="15" width="7.140625" style="3" customWidth="1"/>
    <col min="16" max="16" width="7.85546875" style="96" bestFit="1" customWidth="1"/>
    <col min="17" max="17" width="7.7109375" style="18" bestFit="1" customWidth="1"/>
    <col min="18" max="18" width="7.42578125" style="5" bestFit="1" customWidth="1"/>
    <col min="19" max="19" width="14" style="18" bestFit="1" customWidth="1"/>
    <col min="20" max="20" width="9.140625" style="3" hidden="1" customWidth="1"/>
    <col min="21" max="21" width="0" style="3" hidden="1" customWidth="1"/>
    <col min="22" max="22" width="11.5703125" style="3" bestFit="1" customWidth="1"/>
    <col min="23" max="23" width="13.85546875" style="3" bestFit="1" customWidth="1"/>
    <col min="24" max="16384" width="9.140625" style="3"/>
  </cols>
  <sheetData>
    <row r="1" spans="1:24" x14ac:dyDescent="0.2">
      <c r="A1" s="5" t="s">
        <v>13</v>
      </c>
      <c r="B1" s="16" t="s">
        <v>9</v>
      </c>
      <c r="C1" s="16" t="s">
        <v>64</v>
      </c>
      <c r="D1" s="5" t="s">
        <v>3</v>
      </c>
      <c r="E1" s="5" t="s">
        <v>53</v>
      </c>
      <c r="F1" s="5" t="s">
        <v>810</v>
      </c>
      <c r="G1" s="5" t="s">
        <v>4</v>
      </c>
      <c r="H1" s="16" t="s">
        <v>86</v>
      </c>
      <c r="I1" s="18" t="s">
        <v>74</v>
      </c>
      <c r="J1" s="5" t="s">
        <v>5</v>
      </c>
      <c r="K1" s="12" t="s">
        <v>6</v>
      </c>
      <c r="L1" s="23" t="s">
        <v>7</v>
      </c>
      <c r="M1" s="36" t="s">
        <v>52</v>
      </c>
      <c r="N1" s="16" t="s">
        <v>58</v>
      </c>
      <c r="O1" s="3" t="s">
        <v>8</v>
      </c>
      <c r="P1" s="3" t="s">
        <v>338</v>
      </c>
      <c r="Q1" s="18" t="s">
        <v>811</v>
      </c>
      <c r="R1" s="3" t="s">
        <v>41</v>
      </c>
      <c r="S1" s="5" t="s">
        <v>61</v>
      </c>
      <c r="T1" s="5" t="s">
        <v>275</v>
      </c>
      <c r="U1" s="5" t="s">
        <v>276</v>
      </c>
      <c r="X1" s="5">
        <v>300</v>
      </c>
    </row>
    <row r="2" spans="1:24" x14ac:dyDescent="0.2">
      <c r="A2" s="4" t="s">
        <v>380</v>
      </c>
      <c r="B2" s="69" t="s">
        <v>379</v>
      </c>
      <c r="C2" s="15">
        <v>3</v>
      </c>
      <c r="D2" s="6">
        <v>241884000</v>
      </c>
      <c r="E2" s="6">
        <v>56208000</v>
      </c>
      <c r="F2" s="6">
        <f>GETPIVOTDATA("Average of Lucro Líquido",'Tabela LL'!$A$3,"Ativo",Tabela3[[#This Row],[PAPEL]])/4*Tabela3[[#This Row],[Ref]]</f>
        <v>10823932.246874999</v>
      </c>
      <c r="G2" s="41">
        <v>12587262</v>
      </c>
      <c r="H2" s="15">
        <f>Tabela3[[#This Row],[Lucro Líquido]]/Tabela3[[#This Row],[Total Ações]]</f>
        <v>4.4654667552006151</v>
      </c>
      <c r="I2" s="19">
        <f>IF(GETPIVOTDATA("Payout",'Tabela LL'!$A$3,"Ativo",Tabela3[[#This Row],[PAPEL]])&gt;1,1,GETPIVOTDATA("Payout",'Tabela LL'!$A$3,"Ativo",Tabela3[[#This Row],[PAPEL]]))</f>
        <v>0.90821522332465576</v>
      </c>
      <c r="J2" s="6">
        <f>Tabela3[Patrimônio Líquido]/Tabela3[Total Ações]</f>
        <v>19.216569894231167</v>
      </c>
      <c r="K2" s="51">
        <f>MAX(Tabela3[[#This Row],[Cotação 1]],Tabela3[[#This Row],[Cotação 2]])</f>
        <v>20</v>
      </c>
      <c r="L2" s="47">
        <f>Tabela3[Cotação]/Tabela3[VPA]</f>
        <v>1.0407684675298905</v>
      </c>
      <c r="M2" s="43">
        <f>IF(Tabela3[[#This Row],[Lucro/Ação]]&gt;0,Tabela3[[#This Row],[Cotação]]/Tabela3[[#This Row],[Lucro/Ação]],0)</f>
        <v>4.4788151152860802</v>
      </c>
      <c r="N2" s="15">
        <f>Tabela3[[#This Row],[Lucro/Ação]]*Tabela3[[#This Row],[Payout]]</f>
        <v>4.0556048863233523</v>
      </c>
      <c r="O2" s="15" t="str">
        <f>IF(AND(Tabela3[% A.A.]&gt;=10%,Tabela3[PVPA]&lt;=2,Tabela3[PL]&lt;=15,Tabela3[PL]&gt;0),"Sim","Não")</f>
        <v>Sim</v>
      </c>
      <c r="P2" s="45">
        <f>Tabela3[[#This Row],[Lucro Prev]]/Tabela3[[#This Row],[Cotação]]</f>
        <v>0.20278024431616762</v>
      </c>
      <c r="Q2" s="19">
        <f>((1+Tabela3[[#This Row],[% Yield]])^(1/(3*Tabela3[[#This Row],[Ref]])))^(12)-1</f>
        <v>0.27913107062791243</v>
      </c>
      <c r="R2" s="14">
        <f>($X$1/Tabela3[[#This Row],[Cotação]]-MOD($X$1/Tabela3[[#This Row],[Cotação]],100))</f>
        <v>0</v>
      </c>
      <c r="S2" s="17">
        <f>Tabela3[[#This Row],[Ativos]]*Tabela3[[#This Row],[Lucro Prev]]</f>
        <v>0</v>
      </c>
      <c r="T2" s="13">
        <f>SUMPRODUCT(N(Tabela1[Código]=Tabela3[[#This Row],[PAPEL]]),Tabela1[Fechamento])</f>
        <v>0</v>
      </c>
      <c r="U2" s="60">
        <f>SUMPRODUCT(N(Tabela17[Código]=Tabela3[[#This Row],[PAPEL]]),Tabela17[Fechamento])</f>
        <v>20</v>
      </c>
    </row>
    <row r="3" spans="1:24" x14ac:dyDescent="0.2">
      <c r="A3" s="25" t="s">
        <v>40</v>
      </c>
      <c r="B3" s="69" t="s">
        <v>39</v>
      </c>
      <c r="C3" s="15">
        <v>3</v>
      </c>
      <c r="D3" s="30">
        <v>740932000</v>
      </c>
      <c r="E3" s="30">
        <v>342727000</v>
      </c>
      <c r="F3" s="30">
        <f>GETPIVOTDATA("Average of Lucro Líquido",'Tabela LL'!$A$3,"Ativo",Tabela3[[#This Row],[PAPEL]])/4*Tabela3[[#This Row],[Ref]]</f>
        <v>18506422.255000003</v>
      </c>
      <c r="G3" s="28">
        <v>835502072</v>
      </c>
      <c r="H3" s="15">
        <f>Tabela3[[#This Row],[Lucro Líquido]]/Tabela3[[#This Row],[Total Ações]]</f>
        <v>0.4102048474632628</v>
      </c>
      <c r="I3" s="19">
        <f>IF(GETPIVOTDATA("Payout",'Tabela LL'!$A$3,"Ativo",Tabela3[[#This Row],[PAPEL]])&gt;1,1,GETPIVOTDATA("Payout",'Tabela LL'!$A$3,"Ativo",Tabela3[[#This Row],[PAPEL]]))</f>
        <v>0.20588880617740807</v>
      </c>
      <c r="J3" s="6">
        <f>Tabela3[Patrimônio Líquido]/Tabela3[Total Ações]</f>
        <v>0.88681048776621108</v>
      </c>
      <c r="K3" s="51">
        <f>MAX(Tabela3[[#This Row],[Cotação 1]],Tabela3[[#This Row],[Cotação 2]])</f>
        <v>0.51</v>
      </c>
      <c r="L3" s="47">
        <f>Tabela3[Cotação]/Tabela3[VPA]</f>
        <v>0.57509468712378464</v>
      </c>
      <c r="M3" s="43">
        <f>IF(Tabela3[[#This Row],[Lucro/Ação]]&gt;0,Tabela3[[#This Row],[Cotação]]/Tabela3[[#This Row],[Lucro/Ação]],0)</f>
        <v>1.2432812609453006</v>
      </c>
      <c r="N3" s="15">
        <f>Tabela3[[#This Row],[Lucro/Ação]]*Tabela3[[#This Row],[Payout]]</f>
        <v>8.4456586332396957E-2</v>
      </c>
      <c r="O3" s="14" t="str">
        <f>IF(AND(Tabela3[% A.A.]&gt;=10%,Tabela3[PVPA]&lt;=2,Tabela3[PL]&lt;=15,Tabela3[PL]&gt;0),"Sim","Não")</f>
        <v>Sim</v>
      </c>
      <c r="P3" s="45">
        <f>Tabela3[[#This Row],[Lucro Prev]]/Tabela3[[#This Row],[Cotação]]</f>
        <v>0.16560114967136658</v>
      </c>
      <c r="Q3" s="19">
        <f>((1+Tabela3[[#This Row],[% Yield]])^(1/(3*Tabela3[[#This Row],[Ref]])))^(12)-1</f>
        <v>0.22668566313439298</v>
      </c>
      <c r="R3" s="14">
        <f>($X$1/Tabela3[[#This Row],[Cotação]]-MOD($X$1/Tabela3[[#This Row],[Cotação]],100))</f>
        <v>500</v>
      </c>
      <c r="S3" s="17">
        <f>Tabela3[[#This Row],[Ativos]]*Tabela3[[#This Row],[Lucro Prev]]</f>
        <v>42.228293166198476</v>
      </c>
      <c r="T3" s="17">
        <f>SUMPRODUCT(N(Tabela1[Código]=Tabela3[[#This Row],[PAPEL]]),Tabela1[Fechamento])</f>
        <v>0.51</v>
      </c>
      <c r="U3" s="17">
        <f>SUMPRODUCT(N(Tabela17[Código]=Tabela3[[#This Row],[PAPEL]]),Tabela17[Fechamento])</f>
        <v>0</v>
      </c>
      <c r="X3" s="5"/>
    </row>
    <row r="4" spans="1:24" x14ac:dyDescent="0.2">
      <c r="A4" s="4" t="s">
        <v>12</v>
      </c>
      <c r="B4" s="69" t="s">
        <v>1</v>
      </c>
      <c r="C4" s="16">
        <v>3</v>
      </c>
      <c r="D4" s="6">
        <v>2577741000</v>
      </c>
      <c r="E4" s="6">
        <v>271448000</v>
      </c>
      <c r="F4" s="6">
        <f>GETPIVOTDATA("Average of Lucro Líquido",'Tabela LL'!$A$3,"Ativo",Tabela3[[#This Row],[PAPEL]])/4*Tabela3[[#This Row],[Ref]]</f>
        <v>767237398.54124999</v>
      </c>
      <c r="G4" s="8">
        <v>167343887</v>
      </c>
      <c r="H4" s="15">
        <f>Tabela3[[#This Row],[Lucro Líquido]]/Tabela3[[#This Row],[Total Ações]]</f>
        <v>1.6220968979882724</v>
      </c>
      <c r="I4" s="19">
        <f>IF(GETPIVOTDATA("Payout",'Tabela LL'!$A$3,"Ativo",Tabela3[[#This Row],[PAPEL]])&gt;1,1,GETPIVOTDATA("Payout",'Tabela LL'!$A$3,"Ativo",Tabela3[[#This Row],[PAPEL]]))</f>
        <v>0.84225014371489515</v>
      </c>
      <c r="J4" s="6">
        <f>Tabela3[Patrimônio Líquido]/Tabela3[Total Ações]</f>
        <v>15.403855176377013</v>
      </c>
      <c r="K4" s="11">
        <f>MAX(Tabela3[[#This Row],[Cotação 1]],Tabela3[[#This Row],[Cotação 2]])</f>
        <v>9.15</v>
      </c>
      <c r="L4" s="9">
        <f>Tabela3[Cotação]/Tabela3[VPA]</f>
        <v>0.59400714270751021</v>
      </c>
      <c r="M4" s="38">
        <f>IF(Tabela3[[#This Row],[Lucro/Ação]]&gt;0,Tabela3[[#This Row],[Cotação]]/Tabela3[[#This Row],[Lucro/Ação]],0)</f>
        <v>5.6408467406280396</v>
      </c>
      <c r="N4" s="15">
        <f>Tabela3[[#This Row],[Lucro/Ação]]*Tabela3[[#This Row],[Payout]]</f>
        <v>1.3662113454501081</v>
      </c>
      <c r="O4" s="14" t="str">
        <f>IF(AND(Tabela3[% A.A.]&gt;=10%,Tabela3[PVPA]&lt;=2,Tabela3[PL]&lt;=15,Tabela3[PL]&gt;0),"Sim","Não")</f>
        <v>Sim</v>
      </c>
      <c r="P4" s="19">
        <f>Tabela3[[#This Row],[Lucro Prev]]/Tabela3[[#This Row],[Cotação]]</f>
        <v>0.14931271534973858</v>
      </c>
      <c r="Q4" s="19">
        <f>((1+Tabela3[[#This Row],[% Yield]])^(1/(3*Tabela3[[#This Row],[Ref]])))^(12)-1</f>
        <v>0.20388300052622488</v>
      </c>
      <c r="R4" s="10">
        <f>($X$1/Tabela3[[#This Row],[Cotação]]-MOD($X$1/Tabela3[[#This Row],[Cotação]],100))</f>
        <v>0</v>
      </c>
      <c r="S4" s="5">
        <f>Tabela3[[#This Row],[Ativos]]*Tabela3[[#This Row],[Lucro Prev]]</f>
        <v>0</v>
      </c>
      <c r="T4" s="5">
        <f>SUMPRODUCT(N(Tabela1[Código]=Tabela3[[#This Row],[PAPEL]]),Tabela1[Fechamento])</f>
        <v>9.15</v>
      </c>
      <c r="U4" s="5">
        <f>SUMPRODUCT(N(Tabela17[Código]=Tabela3[[#This Row],[PAPEL]]),Tabela17[Fechamento])</f>
        <v>0</v>
      </c>
    </row>
    <row r="5" spans="1:24" x14ac:dyDescent="0.2">
      <c r="A5" s="4" t="s">
        <v>12</v>
      </c>
      <c r="B5" s="69" t="s">
        <v>73</v>
      </c>
      <c r="C5" s="15">
        <v>3</v>
      </c>
      <c r="D5" s="6">
        <v>10479149000</v>
      </c>
      <c r="E5" s="6">
        <v>795212000</v>
      </c>
      <c r="F5" s="6">
        <f>GETPIVOTDATA("Average of Lucro Líquido",'Tabela LL'!$A$3,"Ativo",Tabela3[[#This Row],[PAPEL]])/4*Tabela3[[#This Row],[Ref]]</f>
        <v>87401250</v>
      </c>
      <c r="G5" s="41">
        <v>327502673</v>
      </c>
      <c r="H5" s="15">
        <f>Tabela3[[#This Row],[Lucro Líquido]]/Tabela3[[#This Row],[Total Ações]]</f>
        <v>2.4281084264616064</v>
      </c>
      <c r="I5" s="19">
        <f>IF(GETPIVOTDATA("Payout",'Tabela LL'!$A$3,"Ativo",Tabela3[[#This Row],[PAPEL]])&gt;1,1,GETPIVOTDATA("Payout",'Tabela LL'!$A$3,"Ativo",Tabela3[[#This Row],[PAPEL]]))</f>
        <v>1</v>
      </c>
      <c r="J5" s="6">
        <f>Tabela3[Patrimônio Líquido]/Tabela3[Total Ações]</f>
        <v>31.99714037143141</v>
      </c>
      <c r="K5" s="51">
        <f>MAX(Tabela3[[#This Row],[Cotação 1]],Tabela3[[#This Row],[Cotação 2]])</f>
        <v>19.399999999999999</v>
      </c>
      <c r="L5" s="47">
        <f>Tabela3[Cotação]/Tabela3[VPA]</f>
        <v>0.60630418139869946</v>
      </c>
      <c r="M5" s="43">
        <f>IF(Tabela3[[#This Row],[Lucro/Ação]]&gt;0,Tabela3[[#This Row],[Cotação]]/Tabela3[[#This Row],[Lucro/Ação]],0)</f>
        <v>7.9897585250222569</v>
      </c>
      <c r="N5" s="15">
        <f>Tabela3[[#This Row],[Lucro/Ação]]*Tabela3[[#This Row],[Payout]]</f>
        <v>2.4281084264616064</v>
      </c>
      <c r="O5" s="14" t="str">
        <f>IF(AND(Tabela3[% A.A.]&gt;=10%,Tabela3[PVPA]&lt;=2,Tabela3[PL]&lt;=15,Tabela3[PL]&gt;0),"Sim","Não")</f>
        <v>Sim</v>
      </c>
      <c r="P5" s="45">
        <f>Tabela3[[#This Row],[Lucro Prev]]/Tabela3[[#This Row],[Cotação]]</f>
        <v>0.12516022816812405</v>
      </c>
      <c r="Q5" s="19">
        <f>((1+Tabela3[[#This Row],[% Yield]])^(1/(3*Tabela3[[#This Row],[Ref]])))^(12)-1</f>
        <v>0.17026934775448987</v>
      </c>
      <c r="R5" s="14">
        <f>($X$1/Tabela3[[#This Row],[Cotação]]-MOD($X$1/Tabela3[[#This Row],[Cotação]],100))</f>
        <v>0</v>
      </c>
      <c r="S5" s="17">
        <f>Tabela3[[#This Row],[Ativos]]*Tabela3[[#This Row],[Lucro Prev]]</f>
        <v>0</v>
      </c>
      <c r="T5" s="5">
        <f>SUMPRODUCT(N(Tabela1[Código]=Tabela3[[#This Row],[PAPEL]]),Tabela1[Fechamento])</f>
        <v>19.399999999999999</v>
      </c>
      <c r="U5" s="5">
        <f>SUMPRODUCT(N(Tabela17[Código]=Tabela3[[#This Row],[PAPEL]]),Tabela17[Fechamento])</f>
        <v>0</v>
      </c>
    </row>
    <row r="6" spans="1:24" x14ac:dyDescent="0.2">
      <c r="A6" s="25" t="s">
        <v>12</v>
      </c>
      <c r="B6" s="69" t="s">
        <v>30</v>
      </c>
      <c r="C6" s="15">
        <v>3</v>
      </c>
      <c r="D6" s="30">
        <v>13197926000</v>
      </c>
      <c r="E6" s="30">
        <v>2271426000</v>
      </c>
      <c r="F6" s="30">
        <f>GETPIVOTDATA("Average of Lucro Líquido",'Tabela LL'!$A$3,"Ativo",Tabela3[[#This Row],[PAPEL]])/4*Tabela3[[#This Row],[Ref]]</f>
        <v>2026221375</v>
      </c>
      <c r="G6" s="28">
        <v>962672385</v>
      </c>
      <c r="H6" s="27">
        <f>Tabela3[[#This Row],[Lucro Líquido]]/Tabela3[[#This Row],[Total Ações]]</f>
        <v>2.3595005272743959</v>
      </c>
      <c r="I6" s="19">
        <f>IF(GETPIVOTDATA("Payout",'Tabela LL'!$A$3,"Ativo",Tabela3[[#This Row],[PAPEL]])&gt;1,1,GETPIVOTDATA("Payout",'Tabela LL'!$A$3,"Ativo",Tabela3[[#This Row],[PAPEL]]))</f>
        <v>0.65026428573600636</v>
      </c>
      <c r="J6" s="30">
        <f>Tabela3[Patrimônio Líquido]/Tabela3[Total Ações]</f>
        <v>13.709675488406162</v>
      </c>
      <c r="K6" s="31">
        <f>MAX(Tabela3[[#This Row],[Cotação 1]],Tabela3[[#This Row],[Cotação 2]])</f>
        <v>13.3</v>
      </c>
      <c r="L6" s="32">
        <f>Tabela3[Cotação]/Tabela3[VPA]</f>
        <v>0.970117783695711</v>
      </c>
      <c r="M6" s="37">
        <f>IF(Tabela3[[#This Row],[Lucro/Ação]]&gt;0,Tabela3[[#This Row],[Cotação]]/Tabela3[[#This Row],[Lucro/Ação]],0)</f>
        <v>5.6367861953239942</v>
      </c>
      <c r="N6" s="15">
        <f>Tabela3[[#This Row],[Lucro/Ação]]*Tabela3[[#This Row],[Payout]]</f>
        <v>1.5342989250618155</v>
      </c>
      <c r="O6" s="26" t="str">
        <f>IF(AND(Tabela3[% A.A.]&gt;=10%,Tabela3[PVPA]&lt;=2,Tabela3[PL]&lt;=15,Tabela3[PL]&gt;0),"Sim","Não")</f>
        <v>Sim</v>
      </c>
      <c r="P6" s="29">
        <f>Tabela3[[#This Row],[Lucro Prev]]/Tabela3[[#This Row],[Cotação]]</f>
        <v>0.11536082143321921</v>
      </c>
      <c r="Q6" s="53">
        <f>((1+Tabela3[[#This Row],[% Yield]])^(1/(3*Tabela3[[#This Row],[Ref]])))^(12)-1</f>
        <v>0.15669940891085532</v>
      </c>
      <c r="R6" s="10">
        <f>($X$1/Tabela3[[#This Row],[Cotação]]-MOD($X$1/Tabela3[[#This Row],[Cotação]],100))</f>
        <v>0</v>
      </c>
      <c r="S6" s="7">
        <f>Tabela3[[#This Row],[Ativos]]*Tabela3[[#This Row],[Lucro Prev]]</f>
        <v>0</v>
      </c>
      <c r="T6" s="5">
        <f>SUMPRODUCT(N(Tabela1[Código]=Tabela3[[#This Row],[PAPEL]]),Tabela1[Fechamento])</f>
        <v>13.3</v>
      </c>
      <c r="U6" s="5">
        <f>SUMPRODUCT(N(Tabela17[Código]=Tabela3[[#This Row],[PAPEL]]),Tabela17[Fechamento])</f>
        <v>0</v>
      </c>
    </row>
    <row r="7" spans="1:24" x14ac:dyDescent="0.2">
      <c r="A7" s="4" t="s">
        <v>12</v>
      </c>
      <c r="B7" s="14" t="s">
        <v>92</v>
      </c>
      <c r="C7" s="15">
        <v>3</v>
      </c>
      <c r="D7" s="6">
        <v>10479149000</v>
      </c>
      <c r="E7" s="6">
        <v>795212000</v>
      </c>
      <c r="F7" s="6">
        <f>GETPIVOTDATA("Average of Lucro Líquido",'Tabela LL'!$A$3,"Ativo",Tabela3[[#This Row],[PAPEL]])/4*Tabela3[[#This Row],[Ref]]</f>
        <v>87401250</v>
      </c>
      <c r="G7" s="41">
        <v>327502673</v>
      </c>
      <c r="H7" s="15">
        <f>Tabela3[[#This Row],[Lucro Líquido]]/Tabela3[[#This Row],[Total Ações]]</f>
        <v>2.4281084264616064</v>
      </c>
      <c r="I7" s="19">
        <f>IF(GETPIVOTDATA("Payout",'Tabela LL'!$A$3,"Ativo",Tabela3[[#This Row],[PAPEL]])&gt;1,1,GETPIVOTDATA("Payout",'Tabela LL'!$A$3,"Ativo",Tabela3[[#This Row],[PAPEL]]))</f>
        <v>1</v>
      </c>
      <c r="J7" s="6">
        <f>Tabela3[Patrimônio Líquido]/Tabela3[Total Ações]</f>
        <v>31.99714037143141</v>
      </c>
      <c r="K7" s="51">
        <f>MAX(Tabela3[[#This Row],[Cotação 1]],Tabela3[[#This Row],[Cotação 2]])</f>
        <v>21.47</v>
      </c>
      <c r="L7" s="47">
        <f>Tabela3[Cotação]/Tabela3[VPA]</f>
        <v>0.67099746260979776</v>
      </c>
      <c r="M7" s="43">
        <f>IF(Tabela3[[#This Row],[Lucro/Ação]]&gt;0,Tabela3[[#This Row],[Cotação]]/Tabela3[[#This Row],[Lucro/Ação]],0)</f>
        <v>8.8422739965065915</v>
      </c>
      <c r="N7" s="15">
        <f>Tabela3[[#This Row],[Lucro/Ação]]*Tabela3[[#This Row],[Payout]]</f>
        <v>2.4281084264616064</v>
      </c>
      <c r="O7" s="15" t="str">
        <f>IF(AND(Tabela3[% A.A.]&gt;=10%,Tabela3[PVPA]&lt;=2,Tabela3[PL]&lt;=15,Tabela3[PL]&gt;0),"Sim","Não")</f>
        <v>Sim</v>
      </c>
      <c r="P7" s="45">
        <f>Tabela3[[#This Row],[Lucro Prev]]/Tabela3[[#This Row],[Cotação]]</f>
        <v>0.11309307994697748</v>
      </c>
      <c r="Q7" s="19">
        <f>((1+Tabela3[[#This Row],[% Yield]])^(1/(3*Tabela3[[#This Row],[Ref]])))^(12)-1</f>
        <v>0.15356475100907874</v>
      </c>
      <c r="R7" s="14">
        <f>($X$1/Tabela3[[#This Row],[Cotação]]-MOD($X$1/Tabela3[[#This Row],[Cotação]],100))</f>
        <v>0</v>
      </c>
      <c r="S7" s="17">
        <f>Tabela3[[#This Row],[Ativos]]*Tabela3[[#This Row],[Lucro Prev]]</f>
        <v>0</v>
      </c>
      <c r="T7" s="5">
        <f>SUMPRODUCT(N(Tabela1[Código]=Tabela3[[#This Row],[PAPEL]]),Tabela1[Fechamento])</f>
        <v>21.47</v>
      </c>
      <c r="U7" s="5">
        <f>SUMPRODUCT(N(Tabela17[Código]=Tabela3[[#This Row],[PAPEL]]),Tabela17[Fechamento])</f>
        <v>0</v>
      </c>
    </row>
    <row r="8" spans="1:24" hidden="1" x14ac:dyDescent="0.2">
      <c r="A8" s="25" t="s">
        <v>12</v>
      </c>
      <c r="B8" s="15" t="s">
        <v>29</v>
      </c>
      <c r="C8" s="16">
        <v>3</v>
      </c>
      <c r="D8" s="30">
        <v>1813045000</v>
      </c>
      <c r="E8" s="30">
        <v>650993000</v>
      </c>
      <c r="F8" s="30">
        <f>GETPIVOTDATA("Average of Lucro Líquido",'Tabela LL'!$A$3,"Ativo",Tabela3[[#This Row],[PAPEL]])/4*Tabela3[[#This Row],[Ref]]</f>
        <v>611944058.85562491</v>
      </c>
      <c r="G8" s="28">
        <v>381253493</v>
      </c>
      <c r="H8" s="27">
        <f>Tabela3[[#This Row],[Lucro Líquido]]/Tabela3[[#This Row],[Total Ações]]</f>
        <v>1.7075069788278634</v>
      </c>
      <c r="I8" s="52">
        <f>IF(GETPIVOTDATA("Payout",'Tabela LL'!$A$3,"Ativo",Tabela3[[#This Row],[PAPEL]])&gt;1,1,GETPIVOTDATA("Payout",'Tabela LL'!$A$3,"Ativo",Tabela3[[#This Row],[PAPEL]]))</f>
        <v>1</v>
      </c>
      <c r="J8" s="30">
        <f>Tabela3[Patrimônio Líquido]/Tabela3[Total Ações]</f>
        <v>4.7554842992612265</v>
      </c>
      <c r="K8" s="31">
        <f>MAX(Tabela3[[#This Row],[Cotação 1]],Tabela3[[#This Row],[Cotação 2]])</f>
        <v>17.239999999999998</v>
      </c>
      <c r="L8" s="32">
        <f>Tabela3[Cotação]/Tabela3[VPA]</f>
        <v>3.6252879654503887</v>
      </c>
      <c r="M8" s="37">
        <f>IF(Tabela3[[#This Row],[Lucro/Ação]]&gt;0,Tabela3[[#This Row],[Cotação]]/Tabela3[[#This Row],[Lucro/Ação]],0)</f>
        <v>10.096591237263688</v>
      </c>
      <c r="N8" s="6">
        <f>Tabela3[[#This Row],[Lucro/Ação]]*Tabela3[[#This Row],[Payout]]</f>
        <v>1.7075069788278634</v>
      </c>
      <c r="O8" s="26" t="str">
        <f>IF(AND(Tabela3[% A.A.]&gt;=10%,Tabela3[PVPA]&lt;=2,Tabela3[PL]&lt;=15,Tabela3[PL]&gt;0),"Sim","Não")</f>
        <v>Não</v>
      </c>
      <c r="P8" s="29">
        <f>Tabela3[[#This Row],[Lucro Prev]]/Tabela3[[#This Row],[Cotação]]</f>
        <v>9.904332823827515E-2</v>
      </c>
      <c r="Q8" s="53">
        <f>((1+Tabela3[[#This Row],[% Yield]])^(1/(3*Tabela3[[#This Row],[Ref]])))^(12)-1</f>
        <v>0.1341915802515159</v>
      </c>
      <c r="R8" s="10">
        <f>($X$1/Tabela3[[#This Row],[Cotação]]-MOD($X$1/Tabela3[[#This Row],[Cotação]],100))</f>
        <v>0</v>
      </c>
      <c r="S8" s="7">
        <f>Tabela3[[#This Row],[Ativos]]*Tabela3[[#This Row],[Lucro Prev]]</f>
        <v>0</v>
      </c>
      <c r="T8" s="5">
        <f>SUMPRODUCT(N(Tabela1[Código]=Tabela3[[#This Row],[PAPEL]]),Tabela1[Fechamento])</f>
        <v>17.239999999999998</v>
      </c>
      <c r="U8" s="5">
        <f>SUMPRODUCT(N(Tabela17[Código]=Tabela3[[#This Row],[PAPEL]]),Tabela17[Fechamento])</f>
        <v>0</v>
      </c>
    </row>
    <row r="9" spans="1:24" x14ac:dyDescent="0.2">
      <c r="A9" s="4" t="s">
        <v>426</v>
      </c>
      <c r="B9" s="69" t="s">
        <v>425</v>
      </c>
      <c r="C9" s="15">
        <v>3</v>
      </c>
      <c r="D9" s="5">
        <v>162348000</v>
      </c>
      <c r="E9" s="5">
        <v>18569000</v>
      </c>
      <c r="F9" s="5">
        <f>GETPIVOTDATA("Average of Lucro Líquido",'Tabela LL'!$A$3,"Ativo",Tabela3[[#This Row],[PAPEL]])/4*Tabela3[[#This Row],[Ref]]</f>
        <v>12440250</v>
      </c>
      <c r="G9" s="21">
        <v>11759999</v>
      </c>
      <c r="H9" s="15">
        <f>Tabela3[[#This Row],[Lucro Líquido]]/Tabela3[[#This Row],[Total Ações]]</f>
        <v>1.5789967329078856</v>
      </c>
      <c r="I9" s="19">
        <f>IF(GETPIVOTDATA("Payout",'Tabela LL'!$A$3,"Ativo",Tabela3[[#This Row],[PAPEL]])&gt;1,1,GETPIVOTDATA("Payout",'Tabela LL'!$A$3,"Ativo",Tabela3[[#This Row],[PAPEL]]))</f>
        <v>0.3971899422750666</v>
      </c>
      <c r="J9" s="6">
        <f>Tabela3[Patrimônio Líquido]/Tabela3[Total Ações]</f>
        <v>13.805103214719662</v>
      </c>
      <c r="K9" s="51">
        <f>MAX(Tabela3[[#This Row],[Cotação 1]],Tabela3[[#This Row],[Cotação 2]])</f>
        <v>6.58</v>
      </c>
      <c r="L9" s="47">
        <f>Tabela3[Cotação]/Tabela3[VPA]</f>
        <v>0.47663533532904623</v>
      </c>
      <c r="M9" s="43">
        <f>IF(Tabela3[[#This Row],[Lucro/Ação]]&gt;0,Tabela3[[#This Row],[Cotação]]/Tabela3[[#This Row],[Lucro/Ação]],0)</f>
        <v>4.1672030491679681</v>
      </c>
      <c r="N9" s="15">
        <f>Tabela3[[#This Row],[Lucro/Ação]]*Tabela3[[#This Row],[Payout]]</f>
        <v>0.62716162119620178</v>
      </c>
      <c r="O9" s="15" t="str">
        <f>IF(AND(Tabela3[% A.A.]&gt;=10%,Tabela3[PVPA]&lt;=2,Tabela3[PL]&lt;=15,Tabela3[PL]&gt;0),"Sim","Não")</f>
        <v>Sim</v>
      </c>
      <c r="P9" s="45">
        <f>Tabela3[[#This Row],[Lucro Prev]]/Tabela3[[#This Row],[Cotação]]</f>
        <v>9.5313316291216074E-2</v>
      </c>
      <c r="Q9" s="19">
        <f>((1+Tabela3[[#This Row],[% Yield]])^(1/(3*Tabela3[[#This Row],[Ref]])))^(12)-1</f>
        <v>0.12906208476019976</v>
      </c>
      <c r="R9" s="14">
        <f>($X$1/Tabela3[[#This Row],[Cotação]]-MOD($X$1/Tabela3[[#This Row],[Cotação]],100))</f>
        <v>0</v>
      </c>
      <c r="S9" s="17">
        <f>Tabela3[[#This Row],[Ativos]]*Tabela3[[#This Row],[Lucro Prev]]</f>
        <v>0</v>
      </c>
      <c r="T9" s="13">
        <f>SUMPRODUCT(N(Tabela1[Código]=Tabela3[[#This Row],[PAPEL]]),Tabela1[Fechamento])</f>
        <v>0</v>
      </c>
      <c r="U9" s="60">
        <f>SUMPRODUCT(N(Tabela17[Código]=Tabela3[[#This Row],[PAPEL]]),Tabela17[Fechamento])</f>
        <v>6.58</v>
      </c>
    </row>
    <row r="10" spans="1:24" x14ac:dyDescent="0.2">
      <c r="A10" s="4" t="s">
        <v>12</v>
      </c>
      <c r="B10" s="14" t="s">
        <v>28</v>
      </c>
      <c r="C10" s="15">
        <v>3</v>
      </c>
      <c r="D10" s="6">
        <v>6277330000</v>
      </c>
      <c r="E10" s="6">
        <v>451384000</v>
      </c>
      <c r="F10" s="6">
        <f>GETPIVOTDATA("Average of Lucro Líquido",'Tabela LL'!$A$3,"Ativo",Tabela3[[#This Row],[PAPEL]])/4*Tabela3[[#This Row],[Ref]]</f>
        <v>397070251.63687503</v>
      </c>
      <c r="G10" s="41">
        <v>476415612</v>
      </c>
      <c r="H10" s="15">
        <f>Tabela3[[#This Row],[Lucro Líquido]]/Tabela3[[#This Row],[Total Ações]]</f>
        <v>0.94745845566454689</v>
      </c>
      <c r="I10" s="19">
        <f>IF(GETPIVOTDATA("Payout",'Tabela LL'!$A$3,"Ativo",Tabela3[[#This Row],[PAPEL]])&gt;1,1,GETPIVOTDATA("Payout",'Tabela LL'!$A$3,"Ativo",Tabela3[[#This Row],[PAPEL]]))</f>
        <v>1</v>
      </c>
      <c r="J10" s="6">
        <f>Tabela3[Patrimônio Líquido]/Tabela3[Total Ações]</f>
        <v>13.176163504902101</v>
      </c>
      <c r="K10" s="51">
        <f>MAX(Tabela3[[#This Row],[Cotação 1]],Tabela3[[#This Row],[Cotação 2]])</f>
        <v>10.25</v>
      </c>
      <c r="L10" s="47">
        <f>Tabela3[Cotação]/Tabela3[VPA]</f>
        <v>0.77791991547361705</v>
      </c>
      <c r="M10" s="43">
        <f>IF(Tabela3[[#This Row],[Lucro/Ação]]&gt;0,Tabela3[[#This Row],[Cotação]]/Tabela3[[#This Row],[Lucro/Ação]],0)</f>
        <v>10.818416299647307</v>
      </c>
      <c r="N10" s="15">
        <f>Tabela3[[#This Row],[Lucro/Ação]]*Tabela3[[#This Row],[Payout]]</f>
        <v>0.94745845566454689</v>
      </c>
      <c r="O10" s="15" t="str">
        <f>IF(AND(Tabela3[% A.A.]&gt;=10%,Tabela3[PVPA]&lt;=2,Tabela3[PL]&lt;=15,Tabela3[PL]&gt;0),"Sim","Não")</f>
        <v>Sim</v>
      </c>
      <c r="P10" s="45">
        <f>Tabela3[[#This Row],[Lucro Prev]]/Tabela3[[#This Row],[Cotação]]</f>
        <v>9.2434971284346037E-2</v>
      </c>
      <c r="Q10" s="19">
        <f>((1+Tabela3[[#This Row],[% Yield]])^(1/(3*Tabela3[[#This Row],[Ref]])))^(12)-1</f>
        <v>0.1251077750949634</v>
      </c>
      <c r="R10" s="14">
        <f>($X$1/Tabela3[[#This Row],[Cotação]]-MOD($X$1/Tabela3[[#This Row],[Cotação]],100))</f>
        <v>0</v>
      </c>
      <c r="S10" s="17">
        <f>Tabela3[[#This Row],[Ativos]]*Tabela3[[#This Row],[Lucro Prev]]</f>
        <v>0</v>
      </c>
      <c r="T10" s="5">
        <f>SUMPRODUCT(N(Tabela1[Código]=Tabela3[[#This Row],[PAPEL]]),Tabela1[Fechamento])</f>
        <v>10.25</v>
      </c>
      <c r="U10" s="5">
        <f>SUMPRODUCT(N(Tabela17[Código]=Tabela3[[#This Row],[PAPEL]]),Tabela17[Fechamento])</f>
        <v>0</v>
      </c>
    </row>
    <row r="11" spans="1:24" hidden="1" x14ac:dyDescent="0.2">
      <c r="A11" s="25" t="s">
        <v>12</v>
      </c>
      <c r="B11" s="15" t="s">
        <v>33</v>
      </c>
      <c r="C11" s="15">
        <v>3</v>
      </c>
      <c r="D11" s="30">
        <v>1813045000</v>
      </c>
      <c r="E11" s="30">
        <v>650993000</v>
      </c>
      <c r="F11" s="30">
        <f>GETPIVOTDATA("Average of Lucro Líquido",'Tabela LL'!$A$3,"Ativo",Tabela3[[#This Row],[PAPEL]])/4*Tabela3[[#This Row],[Ref]]</f>
        <v>611944058.85562491</v>
      </c>
      <c r="G11" s="28">
        <v>381253493</v>
      </c>
      <c r="H11" s="27">
        <f>Tabela3[[#This Row],[Lucro Líquido]]/Tabela3[[#This Row],[Total Ações]]</f>
        <v>1.7075069788278634</v>
      </c>
      <c r="I11" s="52">
        <f>IF(GETPIVOTDATA("Payout",'Tabela LL'!$A$3,"Ativo",Tabela3[[#This Row],[PAPEL]])&gt;1,1,GETPIVOTDATA("Payout",'Tabela LL'!$A$3,"Ativo",Tabela3[[#This Row],[PAPEL]]))</f>
        <v>1</v>
      </c>
      <c r="J11" s="30">
        <f>Tabela3[Patrimônio Líquido]/Tabela3[Total Ações]</f>
        <v>4.7554842992612265</v>
      </c>
      <c r="K11" s="31">
        <f>MAX(Tabela3[[#This Row],[Cotação 1]],Tabela3[[#This Row],[Cotação 2]])</f>
        <v>18.760000000000002</v>
      </c>
      <c r="L11" s="32">
        <f>Tabela3[Cotação]/Tabela3[VPA]</f>
        <v>3.9449189229610964</v>
      </c>
      <c r="M11" s="37">
        <f>IF(Tabela3[[#This Row],[Lucro/Ação]]&gt;0,Tabela3[[#This Row],[Cotação]]/Tabela3[[#This Row],[Lucro/Ação]],0)</f>
        <v>10.986777935676729</v>
      </c>
      <c r="N11" s="6">
        <f>Tabela3[[#This Row],[Lucro/Ação]]*Tabela3[[#This Row],[Payout]]</f>
        <v>1.7075069788278634</v>
      </c>
      <c r="O11" s="26" t="str">
        <f>IF(AND(Tabela3[% A.A.]&gt;=10%,Tabela3[PVPA]&lt;=2,Tabela3[PL]&lt;=15,Tabela3[PL]&gt;0),"Sim","Não")</f>
        <v>Não</v>
      </c>
      <c r="P11" s="29">
        <f>Tabela3[[#This Row],[Lucro Prev]]/Tabela3[[#This Row],[Cotação]]</f>
        <v>9.1018495673127045E-2</v>
      </c>
      <c r="Q11" s="53">
        <f>((1+Tabela3[[#This Row],[% Yield]])^(1/(3*Tabela3[[#This Row],[Ref]])))^(12)-1</f>
        <v>0.12316307569817142</v>
      </c>
      <c r="R11" s="10">
        <f>($X$1/Tabela3[[#This Row],[Cotação]]-MOD($X$1/Tabela3[[#This Row],[Cotação]],100))</f>
        <v>0</v>
      </c>
      <c r="S11" s="7">
        <f>Tabela3[[#This Row],[Ativos]]*Tabela3[[#This Row],[Lucro Prev]]</f>
        <v>0</v>
      </c>
      <c r="T11" s="5">
        <f>SUMPRODUCT(N(Tabela1[Código]=Tabela3[[#This Row],[PAPEL]]),Tabela1[Fechamento])</f>
        <v>18.760000000000002</v>
      </c>
      <c r="U11" s="5">
        <f>SUMPRODUCT(N(Tabela17[Código]=Tabela3[[#This Row],[PAPEL]]),Tabela17[Fechamento])</f>
        <v>0</v>
      </c>
    </row>
    <row r="12" spans="1:24" x14ac:dyDescent="0.2">
      <c r="A12" s="4" t="s">
        <v>12</v>
      </c>
      <c r="B12" s="46" t="s">
        <v>55</v>
      </c>
      <c r="C12" s="16">
        <v>3</v>
      </c>
      <c r="D12" s="6">
        <v>3392238000</v>
      </c>
      <c r="E12" s="6">
        <v>458325000</v>
      </c>
      <c r="F12" s="6">
        <f>GETPIVOTDATA("Average of Lucro Líquido",'Tabela LL'!$A$3,"Ativo",Tabela3[[#This Row],[PAPEL]])/4*Tabela3[[#This Row],[Ref]]</f>
        <v>327430114.60750002</v>
      </c>
      <c r="G12" s="41">
        <v>203934060</v>
      </c>
      <c r="H12" s="15">
        <f>Tabela3[[#This Row],[Lucro Líquido]]/Tabela3[[#This Row],[Total Ações]]</f>
        <v>2.2474176211663712</v>
      </c>
      <c r="I12" s="19">
        <f>IF(GETPIVOTDATA("Payout",'Tabela LL'!$A$3,"Ativo",Tabela3[[#This Row],[PAPEL]])&gt;1,1,GETPIVOTDATA("Payout",'Tabela LL'!$A$3,"Ativo",Tabela3[[#This Row],[PAPEL]]))</f>
        <v>0.79479552403967901</v>
      </c>
      <c r="J12" s="6">
        <f>Tabela3[Patrimônio Líquido]/Tabela3[Total Ações]</f>
        <v>16.633994341112025</v>
      </c>
      <c r="K12" s="42">
        <f>MAX(Tabela3[[#This Row],[Cotação 1]],Tabela3[[#This Row],[Cotação 2]])</f>
        <v>20.61</v>
      </c>
      <c r="L12" s="47">
        <f>Tabela3[Cotação]/Tabela3[VPA]</f>
        <v>1.2390289173695948</v>
      </c>
      <c r="M12" s="43">
        <f>IF(Tabela3[[#This Row],[Lucro/Ação]]&gt;0,Tabela3[[#This Row],[Cotação]]/Tabela3[[#This Row],[Lucro/Ação]],0)</f>
        <v>9.1705252312223848</v>
      </c>
      <c r="N12" s="15">
        <f>Tabela3[[#This Row],[Lucro/Ação]]*Tabela3[[#This Row],[Payout]]</f>
        <v>1.7862374659509348</v>
      </c>
      <c r="O12" s="14" t="str">
        <f>IF(AND(Tabela3[% A.A.]&gt;=10%,Tabela3[PVPA]&lt;=2,Tabela3[PL]&lt;=15,Tabela3[PL]&gt;0),"Sim","Não")</f>
        <v>Sim</v>
      </c>
      <c r="P12" s="44">
        <f>Tabela3[[#This Row],[Lucro Prev]]/Tabela3[[#This Row],[Cotação]]</f>
        <v>8.6668484519696012E-2</v>
      </c>
      <c r="Q12" s="19">
        <f>((1+Tabela3[[#This Row],[% Yield]])^(1/(3*Tabela3[[#This Row],[Ref]])))^(12)-1</f>
        <v>0.11719614680370172</v>
      </c>
      <c r="R12" s="14">
        <f>($X$1/Tabela3[[#This Row],[Cotação]]-MOD($X$1/Tabela3[[#This Row],[Cotação]],100))</f>
        <v>0</v>
      </c>
      <c r="S12" s="17">
        <f>Tabela3[[#This Row],[Ativos]]*Tabela3[[#This Row],[Lucro Prev]]</f>
        <v>0</v>
      </c>
      <c r="T12" s="5">
        <f>SUMPRODUCT(N(Tabela1[Código]=Tabela3[[#This Row],[PAPEL]]),Tabela1[Fechamento])</f>
        <v>20.61</v>
      </c>
      <c r="U12" s="5">
        <f>SUMPRODUCT(N(Tabela17[Código]=Tabela3[[#This Row],[PAPEL]]),Tabela17[Fechamento])</f>
        <v>0</v>
      </c>
    </row>
    <row r="13" spans="1:24" x14ac:dyDescent="0.2">
      <c r="A13" s="4" t="s">
        <v>37</v>
      </c>
      <c r="B13" s="14" t="s">
        <v>36</v>
      </c>
      <c r="C13" s="15">
        <v>3</v>
      </c>
      <c r="D13" s="6">
        <v>12509395000</v>
      </c>
      <c r="E13" s="6">
        <v>1332834000</v>
      </c>
      <c r="F13" s="6">
        <f>GETPIVOTDATA("Average of Lucro Líquido",'Tabela LL'!$A$3,"Ativo",Tabela3[[#This Row],[PAPEL]])/4*Tabela3[[#This Row],[Ref]]</f>
        <v>1191443192.355</v>
      </c>
      <c r="G13" s="41">
        <v>683509869</v>
      </c>
      <c r="H13" s="15">
        <f>Tabela3[[#This Row],[Lucro Líquido]]/Tabela3[[#This Row],[Total Ações]]</f>
        <v>1.9499850118477222</v>
      </c>
      <c r="I13" s="19">
        <f>IF(GETPIVOTDATA("Payout",'Tabela LL'!$A$3,"Ativo",Tabela3[[#This Row],[PAPEL]])&gt;1,1,GETPIVOTDATA("Payout",'Tabela LL'!$A$3,"Ativo",Tabela3[[#This Row],[PAPEL]]))</f>
        <v>1</v>
      </c>
      <c r="J13" s="6">
        <f>Tabela3[Patrimônio Líquido]/Tabela3[Total Ações]</f>
        <v>18.301703555943828</v>
      </c>
      <c r="K13" s="51">
        <f>MAX(Tabela3[[#This Row],[Cotação 1]],Tabela3[[#This Row],[Cotação 2]])</f>
        <v>23.46</v>
      </c>
      <c r="L13" s="47">
        <f>Tabela3[Cotação]/Tabela3[VPA]</f>
        <v>1.2818478852686321</v>
      </c>
      <c r="M13" s="43">
        <f>IF(Tabela3[[#This Row],[Lucro/Ação]]&gt;0,Tabela3[[#This Row],[Cotação]]/Tabela3[[#This Row],[Lucro/Ação]],0)</f>
        <v>12.030861702762685</v>
      </c>
      <c r="N13" s="15">
        <f>Tabela3[[#This Row],[Lucro/Ação]]*Tabela3[[#This Row],[Payout]]</f>
        <v>1.9499850118477222</v>
      </c>
      <c r="O13" s="15" t="str">
        <f>IF(AND(Tabela3[% A.A.]&gt;=10%,Tabela3[PVPA]&lt;=2,Tabela3[PL]&lt;=15,Tabela3[PL]&gt;0),"Sim","Não")</f>
        <v>Sim</v>
      </c>
      <c r="P13" s="45">
        <f>Tabela3[[#This Row],[Lucro Prev]]/Tabela3[[#This Row],[Cotação]]</f>
        <v>8.3119565722409305E-2</v>
      </c>
      <c r="Q13" s="19">
        <f>((1+Tabela3[[#This Row],[% Yield]])^(1/(3*Tabela3[[#This Row],[Ref]])))^(12)-1</f>
        <v>0.11233397244793975</v>
      </c>
      <c r="R13" s="14">
        <f>($X$1/Tabela3[[#This Row],[Cotação]]-MOD($X$1/Tabela3[[#This Row],[Cotação]],100))</f>
        <v>0</v>
      </c>
      <c r="S13" s="17">
        <f>Tabela3[[#This Row],[Ativos]]*Tabela3[[#This Row],[Lucro Prev]]</f>
        <v>0</v>
      </c>
      <c r="T13" s="5">
        <f>SUMPRODUCT(N(Tabela1[Código]=Tabela3[[#This Row],[PAPEL]]),Tabela1[Fechamento])</f>
        <v>23.46</v>
      </c>
      <c r="U13" s="5">
        <f>SUMPRODUCT(N(Tabela17[Código]=Tabela3[[#This Row],[PAPEL]]),Tabela17[Fechamento])</f>
        <v>0</v>
      </c>
    </row>
    <row r="14" spans="1:24" x14ac:dyDescent="0.2">
      <c r="A14" s="4" t="s">
        <v>12</v>
      </c>
      <c r="B14" s="14" t="s">
        <v>70</v>
      </c>
      <c r="C14" s="15">
        <v>3</v>
      </c>
      <c r="D14" s="6">
        <v>465994000</v>
      </c>
      <c r="E14" s="6">
        <v>17904000</v>
      </c>
      <c r="F14" s="6">
        <f>GETPIVOTDATA("Average of Lucro Líquido",'Tabela LL'!$A$3,"Ativo",Tabela3[[#This Row],[PAPEL]])/4*Tabela3[[#This Row],[Ref]]</f>
        <v>24873216.054375</v>
      </c>
      <c r="G14" s="41">
        <v>9183458</v>
      </c>
      <c r="H14" s="15">
        <f>Tabela3[[#This Row],[Lucro Líquido]]/Tabela3[[#This Row],[Total Ações]]</f>
        <v>1.9495924084369962</v>
      </c>
      <c r="I14" s="19">
        <f>IF(GETPIVOTDATA("Payout",'Tabela LL'!$A$3,"Ativo",Tabela3[[#This Row],[PAPEL]])&gt;1,1,GETPIVOTDATA("Payout",'Tabela LL'!$A$3,"Ativo",Tabela3[[#This Row],[PAPEL]]))</f>
        <v>0.7246803815404973</v>
      </c>
      <c r="J14" s="6">
        <f>Tabela3[Patrimônio Líquido]/Tabela3[Total Ações]</f>
        <v>50.742759426786726</v>
      </c>
      <c r="K14" s="51">
        <f>MAX(Tabela3[[#This Row],[Cotação 1]],Tabela3[[#This Row],[Cotação 2]])</f>
        <v>17.079999999999998</v>
      </c>
      <c r="L14" s="47">
        <f>Tabela3[Cotação]/Tabela3[VPA]</f>
        <v>0.33659974729288356</v>
      </c>
      <c r="M14" s="43">
        <f>IF(Tabela3[[#This Row],[Lucro/Ação]]&gt;0,Tabela3[[#This Row],[Cotação]]/Tabela3[[#This Row],[Lucro/Ação]],0)</f>
        <v>8.7608055540661294</v>
      </c>
      <c r="N14" s="15">
        <f>Tabela3[[#This Row],[Lucro/Ação]]*Tabela3[[#This Row],[Payout]]</f>
        <v>1.4128313703945794</v>
      </c>
      <c r="O14" s="14" t="str">
        <f>IF(AND(Tabela3[% A.A.]&gt;=10%,Tabela3[PVPA]&lt;=2,Tabela3[PL]&lt;=15,Tabela3[PL]&gt;0),"Sim","Não")</f>
        <v>Sim</v>
      </c>
      <c r="P14" s="45">
        <f>Tabela3[[#This Row],[Lucro Prev]]/Tabela3[[#This Row],[Cotação]]</f>
        <v>8.2718464308816131E-2</v>
      </c>
      <c r="Q14" s="19">
        <f>((1+Tabela3[[#This Row],[% Yield]])^(1/(3*Tabela3[[#This Row],[Ref]])))^(12)-1</f>
        <v>0.11178477953808552</v>
      </c>
      <c r="R14" s="14">
        <f>($X$1/Tabela3[[#This Row],[Cotação]]-MOD($X$1/Tabela3[[#This Row],[Cotação]],100))</f>
        <v>0</v>
      </c>
      <c r="S14" s="17">
        <f>Tabela3[[#This Row],[Ativos]]*Tabela3[[#This Row],[Lucro Prev]]</f>
        <v>0</v>
      </c>
      <c r="T14" s="5">
        <f>SUMPRODUCT(N(Tabela1[Código]=Tabela3[[#This Row],[PAPEL]]),Tabela1[Fechamento])</f>
        <v>17.079999999999998</v>
      </c>
      <c r="U14" s="5">
        <f>SUMPRODUCT(N(Tabela17[Código]=Tabela3[[#This Row],[PAPEL]]),Tabela17[Fechamento])</f>
        <v>0</v>
      </c>
    </row>
    <row r="15" spans="1:24" x14ac:dyDescent="0.2">
      <c r="A15" s="4" t="s">
        <v>14</v>
      </c>
      <c r="B15" s="14" t="s">
        <v>238</v>
      </c>
      <c r="C15" s="15">
        <v>3</v>
      </c>
      <c r="D15" s="6">
        <v>2513911000</v>
      </c>
      <c r="E15" s="6">
        <v>303723000</v>
      </c>
      <c r="F15" s="6">
        <f>GETPIVOTDATA("Average of Lucro Líquido",'Tabela LL'!$A$3,"Ativo",Tabela3[[#This Row],[PAPEL]])/4*Tabela3[[#This Row],[Ref]]</f>
        <v>299205942.14625001</v>
      </c>
      <c r="G15" s="41">
        <v>87001901</v>
      </c>
      <c r="H15" s="15">
        <f>Tabela3[[#This Row],[Lucro Líquido]]/Tabela3[[#This Row],[Total Ações]]</f>
        <v>3.4909926853207494</v>
      </c>
      <c r="I15" s="19">
        <f>IF(GETPIVOTDATA("Payout",'Tabela LL'!$A$3,"Ativo",Tabela3[[#This Row],[PAPEL]])&gt;1,1,GETPIVOTDATA("Payout",'Tabela LL'!$A$3,"Ativo",Tabela3[[#This Row],[PAPEL]]))</f>
        <v>0.55176083148968624</v>
      </c>
      <c r="J15" s="6">
        <f>Tabela3[Patrimônio Líquido]/Tabela3[Total Ações]</f>
        <v>28.894897365518485</v>
      </c>
      <c r="K15" s="51">
        <f>MAX(Tabela3[[#This Row],[Cotação 1]],Tabela3[[#This Row],[Cotação 2]])</f>
        <v>23.54</v>
      </c>
      <c r="L15" s="47">
        <f>Tabela3[Cotação]/Tabela3[VPA]</f>
        <v>0.81467671271576436</v>
      </c>
      <c r="M15" s="43">
        <f>IF(Tabela3[[#This Row],[Lucro/Ação]]&gt;0,Tabela3[[#This Row],[Cotação]]/Tabela3[[#This Row],[Lucro/Ação]],0)</f>
        <v>6.7430676950379125</v>
      </c>
      <c r="N15" s="15">
        <f>Tabela3[[#This Row],[Lucro/Ação]]*Tabela3[[#This Row],[Payout]]</f>
        <v>1.9261930267769893</v>
      </c>
      <c r="O15" s="15" t="str">
        <f>IF(AND(Tabela3[% A.A.]&gt;=10%,Tabela3[PVPA]&lt;=2,Tabela3[PL]&lt;=15,Tabela3[PL]&gt;0),"Sim","Não")</f>
        <v>Sim</v>
      </c>
      <c r="P15" s="45">
        <f>Tabela3[[#This Row],[Lucro Prev]]/Tabela3[[#This Row],[Cotação]]</f>
        <v>8.1826381766227252E-2</v>
      </c>
      <c r="Q15" s="19">
        <f>((1+Tabela3[[#This Row],[% Yield]])^(1/(3*Tabela3[[#This Row],[Ref]])))^(12)-1</f>
        <v>0.1105635724809817</v>
      </c>
      <c r="R15" s="14">
        <f>($X$1/Tabela3[[#This Row],[Cotação]]-MOD($X$1/Tabela3[[#This Row],[Cotação]],100))</f>
        <v>0</v>
      </c>
      <c r="S15" s="17">
        <f>Tabela3[[#This Row],[Ativos]]*Tabela3[[#This Row],[Lucro Prev]]</f>
        <v>0</v>
      </c>
      <c r="T15" s="5">
        <f>SUMPRODUCT(N(Tabela1[Código]=Tabela3[[#This Row],[PAPEL]]),Tabela1[Fechamento])</f>
        <v>23.54</v>
      </c>
      <c r="U15" s="5">
        <f>SUMPRODUCT(N(Tabela17[Código]=Tabela3[[#This Row],[PAPEL]]),Tabela17[Fechamento])</f>
        <v>0</v>
      </c>
    </row>
    <row r="16" spans="1:24" x14ac:dyDescent="0.2">
      <c r="A16" s="4" t="s">
        <v>14</v>
      </c>
      <c r="B16" s="14" t="s">
        <v>76</v>
      </c>
      <c r="C16" s="15">
        <v>3</v>
      </c>
      <c r="D16" s="6">
        <v>1277111000</v>
      </c>
      <c r="E16" s="6">
        <v>116149000</v>
      </c>
      <c r="F16" s="6">
        <f>GETPIVOTDATA("Average of Lucro Líquido",'Tabela LL'!$A$3,"Ativo",Tabela3[[#This Row],[PAPEL]])/4*Tabela3[[#This Row],[Ref]]</f>
        <v>103557635.25749999</v>
      </c>
      <c r="G16" s="41">
        <v>110842313</v>
      </c>
      <c r="H16" s="15">
        <f>Tabela3[[#This Row],[Lucro Líquido]]/Tabela3[[#This Row],[Total Ações]]</f>
        <v>1.0478760038145361</v>
      </c>
      <c r="I16" s="19">
        <f>IF(GETPIVOTDATA("Payout",'Tabela LL'!$A$3,"Ativo",Tabela3[[#This Row],[PAPEL]])&gt;1,1,GETPIVOTDATA("Payout",'Tabela LL'!$A$3,"Ativo",Tabela3[[#This Row],[PAPEL]]))</f>
        <v>0.66880124529726692</v>
      </c>
      <c r="J16" s="6">
        <f>Tabela3[Patrimônio Líquido]/Tabela3[Total Ações]</f>
        <v>11.521872518124013</v>
      </c>
      <c r="K16" s="51">
        <f>MAX(Tabela3[[#This Row],[Cotação 1]],Tabela3[[#This Row],[Cotação 2]])</f>
        <v>8.6999999999999993</v>
      </c>
      <c r="L16" s="47">
        <f>Tabela3[Cotação]/Tabela3[VPA]</f>
        <v>0.75508559796290209</v>
      </c>
      <c r="M16" s="43">
        <f>IF(Tabela3[[#This Row],[Lucro/Ação]]&gt;0,Tabela3[[#This Row],[Cotação]]/Tabela3[[#This Row],[Lucro/Ação]],0)</f>
        <v>8.3025090452780468</v>
      </c>
      <c r="N16" s="15">
        <f>Tabela3[[#This Row],[Lucro/Ação]]*Tabela3[[#This Row],[Payout]]</f>
        <v>0.70082077626828532</v>
      </c>
      <c r="O16" s="15" t="str">
        <f>IF(AND(Tabela3[% A.A.]&gt;=10%,Tabela3[PVPA]&lt;=2,Tabela3[PL]&lt;=15,Tabela3[PL]&gt;0),"Sim","Não")</f>
        <v>Sim</v>
      </c>
      <c r="P16" s="45">
        <f>Tabela3[[#This Row],[Lucro Prev]]/Tabela3[[#This Row],[Cotação]]</f>
        <v>8.0554112214745441E-2</v>
      </c>
      <c r="Q16" s="19">
        <f>((1+Tabela3[[#This Row],[% Yield]])^(1/(3*Tabela3[[#This Row],[Ref]])))^(12)-1</f>
        <v>0.10882249310500836</v>
      </c>
      <c r="R16" s="14">
        <f>($X$1/Tabela3[[#This Row],[Cotação]]-MOD($X$1/Tabela3[[#This Row],[Cotação]],100))</f>
        <v>0</v>
      </c>
      <c r="S16" s="17">
        <f>Tabela3[[#This Row],[Ativos]]*Tabela3[[#This Row],[Lucro Prev]]</f>
        <v>0</v>
      </c>
      <c r="T16" s="5">
        <f>SUMPRODUCT(N(Tabela1[Código]=Tabela3[[#This Row],[PAPEL]]),Tabela1[Fechamento])</f>
        <v>8.6999999999999993</v>
      </c>
      <c r="U16" s="5">
        <f>SUMPRODUCT(N(Tabela17[Código]=Tabela3[[#This Row],[PAPEL]]),Tabela17[Fechamento])</f>
        <v>0</v>
      </c>
    </row>
    <row r="17" spans="1:21" x14ac:dyDescent="0.2">
      <c r="A17" s="4" t="s">
        <v>12</v>
      </c>
      <c r="B17" s="69" t="s">
        <v>190</v>
      </c>
      <c r="C17" s="15">
        <v>3</v>
      </c>
      <c r="D17" s="6">
        <v>20809000</v>
      </c>
      <c r="E17" s="6">
        <v>1860000</v>
      </c>
      <c r="F17" s="6">
        <f>GETPIVOTDATA("Average of Lucro Líquido",'Tabela LL'!$A$3,"Ativo",Tabela3[[#This Row],[PAPEL]])/4*Tabela3[[#This Row],[Ref]]</f>
        <v>1871869.9031250002</v>
      </c>
      <c r="G17" s="41">
        <v>166355563</v>
      </c>
      <c r="H17" s="6">
        <f>Tabela3[[#This Row],[Lucro Líquido]]/Tabela3[[#This Row],[Total Ações]]</f>
        <v>1.1180870458777505E-2</v>
      </c>
      <c r="I17" s="19">
        <f>IF(GETPIVOTDATA("Payout",'Tabela LL'!$A$3,"Ativo",Tabela3[[#This Row],[PAPEL]])&gt;1,1,GETPIVOTDATA("Payout",'Tabela LL'!$A$3,"Ativo",Tabela3[[#This Row],[PAPEL]]))</f>
        <v>0.8237247935120684</v>
      </c>
      <c r="J17" s="6">
        <f>Tabela3[Patrimônio Líquido]/Tabela3[Total Ações]</f>
        <v>0.12508749106274253</v>
      </c>
      <c r="K17" s="51">
        <f>MAX(Tabela3[[#This Row],[Cotação 1]],Tabela3[[#This Row],[Cotação 2]])</f>
        <v>0.12</v>
      </c>
      <c r="L17" s="47">
        <f>Tabela3[Cotação]/Tabela3[VPA]</f>
        <v>0.95932853861309997</v>
      </c>
      <c r="M17" s="43">
        <f>IF(Tabela3[[#This Row],[Lucro/Ação]]&gt;0,Tabela3[[#This Row],[Cotação]]/Tabela3[[#This Row],[Lucro/Ação]],0)</f>
        <v>10.732616967741935</v>
      </c>
      <c r="N17" s="15">
        <f>Tabela3[[#This Row],[Lucro/Ação]]*Tabela3[[#This Row],[Payout]]</f>
        <v>9.2099602099416852E-3</v>
      </c>
      <c r="O17" s="15" t="str">
        <f>IF(AND(Tabela3[% A.A.]&gt;=10%,Tabela3[PVPA]&lt;=2,Tabela3[PL]&lt;=15,Tabela3[PL]&gt;0),"Sim","Não")</f>
        <v>Sim</v>
      </c>
      <c r="P17" s="45">
        <f>Tabela3[[#This Row],[Lucro Prev]]/Tabela3[[#This Row],[Cotação]]</f>
        <v>7.6749668416180708E-2</v>
      </c>
      <c r="Q17" s="19">
        <f>((1+Tabela3[[#This Row],[% Yield]])^(1/(3*Tabela3[[#This Row],[Ref]])))^(12)-1</f>
        <v>0.10362025416309639</v>
      </c>
      <c r="R17" s="14">
        <f>($X$1/Tabela3[[#This Row],[Cotação]]-MOD($X$1/Tabela3[[#This Row],[Cotação]],100))</f>
        <v>2500</v>
      </c>
      <c r="S17" s="17">
        <f>Tabela3[[#This Row],[Ativos]]*Tabela3[[#This Row],[Lucro Prev]]</f>
        <v>23.024900524854214</v>
      </c>
      <c r="T17" s="5">
        <f>SUMPRODUCT(N(Tabela1[Código]=Tabela3[[#This Row],[PAPEL]]),Tabela1[Fechamento])</f>
        <v>0.12</v>
      </c>
      <c r="U17" s="5">
        <f>SUMPRODUCT(N(Tabela17[Código]=Tabela3[[#This Row],[PAPEL]]),Tabela17[Fechamento])</f>
        <v>0</v>
      </c>
    </row>
    <row r="18" spans="1:21" x14ac:dyDescent="0.2">
      <c r="A18" s="4" t="s">
        <v>14</v>
      </c>
      <c r="B18" s="14" t="s">
        <v>24</v>
      </c>
      <c r="C18" s="15">
        <v>3</v>
      </c>
      <c r="D18" s="6">
        <v>63802635000</v>
      </c>
      <c r="E18" s="6">
        <v>12718352000</v>
      </c>
      <c r="F18" s="6">
        <f>GETPIVOTDATA("Average of Lucro Líquido",'Tabela LL'!$A$3,"Ativo",Tabela3[[#This Row],[PAPEL]])/4*Tabela3[[#This Row],[Ref]]</f>
        <v>8711778010.5543747</v>
      </c>
      <c r="G18" s="41">
        <v>2865417020</v>
      </c>
      <c r="H18" s="15">
        <f>Tabela3[[#This Row],[Lucro Líquido]]/Tabela3[[#This Row],[Total Ações]]</f>
        <v>4.4385692941825274</v>
      </c>
      <c r="I18" s="19">
        <f>IF(GETPIVOTDATA("Payout",'Tabela LL'!$A$3,"Ativo",Tabela3[[#This Row],[PAPEL]])&gt;1,1,GETPIVOTDATA("Payout",'Tabela LL'!$A$3,"Ativo",Tabela3[[#This Row],[PAPEL]]))</f>
        <v>0.40025891489587845</v>
      </c>
      <c r="J18" s="6">
        <f>Tabela3[Patrimônio Líquido]/Tabela3[Total Ações]</f>
        <v>22.266439598379993</v>
      </c>
      <c r="K18" s="51">
        <f>MAX(Tabela3[[#This Row],[Cotação 1]],Tabela3[[#This Row],[Cotação 2]])</f>
        <v>23.17</v>
      </c>
      <c r="L18" s="47">
        <f>Tabela3[Cotação]/Tabela3[VPA]</f>
        <v>1.040579473769383</v>
      </c>
      <c r="M18" s="43">
        <f>IF(Tabela3[[#This Row],[Lucro/Ação]]&gt;0,Tabela3[[#This Row],[Cotação]]/Tabela3[[#This Row],[Lucro/Ação]],0)</f>
        <v>5.2201505630131955</v>
      </c>
      <c r="N18" s="15">
        <f>Tabela3[[#This Row],[Lucro/Ação]]*Tabela3[[#This Row],[Payout]]</f>
        <v>1.7765769293796636</v>
      </c>
      <c r="O18" s="15" t="str">
        <f>IF(AND(Tabela3[% A.A.]&gt;=10%,Tabela3[PVPA]&lt;=2,Tabela3[PL]&lt;=15,Tabela3[PL]&gt;0),"Sim","Não")</f>
        <v>Sim</v>
      </c>
      <c r="P18" s="45">
        <f>Tabela3[[#This Row],[Lucro Prev]]/Tabela3[[#This Row],[Cotação]]</f>
        <v>7.6675741449273346E-2</v>
      </c>
      <c r="Q18" s="19">
        <f>((1+Tabela3[[#This Row],[% Yield]])^(1/(3*Tabela3[[#This Row],[Ref]])))^(12)-1</f>
        <v>0.1035192262061011</v>
      </c>
      <c r="R18" s="14">
        <f>($X$1/Tabela3[[#This Row],[Cotação]]-MOD($X$1/Tabela3[[#This Row],[Cotação]],100))</f>
        <v>0</v>
      </c>
      <c r="S18" s="17">
        <f>Tabela3[[#This Row],[Ativos]]*Tabela3[[#This Row],[Lucro Prev]]</f>
        <v>0</v>
      </c>
      <c r="T18" s="5">
        <f>SUMPRODUCT(N(Tabela1[Código]=Tabela3[[#This Row],[PAPEL]]),Tabela1[Fechamento])</f>
        <v>23.17</v>
      </c>
      <c r="U18" s="5">
        <f>SUMPRODUCT(N(Tabela17[Código]=Tabela3[[#This Row],[PAPEL]]),Tabela17[Fechamento])</f>
        <v>0</v>
      </c>
    </row>
    <row r="19" spans="1:21" x14ac:dyDescent="0.2">
      <c r="A19" s="4" t="s">
        <v>387</v>
      </c>
      <c r="B19" s="69" t="s">
        <v>386</v>
      </c>
      <c r="C19" s="15">
        <v>3</v>
      </c>
      <c r="D19" s="6">
        <v>502819000</v>
      </c>
      <c r="E19" s="6">
        <v>76981000</v>
      </c>
      <c r="F19" s="6">
        <f>GETPIVOTDATA("Average of Lucro Líquido",'Tabela LL'!$A$3,"Ativo",Tabela3[[#This Row],[PAPEL]])/4*Tabela3[[#This Row],[Ref]]</f>
        <v>78070500</v>
      </c>
      <c r="G19" s="41">
        <v>89500000</v>
      </c>
      <c r="H19" s="71">
        <f>Tabela3[[#This Row],[Lucro Líquido]]/Tabela3[[#This Row],[Total Ações]]</f>
        <v>0.86012290502793298</v>
      </c>
      <c r="I19" s="19">
        <f>IF(GETPIVOTDATA("Payout",'Tabela LL'!$A$3,"Ativo",Tabela3[[#This Row],[PAPEL]])&gt;1,1,GETPIVOTDATA("Payout",'Tabela LL'!$A$3,"Ativo",Tabela3[[#This Row],[PAPEL]]))</f>
        <v>0.72124852747572954</v>
      </c>
      <c r="J19" s="6">
        <f>Tabela3[Patrimônio Líquido]/Tabela3[Total Ações]</f>
        <v>5.6180893854748604</v>
      </c>
      <c r="K19" s="51">
        <f>MAX(Tabela3[[#This Row],[Cotação 1]],Tabela3[[#This Row],[Cotação 2]])</f>
        <v>8.2799999999999994</v>
      </c>
      <c r="L19" s="47">
        <f>Tabela3[Cotação]/Tabela3[VPA]</f>
        <v>1.4738106555241548</v>
      </c>
      <c r="M19" s="43">
        <f>IF(Tabela3[[#This Row],[Lucro/Ação]]&gt;0,Tabela3[[#This Row],[Cotação]]/Tabela3[[#This Row],[Lucro/Ação]],0)</f>
        <v>9.6265312219898398</v>
      </c>
      <c r="N19" s="15">
        <f>Tabela3[[#This Row],[Lucro/Ação]]*Tabela3[[#This Row],[Payout]]</f>
        <v>0.62036237869954347</v>
      </c>
      <c r="O19" s="15" t="str">
        <f>IF(AND(Tabela3[% A.A.]&gt;=10%,Tabela3[PVPA]&lt;=2,Tabela3[PL]&lt;=15,Tabela3[PL]&gt;0),"Sim","Não")</f>
        <v>Sim</v>
      </c>
      <c r="P19" s="45">
        <f>Tabela3[[#This Row],[Lucro Prev]]/Tabela3[[#This Row],[Cotação]]</f>
        <v>7.4922992596563223E-2</v>
      </c>
      <c r="Q19" s="19">
        <f>((1+Tabela3[[#This Row],[% Yield]])^(1/(3*Tabela3[[#This Row],[Ref]])))^(12)-1</f>
        <v>0.10112461223371816</v>
      </c>
      <c r="R19" s="14">
        <f>($X$1/Tabela3[[#This Row],[Cotação]]-MOD($X$1/Tabela3[[#This Row],[Cotação]],100))</f>
        <v>0</v>
      </c>
      <c r="S19" s="17">
        <f>Tabela3[[#This Row],[Ativos]]*Tabela3[[#This Row],[Lucro Prev]]</f>
        <v>0</v>
      </c>
      <c r="T19" s="13">
        <f>SUMPRODUCT(N(Tabela1[Código]=Tabela3[[#This Row],[PAPEL]]),Tabela1[Fechamento])</f>
        <v>0</v>
      </c>
      <c r="U19" s="60">
        <f>SUMPRODUCT(N(Tabela17[Código]=Tabela3[[#This Row],[PAPEL]]),Tabela17[Fechamento])</f>
        <v>8.2799999999999994</v>
      </c>
    </row>
    <row r="20" spans="1:21" x14ac:dyDescent="0.2">
      <c r="A20" s="4" t="s">
        <v>12</v>
      </c>
      <c r="B20" s="14" t="s">
        <v>104</v>
      </c>
      <c r="C20" s="15">
        <v>3</v>
      </c>
      <c r="D20" s="30">
        <v>12828375000</v>
      </c>
      <c r="E20" s="30">
        <v>898498000</v>
      </c>
      <c r="F20" s="30">
        <f>GETPIVOTDATA("Average of Lucro Líquido",'Tabela LL'!$A$3,"Ativo",Tabela3[[#This Row],[PAPEL]])/4*Tabela3[[#This Row],[Ref]]</f>
        <v>721155031.37625003</v>
      </c>
      <c r="G20" s="41">
        <v>273655375</v>
      </c>
      <c r="H20" s="15">
        <f>Tabela3[[#This Row],[Lucro Líquido]]/Tabela3[[#This Row],[Total Ações]]</f>
        <v>3.2833193939640322</v>
      </c>
      <c r="I20" s="19">
        <f>IF(GETPIVOTDATA("Payout",'Tabela LL'!$A$3,"Ativo",Tabela3[[#This Row],[PAPEL]])&gt;1,1,GETPIVOTDATA("Payout",'Tabela LL'!$A$3,"Ativo",Tabela3[[#This Row],[PAPEL]]))</f>
        <v>0.67976520829611575</v>
      </c>
      <c r="J20" s="6">
        <f>Tabela3[Patrimônio Líquido]/Tabela3[Total Ações]</f>
        <v>46.877847730927996</v>
      </c>
      <c r="K20" s="51">
        <f>MAX(Tabela3[[#This Row],[Cotação 1]],Tabela3[[#This Row],[Cotação 2]])</f>
        <v>30</v>
      </c>
      <c r="L20" s="47">
        <f>Tabela3[Cotação]/Tabela3[VPA]</f>
        <v>0.63996112134233685</v>
      </c>
      <c r="M20" s="43">
        <f>IF(Tabela3[[#This Row],[Lucro/Ação]]&gt;0,Tabela3[[#This Row],[Cotação]]/Tabela3[[#This Row],[Lucro/Ação]],0)</f>
        <v>9.1370946290364596</v>
      </c>
      <c r="N20" s="15">
        <f>Tabela3[[#This Row],[Lucro/Ação]]*Tabela3[[#This Row],[Payout]]</f>
        <v>2.2318862917406368</v>
      </c>
      <c r="O20" s="15" t="str">
        <f>IF(AND(Tabela3[% A.A.]&gt;=10%,Tabela3[PVPA]&lt;=2,Tabela3[PL]&lt;=15,Tabela3[PL]&gt;0),"Sim","Não")</f>
        <v>Sim</v>
      </c>
      <c r="P20" s="45">
        <f>Tabela3[[#This Row],[Lucro Prev]]/Tabela3[[#This Row],[Cotação]]</f>
        <v>7.4396209724687898E-2</v>
      </c>
      <c r="Q20" s="19">
        <f>((1+Tabela3[[#This Row],[% Yield]])^(1/(3*Tabela3[[#This Row],[Ref]])))^(12)-1</f>
        <v>0.10040517315827802</v>
      </c>
      <c r="R20" s="14">
        <f>($X$1/Tabela3[[#This Row],[Cotação]]-MOD($X$1/Tabela3[[#This Row],[Cotação]],100))</f>
        <v>0</v>
      </c>
      <c r="S20" s="17">
        <f>Tabela3[[#This Row],[Ativos]]*Tabela3[[#This Row],[Lucro Prev]]</f>
        <v>0</v>
      </c>
      <c r="T20" s="5">
        <f>SUMPRODUCT(N(Tabela1[Código]=Tabela3[[#This Row],[PAPEL]]),Tabela1[Fechamento])</f>
        <v>30</v>
      </c>
      <c r="U20" s="5">
        <f>SUMPRODUCT(N(Tabela17[Código]=Tabela3[[#This Row],[PAPEL]]),Tabela17[Fechamento])</f>
        <v>0</v>
      </c>
    </row>
    <row r="21" spans="1:21" hidden="1" x14ac:dyDescent="0.2">
      <c r="A21" s="4" t="s">
        <v>12</v>
      </c>
      <c r="B21" s="14" t="s">
        <v>72</v>
      </c>
      <c r="C21" s="15">
        <v>3</v>
      </c>
      <c r="D21" s="6">
        <v>1927248000</v>
      </c>
      <c r="E21" s="6">
        <v>149553000</v>
      </c>
      <c r="F21" s="6">
        <f>GETPIVOTDATA("Average of Lucro Líquido",'Tabela LL'!$A$3,"Ativo",Tabela3[[#This Row],[PAPEL]])/4*Tabela3[[#This Row],[Ref]]</f>
        <v>103770324.7605</v>
      </c>
      <c r="G21" s="41">
        <v>38571591</v>
      </c>
      <c r="H21" s="15">
        <f>Tabela3[[#This Row],[Lucro Líquido]]/Tabela3[[#This Row],[Total Ações]]</f>
        <v>3.8772836723276467</v>
      </c>
      <c r="I21" s="19">
        <f>IF(GETPIVOTDATA("Payout",'Tabela LL'!$A$3,"Ativo",Tabela3[[#This Row],[PAPEL]])&gt;1,1,GETPIVOTDATA("Payout",'Tabela LL'!$A$3,"Ativo",Tabela3[[#This Row],[PAPEL]]))</f>
        <v>0.29963156324701223</v>
      </c>
      <c r="J21" s="6">
        <f>Tabela3[Patrimônio Líquido]/Tabela3[Total Ações]</f>
        <v>49.965478478707297</v>
      </c>
      <c r="K21" s="51">
        <f>MAX(Tabela3[[#This Row],[Cotação 1]],Tabela3[[#This Row],[Cotação 2]])</f>
        <v>15.9</v>
      </c>
      <c r="L21" s="47">
        <f>Tabela3[Cotação]/Tabela3[VPA]</f>
        <v>0.31821970856890242</v>
      </c>
      <c r="M21" s="43">
        <f>IF(Tabela3[[#This Row],[Lucro/Ação]]&gt;0,Tabela3[[#This Row],[Cotação]]/Tabela3[[#This Row],[Lucro/Ação]],0)</f>
        <v>4.1008090569898297</v>
      </c>
      <c r="N21" s="6">
        <f>Tabela3[[#This Row],[Lucro/Ação]]*Tabela3[[#This Row],[Payout]]</f>
        <v>1.1617565678916491</v>
      </c>
      <c r="O21" s="14" t="str">
        <f>IF(AND(Tabela3[% A.A.]&gt;=10%,Tabela3[PVPA]&lt;=2,Tabela3[PL]&lt;=15,Tabela3[PL]&gt;0),"Sim","Não")</f>
        <v>Não</v>
      </c>
      <c r="P21" s="45">
        <f>Tabela3[[#This Row],[Lucro Prev]]/Tabela3[[#This Row],[Cotação]]</f>
        <v>7.3066450810795533E-2</v>
      </c>
      <c r="Q21" s="19">
        <f>((1+Tabela3[[#This Row],[% Yield]])^(1/(3*Tabela3[[#This Row],[Ref]])))^(12)-1</f>
        <v>9.8589614928179303E-2</v>
      </c>
      <c r="R21" s="14">
        <f>($X$1/Tabela3[[#This Row],[Cotação]]-MOD($X$1/Tabela3[[#This Row],[Cotação]],100))</f>
        <v>0</v>
      </c>
      <c r="S21" s="17">
        <f>Tabela3[[#This Row],[Ativos]]*Tabela3[[#This Row],[Lucro Prev]]</f>
        <v>0</v>
      </c>
      <c r="T21" s="5">
        <f>SUMPRODUCT(N(Tabela1[Código]=Tabela3[[#This Row],[PAPEL]]),Tabela1[Fechamento])</f>
        <v>15.9</v>
      </c>
      <c r="U21" s="5">
        <f>SUMPRODUCT(N(Tabela17[Código]=Tabela3[[#This Row],[PAPEL]]),Tabela17[Fechamento])</f>
        <v>0</v>
      </c>
    </row>
    <row r="22" spans="1:21" hidden="1" x14ac:dyDescent="0.2">
      <c r="A22" s="4" t="s">
        <v>12</v>
      </c>
      <c r="B22" s="14" t="s">
        <v>66</v>
      </c>
      <c r="C22" s="15">
        <v>3</v>
      </c>
      <c r="D22" s="6">
        <v>463367000</v>
      </c>
      <c r="E22" s="6">
        <v>59974000</v>
      </c>
      <c r="F22" s="6">
        <f>GETPIVOTDATA("Average of Lucro Líquido",'Tabela LL'!$A$3,"Ativo",Tabela3[[#This Row],[PAPEL]])/4*Tabela3[[#This Row],[Ref]]</f>
        <v>38518750</v>
      </c>
      <c r="G22" s="41">
        <v>108480828</v>
      </c>
      <c r="H22" s="15">
        <f>Tabela3[[#This Row],[Lucro Líquido]]/Tabela3[[#This Row],[Total Ações]]</f>
        <v>0.55285344982801943</v>
      </c>
      <c r="I22" s="19">
        <f>IF(GETPIVOTDATA("Payout",'Tabela LL'!$A$3,"Ativo",Tabela3[[#This Row],[PAPEL]])&gt;1,1,GETPIVOTDATA("Payout",'Tabela LL'!$A$3,"Ativo",Tabela3[[#This Row],[PAPEL]]))</f>
        <v>0.74003580825491566</v>
      </c>
      <c r="J22" s="6">
        <f>Tabela3[Patrimônio Líquido]/Tabela3[Total Ações]</f>
        <v>4.2714183560619574</v>
      </c>
      <c r="K22" s="51">
        <f>MAX(Tabela3[[#This Row],[Cotação 1]],Tabela3[[#This Row],[Cotação 2]])</f>
        <v>5.96</v>
      </c>
      <c r="L22" s="47">
        <f>Tabela3[Cotação]/Tabela3[VPA]</f>
        <v>1.3953210627429231</v>
      </c>
      <c r="M22" s="43">
        <f>IF(Tabela3[[#This Row],[Lucro/Ação]]&gt;0,Tabela3[[#This Row],[Cotação]]/Tabela3[[#This Row],[Lucro/Ação]],0)</f>
        <v>10.780433769300029</v>
      </c>
      <c r="N22" s="6">
        <f>Tabela3[[#This Row],[Lucro/Ação]]*Tabela3[[#This Row],[Payout]]</f>
        <v>0.40913134958999681</v>
      </c>
      <c r="O22" s="14" t="str">
        <f>IF(AND(Tabela3[% A.A.]&gt;=10%,Tabela3[PVPA]&lt;=2,Tabela3[PL]&lt;=15,Tabela3[PL]&gt;0),"Sim","Não")</f>
        <v>Não</v>
      </c>
      <c r="P22" s="45">
        <f>Tabela3[[#This Row],[Lucro Prev]]/Tabela3[[#This Row],[Cotação]]</f>
        <v>6.8646199595637045E-2</v>
      </c>
      <c r="Q22" s="19">
        <f>((1+Tabela3[[#This Row],[% Yield]])^(1/(3*Tabela3[[#This Row],[Ref]])))^(12)-1</f>
        <v>9.2559910520327415E-2</v>
      </c>
      <c r="R22" s="14">
        <f>($X$1/Tabela3[[#This Row],[Cotação]]-MOD($X$1/Tabela3[[#This Row],[Cotação]],100))</f>
        <v>0</v>
      </c>
      <c r="S22" s="17">
        <f>Tabela3[[#This Row],[Ativos]]*Tabela3[[#This Row],[Lucro Prev]]</f>
        <v>0</v>
      </c>
      <c r="T22" s="5">
        <f>SUMPRODUCT(N(Tabela1[Código]=Tabela3[[#This Row],[PAPEL]]),Tabela1[Fechamento])</f>
        <v>5.96</v>
      </c>
      <c r="U22" s="5">
        <f>SUMPRODUCT(N(Tabela17[Código]=Tabela3[[#This Row],[PAPEL]]),Tabela17[Fechamento])</f>
        <v>0</v>
      </c>
    </row>
    <row r="23" spans="1:21" hidden="1" x14ac:dyDescent="0.2">
      <c r="A23" s="4" t="s">
        <v>12</v>
      </c>
      <c r="B23" s="14" t="s">
        <v>69</v>
      </c>
      <c r="C23" s="15">
        <v>3</v>
      </c>
      <c r="D23" s="6">
        <v>884793000</v>
      </c>
      <c r="E23" s="6">
        <v>154604000</v>
      </c>
      <c r="F23" s="6">
        <f>GETPIVOTDATA("Average of Lucro Líquido",'Tabela LL'!$A$3,"Ativo",Tabela3[[#This Row],[PAPEL]])/4*Tabela3[[#This Row],[Ref]]</f>
        <v>183084750</v>
      </c>
      <c r="G23" s="41">
        <v>168074028</v>
      </c>
      <c r="H23" s="15">
        <f>Tabela3[[#This Row],[Lucro Líquido]]/Tabela3[[#This Row],[Total Ações]]</f>
        <v>0.91985657653186015</v>
      </c>
      <c r="I23" s="19">
        <f>IF(GETPIVOTDATA("Payout",'Tabela LL'!$A$3,"Ativo",Tabela3[[#This Row],[PAPEL]])&gt;1,1,GETPIVOTDATA("Payout",'Tabela LL'!$A$3,"Ativo",Tabela3[[#This Row],[PAPEL]]))</f>
        <v>0.65697940671349686</v>
      </c>
      <c r="J23" s="6">
        <f>Tabela3[Patrimônio Líquido]/Tabela3[Total Ações]</f>
        <v>5.2643053214622784</v>
      </c>
      <c r="K23" s="51">
        <f>MAX(Tabela3[[#This Row],[Cotação 1]],Tabela3[[#This Row],[Cotação 2]])</f>
        <v>9</v>
      </c>
      <c r="L23" s="47">
        <f>Tabela3[Cotação]/Tabela3[VPA]</f>
        <v>1.7096272823134904</v>
      </c>
      <c r="M23" s="43">
        <f>IF(Tabela3[[#This Row],[Lucro/Ação]]&gt;0,Tabela3[[#This Row],[Cotação]]/Tabela3[[#This Row],[Lucro/Ação]],0)</f>
        <v>9.7841339939458223</v>
      </c>
      <c r="N23" s="6">
        <f>Tabela3[[#This Row],[Lucro/Ação]]*Tabela3[[#This Row],[Payout]]</f>
        <v>0.60432682791140979</v>
      </c>
      <c r="O23" s="14" t="str">
        <f>IF(AND(Tabela3[% A.A.]&gt;=10%,Tabela3[PVPA]&lt;=2,Tabela3[PL]&lt;=15,Tabela3[PL]&gt;0),"Sim","Não")</f>
        <v>Não</v>
      </c>
      <c r="P23" s="45">
        <f>Tabela3[[#This Row],[Lucro Prev]]/Tabela3[[#This Row],[Cotação]]</f>
        <v>6.7147425323489981E-2</v>
      </c>
      <c r="Q23" s="19">
        <f>((1+Tabela3[[#This Row],[% Yield]])^(1/(3*Tabela3[[#This Row],[Ref]])))^(12)-1</f>
        <v>9.0517303964290363E-2</v>
      </c>
      <c r="R23" s="14">
        <f>($X$1/Tabela3[[#This Row],[Cotação]]-MOD($X$1/Tabela3[[#This Row],[Cotação]],100))</f>
        <v>0</v>
      </c>
      <c r="S23" s="17">
        <f>Tabela3[[#This Row],[Ativos]]*Tabela3[[#This Row],[Lucro Prev]]</f>
        <v>0</v>
      </c>
      <c r="T23" s="5">
        <f>SUMPRODUCT(N(Tabela1[Código]=Tabela3[[#This Row],[PAPEL]]),Tabela1[Fechamento])</f>
        <v>9</v>
      </c>
      <c r="U23" s="5">
        <f>SUMPRODUCT(N(Tabela17[Código]=Tabela3[[#This Row],[PAPEL]]),Tabela17[Fechamento])</f>
        <v>0</v>
      </c>
    </row>
    <row r="24" spans="1:21" hidden="1" x14ac:dyDescent="0.2">
      <c r="A24" s="4" t="s">
        <v>12</v>
      </c>
      <c r="B24" s="14" t="s">
        <v>189</v>
      </c>
      <c r="C24" s="15">
        <v>3</v>
      </c>
      <c r="D24" s="6">
        <v>20809000</v>
      </c>
      <c r="E24" s="6">
        <v>1860000</v>
      </c>
      <c r="F24" s="6">
        <f>GETPIVOTDATA("Average of Lucro Líquido",'Tabela LL'!$A$3,"Ativo",Tabela3[[#This Row],[PAPEL]])/4*Tabela3[[#This Row],[Ref]]</f>
        <v>1871869.9031250002</v>
      </c>
      <c r="G24" s="41">
        <v>166355563</v>
      </c>
      <c r="H24" s="15">
        <f>Tabela3[[#This Row],[Lucro Líquido]]/Tabela3[[#This Row],[Total Ações]]</f>
        <v>1.1180870458777505E-2</v>
      </c>
      <c r="I24" s="19">
        <f>IF(GETPIVOTDATA("Payout",'Tabela LL'!$A$3,"Ativo",Tabela3[[#This Row],[PAPEL]])&gt;1,1,GETPIVOTDATA("Payout",'Tabela LL'!$A$3,"Ativo",Tabela3[[#This Row],[PAPEL]]))</f>
        <v>0.74850005072085457</v>
      </c>
      <c r="J24" s="6">
        <f>Tabela3[Patrimônio Líquido]/Tabela3[Total Ações]</f>
        <v>0.12508749106274253</v>
      </c>
      <c r="K24" s="51">
        <f>MAX(Tabela3[[#This Row],[Cotação 1]],Tabela3[[#This Row],[Cotação 2]])</f>
        <v>0.13</v>
      </c>
      <c r="L24" s="47">
        <f>Tabela3[Cotação]/Tabela3[VPA]</f>
        <v>1.0392725834975252</v>
      </c>
      <c r="M24" s="43">
        <f>IF(Tabela3[[#This Row],[Lucro/Ação]]&gt;0,Tabela3[[#This Row],[Cotação]]/Tabela3[[#This Row],[Lucro/Ação]],0)</f>
        <v>11.627001715053764</v>
      </c>
      <c r="N24" s="6">
        <f>Tabela3[[#This Row],[Lucro/Ação]]*Tabela3[[#This Row],[Payout]]</f>
        <v>8.3688821054982675E-3</v>
      </c>
      <c r="O24" s="15" t="str">
        <f>IF(AND(Tabela3[% A.A.]&gt;=10%,Tabela3[PVPA]&lt;=2,Tabela3[PL]&lt;=15,Tabela3[PL]&gt;0),"Sim","Não")</f>
        <v>Não</v>
      </c>
      <c r="P24" s="45">
        <f>Tabela3[[#This Row],[Lucro Prev]]/Tabela3[[#This Row],[Cotação]]</f>
        <v>6.4376016196140515E-2</v>
      </c>
      <c r="Q24" s="19">
        <f>((1+Tabela3[[#This Row],[% Yield]])^(1/(3*Tabela3[[#This Row],[Ref]])))^(12)-1</f>
        <v>8.6742804296136011E-2</v>
      </c>
      <c r="R24" s="14">
        <f>($X$1/Tabela3[[#This Row],[Cotação]]-MOD($X$1/Tabela3[[#This Row],[Cotação]],100))</f>
        <v>2300</v>
      </c>
      <c r="S24" s="17">
        <f>Tabela3[[#This Row],[Ativos]]*Tabela3[[#This Row],[Lucro Prev]]</f>
        <v>19.248428842646014</v>
      </c>
      <c r="T24" s="5">
        <f>SUMPRODUCT(N(Tabela1[Código]=Tabela3[[#This Row],[PAPEL]]),Tabela1[Fechamento])</f>
        <v>0.13</v>
      </c>
      <c r="U24" s="5">
        <f>SUMPRODUCT(N(Tabela17[Código]=Tabela3[[#This Row],[PAPEL]]),Tabela17[Fechamento])</f>
        <v>0</v>
      </c>
    </row>
    <row r="25" spans="1:21" hidden="1" x14ac:dyDescent="0.2">
      <c r="A25" s="4" t="s">
        <v>12</v>
      </c>
      <c r="B25" s="14" t="s">
        <v>96</v>
      </c>
      <c r="C25" s="15">
        <v>3</v>
      </c>
      <c r="D25" s="6">
        <v>465994000</v>
      </c>
      <c r="E25" s="6">
        <v>17904000</v>
      </c>
      <c r="F25" s="6">
        <f>GETPIVOTDATA("Average of Lucro Líquido",'Tabela LL'!$A$3,"Ativo",Tabela3[[#This Row],[PAPEL]])/4*Tabela3[[#This Row],[Ref]]</f>
        <v>24873216.054375</v>
      </c>
      <c r="G25" s="41">
        <v>9183458</v>
      </c>
      <c r="H25" s="15">
        <f>Tabela3[[#This Row],[Lucro Líquido]]/Tabela3[[#This Row],[Total Ações]]</f>
        <v>1.9495924084369962</v>
      </c>
      <c r="I25" s="19">
        <f>IF(GETPIVOTDATA("Payout",'Tabela LL'!$A$3,"Ativo",Tabela3[[#This Row],[PAPEL]])&gt;1,1,GETPIVOTDATA("Payout",'Tabela LL'!$A$3,"Ativo",Tabela3[[#This Row],[PAPEL]]))</f>
        <v>0.76106388540309444</v>
      </c>
      <c r="J25" s="6">
        <f>Tabela3[Patrimônio Líquido]/Tabela3[Total Ações]</f>
        <v>50.742759426786726</v>
      </c>
      <c r="K25" s="51">
        <f>MAX(Tabela3[[#This Row],[Cotação 1]],Tabela3[[#This Row],[Cotação 2]])</f>
        <v>24</v>
      </c>
      <c r="L25" s="47">
        <f>Tabela3[Cotação]/Tabela3[VPA]</f>
        <v>0.47297388378391142</v>
      </c>
      <c r="M25" s="43">
        <f>IF(Tabela3[[#This Row],[Lucro/Ação]]&gt;0,Tabela3[[#This Row],[Cotação]]/Tabela3[[#This Row],[Lucro/Ação]],0)</f>
        <v>12.310265415549598</v>
      </c>
      <c r="N25" s="6">
        <f>Tabela3[[#This Row],[Lucro/Ação]]*Tabela3[[#This Row],[Payout]]</f>
        <v>1.483764373317437</v>
      </c>
      <c r="O25" s="15" t="str">
        <f>IF(AND(Tabela3[% A.A.]&gt;=10%,Tabela3[PVPA]&lt;=2,Tabela3[PL]&lt;=15,Tabela3[PL]&gt;0),"Sim","Não")</f>
        <v>Não</v>
      </c>
      <c r="P25" s="45">
        <f>Tabela3[[#This Row],[Lucro Prev]]/Tabela3[[#This Row],[Cotação]]</f>
        <v>6.182351555489321E-2</v>
      </c>
      <c r="Q25" s="19">
        <f>((1+Tabela3[[#This Row],[% Yield]])^(1/(3*Tabela3[[#This Row],[Ref]])))^(12)-1</f>
        <v>8.3269342065964924E-2</v>
      </c>
      <c r="R25" s="14">
        <f>($X$1/Tabela3[[#This Row],[Cotação]]-MOD($X$1/Tabela3[[#This Row],[Cotação]],100))</f>
        <v>0</v>
      </c>
      <c r="S25" s="17">
        <f>Tabela3[[#This Row],[Ativos]]*Tabela3[[#This Row],[Lucro Prev]]</f>
        <v>0</v>
      </c>
      <c r="T25" s="5">
        <f>SUMPRODUCT(N(Tabela1[Código]=Tabela3[[#This Row],[PAPEL]]),Tabela1[Fechamento])</f>
        <v>24</v>
      </c>
      <c r="U25" s="5">
        <f>SUMPRODUCT(N(Tabela17[Código]=Tabela3[[#This Row],[PAPEL]]),Tabela17[Fechamento])</f>
        <v>0</v>
      </c>
    </row>
    <row r="26" spans="1:21" hidden="1" x14ac:dyDescent="0.2">
      <c r="A26" s="4" t="s">
        <v>14</v>
      </c>
      <c r="B26" s="14" t="s">
        <v>237</v>
      </c>
      <c r="C26" s="15">
        <v>3</v>
      </c>
      <c r="D26" s="6">
        <v>2513911000</v>
      </c>
      <c r="E26" s="6">
        <v>303723000</v>
      </c>
      <c r="F26" s="6">
        <f>GETPIVOTDATA("Average of Lucro Líquido",'Tabela LL'!$A$3,"Ativo",Tabela3[[#This Row],[PAPEL]])/4*Tabela3[[#This Row],[Ref]]</f>
        <v>299205942.14625001</v>
      </c>
      <c r="G26" s="41">
        <v>87001901</v>
      </c>
      <c r="H26" s="15">
        <f>Tabela3[[#This Row],[Lucro Líquido]]/Tabela3[[#This Row],[Total Ações]]</f>
        <v>3.4909926853207494</v>
      </c>
      <c r="I26" s="19">
        <f>IF(GETPIVOTDATA("Payout",'Tabela LL'!$A$3,"Ativo",Tabela3[[#This Row],[PAPEL]])&gt;1,1,GETPIVOTDATA("Payout",'Tabela LL'!$A$3,"Ativo",Tabela3[[#This Row],[PAPEL]]))</f>
        <v>0.50160075598307408</v>
      </c>
      <c r="J26" s="6">
        <f>Tabela3[Patrimônio Líquido]/Tabela3[Total Ações]</f>
        <v>28.894897365518485</v>
      </c>
      <c r="K26" s="51">
        <f>MAX(Tabela3[[#This Row],[Cotação 1]],Tabela3[[#This Row],[Cotação 2]])</f>
        <v>28.74</v>
      </c>
      <c r="L26" s="47">
        <f>Tabela3[Cotação]/Tabela3[VPA]</f>
        <v>0.99463928306928917</v>
      </c>
      <c r="M26" s="43">
        <f>IF(Tabela3[[#This Row],[Lucro/Ação]]&gt;0,Tabela3[[#This Row],[Cotação]]/Tabela3[[#This Row],[Lucro/Ação]],0)</f>
        <v>8.2326153591924225</v>
      </c>
      <c r="N26" s="6">
        <f>Tabela3[[#This Row],[Lucro/Ação]]*Tabela3[[#This Row],[Payout]]</f>
        <v>1.7510845700882698</v>
      </c>
      <c r="O26" s="15" t="str">
        <f>IF(AND(Tabela3[% A.A.]&gt;=10%,Tabela3[PVPA]&lt;=2,Tabela3[PL]&lt;=15,Tabela3[PL]&gt;0),"Sim","Não")</f>
        <v>Não</v>
      </c>
      <c r="P26" s="45">
        <f>Tabela3[[#This Row],[Lucro Prev]]/Tabela3[[#This Row],[Cotação]]</f>
        <v>6.0928481909821502E-2</v>
      </c>
      <c r="Q26" s="19">
        <f>((1+Tabela3[[#This Row],[% Yield]])^(1/(3*Tabela3[[#This Row],[Ref]])))^(12)-1</f>
        <v>8.2052032086436189E-2</v>
      </c>
      <c r="R26" s="14">
        <f>($X$1/Tabela3[[#This Row],[Cotação]]-MOD($X$1/Tabela3[[#This Row],[Cotação]],100))</f>
        <v>0</v>
      </c>
      <c r="S26" s="17">
        <f>Tabela3[[#This Row],[Ativos]]*Tabela3[[#This Row],[Lucro Prev]]</f>
        <v>0</v>
      </c>
      <c r="T26" s="5">
        <f>SUMPRODUCT(N(Tabela1[Código]=Tabela3[[#This Row],[PAPEL]]),Tabela1[Fechamento])</f>
        <v>28.74</v>
      </c>
      <c r="U26" s="5">
        <f>SUMPRODUCT(N(Tabela17[Código]=Tabela3[[#This Row],[PAPEL]]),Tabela17[Fechamento])</f>
        <v>0</v>
      </c>
    </row>
    <row r="27" spans="1:21" hidden="1" x14ac:dyDescent="0.2">
      <c r="A27" s="4" t="s">
        <v>14</v>
      </c>
      <c r="B27" s="14" t="s">
        <v>225</v>
      </c>
      <c r="C27" s="15">
        <v>3</v>
      </c>
      <c r="D27" s="6">
        <v>273287000</v>
      </c>
      <c r="E27" s="6">
        <v>47071000</v>
      </c>
      <c r="F27" s="6">
        <f>GETPIVOTDATA("Average of Lucro Líquido",'Tabela LL'!$A$3,"Ativo",Tabela3[[#This Row],[PAPEL]])/4*Tabela3[[#This Row],[Ref]]</f>
        <v>51099884.591250002</v>
      </c>
      <c r="G27" s="41">
        <v>10541442</v>
      </c>
      <c r="H27" s="15">
        <f>Tabela3[[#This Row],[Lucro Líquido]]/Tabela3[[#This Row],[Total Ações]]</f>
        <v>4.4653283677887714</v>
      </c>
      <c r="I27" s="19">
        <f>IF(GETPIVOTDATA("Payout",'Tabela LL'!$A$3,"Ativo",Tabela3[[#This Row],[PAPEL]])&gt;1,1,GETPIVOTDATA("Payout",'Tabela LL'!$A$3,"Ativo",Tabela3[[#This Row],[PAPEL]]))</f>
        <v>0.60740107618893502</v>
      </c>
      <c r="J27" s="6">
        <f>Tabela3[Patrimônio Líquido]/Tabela3[Total Ações]</f>
        <v>25.925011018416644</v>
      </c>
      <c r="K27" s="51">
        <f>MAX(Tabela3[[#This Row],[Cotação 1]],Tabela3[[#This Row],[Cotação 2]])</f>
        <v>45</v>
      </c>
      <c r="L27" s="47">
        <f>Tabela3[Cotação]/Tabela3[VPA]</f>
        <v>1.7357755400000734</v>
      </c>
      <c r="M27" s="43">
        <f>IF(Tabela3[[#This Row],[Lucro/Ação]]&gt;0,Tabela3[[#This Row],[Cotação]]/Tabela3[[#This Row],[Lucro/Ação]],0)</f>
        <v>10.077646321514308</v>
      </c>
      <c r="N27" s="6">
        <f>Tabela3[[#This Row],[Lucro/Ação]]*Tabela3[[#This Row],[Payout]]</f>
        <v>2.7122452561318804</v>
      </c>
      <c r="O27" s="15" t="str">
        <f>IF(AND(Tabela3[% A.A.]&gt;=10%,Tabela3[PVPA]&lt;=2,Tabela3[PL]&lt;=15,Tabela3[PL]&gt;0),"Sim","Não")</f>
        <v>Não</v>
      </c>
      <c r="P27" s="45">
        <f>Tabela3[[#This Row],[Lucro Prev]]/Tabela3[[#This Row],[Cotação]]</f>
        <v>6.0272116802930674E-2</v>
      </c>
      <c r="Q27" s="19">
        <f>((1+Tabela3[[#This Row],[% Yield]])^(1/(3*Tabela3[[#This Row],[Ref]])))^(12)-1</f>
        <v>8.1159545969989644E-2</v>
      </c>
      <c r="R27" s="14">
        <f>($X$1/Tabela3[[#This Row],[Cotação]]-MOD($X$1/Tabela3[[#This Row],[Cotação]],100))</f>
        <v>0</v>
      </c>
      <c r="S27" s="17">
        <f>Tabela3[[#This Row],[Ativos]]*Tabela3[[#This Row],[Lucro Prev]]</f>
        <v>0</v>
      </c>
      <c r="T27" s="5">
        <f>SUMPRODUCT(N(Tabela1[Código]=Tabela3[[#This Row],[PAPEL]]),Tabela1[Fechamento])</f>
        <v>45</v>
      </c>
      <c r="U27" s="5">
        <f>SUMPRODUCT(N(Tabela17[Código]=Tabela3[[#This Row],[PAPEL]]),Tabela17[Fechamento])</f>
        <v>0</v>
      </c>
    </row>
    <row r="28" spans="1:21" hidden="1" x14ac:dyDescent="0.2">
      <c r="A28" s="4" t="s">
        <v>12</v>
      </c>
      <c r="B28" s="14" t="s">
        <v>101</v>
      </c>
      <c r="C28" s="15">
        <v>3</v>
      </c>
      <c r="D28" s="6">
        <v>884793000</v>
      </c>
      <c r="E28" s="6">
        <v>154604000</v>
      </c>
      <c r="F28" s="6">
        <f>GETPIVOTDATA("Average of Lucro Líquido",'Tabela LL'!$A$3,"Ativo",Tabela3[[#This Row],[PAPEL]])/4*Tabela3[[#This Row],[Ref]]</f>
        <v>183084750</v>
      </c>
      <c r="G28" s="41">
        <v>168074028</v>
      </c>
      <c r="H28" s="15">
        <f>Tabela3[[#This Row],[Lucro Líquido]]/Tabela3[[#This Row],[Total Ações]]</f>
        <v>0.91985657653186015</v>
      </c>
      <c r="I28" s="19">
        <f>IF(GETPIVOTDATA("Payout",'Tabela LL'!$A$3,"Ativo",Tabela3[[#This Row],[PAPEL]])&gt;1,1,GETPIVOTDATA("Payout",'Tabela LL'!$A$3,"Ativo",Tabela3[[#This Row],[PAPEL]]))</f>
        <v>0.65697940671349686</v>
      </c>
      <c r="J28" s="6">
        <f>Tabela3[Patrimônio Líquido]/Tabela3[Total Ações]</f>
        <v>5.2643053214622784</v>
      </c>
      <c r="K28" s="51">
        <f>MAX(Tabela3[[#This Row],[Cotação 1]],Tabela3[[#This Row],[Cotação 2]])</f>
        <v>10.119999999999999</v>
      </c>
      <c r="L28" s="47">
        <f>Tabela3[Cotação]/Tabela3[VPA]</f>
        <v>1.9223808996680578</v>
      </c>
      <c r="M28" s="43">
        <f>IF(Tabela3[[#This Row],[Lucro/Ação]]&gt;0,Tabela3[[#This Row],[Cotação]]/Tabela3[[#This Row],[Lucro/Ação]],0)</f>
        <v>11.001715113192413</v>
      </c>
      <c r="N28" s="6">
        <f>Tabela3[[#This Row],[Lucro/Ação]]*Tabela3[[#This Row],[Payout]]</f>
        <v>0.60432682791140979</v>
      </c>
      <c r="O28" s="15" t="str">
        <f>IF(AND(Tabela3[% A.A.]&gt;=10%,Tabela3[PVPA]&lt;=2,Tabela3[PL]&lt;=15,Tabela3[PL]&gt;0),"Sim","Não")</f>
        <v>Não</v>
      </c>
      <c r="P28" s="45">
        <f>Tabela3[[#This Row],[Lucro Prev]]/Tabela3[[#This Row],[Cotação]]</f>
        <v>5.9716089714566191E-2</v>
      </c>
      <c r="Q28" s="19">
        <f>((1+Tabela3[[#This Row],[% Yield]])^(1/(3*Tabela3[[#This Row],[Ref]])))^(12)-1</f>
        <v>8.0403637575071185E-2</v>
      </c>
      <c r="R28" s="14">
        <f>($X$1/Tabela3[[#This Row],[Cotação]]-MOD($X$1/Tabela3[[#This Row],[Cotação]],100))</f>
        <v>0</v>
      </c>
      <c r="S28" s="17">
        <f>Tabela3[[#This Row],[Ativos]]*Tabela3[[#This Row],[Lucro Prev]]</f>
        <v>0</v>
      </c>
      <c r="T28" s="5">
        <f>SUMPRODUCT(N(Tabela1[Código]=Tabela3[[#This Row],[PAPEL]]),Tabela1[Fechamento])</f>
        <v>10.119999999999999</v>
      </c>
      <c r="U28" s="5">
        <f>SUMPRODUCT(N(Tabela17[Código]=Tabela3[[#This Row],[PAPEL]]),Tabela17[Fechamento])</f>
        <v>0</v>
      </c>
    </row>
    <row r="29" spans="1:21" hidden="1" x14ac:dyDescent="0.2">
      <c r="A29" s="4" t="s">
        <v>12</v>
      </c>
      <c r="B29" s="14" t="s">
        <v>100</v>
      </c>
      <c r="C29" s="15">
        <v>3</v>
      </c>
      <c r="D29" s="6">
        <v>884793000</v>
      </c>
      <c r="E29" s="6">
        <v>154604000</v>
      </c>
      <c r="F29" s="6">
        <f>GETPIVOTDATA("Average of Lucro Líquido",'Tabela LL'!$A$3,"Ativo",Tabela3[[#This Row],[PAPEL]])/4*Tabela3[[#This Row],[Ref]]</f>
        <v>183084750</v>
      </c>
      <c r="G29" s="41">
        <v>168074028</v>
      </c>
      <c r="H29" s="15">
        <f>Tabela3[[#This Row],[Lucro Líquido]]/Tabela3[[#This Row],[Total Ações]]</f>
        <v>0.91985657653186015</v>
      </c>
      <c r="I29" s="19">
        <f>IF(GETPIVOTDATA("Payout",'Tabela LL'!$A$3,"Ativo",Tabela3[[#This Row],[PAPEL]])&gt;1,1,GETPIVOTDATA("Payout",'Tabela LL'!$A$3,"Ativo",Tabela3[[#This Row],[PAPEL]]))</f>
        <v>0.59725401518756449</v>
      </c>
      <c r="J29" s="6">
        <f>Tabela3[Patrimônio Líquido]/Tabela3[Total Ações]</f>
        <v>5.2643053214622784</v>
      </c>
      <c r="K29" s="51">
        <f>MAX(Tabela3[[#This Row],[Cotação 1]],Tabela3[[#This Row],[Cotação 2]])</f>
        <v>9.5</v>
      </c>
      <c r="L29" s="47">
        <f>Tabela3[Cotação]/Tabela3[VPA]</f>
        <v>1.8046065757753509</v>
      </c>
      <c r="M29" s="43">
        <f>IF(Tabela3[[#This Row],[Lucro/Ação]]&gt;0,Tabela3[[#This Row],[Cotação]]/Tabela3[[#This Row],[Lucro/Ação]],0)</f>
        <v>10.327696993609479</v>
      </c>
      <c r="N29" s="6">
        <f>Tabela3[[#This Row],[Lucro/Ação]]*Tabela3[[#This Row],[Payout]]</f>
        <v>0.54938803373034073</v>
      </c>
      <c r="O29" s="15" t="str">
        <f>IF(AND(Tabela3[% A.A.]&gt;=10%,Tabela3[PVPA]&lt;=2,Tabela3[PL]&lt;=15,Tabela3[PL]&gt;0),"Sim","Não")</f>
        <v>Não</v>
      </c>
      <c r="P29" s="45">
        <f>Tabela3[[#This Row],[Lucro Prev]]/Tabela3[[#This Row],[Cotação]]</f>
        <v>5.7830319340035866E-2</v>
      </c>
      <c r="Q29" s="19">
        <f>((1+Tabela3[[#This Row],[% Yield]])^(1/(3*Tabela3[[#This Row],[Ref]])))^(12)-1</f>
        <v>7.7840952853173384E-2</v>
      </c>
      <c r="R29" s="14">
        <f>($X$1/Tabela3[[#This Row],[Cotação]]-MOD($X$1/Tabela3[[#This Row],[Cotação]],100))</f>
        <v>0</v>
      </c>
      <c r="S29" s="17">
        <f>Tabela3[[#This Row],[Ativos]]*Tabela3[[#This Row],[Lucro Prev]]</f>
        <v>0</v>
      </c>
      <c r="T29" s="5">
        <f>SUMPRODUCT(N(Tabela1[Código]=Tabela3[[#This Row],[PAPEL]]),Tabela1[Fechamento])</f>
        <v>9.5</v>
      </c>
      <c r="U29" s="5">
        <f>SUMPRODUCT(N(Tabela17[Código]=Tabela3[[#This Row],[PAPEL]]),Tabela17[Fechamento])</f>
        <v>0</v>
      </c>
    </row>
    <row r="30" spans="1:21" hidden="1" x14ac:dyDescent="0.2">
      <c r="A30" s="4" t="s">
        <v>14</v>
      </c>
      <c r="B30" s="14" t="s">
        <v>224</v>
      </c>
      <c r="C30" s="15">
        <v>3</v>
      </c>
      <c r="D30" s="6">
        <v>273287000</v>
      </c>
      <c r="E30" s="6">
        <v>47071000</v>
      </c>
      <c r="F30" s="6">
        <f>GETPIVOTDATA("Average of Lucro Líquido",'Tabela LL'!$A$3,"Ativo",Tabela3[[#This Row],[PAPEL]])/4*Tabela3[[#This Row],[Ref]]</f>
        <v>51099884.591250002</v>
      </c>
      <c r="G30" s="41">
        <v>10541442</v>
      </c>
      <c r="H30" s="15">
        <f>Tabela3[[#This Row],[Lucro Líquido]]/Tabela3[[#This Row],[Total Ações]]</f>
        <v>4.4653283677887714</v>
      </c>
      <c r="I30" s="19">
        <f>IF(GETPIVOTDATA("Payout",'Tabela LL'!$A$3,"Ativo",Tabela3[[#This Row],[PAPEL]])&gt;1,1,GETPIVOTDATA("Payout",'Tabela LL'!$A$3,"Ativo",Tabela3[[#This Row],[PAPEL]]))</f>
        <v>0.55210929465239156</v>
      </c>
      <c r="J30" s="6">
        <f>Tabela3[Patrimônio Líquido]/Tabela3[Total Ações]</f>
        <v>25.925011018416644</v>
      </c>
      <c r="K30" s="51">
        <f>MAX(Tabela3[[#This Row],[Cotação 1]],Tabela3[[#This Row],[Cotação 2]])</f>
        <v>43.25</v>
      </c>
      <c r="L30" s="47">
        <f>Tabela3[Cotação]/Tabela3[VPA]</f>
        <v>1.6682731578889594</v>
      </c>
      <c r="M30" s="43">
        <f>IF(Tabela3[[#This Row],[Lucro/Ação]]&gt;0,Tabela3[[#This Row],[Cotação]]/Tabela3[[#This Row],[Lucro/Ação]],0)</f>
        <v>9.6857378534554179</v>
      </c>
      <c r="N30" s="6">
        <f>Tabela3[[#This Row],[Lucro/Ação]]*Tabela3[[#This Row],[Payout]]</f>
        <v>2.4653492955311735</v>
      </c>
      <c r="O30" s="15" t="str">
        <f>IF(AND(Tabela3[% A.A.]&gt;=10%,Tabela3[PVPA]&lt;=2,Tabela3[PL]&lt;=15,Tabela3[PL]&gt;0),"Sim","Não")</f>
        <v>Não</v>
      </c>
      <c r="P30" s="45">
        <f>Tabela3[[#This Row],[Lucro Prev]]/Tabela3[[#This Row],[Cotação]]</f>
        <v>5.7002295850431761E-2</v>
      </c>
      <c r="Q30" s="19">
        <f>((1+Tabela3[[#This Row],[% Yield]])^(1/(3*Tabela3[[#This Row],[Ref]])))^(12)-1</f>
        <v>7.6716183712232322E-2</v>
      </c>
      <c r="R30" s="14">
        <f>($X$1/Tabela3[[#This Row],[Cotação]]-MOD($X$1/Tabela3[[#This Row],[Cotação]],100))</f>
        <v>0</v>
      </c>
      <c r="S30" s="17">
        <f>Tabela3[[#This Row],[Ativos]]*Tabela3[[#This Row],[Lucro Prev]]</f>
        <v>0</v>
      </c>
      <c r="T30" s="5">
        <f>SUMPRODUCT(N(Tabela1[Código]=Tabela3[[#This Row],[PAPEL]]),Tabela1[Fechamento])</f>
        <v>43.25</v>
      </c>
      <c r="U30" s="5">
        <f>SUMPRODUCT(N(Tabela17[Código]=Tabela3[[#This Row],[PAPEL]]),Tabela17[Fechamento])</f>
        <v>0</v>
      </c>
    </row>
    <row r="31" spans="1:21" hidden="1" x14ac:dyDescent="0.2">
      <c r="A31" s="4" t="s">
        <v>12</v>
      </c>
      <c r="B31" s="14" t="s">
        <v>95</v>
      </c>
      <c r="C31" s="15">
        <v>3</v>
      </c>
      <c r="D31" s="6">
        <v>465994000</v>
      </c>
      <c r="E31" s="6">
        <v>17904000</v>
      </c>
      <c r="F31" s="6">
        <f>GETPIVOTDATA("Average of Lucro Líquido",'Tabela LL'!$A$3,"Ativo",Tabela3[[#This Row],[PAPEL]])/4*Tabela3[[#This Row],[Ref]]</f>
        <v>24873216.054375</v>
      </c>
      <c r="G31" s="41">
        <v>9183458</v>
      </c>
      <c r="H31" s="15">
        <f>Tabela3[[#This Row],[Lucro Líquido]]/Tabela3[[#This Row],[Total Ações]]</f>
        <v>1.9495924084369962</v>
      </c>
      <c r="I31" s="19">
        <f>IF(GETPIVOTDATA("Payout",'Tabela LL'!$A$3,"Ativo",Tabela3[[#This Row],[PAPEL]])&gt;1,1,GETPIVOTDATA("Payout",'Tabela LL'!$A$3,"Ativo",Tabela3[[#This Row],[PAPEL]]))</f>
        <v>0.47419139568365454</v>
      </c>
      <c r="J31" s="6">
        <f>Tabela3[Patrimônio Líquido]/Tabela3[Total Ações]</f>
        <v>50.742759426786726</v>
      </c>
      <c r="K31" s="51">
        <f>MAX(Tabela3[[#This Row],[Cotação 1]],Tabela3[[#This Row],[Cotação 2]])</f>
        <v>16.510000000000002</v>
      </c>
      <c r="L31" s="47">
        <f>Tabela3[Cotação]/Tabela3[VPA]</f>
        <v>0.32536661755301577</v>
      </c>
      <c r="M31" s="43">
        <f>IF(Tabela3[[#This Row],[Lucro/Ação]]&gt;0,Tabela3[[#This Row],[Cotação]]/Tabela3[[#This Row],[Lucro/Ação]],0)</f>
        <v>8.4684367504468288</v>
      </c>
      <c r="N31" s="6">
        <f>Tabela3[[#This Row],[Lucro/Ação]]*Tabela3[[#This Row],[Payout]]</f>
        <v>0.92447994517099674</v>
      </c>
      <c r="O31" s="15" t="str">
        <f>IF(AND(Tabela3[% A.A.]&gt;=10%,Tabela3[PVPA]&lt;=2,Tabela3[PL]&lt;=15,Tabela3[PL]&gt;0),"Sim","Não")</f>
        <v>Não</v>
      </c>
      <c r="P31" s="45">
        <f>Tabela3[[#This Row],[Lucro Prev]]/Tabela3[[#This Row],[Cotação]]</f>
        <v>5.5995151130890167E-2</v>
      </c>
      <c r="Q31" s="19">
        <f>((1+Tabela3[[#This Row],[% Yield]])^(1/(3*Tabela3[[#This Row],[Ref]])))^(12)-1</f>
        <v>7.534849602051974E-2</v>
      </c>
      <c r="R31" s="14">
        <f>($X$1/Tabela3[[#This Row],[Cotação]]-MOD($X$1/Tabela3[[#This Row],[Cotação]],100))</f>
        <v>0</v>
      </c>
      <c r="S31" s="17">
        <f>Tabela3[[#This Row],[Ativos]]*Tabela3[[#This Row],[Lucro Prev]]</f>
        <v>0</v>
      </c>
      <c r="T31" s="5">
        <f>SUMPRODUCT(N(Tabela1[Código]=Tabela3[[#This Row],[PAPEL]]),Tabela1[Fechamento])</f>
        <v>16.510000000000002</v>
      </c>
      <c r="U31" s="5">
        <f>SUMPRODUCT(N(Tabela17[Código]=Tabela3[[#This Row],[PAPEL]]),Tabela17[Fechamento])</f>
        <v>0</v>
      </c>
    </row>
    <row r="32" spans="1:21" hidden="1" x14ac:dyDescent="0.2">
      <c r="A32" s="4" t="s">
        <v>12</v>
      </c>
      <c r="B32" s="14" t="s">
        <v>93</v>
      </c>
      <c r="C32" s="15">
        <v>3</v>
      </c>
      <c r="D32" s="6">
        <v>2778571000</v>
      </c>
      <c r="E32" s="6">
        <v>434008000</v>
      </c>
      <c r="F32" s="6">
        <f>GETPIVOTDATA("Average of Lucro Líquido",'Tabela LL'!$A$3,"Ativo",Tabela3[[#This Row],[PAPEL]])/4*Tabela3[[#This Row],[Ref]]</f>
        <v>635499638.54250002</v>
      </c>
      <c r="G32" s="41">
        <v>188177338</v>
      </c>
      <c r="H32" s="15">
        <f>Tabela3[[#This Row],[Lucro Líquido]]/Tabela3[[#This Row],[Total Ações]]</f>
        <v>2.3063776149283184</v>
      </c>
      <c r="I32" s="19">
        <f>IF(GETPIVOTDATA("Payout",'Tabela LL'!$A$3,"Ativo",Tabela3[[#This Row],[PAPEL]])&gt;1,1,GETPIVOTDATA("Payout",'Tabela LL'!$A$3,"Ativo",Tabela3[[#This Row],[PAPEL]]))</f>
        <v>0.76692732207874426</v>
      </c>
      <c r="J32" s="6">
        <f>Tabela3[Patrimônio Líquido]/Tabela3[Total Ações]</f>
        <v>14.765704677999006</v>
      </c>
      <c r="K32" s="51">
        <f>MAX(Tabela3[[#This Row],[Cotação 1]],Tabela3[[#This Row],[Cotação 2]])</f>
        <v>31.98</v>
      </c>
      <c r="L32" s="47">
        <f>Tabela3[Cotação]/Tabela3[VPA]</f>
        <v>2.1658295826307841</v>
      </c>
      <c r="M32" s="43">
        <f>IF(Tabela3[[#This Row],[Lucro/Ação]]&gt;0,Tabela3[[#This Row],[Cotação]]/Tabela3[[#This Row],[Lucro/Ação]],0)</f>
        <v>13.865899405633076</v>
      </c>
      <c r="N32" s="6">
        <f>Tabela3[[#This Row],[Lucro/Ação]]*Tabela3[[#This Row],[Payout]]</f>
        <v>1.7688240079193365</v>
      </c>
      <c r="O32" s="15" t="str">
        <f>IF(AND(Tabela3[% A.A.]&gt;=10%,Tabela3[PVPA]&lt;=2,Tabela3[PL]&lt;=15,Tabela3[PL]&gt;0),"Sim","Não")</f>
        <v>Não</v>
      </c>
      <c r="P32" s="45">
        <f>Tabela3[[#This Row],[Lucro Prev]]/Tabela3[[#This Row],[Cotação]]</f>
        <v>5.5310319196977376E-2</v>
      </c>
      <c r="Q32" s="19">
        <f>((1+Tabela3[[#This Row],[% Yield]])^(1/(3*Tabela3[[#This Row],[Ref]])))^(12)-1</f>
        <v>7.4418752634803464E-2</v>
      </c>
      <c r="R32" s="14">
        <f>($X$1/Tabela3[[#This Row],[Cotação]]-MOD($X$1/Tabela3[[#This Row],[Cotação]],100))</f>
        <v>0</v>
      </c>
      <c r="S32" s="17">
        <f>Tabela3[[#This Row],[Ativos]]*Tabela3[[#This Row],[Lucro Prev]]</f>
        <v>0</v>
      </c>
      <c r="T32" s="5">
        <f>SUMPRODUCT(N(Tabela1[Código]=Tabela3[[#This Row],[PAPEL]]),Tabela1[Fechamento])</f>
        <v>31.98</v>
      </c>
      <c r="U32" s="5">
        <f>SUMPRODUCT(N(Tabela17[Código]=Tabela3[[#This Row],[PAPEL]]),Tabela17[Fechamento])</f>
        <v>0</v>
      </c>
    </row>
    <row r="33" spans="1:21" hidden="1" x14ac:dyDescent="0.2">
      <c r="A33" s="4" t="s">
        <v>12</v>
      </c>
      <c r="B33" s="14" t="s">
        <v>94</v>
      </c>
      <c r="C33" s="15">
        <v>3</v>
      </c>
      <c r="D33" s="6">
        <v>2778571000</v>
      </c>
      <c r="E33" s="6">
        <v>434008000</v>
      </c>
      <c r="F33" s="6">
        <f>GETPIVOTDATA("Average of Lucro Líquido",'Tabela LL'!$A$3,"Ativo",Tabela3[[#This Row],[PAPEL]])/4*Tabela3[[#This Row],[Ref]]</f>
        <v>635499638.54250002</v>
      </c>
      <c r="G33" s="41">
        <v>188177338</v>
      </c>
      <c r="H33" s="15">
        <f>Tabela3[[#This Row],[Lucro Líquido]]/Tabela3[[#This Row],[Total Ações]]</f>
        <v>2.3063776149283184</v>
      </c>
      <c r="I33" s="19">
        <f>IF(GETPIVOTDATA("Payout",'Tabela LL'!$A$3,"Ativo",Tabela3[[#This Row],[PAPEL]])&gt;1,1,GETPIVOTDATA("Payout",'Tabela LL'!$A$3,"Ativo",Tabela3[[#This Row],[PAPEL]]))</f>
        <v>0.76692732207874426</v>
      </c>
      <c r="J33" s="6">
        <f>Tabela3[Patrimônio Líquido]/Tabela3[Total Ações]</f>
        <v>14.765704677999006</v>
      </c>
      <c r="K33" s="51">
        <f>MAX(Tabela3[[#This Row],[Cotação 1]],Tabela3[[#This Row],[Cotação 2]])</f>
        <v>32.01</v>
      </c>
      <c r="L33" s="47">
        <f>Tabela3[Cotação]/Tabela3[VPA]</f>
        <v>2.1678613176989177</v>
      </c>
      <c r="M33" s="43">
        <f>IF(Tabela3[[#This Row],[Lucro/Ação]]&gt;0,Tabela3[[#This Row],[Cotação]]/Tabela3[[#This Row],[Lucro/Ação]],0)</f>
        <v>13.878906815957308</v>
      </c>
      <c r="N33" s="6">
        <f>Tabela3[[#This Row],[Lucro/Ação]]*Tabela3[[#This Row],[Payout]]</f>
        <v>1.7688240079193365</v>
      </c>
      <c r="O33" s="15" t="str">
        <f>IF(AND(Tabela3[% A.A.]&gt;=10%,Tabela3[PVPA]&lt;=2,Tabela3[PL]&lt;=15,Tabela3[PL]&gt;0),"Sim","Não")</f>
        <v>Não</v>
      </c>
      <c r="P33" s="45">
        <f>Tabela3[[#This Row],[Lucro Prev]]/Tabela3[[#This Row],[Cotação]]</f>
        <v>5.525848197186306E-2</v>
      </c>
      <c r="Q33" s="19">
        <f>((1+Tabela3[[#This Row],[% Yield]])^(1/(3*Tabela3[[#This Row],[Ref]])))^(12)-1</f>
        <v>7.4348385426509456E-2</v>
      </c>
      <c r="R33" s="14">
        <f>($X$1/Tabela3[[#This Row],[Cotação]]-MOD($X$1/Tabela3[[#This Row],[Cotação]],100))</f>
        <v>0</v>
      </c>
      <c r="S33" s="17">
        <f>Tabela3[[#This Row],[Ativos]]*Tabela3[[#This Row],[Lucro Prev]]</f>
        <v>0</v>
      </c>
      <c r="T33" s="5">
        <f>SUMPRODUCT(N(Tabela1[Código]=Tabela3[[#This Row],[PAPEL]]),Tabela1[Fechamento])</f>
        <v>32.01</v>
      </c>
      <c r="U33" s="5">
        <f>SUMPRODUCT(N(Tabela17[Código]=Tabela3[[#This Row],[PAPEL]]),Tabela17[Fechamento])</f>
        <v>0</v>
      </c>
    </row>
    <row r="34" spans="1:21" hidden="1" x14ac:dyDescent="0.2">
      <c r="A34" s="3" t="s">
        <v>354</v>
      </c>
      <c r="B34" s="72" t="s">
        <v>355</v>
      </c>
      <c r="C34" s="16">
        <v>3</v>
      </c>
      <c r="D34" s="5">
        <v>314080000</v>
      </c>
      <c r="E34" s="5">
        <v>22535000</v>
      </c>
      <c r="F34" s="5">
        <f>GETPIVOTDATA("Average of Lucro Líquido",'Tabela LL'!$A$3,"Ativo",Tabela3[[#This Row],[PAPEL]])/4*Tabela3[[#This Row],[Ref]]</f>
        <v>9861750</v>
      </c>
      <c r="G34" s="21">
        <v>65075322</v>
      </c>
      <c r="H34" s="70">
        <f>Tabela3[[#This Row],[Lucro Líquido]]/Tabela3[[#This Row],[Total Ações]]</f>
        <v>0.34629102565178238</v>
      </c>
      <c r="I34" s="18">
        <f>IF(GETPIVOTDATA("Payout",'Tabela LL'!$A$3,"Ativo",Tabela3[[#This Row],[PAPEL]])&gt;1,1,GETPIVOTDATA("Payout",'Tabela LL'!$A$3,"Ativo",Tabela3[[#This Row],[PAPEL]]))</f>
        <v>1</v>
      </c>
      <c r="J34" s="5">
        <f>Tabela3[Patrimônio Líquido]/Tabela3[Total Ações]</f>
        <v>4.8264071593837059</v>
      </c>
      <c r="K34" s="57">
        <f>MAX(Tabela3[[#This Row],[Cotação 1]],Tabela3[[#This Row],[Cotação 2]])</f>
        <v>6.5</v>
      </c>
      <c r="L34" s="58">
        <f>Tabela3[Cotação]/Tabela3[VPA]</f>
        <v>1.3467574917218543</v>
      </c>
      <c r="M34" s="39">
        <f>IF(Tabela3[[#This Row],[Lucro/Ação]]&gt;0,Tabela3[[#This Row],[Cotação]]/Tabela3[[#This Row],[Lucro/Ação]],0)</f>
        <v>18.770339161304637</v>
      </c>
      <c r="N34" s="5">
        <f>Tabela3[[#This Row],[Lucro/Ação]]*Tabela3[[#This Row],[Payout]]</f>
        <v>0.34629102565178238</v>
      </c>
      <c r="O34" s="16" t="str">
        <f>IF(AND(Tabela3[% A.A.]&gt;=10%,Tabela3[PVPA]&lt;=2,Tabela3[PL]&lt;=15,Tabela3[PL]&gt;0),"Sim","Não")</f>
        <v>Não</v>
      </c>
      <c r="P34" s="22">
        <f>Tabela3[[#This Row],[Lucro Prev]]/Tabela3[[#This Row],[Cotação]]</f>
        <v>5.3275542407966517E-2</v>
      </c>
      <c r="Q34" s="18">
        <f>((1+Tabela3[[#This Row],[% Yield]])^(1/(3*Tabela3[[#This Row],[Ref]])))^(12)-1</f>
        <v>7.1657480174921018E-2</v>
      </c>
      <c r="R34" s="10">
        <f>($X$1/Tabela3[[#This Row],[Cotação]]-MOD($X$1/Tabela3[[#This Row],[Cotação]],100))</f>
        <v>0</v>
      </c>
      <c r="S34" s="7">
        <f>Tabela3[[#This Row],[Ativos]]*Tabela3[[#This Row],[Lucro Prev]]</f>
        <v>0</v>
      </c>
      <c r="T34" s="50">
        <f>SUMPRODUCT(N(Tabela1[Código]=Tabela3[[#This Row],[PAPEL]]),Tabela1[Fechamento])</f>
        <v>0</v>
      </c>
      <c r="U34" s="59">
        <f>SUMPRODUCT(N(Tabela17[Código]=Tabela3[[#This Row],[PAPEL]]),Tabela17[Fechamento])</f>
        <v>6.5</v>
      </c>
    </row>
    <row r="35" spans="1:21" hidden="1" x14ac:dyDescent="0.2">
      <c r="A35" s="4" t="s">
        <v>37</v>
      </c>
      <c r="B35" s="14" t="s">
        <v>67</v>
      </c>
      <c r="C35" s="15">
        <v>3</v>
      </c>
      <c r="D35" s="6">
        <v>3403126000</v>
      </c>
      <c r="E35" s="6">
        <v>314887000</v>
      </c>
      <c r="F35" s="6">
        <f>GETPIVOTDATA("Average of Lucro Líquido",'Tabela LL'!$A$3,"Ativo",Tabela3[[#This Row],[PAPEL]])/4*Tabela3[[#This Row],[Ref]]</f>
        <v>160932750</v>
      </c>
      <c r="G35" s="41">
        <v>476620206</v>
      </c>
      <c r="H35" s="15">
        <f>Tabela3[[#This Row],[Lucro Líquido]]/Tabela3[[#This Row],[Total Ações]]</f>
        <v>0.66066649301897196</v>
      </c>
      <c r="I35" s="19">
        <f>IF(GETPIVOTDATA("Payout",'Tabela LL'!$A$3,"Ativo",Tabela3[[#This Row],[PAPEL]])&gt;1,1,GETPIVOTDATA("Payout",'Tabela LL'!$A$3,"Ativo",Tabela3[[#This Row],[PAPEL]]))</f>
        <v>0.46297228112835515</v>
      </c>
      <c r="J35" s="6">
        <f>Tabela3[Patrimônio Líquido]/Tabela3[Total Ações]</f>
        <v>7.1401211219316201</v>
      </c>
      <c r="K35" s="51">
        <f>MAX(Tabela3[[#This Row],[Cotação 1]],Tabela3[[#This Row],[Cotação 2]])</f>
        <v>5.8</v>
      </c>
      <c r="L35" s="47">
        <f>Tabela3[Cotação]/Tabela3[VPA]</f>
        <v>0.81231115004263732</v>
      </c>
      <c r="M35" s="43">
        <f>IF(Tabela3[[#This Row],[Lucro/Ação]]&gt;0,Tabela3[[#This Row],[Cotação]]/Tabela3[[#This Row],[Lucro/Ação]],0)</f>
        <v>8.7790134073493036</v>
      </c>
      <c r="N35" s="6">
        <f>Tabela3[[#This Row],[Lucro/Ação]]*Tabela3[[#This Row],[Payout]]</f>
        <v>0.30587027333806399</v>
      </c>
      <c r="O35" s="15" t="str">
        <f>IF(AND(Tabela3[% A.A.]&gt;=10%,Tabela3[PVPA]&lt;=2,Tabela3[PL]&lt;=15,Tabela3[PL]&gt;0),"Sim","Não")</f>
        <v>Não</v>
      </c>
      <c r="P35" s="45">
        <f>Tabela3[[#This Row],[Lucro Prev]]/Tabela3[[#This Row],[Cotação]]</f>
        <v>5.2736254023804136E-2</v>
      </c>
      <c r="Q35" s="19">
        <f>((1+Tabela3[[#This Row],[% Yield]])^(1/(3*Tabela3[[#This Row],[Ref]])))^(12)-1</f>
        <v>7.0925942435055012E-2</v>
      </c>
      <c r="R35" s="14">
        <f>($X$1/Tabela3[[#This Row],[Cotação]]-MOD($X$1/Tabela3[[#This Row],[Cotação]],100))</f>
        <v>0</v>
      </c>
      <c r="S35" s="17">
        <f>Tabela3[[#This Row],[Ativos]]*Tabela3[[#This Row],[Lucro Prev]]</f>
        <v>0</v>
      </c>
      <c r="T35" s="5">
        <f>SUMPRODUCT(N(Tabela1[Código]=Tabela3[[#This Row],[PAPEL]]),Tabela1[Fechamento])</f>
        <v>5.8</v>
      </c>
      <c r="U35" s="5">
        <f>SUMPRODUCT(N(Tabela17[Código]=Tabela3[[#This Row],[PAPEL]]),Tabela17[Fechamento])</f>
        <v>0</v>
      </c>
    </row>
    <row r="36" spans="1:21" hidden="1" x14ac:dyDescent="0.2">
      <c r="A36" s="4" t="s">
        <v>380</v>
      </c>
      <c r="B36" s="69" t="s">
        <v>383</v>
      </c>
      <c r="C36" s="15">
        <v>3</v>
      </c>
      <c r="D36" s="6">
        <v>222307000</v>
      </c>
      <c r="E36" s="6">
        <v>18125000</v>
      </c>
      <c r="F36" s="6">
        <f>GETPIVOTDATA("Average of Lucro Líquido",'Tabela LL'!$A$3,"Ativo",Tabela3[[#This Row],[PAPEL]])/4*Tabela3[[#This Row],[Ref]]</f>
        <v>18147434.266874999</v>
      </c>
      <c r="G36" s="41">
        <v>2857301</v>
      </c>
      <c r="H36" s="71">
        <f>Tabela3[[#This Row],[Lucro Líquido]]/Tabela3[[#This Row],[Total Ações]]</f>
        <v>6.3433988928712797</v>
      </c>
      <c r="I36" s="19">
        <f>IF(GETPIVOTDATA("Payout",'Tabela LL'!$A$3,"Ativo",Tabela3[[#This Row],[PAPEL]])&gt;1,1,GETPIVOTDATA("Payout",'Tabela LL'!$A$3,"Ativo",Tabela3[[#This Row],[PAPEL]]))</f>
        <v>0.72745804302911377</v>
      </c>
      <c r="J36" s="6">
        <f>Tabela3[Patrimônio Líquido]/Tabela3[Total Ações]</f>
        <v>77.803143596001959</v>
      </c>
      <c r="K36" s="51">
        <f>MAX(Tabela3[[#This Row],[Cotação 1]],Tabela3[[#This Row],[Cotação 2]])</f>
        <v>88</v>
      </c>
      <c r="L36" s="47">
        <f>Tabela3[Cotação]/Tabela3[VPA]</f>
        <v>1.1310596967256992</v>
      </c>
      <c r="M36" s="43">
        <f>IF(Tabela3[[#This Row],[Lucro/Ação]]&gt;0,Tabela3[[#This Row],[Cotação]]/Tabela3[[#This Row],[Lucro/Ação]],0)</f>
        <v>13.872688993103448</v>
      </c>
      <c r="N36" s="6">
        <f>Tabela3[[#This Row],[Lucro/Ação]]*Tabela3[[#This Row],[Payout]]</f>
        <v>4.6145565447611876</v>
      </c>
      <c r="O36" s="15" t="str">
        <f>IF(AND(Tabela3[% A.A.]&gt;=10%,Tabela3[PVPA]&lt;=2,Tabela3[PL]&lt;=15,Tabela3[PL]&gt;0),"Sim","Não")</f>
        <v>Não</v>
      </c>
      <c r="P36" s="45">
        <f>Tabela3[[#This Row],[Lucro Prev]]/Tabela3[[#This Row],[Cotação]]</f>
        <v>5.2438142554104401E-2</v>
      </c>
      <c r="Q36" s="19">
        <f>((1+Tabela3[[#This Row],[% Yield]])^(1/(3*Tabela3[[#This Row],[Ref]])))^(12)-1</f>
        <v>7.0521611674075002E-2</v>
      </c>
      <c r="R36" s="14">
        <f>($X$1/Tabela3[[#This Row],[Cotação]]-MOD($X$1/Tabela3[[#This Row],[Cotação]],100))</f>
        <v>0</v>
      </c>
      <c r="S36" s="17">
        <f>Tabela3[[#This Row],[Ativos]]*Tabela3[[#This Row],[Lucro Prev]]</f>
        <v>0</v>
      </c>
      <c r="T36" s="13">
        <f>SUMPRODUCT(N(Tabela1[Código]=Tabela3[[#This Row],[PAPEL]]),Tabela1[Fechamento])</f>
        <v>0</v>
      </c>
      <c r="U36" s="60">
        <f>SUMPRODUCT(N(Tabela17[Código]=Tabela3[[#This Row],[PAPEL]]),Tabela17[Fechamento])</f>
        <v>88</v>
      </c>
    </row>
    <row r="37" spans="1:21" hidden="1" x14ac:dyDescent="0.2">
      <c r="A37" s="3" t="s">
        <v>328</v>
      </c>
      <c r="B37" s="72" t="s">
        <v>329</v>
      </c>
      <c r="C37" s="16">
        <v>3</v>
      </c>
      <c r="D37" s="5">
        <v>43631075000</v>
      </c>
      <c r="E37" s="5">
        <v>2484629000</v>
      </c>
      <c r="F37" s="5">
        <f>GETPIVOTDATA("Average of Lucro Líquido",'Tabela LL'!$A$3,"Ativo",Tabela3[[#This Row],[PAPEL]])/4*Tabela3[[#This Row],[Ref]]</f>
        <v>3387334247.8450003</v>
      </c>
      <c r="G37" s="21">
        <v>1125601930</v>
      </c>
      <c r="H37" s="70">
        <f>Tabela3[[#This Row],[Lucro Líquido]]/Tabela3[[#This Row],[Total Ações]]</f>
        <v>2.2073780559349254</v>
      </c>
      <c r="I37" s="18">
        <f>IF(GETPIVOTDATA("Payout",'Tabela LL'!$A$3,"Ativo",Tabela3[[#This Row],[PAPEL]])&gt;1,1,GETPIVOTDATA("Payout",'Tabela LL'!$A$3,"Ativo",Tabela3[[#This Row],[PAPEL]]))</f>
        <v>0.96704817187555625</v>
      </c>
      <c r="J37" s="5">
        <f>Tabela3[Patrimônio Líquido]/Tabela3[Total Ações]</f>
        <v>38.762437978406808</v>
      </c>
      <c r="K37" s="57">
        <f>MAX(Tabela3[[#This Row],[Cotação 1]],Tabela3[[#This Row],[Cotação 2]])</f>
        <v>41.55</v>
      </c>
      <c r="L37" s="58">
        <f>Tabela3[Cotação]/Tabela3[VPA]</f>
        <v>1.0719140014656983</v>
      </c>
      <c r="M37" s="39">
        <f>IF(Tabela3[[#This Row],[Lucro/Ação]]&gt;0,Tabela3[[#This Row],[Cotação]]/Tabela3[[#This Row],[Lucro/Ação]],0)</f>
        <v>18.823236866147823</v>
      </c>
      <c r="N37" s="5">
        <f>Tabela3[[#This Row],[Lucro/Ação]]*Tabela3[[#This Row],[Payout]]</f>
        <v>2.134640913630089</v>
      </c>
      <c r="O37" s="16" t="str">
        <f>IF(AND(Tabela3[% A.A.]&gt;=10%,Tabela3[PVPA]&lt;=2,Tabela3[PL]&lt;=15,Tabela3[PL]&gt;0),"Sim","Não")</f>
        <v>Não</v>
      </c>
      <c r="P37" s="22">
        <f>Tabela3[[#This Row],[Lucro Prev]]/Tabela3[[#This Row],[Cotação]]</f>
        <v>5.1375232578341493E-2</v>
      </c>
      <c r="Q37" s="18">
        <f>((1+Tabela3[[#This Row],[% Yield]])^(1/(3*Tabela3[[#This Row],[Ref]])))^(12)-1</f>
        <v>6.9080289877696766E-2</v>
      </c>
      <c r="R37" s="10">
        <f>($X$1/Tabela3[[#This Row],[Cotação]]-MOD($X$1/Tabela3[[#This Row],[Cotação]],100))</f>
        <v>0</v>
      </c>
      <c r="S37" s="7">
        <f>Tabela3[[#This Row],[Ativos]]*Tabela3[[#This Row],[Lucro Prev]]</f>
        <v>0</v>
      </c>
      <c r="T37" s="50">
        <f>SUMPRODUCT(N(Tabela1[Código]=Tabela3[[#This Row],[PAPEL]]),Tabela1[Fechamento])</f>
        <v>0</v>
      </c>
      <c r="U37" s="59">
        <f>SUMPRODUCT(N(Tabela17[Código]=Tabela3[[#This Row],[PAPEL]]),Tabela17[Fechamento])</f>
        <v>41.55</v>
      </c>
    </row>
    <row r="38" spans="1:21" hidden="1" x14ac:dyDescent="0.2">
      <c r="A38" s="4" t="s">
        <v>12</v>
      </c>
      <c r="B38" s="69" t="s">
        <v>68</v>
      </c>
      <c r="C38" s="15">
        <v>3</v>
      </c>
      <c r="D38" s="6">
        <v>1476720000</v>
      </c>
      <c r="E38" s="6">
        <v>48170000</v>
      </c>
      <c r="F38" s="6">
        <f>GETPIVOTDATA("Average of Lucro Líquido",'Tabela LL'!$A$3,"Ativo",Tabela3[[#This Row],[PAPEL]])/4*Tabela3[[#This Row],[Ref]]</f>
        <v>209504363.02875</v>
      </c>
      <c r="G38" s="41">
        <v>95061053</v>
      </c>
      <c r="H38" s="15">
        <f>Tabela3[[#This Row],[Lucro Líquido]]/Tabela3[[#This Row],[Total Ações]]</f>
        <v>0.50672697681983392</v>
      </c>
      <c r="I38" s="19">
        <f>IF(GETPIVOTDATA("Payout",'Tabela LL'!$A$3,"Ativo",Tabela3[[#This Row],[PAPEL]])&gt;1,1,GETPIVOTDATA("Payout",'Tabela LL'!$A$3,"Ativo",Tabela3[[#This Row],[PAPEL]]))</f>
        <v>0.83226612425770607</v>
      </c>
      <c r="J38" s="6">
        <f>Tabela3[Patrimônio Líquido]/Tabela3[Total Ações]</f>
        <v>15.53443764188053</v>
      </c>
      <c r="K38" s="51">
        <f>MAX(Tabela3[[#This Row],[Cotação 1]],Tabela3[[#This Row],[Cotação 2]])</f>
        <v>8.3000000000000007</v>
      </c>
      <c r="L38" s="47">
        <f>Tabela3[Cotação]/Tabela3[VPA]</f>
        <v>0.53429677928110952</v>
      </c>
      <c r="M38" s="43">
        <f>IF(Tabela3[[#This Row],[Lucro/Ação]]&gt;0,Tabela3[[#This Row],[Cotação]]/Tabela3[[#This Row],[Lucro/Ação]],0)</f>
        <v>16.379629227735105</v>
      </c>
      <c r="N38" s="6">
        <f>Tabela3[[#This Row],[Lucro/Ação]]*Tabela3[[#This Row],[Payout]]</f>
        <v>0.42173169705466762</v>
      </c>
      <c r="O38" s="14" t="str">
        <f>IF(AND(Tabela3[% A.A.]&gt;=10%,Tabela3[PVPA]&lt;=2,Tabela3[PL]&lt;=15,Tabela3[PL]&gt;0),"Sim","Não")</f>
        <v>Não</v>
      </c>
      <c r="P38" s="45">
        <f>Tabela3[[#This Row],[Lucro Prev]]/Tabela3[[#This Row],[Cotação]]</f>
        <v>5.0811047837911759E-2</v>
      </c>
      <c r="Q38" s="19">
        <f>((1+Tabela3[[#This Row],[% Yield]])^(1/(3*Tabela3[[#This Row],[Ref]])))^(12)-1</f>
        <v>6.8315444220803601E-2</v>
      </c>
      <c r="R38" s="14">
        <f>($X$1/Tabela3[[#This Row],[Cotação]]-MOD($X$1/Tabela3[[#This Row],[Cotação]],100))</f>
        <v>0</v>
      </c>
      <c r="S38" s="17">
        <f>Tabela3[[#This Row],[Ativos]]*Tabela3[[#This Row],[Lucro Prev]]</f>
        <v>0</v>
      </c>
      <c r="T38" s="5">
        <f>SUMPRODUCT(N(Tabela1[Código]=Tabela3[[#This Row],[PAPEL]]),Tabela1[Fechamento])</f>
        <v>8.3000000000000007</v>
      </c>
      <c r="U38" s="5">
        <f>SUMPRODUCT(N(Tabela17[Código]=Tabela3[[#This Row],[PAPEL]]),Tabela17[Fechamento])</f>
        <v>0</v>
      </c>
    </row>
    <row r="39" spans="1:21" hidden="1" x14ac:dyDescent="0.2">
      <c r="A39" s="4" t="s">
        <v>14</v>
      </c>
      <c r="B39" s="14" t="s">
        <v>23</v>
      </c>
      <c r="C39" s="15">
        <v>3</v>
      </c>
      <c r="D39" s="6">
        <v>5008604000</v>
      </c>
      <c r="E39" s="6">
        <v>602652000</v>
      </c>
      <c r="F39" s="6">
        <f>GETPIVOTDATA("Average of Lucro Líquido",'Tabela LL'!$A$3,"Ativo",Tabela3[[#This Row],[PAPEL]])/4*Tabela3[[#This Row],[Ref]]</f>
        <v>646102241.92124999</v>
      </c>
      <c r="G39" s="41">
        <v>408974477</v>
      </c>
      <c r="H39" s="15">
        <f>Tabela3[[#This Row],[Lucro Líquido]]/Tabela3[[#This Row],[Total Ações]]</f>
        <v>1.4735687283487864</v>
      </c>
      <c r="I39" s="19">
        <f>IF(GETPIVOTDATA("Payout",'Tabela LL'!$A$3,"Ativo",Tabela3[[#This Row],[PAPEL]])&gt;1,1,GETPIVOTDATA("Payout",'Tabela LL'!$A$3,"Ativo",Tabela3[[#This Row],[PAPEL]]))</f>
        <v>0.38941510854732531</v>
      </c>
      <c r="J39" s="6">
        <f>Tabela3[Patrimônio Líquido]/Tabela3[Total Ações]</f>
        <v>12.246739788605439</v>
      </c>
      <c r="K39" s="51">
        <f>MAX(Tabela3[[#This Row],[Cotação 1]],Tabela3[[#This Row],[Cotação 2]])</f>
        <v>11.85</v>
      </c>
      <c r="L39" s="47">
        <f>Tabela3[Cotação]/Tabela3[VPA]</f>
        <v>0.96760445674084039</v>
      </c>
      <c r="M39" s="43">
        <f>IF(Tabela3[[#This Row],[Lucro/Ação]]&gt;0,Tabela3[[#This Row],[Cotação]]/Tabela3[[#This Row],[Lucro/Ação]],0)</f>
        <v>8.041701599679417</v>
      </c>
      <c r="N39" s="6">
        <f>Tabela3[[#This Row],[Lucro/Ação]]*Tabela3[[#This Row],[Payout]]</f>
        <v>0.57382992630188678</v>
      </c>
      <c r="O39" s="15" t="str">
        <f>IF(AND(Tabela3[% A.A.]&gt;=10%,Tabela3[PVPA]&lt;=2,Tabela3[PL]&lt;=15,Tabela3[PL]&gt;0),"Sim","Não")</f>
        <v>Não</v>
      </c>
      <c r="P39" s="45">
        <f>Tabela3[[#This Row],[Lucro Prev]]/Tabela3[[#This Row],[Cotação]]</f>
        <v>4.84244663545896E-2</v>
      </c>
      <c r="Q39" s="19">
        <f>((1+Tabela3[[#This Row],[% Yield]])^(1/(3*Tabela3[[#This Row],[Ref]])))^(12)-1</f>
        <v>6.5081553260523339E-2</v>
      </c>
      <c r="R39" s="14">
        <f>($X$1/Tabela3[[#This Row],[Cotação]]-MOD($X$1/Tabela3[[#This Row],[Cotação]],100))</f>
        <v>0</v>
      </c>
      <c r="S39" s="17">
        <f>Tabela3[[#This Row],[Ativos]]*Tabela3[[#This Row],[Lucro Prev]]</f>
        <v>0</v>
      </c>
      <c r="T39" s="5">
        <f>SUMPRODUCT(N(Tabela1[Código]=Tabela3[[#This Row],[PAPEL]]),Tabela1[Fechamento])</f>
        <v>11.85</v>
      </c>
      <c r="U39" s="5">
        <f>SUMPRODUCT(N(Tabela17[Código]=Tabela3[[#This Row],[PAPEL]]),Tabela17[Fechamento])</f>
        <v>0</v>
      </c>
    </row>
    <row r="40" spans="1:21" hidden="1" x14ac:dyDescent="0.2">
      <c r="A40" s="4" t="s">
        <v>438</v>
      </c>
      <c r="B40" s="69" t="s">
        <v>437</v>
      </c>
      <c r="C40" s="15">
        <v>3</v>
      </c>
      <c r="D40" s="6">
        <v>39041000</v>
      </c>
      <c r="E40" s="6">
        <v>38084000</v>
      </c>
      <c r="F40" s="6">
        <f>GETPIVOTDATA("Average of Lucro Líquido",'Tabela LL'!$A$3,"Ativo",Tabela3[[#This Row],[PAPEL]])/4*Tabela3[[#This Row],[Ref]]</f>
        <v>75438482.32249999</v>
      </c>
      <c r="G40" s="41">
        <v>46288258</v>
      </c>
      <c r="H40" s="15">
        <f>Tabela3[[#This Row],[Lucro Líquido]]/Tabela3[[#This Row],[Total Ações]]</f>
        <v>0.82275725303812475</v>
      </c>
      <c r="I40" s="19">
        <f>IF(GETPIVOTDATA("Payout",'Tabela LL'!$A$3,"Ativo",Tabela3[[#This Row],[PAPEL]])&gt;1,1,GETPIVOTDATA("Payout",'Tabela LL'!$A$3,"Ativo",Tabela3[[#This Row],[PAPEL]]))</f>
        <v>0.88025940606631048</v>
      </c>
      <c r="J40" s="6">
        <f>Tabela3[Patrimônio Líquido]/Tabela3[Total Ações]</f>
        <v>0.84343204274397188</v>
      </c>
      <c r="K40" s="51">
        <f>MAX(Tabela3[[#This Row],[Cotação 1]],Tabela3[[#This Row],[Cotação 2]])</f>
        <v>15.1</v>
      </c>
      <c r="L40" s="47">
        <f>Tabela3[Cotação]/Tabela3[VPA]</f>
        <v>17.903042847263134</v>
      </c>
      <c r="M40" s="43">
        <f>IF(Tabela3[[#This Row],[Lucro/Ação]]&gt;0,Tabela3[[#This Row],[Cotação]]/Tabela3[[#This Row],[Lucro/Ação]],0)</f>
        <v>18.352922376851168</v>
      </c>
      <c r="N40" s="6">
        <f>Tabela3[[#This Row],[Lucro/Ação]]*Tabela3[[#This Row],[Payout]]</f>
        <v>0.7242398108960888</v>
      </c>
      <c r="O40" s="15" t="str">
        <f>IF(AND(Tabela3[% A.A.]&gt;=10%,Tabela3[PVPA]&lt;=2,Tabela3[PL]&lt;=15,Tabela3[PL]&gt;0),"Sim","Não")</f>
        <v>Não</v>
      </c>
      <c r="P40" s="45">
        <f>Tabela3[[#This Row],[Lucro Prev]]/Tabela3[[#This Row],[Cotação]]</f>
        <v>4.7962901383846943E-2</v>
      </c>
      <c r="Q40" s="19">
        <f>((1+Tabela3[[#This Row],[% Yield]])^(1/(3*Tabela3[[#This Row],[Ref]])))^(12)-1</f>
        <v>6.4456401550121889E-2</v>
      </c>
      <c r="R40" s="14">
        <f>($X$1/Tabela3[[#This Row],[Cotação]]-MOD($X$1/Tabela3[[#This Row],[Cotação]],100))</f>
        <v>0</v>
      </c>
      <c r="S40" s="17">
        <f>Tabela3[[#This Row],[Ativos]]*Tabela3[[#This Row],[Lucro Prev]]</f>
        <v>0</v>
      </c>
      <c r="T40" s="13">
        <f>SUMPRODUCT(N(Tabela1[Código]=Tabela3[[#This Row],[PAPEL]]),Tabela1[Fechamento])</f>
        <v>0</v>
      </c>
      <c r="U40" s="60">
        <f>SUMPRODUCT(N(Tabela17[Código]=Tabela3[[#This Row],[PAPEL]]),Tabela17[Fechamento])</f>
        <v>15.1</v>
      </c>
    </row>
    <row r="41" spans="1:21" hidden="1" x14ac:dyDescent="0.2">
      <c r="A41" s="4" t="s">
        <v>14</v>
      </c>
      <c r="B41" s="15" t="s">
        <v>79</v>
      </c>
      <c r="C41" s="16">
        <v>3</v>
      </c>
      <c r="D41" s="5">
        <v>843867000</v>
      </c>
      <c r="E41" s="5">
        <v>34502000</v>
      </c>
      <c r="F41" s="5">
        <f>GETPIVOTDATA("Average of Lucro Líquido",'Tabela LL'!$A$3,"Ativo",Tabela3[[#This Row],[PAPEL]])/4*Tabela3[[#This Row],[Ref]]</f>
        <v>40652250</v>
      </c>
      <c r="G41" s="21">
        <v>73646388</v>
      </c>
      <c r="H41" s="16">
        <f>Tabela3[[#This Row],[Lucro Líquido]]/Tabela3[[#This Row],[Total Ações]]</f>
        <v>0.46848190300928266</v>
      </c>
      <c r="I41" s="18">
        <f>IF(GETPIVOTDATA("Payout",'Tabela LL'!$A$3,"Ativo",Tabela3[[#This Row],[PAPEL]])&gt;1,1,GETPIVOTDATA("Payout",'Tabela LL'!$A$3,"Ativo",Tabela3[[#This Row],[PAPEL]]))</f>
        <v>0.60787593639212112</v>
      </c>
      <c r="J41" s="5">
        <f>Tabela3[Patrimônio Líquido]/Tabela3[Total Ações]</f>
        <v>11.45836235716</v>
      </c>
      <c r="K41" s="57">
        <f>MAX(Tabela3[[#This Row],[Cotação 1]],Tabela3[[#This Row],[Cotação 2]])</f>
        <v>5.97</v>
      </c>
      <c r="L41" s="58">
        <f>Tabela3[Cotação]/Tabela3[VPA]</f>
        <v>0.5210168620884571</v>
      </c>
      <c r="M41" s="39">
        <f>IF(Tabela3[[#This Row],[Lucro/Ação]]&gt;0,Tabela3[[#This Row],[Cotação]]/Tabela3[[#This Row],[Lucro/Ação]],0)</f>
        <v>12.743288399513071</v>
      </c>
      <c r="N41" s="5">
        <f>Tabela3[[#This Row],[Lucro/Ação]]*Tabela3[[#This Row],[Payout]]</f>
        <v>0.28477887547453057</v>
      </c>
      <c r="O41" s="16" t="str">
        <f>IF(AND(Tabela3[% A.A.]&gt;=10%,Tabela3[PVPA]&lt;=2,Tabela3[PL]&lt;=15,Tabela3[PL]&gt;0),"Sim","Não")</f>
        <v>Não</v>
      </c>
      <c r="P41" s="22">
        <f>Tabela3[[#This Row],[Lucro Prev]]/Tabela3[[#This Row],[Cotação]]</f>
        <v>4.7701654183338459E-2</v>
      </c>
      <c r="Q41" s="18">
        <f>((1+Tabela3[[#This Row],[% Yield]])^(1/(3*Tabela3[[#This Row],[Ref]])))^(12)-1</f>
        <v>6.4102604419940201E-2</v>
      </c>
      <c r="R41" s="10">
        <f>($X$1/Tabela3[[#This Row],[Cotação]]-MOD($X$1/Tabela3[[#This Row],[Cotação]],100))</f>
        <v>0</v>
      </c>
      <c r="S41" s="7">
        <f>Tabela3[[#This Row],[Ativos]]*Tabela3[[#This Row],[Lucro Prev]]</f>
        <v>0</v>
      </c>
      <c r="T41" s="5">
        <f>SUMPRODUCT(N(Tabela1[Código]=Tabela3[[#This Row],[PAPEL]]),Tabela1[Fechamento])</f>
        <v>5.97</v>
      </c>
      <c r="U41" s="5">
        <f>SUMPRODUCT(N(Tabela17[Código]=Tabela3[[#This Row],[PAPEL]]),Tabela17[Fechamento])</f>
        <v>0</v>
      </c>
    </row>
    <row r="42" spans="1:21" hidden="1" x14ac:dyDescent="0.2">
      <c r="A42" s="25" t="s">
        <v>12</v>
      </c>
      <c r="B42" s="15" t="s">
        <v>38</v>
      </c>
      <c r="C42" s="15">
        <v>3</v>
      </c>
      <c r="D42" s="30">
        <v>2745488000</v>
      </c>
      <c r="E42" s="30">
        <v>276732000</v>
      </c>
      <c r="F42" s="30">
        <f>GETPIVOTDATA("Average of Lucro Líquido",'Tabela LL'!$A$3,"Ativo",Tabela3[[#This Row],[PAPEL]])/4*Tabela3[[#This Row],[Ref]]</f>
        <v>167108943.375</v>
      </c>
      <c r="G42" s="28">
        <v>94433283</v>
      </c>
      <c r="H42" s="27">
        <f>Tabela3[[#This Row],[Lucro Líquido]]/Tabela3[[#This Row],[Total Ações]]</f>
        <v>2.9304498499750347</v>
      </c>
      <c r="I42" s="52">
        <f>IF(GETPIVOTDATA("Payout",'Tabela LL'!$A$3,"Ativo",Tabela3[[#This Row],[PAPEL]])&gt;1,1,GETPIVOTDATA("Payout",'Tabela LL'!$A$3,"Ativo",Tabela3[[#This Row],[PAPEL]]))</f>
        <v>1</v>
      </c>
      <c r="J42" s="30">
        <f>Tabela3[Patrimônio Líquido]/Tabela3[Total Ações]</f>
        <v>29.073308824813388</v>
      </c>
      <c r="K42" s="31">
        <f>MAX(Tabela3[[#This Row],[Cotação 1]],Tabela3[[#This Row],[Cotação 2]])</f>
        <v>61.99</v>
      </c>
      <c r="L42" s="32">
        <f>Tabela3[Cotação]/Tabela3[VPA]</f>
        <v>2.1321962482334653</v>
      </c>
      <c r="M42" s="37">
        <f>IF(Tabela3[[#This Row],[Lucro/Ação]]&gt;0,Tabela3[[#This Row],[Cotação]]/Tabela3[[#This Row],[Lucro/Ação]],0)</f>
        <v>21.15374880089762</v>
      </c>
      <c r="N42" s="6">
        <f>Tabela3[[#This Row],[Lucro/Ação]]*Tabela3[[#This Row],[Payout]]</f>
        <v>2.9304498499750347</v>
      </c>
      <c r="O42" s="26" t="str">
        <f>IF(AND(Tabela3[% A.A.]&gt;=10%,Tabela3[PVPA]&lt;=2,Tabela3[PL]&lt;=15,Tabela3[PL]&gt;0),"Sim","Não")</f>
        <v>Não</v>
      </c>
      <c r="P42" s="29">
        <f>Tabela3[[#This Row],[Lucro Prev]]/Tabela3[[#This Row],[Cotação]]</f>
        <v>4.7272944829408525E-2</v>
      </c>
      <c r="Q42" s="53">
        <f>((1+Tabela3[[#This Row],[% Yield]])^(1/(3*Tabela3[[#This Row],[Ref]])))^(12)-1</f>
        <v>6.3522083398606988E-2</v>
      </c>
      <c r="R42" s="10">
        <f>($X$1/Tabela3[[#This Row],[Cotação]]-MOD($X$1/Tabela3[[#This Row],[Cotação]],100))</f>
        <v>0</v>
      </c>
      <c r="S42" s="7">
        <f>Tabela3[[#This Row],[Ativos]]*Tabela3[[#This Row],[Lucro Prev]]</f>
        <v>0</v>
      </c>
      <c r="T42" s="5">
        <f>SUMPRODUCT(N(Tabela1[Código]=Tabela3[[#This Row],[PAPEL]]),Tabela1[Fechamento])</f>
        <v>61.99</v>
      </c>
      <c r="U42" s="5">
        <f>SUMPRODUCT(N(Tabela17[Código]=Tabela3[[#This Row],[PAPEL]]),Tabela17[Fechamento])</f>
        <v>0</v>
      </c>
    </row>
    <row r="43" spans="1:21" hidden="1" x14ac:dyDescent="0.2">
      <c r="A43" s="4" t="s">
        <v>12</v>
      </c>
      <c r="B43" s="14" t="s">
        <v>178</v>
      </c>
      <c r="C43" s="15">
        <v>3</v>
      </c>
      <c r="D43" s="6">
        <v>2745488000</v>
      </c>
      <c r="E43" s="6">
        <v>276732000</v>
      </c>
      <c r="F43" s="6">
        <f>GETPIVOTDATA("Average of Lucro Líquido",'Tabela LL'!$A$3,"Ativo",Tabela3[[#This Row],[PAPEL]])/4*Tabela3[[#This Row],[Ref]]</f>
        <v>167108943.375</v>
      </c>
      <c r="G43" s="41">
        <v>94433283</v>
      </c>
      <c r="H43" s="15">
        <f>Tabela3[[#This Row],[Lucro Líquido]]/Tabela3[[#This Row],[Total Ações]]</f>
        <v>2.9304498499750347</v>
      </c>
      <c r="I43" s="19">
        <f>IF(GETPIVOTDATA("Payout",'Tabela LL'!$A$3,"Ativo",Tabela3[[#This Row],[PAPEL]])&gt;1,1,GETPIVOTDATA("Payout",'Tabela LL'!$A$3,"Ativo",Tabela3[[#This Row],[PAPEL]]))</f>
        <v>1</v>
      </c>
      <c r="J43" s="6">
        <f>Tabela3[Patrimônio Líquido]/Tabela3[Total Ações]</f>
        <v>29.073308824813388</v>
      </c>
      <c r="K43" s="51">
        <f>MAX(Tabela3[[#This Row],[Cotação 1]],Tabela3[[#This Row],[Cotação 2]])</f>
        <v>62.04</v>
      </c>
      <c r="L43" s="47">
        <f>Tabela3[Cotação]/Tabela3[VPA]</f>
        <v>2.1339160387224418</v>
      </c>
      <c r="M43" s="43">
        <f>IF(Tabela3[[#This Row],[Lucro/Ação]]&gt;0,Tabela3[[#This Row],[Cotação]]/Tabela3[[#This Row],[Lucro/Ação]],0)</f>
        <v>21.170811027709121</v>
      </c>
      <c r="N43" s="6">
        <f>Tabela3[[#This Row],[Lucro/Ação]]*Tabela3[[#This Row],[Payout]]</f>
        <v>2.9304498499750347</v>
      </c>
      <c r="O43" s="15" t="str">
        <f>IF(AND(Tabela3[% A.A.]&gt;=10%,Tabela3[PVPA]&lt;=2,Tabela3[PL]&lt;=15,Tabela3[PL]&gt;0),"Sim","Não")</f>
        <v>Não</v>
      </c>
      <c r="P43" s="45">
        <f>Tabela3[[#This Row],[Lucro Prev]]/Tabela3[[#This Row],[Cotação]]</f>
        <v>4.7234846066651105E-2</v>
      </c>
      <c r="Q43" s="19">
        <f>((1+Tabela3[[#This Row],[% Yield]])^(1/(3*Tabela3[[#This Row],[Ref]])))^(12)-1</f>
        <v>6.3470497190742048E-2</v>
      </c>
      <c r="R43" s="14">
        <f>($X$1/Tabela3[[#This Row],[Cotação]]-MOD($X$1/Tabela3[[#This Row],[Cotação]],100))</f>
        <v>0</v>
      </c>
      <c r="S43" s="17">
        <f>Tabela3[[#This Row],[Ativos]]*Tabela3[[#This Row],[Lucro Prev]]</f>
        <v>0</v>
      </c>
      <c r="T43" s="5">
        <f>SUMPRODUCT(N(Tabela1[Código]=Tabela3[[#This Row],[PAPEL]]),Tabela1[Fechamento])</f>
        <v>62.04</v>
      </c>
      <c r="U43" s="5">
        <f>SUMPRODUCT(N(Tabela17[Código]=Tabela3[[#This Row],[PAPEL]]),Tabela17[Fechamento])</f>
        <v>0</v>
      </c>
    </row>
    <row r="44" spans="1:21" hidden="1" x14ac:dyDescent="0.2">
      <c r="A44" s="3" t="s">
        <v>328</v>
      </c>
      <c r="B44" s="72" t="s">
        <v>330</v>
      </c>
      <c r="C44" s="16">
        <v>3</v>
      </c>
      <c r="D44" s="5">
        <v>43631075000</v>
      </c>
      <c r="E44" s="5">
        <v>2484629000</v>
      </c>
      <c r="F44" s="5">
        <f>GETPIVOTDATA("Average of Lucro Líquido",'Tabela LL'!$A$3,"Ativo",Tabela3[[#This Row],[PAPEL]])/4*Tabela3[[#This Row],[Ref]]</f>
        <v>3387334247.8450003</v>
      </c>
      <c r="G44" s="21">
        <v>1125601930</v>
      </c>
      <c r="H44" s="70">
        <f>Tabela3[[#This Row],[Lucro Líquido]]/Tabela3[[#This Row],[Total Ações]]</f>
        <v>2.2073780559349254</v>
      </c>
      <c r="I44" s="18">
        <f>IF(GETPIVOTDATA("Payout",'Tabela LL'!$A$3,"Ativo",Tabela3[[#This Row],[PAPEL]])&gt;1,1,GETPIVOTDATA("Payout",'Tabela LL'!$A$3,"Ativo",Tabela3[[#This Row],[PAPEL]]))</f>
        <v>1</v>
      </c>
      <c r="J44" s="5">
        <f>Tabela3[Patrimônio Líquido]/Tabela3[Total Ações]</f>
        <v>38.762437978406808</v>
      </c>
      <c r="K44" s="57">
        <f>MAX(Tabela3[[#This Row],[Cotação 1]],Tabela3[[#This Row],[Cotação 2]])</f>
        <v>46.9</v>
      </c>
      <c r="L44" s="58">
        <f>Tabela3[Cotação]/Tabela3[VPA]</f>
        <v>1.2099342158541819</v>
      </c>
      <c r="M44" s="39">
        <f>IF(Tabela3[[#This Row],[Lucro/Ação]]&gt;0,Tabela3[[#This Row],[Cotação]]/Tabela3[[#This Row],[Lucro/Ação]],0)</f>
        <v>21.246926811608493</v>
      </c>
      <c r="N44" s="5">
        <f>Tabela3[[#This Row],[Lucro/Ação]]*Tabela3[[#This Row],[Payout]]</f>
        <v>2.2073780559349254</v>
      </c>
      <c r="O44" s="16" t="str">
        <f>IF(AND(Tabela3[% A.A.]&gt;=10%,Tabela3[PVPA]&lt;=2,Tabela3[PL]&lt;=15,Tabela3[PL]&gt;0),"Sim","Não")</f>
        <v>Não</v>
      </c>
      <c r="P44" s="22">
        <f>Tabela3[[#This Row],[Lucro Prev]]/Tabela3[[#This Row],[Cotação]]</f>
        <v>4.706563019051014E-2</v>
      </c>
      <c r="Q44" s="18">
        <f>((1+Tabela3[[#This Row],[% Yield]])^(1/(3*Tabela3[[#This Row],[Ref]])))^(12)-1</f>
        <v>6.3241384308549309E-2</v>
      </c>
      <c r="R44" s="10">
        <f>($X$1/Tabela3[[#This Row],[Cotação]]-MOD($X$1/Tabela3[[#This Row],[Cotação]],100))</f>
        <v>0</v>
      </c>
      <c r="S44" s="7">
        <f>Tabela3[[#This Row],[Ativos]]*Tabela3[[#This Row],[Lucro Prev]]</f>
        <v>0</v>
      </c>
      <c r="T44" s="50">
        <f>SUMPRODUCT(N(Tabela1[Código]=Tabela3[[#This Row],[PAPEL]]),Tabela1[Fechamento])</f>
        <v>0</v>
      </c>
      <c r="U44" s="59">
        <f>SUMPRODUCT(N(Tabela17[Código]=Tabela3[[#This Row],[PAPEL]]),Tabela17[Fechamento])</f>
        <v>46.9</v>
      </c>
    </row>
    <row r="45" spans="1:21" hidden="1" x14ac:dyDescent="0.2">
      <c r="A45" s="4" t="s">
        <v>14</v>
      </c>
      <c r="B45" s="14" t="s">
        <v>226</v>
      </c>
      <c r="C45" s="15">
        <v>3</v>
      </c>
      <c r="D45" s="6">
        <v>5008604000</v>
      </c>
      <c r="E45" s="6">
        <v>602652000</v>
      </c>
      <c r="F45" s="6">
        <f>GETPIVOTDATA("Average of Lucro Líquido",'Tabela LL'!$A$3,"Ativo",Tabela3[[#This Row],[PAPEL]])/4*Tabela3[[#This Row],[Ref]]</f>
        <v>646102241.92124999</v>
      </c>
      <c r="G45" s="41">
        <v>408974477</v>
      </c>
      <c r="H45" s="15">
        <f>Tabela3[[#This Row],[Lucro Líquido]]/Tabela3[[#This Row],[Total Ações]]</f>
        <v>1.4735687283487864</v>
      </c>
      <c r="I45" s="19">
        <f>IF(GETPIVOTDATA("Payout",'Tabela LL'!$A$3,"Ativo",Tabela3[[#This Row],[PAPEL]])&gt;1,1,GETPIVOTDATA("Payout",'Tabela LL'!$A$3,"Ativo",Tabela3[[#This Row],[PAPEL]]))</f>
        <v>0.38934546499886002</v>
      </c>
      <c r="J45" s="6">
        <f>Tabela3[Patrimônio Líquido]/Tabela3[Total Ações]</f>
        <v>12.246739788605439</v>
      </c>
      <c r="K45" s="51">
        <f>MAX(Tabela3[[#This Row],[Cotação 1]],Tabela3[[#This Row],[Cotação 2]])</f>
        <v>12.2</v>
      </c>
      <c r="L45" s="47">
        <f>Tabela3[Cotação]/Tabela3[VPA]</f>
        <v>0.99618349132812256</v>
      </c>
      <c r="M45" s="43">
        <f>IF(Tabela3[[#This Row],[Lucro/Ação]]&gt;0,Tabela3[[#This Row],[Cotação]]/Tabela3[[#This Row],[Lucro/Ação]],0)</f>
        <v>8.2792202123281751</v>
      </c>
      <c r="N45" s="6">
        <f>Tabela3[[#This Row],[Lucro/Ação]]*Tabela3[[#This Row],[Payout]]</f>
        <v>0.57372730174673714</v>
      </c>
      <c r="O45" s="15" t="str">
        <f>IF(AND(Tabela3[% A.A.]&gt;=10%,Tabela3[PVPA]&lt;=2,Tabela3[PL]&lt;=15,Tabela3[PL]&gt;0),"Sim","Não")</f>
        <v>Não</v>
      </c>
      <c r="P45" s="45">
        <f>Tabela3[[#This Row],[Lucro Prev]]/Tabela3[[#This Row],[Cotação]]</f>
        <v>4.7026828012027636E-2</v>
      </c>
      <c r="Q45" s="19">
        <f>((1+Tabela3[[#This Row],[% Yield]])^(1/(3*Tabela3[[#This Row],[Ref]])))^(12)-1</f>
        <v>6.3188849139837133E-2</v>
      </c>
      <c r="R45" s="14">
        <f>($X$1/Tabela3[[#This Row],[Cotação]]-MOD($X$1/Tabela3[[#This Row],[Cotação]],100))</f>
        <v>0</v>
      </c>
      <c r="S45" s="17">
        <f>Tabela3[[#This Row],[Ativos]]*Tabela3[[#This Row],[Lucro Prev]]</f>
        <v>0</v>
      </c>
      <c r="T45" s="5">
        <f>SUMPRODUCT(N(Tabela1[Código]=Tabela3[[#This Row],[PAPEL]]),Tabela1[Fechamento])</f>
        <v>12.2</v>
      </c>
      <c r="U45" s="5">
        <f>SUMPRODUCT(N(Tabela17[Código]=Tabela3[[#This Row],[PAPEL]]),Tabela17[Fechamento])</f>
        <v>0</v>
      </c>
    </row>
    <row r="46" spans="1:21" hidden="1" x14ac:dyDescent="0.2">
      <c r="A46" s="4" t="s">
        <v>374</v>
      </c>
      <c r="B46" s="69" t="s">
        <v>375</v>
      </c>
      <c r="C46" s="15">
        <v>3</v>
      </c>
      <c r="D46" s="6">
        <v>165456334000</v>
      </c>
      <c r="E46" s="6">
        <v>14982201000</v>
      </c>
      <c r="F46" s="6">
        <f>GETPIVOTDATA("Average of Lucro Líquido",'Tabela LL'!$A$3,"Ativo",Tabela3[[#This Row],[PAPEL]])/4*Tabela3[[#This Row],[Ref]]</f>
        <v>21654625909.092499</v>
      </c>
      <c r="G46" s="41">
        <v>5365304100</v>
      </c>
      <c r="H46" s="71">
        <f>Tabela3[[#This Row],[Lucro Líquido]]/Tabela3[[#This Row],[Total Ações]]</f>
        <v>2.7924234527545231</v>
      </c>
      <c r="I46" s="19">
        <f>IF(GETPIVOTDATA("Payout",'Tabela LL'!$A$3,"Ativo",Tabela3[[#This Row],[PAPEL]])&gt;1,1,GETPIVOTDATA("Payout",'Tabela LL'!$A$3,"Ativo",Tabela3[[#This Row],[PAPEL]]))</f>
        <v>0.50530256504079152</v>
      </c>
      <c r="J46" s="6">
        <f>Tabela3[Patrimônio Líquido]/Tabela3[Total Ações]</f>
        <v>30.838202442243674</v>
      </c>
      <c r="K46" s="51">
        <f>MAX(Tabela3[[#This Row],[Cotação 1]],Tabela3[[#This Row],[Cotação 2]])</f>
        <v>30.23</v>
      </c>
      <c r="L46" s="47">
        <f>Tabela3[Cotação]/Tabela3[VPA]</f>
        <v>0.98027762988511524</v>
      </c>
      <c r="M46" s="43">
        <f>IF(Tabela3[[#This Row],[Lucro/Ação]]&gt;0,Tabela3[[#This Row],[Cotação]]/Tabela3[[#This Row],[Lucro/Ação]],0)</f>
        <v>10.825721997922736</v>
      </c>
      <c r="N46" s="6">
        <f>Tabela3[[#This Row],[Lucro/Ação]]*Tabela3[[#This Row],[Payout]]</f>
        <v>1.411018733356924</v>
      </c>
      <c r="O46" s="15" t="str">
        <f>IF(AND(Tabela3[% A.A.]&gt;=10%,Tabela3[PVPA]&lt;=2,Tabela3[PL]&lt;=15,Tabela3[PL]&gt;0),"Sim","Não")</f>
        <v>Não</v>
      </c>
      <c r="P46" s="45">
        <f>Tabela3[[#This Row],[Lucro Prev]]/Tabela3[[#This Row],[Cotação]]</f>
        <v>4.6676107620143036E-2</v>
      </c>
      <c r="Q46" s="19">
        <f>((1+Tabela3[[#This Row],[% Yield]])^(1/(3*Tabela3[[#This Row],[Ref]])))^(12)-1</f>
        <v>6.2714030117643205E-2</v>
      </c>
      <c r="R46" s="14">
        <f>($X$1/Tabela3[[#This Row],[Cotação]]-MOD($X$1/Tabela3[[#This Row],[Cotação]],100))</f>
        <v>0</v>
      </c>
      <c r="S46" s="17">
        <f>Tabela3[[#This Row],[Ativos]]*Tabela3[[#This Row],[Lucro Prev]]</f>
        <v>0</v>
      </c>
      <c r="T46" s="13">
        <f>SUMPRODUCT(N(Tabela1[Código]=Tabela3[[#This Row],[PAPEL]]),Tabela1[Fechamento])</f>
        <v>0</v>
      </c>
      <c r="U46" s="60">
        <f>SUMPRODUCT(N(Tabela17[Código]=Tabela3[[#This Row],[PAPEL]]),Tabela17[Fechamento])</f>
        <v>30.23</v>
      </c>
    </row>
    <row r="47" spans="1:21" hidden="1" x14ac:dyDescent="0.2">
      <c r="A47" s="4" t="s">
        <v>14</v>
      </c>
      <c r="B47" s="15" t="s">
        <v>248</v>
      </c>
      <c r="C47" s="16">
        <v>3</v>
      </c>
      <c r="D47" s="5">
        <v>843867000</v>
      </c>
      <c r="E47" s="5">
        <v>34502000</v>
      </c>
      <c r="F47" s="5">
        <f>GETPIVOTDATA("Average of Lucro Líquido",'Tabela LL'!$A$3,"Ativo",Tabela3[[#This Row],[PAPEL]])/4*Tabela3[[#This Row],[Ref]]</f>
        <v>40652250</v>
      </c>
      <c r="G47" s="21">
        <v>73646388</v>
      </c>
      <c r="H47" s="16">
        <f>Tabela3[[#This Row],[Lucro Líquido]]/Tabela3[[#This Row],[Total Ações]]</f>
        <v>0.46848190300928266</v>
      </c>
      <c r="I47" s="18">
        <f>IF(GETPIVOTDATA("Payout",'Tabela LL'!$A$3,"Ativo",Tabela3[[#This Row],[PAPEL]])&gt;1,1,GETPIVOTDATA("Payout",'Tabela LL'!$A$3,"Ativo",Tabela3[[#This Row],[PAPEL]]))</f>
        <v>0.35489823087446021</v>
      </c>
      <c r="J47" s="5">
        <f>Tabela3[Patrimônio Líquido]/Tabela3[Total Ações]</f>
        <v>11.45836235716</v>
      </c>
      <c r="K47" s="57">
        <f>MAX(Tabela3[[#This Row],[Cotação 1]],Tabela3[[#This Row],[Cotação 2]])</f>
        <v>3.6</v>
      </c>
      <c r="L47" s="58">
        <f>Tabela3[Cotação]/Tabela3[VPA]</f>
        <v>0.31418102236489875</v>
      </c>
      <c r="M47" s="39">
        <f>IF(Tabela3[[#This Row],[Lucro/Ação]]&gt;0,Tabela3[[#This Row],[Cotação]]/Tabela3[[#This Row],[Lucro/Ação]],0)</f>
        <v>7.6843950147817521</v>
      </c>
      <c r="N47" s="5">
        <f>Tabela3[[#This Row],[Lucro/Ação]]*Tabela3[[#This Row],[Payout]]</f>
        <v>0.16626339857469488</v>
      </c>
      <c r="O47" s="16" t="str">
        <f>IF(AND(Tabela3[% A.A.]&gt;=10%,Tabela3[PVPA]&lt;=2,Tabela3[PL]&lt;=15,Tabela3[PL]&gt;0),"Sim","Não")</f>
        <v>Não</v>
      </c>
      <c r="P47" s="22">
        <f>Tabela3[[#This Row],[Lucro Prev]]/Tabela3[[#This Row],[Cotação]]</f>
        <v>4.6184277381859686E-2</v>
      </c>
      <c r="Q47" s="18">
        <f>((1+Tabela3[[#This Row],[% Yield]])^(1/(3*Tabela3[[#This Row],[Ref]])))^(12)-1</f>
        <v>6.2048260382177256E-2</v>
      </c>
      <c r="R47" s="10">
        <f>($X$1/Tabela3[[#This Row],[Cotação]]-MOD($X$1/Tabela3[[#This Row],[Cotação]],100))</f>
        <v>0</v>
      </c>
      <c r="S47" s="7">
        <f>Tabela3[[#This Row],[Ativos]]*Tabela3[[#This Row],[Lucro Prev]]</f>
        <v>0</v>
      </c>
      <c r="T47" s="5">
        <f>SUMPRODUCT(N(Tabela1[Código]=Tabela3[[#This Row],[PAPEL]]),Tabela1[Fechamento])</f>
        <v>3.6</v>
      </c>
      <c r="U47" s="5">
        <f>SUMPRODUCT(N(Tabela17[Código]=Tabela3[[#This Row],[PAPEL]]),Tabela17[Fechamento])</f>
        <v>0</v>
      </c>
    </row>
    <row r="48" spans="1:21" hidden="1" x14ac:dyDescent="0.2">
      <c r="A48" s="3" t="s">
        <v>333</v>
      </c>
      <c r="B48" s="72" t="s">
        <v>331</v>
      </c>
      <c r="C48" s="16">
        <v>3</v>
      </c>
      <c r="D48" s="5">
        <v>10031194000</v>
      </c>
      <c r="E48" s="5">
        <v>852679000</v>
      </c>
      <c r="F48" s="5">
        <f>GETPIVOTDATA("Average of Lucro Líquido",'Tabela LL'!$A$3,"Ativo",Tabela3[[#This Row],[PAPEL]])/4*Tabela3[[#This Row],[Ref]]</f>
        <v>978769272.56812501</v>
      </c>
      <c r="G48" s="21">
        <v>349547945</v>
      </c>
      <c r="H48" s="70">
        <f>Tabela3[[#This Row],[Lucro Líquido]]/Tabela3[[#This Row],[Total Ações]]</f>
        <v>2.439376377967263</v>
      </c>
      <c r="I48" s="18">
        <f>IF(GETPIVOTDATA("Payout",'Tabela LL'!$A$3,"Ativo",Tabela3[[#This Row],[PAPEL]])&gt;1,1,GETPIVOTDATA("Payout",'Tabela LL'!$A$3,"Ativo",Tabela3[[#This Row],[PAPEL]]))</f>
        <v>0.33996836443315553</v>
      </c>
      <c r="J48" s="5">
        <f>Tabela3[Patrimônio Líquido]/Tabela3[Total Ações]</f>
        <v>28.697619721380423</v>
      </c>
      <c r="K48" s="57">
        <f>MAX(Tabela3[[#This Row],[Cotação 1]],Tabela3[[#This Row],[Cotação 2]])</f>
        <v>18.16</v>
      </c>
      <c r="L48" s="58">
        <f>Tabela3[Cotação]/Tabela3[VPA]</f>
        <v>0.6328050959038376</v>
      </c>
      <c r="M48" s="39">
        <f>IF(Tabela3[[#This Row],[Lucro/Ação]]&gt;0,Tabela3[[#This Row],[Cotação]]/Tabela3[[#This Row],[Lucro/Ação]],0)</f>
        <v>7.4445256435305662</v>
      </c>
      <c r="N48" s="5">
        <f>Tabela3[[#This Row],[Lucro/Ação]]*Tabela3[[#This Row],[Payout]]</f>
        <v>0.82931079745440539</v>
      </c>
      <c r="O48" s="16" t="str">
        <f>IF(AND(Tabela3[% A.A.]&gt;=10%,Tabela3[PVPA]&lt;=2,Tabela3[PL]&lt;=15,Tabela3[PL]&gt;0),"Sim","Não")</f>
        <v>Não</v>
      </c>
      <c r="P48" s="22">
        <f>Tabela3[[#This Row],[Lucro Prev]]/Tabela3[[#This Row],[Cotação]]</f>
        <v>4.5666894132951837E-2</v>
      </c>
      <c r="Q48" s="18">
        <f>((1+Tabela3[[#This Row],[% Yield]])^(1/(3*Tabela3[[#This Row],[Ref]])))^(12)-1</f>
        <v>6.1348013213359476E-2</v>
      </c>
      <c r="R48" s="10">
        <f>($X$1/Tabela3[[#This Row],[Cotação]]-MOD($X$1/Tabela3[[#This Row],[Cotação]],100))</f>
        <v>0</v>
      </c>
      <c r="S48" s="7">
        <f>Tabela3[[#This Row],[Ativos]]*Tabela3[[#This Row],[Lucro Prev]]</f>
        <v>0</v>
      </c>
      <c r="T48" s="50">
        <f>SUMPRODUCT(N(Tabela1[Código]=Tabela3[[#This Row],[PAPEL]]),Tabela1[Fechamento])</f>
        <v>0</v>
      </c>
      <c r="U48" s="59">
        <f>SUMPRODUCT(N(Tabela17[Código]=Tabela3[[#This Row],[PAPEL]]),Tabela17[Fechamento])</f>
        <v>18.16</v>
      </c>
    </row>
    <row r="49" spans="1:21" hidden="1" x14ac:dyDescent="0.2">
      <c r="A49" s="25" t="s">
        <v>12</v>
      </c>
      <c r="B49" s="15" t="s">
        <v>34</v>
      </c>
      <c r="C49" s="15">
        <v>3</v>
      </c>
      <c r="D49" s="30">
        <v>12828375000</v>
      </c>
      <c r="E49" s="30">
        <v>898498000</v>
      </c>
      <c r="F49" s="30">
        <f>GETPIVOTDATA("Average of Lucro Líquido",'Tabela LL'!$A$3,"Ativo",Tabela3[[#This Row],[PAPEL]])/4*Tabela3[[#This Row],[Ref]]</f>
        <v>721155031.37625003</v>
      </c>
      <c r="G49" s="28">
        <v>273655375</v>
      </c>
      <c r="H49" s="27">
        <f>Tabela3[[#This Row],[Lucro Líquido]]/Tabela3[[#This Row],[Total Ações]]</f>
        <v>3.2833193939640322</v>
      </c>
      <c r="I49" s="19">
        <f>IF(GETPIVOTDATA("Payout",'Tabela LL'!$A$3,"Ativo",Tabela3[[#This Row],[PAPEL]])&gt;1,1,GETPIVOTDATA("Payout",'Tabela LL'!$A$3,"Ativo",Tabela3[[#This Row],[PAPEL]]))</f>
        <v>0.30524903922734314</v>
      </c>
      <c r="J49" s="30">
        <f>Tabela3[Patrimônio Líquido]/Tabela3[Total Ações]</f>
        <v>46.877847730927996</v>
      </c>
      <c r="K49" s="31">
        <f>MAX(Tabela3[[#This Row],[Cotação 1]],Tabela3[[#This Row],[Cotação 2]])</f>
        <v>22.2</v>
      </c>
      <c r="L49" s="32">
        <f>Tabela3[Cotação]/Tabela3[VPA]</f>
        <v>0.47357122979332922</v>
      </c>
      <c r="M49" s="37">
        <f>IF(Tabela3[[#This Row],[Lucro/Ação]]&gt;0,Tabela3[[#This Row],[Cotação]]/Tabela3[[#This Row],[Lucro/Ação]],0)</f>
        <v>6.7614500254869796</v>
      </c>
      <c r="N49" s="6">
        <f>Tabela3[[#This Row],[Lucro/Ação]]*Tabela3[[#This Row],[Payout]]</f>
        <v>1.0022300904840233</v>
      </c>
      <c r="O49" s="26" t="str">
        <f>IF(AND(Tabela3[% A.A.]&gt;=10%,Tabela3[PVPA]&lt;=2,Tabela3[PL]&lt;=15,Tabela3[PL]&gt;0),"Sim","Não")</f>
        <v>Não</v>
      </c>
      <c r="P49" s="29">
        <f>Tabela3[[#This Row],[Lucro Prev]]/Tabela3[[#This Row],[Cotação]]</f>
        <v>4.5145499571352402E-2</v>
      </c>
      <c r="Q49" s="53">
        <f>((1+Tabela3[[#This Row],[% Yield]])^(1/(3*Tabela3[[#This Row],[Ref]])))^(12)-1</f>
        <v>6.0642453801933671E-2</v>
      </c>
      <c r="R49" s="10">
        <f>($X$1/Tabela3[[#This Row],[Cotação]]-MOD($X$1/Tabela3[[#This Row],[Cotação]],100))</f>
        <v>0</v>
      </c>
      <c r="S49" s="5">
        <f>Tabela3[[#This Row],[Ativos]]*Tabela3[[#This Row],[Lucro Prev]]</f>
        <v>0</v>
      </c>
      <c r="T49" s="5">
        <f>SUMPRODUCT(N(Tabela1[Código]=Tabela3[[#This Row],[PAPEL]]),Tabela1[Fechamento])</f>
        <v>22.2</v>
      </c>
      <c r="U49" s="5">
        <f>SUMPRODUCT(N(Tabela17[Código]=Tabela3[[#This Row],[PAPEL]]),Tabela17[Fechamento])</f>
        <v>0</v>
      </c>
    </row>
    <row r="50" spans="1:21" hidden="1" x14ac:dyDescent="0.2">
      <c r="A50" s="4" t="s">
        <v>14</v>
      </c>
      <c r="B50" s="14" t="s">
        <v>15</v>
      </c>
      <c r="C50" s="15">
        <v>3</v>
      </c>
      <c r="D50" s="6">
        <v>2365276000</v>
      </c>
      <c r="E50" s="6">
        <v>168016000</v>
      </c>
      <c r="F50" s="6">
        <f>GETPIVOTDATA("Average of Lucro Líquido",'Tabela LL'!$A$3,"Ativo",Tabela3[[#This Row],[PAPEL]])/4*Tabela3[[#This Row],[Ref]]</f>
        <v>215724271.75312501</v>
      </c>
      <c r="G50" s="41">
        <v>243051520</v>
      </c>
      <c r="H50" s="15">
        <f>Tabela3[[#This Row],[Lucro Líquido]]/Tabela3[[#This Row],[Total Ações]]</f>
        <v>0.6912773061448042</v>
      </c>
      <c r="I50" s="19">
        <f>IF(GETPIVOTDATA("Payout",'Tabela LL'!$A$3,"Ativo",Tabela3[[#This Row],[PAPEL]])&gt;1,1,GETPIVOTDATA("Payout",'Tabela LL'!$A$3,"Ativo",Tabela3[[#This Row],[PAPEL]]))</f>
        <v>0.50462500883942174</v>
      </c>
      <c r="J50" s="6">
        <f>Tabela3[Patrimônio Líquido]/Tabela3[Total Ações]</f>
        <v>9.7315828347833406</v>
      </c>
      <c r="K50" s="51">
        <f>MAX(Tabela3[[#This Row],[Cotação 1]],Tabela3[[#This Row],[Cotação 2]])</f>
        <v>7.78</v>
      </c>
      <c r="L50" s="47">
        <f>Tabela3[Cotação]/Tabela3[VPA]</f>
        <v>0.79945884776237541</v>
      </c>
      <c r="M50" s="43">
        <f>IF(Tabela3[[#This Row],[Lucro/Ação]]&gt;0,Tabela3[[#This Row],[Cotação]]/Tabela3[[#This Row],[Lucro/Ação]],0)</f>
        <v>11.254528292543567</v>
      </c>
      <c r="N50" s="6">
        <f>Tabela3[[#This Row],[Lucro/Ação]]*Tabela3[[#This Row],[Payout]]</f>
        <v>0.34883581672381347</v>
      </c>
      <c r="O50" s="15" t="str">
        <f>IF(AND(Tabela3[% A.A.]&gt;=10%,Tabela3[PVPA]&lt;=2,Tabela3[PL]&lt;=15,Tabela3[PL]&gt;0),"Sim","Não")</f>
        <v>Não</v>
      </c>
      <c r="P50" s="45">
        <f>Tabela3[[#This Row],[Lucro Prev]]/Tabela3[[#This Row],[Cotação]]</f>
        <v>4.4837508576325638E-2</v>
      </c>
      <c r="Q50" s="19">
        <f>((1+Tabela3[[#This Row],[% Yield]])^(1/(3*Tabela3[[#This Row],[Ref]])))^(12)-1</f>
        <v>6.0225730606124017E-2</v>
      </c>
      <c r="R50" s="14">
        <f>($X$1/Tabela3[[#This Row],[Cotação]]-MOD($X$1/Tabela3[[#This Row],[Cotação]],100))</f>
        <v>0</v>
      </c>
      <c r="S50" s="17">
        <f>Tabela3[[#This Row],[Ativos]]*Tabela3[[#This Row],[Lucro Prev]]</f>
        <v>0</v>
      </c>
      <c r="T50" s="5">
        <f>SUMPRODUCT(N(Tabela1[Código]=Tabela3[[#This Row],[PAPEL]]),Tabela1[Fechamento])</f>
        <v>7.78</v>
      </c>
      <c r="U50" s="5">
        <f>SUMPRODUCT(N(Tabela17[Código]=Tabela3[[#This Row],[PAPEL]]),Tabela17[Fechamento])</f>
        <v>0</v>
      </c>
    </row>
    <row r="51" spans="1:21" hidden="1" x14ac:dyDescent="0.2">
      <c r="A51" s="4" t="s">
        <v>14</v>
      </c>
      <c r="B51" s="14" t="s">
        <v>63</v>
      </c>
      <c r="C51" s="15">
        <v>3</v>
      </c>
      <c r="D51" s="6">
        <v>1550119000</v>
      </c>
      <c r="E51" s="6">
        <v>56710000</v>
      </c>
      <c r="F51" s="6">
        <f>GETPIVOTDATA("Average of Lucro Líquido",'Tabela LL'!$A$3,"Ativo",Tabela3[[#This Row],[PAPEL]])/4*Tabela3[[#This Row],[Ref]]</f>
        <v>96669781.710000008</v>
      </c>
      <c r="G51" s="41">
        <v>2964596762</v>
      </c>
      <c r="H51" s="15">
        <f>Tabela3[[#This Row],[Lucro Líquido]]/Tabela3[[#This Row],[Total Ações]]</f>
        <v>1.9129077089641643E-2</v>
      </c>
      <c r="I51" s="19">
        <f>IF(GETPIVOTDATA("Payout",'Tabela LL'!$A$3,"Ativo",Tabela3[[#This Row],[PAPEL]])&gt;1,1,GETPIVOTDATA("Payout",'Tabela LL'!$A$3,"Ativo",Tabela3[[#This Row],[PAPEL]]))</f>
        <v>0.75262718633546799</v>
      </c>
      <c r="J51" s="6">
        <f>Tabela3[Patrimônio Líquido]/Tabela3[Total Ações]</f>
        <v>0.52287684445632543</v>
      </c>
      <c r="K51" s="51">
        <f>MAX(Tabela3[[#This Row],[Cotação 1]],Tabela3[[#This Row],[Cotação 2]])</f>
        <v>0.33</v>
      </c>
      <c r="L51" s="47">
        <f>Tabela3[Cotação]/Tabela3[VPA]</f>
        <v>0.63112375982747138</v>
      </c>
      <c r="M51" s="43">
        <f>IF(Tabela3[[#This Row],[Lucro/Ação]]&gt;0,Tabela3[[#This Row],[Cotação]]/Tabela3[[#This Row],[Lucro/Ação]],0)</f>
        <v>17.25122432481044</v>
      </c>
      <c r="N51" s="6">
        <f>Tabela3[[#This Row],[Lucro/Ação]]*Tabela3[[#This Row],[Payout]]</f>
        <v>1.4397063467171253E-2</v>
      </c>
      <c r="O51" s="15" t="str">
        <f>IF(AND(Tabela3[% A.A.]&gt;=10%,Tabela3[PVPA]&lt;=2,Tabela3[PL]&lt;=15,Tabela3[PL]&gt;0),"Sim","Não")</f>
        <v>Não</v>
      </c>
      <c r="P51" s="45">
        <f>Tabela3[[#This Row],[Lucro Prev]]/Tabela3[[#This Row],[Cotação]]</f>
        <v>4.3627465052034096E-2</v>
      </c>
      <c r="Q51" s="19">
        <f>((1+Tabela3[[#This Row],[% Yield]])^(1/(3*Tabela3[[#This Row],[Ref]])))^(12)-1</f>
        <v>5.8588893519659013E-2</v>
      </c>
      <c r="R51" s="14">
        <f>($X$1/Tabela3[[#This Row],[Cotação]]-MOD($X$1/Tabela3[[#This Row],[Cotação]],100))</f>
        <v>900</v>
      </c>
      <c r="S51" s="17">
        <f>Tabela3[[#This Row],[Ativos]]*Tabela3[[#This Row],[Lucro Prev]]</f>
        <v>12.957357120454128</v>
      </c>
      <c r="T51" s="5">
        <f>SUMPRODUCT(N(Tabela1[Código]=Tabela3[[#This Row],[PAPEL]]),Tabela1[Fechamento])</f>
        <v>0.33</v>
      </c>
      <c r="U51" s="5">
        <f>SUMPRODUCT(N(Tabela17[Código]=Tabela3[[#This Row],[PAPEL]]),Tabela17[Fechamento])</f>
        <v>0</v>
      </c>
    </row>
    <row r="52" spans="1:21" hidden="1" x14ac:dyDescent="0.2">
      <c r="A52" s="4" t="s">
        <v>12</v>
      </c>
      <c r="B52" s="14" t="s">
        <v>193</v>
      </c>
      <c r="C52" s="15">
        <v>3</v>
      </c>
      <c r="D52" s="6">
        <v>5308688000</v>
      </c>
      <c r="E52" s="6">
        <v>1150434000</v>
      </c>
      <c r="F52" s="6">
        <f>GETPIVOTDATA("Average of Lucro Líquido",'Tabela LL'!$A$3,"Ativo",Tabela3[[#This Row],[PAPEL]])/4*Tabela3[[#This Row],[Ref]]</f>
        <v>1039696244.25</v>
      </c>
      <c r="G52" s="41">
        <v>652742192</v>
      </c>
      <c r="H52" s="15">
        <f>Tabela3[[#This Row],[Lucro Líquido]]/Tabela3[[#This Row],[Total Ações]]</f>
        <v>1.7624630583095509</v>
      </c>
      <c r="I52" s="19">
        <f>IF(GETPIVOTDATA("Payout",'Tabela LL'!$A$3,"Ativo",Tabela3[[#This Row],[PAPEL]])&gt;1,1,GETPIVOTDATA("Payout",'Tabela LL'!$A$3,"Ativo",Tabela3[[#This Row],[PAPEL]]))</f>
        <v>0.85565136305393408</v>
      </c>
      <c r="J52" s="6">
        <f>Tabela3[Patrimônio Líquido]/Tabela3[Total Ações]</f>
        <v>8.1329015728770297</v>
      </c>
      <c r="K52" s="51">
        <f>MAX(Tabela3[[#This Row],[Cotação 1]],Tabela3[[#This Row],[Cotação 2]])</f>
        <v>35.17</v>
      </c>
      <c r="L52" s="47">
        <f>Tabela3[Cotação]/Tabela3[VPA]</f>
        <v>4.3244098904738797</v>
      </c>
      <c r="M52" s="43">
        <f>IF(Tabela3[[#This Row],[Lucro/Ação]]&gt;0,Tabela3[[#This Row],[Cotação]]/Tabela3[[#This Row],[Lucro/Ação]],0)</f>
        <v>19.955028182963996</v>
      </c>
      <c r="N52" s="6">
        <f>Tabela3[[#This Row],[Lucro/Ação]]*Tabela3[[#This Row],[Payout]]</f>
        <v>1.5080539181747725</v>
      </c>
      <c r="O52" s="15" t="str">
        <f>IF(AND(Tabela3[% A.A.]&gt;=10%,Tabela3[PVPA]&lt;=2,Tabela3[PL]&lt;=15,Tabela3[PL]&gt;0),"Sim","Não")</f>
        <v>Não</v>
      </c>
      <c r="P52" s="45">
        <f>Tabela3[[#This Row],[Lucro Prev]]/Tabela3[[#This Row],[Cotação]]</f>
        <v>4.2878985447107547E-2</v>
      </c>
      <c r="Q52" s="19">
        <f>((1+Tabela3[[#This Row],[% Yield]])^(1/(3*Tabela3[[#This Row],[Ref]])))^(12)-1</f>
        <v>5.7576734807999186E-2</v>
      </c>
      <c r="R52" s="14">
        <f>($X$1/Tabela3[[#This Row],[Cotação]]-MOD($X$1/Tabela3[[#This Row],[Cotação]],100))</f>
        <v>0</v>
      </c>
      <c r="S52" s="17">
        <f>Tabela3[[#This Row],[Ativos]]*Tabela3[[#This Row],[Lucro Prev]]</f>
        <v>0</v>
      </c>
      <c r="T52" s="5">
        <f>SUMPRODUCT(N(Tabela1[Código]=Tabela3[[#This Row],[PAPEL]]),Tabela1[Fechamento])</f>
        <v>35.17</v>
      </c>
      <c r="U52" s="5">
        <f>SUMPRODUCT(N(Tabela17[Código]=Tabela3[[#This Row],[PAPEL]]),Tabela17[Fechamento])</f>
        <v>0</v>
      </c>
    </row>
    <row r="53" spans="1:21" hidden="1" x14ac:dyDescent="0.2">
      <c r="A53" s="3" t="s">
        <v>312</v>
      </c>
      <c r="B53" s="72" t="s">
        <v>309</v>
      </c>
      <c r="C53" s="16">
        <v>3</v>
      </c>
      <c r="D53" s="5">
        <v>264517000</v>
      </c>
      <c r="E53" s="5">
        <v>37183000</v>
      </c>
      <c r="F53" s="5">
        <f>GETPIVOTDATA("Average of Lucro Líquido",'Tabela LL'!$A$3,"Ativo",Tabela3[[#This Row],[PAPEL]])/4*Tabela3[[#This Row],[Ref]]</f>
        <v>3730206.9262499996</v>
      </c>
      <c r="G53" s="21">
        <v>24948000</v>
      </c>
      <c r="H53" s="70">
        <f>Tabela3[[#This Row],[Lucro Líquido]]/Tabela3[[#This Row],[Total Ações]]</f>
        <v>1.490420073753407</v>
      </c>
      <c r="I53" s="18">
        <f>IF(GETPIVOTDATA("Payout",'Tabela LL'!$A$3,"Ativo",Tabela3[[#This Row],[PAPEL]])&gt;1,1,GETPIVOTDATA("Payout",'Tabela LL'!$A$3,"Ativo",Tabela3[[#This Row],[PAPEL]]))</f>
        <v>0.2032996796183045</v>
      </c>
      <c r="J53" s="5">
        <f>Tabela3[Patrimônio Líquido]/Tabela3[Total Ações]</f>
        <v>10.602733686067019</v>
      </c>
      <c r="K53" s="57">
        <f>MAX(Tabela3[[#This Row],[Cotação 1]],Tabela3[[#This Row],[Cotação 2]])</f>
        <v>7.08</v>
      </c>
      <c r="L53" s="58">
        <f>Tabela3[Cotação]/Tabela3[VPA]</f>
        <v>0.66775231837651272</v>
      </c>
      <c r="M53" s="39">
        <f>IF(Tabela3[[#This Row],[Lucro/Ação]]&gt;0,Tabela3[[#This Row],[Cotação]]/Tabela3[[#This Row],[Lucro/Ação]],0)</f>
        <v>4.7503385955947612</v>
      </c>
      <c r="N53" s="5">
        <f>Tabela3[[#This Row],[Lucro/Ação]]*Tabela3[[#This Row],[Payout]]</f>
        <v>0.30300192349075739</v>
      </c>
      <c r="O53" s="16" t="str">
        <f>IF(AND(Tabela3[% A.A.]&gt;=10%,Tabela3[PVPA]&lt;=2,Tabela3[PL]&lt;=15,Tabela3[PL]&gt;0),"Sim","Não")</f>
        <v>Não</v>
      </c>
      <c r="P53" s="22">
        <f>Tabela3[[#This Row],[Lucro Prev]]/Tabela3[[#This Row],[Cotação]]</f>
        <v>4.2796881848977029E-2</v>
      </c>
      <c r="Q53" s="18">
        <f>((1+Tabela3[[#This Row],[% Yield]])^(1/(3*Tabela3[[#This Row],[Ref]])))^(12)-1</f>
        <v>5.7465721971313499E-2</v>
      </c>
      <c r="R53" s="10">
        <f>($X$1/Tabela3[[#This Row],[Cotação]]-MOD($X$1/Tabela3[[#This Row],[Cotação]],100))</f>
        <v>0</v>
      </c>
      <c r="S53" s="7">
        <f>Tabela3[[#This Row],[Ativos]]*Tabela3[[#This Row],[Lucro Prev]]</f>
        <v>0</v>
      </c>
      <c r="T53" s="50">
        <f>SUMPRODUCT(N(Tabela1[Código]=Tabela3[[#This Row],[PAPEL]]),Tabela1[Fechamento])</f>
        <v>0</v>
      </c>
      <c r="U53" s="59">
        <f>SUMPRODUCT(N(Tabela17[Código]=Tabela3[[#This Row],[PAPEL]]),Tabela17[Fechamento])</f>
        <v>7.08</v>
      </c>
    </row>
    <row r="54" spans="1:21" hidden="1" x14ac:dyDescent="0.2">
      <c r="A54" s="4" t="s">
        <v>12</v>
      </c>
      <c r="B54" s="14" t="s">
        <v>65</v>
      </c>
      <c r="C54" s="15">
        <v>3</v>
      </c>
      <c r="D54" s="6">
        <v>1825587000</v>
      </c>
      <c r="E54" s="6">
        <v>190026000</v>
      </c>
      <c r="F54" s="6">
        <f>GETPIVOTDATA("Average of Lucro Líquido",'Tabela LL'!$A$3,"Ativo",Tabela3[[#This Row],[PAPEL]])/4*Tabela3[[#This Row],[Ref]]</f>
        <v>182624692.46812499</v>
      </c>
      <c r="G54" s="41">
        <v>1245690889</v>
      </c>
      <c r="H54" s="15">
        <f>Tabela3[[#This Row],[Lucro Líquido]]/Tabela3[[#This Row],[Total Ações]]</f>
        <v>0.15254667243536371</v>
      </c>
      <c r="I54" s="44">
        <f>IF(GETPIVOTDATA("Payout",'Tabela LL'!$A$3,"Ativo",Tabela3[[#This Row],[PAPEL]])&gt;1,1,GETPIVOTDATA("Payout",'Tabela LL'!$A$3,"Ativo",Tabela3[[#This Row],[PAPEL]]))</f>
        <v>0.58097440486745289</v>
      </c>
      <c r="J54" s="6">
        <f>Tabela3[Patrimônio Líquido]/Tabela3[Total Ações]</f>
        <v>1.4655216764614227</v>
      </c>
      <c r="K54" s="51">
        <f>MAX(Tabela3[[#This Row],[Cotação 1]],Tabela3[[#This Row],[Cotação 2]])</f>
        <v>2.1</v>
      </c>
      <c r="L54" s="47">
        <f>Tabela3[Cotação]/Tabela3[VPA]</f>
        <v>1.4329368399862619</v>
      </c>
      <c r="M54" s="43">
        <f>IF(Tabela3[[#This Row],[Lucro/Ação]]&gt;0,Tabela3[[#This Row],[Cotação]]/Tabela3[[#This Row],[Lucro/Ação]],0)</f>
        <v>13.766278650816204</v>
      </c>
      <c r="N54" s="6">
        <f>Tabela3[[#This Row],[Lucro/Ação]]*Tabela3[[#This Row],[Payout]]</f>
        <v>8.8625712232645718E-2</v>
      </c>
      <c r="O54" s="14" t="str">
        <f>IF(AND(Tabela3[% A.A.]&gt;=10%,Tabela3[PVPA]&lt;=2,Tabela3[PL]&lt;=15,Tabela3[PL]&gt;0),"Sim","Não")</f>
        <v>Não</v>
      </c>
      <c r="P54" s="45">
        <f>Tabela3[[#This Row],[Lucro Prev]]/Tabela3[[#This Row],[Cotação]]</f>
        <v>4.2202720110783673E-2</v>
      </c>
      <c r="Q54" s="19">
        <f>((1+Tabela3[[#This Row],[% Yield]])^(1/(3*Tabela3[[#This Row],[Ref]])))^(12)-1</f>
        <v>5.6662438661291503E-2</v>
      </c>
      <c r="R54" s="14">
        <f>($X$1/Tabela3[[#This Row],[Cotação]]-MOD($X$1/Tabela3[[#This Row],[Cotação]],100))</f>
        <v>100</v>
      </c>
      <c r="S54" s="17">
        <f>Tabela3[[#This Row],[Ativos]]*Tabela3[[#This Row],[Lucro Prev]]</f>
        <v>8.8625712232645721</v>
      </c>
      <c r="T54" s="5">
        <f>SUMPRODUCT(N(Tabela1[Código]=Tabela3[[#This Row],[PAPEL]]),Tabela1[Fechamento])</f>
        <v>2.1</v>
      </c>
      <c r="U54" s="5">
        <f>SUMPRODUCT(N(Tabela17[Código]=Tabela3[[#This Row],[PAPEL]]),Tabela17[Fechamento])</f>
        <v>0</v>
      </c>
    </row>
    <row r="55" spans="1:21" hidden="1" x14ac:dyDescent="0.2">
      <c r="A55" s="4" t="s">
        <v>14</v>
      </c>
      <c r="B55" s="14" t="s">
        <v>22</v>
      </c>
      <c r="C55" s="15">
        <v>3</v>
      </c>
      <c r="D55" s="6">
        <v>1864725000</v>
      </c>
      <c r="E55" s="6">
        <v>192096000</v>
      </c>
      <c r="F55" s="6">
        <f>GETPIVOTDATA("Average of Lucro Líquido",'Tabela LL'!$A$3,"Ativo",Tabela3[[#This Row],[PAPEL]])/4*Tabela3[[#This Row],[Ref]]</f>
        <v>163668654.766875</v>
      </c>
      <c r="G55" s="41">
        <v>147232649</v>
      </c>
      <c r="H55" s="15">
        <f>Tabela3[[#This Row],[Lucro Líquido]]/Tabela3[[#This Row],[Total Ações]]</f>
        <v>1.3047106148310896</v>
      </c>
      <c r="I55" s="19">
        <f>IF(GETPIVOTDATA("Payout",'Tabela LL'!$A$3,"Ativo",Tabela3[[#This Row],[PAPEL]])&gt;1,1,GETPIVOTDATA("Payout",'Tabela LL'!$A$3,"Ativo",Tabela3[[#This Row],[PAPEL]]))</f>
        <v>0.38903884611110762</v>
      </c>
      <c r="J55" s="6">
        <f>Tabela3[Patrimônio Líquido]/Tabela3[Total Ações]</f>
        <v>12.665159614155961</v>
      </c>
      <c r="K55" s="51">
        <f>MAX(Tabela3[[#This Row],[Cotação 1]],Tabela3[[#This Row],[Cotação 2]])</f>
        <v>12.19</v>
      </c>
      <c r="L55" s="47">
        <f>Tabela3[Cotação]/Tabela3[VPA]</f>
        <v>0.96248293518347205</v>
      </c>
      <c r="M55" s="43">
        <f>IF(Tabela3[[#This Row],[Lucro/Ação]]&gt;0,Tabela3[[#This Row],[Cotação]]/Tabela3[[#This Row],[Lucro/Ação]],0)</f>
        <v>9.3430680040708793</v>
      </c>
      <c r="N55" s="6">
        <f>Tabela3[[#This Row],[Lucro/Ação]]*Tabela3[[#This Row],[Payout]]</f>
        <v>0.50758311210280094</v>
      </c>
      <c r="O55" s="15" t="str">
        <f>IF(AND(Tabela3[% A.A.]&gt;=10%,Tabela3[PVPA]&lt;=2,Tabela3[PL]&lt;=15,Tabela3[PL]&gt;0),"Sim","Não")</f>
        <v>Não</v>
      </c>
      <c r="P55" s="45">
        <f>Tabela3[[#This Row],[Lucro Prev]]/Tabela3[[#This Row],[Cotação]]</f>
        <v>4.1639303699983671E-2</v>
      </c>
      <c r="Q55" s="19">
        <f>((1+Tabela3[[#This Row],[% Yield]])^(1/(3*Tabela3[[#This Row],[Ref]])))^(12)-1</f>
        <v>5.5900862817731101E-2</v>
      </c>
      <c r="R55" s="14">
        <f>($X$1/Tabela3[[#This Row],[Cotação]]-MOD($X$1/Tabela3[[#This Row],[Cotação]],100))</f>
        <v>0</v>
      </c>
      <c r="S55" s="17">
        <f>Tabela3[[#This Row],[Ativos]]*Tabela3[[#This Row],[Lucro Prev]]</f>
        <v>0</v>
      </c>
      <c r="T55" s="5">
        <f>SUMPRODUCT(N(Tabela1[Código]=Tabela3[[#This Row],[PAPEL]]),Tabela1[Fechamento])</f>
        <v>12.19</v>
      </c>
      <c r="U55" s="5">
        <f>SUMPRODUCT(N(Tabela17[Código]=Tabela3[[#This Row],[PAPEL]]),Tabela17[Fechamento])</f>
        <v>0</v>
      </c>
    </row>
    <row r="56" spans="1:21" hidden="1" x14ac:dyDescent="0.2">
      <c r="A56" s="4" t="s">
        <v>14</v>
      </c>
      <c r="B56" s="14" t="s">
        <v>216</v>
      </c>
      <c r="C56" s="15">
        <v>3</v>
      </c>
      <c r="D56" s="6">
        <v>1179411000</v>
      </c>
      <c r="E56" s="6">
        <v>46761000</v>
      </c>
      <c r="F56" s="6">
        <f>GETPIVOTDATA("Average of Lucro Líquido",'Tabela LL'!$A$3,"Ativo",Tabela3[[#This Row],[PAPEL]])/4*Tabela3[[#This Row],[Ref]]</f>
        <v>54858059.25</v>
      </c>
      <c r="G56" s="41">
        <v>90224492</v>
      </c>
      <c r="H56" s="15">
        <f>Tabela3[[#This Row],[Lucro Líquido]]/Tabela3[[#This Row],[Total Ações]]</f>
        <v>0.51827390726677625</v>
      </c>
      <c r="I56" s="19">
        <f>IF(GETPIVOTDATA("Payout",'Tabela LL'!$A$3,"Ativo",Tabela3[[#This Row],[PAPEL]])&gt;1,1,GETPIVOTDATA("Payout",'Tabela LL'!$A$3,"Ativo",Tabela3[[#This Row],[PAPEL]]))</f>
        <v>0.45013216229230024</v>
      </c>
      <c r="J56" s="6">
        <f>Tabela3[Patrimônio Líquido]/Tabela3[Total Ações]</f>
        <v>13.071960549248645</v>
      </c>
      <c r="K56" s="51">
        <f>MAX(Tabela3[[#This Row],[Cotação 1]],Tabela3[[#This Row],[Cotação 2]])</f>
        <v>5.64</v>
      </c>
      <c r="L56" s="47">
        <f>Tabela3[Cotação]/Tabela3[VPA]</f>
        <v>0.43145785046942919</v>
      </c>
      <c r="M56" s="43">
        <f>IF(Tabela3[[#This Row],[Lucro/Ação]]&gt;0,Tabela3[[#This Row],[Cotação]]/Tabela3[[#This Row],[Lucro/Ação]],0)</f>
        <v>10.882276574068134</v>
      </c>
      <c r="N56" s="6">
        <f>Tabela3[[#This Row],[Lucro/Ação]]*Tabela3[[#This Row],[Payout]]</f>
        <v>0.23329175453767309</v>
      </c>
      <c r="O56" s="15" t="str">
        <f>IF(AND(Tabela3[% A.A.]&gt;=10%,Tabela3[PVPA]&lt;=2,Tabela3[PL]&lt;=15,Tabela3[PL]&gt;0),"Sim","Não")</f>
        <v>Não</v>
      </c>
      <c r="P56" s="45">
        <f>Tabela3[[#This Row],[Lucro Prev]]/Tabela3[[#This Row],[Cotação]]</f>
        <v>4.1363786265544877E-2</v>
      </c>
      <c r="Q56" s="19">
        <f>((1+Tabela3[[#This Row],[% Yield]])^(1/(3*Tabela3[[#This Row],[Ref]])))^(12)-1</f>
        <v>5.5528493009108226E-2</v>
      </c>
      <c r="R56" s="14">
        <f>($X$1/Tabela3[[#This Row],[Cotação]]-MOD($X$1/Tabela3[[#This Row],[Cotação]],100))</f>
        <v>0</v>
      </c>
      <c r="S56" s="17">
        <f>Tabela3[[#This Row],[Ativos]]*Tabela3[[#This Row],[Lucro Prev]]</f>
        <v>0</v>
      </c>
      <c r="T56" s="5">
        <f>SUMPRODUCT(N(Tabela1[Código]=Tabela3[[#This Row],[PAPEL]]),Tabela1[Fechamento])</f>
        <v>5.64</v>
      </c>
      <c r="U56" s="5">
        <f>SUMPRODUCT(N(Tabela17[Código]=Tabela3[[#This Row],[PAPEL]]),Tabela17[Fechamento])</f>
        <v>0</v>
      </c>
    </row>
    <row r="57" spans="1:21" hidden="1" x14ac:dyDescent="0.2">
      <c r="A57" s="3" t="s">
        <v>333</v>
      </c>
      <c r="B57" s="75" t="s">
        <v>332</v>
      </c>
      <c r="C57" s="16">
        <v>3</v>
      </c>
      <c r="D57" s="5">
        <v>10031194000</v>
      </c>
      <c r="E57" s="5">
        <v>852679000</v>
      </c>
      <c r="F57" s="5">
        <f>GETPIVOTDATA("Average of Lucro Líquido",'Tabela LL'!$A$3,"Ativo",Tabela3[[#This Row],[PAPEL]])/4*Tabela3[[#This Row],[Ref]]</f>
        <v>978769272.56812501</v>
      </c>
      <c r="G57" s="21">
        <v>349547945</v>
      </c>
      <c r="H57" s="70">
        <f>Tabela3[[#This Row],[Lucro Líquido]]/Tabela3[[#This Row],[Total Ações]]</f>
        <v>2.439376377967263</v>
      </c>
      <c r="I57" s="18">
        <f>IF(GETPIVOTDATA("Payout",'Tabela LL'!$A$3,"Ativo",Tabela3[[#This Row],[PAPEL]])&gt;1,1,GETPIVOTDATA("Payout",'Tabela LL'!$A$3,"Ativo",Tabela3[[#This Row],[PAPEL]]))</f>
        <v>0.37396520131393723</v>
      </c>
      <c r="J57" s="5">
        <f>Tabela3[Patrimônio Líquido]/Tabela3[Total Ações]</f>
        <v>28.697619721380423</v>
      </c>
      <c r="K57" s="57">
        <f>MAX(Tabela3[[#This Row],[Cotação 1]],Tabela3[[#This Row],[Cotação 2]])</f>
        <v>22.41</v>
      </c>
      <c r="L57" s="58">
        <f>Tabela3[Cotação]/Tabela3[VPA]</f>
        <v>0.78090100215886571</v>
      </c>
      <c r="M57" s="39">
        <f>IF(Tabela3[[#This Row],[Lucro/Ação]]&gt;0,Tabela3[[#This Row],[Cotação]]/Tabela3[[#This Row],[Lucro/Ação]],0)</f>
        <v>9.1867742109867834</v>
      </c>
      <c r="N57" s="5">
        <f>Tabela3[[#This Row],[Lucro/Ação]]*Tabela3[[#This Row],[Payout]]</f>
        <v>0.91224187826699055</v>
      </c>
      <c r="O57" s="16" t="str">
        <f>IF(AND(Tabela3[% A.A.]&gt;=10%,Tabela3[PVPA]&lt;=2,Tabela3[PL]&lt;=15,Tabela3[PL]&gt;0),"Sim","Não")</f>
        <v>Não</v>
      </c>
      <c r="P57" s="22">
        <f>Tabela3[[#This Row],[Lucro Prev]]/Tabela3[[#This Row],[Cotação]]</f>
        <v>4.0706911123025012E-2</v>
      </c>
      <c r="Q57" s="18">
        <f>((1+Tabela3[[#This Row],[% Yield]])^(1/(3*Tabela3[[#This Row],[Ref]])))^(12)-1</f>
        <v>5.4640839676222575E-2</v>
      </c>
      <c r="R57" s="10">
        <f>($X$1/Tabela3[[#This Row],[Cotação]]-MOD($X$1/Tabela3[[#This Row],[Cotação]],100))</f>
        <v>0</v>
      </c>
      <c r="S57" s="7">
        <f>Tabela3[[#This Row],[Ativos]]*Tabela3[[#This Row],[Lucro Prev]]</f>
        <v>0</v>
      </c>
      <c r="T57" s="50">
        <f>SUMPRODUCT(N(Tabela1[Código]=Tabela3[[#This Row],[PAPEL]]),Tabela1[Fechamento])</f>
        <v>0</v>
      </c>
      <c r="U57" s="59">
        <f>SUMPRODUCT(N(Tabela17[Código]=Tabela3[[#This Row],[PAPEL]]),Tabela17[Fechamento])</f>
        <v>22.41</v>
      </c>
    </row>
    <row r="58" spans="1:21" hidden="1" x14ac:dyDescent="0.2">
      <c r="A58" s="4" t="s">
        <v>12</v>
      </c>
      <c r="B58" s="14" t="s">
        <v>56</v>
      </c>
      <c r="C58" s="15">
        <v>3</v>
      </c>
      <c r="D58" s="6">
        <v>4589097000</v>
      </c>
      <c r="E58" s="6">
        <v>751496000</v>
      </c>
      <c r="F58" s="6">
        <f>GETPIVOTDATA("Average of Lucro Líquido",'Tabela LL'!$A$3,"Ativo",Tabela3[[#This Row],[PAPEL]])/4*Tabela3[[#This Row],[Ref]]</f>
        <v>337688773.37250006</v>
      </c>
      <c r="G58" s="41">
        <v>1033496721</v>
      </c>
      <c r="H58" s="15">
        <f>Tabela3[[#This Row],[Lucro Líquido]]/Tabela3[[#This Row],[Total Ações]]</f>
        <v>0.72713922040590584</v>
      </c>
      <c r="I58" s="19">
        <f>IF(GETPIVOTDATA("Payout",'Tabela LL'!$A$3,"Ativo",Tabela3[[#This Row],[PAPEL]])&gt;1,1,GETPIVOTDATA("Payout",'Tabela LL'!$A$3,"Ativo",Tabela3[[#This Row],[PAPEL]]))</f>
        <v>1</v>
      </c>
      <c r="J58" s="6">
        <f>Tabela3[Patrimônio Líquido]/Tabela3[Total Ações]</f>
        <v>4.4403595161478986</v>
      </c>
      <c r="K58" s="51">
        <f>MAX(Tabela3[[#This Row],[Cotação 1]],Tabela3[[#This Row],[Cotação 2]])</f>
        <v>17.95</v>
      </c>
      <c r="L58" s="47">
        <f>Tabela3[Cotação]/Tabela3[VPA]</f>
        <v>4.0424654658530859</v>
      </c>
      <c r="M58" s="43">
        <f>IF(Tabela3[[#This Row],[Lucro/Ação]]&gt;0,Tabela3[[#This Row],[Cotação]]/Tabela3[[#This Row],[Lucro/Ação]],0)</f>
        <v>24.685781616868219</v>
      </c>
      <c r="N58" s="6">
        <f>Tabela3[[#This Row],[Lucro/Ação]]*Tabela3[[#This Row],[Payout]]</f>
        <v>0.72713922040590584</v>
      </c>
      <c r="O58" s="15" t="str">
        <f>IF(AND(Tabela3[% A.A.]&gt;=10%,Tabela3[PVPA]&lt;=2,Tabela3[PL]&lt;=15,Tabela3[PL]&gt;0),"Sim","Não")</f>
        <v>Não</v>
      </c>
      <c r="P58" s="45">
        <f>Tabela3[[#This Row],[Lucro Prev]]/Tabela3[[#This Row],[Cotação]]</f>
        <v>4.0509148769131247E-2</v>
      </c>
      <c r="Q58" s="19">
        <f>((1+Tabela3[[#This Row],[% Yield]])^(1/(3*Tabela3[[#This Row],[Ref]])))^(12)-1</f>
        <v>5.4373634571872831E-2</v>
      </c>
      <c r="R58" s="14">
        <f>($X$1/Tabela3[[#This Row],[Cotação]]-MOD($X$1/Tabela3[[#This Row],[Cotação]],100))</f>
        <v>0</v>
      </c>
      <c r="S58" s="17">
        <f>Tabela3[[#This Row],[Ativos]]*Tabela3[[#This Row],[Lucro Prev]]</f>
        <v>0</v>
      </c>
      <c r="T58" s="5">
        <f>SUMPRODUCT(N(Tabela1[Código]=Tabela3[[#This Row],[PAPEL]]),Tabela1[Fechamento])</f>
        <v>17.95</v>
      </c>
      <c r="U58" s="5">
        <f>SUMPRODUCT(N(Tabela17[Código]=Tabela3[[#This Row],[PAPEL]]),Tabela17[Fechamento])</f>
        <v>0</v>
      </c>
    </row>
    <row r="59" spans="1:21" hidden="1" x14ac:dyDescent="0.2">
      <c r="A59" s="3" t="s">
        <v>328</v>
      </c>
      <c r="B59" s="72" t="s">
        <v>325</v>
      </c>
      <c r="C59" s="16">
        <v>3</v>
      </c>
      <c r="D59" s="5">
        <v>10322490000</v>
      </c>
      <c r="E59" s="5">
        <v>310353000</v>
      </c>
      <c r="F59" s="5">
        <f>GETPIVOTDATA("Average of Lucro Líquido",'Tabela LL'!$A$3,"Ativo",Tabela3[[#This Row],[PAPEL]])/4*Tabela3[[#This Row],[Ref]]</f>
        <v>953548826.25999999</v>
      </c>
      <c r="G59" s="21">
        <v>1797086404</v>
      </c>
      <c r="H59" s="70">
        <f>Tabela3[[#This Row],[Lucro Líquido]]/Tabela3[[#This Row],[Total Ações]]</f>
        <v>0.17269787324037872</v>
      </c>
      <c r="I59" s="18">
        <f>IF(GETPIVOTDATA("Payout",'Tabela LL'!$A$3,"Ativo",Tabela3[[#This Row],[PAPEL]])&gt;1,1,GETPIVOTDATA("Payout",'Tabela LL'!$A$3,"Ativo",Tabela3[[#This Row],[PAPEL]]))</f>
        <v>1</v>
      </c>
      <c r="J59" s="5">
        <f>Tabela3[Patrimônio Líquido]/Tabela3[Total Ações]</f>
        <v>5.7440142983798346</v>
      </c>
      <c r="K59" s="57">
        <f>MAX(Tabela3[[#This Row],[Cotação 1]],Tabela3[[#This Row],[Cotação 2]])</f>
        <v>4.37</v>
      </c>
      <c r="L59" s="58">
        <f>Tabela3[Cotação]/Tabela3[VPA]</f>
        <v>0.7607919780479323</v>
      </c>
      <c r="M59" s="39">
        <f>IF(Tabela3[[#This Row],[Lucro/Ação]]&gt;0,Tabela3[[#This Row],[Cotação]]/Tabela3[[#This Row],[Lucro/Ação]],0)</f>
        <v>25.304306984240526</v>
      </c>
      <c r="N59" s="5">
        <f>Tabela3[[#This Row],[Lucro/Ação]]*Tabela3[[#This Row],[Payout]]</f>
        <v>0.17269787324037872</v>
      </c>
      <c r="O59" s="16" t="str">
        <f>IF(AND(Tabela3[% A.A.]&gt;=10%,Tabela3[PVPA]&lt;=2,Tabela3[PL]&lt;=15,Tabela3[PL]&gt;0),"Sim","Não")</f>
        <v>Não</v>
      </c>
      <c r="P59" s="22">
        <f>Tabela3[[#This Row],[Lucro Prev]]/Tabela3[[#This Row],[Cotação]]</f>
        <v>3.9518964128233115E-2</v>
      </c>
      <c r="Q59" s="18">
        <f>((1+Tabela3[[#This Row],[% Yield]])^(1/(3*Tabela3[[#This Row],[Ref]])))^(12)-1</f>
        <v>5.3036008716193628E-2</v>
      </c>
      <c r="R59" s="10">
        <f>($X$1/Tabela3[[#This Row],[Cotação]]-MOD($X$1/Tabela3[[#This Row],[Cotação]],100))</f>
        <v>0</v>
      </c>
      <c r="S59" s="7">
        <f>Tabela3[[#This Row],[Ativos]]*Tabela3[[#This Row],[Lucro Prev]]</f>
        <v>0</v>
      </c>
      <c r="T59" s="50">
        <f>SUMPRODUCT(N(Tabela1[Código]=Tabela3[[#This Row],[PAPEL]]),Tabela1[Fechamento])</f>
        <v>0</v>
      </c>
      <c r="U59" s="59">
        <f>SUMPRODUCT(N(Tabela17[Código]=Tabela3[[#This Row],[PAPEL]]),Tabela17[Fechamento])</f>
        <v>4.37</v>
      </c>
    </row>
    <row r="60" spans="1:21" hidden="1" x14ac:dyDescent="0.2">
      <c r="A60" s="4" t="s">
        <v>14</v>
      </c>
      <c r="B60" s="14" t="s">
        <v>60</v>
      </c>
      <c r="C60" s="15">
        <v>3</v>
      </c>
      <c r="D60" s="6">
        <v>901919000</v>
      </c>
      <c r="E60" s="6">
        <v>77892000</v>
      </c>
      <c r="F60" s="6">
        <f>GETPIVOTDATA("Average of Lucro Líquido",'Tabela LL'!$A$3,"Ativo",Tabela3[[#This Row],[PAPEL]])/4*Tabela3[[#This Row],[Ref]]</f>
        <v>87901125</v>
      </c>
      <c r="G60" s="41">
        <v>1579564303</v>
      </c>
      <c r="H60" s="15">
        <f>Tabela3[[#This Row],[Lucro Líquido]]/Tabela3[[#This Row],[Total Ações]]</f>
        <v>4.931233242740609E-2</v>
      </c>
      <c r="I60" s="19">
        <f>IF(GETPIVOTDATA("Payout",'Tabela LL'!$A$3,"Ativo",Tabela3[[#This Row],[PAPEL]])&gt;1,1,GETPIVOTDATA("Payout",'Tabela LL'!$A$3,"Ativo",Tabela3[[#This Row],[PAPEL]]))</f>
        <v>0.36351567797691797</v>
      </c>
      <c r="J60" s="6">
        <f>Tabela3[Patrimônio Líquido]/Tabela3[Total Ações]</f>
        <v>0.57099226558046623</v>
      </c>
      <c r="K60" s="51">
        <f>MAX(Tabela3[[#This Row],[Cotação 1]],Tabela3[[#This Row],[Cotação 2]])</f>
        <v>0.46</v>
      </c>
      <c r="L60" s="47">
        <f>Tabela3[Cotação]/Tabela3[VPA]</f>
        <v>0.80561511552589538</v>
      </c>
      <c r="M60" s="43">
        <f>IF(Tabela3[[#This Row],[Lucro/Ação]]&gt;0,Tabela3[[#This Row],[Cotação]]/Tabela3[[#This Row],[Lucro/Ação]],0)</f>
        <v>9.3282953240384128</v>
      </c>
      <c r="N60" s="6">
        <f>Tabela3[[#This Row],[Lucro/Ação]]*Tabela3[[#This Row],[Payout]]</f>
        <v>1.7925805954971681E-2</v>
      </c>
      <c r="O60" s="15" t="str">
        <f>IF(AND(Tabela3[% A.A.]&gt;=10%,Tabela3[PVPA]&lt;=2,Tabela3[PL]&lt;=15,Tabela3[PL]&gt;0),"Sim","Não")</f>
        <v>Não</v>
      </c>
      <c r="P60" s="45">
        <f>Tabela3[[#This Row],[Lucro Prev]]/Tabela3[[#This Row],[Cotação]]</f>
        <v>3.8969143380373217E-2</v>
      </c>
      <c r="Q60" s="19">
        <f>((1+Tabela3[[#This Row],[% Yield]])^(1/(3*Tabela3[[#This Row],[Ref]])))^(12)-1</f>
        <v>5.229344730608454E-2</v>
      </c>
      <c r="R60" s="14">
        <f>($X$1/Tabela3[[#This Row],[Cotação]]-MOD($X$1/Tabela3[[#This Row],[Cotação]],100))</f>
        <v>600</v>
      </c>
      <c r="S60" s="17">
        <f>Tabela3[[#This Row],[Ativos]]*Tabela3[[#This Row],[Lucro Prev]]</f>
        <v>10.755483572983009</v>
      </c>
      <c r="T60" s="5">
        <f>SUMPRODUCT(N(Tabela1[Código]=Tabela3[[#This Row],[PAPEL]]),Tabela1[Fechamento])</f>
        <v>0.46</v>
      </c>
      <c r="U60" s="5">
        <f>SUMPRODUCT(N(Tabela17[Código]=Tabela3[[#This Row],[PAPEL]]),Tabela17[Fechamento])</f>
        <v>0</v>
      </c>
    </row>
    <row r="61" spans="1:21" hidden="1" x14ac:dyDescent="0.2">
      <c r="A61" s="4" t="s">
        <v>14</v>
      </c>
      <c r="B61" s="14" t="s">
        <v>59</v>
      </c>
      <c r="C61" s="15">
        <v>3</v>
      </c>
      <c r="D61" s="6">
        <v>901919000</v>
      </c>
      <c r="E61" s="6">
        <v>77892000</v>
      </c>
      <c r="F61" s="6">
        <f>GETPIVOTDATA("Average of Lucro Líquido",'Tabela LL'!$A$3,"Ativo",Tabela3[[#This Row],[PAPEL]])/4*Tabela3[[#This Row],[Ref]]</f>
        <v>87901125</v>
      </c>
      <c r="G61" s="41">
        <v>1579564303</v>
      </c>
      <c r="H61" s="15">
        <f>Tabela3[[#This Row],[Lucro Líquido]]/Tabela3[[#This Row],[Total Ações]]</f>
        <v>4.931233242740609E-2</v>
      </c>
      <c r="I61" s="19">
        <f>IF(GETPIVOTDATA("Payout",'Tabela LL'!$A$3,"Ativo",Tabela3[[#This Row],[PAPEL]])&gt;1,1,GETPIVOTDATA("Payout",'Tabela LL'!$A$3,"Ativo",Tabela3[[#This Row],[PAPEL]]))</f>
        <v>0.36351567797691797</v>
      </c>
      <c r="J61" s="6">
        <f>Tabela3[Patrimônio Líquido]/Tabela3[Total Ações]</f>
        <v>0.57099226558046623</v>
      </c>
      <c r="K61" s="51">
        <f>MAX(Tabela3[[#This Row],[Cotação 1]],Tabela3[[#This Row],[Cotação 2]])</f>
        <v>0.47</v>
      </c>
      <c r="L61" s="47">
        <f>Tabela3[Cotação]/Tabela3[VPA]</f>
        <v>0.8231284876025452</v>
      </c>
      <c r="M61" s="43">
        <f>IF(Tabela3[[#This Row],[Lucro/Ação]]&gt;0,Tabela3[[#This Row],[Cotação]]/Tabela3[[#This Row],[Lucro/Ação]],0)</f>
        <v>9.5310843528218552</v>
      </c>
      <c r="N61" s="6">
        <f>Tabela3[[#This Row],[Lucro/Ação]]*Tabela3[[#This Row],[Payout]]</f>
        <v>1.7925805954971681E-2</v>
      </c>
      <c r="O61" s="15" t="str">
        <f>IF(AND(Tabela3[% A.A.]&gt;=10%,Tabela3[PVPA]&lt;=2,Tabela3[PL]&lt;=15,Tabela3[PL]&gt;0),"Sim","Não")</f>
        <v>Não</v>
      </c>
      <c r="P61" s="45">
        <f>Tabela3[[#This Row],[Lucro Prev]]/Tabela3[[#This Row],[Cotação]]</f>
        <v>3.8140012670152518E-2</v>
      </c>
      <c r="Q61" s="19">
        <f>((1+Tabela3[[#This Row],[% Yield]])^(1/(3*Tabela3[[#This Row],[Ref]])))^(12)-1</f>
        <v>5.1173911013635331E-2</v>
      </c>
      <c r="R61" s="14">
        <f>($X$1/Tabela3[[#This Row],[Cotação]]-MOD($X$1/Tabela3[[#This Row],[Cotação]],100))</f>
        <v>600</v>
      </c>
      <c r="S61" s="17">
        <f>Tabela3[[#This Row],[Ativos]]*Tabela3[[#This Row],[Lucro Prev]]</f>
        <v>10.755483572983009</v>
      </c>
      <c r="T61" s="5">
        <f>SUMPRODUCT(N(Tabela1[Código]=Tabela3[[#This Row],[PAPEL]]),Tabela1[Fechamento])</f>
        <v>0.47</v>
      </c>
      <c r="U61" s="5">
        <f>SUMPRODUCT(N(Tabela17[Código]=Tabela3[[#This Row],[PAPEL]]),Tabela17[Fechamento])</f>
        <v>0</v>
      </c>
    </row>
    <row r="62" spans="1:21" hidden="1" x14ac:dyDescent="0.2">
      <c r="A62" s="4" t="s">
        <v>14</v>
      </c>
      <c r="B62" s="14" t="s">
        <v>242</v>
      </c>
      <c r="C62" s="15">
        <v>3</v>
      </c>
      <c r="D62" s="5">
        <v>1002748000</v>
      </c>
      <c r="E62" s="5">
        <v>143437000</v>
      </c>
      <c r="F62" s="5">
        <f>GETPIVOTDATA("Average of Lucro Líquido",'Tabela LL'!$A$3,"Ativo",Tabela3[[#This Row],[PAPEL]])/4*Tabela3[[#This Row],[Ref]]</f>
        <v>130860752.60062501</v>
      </c>
      <c r="G62" s="21">
        <v>36304650</v>
      </c>
      <c r="H62" s="15">
        <f>Tabela3[[#This Row],[Lucro Líquido]]/Tabela3[[#This Row],[Total Ações]]</f>
        <v>3.9509263964808916</v>
      </c>
      <c r="I62" s="19">
        <f>IF(GETPIVOTDATA("Payout",'Tabela LL'!$A$3,"Ativo",Tabela3[[#This Row],[PAPEL]])&gt;1,1,GETPIVOTDATA("Payout",'Tabela LL'!$A$3,"Ativo",Tabela3[[#This Row],[PAPEL]]))</f>
        <v>0.28664546825986631</v>
      </c>
      <c r="J62" s="6">
        <f>Tabela3[Patrimônio Líquido]/Tabela3[Total Ações]</f>
        <v>27.620373698685981</v>
      </c>
      <c r="K62" s="51">
        <f>MAX(Tabela3[[#This Row],[Cotação 1]],Tabela3[[#This Row],[Cotação 2]])</f>
        <v>29.99</v>
      </c>
      <c r="L62" s="47">
        <f>Tabela3[Cotação]/Tabela3[VPA]</f>
        <v>1.0857926951736627</v>
      </c>
      <c r="M62" s="43">
        <f>IF(Tabela3[[#This Row],[Lucro/Ação]]&gt;0,Tabela3[[#This Row],[Cotação]]/Tabela3[[#This Row],[Lucro/Ação]],0)</f>
        <v>7.5906248283218414</v>
      </c>
      <c r="N62" s="6">
        <f>Tabela3[[#This Row],[Lucro/Ação]]*Tabela3[[#This Row],[Payout]]</f>
        <v>1.1325151469795314</v>
      </c>
      <c r="O62" s="15" t="str">
        <f>IF(AND(Tabela3[% A.A.]&gt;=10%,Tabela3[PVPA]&lt;=2,Tabela3[PL]&lt;=15,Tabela3[PL]&gt;0),"Sim","Não")</f>
        <v>Não</v>
      </c>
      <c r="P62" s="45">
        <f>Tabela3[[#This Row],[Lucro Prev]]/Tabela3[[#This Row],[Cotação]]</f>
        <v>3.7763092596849998E-2</v>
      </c>
      <c r="Q62" s="19">
        <f>((1+Tabela3[[#This Row],[% Yield]])^(1/(3*Tabela3[[#This Row],[Ref]])))^(12)-1</f>
        <v>5.0665072044686399E-2</v>
      </c>
      <c r="R62" s="14">
        <f>($X$1/Tabela3[[#This Row],[Cotação]]-MOD($X$1/Tabela3[[#This Row],[Cotação]],100))</f>
        <v>0</v>
      </c>
      <c r="S62" s="17">
        <f>Tabela3[[#This Row],[Ativos]]*Tabela3[[#This Row],[Lucro Prev]]</f>
        <v>0</v>
      </c>
      <c r="T62" s="5">
        <f>SUMPRODUCT(N(Tabela1[Código]=Tabela3[[#This Row],[PAPEL]]),Tabela1[Fechamento])</f>
        <v>29.99</v>
      </c>
      <c r="U62" s="5">
        <f>SUMPRODUCT(N(Tabela17[Código]=Tabela3[[#This Row],[PAPEL]]),Tabela17[Fechamento])</f>
        <v>0</v>
      </c>
    </row>
    <row r="63" spans="1:21" hidden="1" x14ac:dyDescent="0.2">
      <c r="A63" s="4" t="s">
        <v>369</v>
      </c>
      <c r="B63" s="69" t="s">
        <v>370</v>
      </c>
      <c r="C63" s="15">
        <v>3</v>
      </c>
      <c r="D63" s="6">
        <v>662099000</v>
      </c>
      <c r="E63" s="6">
        <v>23239000</v>
      </c>
      <c r="F63" s="6">
        <f>GETPIVOTDATA("Average of Lucro Líquido",'Tabela LL'!$A$3,"Ativo",Tabela3[[#This Row],[PAPEL]])/4*Tabela3[[#This Row],[Ref]]</f>
        <v>24584000</v>
      </c>
      <c r="G63" s="41">
        <v>80041132</v>
      </c>
      <c r="H63" s="71">
        <f>Tabela3[[#This Row],[Lucro Líquido]]/Tabela3[[#This Row],[Total Ações]]</f>
        <v>0.29033822260284875</v>
      </c>
      <c r="I63" s="19">
        <f>IF(GETPIVOTDATA("Payout",'Tabela LL'!$A$3,"Ativo",Tabela3[[#This Row],[PAPEL]])&gt;1,1,GETPIVOTDATA("Payout",'Tabela LL'!$A$3,"Ativo",Tabela3[[#This Row],[PAPEL]]))</f>
        <v>1</v>
      </c>
      <c r="J63" s="6">
        <f>Tabela3[Patrimônio Líquido]/Tabela3[Total Ações]</f>
        <v>8.2719844591903069</v>
      </c>
      <c r="K63" s="51">
        <f>MAX(Tabela3[[#This Row],[Cotação 1]],Tabela3[[#This Row],[Cotação 2]])</f>
        <v>7.7</v>
      </c>
      <c r="L63" s="47">
        <f>Tabela3[Cotação]/Tabela3[VPA]</f>
        <v>0.93085281264584308</v>
      </c>
      <c r="M63" s="43">
        <f>IF(Tabela3[[#This Row],[Lucro/Ação]]&gt;0,Tabela3[[#This Row],[Cotação]]/Tabela3[[#This Row],[Lucro/Ação]],0)</f>
        <v>26.520793338783943</v>
      </c>
      <c r="N63" s="6">
        <f>Tabela3[[#This Row],[Lucro/Ação]]*Tabela3[[#This Row],[Payout]]</f>
        <v>0.29033822260284875</v>
      </c>
      <c r="O63" s="15" t="str">
        <f>IF(AND(Tabela3[% A.A.]&gt;=10%,Tabela3[PVPA]&lt;=2,Tabela3[PL]&lt;=15,Tabela3[PL]&gt;0),"Sim","Não")</f>
        <v>Não</v>
      </c>
      <c r="P63" s="45">
        <f>Tabela3[[#This Row],[Lucro Prev]]/Tabela3[[#This Row],[Cotação]]</f>
        <v>3.7706262675694643E-2</v>
      </c>
      <c r="Q63" s="19">
        <f>((1+Tabela3[[#This Row],[% Yield]])^(1/(3*Tabela3[[#This Row],[Ref]])))^(12)-1</f>
        <v>5.0588357466752276E-2</v>
      </c>
      <c r="R63" s="14">
        <f>($X$1/Tabela3[[#This Row],[Cotação]]-MOD($X$1/Tabela3[[#This Row],[Cotação]],100))</f>
        <v>0</v>
      </c>
      <c r="S63" s="17">
        <f>Tabela3[[#This Row],[Ativos]]*Tabela3[[#This Row],[Lucro Prev]]</f>
        <v>0</v>
      </c>
      <c r="T63" s="13">
        <f>SUMPRODUCT(N(Tabela1[Código]=Tabela3[[#This Row],[PAPEL]]),Tabela1[Fechamento])</f>
        <v>0</v>
      </c>
      <c r="U63" s="60">
        <f>SUMPRODUCT(N(Tabela17[Código]=Tabela3[[#This Row],[PAPEL]]),Tabela17[Fechamento])</f>
        <v>7.7</v>
      </c>
    </row>
    <row r="64" spans="1:21" hidden="1" x14ac:dyDescent="0.2">
      <c r="A64" s="4" t="s">
        <v>14</v>
      </c>
      <c r="B64" s="15" t="s">
        <v>250</v>
      </c>
      <c r="C64" s="16">
        <v>3</v>
      </c>
      <c r="D64" s="5">
        <v>843867000</v>
      </c>
      <c r="E64" s="5">
        <v>34502000</v>
      </c>
      <c r="F64" s="5">
        <f>GETPIVOTDATA("Average of Lucro Líquido",'Tabela LL'!$A$3,"Ativo",Tabela3[[#This Row],[PAPEL]])/4*Tabela3[[#This Row],[Ref]]</f>
        <v>40652250</v>
      </c>
      <c r="G64" s="21">
        <v>73646388</v>
      </c>
      <c r="H64" s="16">
        <f>Tabela3[[#This Row],[Lucro Líquido]]/Tabela3[[#This Row],[Total Ações]]</f>
        <v>0.46848190300928266</v>
      </c>
      <c r="I64" s="18">
        <f>IF(GETPIVOTDATA("Payout",'Tabela LL'!$A$3,"Ativo",Tabela3[[#This Row],[PAPEL]])&gt;1,1,GETPIVOTDATA("Payout",'Tabela LL'!$A$3,"Ativo",Tabela3[[#This Row],[PAPEL]]))</f>
        <v>0.3043021650591613</v>
      </c>
      <c r="J64" s="5">
        <f>Tabela3[Patrimônio Líquido]/Tabela3[Total Ações]</f>
        <v>11.45836235716</v>
      </c>
      <c r="K64" s="57">
        <f>MAX(Tabela3[[#This Row],[Cotação 1]],Tabela3[[#This Row],[Cotação 2]])</f>
        <v>3.82</v>
      </c>
      <c r="L64" s="58">
        <f>Tabela3[Cotação]/Tabela3[VPA]</f>
        <v>0.33338097373164255</v>
      </c>
      <c r="M64" s="39">
        <f>IF(Tabela3[[#This Row],[Lucro/Ação]]&gt;0,Tabela3[[#This Row],[Cotação]]/Tabela3[[#This Row],[Lucro/Ação]],0)</f>
        <v>8.1539969323517472</v>
      </c>
      <c r="N64" s="5">
        <f>Tabela3[[#This Row],[Lucro/Ação]]*Tabela3[[#This Row],[Payout]]</f>
        <v>0.14256005737676072</v>
      </c>
      <c r="O64" s="16" t="str">
        <f>IF(AND(Tabela3[% A.A.]&gt;=10%,Tabela3[PVPA]&lt;=2,Tabela3[PL]&lt;=15,Tabela3[PL]&gt;0),"Sim","Não")</f>
        <v>Não</v>
      </c>
      <c r="P64" s="22">
        <f>Tabela3[[#This Row],[Lucro Prev]]/Tabela3[[#This Row],[Cotação]]</f>
        <v>3.7319386747843124E-2</v>
      </c>
      <c r="Q64" s="18">
        <f>((1+Tabela3[[#This Row],[% Yield]])^(1/(3*Tabela3[[#This Row],[Ref]])))^(12)-1</f>
        <v>5.0066151774014189E-2</v>
      </c>
      <c r="R64" s="10">
        <f>($X$1/Tabela3[[#This Row],[Cotação]]-MOD($X$1/Tabela3[[#This Row],[Cotação]],100))</f>
        <v>0</v>
      </c>
      <c r="S64" s="7">
        <f>Tabela3[[#This Row],[Ativos]]*Tabela3[[#This Row],[Lucro Prev]]</f>
        <v>0</v>
      </c>
      <c r="T64" s="5">
        <f>SUMPRODUCT(N(Tabela1[Código]=Tabela3[[#This Row],[PAPEL]]),Tabela1[Fechamento])</f>
        <v>3.82</v>
      </c>
      <c r="U64" s="5">
        <f>SUMPRODUCT(N(Tabela17[Código]=Tabela3[[#This Row],[PAPEL]]),Tabela17[Fechamento])</f>
        <v>0</v>
      </c>
    </row>
    <row r="65" spans="1:21" hidden="1" x14ac:dyDescent="0.2">
      <c r="A65" s="4" t="s">
        <v>441</v>
      </c>
      <c r="B65" s="69" t="s">
        <v>440</v>
      </c>
      <c r="C65" s="15">
        <v>3</v>
      </c>
      <c r="D65" s="6">
        <v>19321802000</v>
      </c>
      <c r="E65" s="6">
        <v>899387000</v>
      </c>
      <c r="F65" s="6">
        <f>GETPIVOTDATA("Average of Lucro Líquido",'Tabela LL'!$A$3,"Ativo",Tabela3[[#This Row],[PAPEL]])/4*Tabela3[[#This Row],[Ref]]</f>
        <v>816712170.4375</v>
      </c>
      <c r="G65" s="41">
        <v>1980000000</v>
      </c>
      <c r="H65" s="15">
        <f>Tabela3[[#This Row],[Lucro Líquido]]/Tabela3[[#This Row],[Total Ações]]</f>
        <v>0.45423585858585858</v>
      </c>
      <c r="I65" s="19">
        <f>IF(GETPIVOTDATA("Payout",'Tabela LL'!$A$3,"Ativo",Tabela3[[#This Row],[PAPEL]])&gt;1,1,GETPIVOTDATA("Payout",'Tabela LL'!$A$3,"Ativo",Tabela3[[#This Row],[PAPEL]]))</f>
        <v>0.84727522063961358</v>
      </c>
      <c r="J65" s="6">
        <f>Tabela3[Patrimônio Líquido]/Tabela3[Total Ações]</f>
        <v>9.7584858585858587</v>
      </c>
      <c r="K65" s="51">
        <f>MAX(Tabela3[[#This Row],[Cotação 1]],Tabela3[[#This Row],[Cotação 2]])</f>
        <v>10.34</v>
      </c>
      <c r="L65" s="47">
        <f>Tabela3[Cotação]/Tabela3[VPA]</f>
        <v>1.0595906116831131</v>
      </c>
      <c r="M65" s="43">
        <f>IF(Tabela3[[#This Row],[Lucro/Ação]]&gt;0,Tabela3[[#This Row],[Cotação]]/Tabela3[[#This Row],[Lucro/Ação]],0)</f>
        <v>22.763504475826313</v>
      </c>
      <c r="N65" s="6">
        <f>Tabela3[[#This Row],[Lucro/Ação]]*Tabela3[[#This Row],[Payout]]</f>
        <v>0.38486278730575763</v>
      </c>
      <c r="O65" s="15" t="str">
        <f>IF(AND(Tabela3[% A.A.]&gt;=10%,Tabela3[PVPA]&lt;=2,Tabela3[PL]&lt;=15,Tabela3[PL]&gt;0),"Sim","Não")</f>
        <v>Não</v>
      </c>
      <c r="P65" s="45">
        <f>Tabela3[[#This Row],[Lucro Prev]]/Tabela3[[#This Row],[Cotação]]</f>
        <v>3.7220772466707699E-2</v>
      </c>
      <c r="Q65" s="19">
        <f>((1+Tabela3[[#This Row],[% Yield]])^(1/(3*Tabela3[[#This Row],[Ref]])))^(12)-1</f>
        <v>4.9933052455033433E-2</v>
      </c>
      <c r="R65" s="14">
        <f>($X$1/Tabela3[[#This Row],[Cotação]]-MOD($X$1/Tabela3[[#This Row],[Cotação]],100))</f>
        <v>0</v>
      </c>
      <c r="S65" s="17">
        <f>Tabela3[[#This Row],[Ativos]]*Tabela3[[#This Row],[Lucro Prev]]</f>
        <v>0</v>
      </c>
      <c r="T65" s="13">
        <f>SUMPRODUCT(N(Tabela1[Código]=Tabela3[[#This Row],[PAPEL]]),Tabela1[Fechamento])</f>
        <v>0</v>
      </c>
      <c r="U65" s="60">
        <f>SUMPRODUCT(N(Tabela17[Código]=Tabela3[[#This Row],[PAPEL]]),Tabela17[Fechamento])</f>
        <v>10.34</v>
      </c>
    </row>
    <row r="66" spans="1:21" hidden="1" x14ac:dyDescent="0.2">
      <c r="A66" s="3" t="s">
        <v>328</v>
      </c>
      <c r="B66" s="69" t="s">
        <v>324</v>
      </c>
      <c r="C66" s="16">
        <v>3</v>
      </c>
      <c r="D66" s="5">
        <v>10322490000</v>
      </c>
      <c r="E66" s="5">
        <v>310353000</v>
      </c>
      <c r="F66" s="5">
        <f>GETPIVOTDATA("Average of Lucro Líquido",'Tabela LL'!$A$3,"Ativo",Tabela3[[#This Row],[PAPEL]])/4*Tabela3[[#This Row],[Ref]]</f>
        <v>953548826.25999999</v>
      </c>
      <c r="G66" s="21">
        <v>1797086404</v>
      </c>
      <c r="H66" s="70">
        <f>Tabela3[[#This Row],[Lucro Líquido]]/Tabela3[[#This Row],[Total Ações]]</f>
        <v>0.17269787324037872</v>
      </c>
      <c r="I66" s="18">
        <f>IF(GETPIVOTDATA("Payout",'Tabela LL'!$A$3,"Ativo",Tabela3[[#This Row],[PAPEL]])&gt;1,1,GETPIVOTDATA("Payout",'Tabela LL'!$A$3,"Ativo",Tabela3[[#This Row],[PAPEL]]))</f>
        <v>1</v>
      </c>
      <c r="J66" s="5">
        <f>Tabela3[Patrimônio Líquido]/Tabela3[Total Ações]</f>
        <v>5.7440142983798346</v>
      </c>
      <c r="K66" s="57">
        <f>MAX(Tabela3[[#This Row],[Cotação 1]],Tabela3[[#This Row],[Cotação 2]])</f>
        <v>4.6900000000000004</v>
      </c>
      <c r="L66" s="58">
        <f>Tabela3[Cotação]/Tabela3[VPA]</f>
        <v>0.81650214577684266</v>
      </c>
      <c r="M66" s="39">
        <f>IF(Tabela3[[#This Row],[Lucro/Ação]]&gt;0,Tabela3[[#This Row],[Cotação]]/Tabela3[[#This Row],[Lucro/Ação]],0)</f>
        <v>27.157253948761571</v>
      </c>
      <c r="N66" s="5">
        <f>Tabela3[[#This Row],[Lucro/Ação]]*Tabela3[[#This Row],[Payout]]</f>
        <v>0.17269787324037872</v>
      </c>
      <c r="O66" s="16" t="str">
        <f>IF(AND(Tabela3[% A.A.]&gt;=10%,Tabela3[PVPA]&lt;=2,Tabela3[PL]&lt;=15,Tabela3[PL]&gt;0),"Sim","Não")</f>
        <v>Não</v>
      </c>
      <c r="P66" s="22">
        <f>Tabela3[[#This Row],[Lucro Prev]]/Tabela3[[#This Row],[Cotação]]</f>
        <v>3.6822574251679896E-2</v>
      </c>
      <c r="Q66" s="18">
        <f>((1+Tabela3[[#This Row],[% Yield]])^(1/(3*Tabela3[[#This Row],[Ref]])))^(12)-1</f>
        <v>4.9395648750390819E-2</v>
      </c>
      <c r="R66" s="10">
        <f>($X$1/Tabela3[[#This Row],[Cotação]]-MOD($X$1/Tabela3[[#This Row],[Cotação]],100))</f>
        <v>0</v>
      </c>
      <c r="S66" s="7">
        <f>Tabela3[[#This Row],[Ativos]]*Tabela3[[#This Row],[Lucro Prev]]</f>
        <v>0</v>
      </c>
      <c r="T66" s="50">
        <f>SUMPRODUCT(N(Tabela1[Código]=Tabela3[[#This Row],[PAPEL]]),Tabela1[Fechamento])</f>
        <v>0</v>
      </c>
      <c r="U66" s="59">
        <f>SUMPRODUCT(N(Tabela17[Código]=Tabela3[[#This Row],[PAPEL]]),Tabela17[Fechamento])</f>
        <v>4.6900000000000004</v>
      </c>
    </row>
    <row r="67" spans="1:21" hidden="1" x14ac:dyDescent="0.2">
      <c r="A67" s="4" t="s">
        <v>14</v>
      </c>
      <c r="B67" s="14" t="s">
        <v>227</v>
      </c>
      <c r="C67" s="15">
        <v>3</v>
      </c>
      <c r="D67" s="6">
        <v>5008604000</v>
      </c>
      <c r="E67" s="6">
        <v>602652000</v>
      </c>
      <c r="F67" s="6">
        <f>GETPIVOTDATA("Average of Lucro Líquido",'Tabela LL'!$A$3,"Ativo",Tabela3[[#This Row],[PAPEL]])/4*Tabela3[[#This Row],[Ref]]</f>
        <v>646102241.92124999</v>
      </c>
      <c r="G67" s="41">
        <v>408974477</v>
      </c>
      <c r="H67" s="15">
        <f>Tabela3[[#This Row],[Lucro Líquido]]/Tabela3[[#This Row],[Total Ações]]</f>
        <v>1.4735687283487864</v>
      </c>
      <c r="I67" s="19">
        <f>IF(GETPIVOTDATA("Payout",'Tabela LL'!$A$3,"Ativo",Tabela3[[#This Row],[PAPEL]])&gt;1,1,GETPIVOTDATA("Payout",'Tabela LL'!$A$3,"Ativo",Tabela3[[#This Row],[PAPEL]]))</f>
        <v>0.39260782255861065</v>
      </c>
      <c r="J67" s="6">
        <f>Tabela3[Patrimônio Líquido]/Tabela3[Total Ações]</f>
        <v>12.246739788605439</v>
      </c>
      <c r="K67" s="51">
        <f>MAX(Tabela3[[#This Row],[Cotação 1]],Tabela3[[#This Row],[Cotação 2]])</f>
        <v>15.72</v>
      </c>
      <c r="L67" s="47">
        <f>Tabela3[Cotação]/Tabela3[VPA]</f>
        <v>1.2836069248916466</v>
      </c>
      <c r="M67" s="43">
        <f>IF(Tabela3[[#This Row],[Lucro/Ação]]&gt;0,Tabela3[[#This Row],[Cotação]]/Tabela3[[#This Row],[Lucro/Ação]],0)</f>
        <v>10.667978830967126</v>
      </c>
      <c r="N67" s="6">
        <f>Tabela3[[#This Row],[Lucro/Ação]]*Tabela3[[#This Row],[Payout]]</f>
        <v>0.57853460982747784</v>
      </c>
      <c r="O67" s="15" t="str">
        <f>IF(AND(Tabela3[% A.A.]&gt;=10%,Tabela3[PVPA]&lt;=2,Tabela3[PL]&lt;=15,Tabela3[PL]&gt;0),"Sim","Não")</f>
        <v>Não</v>
      </c>
      <c r="P67" s="45">
        <f>Tabela3[[#This Row],[Lucro Prev]]/Tabela3[[#This Row],[Cotação]]</f>
        <v>3.6802456095895539E-2</v>
      </c>
      <c r="Q67" s="19">
        <f>((1+Tabela3[[#This Row],[% Yield]])^(1/(3*Tabela3[[#This Row],[Ref]])))^(12)-1</f>
        <v>4.936849934554477E-2</v>
      </c>
      <c r="R67" s="14">
        <f>($X$1/Tabela3[[#This Row],[Cotação]]-MOD($X$1/Tabela3[[#This Row],[Cotação]],100))</f>
        <v>0</v>
      </c>
      <c r="S67" s="17">
        <f>Tabela3[[#This Row],[Ativos]]*Tabela3[[#This Row],[Lucro Prev]]</f>
        <v>0</v>
      </c>
      <c r="T67" s="5">
        <f>SUMPRODUCT(N(Tabela1[Código]=Tabela3[[#This Row],[PAPEL]]),Tabela1[Fechamento])</f>
        <v>15.72</v>
      </c>
      <c r="U67" s="5">
        <f>SUMPRODUCT(N(Tabela17[Código]=Tabela3[[#This Row],[PAPEL]]),Tabela17[Fechamento])</f>
        <v>0</v>
      </c>
    </row>
    <row r="68" spans="1:21" hidden="1" x14ac:dyDescent="0.2">
      <c r="A68" s="4" t="s">
        <v>12</v>
      </c>
      <c r="B68" s="14" t="s">
        <v>105</v>
      </c>
      <c r="C68" s="15">
        <v>3</v>
      </c>
      <c r="D68" s="6">
        <v>13116477000</v>
      </c>
      <c r="E68" s="6">
        <v>923222000</v>
      </c>
      <c r="F68" s="6">
        <f>GETPIVOTDATA("Average of Lucro Líquido",'Tabela LL'!$A$3,"Ativo",Tabela3[[#This Row],[PAPEL]])/4*Tabela3[[#This Row],[Ref]]</f>
        <v>721155031.37625003</v>
      </c>
      <c r="G68" s="41">
        <v>273655375</v>
      </c>
      <c r="H68" s="15">
        <f>Tabela3[[#This Row],[Lucro Líquido]]/Tabela3[[#This Row],[Total Ações]]</f>
        <v>3.3736666053060351</v>
      </c>
      <c r="I68" s="19">
        <f>IF(GETPIVOTDATA("Payout",'Tabela LL'!$A$3,"Ativo",Tabela3[[#This Row],[PAPEL]])&gt;1,1,GETPIVOTDATA("Payout",'Tabela LL'!$A$3,"Ativo",Tabela3[[#This Row],[PAPEL]]))</f>
        <v>0.33582916423156933</v>
      </c>
      <c r="J68" s="6">
        <f>Tabela3[Patrimônio Líquido]/Tabela3[Total Ações]</f>
        <v>47.930639038242902</v>
      </c>
      <c r="K68" s="51">
        <f>MAX(Tabela3[[#This Row],[Cotação 1]],Tabela3[[#This Row],[Cotação 2]])</f>
        <v>30.83</v>
      </c>
      <c r="L68" s="47">
        <f>Tabela3[Cotação]/Tabela3[VPA]</f>
        <v>0.6432211340934002</v>
      </c>
      <c r="M68" s="43">
        <f>IF(Tabela3[[#This Row],[Lucro/Ação]]&gt;0,Tabela3[[#This Row],[Cotação]]/Tabela3[[#This Row],[Lucro/Ação]],0)</f>
        <v>9.1384252230232814</v>
      </c>
      <c r="N68" s="6">
        <f>Tabela3[[#This Row],[Lucro/Ação]]*Tabela3[[#This Row],[Payout]]</f>
        <v>1.1329756364558814</v>
      </c>
      <c r="O68" s="15" t="str">
        <f>IF(AND(Tabela3[% A.A.]&gt;=10%,Tabela3[PVPA]&lt;=2,Tabela3[PL]&lt;=15,Tabela3[PL]&gt;0),"Sim","Não")</f>
        <v>Não</v>
      </c>
      <c r="P68" s="45">
        <f>Tabela3[[#This Row],[Lucro Prev]]/Tabela3[[#This Row],[Cotação]]</f>
        <v>3.6749128655721101E-2</v>
      </c>
      <c r="Q68" s="19">
        <f>((1+Tabela3[[#This Row],[% Yield]])^(1/(3*Tabela3[[#This Row],[Ref]])))^(12)-1</f>
        <v>4.9296534937639747E-2</v>
      </c>
      <c r="R68" s="14">
        <f>($X$1/Tabela3[[#This Row],[Cotação]]-MOD($X$1/Tabela3[[#This Row],[Cotação]],100))</f>
        <v>0</v>
      </c>
      <c r="S68" s="17">
        <f>Tabela3[[#This Row],[Ativos]]*Tabela3[[#This Row],[Lucro Prev]]</f>
        <v>0</v>
      </c>
      <c r="T68" s="5">
        <f>SUMPRODUCT(N(Tabela1[Código]=Tabela3[[#This Row],[PAPEL]]),Tabela1[Fechamento])</f>
        <v>30.83</v>
      </c>
      <c r="U68" s="5">
        <f>SUMPRODUCT(N(Tabela17[Código]=Tabela3[[#This Row],[PAPEL]]),Tabela17[Fechamento])</f>
        <v>0</v>
      </c>
    </row>
    <row r="69" spans="1:21" hidden="1" x14ac:dyDescent="0.2">
      <c r="A69" s="4" t="s">
        <v>14</v>
      </c>
      <c r="B69" s="10" t="s">
        <v>247</v>
      </c>
      <c r="C69" s="16">
        <v>3</v>
      </c>
      <c r="D69" s="5">
        <v>843867000</v>
      </c>
      <c r="E69" s="5">
        <v>34502000</v>
      </c>
      <c r="F69" s="5">
        <f>GETPIVOTDATA("Average of Lucro Líquido",'Tabela LL'!$A$3,"Ativo",Tabela3[[#This Row],[PAPEL]])/4*Tabela3[[#This Row],[Ref]]</f>
        <v>40652250</v>
      </c>
      <c r="G69" s="21">
        <v>73646388</v>
      </c>
      <c r="H69" s="16">
        <f>Tabela3[[#This Row],[Lucro Líquido]]/Tabela3[[#This Row],[Total Ações]]</f>
        <v>0.46848190300928266</v>
      </c>
      <c r="I69" s="18">
        <f>IF(GETPIVOTDATA("Payout",'Tabela LL'!$A$3,"Ativo",Tabela3[[#This Row],[PAPEL]])&gt;1,1,GETPIVOTDATA("Payout",'Tabela LL'!$A$3,"Ativo",Tabela3[[#This Row],[PAPEL]]))</f>
        <v>0.25370503766276303</v>
      </c>
      <c r="J69" s="5">
        <f>Tabela3[Patrimônio Líquido]/Tabela3[Total Ações]</f>
        <v>11.45836235716</v>
      </c>
      <c r="K69" s="57">
        <f>MAX(Tabela3[[#This Row],[Cotação 1]],Tabela3[[#This Row],[Cotação 2]])</f>
        <v>3.27</v>
      </c>
      <c r="L69" s="58">
        <f>Tabela3[Cotação]/Tabela3[VPA]</f>
        <v>0.28538109531478301</v>
      </c>
      <c r="M69" s="39">
        <f>IF(Tabela3[[#This Row],[Lucro/Ação]]&gt;0,Tabela3[[#This Row],[Cotação]]/Tabela3[[#This Row],[Lucro/Ação]],0)</f>
        <v>6.9799921384267583</v>
      </c>
      <c r="N69" s="5">
        <f>Tabela3[[#This Row],[Lucro/Ação]]*Tabela3[[#This Row],[Payout]]</f>
        <v>0.11885621884729296</v>
      </c>
      <c r="O69" s="16" t="str">
        <f>IF(AND(Tabela3[% A.A.]&gt;=10%,Tabela3[PVPA]&lt;=2,Tabela3[PL]&lt;=15,Tabela3[PL]&gt;0),"Sim","Não")</f>
        <v>Não</v>
      </c>
      <c r="P69" s="22">
        <f>Tabela3[[#This Row],[Lucro Prev]]/Tabela3[[#This Row],[Cotação]]</f>
        <v>3.634746753739846E-2</v>
      </c>
      <c r="Q69" s="18">
        <f>((1+Tabela3[[#This Row],[% Yield]])^(1/(3*Tabela3[[#This Row],[Ref]])))^(12)-1</f>
        <v>4.8754540233037602E-2</v>
      </c>
      <c r="R69" s="10">
        <f>($X$1/Tabela3[[#This Row],[Cotação]]-MOD($X$1/Tabela3[[#This Row],[Cotação]],100))</f>
        <v>0</v>
      </c>
      <c r="S69" s="7">
        <f>Tabela3[[#This Row],[Ativos]]*Tabela3[[#This Row],[Lucro Prev]]</f>
        <v>0</v>
      </c>
      <c r="T69" s="5">
        <f>SUMPRODUCT(N(Tabela1[Código]=Tabela3[[#This Row],[PAPEL]]),Tabela1[Fechamento])</f>
        <v>3.27</v>
      </c>
      <c r="U69" s="5">
        <f>SUMPRODUCT(N(Tabela17[Código]=Tabela3[[#This Row],[PAPEL]]),Tabela17[Fechamento])</f>
        <v>0</v>
      </c>
    </row>
    <row r="70" spans="1:21" hidden="1" x14ac:dyDescent="0.2">
      <c r="A70" s="25" t="s">
        <v>12</v>
      </c>
      <c r="B70" s="15" t="s">
        <v>32</v>
      </c>
      <c r="C70" s="16">
        <v>3</v>
      </c>
      <c r="D70" s="30">
        <v>6763474000</v>
      </c>
      <c r="E70" s="30">
        <v>636489000</v>
      </c>
      <c r="F70" s="30">
        <f>GETPIVOTDATA("Average of Lucro Líquido",'Tabela LL'!$A$3,"Ativo",Tabela3[[#This Row],[PAPEL]])/4*Tabela3[[#This Row],[Ref]]</f>
        <v>1133112281.0006251</v>
      </c>
      <c r="G70" s="28">
        <v>962274260</v>
      </c>
      <c r="H70" s="27">
        <f>Tabela3[[#This Row],[Lucro Líquido]]/Tabela3[[#This Row],[Total Ações]]</f>
        <v>0.6614424041644843</v>
      </c>
      <c r="I70" s="52">
        <f>IF(GETPIVOTDATA("Payout",'Tabela LL'!$A$3,"Ativo",Tabela3[[#This Row],[PAPEL]])&gt;1,1,GETPIVOTDATA("Payout",'Tabela LL'!$A$3,"Ativo",Tabela3[[#This Row],[PAPEL]]))</f>
        <v>1</v>
      </c>
      <c r="J70" s="30">
        <f>Tabela3[Patrimônio Líquido]/Tabela3[Total Ações]</f>
        <v>7.0286344352596526</v>
      </c>
      <c r="K70" s="31">
        <f>MAX(Tabela3[[#This Row],[Cotação 1]],Tabela3[[#This Row],[Cotação 2]])</f>
        <v>18.73</v>
      </c>
      <c r="L70" s="32">
        <f>Tabela3[Cotação]/Tabela3[VPA]</f>
        <v>2.6648135100097967</v>
      </c>
      <c r="M70" s="37">
        <f>IF(Tabela3[[#This Row],[Lucro/Ação]]&gt;0,Tabela3[[#This Row],[Cotação]]/Tabela3[[#This Row],[Lucro/Ação]],0)</f>
        <v>28.316902397056349</v>
      </c>
      <c r="N70" s="6">
        <f>Tabela3[[#This Row],[Lucro/Ação]]*Tabela3[[#This Row],[Payout]]</f>
        <v>0.6614424041644843</v>
      </c>
      <c r="O70" s="26" t="str">
        <f>IF(AND(Tabela3[% A.A.]&gt;=10%,Tabela3[PVPA]&lt;=2,Tabela3[PL]&lt;=15,Tabela3[PL]&gt;0),"Sim","Não")</f>
        <v>Não</v>
      </c>
      <c r="P70" s="29">
        <f>Tabela3[[#This Row],[Lucro Prev]]/Tabela3[[#This Row],[Cotação]]</f>
        <v>3.531459712570658E-2</v>
      </c>
      <c r="Q70" s="53">
        <f>((1+Tabela3[[#This Row],[% Yield]])^(1/(3*Tabela3[[#This Row],[Ref]])))^(12)-1</f>
        <v>4.7361123969869467E-2</v>
      </c>
      <c r="R70" s="10">
        <f>($X$1/Tabela3[[#This Row],[Cotação]]-MOD($X$1/Tabela3[[#This Row],[Cotação]],100))</f>
        <v>0</v>
      </c>
      <c r="S70" s="7">
        <f>Tabela3[[#This Row],[Ativos]]*Tabela3[[#This Row],[Lucro Prev]]</f>
        <v>0</v>
      </c>
      <c r="T70" s="5">
        <f>SUMPRODUCT(N(Tabela1[Código]=Tabela3[[#This Row],[PAPEL]]),Tabela1[Fechamento])</f>
        <v>18.73</v>
      </c>
      <c r="U70" s="5">
        <f>SUMPRODUCT(N(Tabela17[Código]=Tabela3[[#This Row],[PAPEL]]),Tabela17[Fechamento])</f>
        <v>0</v>
      </c>
    </row>
    <row r="71" spans="1:21" hidden="1" x14ac:dyDescent="0.2">
      <c r="A71" s="4" t="s">
        <v>12</v>
      </c>
      <c r="B71" s="14" t="s">
        <v>71</v>
      </c>
      <c r="C71" s="15">
        <v>3</v>
      </c>
      <c r="D71" s="6">
        <v>3707916000</v>
      </c>
      <c r="E71" s="6">
        <v>63180000</v>
      </c>
      <c r="F71" s="6">
        <f>GETPIVOTDATA("Average of Lucro Líquido",'Tabela LL'!$A$3,"Ativo",Tabela3[[#This Row],[PAPEL]])/4*Tabela3[[#This Row],[Ref]]</f>
        <v>250084589.99437499</v>
      </c>
      <c r="G71" s="41">
        <v>74612388</v>
      </c>
      <c r="H71" s="15">
        <f>Tabela3[[#This Row],[Lucro Líquido]]/Tabela3[[#This Row],[Total Ações]]</f>
        <v>0.84677627527482435</v>
      </c>
      <c r="I71" s="44">
        <f>IF(GETPIVOTDATA("Payout",'Tabela LL'!$A$3,"Ativo",Tabela3[[#This Row],[PAPEL]])&gt;1,1,GETPIVOTDATA("Payout",'Tabela LL'!$A$3,"Ativo",Tabela3[[#This Row],[PAPEL]]))</f>
        <v>0.74283278628036531</v>
      </c>
      <c r="J71" s="6">
        <f>Tabela3[Patrimônio Líquido]/Tabela3[Total Ações]</f>
        <v>49.69571540854583</v>
      </c>
      <c r="K71" s="51">
        <f>MAX(Tabela3[[#This Row],[Cotação 1]],Tabela3[[#This Row],[Cotação 2]])</f>
        <v>18</v>
      </c>
      <c r="L71" s="47">
        <f>Tabela3[Cotação]/Tabela3[VPA]</f>
        <v>0.36220426352700547</v>
      </c>
      <c r="M71" s="43">
        <f>IF(Tabela3[[#This Row],[Lucro/Ação]]&gt;0,Tabela3[[#This Row],[Cotação]]/Tabela3[[#This Row],[Lucro/Ação]],0)</f>
        <v>21.257090598290599</v>
      </c>
      <c r="N71" s="6">
        <f>Tabela3[[#This Row],[Lucro/Ação]]*Tabela3[[#This Row],[Payout]]</f>
        <v>0.62901317991850736</v>
      </c>
      <c r="O71" s="14" t="str">
        <f>IF(AND(Tabela3[% A.A.]&gt;=10%,Tabela3[PVPA]&lt;=2,Tabela3[PL]&lt;=15,Tabela3[PL]&gt;0),"Sim","Não")</f>
        <v>Não</v>
      </c>
      <c r="P71" s="45">
        <f>Tabela3[[#This Row],[Lucro Prev]]/Tabela3[[#This Row],[Cotação]]</f>
        <v>3.4945176662139296E-2</v>
      </c>
      <c r="Q71" s="19">
        <f>((1+Tabela3[[#This Row],[% Yield]])^(1/(3*Tabela3[[#This Row],[Ref]])))^(12)-1</f>
        <v>4.6862861739515926E-2</v>
      </c>
      <c r="R71" s="14">
        <f>($X$1/Tabela3[[#This Row],[Cotação]]-MOD($X$1/Tabela3[[#This Row],[Cotação]],100))</f>
        <v>0</v>
      </c>
      <c r="S71" s="17">
        <f>Tabela3[[#This Row],[Ativos]]*Tabela3[[#This Row],[Lucro Prev]]</f>
        <v>0</v>
      </c>
      <c r="T71" s="5">
        <f>SUMPRODUCT(N(Tabela1[Código]=Tabela3[[#This Row],[PAPEL]]),Tabela1[Fechamento])</f>
        <v>18</v>
      </c>
      <c r="U71" s="5">
        <f>SUMPRODUCT(N(Tabela17[Código]=Tabela3[[#This Row],[PAPEL]]),Tabela17[Fechamento])</f>
        <v>0</v>
      </c>
    </row>
    <row r="72" spans="1:21" hidden="1" x14ac:dyDescent="0.2">
      <c r="A72" s="4" t="s">
        <v>14</v>
      </c>
      <c r="B72" s="15" t="s">
        <v>16</v>
      </c>
      <c r="C72" s="15">
        <v>3</v>
      </c>
      <c r="D72" s="6">
        <v>32199000000</v>
      </c>
      <c r="E72" s="5">
        <v>3922000000</v>
      </c>
      <c r="F72" s="5">
        <f>GETPIVOTDATA("Average of Lucro Líquido",'Tabela LL'!$A$3,"Ativo",Tabela3[[#This Row],[PAPEL]])/4*Tabela3[[#This Row],[Ref]]</f>
        <v>3075217051.0237498</v>
      </c>
      <c r="G72" s="21">
        <v>5470667261</v>
      </c>
      <c r="H72" s="15">
        <f>Tabela3[[#This Row],[Lucro Líquido]]/Tabela3[[#This Row],[Total Ações]]</f>
        <v>0.71691437495379418</v>
      </c>
      <c r="I72" s="19">
        <f>IF(GETPIVOTDATA("Payout",'Tabela LL'!$A$3,"Ativo",Tabela3[[#This Row],[PAPEL]])&gt;1,1,GETPIVOTDATA("Payout",'Tabela LL'!$A$3,"Ativo",Tabela3[[#This Row],[PAPEL]]))</f>
        <v>0.41787587719990676</v>
      </c>
      <c r="J72" s="6">
        <f>Tabela3[Patrimônio Líquido]/Tabela3[Total Ações]</f>
        <v>5.8857536866744562</v>
      </c>
      <c r="K72" s="51">
        <f>MAX(Tabela3[[#This Row],[Cotação 1]],Tabela3[[#This Row],[Cotação 2]])</f>
        <v>8.6199999999999992</v>
      </c>
      <c r="L72" s="47">
        <f>Tabela3[Cotação]/Tabela3[VPA]</f>
        <v>1.4645533025814466</v>
      </c>
      <c r="M72" s="43">
        <f>IF(Tabela3[[#This Row],[Lucro/Ação]]&gt;0,Tabela3[[#This Row],[Cotação]]/Tabela3[[#This Row],[Lucro/Ação]],0)</f>
        <v>12.023751093783781</v>
      </c>
      <c r="N72" s="6">
        <f>Tabela3[[#This Row],[Lucro/Ação]]*Tabela3[[#This Row],[Payout]]</f>
        <v>0.29958122331103959</v>
      </c>
      <c r="O72" s="15" t="str">
        <f>IF(AND(Tabela3[% A.A.]&gt;=10%,Tabela3[PVPA]&lt;=2,Tabela3[PL]&lt;=15,Tabela3[PL]&gt;0),"Sim","Não")</f>
        <v>Não</v>
      </c>
      <c r="P72" s="45">
        <f>Tabela3[[#This Row],[Lucro Prev]]/Tabela3[[#This Row],[Cotação]]</f>
        <v>3.4754202240259817E-2</v>
      </c>
      <c r="Q72" s="19">
        <f>((1+Tabela3[[#This Row],[% Yield]])^(1/(3*Tabela3[[#This Row],[Ref]])))^(12)-1</f>
        <v>4.6605304932926694E-2</v>
      </c>
      <c r="R72" s="14">
        <f>($X$1/Tabela3[[#This Row],[Cotação]]-MOD($X$1/Tabela3[[#This Row],[Cotação]],100))</f>
        <v>0</v>
      </c>
      <c r="S72" s="17">
        <f>Tabela3[[#This Row],[Ativos]]*Tabela3[[#This Row],[Lucro Prev]]</f>
        <v>0</v>
      </c>
      <c r="T72" s="5">
        <f>SUMPRODUCT(N(Tabela1[Código]=Tabela3[[#This Row],[PAPEL]]),Tabela1[Fechamento])</f>
        <v>8.6199999999999992</v>
      </c>
      <c r="U72" s="5">
        <f>SUMPRODUCT(N(Tabela17[Código]=Tabela3[[#This Row],[PAPEL]]),Tabela17[Fechamento])</f>
        <v>0</v>
      </c>
    </row>
    <row r="73" spans="1:21" hidden="1" x14ac:dyDescent="0.2">
      <c r="A73" s="3" t="s">
        <v>407</v>
      </c>
      <c r="B73" s="72" t="s">
        <v>414</v>
      </c>
      <c r="C73" s="16">
        <v>3</v>
      </c>
      <c r="D73" s="5">
        <v>709804000</v>
      </c>
      <c r="E73" s="5">
        <v>124200000</v>
      </c>
      <c r="F73" s="5">
        <f>GETPIVOTDATA("Average of Lucro Líquido",'Tabela LL'!$A$3,"Ativo",Tabela3[[#This Row],[PAPEL]])/4*Tabela3[[#This Row],[Ref]]</f>
        <v>90165540.969999999</v>
      </c>
      <c r="G73" s="21">
        <v>83000000</v>
      </c>
      <c r="H73" s="16">
        <f>Tabela3[[#This Row],[Lucro Líquido]]/Tabela3[[#This Row],[Total Ações]]</f>
        <v>1.4963855421686747</v>
      </c>
      <c r="I73" s="18">
        <f>IF(GETPIVOTDATA("Payout",'Tabela LL'!$A$3,"Ativo",Tabela3[[#This Row],[PAPEL]])&gt;1,1,GETPIVOTDATA("Payout",'Tabela LL'!$A$3,"Ativo",Tabela3[[#This Row],[PAPEL]]))</f>
        <v>0.47701052442027075</v>
      </c>
      <c r="J73" s="5">
        <f>Tabela3[Patrimônio Líquido]/Tabela3[Total Ações]</f>
        <v>8.5518554216867475</v>
      </c>
      <c r="K73" s="57">
        <f>MAX(Tabela3[[#This Row],[Cotação 1]],Tabela3[[#This Row],[Cotação 2]])</f>
        <v>20.6</v>
      </c>
      <c r="L73" s="58">
        <f>Tabela3[Cotação]/Tabela3[VPA]</f>
        <v>2.4088339879741452</v>
      </c>
      <c r="M73" s="39">
        <f>IF(Tabela3[[#This Row],[Lucro/Ação]]&gt;0,Tabela3[[#This Row],[Cotação]]/Tabela3[[#This Row],[Lucro/Ação]],0)</f>
        <v>13.766505636070855</v>
      </c>
      <c r="N73" s="5">
        <f>Tabela3[[#This Row],[Lucro/Ação]]*Tabela3[[#This Row],[Payout]]</f>
        <v>0.71379165220479068</v>
      </c>
      <c r="O73" s="16" t="str">
        <f>IF(AND(Tabela3[% A.A.]&gt;=10%,Tabela3[PVPA]&lt;=2,Tabela3[PL]&lt;=15,Tabela3[PL]&gt;0),"Sim","Não")</f>
        <v>Não</v>
      </c>
      <c r="P73" s="22">
        <f>Tabela3[[#This Row],[Lucro Prev]]/Tabela3[[#This Row],[Cotação]]</f>
        <v>3.465008020411605E-2</v>
      </c>
      <c r="Q73" s="18">
        <f>((1+Tabela3[[#This Row],[% Yield]])^(1/(3*Tabela3[[#This Row],[Ref]])))^(12)-1</f>
        <v>4.646488788506975E-2</v>
      </c>
      <c r="R73" s="10">
        <f>($X$1/Tabela3[[#This Row],[Cotação]]-MOD($X$1/Tabela3[[#This Row],[Cotação]],100))</f>
        <v>0</v>
      </c>
      <c r="S73" s="7">
        <f>Tabela3[[#This Row],[Ativos]]*Tabela3[[#This Row],[Lucro Prev]]</f>
        <v>0</v>
      </c>
      <c r="T73" s="50">
        <f>SUMPRODUCT(N(Tabela1[Código]=Tabela3[[#This Row],[PAPEL]]),Tabela1[Fechamento])</f>
        <v>0</v>
      </c>
      <c r="U73" s="59">
        <f>SUMPRODUCT(N(Tabela17[Código]=Tabela3[[#This Row],[PAPEL]]),Tabela17[Fechamento])</f>
        <v>20.6</v>
      </c>
    </row>
    <row r="74" spans="1:21" hidden="1" x14ac:dyDescent="0.2">
      <c r="A74" s="4" t="s">
        <v>14</v>
      </c>
      <c r="B74" s="14" t="s">
        <v>261</v>
      </c>
      <c r="C74" s="15">
        <v>3</v>
      </c>
      <c r="D74" s="6">
        <v>80340000000</v>
      </c>
      <c r="E74" s="6">
        <v>11516000000</v>
      </c>
      <c r="F74" s="6">
        <f>GETPIVOTDATA("Average of Lucro Líquido",'Tabela LL'!$A$3,"Ativo",Tabela3[[#This Row],[PAPEL]])/4*Tabela3[[#This Row],[Ref]]</f>
        <v>8240437366.789999</v>
      </c>
      <c r="G74" s="41">
        <v>5028029710</v>
      </c>
      <c r="H74" s="15">
        <f>Tabela3[[#This Row],[Lucro Líquido]]/Tabela3[[#This Row],[Total Ações]]</f>
        <v>2.2903603725921502</v>
      </c>
      <c r="I74" s="19">
        <f>IF(GETPIVOTDATA("Payout",'Tabela LL'!$A$3,"Ativo",Tabela3[[#This Row],[PAPEL]])&gt;1,1,GETPIVOTDATA("Payout",'Tabela LL'!$A$3,"Ativo",Tabela3[[#This Row],[PAPEL]]))</f>
        <v>0.43273605067700688</v>
      </c>
      <c r="J74" s="6">
        <f>Tabela3[Patrimônio Líquido]/Tabela3[Total Ações]</f>
        <v>15.978425871314114</v>
      </c>
      <c r="K74" s="51">
        <f>MAX(Tabela3[[#This Row],[Cotação 1]],Tabela3[[#This Row],[Cotação 2]])</f>
        <v>28.99</v>
      </c>
      <c r="L74" s="47">
        <f>Tabela3[Cotação]/Tabela3[VPA]</f>
        <v>1.8143214002103558</v>
      </c>
      <c r="M74" s="43">
        <f>IF(Tabela3[[#This Row],[Lucro/Ação]]&gt;0,Tabela3[[#This Row],[Cotação]]/Tabela3[[#This Row],[Lucro/Ação]],0)</f>
        <v>12.657396777778741</v>
      </c>
      <c r="N74" s="6">
        <f>Tabela3[[#This Row],[Lucro/Ação]]*Tabela3[[#This Row],[Payout]]</f>
        <v>0.99112150226264506</v>
      </c>
      <c r="O74" s="15" t="str">
        <f>IF(AND(Tabela3[% A.A.]&gt;=10%,Tabela3[PVPA]&lt;=2,Tabela3[PL]&lt;=15,Tabela3[PL]&gt;0),"Sim","Não")</f>
        <v>Não</v>
      </c>
      <c r="P74" s="45">
        <f>Tabela3[[#This Row],[Lucro Prev]]/Tabela3[[#This Row],[Cotação]]</f>
        <v>3.4188392627204037E-2</v>
      </c>
      <c r="Q74" s="19">
        <f>((1+Tabela3[[#This Row],[% Yield]])^(1/(3*Tabela3[[#This Row],[Ref]])))^(12)-1</f>
        <v>4.5842321328493751E-2</v>
      </c>
      <c r="R74" s="14">
        <f>($X$1/Tabela3[[#This Row],[Cotação]]-MOD($X$1/Tabela3[[#This Row],[Cotação]],100))</f>
        <v>0</v>
      </c>
      <c r="S74" s="17">
        <f>Tabela3[[#This Row],[Ativos]]*Tabela3[[#This Row],[Lucro Prev]]</f>
        <v>0</v>
      </c>
      <c r="T74" s="5">
        <f>SUMPRODUCT(N(Tabela1[Código]=Tabela3[[#This Row],[PAPEL]]),Tabela1[Fechamento])</f>
        <v>28.99</v>
      </c>
      <c r="U74" s="5">
        <f>SUMPRODUCT(N(Tabela17[Código]=Tabela3[[#This Row],[PAPEL]]),Tabela17[Fechamento])</f>
        <v>0</v>
      </c>
    </row>
    <row r="75" spans="1:21" hidden="1" x14ac:dyDescent="0.2">
      <c r="A75" s="4" t="s">
        <v>14</v>
      </c>
      <c r="B75" s="14" t="s">
        <v>78</v>
      </c>
      <c r="C75" s="15">
        <v>3</v>
      </c>
      <c r="D75" s="6">
        <v>727021000</v>
      </c>
      <c r="E75" s="6">
        <v>31097000</v>
      </c>
      <c r="F75" s="6">
        <f>GETPIVOTDATA("Average of Lucro Líquido",'Tabela LL'!$A$3,"Ativo",Tabela3[[#This Row],[PAPEL]])/4*Tabela3[[#This Row],[Ref]]</f>
        <v>34519875</v>
      </c>
      <c r="G75" s="41">
        <v>84682269</v>
      </c>
      <c r="H75" s="15">
        <f>Tabela3[[#This Row],[Lucro Líquido]]/Tabela3[[#This Row],[Total Ações]]</f>
        <v>0.36721973049635692</v>
      </c>
      <c r="I75" s="19">
        <f>IF(GETPIVOTDATA("Payout",'Tabela LL'!$A$3,"Ativo",Tabela3[[#This Row],[PAPEL]])&gt;1,1,GETPIVOTDATA("Payout",'Tabela LL'!$A$3,"Ativo",Tabela3[[#This Row],[PAPEL]]))</f>
        <v>0.63014566270033845</v>
      </c>
      <c r="J75" s="6">
        <f>Tabela3[Patrimônio Líquido]/Tabela3[Total Ações]</f>
        <v>8.5852801133611578</v>
      </c>
      <c r="K75" s="51">
        <f>MAX(Tabela3[[#This Row],[Cotação 1]],Tabela3[[#This Row],[Cotação 2]])</f>
        <v>6.8</v>
      </c>
      <c r="L75" s="47">
        <f>Tabela3[Cotação]/Tabela3[VPA]</f>
        <v>0.79205336462082931</v>
      </c>
      <c r="M75" s="43">
        <f>IF(Tabela3[[#This Row],[Lucro/Ação]]&gt;0,Tabela3[[#This Row],[Cotação]]/Tabela3[[#This Row],[Lucro/Ação]],0)</f>
        <v>18.517523529600926</v>
      </c>
      <c r="N75" s="6">
        <f>Tabela3[[#This Row],[Lucro/Ação]]*Tabela3[[#This Row],[Payout]]</f>
        <v>0.23140192043026653</v>
      </c>
      <c r="O75" s="15" t="str">
        <f>IF(AND(Tabela3[% A.A.]&gt;=10%,Tabela3[PVPA]&lt;=2,Tabela3[PL]&lt;=15,Tabela3[PL]&gt;0),"Sim","Não")</f>
        <v>Não</v>
      </c>
      <c r="P75" s="45">
        <f>Tabela3[[#This Row],[Lucro Prev]]/Tabela3[[#This Row],[Cotação]]</f>
        <v>3.4029694180921548E-2</v>
      </c>
      <c r="Q75" s="19">
        <f>((1+Tabela3[[#This Row],[% Yield]])^(1/(3*Tabela3[[#This Row],[Ref]])))^(12)-1</f>
        <v>4.562834444554964E-2</v>
      </c>
      <c r="R75" s="14">
        <f>($X$1/Tabela3[[#This Row],[Cotação]]-MOD($X$1/Tabela3[[#This Row],[Cotação]],100))</f>
        <v>0</v>
      </c>
      <c r="S75" s="17">
        <f>Tabela3[[#This Row],[Ativos]]*Tabela3[[#This Row],[Lucro Prev]]</f>
        <v>0</v>
      </c>
      <c r="T75" s="5">
        <f>SUMPRODUCT(N(Tabela1[Código]=Tabela3[[#This Row],[PAPEL]]),Tabela1[Fechamento])</f>
        <v>6.8</v>
      </c>
      <c r="U75" s="5">
        <f>SUMPRODUCT(N(Tabela17[Código]=Tabela3[[#This Row],[PAPEL]]),Tabela17[Fechamento])</f>
        <v>0</v>
      </c>
    </row>
    <row r="76" spans="1:21" hidden="1" x14ac:dyDescent="0.2">
      <c r="A76" s="4" t="s">
        <v>37</v>
      </c>
      <c r="B76" s="14" t="s">
        <v>199</v>
      </c>
      <c r="C76" s="15">
        <v>3</v>
      </c>
      <c r="D76" s="6">
        <v>3403126000</v>
      </c>
      <c r="E76" s="6">
        <v>314887000</v>
      </c>
      <c r="F76" s="6">
        <f>GETPIVOTDATA("Average of Lucro Líquido",'Tabela LL'!$A$3,"Ativo",Tabela3[[#This Row],[PAPEL]])/4*Tabela3[[#This Row],[Ref]]</f>
        <v>160932750</v>
      </c>
      <c r="G76" s="41">
        <v>476620206</v>
      </c>
      <c r="H76" s="15">
        <f>Tabela3[[#This Row],[Lucro Líquido]]/Tabela3[[#This Row],[Total Ações]]</f>
        <v>0.66066649301897196</v>
      </c>
      <c r="I76" s="19">
        <f>IF(GETPIVOTDATA("Payout",'Tabela LL'!$A$3,"Ativo",Tabela3[[#This Row],[PAPEL]])&gt;1,1,GETPIVOTDATA("Payout",'Tabela LL'!$A$3,"Ativo",Tabela3[[#This Row],[PAPEL]]))</f>
        <v>0.42096174698699207</v>
      </c>
      <c r="J76" s="6">
        <f>Tabela3[Patrimônio Líquido]/Tabela3[Total Ações]</f>
        <v>7.1401211219316201</v>
      </c>
      <c r="K76" s="51">
        <f>MAX(Tabela3[[#This Row],[Cotação 1]],Tabela3[[#This Row],[Cotação 2]])</f>
        <v>8.19</v>
      </c>
      <c r="L76" s="47">
        <f>Tabela3[Cotação]/Tabela3[VPA]</f>
        <v>1.1470393653188273</v>
      </c>
      <c r="M76" s="43">
        <f>IF(Tabela3[[#This Row],[Lucro/Ação]]&gt;0,Tabela3[[#This Row],[Cotação]]/Tabela3[[#This Row],[Lucro/Ação]],0)</f>
        <v>12.396572380377723</v>
      </c>
      <c r="N76" s="6">
        <f>Tabela3[[#This Row],[Lucro/Ação]]*Tabela3[[#This Row],[Payout]]</f>
        <v>0.27811532107703585</v>
      </c>
      <c r="O76" s="15" t="str">
        <f>IF(AND(Tabela3[% A.A.]&gt;=10%,Tabela3[PVPA]&lt;=2,Tabela3[PL]&lt;=15,Tabela3[PL]&gt;0),"Sim","Não")</f>
        <v>Não</v>
      </c>
      <c r="P76" s="45">
        <f>Tabela3[[#This Row],[Lucro Prev]]/Tabela3[[#This Row],[Cotação]]</f>
        <v>3.3957914661420743E-2</v>
      </c>
      <c r="Q76" s="19">
        <f>((1+Tabela3[[#This Row],[% Yield]])^(1/(3*Tabela3[[#This Row],[Ref]])))^(12)-1</f>
        <v>4.5531566010397873E-2</v>
      </c>
      <c r="R76" s="14">
        <f>($X$1/Tabela3[[#This Row],[Cotação]]-MOD($X$1/Tabela3[[#This Row],[Cotação]],100))</f>
        <v>0</v>
      </c>
      <c r="S76" s="17">
        <f>Tabela3[[#This Row],[Ativos]]*Tabela3[[#This Row],[Lucro Prev]]</f>
        <v>0</v>
      </c>
      <c r="T76" s="5">
        <f>SUMPRODUCT(N(Tabela1[Código]=Tabela3[[#This Row],[PAPEL]]),Tabela1[Fechamento])</f>
        <v>8.19</v>
      </c>
      <c r="U76" s="5">
        <f>SUMPRODUCT(N(Tabela17[Código]=Tabela3[[#This Row],[PAPEL]]),Tabela17[Fechamento])</f>
        <v>0</v>
      </c>
    </row>
    <row r="77" spans="1:21" hidden="1" x14ac:dyDescent="0.2">
      <c r="A77" s="4" t="s">
        <v>14</v>
      </c>
      <c r="B77" s="15" t="s">
        <v>84</v>
      </c>
      <c r="C77" s="15">
        <v>3</v>
      </c>
      <c r="D77" s="6">
        <v>1279731000</v>
      </c>
      <c r="E77" s="6">
        <v>103137000</v>
      </c>
      <c r="F77" s="6">
        <f>GETPIVOTDATA("Average of Lucro Líquido",'Tabela LL'!$A$3,"Ativo",Tabela3[[#This Row],[PAPEL]])/4*Tabela3[[#This Row],[Ref]]</f>
        <v>168404680.21999997</v>
      </c>
      <c r="G77" s="41">
        <v>87289932</v>
      </c>
      <c r="H77" s="15">
        <f>Tabela3[[#This Row],[Lucro Líquido]]/Tabela3[[#This Row],[Total Ações]]</f>
        <v>1.181545198133503</v>
      </c>
      <c r="I77" s="19">
        <f>IF(GETPIVOTDATA("Payout",'Tabela LL'!$A$3,"Ativo",Tabela3[[#This Row],[PAPEL]])&gt;1,1,GETPIVOTDATA("Payout",'Tabela LL'!$A$3,"Ativo",Tabela3[[#This Row],[PAPEL]]))</f>
        <v>0.32355722757326899</v>
      </c>
      <c r="J77" s="6">
        <f>Tabela3[Patrimônio Líquido]/Tabela3[Total Ações]</f>
        <v>14.660694202396675</v>
      </c>
      <c r="K77" s="51">
        <f>MAX(Tabela3[[#This Row],[Cotação 1]],Tabela3[[#This Row],[Cotação 2]])</f>
        <v>11.32</v>
      </c>
      <c r="L77" s="47">
        <f>Tabela3[Cotação]/Tabela3[VPA]</f>
        <v>0.77213260461768918</v>
      </c>
      <c r="M77" s="43">
        <f>IF(Tabela3[[#This Row],[Lucro/Ação]]&gt;0,Tabela3[[#This Row],[Cotação]]/Tabela3[[#This Row],[Lucro/Ação]],0)</f>
        <v>9.5806745420169293</v>
      </c>
      <c r="N77" s="6">
        <f>Tabela3[[#This Row],[Lucro/Ação]]*Tabela3[[#This Row],[Payout]]</f>
        <v>0.38229748856058504</v>
      </c>
      <c r="O77" s="15" t="str">
        <f>IF(AND(Tabela3[% A.A.]&gt;=10%,Tabela3[PVPA]&lt;=2,Tabela3[PL]&lt;=15,Tabela3[PL]&gt;0),"Sim","Não")</f>
        <v>Não</v>
      </c>
      <c r="P77" s="45">
        <f>Tabela3[[#This Row],[Lucro Prev]]/Tabela3[[#This Row],[Cotação]]</f>
        <v>3.3771862947048148E-2</v>
      </c>
      <c r="Q77" s="19">
        <f>((1+Tabela3[[#This Row],[% Yield]])^(1/(3*Tabela3[[#This Row],[Ref]])))^(12)-1</f>
        <v>4.5280727810877552E-2</v>
      </c>
      <c r="R77" s="14">
        <f>($X$1/Tabela3[[#This Row],[Cotação]]-MOD($X$1/Tabela3[[#This Row],[Cotação]],100))</f>
        <v>0</v>
      </c>
      <c r="S77" s="17">
        <f>Tabela3[[#This Row],[Ativos]]*Tabela3[[#This Row],[Lucro Prev]]</f>
        <v>0</v>
      </c>
      <c r="T77" s="5">
        <f>SUMPRODUCT(N(Tabela1[Código]=Tabela3[[#This Row],[PAPEL]]),Tabela1[Fechamento])</f>
        <v>11.32</v>
      </c>
      <c r="U77" s="5">
        <f>SUMPRODUCT(N(Tabela17[Código]=Tabela3[[#This Row],[PAPEL]]),Tabela17[Fechamento])</f>
        <v>0</v>
      </c>
    </row>
    <row r="78" spans="1:21" hidden="1" x14ac:dyDescent="0.2">
      <c r="A78" s="4" t="s">
        <v>12</v>
      </c>
      <c r="B78" s="14" t="s">
        <v>97</v>
      </c>
      <c r="C78" s="15">
        <v>3</v>
      </c>
      <c r="D78" s="6">
        <v>3707916000</v>
      </c>
      <c r="E78" s="6">
        <v>63180000</v>
      </c>
      <c r="F78" s="6">
        <f>GETPIVOTDATA("Average of Lucro Líquido",'Tabela LL'!$A$3,"Ativo",Tabela3[[#This Row],[PAPEL]])/4*Tabela3[[#This Row],[Ref]]</f>
        <v>250084589.99437499</v>
      </c>
      <c r="G78" s="41">
        <v>74612388</v>
      </c>
      <c r="H78" s="15">
        <f>Tabela3[[#This Row],[Lucro Líquido]]/Tabela3[[#This Row],[Total Ações]]</f>
        <v>0.84677627527482435</v>
      </c>
      <c r="I78" s="19">
        <f>IF(GETPIVOTDATA("Payout",'Tabela LL'!$A$3,"Ativo",Tabela3[[#This Row],[PAPEL]])&gt;1,1,GETPIVOTDATA("Payout",'Tabela LL'!$A$3,"Ativo",Tabela3[[#This Row],[PAPEL]]))</f>
        <v>0.81719301958088741</v>
      </c>
      <c r="J78" s="6">
        <f>Tabela3[Patrimônio Líquido]/Tabela3[Total Ações]</f>
        <v>49.69571540854583</v>
      </c>
      <c r="K78" s="51">
        <f>MAX(Tabela3[[#This Row],[Cotação 1]],Tabela3[[#This Row],[Cotação 2]])</f>
        <v>21.51</v>
      </c>
      <c r="L78" s="47">
        <f>Tabela3[Cotação]/Tabela3[VPA]</f>
        <v>0.43283409491477154</v>
      </c>
      <c r="M78" s="43">
        <f>IF(Tabela3[[#This Row],[Lucro/Ação]]&gt;0,Tabela3[[#This Row],[Cotação]]/Tabela3[[#This Row],[Lucro/Ação]],0)</f>
        <v>25.402223264957268</v>
      </c>
      <c r="N78" s="6">
        <f>Tabela3[[#This Row],[Lucro/Ação]]*Tabela3[[#This Row],[Payout]]</f>
        <v>0.69197966130129041</v>
      </c>
      <c r="O78" s="15" t="str">
        <f>IF(AND(Tabela3[% A.A.]&gt;=10%,Tabela3[PVPA]&lt;=2,Tabela3[PL]&lt;=15,Tabela3[PL]&gt;0),"Sim","Não")</f>
        <v>Não</v>
      </c>
      <c r="P78" s="45">
        <f>Tabela3[[#This Row],[Lucro Prev]]/Tabela3[[#This Row],[Cotação]]</f>
        <v>3.2170137670910759E-2</v>
      </c>
      <c r="Q78" s="19">
        <f>((1+Tabela3[[#This Row],[% Yield]])^(1/(3*Tabela3[[#This Row],[Ref]])))^(12)-1</f>
        <v>4.3121876164992523E-2</v>
      </c>
      <c r="R78" s="14">
        <f>($X$1/Tabela3[[#This Row],[Cotação]]-MOD($X$1/Tabela3[[#This Row],[Cotação]],100))</f>
        <v>0</v>
      </c>
      <c r="S78" s="17">
        <f>Tabela3[[#This Row],[Ativos]]*Tabela3[[#This Row],[Lucro Prev]]</f>
        <v>0</v>
      </c>
      <c r="T78" s="5">
        <f>SUMPRODUCT(N(Tabela1[Código]=Tabela3[[#This Row],[PAPEL]]),Tabela1[Fechamento])</f>
        <v>21.51</v>
      </c>
      <c r="U78" s="5">
        <f>SUMPRODUCT(N(Tabela17[Código]=Tabela3[[#This Row],[PAPEL]]),Tabela17[Fechamento])</f>
        <v>0</v>
      </c>
    </row>
    <row r="79" spans="1:21" hidden="1" x14ac:dyDescent="0.2">
      <c r="A79" s="4" t="s">
        <v>14</v>
      </c>
      <c r="B79" s="14" t="s">
        <v>82</v>
      </c>
      <c r="C79" s="15">
        <v>3</v>
      </c>
      <c r="D79" s="6">
        <v>80340000000</v>
      </c>
      <c r="E79" s="6">
        <v>11516000000</v>
      </c>
      <c r="F79" s="6">
        <f>GETPIVOTDATA("Average of Lucro Líquido",'Tabela LL'!$A$3,"Ativo",Tabela3[[#This Row],[PAPEL]])/4*Tabela3[[#This Row],[Ref]]</f>
        <v>8240437366.789999</v>
      </c>
      <c r="G79" s="41">
        <v>5028029710</v>
      </c>
      <c r="H79" s="15">
        <f>Tabela3[[#This Row],[Lucro Líquido]]/Tabela3[[#This Row],[Total Ações]]</f>
        <v>2.2903603725921502</v>
      </c>
      <c r="I79" s="19">
        <f>IF(GETPIVOTDATA("Payout",'Tabela LL'!$A$3,"Ativo",Tabela3[[#This Row],[PAPEL]])&gt;1,1,GETPIVOTDATA("Payout",'Tabela LL'!$A$3,"Ativo",Tabela3[[#This Row],[PAPEL]]))</f>
        <v>0.43273605067700688</v>
      </c>
      <c r="J79" s="6">
        <f>Tabela3[Patrimônio Líquido]/Tabela3[Total Ações]</f>
        <v>15.978425871314114</v>
      </c>
      <c r="K79" s="51">
        <f>MAX(Tabela3[[#This Row],[Cotação 1]],Tabela3[[#This Row],[Cotação 2]])</f>
        <v>31.25</v>
      </c>
      <c r="L79" s="47">
        <f>Tabela3[Cotação]/Tabela3[VPA]</f>
        <v>1.9557621164737367</v>
      </c>
      <c r="M79" s="43">
        <f>IF(Tabela3[[#This Row],[Lucro/Ação]]&gt;0,Tabela3[[#This Row],[Cotação]]/Tabela3[[#This Row],[Lucro/Ação]],0)</f>
        <v>13.644141059178533</v>
      </c>
      <c r="N79" s="6">
        <f>Tabela3[[#This Row],[Lucro/Ação]]*Tabela3[[#This Row],[Payout]]</f>
        <v>0.99112150226264506</v>
      </c>
      <c r="O79" s="15" t="str">
        <f>IF(AND(Tabela3[% A.A.]&gt;=10%,Tabela3[PVPA]&lt;=2,Tabela3[PL]&lt;=15,Tabela3[PL]&gt;0),"Sim","Não")</f>
        <v>Não</v>
      </c>
      <c r="P79" s="45">
        <f>Tabela3[[#This Row],[Lucro Prev]]/Tabela3[[#This Row],[Cotação]]</f>
        <v>3.1715888072404642E-2</v>
      </c>
      <c r="Q79" s="19">
        <f>((1+Tabela3[[#This Row],[% Yield]])^(1/(3*Tabela3[[#This Row],[Ref]])))^(12)-1</f>
        <v>4.2509828573996211E-2</v>
      </c>
      <c r="R79" s="14">
        <f>($X$1/Tabela3[[#This Row],[Cotação]]-MOD($X$1/Tabela3[[#This Row],[Cotação]],100))</f>
        <v>0</v>
      </c>
      <c r="S79" s="17">
        <f>Tabela3[[#This Row],[Ativos]]*Tabela3[[#This Row],[Lucro Prev]]</f>
        <v>0</v>
      </c>
      <c r="T79" s="5">
        <f>SUMPRODUCT(N(Tabela1[Código]=Tabela3[[#This Row],[PAPEL]]),Tabela1[Fechamento])</f>
        <v>31.25</v>
      </c>
      <c r="U79" s="5">
        <f>SUMPRODUCT(N(Tabela17[Código]=Tabela3[[#This Row],[PAPEL]]),Tabela17[Fechamento])</f>
        <v>0</v>
      </c>
    </row>
    <row r="80" spans="1:21" hidden="1" x14ac:dyDescent="0.2">
      <c r="A80" s="4" t="s">
        <v>14</v>
      </c>
      <c r="B80" s="14" t="s">
        <v>220</v>
      </c>
      <c r="C80" s="15">
        <v>3</v>
      </c>
      <c r="D80" s="6">
        <v>67033392000</v>
      </c>
      <c r="E80" s="6">
        <v>8931828000</v>
      </c>
      <c r="F80" s="6">
        <f>GETPIVOTDATA("Average of Lucro Líquido",'Tabela LL'!$A$3,"Ativo",Tabela3[[#This Row],[PAPEL]])/4*Tabela3[[#This Row],[Ref]]</f>
        <v>7633645087.9256258</v>
      </c>
      <c r="G80" s="41">
        <v>4207274039</v>
      </c>
      <c r="H80" s="15">
        <f>Tabela3[[#This Row],[Lucro Líquido]]/Tabela3[[#This Row],[Total Ações]]</f>
        <v>2.1229489491782543</v>
      </c>
      <c r="I80" s="19">
        <f>IF(GETPIVOTDATA("Payout",'Tabela LL'!$A$3,"Ativo",Tabela3[[#This Row],[PAPEL]])&gt;1,1,GETPIVOTDATA("Payout",'Tabela LL'!$A$3,"Ativo",Tabela3[[#This Row],[PAPEL]]))</f>
        <v>0.41507496875695749</v>
      </c>
      <c r="J80" s="6">
        <f>Tabela3[Patrimônio Líquido]/Tabela3[Total Ações]</f>
        <v>15.932737297029679</v>
      </c>
      <c r="K80" s="51">
        <f>MAX(Tabela3[[#This Row],[Cotação 1]],Tabela3[[#This Row],[Cotação 2]])</f>
        <v>27.83</v>
      </c>
      <c r="L80" s="47">
        <f>Tabela3[Cotação]/Tabela3[VPA]</f>
        <v>1.7467180611324278</v>
      </c>
      <c r="M80" s="43">
        <f>IF(Tabela3[[#This Row],[Lucro/Ação]]&gt;0,Tabela3[[#This Row],[Cotação]]/Tabela3[[#This Row],[Lucro/Ação]],0)</f>
        <v>13.109123519325495</v>
      </c>
      <c r="N80" s="6">
        <f>Tabela3[[#This Row],[Lucro/Ação]]*Tabela3[[#This Row],[Payout]]</f>
        <v>0.88118296875277957</v>
      </c>
      <c r="O80" s="15" t="str">
        <f>IF(AND(Tabela3[% A.A.]&gt;=10%,Tabela3[PVPA]&lt;=2,Tabela3[PL]&lt;=15,Tabela3[PL]&gt;0),"Sim","Não")</f>
        <v>Não</v>
      </c>
      <c r="P80" s="45">
        <f>Tabela3[[#This Row],[Lucro Prev]]/Tabela3[[#This Row],[Cotação]]</f>
        <v>3.1663060321695281E-2</v>
      </c>
      <c r="Q80" s="19">
        <f>((1+Tabela3[[#This Row],[% Yield]])^(1/(3*Tabela3[[#This Row],[Ref]])))^(12)-1</f>
        <v>4.2438655259750213E-2</v>
      </c>
      <c r="R80" s="14">
        <f>($X$1/Tabela3[[#This Row],[Cotação]]-MOD($X$1/Tabela3[[#This Row],[Cotação]],100))</f>
        <v>0</v>
      </c>
      <c r="S80" s="17">
        <f>Tabela3[[#This Row],[Ativos]]*Tabela3[[#This Row],[Lucro Prev]]</f>
        <v>0</v>
      </c>
      <c r="T80" s="5">
        <f>SUMPRODUCT(N(Tabela1[Código]=Tabela3[[#This Row],[PAPEL]]),Tabela1[Fechamento])</f>
        <v>27.83</v>
      </c>
      <c r="U80" s="5">
        <f>SUMPRODUCT(N(Tabela17[Código]=Tabela3[[#This Row],[PAPEL]]),Tabela17[Fechamento])</f>
        <v>0</v>
      </c>
    </row>
    <row r="81" spans="1:21" hidden="1" x14ac:dyDescent="0.2">
      <c r="A81" s="4" t="s">
        <v>278</v>
      </c>
      <c r="B81" s="14" t="s">
        <v>21</v>
      </c>
      <c r="C81" s="15">
        <v>3</v>
      </c>
      <c r="D81" s="6">
        <v>341312244000</v>
      </c>
      <c r="E81" s="6">
        <v>17288839000</v>
      </c>
      <c r="F81" s="6">
        <f>GETPIVOTDATA("Average of Lucro Líquido",'Tabela LL'!$A$3,"Ativo",Tabela3[[#This Row],[PAPEL]])/4*Tabela3[[#This Row],[Ref]]</f>
        <v>27177763298.737503</v>
      </c>
      <c r="G81" s="41">
        <v>13044496930</v>
      </c>
      <c r="H81" s="71">
        <f>Tabela3[[#This Row],[Lucro Líquido]]/Tabela3[[#This Row],[Total Ações]]</f>
        <v>1.3253741476406633</v>
      </c>
      <c r="I81" s="19">
        <f>IF(GETPIVOTDATA("Payout",'Tabela LL'!$A$3,"Ativo",Tabela3[[#This Row],[PAPEL]])&gt;1,1,GETPIVOTDATA("Payout",'Tabela LL'!$A$3,"Ativo",Tabela3[[#This Row],[PAPEL]]))</f>
        <v>0.38236062761569822</v>
      </c>
      <c r="J81" s="6">
        <f>Tabela3[Patrimônio Líquido]/Tabela3[Total Ações]</f>
        <v>26.165228588849843</v>
      </c>
      <c r="K81" s="51">
        <f>MAX(Tabela3[[#This Row],[Cotação 1]],Tabela3[[#This Row],[Cotação 2]])</f>
        <v>16.04</v>
      </c>
      <c r="L81" s="47">
        <f>Tabela3[Cotação]/Tabela3[VPA]</f>
        <v>0.61302732156658279</v>
      </c>
      <c r="M81" s="43">
        <f>IF(Tabela3[[#This Row],[Lucro/Ação]]&gt;0,Tabela3[[#This Row],[Cotação]]/Tabela3[[#This Row],[Lucro/Ação]],0)</f>
        <v>12.102242999498115</v>
      </c>
      <c r="N81" s="6">
        <f>Tabela3[[#This Row],[Lucro/Ação]]*Tabela3[[#This Row],[Payout]]</f>
        <v>0.50677089091750505</v>
      </c>
      <c r="O81" s="15" t="str">
        <f>IF(AND(Tabela3[% A.A.]&gt;=10%,Tabela3[PVPA]&lt;=2,Tabela3[PL]&lt;=15,Tabela3[PL]&gt;0),"Sim","Não")</f>
        <v>Não</v>
      </c>
      <c r="P81" s="45">
        <f>Tabela3[[#This Row],[Lucro Prev]]/Tabela3[[#This Row],[Cotação]]</f>
        <v>3.1594195194358174E-2</v>
      </c>
      <c r="Q81" s="19">
        <f>((1+Tabela3[[#This Row],[% Yield]])^(1/(3*Tabela3[[#This Row],[Ref]])))^(12)-1</f>
        <v>4.2345877071692017E-2</v>
      </c>
      <c r="R81" s="14">
        <f>($X$1/Tabela3[[#This Row],[Cotação]]-MOD($X$1/Tabela3[[#This Row],[Cotação]],100))</f>
        <v>0</v>
      </c>
      <c r="S81" s="17">
        <f>Tabela3[[#This Row],[Ativos]]*Tabela3[[#This Row],[Lucro Prev]]</f>
        <v>0</v>
      </c>
      <c r="T81" s="13">
        <f>SUMPRODUCT(N(Tabela1[Código]=Tabela3[[#This Row],[PAPEL]]),Tabela1[Fechamento])</f>
        <v>0</v>
      </c>
      <c r="U81" s="13">
        <f>SUMPRODUCT(N(Tabela17[Código]=Tabela3[[#This Row],[PAPEL]]),Tabela17[Fechamento])</f>
        <v>16.04</v>
      </c>
    </row>
    <row r="82" spans="1:21" hidden="1" x14ac:dyDescent="0.2">
      <c r="A82" s="4" t="s">
        <v>365</v>
      </c>
      <c r="B82" s="69" t="s">
        <v>367</v>
      </c>
      <c r="C82" s="15">
        <v>3</v>
      </c>
      <c r="D82" s="6">
        <v>1148966000</v>
      </c>
      <c r="E82" s="6">
        <v>80315000</v>
      </c>
      <c r="F82" s="6">
        <f>GETPIVOTDATA("Average of Lucro Líquido",'Tabela LL'!$A$3,"Ativo",Tabela3[[#This Row],[PAPEL]])/4*Tabela3[[#This Row],[Ref]]</f>
        <v>74424749.382500008</v>
      </c>
      <c r="G82" s="41">
        <v>92619256</v>
      </c>
      <c r="H82" s="71">
        <f>Tabela3[[#This Row],[Lucro Líquido]]/Tabela3[[#This Row],[Total Ações]]</f>
        <v>0.86715229066404942</v>
      </c>
      <c r="I82" s="19">
        <f>IF(GETPIVOTDATA("Payout",'Tabela LL'!$A$3,"Ativo",Tabela3[[#This Row],[PAPEL]])&gt;1,1,GETPIVOTDATA("Payout",'Tabela LL'!$A$3,"Ativo",Tabela3[[#This Row],[PAPEL]]))</f>
        <v>0.2386150637582162</v>
      </c>
      <c r="J82" s="6">
        <f>Tabela3[Patrimônio Líquido]/Tabela3[Total Ações]</f>
        <v>12.40526052163494</v>
      </c>
      <c r="K82" s="51">
        <f>MAX(Tabela3[[#This Row],[Cotação 1]],Tabela3[[#This Row],[Cotação 2]])</f>
        <v>6.61</v>
      </c>
      <c r="L82" s="47">
        <f>Tabela3[Cotação]/Tabela3[VPA]</f>
        <v>0.53283846707387339</v>
      </c>
      <c r="M82" s="43">
        <f>IF(Tabela3[[#This Row],[Lucro/Ação]]&gt;0,Tabela3[[#This Row],[Cotação]]/Tabela3[[#This Row],[Lucro/Ação]],0)</f>
        <v>7.6226518353981199</v>
      </c>
      <c r="N82" s="6">
        <f>Tabela3[[#This Row],[Lucro/Ação]]*Tabela3[[#This Row],[Payout]]</f>
        <v>0.20691559912488539</v>
      </c>
      <c r="O82" s="15" t="str">
        <f>IF(AND(Tabela3[% A.A.]&gt;=10%,Tabela3[PVPA]&lt;=2,Tabela3[PL]&lt;=15,Tabela3[PL]&gt;0),"Sim","Não")</f>
        <v>Não</v>
      </c>
      <c r="P82" s="45">
        <f>Tabela3[[#This Row],[Lucro Prev]]/Tabela3[[#This Row],[Cotação]]</f>
        <v>3.1303418929634702E-2</v>
      </c>
      <c r="Q82" s="19">
        <f>((1+Tabela3[[#This Row],[% Yield]])^(1/(3*Tabela3[[#This Row],[Ref]])))^(12)-1</f>
        <v>4.1954153010002493E-2</v>
      </c>
      <c r="R82" s="14">
        <f>($X$1/Tabela3[[#This Row],[Cotação]]-MOD($X$1/Tabela3[[#This Row],[Cotação]],100))</f>
        <v>0</v>
      </c>
      <c r="S82" s="17">
        <f>Tabela3[[#This Row],[Ativos]]*Tabela3[[#This Row],[Lucro Prev]]</f>
        <v>0</v>
      </c>
      <c r="T82" s="13">
        <f>SUMPRODUCT(N(Tabela1[Código]=Tabela3[[#This Row],[PAPEL]]),Tabela1[Fechamento])</f>
        <v>0</v>
      </c>
      <c r="U82" s="60">
        <f>SUMPRODUCT(N(Tabela17[Código]=Tabela3[[#This Row],[PAPEL]]),Tabela17[Fechamento])</f>
        <v>6.61</v>
      </c>
    </row>
    <row r="83" spans="1:21" hidden="1" x14ac:dyDescent="0.2">
      <c r="A83" s="3" t="s">
        <v>333</v>
      </c>
      <c r="B83" s="72" t="s">
        <v>340</v>
      </c>
      <c r="C83" s="16">
        <v>3</v>
      </c>
      <c r="D83" s="5">
        <v>500173000</v>
      </c>
      <c r="E83" s="5">
        <v>5129000</v>
      </c>
      <c r="F83" s="5">
        <f>GETPIVOTDATA("Average of Lucro Líquido",'Tabela LL'!$A$3,"Ativo",Tabela3[[#This Row],[PAPEL]])/4*Tabela3[[#This Row],[Ref]]</f>
        <v>7256851.7774999999</v>
      </c>
      <c r="G83" s="21">
        <v>9133687</v>
      </c>
      <c r="H83" s="70">
        <f>Tabela3[[#This Row],[Lucro Líquido]]/Tabela3[[#This Row],[Total Ações]]</f>
        <v>0.56154759846708124</v>
      </c>
      <c r="I83" s="18">
        <f>IF(GETPIVOTDATA("Payout",'Tabela LL'!$A$3,"Ativo",Tabela3[[#This Row],[PAPEL]])&gt;1,1,GETPIVOTDATA("Payout",'Tabela LL'!$A$3,"Ativo",Tabela3[[#This Row],[PAPEL]]))</f>
        <v>1</v>
      </c>
      <c r="J83" s="5">
        <f>Tabela3[Patrimônio Líquido]/Tabela3[Total Ações]</f>
        <v>54.761346650043954</v>
      </c>
      <c r="K83" s="57">
        <f>MAX(Tabela3[[#This Row],[Cotação 1]],Tabela3[[#This Row],[Cotação 2]])</f>
        <v>17.97</v>
      </c>
      <c r="L83" s="58">
        <f>Tabela3[Cotação]/Tabela3[VPA]</f>
        <v>0.32815117047501563</v>
      </c>
      <c r="M83" s="39">
        <f>IF(Tabela3[[#This Row],[Lucro/Ação]]&gt;0,Tabela3[[#This Row],[Cotação]]/Tabela3[[#This Row],[Lucro/Ação]],0)</f>
        <v>32.00084916942874</v>
      </c>
      <c r="N83" s="5">
        <f>Tabela3[[#This Row],[Lucro/Ação]]*Tabela3[[#This Row],[Payout]]</f>
        <v>0.56154759846708124</v>
      </c>
      <c r="O83" s="16" t="str">
        <f>IF(AND(Tabela3[% A.A.]&gt;=10%,Tabela3[PVPA]&lt;=2,Tabela3[PL]&lt;=15,Tabela3[PL]&gt;0),"Sim","Não")</f>
        <v>Não</v>
      </c>
      <c r="P83" s="22">
        <f>Tabela3[[#This Row],[Lucro Prev]]/Tabela3[[#This Row],[Cotação]]</f>
        <v>3.1249170754985046E-2</v>
      </c>
      <c r="Q83" s="18">
        <f>((1+Tabela3[[#This Row],[% Yield]])^(1/(3*Tabela3[[#This Row],[Ref]])))^(12)-1</f>
        <v>4.1881075757426611E-2</v>
      </c>
      <c r="R83" s="10">
        <f>($X$1/Tabela3[[#This Row],[Cotação]]-MOD($X$1/Tabela3[[#This Row],[Cotação]],100))</f>
        <v>0</v>
      </c>
      <c r="S83" s="7">
        <f>Tabela3[[#This Row],[Ativos]]*Tabela3[[#This Row],[Lucro Prev]]</f>
        <v>0</v>
      </c>
      <c r="T83" s="50">
        <f>SUMPRODUCT(N(Tabela1[Código]=Tabela3[[#This Row],[PAPEL]]),Tabela1[Fechamento])</f>
        <v>0</v>
      </c>
      <c r="U83" s="59">
        <f>SUMPRODUCT(N(Tabela17[Código]=Tabela3[[#This Row],[PAPEL]]),Tabela17[Fechamento])</f>
        <v>17.97</v>
      </c>
    </row>
    <row r="84" spans="1:21" hidden="1" x14ac:dyDescent="0.2">
      <c r="A84" s="4" t="s">
        <v>14</v>
      </c>
      <c r="B84" s="15" t="s">
        <v>249</v>
      </c>
      <c r="C84" s="16">
        <v>3</v>
      </c>
      <c r="D84" s="5">
        <v>843867000</v>
      </c>
      <c r="E84" s="5">
        <v>34502000</v>
      </c>
      <c r="F84" s="5">
        <f>GETPIVOTDATA("Average of Lucro Líquido",'Tabela LL'!$A$3,"Ativo",Tabela3[[#This Row],[PAPEL]])/4*Tabela3[[#This Row],[Ref]]</f>
        <v>40652250</v>
      </c>
      <c r="G84" s="21">
        <v>73646388</v>
      </c>
      <c r="H84" s="16">
        <f>Tabela3[[#This Row],[Lucro Líquido]]/Tabela3[[#This Row],[Total Ações]]</f>
        <v>0.46848190300928266</v>
      </c>
      <c r="I84" s="18">
        <f>IF(GETPIVOTDATA("Payout",'Tabela LL'!$A$3,"Ativo",Tabela3[[#This Row],[PAPEL]])&gt;1,1,GETPIVOTDATA("Payout",'Tabela LL'!$A$3,"Ativo",Tabela3[[#This Row],[PAPEL]]))</f>
        <v>0.25370503766276303</v>
      </c>
      <c r="J84" s="5">
        <f>Tabela3[Patrimônio Líquido]/Tabela3[Total Ações]</f>
        <v>11.45836235716</v>
      </c>
      <c r="K84" s="57">
        <f>MAX(Tabela3[[#This Row],[Cotação 1]],Tabela3[[#This Row],[Cotação 2]])</f>
        <v>3.81</v>
      </c>
      <c r="L84" s="58">
        <f>Tabela3[Cotação]/Tabela3[VPA]</f>
        <v>0.33250824866951784</v>
      </c>
      <c r="M84" s="39">
        <f>IF(Tabela3[[#This Row],[Lucro/Ação]]&gt;0,Tabela3[[#This Row],[Cotação]]/Tabela3[[#This Row],[Lucro/Ação]],0)</f>
        <v>8.1326513906440212</v>
      </c>
      <c r="N84" s="5">
        <f>Tabela3[[#This Row],[Lucro/Ação]]*Tabela3[[#This Row],[Payout]]</f>
        <v>0.11885621884729296</v>
      </c>
      <c r="O84" s="16" t="str">
        <f>IF(AND(Tabela3[% A.A.]&gt;=10%,Tabela3[PVPA]&lt;=2,Tabela3[PL]&lt;=15,Tabela3[PL]&gt;0),"Sim","Não")</f>
        <v>Não</v>
      </c>
      <c r="P84" s="22">
        <f>Tabela3[[#This Row],[Lucro Prev]]/Tabela3[[#This Row],[Cotação]]</f>
        <v>3.1195857965168754E-2</v>
      </c>
      <c r="Q84" s="18">
        <f>((1+Tabela3[[#This Row],[% Yield]])^(1/(3*Tabela3[[#This Row],[Ref]])))^(12)-1</f>
        <v>4.1809259802199517E-2</v>
      </c>
      <c r="R84" s="10">
        <f>($X$1/Tabela3[[#This Row],[Cotação]]-MOD($X$1/Tabela3[[#This Row],[Cotação]],100))</f>
        <v>0</v>
      </c>
      <c r="S84" s="7">
        <f>Tabela3[[#This Row],[Ativos]]*Tabela3[[#This Row],[Lucro Prev]]</f>
        <v>0</v>
      </c>
      <c r="T84" s="5">
        <f>SUMPRODUCT(N(Tabela1[Código]=Tabela3[[#This Row],[PAPEL]]),Tabela1[Fechamento])</f>
        <v>3.81</v>
      </c>
      <c r="U84" s="5">
        <f>SUMPRODUCT(N(Tabela17[Código]=Tabela3[[#This Row],[PAPEL]]),Tabela17[Fechamento])</f>
        <v>0</v>
      </c>
    </row>
    <row r="85" spans="1:21" hidden="1" x14ac:dyDescent="0.2">
      <c r="A85" s="4" t="s">
        <v>426</v>
      </c>
      <c r="B85" s="69" t="s">
        <v>431</v>
      </c>
      <c r="C85" s="15">
        <v>3</v>
      </c>
      <c r="D85" s="6">
        <v>735745000</v>
      </c>
      <c r="E85" s="6">
        <v>39503000</v>
      </c>
      <c r="F85" s="6">
        <f>GETPIVOTDATA("Average of Lucro Líquido",'Tabela LL'!$A$3,"Ativo",Tabela3[[#This Row],[PAPEL]])/4*Tabela3[[#This Row],[Ref]]</f>
        <v>56306566.824374989</v>
      </c>
      <c r="G85" s="41">
        <v>105765903</v>
      </c>
      <c r="H85" s="15">
        <f>Tabela3[[#This Row],[Lucro Líquido]]/Tabela3[[#This Row],[Total Ações]]</f>
        <v>0.37349466018363214</v>
      </c>
      <c r="I85" s="19">
        <f>IF(GETPIVOTDATA("Payout",'Tabela LL'!$A$3,"Ativo",Tabela3[[#This Row],[PAPEL]])&gt;1,1,GETPIVOTDATA("Payout",'Tabela LL'!$A$3,"Ativo",Tabela3[[#This Row],[PAPEL]]))</f>
        <v>0.32895734501185681</v>
      </c>
      <c r="J85" s="6">
        <f>Tabela3[Patrimônio Líquido]/Tabela3[Total Ações]</f>
        <v>6.9563534100399069</v>
      </c>
      <c r="K85" s="51">
        <f>MAX(Tabela3[[#This Row],[Cotação 1]],Tabela3[[#This Row],[Cotação 2]])</f>
        <v>4.01</v>
      </c>
      <c r="L85" s="47">
        <f>Tabela3[Cotação]/Tabela3[VPA]</f>
        <v>0.57645144857253527</v>
      </c>
      <c r="M85" s="43">
        <f>IF(Tabela3[[#This Row],[Lucro/Ação]]&gt;0,Tabela3[[#This Row],[Cotação]]/Tabela3[[#This Row],[Lucro/Ação]],0)</f>
        <v>10.736431942637267</v>
      </c>
      <c r="N85" s="6">
        <f>Tabela3[[#This Row],[Lucro/Ação]]*Tabela3[[#This Row],[Payout]]</f>
        <v>0.1228638117901133</v>
      </c>
      <c r="O85" s="15" t="str">
        <f>IF(AND(Tabela3[% A.A.]&gt;=10%,Tabela3[PVPA]&lt;=2,Tabela3[PL]&lt;=15,Tabela3[PL]&gt;0),"Sim","Não")</f>
        <v>Não</v>
      </c>
      <c r="P85" s="45">
        <f>Tabela3[[#This Row],[Lucro Prev]]/Tabela3[[#This Row],[Cotação]]</f>
        <v>3.0639354561125511E-2</v>
      </c>
      <c r="Q85" s="19">
        <f>((1+Tabela3[[#This Row],[% Yield]])^(1/(3*Tabela3[[#This Row],[Ref]])))^(12)-1</f>
        <v>4.1059685746724695E-2</v>
      </c>
      <c r="R85" s="14">
        <f>($X$1/Tabela3[[#This Row],[Cotação]]-MOD($X$1/Tabela3[[#This Row],[Cotação]],100))</f>
        <v>0</v>
      </c>
      <c r="S85" s="17">
        <f>Tabela3[[#This Row],[Ativos]]*Tabela3[[#This Row],[Lucro Prev]]</f>
        <v>0</v>
      </c>
      <c r="T85" s="13">
        <f>SUMPRODUCT(N(Tabela1[Código]=Tabela3[[#This Row],[PAPEL]]),Tabela1[Fechamento])</f>
        <v>0</v>
      </c>
      <c r="U85" s="60">
        <f>SUMPRODUCT(N(Tabela17[Código]=Tabela3[[#This Row],[PAPEL]]),Tabela17[Fechamento])</f>
        <v>4.01</v>
      </c>
    </row>
    <row r="86" spans="1:21" hidden="1" x14ac:dyDescent="0.2">
      <c r="A86" s="4" t="s">
        <v>435</v>
      </c>
      <c r="B86" s="69" t="s">
        <v>434</v>
      </c>
      <c r="C86" s="15">
        <v>3</v>
      </c>
      <c r="D86" s="6">
        <v>496428000</v>
      </c>
      <c r="E86" s="6">
        <v>88119000</v>
      </c>
      <c r="F86" s="6">
        <f>GETPIVOTDATA("Average of Lucro Líquido",'Tabela LL'!$A$3,"Ativo",Tabela3[[#This Row],[PAPEL]])/4*Tabela3[[#This Row],[Ref]]</f>
        <v>57405453.257500008</v>
      </c>
      <c r="G86" s="41">
        <v>98312688</v>
      </c>
      <c r="H86" s="15">
        <f>Tabela3[[#This Row],[Lucro Líquido]]/Tabela3[[#This Row],[Total Ações]]</f>
        <v>0.89631360704937701</v>
      </c>
      <c r="I86" s="19">
        <f>IF(GETPIVOTDATA("Payout",'Tabela LL'!$A$3,"Ativo",Tabela3[[#This Row],[PAPEL]])&gt;1,1,GETPIVOTDATA("Payout",'Tabela LL'!$A$3,"Ativo",Tabela3[[#This Row],[PAPEL]]))</f>
        <v>0.61772022954134342</v>
      </c>
      <c r="J86" s="6">
        <f>Tabela3[Patrimônio Líquido]/Tabela3[Total Ações]</f>
        <v>5.0494804902496409</v>
      </c>
      <c r="K86" s="51">
        <f>MAX(Tabela3[[#This Row],[Cotação 1]],Tabela3[[#This Row],[Cotação 2]])</f>
        <v>18.2</v>
      </c>
      <c r="L86" s="47">
        <f>Tabela3[Cotação]/Tabela3[VPA]</f>
        <v>3.6043311851869757</v>
      </c>
      <c r="M86" s="43">
        <f>IF(Tabela3[[#This Row],[Lucro/Ação]]&gt;0,Tabela3[[#This Row],[Cotação]]/Tabela3[[#This Row],[Lucro/Ação]],0)</f>
        <v>20.305392952711671</v>
      </c>
      <c r="N86" s="6">
        <f>Tabela3[[#This Row],[Lucro/Ação]]*Tabela3[[#This Row],[Payout]]</f>
        <v>0.55367104708757064</v>
      </c>
      <c r="O86" s="15" t="str">
        <f>IF(AND(Tabela3[% A.A.]&gt;=10%,Tabela3[PVPA]&lt;=2,Tabela3[PL]&lt;=15,Tabela3[PL]&gt;0),"Sim","Não")</f>
        <v>Não</v>
      </c>
      <c r="P86" s="45">
        <f>Tabela3[[#This Row],[Lucro Prev]]/Tabela3[[#This Row],[Cotação]]</f>
        <v>3.0421486103712675E-2</v>
      </c>
      <c r="Q86" s="19">
        <f>((1+Tabela3[[#This Row],[% Yield]])^(1/(3*Tabela3[[#This Row],[Ref]])))^(12)-1</f>
        <v>4.0766267781997323E-2</v>
      </c>
      <c r="R86" s="14">
        <f>($X$1/Tabela3[[#This Row],[Cotação]]-MOD($X$1/Tabela3[[#This Row],[Cotação]],100))</f>
        <v>0</v>
      </c>
      <c r="S86" s="17">
        <f>Tabela3[[#This Row],[Ativos]]*Tabela3[[#This Row],[Lucro Prev]]</f>
        <v>0</v>
      </c>
      <c r="T86" s="13">
        <f>SUMPRODUCT(N(Tabela1[Código]=Tabela3[[#This Row],[PAPEL]]),Tabela1[Fechamento])</f>
        <v>0</v>
      </c>
      <c r="U86" s="60">
        <f>SUMPRODUCT(N(Tabela17[Código]=Tabela3[[#This Row],[PAPEL]]),Tabela17[Fechamento])</f>
        <v>18.2</v>
      </c>
    </row>
    <row r="87" spans="1:21" hidden="1" x14ac:dyDescent="0.2">
      <c r="A87" s="4" t="s">
        <v>278</v>
      </c>
      <c r="B87" s="69" t="s">
        <v>279</v>
      </c>
      <c r="C87" s="15">
        <v>3</v>
      </c>
      <c r="D87" s="6">
        <v>2384232000</v>
      </c>
      <c r="E87" s="6">
        <v>171061000</v>
      </c>
      <c r="F87" s="6">
        <f>GETPIVOTDATA("Average of Lucro Líquido",'Tabela LL'!$A$3,"Ativo",Tabela3[[#This Row],[PAPEL]])/4*Tabela3[[#This Row],[Ref]]</f>
        <v>52550027.820000008</v>
      </c>
      <c r="G87" s="41">
        <v>265806905</v>
      </c>
      <c r="H87" s="71">
        <f>Tabela3[[#This Row],[Lucro Líquido]]/Tabela3[[#This Row],[Total Ações]]</f>
        <v>0.64355363529777376</v>
      </c>
      <c r="I87" s="19">
        <f>IF(GETPIVOTDATA("Payout",'Tabela LL'!$A$3,"Ativo",Tabela3[[#This Row],[PAPEL]])&gt;1,1,GETPIVOTDATA("Payout",'Tabela LL'!$A$3,"Ativo",Tabela3[[#This Row],[PAPEL]]))</f>
        <v>0.45238397622744686</v>
      </c>
      <c r="J87" s="6">
        <f>Tabela3[Patrimônio Líquido]/Tabela3[Total Ações]</f>
        <v>8.9697895545640538</v>
      </c>
      <c r="K87" s="51">
        <f>MAX(Tabela3[[#This Row],[Cotação 1]],Tabela3[[#This Row],[Cotação 2]])</f>
        <v>9.6999999999999993</v>
      </c>
      <c r="L87" s="47">
        <f>Tabela3[Cotação]/Tabela3[VPA]</f>
        <v>1.0814077566696529</v>
      </c>
      <c r="M87" s="43">
        <f>IF(Tabela3[[#This Row],[Lucro/Ação]]&gt;0,Tabela3[[#This Row],[Cotação]]/Tabela3[[#This Row],[Lucro/Ação]],0)</f>
        <v>15.072558786047082</v>
      </c>
      <c r="N87" s="6">
        <f>Tabela3[[#This Row],[Lucro/Ação]]*Tabela3[[#This Row],[Payout]]</f>
        <v>0.29113335245163507</v>
      </c>
      <c r="O87" s="15" t="str">
        <f>IF(AND(Tabela3[% A.A.]&gt;=10%,Tabela3[PVPA]&lt;=2,Tabela3[PL]&lt;=15,Tabela3[PL]&gt;0),"Sim","Não")</f>
        <v>Não</v>
      </c>
      <c r="P87" s="45">
        <f>Tabela3[[#This Row],[Lucro Prev]]/Tabela3[[#This Row],[Cotação]]</f>
        <v>3.0013747675426299E-2</v>
      </c>
      <c r="Q87" s="19">
        <f>((1+Tabela3[[#This Row],[% Yield]])^(1/(3*Tabela3[[#This Row],[Ref]])))^(12)-1</f>
        <v>4.021719484580899E-2</v>
      </c>
      <c r="R87" s="14">
        <f>($X$1/Tabela3[[#This Row],[Cotação]]-MOD($X$1/Tabela3[[#This Row],[Cotação]],100))</f>
        <v>0</v>
      </c>
      <c r="S87" s="17">
        <f>Tabela3[[#This Row],[Ativos]]*Tabela3[[#This Row],[Lucro Prev]]</f>
        <v>0</v>
      </c>
      <c r="T87" s="13">
        <f>SUMPRODUCT(N(Tabela1[Código]=Tabela3[[#This Row],[PAPEL]]),Tabela1[Fechamento])</f>
        <v>0</v>
      </c>
      <c r="U87" s="13">
        <f>SUMPRODUCT(N(Tabela17[Código]=Tabela3[[#This Row],[PAPEL]]),Tabela17[Fechamento])</f>
        <v>9.6999999999999993</v>
      </c>
    </row>
    <row r="88" spans="1:21" hidden="1" x14ac:dyDescent="0.2">
      <c r="A88" s="4" t="s">
        <v>12</v>
      </c>
      <c r="B88" s="14" t="s">
        <v>99</v>
      </c>
      <c r="C88" s="15">
        <v>3</v>
      </c>
      <c r="D88" s="6">
        <v>1380983000</v>
      </c>
      <c r="E88" s="6">
        <v>154788000</v>
      </c>
      <c r="F88" s="6">
        <f>GETPIVOTDATA("Average of Lucro Líquido",'Tabela LL'!$A$3,"Ativo",Tabela3[[#This Row],[PAPEL]])/4*Tabela3[[#This Row],[Ref]]</f>
        <v>227767498.33499998</v>
      </c>
      <c r="G88" s="41">
        <v>164183899</v>
      </c>
      <c r="H88" s="15">
        <f>Tabela3[[#This Row],[Lucro Líquido]]/Tabela3[[#This Row],[Total Ações]]</f>
        <v>0.94277210458986604</v>
      </c>
      <c r="I88" s="19">
        <f>IF(GETPIVOTDATA("Payout",'Tabela LL'!$A$3,"Ativo",Tabela3[[#This Row],[PAPEL]])&gt;1,1,GETPIVOTDATA("Payout",'Tabela LL'!$A$3,"Ativo",Tabela3[[#This Row],[PAPEL]]))</f>
        <v>0.49000251641148956</v>
      </c>
      <c r="J88" s="6">
        <f>Tabela3[Patrimônio Líquido]/Tabela3[Total Ações]</f>
        <v>8.4111962769260344</v>
      </c>
      <c r="K88" s="51">
        <f>MAX(Tabela3[[#This Row],[Cotação 1]],Tabela3[[#This Row],[Cotação 2]])</f>
        <v>15.4</v>
      </c>
      <c r="L88" s="47">
        <f>Tabela3[Cotação]/Tabela3[VPA]</f>
        <v>1.8308929542217391</v>
      </c>
      <c r="M88" s="43">
        <f>IF(Tabela3[[#This Row],[Lucro/Ação]]&gt;0,Tabela3[[#This Row],[Cotação]]/Tabela3[[#This Row],[Lucro/Ação]],0)</f>
        <v>16.334806603871101</v>
      </c>
      <c r="N88" s="6">
        <f>Tabela3[[#This Row],[Lucro/Ação]]*Tabela3[[#This Row],[Payout]]</f>
        <v>0.46196070365159037</v>
      </c>
      <c r="O88" s="15" t="str">
        <f>IF(AND(Tabela3[% A.A.]&gt;=10%,Tabela3[PVPA]&lt;=2,Tabela3[PL]&lt;=15,Tabela3[PL]&gt;0),"Sim","Não")</f>
        <v>Não</v>
      </c>
      <c r="P88" s="45">
        <f>Tabela3[[#This Row],[Lucro Prev]]/Tabela3[[#This Row],[Cotação]]</f>
        <v>2.999744828906431E-2</v>
      </c>
      <c r="Q88" s="19">
        <f>((1+Tabela3[[#This Row],[% Yield]])^(1/(3*Tabela3[[#This Row],[Ref]])))^(12)-1</f>
        <v>4.0195247103487208E-2</v>
      </c>
      <c r="R88" s="14">
        <f>($X$1/Tabela3[[#This Row],[Cotação]]-MOD($X$1/Tabela3[[#This Row],[Cotação]],100))</f>
        <v>0</v>
      </c>
      <c r="S88" s="17">
        <f>Tabela3[[#This Row],[Ativos]]*Tabela3[[#This Row],[Lucro Prev]]</f>
        <v>0</v>
      </c>
      <c r="T88" s="5">
        <f>SUMPRODUCT(N(Tabela1[Código]=Tabela3[[#This Row],[PAPEL]]),Tabela1[Fechamento])</f>
        <v>15.4</v>
      </c>
      <c r="U88" s="5">
        <f>SUMPRODUCT(N(Tabela17[Código]=Tabela3[[#This Row],[PAPEL]]),Tabela17[Fechamento])</f>
        <v>0</v>
      </c>
    </row>
    <row r="89" spans="1:21" hidden="1" x14ac:dyDescent="0.2">
      <c r="A89" s="4" t="s">
        <v>441</v>
      </c>
      <c r="B89" s="69" t="s">
        <v>444</v>
      </c>
      <c r="C89" s="15">
        <v>3</v>
      </c>
      <c r="D89" s="6">
        <v>2947112000</v>
      </c>
      <c r="E89" s="6">
        <v>1953406000</v>
      </c>
      <c r="F89" s="6">
        <f>GETPIVOTDATA("Average of Lucro Líquido",'Tabela LL'!$A$3,"Ativo",Tabela3[[#This Row],[PAPEL]])/4*Tabela3[[#This Row],[Ref]]</f>
        <v>1488569176.1375</v>
      </c>
      <c r="G89" s="41">
        <v>786115469</v>
      </c>
      <c r="H89" s="15">
        <f>Tabela3[[#This Row],[Lucro Líquido]]/Tabela3[[#This Row],[Total Ações]]</f>
        <v>2.4848843166575572</v>
      </c>
      <c r="I89" s="19">
        <f>IF(GETPIVOTDATA("Payout",'Tabela LL'!$A$3,"Ativo",Tabela3[[#This Row],[PAPEL]])&gt;1,1,GETPIVOTDATA("Payout",'Tabela LL'!$A$3,"Ativo",Tabela3[[#This Row],[PAPEL]]))</f>
        <v>0.77123947523638092</v>
      </c>
      <c r="J89" s="6">
        <f>Tabela3[Patrimônio Líquido]/Tabela3[Total Ações]</f>
        <v>3.7489556130334845</v>
      </c>
      <c r="K89" s="51">
        <f>MAX(Tabela3[[#This Row],[Cotação 1]],Tabela3[[#This Row],[Cotação 2]])</f>
        <v>66.599999999999994</v>
      </c>
      <c r="L89" s="47">
        <f>Tabela3[Cotação]/Tabela3[VPA]</f>
        <v>17.7649475945943</v>
      </c>
      <c r="M89" s="43">
        <f>IF(Tabela3[[#This Row],[Lucro/Ação]]&gt;0,Tabela3[[#This Row],[Cotação]]/Tabela3[[#This Row],[Lucro/Ação]],0)</f>
        <v>26.802052535622391</v>
      </c>
      <c r="N89" s="6">
        <f>Tabela3[[#This Row],[Lucro/Ação]]*Tabela3[[#This Row],[Payout]]</f>
        <v>1.9164408764020875</v>
      </c>
      <c r="O89" s="15" t="str">
        <f>IF(AND(Tabela3[% A.A.]&gt;=10%,Tabela3[PVPA]&lt;=2,Tabela3[PL]&lt;=15,Tabela3[PL]&gt;0),"Sim","Não")</f>
        <v>Não</v>
      </c>
      <c r="P89" s="45">
        <f>Tabela3[[#This Row],[Lucro Prev]]/Tabela3[[#This Row],[Cotação]]</f>
        <v>2.877538853456588E-2</v>
      </c>
      <c r="Q89" s="19">
        <f>((1+Tabela3[[#This Row],[% Yield]])^(1/(3*Tabela3[[#This Row],[Ref]])))^(12)-1</f>
        <v>3.8550027088954941E-2</v>
      </c>
      <c r="R89" s="14">
        <f>($X$1/Tabela3[[#This Row],[Cotação]]-MOD($X$1/Tabela3[[#This Row],[Cotação]],100))</f>
        <v>0</v>
      </c>
      <c r="S89" s="17">
        <f>Tabela3[[#This Row],[Ativos]]*Tabela3[[#This Row],[Lucro Prev]]</f>
        <v>0</v>
      </c>
      <c r="T89" s="13">
        <f>SUMPRODUCT(N(Tabela1[Código]=Tabela3[[#This Row],[PAPEL]]),Tabela1[Fechamento])</f>
        <v>0</v>
      </c>
      <c r="U89" s="60">
        <f>SUMPRODUCT(N(Tabela17[Código]=Tabela3[[#This Row],[PAPEL]]),Tabela17[Fechamento])</f>
        <v>66.599999999999994</v>
      </c>
    </row>
    <row r="90" spans="1:21" hidden="1" x14ac:dyDescent="0.2">
      <c r="A90" s="3" t="s">
        <v>40</v>
      </c>
      <c r="B90" s="14" t="s">
        <v>295</v>
      </c>
      <c r="C90" s="16">
        <v>3</v>
      </c>
      <c r="D90" s="5">
        <v>509526000</v>
      </c>
      <c r="E90" s="5">
        <v>33359000</v>
      </c>
      <c r="F90" s="5">
        <f>GETPIVOTDATA("Average of Lucro Líquido",'Tabela LL'!$A$3,"Ativo",Tabela3[[#This Row],[PAPEL]])/4*Tabela3[[#This Row],[Ref]]</f>
        <v>12059404.49625</v>
      </c>
      <c r="G90" s="21">
        <v>31485170</v>
      </c>
      <c r="H90" s="70">
        <f>Tabela3[[#This Row],[Lucro Líquido]]/Tabela3[[#This Row],[Total Ações]]</f>
        <v>1.0595146858028717</v>
      </c>
      <c r="I90" s="18">
        <f>IF(GETPIVOTDATA("Payout",'Tabela LL'!$A$3,"Ativo",Tabela3[[#This Row],[PAPEL]])&gt;1,1,GETPIVOTDATA("Payout",'Tabela LL'!$A$3,"Ativo",Tabela3[[#This Row],[PAPEL]]))</f>
        <v>0.27024411411752097</v>
      </c>
      <c r="J90" s="5">
        <f>Tabela3[Patrimônio Líquido]/Tabela3[Total Ações]</f>
        <v>16.183047447417309</v>
      </c>
      <c r="K90" s="57">
        <f>MAX(Tabela3[[#This Row],[Cotação 1]],Tabela3[[#This Row],[Cotação 2]])</f>
        <v>10</v>
      </c>
      <c r="L90" s="58">
        <f>Tabela3[Cotação]/Tabela3[VPA]</f>
        <v>0.61793058646663757</v>
      </c>
      <c r="M90" s="39">
        <f>IF(Tabela3[[#This Row],[Lucro/Ação]]&gt;0,Tabela3[[#This Row],[Cotação]]/Tabela3[[#This Row],[Lucro/Ação]],0)</f>
        <v>9.4382835216882999</v>
      </c>
      <c r="N90" s="5">
        <f>Tabela3[[#This Row],[Lucro/Ação]]*Tabela3[[#This Row],[Payout]]</f>
        <v>0.28632760765930065</v>
      </c>
      <c r="O90" s="16" t="str">
        <f>IF(AND(Tabela3[% A.A.]&gt;=10%,Tabela3[PVPA]&lt;=2,Tabela3[PL]&lt;=15,Tabela3[PL]&gt;0),"Sim","Não")</f>
        <v>Não</v>
      </c>
      <c r="P90" s="22">
        <f>Tabela3[[#This Row],[Lucro Prev]]/Tabela3[[#This Row],[Cotação]]</f>
        <v>2.8632760765930066E-2</v>
      </c>
      <c r="Q90" s="18">
        <f>((1+Tabela3[[#This Row],[% Yield]])^(1/(3*Tabela3[[#This Row],[Ref]])))^(12)-1</f>
        <v>3.8358054313214041E-2</v>
      </c>
      <c r="R90" s="10">
        <f>($X$1/Tabela3[[#This Row],[Cotação]]-MOD($X$1/Tabela3[[#This Row],[Cotação]],100))</f>
        <v>0</v>
      </c>
      <c r="S90" s="7">
        <f>Tabela3[[#This Row],[Ativos]]*Tabela3[[#This Row],[Lucro Prev]]</f>
        <v>0</v>
      </c>
      <c r="T90" s="50">
        <f>SUMPRODUCT(N(Tabela1[Código]=Tabela3[[#This Row],[PAPEL]]),Tabela1[Fechamento])</f>
        <v>0</v>
      </c>
      <c r="U90" s="50">
        <f>SUMPRODUCT(N(Tabela17[Código]=Tabela3[[#This Row],[PAPEL]]),Tabela17[Fechamento])</f>
        <v>10</v>
      </c>
    </row>
    <row r="91" spans="1:21" hidden="1" x14ac:dyDescent="0.2">
      <c r="A91" s="4" t="s">
        <v>12</v>
      </c>
      <c r="B91" s="14" t="s">
        <v>185</v>
      </c>
      <c r="C91" s="15">
        <v>3</v>
      </c>
      <c r="D91" s="6">
        <v>672379000</v>
      </c>
      <c r="E91" s="6">
        <v>25747000</v>
      </c>
      <c r="F91" s="6">
        <f>GETPIVOTDATA("Average of Lucro Líquido",'Tabela LL'!$A$3,"Ativo",Tabela3[[#This Row],[PAPEL]])/4*Tabela3[[#This Row],[Ref]]</f>
        <v>-41034184.075000003</v>
      </c>
      <c r="G91" s="41">
        <v>36947084</v>
      </c>
      <c r="H91" s="15">
        <f>Tabela3[[#This Row],[Lucro Líquido]]/Tabela3[[#This Row],[Total Ações]]</f>
        <v>0.69686148979984452</v>
      </c>
      <c r="I91" s="19">
        <f>IF(GETPIVOTDATA("Payout",'Tabela LL'!$A$3,"Ativo",Tabela3[[#This Row],[PAPEL]])&gt;1,1,GETPIVOTDATA("Payout",'Tabela LL'!$A$3,"Ativo",Tabela3[[#This Row],[PAPEL]]))</f>
        <v>0.23175290878610291</v>
      </c>
      <c r="J91" s="6">
        <f>Tabela3[Patrimônio Líquido]/Tabela3[Total Ações]</f>
        <v>18.198432114426133</v>
      </c>
      <c r="K91" s="51">
        <f>MAX(Tabela3[[#This Row],[Cotação 1]],Tabela3[[#This Row],[Cotação 2]])</f>
        <v>5.67</v>
      </c>
      <c r="L91" s="47">
        <f>Tabela3[Cotação]/Tabela3[VPA]</f>
        <v>0.31156530212871014</v>
      </c>
      <c r="M91" s="43">
        <f>IF(Tabela3[[#This Row],[Lucro/Ação]]&gt;0,Tabela3[[#This Row],[Cotação]]/Tabela3[[#This Row],[Lucro/Ação]],0)</f>
        <v>8.1364806105565695</v>
      </c>
      <c r="N91" s="6">
        <f>Tabela3[[#This Row],[Lucro/Ação]]*Tabela3[[#This Row],[Payout]]</f>
        <v>0.16149967728213116</v>
      </c>
      <c r="O91" s="15" t="str">
        <f>IF(AND(Tabela3[% A.A.]&gt;=10%,Tabela3[PVPA]&lt;=2,Tabela3[PL]&lt;=15,Tabela3[PL]&gt;0),"Sim","Não")</f>
        <v>Não</v>
      </c>
      <c r="P91" s="45">
        <f>Tabela3[[#This Row],[Lucro Prev]]/Tabela3[[#This Row],[Cotação]]</f>
        <v>2.84831882331801E-2</v>
      </c>
      <c r="Q91" s="19">
        <f>((1+Tabela3[[#This Row],[% Yield]])^(1/(3*Tabela3[[#This Row],[Ref]])))^(12)-1</f>
        <v>3.8156743620705535E-2</v>
      </c>
      <c r="R91" s="14">
        <f>($X$1/Tabela3[[#This Row],[Cotação]]-MOD($X$1/Tabela3[[#This Row],[Cotação]],100))</f>
        <v>0</v>
      </c>
      <c r="S91" s="17">
        <f>Tabela3[[#This Row],[Ativos]]*Tabela3[[#This Row],[Lucro Prev]]</f>
        <v>0</v>
      </c>
      <c r="T91" s="5">
        <f>SUMPRODUCT(N(Tabela1[Código]=Tabela3[[#This Row],[PAPEL]]),Tabela1[Fechamento])</f>
        <v>5.67</v>
      </c>
      <c r="U91" s="5">
        <f>SUMPRODUCT(N(Tabela17[Código]=Tabela3[[#This Row],[PAPEL]]),Tabela17[Fechamento])</f>
        <v>0</v>
      </c>
    </row>
    <row r="92" spans="1:21" hidden="1" x14ac:dyDescent="0.2">
      <c r="A92" s="4" t="s">
        <v>14</v>
      </c>
      <c r="B92" s="15" t="s">
        <v>263</v>
      </c>
      <c r="C92" s="16">
        <v>3</v>
      </c>
      <c r="D92" s="6">
        <v>32199000000</v>
      </c>
      <c r="E92" s="5">
        <v>3922000000</v>
      </c>
      <c r="F92" s="5">
        <f>GETPIVOTDATA("Average of Lucro Líquido",'Tabela LL'!$A$3,"Ativo",Tabela3[[#This Row],[PAPEL]])/4*Tabela3[[#This Row],[Ref]]</f>
        <v>3075217051.0237498</v>
      </c>
      <c r="G92" s="21">
        <v>5470667261</v>
      </c>
      <c r="H92" s="16">
        <f>Tabela3[[#This Row],[Lucro Líquido]]/Tabela3[[#This Row],[Total Ações]]</f>
        <v>0.71691437495379418</v>
      </c>
      <c r="I92" s="18">
        <f>IF(GETPIVOTDATA("Payout",'Tabela LL'!$A$3,"Ativo",Tabela3[[#This Row],[PAPEL]])&gt;1,1,GETPIVOTDATA("Payout",'Tabela LL'!$A$3,"Ativo",Tabela3[[#This Row],[PAPEL]]))</f>
        <v>0.41787587719990676</v>
      </c>
      <c r="J92" s="5">
        <f>Tabela3[Patrimônio Líquido]/Tabela3[Total Ações]</f>
        <v>5.8857536866744562</v>
      </c>
      <c r="K92" s="57">
        <f>MAX(Tabela3[[#This Row],[Cotação 1]],Tabela3[[#This Row],[Cotação 2]])</f>
        <v>10.56</v>
      </c>
      <c r="L92" s="58">
        <f>Tabela3[Cotação]/Tabela3[VPA]</f>
        <v>1.7941627465498931</v>
      </c>
      <c r="M92" s="39">
        <f>IF(Tabela3[[#This Row],[Lucro/Ação]]&gt;0,Tabela3[[#This Row],[Cotação]]/Tabela3[[#This Row],[Lucro/Ação]],0)</f>
        <v>14.729792523243244</v>
      </c>
      <c r="N92" s="5">
        <f>Tabela3[[#This Row],[Lucro/Ação]]*Tabela3[[#This Row],[Payout]]</f>
        <v>0.29958122331103959</v>
      </c>
      <c r="O92" s="16" t="str">
        <f>IF(AND(Tabela3[% A.A.]&gt;=10%,Tabela3[PVPA]&lt;=2,Tabela3[PL]&lt;=15,Tabela3[PL]&gt;0),"Sim","Não")</f>
        <v>Não</v>
      </c>
      <c r="P92" s="22">
        <f>Tabela3[[#This Row],[Lucro Prev]]/Tabela3[[#This Row],[Cotação]]</f>
        <v>2.8369434025666627E-2</v>
      </c>
      <c r="Q92" s="18">
        <f>((1+Tabela3[[#This Row],[% Yield]])^(1/(3*Tabela3[[#This Row],[Ref]])))^(12)-1</f>
        <v>3.8003647589596623E-2</v>
      </c>
      <c r="R92" s="10">
        <f>($X$1/Tabela3[[#This Row],[Cotação]]-MOD($X$1/Tabela3[[#This Row],[Cotação]],100))</f>
        <v>0</v>
      </c>
      <c r="S92" s="7">
        <f>Tabela3[[#This Row],[Ativos]]*Tabela3[[#This Row],[Lucro Prev]]</f>
        <v>0</v>
      </c>
      <c r="T92" s="5">
        <f>SUMPRODUCT(N(Tabela1[Código]=Tabela3[[#This Row],[PAPEL]]),Tabela1[Fechamento])</f>
        <v>10.56</v>
      </c>
      <c r="U92" s="5">
        <f>SUMPRODUCT(N(Tabela17[Código]=Tabela3[[#This Row],[PAPEL]]),Tabela17[Fechamento])</f>
        <v>0</v>
      </c>
    </row>
    <row r="93" spans="1:21" hidden="1" x14ac:dyDescent="0.2">
      <c r="A93" s="4" t="s">
        <v>19</v>
      </c>
      <c r="B93" s="14" t="s">
        <v>202</v>
      </c>
      <c r="C93" s="15">
        <v>3</v>
      </c>
      <c r="D93" s="6">
        <v>460223000</v>
      </c>
      <c r="E93" s="6">
        <v>24584000</v>
      </c>
      <c r="F93" s="6">
        <f>GETPIVOTDATA("Average of Lucro Líquido",'Tabela LL'!$A$3,"Ativo",Tabela3[[#This Row],[PAPEL]])/4*Tabela3[[#This Row],[Ref]]</f>
        <v>17523750</v>
      </c>
      <c r="G93" s="41">
        <v>166720235</v>
      </c>
      <c r="H93" s="15">
        <f>Tabela3[[#This Row],[Lucro Líquido]]/Tabela3[[#This Row],[Total Ações]]</f>
        <v>0.14745660597227445</v>
      </c>
      <c r="I93" s="19">
        <f>IF(GETPIVOTDATA("Payout",'Tabela LL'!$A$3,"Ativo",Tabela3[[#This Row],[PAPEL]])&gt;1,1,GETPIVOTDATA("Payout",'Tabela LL'!$A$3,"Ativo",Tabela3[[#This Row],[PAPEL]]))</f>
        <v>0.63120967245066673</v>
      </c>
      <c r="J93" s="6">
        <f>Tabela3[Patrimônio Líquido]/Tabela3[Total Ações]</f>
        <v>2.760450763520097</v>
      </c>
      <c r="K93" s="51">
        <f>MAX(Tabela3[[#This Row],[Cotação 1]],Tabela3[[#This Row],[Cotação 2]])</f>
        <v>3.36</v>
      </c>
      <c r="L93" s="47">
        <f>Tabela3[Cotação]/Tabela3[VPA]</f>
        <v>1.2171925123255465</v>
      </c>
      <c r="M93" s="43">
        <f>IF(Tabela3[[#This Row],[Lucro/Ação]]&gt;0,Tabela3[[#This Row],[Cotação]]/Tabela3[[#This Row],[Lucro/Ação]],0)</f>
        <v>22.786364692482916</v>
      </c>
      <c r="N93" s="6">
        <f>Tabela3[[#This Row],[Lucro/Ação]]*Tabela3[[#This Row],[Payout]]</f>
        <v>9.3076035956446382E-2</v>
      </c>
      <c r="O93" s="15" t="str">
        <f>IF(AND(Tabela3[% A.A.]&gt;=10%,Tabela3[PVPA]&lt;=2,Tabela3[PL]&lt;=15,Tabela3[PL]&gt;0),"Sim","Não")</f>
        <v>Não</v>
      </c>
      <c r="P93" s="45">
        <f>Tabela3[[#This Row],[Lucro Prev]]/Tabela3[[#This Row],[Cotação]]</f>
        <v>2.7701201177513804E-2</v>
      </c>
      <c r="Q93" s="19">
        <f>((1+Tabela3[[#This Row],[% Yield]])^(1/(3*Tabela3[[#This Row],[Ref]])))^(12)-1</f>
        <v>3.7104420806849392E-2</v>
      </c>
      <c r="R93" s="14">
        <f>($X$1/Tabela3[[#This Row],[Cotação]]-MOD($X$1/Tabela3[[#This Row],[Cotação]],100))</f>
        <v>0</v>
      </c>
      <c r="S93" s="17">
        <f>Tabela3[[#This Row],[Ativos]]*Tabela3[[#This Row],[Lucro Prev]]</f>
        <v>0</v>
      </c>
      <c r="T93" s="5">
        <f>SUMPRODUCT(N(Tabela1[Código]=Tabela3[[#This Row],[PAPEL]]),Tabela1[Fechamento])</f>
        <v>3.36</v>
      </c>
      <c r="U93" s="5">
        <f>SUMPRODUCT(N(Tabela17[Código]=Tabela3[[#This Row],[PAPEL]]),Tabela17[Fechamento])</f>
        <v>0</v>
      </c>
    </row>
    <row r="94" spans="1:21" hidden="1" x14ac:dyDescent="0.2">
      <c r="A94" s="4" t="s">
        <v>37</v>
      </c>
      <c r="B94" s="14" t="s">
        <v>197</v>
      </c>
      <c r="C94" s="15">
        <v>3</v>
      </c>
      <c r="D94" s="6">
        <v>5136809000</v>
      </c>
      <c r="E94" s="6">
        <v>318427000</v>
      </c>
      <c r="F94" s="6">
        <f>GETPIVOTDATA("Average of Lucro Líquido",'Tabela LL'!$A$3,"Ativo",Tabela3[[#This Row],[PAPEL]])/4*Tabela3[[#This Row],[Ref]]</f>
        <v>404961876.47812504</v>
      </c>
      <c r="G94" s="41">
        <v>119684430</v>
      </c>
      <c r="H94" s="15">
        <f>Tabela3[[#This Row],[Lucro Líquido]]/Tabela3[[#This Row],[Total Ações]]</f>
        <v>2.6605549276543323</v>
      </c>
      <c r="I94" s="19">
        <f>IF(GETPIVOTDATA("Payout",'Tabela LL'!$A$3,"Ativo",Tabela3[[#This Row],[PAPEL]])&gt;1,1,GETPIVOTDATA("Payout",'Tabela LL'!$A$3,"Ativo",Tabela3[[#This Row],[PAPEL]]))</f>
        <v>0.33954720063196125</v>
      </c>
      <c r="J94" s="6">
        <f>Tabela3[Patrimônio Líquido]/Tabela3[Total Ações]</f>
        <v>42.919609509775</v>
      </c>
      <c r="K94" s="51">
        <f>MAX(Tabela3[[#This Row],[Cotação 1]],Tabela3[[#This Row],[Cotação 2]])</f>
        <v>32.880000000000003</v>
      </c>
      <c r="L94" s="47">
        <f>Tabela3[Cotação]/Tabela3[VPA]</f>
        <v>0.76608339114808433</v>
      </c>
      <c r="M94" s="43">
        <f>IF(Tabela3[[#This Row],[Lucro/Ação]]&gt;0,Tabela3[[#This Row],[Cotação]]/Tabela3[[#This Row],[Lucro/Ação]],0)</f>
        <v>12.358324069252923</v>
      </c>
      <c r="N94" s="6">
        <f>Tabela3[[#This Row],[Lucro/Ação]]*Tabela3[[#This Row],[Payout]]</f>
        <v>0.90338397781259872</v>
      </c>
      <c r="O94" s="15" t="str">
        <f>IF(AND(Tabela3[% A.A.]&gt;=10%,Tabela3[PVPA]&lt;=2,Tabela3[PL]&lt;=15,Tabela3[PL]&gt;0),"Sim","Não")</f>
        <v>Não</v>
      </c>
      <c r="P94" s="45">
        <f>Tabela3[[#This Row],[Lucro Prev]]/Tabela3[[#This Row],[Cotação]]</f>
        <v>2.7475181806952513E-2</v>
      </c>
      <c r="Q94" s="19">
        <f>((1+Tabela3[[#This Row],[% Yield]])^(1/(3*Tabela3[[#This Row],[Ref]])))^(12)-1</f>
        <v>3.6800315429813102E-2</v>
      </c>
      <c r="R94" s="14">
        <f>($X$1/Tabela3[[#This Row],[Cotação]]-MOD($X$1/Tabela3[[#This Row],[Cotação]],100))</f>
        <v>0</v>
      </c>
      <c r="S94" s="17">
        <f>Tabela3[[#This Row],[Ativos]]*Tabela3[[#This Row],[Lucro Prev]]</f>
        <v>0</v>
      </c>
      <c r="T94" s="5">
        <f>SUMPRODUCT(N(Tabela1[Código]=Tabela3[[#This Row],[PAPEL]]),Tabela1[Fechamento])</f>
        <v>32.880000000000003</v>
      </c>
      <c r="U94" s="5">
        <f>SUMPRODUCT(N(Tabela17[Código]=Tabela3[[#This Row],[PAPEL]]),Tabela17[Fechamento])</f>
        <v>0</v>
      </c>
    </row>
    <row r="95" spans="1:21" hidden="1" x14ac:dyDescent="0.2">
      <c r="A95" s="4" t="s">
        <v>278</v>
      </c>
      <c r="B95" s="14" t="s">
        <v>20</v>
      </c>
      <c r="C95" s="15">
        <v>3</v>
      </c>
      <c r="D95" s="6">
        <v>341312244000</v>
      </c>
      <c r="E95" s="6">
        <v>17288839000</v>
      </c>
      <c r="F95" s="6">
        <f>GETPIVOTDATA("Average of Lucro Líquido",'Tabela LL'!$A$3,"Ativo",Tabela3[[#This Row],[PAPEL]])/4*Tabela3[[#This Row],[Ref]]</f>
        <v>27177763298.737503</v>
      </c>
      <c r="G95" s="41">
        <v>13044496930</v>
      </c>
      <c r="H95" s="71">
        <f>Tabela3[[#This Row],[Lucro Líquido]]/Tabela3[[#This Row],[Total Ações]]</f>
        <v>1.3253741476406633</v>
      </c>
      <c r="I95" s="19">
        <f>IF(GETPIVOTDATA("Payout",'Tabela LL'!$A$3,"Ativo",Tabela3[[#This Row],[PAPEL]])&gt;1,1,GETPIVOTDATA("Payout",'Tabela LL'!$A$3,"Ativo",Tabela3[[#This Row],[PAPEL]]))</f>
        <v>0.30588500522710332</v>
      </c>
      <c r="J95" s="6">
        <f>Tabela3[Patrimônio Líquido]/Tabela3[Total Ações]</f>
        <v>26.165228588849843</v>
      </c>
      <c r="K95" s="51">
        <f>MAX(Tabela3[[#This Row],[Cotação 1]],Tabela3[[#This Row],[Cotação 2]])</f>
        <v>15.12</v>
      </c>
      <c r="L95" s="47">
        <f>Tabela3[Cotação]/Tabela3[VPA]</f>
        <v>0.57786615349667914</v>
      </c>
      <c r="M95" s="43">
        <f>IF(Tabela3[[#This Row],[Lucro/Ação]]&gt;0,Tabela3[[#This Row],[Cotação]]/Tabela3[[#This Row],[Lucro/Ação]],0)</f>
        <v>11.408099386060568</v>
      </c>
      <c r="N95" s="6">
        <f>Tabela3[[#This Row],[Lucro/Ação]]*Tabela3[[#This Row],[Payout]]</f>
        <v>0.40541207807893193</v>
      </c>
      <c r="O95" s="15" t="str">
        <f>IF(AND(Tabela3[% A.A.]&gt;=10%,Tabela3[PVPA]&lt;=2,Tabela3[PL]&lt;=15,Tabela3[PL]&gt;0),"Sim","Não")</f>
        <v>Não</v>
      </c>
      <c r="P95" s="45">
        <f>Tabela3[[#This Row],[Lucro Prev]]/Tabela3[[#This Row],[Cotação]]</f>
        <v>2.681296812691349E-2</v>
      </c>
      <c r="Q95" s="19">
        <f>((1+Tabela3[[#This Row],[% Yield]])^(1/(3*Tabela3[[#This Row],[Ref]])))^(12)-1</f>
        <v>3.5909446105626186E-2</v>
      </c>
      <c r="R95" s="14">
        <f>($X$1/Tabela3[[#This Row],[Cotação]]-MOD($X$1/Tabela3[[#This Row],[Cotação]],100))</f>
        <v>0</v>
      </c>
      <c r="S95" s="17">
        <f>Tabela3[[#This Row],[Ativos]]*Tabela3[[#This Row],[Lucro Prev]]</f>
        <v>0</v>
      </c>
      <c r="T95" s="13">
        <f>SUMPRODUCT(N(Tabela1[Código]=Tabela3[[#This Row],[PAPEL]]),Tabela1[Fechamento])</f>
        <v>0</v>
      </c>
      <c r="U95" s="13">
        <f>SUMPRODUCT(N(Tabela17[Código]=Tabela3[[#This Row],[PAPEL]]),Tabela17[Fechamento])</f>
        <v>15.12</v>
      </c>
    </row>
    <row r="96" spans="1:21" hidden="1" x14ac:dyDescent="0.2">
      <c r="A96" s="4" t="s">
        <v>14</v>
      </c>
      <c r="B96" s="14" t="s">
        <v>219</v>
      </c>
      <c r="C96" s="15">
        <v>3</v>
      </c>
      <c r="D96" s="6">
        <v>67033392000</v>
      </c>
      <c r="E96" s="6">
        <v>8931828000</v>
      </c>
      <c r="F96" s="6">
        <f>GETPIVOTDATA("Average of Lucro Líquido",'Tabela LL'!$A$3,"Ativo",Tabela3[[#This Row],[PAPEL]])/4*Tabela3[[#This Row],[Ref]]</f>
        <v>7633645087.9256258</v>
      </c>
      <c r="G96" s="41">
        <v>4207274039</v>
      </c>
      <c r="H96" s="15">
        <f>Tabela3[[#This Row],[Lucro Líquido]]/Tabela3[[#This Row],[Total Ações]]</f>
        <v>2.1229489491782543</v>
      </c>
      <c r="I96" s="19">
        <f>IF(GETPIVOTDATA("Payout",'Tabela LL'!$A$3,"Ativo",Tabela3[[#This Row],[PAPEL]])&gt;1,1,GETPIVOTDATA("Payout",'Tabela LL'!$A$3,"Ativo",Tabela3[[#This Row],[PAPEL]]))</f>
        <v>0.37734094800257278</v>
      </c>
      <c r="J96" s="6">
        <f>Tabela3[Patrimônio Líquido]/Tabela3[Total Ações]</f>
        <v>15.932737297029679</v>
      </c>
      <c r="K96" s="51">
        <f>MAX(Tabela3[[#This Row],[Cotação 1]],Tabela3[[#This Row],[Cotação 2]])</f>
        <v>30.03</v>
      </c>
      <c r="L96" s="47">
        <f>Tabela3[Cotação]/Tabela3[VPA]</f>
        <v>1.8847985402733314</v>
      </c>
      <c r="M96" s="43">
        <f>IF(Tabela3[[#This Row],[Lucro/Ação]]&gt;0,Tabela3[[#This Row],[Cotação]]/Tabela3[[#This Row],[Lucro/Ação]],0)</f>
        <v>14.14541786867929</v>
      </c>
      <c r="N96" s="6">
        <f>Tabela3[[#This Row],[Lucro/Ação]]*Tabela3[[#This Row],[Payout]]</f>
        <v>0.80107556904398813</v>
      </c>
      <c r="O96" s="15" t="str">
        <f>IF(AND(Tabela3[% A.A.]&gt;=10%,Tabela3[PVPA]&lt;=2,Tabela3[PL]&lt;=15,Tabela3[PL]&gt;0),"Sim","Não")</f>
        <v>Não</v>
      </c>
      <c r="P96" s="45">
        <f>Tabela3[[#This Row],[Lucro Prev]]/Tabela3[[#This Row],[Cotação]]</f>
        <v>2.6675843125007929E-2</v>
      </c>
      <c r="Q96" s="19">
        <f>((1+Tabela3[[#This Row],[% Yield]])^(1/(3*Tabela3[[#This Row],[Ref]])))^(12)-1</f>
        <v>3.5724997165140993E-2</v>
      </c>
      <c r="R96" s="14">
        <f>($X$1/Tabela3[[#This Row],[Cotação]]-MOD($X$1/Tabela3[[#This Row],[Cotação]],100))</f>
        <v>0</v>
      </c>
      <c r="S96" s="17">
        <f>Tabela3[[#This Row],[Ativos]]*Tabela3[[#This Row],[Lucro Prev]]</f>
        <v>0</v>
      </c>
      <c r="T96" s="5">
        <f>SUMPRODUCT(N(Tabela1[Código]=Tabela3[[#This Row],[PAPEL]]),Tabela1[Fechamento])</f>
        <v>30.03</v>
      </c>
      <c r="U96" s="5">
        <f>SUMPRODUCT(N(Tabela17[Código]=Tabela3[[#This Row],[PAPEL]]),Tabela17[Fechamento])</f>
        <v>0</v>
      </c>
    </row>
    <row r="97" spans="1:21" hidden="1" x14ac:dyDescent="0.2">
      <c r="A97" s="4" t="s">
        <v>19</v>
      </c>
      <c r="B97" s="14" t="s">
        <v>201</v>
      </c>
      <c r="C97" s="15">
        <v>3</v>
      </c>
      <c r="D97" s="6">
        <v>460223000</v>
      </c>
      <c r="E97" s="6">
        <v>24584000</v>
      </c>
      <c r="F97" s="6">
        <f>GETPIVOTDATA("Average of Lucro Líquido",'Tabela LL'!$A$3,"Ativo",Tabela3[[#This Row],[PAPEL]])/4*Tabela3[[#This Row],[Ref]]</f>
        <v>17523750</v>
      </c>
      <c r="G97" s="41">
        <v>166720235</v>
      </c>
      <c r="H97" s="15">
        <f>Tabela3[[#This Row],[Lucro Líquido]]/Tabela3[[#This Row],[Total Ações]]</f>
        <v>0.14745660597227445</v>
      </c>
      <c r="I97" s="19">
        <f>IF(GETPIVOTDATA("Payout",'Tabela LL'!$A$3,"Ativo",Tabela3[[#This Row],[PAPEL]])&gt;1,1,GETPIVOTDATA("Payout",'Tabela LL'!$A$3,"Ativo",Tabela3[[#This Row],[PAPEL]]))</f>
        <v>0.5857126326415365</v>
      </c>
      <c r="J97" s="6">
        <f>Tabela3[Patrimônio Líquido]/Tabela3[Total Ações]</f>
        <v>2.760450763520097</v>
      </c>
      <c r="K97" s="51">
        <f>MAX(Tabela3[[#This Row],[Cotação 1]],Tabela3[[#This Row],[Cotação 2]])</f>
        <v>3.25</v>
      </c>
      <c r="L97" s="47">
        <f>Tabela3[Cotação]/Tabela3[VPA]</f>
        <v>1.1773439479339365</v>
      </c>
      <c r="M97" s="43">
        <f>IF(Tabela3[[#This Row],[Lucro/Ação]]&gt;0,Tabela3[[#This Row],[Cotação]]/Tabela3[[#This Row],[Lucro/Ação]],0)</f>
        <v>22.040382515050439</v>
      </c>
      <c r="N97" s="6">
        <f>Tabela3[[#This Row],[Lucro/Ação]]*Tabela3[[#This Row],[Payout]]</f>
        <v>8.6367196884406583E-2</v>
      </c>
      <c r="O97" s="15" t="str">
        <f>IF(AND(Tabela3[% A.A.]&gt;=10%,Tabela3[PVPA]&lt;=2,Tabela3[PL]&lt;=15,Tabela3[PL]&gt;0),"Sim","Não")</f>
        <v>Não</v>
      </c>
      <c r="P97" s="45">
        <f>Tabela3[[#This Row],[Lucro Prev]]/Tabela3[[#This Row],[Cotação]]</f>
        <v>2.6574522118278949E-2</v>
      </c>
      <c r="Q97" s="19">
        <f>((1+Tabela3[[#This Row],[% Yield]])^(1/(3*Tabela3[[#This Row],[Ref]])))^(12)-1</f>
        <v>3.5588714002346311E-2</v>
      </c>
      <c r="R97" s="14">
        <f>($X$1/Tabela3[[#This Row],[Cotação]]-MOD($X$1/Tabela3[[#This Row],[Cotação]],100))</f>
        <v>0</v>
      </c>
      <c r="S97" s="17">
        <f>Tabela3[[#This Row],[Ativos]]*Tabela3[[#This Row],[Lucro Prev]]</f>
        <v>0</v>
      </c>
      <c r="T97" s="5">
        <f>SUMPRODUCT(N(Tabela1[Código]=Tabela3[[#This Row],[PAPEL]]),Tabela1[Fechamento])</f>
        <v>3.25</v>
      </c>
      <c r="U97" s="5">
        <f>SUMPRODUCT(N(Tabela17[Código]=Tabela3[[#This Row],[PAPEL]]),Tabela17[Fechamento])</f>
        <v>0</v>
      </c>
    </row>
    <row r="98" spans="1:21" hidden="1" x14ac:dyDescent="0.2">
      <c r="A98" s="4" t="s">
        <v>40</v>
      </c>
      <c r="B98" s="14" t="s">
        <v>296</v>
      </c>
      <c r="C98" s="15">
        <v>3</v>
      </c>
      <c r="D98" s="5">
        <v>509526000</v>
      </c>
      <c r="E98" s="5">
        <v>33359000</v>
      </c>
      <c r="F98" s="5">
        <f>GETPIVOTDATA("Average of Lucro Líquido",'Tabela LL'!$A$3,"Ativo",Tabela3[[#This Row],[PAPEL]])/4*Tabela3[[#This Row],[Ref]]</f>
        <v>12059404.49625</v>
      </c>
      <c r="G98" s="21">
        <v>31485170</v>
      </c>
      <c r="H98" s="71">
        <f>Tabela3[[#This Row],[Lucro Líquido]]/Tabela3[[#This Row],[Total Ações]]</f>
        <v>1.0595146858028717</v>
      </c>
      <c r="I98" s="19">
        <f>IF(GETPIVOTDATA("Payout",'Tabela LL'!$A$3,"Ativo",Tabela3[[#This Row],[PAPEL]])&gt;1,1,GETPIVOTDATA("Payout",'Tabela LL'!$A$3,"Ativo",Tabela3[[#This Row],[PAPEL]]))</f>
        <v>0.23695478536753822</v>
      </c>
      <c r="J98" s="6">
        <f>Tabela3[Patrimônio Líquido]/Tabela3[Total Ações]</f>
        <v>16.183047447417309</v>
      </c>
      <c r="K98" s="51">
        <f>MAX(Tabela3[[#This Row],[Cotação 1]],Tabela3[[#This Row],[Cotação 2]])</f>
        <v>9.5</v>
      </c>
      <c r="L98" s="47">
        <f>Tabela3[Cotação]/Tabela3[VPA]</f>
        <v>0.5870340571433057</v>
      </c>
      <c r="M98" s="43">
        <f>IF(Tabela3[[#This Row],[Lucro/Ação]]&gt;0,Tabela3[[#This Row],[Cotação]]/Tabela3[[#This Row],[Lucro/Ação]],0)</f>
        <v>8.9663693456038853</v>
      </c>
      <c r="N98" s="6">
        <f>Tabela3[[#This Row],[Lucro/Ação]]*Tabela3[[#This Row],[Payout]]</f>
        <v>0.25105707496817414</v>
      </c>
      <c r="O98" s="15" t="str">
        <f>IF(AND(Tabela3[% A.A.]&gt;=10%,Tabela3[PVPA]&lt;=2,Tabela3[PL]&lt;=15,Tabela3[PL]&gt;0),"Sim","Não")</f>
        <v>Não</v>
      </c>
      <c r="P98" s="45">
        <f>Tabela3[[#This Row],[Lucro Prev]]/Tabela3[[#This Row],[Cotação]]</f>
        <v>2.6427060522965701E-2</v>
      </c>
      <c r="Q98" s="19">
        <f>((1+Tabela3[[#This Row],[% Yield]])^(1/(3*Tabela3[[#This Row],[Ref]])))^(12)-1</f>
        <v>3.5390376840622073E-2</v>
      </c>
      <c r="R98" s="14">
        <f>($X$1/Tabela3[[#This Row],[Cotação]]-MOD($X$1/Tabela3[[#This Row],[Cotação]],100))</f>
        <v>0</v>
      </c>
      <c r="S98" s="17">
        <f>Tabela3[[#This Row],[Ativos]]*Tabela3[[#This Row],[Lucro Prev]]</f>
        <v>0</v>
      </c>
      <c r="T98" s="13">
        <f>SUMPRODUCT(N(Tabela1[Código]=Tabela3[[#This Row],[PAPEL]]),Tabela1[Fechamento])</f>
        <v>0</v>
      </c>
      <c r="U98" s="13">
        <f>SUMPRODUCT(N(Tabela17[Código]=Tabela3[[#This Row],[PAPEL]]),Tabela17[Fechamento])</f>
        <v>9.5</v>
      </c>
    </row>
    <row r="99" spans="1:21" hidden="1" x14ac:dyDescent="0.2">
      <c r="A99" s="4" t="s">
        <v>328</v>
      </c>
      <c r="B99" s="69" t="s">
        <v>451</v>
      </c>
      <c r="C99" s="15">
        <v>3</v>
      </c>
      <c r="D99" s="6">
        <v>11657711000</v>
      </c>
      <c r="E99" s="6">
        <v>411188000</v>
      </c>
      <c r="F99" s="6">
        <f>GETPIVOTDATA("Average of Lucro Líquido",'Tabela LL'!$A$3,"Ativo",Tabela3[[#This Row],[PAPEL]])/4*Tabela3[[#This Row],[Ref]]</f>
        <v>477623750</v>
      </c>
      <c r="G99" s="41">
        <v>1231364363</v>
      </c>
      <c r="H99" s="15">
        <f>Tabela3[[#This Row],[Lucro Líquido]]/Tabela3[[#This Row],[Total Ações]]</f>
        <v>0.33392878042873814</v>
      </c>
      <c r="I99" s="19">
        <f>IF(GETPIVOTDATA("Payout",'Tabela LL'!$A$3,"Ativo",Tabela3[[#This Row],[PAPEL]])&gt;1,1,GETPIVOTDATA("Payout",'Tabela LL'!$A$3,"Ativo",Tabela3[[#This Row],[PAPEL]]))</f>
        <v>0.70741378984472159</v>
      </c>
      <c r="J99" s="6">
        <f>Tabela3[Patrimônio Líquido]/Tabela3[Total Ações]</f>
        <v>9.4673123165575976</v>
      </c>
      <c r="K99" s="51">
        <f>MAX(Tabela3[[#This Row],[Cotação 1]],Tabela3[[#This Row],[Cotação 2]])</f>
        <v>8.9600000000000009</v>
      </c>
      <c r="L99" s="47">
        <f>Tabela3[Cotação]/Tabela3[VPA]</f>
        <v>0.94641432546063298</v>
      </c>
      <c r="M99" s="43">
        <f>IF(Tabela3[[#This Row],[Lucro/Ação]]&gt;0,Tabela3[[#This Row],[Cotação]]/Tabela3[[#This Row],[Lucro/Ação]],0)</f>
        <v>26.832068767765598</v>
      </c>
      <c r="N99" s="6">
        <f>Tabela3[[#This Row],[Lucro/Ação]]*Tabela3[[#This Row],[Payout]]</f>
        <v>0.23622582410131954</v>
      </c>
      <c r="O99" s="15" t="str">
        <f>IF(AND(Tabela3[% A.A.]&gt;=10%,Tabela3[PVPA]&lt;=2,Tabela3[PL]&lt;=15,Tabela3[PL]&gt;0),"Sim","Não")</f>
        <v>Não</v>
      </c>
      <c r="P99" s="45">
        <f>Tabela3[[#This Row],[Lucro Prev]]/Tabela3[[#This Row],[Cotação]]</f>
        <v>2.6364489297022266E-2</v>
      </c>
      <c r="Q99" s="19">
        <f>((1+Tabela3[[#This Row],[% Yield]])^(1/(3*Tabela3[[#This Row],[Ref]])))^(12)-1</f>
        <v>3.5306220853358772E-2</v>
      </c>
      <c r="R99" s="14">
        <f>($X$1/Tabela3[[#This Row],[Cotação]]-MOD($X$1/Tabela3[[#This Row],[Cotação]],100))</f>
        <v>0</v>
      </c>
      <c r="S99" s="13">
        <f>Tabela3[[#This Row],[Ativos]]*Tabela3[[#This Row],[Lucro Prev]]</f>
        <v>0</v>
      </c>
      <c r="T99" s="60">
        <f>SUMPRODUCT(N(Tabela1[Código]=Tabela3[[#This Row],[PAPEL]]),Tabela1[Fechamento])</f>
        <v>0</v>
      </c>
      <c r="U99" s="17">
        <f>SUMPRODUCT(N(Tabela17[Código]=Tabela3[[#This Row],[PAPEL]]),Tabela17[Fechamento])</f>
        <v>8.9600000000000009</v>
      </c>
    </row>
    <row r="100" spans="1:21" hidden="1" x14ac:dyDescent="0.2">
      <c r="A100" s="4" t="s">
        <v>12</v>
      </c>
      <c r="B100" s="14" t="s">
        <v>187</v>
      </c>
      <c r="C100" s="15">
        <v>3</v>
      </c>
      <c r="D100" s="6">
        <v>1825587000</v>
      </c>
      <c r="E100" s="6">
        <v>190026000</v>
      </c>
      <c r="F100" s="6">
        <f>GETPIVOTDATA("Average of Lucro Líquido",'Tabela LL'!$A$3,"Ativo",Tabela3[[#This Row],[PAPEL]])/4*Tabela3[[#This Row],[Ref]]</f>
        <v>182624692.46812499</v>
      </c>
      <c r="G100" s="41">
        <v>1245690889</v>
      </c>
      <c r="H100" s="15">
        <f>Tabela3[[#This Row],[Lucro Líquido]]/Tabela3[[#This Row],[Total Ações]]</f>
        <v>0.15254667243536371</v>
      </c>
      <c r="I100" s="19">
        <f>IF(GETPIVOTDATA("Payout",'Tabela LL'!$A$3,"Ativo",Tabela3[[#This Row],[PAPEL]])&gt;1,1,GETPIVOTDATA("Payout",'Tabela LL'!$A$3,"Ativo",Tabela3[[#This Row],[PAPEL]]))</f>
        <v>0.58097440486745289</v>
      </c>
      <c r="J100" s="6">
        <f>Tabela3[Patrimônio Líquido]/Tabela3[Total Ações]</f>
        <v>1.4655216764614227</v>
      </c>
      <c r="K100" s="51">
        <f>MAX(Tabela3[[#This Row],[Cotação 1]],Tabela3[[#This Row],[Cotação 2]])</f>
        <v>3.4</v>
      </c>
      <c r="L100" s="47">
        <f>Tabela3[Cotação]/Tabela3[VPA]</f>
        <v>2.3199929790253764</v>
      </c>
      <c r="M100" s="43">
        <f>IF(Tabela3[[#This Row],[Lucro/Ação]]&gt;0,Tabela3[[#This Row],[Cotação]]/Tabela3[[#This Row],[Lucro/Ação]],0)</f>
        <v>22.288260672750042</v>
      </c>
      <c r="N100" s="6">
        <f>Tabela3[[#This Row],[Lucro/Ação]]*Tabela3[[#This Row],[Payout]]</f>
        <v>8.8625712232645718E-2</v>
      </c>
      <c r="O100" s="15" t="str">
        <f>IF(AND(Tabela3[% A.A.]&gt;=10%,Tabela3[PVPA]&lt;=2,Tabela3[PL]&lt;=15,Tabela3[PL]&gt;0),"Sim","Não")</f>
        <v>Não</v>
      </c>
      <c r="P100" s="45">
        <f>Tabela3[[#This Row],[Lucro Prev]]/Tabela3[[#This Row],[Cotação]]</f>
        <v>2.6066385950778152E-2</v>
      </c>
      <c r="Q100" s="19">
        <f>((1+Tabela3[[#This Row],[% Yield]])^(1/(3*Tabela3[[#This Row],[Ref]])))^(12)-1</f>
        <v>3.4905306348992804E-2</v>
      </c>
      <c r="R100" s="14">
        <f>($X$1/Tabela3[[#This Row],[Cotação]]-MOD($X$1/Tabela3[[#This Row],[Cotação]],100))</f>
        <v>0</v>
      </c>
      <c r="S100" s="17">
        <f>Tabela3[[#This Row],[Ativos]]*Tabela3[[#This Row],[Lucro Prev]]</f>
        <v>0</v>
      </c>
      <c r="T100" s="5">
        <f>SUMPRODUCT(N(Tabela1[Código]=Tabela3[[#This Row],[PAPEL]]),Tabela1[Fechamento])</f>
        <v>3.4</v>
      </c>
      <c r="U100" s="5">
        <f>SUMPRODUCT(N(Tabela17[Código]=Tabela3[[#This Row],[PAPEL]]),Tabela17[Fechamento])</f>
        <v>0</v>
      </c>
    </row>
    <row r="101" spans="1:21" hidden="1" x14ac:dyDescent="0.2">
      <c r="A101" s="3" t="s">
        <v>312</v>
      </c>
      <c r="B101" s="72" t="s">
        <v>310</v>
      </c>
      <c r="C101" s="16">
        <v>3</v>
      </c>
      <c r="D101" s="5">
        <v>264517000</v>
      </c>
      <c r="E101" s="5">
        <v>37183000</v>
      </c>
      <c r="F101" s="5">
        <f>GETPIVOTDATA("Average of Lucro Líquido",'Tabela LL'!$A$3,"Ativo",Tabela3[[#This Row],[PAPEL]])/4*Tabela3[[#This Row],[Ref]]</f>
        <v>3730206.9262499996</v>
      </c>
      <c r="G101" s="21">
        <v>24948000</v>
      </c>
      <c r="H101" s="70">
        <f>Tabela3[[#This Row],[Lucro Líquido]]/Tabela3[[#This Row],[Total Ações]]</f>
        <v>1.490420073753407</v>
      </c>
      <c r="I101" s="18">
        <f>IF(GETPIVOTDATA("Payout",'Tabela LL'!$A$3,"Ativo",Tabela3[[#This Row],[PAPEL]])&gt;1,1,GETPIVOTDATA("Payout",'Tabela LL'!$A$3,"Ativo",Tabela3[[#This Row],[PAPEL]]))</f>
        <v>0.22362663562799309</v>
      </c>
      <c r="J101" s="5">
        <f>Tabela3[Patrimônio Líquido]/Tabela3[Total Ações]</f>
        <v>10.602733686067019</v>
      </c>
      <c r="K101" s="57">
        <f>MAX(Tabela3[[#This Row],[Cotação 1]],Tabela3[[#This Row],[Cotação 2]])</f>
        <v>13.08</v>
      </c>
      <c r="L101" s="58">
        <f>Tabela3[Cotação]/Tabela3[VPA]</f>
        <v>1.2336441136108456</v>
      </c>
      <c r="M101" s="39">
        <f>IF(Tabela3[[#This Row],[Lucro/Ação]]&gt;0,Tabela3[[#This Row],[Cotação]]/Tabela3[[#This Row],[Lucro/Ação]],0)</f>
        <v>8.7760492698276096</v>
      </c>
      <c r="N101" s="5">
        <f>Tabela3[[#This Row],[Lucro/Ação]]*Tabela3[[#This Row],[Payout]]</f>
        <v>0.33329762676589975</v>
      </c>
      <c r="O101" s="16" t="str">
        <f>IF(AND(Tabela3[% A.A.]&gt;=10%,Tabela3[PVPA]&lt;=2,Tabela3[PL]&lt;=15,Tabela3[PL]&gt;0),"Sim","Não")</f>
        <v>Não</v>
      </c>
      <c r="P101" s="22">
        <f>Tabela3[[#This Row],[Lucro Prev]]/Tabela3[[#This Row],[Cotação]]</f>
        <v>2.5481469936230867E-2</v>
      </c>
      <c r="Q101" s="18">
        <f>((1+Tabela3[[#This Row],[% Yield]])^(1/(3*Tabela3[[#This Row],[Ref]])))^(12)-1</f>
        <v>3.4118774826409126E-2</v>
      </c>
      <c r="R101" s="10">
        <f>($X$1/Tabela3[[#This Row],[Cotação]]-MOD($X$1/Tabela3[[#This Row],[Cotação]],100))</f>
        <v>0</v>
      </c>
      <c r="S101" s="7">
        <f>Tabela3[[#This Row],[Ativos]]*Tabela3[[#This Row],[Lucro Prev]]</f>
        <v>0</v>
      </c>
      <c r="T101" s="50">
        <f>SUMPRODUCT(N(Tabela1[Código]=Tabela3[[#This Row],[PAPEL]]),Tabela1[Fechamento])</f>
        <v>0</v>
      </c>
      <c r="U101" s="59">
        <f>SUMPRODUCT(N(Tabela17[Código]=Tabela3[[#This Row],[PAPEL]]),Tabela17[Fechamento])</f>
        <v>13.08</v>
      </c>
    </row>
    <row r="102" spans="1:21" hidden="1" x14ac:dyDescent="0.2">
      <c r="A102" s="25" t="s">
        <v>12</v>
      </c>
      <c r="B102" s="15" t="s">
        <v>35</v>
      </c>
      <c r="C102" s="16">
        <v>3</v>
      </c>
      <c r="D102" s="30">
        <v>2881205000</v>
      </c>
      <c r="E102" s="30">
        <v>130778000</v>
      </c>
      <c r="F102" s="30">
        <f>GETPIVOTDATA("Average of Lucro Líquido",'Tabela LL'!$A$3,"Ativo",Tabela3[[#This Row],[PAPEL]])/4*Tabela3[[#This Row],[Ref]]</f>
        <v>122465500</v>
      </c>
      <c r="G102" s="28">
        <v>198447352</v>
      </c>
      <c r="H102" s="27">
        <f>Tabela3[[#This Row],[Lucro Líquido]]/Tabela3[[#This Row],[Total Ações]]</f>
        <v>0.65900602190952895</v>
      </c>
      <c r="I102" s="52">
        <f>IF(GETPIVOTDATA("Payout",'Tabela LL'!$A$3,"Ativo",Tabela3[[#This Row],[PAPEL]])&gt;1,1,GETPIVOTDATA("Payout",'Tabela LL'!$A$3,"Ativo",Tabela3[[#This Row],[PAPEL]]))</f>
        <v>0.90036243172799468</v>
      </c>
      <c r="J102" s="30">
        <f>Tabela3[Patrimônio Líquido]/Tabela3[Total Ações]</f>
        <v>14.518737443269083</v>
      </c>
      <c r="K102" s="31">
        <f>MAX(Tabela3[[#This Row],[Cotação 1]],Tabela3[[#This Row],[Cotação 2]])</f>
        <v>23.65</v>
      </c>
      <c r="L102" s="32">
        <f>Tabela3[Cotação]/Tabela3[VPA]</f>
        <v>1.6289295190033337</v>
      </c>
      <c r="M102" s="37">
        <f>IF(Tabela3[[#This Row],[Lucro/Ação]]&gt;0,Tabela3[[#This Row],[Cotação]]/Tabela3[[#This Row],[Lucro/Ação]],0)</f>
        <v>35.887380712352225</v>
      </c>
      <c r="N102" s="6">
        <f>Tabela3[[#This Row],[Lucro/Ação]]*Tabela3[[#This Row],[Payout]]</f>
        <v>0.59334426440985566</v>
      </c>
      <c r="O102" s="26" t="str">
        <f>IF(AND(Tabela3[% A.A.]&gt;=10%,Tabela3[PVPA]&lt;=2,Tabela3[PL]&lt;=15,Tabela3[PL]&gt;0),"Sim","Não")</f>
        <v>Não</v>
      </c>
      <c r="P102" s="29">
        <f>Tabela3[[#This Row],[Lucro Prev]]/Tabela3[[#This Row],[Cotação]]</f>
        <v>2.5088552406336392E-2</v>
      </c>
      <c r="Q102" s="53">
        <f>((1+Tabela3[[#This Row],[% Yield]])^(1/(3*Tabela3[[#This Row],[Ref]])))^(12)-1</f>
        <v>3.3590505966815121E-2</v>
      </c>
      <c r="R102" s="10">
        <f>($X$1/Tabela3[[#This Row],[Cotação]]-MOD($X$1/Tabela3[[#This Row],[Cotação]],100))</f>
        <v>0</v>
      </c>
      <c r="S102" s="7">
        <f>Tabela3[[#This Row],[Ativos]]*Tabela3[[#This Row],[Lucro Prev]]</f>
        <v>0</v>
      </c>
      <c r="T102" s="5">
        <f>SUMPRODUCT(N(Tabela1[Código]=Tabela3[[#This Row],[PAPEL]]),Tabela1[Fechamento])</f>
        <v>23.65</v>
      </c>
      <c r="U102" s="5">
        <f>SUMPRODUCT(N(Tabela17[Código]=Tabela3[[#This Row],[PAPEL]]),Tabela17[Fechamento])</f>
        <v>0</v>
      </c>
    </row>
    <row r="103" spans="1:21" hidden="1" x14ac:dyDescent="0.2">
      <c r="A103" s="3" t="s">
        <v>12</v>
      </c>
      <c r="B103" s="10" t="s">
        <v>83</v>
      </c>
      <c r="C103" s="16">
        <v>3</v>
      </c>
      <c r="D103" s="5">
        <v>1597704000</v>
      </c>
      <c r="E103" s="5">
        <v>150604000</v>
      </c>
      <c r="F103" s="5">
        <f>GETPIVOTDATA("Average of Lucro Líquido",'Tabela LL'!$A$3,"Ativo",Tabela3[[#This Row],[PAPEL]])/4*Tabela3[[#This Row],[Ref]]</f>
        <v>332308991.83499998</v>
      </c>
      <c r="G103" s="21">
        <v>77855299</v>
      </c>
      <c r="H103" s="16">
        <f>Tabela3[[#This Row],[Lucro Líquido]]/Tabela3[[#This Row],[Total Ações]]</f>
        <v>1.9344091145292499</v>
      </c>
      <c r="I103" s="18">
        <f>IF(GETPIVOTDATA("Payout",'Tabela LL'!$A$3,"Ativo",Tabela3[[#This Row],[PAPEL]])&gt;1,1,GETPIVOTDATA("Payout",'Tabela LL'!$A$3,"Ativo",Tabela3[[#This Row],[PAPEL]]))</f>
        <v>0.61566379005177641</v>
      </c>
      <c r="J103" s="5">
        <f>Tabela3[Patrimônio Líquido]/Tabela3[Total Ações]</f>
        <v>20.52145480810497</v>
      </c>
      <c r="K103" s="57">
        <f>MAX(Tabela3[[#This Row],[Cotação 1]],Tabela3[[#This Row],[Cotação 2]])</f>
        <v>48.1</v>
      </c>
      <c r="L103" s="58">
        <f>Tabela3[Cotação]/Tabela3[VPA]</f>
        <v>2.3438884060501821</v>
      </c>
      <c r="M103" s="39">
        <f>IF(Tabela3[[#This Row],[Lucro/Ação]]&gt;0,Tabela3[[#This Row],[Cotação]]/Tabela3[[#This Row],[Lucro/Ação]],0)</f>
        <v>24.865474236408065</v>
      </c>
      <c r="N103" s="5">
        <f>Tabela3[[#This Row],[Lucro/Ação]]*Tabela3[[#This Row],[Payout]]</f>
        <v>1.1909456469617787</v>
      </c>
      <c r="O103" s="10" t="str">
        <f>IF(AND(Tabela3[% A.A.]&gt;=10%,Tabela3[PVPA]&lt;=2,Tabela3[PL]&lt;=15,Tabela3[PL]&gt;0),"Sim","Não")</f>
        <v>Não</v>
      </c>
      <c r="P103" s="22">
        <f>Tabela3[[#This Row],[Lucro Prev]]/Tabela3[[#This Row],[Cotação]]</f>
        <v>2.475978476012014E-2</v>
      </c>
      <c r="Q103" s="18">
        <f>((1+Tabela3[[#This Row],[% Yield]])^(1/(3*Tabela3[[#This Row],[Ref]])))^(12)-1</f>
        <v>3.3148537057106298E-2</v>
      </c>
      <c r="R103" s="10">
        <f>($X$1/Tabela3[[#This Row],[Cotação]]-MOD($X$1/Tabela3[[#This Row],[Cotação]],100))</f>
        <v>0</v>
      </c>
      <c r="S103" s="7">
        <f>Tabela3[[#This Row],[Ativos]]*Tabela3[[#This Row],[Lucro Prev]]</f>
        <v>0</v>
      </c>
      <c r="T103" s="5">
        <f>SUMPRODUCT(N(Tabela1[Código]=Tabela3[[#This Row],[PAPEL]]),Tabela1[Fechamento])</f>
        <v>48.1</v>
      </c>
      <c r="U103" s="5">
        <f>SUMPRODUCT(N(Tabela17[Código]=Tabela3[[#This Row],[PAPEL]]),Tabela17[Fechamento])</f>
        <v>0</v>
      </c>
    </row>
    <row r="104" spans="1:21" hidden="1" x14ac:dyDescent="0.2">
      <c r="A104" s="4" t="s">
        <v>441</v>
      </c>
      <c r="B104" s="69" t="s">
        <v>443</v>
      </c>
      <c r="C104" s="15">
        <v>3</v>
      </c>
      <c r="D104" s="6">
        <v>1632971000</v>
      </c>
      <c r="E104" s="6">
        <v>264743000</v>
      </c>
      <c r="F104" s="6">
        <f>GETPIVOTDATA("Average of Lucro Líquido",'Tabela LL'!$A$3,"Ativo",Tabela3[[#This Row],[PAPEL]])/4*Tabela3[[#This Row],[Ref]]</f>
        <v>126531862.15500002</v>
      </c>
      <c r="G104" s="41">
        <v>260378479</v>
      </c>
      <c r="H104" s="15">
        <f>Tabela3[[#This Row],[Lucro Líquido]]/Tabela3[[#This Row],[Total Ações]]</f>
        <v>1.0167622186624725</v>
      </c>
      <c r="I104" s="19">
        <f>IF(GETPIVOTDATA("Payout",'Tabela LL'!$A$3,"Ativo",Tabela3[[#This Row],[PAPEL]])&gt;1,1,GETPIVOTDATA("Payout",'Tabela LL'!$A$3,"Ativo",Tabela3[[#This Row],[PAPEL]]))</f>
        <v>0.56851660076308341</v>
      </c>
      <c r="J104" s="6">
        <f>Tabela3[Patrimônio Líquido]/Tabela3[Total Ações]</f>
        <v>6.2715283009238254</v>
      </c>
      <c r="K104" s="51">
        <f>MAX(Tabela3[[#This Row],[Cotação 1]],Tabela3[[#This Row],[Cotação 2]])</f>
        <v>23.41</v>
      </c>
      <c r="L104" s="47">
        <f>Tabela3[Cotação]/Tabela3[VPA]</f>
        <v>3.7327424635158861</v>
      </c>
      <c r="M104" s="43">
        <f>IF(Tabela3[[#This Row],[Lucro/Ação]]&gt;0,Tabela3[[#This Row],[Cotação]]/Tabela3[[#This Row],[Lucro/Ação]],0)</f>
        <v>23.024065578277799</v>
      </c>
      <c r="N104" s="6">
        <f>Tabela3[[#This Row],[Lucro/Ação]]*Tabela3[[#This Row],[Payout]]</f>
        <v>0.57804620033831977</v>
      </c>
      <c r="O104" s="15" t="str">
        <f>IF(AND(Tabela3[% A.A.]&gt;=10%,Tabela3[PVPA]&lt;=2,Tabela3[PL]&lt;=15,Tabela3[PL]&gt;0),"Sim","Não")</f>
        <v>Não</v>
      </c>
      <c r="P104" s="45">
        <f>Tabela3[[#This Row],[Lucro Prev]]/Tabela3[[#This Row],[Cotação]]</f>
        <v>2.4692276819236213E-2</v>
      </c>
      <c r="Q104" s="19">
        <f>((1+Tabela3[[#This Row],[% Yield]])^(1/(3*Tabela3[[#This Row],[Ref]])))^(12)-1</f>
        <v>3.3057790632927908E-2</v>
      </c>
      <c r="R104" s="14">
        <f>($X$1/Tabela3[[#This Row],[Cotação]]-MOD($X$1/Tabela3[[#This Row],[Cotação]],100))</f>
        <v>0</v>
      </c>
      <c r="S104" s="17">
        <f>Tabela3[[#This Row],[Ativos]]*Tabela3[[#This Row],[Lucro Prev]]</f>
        <v>0</v>
      </c>
      <c r="T104" s="13">
        <f>SUMPRODUCT(N(Tabela1[Código]=Tabela3[[#This Row],[PAPEL]]),Tabela1[Fechamento])</f>
        <v>0</v>
      </c>
      <c r="U104" s="60">
        <f>SUMPRODUCT(N(Tabela17[Código]=Tabela3[[#This Row],[PAPEL]]),Tabela17[Fechamento])</f>
        <v>23.41</v>
      </c>
    </row>
    <row r="105" spans="1:21" hidden="1" x14ac:dyDescent="0.2">
      <c r="A105" s="4" t="s">
        <v>12</v>
      </c>
      <c r="B105" s="14" t="s">
        <v>98</v>
      </c>
      <c r="C105" s="15">
        <v>3</v>
      </c>
      <c r="D105" s="5">
        <v>1597704000</v>
      </c>
      <c r="E105" s="5">
        <v>150604000</v>
      </c>
      <c r="F105" s="5">
        <f>GETPIVOTDATA("Average of Lucro Líquido",'Tabela LL'!$A$3,"Ativo",Tabela3[[#This Row],[PAPEL]])/4*Tabela3[[#This Row],[Ref]]</f>
        <v>332308991.83499998</v>
      </c>
      <c r="G105" s="21">
        <v>77855299</v>
      </c>
      <c r="H105" s="15">
        <f>Tabela3[[#This Row],[Lucro Líquido]]/Tabela3[[#This Row],[Total Ações]]</f>
        <v>1.9344091145292499</v>
      </c>
      <c r="I105" s="19">
        <f>IF(GETPIVOTDATA("Payout",'Tabela LL'!$A$3,"Ativo",Tabela3[[#This Row],[PAPEL]])&gt;1,1,GETPIVOTDATA("Payout",'Tabela LL'!$A$3,"Ativo",Tabela3[[#This Row],[PAPEL]]))</f>
        <v>0.61566379005177641</v>
      </c>
      <c r="J105" s="6">
        <f>Tabela3[Patrimônio Líquido]/Tabela3[Total Ações]</f>
        <v>20.52145480810497</v>
      </c>
      <c r="K105" s="51">
        <f>MAX(Tabela3[[#This Row],[Cotação 1]],Tabela3[[#This Row],[Cotação 2]])</f>
        <v>48.35</v>
      </c>
      <c r="L105" s="47">
        <f>Tabela3[Cotação]/Tabela3[VPA]</f>
        <v>2.3560707782230002</v>
      </c>
      <c r="M105" s="43">
        <f>IF(Tabela3[[#This Row],[Lucro/Ação]]&gt;0,Tabela3[[#This Row],[Cotação]]/Tabela3[[#This Row],[Lucro/Ação]],0)</f>
        <v>24.994712667990228</v>
      </c>
      <c r="N105" s="6">
        <f>Tabela3[[#This Row],[Lucro/Ação]]*Tabela3[[#This Row],[Payout]]</f>
        <v>1.1909456469617787</v>
      </c>
      <c r="O105" s="15" t="str">
        <f>IF(AND(Tabela3[% A.A.]&gt;=10%,Tabela3[PVPA]&lt;=2,Tabela3[PL]&lt;=15,Tabela3[PL]&gt;0),"Sim","Não")</f>
        <v>Não</v>
      </c>
      <c r="P105" s="45">
        <f>Tabela3[[#This Row],[Lucro Prev]]/Tabela3[[#This Row],[Cotação]]</f>
        <v>2.4631761054018174E-2</v>
      </c>
      <c r="Q105" s="19">
        <f>((1+Tabela3[[#This Row],[% Yield]])^(1/(3*Tabela3[[#This Row],[Ref]])))^(12)-1</f>
        <v>3.2976445018211953E-2</v>
      </c>
      <c r="R105" s="14">
        <f>($X$1/Tabela3[[#This Row],[Cotação]]-MOD($X$1/Tabela3[[#This Row],[Cotação]],100))</f>
        <v>0</v>
      </c>
      <c r="S105" s="17">
        <f>Tabela3[[#This Row],[Ativos]]*Tabela3[[#This Row],[Lucro Prev]]</f>
        <v>0</v>
      </c>
      <c r="T105" s="5">
        <f>SUMPRODUCT(N(Tabela1[Código]=Tabela3[[#This Row],[PAPEL]]),Tabela1[Fechamento])</f>
        <v>48.35</v>
      </c>
      <c r="U105" s="5">
        <f>SUMPRODUCT(N(Tabela17[Código]=Tabela3[[#This Row],[PAPEL]]),Tabela17[Fechamento])</f>
        <v>0</v>
      </c>
    </row>
    <row r="106" spans="1:21" hidden="1" x14ac:dyDescent="0.2">
      <c r="A106" s="4" t="s">
        <v>426</v>
      </c>
      <c r="B106" s="69" t="s">
        <v>430</v>
      </c>
      <c r="C106" s="15">
        <v>3</v>
      </c>
      <c r="D106" s="6">
        <v>735745000</v>
      </c>
      <c r="E106" s="6">
        <v>39503000</v>
      </c>
      <c r="F106" s="6">
        <f>GETPIVOTDATA("Average of Lucro Líquido",'Tabela LL'!$A$3,"Ativo",Tabela3[[#This Row],[PAPEL]])/4*Tabela3[[#This Row],[Ref]]</f>
        <v>56306566.824374989</v>
      </c>
      <c r="G106" s="41">
        <v>105765903</v>
      </c>
      <c r="H106" s="15">
        <f>Tabela3[[#This Row],[Lucro Líquido]]/Tabela3[[#This Row],[Total Ações]]</f>
        <v>0.37349466018363214</v>
      </c>
      <c r="I106" s="19">
        <f>IF(GETPIVOTDATA("Payout",'Tabela LL'!$A$3,"Ativo",Tabela3[[#This Row],[PAPEL]])&gt;1,1,GETPIVOTDATA("Payout",'Tabela LL'!$A$3,"Ativo",Tabela3[[#This Row],[PAPEL]]))</f>
        <v>0.2407568567064774</v>
      </c>
      <c r="J106" s="6">
        <f>Tabela3[Patrimônio Líquido]/Tabela3[Total Ações]</f>
        <v>6.9563534100399069</v>
      </c>
      <c r="K106" s="51">
        <f>MAX(Tabela3[[#This Row],[Cotação 1]],Tabela3[[#This Row],[Cotação 2]])</f>
        <v>3.85</v>
      </c>
      <c r="L106" s="47">
        <f>Tabela3[Cotação]/Tabela3[VPA]</f>
        <v>0.55345089202101272</v>
      </c>
      <c r="M106" s="43">
        <f>IF(Tabela3[[#This Row],[Lucro/Ação]]&gt;0,Tabela3[[#This Row],[Cotação]]/Tabela3[[#This Row],[Lucro/Ação]],0)</f>
        <v>10.308045630711591</v>
      </c>
      <c r="N106" s="6">
        <f>Tabela3[[#This Row],[Lucro/Ação]]*Tabela3[[#This Row],[Payout]]</f>
        <v>8.9921400382465197E-2</v>
      </c>
      <c r="O106" s="15" t="str">
        <f>IF(AND(Tabela3[% A.A.]&gt;=10%,Tabela3[PVPA]&lt;=2,Tabela3[PL]&lt;=15,Tabela3[PL]&gt;0),"Sim","Não")</f>
        <v>Não</v>
      </c>
      <c r="P106" s="45">
        <f>Tabela3[[#This Row],[Lucro Prev]]/Tabela3[[#This Row],[Cotação]]</f>
        <v>2.3356207891549401E-2</v>
      </c>
      <c r="Q106" s="19">
        <f>((1+Tabela3[[#This Row],[% Yield]])^(1/(3*Tabela3[[#This Row],[Ref]])))^(12)-1</f>
        <v>3.1262212367998865E-2</v>
      </c>
      <c r="R106" s="14">
        <f>($X$1/Tabela3[[#This Row],[Cotação]]-MOD($X$1/Tabela3[[#This Row],[Cotação]],100))</f>
        <v>0</v>
      </c>
      <c r="S106" s="17">
        <f>Tabela3[[#This Row],[Ativos]]*Tabela3[[#This Row],[Lucro Prev]]</f>
        <v>0</v>
      </c>
      <c r="T106" s="13">
        <f>SUMPRODUCT(N(Tabela1[Código]=Tabela3[[#This Row],[PAPEL]]),Tabela1[Fechamento])</f>
        <v>0</v>
      </c>
      <c r="U106" s="60">
        <f>SUMPRODUCT(N(Tabela17[Código]=Tabela3[[#This Row],[PAPEL]]),Tabela17[Fechamento])</f>
        <v>3.85</v>
      </c>
    </row>
    <row r="107" spans="1:21" hidden="1" x14ac:dyDescent="0.2">
      <c r="A107" s="4" t="s">
        <v>365</v>
      </c>
      <c r="B107" s="69" t="s">
        <v>364</v>
      </c>
      <c r="C107" s="15">
        <v>3</v>
      </c>
      <c r="D107" s="6">
        <v>4373556000</v>
      </c>
      <c r="E107" s="6">
        <v>449642000</v>
      </c>
      <c r="F107" s="6">
        <f>GETPIVOTDATA("Average of Lucro Líquido",'Tabela LL'!$A$3,"Ativo",Tabela3[[#This Row],[PAPEL]])/4*Tabela3[[#This Row],[Ref]]</f>
        <v>277468506.47062492</v>
      </c>
      <c r="G107" s="41">
        <v>605059489</v>
      </c>
      <c r="H107" s="71">
        <f>Tabela3[[#This Row],[Lucro Líquido]]/Tabela3[[#This Row],[Total Ações]]</f>
        <v>0.7431368455077646</v>
      </c>
      <c r="I107" s="19">
        <f>IF(GETPIVOTDATA("Payout",'Tabela LL'!$A$3,"Ativo",Tabela3[[#This Row],[PAPEL]])&gt;1,1,GETPIVOTDATA("Payout",'Tabela LL'!$A$3,"Ativo",Tabela3[[#This Row],[PAPEL]]))</f>
        <v>0.3688272793184682</v>
      </c>
      <c r="J107" s="6">
        <f>Tabela3[Patrimônio Líquido]/Tabela3[Total Ações]</f>
        <v>7.2283074301145289</v>
      </c>
      <c r="K107" s="51">
        <f>MAX(Tabela3[[#This Row],[Cotação 1]],Tabela3[[#This Row],[Cotação 2]])</f>
        <v>12.54</v>
      </c>
      <c r="L107" s="47">
        <f>Tabela3[Cotação]/Tabela3[VPA]</f>
        <v>1.7348459679171822</v>
      </c>
      <c r="M107" s="43">
        <f>IF(Tabela3[[#This Row],[Lucro/Ação]]&gt;0,Tabela3[[#This Row],[Cotação]]/Tabela3[[#This Row],[Lucro/Ação]],0)</f>
        <v>16.874415628566727</v>
      </c>
      <c r="N107" s="6">
        <f>Tabela3[[#This Row],[Lucro/Ação]]*Tabela3[[#This Row],[Payout]]</f>
        <v>0.27408914088993763</v>
      </c>
      <c r="O107" s="15" t="str">
        <f>IF(AND(Tabela3[% A.A.]&gt;=10%,Tabela3[PVPA]&lt;=2,Tabela3[PL]&lt;=15,Tabela3[PL]&gt;0),"Sim","Não")</f>
        <v>Não</v>
      </c>
      <c r="P107" s="45">
        <f>Tabela3[[#This Row],[Lucro Prev]]/Tabela3[[#This Row],[Cotação]]</f>
        <v>2.1857188268735062E-2</v>
      </c>
      <c r="Q107" s="19">
        <f>((1+Tabela3[[#This Row],[% Yield]])^(1/(3*Tabela3[[#This Row],[Ref]])))^(12)-1</f>
        <v>2.9248570386851691E-2</v>
      </c>
      <c r="R107" s="14">
        <f>($X$1/Tabela3[[#This Row],[Cotação]]-MOD($X$1/Tabela3[[#This Row],[Cotação]],100))</f>
        <v>0</v>
      </c>
      <c r="S107" s="17">
        <f>Tabela3[[#This Row],[Ativos]]*Tabela3[[#This Row],[Lucro Prev]]</f>
        <v>0</v>
      </c>
      <c r="T107" s="13">
        <f>SUMPRODUCT(N(Tabela1[Código]=Tabela3[[#This Row],[PAPEL]]),Tabela1[Fechamento])</f>
        <v>0</v>
      </c>
      <c r="U107" s="60">
        <f>SUMPRODUCT(N(Tabela17[Código]=Tabela3[[#This Row],[PAPEL]]),Tabela17[Fechamento])</f>
        <v>12.54</v>
      </c>
    </row>
    <row r="108" spans="1:21" hidden="1" x14ac:dyDescent="0.2">
      <c r="A108" s="4" t="s">
        <v>26</v>
      </c>
      <c r="B108" s="14" t="s">
        <v>265</v>
      </c>
      <c r="C108" s="15">
        <v>3</v>
      </c>
      <c r="D108" s="6">
        <v>5318159000</v>
      </c>
      <c r="E108" s="6">
        <v>472452000</v>
      </c>
      <c r="F108" s="6">
        <f>GETPIVOTDATA("Average of Lucro Líquido",'Tabela LL'!$A$3,"Ativo",Tabela3[[#This Row],[PAPEL]])/4*Tabela3[[#This Row],[Ref]]</f>
        <v>415311014.4375</v>
      </c>
      <c r="G108" s="41">
        <v>323293030</v>
      </c>
      <c r="H108" s="15">
        <f>Tabela3[[#This Row],[Lucro Líquido]]/Tabela3[[#This Row],[Total Ações]]</f>
        <v>1.4613739120821752</v>
      </c>
      <c r="I108" s="19">
        <f>IF(GETPIVOTDATA("Payout",'Tabela LL'!$A$3,"Ativo",Tabela3[[#This Row],[PAPEL]])&gt;1,1,GETPIVOTDATA("Payout",'Tabela LL'!$A$3,"Ativo",Tabela3[[#This Row],[PAPEL]]))</f>
        <v>0.43307716407622709</v>
      </c>
      <c r="J108" s="6">
        <f>Tabela3[Patrimônio Líquido]/Tabela3[Total Ações]</f>
        <v>16.449964912636688</v>
      </c>
      <c r="K108" s="51">
        <f>MAX(Tabela3[[#This Row],[Cotação 1]],Tabela3[[#This Row],[Cotação 2]])</f>
        <v>29</v>
      </c>
      <c r="L108" s="47">
        <f>Tabela3[Cotação]/Tabela3[VPA]</f>
        <v>1.7629216933905134</v>
      </c>
      <c r="M108" s="43">
        <f>IF(Tabela3[[#This Row],[Lucro/Ação]]&gt;0,Tabela3[[#This Row],[Cotação]]/Tabela3[[#This Row],[Lucro/Ação]],0)</f>
        <v>19.844339467289799</v>
      </c>
      <c r="N108" s="6">
        <f>Tabela3[[#This Row],[Lucro/Ação]]*Tabela3[[#This Row],[Payout]]</f>
        <v>0.63288766949953001</v>
      </c>
      <c r="O108" s="15" t="str">
        <f>IF(AND(Tabela3[% A.A.]&gt;=10%,Tabela3[PVPA]&lt;=2,Tabela3[PL]&lt;=15,Tabela3[PL]&gt;0),"Sim","Não")</f>
        <v>Não</v>
      </c>
      <c r="P108" s="45">
        <f>Tabela3[[#This Row],[Lucro Prev]]/Tabela3[[#This Row],[Cotação]]</f>
        <v>2.1823712741363105E-2</v>
      </c>
      <c r="Q108" s="19">
        <f>((1+Tabela3[[#This Row],[% Yield]])^(1/(3*Tabela3[[#This Row],[Ref]])))^(12)-1</f>
        <v>2.9203613745204526E-2</v>
      </c>
      <c r="R108" s="14">
        <f>($X$1/Tabela3[[#This Row],[Cotação]]-MOD($X$1/Tabela3[[#This Row],[Cotação]],100))</f>
        <v>0</v>
      </c>
      <c r="S108" s="17">
        <f>Tabela3[[#This Row],[Ativos]]*Tabela3[[#This Row],[Lucro Prev]]</f>
        <v>0</v>
      </c>
      <c r="T108" s="5">
        <f>SUMPRODUCT(N(Tabela1[Código]=Tabela3[[#This Row],[PAPEL]]),Tabela1[Fechamento])</f>
        <v>29</v>
      </c>
      <c r="U108" s="5">
        <f>SUMPRODUCT(N(Tabela17[Código]=Tabela3[[#This Row],[PAPEL]]),Tabela17[Fechamento])</f>
        <v>0</v>
      </c>
    </row>
    <row r="109" spans="1:21" hidden="1" x14ac:dyDescent="0.2">
      <c r="A109" s="4" t="s">
        <v>14</v>
      </c>
      <c r="B109" s="15" t="s">
        <v>241</v>
      </c>
      <c r="C109" s="16">
        <v>3</v>
      </c>
      <c r="D109" s="5">
        <v>1002748000</v>
      </c>
      <c r="E109" s="5">
        <v>143437000</v>
      </c>
      <c r="F109" s="5">
        <f>GETPIVOTDATA("Average of Lucro Líquido",'Tabela LL'!$A$3,"Ativo",Tabela3[[#This Row],[PAPEL]])/4*Tabela3[[#This Row],[Ref]]</f>
        <v>130860752.60062501</v>
      </c>
      <c r="G109" s="21">
        <v>36304650</v>
      </c>
      <c r="H109" s="16">
        <f>Tabela3[[#This Row],[Lucro Líquido]]/Tabela3[[#This Row],[Total Ações]]</f>
        <v>3.9509263964808916</v>
      </c>
      <c r="I109" s="18">
        <f>IF(GETPIVOTDATA("Payout",'Tabela LL'!$A$3,"Ativo",Tabela3[[#This Row],[PAPEL]])&gt;1,1,GETPIVOTDATA("Payout",'Tabela LL'!$A$3,"Ativo",Tabela3[[#This Row],[PAPEL]]))</f>
        <v>0.14691424979139903</v>
      </c>
      <c r="J109" s="5">
        <f>Tabela3[Patrimônio Líquido]/Tabela3[Total Ações]</f>
        <v>27.620373698685981</v>
      </c>
      <c r="K109" s="57">
        <f>MAX(Tabela3[[#This Row],[Cotação 1]],Tabela3[[#This Row],[Cotação 2]])</f>
        <v>27.5</v>
      </c>
      <c r="L109" s="58">
        <f>Tabela3[Cotação]/Tabela3[VPA]</f>
        <v>0.99564185119292181</v>
      </c>
      <c r="M109" s="39">
        <f>IF(Tabela3[[#This Row],[Lucro/Ação]]&gt;0,Tabela3[[#This Row],[Cotação]]/Tabela3[[#This Row],[Lucro/Ação]],0)</f>
        <v>6.9603928902584409</v>
      </c>
      <c r="N109" s="5">
        <f>Tabela3[[#This Row],[Lucro/Ação]]*Tabela3[[#This Row],[Payout]]</f>
        <v>0.58044738752002578</v>
      </c>
      <c r="O109" s="16" t="str">
        <f>IF(AND(Tabela3[% A.A.]&gt;=10%,Tabela3[PVPA]&lt;=2,Tabela3[PL]&lt;=15,Tabela3[PL]&gt;0),"Sim","Não")</f>
        <v>Não</v>
      </c>
      <c r="P109" s="22">
        <f>Tabela3[[#This Row],[Lucro Prev]]/Tabela3[[#This Row],[Cotação]]</f>
        <v>2.1107177728000939E-2</v>
      </c>
      <c r="Q109" s="18">
        <f>((1+Tabela3[[#This Row],[% Yield]])^(1/(3*Tabela3[[#This Row],[Ref]])))^(12)-1</f>
        <v>2.8241446182663887E-2</v>
      </c>
      <c r="R109" s="10">
        <f>($X$1/Tabela3[[#This Row],[Cotação]]-MOD($X$1/Tabela3[[#This Row],[Cotação]],100))</f>
        <v>0</v>
      </c>
      <c r="S109" s="7">
        <f>Tabela3[[#This Row],[Ativos]]*Tabela3[[#This Row],[Lucro Prev]]</f>
        <v>0</v>
      </c>
      <c r="T109" s="5">
        <f>SUMPRODUCT(N(Tabela1[Código]=Tabela3[[#This Row],[PAPEL]]),Tabela1[Fechamento])</f>
        <v>27.5</v>
      </c>
      <c r="U109" s="5">
        <f>SUMPRODUCT(N(Tabela17[Código]=Tabela3[[#This Row],[PAPEL]]),Tabela17[Fechamento])</f>
        <v>0</v>
      </c>
    </row>
    <row r="110" spans="1:21" hidden="1" x14ac:dyDescent="0.2">
      <c r="A110" s="3" t="s">
        <v>333</v>
      </c>
      <c r="B110" s="72" t="s">
        <v>342</v>
      </c>
      <c r="C110" s="16">
        <v>3</v>
      </c>
      <c r="D110" s="5">
        <v>1185190000</v>
      </c>
      <c r="E110" s="5">
        <v>90444000</v>
      </c>
      <c r="F110" s="5">
        <f>GETPIVOTDATA("Average of Lucro Líquido",'Tabela LL'!$A$3,"Ativo",Tabela3[[#This Row],[PAPEL]])/4*Tabela3[[#This Row],[Ref]]</f>
        <v>101086694.11687499</v>
      </c>
      <c r="G110" s="21">
        <v>12251221</v>
      </c>
      <c r="H110" s="70">
        <f>Tabela3[[#This Row],[Lucro Líquido]]/Tabela3[[#This Row],[Total Ações]]</f>
        <v>7.3824478392806725</v>
      </c>
      <c r="I110" s="18">
        <f>IF(GETPIVOTDATA("Payout",'Tabela LL'!$A$3,"Ativo",Tabela3[[#This Row],[PAPEL]])&gt;1,1,GETPIVOTDATA("Payout",'Tabela LL'!$A$3,"Ativo",Tabela3[[#This Row],[PAPEL]]))</f>
        <v>0.42680662187286622</v>
      </c>
      <c r="J110" s="5">
        <f>Tabela3[Patrimônio Líquido]/Tabela3[Total Ações]</f>
        <v>96.740561614226039</v>
      </c>
      <c r="K110" s="57">
        <f>MAX(Tabela3[[#This Row],[Cotação 1]],Tabela3[[#This Row],[Cotação 2]])</f>
        <v>158.99</v>
      </c>
      <c r="L110" s="58">
        <f>Tabela3[Cotação]/Tabela3[VPA]</f>
        <v>1.6434678210160398</v>
      </c>
      <c r="M110" s="39">
        <f>IF(Tabela3[[#This Row],[Lucro/Ação]]&gt;0,Tabela3[[#This Row],[Cotação]]/Tabela3[[#This Row],[Lucro/Ação]],0)</f>
        <v>21.53621718179205</v>
      </c>
      <c r="N110" s="5">
        <f>Tabela3[[#This Row],[Lucro/Ação]]*Tabela3[[#This Row],[Payout]]</f>
        <v>3.1508776234360241</v>
      </c>
      <c r="O110" s="16" t="str">
        <f>IF(AND(Tabela3[% A.A.]&gt;=10%,Tabela3[PVPA]&lt;=2,Tabela3[PL]&lt;=15,Tabela3[PL]&gt;0),"Sim","Não")</f>
        <v>Não</v>
      </c>
      <c r="P110" s="22">
        <f>Tabela3[[#This Row],[Lucro Prev]]/Tabela3[[#This Row],[Cotação]]</f>
        <v>1.9818086819523392E-2</v>
      </c>
      <c r="Q110" s="18">
        <f>((1+Tabela3[[#This Row],[% Yield]])^(1/(3*Tabela3[[#This Row],[Ref]])))^(12)-1</f>
        <v>2.6511013757508861E-2</v>
      </c>
      <c r="R110" s="10">
        <f>($X$1/Tabela3[[#This Row],[Cotação]]-MOD($X$1/Tabela3[[#This Row],[Cotação]],100))</f>
        <v>0</v>
      </c>
      <c r="S110" s="7">
        <f>Tabela3[[#This Row],[Ativos]]*Tabela3[[#This Row],[Lucro Prev]]</f>
        <v>0</v>
      </c>
      <c r="T110" s="50">
        <f>SUMPRODUCT(N(Tabela1[Código]=Tabela3[[#This Row],[PAPEL]]),Tabela1[Fechamento])</f>
        <v>0</v>
      </c>
      <c r="U110" s="59">
        <f>SUMPRODUCT(N(Tabela17[Código]=Tabela3[[#This Row],[PAPEL]]),Tabela17[Fechamento])</f>
        <v>158.99</v>
      </c>
    </row>
    <row r="111" spans="1:21" hidden="1" x14ac:dyDescent="0.2">
      <c r="A111" s="3" t="s">
        <v>320</v>
      </c>
      <c r="B111" s="72" t="s">
        <v>318</v>
      </c>
      <c r="C111" s="16">
        <v>3</v>
      </c>
      <c r="D111" s="5">
        <v>1326579000</v>
      </c>
      <c r="E111" s="5">
        <v>106731000</v>
      </c>
      <c r="F111" s="5">
        <f>GETPIVOTDATA("Average of Lucro Líquido",'Tabela LL'!$A$3,"Ativo",Tabela3[[#This Row],[PAPEL]])/4*Tabela3[[#This Row],[Ref]]</f>
        <v>22990057.200000003</v>
      </c>
      <c r="G111" s="21">
        <v>149714346</v>
      </c>
      <c r="H111" s="70">
        <f>Tabela3[[#This Row],[Lucro Líquido]]/Tabela3[[#This Row],[Total Ações]]</f>
        <v>0.71289761369962501</v>
      </c>
      <c r="I111" s="18">
        <f>IF(GETPIVOTDATA("Payout",'Tabela LL'!$A$3,"Ativo",Tabela3[[#This Row],[PAPEL]])&gt;1,1,GETPIVOTDATA("Payout",'Tabela LL'!$A$3,"Ativo",Tabela3[[#This Row],[PAPEL]]))</f>
        <v>0.23785571475872622</v>
      </c>
      <c r="J111" s="5">
        <f>Tabela3[Patrimônio Líquido]/Tabela3[Total Ações]</f>
        <v>8.8607340274525193</v>
      </c>
      <c r="K111" s="57">
        <f>MAX(Tabela3[[#This Row],[Cotação 1]],Tabela3[[#This Row],[Cotação 2]])</f>
        <v>9.15</v>
      </c>
      <c r="L111" s="58">
        <f>Tabela3[Cotação]/Tabela3[VPA]</f>
        <v>1.0326458250130599</v>
      </c>
      <c r="M111" s="39">
        <f>IF(Tabela3[[#This Row],[Lucro/Ação]]&gt;0,Tabela3[[#This Row],[Cotação]]/Tabela3[[#This Row],[Lucro/Ação]],0)</f>
        <v>12.834942668015854</v>
      </c>
      <c r="N111" s="5">
        <f>Tabela3[[#This Row],[Lucro/Ação]]*Tabela3[[#This Row],[Payout]]</f>
        <v>0.1695667714563146</v>
      </c>
      <c r="O111" s="16" t="str">
        <f>IF(AND(Tabela3[% A.A.]&gt;=10%,Tabela3[PVPA]&lt;=2,Tabela3[PL]&lt;=15,Tabela3[PL]&gt;0),"Sim","Não")</f>
        <v>Não</v>
      </c>
      <c r="P111" s="22">
        <f>Tabela3[[#This Row],[Lucro Prev]]/Tabela3[[#This Row],[Cotação]]</f>
        <v>1.8531887590854054E-2</v>
      </c>
      <c r="Q111" s="18">
        <f>((1+Tabela3[[#This Row],[% Yield]])^(1/(3*Tabela3[[#This Row],[Ref]])))^(12)-1</f>
        <v>2.4785189533529373E-2</v>
      </c>
      <c r="R111" s="10">
        <f>($X$1/Tabela3[[#This Row],[Cotação]]-MOD($X$1/Tabela3[[#This Row],[Cotação]],100))</f>
        <v>0</v>
      </c>
      <c r="S111" s="7">
        <f>Tabela3[[#This Row],[Ativos]]*Tabela3[[#This Row],[Lucro Prev]]</f>
        <v>0</v>
      </c>
      <c r="T111" s="50">
        <f>SUMPRODUCT(N(Tabela1[Código]=Tabela3[[#This Row],[PAPEL]]),Tabela1[Fechamento])</f>
        <v>0</v>
      </c>
      <c r="U111" s="59">
        <f>SUMPRODUCT(N(Tabela17[Código]=Tabela3[[#This Row],[PAPEL]]),Tabela17[Fechamento])</f>
        <v>9.15</v>
      </c>
    </row>
    <row r="112" spans="1:21" hidden="1" x14ac:dyDescent="0.2">
      <c r="A112" s="3" t="s">
        <v>333</v>
      </c>
      <c r="B112" s="72" t="s">
        <v>345</v>
      </c>
      <c r="C112" s="16">
        <v>3</v>
      </c>
      <c r="D112" s="5">
        <v>6332530000</v>
      </c>
      <c r="E112" s="5">
        <v>852330000</v>
      </c>
      <c r="F112" s="5">
        <f>GETPIVOTDATA("Average of Lucro Líquido",'Tabela LL'!$A$3,"Ativo",Tabela3[[#This Row],[PAPEL]])/4*Tabela3[[#This Row],[Ref]]</f>
        <v>661040247</v>
      </c>
      <c r="G112" s="21">
        <v>544383996</v>
      </c>
      <c r="H112" s="70">
        <f>Tabela3[[#This Row],[Lucro Líquido]]/Tabela3[[#This Row],[Total Ações]]</f>
        <v>1.5656779153368057</v>
      </c>
      <c r="I112" s="18">
        <f>IF(GETPIVOTDATA("Payout",'Tabela LL'!$A$3,"Ativo",Tabela3[[#This Row],[PAPEL]])&gt;1,1,GETPIVOTDATA("Payout",'Tabela LL'!$A$3,"Ativo",Tabela3[[#This Row],[PAPEL]]))</f>
        <v>0.60454237373323505</v>
      </c>
      <c r="J112" s="5">
        <f>Tabela3[Patrimônio Líquido]/Tabela3[Total Ações]</f>
        <v>11.632469077948427</v>
      </c>
      <c r="K112" s="57">
        <f>MAX(Tabela3[[#This Row],[Cotação 1]],Tabela3[[#This Row],[Cotação 2]])</f>
        <v>53.92</v>
      </c>
      <c r="L112" s="58">
        <f>Tabela3[Cotação]/Tabela3[VPA]</f>
        <v>4.635301382594319</v>
      </c>
      <c r="M112" s="39">
        <f>IF(Tabela3[[#This Row],[Lucro/Ação]]&gt;0,Tabela3[[#This Row],[Cotação]]/Tabela3[[#This Row],[Lucro/Ação]],0)</f>
        <v>34.438756191052761</v>
      </c>
      <c r="N112" s="5">
        <f>Tabela3[[#This Row],[Lucro/Ação]]*Tabela3[[#This Row],[Payout]]</f>
        <v>0.9465186434394155</v>
      </c>
      <c r="O112" s="16" t="str">
        <f>IF(AND(Tabela3[% A.A.]&gt;=10%,Tabela3[PVPA]&lt;=2,Tabela3[PL]&lt;=15,Tabela3[PL]&gt;0),"Sim","Não")</f>
        <v>Não</v>
      </c>
      <c r="P112" s="22">
        <f>Tabela3[[#This Row],[Lucro Prev]]/Tabela3[[#This Row],[Cotação]]</f>
        <v>1.7554129143906073E-2</v>
      </c>
      <c r="Q112" s="18">
        <f>((1+Tabela3[[#This Row],[% Yield]])^(1/(3*Tabela3[[#This Row],[Ref]])))^(12)-1</f>
        <v>2.3473717548068596E-2</v>
      </c>
      <c r="R112" s="10">
        <f>($X$1/Tabela3[[#This Row],[Cotação]]-MOD($X$1/Tabela3[[#This Row],[Cotação]],100))</f>
        <v>0</v>
      </c>
      <c r="S112" s="7">
        <f>Tabela3[[#This Row],[Ativos]]*Tabela3[[#This Row],[Lucro Prev]]</f>
        <v>0</v>
      </c>
      <c r="T112" s="50">
        <f>SUMPRODUCT(N(Tabela1[Código]=Tabela3[[#This Row],[PAPEL]]),Tabela1[Fechamento])</f>
        <v>0</v>
      </c>
      <c r="U112" s="59">
        <f>SUMPRODUCT(N(Tabela17[Código]=Tabela3[[#This Row],[PAPEL]]),Tabela17[Fechamento])</f>
        <v>53.92</v>
      </c>
    </row>
    <row r="113" spans="1:21" hidden="1" x14ac:dyDescent="0.2">
      <c r="A113" s="3" t="s">
        <v>407</v>
      </c>
      <c r="B113" s="69" t="s">
        <v>421</v>
      </c>
      <c r="C113" s="16">
        <v>3</v>
      </c>
      <c r="D113" s="5">
        <v>984644000</v>
      </c>
      <c r="E113" s="5">
        <v>94588000</v>
      </c>
      <c r="F113" s="5">
        <f>GETPIVOTDATA("Average of Lucro Líquido",'Tabela LL'!$A$3,"Ativo",Tabela3[[#This Row],[PAPEL]])/4*Tabela3[[#This Row],[Ref]]</f>
        <v>102335240.59</v>
      </c>
      <c r="G113" s="21">
        <v>57737317</v>
      </c>
      <c r="H113" s="16">
        <f>Tabela3[[#This Row],[Lucro Líquido]]/Tabela3[[#This Row],[Total Ações]]</f>
        <v>1.6382472361852214</v>
      </c>
      <c r="I113" s="18">
        <f>IF(GETPIVOTDATA("Payout",'Tabela LL'!$A$3,"Ativo",Tabela3[[#This Row],[PAPEL]])&gt;1,1,GETPIVOTDATA("Payout",'Tabela LL'!$A$3,"Ativo",Tabela3[[#This Row],[PAPEL]]))</f>
        <v>0.36698912893465502</v>
      </c>
      <c r="J113" s="5">
        <f>Tabela3[Patrimônio Líquido]/Tabela3[Total Ações]</f>
        <v>17.053857906144131</v>
      </c>
      <c r="K113" s="57">
        <f>MAX(Tabela3[[#This Row],[Cotação 1]],Tabela3[[#This Row],[Cotação 2]])</f>
        <v>34.28</v>
      </c>
      <c r="L113" s="58">
        <f>Tabela3[Cotação]/Tabela3[VPA]</f>
        <v>2.0101023585783291</v>
      </c>
      <c r="M113" s="39">
        <f>IF(Tabela3[[#This Row],[Lucro/Ação]]&gt;0,Tabela3[[#This Row],[Cotação]]/Tabela3[[#This Row],[Lucro/Ação]],0)</f>
        <v>20.924802583414387</v>
      </c>
      <c r="N113" s="5">
        <f>Tabela3[[#This Row],[Lucro/Ação]]*Tabela3[[#This Row],[Payout]]</f>
        <v>0.60121892618722039</v>
      </c>
      <c r="O113" s="16" t="str">
        <f>IF(AND(Tabela3[% A.A.]&gt;=10%,Tabela3[PVPA]&lt;=2,Tabela3[PL]&lt;=15,Tabela3[PL]&gt;0),"Sim","Não")</f>
        <v>Não</v>
      </c>
      <c r="P113" s="22">
        <f>Tabela3[[#This Row],[Lucro Prev]]/Tabela3[[#This Row],[Cotação]]</f>
        <v>1.753847509297609E-2</v>
      </c>
      <c r="Q113" s="18">
        <f>((1+Tabela3[[#This Row],[% Yield]])^(1/(3*Tabela3[[#This Row],[Ref]])))^(12)-1</f>
        <v>2.3452724111404422E-2</v>
      </c>
      <c r="R113" s="10">
        <f>($X$1/Tabela3[[#This Row],[Cotação]]-MOD($X$1/Tabela3[[#This Row],[Cotação]],100))</f>
        <v>0</v>
      </c>
      <c r="S113" s="7">
        <f>Tabela3[[#This Row],[Ativos]]*Tabela3[[#This Row],[Lucro Prev]]</f>
        <v>0</v>
      </c>
      <c r="T113" s="50">
        <f>SUMPRODUCT(N(Tabela1[Código]=Tabela3[[#This Row],[PAPEL]]),Tabela1[Fechamento])</f>
        <v>0</v>
      </c>
      <c r="U113" s="59">
        <f>SUMPRODUCT(N(Tabela17[Código]=Tabela3[[#This Row],[PAPEL]]),Tabela17[Fechamento])</f>
        <v>34.28</v>
      </c>
    </row>
    <row r="114" spans="1:21" hidden="1" x14ac:dyDescent="0.2">
      <c r="A114" s="4" t="s">
        <v>14</v>
      </c>
      <c r="B114" s="14" t="s">
        <v>77</v>
      </c>
      <c r="C114" s="15">
        <v>3</v>
      </c>
      <c r="D114" s="6">
        <v>699911000</v>
      </c>
      <c r="E114" s="6">
        <v>6746000</v>
      </c>
      <c r="F114" s="6">
        <f>GETPIVOTDATA("Average of Lucro Líquido",'Tabela LL'!$A$3,"Ativo",Tabela3[[#This Row],[PAPEL]])/4*Tabela3[[#This Row],[Ref]]</f>
        <v>32398873.505000003</v>
      </c>
      <c r="G114" s="41">
        <v>137747421</v>
      </c>
      <c r="H114" s="15">
        <f>Tabela3[[#This Row],[Lucro Líquido]]/Tabela3[[#This Row],[Total Ações]]</f>
        <v>4.8973693670823791E-2</v>
      </c>
      <c r="I114" s="19">
        <f>IF(GETPIVOTDATA("Payout",'Tabela LL'!$A$3,"Ativo",Tabela3[[#This Row],[PAPEL]])&gt;1,1,GETPIVOTDATA("Payout",'Tabela LL'!$A$3,"Ativo",Tabela3[[#This Row],[PAPEL]]))</f>
        <v>1</v>
      </c>
      <c r="J114" s="6">
        <f>Tabela3[Patrimônio Líquido]/Tabela3[Total Ações]</f>
        <v>5.0811187238126223</v>
      </c>
      <c r="K114" s="51">
        <f>MAX(Tabela3[[#This Row],[Cotação 1]],Tabela3[[#This Row],[Cotação 2]])</f>
        <v>2.85</v>
      </c>
      <c r="L114" s="47">
        <f>Tabela3[Cotação]/Tabela3[VPA]</f>
        <v>0.56090009994127821</v>
      </c>
      <c r="M114" s="43">
        <f>IF(Tabela3[[#This Row],[Lucro/Ação]]&gt;0,Tabela3[[#This Row],[Cotação]]/Tabela3[[#This Row],[Lucro/Ação]],0)</f>
        <v>58.194507834272159</v>
      </c>
      <c r="N114" s="6">
        <f>Tabela3[[#This Row],[Lucro/Ação]]*Tabela3[[#This Row],[Payout]]</f>
        <v>4.8973693670823791E-2</v>
      </c>
      <c r="O114" s="15" t="str">
        <f>IF(AND(Tabela3[% A.A.]&gt;=10%,Tabela3[PVPA]&lt;=2,Tabela3[PL]&lt;=15,Tabela3[PL]&gt;0),"Sim","Não")</f>
        <v>Não</v>
      </c>
      <c r="P114" s="45">
        <f>Tabela3[[#This Row],[Lucro Prev]]/Tabela3[[#This Row],[Cotação]]</f>
        <v>1.7183752165201328E-2</v>
      </c>
      <c r="Q114" s="19">
        <f>((1+Tabela3[[#This Row],[% Yield]])^(1/(3*Tabela3[[#This Row],[Ref]])))^(12)-1</f>
        <v>2.2977038836659469E-2</v>
      </c>
      <c r="R114" s="14">
        <f>($X$1/Tabela3[[#This Row],[Cotação]]-MOD($X$1/Tabela3[[#This Row],[Cotação]],100))</f>
        <v>100</v>
      </c>
      <c r="S114" s="17">
        <f>Tabela3[[#This Row],[Ativos]]*Tabela3[[#This Row],[Lucro Prev]]</f>
        <v>4.897369367082379</v>
      </c>
      <c r="T114" s="5">
        <f>SUMPRODUCT(N(Tabela1[Código]=Tabela3[[#This Row],[PAPEL]]),Tabela1[Fechamento])</f>
        <v>2.85</v>
      </c>
      <c r="U114" s="5">
        <f>SUMPRODUCT(N(Tabela17[Código]=Tabela3[[#This Row],[PAPEL]]),Tabela17[Fechamento])</f>
        <v>0</v>
      </c>
    </row>
    <row r="115" spans="1:21" hidden="1" x14ac:dyDescent="0.2">
      <c r="A115" s="3" t="s">
        <v>333</v>
      </c>
      <c r="B115" s="72" t="s">
        <v>347</v>
      </c>
      <c r="C115" s="16">
        <v>3</v>
      </c>
      <c r="D115" s="5">
        <v>43741000</v>
      </c>
      <c r="E115" s="5">
        <v>2583000</v>
      </c>
      <c r="F115" s="5">
        <f>GETPIVOTDATA("Average of Lucro Líquido",'Tabela LL'!$A$3,"Ativo",Tabela3[[#This Row],[PAPEL]])/4*Tabela3[[#This Row],[Ref]]</f>
        <v>10675972.147500001</v>
      </c>
      <c r="G115" s="21">
        <v>5996334</v>
      </c>
      <c r="H115" s="70">
        <f>Tabela3[[#This Row],[Lucro Líquido]]/Tabela3[[#This Row],[Total Ações]]</f>
        <v>0.43076319631294718</v>
      </c>
      <c r="I115" s="18">
        <f>IF(GETPIVOTDATA("Payout",'Tabela LL'!$A$3,"Ativo",Tabela3[[#This Row],[PAPEL]])&gt;1,1,GETPIVOTDATA("Payout",'Tabela LL'!$A$3,"Ativo",Tabela3[[#This Row],[PAPEL]]))</f>
        <v>0.19103666588090965</v>
      </c>
      <c r="J115" s="5">
        <f>Tabela3[Patrimônio Líquido]/Tabela3[Total Ações]</f>
        <v>7.2946236817362076</v>
      </c>
      <c r="K115" s="57">
        <f>MAX(Tabela3[[#This Row],[Cotação 1]],Tabela3[[#This Row],[Cotação 2]])</f>
        <v>4.8099999999999996</v>
      </c>
      <c r="L115" s="58">
        <f>Tabela3[Cotação]/Tabela3[VPA]</f>
        <v>0.65938973823186475</v>
      </c>
      <c r="M115" s="39">
        <f>IF(Tabela3[[#This Row],[Lucro/Ação]]&gt;0,Tabela3[[#This Row],[Cotação]]/Tabela3[[#This Row],[Lucro/Ação]],0)</f>
        <v>11.166227851335655</v>
      </c>
      <c r="N115" s="5">
        <f>Tabela3[[#This Row],[Lucro/Ação]]*Tabela3[[#This Row],[Payout]]</f>
        <v>8.2291564807829176E-2</v>
      </c>
      <c r="O115" s="16" t="str">
        <f>IF(AND(Tabela3[% A.A.]&gt;=10%,Tabela3[PVPA]&lt;=2,Tabela3[PL]&lt;=15,Tabela3[PL]&gt;0),"Sim","Não")</f>
        <v>Não</v>
      </c>
      <c r="P115" s="22">
        <f>Tabela3[[#This Row],[Lucro Prev]]/Tabela3[[#This Row],[Cotação]]</f>
        <v>1.710843343198112E-2</v>
      </c>
      <c r="Q115" s="18">
        <f>((1+Tabela3[[#This Row],[% Yield]])^(1/(3*Tabela3[[#This Row],[Ref]])))^(12)-1</f>
        <v>2.2876043143234659E-2</v>
      </c>
      <c r="R115" s="10">
        <f>($X$1/Tabela3[[#This Row],[Cotação]]-MOD($X$1/Tabela3[[#This Row],[Cotação]],100))</f>
        <v>0</v>
      </c>
      <c r="S115" s="7">
        <f>Tabela3[[#This Row],[Ativos]]*Tabela3[[#This Row],[Lucro Prev]]</f>
        <v>0</v>
      </c>
      <c r="T115" s="50">
        <f>SUMPRODUCT(N(Tabela1[Código]=Tabela3[[#This Row],[PAPEL]]),Tabela1[Fechamento])</f>
        <v>0</v>
      </c>
      <c r="U115" s="59">
        <f>SUMPRODUCT(N(Tabela17[Código]=Tabela3[[#This Row],[PAPEL]]),Tabela17[Fechamento])</f>
        <v>4.8099999999999996</v>
      </c>
    </row>
    <row r="116" spans="1:21" hidden="1" x14ac:dyDescent="0.2">
      <c r="A116" s="4" t="s">
        <v>361</v>
      </c>
      <c r="B116" s="69" t="s">
        <v>360</v>
      </c>
      <c r="C116" s="15">
        <v>3</v>
      </c>
      <c r="D116" s="6">
        <v>719118000</v>
      </c>
      <c r="E116" s="6">
        <v>53337000</v>
      </c>
      <c r="F116" s="6">
        <f>GETPIVOTDATA("Average of Lucro Líquido",'Tabela LL'!$A$3,"Ativo",Tabela3[[#This Row],[PAPEL]])/4*Tabela3[[#This Row],[Ref]]</f>
        <v>106985245.54125001</v>
      </c>
      <c r="G116" s="41">
        <v>17887362</v>
      </c>
      <c r="H116" s="71">
        <f>Tabela3[[#This Row],[Lucro Líquido]]/Tabela3[[#This Row],[Total Ações]]</f>
        <v>2.9818259394537887</v>
      </c>
      <c r="I116" s="19">
        <f>IF(GETPIVOTDATA("Payout",'Tabela LL'!$A$3,"Ativo",Tabela3[[#This Row],[PAPEL]])&gt;1,1,GETPIVOTDATA("Payout",'Tabela LL'!$A$3,"Ativo",Tabela3[[#This Row],[PAPEL]]))</f>
        <v>0.29704620053272746</v>
      </c>
      <c r="J116" s="6">
        <f>Tabela3[Patrimônio Líquido]/Tabela3[Total Ações]</f>
        <v>40.202574309168675</v>
      </c>
      <c r="K116" s="51">
        <f>MAX(Tabela3[[#This Row],[Cotação 1]],Tabela3[[#This Row],[Cotação 2]])</f>
        <v>58</v>
      </c>
      <c r="L116" s="47">
        <f>Tabela3[Cotação]/Tabela3[VPA]</f>
        <v>1.4426936830951249</v>
      </c>
      <c r="M116" s="43">
        <f>IF(Tabela3[[#This Row],[Lucro/Ação]]&gt;0,Tabela3[[#This Row],[Cotação]]/Tabela3[[#This Row],[Lucro/Ação]],0)</f>
        <v>19.451168907137635</v>
      </c>
      <c r="N116" s="6">
        <f>Tabela3[[#This Row],[Lucro/Ação]]*Tabela3[[#This Row],[Payout]]</f>
        <v>0.88574006596467858</v>
      </c>
      <c r="O116" s="15" t="str">
        <f>IF(AND(Tabela3[% A.A.]&gt;=10%,Tabela3[PVPA]&lt;=2,Tabela3[PL]&lt;=15,Tabela3[PL]&gt;0),"Sim","Não")</f>
        <v>Não</v>
      </c>
      <c r="P116" s="45">
        <f>Tabela3[[#This Row],[Lucro Prev]]/Tabela3[[#This Row],[Cotação]]</f>
        <v>1.5271380447666872E-2</v>
      </c>
      <c r="Q116" s="19">
        <f>((1+Tabela3[[#This Row],[% Yield]])^(1/(3*Tabela3[[#This Row],[Ref]])))^(12)-1</f>
        <v>2.0413491398709738E-2</v>
      </c>
      <c r="R116" s="14">
        <f>($X$1/Tabela3[[#This Row],[Cotação]]-MOD($X$1/Tabela3[[#This Row],[Cotação]],100))</f>
        <v>0</v>
      </c>
      <c r="S116" s="17">
        <f>Tabela3[[#This Row],[Ativos]]*Tabela3[[#This Row],[Lucro Prev]]</f>
        <v>0</v>
      </c>
      <c r="T116" s="13">
        <f>SUMPRODUCT(N(Tabela1[Código]=Tabela3[[#This Row],[PAPEL]]),Tabela1[Fechamento])</f>
        <v>0</v>
      </c>
      <c r="U116" s="60">
        <f>SUMPRODUCT(N(Tabela17[Código]=Tabela3[[#This Row],[PAPEL]]),Tabela17[Fechamento])</f>
        <v>58</v>
      </c>
    </row>
    <row r="117" spans="1:21" hidden="1" x14ac:dyDescent="0.2">
      <c r="A117" s="3" t="s">
        <v>407</v>
      </c>
      <c r="B117" s="72" t="s">
        <v>416</v>
      </c>
      <c r="C117" s="16">
        <v>3</v>
      </c>
      <c r="D117" s="5">
        <v>2302519000</v>
      </c>
      <c r="E117" s="5">
        <v>128087000</v>
      </c>
      <c r="F117" s="5">
        <f>GETPIVOTDATA("Average of Lucro Líquido",'Tabela LL'!$A$3,"Ativo",Tabela3[[#This Row],[PAPEL]])/4*Tabela3[[#This Row],[Ref]]</f>
        <v>124635000</v>
      </c>
      <c r="G117" s="21">
        <v>176611578</v>
      </c>
      <c r="H117" s="16">
        <f>Tabela3[[#This Row],[Lucro Líquido]]/Tabela3[[#This Row],[Total Ações]]</f>
        <v>0.72524690312205919</v>
      </c>
      <c r="I117" s="18">
        <f>IF(GETPIVOTDATA("Payout",'Tabela LL'!$A$3,"Ativo",Tabela3[[#This Row],[PAPEL]])&gt;1,1,GETPIVOTDATA("Payout",'Tabela LL'!$A$3,"Ativo",Tabela3[[#This Row],[PAPEL]]))</f>
        <v>0.43259017108800807</v>
      </c>
      <c r="J117" s="5">
        <f>Tabela3[Patrimônio Líquido]/Tabela3[Total Ações]</f>
        <v>13.037191706650173</v>
      </c>
      <c r="K117" s="57">
        <f>MAX(Tabela3[[#This Row],[Cotação 1]],Tabela3[[#This Row],[Cotação 2]])</f>
        <v>21.35</v>
      </c>
      <c r="L117" s="58">
        <f>Tabela3[Cotação]/Tabela3[VPA]</f>
        <v>1.6376226169252024</v>
      </c>
      <c r="M117" s="39">
        <f>IF(Tabela3[[#This Row],[Lucro/Ação]]&gt;0,Tabela3[[#This Row],[Cotação]]/Tabela3[[#This Row],[Lucro/Ação]],0)</f>
        <v>29.438250488339957</v>
      </c>
      <c r="N117" s="5">
        <f>Tabela3[[#This Row],[Lucro/Ação]]*Tabela3[[#This Row],[Payout]]</f>
        <v>0.31373468190261961</v>
      </c>
      <c r="O117" s="16" t="str">
        <f>IF(AND(Tabela3[% A.A.]&gt;=10%,Tabela3[PVPA]&lt;=2,Tabela3[PL]&lt;=15,Tabela3[PL]&gt;0),"Sim","Não")</f>
        <v>Não</v>
      </c>
      <c r="P117" s="22">
        <f>Tabela3[[#This Row],[Lucro Prev]]/Tabela3[[#This Row],[Cotação]]</f>
        <v>1.4694832876000917E-2</v>
      </c>
      <c r="Q117" s="18">
        <f>((1+Tabela3[[#This Row],[% Yield]])^(1/(3*Tabela3[[#This Row],[Ref]])))^(12)-1</f>
        <v>1.9640941000746315E-2</v>
      </c>
      <c r="R117" s="10">
        <f>($X$1/Tabela3[[#This Row],[Cotação]]-MOD($X$1/Tabela3[[#This Row],[Cotação]],100))</f>
        <v>0</v>
      </c>
      <c r="S117" s="7">
        <f>Tabela3[[#This Row],[Ativos]]*Tabela3[[#This Row],[Lucro Prev]]</f>
        <v>0</v>
      </c>
      <c r="T117" s="50">
        <f>SUMPRODUCT(N(Tabela1[Código]=Tabela3[[#This Row],[PAPEL]]),Tabela1[Fechamento])</f>
        <v>0</v>
      </c>
      <c r="U117" s="59">
        <f>SUMPRODUCT(N(Tabela17[Código]=Tabela3[[#This Row],[PAPEL]]),Tabela17[Fechamento])</f>
        <v>21.35</v>
      </c>
    </row>
    <row r="118" spans="1:21" hidden="1" x14ac:dyDescent="0.2">
      <c r="A118" s="4" t="s">
        <v>40</v>
      </c>
      <c r="B118" s="15" t="s">
        <v>300</v>
      </c>
      <c r="C118" s="15">
        <v>3</v>
      </c>
      <c r="D118" s="5">
        <v>8048177000</v>
      </c>
      <c r="E118" s="5">
        <v>485601000</v>
      </c>
      <c r="F118" s="5">
        <f>GETPIVOTDATA("Average of Lucro Líquido",'Tabela LL'!$A$3,"Ativo",Tabela3[[#This Row],[PAPEL]])/4*Tabela3[[#This Row],[Ref]]</f>
        <v>194534056.29000002</v>
      </c>
      <c r="G118" s="21">
        <v>797265348</v>
      </c>
      <c r="H118" s="71">
        <f>Tabela3[[#This Row],[Lucro Líquido]]/Tabela3[[#This Row],[Total Ações]]</f>
        <v>0.60908328854147065</v>
      </c>
      <c r="I118" s="19">
        <f>IF(GETPIVOTDATA("Payout",'Tabela LL'!$A$3,"Ativo",Tabela3[[#This Row],[PAPEL]])&gt;1,1,GETPIVOTDATA("Payout",'Tabela LL'!$A$3,"Ativo",Tabela3[[#This Row],[PAPEL]]))</f>
        <v>0.25322752895727813</v>
      </c>
      <c r="J118" s="6">
        <f>Tabela3[Patrimônio Líquido]/Tabela3[Total Ações]</f>
        <v>10.094728210864121</v>
      </c>
      <c r="K118" s="51">
        <f>MAX(Tabela3[[#This Row],[Cotação 1]],Tabela3[[#This Row],[Cotação 2]])</f>
        <v>10.5</v>
      </c>
      <c r="L118" s="47">
        <f>Tabela3[Cotação]/Tabela3[VPA]</f>
        <v>1.0401468747518847</v>
      </c>
      <c r="M118" s="43">
        <f>IF(Tabela3[[#This Row],[Lucro/Ação]]&gt;0,Tabela3[[#This Row],[Cotação]]/Tabela3[[#This Row],[Lucro/Ação]],0)</f>
        <v>17.23902165357979</v>
      </c>
      <c r="N118" s="6">
        <f>Tabela3[[#This Row],[Lucro/Ação]]*Tabela3[[#This Row],[Payout]]</f>
        <v>0.15423665608652945</v>
      </c>
      <c r="O118" s="15" t="str">
        <f>IF(AND(Tabela3[% A.A.]&gt;=10%,Tabela3[PVPA]&lt;=2,Tabela3[PL]&lt;=15,Tabela3[PL]&gt;0),"Sim","Não")</f>
        <v>Não</v>
      </c>
      <c r="P118" s="45">
        <f>Tabela3[[#This Row],[Lucro Prev]]/Tabela3[[#This Row],[Cotação]]</f>
        <v>1.4689205341574233E-2</v>
      </c>
      <c r="Q118" s="19">
        <f>((1+Tabela3[[#This Row],[% Yield]])^(1/(3*Tabela3[[#This Row],[Ref]])))^(12)-1</f>
        <v>1.9633401053420041E-2</v>
      </c>
      <c r="R118" s="14">
        <f>($X$1/Tabela3[[#This Row],[Cotação]]-MOD($X$1/Tabela3[[#This Row],[Cotação]],100))</f>
        <v>0</v>
      </c>
      <c r="S118" s="17">
        <f>Tabela3[[#This Row],[Ativos]]*Tabela3[[#This Row],[Lucro Prev]]</f>
        <v>0</v>
      </c>
      <c r="T118" s="13">
        <f>SUMPRODUCT(N(Tabela1[Código]=Tabela3[[#This Row],[PAPEL]]),Tabela1[Fechamento])</f>
        <v>0</v>
      </c>
      <c r="U118" s="13">
        <f>SUMPRODUCT(N(Tabela17[Código]=Tabela3[[#This Row],[PAPEL]]),Tabela17[Fechamento])</f>
        <v>10.5</v>
      </c>
    </row>
    <row r="119" spans="1:21" hidden="1" x14ac:dyDescent="0.2">
      <c r="A119" s="4" t="s">
        <v>14</v>
      </c>
      <c r="B119" s="14" t="s">
        <v>62</v>
      </c>
      <c r="C119" s="15">
        <v>3</v>
      </c>
      <c r="D119" s="6">
        <v>56483000</v>
      </c>
      <c r="E119" s="6">
        <v>1359000</v>
      </c>
      <c r="F119" s="6">
        <f>GETPIVOTDATA("Average of Lucro Líquido",'Tabela LL'!$A$3,"Ativo",Tabela3[[#This Row],[PAPEL]])/4*Tabela3[[#This Row],[Ref]]</f>
        <v>3359000</v>
      </c>
      <c r="G119" s="41">
        <v>182520000</v>
      </c>
      <c r="H119" s="15">
        <f>Tabela3[[#This Row],[Lucro Líquido]]/Tabela3[[#This Row],[Total Ações]]</f>
        <v>7.4457593688362919E-3</v>
      </c>
      <c r="I119" s="19">
        <f>IF(GETPIVOTDATA("Payout",'Tabela LL'!$A$3,"Ativo",Tabela3[[#This Row],[PAPEL]])&gt;1,1,GETPIVOTDATA("Payout",'Tabela LL'!$A$3,"Ativo",Tabela3[[#This Row],[PAPEL]]))</f>
        <v>0.49690562667042543</v>
      </c>
      <c r="J119" s="6">
        <f>Tabela3[Patrimônio Líquido]/Tabela3[Total Ações]</f>
        <v>0.30946197676966908</v>
      </c>
      <c r="K119" s="51">
        <f>MAX(Tabela3[[#This Row],[Cotação 1]],Tabela3[[#This Row],[Cotação 2]])</f>
        <v>0.26</v>
      </c>
      <c r="L119" s="47">
        <f>Tabela3[Cotação]/Tabela3[VPA]</f>
        <v>0.84016783811058193</v>
      </c>
      <c r="M119" s="43">
        <f>IF(Tabela3[[#This Row],[Lucro/Ação]]&gt;0,Tabela3[[#This Row],[Cotação]]/Tabela3[[#This Row],[Lucro/Ação]],0)</f>
        <v>34.919205298013246</v>
      </c>
      <c r="N119" s="6">
        <f>Tabela3[[#This Row],[Lucro/Ação]]*Tabela3[[#This Row],[Payout]]</f>
        <v>3.6998397252087888E-3</v>
      </c>
      <c r="O119" s="15" t="str">
        <f>IF(AND(Tabela3[% A.A.]&gt;=10%,Tabela3[PVPA]&lt;=2,Tabela3[PL]&lt;=15,Tabela3[PL]&gt;0),"Sim","Não")</f>
        <v>Não</v>
      </c>
      <c r="P119" s="45">
        <f>Tabela3[[#This Row],[Lucro Prev]]/Tabela3[[#This Row],[Cotação]]</f>
        <v>1.4230152789264571E-2</v>
      </c>
      <c r="Q119" s="19">
        <f>((1+Tabela3[[#This Row],[% Yield]])^(1/(3*Tabela3[[#This Row],[Ref]])))^(12)-1</f>
        <v>1.9018394978671971E-2</v>
      </c>
      <c r="R119" s="14">
        <f>($X$1/Tabela3[[#This Row],[Cotação]]-MOD($X$1/Tabela3[[#This Row],[Cotação]],100))</f>
        <v>1100</v>
      </c>
      <c r="S119" s="17">
        <f>Tabela3[[#This Row],[Ativos]]*Tabela3[[#This Row],[Lucro Prev]]</f>
        <v>4.0698236977296673</v>
      </c>
      <c r="T119" s="5">
        <f>SUMPRODUCT(N(Tabela1[Código]=Tabela3[[#This Row],[PAPEL]]),Tabela1[Fechamento])</f>
        <v>0.26</v>
      </c>
      <c r="U119" s="5">
        <f>SUMPRODUCT(N(Tabela17[Código]=Tabela3[[#This Row],[PAPEL]]),Tabela17[Fechamento])</f>
        <v>0</v>
      </c>
    </row>
    <row r="120" spans="1:21" hidden="1" x14ac:dyDescent="0.2">
      <c r="A120" s="4" t="s">
        <v>40</v>
      </c>
      <c r="B120" s="69" t="s">
        <v>298</v>
      </c>
      <c r="C120" s="16">
        <v>3</v>
      </c>
      <c r="D120" s="5">
        <v>8048177000</v>
      </c>
      <c r="E120" s="5">
        <v>485601000</v>
      </c>
      <c r="F120" s="5">
        <f>GETPIVOTDATA("Average of Lucro Líquido",'Tabela LL'!$A$3,"Ativo",Tabela3[[#This Row],[PAPEL]])/4*Tabela3[[#This Row],[Ref]]</f>
        <v>194534056.29000002</v>
      </c>
      <c r="G120" s="21">
        <v>797265348</v>
      </c>
      <c r="H120" s="70">
        <f>Tabela3[[#This Row],[Lucro Líquido]]/Tabela3[[#This Row],[Total Ações]]</f>
        <v>0.60908328854147065</v>
      </c>
      <c r="I120" s="18">
        <f>IF(GETPIVOTDATA("Payout",'Tabela LL'!$A$3,"Ativo",Tabela3[[#This Row],[PAPEL]])&gt;1,1,GETPIVOTDATA("Payout",'Tabela LL'!$A$3,"Ativo",Tabela3[[#This Row],[PAPEL]]))</f>
        <v>0.35050699967240423</v>
      </c>
      <c r="J120" s="5">
        <f>Tabela3[Patrimônio Líquido]/Tabela3[Total Ações]</f>
        <v>10.094728210864121</v>
      </c>
      <c r="K120" s="57">
        <f>MAX(Tabela3[[#This Row],[Cotação 1]],Tabela3[[#This Row],[Cotação 2]])</f>
        <v>16</v>
      </c>
      <c r="L120" s="58">
        <f>Tabela3[Cotação]/Tabela3[VPA]</f>
        <v>1.5849857139076338</v>
      </c>
      <c r="M120" s="39">
        <f>IF(Tabela3[[#This Row],[Lucro/Ação]]&gt;0,Tabela3[[#This Row],[Cotação]]/Tabela3[[#This Row],[Lucro/Ação]],0)</f>
        <v>26.268985376883489</v>
      </c>
      <c r="N120" s="5">
        <f>Tabela3[[#This Row],[Lucro/Ação]]*Tabela3[[#This Row],[Payout]]</f>
        <v>0.21348795601727213</v>
      </c>
      <c r="O120" s="16" t="str">
        <f>IF(AND(Tabela3[% A.A.]&gt;=10%,Tabela3[PVPA]&lt;=2,Tabela3[PL]&lt;=15,Tabela3[PL]&gt;0),"Sim","Não")</f>
        <v>Não</v>
      </c>
      <c r="P120" s="22">
        <f>Tabela3[[#This Row],[Lucro Prev]]/Tabela3[[#This Row],[Cotação]]</f>
        <v>1.3342997251079508E-2</v>
      </c>
      <c r="Q120" s="18">
        <f>((1+Tabela3[[#This Row],[% Yield]])^(1/(3*Tabela3[[#This Row],[Ref]])))^(12)-1</f>
        <v>1.7830109800250682E-2</v>
      </c>
      <c r="R120" s="10">
        <f>($X$1/Tabela3[[#This Row],[Cotação]]-MOD($X$1/Tabela3[[#This Row],[Cotação]],100))</f>
        <v>0</v>
      </c>
      <c r="S120" s="7">
        <f>Tabela3[[#This Row],[Ativos]]*Tabela3[[#This Row],[Lucro Prev]]</f>
        <v>0</v>
      </c>
      <c r="T120" s="50">
        <f>SUMPRODUCT(N(Tabela1[Código]=Tabela3[[#This Row],[PAPEL]]),Tabela1[Fechamento])</f>
        <v>0</v>
      </c>
      <c r="U120" s="50">
        <f>SUMPRODUCT(N(Tabela17[Código]=Tabela3[[#This Row],[PAPEL]]),Tabela17[Fechamento])</f>
        <v>16</v>
      </c>
    </row>
    <row r="121" spans="1:21" hidden="1" x14ac:dyDescent="0.2">
      <c r="A121" s="4" t="s">
        <v>26</v>
      </c>
      <c r="B121" s="69" t="s">
        <v>57</v>
      </c>
      <c r="C121" s="15">
        <v>3</v>
      </c>
      <c r="D121" s="6">
        <v>3411209000</v>
      </c>
      <c r="E121" s="6">
        <v>191254000</v>
      </c>
      <c r="F121" s="6">
        <f>GETPIVOTDATA("Average of Lucro Líquido",'Tabela LL'!$A$3,"Ativo",Tabela3[[#This Row],[PAPEL]])/4*Tabela3[[#This Row],[Ref]]</f>
        <v>367883239.700625</v>
      </c>
      <c r="G121" s="41">
        <v>1022205493</v>
      </c>
      <c r="H121" s="71">
        <f>Tabela3[[#This Row],[Lucro Líquido]]/Tabela3[[#This Row],[Total Ações]]</f>
        <v>0.18709936633064053</v>
      </c>
      <c r="I121" s="19">
        <f>IF(GETPIVOTDATA("Payout",'Tabela LL'!$A$3,"Ativo",Tabela3[[#This Row],[PAPEL]])&gt;1,1,GETPIVOTDATA("Payout",'Tabela LL'!$A$3,"Ativo",Tabela3[[#This Row],[PAPEL]]))</f>
        <v>1</v>
      </c>
      <c r="J121" s="6">
        <f>Tabela3[Patrimônio Líquido]/Tabela3[Total Ações]</f>
        <v>3.3371068961766968</v>
      </c>
      <c r="K121" s="51">
        <f>MAX(Tabela3[[#This Row],[Cotação 1]],Tabela3[[#This Row],[Cotação 2]])</f>
        <v>14.07</v>
      </c>
      <c r="L121" s="47">
        <f>Tabela3[Cotação]/Tabela3[VPA]</f>
        <v>4.2162269408030992</v>
      </c>
      <c r="M121" s="43">
        <f>IF(Tabela3[[#This Row],[Lucro/Ação]]&gt;0,Tabela3[[#This Row],[Cotação]]/Tabela3[[#This Row],[Lucro/Ação]],0)</f>
        <v>75.200682268135566</v>
      </c>
      <c r="N121" s="6">
        <f>Tabela3[[#This Row],[Lucro/Ação]]*Tabela3[[#This Row],[Payout]]</f>
        <v>0.18709936633064053</v>
      </c>
      <c r="O121" s="15" t="str">
        <f>IF(AND(Tabela3[% A.A.]&gt;=10%,Tabela3[PVPA]&lt;=2,Tabela3[PL]&lt;=15,Tabela3[PL]&gt;0),"Sim","Não")</f>
        <v>Não</v>
      </c>
      <c r="P121" s="45">
        <f>Tabela3[[#This Row],[Lucro Prev]]/Tabela3[[#This Row],[Cotação]]</f>
        <v>1.3297751693720009E-2</v>
      </c>
      <c r="Q121" s="19">
        <f>((1+Tabela3[[#This Row],[% Yield]])^(1/(3*Tabela3[[#This Row],[Ref]])))^(12)-1</f>
        <v>1.7769515709820105E-2</v>
      </c>
      <c r="R121" s="14">
        <f>($X$1/Tabela3[[#This Row],[Cotação]]-MOD($X$1/Tabela3[[#This Row],[Cotação]],100))</f>
        <v>0</v>
      </c>
      <c r="S121" s="17">
        <f>Tabela3[[#This Row],[Ativos]]*Tabela3[[#This Row],[Lucro Prev]]</f>
        <v>0</v>
      </c>
      <c r="T121" s="13">
        <f>SUMPRODUCT(N(Tabela1[Código]=Tabela3[[#This Row],[PAPEL]]),Tabela1[Fechamento])</f>
        <v>0</v>
      </c>
      <c r="U121" s="13">
        <f>SUMPRODUCT(N(Tabela17[Código]=Tabela3[[#This Row],[PAPEL]]),Tabela17[Fechamento])</f>
        <v>14.07</v>
      </c>
    </row>
    <row r="122" spans="1:21" hidden="1" x14ac:dyDescent="0.2">
      <c r="A122" s="3" t="s">
        <v>407</v>
      </c>
      <c r="B122" s="69" t="s">
        <v>420</v>
      </c>
      <c r="C122" s="16">
        <v>3</v>
      </c>
      <c r="D122" s="5">
        <v>2243051000</v>
      </c>
      <c r="E122" s="5">
        <v>151349000</v>
      </c>
      <c r="F122" s="5">
        <f>GETPIVOTDATA("Average of Lucro Líquido",'Tabela LL'!$A$3,"Ativo",Tabela3[[#This Row],[PAPEL]])/4*Tabela3[[#This Row],[Ref]]</f>
        <v>156242007.0625</v>
      </c>
      <c r="G122" s="21">
        <v>76423831</v>
      </c>
      <c r="H122" s="16">
        <f>Tabela3[[#This Row],[Lucro Líquido]]/Tabela3[[#This Row],[Total Ações]]</f>
        <v>1.9803901220288211</v>
      </c>
      <c r="I122" s="18">
        <f>IF(GETPIVOTDATA("Payout",'Tabela LL'!$A$3,"Ativo",Tabela3[[#This Row],[PAPEL]])&gt;1,1,GETPIVOTDATA("Payout",'Tabela LL'!$A$3,"Ativo",Tabela3[[#This Row],[PAPEL]]))</f>
        <v>0.11521495903029355</v>
      </c>
      <c r="J122" s="5">
        <f>Tabela3[Patrimônio Líquido]/Tabela3[Total Ações]</f>
        <v>29.350151263681088</v>
      </c>
      <c r="K122" s="57">
        <f>MAX(Tabela3[[#This Row],[Cotação 1]],Tabela3[[#This Row],[Cotação 2]])</f>
        <v>17.350000000000001</v>
      </c>
      <c r="L122" s="58">
        <f>Tabela3[Cotação]/Tabela3[VPA]</f>
        <v>0.59113835033175799</v>
      </c>
      <c r="M122" s="39">
        <f>IF(Tabela3[[#This Row],[Lucro/Ação]]&gt;0,Tabela3[[#This Row],[Cotação]]/Tabela3[[#This Row],[Lucro/Ação]],0)</f>
        <v>8.760900090849626</v>
      </c>
      <c r="N122" s="5">
        <f>Tabela3[[#This Row],[Lucro/Ação]]*Tabela3[[#This Row],[Payout]]</f>
        <v>0.22817056677354866</v>
      </c>
      <c r="O122" s="16" t="str">
        <f>IF(AND(Tabela3[% A.A.]&gt;=10%,Tabela3[PVPA]&lt;=2,Tabela3[PL]&lt;=15,Tabela3[PL]&gt;0),"Sim","Não")</f>
        <v>Não</v>
      </c>
      <c r="P122" s="22">
        <f>Tabela3[[#This Row],[Lucro Prev]]/Tabela3[[#This Row],[Cotação]]</f>
        <v>1.3151041312596463E-2</v>
      </c>
      <c r="Q122" s="18">
        <f>((1+Tabela3[[#This Row],[% Yield]])^(1/(3*Tabela3[[#This Row],[Ref]])))^(12)-1</f>
        <v>1.7573043350107564E-2</v>
      </c>
      <c r="R122" s="10">
        <f>($X$1/Tabela3[[#This Row],[Cotação]]-MOD($X$1/Tabela3[[#This Row],[Cotação]],100))</f>
        <v>0</v>
      </c>
      <c r="S122" s="7">
        <f>Tabela3[[#This Row],[Ativos]]*Tabela3[[#This Row],[Lucro Prev]]</f>
        <v>0</v>
      </c>
      <c r="T122" s="50">
        <f>SUMPRODUCT(N(Tabela1[Código]=Tabela3[[#This Row],[PAPEL]]),Tabela1[Fechamento])</f>
        <v>0</v>
      </c>
      <c r="U122" s="59">
        <f>SUMPRODUCT(N(Tabela17[Código]=Tabela3[[#This Row],[PAPEL]]),Tabela17[Fechamento])</f>
        <v>17.350000000000001</v>
      </c>
    </row>
    <row r="123" spans="1:21" hidden="1" x14ac:dyDescent="0.2">
      <c r="A123" s="4" t="s">
        <v>14</v>
      </c>
      <c r="B123" s="14" t="s">
        <v>215</v>
      </c>
      <c r="C123" s="15">
        <v>3</v>
      </c>
      <c r="D123" s="6">
        <v>1179411000</v>
      </c>
      <c r="E123" s="6">
        <v>46761000</v>
      </c>
      <c r="F123" s="6">
        <f>GETPIVOTDATA("Average of Lucro Líquido",'Tabela LL'!$A$3,"Ativo",Tabela3[[#This Row],[PAPEL]])/4*Tabela3[[#This Row],[Ref]]</f>
        <v>54858059.25</v>
      </c>
      <c r="G123" s="41">
        <v>90224492</v>
      </c>
      <c r="H123" s="15">
        <f>Tabela3[[#This Row],[Lucro Líquido]]/Tabela3[[#This Row],[Total Ações]]</f>
        <v>0.51827390726677625</v>
      </c>
      <c r="I123" s="19">
        <f>IF(GETPIVOTDATA("Payout",'Tabela LL'!$A$3,"Ativo",Tabela3[[#This Row],[PAPEL]])&gt;1,1,GETPIVOTDATA("Payout",'Tabela LL'!$A$3,"Ativo",Tabela3[[#This Row],[PAPEL]]))</f>
        <v>0.16455420283136202</v>
      </c>
      <c r="J123" s="6">
        <f>Tabela3[Patrimônio Líquido]/Tabela3[Total Ações]</f>
        <v>13.071960549248645</v>
      </c>
      <c r="K123" s="51">
        <f>MAX(Tabela3[[#This Row],[Cotação 1]],Tabela3[[#This Row],[Cotação 2]])</f>
        <v>6.61</v>
      </c>
      <c r="L123" s="47">
        <f>Tabela3[Cotação]/Tabela3[VPA]</f>
        <v>0.50566248078066089</v>
      </c>
      <c r="M123" s="43">
        <f>IF(Tabela3[[#This Row],[Lucro/Ação]]&gt;0,Tabela3[[#This Row],[Cotação]]/Tabela3[[#This Row],[Lucro/Ação]],0)</f>
        <v>12.753873786274889</v>
      </c>
      <c r="N123" s="6">
        <f>Tabela3[[#This Row],[Lucro/Ação]]*Tabela3[[#This Row],[Payout]]</f>
        <v>8.5284149658579611E-2</v>
      </c>
      <c r="O123" s="15" t="str">
        <f>IF(AND(Tabela3[% A.A.]&gt;=10%,Tabela3[PVPA]&lt;=2,Tabela3[PL]&lt;=15,Tabela3[PL]&gt;0),"Sim","Não")</f>
        <v>Não</v>
      </c>
      <c r="P123" s="45">
        <f>Tabela3[[#This Row],[Lucro Prev]]/Tabela3[[#This Row],[Cotação]]</f>
        <v>1.2902291930193587E-2</v>
      </c>
      <c r="Q123" s="19">
        <f>((1+Tabela3[[#This Row],[% Yield]])^(1/(3*Tabela3[[#This Row],[Ref]])))^(12)-1</f>
        <v>1.7239943548955861E-2</v>
      </c>
      <c r="R123" s="14">
        <f>($X$1/Tabela3[[#This Row],[Cotação]]-MOD($X$1/Tabela3[[#This Row],[Cotação]],100))</f>
        <v>0</v>
      </c>
      <c r="S123" s="17">
        <f>Tabela3[[#This Row],[Ativos]]*Tabela3[[#This Row],[Lucro Prev]]</f>
        <v>0</v>
      </c>
      <c r="T123" s="5">
        <f>SUMPRODUCT(N(Tabela1[Código]=Tabela3[[#This Row],[PAPEL]]),Tabela1[Fechamento])</f>
        <v>6.61</v>
      </c>
      <c r="U123" s="5">
        <f>SUMPRODUCT(N(Tabela17[Código]=Tabela3[[#This Row],[PAPEL]]),Tabela17[Fechamento])</f>
        <v>0</v>
      </c>
    </row>
    <row r="124" spans="1:21" hidden="1" x14ac:dyDescent="0.2">
      <c r="A124" s="4" t="s">
        <v>12</v>
      </c>
      <c r="B124" s="14" t="s">
        <v>89</v>
      </c>
      <c r="C124" s="15">
        <v>3</v>
      </c>
      <c r="D124" s="6">
        <v>1825587000</v>
      </c>
      <c r="E124" s="6">
        <v>190026000</v>
      </c>
      <c r="F124" s="6">
        <f>GETPIVOTDATA("Average of Lucro Líquido",'Tabela LL'!$A$3,"Ativo",Tabela3[[#This Row],[PAPEL]])/4*Tabela3[[#This Row],[Ref]]</f>
        <v>182624692.46812499</v>
      </c>
      <c r="G124" s="41">
        <v>1245690889</v>
      </c>
      <c r="H124" s="15">
        <f>Tabela3[[#This Row],[Lucro Líquido]]/Tabela3[[#This Row],[Total Ações]]</f>
        <v>0.15254667243536371</v>
      </c>
      <c r="I124" s="19">
        <f>IF(GETPIVOTDATA("Payout",'Tabela LL'!$A$3,"Ativo",Tabela3[[#This Row],[PAPEL]])&gt;1,1,GETPIVOTDATA("Payout",'Tabela LL'!$A$3,"Ativo",Tabela3[[#This Row],[PAPEL]]))</f>
        <v>1</v>
      </c>
      <c r="J124" s="6">
        <f>Tabela3[Patrimônio Líquido]/Tabela3[Total Ações]</f>
        <v>1.4655216764614227</v>
      </c>
      <c r="K124" s="51">
        <f>MAX(Tabela3[[#This Row],[Cotação 1]],Tabela3[[#This Row],[Cotação 2]])</f>
        <v>12.4</v>
      </c>
      <c r="L124" s="47">
        <f>Tabela3[Cotação]/Tabela3[VPA]</f>
        <v>8.4611508646807856</v>
      </c>
      <c r="M124" s="43">
        <f>IF(Tabela3[[#This Row],[Lucro/Ação]]&gt;0,Tabela3[[#This Row],[Cotação]]/Tabela3[[#This Row],[Lucro/Ação]],0)</f>
        <v>81.286597747676623</v>
      </c>
      <c r="N124" s="6">
        <f>Tabela3[[#This Row],[Lucro/Ação]]*Tabela3[[#This Row],[Payout]]</f>
        <v>0.15254667243536371</v>
      </c>
      <c r="O124" s="14" t="str">
        <f>IF(AND(Tabela3[% A.A.]&gt;=10%,Tabela3[PVPA]&lt;=2,Tabela3[PL]&lt;=15,Tabela3[PL]&gt;0),"Sim","Não")</f>
        <v>Não</v>
      </c>
      <c r="P124" s="45">
        <f>Tabela3[[#This Row],[Lucro Prev]]/Tabela3[[#This Row],[Cotação]]</f>
        <v>1.2302151002851912E-2</v>
      </c>
      <c r="Q124" s="19">
        <f>((1+Tabela3[[#This Row],[% Yield]])^(1/(3*Tabela3[[#This Row],[Ref]])))^(12)-1</f>
        <v>1.6436408288980298E-2</v>
      </c>
      <c r="R124" s="14">
        <f>($X$1/Tabela3[[#This Row],[Cotação]]-MOD($X$1/Tabela3[[#This Row],[Cotação]],100))</f>
        <v>0</v>
      </c>
      <c r="S124" s="17">
        <f>Tabela3[[#This Row],[Ativos]]*Tabela3[[#This Row],[Lucro Prev]]</f>
        <v>0</v>
      </c>
      <c r="T124" s="5">
        <f>SUMPRODUCT(N(Tabela1[Código]=Tabela3[[#This Row],[PAPEL]]),Tabela1[Fechamento])</f>
        <v>12.4</v>
      </c>
      <c r="U124" s="5">
        <f>SUMPRODUCT(N(Tabela17[Código]=Tabela3[[#This Row],[PAPEL]]),Tabela17[Fechamento])</f>
        <v>0</v>
      </c>
    </row>
    <row r="125" spans="1:21" hidden="1" x14ac:dyDescent="0.2">
      <c r="A125" s="3" t="s">
        <v>407</v>
      </c>
      <c r="B125" s="72" t="s">
        <v>418</v>
      </c>
      <c r="C125" s="16">
        <v>3</v>
      </c>
      <c r="D125" s="5">
        <v>3824504000</v>
      </c>
      <c r="E125" s="5">
        <v>227417000</v>
      </c>
      <c r="F125" s="5">
        <f>GETPIVOTDATA("Average of Lucro Líquido",'Tabela LL'!$A$3,"Ativo",Tabela3[[#This Row],[PAPEL]])/4*Tabela3[[#This Row],[Ref]]</f>
        <v>200813387.24812502</v>
      </c>
      <c r="G125" s="21">
        <v>189997214</v>
      </c>
      <c r="H125" s="16">
        <f>Tabela3[[#This Row],[Lucro Líquido]]/Tabela3[[#This Row],[Total Ações]]</f>
        <v>1.1969491300014536</v>
      </c>
      <c r="I125" s="18">
        <f>IF(GETPIVOTDATA("Payout",'Tabela LL'!$A$3,"Ativo",Tabela3[[#This Row],[PAPEL]])&gt;1,1,GETPIVOTDATA("Payout",'Tabela LL'!$A$3,"Ativo",Tabela3[[#This Row],[PAPEL]]))</f>
        <v>0.46005623926256656</v>
      </c>
      <c r="J125" s="5">
        <f>Tabela3[Patrimônio Líquido]/Tabela3[Total Ações]</f>
        <v>20.129263579622805</v>
      </c>
      <c r="K125" s="57">
        <f>MAX(Tabela3[[#This Row],[Cotação 1]],Tabela3[[#This Row],[Cotação 2]])</f>
        <v>47.25</v>
      </c>
      <c r="L125" s="58">
        <f>Tabela3[Cotação]/Tabela3[VPA]</f>
        <v>2.3473287938775851</v>
      </c>
      <c r="M125" s="39">
        <f>IF(Tabela3[[#This Row],[Lucro/Ação]]&gt;0,Tabela3[[#This Row],[Cotação]]/Tabela3[[#This Row],[Lucro/Ação]],0)</f>
        <v>39.47536183090974</v>
      </c>
      <c r="N125" s="5">
        <f>Tabela3[[#This Row],[Lucro/Ação]]*Tabela3[[#This Row],[Payout]]</f>
        <v>0.5506639153370696</v>
      </c>
      <c r="O125" s="16" t="str">
        <f>IF(AND(Tabela3[% A.A.]&gt;=10%,Tabela3[PVPA]&lt;=2,Tabela3[PL]&lt;=15,Tabela3[PL]&gt;0),"Sim","Não")</f>
        <v>Não</v>
      </c>
      <c r="P125" s="22">
        <f>Tabela3[[#This Row],[Lucro Prev]]/Tabela3[[#This Row],[Cotação]]</f>
        <v>1.1654262758456499E-2</v>
      </c>
      <c r="Q125" s="18">
        <f>((1+Tabela3[[#This Row],[% Yield]])^(1/(3*Tabela3[[#This Row],[Ref]])))^(12)-1</f>
        <v>1.5569121851650713E-2</v>
      </c>
      <c r="R125" s="10">
        <f>($X$1/Tabela3[[#This Row],[Cotação]]-MOD($X$1/Tabela3[[#This Row],[Cotação]],100))</f>
        <v>0</v>
      </c>
      <c r="S125" s="7">
        <f>Tabela3[[#This Row],[Ativos]]*Tabela3[[#This Row],[Lucro Prev]]</f>
        <v>0</v>
      </c>
      <c r="T125" s="50">
        <f>SUMPRODUCT(N(Tabela1[Código]=Tabela3[[#This Row],[PAPEL]]),Tabela1[Fechamento])</f>
        <v>0</v>
      </c>
      <c r="U125" s="59">
        <f>SUMPRODUCT(N(Tabela17[Código]=Tabela3[[#This Row],[PAPEL]]),Tabela17[Fechamento])</f>
        <v>47.25</v>
      </c>
    </row>
    <row r="126" spans="1:21" hidden="1" x14ac:dyDescent="0.2">
      <c r="A126" s="3" t="s">
        <v>272</v>
      </c>
      <c r="B126" s="15" t="s">
        <v>81</v>
      </c>
      <c r="C126" s="16">
        <v>3</v>
      </c>
      <c r="D126" s="5">
        <v>1206918000</v>
      </c>
      <c r="E126" s="5">
        <v>49929000</v>
      </c>
      <c r="F126" s="5">
        <f>GETPIVOTDATA("Average of Lucro Líquido",'Tabela LL'!$A$3,"Ativo",Tabela3[[#This Row],[PAPEL]])/4*Tabela3[[#This Row],[Ref]]</f>
        <v>77439728.677499995</v>
      </c>
      <c r="G126" s="21">
        <v>88320000</v>
      </c>
      <c r="H126" s="16">
        <f>Tabela3[[#This Row],[Lucro Líquido]]/Tabela3[[#This Row],[Total Ações]]</f>
        <v>0.56531929347826082</v>
      </c>
      <c r="I126" s="18">
        <f>IF(GETPIVOTDATA("Payout",'Tabela LL'!$A$3,"Ativo",Tabela3[[#This Row],[PAPEL]])&gt;1,1,GETPIVOTDATA("Payout",'Tabela LL'!$A$3,"Ativo",Tabela3[[#This Row],[PAPEL]]))</f>
        <v>0.24741229164584114</v>
      </c>
      <c r="J126" s="5">
        <f>Tabela3[Patrimônio Líquido]/Tabela3[Total Ações]</f>
        <v>13.665285326086957</v>
      </c>
      <c r="K126" s="57">
        <f>MAX(Tabela3[[#This Row],[Cotação 1]],Tabela3[[#This Row],[Cotação 2]])</f>
        <v>12.35</v>
      </c>
      <c r="L126" s="58">
        <f>Tabela3[Cotação]/Tabela3[VPA]</f>
        <v>0.90374988193066963</v>
      </c>
      <c r="M126" s="39">
        <f>IF(Tabela3[[#This Row],[Lucro/Ação]]&gt;0,Tabela3[[#This Row],[Cotação]]/Tabela3[[#This Row],[Lucro/Ação]],0)</f>
        <v>21.846061407198224</v>
      </c>
      <c r="N126" s="5">
        <f>Tabela3[[#This Row],[Lucro/Ação]]*Tabela3[[#This Row],[Payout]]</f>
        <v>0.13986694191106433</v>
      </c>
      <c r="O126" s="16" t="str">
        <f>IF(AND(Tabela3[% A.A.]&gt;=10%,Tabela3[PVPA]&lt;=2,Tabela3[PL]&lt;=15,Tabela3[PL]&gt;0),"Sim","Não")</f>
        <v>Não</v>
      </c>
      <c r="P126" s="22">
        <f>Tabela3[[#This Row],[Lucro Prev]]/Tabela3[[#This Row],[Cotação]]</f>
        <v>1.1325258454337192E-2</v>
      </c>
      <c r="Q126" s="18">
        <f>((1+Tabela3[[#This Row],[% Yield]])^(1/(3*Tabela3[[#This Row],[Ref]])))^(12)-1</f>
        <v>1.5128775760095969E-2</v>
      </c>
      <c r="R126" s="10">
        <f>($X$1/Tabela3[[#This Row],[Cotação]]-MOD($X$1/Tabela3[[#This Row],[Cotação]],100))</f>
        <v>0</v>
      </c>
      <c r="S126" s="7">
        <f>Tabela3[[#This Row],[Ativos]]*Tabela3[[#This Row],[Lucro Prev]]</f>
        <v>0</v>
      </c>
      <c r="T126" s="5">
        <f>SUMPRODUCT(N(Tabela1[Código]=Tabela3[[#This Row],[PAPEL]]),Tabela1[Fechamento])</f>
        <v>12.35</v>
      </c>
      <c r="U126" s="5">
        <f>SUMPRODUCT(N(Tabela17[Código]=Tabela3[[#This Row],[PAPEL]]),Tabela17[Fechamento])</f>
        <v>0</v>
      </c>
    </row>
    <row r="127" spans="1:21" hidden="1" x14ac:dyDescent="0.2">
      <c r="A127" s="4" t="s">
        <v>40</v>
      </c>
      <c r="B127" s="14" t="s">
        <v>299</v>
      </c>
      <c r="C127" s="16">
        <v>3</v>
      </c>
      <c r="D127" s="5">
        <v>8048177000</v>
      </c>
      <c r="E127" s="5">
        <v>485601000</v>
      </c>
      <c r="F127" s="5">
        <f>GETPIVOTDATA("Average of Lucro Líquido",'Tabela LL'!$A$3,"Ativo",Tabela3[[#This Row],[PAPEL]])/4*Tabela3[[#This Row],[Ref]]</f>
        <v>194534056.29000002</v>
      </c>
      <c r="G127" s="21">
        <v>797265348</v>
      </c>
      <c r="H127" s="70">
        <f>Tabela3[[#This Row],[Lucro Líquido]]/Tabela3[[#This Row],[Total Ações]]</f>
        <v>0.60908328854147065</v>
      </c>
      <c r="I127" s="18">
        <f>IF(GETPIVOTDATA("Payout",'Tabela LL'!$A$3,"Ativo",Tabela3[[#This Row],[PAPEL]])&gt;1,1,GETPIVOTDATA("Payout",'Tabela LL'!$A$3,"Ativo",Tabela3[[#This Row],[PAPEL]]))</f>
        <v>0.35050699967240423</v>
      </c>
      <c r="J127" s="5">
        <f>Tabela3[Patrimônio Líquido]/Tabela3[Total Ações]</f>
        <v>10.094728210864121</v>
      </c>
      <c r="K127" s="57">
        <f>MAX(Tabela3[[#This Row],[Cotação 1]],Tabela3[[#This Row],[Cotação 2]])</f>
        <v>20.170000000000002</v>
      </c>
      <c r="L127" s="58">
        <f>Tabela3[Cotação]/Tabela3[VPA]</f>
        <v>1.9980726155948112</v>
      </c>
      <c r="M127" s="39">
        <f>IF(Tabela3[[#This Row],[Lucro/Ação]]&gt;0,Tabela3[[#This Row],[Cotação]]/Tabela3[[#This Row],[Lucro/Ação]],0)</f>
        <v>33.115339690733755</v>
      </c>
      <c r="N127" s="5">
        <f>Tabela3[[#This Row],[Lucro/Ação]]*Tabela3[[#This Row],[Payout]]</f>
        <v>0.21348795601727213</v>
      </c>
      <c r="O127" s="16" t="str">
        <f>IF(AND(Tabela3[% A.A.]&gt;=10%,Tabela3[PVPA]&lt;=2,Tabela3[PL]&lt;=15,Tabela3[PL]&gt;0),"Sim","Não")</f>
        <v>Não</v>
      </c>
      <c r="P127" s="22">
        <f>Tabela3[[#This Row],[Lucro Prev]]/Tabela3[[#This Row],[Cotação]]</f>
        <v>1.0584430144634215E-2</v>
      </c>
      <c r="Q127" s="18">
        <f>((1+Tabela3[[#This Row],[% Yield]])^(1/(3*Tabela3[[#This Row],[Ref]])))^(12)-1</f>
        <v>1.4137410817607332E-2</v>
      </c>
      <c r="R127" s="10">
        <f>($X$1/Tabela3[[#This Row],[Cotação]]-MOD($X$1/Tabela3[[#This Row],[Cotação]],100))</f>
        <v>0</v>
      </c>
      <c r="S127" s="7">
        <f>Tabela3[[#This Row],[Ativos]]*Tabela3[[#This Row],[Lucro Prev]]</f>
        <v>0</v>
      </c>
      <c r="T127" s="50">
        <f>SUMPRODUCT(N(Tabela1[Código]=Tabela3[[#This Row],[PAPEL]]),Tabela1[Fechamento])</f>
        <v>0</v>
      </c>
      <c r="U127" s="50">
        <f>SUMPRODUCT(N(Tabela17[Código]=Tabela3[[#This Row],[PAPEL]]),Tabela17[Fechamento])</f>
        <v>20.170000000000002</v>
      </c>
    </row>
    <row r="128" spans="1:21" hidden="1" x14ac:dyDescent="0.2">
      <c r="A128" s="3" t="s">
        <v>304</v>
      </c>
      <c r="B128" s="72" t="s">
        <v>307</v>
      </c>
      <c r="C128" s="16">
        <v>3</v>
      </c>
      <c r="D128" s="5">
        <v>2075419000</v>
      </c>
      <c r="E128" s="5">
        <v>95615000</v>
      </c>
      <c r="F128" s="5">
        <f>GETPIVOTDATA("Average of Lucro Líquido",'Tabela LL'!$A$3,"Ativo",Tabela3[[#This Row],[PAPEL]])/4*Tabela3[[#This Row],[Ref]]</f>
        <v>81540083.302499995</v>
      </c>
      <c r="G128" s="21">
        <v>113000000</v>
      </c>
      <c r="H128" s="70">
        <f>Tabela3[[#This Row],[Lucro Líquido]]/Tabela3[[#This Row],[Total Ações]]</f>
        <v>0.84615044247787607</v>
      </c>
      <c r="I128" s="18">
        <f>IF(GETPIVOTDATA("Payout",'Tabela LL'!$A$3,"Ativo",Tabela3[[#This Row],[PAPEL]])&gt;1,1,GETPIVOTDATA("Payout",'Tabela LL'!$A$3,"Ativo",Tabela3[[#This Row],[PAPEL]]))</f>
        <v>0.3337402763144719</v>
      </c>
      <c r="J128" s="5">
        <f>Tabela3[Patrimônio Líquido]/Tabela3[Total Ações]</f>
        <v>18.36653982300885</v>
      </c>
      <c r="K128" s="57">
        <f>MAX(Tabela3[[#This Row],[Cotação 1]],Tabela3[[#This Row],[Cotação 2]])</f>
        <v>26.8</v>
      </c>
      <c r="L128" s="58">
        <f>Tabela3[Cotação]/Tabela3[VPA]</f>
        <v>1.4591752316038351</v>
      </c>
      <c r="M128" s="39">
        <f>IF(Tabela3[[#This Row],[Lucro/Ação]]&gt;0,Tabela3[[#This Row],[Cotação]]/Tabela3[[#This Row],[Lucro/Ação]],0)</f>
        <v>31.672854677613348</v>
      </c>
      <c r="N128" s="5">
        <f>Tabela3[[#This Row],[Lucro/Ação]]*Tabela3[[#This Row],[Payout]]</f>
        <v>0.28239448247617904</v>
      </c>
      <c r="O128" s="16" t="str">
        <f>IF(AND(Tabela3[% A.A.]&gt;=10%,Tabela3[PVPA]&lt;=2,Tabela3[PL]&lt;=15,Tabela3[PL]&gt;0),"Sim","Não")</f>
        <v>Não</v>
      </c>
      <c r="P128" s="22">
        <f>Tabela3[[#This Row],[Lucro Prev]]/Tabela3[[#This Row],[Cotação]]</f>
        <v>1.0537107555081308E-2</v>
      </c>
      <c r="Q128" s="18">
        <f>((1+Tabela3[[#This Row],[% Yield]])^(1/(3*Tabela3[[#This Row],[Ref]])))^(12)-1</f>
        <v>1.4074092692033746E-2</v>
      </c>
      <c r="R128" s="10">
        <f>($X$1/Tabela3[[#This Row],[Cotação]]-MOD($X$1/Tabela3[[#This Row],[Cotação]],100))</f>
        <v>0</v>
      </c>
      <c r="S128" s="7">
        <f>Tabela3[[#This Row],[Ativos]]*Tabela3[[#This Row],[Lucro Prev]]</f>
        <v>0</v>
      </c>
      <c r="T128" s="50">
        <f>SUMPRODUCT(N(Tabela1[Código]=Tabela3[[#This Row],[PAPEL]]),Tabela1[Fechamento])</f>
        <v>0</v>
      </c>
      <c r="U128" s="59">
        <f>SUMPRODUCT(N(Tabela17[Código]=Tabela3[[#This Row],[PAPEL]]),Tabela17[Fechamento])</f>
        <v>26.8</v>
      </c>
    </row>
    <row r="129" spans="1:21" hidden="1" x14ac:dyDescent="0.2">
      <c r="A129" s="4" t="s">
        <v>19</v>
      </c>
      <c r="B129" s="14" t="s">
        <v>205</v>
      </c>
      <c r="C129" s="15">
        <v>3</v>
      </c>
      <c r="D129" s="6">
        <v>5466325000</v>
      </c>
      <c r="E129" s="6">
        <v>268577000</v>
      </c>
      <c r="F129" s="6">
        <f>GETPIVOTDATA("Average of Lucro Líquido",'Tabela LL'!$A$3,"Ativo",Tabela3[[#This Row],[PAPEL]])/4*Tabela3[[#This Row],[Ref]]</f>
        <v>373615729.38499999</v>
      </c>
      <c r="G129" s="41">
        <v>917683296</v>
      </c>
      <c r="H129" s="15">
        <f>Tabela3[[#This Row],[Lucro Líquido]]/Tabela3[[#This Row],[Total Ações]]</f>
        <v>0.29266850684835827</v>
      </c>
      <c r="I129" s="19">
        <f>IF(GETPIVOTDATA("Payout",'Tabela LL'!$A$3,"Ativo",Tabela3[[#This Row],[PAPEL]])&gt;1,1,GETPIVOTDATA("Payout",'Tabela LL'!$A$3,"Ativo",Tabela3[[#This Row],[PAPEL]]))</f>
        <v>0.39457960469026815</v>
      </c>
      <c r="J129" s="6">
        <f>Tabela3[Patrimônio Líquido]/Tabela3[Total Ações]</f>
        <v>5.9566574043862728</v>
      </c>
      <c r="K129" s="51">
        <f>MAX(Tabela3[[#This Row],[Cotação 1]],Tabela3[[#This Row],[Cotação 2]])</f>
        <v>11</v>
      </c>
      <c r="L129" s="47">
        <f>Tabela3[Cotação]/Tabela3[VPA]</f>
        <v>1.8466732687866163</v>
      </c>
      <c r="M129" s="43">
        <f>IF(Tabela3[[#This Row],[Lucro/Ação]]&gt;0,Tabela3[[#This Row],[Cotação]]/Tabela3[[#This Row],[Lucro/Ação]],0)</f>
        <v>37.585185090309295</v>
      </c>
      <c r="N129" s="6">
        <f>Tabela3[[#This Row],[Lucro/Ação]]*Tabela3[[#This Row],[Payout]]</f>
        <v>0.11548102373751624</v>
      </c>
      <c r="O129" s="15" t="str">
        <f>IF(AND(Tabela3[% A.A.]&gt;=10%,Tabela3[PVPA]&lt;=2,Tabela3[PL]&lt;=15,Tabela3[PL]&gt;0),"Sim","Não")</f>
        <v>Não</v>
      </c>
      <c r="P129" s="45">
        <f>Tabela3[[#This Row],[Lucro Prev]]/Tabela3[[#This Row],[Cotação]]</f>
        <v>1.049827488522875E-2</v>
      </c>
      <c r="Q129" s="19">
        <f>((1+Tabela3[[#This Row],[% Yield]])^(1/(3*Tabela3[[#This Row],[Ref]])))^(12)-1</f>
        <v>1.4022134907152983E-2</v>
      </c>
      <c r="R129" s="14">
        <f>($X$1/Tabela3[[#This Row],[Cotação]]-MOD($X$1/Tabela3[[#This Row],[Cotação]],100))</f>
        <v>0</v>
      </c>
      <c r="S129" s="17">
        <f>Tabela3[[#This Row],[Ativos]]*Tabela3[[#This Row],[Lucro Prev]]</f>
        <v>0</v>
      </c>
      <c r="T129" s="5">
        <f>SUMPRODUCT(N(Tabela1[Código]=Tabela3[[#This Row],[PAPEL]]),Tabela1[Fechamento])</f>
        <v>11</v>
      </c>
      <c r="U129" s="5">
        <f>SUMPRODUCT(N(Tabela17[Código]=Tabela3[[#This Row],[PAPEL]]),Tabela17[Fechamento])</f>
        <v>0</v>
      </c>
    </row>
    <row r="130" spans="1:21" hidden="1" x14ac:dyDescent="0.2">
      <c r="A130" s="4" t="s">
        <v>19</v>
      </c>
      <c r="B130" s="14" t="s">
        <v>54</v>
      </c>
      <c r="C130" s="15">
        <v>3</v>
      </c>
      <c r="D130" s="6">
        <v>5466325000</v>
      </c>
      <c r="E130" s="6">
        <v>268577000</v>
      </c>
      <c r="F130" s="6">
        <f>GETPIVOTDATA("Average of Lucro Líquido",'Tabela LL'!$A$3,"Ativo",Tabela3[[#This Row],[PAPEL]])/4*Tabela3[[#This Row],[Ref]]</f>
        <v>373615729.38499999</v>
      </c>
      <c r="G130" s="41">
        <v>917683296</v>
      </c>
      <c r="H130" s="15">
        <f>Tabela3[[#This Row],[Lucro Líquido]]/Tabela3[[#This Row],[Total Ações]]</f>
        <v>0.29266850684835827</v>
      </c>
      <c r="I130" s="19">
        <f>IF(GETPIVOTDATA("Payout",'Tabela LL'!$A$3,"Ativo",Tabela3[[#This Row],[PAPEL]])&gt;1,1,GETPIVOTDATA("Payout",'Tabela LL'!$A$3,"Ativo",Tabela3[[#This Row],[PAPEL]]))</f>
        <v>0.43406605496565737</v>
      </c>
      <c r="J130" s="6">
        <f>Tabela3[Patrimônio Líquido]/Tabela3[Total Ações]</f>
        <v>5.9566574043862728</v>
      </c>
      <c r="K130" s="51">
        <f>MAX(Tabela3[[#This Row],[Cotação 1]],Tabela3[[#This Row],[Cotação 2]])</f>
        <v>12.71</v>
      </c>
      <c r="L130" s="47">
        <f>Tabela3[Cotação]/Tabela3[VPA]</f>
        <v>2.1337470223888997</v>
      </c>
      <c r="M130" s="43">
        <f>IF(Tabela3[[#This Row],[Lucro/Ação]]&gt;0,Tabela3[[#This Row],[Cotação]]/Tabela3[[#This Row],[Lucro/Ação]],0)</f>
        <v>43.427972954348292</v>
      </c>
      <c r="N130" s="6">
        <f>Tabela3[[#This Row],[Lucro/Ação]]*Tabela3[[#This Row],[Payout]]</f>
        <v>0.12703746418035636</v>
      </c>
      <c r="O130" s="15" t="str">
        <f>IF(AND(Tabela3[% A.A.]&gt;=10%,Tabela3[PVPA]&lt;=2,Tabela3[PL]&lt;=15,Tabela3[PL]&gt;0),"Sim","Não")</f>
        <v>Não</v>
      </c>
      <c r="P130" s="45">
        <f>Tabela3[[#This Row],[Lucro Prev]]/Tabela3[[#This Row],[Cotação]]</f>
        <v>9.9950797938911373E-3</v>
      </c>
      <c r="Q130" s="19">
        <f>((1+Tabela3[[#This Row],[% Yield]])^(1/(3*Tabela3[[#This Row],[Ref]])))^(12)-1</f>
        <v>1.3348924312950983E-2</v>
      </c>
      <c r="R130" s="14">
        <f>($X$1/Tabela3[[#This Row],[Cotação]]-MOD($X$1/Tabela3[[#This Row],[Cotação]],100))</f>
        <v>0</v>
      </c>
      <c r="S130" s="17">
        <f>Tabela3[[#This Row],[Ativos]]*Tabela3[[#This Row],[Lucro Prev]]</f>
        <v>0</v>
      </c>
      <c r="T130" s="5">
        <f>SUMPRODUCT(N(Tabela1[Código]=Tabela3[[#This Row],[PAPEL]]),Tabela1[Fechamento])</f>
        <v>12.71</v>
      </c>
      <c r="U130" s="5">
        <f>SUMPRODUCT(N(Tabela17[Código]=Tabela3[[#This Row],[PAPEL]]),Tabela17[Fechamento])</f>
        <v>0</v>
      </c>
    </row>
    <row r="131" spans="1:21" hidden="1" x14ac:dyDescent="0.2">
      <c r="A131" s="3" t="s">
        <v>322</v>
      </c>
      <c r="B131" s="72" t="s">
        <v>321</v>
      </c>
      <c r="C131" s="16">
        <v>3</v>
      </c>
      <c r="D131" s="5">
        <v>14444342000</v>
      </c>
      <c r="E131" s="5">
        <v>1006640000</v>
      </c>
      <c r="F131" s="5">
        <f>GETPIVOTDATA("Average of Lucro Líquido",'Tabela LL'!$A$3,"Ativo",Tabela3[[#This Row],[PAPEL]])/4*Tabela3[[#This Row],[Ref]]</f>
        <v>1311801320.6700001</v>
      </c>
      <c r="G131" s="21">
        <v>2417632647</v>
      </c>
      <c r="H131" s="70">
        <f>Tabela3[[#This Row],[Lucro Líquido]]/Tabela3[[#This Row],[Total Ações]]</f>
        <v>0.41637425820218088</v>
      </c>
      <c r="I131" s="18">
        <f>IF(GETPIVOTDATA("Payout",'Tabela LL'!$A$3,"Ativo",Tabela3[[#This Row],[PAPEL]])&gt;1,1,GETPIVOTDATA("Payout",'Tabela LL'!$A$3,"Ativo",Tabela3[[#This Row],[PAPEL]]))</f>
        <v>0.31662042253674527</v>
      </c>
      <c r="J131" s="5">
        <f>Tabela3[Patrimônio Líquido]/Tabela3[Total Ações]</f>
        <v>5.974580967842134</v>
      </c>
      <c r="K131" s="57">
        <f>MAX(Tabela3[[#This Row],[Cotação 1]],Tabela3[[#This Row],[Cotação 2]])</f>
        <v>13.46</v>
      </c>
      <c r="L131" s="58">
        <f>Tabela3[Cotação]/Tabela3[VPA]</f>
        <v>2.2528776616214157</v>
      </c>
      <c r="M131" s="39">
        <f>IF(Tabela3[[#This Row],[Lucro/Ação]]&gt;0,Tabela3[[#This Row],[Cotação]]/Tabela3[[#This Row],[Lucro/Ação]],0)</f>
        <v>32.326686232039258</v>
      </c>
      <c r="N131" s="5">
        <f>Tabela3[[#This Row],[Lucro/Ação]]*Tabela3[[#This Row],[Payout]]</f>
        <v>0.13183259356539839</v>
      </c>
      <c r="O131" s="16" t="str">
        <f>IF(AND(Tabela3[% A.A.]&gt;=10%,Tabela3[PVPA]&lt;=2,Tabela3[PL]&lt;=15,Tabela3[PL]&gt;0),"Sim","Não")</f>
        <v>Não</v>
      </c>
      <c r="P131" s="22">
        <f>Tabela3[[#This Row],[Lucro Prev]]/Tabela3[[#This Row],[Cotação]]</f>
        <v>9.7943977388854665E-3</v>
      </c>
      <c r="Q131" s="18">
        <f>((1+Tabela3[[#This Row],[% Yield]])^(1/(3*Tabela3[[#This Row],[Ref]])))^(12)-1</f>
        <v>1.3080468602835627E-2</v>
      </c>
      <c r="R131" s="10">
        <f>($X$1/Tabela3[[#This Row],[Cotação]]-MOD($X$1/Tabela3[[#This Row],[Cotação]],100))</f>
        <v>0</v>
      </c>
      <c r="S131" s="7">
        <f>Tabela3[[#This Row],[Ativos]]*Tabela3[[#This Row],[Lucro Prev]]</f>
        <v>0</v>
      </c>
      <c r="T131" s="50">
        <f>SUMPRODUCT(N(Tabela1[Código]=Tabela3[[#This Row],[PAPEL]]),Tabela1[Fechamento])</f>
        <v>0</v>
      </c>
      <c r="U131" s="59">
        <f>SUMPRODUCT(N(Tabela17[Código]=Tabela3[[#This Row],[PAPEL]]),Tabela17[Fechamento])</f>
        <v>13.46</v>
      </c>
    </row>
    <row r="132" spans="1:21" hidden="1" x14ac:dyDescent="0.2">
      <c r="A132" s="4" t="s">
        <v>14</v>
      </c>
      <c r="B132" s="14" t="s">
        <v>10</v>
      </c>
      <c r="C132" s="15">
        <v>3</v>
      </c>
      <c r="D132" s="6">
        <v>1922945000</v>
      </c>
      <c r="E132" s="6">
        <v>22434000</v>
      </c>
      <c r="F132" s="6">
        <f>GETPIVOTDATA("Average of Lucro Líquido",'Tabela LL'!$A$3,"Ativo",Tabela3[[#This Row],[PAPEL]])/4*Tabela3[[#This Row],[Ref]]</f>
        <v>172439487.155</v>
      </c>
      <c r="G132" s="41">
        <v>252903569</v>
      </c>
      <c r="H132" s="15">
        <f>Tabela3[[#This Row],[Lucro Líquido]]/Tabela3[[#This Row],[Total Ações]]</f>
        <v>8.8705746971882396E-2</v>
      </c>
      <c r="I132" s="19">
        <f>IF(GETPIVOTDATA("Payout",'Tabela LL'!$A$3,"Ativo",Tabela3[[#This Row],[PAPEL]])&gt;1,1,GETPIVOTDATA("Payout",'Tabela LL'!$A$3,"Ativo",Tabela3[[#This Row],[PAPEL]]))</f>
        <v>0.69029873873004899</v>
      </c>
      <c r="J132" s="6">
        <f>Tabela3[Patrimônio Líquido]/Tabela3[Total Ações]</f>
        <v>7.60347118707526</v>
      </c>
      <c r="K132" s="51">
        <f>MAX(Tabela3[[#This Row],[Cotação 1]],Tabela3[[#This Row],[Cotação 2]])</f>
        <v>7.4</v>
      </c>
      <c r="L132" s="47">
        <f>Tabela3[Cotação]/Tabela3[VPA]</f>
        <v>0.97323969775526609</v>
      </c>
      <c r="M132" s="43">
        <f>IF(Tabela3[[#This Row],[Lucro/Ação]]&gt;0,Tabela3[[#This Row],[Cotação]]/Tabela3[[#This Row],[Lucro/Ação]],0)</f>
        <v>83.421877979852013</v>
      </c>
      <c r="N132" s="6">
        <f>Tabela3[[#This Row],[Lucro/Ação]]*Tabela3[[#This Row],[Payout]]</f>
        <v>6.1233465252797277E-2</v>
      </c>
      <c r="O132" s="15" t="str">
        <f>IF(AND(Tabela3[% A.A.]&gt;=10%,Tabela3[PVPA]&lt;=2,Tabela3[PL]&lt;=15,Tabela3[PL]&gt;0),"Sim","Não")</f>
        <v>Não</v>
      </c>
      <c r="P132" s="45">
        <f>Tabela3[[#This Row],[Lucro Prev]]/Tabela3[[#This Row],[Cotação]]</f>
        <v>8.2747926017293621E-3</v>
      </c>
      <c r="Q132" s="19">
        <f>((1+Tabela3[[#This Row],[% Yield]])^(1/(3*Tabela3[[#This Row],[Ref]])))^(12)-1</f>
        <v>1.104824496124146E-2</v>
      </c>
      <c r="R132" s="14">
        <f>($X$1/Tabela3[[#This Row],[Cotação]]-MOD($X$1/Tabela3[[#This Row],[Cotação]],100))</f>
        <v>0</v>
      </c>
      <c r="S132" s="17">
        <f>Tabela3[[#This Row],[Ativos]]*Tabela3[[#This Row],[Lucro Prev]]</f>
        <v>0</v>
      </c>
      <c r="T132" s="5">
        <f>SUMPRODUCT(N(Tabela1[Código]=Tabela3[[#This Row],[PAPEL]]),Tabela1[Fechamento])</f>
        <v>7.4</v>
      </c>
      <c r="U132" s="5">
        <f>SUMPRODUCT(N(Tabela17[Código]=Tabela3[[#This Row],[PAPEL]]),Tabela17[Fechamento])</f>
        <v>0</v>
      </c>
    </row>
    <row r="133" spans="1:21" hidden="1" x14ac:dyDescent="0.2">
      <c r="A133" s="3" t="s">
        <v>314</v>
      </c>
      <c r="B133" s="72" t="s">
        <v>313</v>
      </c>
      <c r="C133" s="16">
        <v>3</v>
      </c>
      <c r="D133" s="5">
        <v>14822624000</v>
      </c>
      <c r="E133" s="5">
        <v>853987000</v>
      </c>
      <c r="F133" s="5">
        <f>GETPIVOTDATA("Average of Lucro Líquido",'Tabela LL'!$A$3,"Ativo",Tabela3[[#This Row],[PAPEL]])/4*Tabela3[[#This Row],[Ref]]</f>
        <v>746185500</v>
      </c>
      <c r="G133" s="21">
        <v>872473246</v>
      </c>
      <c r="H133" s="70">
        <f>Tabela3[[#This Row],[Lucro Líquido]]/Tabela3[[#This Row],[Total Ações]]</f>
        <v>0.97881167579091588</v>
      </c>
      <c r="I133" s="18">
        <f>IF(GETPIVOTDATA("Payout",'Tabela LL'!$A$3,"Ativo",Tabela3[[#This Row],[PAPEL]])&gt;1,1,GETPIVOTDATA("Payout",'Tabela LL'!$A$3,"Ativo",Tabela3[[#This Row],[PAPEL]]))</f>
        <v>0.37734950584130339</v>
      </c>
      <c r="J133" s="5">
        <f>Tabela3[Patrimônio Líquido]/Tabela3[Total Ações]</f>
        <v>16.989201752554369</v>
      </c>
      <c r="K133" s="57">
        <f>MAX(Tabela3[[#This Row],[Cotação 1]],Tabela3[[#This Row],[Cotação 2]])</f>
        <v>44.71</v>
      </c>
      <c r="L133" s="58">
        <f>Tabela3[Cotação]/Tabela3[VPA]</f>
        <v>2.6316716141932766</v>
      </c>
      <c r="M133" s="39">
        <f>IF(Tabela3[[#This Row],[Lucro/Ação]]&gt;0,Tabela3[[#This Row],[Cotação]]/Tabela3[[#This Row],[Lucro/Ação]],0)</f>
        <v>45.677836815618974</v>
      </c>
      <c r="N133" s="5">
        <f>Tabela3[[#This Row],[Lucro/Ação]]*Tabela3[[#This Row],[Payout]]</f>
        <v>0.36935410217140019</v>
      </c>
      <c r="O133" s="16" t="str">
        <f>IF(AND(Tabela3[% A.A.]&gt;=10%,Tabela3[PVPA]&lt;=2,Tabela3[PL]&lt;=15,Tabela3[PL]&gt;0),"Sim","Não")</f>
        <v>Não</v>
      </c>
      <c r="P133" s="22">
        <f>Tabela3[[#This Row],[Lucro Prev]]/Tabela3[[#This Row],[Cotação]]</f>
        <v>8.261107183435477E-3</v>
      </c>
      <c r="Q133" s="18">
        <f>((1+Tabela3[[#This Row],[% Yield]])^(1/(3*Tabela3[[#This Row],[Ref]])))^(12)-1</f>
        <v>1.1029947585767808E-2</v>
      </c>
      <c r="R133" s="10">
        <f>($X$1/Tabela3[[#This Row],[Cotação]]-MOD($X$1/Tabela3[[#This Row],[Cotação]],100))</f>
        <v>0</v>
      </c>
      <c r="S133" s="7">
        <f>Tabela3[[#This Row],[Ativos]]*Tabela3[[#This Row],[Lucro Prev]]</f>
        <v>0</v>
      </c>
      <c r="T133" s="50">
        <f>SUMPRODUCT(N(Tabela1[Código]=Tabela3[[#This Row],[PAPEL]]),Tabela1[Fechamento])</f>
        <v>0</v>
      </c>
      <c r="U133" s="59">
        <f>SUMPRODUCT(N(Tabela17[Código]=Tabela3[[#This Row],[PAPEL]]),Tabela17[Fechamento])</f>
        <v>44.71</v>
      </c>
    </row>
    <row r="134" spans="1:21" hidden="1" x14ac:dyDescent="0.2">
      <c r="A134" s="4" t="s">
        <v>26</v>
      </c>
      <c r="B134" s="69" t="s">
        <v>25</v>
      </c>
      <c r="C134" s="15">
        <v>3</v>
      </c>
      <c r="D134" s="6">
        <v>6389579000</v>
      </c>
      <c r="E134" s="6">
        <v>1570142000</v>
      </c>
      <c r="F134" s="6">
        <f>GETPIVOTDATA("Average of Lucro Líquido",'Tabela LL'!$A$3,"Ativo",Tabela3[[#This Row],[PAPEL]])/4*Tabela3[[#This Row],[Ref]]</f>
        <v>1500000000</v>
      </c>
      <c r="G134" s="41">
        <v>2000000000</v>
      </c>
      <c r="H134" s="71">
        <f>Tabela3[[#This Row],[Lucro Líquido]]/Tabela3[[#This Row],[Total Ações]]</f>
        <v>0.78507099999999996</v>
      </c>
      <c r="I134" s="19">
        <f>IF(GETPIVOTDATA("Payout",'Tabela LL'!$A$3,"Ativo",Tabela3[[#This Row],[PAPEL]])&gt;1,1,GETPIVOTDATA("Payout",'Tabela LL'!$A$3,"Ativo",Tabela3[[#This Row],[PAPEL]]))</f>
        <v>0.25</v>
      </c>
      <c r="J134" s="6">
        <f>Tabela3[Patrimônio Líquido]/Tabela3[Total Ações]</f>
        <v>3.1947895000000002</v>
      </c>
      <c r="K134" s="51">
        <f>MAX(Tabela3[[#This Row],[Cotação 1]],Tabela3[[#This Row],[Cotação 2]])</f>
        <v>23.96</v>
      </c>
      <c r="L134" s="47">
        <f>Tabela3[Cotação]/Tabela3[VPA]</f>
        <v>7.4997116398435635</v>
      </c>
      <c r="M134" s="43">
        <f>IF(Tabela3[[#This Row],[Lucro/Ação]]&gt;0,Tabela3[[#This Row],[Cotação]]/Tabela3[[#This Row],[Lucro/Ação]],0)</f>
        <v>30.519532628259103</v>
      </c>
      <c r="N134" s="6">
        <f>Tabela3[[#This Row],[Lucro/Ação]]*Tabela3[[#This Row],[Payout]]</f>
        <v>0.19626774999999999</v>
      </c>
      <c r="O134" s="15" t="str">
        <f>IF(AND(Tabela3[% A.A.]&gt;=10%,Tabela3[PVPA]&lt;=2,Tabela3[PL]&lt;=15,Tabela3[PL]&gt;0),"Sim","Não")</f>
        <v>Não</v>
      </c>
      <c r="P134" s="45">
        <f>Tabela3[[#This Row],[Lucro Prev]]/Tabela3[[#This Row],[Cotação]]</f>
        <v>8.1914753756260426E-3</v>
      </c>
      <c r="Q134" s="19">
        <f>((1+Tabela3[[#This Row],[% Yield]])^(1/(3*Tabela3[[#This Row],[Ref]])))^(12)-1</f>
        <v>1.0936851287373317E-2</v>
      </c>
      <c r="R134" s="14">
        <f>($X$1/Tabela3[[#This Row],[Cotação]]-MOD($X$1/Tabela3[[#This Row],[Cotação]],100))</f>
        <v>0</v>
      </c>
      <c r="S134" s="17">
        <f>Tabela3[[#This Row],[Ativos]]*Tabela3[[#This Row],[Lucro Prev]]</f>
        <v>0</v>
      </c>
      <c r="T134" s="13">
        <f>SUMPRODUCT(N(Tabela1[Código]=Tabela3[[#This Row],[PAPEL]]),Tabela1[Fechamento])</f>
        <v>0</v>
      </c>
      <c r="U134" s="13">
        <f>SUMPRODUCT(N(Tabela17[Código]=Tabela3[[#This Row],[PAPEL]]),Tabela17[Fechamento])</f>
        <v>23.96</v>
      </c>
    </row>
    <row r="135" spans="1:21" hidden="1" x14ac:dyDescent="0.2">
      <c r="A135" s="3" t="s">
        <v>314</v>
      </c>
      <c r="B135" s="72" t="s">
        <v>316</v>
      </c>
      <c r="C135" s="16">
        <v>3</v>
      </c>
      <c r="D135" s="5">
        <v>21913989000</v>
      </c>
      <c r="E135" s="5">
        <v>786184000</v>
      </c>
      <c r="F135" s="5">
        <f>GETPIVOTDATA("Average of Lucro Líquido",'Tabela LL'!$A$3,"Ativo",Tabela3[[#This Row],[PAPEL]])/4*Tabela3[[#This Row],[Ref]]</f>
        <v>71563392.017499998</v>
      </c>
      <c r="G135" s="21">
        <v>2943644008</v>
      </c>
      <c r="H135" s="70">
        <f>Tabela3[[#This Row],[Lucro Líquido]]/Tabela3[[#This Row],[Total Ações]]</f>
        <v>0.26707849110265103</v>
      </c>
      <c r="I135" s="18">
        <f>IF(GETPIVOTDATA("Payout",'Tabela LL'!$A$3,"Ativo",Tabela3[[#This Row],[PAPEL]])&gt;1,1,GETPIVOTDATA("Payout",'Tabela LL'!$A$3,"Ativo",Tabela3[[#This Row],[PAPEL]]))</f>
        <v>0.23749999886663223</v>
      </c>
      <c r="J135" s="5">
        <f>Tabela3[Patrimônio Líquido]/Tabela3[Total Ações]</f>
        <v>7.4445105931437077</v>
      </c>
      <c r="K135" s="57">
        <f>MAX(Tabela3[[#This Row],[Cotação 1]],Tabela3[[#This Row],[Cotação 2]])</f>
        <v>8.9</v>
      </c>
      <c r="L135" s="58">
        <f>Tabela3[Cotação]/Tabela3[VPA]</f>
        <v>1.1955117651651646</v>
      </c>
      <c r="M135" s="39">
        <f>IF(Tabela3[[#This Row],[Lucro/Ação]]&gt;0,Tabela3[[#This Row],[Cotação]]/Tabela3[[#This Row],[Lucro/Ação]],0)</f>
        <v>33.323537074272693</v>
      </c>
      <c r="N135" s="5">
        <f>Tabela3[[#This Row],[Lucro/Ação]]*Tabela3[[#This Row],[Payout]]</f>
        <v>6.3431141334181471E-2</v>
      </c>
      <c r="O135" s="16" t="str">
        <f>IF(AND(Tabela3[% A.A.]&gt;=10%,Tabela3[PVPA]&lt;=2,Tabela3[PL]&lt;=15,Tabela3[PL]&gt;0),"Sim","Não")</f>
        <v>Não</v>
      </c>
      <c r="P135" s="22">
        <f>Tabela3[[#This Row],[Lucro Prev]]/Tabela3[[#This Row],[Cotação]]</f>
        <v>7.1270945319305019E-3</v>
      </c>
      <c r="Q135" s="18">
        <f>((1+Tabela3[[#This Row],[% Yield]])^(1/(3*Tabela3[[#This Row],[Ref]])))^(12)-1</f>
        <v>9.5140627680538881E-3</v>
      </c>
      <c r="R135" s="10">
        <f>($X$1/Tabela3[[#This Row],[Cotação]]-MOD($X$1/Tabela3[[#This Row],[Cotação]],100))</f>
        <v>0</v>
      </c>
      <c r="S135" s="7">
        <f>Tabela3[[#This Row],[Ativos]]*Tabela3[[#This Row],[Lucro Prev]]</f>
        <v>0</v>
      </c>
      <c r="T135" s="50">
        <f>SUMPRODUCT(N(Tabela1[Código]=Tabela3[[#This Row],[PAPEL]]),Tabela1[Fechamento])</f>
        <v>0</v>
      </c>
      <c r="U135" s="59">
        <f>SUMPRODUCT(N(Tabela17[Código]=Tabela3[[#This Row],[PAPEL]]),Tabela17[Fechamento])</f>
        <v>8.9</v>
      </c>
    </row>
    <row r="136" spans="1:21" hidden="1" x14ac:dyDescent="0.2">
      <c r="A136" s="3" t="s">
        <v>272</v>
      </c>
      <c r="B136" s="14" t="s">
        <v>269</v>
      </c>
      <c r="C136" s="16">
        <v>3</v>
      </c>
      <c r="D136" s="5">
        <v>1206918000</v>
      </c>
      <c r="E136" s="5">
        <v>49929000</v>
      </c>
      <c r="F136" s="5">
        <f>GETPIVOTDATA("Average of Lucro Líquido",'Tabela LL'!$A$3,"Ativo",Tabela3[[#This Row],[PAPEL]])/4*Tabela3[[#This Row],[Ref]]</f>
        <v>77439728.677499995</v>
      </c>
      <c r="G136" s="21">
        <v>88320000</v>
      </c>
      <c r="H136" s="16">
        <f>Tabela3[[#This Row],[Lucro Líquido]]/Tabela3[[#This Row],[Total Ações]]</f>
        <v>0.56531929347826082</v>
      </c>
      <c r="I136" s="18">
        <f>IF(GETPIVOTDATA("Payout",'Tabela LL'!$A$3,"Ativo",Tabela3[[#This Row],[PAPEL]])&gt;1,1,GETPIVOTDATA("Payout",'Tabela LL'!$A$3,"Ativo",Tabela3[[#This Row],[PAPEL]]))</f>
        <v>0.22491646614074809</v>
      </c>
      <c r="J136" s="5">
        <f>Tabela3[Patrimônio Líquido]/Tabela3[Total Ações]</f>
        <v>13.665285326086957</v>
      </c>
      <c r="K136" s="57">
        <f>MAX(Tabela3[[#This Row],[Cotação 1]],Tabela3[[#This Row],[Cotação 2]])</f>
        <v>19</v>
      </c>
      <c r="L136" s="58">
        <f>Tabela3[Cotação]/Tabela3[VPA]</f>
        <v>1.3903844337394917</v>
      </c>
      <c r="M136" s="39">
        <f>IF(Tabela3[[#This Row],[Lucro/Ação]]&gt;0,Tabela3[[#This Row],[Cotação]]/Tabela3[[#This Row],[Lucro/Ação]],0)</f>
        <v>33.609325241843422</v>
      </c>
      <c r="N136" s="5">
        <f>Tabela3[[#This Row],[Lucro/Ação]]*Tabela3[[#This Row],[Payout]]</f>
        <v>0.12714961773031488</v>
      </c>
      <c r="O136" s="16" t="str">
        <f>IF(AND(Tabela3[% A.A.]&gt;=10%,Tabela3[PVPA]&lt;=2,Tabela3[PL]&lt;=15,Tabela3[PL]&gt;0),"Sim","Não")</f>
        <v>Não</v>
      </c>
      <c r="P136" s="22">
        <f>Tabela3[[#This Row],[Lucro Prev]]/Tabela3[[#This Row],[Cotação]]</f>
        <v>6.6920851437007834E-3</v>
      </c>
      <c r="Q136" s="18">
        <f>((1+Tabela3[[#This Row],[% Yield]])^(1/(3*Tabela3[[#This Row],[Ref]])))^(12)-1</f>
        <v>8.9327174335958048E-3</v>
      </c>
      <c r="R136" s="10">
        <f>($X$1/Tabela3[[#This Row],[Cotação]]-MOD($X$1/Tabela3[[#This Row],[Cotação]],100))</f>
        <v>0</v>
      </c>
      <c r="S136" s="7">
        <f>Tabela3[[#This Row],[Ativos]]*Tabela3[[#This Row],[Lucro Prev]]</f>
        <v>0</v>
      </c>
      <c r="T136" s="5">
        <f>SUMPRODUCT(N(Tabela1[Código]=Tabela3[[#This Row],[PAPEL]]),Tabela1[Fechamento])</f>
        <v>19</v>
      </c>
      <c r="U136" s="5">
        <f>SUMPRODUCT(N(Tabela17[Código]=Tabela3[[#This Row],[PAPEL]]),Tabela17[Fechamento])</f>
        <v>0</v>
      </c>
    </row>
    <row r="137" spans="1:21" hidden="1" x14ac:dyDescent="0.2">
      <c r="A137" s="4" t="s">
        <v>14</v>
      </c>
      <c r="B137" s="14" t="s">
        <v>251</v>
      </c>
      <c r="C137" s="15">
        <v>3</v>
      </c>
      <c r="D137" s="5">
        <v>843867000</v>
      </c>
      <c r="E137" s="5">
        <v>34502000</v>
      </c>
      <c r="F137" s="5">
        <f>GETPIVOTDATA("Average of Lucro Líquido",'Tabela LL'!$A$3,"Ativo",Tabela3[[#This Row],[PAPEL]])/4*Tabela3[[#This Row],[Ref]]</f>
        <v>40652250</v>
      </c>
      <c r="G137" s="21">
        <v>73646388</v>
      </c>
      <c r="H137" s="15">
        <f>Tabela3[[#This Row],[Lucro Líquido]]/Tabela3[[#This Row],[Total Ações]]</f>
        <v>0.46848190300928266</v>
      </c>
      <c r="I137" s="19">
        <f>IF(GETPIVOTDATA("Payout",'Tabela LL'!$A$3,"Ativo",Tabela3[[#This Row],[PAPEL]])&gt;1,1,GETPIVOTDATA("Payout",'Tabela LL'!$A$3,"Ativo",Tabela3[[#This Row],[PAPEL]]))</f>
        <v>5.4484299057845742E-2</v>
      </c>
      <c r="J137" s="6">
        <f>Tabela3[Patrimônio Líquido]/Tabela3[Total Ações]</f>
        <v>11.45836235716</v>
      </c>
      <c r="K137" s="51">
        <f>MAX(Tabela3[[#This Row],[Cotação 1]],Tabela3[[#This Row],[Cotação 2]])</f>
        <v>4</v>
      </c>
      <c r="L137" s="47">
        <f>Tabela3[Cotação]/Tabela3[VPA]</f>
        <v>0.34909002484988749</v>
      </c>
      <c r="M137" s="43">
        <f>IF(Tabela3[[#This Row],[Lucro/Ação]]&gt;0,Tabela3[[#This Row],[Cotação]]/Tabela3[[#This Row],[Lucro/Ação]],0)</f>
        <v>8.5382166830908357</v>
      </c>
      <c r="N137" s="6">
        <f>Tabela3[[#This Row],[Lucro/Ação]]*Tabela3[[#This Row],[Payout]]</f>
        <v>2.552490810674644E-2</v>
      </c>
      <c r="O137" s="15" t="str">
        <f>IF(AND(Tabela3[% A.A.]&gt;=10%,Tabela3[PVPA]&lt;=2,Tabela3[PL]&lt;=15,Tabela3[PL]&gt;0),"Sim","Não")</f>
        <v>Não</v>
      </c>
      <c r="P137" s="45">
        <f>Tabela3[[#This Row],[Lucro Prev]]/Tabela3[[#This Row],[Cotação]]</f>
        <v>6.3812270266866101E-3</v>
      </c>
      <c r="Q137" s="19">
        <f>((1+Tabela3[[#This Row],[% Yield]])^(1/(3*Tabela3[[#This Row],[Ref]])))^(12)-1</f>
        <v>8.5173388063108924E-3</v>
      </c>
      <c r="R137" s="14">
        <f>($X$1/Tabela3[[#This Row],[Cotação]]-MOD($X$1/Tabela3[[#This Row],[Cotação]],100))</f>
        <v>0</v>
      </c>
      <c r="S137" s="17">
        <f>Tabela3[[#This Row],[Ativos]]*Tabela3[[#This Row],[Lucro Prev]]</f>
        <v>0</v>
      </c>
      <c r="T137" s="5">
        <f>SUMPRODUCT(N(Tabela1[Código]=Tabela3[[#This Row],[PAPEL]]),Tabela1[Fechamento])</f>
        <v>4</v>
      </c>
      <c r="U137" s="5">
        <f>SUMPRODUCT(N(Tabela17[Código]=Tabela3[[#This Row],[PAPEL]]),Tabela17[Fechamento])</f>
        <v>0</v>
      </c>
    </row>
    <row r="138" spans="1:21" hidden="1" x14ac:dyDescent="0.2">
      <c r="A138" s="4" t="s">
        <v>14</v>
      </c>
      <c r="B138" s="14" t="s">
        <v>231</v>
      </c>
      <c r="C138" s="15">
        <v>3</v>
      </c>
      <c r="D138" s="6">
        <v>1922945000</v>
      </c>
      <c r="E138" s="6">
        <v>22434000</v>
      </c>
      <c r="F138" s="6">
        <f>GETPIVOTDATA("Average of Lucro Líquido",'Tabela LL'!$A$3,"Ativo",Tabela3[[#This Row],[PAPEL]])/4*Tabela3[[#This Row],[Ref]]</f>
        <v>172439487.155</v>
      </c>
      <c r="G138" s="41">
        <v>252903569</v>
      </c>
      <c r="H138" s="15">
        <f>Tabela3[[#This Row],[Lucro Líquido]]/Tabela3[[#This Row],[Total Ações]]</f>
        <v>8.8705746971882396E-2</v>
      </c>
      <c r="I138" s="19">
        <f>IF(GETPIVOTDATA("Payout",'Tabela LL'!$A$3,"Ativo",Tabela3[[#This Row],[PAPEL]])&gt;1,1,GETPIVOTDATA("Payout",'Tabela LL'!$A$3,"Ativo",Tabela3[[#This Row],[PAPEL]]))</f>
        <v>0.69029873873004899</v>
      </c>
      <c r="J138" s="6">
        <f>Tabela3[Patrimônio Líquido]/Tabela3[Total Ações]</f>
        <v>7.60347118707526</v>
      </c>
      <c r="K138" s="51">
        <f>MAX(Tabela3[[#This Row],[Cotação 1]],Tabela3[[#This Row],[Cotação 2]])</f>
        <v>9.65</v>
      </c>
      <c r="L138" s="47">
        <f>Tabela3[Cotação]/Tabela3[VPA]</f>
        <v>1.269157173424097</v>
      </c>
      <c r="M138" s="43">
        <f>IF(Tabela3[[#This Row],[Lucro/Ação]]&gt;0,Tabela3[[#This Row],[Cotação]]/Tabela3[[#This Row],[Lucro/Ação]],0)</f>
        <v>108.78663817642864</v>
      </c>
      <c r="N138" s="6">
        <f>Tabela3[[#This Row],[Lucro/Ação]]*Tabela3[[#This Row],[Payout]]</f>
        <v>6.1233465252797277E-2</v>
      </c>
      <c r="O138" s="15" t="str">
        <f>IF(AND(Tabela3[% A.A.]&gt;=10%,Tabela3[PVPA]&lt;=2,Tabela3[PL]&lt;=15,Tabela3[PL]&gt;0),"Sim","Não")</f>
        <v>Não</v>
      </c>
      <c r="P138" s="45">
        <f>Tabela3[[#This Row],[Lucro Prev]]/Tabela3[[#This Row],[Cotação]]</f>
        <v>6.3454368137613754E-3</v>
      </c>
      <c r="Q138" s="19">
        <f>((1+Tabela3[[#This Row],[% Yield]])^(1/(3*Tabela3[[#This Row],[Ref]])))^(12)-1</f>
        <v>8.4695175163524983E-3</v>
      </c>
      <c r="R138" s="14">
        <f>($X$1/Tabela3[[#This Row],[Cotação]]-MOD($X$1/Tabela3[[#This Row],[Cotação]],100))</f>
        <v>0</v>
      </c>
      <c r="S138" s="17">
        <f>Tabela3[[#This Row],[Ativos]]*Tabela3[[#This Row],[Lucro Prev]]</f>
        <v>0</v>
      </c>
      <c r="T138" s="5">
        <f>SUMPRODUCT(N(Tabela1[Código]=Tabela3[[#This Row],[PAPEL]]),Tabela1[Fechamento])</f>
        <v>9.65</v>
      </c>
      <c r="U138" s="5">
        <f>SUMPRODUCT(N(Tabela17[Código]=Tabela3[[#This Row],[PAPEL]]),Tabela17[Fechamento])</f>
        <v>0</v>
      </c>
    </row>
    <row r="139" spans="1:21" hidden="1" x14ac:dyDescent="0.2">
      <c r="A139" s="4" t="s">
        <v>14</v>
      </c>
      <c r="B139" s="15" t="s">
        <v>246</v>
      </c>
      <c r="C139" s="16">
        <v>3</v>
      </c>
      <c r="D139" s="5">
        <v>843867000</v>
      </c>
      <c r="E139" s="5">
        <v>34502000</v>
      </c>
      <c r="F139" s="5">
        <f>GETPIVOTDATA("Average of Lucro Líquido",'Tabela LL'!$A$3,"Ativo",Tabela3[[#This Row],[PAPEL]])/4*Tabela3[[#This Row],[Ref]]</f>
        <v>40652250</v>
      </c>
      <c r="G139" s="21">
        <v>73646388</v>
      </c>
      <c r="H139" s="16">
        <f>Tabela3[[#This Row],[Lucro Líquido]]/Tabela3[[#This Row],[Total Ações]]</f>
        <v>0.46848190300928266</v>
      </c>
      <c r="I139" s="18">
        <f>IF(GETPIVOTDATA("Payout",'Tabela LL'!$A$3,"Ativo",Tabela3[[#This Row],[PAPEL]])&gt;1,1,GETPIVOTDATA("Payout",'Tabela LL'!$A$3,"Ativo",Tabela3[[#This Row],[PAPEL]]))</f>
        <v>4.7361278676921532E-2</v>
      </c>
      <c r="J139" s="5">
        <f>Tabela3[Patrimônio Líquido]/Tabela3[Total Ações]</f>
        <v>11.45836235716</v>
      </c>
      <c r="K139" s="57">
        <f>MAX(Tabela3[[#This Row],[Cotação 1]],Tabela3[[#This Row],[Cotação 2]])</f>
        <v>4.2</v>
      </c>
      <c r="L139" s="58">
        <f>Tabela3[Cotação]/Tabela3[VPA]</f>
        <v>0.36654452609238186</v>
      </c>
      <c r="M139" s="39">
        <f>IF(Tabela3[[#This Row],[Lucro/Ação]]&gt;0,Tabela3[[#This Row],[Cotação]]/Tabela3[[#This Row],[Lucro/Ação]],0)</f>
        <v>8.9651275172453779</v>
      </c>
      <c r="N139" s="5">
        <f>Tabela3[[#This Row],[Lucro/Ação]]*Tabela3[[#This Row],[Payout]]</f>
        <v>2.2187901963517161E-2</v>
      </c>
      <c r="O139" s="16" t="str">
        <f>IF(AND(Tabela3[% A.A.]&gt;=10%,Tabela3[PVPA]&lt;=2,Tabela3[PL]&lt;=15,Tabela3[PL]&gt;0),"Sim","Não")</f>
        <v>Não</v>
      </c>
      <c r="P139" s="22">
        <f>Tabela3[[#This Row],[Lucro Prev]]/Tabela3[[#This Row],[Cotação]]</f>
        <v>5.2828338008374187E-3</v>
      </c>
      <c r="Q139" s="18">
        <f>((1+Tabela3[[#This Row],[% Yield]])^(1/(3*Tabela3[[#This Row],[Ref]])))^(12)-1</f>
        <v>7.0499729881223772E-3</v>
      </c>
      <c r="R139" s="10">
        <f>($X$1/Tabela3[[#This Row],[Cotação]]-MOD($X$1/Tabela3[[#This Row],[Cotação]],100))</f>
        <v>0</v>
      </c>
      <c r="S139" s="7">
        <f>Tabela3[[#This Row],[Ativos]]*Tabela3[[#This Row],[Lucro Prev]]</f>
        <v>0</v>
      </c>
      <c r="T139" s="5">
        <f>SUMPRODUCT(N(Tabela1[Código]=Tabela3[[#This Row],[PAPEL]]),Tabela1[Fechamento])</f>
        <v>4.2</v>
      </c>
      <c r="U139" s="5">
        <f>SUMPRODUCT(N(Tabela17[Código]=Tabela3[[#This Row],[PAPEL]]),Tabela17[Fechamento])</f>
        <v>0</v>
      </c>
    </row>
    <row r="140" spans="1:21" hidden="1" x14ac:dyDescent="0.2">
      <c r="A140" s="3" t="s">
        <v>426</v>
      </c>
      <c r="B140" s="72" t="s">
        <v>424</v>
      </c>
      <c r="C140" s="16">
        <v>3</v>
      </c>
      <c r="D140" s="5">
        <v>162348000</v>
      </c>
      <c r="E140" s="5">
        <v>18569000</v>
      </c>
      <c r="F140" s="5">
        <f>GETPIVOTDATA("Average of Lucro Líquido",'Tabela LL'!$A$3,"Ativo",Tabela3[[#This Row],[PAPEL]])/4*Tabela3[[#This Row],[Ref]]</f>
        <v>12440250</v>
      </c>
      <c r="G140" s="21">
        <v>11759999</v>
      </c>
      <c r="H140" s="16">
        <f>Tabela3[[#This Row],[Lucro Líquido]]/Tabela3[[#This Row],[Total Ações]]</f>
        <v>1.5789967329078856</v>
      </c>
      <c r="I140" s="18">
        <f>IF(GETPIVOTDATA("Payout",'Tabela LL'!$A$3,"Ativo",Tabela3[[#This Row],[PAPEL]])&gt;1,1,GETPIVOTDATA("Payout",'Tabela LL'!$A$3,"Ativo",Tabela3[[#This Row],[PAPEL]]))</f>
        <v>0.27169719418566168</v>
      </c>
      <c r="J140" s="5">
        <f>Tabela3[Patrimônio Líquido]/Tabela3[Total Ações]</f>
        <v>13.805103214719662</v>
      </c>
      <c r="K140" s="57">
        <f>MAX(Tabela3[[#This Row],[Cotação 1]],Tabela3[[#This Row],[Cotação 2]])</f>
        <v>83.91</v>
      </c>
      <c r="L140" s="58">
        <f>Tabela3[Cotação]/Tabela3[VPA]</f>
        <v>6.0781870801611353</v>
      </c>
      <c r="M140" s="39">
        <f>IF(Tabela3[[#This Row],[Lucro/Ação]]&gt;0,Tabela3[[#This Row],[Cotação]]/Tabela3[[#This Row],[Lucro/Ação]],0)</f>
        <v>53.141338579891212</v>
      </c>
      <c r="N140" s="5">
        <f>Tabela3[[#This Row],[Lucro/Ação]]*Tabela3[[#This Row],[Payout]]</f>
        <v>0.42900898195939918</v>
      </c>
      <c r="O140" s="16" t="str">
        <f>IF(AND(Tabela3[% A.A.]&gt;=10%,Tabela3[PVPA]&lt;=2,Tabela3[PL]&lt;=15,Tabela3[PL]&gt;0),"Sim","Não")</f>
        <v>Não</v>
      </c>
      <c r="P140" s="22">
        <f>Tabela3[[#This Row],[Lucro Prev]]/Tabela3[[#This Row],[Cotação]]</f>
        <v>5.1127277077749871E-3</v>
      </c>
      <c r="Q140" s="18">
        <f>((1+Tabela3[[#This Row],[% Yield]])^(1/(3*Tabela3[[#This Row],[Ref]])))^(12)-1</f>
        <v>6.8227725766907277E-3</v>
      </c>
      <c r="R140" s="10">
        <f>($X$1/Tabela3[[#This Row],[Cotação]]-MOD($X$1/Tabela3[[#This Row],[Cotação]],100))</f>
        <v>0</v>
      </c>
      <c r="S140" s="7">
        <f>Tabela3[[#This Row],[Ativos]]*Tabela3[[#This Row],[Lucro Prev]]</f>
        <v>0</v>
      </c>
      <c r="T140" s="50">
        <f>SUMPRODUCT(N(Tabela1[Código]=Tabela3[[#This Row],[PAPEL]]),Tabela1[Fechamento])</f>
        <v>0</v>
      </c>
      <c r="U140" s="59">
        <f>SUMPRODUCT(N(Tabela17[Código]=Tabela3[[#This Row],[PAPEL]]),Tabela17[Fechamento])</f>
        <v>83.91</v>
      </c>
    </row>
    <row r="141" spans="1:21" hidden="1" x14ac:dyDescent="0.2">
      <c r="A141" s="3" t="s">
        <v>407</v>
      </c>
      <c r="B141" s="72" t="s">
        <v>410</v>
      </c>
      <c r="C141" s="16">
        <v>3</v>
      </c>
      <c r="D141" s="5">
        <v>8579316000</v>
      </c>
      <c r="E141" s="5">
        <v>334866000</v>
      </c>
      <c r="F141" s="5">
        <f>GETPIVOTDATA("Average of Lucro Líquido",'Tabela LL'!$A$3,"Ativo",Tabela3[[#This Row],[PAPEL]])/4*Tabela3[[#This Row],[Ref]]</f>
        <v>939730024.86937499</v>
      </c>
      <c r="G141" s="21">
        <v>457066306</v>
      </c>
      <c r="H141" s="16">
        <f>Tabela3[[#This Row],[Lucro Líquido]]/Tabela3[[#This Row],[Total Ações]]</f>
        <v>0.73264206003406429</v>
      </c>
      <c r="I141" s="18">
        <f>IF(GETPIVOTDATA("Payout",'Tabela LL'!$A$3,"Ativo",Tabela3[[#This Row],[PAPEL]])&gt;1,1,GETPIVOTDATA("Payout",'Tabela LL'!$A$3,"Ativo",Tabela3[[#This Row],[PAPEL]]))</f>
        <v>0.11310764362768161</v>
      </c>
      <c r="J141" s="5">
        <f>Tabela3[Patrimônio Líquido]/Tabela3[Total Ações]</f>
        <v>18.770396958554194</v>
      </c>
      <c r="K141" s="57">
        <f>MAX(Tabela3[[#This Row],[Cotação 1]],Tabela3[[#This Row],[Cotação 2]])</f>
        <v>17.14</v>
      </c>
      <c r="L141" s="58">
        <f>Tabela3[Cotação]/Tabela3[VPA]</f>
        <v>0.91313998515033135</v>
      </c>
      <c r="M141" s="39">
        <f>IF(Tabela3[[#This Row],[Lucro/Ação]]&gt;0,Tabela3[[#This Row],[Cotação]]/Tabela3[[#This Row],[Lucro/Ação]],0)</f>
        <v>23.394780254907936</v>
      </c>
      <c r="N141" s="5">
        <f>Tabela3[[#This Row],[Lucro/Ação]]*Tabela3[[#This Row],[Payout]]</f>
        <v>8.2867417032983462E-2</v>
      </c>
      <c r="O141" s="16" t="str">
        <f>IF(AND(Tabela3[% A.A.]&gt;=10%,Tabela3[PVPA]&lt;=2,Tabela3[PL]&lt;=15,Tabela3[PL]&gt;0),"Sim","Não")</f>
        <v>Não</v>
      </c>
      <c r="P141" s="22">
        <f>Tabela3[[#This Row],[Lucro Prev]]/Tabela3[[#This Row],[Cotação]]</f>
        <v>4.8347384499990353E-3</v>
      </c>
      <c r="Q141" s="18">
        <f>((1+Tabela3[[#This Row],[% Yield]])^(1/(3*Tabela3[[#This Row],[Ref]])))^(12)-1</f>
        <v>6.4515067406389903E-3</v>
      </c>
      <c r="R141" s="10">
        <f>($X$1/Tabela3[[#This Row],[Cotação]]-MOD($X$1/Tabela3[[#This Row],[Cotação]],100))</f>
        <v>0</v>
      </c>
      <c r="S141" s="7">
        <f>Tabela3[[#This Row],[Ativos]]*Tabela3[[#This Row],[Lucro Prev]]</f>
        <v>0</v>
      </c>
      <c r="T141" s="50">
        <f>SUMPRODUCT(N(Tabela1[Código]=Tabela3[[#This Row],[PAPEL]]),Tabela1[Fechamento])</f>
        <v>0</v>
      </c>
      <c r="U141" s="59">
        <f>SUMPRODUCT(N(Tabela17[Código]=Tabela3[[#This Row],[PAPEL]]),Tabela17[Fechamento])</f>
        <v>17.14</v>
      </c>
    </row>
    <row r="142" spans="1:21" hidden="1" x14ac:dyDescent="0.2">
      <c r="A142" s="3" t="s">
        <v>407</v>
      </c>
      <c r="B142" s="72" t="s">
        <v>412</v>
      </c>
      <c r="C142" s="16">
        <v>3</v>
      </c>
      <c r="D142" s="5">
        <v>8025139000</v>
      </c>
      <c r="E142" s="5">
        <v>230295000</v>
      </c>
      <c r="F142" s="5">
        <f>GETPIVOTDATA("Average of Lucro Líquido",'Tabela LL'!$A$3,"Ativo",Tabela3[[#This Row],[PAPEL]])/4*Tabela3[[#This Row],[Ref]]</f>
        <v>591293859.29500008</v>
      </c>
      <c r="G142" s="21">
        <v>312653445</v>
      </c>
      <c r="H142" s="16">
        <f>Tabela3[[#This Row],[Lucro Líquido]]/Tabela3[[#This Row],[Total Ações]]</f>
        <v>0.73658232040270655</v>
      </c>
      <c r="I142" s="18">
        <f>IF(GETPIVOTDATA("Payout",'Tabela LL'!$A$3,"Ativo",Tabela3[[#This Row],[PAPEL]])&gt;1,1,GETPIVOTDATA("Payout",'Tabela LL'!$A$3,"Ativo",Tabela3[[#This Row],[PAPEL]]))</f>
        <v>0.11682654188083424</v>
      </c>
      <c r="J142" s="5">
        <f>Tabela3[Patrimônio Líquido]/Tabela3[Total Ações]</f>
        <v>25.667841273906323</v>
      </c>
      <c r="K142" s="57">
        <f>MAX(Tabela3[[#This Row],[Cotação 1]],Tabela3[[#This Row],[Cotação 2]])</f>
        <v>18</v>
      </c>
      <c r="L142" s="58">
        <f>Tabela3[Cotação]/Tabela3[VPA]</f>
        <v>0.70126660859082934</v>
      </c>
      <c r="M142" s="39">
        <f>IF(Tabela3[[#This Row],[Lucro/Ação]]&gt;0,Tabela3[[#This Row],[Cotação]]/Tabela3[[#This Row],[Lucro/Ação]],0)</f>
        <v>24.43718712955123</v>
      </c>
      <c r="N142" s="5">
        <f>Tabela3[[#This Row],[Lucro/Ação]]*Tabela3[[#This Row],[Payout]]</f>
        <v>8.6052365303208866E-2</v>
      </c>
      <c r="O142" s="16" t="str">
        <f>IF(AND(Tabela3[% A.A.]&gt;=10%,Tabela3[PVPA]&lt;=2,Tabela3[PL]&lt;=15,Tabela3[PL]&gt;0),"Sim","Não")</f>
        <v>Não</v>
      </c>
      <c r="P142" s="22">
        <f>Tabela3[[#This Row],[Lucro Prev]]/Tabela3[[#This Row],[Cotação]]</f>
        <v>4.7806869612893816E-3</v>
      </c>
      <c r="Q142" s="18">
        <f>((1+Tabela3[[#This Row],[% Yield]])^(1/(3*Tabela3[[#This Row],[Ref]])))^(12)-1</f>
        <v>6.3793227785018392E-3</v>
      </c>
      <c r="R142" s="10">
        <f>($X$1/Tabela3[[#This Row],[Cotação]]-MOD($X$1/Tabela3[[#This Row],[Cotação]],100))</f>
        <v>0</v>
      </c>
      <c r="S142" s="7">
        <f>Tabela3[[#This Row],[Ativos]]*Tabela3[[#This Row],[Lucro Prev]]</f>
        <v>0</v>
      </c>
      <c r="T142" s="50">
        <f>SUMPRODUCT(N(Tabela1[Código]=Tabela3[[#This Row],[PAPEL]]),Tabela1[Fechamento])</f>
        <v>0</v>
      </c>
      <c r="U142" s="59">
        <f>SUMPRODUCT(N(Tabela17[Código]=Tabela3[[#This Row],[PAPEL]]),Tabela17[Fechamento])</f>
        <v>18</v>
      </c>
    </row>
    <row r="143" spans="1:21" hidden="1" x14ac:dyDescent="0.2">
      <c r="A143" s="3" t="s">
        <v>407</v>
      </c>
      <c r="B143" s="72" t="s">
        <v>408</v>
      </c>
      <c r="C143" s="16">
        <v>3</v>
      </c>
      <c r="D143" s="5">
        <v>1645312000</v>
      </c>
      <c r="E143" s="5">
        <v>40163000</v>
      </c>
      <c r="F143" s="5">
        <f>GETPIVOTDATA("Average of Lucro Líquido",'Tabela LL'!$A$3,"Ativo",Tabela3[[#This Row],[PAPEL]])/4*Tabela3[[#This Row],[Ref]]</f>
        <v>62084166.123750001</v>
      </c>
      <c r="G143" s="21">
        <v>159025920</v>
      </c>
      <c r="H143" s="16">
        <f>Tabela3[[#This Row],[Lucro Líquido]]/Tabela3[[#This Row],[Total Ações]]</f>
        <v>0.25255631283252439</v>
      </c>
      <c r="I143" s="18">
        <f>IF(GETPIVOTDATA("Payout",'Tabela LL'!$A$3,"Ativo",Tabela3[[#This Row],[PAPEL]])&gt;1,1,GETPIVOTDATA("Payout",'Tabela LL'!$A$3,"Ativo",Tabela3[[#This Row],[PAPEL]]))</f>
        <v>0.31390723596420989</v>
      </c>
      <c r="J143" s="5">
        <f>Tabela3[Patrimônio Líquido]/Tabela3[Total Ações]</f>
        <v>10.346187590048213</v>
      </c>
      <c r="K143" s="57">
        <f>MAX(Tabela3[[#This Row],[Cotação 1]],Tabela3[[#This Row],[Cotação 2]])</f>
        <v>18</v>
      </c>
      <c r="L143" s="58">
        <f>Tabela3[Cotação]/Tabela3[VPA]</f>
        <v>1.7397712774233702</v>
      </c>
      <c r="M143" s="39">
        <f>IF(Tabela3[[#This Row],[Lucro/Ação]]&gt;0,Tabela3[[#This Row],[Cotação]]/Tabela3[[#This Row],[Lucro/Ação]],0)</f>
        <v>71.27123372258049</v>
      </c>
      <c r="N143" s="5">
        <f>Tabela3[[#This Row],[Lucro/Ação]]*Tabela3[[#This Row],[Payout]]</f>
        <v>7.9279254086570036E-2</v>
      </c>
      <c r="O143" s="16" t="str">
        <f>IF(AND(Tabela3[% A.A.]&gt;=10%,Tabela3[PVPA]&lt;=2,Tabela3[PL]&lt;=15,Tabela3[PL]&gt;0),"Sim","Não")</f>
        <v>Não</v>
      </c>
      <c r="P143" s="22">
        <f>Tabela3[[#This Row],[Lucro Prev]]/Tabela3[[#This Row],[Cotação]]</f>
        <v>4.4044030048094466E-3</v>
      </c>
      <c r="Q143" s="18">
        <f>((1+Tabela3[[#This Row],[% Yield]])^(1/(3*Tabela3[[#This Row],[Ref]])))^(12)-1</f>
        <v>5.8768439650622728E-3</v>
      </c>
      <c r="R143" s="10">
        <f>($X$1/Tabela3[[#This Row],[Cotação]]-MOD($X$1/Tabela3[[#This Row],[Cotação]],100))</f>
        <v>0</v>
      </c>
      <c r="S143" s="7">
        <f>Tabela3[[#This Row],[Ativos]]*Tabela3[[#This Row],[Lucro Prev]]</f>
        <v>0</v>
      </c>
      <c r="T143" s="50">
        <f>SUMPRODUCT(N(Tabela1[Código]=Tabela3[[#This Row],[PAPEL]]),Tabela1[Fechamento])</f>
        <v>0</v>
      </c>
      <c r="U143" s="59">
        <f>SUMPRODUCT(N(Tabela17[Código]=Tabela3[[#This Row],[PAPEL]]),Tabela17[Fechamento])</f>
        <v>18</v>
      </c>
    </row>
    <row r="144" spans="1:21" hidden="1" x14ac:dyDescent="0.2">
      <c r="A144" s="4" t="s">
        <v>12</v>
      </c>
      <c r="B144" s="14" t="s">
        <v>180</v>
      </c>
      <c r="C144" s="15">
        <v>3</v>
      </c>
      <c r="D144" s="6">
        <v>143016000</v>
      </c>
      <c r="E144" s="6">
        <v>5000000</v>
      </c>
      <c r="F144" s="6">
        <f>GETPIVOTDATA("Average of Lucro Líquido",'Tabela LL'!$A$3,"Ativo",Tabela3[[#This Row],[PAPEL]])/4*Tabela3[[#This Row],[Ref]]</f>
        <v>13367437.5</v>
      </c>
      <c r="G144" s="41">
        <v>11764889</v>
      </c>
      <c r="H144" s="15">
        <f>Tabela3[[#This Row],[Lucro Líquido]]/Tabela3[[#This Row],[Total Ações]]</f>
        <v>0.4249933849779628</v>
      </c>
      <c r="I144" s="19">
        <f>IF(GETPIVOTDATA("Payout",'Tabela LL'!$A$3,"Ativo",Tabela3[[#This Row],[PAPEL]])&gt;1,1,GETPIVOTDATA("Payout",'Tabela LL'!$A$3,"Ativo",Tabela3[[#This Row],[PAPEL]]))</f>
        <v>0.43168732302801038</v>
      </c>
      <c r="J144" s="6">
        <f>Tabela3[Patrimônio Líquido]/Tabela3[Total Ações]</f>
        <v>12.156170789201665</v>
      </c>
      <c r="K144" s="51">
        <f>MAX(Tabela3[[#This Row],[Cotação 1]],Tabela3[[#This Row],[Cotação 2]])</f>
        <v>49.6</v>
      </c>
      <c r="L144" s="47">
        <f>Tabela3[Cotação]/Tabela3[VPA]</f>
        <v>4.0802322425462894</v>
      </c>
      <c r="M144" s="43">
        <f>IF(Tabela3[[#This Row],[Lucro/Ação]]&gt;0,Tabela3[[#This Row],[Cotação]]/Tabela3[[#This Row],[Lucro/Ação]],0)</f>
        <v>116.70769888000001</v>
      </c>
      <c r="N144" s="6">
        <f>Tabela3[[#This Row],[Lucro/Ação]]*Tabela3[[#This Row],[Payout]]</f>
        <v>0.18346425666574939</v>
      </c>
      <c r="O144" s="15" t="str">
        <f>IF(AND(Tabela3[% A.A.]&gt;=10%,Tabela3[PVPA]&lt;=2,Tabela3[PL]&lt;=15,Tabela3[PL]&gt;0),"Sim","Não")</f>
        <v>Não</v>
      </c>
      <c r="P144" s="45">
        <f>Tabela3[[#This Row],[Lucro Prev]]/Tabela3[[#This Row],[Cotação]]</f>
        <v>3.6988761424546247E-3</v>
      </c>
      <c r="Q144" s="19">
        <f>((1+Tabela3[[#This Row],[% Yield]])^(1/(3*Tabela3[[#This Row],[Ref]])))^(12)-1</f>
        <v>4.9348727357290123E-3</v>
      </c>
      <c r="R144" s="14">
        <f>($X$1/Tabela3[[#This Row],[Cotação]]-MOD($X$1/Tabela3[[#This Row],[Cotação]],100))</f>
        <v>0</v>
      </c>
      <c r="S144" s="17">
        <f>Tabela3[[#This Row],[Ativos]]*Tabela3[[#This Row],[Lucro Prev]]</f>
        <v>0</v>
      </c>
      <c r="T144" s="5">
        <f>SUMPRODUCT(N(Tabela1[Código]=Tabela3[[#This Row],[PAPEL]]),Tabela1[Fechamento])</f>
        <v>49.6</v>
      </c>
      <c r="U144" s="5">
        <f>SUMPRODUCT(N(Tabela17[Código]=Tabela3[[#This Row],[PAPEL]]),Tabela17[Fechamento])</f>
        <v>0</v>
      </c>
    </row>
    <row r="145" spans="1:21" hidden="1" x14ac:dyDescent="0.2">
      <c r="A145" s="4" t="s">
        <v>14</v>
      </c>
      <c r="B145" s="14" t="s">
        <v>211</v>
      </c>
      <c r="C145" s="15">
        <v>3</v>
      </c>
      <c r="D145" s="6">
        <v>727021000</v>
      </c>
      <c r="E145" s="6">
        <v>31097000</v>
      </c>
      <c r="F145" s="6">
        <f>GETPIVOTDATA("Average of Lucro Líquido",'Tabela LL'!$A$3,"Ativo",Tabela3[[#This Row],[PAPEL]])/4*Tabela3[[#This Row],[Ref]]</f>
        <v>34519875</v>
      </c>
      <c r="G145" s="41">
        <v>84682269</v>
      </c>
      <c r="H145" s="15">
        <f>Tabela3[[#This Row],[Lucro Líquido]]/Tabela3[[#This Row],[Total Ações]]</f>
        <v>0.36721973049635692</v>
      </c>
      <c r="I145" s="19">
        <f>IF(GETPIVOTDATA("Payout",'Tabela LL'!$A$3,"Ativo",Tabela3[[#This Row],[PAPEL]])&gt;1,1,GETPIVOTDATA("Payout",'Tabela LL'!$A$3,"Ativo",Tabela3[[#This Row],[PAPEL]]))</f>
        <v>2.9204663914363771E-2</v>
      </c>
      <c r="J145" s="6">
        <f>Tabela3[Patrimônio Líquido]/Tabela3[Total Ações]</f>
        <v>8.5852801133611578</v>
      </c>
      <c r="K145" s="51">
        <f>MAX(Tabela3[[#This Row],[Cotação 1]],Tabela3[[#This Row],[Cotação 2]])</f>
        <v>2.99</v>
      </c>
      <c r="L145" s="47">
        <f>Tabela3[Cotação]/Tabela3[VPA]</f>
        <v>0.34827052356121763</v>
      </c>
      <c r="M145" s="43">
        <f>IF(Tabela3[[#This Row],[Lucro/Ação]]&gt;0,Tabela3[[#This Row],[Cotação]]/Tabela3[[#This Row],[Lucro/Ação]],0)</f>
        <v>8.1422640225745262</v>
      </c>
      <c r="N145" s="6">
        <f>Tabela3[[#This Row],[Lucro/Ação]]*Tabela3[[#This Row],[Payout]]</f>
        <v>1.0724528811869345E-2</v>
      </c>
      <c r="O145" s="15" t="str">
        <f>IF(AND(Tabela3[% A.A.]&gt;=10%,Tabela3[PVPA]&lt;=2,Tabela3[PL]&lt;=15,Tabela3[PL]&gt;0),"Sim","Não")</f>
        <v>Não</v>
      </c>
      <c r="P145" s="45">
        <f>Tabela3[[#This Row],[Lucro Prev]]/Tabela3[[#This Row],[Cotação]]</f>
        <v>3.5867989337355667E-3</v>
      </c>
      <c r="Q145" s="19">
        <f>((1+Tabela3[[#This Row],[% Yield]])^(1/(3*Tabela3[[#This Row],[Ref]])))^(12)-1</f>
        <v>4.7852552199871834E-3</v>
      </c>
      <c r="R145" s="14">
        <f>($X$1/Tabela3[[#This Row],[Cotação]]-MOD($X$1/Tabela3[[#This Row],[Cotação]],100))</f>
        <v>100</v>
      </c>
      <c r="S145" s="17">
        <f>Tabela3[[#This Row],[Ativos]]*Tabela3[[#This Row],[Lucro Prev]]</f>
        <v>1.0724528811869345</v>
      </c>
      <c r="T145" s="5">
        <f>SUMPRODUCT(N(Tabela1[Código]=Tabela3[[#This Row],[PAPEL]]),Tabela1[Fechamento])</f>
        <v>2.99</v>
      </c>
      <c r="U145" s="5">
        <f>SUMPRODUCT(N(Tabela17[Código]=Tabela3[[#This Row],[PAPEL]]),Tabela17[Fechamento])</f>
        <v>0</v>
      </c>
    </row>
    <row r="146" spans="1:21" hidden="1" x14ac:dyDescent="0.2">
      <c r="A146" s="4" t="s">
        <v>14</v>
      </c>
      <c r="B146" s="14" t="s">
        <v>210</v>
      </c>
      <c r="C146" s="15">
        <v>3</v>
      </c>
      <c r="D146" s="6">
        <v>727021000</v>
      </c>
      <c r="E146" s="6">
        <v>31097000</v>
      </c>
      <c r="F146" s="6">
        <f>GETPIVOTDATA("Average of Lucro Líquido",'Tabela LL'!$A$3,"Ativo",Tabela3[[#This Row],[PAPEL]])/4*Tabela3[[#This Row],[Ref]]</f>
        <v>34519875</v>
      </c>
      <c r="G146" s="41">
        <v>84682269</v>
      </c>
      <c r="H146" s="15">
        <f>Tabela3[[#This Row],[Lucro Líquido]]/Tabela3[[#This Row],[Total Ações]]</f>
        <v>0.36721973049635692</v>
      </c>
      <c r="I146" s="19">
        <f>IF(GETPIVOTDATA("Payout",'Tabela LL'!$A$3,"Ativo",Tabela3[[#This Row],[PAPEL]])&gt;1,1,GETPIVOTDATA("Payout",'Tabela LL'!$A$3,"Ativo",Tabela3[[#This Row],[PAPEL]]))</f>
        <v>2.6538214988206538E-2</v>
      </c>
      <c r="J146" s="6">
        <f>Tabela3[Patrimônio Líquido]/Tabela3[Total Ações]</f>
        <v>8.5852801133611578</v>
      </c>
      <c r="K146" s="51">
        <f>MAX(Tabela3[[#This Row],[Cotação 1]],Tabela3[[#This Row],[Cotação 2]])</f>
        <v>3.08</v>
      </c>
      <c r="L146" s="47">
        <f>Tabela3[Cotação]/Tabela3[VPA]</f>
        <v>0.35875358279884623</v>
      </c>
      <c r="M146" s="43">
        <f>IF(Tabela3[[#This Row],[Lucro/Ação]]&gt;0,Tabela3[[#This Row],[Cotação]]/Tabela3[[#This Row],[Lucro/Ação]],0)</f>
        <v>8.3873488928192437</v>
      </c>
      <c r="N146" s="6">
        <f>Tabela3[[#This Row],[Lucro/Ação]]*Tabela3[[#This Row],[Payout]]</f>
        <v>9.7453561558235851E-3</v>
      </c>
      <c r="O146" s="15" t="str">
        <f>IF(AND(Tabela3[% A.A.]&gt;=10%,Tabela3[PVPA]&lt;=2,Tabela3[PL]&lt;=15,Tabela3[PL]&gt;0),"Sim","Não")</f>
        <v>Não</v>
      </c>
      <c r="P146" s="45">
        <f>Tabela3[[#This Row],[Lucro Prev]]/Tabela3[[#This Row],[Cotação]]</f>
        <v>3.1640766739686964E-3</v>
      </c>
      <c r="Q146" s="19">
        <f>((1+Tabela3[[#This Row],[% Yield]])^(1/(3*Tabela3[[#This Row],[Ref]])))^(12)-1</f>
        <v>4.2209920877755991E-3</v>
      </c>
      <c r="R146" s="14">
        <f>($X$1/Tabela3[[#This Row],[Cotação]]-MOD($X$1/Tabela3[[#This Row],[Cotação]],100))</f>
        <v>0</v>
      </c>
      <c r="S146" s="17">
        <f>Tabela3[[#This Row],[Ativos]]*Tabela3[[#This Row],[Lucro Prev]]</f>
        <v>0</v>
      </c>
      <c r="T146" s="5">
        <f>SUMPRODUCT(N(Tabela1[Código]=Tabela3[[#This Row],[PAPEL]]),Tabela1[Fechamento])</f>
        <v>3.08</v>
      </c>
      <c r="U146" s="5">
        <f>SUMPRODUCT(N(Tabela17[Código]=Tabela3[[#This Row],[PAPEL]]),Tabela17[Fechamento])</f>
        <v>0</v>
      </c>
    </row>
    <row r="147" spans="1:21" hidden="1" x14ac:dyDescent="0.2">
      <c r="A147" s="4" t="s">
        <v>26</v>
      </c>
      <c r="B147" s="69" t="s">
        <v>283</v>
      </c>
      <c r="C147" s="15">
        <v>3</v>
      </c>
      <c r="D147" s="6">
        <v>168049000</v>
      </c>
      <c r="E147" s="6">
        <v>901000</v>
      </c>
      <c r="F147" s="6">
        <f>GETPIVOTDATA("Average of Lucro Líquido",'Tabela LL'!$A$3,"Ativo",Tabela3[[#This Row],[PAPEL]])/4*Tabela3[[#This Row],[Ref]]</f>
        <v>16356976.935000002</v>
      </c>
      <c r="G147" s="41">
        <v>7680000</v>
      </c>
      <c r="H147" s="71">
        <f>Tabela3[[#This Row],[Lucro Líquido]]/Tabela3[[#This Row],[Total Ações]]</f>
        <v>0.11731770833333334</v>
      </c>
      <c r="I147" s="19">
        <f>IF(GETPIVOTDATA("Payout",'Tabela LL'!$A$3,"Ativo",Tabela3[[#This Row],[PAPEL]])&gt;1,1,GETPIVOTDATA("Payout",'Tabela LL'!$A$3,"Ativo",Tabela3[[#This Row],[PAPEL]]))</f>
        <v>0.80406042099383901</v>
      </c>
      <c r="J147" s="6">
        <f>Tabela3[Patrimônio Líquido]/Tabela3[Total Ações]</f>
        <v>21.881380208333333</v>
      </c>
      <c r="K147" s="51">
        <f>MAX(Tabela3[[#This Row],[Cotação 1]],Tabela3[[#This Row],[Cotação 2]])</f>
        <v>30.05</v>
      </c>
      <c r="L147" s="47">
        <f>Tabela3[Cotação]/Tabela3[VPA]</f>
        <v>1.3733137358746557</v>
      </c>
      <c r="M147" s="43">
        <f>IF(Tabela3[[#This Row],[Lucro/Ação]]&gt;0,Tabela3[[#This Row],[Cotação]]/Tabela3[[#This Row],[Lucro/Ação]],0)</f>
        <v>256.14206437291898</v>
      </c>
      <c r="N147" s="6">
        <f>Tabela3[[#This Row],[Lucro/Ação]]*Tabela3[[#This Row],[Payout]]</f>
        <v>9.4330525952532426E-2</v>
      </c>
      <c r="O147" s="15" t="str">
        <f>IF(AND(Tabela3[% A.A.]&gt;=10%,Tabela3[PVPA]&lt;=2,Tabela3[PL]&lt;=15,Tabela3[PL]&gt;0),"Sim","Não")</f>
        <v>Não</v>
      </c>
      <c r="P147" s="45">
        <f>Tabela3[[#This Row],[Lucro Prev]]/Tabela3[[#This Row],[Cotação]]</f>
        <v>3.1391190000842738E-3</v>
      </c>
      <c r="Q147" s="19">
        <f>((1+Tabela3[[#This Row],[% Yield]])^(1/(3*Tabela3[[#This Row],[Ref]])))^(12)-1</f>
        <v>4.1876802674580826E-3</v>
      </c>
      <c r="R147" s="14">
        <f>($X$1/Tabela3[[#This Row],[Cotação]]-MOD($X$1/Tabela3[[#This Row],[Cotação]],100))</f>
        <v>0</v>
      </c>
      <c r="S147" s="17">
        <f>Tabela3[[#This Row],[Ativos]]*Tabela3[[#This Row],[Lucro Prev]]</f>
        <v>0</v>
      </c>
      <c r="T147" s="13">
        <f>SUMPRODUCT(N(Tabela1[Código]=Tabela3[[#This Row],[PAPEL]]),Tabela1[Fechamento])</f>
        <v>0</v>
      </c>
      <c r="U147" s="13">
        <f>SUMPRODUCT(N(Tabela17[Código]=Tabela3[[#This Row],[PAPEL]]),Tabela17[Fechamento])</f>
        <v>30.05</v>
      </c>
    </row>
    <row r="148" spans="1:21" hidden="1" x14ac:dyDescent="0.2">
      <c r="A148" s="4" t="s">
        <v>294</v>
      </c>
      <c r="B148" s="15" t="s">
        <v>80</v>
      </c>
      <c r="C148" s="15">
        <v>3</v>
      </c>
      <c r="D148" s="6">
        <v>3566000000</v>
      </c>
      <c r="E148" s="6">
        <v>22000000</v>
      </c>
      <c r="F148" s="6">
        <f>GETPIVOTDATA("Average of Lucro Líquido",'Tabela LL'!$A$3,"Ativo",Tabela3[[#This Row],[PAPEL]])/4*Tabela3[[#This Row],[Ref]]</f>
        <v>126930599.27500001</v>
      </c>
      <c r="G148" s="41">
        <v>817720079</v>
      </c>
      <c r="H148" s="71">
        <f>Tabela3[[#This Row],[Lucro Líquido]]/Tabela3[[#This Row],[Total Ações]]</f>
        <v>2.6904072145206549E-2</v>
      </c>
      <c r="I148" s="19">
        <f>IF(GETPIVOTDATA("Payout",'Tabela LL'!$A$3,"Ativo",Tabela3[[#This Row],[PAPEL]])&gt;1,1,GETPIVOTDATA("Payout",'Tabela LL'!$A$3,"Ativo",Tabela3[[#This Row],[PAPEL]]))</f>
        <v>0.27744555988769093</v>
      </c>
      <c r="J148" s="6">
        <f>Tabela3[Patrimônio Líquido]/Tabela3[Total Ações]</f>
        <v>4.3609055122639342</v>
      </c>
      <c r="K148" s="51">
        <f>MAX(Tabela3[[#This Row],[Cotação 1]],Tabela3[[#This Row],[Cotação 2]])</f>
        <v>2.41</v>
      </c>
      <c r="L148" s="47">
        <f>Tabela3[Cotação]/Tabela3[VPA]</f>
        <v>0.55263751833707242</v>
      </c>
      <c r="M148" s="43">
        <f>IF(Tabela3[[#This Row],[Lucro/Ação]]&gt;0,Tabela3[[#This Row],[Cotação]]/Tabela3[[#This Row],[Lucro/Ação]],0)</f>
        <v>89.577517745000009</v>
      </c>
      <c r="N148" s="6">
        <f>Tabela3[[#This Row],[Lucro/Ação]]*Tabela3[[#This Row],[Payout]]</f>
        <v>7.464415359585661E-3</v>
      </c>
      <c r="O148" s="15" t="str">
        <f>IF(AND(Tabela3[% A.A.]&gt;=10%,Tabela3[PVPA]&lt;=2,Tabela3[PL]&lt;=15,Tabela3[PL]&gt;0),"Sim","Não")</f>
        <v>Não</v>
      </c>
      <c r="P148" s="45">
        <f>Tabela3[[#This Row],[Lucro Prev]]/Tabela3[[#This Row],[Cotação]]</f>
        <v>3.0972677840604402E-3</v>
      </c>
      <c r="Q148" s="19">
        <f>((1+Tabela3[[#This Row],[% Yield]])^(1/(3*Tabela3[[#This Row],[Ref]])))^(12)-1</f>
        <v>4.1318207061911139E-3</v>
      </c>
      <c r="R148" s="14">
        <f>($X$1/Tabela3[[#This Row],[Cotação]]-MOD($X$1/Tabela3[[#This Row],[Cotação]],100))</f>
        <v>100</v>
      </c>
      <c r="S148" s="17">
        <f>Tabela3[[#This Row],[Ativos]]*Tabela3[[#This Row],[Lucro Prev]]</f>
        <v>0.7464415359585661</v>
      </c>
      <c r="T148" s="13">
        <f>SUMPRODUCT(N(Tabela1[Código]=Tabela3[[#This Row],[PAPEL]]),Tabela1[Fechamento])</f>
        <v>0</v>
      </c>
      <c r="U148" s="13">
        <f>SUMPRODUCT(N(Tabela17[Código]=Tabela3[[#This Row],[PAPEL]]),Tabela17[Fechamento])</f>
        <v>2.41</v>
      </c>
    </row>
    <row r="149" spans="1:21" hidden="1" x14ac:dyDescent="0.2">
      <c r="A149" s="4" t="s">
        <v>26</v>
      </c>
      <c r="B149" s="69" t="s">
        <v>282</v>
      </c>
      <c r="C149" s="15">
        <v>3</v>
      </c>
      <c r="D149" s="6">
        <v>168049000</v>
      </c>
      <c r="E149" s="6">
        <v>901000</v>
      </c>
      <c r="F149" s="6">
        <f>GETPIVOTDATA("Average of Lucro Líquido",'Tabela LL'!$A$3,"Ativo",Tabela3[[#This Row],[PAPEL]])/4*Tabela3[[#This Row],[Ref]]</f>
        <v>16356976.935000002</v>
      </c>
      <c r="G149" s="41">
        <v>7680000</v>
      </c>
      <c r="H149" s="71">
        <f>Tabela3[[#This Row],[Lucro Líquido]]/Tabela3[[#This Row],[Total Ações]]</f>
        <v>0.11731770833333334</v>
      </c>
      <c r="I149" s="19">
        <f>IF(GETPIVOTDATA("Payout",'Tabela LL'!$A$3,"Ativo",Tabela3[[#This Row],[PAPEL]])&gt;1,1,GETPIVOTDATA("Payout",'Tabela LL'!$A$3,"Ativo",Tabela3[[#This Row],[PAPEL]]))</f>
        <v>0.72895763504872801</v>
      </c>
      <c r="J149" s="6">
        <f>Tabela3[Patrimônio Líquido]/Tabela3[Total Ações]</f>
        <v>21.881380208333333</v>
      </c>
      <c r="K149" s="51">
        <f>MAX(Tabela3[[#This Row],[Cotação 1]],Tabela3[[#This Row],[Cotação 2]])</f>
        <v>30.01</v>
      </c>
      <c r="L149" s="47">
        <f>Tabela3[Cotação]/Tabela3[VPA]</f>
        <v>1.3714856976239074</v>
      </c>
      <c r="M149" s="43">
        <f>IF(Tabela3[[#This Row],[Lucro/Ação]]&gt;0,Tabela3[[#This Row],[Cotação]]/Tabela3[[#This Row],[Lucro/Ação]],0)</f>
        <v>255.80110987791343</v>
      </c>
      <c r="N149" s="6">
        <f>Tabela3[[#This Row],[Lucro/Ação]]*Tabela3[[#This Row],[Payout]]</f>
        <v>8.5519639216003127E-2</v>
      </c>
      <c r="O149" s="15" t="str">
        <f>IF(AND(Tabela3[% A.A.]&gt;=10%,Tabela3[PVPA]&lt;=2,Tabela3[PL]&lt;=15,Tabela3[PL]&gt;0),"Sim","Não")</f>
        <v>Não</v>
      </c>
      <c r="P149" s="45">
        <f>Tabela3[[#This Row],[Lucro Prev]]/Tabela3[[#This Row],[Cotação]]</f>
        <v>2.849704738953786E-3</v>
      </c>
      <c r="Q149" s="19">
        <f>((1+Tabela3[[#This Row],[% Yield]])^(1/(3*Tabela3[[#This Row],[Ref]])))^(12)-1</f>
        <v>3.8014098031700083E-3</v>
      </c>
      <c r="R149" s="14">
        <f>($X$1/Tabela3[[#This Row],[Cotação]]-MOD($X$1/Tabela3[[#This Row],[Cotação]],100))</f>
        <v>0</v>
      </c>
      <c r="S149" s="17">
        <f>Tabela3[[#This Row],[Ativos]]*Tabela3[[#This Row],[Lucro Prev]]</f>
        <v>0</v>
      </c>
      <c r="T149" s="13">
        <f>SUMPRODUCT(N(Tabela1[Código]=Tabela3[[#This Row],[PAPEL]]),Tabela1[Fechamento])</f>
        <v>0</v>
      </c>
      <c r="U149" s="13">
        <f>SUMPRODUCT(N(Tabela17[Código]=Tabela3[[#This Row],[PAPEL]]),Tabela17[Fechamento])</f>
        <v>30.01</v>
      </c>
    </row>
    <row r="150" spans="1:21" hidden="1" x14ac:dyDescent="0.2">
      <c r="A150" s="4" t="s">
        <v>369</v>
      </c>
      <c r="B150" s="69" t="s">
        <v>372</v>
      </c>
      <c r="C150" s="15">
        <v>3</v>
      </c>
      <c r="D150" s="6">
        <v>2907030000</v>
      </c>
      <c r="E150" s="6">
        <v>25088000</v>
      </c>
      <c r="F150" s="6">
        <f>GETPIVOTDATA("Average of Lucro Líquido",'Tabela LL'!$A$3,"Ativo",Tabela3[[#This Row],[PAPEL]])/4*Tabela3[[#This Row],[Ref]]</f>
        <v>65100932.569999993</v>
      </c>
      <c r="G150" s="41">
        <v>290677834</v>
      </c>
      <c r="H150" s="71">
        <f>Tabela3[[#This Row],[Lucro Líquido]]/Tabela3[[#This Row],[Total Ações]]</f>
        <v>8.6308610652437986E-2</v>
      </c>
      <c r="I150" s="19">
        <f>IF(GETPIVOTDATA("Payout",'Tabela LL'!$A$3,"Ativo",Tabela3[[#This Row],[PAPEL]])&gt;1,1,GETPIVOTDATA("Payout",'Tabela LL'!$A$3,"Ativo",Tabela3[[#This Row],[PAPEL]]))</f>
        <v>0.16275155588949558</v>
      </c>
      <c r="J150" s="6">
        <f>Tabela3[Patrimônio Líquido]/Tabela3[Total Ações]</f>
        <v>10.000865769489668</v>
      </c>
      <c r="K150" s="51">
        <f>MAX(Tabela3[[#This Row],[Cotação 1]],Tabela3[[#This Row],[Cotação 2]])</f>
        <v>5.65</v>
      </c>
      <c r="L150" s="47">
        <f>Tabela3[Cotação]/Tabela3[VPA]</f>
        <v>0.56495108825846319</v>
      </c>
      <c r="M150" s="43">
        <f>IF(Tabela3[[#This Row],[Lucro/Ação]]&gt;0,Tabela3[[#This Row],[Cotação]]/Tabela3[[#This Row],[Lucro/Ação]],0)</f>
        <v>65.462761563297192</v>
      </c>
      <c r="N150" s="6">
        <f>Tabela3[[#This Row],[Lucro/Ação]]*Tabela3[[#This Row],[Payout]]</f>
        <v>1.4046860670344975E-2</v>
      </c>
      <c r="O150" s="15" t="str">
        <f>IF(AND(Tabela3[% A.A.]&gt;=10%,Tabela3[PVPA]&lt;=2,Tabela3[PL]&lt;=15,Tabela3[PL]&gt;0),"Sim","Não")</f>
        <v>Não</v>
      </c>
      <c r="P150" s="45">
        <f>Tabela3[[#This Row],[Lucro Prev]]/Tabela3[[#This Row],[Cotação]]</f>
        <v>2.4861700301495528E-3</v>
      </c>
      <c r="Q150" s="19">
        <f>((1+Tabela3[[#This Row],[% Yield]])^(1/(3*Tabela3[[#This Row],[Ref]])))^(12)-1</f>
        <v>3.3162661802073057E-3</v>
      </c>
      <c r="R150" s="14">
        <f>($X$1/Tabela3[[#This Row],[Cotação]]-MOD($X$1/Tabela3[[#This Row],[Cotação]],100))</f>
        <v>0</v>
      </c>
      <c r="S150" s="17">
        <f>Tabela3[[#This Row],[Ativos]]*Tabela3[[#This Row],[Lucro Prev]]</f>
        <v>0</v>
      </c>
      <c r="T150" s="13">
        <f>SUMPRODUCT(N(Tabela1[Código]=Tabela3[[#This Row],[PAPEL]]),Tabela1[Fechamento])</f>
        <v>0</v>
      </c>
      <c r="U150" s="60">
        <f>SUMPRODUCT(N(Tabela17[Código]=Tabela3[[#This Row],[PAPEL]]),Tabela17[Fechamento])</f>
        <v>5.65</v>
      </c>
    </row>
    <row r="151" spans="1:21" hidden="1" x14ac:dyDescent="0.2">
      <c r="A151" s="4" t="s">
        <v>14</v>
      </c>
      <c r="B151" s="14" t="s">
        <v>235</v>
      </c>
      <c r="C151" s="15">
        <v>3</v>
      </c>
      <c r="D151" s="6">
        <v>56483000</v>
      </c>
      <c r="E151" s="6">
        <v>1359000</v>
      </c>
      <c r="F151" s="6">
        <f>GETPIVOTDATA("Average of Lucro Líquido",'Tabela LL'!$A$3,"Ativo",Tabela3[[#This Row],[PAPEL]])/4*Tabela3[[#This Row],[Ref]]</f>
        <v>3359000</v>
      </c>
      <c r="G151" s="41">
        <v>182520000</v>
      </c>
      <c r="H151" s="15">
        <f>Tabela3[[#This Row],[Lucro Líquido]]/Tabela3[[#This Row],[Total Ações]]</f>
        <v>7.4457593688362919E-3</v>
      </c>
      <c r="I151" s="19">
        <f>IF(GETPIVOTDATA("Payout",'Tabela LL'!$A$3,"Ativo",Tabela3[[#This Row],[PAPEL]])&gt;1,1,GETPIVOTDATA("Payout",'Tabela LL'!$A$3,"Ativo",Tabela3[[#This Row],[PAPEL]]))</f>
        <v>0.29293027940656419</v>
      </c>
      <c r="J151" s="6">
        <f>Tabela3[Patrimônio Líquido]/Tabela3[Total Ações]</f>
        <v>0.30946197676966908</v>
      </c>
      <c r="K151" s="51">
        <f>MAX(Tabela3[[#This Row],[Cotação 1]],Tabela3[[#This Row],[Cotação 2]])</f>
        <v>1.1000000000000001</v>
      </c>
      <c r="L151" s="47">
        <f>Tabela3[Cotação]/Tabela3[VPA]</f>
        <v>3.5545562381601545</v>
      </c>
      <c r="M151" s="43">
        <f>IF(Tabela3[[#This Row],[Lucro/Ação]]&gt;0,Tabela3[[#This Row],[Cotação]]/Tabela3[[#This Row],[Lucro/Ação]],0)</f>
        <v>147.73509933774835</v>
      </c>
      <c r="N151" s="6">
        <f>Tabela3[[#This Row],[Lucro/Ação]]*Tabela3[[#This Row],[Payout]]</f>
        <v>2.1810883723072578E-3</v>
      </c>
      <c r="O151" s="15" t="str">
        <f>IF(AND(Tabela3[% A.A.]&gt;=10%,Tabela3[PVPA]&lt;=2,Tabela3[PL]&lt;=15,Tabela3[PL]&gt;0),"Sim","Não")</f>
        <v>Não</v>
      </c>
      <c r="P151" s="45">
        <f>Tabela3[[#This Row],[Lucro Prev]]/Tabela3[[#This Row],[Cotação]]</f>
        <v>1.9828076111884159E-3</v>
      </c>
      <c r="Q151" s="19">
        <f>((1+Tabela3[[#This Row],[% Yield]])^(1/(3*Tabela3[[#This Row],[Ref]])))^(12)-1</f>
        <v>2.6446167693907618E-3</v>
      </c>
      <c r="R151" s="14">
        <f>($X$1/Tabela3[[#This Row],[Cotação]]-MOD($X$1/Tabela3[[#This Row],[Cotação]],100))</f>
        <v>200</v>
      </c>
      <c r="S151" s="17">
        <f>Tabela3[[#This Row],[Ativos]]*Tabela3[[#This Row],[Lucro Prev]]</f>
        <v>0.43621767446145154</v>
      </c>
      <c r="T151" s="5">
        <f>SUMPRODUCT(N(Tabela1[Código]=Tabela3[[#This Row],[PAPEL]]),Tabela1[Fechamento])</f>
        <v>1.1000000000000001</v>
      </c>
      <c r="U151" s="5">
        <f>SUMPRODUCT(N(Tabela17[Código]=Tabela3[[#This Row],[PAPEL]]),Tabela17[Fechamento])</f>
        <v>0</v>
      </c>
    </row>
    <row r="152" spans="1:21" hidden="1" x14ac:dyDescent="0.2">
      <c r="A152" s="4" t="s">
        <v>37</v>
      </c>
      <c r="B152" s="14" t="s">
        <v>195</v>
      </c>
      <c r="C152" s="15">
        <v>3</v>
      </c>
      <c r="D152" s="6">
        <v>1255450000</v>
      </c>
      <c r="E152" s="6">
        <v>19870000</v>
      </c>
      <c r="F152" s="6">
        <f>GETPIVOTDATA("Average of Lucro Líquido",'Tabela LL'!$A$3,"Ativo",Tabela3[[#This Row],[PAPEL]])/4*Tabela3[[#This Row],[Ref]]</f>
        <v>9442405.6425000019</v>
      </c>
      <c r="G152" s="41">
        <v>715094432</v>
      </c>
      <c r="H152" s="15">
        <f>Tabela3[[#This Row],[Lucro Líquido]]/Tabela3[[#This Row],[Total Ações]]</f>
        <v>2.7786539946097637E-2</v>
      </c>
      <c r="I152" s="19">
        <f>IF(GETPIVOTDATA("Payout",'Tabela LL'!$A$3,"Ativo",Tabela3[[#This Row],[PAPEL]])&gt;1,1,GETPIVOTDATA("Payout",'Tabela LL'!$A$3,"Ativo",Tabela3[[#This Row],[PAPEL]]))</f>
        <v>0.26641697668818037</v>
      </c>
      <c r="J152" s="6">
        <f>Tabela3[Patrimônio Líquido]/Tabela3[Total Ações]</f>
        <v>1.7556422534136022</v>
      </c>
      <c r="K152" s="51">
        <f>MAX(Tabela3[[#This Row],[Cotação 1]],Tabela3[[#This Row],[Cotação 2]])</f>
        <v>4.12</v>
      </c>
      <c r="L152" s="47">
        <f>Tabela3[Cotação]/Tabela3[VPA]</f>
        <v>2.3467195506312479</v>
      </c>
      <c r="M152" s="43">
        <f>IF(Tabela3[[#This Row],[Lucro/Ação]]&gt;0,Tabela3[[#This Row],[Cotação]]/Tabela3[[#This Row],[Lucro/Ação]],0)</f>
        <v>148.27322898037244</v>
      </c>
      <c r="N152" s="6">
        <f>Tabela3[[#This Row],[Lucro/Ação]]*Tabela3[[#This Row],[Payout]]</f>
        <v>7.4028059650646872E-3</v>
      </c>
      <c r="O152" s="15" t="str">
        <f>IF(AND(Tabela3[% A.A.]&gt;=10%,Tabela3[PVPA]&lt;=2,Tabela3[PL]&lt;=15,Tabela3[PL]&gt;0),"Sim","Não")</f>
        <v>Não</v>
      </c>
      <c r="P152" s="45">
        <f>Tabela3[[#This Row],[Lucro Prev]]/Tabela3[[#This Row],[Cotação]]</f>
        <v>1.7967975643360891E-3</v>
      </c>
      <c r="Q152" s="19">
        <f>((1+Tabela3[[#This Row],[% Yield]])^(1/(3*Tabela3[[#This Row],[Ref]])))^(12)-1</f>
        <v>2.396447239859878E-3</v>
      </c>
      <c r="R152" s="14">
        <f>($X$1/Tabela3[[#This Row],[Cotação]]-MOD($X$1/Tabela3[[#This Row],[Cotação]],100))</f>
        <v>0</v>
      </c>
      <c r="S152" s="17">
        <f>Tabela3[[#This Row],[Ativos]]*Tabela3[[#This Row],[Lucro Prev]]</f>
        <v>0</v>
      </c>
      <c r="T152" s="5">
        <f>SUMPRODUCT(N(Tabela1[Código]=Tabela3[[#This Row],[PAPEL]]),Tabela1[Fechamento])</f>
        <v>4.12</v>
      </c>
      <c r="U152" s="5">
        <f>SUMPRODUCT(N(Tabela17[Código]=Tabela3[[#This Row],[PAPEL]]),Tabela17[Fechamento])</f>
        <v>0</v>
      </c>
    </row>
    <row r="153" spans="1:21" hidden="1" x14ac:dyDescent="0.2">
      <c r="A153" s="3" t="s">
        <v>304</v>
      </c>
      <c r="B153" s="72" t="s">
        <v>305</v>
      </c>
      <c r="C153" s="16">
        <v>3</v>
      </c>
      <c r="D153" s="5">
        <v>9543805000</v>
      </c>
      <c r="E153" s="5">
        <v>10847000</v>
      </c>
      <c r="F153" s="5">
        <f>GETPIVOTDATA("Average of Lucro Líquido",'Tabela LL'!$A$3,"Ativo",Tabela3[[#This Row],[PAPEL]])/4*Tabela3[[#This Row],[Ref]]</f>
        <v>1003875000</v>
      </c>
      <c r="G153" s="21">
        <v>407214353</v>
      </c>
      <c r="H153" s="70">
        <f>Tabela3[[#This Row],[Lucro Líquido]]/Tabela3[[#This Row],[Total Ações]]</f>
        <v>2.6637076812466874E-2</v>
      </c>
      <c r="I153" s="18">
        <f>IF(GETPIVOTDATA("Payout",'Tabela LL'!$A$3,"Ativo",Tabela3[[#This Row],[PAPEL]])&gt;1,1,GETPIVOTDATA("Payout",'Tabela LL'!$A$3,"Ativo",Tabela3[[#This Row],[PAPEL]]))</f>
        <v>0.27635601621607192</v>
      </c>
      <c r="J153" s="5">
        <f>Tabela3[Patrimônio Líquido]/Tabela3[Total Ações]</f>
        <v>23.436808967290993</v>
      </c>
      <c r="K153" s="57">
        <f>MAX(Tabela3[[#This Row],[Cotação 1]],Tabela3[[#This Row],[Cotação 2]])</f>
        <v>38.26</v>
      </c>
      <c r="L153" s="58">
        <f>Tabela3[Cotação]/Tabela3[VPA]</f>
        <v>1.6324747986552532</v>
      </c>
      <c r="M153" s="39">
        <f>IF(Tabela3[[#This Row],[Lucro/Ação]]&gt;0,Tabela3[[#This Row],[Cotação]]/Tabela3[[#This Row],[Lucro/Ação]],0)</f>
        <v>1436.3437951304506</v>
      </c>
      <c r="N153" s="5">
        <f>Tabela3[[#This Row],[Lucro/Ação]]*Tabela3[[#This Row],[Payout]]</f>
        <v>7.3613164315348492E-3</v>
      </c>
      <c r="O153" s="16" t="str">
        <f>IF(AND(Tabela3[% A.A.]&gt;=10%,Tabela3[PVPA]&lt;=2,Tabela3[PL]&lt;=15,Tabela3[PL]&gt;0),"Sim","Não")</f>
        <v>Não</v>
      </c>
      <c r="P153" s="22">
        <f>Tabela3[[#This Row],[Lucro Prev]]/Tabela3[[#This Row],[Cotação]]</f>
        <v>1.9240241587911263E-4</v>
      </c>
      <c r="Q153" s="18">
        <f>((1+Tabela3[[#This Row],[% Yield]])^(1/(3*Tabela3[[#This Row],[Ref]])))^(12)-1</f>
        <v>2.5654478052872243E-4</v>
      </c>
      <c r="R153" s="10">
        <f>($X$1/Tabela3[[#This Row],[Cotação]]-MOD($X$1/Tabela3[[#This Row],[Cotação]],100))</f>
        <v>0</v>
      </c>
      <c r="S153" s="7">
        <f>Tabela3[[#This Row],[Ativos]]*Tabela3[[#This Row],[Lucro Prev]]</f>
        <v>0</v>
      </c>
      <c r="T153" s="50">
        <f>SUMPRODUCT(N(Tabela1[Código]=Tabela3[[#This Row],[PAPEL]]),Tabela1[Fechamento])</f>
        <v>0</v>
      </c>
      <c r="U153" s="59">
        <f>SUMPRODUCT(N(Tabela17[Código]=Tabela3[[#This Row],[PAPEL]]),Tabela17[Fechamento])</f>
        <v>38.26</v>
      </c>
    </row>
    <row r="154" spans="1:21" hidden="1" x14ac:dyDescent="0.2">
      <c r="A154" s="4" t="s">
        <v>12</v>
      </c>
      <c r="B154" s="14" t="s">
        <v>170</v>
      </c>
      <c r="C154" s="15">
        <v>3</v>
      </c>
      <c r="D154" s="6">
        <v>4953037000</v>
      </c>
      <c r="E154" s="6">
        <v>-126863000</v>
      </c>
      <c r="F154" s="6">
        <f>GETPIVOTDATA("Average of Lucro Líquido",'Tabela LL'!$A$3,"Ativo",Tabela3[[#This Row],[PAPEL]])/4*Tabela3[[#This Row],[Ref]]</f>
        <v>645549090.75</v>
      </c>
      <c r="G154" s="41">
        <v>152661565</v>
      </c>
      <c r="H154" s="15">
        <f>Tabela3[[#This Row],[Lucro Líquido]]/Tabela3[[#This Row],[Total Ações]]</f>
        <v>-0.83100811916869843</v>
      </c>
      <c r="I154" s="19">
        <f>IF(GETPIVOTDATA("Payout",'Tabela LL'!$A$3,"Ativo",Tabela3[[#This Row],[PAPEL]])&gt;1,1,GETPIVOTDATA("Payout",'Tabela LL'!$A$3,"Ativo",Tabela3[[#This Row],[PAPEL]]))</f>
        <v>0.70044394399833187</v>
      </c>
      <c r="J154" s="6">
        <f>Tabela3[Patrimônio Líquido]/Tabela3[Total Ações]</f>
        <v>32.444557999913073</v>
      </c>
      <c r="K154" s="51">
        <f>MAX(Tabela3[[#This Row],[Cotação 1]],Tabela3[[#This Row],[Cotação 2]])</f>
        <v>42</v>
      </c>
      <c r="L154" s="47">
        <f>Tabela3[Cotação]/Tabela3[VPA]</f>
        <v>1.2945160171426138</v>
      </c>
      <c r="M154" s="43">
        <f>IF(Tabela3[[#This Row],[Lucro/Ação]]&gt;0,Tabela3[[#This Row],[Cotação]]/Tabela3[[#This Row],[Lucro/Ação]],0)</f>
        <v>0</v>
      </c>
      <c r="N154" s="6">
        <f>Tabela3[[#This Row],[Lucro/Ação]]*Tabela3[[#This Row],[Payout]]</f>
        <v>-0.58207460448515891</v>
      </c>
      <c r="O154" s="15" t="str">
        <f>IF(AND(Tabela3[% A.A.]&gt;=10%,Tabela3[PVPA]&lt;=2,Tabela3[PL]&lt;=15,Tabela3[PL]&gt;0),"Sim","Não")</f>
        <v>Não</v>
      </c>
      <c r="P154" s="45">
        <f>Tabela3[[#This Row],[Lucro Prev]]/Tabela3[[#This Row],[Cotação]]</f>
        <v>-1.3858919154408546E-2</v>
      </c>
      <c r="Q154" s="19">
        <f>((1+Tabela3[[#This Row],[% Yield]])^(1/(3*Tabela3[[#This Row],[Ref]])))^(12)-1</f>
        <v>-1.8435744514819663E-2</v>
      </c>
      <c r="R154" s="14">
        <f>($X$1/Tabela3[[#This Row],[Cotação]]-MOD($X$1/Tabela3[[#This Row],[Cotação]],100))</f>
        <v>0</v>
      </c>
      <c r="S154" s="17">
        <f>Tabela3[[#This Row],[Ativos]]*Tabela3[[#This Row],[Lucro Prev]]</f>
        <v>0</v>
      </c>
      <c r="T154" s="5">
        <f>SUMPRODUCT(N(Tabela1[Código]=Tabela3[[#This Row],[PAPEL]]),Tabela1[Fechamento])</f>
        <v>42</v>
      </c>
      <c r="U154" s="5">
        <f>SUMPRODUCT(N(Tabela17[Código]=Tabela3[[#This Row],[PAPEL]]),Tabela17[Fechamento])</f>
        <v>0</v>
      </c>
    </row>
    <row r="155" spans="1:21" hidden="1" x14ac:dyDescent="0.2">
      <c r="A155" s="4" t="s">
        <v>19</v>
      </c>
      <c r="B155" s="14" t="s">
        <v>18</v>
      </c>
      <c r="C155" s="15">
        <v>3</v>
      </c>
      <c r="D155" s="6">
        <v>10702169000</v>
      </c>
      <c r="E155" s="6">
        <v>-162427000</v>
      </c>
      <c r="F155" s="6">
        <f>GETPIVOTDATA("Average of Lucro Líquido",'Tabela LL'!$A$3,"Ativo",Tabela3[[#This Row],[PAPEL]])/4*Tabela3[[#This Row],[Ref]]</f>
        <v>992541611.15062499</v>
      </c>
      <c r="G155" s="41">
        <v>1107677313</v>
      </c>
      <c r="H155" s="15">
        <f>Tabela3[[#This Row],[Lucro Líquido]]/Tabela3[[#This Row],[Total Ações]]</f>
        <v>-0.14663747112422804</v>
      </c>
      <c r="I155" s="19">
        <f>IF(GETPIVOTDATA("Payout",'Tabela LL'!$A$3,"Ativo",Tabela3[[#This Row],[PAPEL]])&gt;1,1,GETPIVOTDATA("Payout",'Tabela LL'!$A$3,"Ativo",Tabela3[[#This Row],[PAPEL]]))</f>
        <v>1</v>
      </c>
      <c r="J155" s="6">
        <f>Tabela3[Patrimônio Líquido]/Tabela3[Total Ações]</f>
        <v>9.6618111379518705</v>
      </c>
      <c r="K155" s="51">
        <f>MAX(Tabela3[[#This Row],[Cotação 1]],Tabela3[[#This Row],[Cotação 2]])</f>
        <v>9.43</v>
      </c>
      <c r="L155" s="47">
        <f>Tabela3[Cotação]/Tabela3[VPA]</f>
        <v>0.97600748610772259</v>
      </c>
      <c r="M155" s="43">
        <f>IF(Tabela3[[#This Row],[Lucro/Ação]]&gt;0,Tabela3[[#This Row],[Cotação]]/Tabela3[[#This Row],[Lucro/Ação]],0)</f>
        <v>0</v>
      </c>
      <c r="N155" s="6">
        <f>Tabela3[[#This Row],[Lucro/Ação]]*Tabela3[[#This Row],[Payout]]</f>
        <v>-0.14663747112422804</v>
      </c>
      <c r="O155" s="15" t="str">
        <f>IF(AND(Tabela3[% A.A.]&gt;=10%,Tabela3[PVPA]&lt;=2,Tabela3[PL]&lt;=15,Tabela3[PL]&gt;0),"Sim","Não")</f>
        <v>Não</v>
      </c>
      <c r="P155" s="45">
        <f>Tabela3[[#This Row],[Lucro Prev]]/Tabela3[[#This Row],[Cotação]]</f>
        <v>-1.5550102982420788E-2</v>
      </c>
      <c r="Q155" s="19">
        <f>((1+Tabela3[[#This Row],[% Yield]])^(1/(3*Tabela3[[#This Row],[Ref]])))^(12)-1</f>
        <v>-2.0679549145325993E-2</v>
      </c>
      <c r="R155" s="14">
        <f>($X$1/Tabela3[[#This Row],[Cotação]]-MOD($X$1/Tabela3[[#This Row],[Cotação]],100))</f>
        <v>0</v>
      </c>
      <c r="S155" s="17">
        <f>Tabela3[[#This Row],[Ativos]]*Tabela3[[#This Row],[Lucro Prev]]</f>
        <v>0</v>
      </c>
      <c r="T155" s="5">
        <f>SUMPRODUCT(N(Tabela1[Código]=Tabela3[[#This Row],[PAPEL]]),Tabela1[Fechamento])</f>
        <v>9.43</v>
      </c>
      <c r="U155" s="5">
        <f>SUMPRODUCT(N(Tabela17[Código]=Tabela3[[#This Row],[PAPEL]]),Tabela17[Fechamento])</f>
        <v>0</v>
      </c>
    </row>
    <row r="156" spans="1:21" hidden="1" x14ac:dyDescent="0.2">
      <c r="A156" s="4" t="s">
        <v>12</v>
      </c>
      <c r="B156" s="14" t="s">
        <v>171</v>
      </c>
      <c r="C156" s="15">
        <v>3</v>
      </c>
      <c r="D156" s="6">
        <v>4953037000</v>
      </c>
      <c r="E156" s="6">
        <v>-126863000</v>
      </c>
      <c r="F156" s="6">
        <f>GETPIVOTDATA("Average of Lucro Líquido",'Tabela LL'!$A$3,"Ativo",Tabela3[[#This Row],[PAPEL]])/4*Tabela3[[#This Row],[Ref]]</f>
        <v>645549090.75</v>
      </c>
      <c r="G156" s="41">
        <v>152661565</v>
      </c>
      <c r="H156" s="15">
        <f>Tabela3[[#This Row],[Lucro Líquido]]/Tabela3[[#This Row],[Total Ações]]</f>
        <v>-0.83100811916869843</v>
      </c>
      <c r="I156" s="19">
        <f>IF(GETPIVOTDATA("Payout",'Tabela LL'!$A$3,"Ativo",Tabela3[[#This Row],[PAPEL]])&gt;1,1,GETPIVOTDATA("Payout",'Tabela LL'!$A$3,"Ativo",Tabela3[[#This Row],[PAPEL]]))</f>
        <v>0.70044394399833187</v>
      </c>
      <c r="J156" s="6">
        <f>Tabela3[Patrimônio Líquido]/Tabela3[Total Ações]</f>
        <v>32.444557999913073</v>
      </c>
      <c r="K156" s="51">
        <f>MAX(Tabela3[[#This Row],[Cotação 1]],Tabela3[[#This Row],[Cotação 2]])</f>
        <v>26.83</v>
      </c>
      <c r="L156" s="47">
        <f>Tabela3[Cotação]/Tabela3[VPA]</f>
        <v>0.82694916047467448</v>
      </c>
      <c r="M156" s="43">
        <f>IF(Tabela3[[#This Row],[Lucro/Ação]]&gt;0,Tabela3[[#This Row],[Cotação]]/Tabela3[[#This Row],[Lucro/Ação]],0)</f>
        <v>0</v>
      </c>
      <c r="N156" s="6">
        <f>Tabela3[[#This Row],[Lucro/Ação]]*Tabela3[[#This Row],[Payout]]</f>
        <v>-0.58207460448515891</v>
      </c>
      <c r="O156" s="15" t="str">
        <f>IF(AND(Tabela3[% A.A.]&gt;=10%,Tabela3[PVPA]&lt;=2,Tabela3[PL]&lt;=15,Tabela3[PL]&gt;0),"Sim","Não")</f>
        <v>Não</v>
      </c>
      <c r="P156" s="45">
        <f>Tabela3[[#This Row],[Lucro Prev]]/Tabela3[[#This Row],[Cotação]]</f>
        <v>-2.1694916305820312E-2</v>
      </c>
      <c r="Q156" s="19">
        <f>((1+Tabela3[[#This Row],[% Yield]])^(1/(3*Tabela3[[#This Row],[Ref]])))^(12)-1</f>
        <v>-2.8821453010707154E-2</v>
      </c>
      <c r="R156" s="14">
        <f>($X$1/Tabela3[[#This Row],[Cotação]]-MOD($X$1/Tabela3[[#This Row],[Cotação]],100))</f>
        <v>0</v>
      </c>
      <c r="S156" s="17">
        <f>Tabela3[[#This Row],[Ativos]]*Tabela3[[#This Row],[Lucro Prev]]</f>
        <v>0</v>
      </c>
      <c r="T156" s="5">
        <f>SUMPRODUCT(N(Tabela1[Código]=Tabela3[[#This Row],[PAPEL]]),Tabela1[Fechamento])</f>
        <v>26.83</v>
      </c>
      <c r="U156" s="5">
        <f>SUMPRODUCT(N(Tabela17[Código]=Tabela3[[#This Row],[PAPEL]]),Tabela17[Fechamento])</f>
        <v>0</v>
      </c>
    </row>
    <row r="157" spans="1:21" hidden="1" x14ac:dyDescent="0.2">
      <c r="A157" s="4" t="s">
        <v>12</v>
      </c>
      <c r="B157" s="14" t="s">
        <v>103</v>
      </c>
      <c r="C157" s="15">
        <v>3</v>
      </c>
      <c r="D157" s="6">
        <v>1791505000</v>
      </c>
      <c r="E157" s="6">
        <v>-38094000</v>
      </c>
      <c r="F157" s="6">
        <f>GETPIVOTDATA("Average of Lucro Líquido",'Tabela LL'!$A$3,"Ativo",Tabela3[[#This Row],[PAPEL]])/4*Tabela3[[#This Row],[Ref]]</f>
        <v>-15760096.571249999</v>
      </c>
      <c r="G157" s="41">
        <v>387229828</v>
      </c>
      <c r="H157" s="15">
        <f>Tabela3[[#This Row],[Lucro Líquido]]/Tabela3[[#This Row],[Total Ações]]</f>
        <v>-9.8375686079637439E-2</v>
      </c>
      <c r="I157" s="19">
        <f>IF(GETPIVOTDATA("Payout",'Tabela LL'!$A$3,"Ativo",Tabela3[[#This Row],[PAPEL]])&gt;1,1,GETPIVOTDATA("Payout",'Tabela LL'!$A$3,"Ativo",Tabela3[[#This Row],[PAPEL]]))</f>
        <v>0.43917014853198871</v>
      </c>
      <c r="J157" s="6">
        <f>Tabela3[Patrimônio Líquido]/Tabela3[Total Ações]</f>
        <v>4.6264643642069849</v>
      </c>
      <c r="K157" s="51">
        <f>MAX(Tabela3[[#This Row],[Cotação 1]],Tabela3[[#This Row],[Cotação 2]])</f>
        <v>1.85</v>
      </c>
      <c r="L157" s="47">
        <f>Tabela3[Cotação]/Tabela3[VPA]</f>
        <v>0.39987339237121861</v>
      </c>
      <c r="M157" s="43">
        <f>IF(Tabela3[[#This Row],[Lucro/Ação]]&gt;0,Tabela3[[#This Row],[Cotação]]/Tabela3[[#This Row],[Lucro/Ação]],0)</f>
        <v>0</v>
      </c>
      <c r="N157" s="6">
        <f>Tabela3[[#This Row],[Lucro/Ação]]*Tabela3[[#This Row],[Payout]]</f>
        <v>-4.3203664667530665E-2</v>
      </c>
      <c r="O157" s="15" t="str">
        <f>IF(AND(Tabela3[% A.A.]&gt;=10%,Tabela3[PVPA]&lt;=2,Tabela3[PL]&lt;=15,Tabela3[PL]&gt;0),"Sim","Não")</f>
        <v>Não</v>
      </c>
      <c r="P157" s="45">
        <f>Tabela3[[#This Row],[Lucro Prev]]/Tabela3[[#This Row],[Cotação]]</f>
        <v>-2.3353332252719277E-2</v>
      </c>
      <c r="Q157" s="19">
        <f>((1+Tabela3[[#This Row],[% Yield]])^(1/(3*Tabela3[[#This Row],[Ref]])))^(12)-1</f>
        <v>-3.1015946042260101E-2</v>
      </c>
      <c r="R157" s="14">
        <f>($X$1/Tabela3[[#This Row],[Cotação]]-MOD($X$1/Tabela3[[#This Row],[Cotação]],100))</f>
        <v>100</v>
      </c>
      <c r="S157" s="17">
        <f>Tabela3[[#This Row],[Ativos]]*Tabela3[[#This Row],[Lucro Prev]]</f>
        <v>-4.3203664667530663</v>
      </c>
      <c r="T157" s="5">
        <f>SUMPRODUCT(N(Tabela1[Código]=Tabela3[[#This Row],[PAPEL]]),Tabela1[Fechamento])</f>
        <v>1.85</v>
      </c>
      <c r="U157" s="5">
        <f>SUMPRODUCT(N(Tabela17[Código]=Tabela3[[#This Row],[PAPEL]]),Tabela17[Fechamento])</f>
        <v>0</v>
      </c>
    </row>
    <row r="158" spans="1:21" hidden="1" x14ac:dyDescent="0.2">
      <c r="A158" s="4" t="s">
        <v>19</v>
      </c>
      <c r="B158" s="14" t="s">
        <v>207</v>
      </c>
      <c r="C158" s="15">
        <v>3</v>
      </c>
      <c r="D158" s="6">
        <v>10702169000</v>
      </c>
      <c r="E158" s="6">
        <v>-162427000</v>
      </c>
      <c r="F158" s="6">
        <f>GETPIVOTDATA("Average of Lucro Líquido",'Tabela LL'!$A$3,"Ativo",Tabela3[[#This Row],[PAPEL]])/4*Tabela3[[#This Row],[Ref]]</f>
        <v>992541611.15062499</v>
      </c>
      <c r="G158" s="41">
        <v>1107677313</v>
      </c>
      <c r="H158" s="15">
        <f>Tabela3[[#This Row],[Lucro Líquido]]/Tabela3[[#This Row],[Total Ações]]</f>
        <v>-0.14663747112422804</v>
      </c>
      <c r="I158" s="19">
        <f>IF(GETPIVOTDATA("Payout",'Tabela LL'!$A$3,"Ativo",Tabela3[[#This Row],[PAPEL]])&gt;1,1,GETPIVOTDATA("Payout",'Tabela LL'!$A$3,"Ativo",Tabela3[[#This Row],[PAPEL]]))</f>
        <v>1</v>
      </c>
      <c r="J158" s="6">
        <f>Tabela3[Patrimônio Líquido]/Tabela3[Total Ações]</f>
        <v>9.6618111379518705</v>
      </c>
      <c r="K158" s="51">
        <f>MAX(Tabela3[[#This Row],[Cotação 1]],Tabela3[[#This Row],[Cotação 2]])</f>
        <v>5.7</v>
      </c>
      <c r="L158" s="47">
        <f>Tabela3[Cotação]/Tabela3[VPA]</f>
        <v>0.5899515027374358</v>
      </c>
      <c r="M158" s="43">
        <f>IF(Tabela3[[#This Row],[Lucro/Ação]]&gt;0,Tabela3[[#This Row],[Cotação]]/Tabela3[[#This Row],[Lucro/Ação]],0)</f>
        <v>0</v>
      </c>
      <c r="N158" s="6">
        <f>Tabela3[[#This Row],[Lucro/Ação]]*Tabela3[[#This Row],[Payout]]</f>
        <v>-0.14663747112422804</v>
      </c>
      <c r="O158" s="15" t="str">
        <f>IF(AND(Tabela3[% A.A.]&gt;=10%,Tabela3[PVPA]&lt;=2,Tabela3[PL]&lt;=15,Tabela3[PL]&gt;0),"Sim","Não")</f>
        <v>Não</v>
      </c>
      <c r="P158" s="45">
        <f>Tabela3[[#This Row],[Lucro Prev]]/Tabela3[[#This Row],[Cotação]]</f>
        <v>-2.5725872127057549E-2</v>
      </c>
      <c r="Q158" s="19">
        <f>((1+Tabela3[[#This Row],[% Yield]])^(1/(3*Tabela3[[#This Row],[Ref]])))^(12)-1</f>
        <v>-3.4153241690826452E-2</v>
      </c>
      <c r="R158" s="14">
        <f>($X$1/Tabela3[[#This Row],[Cotação]]-MOD($X$1/Tabela3[[#This Row],[Cotação]],100))</f>
        <v>0</v>
      </c>
      <c r="S158" s="17">
        <f>Tabela3[[#This Row],[Ativos]]*Tabela3[[#This Row],[Lucro Prev]]</f>
        <v>0</v>
      </c>
      <c r="T158" s="5">
        <f>SUMPRODUCT(N(Tabela1[Código]=Tabela3[[#This Row],[PAPEL]]),Tabela1[Fechamento])</f>
        <v>5.7</v>
      </c>
      <c r="U158" s="5">
        <f>SUMPRODUCT(N(Tabela17[Código]=Tabela3[[#This Row],[PAPEL]]),Tabela17[Fechamento])</f>
        <v>0</v>
      </c>
    </row>
    <row r="159" spans="1:21" hidden="1" x14ac:dyDescent="0.2">
      <c r="A159" s="4" t="s">
        <v>12</v>
      </c>
      <c r="B159" s="14" t="s">
        <v>102</v>
      </c>
      <c r="C159" s="15">
        <v>3</v>
      </c>
      <c r="D159" s="6">
        <v>1791505000</v>
      </c>
      <c r="E159" s="6">
        <v>-38094000</v>
      </c>
      <c r="F159" s="6">
        <f>GETPIVOTDATA("Average of Lucro Líquido",'Tabela LL'!$A$3,"Ativo",Tabela3[[#This Row],[PAPEL]])/4*Tabela3[[#This Row],[Ref]]</f>
        <v>-15760096.571249999</v>
      </c>
      <c r="G159" s="41">
        <v>387229828</v>
      </c>
      <c r="H159" s="15">
        <f>Tabela3[[#This Row],[Lucro Líquido]]/Tabela3[[#This Row],[Total Ações]]</f>
        <v>-9.8375686079637439E-2</v>
      </c>
      <c r="I159" s="19">
        <f>IF(GETPIVOTDATA("Payout",'Tabela LL'!$A$3,"Ativo",Tabela3[[#This Row],[PAPEL]])&gt;1,1,GETPIVOTDATA("Payout",'Tabela LL'!$A$3,"Ativo",Tabela3[[#This Row],[PAPEL]]))</f>
        <v>0.43917014853198871</v>
      </c>
      <c r="J159" s="6">
        <f>Tabela3[Patrimônio Líquido]/Tabela3[Total Ações]</f>
        <v>4.6264643642069849</v>
      </c>
      <c r="K159" s="51">
        <f>MAX(Tabela3[[#This Row],[Cotação 1]],Tabela3[[#This Row],[Cotação 2]])</f>
        <v>1.4</v>
      </c>
      <c r="L159" s="47">
        <f>Tabela3[Cotação]/Tabela3[VPA]</f>
        <v>0.30260689152416542</v>
      </c>
      <c r="M159" s="43">
        <f>IF(Tabela3[[#This Row],[Lucro/Ação]]&gt;0,Tabela3[[#This Row],[Cotação]]/Tabela3[[#This Row],[Lucro/Ação]],0)</f>
        <v>0</v>
      </c>
      <c r="N159" s="6">
        <f>Tabela3[[#This Row],[Lucro/Ação]]*Tabela3[[#This Row],[Payout]]</f>
        <v>-4.3203664667530665E-2</v>
      </c>
      <c r="O159" s="15" t="str">
        <f>IF(AND(Tabela3[% A.A.]&gt;=10%,Tabela3[PVPA]&lt;=2,Tabela3[PL]&lt;=15,Tabela3[PL]&gt;0),"Sim","Não")</f>
        <v>Não</v>
      </c>
      <c r="P159" s="45">
        <f>Tabela3[[#This Row],[Lucro Prev]]/Tabela3[[#This Row],[Cotação]]</f>
        <v>-3.0859760476807621E-2</v>
      </c>
      <c r="Q159" s="19">
        <f>((1+Tabela3[[#This Row],[% Yield]])^(1/(3*Tabela3[[#This Row],[Ref]])))^(12)-1</f>
        <v>-4.0933249306637332E-2</v>
      </c>
      <c r="R159" s="14">
        <f>($X$1/Tabela3[[#This Row],[Cotação]]-MOD($X$1/Tabela3[[#This Row],[Cotação]],100))</f>
        <v>200</v>
      </c>
      <c r="S159" s="17">
        <f>Tabela3[[#This Row],[Ativos]]*Tabela3[[#This Row],[Lucro Prev]]</f>
        <v>-8.6407329335061327</v>
      </c>
      <c r="T159" s="5">
        <f>SUMPRODUCT(N(Tabela1[Código]=Tabela3[[#This Row],[PAPEL]]),Tabela1[Fechamento])</f>
        <v>1.4</v>
      </c>
      <c r="U159" s="5">
        <f>SUMPRODUCT(N(Tabela17[Código]=Tabela3[[#This Row],[PAPEL]]),Tabela17[Fechamento])</f>
        <v>0</v>
      </c>
    </row>
    <row r="160" spans="1:21" hidden="1" x14ac:dyDescent="0.2">
      <c r="A160" s="4" t="s">
        <v>12</v>
      </c>
      <c r="B160" s="15" t="s">
        <v>27</v>
      </c>
      <c r="C160" s="15">
        <v>3</v>
      </c>
      <c r="D160" s="6">
        <v>65493746000</v>
      </c>
      <c r="E160" s="6">
        <v>-787071000</v>
      </c>
      <c r="F160" s="6">
        <f>GETPIVOTDATA("Average of Lucro Líquido",'Tabela LL'!$A$3,"Ativo",Tabela3[[#This Row],[PAPEL]])/4*Tabela3[[#This Row],[Ref]]</f>
        <v>811287750</v>
      </c>
      <c r="G160" s="8">
        <v>1352634100</v>
      </c>
      <c r="H160" s="40">
        <f>Tabela3[[#This Row],[Lucro Líquido]]/Tabela3[[#This Row],[Total Ações]]</f>
        <v>-0.58188019953067871</v>
      </c>
      <c r="I160" s="54">
        <f>IF(GETPIVOTDATA("Payout",'Tabela LL'!$A$3,"Ativo",Tabela3[[#This Row],[PAPEL]])&gt;1,1,GETPIVOTDATA("Payout",'Tabela LL'!$A$3,"Ativo",Tabela3[[#This Row],[PAPEL]]))</f>
        <v>1</v>
      </c>
      <c r="J160" s="30">
        <f>Tabela3[Patrimônio Líquido]/Tabela3[Total Ações]</f>
        <v>48.419410689113931</v>
      </c>
      <c r="K160" s="31">
        <f>MAX(Tabela3[[#This Row],[Cotação 1]],Tabela3[[#This Row],[Cotação 2]])</f>
        <v>9.57</v>
      </c>
      <c r="L160" s="32">
        <f>Tabela3[Cotação]/Tabela3[VPA]</f>
        <v>0.19764800652874551</v>
      </c>
      <c r="M160" s="37">
        <f>IF(Tabela3[[#This Row],[Lucro/Ação]]&gt;0,Tabela3[[#This Row],[Cotação]]/Tabela3[[#This Row],[Lucro/Ação]],0)</f>
        <v>0</v>
      </c>
      <c r="N160" s="6">
        <f>Tabela3[[#This Row],[Lucro/Ação]]*Tabela3[[#This Row],[Payout]]</f>
        <v>-0.58188019953067871</v>
      </c>
      <c r="O160" s="26" t="str">
        <f>IF(AND(Tabela3[% A.A.]&gt;=10%,Tabela3[PVPA]&lt;=2,Tabela3[PL]&lt;=15,Tabela3[PL]&gt;0),"Sim","Não")</f>
        <v>Não</v>
      </c>
      <c r="P160" s="29">
        <f>Tabela3[[#This Row],[Lucro Prev]]/Tabela3[[#This Row],[Cotação]]</f>
        <v>-6.0802528686591292E-2</v>
      </c>
      <c r="Q160" s="53">
        <f>((1+Tabela3[[#This Row],[% Yield]])^(1/(3*Tabela3[[#This Row],[Ref]])))^(12)-1</f>
        <v>-8.0237103233330553E-2</v>
      </c>
      <c r="R160" s="10">
        <f>($X$1/Tabela3[[#This Row],[Cotação]]-MOD($X$1/Tabela3[[#This Row],[Cotação]],100))</f>
        <v>0</v>
      </c>
      <c r="S160" s="5">
        <f>Tabela3[[#This Row],[Ativos]]*Tabela3[[#This Row],[Lucro Prev]]</f>
        <v>0</v>
      </c>
      <c r="T160" s="5">
        <f>SUMPRODUCT(N(Tabela1[Código]=Tabela3[[#This Row],[PAPEL]]),Tabela1[Fechamento])</f>
        <v>9.57</v>
      </c>
      <c r="U160" s="5">
        <f>SUMPRODUCT(N(Tabela17[Código]=Tabela3[[#This Row],[PAPEL]]),Tabela17[Fechamento])</f>
        <v>0</v>
      </c>
    </row>
    <row r="161" spans="1:21" hidden="1" x14ac:dyDescent="0.2">
      <c r="A161" s="4" t="s">
        <v>12</v>
      </c>
      <c r="B161" s="15" t="s">
        <v>2</v>
      </c>
      <c r="C161" s="15">
        <v>3</v>
      </c>
      <c r="D161" s="6">
        <v>65493746000</v>
      </c>
      <c r="E161" s="6">
        <v>-787071000</v>
      </c>
      <c r="F161" s="6">
        <f>GETPIVOTDATA("Average of Lucro Líquido",'Tabela LL'!$A$3,"Ativo",Tabela3[[#This Row],[PAPEL]])/4*Tabela3[[#This Row],[Ref]]</f>
        <v>811287750</v>
      </c>
      <c r="G161" s="8">
        <v>1352634100</v>
      </c>
      <c r="H161" s="40">
        <f>Tabela3[[#This Row],[Lucro Líquido]]/Tabela3[[#This Row],[Total Ações]]</f>
        <v>-0.58188019953067871</v>
      </c>
      <c r="I161" s="54">
        <f>IF(GETPIVOTDATA("Payout",'Tabela LL'!$A$3,"Ativo",Tabela3[[#This Row],[PAPEL]])&gt;1,1,GETPIVOTDATA("Payout",'Tabela LL'!$A$3,"Ativo",Tabela3[[#This Row],[PAPEL]]))</f>
        <v>1</v>
      </c>
      <c r="J161" s="6">
        <f>Tabela3[Patrimônio Líquido]/Tabela3[Total Ações]</f>
        <v>48.419410689113931</v>
      </c>
      <c r="K161" s="11">
        <f>MAX(Tabela3[[#This Row],[Cotação 1]],Tabela3[[#This Row],[Cotação 2]])</f>
        <v>5.65</v>
      </c>
      <c r="L161" s="9">
        <f>Tabela3[Cotação]/Tabela3[VPA]</f>
        <v>0.11668873948666794</v>
      </c>
      <c r="M161" s="38">
        <f>IF(Tabela3[[#This Row],[Lucro/Ação]]&gt;0,Tabela3[[#This Row],[Cotação]]/Tabela3[[#This Row],[Lucro/Ação]],0)</f>
        <v>0</v>
      </c>
      <c r="N161" s="6">
        <f>Tabela3[[#This Row],[Lucro/Ação]]*Tabela3[[#This Row],[Payout]]</f>
        <v>-0.58188019953067871</v>
      </c>
      <c r="O161" s="14" t="str">
        <f>IF(AND(Tabela3[% A.A.]&gt;=10%,Tabela3[PVPA]&lt;=2,Tabela3[PL]&lt;=15,Tabela3[PL]&gt;0),"Sim","Não")</f>
        <v>Não</v>
      </c>
      <c r="P161" s="19">
        <f>Tabela3[[#This Row],[Lucro Prev]]/Tabela3[[#This Row],[Cotação]]</f>
        <v>-0.10298764593463339</v>
      </c>
      <c r="Q161" s="19">
        <f>((1+Tabela3[[#This Row],[% Yield]])^(1/(3*Tabela3[[#This Row],[Ref]])))^(12)-1</f>
        <v>-0.13490347829850557</v>
      </c>
      <c r="R161" s="10">
        <f>($X$1/Tabela3[[#This Row],[Cotação]]-MOD($X$1/Tabela3[[#This Row],[Cotação]],100))</f>
        <v>0</v>
      </c>
      <c r="S161" s="5">
        <f>Tabela3[[#This Row],[Ativos]]*Tabela3[[#This Row],[Lucro Prev]]</f>
        <v>0</v>
      </c>
      <c r="T161" s="5">
        <f>SUMPRODUCT(N(Tabela1[Código]=Tabela3[[#This Row],[PAPEL]]),Tabela1[Fechamento])</f>
        <v>5.65</v>
      </c>
      <c r="U161" s="5">
        <f>SUMPRODUCT(N(Tabela17[Código]=Tabela3[[#This Row],[PAPEL]]),Tabela17[Fechamento])</f>
        <v>0</v>
      </c>
    </row>
  </sheetData>
  <hyperlinks>
    <hyperlink ref="B3" r:id="rId1"/>
    <hyperlink ref="B87" r:id="rId2"/>
    <hyperlink ref="B121" r:id="rId3"/>
    <hyperlink ref="B149" r:id="rId4"/>
    <hyperlink ref="B147" r:id="rId5"/>
    <hyperlink ref="B134" r:id="rId6"/>
    <hyperlink ref="B120" r:id="rId7"/>
    <hyperlink ref="B153" r:id="rId8"/>
    <hyperlink ref="B128" r:id="rId9"/>
    <hyperlink ref="B53" r:id="rId10"/>
    <hyperlink ref="B101" r:id="rId11"/>
    <hyperlink ref="B133" r:id="rId12"/>
    <hyperlink ref="B135" r:id="rId13"/>
    <hyperlink ref="B111" r:id="rId14"/>
    <hyperlink ref="B131" r:id="rId15"/>
    <hyperlink ref="B66" r:id="rId16"/>
    <hyperlink ref="B59" r:id="rId17"/>
    <hyperlink ref="B37" r:id="rId18"/>
    <hyperlink ref="B44" r:id="rId19"/>
    <hyperlink ref="B48" r:id="rId20"/>
    <hyperlink ref="B57" r:id="rId21"/>
    <hyperlink ref="B83" r:id="rId22"/>
    <hyperlink ref="B110" r:id="rId23"/>
    <hyperlink ref="B112" r:id="rId24"/>
    <hyperlink ref="B115" r:id="rId25"/>
    <hyperlink ref="B34" r:id="rId26"/>
    <hyperlink ref="B4" r:id="rId27"/>
    <hyperlink ref="B5" r:id="rId28"/>
    <hyperlink ref="B6" r:id="rId29"/>
    <hyperlink ref="B17" r:id="rId30"/>
    <hyperlink ref="B38" r:id="rId31"/>
    <hyperlink ref="B116" r:id="rId32"/>
    <hyperlink ref="B107" r:id="rId33"/>
    <hyperlink ref="B82" r:id="rId34"/>
    <hyperlink ref="B63" r:id="rId35"/>
    <hyperlink ref="B150" r:id="rId36"/>
    <hyperlink ref="B46" r:id="rId37"/>
    <hyperlink ref="B2" r:id="rId38"/>
    <hyperlink ref="B36" r:id="rId39"/>
    <hyperlink ref="B19" r:id="rId40"/>
    <hyperlink ref="B143" r:id="rId41"/>
    <hyperlink ref="B141" r:id="rId42"/>
    <hyperlink ref="B142" r:id="rId43"/>
    <hyperlink ref="B73" r:id="rId44"/>
    <hyperlink ref="B117" r:id="rId45"/>
    <hyperlink ref="B125" r:id="rId46"/>
    <hyperlink ref="B122" r:id="rId47"/>
    <hyperlink ref="B113" r:id="rId48"/>
    <hyperlink ref="B140" r:id="rId49"/>
    <hyperlink ref="B9" r:id="rId50"/>
    <hyperlink ref="B106" r:id="rId51"/>
    <hyperlink ref="B85" r:id="rId52"/>
    <hyperlink ref="B86" r:id="rId53"/>
    <hyperlink ref="B40" r:id="rId54"/>
    <hyperlink ref="B65" r:id="rId55"/>
    <hyperlink ref="B89" r:id="rId56"/>
    <hyperlink ref="B104" r:id="rId57"/>
    <hyperlink ref="B99" r:id="rId58"/>
  </hyperlinks>
  <pageMargins left="0.7" right="0.7" top="0.75" bottom="0.75" header="0.3" footer="0.3"/>
  <pageSetup paperSize="9" orientation="portrait" r:id="rId59"/>
  <tableParts count="1">
    <tablePart r:id="rId6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A1:V330"/>
  <sheetViews>
    <sheetView topLeftCell="O1" workbookViewId="0">
      <selection activeCell="H2" sqref="H2"/>
    </sheetView>
  </sheetViews>
  <sheetFormatPr defaultRowHeight="11.25" x14ac:dyDescent="0.2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 x14ac:dyDescent="0.2">
      <c r="A1" s="3" t="s">
        <v>42</v>
      </c>
      <c r="C1" s="3" t="s">
        <v>273</v>
      </c>
    </row>
    <row r="2" spans="1:22" x14ac:dyDescent="0.2">
      <c r="A2" s="3" t="s">
        <v>43</v>
      </c>
      <c r="C2" s="3" t="s">
        <v>46</v>
      </c>
    </row>
    <row r="3" spans="1:22" x14ac:dyDescent="0.2">
      <c r="A3" s="3" t="s">
        <v>44</v>
      </c>
    </row>
    <row r="4" spans="1:22" x14ac:dyDescent="0.2">
      <c r="A4" s="3" t="s">
        <v>45</v>
      </c>
    </row>
    <row r="6" spans="1:22" x14ac:dyDescent="0.2">
      <c r="P6" s="33" t="s">
        <v>45</v>
      </c>
      <c r="Q6" s="33" t="s">
        <v>0</v>
      </c>
      <c r="R6" s="34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 x14ac:dyDescent="0.2">
      <c r="A7" s="35" t="str">
        <f>IF(Tabela1[[#This Row],[Código]]="IBOV","^BVSP",IF(Tabela1[[#This Row],[Código]]="","",CONCATENATE(LEFT(Tabela1[[#This Row],[Código]],6),".SA")))</f>
        <v>ABCB4.SA</v>
      </c>
      <c r="C7" s="3" t="s">
        <v>107</v>
      </c>
      <c r="D7" s="3" t="s">
        <v>500</v>
      </c>
      <c r="E7" s="3" t="s">
        <v>543</v>
      </c>
      <c r="F7" s="3" t="s">
        <v>516</v>
      </c>
      <c r="G7" s="3" t="s">
        <v>697</v>
      </c>
      <c r="H7" s="20">
        <v>41654</v>
      </c>
      <c r="J7" s="3">
        <f>IF($A7="",0,VALUE(CONCATENATE(LEFT(D7,LEN(D7)-3),",",RIGHT(D7,2))))</f>
        <v>12.25</v>
      </c>
      <c r="K7" s="3">
        <f t="shared" ref="K7:M22" si="0">IF($A7="",0,VALUE(CONCATENATE(LEFT(E7,LEN(E7)-3),",",RIGHT(E7,2))))</f>
        <v>12.19</v>
      </c>
      <c r="L7" s="3">
        <f t="shared" si="0"/>
        <v>12.28</v>
      </c>
      <c r="M7" s="3">
        <f t="shared" si="0"/>
        <v>12.05</v>
      </c>
      <c r="P7" s="14" t="s">
        <v>22</v>
      </c>
      <c r="Q7" s="10" t="str">
        <f t="shared" ref="Q7:Q38" si="1">IF(A7="","",C7)</f>
        <v xml:space="preserve">ABC BRASIL  -PN  </v>
      </c>
      <c r="R7" s="20">
        <f t="shared" ref="R7:R38" si="2">IF(A7="","",H7)</f>
        <v>41654</v>
      </c>
      <c r="S7" s="5">
        <f t="shared" ref="S7:S38" si="3">J7</f>
        <v>12.25</v>
      </c>
      <c r="T7" s="5">
        <f t="shared" ref="T7:T38" si="4">K7</f>
        <v>12.19</v>
      </c>
      <c r="U7" s="5">
        <f t="shared" ref="U7:U38" si="5">L7</f>
        <v>12.28</v>
      </c>
      <c r="V7" s="5">
        <f t="shared" ref="V7:V38" si="6">M7</f>
        <v>12.05</v>
      </c>
    </row>
    <row r="8" spans="1:22" x14ac:dyDescent="0.2">
      <c r="A8" s="35" t="str">
        <f>IF(Tabela1[[#This Row],[Código]]="IBOV","^BVSP",IF(Tabela1[[#This Row],[Código]]="","",CONCATENATE(LEFT(Tabela1[[#This Row],[Código]],6),".SA")))</f>
        <v>AELP3.SA</v>
      </c>
      <c r="C8" s="3" t="s">
        <v>108</v>
      </c>
      <c r="D8" s="3" t="s">
        <v>734</v>
      </c>
      <c r="E8" s="3" t="s">
        <v>735</v>
      </c>
      <c r="F8" s="3" t="s">
        <v>734</v>
      </c>
      <c r="G8" s="3" t="s">
        <v>735</v>
      </c>
      <c r="H8" s="20">
        <v>41654</v>
      </c>
      <c r="J8" s="3">
        <f t="shared" ref="J8:M71" si="7">IF($A8="",0,VALUE(CONCATENATE(LEFT(D8,LEN(D8)-3),",",RIGHT(D8,2))))</f>
        <v>8.34</v>
      </c>
      <c r="K8" s="3">
        <f t="shared" si="0"/>
        <v>8.3000000000000007</v>
      </c>
      <c r="L8" s="3">
        <f t="shared" si="0"/>
        <v>8.34</v>
      </c>
      <c r="M8" s="3">
        <f t="shared" si="0"/>
        <v>8.3000000000000007</v>
      </c>
      <c r="P8" s="14" t="s">
        <v>68</v>
      </c>
      <c r="Q8" s="10" t="str">
        <f t="shared" si="1"/>
        <v>AES ELPA    -ON</v>
      </c>
      <c r="R8" s="20">
        <f t="shared" si="2"/>
        <v>41654</v>
      </c>
      <c r="S8" s="5">
        <f t="shared" si="3"/>
        <v>8.34</v>
      </c>
      <c r="T8" s="5">
        <f t="shared" si="4"/>
        <v>8.3000000000000007</v>
      </c>
      <c r="U8" s="5">
        <f t="shared" si="5"/>
        <v>8.34</v>
      </c>
      <c r="V8" s="5">
        <f t="shared" si="6"/>
        <v>8.3000000000000007</v>
      </c>
    </row>
    <row r="9" spans="1:22" x14ac:dyDescent="0.2">
      <c r="A9" s="35" t="str">
        <f>IF(Tabela1[[#This Row],[Código]]="IBOV","^BVSP",IF(Tabela1[[#This Row],[Código]]="","",CONCATENATE(LEFT(Tabela1[[#This Row],[Código]],6),".SA")))</f>
        <v>BAZA3.SA</v>
      </c>
      <c r="C9" s="3" t="s">
        <v>109</v>
      </c>
      <c r="D9" s="3" t="s">
        <v>487</v>
      </c>
      <c r="E9" s="3" t="s">
        <v>528</v>
      </c>
      <c r="F9" s="3" t="s">
        <v>528</v>
      </c>
      <c r="G9" s="3" t="s">
        <v>487</v>
      </c>
      <c r="H9" s="20">
        <v>41653</v>
      </c>
      <c r="J9" s="3">
        <f t="shared" si="7"/>
        <v>0.31</v>
      </c>
      <c r="K9" s="3">
        <f t="shared" si="0"/>
        <v>0.33</v>
      </c>
      <c r="L9" s="3">
        <f t="shared" si="0"/>
        <v>0.33</v>
      </c>
      <c r="M9" s="3">
        <f t="shared" si="0"/>
        <v>0.31</v>
      </c>
      <c r="P9" s="15" t="s">
        <v>63</v>
      </c>
      <c r="Q9" s="10" t="str">
        <f t="shared" si="1"/>
        <v>AMAZONIA    -ON</v>
      </c>
      <c r="R9" s="20">
        <f t="shared" si="2"/>
        <v>41653</v>
      </c>
      <c r="S9" s="5">
        <f t="shared" si="3"/>
        <v>0.31</v>
      </c>
      <c r="T9" s="5">
        <f t="shared" si="4"/>
        <v>0.33</v>
      </c>
      <c r="U9" s="5">
        <f t="shared" si="5"/>
        <v>0.33</v>
      </c>
      <c r="V9" s="5">
        <f t="shared" si="6"/>
        <v>0.31</v>
      </c>
    </row>
    <row r="10" spans="1:22" x14ac:dyDescent="0.2">
      <c r="A10" s="35" t="str">
        <f>IF(Tabela1[[#This Row],[Código]]="IBOV","^BVSP",IF(Tabela1[[#This Row],[Código]]="","",CONCATENATE(LEFT(Tabela1[[#This Row],[Código]],6),".SA")))</f>
        <v>BBAS3.SA</v>
      </c>
      <c r="C10" s="3" t="s">
        <v>110</v>
      </c>
      <c r="D10" s="3" t="s">
        <v>545</v>
      </c>
      <c r="E10" s="3" t="s">
        <v>736</v>
      </c>
      <c r="F10" s="3" t="s">
        <v>546</v>
      </c>
      <c r="G10" s="3" t="s">
        <v>737</v>
      </c>
      <c r="H10" s="20">
        <v>41654</v>
      </c>
      <c r="J10" s="3">
        <f t="shared" si="7"/>
        <v>23.41</v>
      </c>
      <c r="K10" s="3">
        <f t="shared" si="0"/>
        <v>23.17</v>
      </c>
      <c r="L10" s="3">
        <f t="shared" si="0"/>
        <v>23.55</v>
      </c>
      <c r="M10" s="3">
        <f t="shared" si="0"/>
        <v>23.02</v>
      </c>
      <c r="P10" s="15" t="s">
        <v>24</v>
      </c>
      <c r="Q10" s="10" t="str">
        <f t="shared" si="1"/>
        <v xml:space="preserve">BRASIL      -ON  </v>
      </c>
      <c r="R10" s="20">
        <f t="shared" si="2"/>
        <v>41654</v>
      </c>
      <c r="S10" s="5">
        <f t="shared" si="3"/>
        <v>23.41</v>
      </c>
      <c r="T10" s="5">
        <f t="shared" si="4"/>
        <v>23.17</v>
      </c>
      <c r="U10" s="5">
        <f t="shared" si="5"/>
        <v>23.55</v>
      </c>
      <c r="V10" s="5">
        <f t="shared" si="6"/>
        <v>23.02</v>
      </c>
    </row>
    <row r="11" spans="1:22" x14ac:dyDescent="0.2">
      <c r="A11" s="35" t="str">
        <f>IF(Tabela1[[#This Row],[Código]]="IBOV","^BVSP",IF(Tabela1[[#This Row],[Código]]="","",CONCATENATE(LEFT(Tabela1[[#This Row],[Código]],6),".SA")))</f>
        <v>BBDC3.SA</v>
      </c>
      <c r="C11" s="3" t="s">
        <v>221</v>
      </c>
      <c r="D11" s="3" t="s">
        <v>547</v>
      </c>
      <c r="E11" s="3" t="s">
        <v>738</v>
      </c>
      <c r="F11" s="3" t="s">
        <v>548</v>
      </c>
      <c r="G11" s="3" t="s">
        <v>549</v>
      </c>
      <c r="H11" s="20">
        <v>41654</v>
      </c>
      <c r="J11" s="3">
        <f t="shared" si="7"/>
        <v>30.07</v>
      </c>
      <c r="K11" s="3">
        <f t="shared" si="0"/>
        <v>30.03</v>
      </c>
      <c r="L11" s="3">
        <f t="shared" si="0"/>
        <v>30.28</v>
      </c>
      <c r="M11" s="3">
        <f t="shared" si="0"/>
        <v>29.81</v>
      </c>
      <c r="P11" s="14" t="s">
        <v>219</v>
      </c>
      <c r="Q11" s="10" t="str">
        <f t="shared" si="1"/>
        <v xml:space="preserve">BRADESCO    -ON  </v>
      </c>
      <c r="R11" s="20">
        <f t="shared" si="2"/>
        <v>41654</v>
      </c>
      <c r="S11" s="5">
        <f t="shared" si="3"/>
        <v>30.07</v>
      </c>
      <c r="T11" s="5">
        <f t="shared" si="4"/>
        <v>30.03</v>
      </c>
      <c r="U11" s="5">
        <f t="shared" si="5"/>
        <v>30.28</v>
      </c>
      <c r="V11" s="5">
        <f t="shared" si="6"/>
        <v>29.81</v>
      </c>
    </row>
    <row r="12" spans="1:22" x14ac:dyDescent="0.2">
      <c r="A12" s="35" t="str">
        <f>IF(Tabela1[[#This Row],[Código]]="IBOV","^BVSP",IF(Tabela1[[#This Row],[Código]]="","",CONCATENATE(LEFT(Tabela1[[#This Row],[Código]],6),".SA")))</f>
        <v>BBDC4.SA</v>
      </c>
      <c r="C12" s="3" t="s">
        <v>222</v>
      </c>
      <c r="D12" s="3" t="s">
        <v>535</v>
      </c>
      <c r="E12" s="3" t="s">
        <v>739</v>
      </c>
      <c r="F12" s="3" t="s">
        <v>740</v>
      </c>
      <c r="G12" s="3" t="s">
        <v>550</v>
      </c>
      <c r="H12" s="20">
        <v>41654</v>
      </c>
      <c r="J12" s="3">
        <f t="shared" si="7"/>
        <v>27.8</v>
      </c>
      <c r="K12" s="3">
        <f t="shared" si="0"/>
        <v>27.83</v>
      </c>
      <c r="L12" s="3">
        <f t="shared" si="0"/>
        <v>27.99</v>
      </c>
      <c r="M12" s="3">
        <f t="shared" si="0"/>
        <v>27.64</v>
      </c>
      <c r="P12" s="14" t="s">
        <v>220</v>
      </c>
      <c r="Q12" s="10" t="str">
        <f t="shared" si="1"/>
        <v xml:space="preserve">BRADESCO    -PN  </v>
      </c>
      <c r="R12" s="56">
        <f t="shared" si="2"/>
        <v>41654</v>
      </c>
      <c r="S12" s="5">
        <f t="shared" si="3"/>
        <v>27.8</v>
      </c>
      <c r="T12" s="5">
        <f t="shared" si="4"/>
        <v>27.83</v>
      </c>
      <c r="U12" s="5">
        <f t="shared" si="5"/>
        <v>27.99</v>
      </c>
      <c r="V12" s="5">
        <f t="shared" si="6"/>
        <v>27.64</v>
      </c>
    </row>
    <row r="13" spans="1:22" x14ac:dyDescent="0.2">
      <c r="A13" s="35" t="str">
        <f>IF(Tabela1[[#This Row],[Código]]="IBOV","^BVSP",IF(Tabela1[[#This Row],[Código]]="","",CONCATENATE(LEFT(Tabela1[[#This Row],[Código]],6),".SA")))</f>
        <v>BEES3.SA</v>
      </c>
      <c r="C13" s="3" t="s">
        <v>395</v>
      </c>
      <c r="D13" s="3" t="s">
        <v>448</v>
      </c>
      <c r="E13" s="3" t="s">
        <v>474</v>
      </c>
      <c r="F13" s="3" t="s">
        <v>474</v>
      </c>
      <c r="G13" s="3" t="s">
        <v>448</v>
      </c>
      <c r="H13" s="20">
        <v>41654</v>
      </c>
      <c r="J13" s="3">
        <f t="shared" si="7"/>
        <v>0.46</v>
      </c>
      <c r="K13" s="3">
        <f t="shared" si="0"/>
        <v>0.47</v>
      </c>
      <c r="L13" s="3">
        <f t="shared" si="0"/>
        <v>0.47</v>
      </c>
      <c r="M13" s="3">
        <f t="shared" si="0"/>
        <v>0.46</v>
      </c>
      <c r="P13" s="15" t="s">
        <v>59</v>
      </c>
      <c r="Q13" s="10" t="str">
        <f t="shared" si="1"/>
        <v xml:space="preserve">BANESTES    -ON  </v>
      </c>
      <c r="R13" s="56">
        <f t="shared" si="2"/>
        <v>41654</v>
      </c>
      <c r="S13" s="5">
        <f t="shared" si="3"/>
        <v>0.46</v>
      </c>
      <c r="T13" s="5">
        <f t="shared" si="4"/>
        <v>0.47</v>
      </c>
      <c r="U13" s="5">
        <f t="shared" si="5"/>
        <v>0.47</v>
      </c>
      <c r="V13" s="5">
        <f t="shared" si="6"/>
        <v>0.46</v>
      </c>
    </row>
    <row r="14" spans="1:22" x14ac:dyDescent="0.2">
      <c r="A14" s="35" t="str">
        <f>IF(Tabela1[[#This Row],[Código]]="IBOV","^BVSP",IF(Tabela1[[#This Row],[Código]]="","",CONCATENATE(LEFT(Tabela1[[#This Row],[Código]],6),".SA")))</f>
        <v>BEES4.SA</v>
      </c>
      <c r="C14" s="3" t="s">
        <v>396</v>
      </c>
      <c r="D14" s="3" t="s">
        <v>448</v>
      </c>
      <c r="E14" s="3" t="s">
        <v>448</v>
      </c>
      <c r="F14" s="3" t="s">
        <v>448</v>
      </c>
      <c r="G14" s="3" t="s">
        <v>448</v>
      </c>
      <c r="H14" s="20">
        <v>41653</v>
      </c>
      <c r="J14" s="3">
        <f t="shared" si="7"/>
        <v>0.46</v>
      </c>
      <c r="K14" s="3">
        <f t="shared" si="0"/>
        <v>0.46</v>
      </c>
      <c r="L14" s="3">
        <f t="shared" si="0"/>
        <v>0.46</v>
      </c>
      <c r="M14" s="3">
        <f t="shared" si="0"/>
        <v>0.46</v>
      </c>
      <c r="P14" s="15" t="s">
        <v>60</v>
      </c>
      <c r="Q14" s="10" t="str">
        <f t="shared" si="1"/>
        <v xml:space="preserve">BANESTES    -PN  </v>
      </c>
      <c r="R14" s="20">
        <f t="shared" si="2"/>
        <v>41653</v>
      </c>
      <c r="S14" s="5">
        <f t="shared" si="3"/>
        <v>0.46</v>
      </c>
      <c r="T14" s="5">
        <f t="shared" si="4"/>
        <v>0.46</v>
      </c>
      <c r="U14" s="5">
        <f t="shared" si="5"/>
        <v>0.46</v>
      </c>
      <c r="V14" s="5">
        <f t="shared" si="6"/>
        <v>0.46</v>
      </c>
    </row>
    <row r="15" spans="1:22" x14ac:dyDescent="0.2">
      <c r="A15" s="35" t="str">
        <f>IF(Tabela1[[#This Row],[Código]]="IBOV","^BVSP",IF(Tabela1[[#This Row],[Código]]="","",CONCATENATE(LEFT(Tabela1[[#This Row],[Código]],6),".SA")))</f>
        <v>BGIP3.SA</v>
      </c>
      <c r="C15" s="3" t="s">
        <v>488</v>
      </c>
      <c r="D15" s="3" t="s">
        <v>475</v>
      </c>
      <c r="E15" s="3" t="s">
        <v>477</v>
      </c>
      <c r="F15" s="3" t="s">
        <v>477</v>
      </c>
      <c r="G15" s="3" t="s">
        <v>475</v>
      </c>
      <c r="H15" s="20">
        <v>41648</v>
      </c>
      <c r="J15" s="3">
        <f t="shared" si="7"/>
        <v>43.24</v>
      </c>
      <c r="K15" s="3">
        <f t="shared" si="0"/>
        <v>43.25</v>
      </c>
      <c r="L15" s="3">
        <f t="shared" si="0"/>
        <v>43.25</v>
      </c>
      <c r="M15" s="3">
        <f t="shared" si="0"/>
        <v>43.24</v>
      </c>
      <c r="P15" s="10" t="s">
        <v>224</v>
      </c>
      <c r="Q15" s="10" t="str">
        <f t="shared" si="1"/>
        <v>BANESE      -ON</v>
      </c>
      <c r="R15" s="56">
        <f t="shared" si="2"/>
        <v>41648</v>
      </c>
      <c r="S15" s="5">
        <f t="shared" si="3"/>
        <v>43.24</v>
      </c>
      <c r="T15" s="5">
        <f t="shared" si="4"/>
        <v>43.25</v>
      </c>
      <c r="U15" s="5">
        <f t="shared" si="5"/>
        <v>43.25</v>
      </c>
      <c r="V15" s="5">
        <f t="shared" si="6"/>
        <v>43.24</v>
      </c>
    </row>
    <row r="16" spans="1:22" x14ac:dyDescent="0.2">
      <c r="A16" s="35" t="str">
        <f>IF(Tabela1[[#This Row],[Código]]="IBOV","^BVSP",IF(Tabela1[[#This Row],[Código]]="","",CONCATENATE(LEFT(Tabela1[[#This Row],[Código]],6),".SA")))</f>
        <v>BGIP4.SA</v>
      </c>
      <c r="C16" s="3" t="s">
        <v>489</v>
      </c>
      <c r="D16" s="3" t="s">
        <v>551</v>
      </c>
      <c r="E16" s="3" t="s">
        <v>698</v>
      </c>
      <c r="F16" s="3" t="s">
        <v>551</v>
      </c>
      <c r="G16" s="3" t="s">
        <v>698</v>
      </c>
      <c r="H16" s="20">
        <v>41654</v>
      </c>
      <c r="J16" s="3">
        <f t="shared" si="7"/>
        <v>45.05</v>
      </c>
      <c r="K16" s="3">
        <f t="shared" si="0"/>
        <v>45</v>
      </c>
      <c r="L16" s="3">
        <f t="shared" si="0"/>
        <v>45.05</v>
      </c>
      <c r="M16" s="3">
        <f t="shared" si="0"/>
        <v>45</v>
      </c>
      <c r="P16" s="15" t="s">
        <v>225</v>
      </c>
      <c r="Q16" s="10" t="str">
        <f t="shared" si="1"/>
        <v>BANESE      -PN</v>
      </c>
      <c r="R16" s="56">
        <f t="shared" si="2"/>
        <v>41654</v>
      </c>
      <c r="S16" s="5">
        <f t="shared" si="3"/>
        <v>45.05</v>
      </c>
      <c r="T16" s="5">
        <f t="shared" si="4"/>
        <v>45</v>
      </c>
      <c r="U16" s="5">
        <f t="shared" si="5"/>
        <v>45.05</v>
      </c>
      <c r="V16" s="5">
        <f t="shared" si="6"/>
        <v>45</v>
      </c>
    </row>
    <row r="17" spans="1:22" x14ac:dyDescent="0.2">
      <c r="A17" s="35" t="str">
        <f>IF(Tabela1[[#This Row],[Código]]="IBOV","^BVSP",IF(Tabela1[[#This Row],[Código]]="","",CONCATENATE(LEFT(Tabela1[[#This Row],[Código]],6),".SA")))</f>
        <v>BICB3.SA</v>
      </c>
      <c r="C17" s="3" t="s">
        <v>232</v>
      </c>
      <c r="D17" s="3" t="s">
        <v>233</v>
      </c>
      <c r="E17" s="3" t="s">
        <v>234</v>
      </c>
      <c r="F17" s="3" t="s">
        <v>233</v>
      </c>
      <c r="G17" s="3" t="s">
        <v>234</v>
      </c>
      <c r="H17" s="20">
        <v>41631</v>
      </c>
      <c r="J17" s="3">
        <f t="shared" si="7"/>
        <v>9.69</v>
      </c>
      <c r="K17" s="3">
        <f t="shared" si="0"/>
        <v>9.65</v>
      </c>
      <c r="L17" s="3">
        <f t="shared" si="0"/>
        <v>9.69</v>
      </c>
      <c r="M17" s="3">
        <f t="shared" si="0"/>
        <v>9.65</v>
      </c>
      <c r="P17" s="14" t="s">
        <v>231</v>
      </c>
      <c r="Q17" s="10" t="str">
        <f t="shared" si="1"/>
        <v xml:space="preserve">BICBANCO    -ON  </v>
      </c>
      <c r="R17" s="56">
        <f t="shared" si="2"/>
        <v>41631</v>
      </c>
      <c r="S17" s="5">
        <f t="shared" si="3"/>
        <v>9.69</v>
      </c>
      <c r="T17" s="5">
        <f t="shared" si="4"/>
        <v>9.65</v>
      </c>
      <c r="U17" s="5">
        <f t="shared" si="5"/>
        <v>9.69</v>
      </c>
      <c r="V17" s="5">
        <f t="shared" si="6"/>
        <v>9.65</v>
      </c>
    </row>
    <row r="18" spans="1:22" x14ac:dyDescent="0.2">
      <c r="A18" s="35" t="str">
        <f>IF(Tabela1[[#This Row],[Código]]="IBOV","^BVSP",IF(Tabela1[[#This Row],[Código]]="","",CONCATENATE(LEFT(Tabela1[[#This Row],[Código]],6),".SA")))</f>
        <v>BICB4.SA</v>
      </c>
      <c r="C18" s="3" t="s">
        <v>112</v>
      </c>
      <c r="D18" s="3" t="s">
        <v>530</v>
      </c>
      <c r="E18" s="3" t="s">
        <v>529</v>
      </c>
      <c r="F18" s="3" t="s">
        <v>741</v>
      </c>
      <c r="G18" s="3" t="s">
        <v>529</v>
      </c>
      <c r="H18" s="20">
        <v>41654</v>
      </c>
      <c r="J18" s="3">
        <f t="shared" si="7"/>
        <v>7.41</v>
      </c>
      <c r="K18" s="3">
        <f t="shared" si="0"/>
        <v>7.4</v>
      </c>
      <c r="L18" s="3">
        <f t="shared" si="0"/>
        <v>7.45</v>
      </c>
      <c r="M18" s="3">
        <f t="shared" si="0"/>
        <v>7.4</v>
      </c>
      <c r="P18" s="14" t="s">
        <v>10</v>
      </c>
      <c r="Q18" s="10" t="str">
        <f t="shared" si="1"/>
        <v xml:space="preserve">BICBANCO    -PN  </v>
      </c>
      <c r="R18" s="56">
        <f t="shared" si="2"/>
        <v>41654</v>
      </c>
      <c r="S18" s="5">
        <f t="shared" si="3"/>
        <v>7.41</v>
      </c>
      <c r="T18" s="5">
        <f t="shared" si="4"/>
        <v>7.4</v>
      </c>
      <c r="U18" s="5">
        <f t="shared" si="5"/>
        <v>7.45</v>
      </c>
      <c r="V18" s="5">
        <f t="shared" si="6"/>
        <v>7.4</v>
      </c>
    </row>
    <row r="19" spans="1:22" x14ac:dyDescent="0.2">
      <c r="A19" s="35" t="str">
        <f>IF(Tabela1[[#This Row],[Código]]="IBOV","^BVSP",IF(Tabela1[[#This Row],[Código]]="","",CONCATENATE(LEFT(Tabela1[[#This Row],[Código]],6),".SA")))</f>
        <v>BMIN3.SA</v>
      </c>
      <c r="C19" s="3" t="s">
        <v>236</v>
      </c>
      <c r="D19" s="3" t="s">
        <v>172</v>
      </c>
      <c r="E19" s="3" t="s">
        <v>172</v>
      </c>
      <c r="F19" s="3" t="s">
        <v>172</v>
      </c>
      <c r="G19" s="3" t="s">
        <v>172</v>
      </c>
      <c r="H19" s="20">
        <v>41638</v>
      </c>
      <c r="J19" s="3">
        <f t="shared" si="7"/>
        <v>1.1000000000000001</v>
      </c>
      <c r="K19" s="3">
        <f t="shared" si="0"/>
        <v>1.1000000000000001</v>
      </c>
      <c r="L19" s="3">
        <f t="shared" si="0"/>
        <v>1.1000000000000001</v>
      </c>
      <c r="M19" s="3">
        <f t="shared" si="0"/>
        <v>1.1000000000000001</v>
      </c>
      <c r="P19" s="14" t="s">
        <v>235</v>
      </c>
      <c r="Q19" s="10" t="str">
        <f t="shared" si="1"/>
        <v>MERC INVEST -ON</v>
      </c>
      <c r="R19" s="56">
        <f t="shared" si="2"/>
        <v>41638</v>
      </c>
      <c r="S19" s="5">
        <f t="shared" si="3"/>
        <v>1.1000000000000001</v>
      </c>
      <c r="T19" s="5">
        <f t="shared" si="4"/>
        <v>1.1000000000000001</v>
      </c>
      <c r="U19" s="5">
        <f t="shared" si="5"/>
        <v>1.1000000000000001</v>
      </c>
      <c r="V19" s="5">
        <f t="shared" si="6"/>
        <v>1.1000000000000001</v>
      </c>
    </row>
    <row r="20" spans="1:22" x14ac:dyDescent="0.2">
      <c r="A20" s="35" t="str">
        <f>IF(Tabela1[[#This Row],[Código]]="IBOV","^BVSP",IF(Tabela1[[#This Row],[Código]]="","",CONCATENATE(LEFT(Tabela1[[#This Row],[Código]],6),".SA")))</f>
        <v>BMIN4.SA</v>
      </c>
      <c r="C20" s="3" t="s">
        <v>113</v>
      </c>
      <c r="D20" s="3" t="s">
        <v>114</v>
      </c>
      <c r="E20" s="3" t="s">
        <v>114</v>
      </c>
      <c r="F20" s="3" t="s">
        <v>114</v>
      </c>
      <c r="G20" s="3" t="s">
        <v>114</v>
      </c>
      <c r="H20" s="20">
        <v>41654</v>
      </c>
      <c r="J20" s="3">
        <f t="shared" si="7"/>
        <v>0.26</v>
      </c>
      <c r="K20" s="3">
        <f t="shared" si="0"/>
        <v>0.26</v>
      </c>
      <c r="L20" s="3">
        <f t="shared" si="0"/>
        <v>0.26</v>
      </c>
      <c r="M20" s="3">
        <f t="shared" si="0"/>
        <v>0.26</v>
      </c>
      <c r="P20" s="14" t="s">
        <v>62</v>
      </c>
      <c r="Q20" s="10" t="str">
        <f t="shared" si="1"/>
        <v>MERC INVEST -PN</v>
      </c>
      <c r="R20" s="20">
        <f t="shared" si="2"/>
        <v>41654</v>
      </c>
      <c r="S20" s="5">
        <f t="shared" si="3"/>
        <v>0.26</v>
      </c>
      <c r="T20" s="5">
        <f t="shared" si="4"/>
        <v>0.26</v>
      </c>
      <c r="U20" s="5">
        <f t="shared" si="5"/>
        <v>0.26</v>
      </c>
      <c r="V20" s="5">
        <f t="shared" si="6"/>
        <v>0.26</v>
      </c>
    </row>
    <row r="21" spans="1:22" x14ac:dyDescent="0.2">
      <c r="A21" s="35" t="str">
        <f>IF(Tabela1[[#This Row],[Código]]="IBOV","^BVSP",IF(Tabela1[[#This Row],[Código]]="","",CONCATENATE(LEFT(Tabela1[[#This Row],[Código]],6),".SA")))</f>
        <v>BNBR3.SA</v>
      </c>
      <c r="C21" s="3" t="s">
        <v>239</v>
      </c>
      <c r="D21" s="3" t="s">
        <v>223</v>
      </c>
      <c r="E21" s="3" t="s">
        <v>223</v>
      </c>
      <c r="F21" s="3" t="s">
        <v>223</v>
      </c>
      <c r="G21" s="3" t="s">
        <v>223</v>
      </c>
      <c r="H21" s="20">
        <v>41624</v>
      </c>
      <c r="J21" s="3">
        <f t="shared" si="7"/>
        <v>28.74</v>
      </c>
      <c r="K21" s="3">
        <f t="shared" si="0"/>
        <v>28.74</v>
      </c>
      <c r="L21" s="3">
        <f t="shared" si="0"/>
        <v>28.74</v>
      </c>
      <c r="M21" s="3">
        <f t="shared" si="0"/>
        <v>28.74</v>
      </c>
      <c r="P21" s="15" t="s">
        <v>237</v>
      </c>
      <c r="Q21" s="10" t="str">
        <f t="shared" si="1"/>
        <v>NORD BRASIL -ON</v>
      </c>
      <c r="R21" s="56">
        <f t="shared" si="2"/>
        <v>41624</v>
      </c>
      <c r="S21" s="5">
        <f t="shared" si="3"/>
        <v>28.74</v>
      </c>
      <c r="T21" s="5">
        <f t="shared" si="4"/>
        <v>28.74</v>
      </c>
      <c r="U21" s="5">
        <f t="shared" si="5"/>
        <v>28.74</v>
      </c>
      <c r="V21" s="5">
        <f t="shared" si="6"/>
        <v>28.74</v>
      </c>
    </row>
    <row r="22" spans="1:22" x14ac:dyDescent="0.2">
      <c r="A22" s="35" t="str">
        <f>IF(Tabela1[[#This Row],[Código]]="IBOV","^BVSP",IF(Tabela1[[#This Row],[Código]]="","",CONCATENATE(LEFT(Tabela1[[#This Row],[Código]],6),".SA")))</f>
        <v>BNBR4.SA</v>
      </c>
      <c r="C22" s="3" t="s">
        <v>240</v>
      </c>
      <c r="D22" s="3" t="s">
        <v>480</v>
      </c>
      <c r="E22" s="3" t="s">
        <v>480</v>
      </c>
      <c r="F22" s="3" t="s">
        <v>480</v>
      </c>
      <c r="G22" s="3" t="s">
        <v>480</v>
      </c>
      <c r="H22" s="20">
        <v>41648</v>
      </c>
      <c r="J22" s="3">
        <f t="shared" si="7"/>
        <v>23.54</v>
      </c>
      <c r="K22" s="3">
        <f t="shared" si="0"/>
        <v>23.54</v>
      </c>
      <c r="L22" s="3">
        <f t="shared" si="0"/>
        <v>23.54</v>
      </c>
      <c r="M22" s="3">
        <f t="shared" si="0"/>
        <v>23.54</v>
      </c>
      <c r="P22" s="14" t="s">
        <v>238</v>
      </c>
      <c r="Q22" s="10" t="str">
        <f t="shared" si="1"/>
        <v>NORD BRASIL -PN</v>
      </c>
      <c r="R22" s="56">
        <f t="shared" si="2"/>
        <v>41648</v>
      </c>
      <c r="S22" s="5">
        <f t="shared" si="3"/>
        <v>23.54</v>
      </c>
      <c r="T22" s="5">
        <f t="shared" si="4"/>
        <v>23.54</v>
      </c>
      <c r="U22" s="5">
        <f t="shared" si="5"/>
        <v>23.54</v>
      </c>
      <c r="V22" s="5">
        <f t="shared" si="6"/>
        <v>23.54</v>
      </c>
    </row>
    <row r="23" spans="1:22" x14ac:dyDescent="0.2">
      <c r="A23" s="35" t="str">
        <f>IF(Tabela1[[#This Row],[Código]]="IBOV","^BVSP",IF(Tabela1[[#This Row],[Código]]="","",CONCATENATE(LEFT(Tabela1[[#This Row],[Código]],6),".SA")))</f>
        <v>BRGE11.SA</v>
      </c>
      <c r="C23" s="3" t="s">
        <v>259</v>
      </c>
      <c r="D23" s="3" t="s">
        <v>174</v>
      </c>
      <c r="E23" s="3" t="s">
        <v>174</v>
      </c>
      <c r="F23" s="3" t="s">
        <v>174</v>
      </c>
      <c r="G23" s="3" t="s">
        <v>174</v>
      </c>
      <c r="H23" s="20">
        <v>41624</v>
      </c>
      <c r="J23" s="3">
        <f t="shared" si="7"/>
        <v>3.82</v>
      </c>
      <c r="K23" s="3">
        <f t="shared" si="7"/>
        <v>3.82</v>
      </c>
      <c r="L23" s="3">
        <f t="shared" si="7"/>
        <v>3.82</v>
      </c>
      <c r="M23" s="3">
        <f t="shared" si="7"/>
        <v>3.82</v>
      </c>
      <c r="P23" s="46" t="s">
        <v>250</v>
      </c>
      <c r="Q23" s="10" t="str">
        <f t="shared" si="1"/>
        <v>ALFA CONSORC-PNE</v>
      </c>
      <c r="R23" s="56">
        <f t="shared" si="2"/>
        <v>41624</v>
      </c>
      <c r="S23" s="5">
        <f t="shared" si="3"/>
        <v>3.82</v>
      </c>
      <c r="T23" s="5">
        <f t="shared" si="4"/>
        <v>3.82</v>
      </c>
      <c r="U23" s="5">
        <f t="shared" si="5"/>
        <v>3.82</v>
      </c>
      <c r="V23" s="5">
        <f t="shared" si="6"/>
        <v>3.82</v>
      </c>
    </row>
    <row r="24" spans="1:22" x14ac:dyDescent="0.2">
      <c r="A24" s="35" t="str">
        <f>IF(Tabela1[[#This Row],[Código]]="IBOV","^BVSP",IF(Tabela1[[#This Row],[Código]]="","",CONCATENATE(LEFT(Tabela1[[#This Row],[Código]],6),".SA")))</f>
        <v>BRGE12.SA</v>
      </c>
      <c r="C24" s="3" t="s">
        <v>260</v>
      </c>
      <c r="D24" s="3" t="s">
        <v>208</v>
      </c>
      <c r="E24" s="3" t="s">
        <v>208</v>
      </c>
      <c r="F24" s="3" t="s">
        <v>208</v>
      </c>
      <c r="G24" s="3" t="s">
        <v>208</v>
      </c>
      <c r="H24" s="20">
        <v>41642</v>
      </c>
      <c r="J24" s="3">
        <f t="shared" si="7"/>
        <v>4</v>
      </c>
      <c r="K24" s="3">
        <f t="shared" si="7"/>
        <v>4</v>
      </c>
      <c r="L24" s="3">
        <f t="shared" si="7"/>
        <v>4</v>
      </c>
      <c r="M24" s="3">
        <f t="shared" si="7"/>
        <v>4</v>
      </c>
      <c r="P24" s="10" t="s">
        <v>251</v>
      </c>
      <c r="Q24" s="10" t="str">
        <f t="shared" si="1"/>
        <v>ALFA CONSORC-PNF</v>
      </c>
      <c r="R24" s="56">
        <f t="shared" si="2"/>
        <v>41642</v>
      </c>
      <c r="S24" s="5">
        <f t="shared" si="3"/>
        <v>4</v>
      </c>
      <c r="T24" s="5">
        <f t="shared" si="4"/>
        <v>4</v>
      </c>
      <c r="U24" s="5">
        <f t="shared" si="5"/>
        <v>4</v>
      </c>
      <c r="V24" s="5">
        <f t="shared" si="6"/>
        <v>4</v>
      </c>
    </row>
    <row r="25" spans="1:22" x14ac:dyDescent="0.2">
      <c r="A25" s="35" t="str">
        <f>IF(Tabela1[[#This Row],[Código]]="IBOV","^BVSP",IF(Tabela1[[#This Row],[Código]]="","",CONCATENATE(LEFT(Tabela1[[#This Row],[Código]],6),".SA")))</f>
        <v>BRGE3.SA</v>
      </c>
      <c r="C25" s="3" t="s">
        <v>252</v>
      </c>
      <c r="D25" s="3" t="s">
        <v>253</v>
      </c>
      <c r="E25" s="3" t="s">
        <v>253</v>
      </c>
      <c r="F25" s="3" t="s">
        <v>253</v>
      </c>
      <c r="G25" s="3" t="s">
        <v>253</v>
      </c>
      <c r="H25" s="20">
        <v>41583</v>
      </c>
      <c r="J25" s="3">
        <f t="shared" si="7"/>
        <v>4.2</v>
      </c>
      <c r="K25" s="3">
        <f t="shared" si="7"/>
        <v>4.2</v>
      </c>
      <c r="L25" s="3">
        <f t="shared" si="7"/>
        <v>4.2</v>
      </c>
      <c r="M25" s="3">
        <f t="shared" si="7"/>
        <v>4.2</v>
      </c>
      <c r="P25" s="15" t="s">
        <v>246</v>
      </c>
      <c r="Q25" s="10" t="str">
        <f t="shared" si="1"/>
        <v>ALFA CONSORC-ON</v>
      </c>
      <c r="R25" s="20">
        <f t="shared" si="2"/>
        <v>41583</v>
      </c>
      <c r="S25" s="5">
        <f t="shared" si="3"/>
        <v>4.2</v>
      </c>
      <c r="T25" s="5">
        <f t="shared" si="4"/>
        <v>4.2</v>
      </c>
      <c r="U25" s="5">
        <f t="shared" si="5"/>
        <v>4.2</v>
      </c>
      <c r="V25" s="5">
        <f t="shared" si="6"/>
        <v>4.2</v>
      </c>
    </row>
    <row r="26" spans="1:22" x14ac:dyDescent="0.2">
      <c r="A26" s="35" t="str">
        <f>IF(Tabela1[[#This Row],[Código]]="IBOV","^BVSP",IF(Tabela1[[#This Row],[Código]]="","",CONCATENATE(LEFT(Tabela1[[#This Row],[Código]],6),".SA")))</f>
        <v>BRGE5.SA</v>
      </c>
      <c r="C26" s="3" t="s">
        <v>254</v>
      </c>
      <c r="D26" s="3" t="s">
        <v>255</v>
      </c>
      <c r="E26" s="3" t="s">
        <v>255</v>
      </c>
      <c r="F26" s="3" t="s">
        <v>255</v>
      </c>
      <c r="G26" s="3" t="s">
        <v>255</v>
      </c>
      <c r="H26" s="20">
        <v>41522</v>
      </c>
      <c r="J26" s="3">
        <f t="shared" si="7"/>
        <v>3.27</v>
      </c>
      <c r="K26" s="3">
        <f t="shared" si="7"/>
        <v>3.27</v>
      </c>
      <c r="L26" s="3">
        <f t="shared" si="7"/>
        <v>3.27</v>
      </c>
      <c r="M26" s="3">
        <f t="shared" si="7"/>
        <v>3.27</v>
      </c>
      <c r="P26" s="10" t="s">
        <v>247</v>
      </c>
      <c r="Q26" s="10" t="str">
        <f t="shared" si="1"/>
        <v>ALFA CONSORC-PNA</v>
      </c>
      <c r="R26" s="20">
        <f t="shared" si="2"/>
        <v>41522</v>
      </c>
      <c r="S26" s="5">
        <f t="shared" si="3"/>
        <v>3.27</v>
      </c>
      <c r="T26" s="5">
        <f t="shared" si="4"/>
        <v>3.27</v>
      </c>
      <c r="U26" s="5">
        <f t="shared" si="5"/>
        <v>3.27</v>
      </c>
      <c r="V26" s="5">
        <f t="shared" si="6"/>
        <v>3.27</v>
      </c>
    </row>
    <row r="27" spans="1:22" x14ac:dyDescent="0.2">
      <c r="A27" s="35" t="str">
        <f>IF(Tabela1[[#This Row],[Código]]="IBOV","^BVSP",IF(Tabela1[[#This Row],[Código]]="","",CONCATENATE(LEFT(Tabela1[[#This Row],[Código]],6),".SA")))</f>
        <v>BRGE6.SA</v>
      </c>
      <c r="C27" s="3" t="s">
        <v>115</v>
      </c>
      <c r="D27" s="3" t="s">
        <v>478</v>
      </c>
      <c r="E27" s="3" t="s">
        <v>478</v>
      </c>
      <c r="F27" s="3" t="s">
        <v>478</v>
      </c>
      <c r="G27" s="3" t="s">
        <v>478</v>
      </c>
      <c r="H27" s="20">
        <v>41648</v>
      </c>
      <c r="J27" s="3">
        <f t="shared" si="7"/>
        <v>5.97</v>
      </c>
      <c r="K27" s="3">
        <f t="shared" si="7"/>
        <v>5.97</v>
      </c>
      <c r="L27" s="3">
        <f t="shared" si="7"/>
        <v>5.97</v>
      </c>
      <c r="M27" s="3">
        <f t="shared" si="7"/>
        <v>5.97</v>
      </c>
      <c r="P27" s="15" t="s">
        <v>79</v>
      </c>
      <c r="Q27" s="10" t="str">
        <f t="shared" si="1"/>
        <v>ALFA CONSORC-PNB</v>
      </c>
      <c r="R27" s="20">
        <f t="shared" si="2"/>
        <v>41648</v>
      </c>
      <c r="S27" s="5">
        <f t="shared" si="3"/>
        <v>5.97</v>
      </c>
      <c r="T27" s="5">
        <f t="shared" si="4"/>
        <v>5.97</v>
      </c>
      <c r="U27" s="5">
        <f t="shared" si="5"/>
        <v>5.97</v>
      </c>
      <c r="V27" s="5">
        <f t="shared" si="6"/>
        <v>5.97</v>
      </c>
    </row>
    <row r="28" spans="1:22" x14ac:dyDescent="0.2">
      <c r="A28" s="35" t="str">
        <f>IF(Tabela1[[#This Row],[Código]]="IBOV","^BVSP",IF(Tabela1[[#This Row],[Código]]="","",CONCATENATE(LEFT(Tabela1[[#This Row],[Código]],6),".SA")))</f>
        <v>BRGE7.SA</v>
      </c>
      <c r="C28" s="3" t="s">
        <v>256</v>
      </c>
      <c r="D28" s="3" t="s">
        <v>257</v>
      </c>
      <c r="E28" s="3" t="s">
        <v>257</v>
      </c>
      <c r="F28" s="3" t="s">
        <v>257</v>
      </c>
      <c r="G28" s="3" t="s">
        <v>257</v>
      </c>
      <c r="H28" s="20">
        <v>41451</v>
      </c>
      <c r="J28" s="3">
        <f t="shared" si="7"/>
        <v>3.6</v>
      </c>
      <c r="K28" s="3">
        <f t="shared" si="7"/>
        <v>3.6</v>
      </c>
      <c r="L28" s="3">
        <f t="shared" si="7"/>
        <v>3.6</v>
      </c>
      <c r="M28" s="3">
        <f t="shared" si="7"/>
        <v>3.6</v>
      </c>
      <c r="P28" s="46" t="s">
        <v>248</v>
      </c>
      <c r="Q28" s="10" t="str">
        <f t="shared" si="1"/>
        <v>ALFA CONSORC-PNC</v>
      </c>
      <c r="R28" s="20">
        <f t="shared" si="2"/>
        <v>41451</v>
      </c>
      <c r="S28" s="5">
        <f t="shared" si="3"/>
        <v>3.6</v>
      </c>
      <c r="T28" s="5">
        <f t="shared" si="4"/>
        <v>3.6</v>
      </c>
      <c r="U28" s="5">
        <f t="shared" si="5"/>
        <v>3.6</v>
      </c>
      <c r="V28" s="5">
        <f t="shared" si="6"/>
        <v>3.6</v>
      </c>
    </row>
    <row r="29" spans="1:22" x14ac:dyDescent="0.2">
      <c r="A29" s="35" t="str">
        <f>IF(Tabela1[[#This Row],[Código]]="IBOV","^BVSP",IF(Tabela1[[#This Row],[Código]]="","",CONCATENATE(LEFT(Tabela1[[#This Row],[Código]],6),".SA")))</f>
        <v>BRGE8.SA</v>
      </c>
      <c r="C29" s="3" t="s">
        <v>258</v>
      </c>
      <c r="D29" s="3" t="s">
        <v>481</v>
      </c>
      <c r="E29" s="3" t="s">
        <v>481</v>
      </c>
      <c r="F29" s="3" t="s">
        <v>481</v>
      </c>
      <c r="G29" s="3" t="s">
        <v>481</v>
      </c>
      <c r="H29" s="20">
        <v>41648</v>
      </c>
      <c r="J29" s="3">
        <f>IF($A29="",0,VALUE(CONCATENATE(LEFT(D29,LEN(D29)-3),",",RIGHT(D29,2))))</f>
        <v>3.81</v>
      </c>
      <c r="K29" s="3">
        <f t="shared" si="7"/>
        <v>3.81</v>
      </c>
      <c r="L29" s="3">
        <f t="shared" si="7"/>
        <v>3.81</v>
      </c>
      <c r="M29" s="3">
        <f t="shared" si="7"/>
        <v>3.81</v>
      </c>
      <c r="P29" s="15" t="s">
        <v>249</v>
      </c>
      <c r="Q29" s="10" t="str">
        <f t="shared" si="1"/>
        <v>ALFA CONSORC-PND</v>
      </c>
      <c r="R29" s="20">
        <f t="shared" si="2"/>
        <v>41648</v>
      </c>
      <c r="S29" s="5">
        <f t="shared" si="3"/>
        <v>3.81</v>
      </c>
      <c r="T29" s="5">
        <f t="shared" si="4"/>
        <v>3.81</v>
      </c>
      <c r="U29" s="5">
        <f t="shared" si="5"/>
        <v>3.81</v>
      </c>
      <c r="V29" s="5">
        <f t="shared" si="6"/>
        <v>3.81</v>
      </c>
    </row>
    <row r="30" spans="1:22" x14ac:dyDescent="0.2">
      <c r="A30" s="35" t="str">
        <f>IF(Tabela1[[#This Row],[Código]]="IBOV","^BVSP",IF(Tabela1[[#This Row],[Código]]="","",CONCATENATE(LEFT(Tabela1[[#This Row],[Código]],6),".SA")))</f>
        <v>BRIV3.SA</v>
      </c>
      <c r="C30" s="3" t="s">
        <v>217</v>
      </c>
      <c r="D30" s="3" t="s">
        <v>358</v>
      </c>
      <c r="E30" s="3" t="s">
        <v>358</v>
      </c>
      <c r="F30" s="3" t="s">
        <v>358</v>
      </c>
      <c r="G30" s="3" t="s">
        <v>358</v>
      </c>
      <c r="H30" s="20">
        <v>41654</v>
      </c>
      <c r="J30" s="3">
        <f t="shared" si="7"/>
        <v>6.61</v>
      </c>
      <c r="K30" s="3">
        <f t="shared" si="7"/>
        <v>6.61</v>
      </c>
      <c r="L30" s="3">
        <f t="shared" si="7"/>
        <v>6.61</v>
      </c>
      <c r="M30" s="3">
        <f t="shared" si="7"/>
        <v>6.61</v>
      </c>
      <c r="P30" s="14" t="s">
        <v>215</v>
      </c>
      <c r="Q30" s="10" t="str">
        <f t="shared" si="1"/>
        <v>ALFA INVEST -ON</v>
      </c>
      <c r="R30" s="20">
        <f t="shared" si="2"/>
        <v>41654</v>
      </c>
      <c r="S30" s="5">
        <f t="shared" si="3"/>
        <v>6.61</v>
      </c>
      <c r="T30" s="5">
        <f t="shared" si="4"/>
        <v>6.61</v>
      </c>
      <c r="U30" s="5">
        <f t="shared" si="5"/>
        <v>6.61</v>
      </c>
      <c r="V30" s="5">
        <f t="shared" si="6"/>
        <v>6.61</v>
      </c>
    </row>
    <row r="31" spans="1:22" x14ac:dyDescent="0.2">
      <c r="A31" s="35" t="str">
        <f>IF(Tabela1[[#This Row],[Código]]="IBOV","^BVSP",IF(Tabela1[[#This Row],[Código]]="","",CONCATENATE(LEFT(Tabela1[[#This Row],[Código]],6),".SA")))</f>
        <v>BRIV4.SA</v>
      </c>
      <c r="C31" s="3" t="s">
        <v>218</v>
      </c>
      <c r="D31" s="3" t="s">
        <v>552</v>
      </c>
      <c r="E31" s="3" t="s">
        <v>482</v>
      </c>
      <c r="F31" s="3" t="s">
        <v>482</v>
      </c>
      <c r="G31" s="3" t="s">
        <v>552</v>
      </c>
      <c r="H31" s="20">
        <v>41654</v>
      </c>
      <c r="J31" s="3">
        <f t="shared" si="7"/>
        <v>5.5</v>
      </c>
      <c r="K31" s="3">
        <f t="shared" si="7"/>
        <v>5.64</v>
      </c>
      <c r="L31" s="3">
        <f t="shared" si="7"/>
        <v>5.64</v>
      </c>
      <c r="M31" s="3">
        <f t="shared" si="7"/>
        <v>5.5</v>
      </c>
      <c r="P31" s="10" t="s">
        <v>216</v>
      </c>
      <c r="Q31" s="10" t="str">
        <f t="shared" si="1"/>
        <v>ALFA INVEST -PN</v>
      </c>
      <c r="R31" s="20">
        <f t="shared" si="2"/>
        <v>41654</v>
      </c>
      <c r="S31" s="5">
        <f t="shared" si="3"/>
        <v>5.5</v>
      </c>
      <c r="T31" s="5">
        <f t="shared" si="4"/>
        <v>5.64</v>
      </c>
      <c r="U31" s="5">
        <f t="shared" si="5"/>
        <v>5.64</v>
      </c>
      <c r="V31" s="5">
        <f t="shared" si="6"/>
        <v>5.5</v>
      </c>
    </row>
    <row r="32" spans="1:22" x14ac:dyDescent="0.2">
      <c r="A32" s="35" t="str">
        <f>IF(Tabela1[[#This Row],[Código]]="IBOV","^BVSP",IF(Tabela1[[#This Row],[Código]]="","",CONCATENATE(LEFT(Tabela1[[#This Row],[Código]],6),".SA")))</f>
        <v>BRSR3.SA</v>
      </c>
      <c r="C32" s="3" t="s">
        <v>228</v>
      </c>
      <c r="D32" s="3" t="s">
        <v>507</v>
      </c>
      <c r="E32" s="3" t="s">
        <v>507</v>
      </c>
      <c r="F32" s="3" t="s">
        <v>507</v>
      </c>
      <c r="G32" s="3" t="s">
        <v>507</v>
      </c>
      <c r="H32" s="20">
        <v>41653</v>
      </c>
      <c r="J32" s="3">
        <f t="shared" si="7"/>
        <v>12.2</v>
      </c>
      <c r="K32" s="3">
        <f t="shared" si="7"/>
        <v>12.2</v>
      </c>
      <c r="L32" s="3">
        <f t="shared" si="7"/>
        <v>12.2</v>
      </c>
      <c r="M32" s="3">
        <f t="shared" si="7"/>
        <v>12.2</v>
      </c>
      <c r="P32" s="15" t="s">
        <v>226</v>
      </c>
      <c r="Q32" s="10" t="str">
        <f t="shared" si="1"/>
        <v xml:space="preserve">BANRISUL    -ON  </v>
      </c>
      <c r="R32" s="20">
        <f t="shared" si="2"/>
        <v>41653</v>
      </c>
      <c r="S32" s="5">
        <f t="shared" si="3"/>
        <v>12.2</v>
      </c>
      <c r="T32" s="5">
        <f t="shared" si="4"/>
        <v>12.2</v>
      </c>
      <c r="U32" s="5">
        <f t="shared" si="5"/>
        <v>12.2</v>
      </c>
      <c r="V32" s="5">
        <f t="shared" si="6"/>
        <v>12.2</v>
      </c>
    </row>
    <row r="33" spans="1:22" x14ac:dyDescent="0.2">
      <c r="A33" s="35" t="str">
        <f>IF(Tabela1[[#This Row],[Código]]="IBOV","^BVSP",IF(Tabela1[[#This Row],[Código]]="","",CONCATENATE(LEFT(Tabela1[[#This Row],[Código]],6),".SA")))</f>
        <v>BRSR5.SA</v>
      </c>
      <c r="C33" s="3" t="s">
        <v>229</v>
      </c>
      <c r="D33" s="3" t="s">
        <v>230</v>
      </c>
      <c r="E33" s="3" t="s">
        <v>230</v>
      </c>
      <c r="F33" s="3" t="s">
        <v>230</v>
      </c>
      <c r="G33" s="3" t="s">
        <v>230</v>
      </c>
      <c r="H33" s="20">
        <v>41540</v>
      </c>
      <c r="J33" s="3">
        <f t="shared" si="7"/>
        <v>15.72</v>
      </c>
      <c r="K33" s="3">
        <f t="shared" si="7"/>
        <v>15.72</v>
      </c>
      <c r="L33" s="3">
        <f t="shared" si="7"/>
        <v>15.72</v>
      </c>
      <c r="M33" s="3">
        <f t="shared" si="7"/>
        <v>15.72</v>
      </c>
      <c r="P33" s="15" t="s">
        <v>227</v>
      </c>
      <c r="Q33" s="10" t="str">
        <f t="shared" si="1"/>
        <v xml:space="preserve">BANRISUL    -PNA </v>
      </c>
      <c r="R33" s="56">
        <f t="shared" si="2"/>
        <v>41540</v>
      </c>
      <c r="S33" s="5">
        <f t="shared" si="3"/>
        <v>15.72</v>
      </c>
      <c r="T33" s="5">
        <f t="shared" si="4"/>
        <v>15.72</v>
      </c>
      <c r="U33" s="5">
        <f t="shared" si="5"/>
        <v>15.72</v>
      </c>
      <c r="V33" s="5">
        <f t="shared" si="6"/>
        <v>15.72</v>
      </c>
    </row>
    <row r="34" spans="1:22" x14ac:dyDescent="0.2">
      <c r="A34" s="35" t="str">
        <f>IF(Tabela1[[#This Row],[Código]]="IBOV","^BVSP",IF(Tabela1[[#This Row],[Código]]="","",CONCATENATE(LEFT(Tabela1[[#This Row],[Código]],6),".SA")))</f>
        <v>BRSR6.SA</v>
      </c>
      <c r="C34" s="3" t="s">
        <v>117</v>
      </c>
      <c r="D34" s="3" t="s">
        <v>511</v>
      </c>
      <c r="E34" s="3" t="s">
        <v>742</v>
      </c>
      <c r="F34" s="3" t="s">
        <v>699</v>
      </c>
      <c r="G34" s="3" t="s">
        <v>553</v>
      </c>
      <c r="H34" s="20">
        <v>41654</v>
      </c>
      <c r="J34" s="3">
        <f t="shared" si="7"/>
        <v>11.8</v>
      </c>
      <c r="K34" s="3">
        <f t="shared" si="7"/>
        <v>11.85</v>
      </c>
      <c r="L34" s="3">
        <f t="shared" si="7"/>
        <v>12</v>
      </c>
      <c r="M34" s="3">
        <f t="shared" si="7"/>
        <v>11.7</v>
      </c>
      <c r="P34" s="10" t="s">
        <v>23</v>
      </c>
      <c r="Q34" s="10" t="str">
        <f t="shared" si="1"/>
        <v xml:space="preserve">BANRISUL    -PNB </v>
      </c>
      <c r="R34" s="20">
        <f t="shared" si="2"/>
        <v>41654</v>
      </c>
      <c r="S34" s="5">
        <f t="shared" si="3"/>
        <v>11.8</v>
      </c>
      <c r="T34" s="5">
        <f t="shared" si="4"/>
        <v>11.85</v>
      </c>
      <c r="U34" s="5">
        <f t="shared" si="5"/>
        <v>12</v>
      </c>
      <c r="V34" s="5">
        <f t="shared" si="6"/>
        <v>11.7</v>
      </c>
    </row>
    <row r="35" spans="1:22" x14ac:dyDescent="0.2">
      <c r="A35" s="35" t="str">
        <f>IF(Tabela1[[#This Row],[Código]]="IBOV","^BVSP",IF(Tabela1[[#This Row],[Código]]="","",CONCATENATE(LEFT(Tabela1[[#This Row],[Código]],6),".SA")))</f>
        <v>BSLI3.SA</v>
      </c>
      <c r="C35" s="3" t="s">
        <v>243</v>
      </c>
      <c r="D35" s="3" t="s">
        <v>743</v>
      </c>
      <c r="E35" s="3" t="s">
        <v>743</v>
      </c>
      <c r="F35" s="3" t="s">
        <v>743</v>
      </c>
      <c r="G35" s="3" t="s">
        <v>743</v>
      </c>
      <c r="H35" s="20">
        <v>41654</v>
      </c>
      <c r="J35" s="3">
        <f t="shared" si="7"/>
        <v>27.5</v>
      </c>
      <c r="K35" s="3">
        <f t="shared" si="7"/>
        <v>27.5</v>
      </c>
      <c r="L35" s="3">
        <f t="shared" si="7"/>
        <v>27.5</v>
      </c>
      <c r="M35" s="3">
        <f t="shared" si="7"/>
        <v>27.5</v>
      </c>
      <c r="P35" s="15" t="s">
        <v>241</v>
      </c>
      <c r="Q35" s="10" t="str">
        <f t="shared" si="1"/>
        <v>BRB BANCO   -ON</v>
      </c>
      <c r="R35" s="20">
        <f t="shared" si="2"/>
        <v>41654</v>
      </c>
      <c r="S35" s="5">
        <f t="shared" si="3"/>
        <v>27.5</v>
      </c>
      <c r="T35" s="5">
        <f t="shared" si="4"/>
        <v>27.5</v>
      </c>
      <c r="U35" s="5">
        <f t="shared" si="5"/>
        <v>27.5</v>
      </c>
      <c r="V35" s="5">
        <f t="shared" si="6"/>
        <v>27.5</v>
      </c>
    </row>
    <row r="36" spans="1:22" x14ac:dyDescent="0.2">
      <c r="A36" s="35" t="str">
        <f>IF(Tabela1[[#This Row],[Código]]="IBOV","^BVSP",IF(Tabela1[[#This Row],[Código]]="","",CONCATENATE(LEFT(Tabela1[[#This Row],[Código]],6),".SA")))</f>
        <v>BSLI4.SA</v>
      </c>
      <c r="C36" s="3" t="s">
        <v>244</v>
      </c>
      <c r="D36" s="3" t="s">
        <v>245</v>
      </c>
      <c r="E36" s="3" t="s">
        <v>245</v>
      </c>
      <c r="F36" s="3" t="s">
        <v>245</v>
      </c>
      <c r="G36" s="3" t="s">
        <v>245</v>
      </c>
      <c r="H36" s="20">
        <v>41597</v>
      </c>
      <c r="J36" s="3">
        <f t="shared" si="7"/>
        <v>29.99</v>
      </c>
      <c r="K36" s="3">
        <f t="shared" si="7"/>
        <v>29.99</v>
      </c>
      <c r="L36" s="3">
        <f t="shared" si="7"/>
        <v>29.99</v>
      </c>
      <c r="M36" s="3">
        <f t="shared" si="7"/>
        <v>29.99</v>
      </c>
      <c r="P36" s="14" t="s">
        <v>242</v>
      </c>
      <c r="Q36" s="10" t="str">
        <f t="shared" si="1"/>
        <v>BRB BANCO   -PN</v>
      </c>
      <c r="R36" s="56">
        <f t="shared" si="2"/>
        <v>41597</v>
      </c>
      <c r="S36" s="5">
        <f t="shared" si="3"/>
        <v>29.99</v>
      </c>
      <c r="T36" s="5">
        <f t="shared" si="4"/>
        <v>29.99</v>
      </c>
      <c r="U36" s="5">
        <f t="shared" si="5"/>
        <v>29.99</v>
      </c>
      <c r="V36" s="5">
        <f t="shared" si="6"/>
        <v>29.99</v>
      </c>
    </row>
    <row r="37" spans="1:22" x14ac:dyDescent="0.2">
      <c r="A37" s="35" t="str">
        <f>IF(Tabela1[[#This Row],[Código]]="IBOV","^BVSP",IF(Tabela1[[#This Row],[Código]]="","",CONCATENATE(LEFT(Tabela1[[#This Row],[Código]],6),".SA")))</f>
        <v>CASN3.SA</v>
      </c>
      <c r="C37" s="3" t="s">
        <v>196</v>
      </c>
      <c r="D37" s="3" t="s">
        <v>173</v>
      </c>
      <c r="E37" s="3" t="s">
        <v>173</v>
      </c>
      <c r="F37" s="3" t="s">
        <v>173</v>
      </c>
      <c r="G37" s="3" t="s">
        <v>173</v>
      </c>
      <c r="H37" s="20">
        <v>41383</v>
      </c>
      <c r="J37" s="3">
        <f t="shared" si="7"/>
        <v>4.12</v>
      </c>
      <c r="K37" s="3">
        <f t="shared" si="7"/>
        <v>4.12</v>
      </c>
      <c r="L37" s="3">
        <f t="shared" si="7"/>
        <v>4.12</v>
      </c>
      <c r="M37" s="3">
        <f t="shared" si="7"/>
        <v>4.12</v>
      </c>
      <c r="P37" s="14" t="s">
        <v>195</v>
      </c>
      <c r="Q37" s="10" t="str">
        <f t="shared" si="1"/>
        <v>CASAN       -ON</v>
      </c>
      <c r="R37" s="56">
        <f t="shared" si="2"/>
        <v>41383</v>
      </c>
      <c r="S37" s="5">
        <f t="shared" si="3"/>
        <v>4.12</v>
      </c>
      <c r="T37" s="5">
        <f t="shared" si="4"/>
        <v>4.12</v>
      </c>
      <c r="U37" s="5">
        <f t="shared" si="5"/>
        <v>4.12</v>
      </c>
      <c r="V37" s="5">
        <f t="shared" si="6"/>
        <v>4.12</v>
      </c>
    </row>
    <row r="38" spans="1:22" x14ac:dyDescent="0.2">
      <c r="A38" s="35" t="str">
        <f>IF(Tabela1[[#This Row],[Código]]="IBOV","^BVSP",IF(Tabela1[[#This Row],[Código]]="","",CONCATENATE(LEFT(Tabela1[[#This Row],[Código]],6),".SA")))</f>
        <v>CEBR3.SA</v>
      </c>
      <c r="C38" s="3" t="s">
        <v>118</v>
      </c>
      <c r="D38" s="3" t="s">
        <v>359</v>
      </c>
      <c r="E38" s="3" t="s">
        <v>359</v>
      </c>
      <c r="F38" s="3" t="s">
        <v>359</v>
      </c>
      <c r="G38" s="3" t="s">
        <v>359</v>
      </c>
      <c r="H38" s="20">
        <v>41642</v>
      </c>
      <c r="J38" s="3">
        <f t="shared" si="7"/>
        <v>16.510000000000002</v>
      </c>
      <c r="K38" s="3">
        <f t="shared" si="7"/>
        <v>16.510000000000002</v>
      </c>
      <c r="L38" s="3">
        <f t="shared" si="7"/>
        <v>16.510000000000002</v>
      </c>
      <c r="M38" s="3">
        <f t="shared" si="7"/>
        <v>16.510000000000002</v>
      </c>
      <c r="P38" s="14" t="s">
        <v>95</v>
      </c>
      <c r="Q38" s="10" t="str">
        <f t="shared" si="1"/>
        <v>CEB         -ON</v>
      </c>
      <c r="R38" s="56">
        <f t="shared" si="2"/>
        <v>41642</v>
      </c>
      <c r="S38" s="5">
        <f t="shared" si="3"/>
        <v>16.510000000000002</v>
      </c>
      <c r="T38" s="5">
        <f t="shared" si="4"/>
        <v>16.510000000000002</v>
      </c>
      <c r="U38" s="5">
        <f t="shared" si="5"/>
        <v>16.510000000000002</v>
      </c>
      <c r="V38" s="5">
        <f t="shared" si="6"/>
        <v>16.510000000000002</v>
      </c>
    </row>
    <row r="39" spans="1:22" x14ac:dyDescent="0.2">
      <c r="A39" s="35" t="str">
        <f>IF(Tabela1[[#This Row],[Código]]="IBOV","^BVSP",IF(Tabela1[[#This Row],[Código]]="","",CONCATENATE(LEFT(Tabela1[[#This Row],[Código]],6),".SA")))</f>
        <v>CEBR5.SA</v>
      </c>
      <c r="C39" s="3" t="s">
        <v>119</v>
      </c>
      <c r="D39" s="3" t="s">
        <v>503</v>
      </c>
      <c r="E39" s="3" t="s">
        <v>503</v>
      </c>
      <c r="F39" s="3" t="s">
        <v>503</v>
      </c>
      <c r="G39" s="3" t="s">
        <v>503</v>
      </c>
      <c r="H39" s="20">
        <v>41652</v>
      </c>
      <c r="J39" s="3">
        <f t="shared" si="7"/>
        <v>24</v>
      </c>
      <c r="K39" s="3">
        <f t="shared" si="7"/>
        <v>24</v>
      </c>
      <c r="L39" s="3">
        <f t="shared" si="7"/>
        <v>24</v>
      </c>
      <c r="M39" s="3">
        <f t="shared" si="7"/>
        <v>24</v>
      </c>
      <c r="P39" s="14" t="s">
        <v>96</v>
      </c>
      <c r="Q39" s="10" t="str">
        <f t="shared" ref="Q39:Q70" si="8">IF(A39="","",C39)</f>
        <v>CEB         -PNA</v>
      </c>
      <c r="R39" s="56">
        <f t="shared" ref="R39:R70" si="9">IF(A39="","",H39)</f>
        <v>41652</v>
      </c>
      <c r="S39" s="5">
        <f t="shared" ref="S39:S70" si="10">J39</f>
        <v>24</v>
      </c>
      <c r="T39" s="5">
        <f t="shared" ref="T39:T70" si="11">K39</f>
        <v>24</v>
      </c>
      <c r="U39" s="5">
        <f t="shared" ref="U39:U70" si="12">L39</f>
        <v>24</v>
      </c>
      <c r="V39" s="5">
        <f t="shared" ref="V39:V70" si="13">M39</f>
        <v>24</v>
      </c>
    </row>
    <row r="40" spans="1:22" x14ac:dyDescent="0.2">
      <c r="A40" s="35" t="str">
        <f>IF(Tabela1[[#This Row],[Código]]="IBOV","^BVSP",IF(Tabela1[[#This Row],[Código]]="","",CONCATENATE(LEFT(Tabela1[[#This Row],[Código]],6),".SA")))</f>
        <v>CEBR6.SA</v>
      </c>
      <c r="C40" s="3" t="s">
        <v>120</v>
      </c>
      <c r="D40" s="3" t="s">
        <v>121</v>
      </c>
      <c r="E40" s="3" t="s">
        <v>121</v>
      </c>
      <c r="F40" s="3" t="s">
        <v>121</v>
      </c>
      <c r="G40" s="3" t="s">
        <v>121</v>
      </c>
      <c r="H40" s="20">
        <v>41624</v>
      </c>
      <c r="J40" s="3">
        <f t="shared" si="7"/>
        <v>17.079999999999998</v>
      </c>
      <c r="K40" s="3">
        <f t="shared" si="7"/>
        <v>17.079999999999998</v>
      </c>
      <c r="L40" s="3">
        <f t="shared" si="7"/>
        <v>17.079999999999998</v>
      </c>
      <c r="M40" s="3">
        <f t="shared" si="7"/>
        <v>17.079999999999998</v>
      </c>
      <c r="P40" s="14" t="s">
        <v>70</v>
      </c>
      <c r="Q40" s="10" t="str">
        <f t="shared" si="8"/>
        <v>CEB         -PNB</v>
      </c>
      <c r="R40" s="20">
        <f t="shared" si="9"/>
        <v>41624</v>
      </c>
      <c r="S40" s="5">
        <f t="shared" si="10"/>
        <v>17.079999999999998</v>
      </c>
      <c r="T40" s="5">
        <f t="shared" si="11"/>
        <v>17.079999999999998</v>
      </c>
      <c r="U40" s="5">
        <f t="shared" si="12"/>
        <v>17.079999999999998</v>
      </c>
      <c r="V40" s="5">
        <f t="shared" si="13"/>
        <v>17.079999999999998</v>
      </c>
    </row>
    <row r="41" spans="1:22" x14ac:dyDescent="0.2">
      <c r="A41" s="35" t="str">
        <f>IF(Tabela1[[#This Row],[Código]]="IBOV","^BVSP",IF(Tabela1[[#This Row],[Código]]="","",CONCATENATE(LEFT(Tabela1[[#This Row],[Código]],6),".SA")))</f>
        <v>CEEB3.SA</v>
      </c>
      <c r="C41" s="3" t="s">
        <v>397</v>
      </c>
      <c r="D41" s="3" t="s">
        <v>554</v>
      </c>
      <c r="E41" s="3" t="s">
        <v>554</v>
      </c>
      <c r="F41" s="3" t="s">
        <v>554</v>
      </c>
      <c r="G41" s="3" t="s">
        <v>554</v>
      </c>
      <c r="H41" s="20">
        <v>41653</v>
      </c>
      <c r="J41" s="3">
        <f t="shared" si="7"/>
        <v>31.98</v>
      </c>
      <c r="K41" s="3">
        <f t="shared" si="7"/>
        <v>31.98</v>
      </c>
      <c r="L41" s="3">
        <f t="shared" si="7"/>
        <v>31.98</v>
      </c>
      <c r="M41" s="3">
        <f t="shared" si="7"/>
        <v>31.98</v>
      </c>
      <c r="P41" s="14" t="s">
        <v>93</v>
      </c>
      <c r="Q41" s="10" t="str">
        <f t="shared" si="8"/>
        <v xml:space="preserve">COELBA      -ON  </v>
      </c>
      <c r="R41" s="49">
        <f t="shared" si="9"/>
        <v>41653</v>
      </c>
      <c r="S41" s="6">
        <f t="shared" si="10"/>
        <v>31.98</v>
      </c>
      <c r="T41" s="6">
        <f t="shared" si="11"/>
        <v>31.98</v>
      </c>
      <c r="U41" s="6">
        <f t="shared" si="12"/>
        <v>31.98</v>
      </c>
      <c r="V41" s="6">
        <f t="shared" si="13"/>
        <v>31.98</v>
      </c>
    </row>
    <row r="42" spans="1:22" x14ac:dyDescent="0.2">
      <c r="A42" s="35" t="str">
        <f>IF(Tabela1[[#This Row],[Código]]="IBOV","^BVSP",IF(Tabela1[[#This Row],[Código]]="","",CONCATENATE(LEFT(Tabela1[[#This Row],[Código]],6),".SA")))</f>
        <v>CEEB5.SA</v>
      </c>
      <c r="C42" s="3" t="s">
        <v>398</v>
      </c>
      <c r="D42" s="3" t="s">
        <v>122</v>
      </c>
      <c r="E42" s="3" t="s">
        <v>122</v>
      </c>
      <c r="F42" s="3" t="s">
        <v>122</v>
      </c>
      <c r="G42" s="3" t="s">
        <v>122</v>
      </c>
      <c r="H42" s="20">
        <v>41597</v>
      </c>
      <c r="J42" s="3">
        <f t="shared" si="7"/>
        <v>32.01</v>
      </c>
      <c r="K42" s="3">
        <f t="shared" si="7"/>
        <v>32.01</v>
      </c>
      <c r="L42" s="3">
        <f t="shared" si="7"/>
        <v>32.01</v>
      </c>
      <c r="M42" s="3">
        <f t="shared" si="7"/>
        <v>32.01</v>
      </c>
      <c r="P42" s="14" t="s">
        <v>94</v>
      </c>
      <c r="Q42" s="10" t="str">
        <f t="shared" si="8"/>
        <v xml:space="preserve">COELBA      -PNA </v>
      </c>
      <c r="R42" s="56">
        <f t="shared" si="9"/>
        <v>41597</v>
      </c>
      <c r="S42" s="5">
        <f t="shared" si="10"/>
        <v>32.01</v>
      </c>
      <c r="T42" s="5">
        <f t="shared" si="11"/>
        <v>32.01</v>
      </c>
      <c r="U42" s="5">
        <f t="shared" si="12"/>
        <v>32.01</v>
      </c>
      <c r="V42" s="5">
        <f t="shared" si="13"/>
        <v>32.01</v>
      </c>
    </row>
    <row r="43" spans="1:22" x14ac:dyDescent="0.2">
      <c r="A43" s="35" t="str">
        <f>IF(Tabela1[[#This Row],[Código]]="IBOV","^BVSP",IF(Tabela1[[#This Row],[Código]]="","",CONCATENATE(LEFT(Tabela1[[#This Row],[Código]],6),".SA")))</f>
        <v>CEPE5.SA</v>
      </c>
      <c r="C43" s="3" t="s">
        <v>123</v>
      </c>
      <c r="D43" s="3" t="s">
        <v>124</v>
      </c>
      <c r="E43" s="3" t="s">
        <v>125</v>
      </c>
      <c r="F43" s="3" t="s">
        <v>125</v>
      </c>
      <c r="G43" s="3" t="s">
        <v>124</v>
      </c>
      <c r="H43" s="20">
        <v>41619</v>
      </c>
      <c r="J43" s="3">
        <f t="shared" si="7"/>
        <v>17.559999999999999</v>
      </c>
      <c r="K43" s="3">
        <f t="shared" si="7"/>
        <v>18</v>
      </c>
      <c r="L43" s="3">
        <f t="shared" si="7"/>
        <v>18</v>
      </c>
      <c r="M43" s="3">
        <f t="shared" si="7"/>
        <v>17.559999999999999</v>
      </c>
      <c r="P43" s="14" t="s">
        <v>71</v>
      </c>
      <c r="Q43" s="10" t="str">
        <f t="shared" si="8"/>
        <v>CELPE       -PNA</v>
      </c>
      <c r="R43" s="56">
        <f t="shared" si="9"/>
        <v>41619</v>
      </c>
      <c r="S43" s="5">
        <f t="shared" si="10"/>
        <v>17.559999999999999</v>
      </c>
      <c r="T43" s="5">
        <f t="shared" si="11"/>
        <v>18</v>
      </c>
      <c r="U43" s="5">
        <f t="shared" si="12"/>
        <v>18</v>
      </c>
      <c r="V43" s="5">
        <f t="shared" si="13"/>
        <v>17.559999999999999</v>
      </c>
    </row>
    <row r="44" spans="1:22" x14ac:dyDescent="0.2">
      <c r="A44" s="35" t="str">
        <f>IF(Tabela1[[#This Row],[Código]]="IBOV","^BVSP",IF(Tabela1[[#This Row],[Código]]="","",CONCATENATE(LEFT(Tabela1[[#This Row],[Código]],6),".SA")))</f>
        <v>CEPE6.SA</v>
      </c>
      <c r="C44" s="3" t="s">
        <v>126</v>
      </c>
      <c r="D44" s="3" t="s">
        <v>127</v>
      </c>
      <c r="E44" s="3" t="s">
        <v>127</v>
      </c>
      <c r="F44" s="3" t="s">
        <v>127</v>
      </c>
      <c r="G44" s="3" t="s">
        <v>127</v>
      </c>
      <c r="H44" s="20">
        <v>41380</v>
      </c>
      <c r="J44" s="3">
        <f t="shared" si="7"/>
        <v>21.51</v>
      </c>
      <c r="K44" s="3">
        <f t="shared" si="7"/>
        <v>21.51</v>
      </c>
      <c r="L44" s="3">
        <f t="shared" si="7"/>
        <v>21.51</v>
      </c>
      <c r="M44" s="3">
        <f t="shared" si="7"/>
        <v>21.51</v>
      </c>
      <c r="P44" s="14" t="s">
        <v>97</v>
      </c>
      <c r="Q44" s="10" t="str">
        <f t="shared" si="8"/>
        <v>CELPE       -PNB</v>
      </c>
      <c r="R44" s="20">
        <f t="shared" si="9"/>
        <v>41380</v>
      </c>
      <c r="S44" s="5">
        <f t="shared" si="10"/>
        <v>21.51</v>
      </c>
      <c r="T44" s="5">
        <f t="shared" si="11"/>
        <v>21.51</v>
      </c>
      <c r="U44" s="5">
        <f t="shared" si="12"/>
        <v>21.51</v>
      </c>
      <c r="V44" s="5">
        <f t="shared" si="13"/>
        <v>21.51</v>
      </c>
    </row>
    <row r="45" spans="1:22" x14ac:dyDescent="0.2">
      <c r="A45" s="35" t="str">
        <f>IF(Tabela1[[#This Row],[Código]]="IBOV","^BVSP",IF(Tabela1[[#This Row],[Código]]="","",CONCATENATE(LEFT(Tabela1[[#This Row],[Código]],6),".SA")))</f>
        <v>CESP3.SA</v>
      </c>
      <c r="C45" s="3" t="s">
        <v>128</v>
      </c>
      <c r="D45" s="3" t="s">
        <v>744</v>
      </c>
      <c r="E45" s="3" t="s">
        <v>744</v>
      </c>
      <c r="F45" s="3" t="s">
        <v>744</v>
      </c>
      <c r="G45" s="3" t="s">
        <v>744</v>
      </c>
      <c r="H45" s="20">
        <v>41654</v>
      </c>
      <c r="J45" s="3">
        <f t="shared" si="7"/>
        <v>19.399999999999999</v>
      </c>
      <c r="K45" s="3">
        <f t="shared" si="7"/>
        <v>19.399999999999999</v>
      </c>
      <c r="L45" s="3">
        <f t="shared" si="7"/>
        <v>19.399999999999999</v>
      </c>
      <c r="M45" s="3">
        <f t="shared" si="7"/>
        <v>19.399999999999999</v>
      </c>
      <c r="P45" s="14" t="s">
        <v>73</v>
      </c>
      <c r="Q45" s="10" t="str">
        <f t="shared" si="8"/>
        <v xml:space="preserve">CESP        -ON  </v>
      </c>
      <c r="R45" s="49">
        <f t="shared" si="9"/>
        <v>41654</v>
      </c>
      <c r="S45" s="6">
        <f t="shared" si="10"/>
        <v>19.399999999999999</v>
      </c>
      <c r="T45" s="6">
        <f t="shared" si="11"/>
        <v>19.399999999999999</v>
      </c>
      <c r="U45" s="6">
        <f t="shared" si="12"/>
        <v>19.399999999999999</v>
      </c>
      <c r="V45" s="6">
        <f t="shared" si="13"/>
        <v>19.399999999999999</v>
      </c>
    </row>
    <row r="46" spans="1:22" x14ac:dyDescent="0.2">
      <c r="A46" s="35" t="str">
        <f>IF(Tabela1[[#This Row],[Código]]="IBOV","^BVSP",IF(Tabela1[[#This Row],[Código]]="","",CONCATENATE(LEFT(Tabela1[[#This Row],[Código]],6),".SA")))</f>
        <v>CESP5.SA</v>
      </c>
      <c r="C46" s="3" t="s">
        <v>129</v>
      </c>
      <c r="D46" s="3" t="s">
        <v>512</v>
      </c>
      <c r="E46" s="3" t="s">
        <v>555</v>
      </c>
      <c r="F46" s="3" t="s">
        <v>512</v>
      </c>
      <c r="G46" s="3" t="s">
        <v>555</v>
      </c>
      <c r="H46" s="20">
        <v>41653</v>
      </c>
      <c r="J46" s="3">
        <f t="shared" si="7"/>
        <v>21.8</v>
      </c>
      <c r="K46" s="3">
        <f t="shared" si="7"/>
        <v>21.64</v>
      </c>
      <c r="L46" s="3">
        <f t="shared" si="7"/>
        <v>21.8</v>
      </c>
      <c r="M46" s="3">
        <f t="shared" si="7"/>
        <v>21.64</v>
      </c>
      <c r="P46" s="14" t="s">
        <v>91</v>
      </c>
      <c r="Q46" s="10" t="str">
        <f t="shared" si="8"/>
        <v xml:space="preserve">CESP        -PNA </v>
      </c>
      <c r="R46" s="49">
        <f t="shared" si="9"/>
        <v>41653</v>
      </c>
      <c r="S46" s="6">
        <f t="shared" si="10"/>
        <v>21.8</v>
      </c>
      <c r="T46" s="6">
        <f t="shared" si="11"/>
        <v>21.64</v>
      </c>
      <c r="U46" s="6">
        <f t="shared" si="12"/>
        <v>21.8</v>
      </c>
      <c r="V46" s="6">
        <f t="shared" si="13"/>
        <v>21.64</v>
      </c>
    </row>
    <row r="47" spans="1:22" x14ac:dyDescent="0.2">
      <c r="A47" s="35" t="str">
        <f>IF(Tabela1[[#This Row],[Código]]="IBOV","^BVSP",IF(Tabela1[[#This Row],[Código]]="","",CONCATENATE(LEFT(Tabela1[[#This Row],[Código]],6),".SA")))</f>
        <v>CESP6.SA</v>
      </c>
      <c r="C47" s="3" t="s">
        <v>130</v>
      </c>
      <c r="D47" s="3" t="s">
        <v>556</v>
      </c>
      <c r="E47" s="3" t="s">
        <v>745</v>
      </c>
      <c r="F47" s="3" t="s">
        <v>557</v>
      </c>
      <c r="G47" s="3" t="s">
        <v>745</v>
      </c>
      <c r="H47" s="20">
        <v>41654</v>
      </c>
      <c r="J47" s="3">
        <f t="shared" si="7"/>
        <v>21.52</v>
      </c>
      <c r="K47" s="3">
        <f t="shared" si="7"/>
        <v>21.47</v>
      </c>
      <c r="L47" s="3">
        <f t="shared" si="7"/>
        <v>21.82</v>
      </c>
      <c r="M47" s="3">
        <f t="shared" si="7"/>
        <v>21.47</v>
      </c>
      <c r="P47" s="14" t="s">
        <v>92</v>
      </c>
      <c r="Q47" s="10" t="str">
        <f t="shared" si="8"/>
        <v xml:space="preserve">CESP        -PNB </v>
      </c>
      <c r="R47" s="20">
        <f t="shared" si="9"/>
        <v>41654</v>
      </c>
      <c r="S47" s="5">
        <f t="shared" si="10"/>
        <v>21.52</v>
      </c>
      <c r="T47" s="5">
        <f t="shared" si="11"/>
        <v>21.47</v>
      </c>
      <c r="U47" s="5">
        <f t="shared" si="12"/>
        <v>21.82</v>
      </c>
      <c r="V47" s="5">
        <f t="shared" si="13"/>
        <v>21.47</v>
      </c>
    </row>
    <row r="48" spans="1:22" x14ac:dyDescent="0.2">
      <c r="A48" s="35" t="str">
        <f>IF(Tabela1[[#This Row],[Código]]="IBOV","^BVSP",IF(Tabela1[[#This Row],[Código]]="","",CONCATENATE(LEFT(Tabela1[[#This Row],[Código]],6),".SA")))</f>
        <v>CLSC4.SA</v>
      </c>
      <c r="C48" s="3" t="s">
        <v>131</v>
      </c>
      <c r="D48" s="3" t="s">
        <v>559</v>
      </c>
      <c r="E48" s="3" t="s">
        <v>560</v>
      </c>
      <c r="F48" s="3" t="s">
        <v>718</v>
      </c>
      <c r="G48" s="3" t="s">
        <v>561</v>
      </c>
      <c r="H48" s="20">
        <v>41654</v>
      </c>
      <c r="J48" s="3">
        <f t="shared" si="7"/>
        <v>16.09</v>
      </c>
      <c r="K48" s="3">
        <f t="shared" si="7"/>
        <v>15.9</v>
      </c>
      <c r="L48" s="3">
        <f t="shared" si="7"/>
        <v>16.149999999999999</v>
      </c>
      <c r="M48" s="3">
        <f t="shared" si="7"/>
        <v>15.85</v>
      </c>
      <c r="P48" s="14" t="s">
        <v>72</v>
      </c>
      <c r="Q48" s="10" t="str">
        <f t="shared" si="8"/>
        <v xml:space="preserve">CELESC      -PN  </v>
      </c>
      <c r="R48" s="20">
        <f t="shared" si="9"/>
        <v>41654</v>
      </c>
      <c r="S48" s="5">
        <f t="shared" si="10"/>
        <v>16.09</v>
      </c>
      <c r="T48" s="5">
        <f t="shared" si="11"/>
        <v>15.9</v>
      </c>
      <c r="U48" s="5">
        <f t="shared" si="12"/>
        <v>16.149999999999999</v>
      </c>
      <c r="V48" s="5">
        <f t="shared" si="13"/>
        <v>15.85</v>
      </c>
    </row>
    <row r="49" spans="1:22" x14ac:dyDescent="0.2">
      <c r="A49" s="35" t="str">
        <f>IF(Tabela1[[#This Row],[Código]]="IBOV","^BVSP",IF(Tabela1[[#This Row],[Código]]="","",CONCATENATE(LEFT(Tabela1[[#This Row],[Código]],6),".SA")))</f>
        <v>CMIG3.SA</v>
      </c>
      <c r="C49" s="3" t="s">
        <v>132</v>
      </c>
      <c r="D49" s="3" t="s">
        <v>562</v>
      </c>
      <c r="E49" s="3" t="s">
        <v>746</v>
      </c>
      <c r="F49" s="3" t="s">
        <v>700</v>
      </c>
      <c r="G49" s="3" t="s">
        <v>746</v>
      </c>
      <c r="H49" s="20">
        <v>41654</v>
      </c>
      <c r="J49" s="3">
        <f t="shared" si="7"/>
        <v>13.83</v>
      </c>
      <c r="K49" s="3">
        <f t="shared" si="7"/>
        <v>13.81</v>
      </c>
      <c r="L49" s="3">
        <f t="shared" si="7"/>
        <v>14.39</v>
      </c>
      <c r="M49" s="3">
        <f t="shared" si="7"/>
        <v>13.81</v>
      </c>
      <c r="P49" s="27" t="s">
        <v>31</v>
      </c>
      <c r="Q49" s="10" t="str">
        <f t="shared" si="8"/>
        <v xml:space="preserve">CEMIG       -ON  </v>
      </c>
      <c r="R49" s="20">
        <f t="shared" si="9"/>
        <v>41654</v>
      </c>
      <c r="S49" s="5">
        <f t="shared" si="10"/>
        <v>13.83</v>
      </c>
      <c r="T49" s="5">
        <f t="shared" si="11"/>
        <v>13.81</v>
      </c>
      <c r="U49" s="5">
        <f t="shared" si="12"/>
        <v>14.39</v>
      </c>
      <c r="V49" s="5">
        <f t="shared" si="13"/>
        <v>13.81</v>
      </c>
    </row>
    <row r="50" spans="1:22" x14ac:dyDescent="0.2">
      <c r="A50" s="35" t="str">
        <f>IF(Tabela1[[#This Row],[Código]]="IBOV","^BVSP",IF(Tabela1[[#This Row],[Código]]="","",CONCATENATE(LEFT(Tabela1[[#This Row],[Código]],6),".SA")))</f>
        <v>CMIG4.SA</v>
      </c>
      <c r="C50" s="3" t="s">
        <v>133</v>
      </c>
      <c r="D50" s="3" t="s">
        <v>563</v>
      </c>
      <c r="E50" s="3" t="s">
        <v>747</v>
      </c>
      <c r="F50" s="3" t="s">
        <v>564</v>
      </c>
      <c r="G50" s="3" t="s">
        <v>747</v>
      </c>
      <c r="H50" s="20">
        <v>41654</v>
      </c>
      <c r="J50" s="3">
        <f t="shared" si="7"/>
        <v>13.57</v>
      </c>
      <c r="K50" s="3">
        <f t="shared" si="7"/>
        <v>13.3</v>
      </c>
      <c r="L50" s="3">
        <f t="shared" si="7"/>
        <v>13.6</v>
      </c>
      <c r="M50" s="3">
        <f t="shared" si="7"/>
        <v>13.3</v>
      </c>
      <c r="P50" s="27" t="s">
        <v>30</v>
      </c>
      <c r="Q50" s="10" t="str">
        <f t="shared" si="8"/>
        <v xml:space="preserve">CEMIG       -PN  </v>
      </c>
      <c r="R50" s="49">
        <f t="shared" si="9"/>
        <v>41654</v>
      </c>
      <c r="S50" s="6">
        <f t="shared" si="10"/>
        <v>13.57</v>
      </c>
      <c r="T50" s="6">
        <f t="shared" si="11"/>
        <v>13.3</v>
      </c>
      <c r="U50" s="6">
        <f t="shared" si="12"/>
        <v>13.6</v>
      </c>
      <c r="V50" s="6">
        <f t="shared" si="13"/>
        <v>13.3</v>
      </c>
    </row>
    <row r="51" spans="1:22" x14ac:dyDescent="0.2">
      <c r="A51" s="35" t="str">
        <f>IF(Tabela1[[#This Row],[Código]]="IBOV","^BVSP",IF(Tabela1[[#This Row],[Código]]="","",CONCATENATE(LEFT(Tabela1[[#This Row],[Código]],6),".SA")))</f>
        <v>COCE3.SA</v>
      </c>
      <c r="C51" s="3" t="s">
        <v>134</v>
      </c>
      <c r="D51" s="3" t="s">
        <v>565</v>
      </c>
      <c r="E51" s="3" t="s">
        <v>568</v>
      </c>
      <c r="F51" s="3" t="s">
        <v>701</v>
      </c>
      <c r="G51" s="3" t="s">
        <v>566</v>
      </c>
      <c r="H51" s="20">
        <v>41654</v>
      </c>
      <c r="J51" s="3">
        <f t="shared" si="7"/>
        <v>48.31</v>
      </c>
      <c r="K51" s="3">
        <f t="shared" si="7"/>
        <v>48.35</v>
      </c>
      <c r="L51" s="3">
        <f t="shared" si="7"/>
        <v>48.5</v>
      </c>
      <c r="M51" s="3">
        <f t="shared" si="7"/>
        <v>48.01</v>
      </c>
      <c r="P51" s="14" t="s">
        <v>98</v>
      </c>
      <c r="Q51" s="10" t="str">
        <f t="shared" si="8"/>
        <v>COELCE      -ON</v>
      </c>
      <c r="R51" s="49">
        <f t="shared" si="9"/>
        <v>41654</v>
      </c>
      <c r="S51" s="6">
        <f t="shared" si="10"/>
        <v>48.31</v>
      </c>
      <c r="T51" s="6">
        <f t="shared" si="11"/>
        <v>48.35</v>
      </c>
      <c r="U51" s="6">
        <f t="shared" si="12"/>
        <v>48.5</v>
      </c>
      <c r="V51" s="6">
        <f t="shared" si="13"/>
        <v>48.01</v>
      </c>
    </row>
    <row r="52" spans="1:22" x14ac:dyDescent="0.2">
      <c r="A52" s="35" t="str">
        <f>IF(Tabela1[[#This Row],[Código]]="IBOV","^BVSP",IF(Tabela1[[#This Row],[Código]]="","",CONCATENATE(LEFT(Tabela1[[#This Row],[Código]],6),".SA")))</f>
        <v>COCE5.SA</v>
      </c>
      <c r="C52" s="3" t="s">
        <v>135</v>
      </c>
      <c r="D52" s="3" t="s">
        <v>567</v>
      </c>
      <c r="E52" s="3" t="s">
        <v>748</v>
      </c>
      <c r="F52" s="3" t="s">
        <v>702</v>
      </c>
      <c r="G52" s="3" t="s">
        <v>569</v>
      </c>
      <c r="H52" s="20">
        <v>41654</v>
      </c>
      <c r="J52" s="3">
        <f t="shared" si="7"/>
        <v>48.2</v>
      </c>
      <c r="K52" s="3">
        <f t="shared" si="7"/>
        <v>48.1</v>
      </c>
      <c r="L52" s="3">
        <f t="shared" si="7"/>
        <v>48.41</v>
      </c>
      <c r="M52" s="3">
        <f t="shared" si="7"/>
        <v>48.08</v>
      </c>
      <c r="P52" s="10" t="s">
        <v>83</v>
      </c>
      <c r="Q52" s="10" t="str">
        <f t="shared" si="8"/>
        <v>COELCE      -PNA</v>
      </c>
      <c r="R52" s="56">
        <f t="shared" si="9"/>
        <v>41654</v>
      </c>
      <c r="S52" s="5">
        <f t="shared" si="10"/>
        <v>48.2</v>
      </c>
      <c r="T52" s="5">
        <f t="shared" si="11"/>
        <v>48.1</v>
      </c>
      <c r="U52" s="5">
        <f t="shared" si="12"/>
        <v>48.41</v>
      </c>
      <c r="V52" s="5">
        <f t="shared" si="13"/>
        <v>48.08</v>
      </c>
    </row>
    <row r="53" spans="1:22" x14ac:dyDescent="0.2">
      <c r="A53" s="35" t="str">
        <f>IF(Tabela1[[#This Row],[Código]]="IBOV","^BVSP",IF(Tabela1[[#This Row],[Código]]="","",CONCATENATE(LEFT(Tabela1[[#This Row],[Código]],6),".SA")))</f>
        <v>CPFE3.SA</v>
      </c>
      <c r="C53" s="3" t="s">
        <v>136</v>
      </c>
      <c r="D53" s="3" t="s">
        <v>570</v>
      </c>
      <c r="E53" s="3" t="s">
        <v>749</v>
      </c>
      <c r="F53" s="3" t="s">
        <v>382</v>
      </c>
      <c r="G53" s="3" t="s">
        <v>571</v>
      </c>
      <c r="H53" s="20">
        <v>41654</v>
      </c>
      <c r="J53" s="3">
        <f t="shared" si="7"/>
        <v>18.489999999999998</v>
      </c>
      <c r="K53" s="3">
        <f t="shared" si="7"/>
        <v>18.73</v>
      </c>
      <c r="L53" s="3">
        <f t="shared" si="7"/>
        <v>18.75</v>
      </c>
      <c r="M53" s="3">
        <f t="shared" si="7"/>
        <v>18.350000000000001</v>
      </c>
      <c r="P53" s="27" t="s">
        <v>32</v>
      </c>
      <c r="Q53" s="10" t="str">
        <f t="shared" si="8"/>
        <v xml:space="preserve">CPFL ENERGIA-ON  </v>
      </c>
      <c r="R53" s="56">
        <f t="shared" si="9"/>
        <v>41654</v>
      </c>
      <c r="S53" s="5">
        <f t="shared" si="10"/>
        <v>18.489999999999998</v>
      </c>
      <c r="T53" s="5">
        <f t="shared" si="11"/>
        <v>18.73</v>
      </c>
      <c r="U53" s="5">
        <f t="shared" si="12"/>
        <v>18.75</v>
      </c>
      <c r="V53" s="5">
        <f t="shared" si="13"/>
        <v>18.350000000000001</v>
      </c>
    </row>
    <row r="54" spans="1:22" x14ac:dyDescent="0.2">
      <c r="A54" s="35" t="str">
        <f>IF(Tabela1[[#This Row],[Código]]="IBOV","^BVSP",IF(Tabela1[[#This Row],[Código]]="","",CONCATENATE(LEFT(Tabela1[[#This Row],[Código]],6),".SA")))</f>
        <v>CPLE3.SA</v>
      </c>
      <c r="C54" s="3" t="s">
        <v>137</v>
      </c>
      <c r="D54" s="3" t="s">
        <v>572</v>
      </c>
      <c r="E54" s="3" t="s">
        <v>573</v>
      </c>
      <c r="F54" s="3" t="s">
        <v>539</v>
      </c>
      <c r="G54" s="3" t="s">
        <v>574</v>
      </c>
      <c r="H54" s="20">
        <v>41654</v>
      </c>
      <c r="J54" s="3">
        <f t="shared" si="7"/>
        <v>22.34</v>
      </c>
      <c r="K54" s="3">
        <f t="shared" si="7"/>
        <v>22.2</v>
      </c>
      <c r="L54" s="3">
        <f t="shared" si="7"/>
        <v>22.39</v>
      </c>
      <c r="M54" s="3">
        <f t="shared" si="7"/>
        <v>22</v>
      </c>
      <c r="P54" s="27" t="s">
        <v>34</v>
      </c>
      <c r="Q54" s="10" t="str">
        <f t="shared" si="8"/>
        <v xml:space="preserve">COPEL       -ON  </v>
      </c>
      <c r="R54" s="56">
        <f t="shared" si="9"/>
        <v>41654</v>
      </c>
      <c r="S54" s="5">
        <f t="shared" si="10"/>
        <v>22.34</v>
      </c>
      <c r="T54" s="5">
        <f t="shared" si="11"/>
        <v>22.2</v>
      </c>
      <c r="U54" s="5">
        <f t="shared" si="12"/>
        <v>22.39</v>
      </c>
      <c r="V54" s="5">
        <f t="shared" si="13"/>
        <v>22</v>
      </c>
    </row>
    <row r="55" spans="1:22" x14ac:dyDescent="0.2">
      <c r="A55" s="35" t="str">
        <f>IF(Tabela1[[#This Row],[Código]]="IBOV","^BVSP",IF(Tabela1[[#This Row],[Código]]="","",CONCATENATE(LEFT(Tabela1[[#This Row],[Código]],6),".SA")))</f>
        <v>CPLE5.SA</v>
      </c>
      <c r="C55" s="3" t="s">
        <v>138</v>
      </c>
      <c r="D55" s="3" t="s">
        <v>139</v>
      </c>
      <c r="E55" s="3" t="s">
        <v>139</v>
      </c>
      <c r="F55" s="3" t="s">
        <v>139</v>
      </c>
      <c r="G55" s="3" t="s">
        <v>139</v>
      </c>
      <c r="H55" s="20">
        <v>41529</v>
      </c>
      <c r="J55" s="3">
        <f t="shared" si="7"/>
        <v>30</v>
      </c>
      <c r="K55" s="3">
        <f t="shared" si="7"/>
        <v>30</v>
      </c>
      <c r="L55" s="3">
        <f t="shared" si="7"/>
        <v>30</v>
      </c>
      <c r="M55" s="3">
        <f t="shared" si="7"/>
        <v>30</v>
      </c>
      <c r="P55" s="14" t="s">
        <v>104</v>
      </c>
      <c r="Q55" s="10" t="str">
        <f t="shared" si="8"/>
        <v xml:space="preserve">COPEL       -PNA </v>
      </c>
      <c r="R55" s="20">
        <f t="shared" si="9"/>
        <v>41529</v>
      </c>
      <c r="S55" s="5">
        <f t="shared" si="10"/>
        <v>30</v>
      </c>
      <c r="T55" s="5">
        <f t="shared" si="11"/>
        <v>30</v>
      </c>
      <c r="U55" s="5">
        <f t="shared" si="12"/>
        <v>30</v>
      </c>
      <c r="V55" s="5">
        <f t="shared" si="13"/>
        <v>30</v>
      </c>
    </row>
    <row r="56" spans="1:22" x14ac:dyDescent="0.2">
      <c r="A56" s="35" t="str">
        <f>IF(Tabela1[[#This Row],[Código]]="IBOV","^BVSP",IF(Tabela1[[#This Row],[Código]]="","",CONCATENATE(LEFT(Tabela1[[#This Row],[Código]],6),".SA")))</f>
        <v>CPLE6.SA</v>
      </c>
      <c r="C56" s="3" t="s">
        <v>140</v>
      </c>
      <c r="D56" s="3" t="s">
        <v>575</v>
      </c>
      <c r="E56" s="3" t="s">
        <v>750</v>
      </c>
      <c r="F56" s="3" t="s">
        <v>576</v>
      </c>
      <c r="G56" s="3" t="s">
        <v>577</v>
      </c>
      <c r="H56" s="20">
        <v>41654</v>
      </c>
      <c r="J56" s="3">
        <f t="shared" si="7"/>
        <v>31.16</v>
      </c>
      <c r="K56" s="3">
        <f t="shared" si="7"/>
        <v>30.83</v>
      </c>
      <c r="L56" s="3">
        <f t="shared" si="7"/>
        <v>31.18</v>
      </c>
      <c r="M56" s="3">
        <f t="shared" si="7"/>
        <v>30.81</v>
      </c>
      <c r="P56" s="14" t="s">
        <v>105</v>
      </c>
      <c r="Q56" s="10" t="str">
        <f t="shared" si="8"/>
        <v xml:space="preserve">COPEL       -PNB </v>
      </c>
      <c r="R56" s="56">
        <f t="shared" si="9"/>
        <v>41654</v>
      </c>
      <c r="S56" s="5">
        <f t="shared" si="10"/>
        <v>31.16</v>
      </c>
      <c r="T56" s="5">
        <f t="shared" si="11"/>
        <v>30.83</v>
      </c>
      <c r="U56" s="5">
        <f t="shared" si="12"/>
        <v>31.18</v>
      </c>
      <c r="V56" s="5">
        <f t="shared" si="13"/>
        <v>30.81</v>
      </c>
    </row>
    <row r="57" spans="1:22" x14ac:dyDescent="0.2">
      <c r="A57" s="35" t="str">
        <f>IF(Tabela1[[#This Row],[Código]]="IBOV","^BVSP",IF(Tabela1[[#This Row],[Código]]="","",CONCATENATE(LEFT(Tabela1[[#This Row],[Código]],6),".SA")))</f>
        <v>CSMG3.SA</v>
      </c>
      <c r="C57" s="3" t="s">
        <v>198</v>
      </c>
      <c r="D57" s="3" t="s">
        <v>578</v>
      </c>
      <c r="E57" s="3" t="s">
        <v>751</v>
      </c>
      <c r="F57" s="3" t="s">
        <v>703</v>
      </c>
      <c r="G57" s="3" t="s">
        <v>751</v>
      </c>
      <c r="H57" s="20">
        <v>41654</v>
      </c>
      <c r="J57" s="3">
        <f t="shared" si="7"/>
        <v>33.700000000000003</v>
      </c>
      <c r="K57" s="3">
        <f t="shared" si="7"/>
        <v>32.880000000000003</v>
      </c>
      <c r="L57" s="3">
        <f t="shared" si="7"/>
        <v>33.770000000000003</v>
      </c>
      <c r="M57" s="3">
        <f t="shared" si="7"/>
        <v>32.880000000000003</v>
      </c>
      <c r="P57" s="14" t="s">
        <v>197</v>
      </c>
      <c r="Q57" s="10" t="str">
        <f t="shared" si="8"/>
        <v xml:space="preserve">COPASA      -ON  </v>
      </c>
      <c r="R57" s="20">
        <f t="shared" si="9"/>
        <v>41654</v>
      </c>
      <c r="S57" s="5">
        <f t="shared" si="10"/>
        <v>33.700000000000003</v>
      </c>
      <c r="T57" s="5">
        <f t="shared" si="11"/>
        <v>32.880000000000003</v>
      </c>
      <c r="U57" s="5">
        <f t="shared" si="12"/>
        <v>33.770000000000003</v>
      </c>
      <c r="V57" s="5">
        <f t="shared" si="13"/>
        <v>32.880000000000003</v>
      </c>
    </row>
    <row r="58" spans="1:22" x14ac:dyDescent="0.2">
      <c r="A58" s="35" t="str">
        <f>IF(Tabela1[[#This Row],[Código]]="IBOV","^BVSP",IF(Tabela1[[#This Row],[Código]]="","",CONCATENATE(LEFT(Tabela1[[#This Row],[Código]],6),".SA")))</f>
        <v>CSRN3.SA</v>
      </c>
      <c r="C58" s="3" t="s">
        <v>399</v>
      </c>
      <c r="D58" s="3" t="s">
        <v>389</v>
      </c>
      <c r="E58" s="3" t="s">
        <v>389</v>
      </c>
      <c r="F58" s="3" t="s">
        <v>389</v>
      </c>
      <c r="G58" s="3" t="s">
        <v>389</v>
      </c>
      <c r="H58" s="20">
        <v>41642</v>
      </c>
      <c r="J58" s="3">
        <f t="shared" si="7"/>
        <v>9.5</v>
      </c>
      <c r="K58" s="3">
        <f t="shared" si="7"/>
        <v>9.5</v>
      </c>
      <c r="L58" s="3">
        <f t="shared" si="7"/>
        <v>9.5</v>
      </c>
      <c r="M58" s="3">
        <f t="shared" si="7"/>
        <v>9.5</v>
      </c>
      <c r="P58" s="14" t="s">
        <v>100</v>
      </c>
      <c r="Q58" s="10" t="str">
        <f t="shared" si="8"/>
        <v xml:space="preserve">COSERN      -ON  </v>
      </c>
      <c r="R58" s="56">
        <f t="shared" si="9"/>
        <v>41642</v>
      </c>
      <c r="S58" s="5">
        <f t="shared" si="10"/>
        <v>9.5</v>
      </c>
      <c r="T58" s="5">
        <f t="shared" si="11"/>
        <v>9.5</v>
      </c>
      <c r="U58" s="5">
        <f t="shared" si="12"/>
        <v>9.5</v>
      </c>
      <c r="V58" s="5">
        <f t="shared" si="13"/>
        <v>9.5</v>
      </c>
    </row>
    <row r="59" spans="1:22" x14ac:dyDescent="0.2">
      <c r="A59" s="35" t="str">
        <f>IF(Tabela1[[#This Row],[Código]]="IBOV","^BVSP",IF(Tabela1[[#This Row],[Código]]="","",CONCATENATE(LEFT(Tabela1[[#This Row],[Código]],6),".SA")))</f>
        <v>CSRN5.SA</v>
      </c>
      <c r="C59" s="3" t="s">
        <v>400</v>
      </c>
      <c r="D59" s="3" t="s">
        <v>141</v>
      </c>
      <c r="E59" s="3" t="s">
        <v>141</v>
      </c>
      <c r="F59" s="3" t="s">
        <v>141</v>
      </c>
      <c r="G59" s="3" t="s">
        <v>141</v>
      </c>
      <c r="H59" s="20">
        <v>41582</v>
      </c>
      <c r="J59" s="3">
        <f t="shared" si="7"/>
        <v>10.119999999999999</v>
      </c>
      <c r="K59" s="3">
        <f t="shared" si="7"/>
        <v>10.119999999999999</v>
      </c>
      <c r="L59" s="3">
        <f t="shared" si="7"/>
        <v>10.119999999999999</v>
      </c>
      <c r="M59" s="3">
        <f t="shared" si="7"/>
        <v>10.119999999999999</v>
      </c>
      <c r="P59" s="14" t="s">
        <v>101</v>
      </c>
      <c r="Q59" s="10" t="str">
        <f t="shared" si="8"/>
        <v xml:space="preserve">COSERN      -PNA </v>
      </c>
      <c r="R59" s="56">
        <f t="shared" si="9"/>
        <v>41582</v>
      </c>
      <c r="S59" s="5">
        <f t="shared" si="10"/>
        <v>10.119999999999999</v>
      </c>
      <c r="T59" s="5">
        <f t="shared" si="11"/>
        <v>10.119999999999999</v>
      </c>
      <c r="U59" s="5">
        <f t="shared" si="12"/>
        <v>10.119999999999999</v>
      </c>
      <c r="V59" s="5">
        <f t="shared" si="13"/>
        <v>10.119999999999999</v>
      </c>
    </row>
    <row r="60" spans="1:22" x14ac:dyDescent="0.2">
      <c r="A60" s="35" t="str">
        <f>IF(Tabela1[[#This Row],[Código]]="IBOV","^BVSP",IF(Tabela1[[#This Row],[Código]]="","",CONCATENATE(LEFT(Tabela1[[#This Row],[Código]],6),".SA")))</f>
        <v>CSRN6.SA</v>
      </c>
      <c r="C60" s="3" t="s">
        <v>401</v>
      </c>
      <c r="D60" s="3" t="s">
        <v>111</v>
      </c>
      <c r="E60" s="3" t="s">
        <v>111</v>
      </c>
      <c r="F60" s="3" t="s">
        <v>111</v>
      </c>
      <c r="G60" s="3" t="s">
        <v>111</v>
      </c>
      <c r="H60" s="20">
        <v>41584</v>
      </c>
      <c r="J60" s="3">
        <f t="shared" si="7"/>
        <v>9</v>
      </c>
      <c r="K60" s="3">
        <f t="shared" si="7"/>
        <v>9</v>
      </c>
      <c r="L60" s="3">
        <f t="shared" si="7"/>
        <v>9</v>
      </c>
      <c r="M60" s="3">
        <f t="shared" si="7"/>
        <v>9</v>
      </c>
      <c r="P60" s="14" t="s">
        <v>69</v>
      </c>
      <c r="Q60" s="10" t="str">
        <f t="shared" si="8"/>
        <v xml:space="preserve">COSERN      -PNB </v>
      </c>
      <c r="R60" s="56">
        <f t="shared" si="9"/>
        <v>41584</v>
      </c>
      <c r="S60" s="5">
        <f t="shared" si="10"/>
        <v>9</v>
      </c>
      <c r="T60" s="5">
        <f t="shared" si="11"/>
        <v>9</v>
      </c>
      <c r="U60" s="5">
        <f t="shared" si="12"/>
        <v>9</v>
      </c>
      <c r="V60" s="5">
        <f t="shared" si="13"/>
        <v>9</v>
      </c>
    </row>
    <row r="61" spans="1:22" x14ac:dyDescent="0.2">
      <c r="A61" s="35" t="str">
        <f>IF(Tabela1[[#This Row],[Código]]="IBOV","^BVSP",IF(Tabela1[[#This Row],[Código]]="","",CONCATENATE(LEFT(Tabela1[[#This Row],[Código]],6),".SA")))</f>
        <v>DAYC4.SA</v>
      </c>
      <c r="C61" s="3" t="s">
        <v>142</v>
      </c>
      <c r="D61" s="3" t="s">
        <v>579</v>
      </c>
      <c r="E61" s="3" t="s">
        <v>581</v>
      </c>
      <c r="F61" s="3" t="s">
        <v>580</v>
      </c>
      <c r="G61" s="3" t="s">
        <v>668</v>
      </c>
      <c r="H61" s="20">
        <v>41654</v>
      </c>
      <c r="J61" s="3">
        <f t="shared" si="7"/>
        <v>7.86</v>
      </c>
      <c r="K61" s="3">
        <f t="shared" si="7"/>
        <v>7.78</v>
      </c>
      <c r="L61" s="3">
        <f t="shared" si="7"/>
        <v>7.89</v>
      </c>
      <c r="M61" s="3">
        <f t="shared" si="7"/>
        <v>7.75</v>
      </c>
      <c r="P61" s="10" t="s">
        <v>15</v>
      </c>
      <c r="Q61" s="10" t="str">
        <f t="shared" si="8"/>
        <v xml:space="preserve">DAYCOVAL    -PN  </v>
      </c>
      <c r="R61" s="56">
        <f t="shared" si="9"/>
        <v>41654</v>
      </c>
      <c r="S61" s="5">
        <f t="shared" si="10"/>
        <v>7.86</v>
      </c>
      <c r="T61" s="5">
        <f t="shared" si="11"/>
        <v>7.78</v>
      </c>
      <c r="U61" s="5">
        <f t="shared" si="12"/>
        <v>7.89</v>
      </c>
      <c r="V61" s="5">
        <f t="shared" si="13"/>
        <v>7.75</v>
      </c>
    </row>
    <row r="62" spans="1:22" x14ac:dyDescent="0.2">
      <c r="A62" s="35" t="str">
        <f>IF(Tabela1[[#This Row],[Código]]="IBOV","^BVSP",IF(Tabela1[[#This Row],[Código]]="","",CONCATENATE(LEFT(Tabela1[[#This Row],[Código]],6),".SA")))</f>
        <v>EEEL3.SA</v>
      </c>
      <c r="C62" s="3" t="s">
        <v>143</v>
      </c>
      <c r="D62" s="3" t="s">
        <v>447</v>
      </c>
      <c r="E62" s="3" t="s">
        <v>447</v>
      </c>
      <c r="F62" s="3" t="s">
        <v>447</v>
      </c>
      <c r="G62" s="3" t="s">
        <v>447</v>
      </c>
      <c r="H62" s="20">
        <v>41645</v>
      </c>
      <c r="J62" s="3">
        <f t="shared" si="7"/>
        <v>1.4</v>
      </c>
      <c r="K62" s="3">
        <f t="shared" si="7"/>
        <v>1.4</v>
      </c>
      <c r="L62" s="3">
        <f t="shared" si="7"/>
        <v>1.4</v>
      </c>
      <c r="M62" s="3">
        <f t="shared" si="7"/>
        <v>1.4</v>
      </c>
      <c r="P62" s="14" t="s">
        <v>102</v>
      </c>
      <c r="Q62" s="10" t="str">
        <f t="shared" si="8"/>
        <v xml:space="preserve">CEEE-GT     -ON  </v>
      </c>
      <c r="R62" s="56">
        <f t="shared" si="9"/>
        <v>41645</v>
      </c>
      <c r="S62" s="5">
        <f t="shared" si="10"/>
        <v>1.4</v>
      </c>
      <c r="T62" s="5">
        <f t="shared" si="11"/>
        <v>1.4</v>
      </c>
      <c r="U62" s="5">
        <f t="shared" si="12"/>
        <v>1.4</v>
      </c>
      <c r="V62" s="5">
        <f t="shared" si="13"/>
        <v>1.4</v>
      </c>
    </row>
    <row r="63" spans="1:22" x14ac:dyDescent="0.2">
      <c r="A63" s="35" t="str">
        <f>IF(Tabela1[[#This Row],[Código]]="IBOV","^BVSP",IF(Tabela1[[#This Row],[Código]]="","",CONCATENATE(LEFT(Tabela1[[#This Row],[Código]],6),".SA")))</f>
        <v>EEEL4.SA</v>
      </c>
      <c r="C63" s="3" t="s">
        <v>144</v>
      </c>
      <c r="D63" s="3" t="s">
        <v>499</v>
      </c>
      <c r="E63" s="3" t="s">
        <v>499</v>
      </c>
      <c r="F63" s="3" t="s">
        <v>499</v>
      </c>
      <c r="G63" s="3" t="s">
        <v>499</v>
      </c>
      <c r="H63" s="20">
        <v>41652</v>
      </c>
      <c r="J63" s="3">
        <f t="shared" si="7"/>
        <v>1.85</v>
      </c>
      <c r="K63" s="3">
        <f t="shared" si="7"/>
        <v>1.85</v>
      </c>
      <c r="L63" s="3">
        <f t="shared" si="7"/>
        <v>1.85</v>
      </c>
      <c r="M63" s="3">
        <f t="shared" si="7"/>
        <v>1.85</v>
      </c>
      <c r="P63" s="14" t="s">
        <v>103</v>
      </c>
      <c r="Q63" s="10" t="str">
        <f t="shared" si="8"/>
        <v xml:space="preserve">CEEE-GT     -PN  </v>
      </c>
      <c r="R63" s="56">
        <f t="shared" si="9"/>
        <v>41652</v>
      </c>
      <c r="S63" s="5">
        <f t="shared" si="10"/>
        <v>1.85</v>
      </c>
      <c r="T63" s="5">
        <f t="shared" si="11"/>
        <v>1.85</v>
      </c>
      <c r="U63" s="5">
        <f t="shared" si="12"/>
        <v>1.85</v>
      </c>
      <c r="V63" s="5">
        <f t="shared" si="13"/>
        <v>1.85</v>
      </c>
    </row>
    <row r="64" spans="1:22" x14ac:dyDescent="0.2">
      <c r="A64" s="35" t="str">
        <f>IF(Tabela1[[#This Row],[Código]]="IBOV","^BVSP",IF(Tabela1[[#This Row],[Código]]="","",CONCATENATE(LEFT(Tabela1[[#This Row],[Código]],6),".SA")))</f>
        <v>ELET3.SA</v>
      </c>
      <c r="C64" s="3" t="s">
        <v>145</v>
      </c>
      <c r="D64" s="3" t="s">
        <v>582</v>
      </c>
      <c r="E64" s="3" t="s">
        <v>479</v>
      </c>
      <c r="F64" s="3" t="s">
        <v>583</v>
      </c>
      <c r="G64" s="3" t="s">
        <v>584</v>
      </c>
      <c r="H64" s="20">
        <v>41654</v>
      </c>
      <c r="J64" s="3">
        <f t="shared" si="7"/>
        <v>5.74</v>
      </c>
      <c r="K64" s="3">
        <f t="shared" si="7"/>
        <v>5.65</v>
      </c>
      <c r="L64" s="3">
        <f t="shared" si="7"/>
        <v>5.76</v>
      </c>
      <c r="M64" s="3">
        <f t="shared" si="7"/>
        <v>5.6</v>
      </c>
      <c r="P64" s="15" t="s">
        <v>2</v>
      </c>
      <c r="Q64" s="10" t="str">
        <f t="shared" si="8"/>
        <v xml:space="preserve">ELETROBRAS  -ON  </v>
      </c>
      <c r="R64" s="56">
        <f t="shared" si="9"/>
        <v>41654</v>
      </c>
      <c r="S64" s="5">
        <f t="shared" si="10"/>
        <v>5.74</v>
      </c>
      <c r="T64" s="5">
        <f t="shared" si="11"/>
        <v>5.65</v>
      </c>
      <c r="U64" s="5">
        <f t="shared" si="12"/>
        <v>5.76</v>
      </c>
      <c r="V64" s="5">
        <f t="shared" si="13"/>
        <v>5.6</v>
      </c>
    </row>
    <row r="65" spans="1:22" x14ac:dyDescent="0.2">
      <c r="A65" s="35" t="str">
        <f>IF(Tabela1[[#This Row],[Código]]="IBOV","^BVSP",IF(Tabela1[[#This Row],[Código]]="","",CONCATENATE(LEFT(Tabela1[[#This Row],[Código]],6),".SA")))</f>
        <v>ELET6.SA</v>
      </c>
      <c r="C65" s="3" t="s">
        <v>146</v>
      </c>
      <c r="D65" s="3" t="s">
        <v>585</v>
      </c>
      <c r="E65" s="3" t="s">
        <v>752</v>
      </c>
      <c r="F65" s="3" t="s">
        <v>297</v>
      </c>
      <c r="G65" s="3" t="s">
        <v>586</v>
      </c>
      <c r="H65" s="20">
        <v>41654</v>
      </c>
      <c r="J65" s="3">
        <f t="shared" si="7"/>
        <v>9.99</v>
      </c>
      <c r="K65" s="3">
        <f t="shared" si="7"/>
        <v>9.57</v>
      </c>
      <c r="L65" s="3">
        <f t="shared" si="7"/>
        <v>10</v>
      </c>
      <c r="M65" s="3">
        <f t="shared" si="7"/>
        <v>9.4600000000000009</v>
      </c>
      <c r="P65" s="27" t="s">
        <v>27</v>
      </c>
      <c r="Q65" s="10" t="str">
        <f t="shared" si="8"/>
        <v xml:space="preserve">ELETROBRAS  -PNB </v>
      </c>
      <c r="R65" s="56">
        <f t="shared" si="9"/>
        <v>41654</v>
      </c>
      <c r="S65" s="5">
        <f t="shared" si="10"/>
        <v>9.99</v>
      </c>
      <c r="T65" s="5">
        <f t="shared" si="11"/>
        <v>9.57</v>
      </c>
      <c r="U65" s="5">
        <f t="shared" si="12"/>
        <v>10</v>
      </c>
      <c r="V65" s="5">
        <f t="shared" si="13"/>
        <v>9.4600000000000009</v>
      </c>
    </row>
    <row r="66" spans="1:22" x14ac:dyDescent="0.2">
      <c r="A66" s="35" t="str">
        <f>IF(Tabela1[[#This Row],[Código]]="IBOV","^BVSP",IF(Tabela1[[#This Row],[Código]]="","",CONCATENATE(LEFT(Tabela1[[#This Row],[Código]],6),".SA")))</f>
        <v>ELPL3.SA</v>
      </c>
      <c r="C66" s="3" t="s">
        <v>184</v>
      </c>
      <c r="D66" s="3" t="s">
        <v>148</v>
      </c>
      <c r="E66" s="3" t="s">
        <v>148</v>
      </c>
      <c r="F66" s="3" t="s">
        <v>148</v>
      </c>
      <c r="G66" s="3" t="s">
        <v>148</v>
      </c>
      <c r="H66" s="20">
        <v>41590</v>
      </c>
      <c r="J66" s="3">
        <f t="shared" si="7"/>
        <v>11</v>
      </c>
      <c r="K66" s="3">
        <f t="shared" si="7"/>
        <v>11</v>
      </c>
      <c r="L66" s="3">
        <f t="shared" si="7"/>
        <v>11</v>
      </c>
      <c r="M66" s="3">
        <f t="shared" si="7"/>
        <v>11</v>
      </c>
      <c r="P66" s="14" t="s">
        <v>183</v>
      </c>
      <c r="Q66" s="10" t="str">
        <f t="shared" si="8"/>
        <v xml:space="preserve">ELETROPAULO -ON  </v>
      </c>
      <c r="R66" s="56">
        <f t="shared" si="9"/>
        <v>41590</v>
      </c>
      <c r="S66" s="5">
        <f t="shared" si="10"/>
        <v>11</v>
      </c>
      <c r="T66" s="5">
        <f t="shared" si="11"/>
        <v>11</v>
      </c>
      <c r="U66" s="5">
        <f t="shared" si="12"/>
        <v>11</v>
      </c>
      <c r="V66" s="5">
        <f t="shared" si="13"/>
        <v>11</v>
      </c>
    </row>
    <row r="67" spans="1:22" x14ac:dyDescent="0.2">
      <c r="A67" s="35" t="str">
        <f>IF(Tabela1[[#This Row],[Código]]="IBOV","^BVSP",IF(Tabela1[[#This Row],[Código]]="","",CONCATENATE(LEFT(Tabela1[[#This Row],[Código]],6),".SA")))</f>
        <v>ELPL4.SA</v>
      </c>
      <c r="C67" s="3" t="s">
        <v>147</v>
      </c>
      <c r="D67" s="3" t="s">
        <v>587</v>
      </c>
      <c r="E67" s="3" t="s">
        <v>722</v>
      </c>
      <c r="F67" s="3" t="s">
        <v>753</v>
      </c>
      <c r="G67" s="3" t="s">
        <v>589</v>
      </c>
      <c r="H67" s="20">
        <v>41654</v>
      </c>
      <c r="J67" s="3">
        <f t="shared" si="7"/>
        <v>8.9</v>
      </c>
      <c r="K67" s="3">
        <f t="shared" si="7"/>
        <v>9.15</v>
      </c>
      <c r="L67" s="3">
        <f t="shared" si="7"/>
        <v>9.19</v>
      </c>
      <c r="M67" s="3">
        <f t="shared" si="7"/>
        <v>8.89</v>
      </c>
      <c r="P67" s="46" t="s">
        <v>1</v>
      </c>
      <c r="Q67" s="10" t="str">
        <f t="shared" si="8"/>
        <v xml:space="preserve">ELETROPAULO -PN  </v>
      </c>
      <c r="R67" s="56">
        <f t="shared" si="9"/>
        <v>41654</v>
      </c>
      <c r="S67" s="5">
        <f t="shared" si="10"/>
        <v>8.9</v>
      </c>
      <c r="T67" s="5">
        <f t="shared" si="11"/>
        <v>9.15</v>
      </c>
      <c r="U67" s="5">
        <f t="shared" si="12"/>
        <v>9.19</v>
      </c>
      <c r="V67" s="5">
        <f t="shared" si="13"/>
        <v>8.89</v>
      </c>
    </row>
    <row r="68" spans="1:22" x14ac:dyDescent="0.2">
      <c r="A68" s="35" t="str">
        <f>IF(Tabela1[[#This Row],[Código]]="IBOV","^BVSP",IF(Tabela1[[#This Row],[Código]]="","",CONCATENATE(LEFT(Tabela1[[#This Row],[Código]],6),".SA")))</f>
        <v>EMAE4.SA</v>
      </c>
      <c r="C68" s="3" t="s">
        <v>186</v>
      </c>
      <c r="D68" s="3" t="s">
        <v>490</v>
      </c>
      <c r="E68" s="3" t="s">
        <v>490</v>
      </c>
      <c r="F68" s="3" t="s">
        <v>490</v>
      </c>
      <c r="G68" s="3" t="s">
        <v>490</v>
      </c>
      <c r="H68" s="20">
        <v>41654</v>
      </c>
      <c r="J68" s="3">
        <f t="shared" si="7"/>
        <v>5.67</v>
      </c>
      <c r="K68" s="3">
        <f t="shared" si="7"/>
        <v>5.67</v>
      </c>
      <c r="L68" s="3">
        <f t="shared" si="7"/>
        <v>5.67</v>
      </c>
      <c r="M68" s="3">
        <f t="shared" si="7"/>
        <v>5.67</v>
      </c>
      <c r="P68" s="14" t="s">
        <v>185</v>
      </c>
      <c r="Q68" s="10" t="str">
        <f t="shared" si="8"/>
        <v>EMAE        -PN</v>
      </c>
      <c r="R68" s="49">
        <f t="shared" si="9"/>
        <v>41654</v>
      </c>
      <c r="S68" s="6">
        <f t="shared" si="10"/>
        <v>5.67</v>
      </c>
      <c r="T68" s="6">
        <f t="shared" si="11"/>
        <v>5.67</v>
      </c>
      <c r="U68" s="6">
        <f t="shared" si="12"/>
        <v>5.67</v>
      </c>
      <c r="V68" s="6">
        <f t="shared" si="13"/>
        <v>5.67</v>
      </c>
    </row>
    <row r="69" spans="1:22" x14ac:dyDescent="0.2">
      <c r="A69" s="35" t="str">
        <f>IF(Tabela1[[#This Row],[Código]]="IBOV","^BVSP",IF(Tabela1[[#This Row],[Código]]="","",CONCATENATE(LEFT(Tabela1[[#This Row],[Código]],6),".SA")))</f>
        <v>ENBR3.SA</v>
      </c>
      <c r="C69" s="3" t="s">
        <v>149</v>
      </c>
      <c r="D69" s="3" t="s">
        <v>590</v>
      </c>
      <c r="E69" s="3" t="s">
        <v>754</v>
      </c>
      <c r="F69" s="3" t="s">
        <v>591</v>
      </c>
      <c r="G69" s="3" t="s">
        <v>592</v>
      </c>
      <c r="H69" s="20">
        <v>41654</v>
      </c>
      <c r="J69" s="3">
        <f t="shared" si="7"/>
        <v>10.39</v>
      </c>
      <c r="K69" s="3">
        <f t="shared" si="7"/>
        <v>10.25</v>
      </c>
      <c r="L69" s="3">
        <f t="shared" si="7"/>
        <v>10.43</v>
      </c>
      <c r="M69" s="3">
        <f t="shared" si="7"/>
        <v>10.220000000000001</v>
      </c>
      <c r="P69" s="14" t="s">
        <v>28</v>
      </c>
      <c r="Q69" s="10" t="str">
        <f t="shared" si="8"/>
        <v xml:space="preserve">ENERGIAS BR -ON  </v>
      </c>
      <c r="R69" s="56">
        <f t="shared" si="9"/>
        <v>41654</v>
      </c>
      <c r="S69" s="5">
        <f t="shared" si="10"/>
        <v>10.39</v>
      </c>
      <c r="T69" s="5">
        <f t="shared" si="11"/>
        <v>10.25</v>
      </c>
      <c r="U69" s="5">
        <f t="shared" si="12"/>
        <v>10.43</v>
      </c>
      <c r="V69" s="5">
        <f t="shared" si="13"/>
        <v>10.220000000000001</v>
      </c>
    </row>
    <row r="70" spans="1:22" x14ac:dyDescent="0.2">
      <c r="A70" s="35" t="str">
        <f>IF(Tabela1[[#This Row],[Código]]="IBOV","^BVSP",IF(Tabela1[[#This Row],[Código]]="","",CONCATENATE(LEFT(Tabela1[[#This Row],[Código]],6),".SA")))</f>
        <v>ENGI11.SA</v>
      </c>
      <c r="C70" s="3" t="s">
        <v>150</v>
      </c>
      <c r="D70" s="3" t="s">
        <v>504</v>
      </c>
      <c r="E70" s="3" t="s">
        <v>504</v>
      </c>
      <c r="F70" s="3" t="s">
        <v>664</v>
      </c>
      <c r="G70" s="3" t="s">
        <v>504</v>
      </c>
      <c r="H70" s="20">
        <v>41654</v>
      </c>
      <c r="J70" s="3">
        <f t="shared" si="7"/>
        <v>12.4</v>
      </c>
      <c r="K70" s="3">
        <f t="shared" si="7"/>
        <v>12.4</v>
      </c>
      <c r="L70" s="3">
        <f t="shared" si="7"/>
        <v>12.49</v>
      </c>
      <c r="M70" s="3">
        <f t="shared" si="7"/>
        <v>12.4</v>
      </c>
      <c r="P70" s="14" t="s">
        <v>89</v>
      </c>
      <c r="Q70" s="10" t="str">
        <f t="shared" si="8"/>
        <v>ENERGISA    -UNT</v>
      </c>
      <c r="R70" s="56">
        <f t="shared" si="9"/>
        <v>41654</v>
      </c>
      <c r="S70" s="5">
        <f t="shared" si="10"/>
        <v>12.4</v>
      </c>
      <c r="T70" s="5">
        <f t="shared" si="11"/>
        <v>12.4</v>
      </c>
      <c r="U70" s="5">
        <f t="shared" si="12"/>
        <v>12.49</v>
      </c>
      <c r="V70" s="5">
        <f t="shared" si="13"/>
        <v>12.4</v>
      </c>
    </row>
    <row r="71" spans="1:22" x14ac:dyDescent="0.2">
      <c r="A71" s="35" t="str">
        <f>IF(Tabela1[[#This Row],[Código]]="IBOV","^BVSP",IF(Tabela1[[#This Row],[Código]]="","",CONCATENATE(LEFT(Tabela1[[#This Row],[Código]],6),".SA")))</f>
        <v>ENGI3.SA</v>
      </c>
      <c r="C71" s="3" t="s">
        <v>188</v>
      </c>
      <c r="D71" s="3" t="s">
        <v>705</v>
      </c>
      <c r="E71" s="3" t="s">
        <v>706</v>
      </c>
      <c r="F71" s="3" t="s">
        <v>706</v>
      </c>
      <c r="G71" s="3" t="s">
        <v>705</v>
      </c>
      <c r="H71" s="20">
        <v>41654</v>
      </c>
      <c r="J71" s="3">
        <f t="shared" si="7"/>
        <v>3.15</v>
      </c>
      <c r="K71" s="3">
        <f t="shared" si="7"/>
        <v>3.4</v>
      </c>
      <c r="L71" s="3">
        <f t="shared" si="7"/>
        <v>3.4</v>
      </c>
      <c r="M71" s="3">
        <f t="shared" si="7"/>
        <v>3.15</v>
      </c>
      <c r="P71" s="14" t="s">
        <v>187</v>
      </c>
      <c r="Q71" s="10" t="str">
        <f t="shared" ref="Q71:Q102" si="14">IF(A71="","",C71)</f>
        <v>ENERGISA    -ON</v>
      </c>
      <c r="R71" s="56">
        <f t="shared" ref="R71:R102" si="15">IF(A71="","",H71)</f>
        <v>41654</v>
      </c>
      <c r="S71" s="5">
        <f t="shared" ref="S71:S102" si="16">J71</f>
        <v>3.15</v>
      </c>
      <c r="T71" s="5">
        <f t="shared" ref="T71:T102" si="17">K71</f>
        <v>3.4</v>
      </c>
      <c r="U71" s="5">
        <f t="shared" ref="U71:U102" si="18">L71</f>
        <v>3.4</v>
      </c>
      <c r="V71" s="5">
        <f t="shared" ref="V71:V102" si="19">M71</f>
        <v>3.15</v>
      </c>
    </row>
    <row r="72" spans="1:22" x14ac:dyDescent="0.2">
      <c r="A72" s="35" t="str">
        <f>IF(Tabela1[[#This Row],[Código]]="IBOV","^BVSP",IF(Tabela1[[#This Row],[Código]]="","",CONCATENATE(LEFT(Tabela1[[#This Row],[Código]],6),".SA")))</f>
        <v>ENGI4.SA</v>
      </c>
      <c r="C72" s="3" t="s">
        <v>151</v>
      </c>
      <c r="D72" s="3" t="s">
        <v>707</v>
      </c>
      <c r="E72" s="3" t="s">
        <v>531</v>
      </c>
      <c r="F72" s="3" t="s">
        <v>707</v>
      </c>
      <c r="G72" s="3" t="s">
        <v>531</v>
      </c>
      <c r="H72" s="20">
        <v>41654</v>
      </c>
      <c r="J72" s="3">
        <f t="shared" ref="J72:M135" si="20">IF($A72="",0,VALUE(CONCATENATE(LEFT(D72,LEN(D72)-3),",",RIGHT(D72,2))))</f>
        <v>2.21</v>
      </c>
      <c r="K72" s="3">
        <f t="shared" si="20"/>
        <v>2.1</v>
      </c>
      <c r="L72" s="3">
        <f t="shared" si="20"/>
        <v>2.21</v>
      </c>
      <c r="M72" s="3">
        <f t="shared" si="20"/>
        <v>2.1</v>
      </c>
      <c r="P72" s="14" t="s">
        <v>65</v>
      </c>
      <c r="Q72" s="10" t="str">
        <f t="shared" si="14"/>
        <v>ENERGISA    -PN</v>
      </c>
      <c r="R72" s="49">
        <f t="shared" si="15"/>
        <v>41654</v>
      </c>
      <c r="S72" s="6">
        <f t="shared" si="16"/>
        <v>2.21</v>
      </c>
      <c r="T72" s="6">
        <f t="shared" si="17"/>
        <v>2.1</v>
      </c>
      <c r="U72" s="5">
        <f t="shared" si="18"/>
        <v>2.21</v>
      </c>
      <c r="V72" s="5">
        <f t="shared" si="19"/>
        <v>2.1</v>
      </c>
    </row>
    <row r="73" spans="1:22" x14ac:dyDescent="0.2">
      <c r="A73" s="35" t="str">
        <f>IF(Tabela1[[#This Row],[Código]]="IBOV","^BVSP",IF(Tabela1[[#This Row],[Código]]="","",CONCATENATE(LEFT(Tabela1[[#This Row],[Código]],6),".SA")))</f>
        <v>ENMA3B.SA</v>
      </c>
      <c r="C73" s="3" t="s">
        <v>152</v>
      </c>
      <c r="D73" s="3" t="s">
        <v>593</v>
      </c>
      <c r="E73" s="3" t="s">
        <v>755</v>
      </c>
      <c r="F73" s="3" t="s">
        <v>755</v>
      </c>
      <c r="G73" s="3" t="s">
        <v>593</v>
      </c>
      <c r="H73" s="20">
        <v>41654</v>
      </c>
      <c r="J73" s="3">
        <f t="shared" si="20"/>
        <v>15</v>
      </c>
      <c r="K73" s="3">
        <f t="shared" si="20"/>
        <v>15.4</v>
      </c>
      <c r="L73" s="3">
        <f t="shared" si="20"/>
        <v>15.4</v>
      </c>
      <c r="M73" s="3">
        <f t="shared" si="20"/>
        <v>15</v>
      </c>
      <c r="P73" s="14" t="s">
        <v>99</v>
      </c>
      <c r="Q73" s="10" t="str">
        <f t="shared" si="14"/>
        <v xml:space="preserve">CEMAR       -ON  </v>
      </c>
      <c r="R73" s="56">
        <f t="shared" si="15"/>
        <v>41654</v>
      </c>
      <c r="S73" s="5">
        <f t="shared" si="16"/>
        <v>15</v>
      </c>
      <c r="T73" s="5">
        <f t="shared" si="17"/>
        <v>15.4</v>
      </c>
      <c r="U73" s="5">
        <f t="shared" si="18"/>
        <v>15.4</v>
      </c>
      <c r="V73" s="5">
        <f t="shared" si="19"/>
        <v>15</v>
      </c>
    </row>
    <row r="74" spans="1:22" x14ac:dyDescent="0.2">
      <c r="A74" s="35" t="str">
        <f>IF(Tabela1[[#This Row],[Código]]="IBOV","^BVSP",IF(Tabela1[[#This Row],[Código]]="","",CONCATENATE(LEFT(Tabela1[[#This Row],[Código]],6),".SA")))</f>
        <v>EQTL3.SA</v>
      </c>
      <c r="C74" s="3" t="s">
        <v>153</v>
      </c>
      <c r="D74" s="3" t="s">
        <v>594</v>
      </c>
      <c r="E74" s="3" t="s">
        <v>756</v>
      </c>
      <c r="F74" s="3" t="s">
        <v>757</v>
      </c>
      <c r="G74" s="3" t="s">
        <v>594</v>
      </c>
      <c r="H74" s="20">
        <v>41654</v>
      </c>
      <c r="J74" s="3">
        <f t="shared" si="20"/>
        <v>22.9</v>
      </c>
      <c r="K74" s="3">
        <f t="shared" si="20"/>
        <v>23.65</v>
      </c>
      <c r="L74" s="3">
        <f t="shared" si="20"/>
        <v>23.8</v>
      </c>
      <c r="M74" s="3">
        <f t="shared" si="20"/>
        <v>22.9</v>
      </c>
      <c r="P74" s="27" t="s">
        <v>35</v>
      </c>
      <c r="Q74" s="10" t="str">
        <f t="shared" si="14"/>
        <v xml:space="preserve">EQUATORIAL  -ON  </v>
      </c>
      <c r="R74" s="56">
        <f t="shared" si="15"/>
        <v>41654</v>
      </c>
      <c r="S74" s="5">
        <f t="shared" si="16"/>
        <v>22.9</v>
      </c>
      <c r="T74" s="5">
        <f t="shared" si="17"/>
        <v>23.65</v>
      </c>
      <c r="U74" s="5">
        <f t="shared" si="18"/>
        <v>23.8</v>
      </c>
      <c r="V74" s="5">
        <f t="shared" si="19"/>
        <v>22.9</v>
      </c>
    </row>
    <row r="75" spans="1:22" x14ac:dyDescent="0.2">
      <c r="A75" s="35" t="str">
        <f>IF(Tabela1[[#This Row],[Código]]="IBOV","^BVSP",IF(Tabela1[[#This Row],[Código]]="","",CONCATENATE(LEFT(Tabela1[[#This Row],[Código]],6),".SA")))</f>
        <v>FESA3.SA</v>
      </c>
      <c r="C75" s="3" t="s">
        <v>271</v>
      </c>
      <c r="D75" s="3" t="s">
        <v>268</v>
      </c>
      <c r="E75" s="3" t="s">
        <v>268</v>
      </c>
      <c r="F75" s="3" t="s">
        <v>268</v>
      </c>
      <c r="G75" s="3" t="s">
        <v>268</v>
      </c>
      <c r="H75" s="20">
        <v>41628</v>
      </c>
      <c r="J75" s="3">
        <f t="shared" si="20"/>
        <v>19</v>
      </c>
      <c r="K75" s="3">
        <f t="shared" si="20"/>
        <v>19</v>
      </c>
      <c r="L75" s="3">
        <f t="shared" si="20"/>
        <v>19</v>
      </c>
      <c r="M75" s="3">
        <f t="shared" si="20"/>
        <v>19</v>
      </c>
      <c r="P75" s="14" t="s">
        <v>269</v>
      </c>
      <c r="Q75" s="10" t="str">
        <f t="shared" si="14"/>
        <v xml:space="preserve">FERBASA     -ON  </v>
      </c>
      <c r="R75" s="56">
        <f t="shared" si="15"/>
        <v>41628</v>
      </c>
      <c r="S75" s="5">
        <f t="shared" si="16"/>
        <v>19</v>
      </c>
      <c r="T75" s="5">
        <f t="shared" si="17"/>
        <v>19</v>
      </c>
      <c r="U75" s="5">
        <f t="shared" si="18"/>
        <v>19</v>
      </c>
      <c r="V75" s="5">
        <f t="shared" si="19"/>
        <v>19</v>
      </c>
    </row>
    <row r="76" spans="1:22" x14ac:dyDescent="0.2">
      <c r="A76" s="35" t="str">
        <f>IF(Tabela1[[#This Row],[Código]]="IBOV","^BVSP",IF(Tabela1[[#This Row],[Código]]="","",CONCATENATE(LEFT(Tabela1[[#This Row],[Código]],6),".SA")))</f>
        <v>FESA4.SA</v>
      </c>
      <c r="C76" s="3" t="s">
        <v>270</v>
      </c>
      <c r="D76" s="3" t="s">
        <v>708</v>
      </c>
      <c r="E76" s="3" t="s">
        <v>709</v>
      </c>
      <c r="F76" s="3" t="s">
        <v>758</v>
      </c>
      <c r="G76" s="3" t="s">
        <v>710</v>
      </c>
      <c r="H76" s="20">
        <v>41654</v>
      </c>
      <c r="J76" s="3">
        <f t="shared" si="20"/>
        <v>12.23</v>
      </c>
      <c r="K76" s="3">
        <f t="shared" si="20"/>
        <v>12.35</v>
      </c>
      <c r="L76" s="3">
        <f t="shared" si="20"/>
        <v>12.38</v>
      </c>
      <c r="M76" s="3">
        <f t="shared" si="20"/>
        <v>12.22</v>
      </c>
      <c r="P76" s="15" t="s">
        <v>81</v>
      </c>
      <c r="Q76" s="10" t="str">
        <f t="shared" si="14"/>
        <v xml:space="preserve">FERBASA     -PN  </v>
      </c>
      <c r="R76" s="56">
        <f t="shared" si="15"/>
        <v>41654</v>
      </c>
      <c r="S76" s="5">
        <f t="shared" si="16"/>
        <v>12.23</v>
      </c>
      <c r="T76" s="5">
        <f t="shared" si="17"/>
        <v>12.35</v>
      </c>
      <c r="U76" s="5">
        <f t="shared" si="18"/>
        <v>12.38</v>
      </c>
      <c r="V76" s="5">
        <f t="shared" si="19"/>
        <v>12.22</v>
      </c>
    </row>
    <row r="77" spans="1:22" x14ac:dyDescent="0.2">
      <c r="A77" s="35" t="str">
        <f>IF(Tabela1[[#This Row],[Código]]="IBOV","^BVSP",IF(Tabela1[[#This Row],[Código]]="","",CONCATENATE(LEFT(Tabela1[[#This Row],[Código]],6),".SA")))</f>
        <v>GEPA3.SA</v>
      </c>
      <c r="C77" s="3" t="s">
        <v>402</v>
      </c>
      <c r="D77" s="3" t="s">
        <v>179</v>
      </c>
      <c r="E77" s="3" t="s">
        <v>179</v>
      </c>
      <c r="F77" s="3" t="s">
        <v>179</v>
      </c>
      <c r="G77" s="3" t="s">
        <v>179</v>
      </c>
      <c r="H77" s="20">
        <v>41612</v>
      </c>
      <c r="J77" s="3">
        <f t="shared" si="20"/>
        <v>62.04</v>
      </c>
      <c r="K77" s="3">
        <f t="shared" si="20"/>
        <v>62.04</v>
      </c>
      <c r="L77" s="3">
        <f t="shared" si="20"/>
        <v>62.04</v>
      </c>
      <c r="M77" s="3">
        <f t="shared" si="20"/>
        <v>62.04</v>
      </c>
      <c r="P77" s="14" t="s">
        <v>178</v>
      </c>
      <c r="Q77" s="10" t="str">
        <f t="shared" si="14"/>
        <v>GER PARANAP -ON</v>
      </c>
      <c r="R77" s="56">
        <f t="shared" si="15"/>
        <v>41612</v>
      </c>
      <c r="S77" s="5">
        <f t="shared" si="16"/>
        <v>62.04</v>
      </c>
      <c r="T77" s="5">
        <f t="shared" si="17"/>
        <v>62.04</v>
      </c>
      <c r="U77" s="5">
        <f t="shared" si="18"/>
        <v>62.04</v>
      </c>
      <c r="V77" s="5">
        <f t="shared" si="19"/>
        <v>62.04</v>
      </c>
    </row>
    <row r="78" spans="1:22" x14ac:dyDescent="0.2">
      <c r="A78" s="35" t="str">
        <f>IF(Tabela1[[#This Row],[Código]]="IBOV","^BVSP",IF(Tabela1[[#This Row],[Código]]="","",CONCATENATE(LEFT(Tabela1[[#This Row],[Código]],6),".SA")))</f>
        <v>GEPA4.SA</v>
      </c>
      <c r="C78" s="3" t="s">
        <v>403</v>
      </c>
      <c r="D78" s="3" t="s">
        <v>505</v>
      </c>
      <c r="E78" s="3" t="s">
        <v>506</v>
      </c>
      <c r="F78" s="3" t="s">
        <v>506</v>
      </c>
      <c r="G78" s="3" t="s">
        <v>505</v>
      </c>
      <c r="H78" s="20">
        <v>41652</v>
      </c>
      <c r="J78" s="3">
        <f t="shared" si="20"/>
        <v>59.5</v>
      </c>
      <c r="K78" s="3">
        <f t="shared" si="20"/>
        <v>61.99</v>
      </c>
      <c r="L78" s="3">
        <f t="shared" si="20"/>
        <v>61.99</v>
      </c>
      <c r="M78" s="3">
        <f t="shared" si="20"/>
        <v>59.5</v>
      </c>
      <c r="P78" s="27" t="s">
        <v>38</v>
      </c>
      <c r="Q78" s="10" t="str">
        <f t="shared" si="14"/>
        <v>GER PARANAP -PN</v>
      </c>
      <c r="R78" s="56">
        <f t="shared" si="15"/>
        <v>41652</v>
      </c>
      <c r="S78" s="5">
        <f t="shared" si="16"/>
        <v>59.5</v>
      </c>
      <c r="T78" s="5">
        <f t="shared" si="17"/>
        <v>61.99</v>
      </c>
      <c r="U78" s="5">
        <f t="shared" si="18"/>
        <v>61.99</v>
      </c>
      <c r="V78" s="5">
        <f t="shared" si="19"/>
        <v>59.5</v>
      </c>
    </row>
    <row r="79" spans="1:22" x14ac:dyDescent="0.2">
      <c r="A79" s="35" t="str">
        <f>IF(Tabela1[[#This Row],[Código]]="IBOV","^BVSP",IF(Tabela1[[#This Row],[Código]]="","",CONCATENATE(LEFT(Tabela1[[#This Row],[Código]],6),".SA")))</f>
        <v>GETI3.SA</v>
      </c>
      <c r="C79" s="3" t="s">
        <v>154</v>
      </c>
      <c r="D79" s="3" t="s">
        <v>523</v>
      </c>
      <c r="E79" s="3" t="s">
        <v>759</v>
      </c>
      <c r="F79" s="3" t="s">
        <v>532</v>
      </c>
      <c r="G79" s="3" t="s">
        <v>687</v>
      </c>
      <c r="H79" s="20">
        <v>41654</v>
      </c>
      <c r="J79" s="3">
        <f t="shared" si="20"/>
        <v>17.23</v>
      </c>
      <c r="K79" s="3">
        <f t="shared" si="20"/>
        <v>17.239999999999998</v>
      </c>
      <c r="L79" s="3">
        <f t="shared" si="20"/>
        <v>17.39</v>
      </c>
      <c r="M79" s="3">
        <f t="shared" si="20"/>
        <v>17.149999999999999</v>
      </c>
      <c r="P79" s="27" t="s">
        <v>29</v>
      </c>
      <c r="Q79" s="10" t="str">
        <f t="shared" si="14"/>
        <v>AES TIETE   -ON</v>
      </c>
      <c r="R79" s="56">
        <f t="shared" si="15"/>
        <v>41654</v>
      </c>
      <c r="S79" s="5">
        <f t="shared" si="16"/>
        <v>17.23</v>
      </c>
      <c r="T79" s="5">
        <f t="shared" si="17"/>
        <v>17.239999999999998</v>
      </c>
      <c r="U79" s="5">
        <f t="shared" si="18"/>
        <v>17.39</v>
      </c>
      <c r="V79" s="5">
        <f t="shared" si="19"/>
        <v>17.149999999999999</v>
      </c>
    </row>
    <row r="80" spans="1:22" x14ac:dyDescent="0.2">
      <c r="A80" s="35" t="str">
        <f>IF(Tabela1[[#This Row],[Código]]="IBOV","^BVSP",IF(Tabela1[[#This Row],[Código]]="","",CONCATENATE(LEFT(Tabela1[[#This Row],[Código]],6),".SA")))</f>
        <v>GETI4.SA</v>
      </c>
      <c r="C80" s="3" t="s">
        <v>155</v>
      </c>
      <c r="D80" s="3" t="s">
        <v>595</v>
      </c>
      <c r="E80" s="3" t="s">
        <v>596</v>
      </c>
      <c r="F80" s="3" t="s">
        <v>760</v>
      </c>
      <c r="G80" s="3" t="s">
        <v>597</v>
      </c>
      <c r="H80" s="20">
        <v>41654</v>
      </c>
      <c r="J80" s="3">
        <f t="shared" si="20"/>
        <v>18.68</v>
      </c>
      <c r="K80" s="3">
        <f t="shared" si="20"/>
        <v>18.760000000000002</v>
      </c>
      <c r="L80" s="3">
        <f t="shared" si="20"/>
        <v>19.05</v>
      </c>
      <c r="M80" s="3">
        <f t="shared" si="20"/>
        <v>18.670000000000002</v>
      </c>
      <c r="P80" s="27" t="s">
        <v>33</v>
      </c>
      <c r="Q80" s="10" t="str">
        <f t="shared" si="14"/>
        <v>AES TIETE   -PN</v>
      </c>
      <c r="R80" s="56">
        <f t="shared" si="15"/>
        <v>41654</v>
      </c>
      <c r="S80" s="5">
        <f t="shared" si="16"/>
        <v>18.68</v>
      </c>
      <c r="T80" s="5">
        <f t="shared" si="17"/>
        <v>18.760000000000002</v>
      </c>
      <c r="U80" s="5">
        <f t="shared" si="18"/>
        <v>19.05</v>
      </c>
      <c r="V80" s="5">
        <f t="shared" si="19"/>
        <v>18.670000000000002</v>
      </c>
    </row>
    <row r="81" spans="1:22" x14ac:dyDescent="0.2">
      <c r="A81" s="35" t="str">
        <f>IF(Tabela1[[#This Row],[Código]]="IBOV","^BVSP",IF(Tabela1[[#This Row],[Código]]="","",CONCATENATE(LEFT(Tabela1[[#This Row],[Código]],6),".SA")))</f>
        <v>GTDP3B.SA</v>
      </c>
      <c r="C81" s="3" t="s">
        <v>191</v>
      </c>
      <c r="D81" s="3" t="s">
        <v>357</v>
      </c>
      <c r="E81" s="3" t="s">
        <v>357</v>
      </c>
      <c r="F81" s="3" t="s">
        <v>357</v>
      </c>
      <c r="G81" s="3" t="s">
        <v>357</v>
      </c>
      <c r="H81" s="20">
        <v>41654</v>
      </c>
      <c r="J81" s="3">
        <f t="shared" si="20"/>
        <v>0.13</v>
      </c>
      <c r="K81" s="3">
        <f t="shared" si="20"/>
        <v>0.13</v>
      </c>
      <c r="L81" s="3">
        <f t="shared" si="20"/>
        <v>0.13</v>
      </c>
      <c r="M81" s="3">
        <f t="shared" si="20"/>
        <v>0.13</v>
      </c>
      <c r="P81" s="14" t="s">
        <v>189</v>
      </c>
      <c r="Q81" s="10" t="str">
        <f t="shared" si="14"/>
        <v xml:space="preserve">GTD PART    -ON  </v>
      </c>
      <c r="R81" s="56">
        <f t="shared" si="15"/>
        <v>41654</v>
      </c>
      <c r="S81" s="5">
        <f t="shared" si="16"/>
        <v>0.13</v>
      </c>
      <c r="T81" s="5">
        <f t="shared" si="17"/>
        <v>0.13</v>
      </c>
      <c r="U81" s="5">
        <f t="shared" si="18"/>
        <v>0.13</v>
      </c>
      <c r="V81" s="5">
        <f t="shared" si="19"/>
        <v>0.13</v>
      </c>
    </row>
    <row r="82" spans="1:22" x14ac:dyDescent="0.2">
      <c r="A82" s="35" t="str">
        <f>IF(Tabela1[[#This Row],[Código]]="IBOV","^BVSP",IF(Tabela1[[#This Row],[Código]]="","",CONCATENATE(LEFT(Tabela1[[#This Row],[Código]],6),".SA")))</f>
        <v>GTDP4B.SA</v>
      </c>
      <c r="C82" s="3" t="s">
        <v>192</v>
      </c>
      <c r="D82" s="3" t="s">
        <v>357</v>
      </c>
      <c r="E82" s="3" t="s">
        <v>598</v>
      </c>
      <c r="F82" s="3" t="s">
        <v>357</v>
      </c>
      <c r="G82" s="3" t="s">
        <v>598</v>
      </c>
      <c r="H82" s="20">
        <v>41654</v>
      </c>
      <c r="J82" s="3">
        <f t="shared" si="20"/>
        <v>0.13</v>
      </c>
      <c r="K82" s="3">
        <f t="shared" si="20"/>
        <v>0.12</v>
      </c>
      <c r="L82" s="3">
        <f t="shared" si="20"/>
        <v>0.13</v>
      </c>
      <c r="M82" s="3">
        <f t="shared" si="20"/>
        <v>0.12</v>
      </c>
      <c r="P82" s="14" t="s">
        <v>190</v>
      </c>
      <c r="Q82" s="10" t="str">
        <f t="shared" si="14"/>
        <v xml:space="preserve">GTD PART    -PN  </v>
      </c>
      <c r="R82" s="56">
        <f t="shared" si="15"/>
        <v>41654</v>
      </c>
      <c r="S82" s="5">
        <f t="shared" si="16"/>
        <v>0.13</v>
      </c>
      <c r="T82" s="5">
        <f t="shared" si="17"/>
        <v>0.12</v>
      </c>
      <c r="U82" s="5">
        <f t="shared" si="18"/>
        <v>0.13</v>
      </c>
      <c r="V82" s="5">
        <f t="shared" si="19"/>
        <v>0.12</v>
      </c>
    </row>
    <row r="83" spans="1:22" x14ac:dyDescent="0.2">
      <c r="A83" s="35" t="str">
        <f>IF(Tabela1[[#This Row],[Código]]="IBOV","^BVSP",IF(Tabela1[[#This Row],[Código]]="","",CONCATENATE(LEFT(Tabela1[[#This Row],[Código]],6),".SA")))</f>
        <v>ITSA3.SA</v>
      </c>
      <c r="C83" s="3" t="s">
        <v>264</v>
      </c>
      <c r="D83" s="3" t="s">
        <v>704</v>
      </c>
      <c r="E83" s="3" t="s">
        <v>761</v>
      </c>
      <c r="F83" s="3" t="s">
        <v>761</v>
      </c>
      <c r="G83" s="3" t="s">
        <v>711</v>
      </c>
      <c r="H83" s="20">
        <v>41654</v>
      </c>
      <c r="J83" s="3">
        <f t="shared" si="20"/>
        <v>10.33</v>
      </c>
      <c r="K83" s="3">
        <f t="shared" si="20"/>
        <v>10.56</v>
      </c>
      <c r="L83" s="3">
        <f t="shared" si="20"/>
        <v>10.56</v>
      </c>
      <c r="M83" s="3">
        <f t="shared" si="20"/>
        <v>10.14</v>
      </c>
      <c r="P83" s="15" t="s">
        <v>263</v>
      </c>
      <c r="Q83" s="10" t="str">
        <f t="shared" si="14"/>
        <v xml:space="preserve">ITAUSA      -ON  </v>
      </c>
      <c r="R83" s="56">
        <f t="shared" si="15"/>
        <v>41654</v>
      </c>
      <c r="S83" s="5">
        <f t="shared" si="16"/>
        <v>10.33</v>
      </c>
      <c r="T83" s="5">
        <f t="shared" si="17"/>
        <v>10.56</v>
      </c>
      <c r="U83" s="5">
        <f t="shared" si="18"/>
        <v>10.56</v>
      </c>
      <c r="V83" s="5">
        <f t="shared" si="19"/>
        <v>10.14</v>
      </c>
    </row>
    <row r="84" spans="1:22" x14ac:dyDescent="0.2">
      <c r="A84" s="35" t="str">
        <f>IF(Tabela1[[#This Row],[Código]]="IBOV","^BVSP",IF(Tabela1[[#This Row],[Código]]="","",CONCATENATE(LEFT(Tabela1[[#This Row],[Código]],6),".SA")))</f>
        <v>ITSA4.SA</v>
      </c>
      <c r="C84" s="3" t="s">
        <v>156</v>
      </c>
      <c r="D84" s="3" t="s">
        <v>599</v>
      </c>
      <c r="E84" s="3" t="s">
        <v>712</v>
      </c>
      <c r="F84" s="3" t="s">
        <v>536</v>
      </c>
      <c r="G84" s="3" t="s">
        <v>712</v>
      </c>
      <c r="H84" s="48">
        <v>41654</v>
      </c>
      <c r="J84" s="3">
        <f t="shared" si="20"/>
        <v>8.73</v>
      </c>
      <c r="K84" s="3">
        <f t="shared" si="20"/>
        <v>8.6199999999999992</v>
      </c>
      <c r="L84" s="3">
        <f t="shared" si="20"/>
        <v>8.74</v>
      </c>
      <c r="M84" s="3">
        <f t="shared" si="20"/>
        <v>8.6199999999999992</v>
      </c>
      <c r="P84" s="15" t="s">
        <v>16</v>
      </c>
      <c r="Q84" s="10" t="str">
        <f t="shared" si="14"/>
        <v xml:space="preserve">ITAUSA      -PN  </v>
      </c>
      <c r="R84" s="56">
        <f t="shared" si="15"/>
        <v>41654</v>
      </c>
      <c r="S84" s="5">
        <f t="shared" si="16"/>
        <v>8.73</v>
      </c>
      <c r="T84" s="5">
        <f t="shared" si="17"/>
        <v>8.6199999999999992</v>
      </c>
      <c r="U84" s="5">
        <f t="shared" si="18"/>
        <v>8.74</v>
      </c>
      <c r="V84" s="5">
        <f t="shared" si="19"/>
        <v>8.6199999999999992</v>
      </c>
    </row>
    <row r="85" spans="1:22" x14ac:dyDescent="0.2">
      <c r="A85" s="35" t="str">
        <f>IF(Tabela1[[#This Row],[Código]]="IBOV","^BVSP",IF(Tabela1[[#This Row],[Código]]="","",CONCATENATE(LEFT(Tabela1[[#This Row],[Código]],6),".SA")))</f>
        <v>ITUB3.SA</v>
      </c>
      <c r="C85" s="3" t="s">
        <v>262</v>
      </c>
      <c r="D85" s="3" t="s">
        <v>600</v>
      </c>
      <c r="E85" s="3" t="s">
        <v>600</v>
      </c>
      <c r="F85" s="3" t="s">
        <v>601</v>
      </c>
      <c r="G85" s="3" t="s">
        <v>762</v>
      </c>
      <c r="H85" s="48">
        <v>41654</v>
      </c>
      <c r="J85" s="3">
        <f t="shared" si="20"/>
        <v>28.99</v>
      </c>
      <c r="K85" s="3">
        <f t="shared" si="20"/>
        <v>28.99</v>
      </c>
      <c r="L85" s="3">
        <f t="shared" si="20"/>
        <v>29.05</v>
      </c>
      <c r="M85" s="3">
        <f t="shared" si="20"/>
        <v>28.75</v>
      </c>
      <c r="P85" s="10" t="s">
        <v>261</v>
      </c>
      <c r="Q85" s="10" t="str">
        <f t="shared" si="14"/>
        <v xml:space="preserve">ITAUUNIBANCO-ON  </v>
      </c>
      <c r="R85" s="56">
        <f t="shared" si="15"/>
        <v>41654</v>
      </c>
      <c r="S85" s="5">
        <f t="shared" si="16"/>
        <v>28.99</v>
      </c>
      <c r="T85" s="5">
        <f t="shared" si="17"/>
        <v>28.99</v>
      </c>
      <c r="U85" s="5">
        <f t="shared" si="18"/>
        <v>29.05</v>
      </c>
      <c r="V85" s="5">
        <f t="shared" si="19"/>
        <v>28.75</v>
      </c>
    </row>
    <row r="86" spans="1:22" x14ac:dyDescent="0.2">
      <c r="A86" s="35" t="str">
        <f>IF(Tabela1[[#This Row],[Código]]="IBOV","^BVSP",IF(Tabela1[[#This Row],[Código]]="","",CONCATENATE(LEFT(Tabela1[[#This Row],[Código]],6),".SA")))</f>
        <v>ITUB4.SA</v>
      </c>
      <c r="C86" s="3" t="s">
        <v>157</v>
      </c>
      <c r="D86" s="3" t="s">
        <v>602</v>
      </c>
      <c r="E86" s="3" t="s">
        <v>763</v>
      </c>
      <c r="F86" s="3" t="s">
        <v>602</v>
      </c>
      <c r="G86" s="3" t="s">
        <v>764</v>
      </c>
      <c r="H86" s="48">
        <v>41654</v>
      </c>
      <c r="J86" s="3">
        <f t="shared" si="20"/>
        <v>31.5</v>
      </c>
      <c r="K86" s="3">
        <f t="shared" si="20"/>
        <v>31.25</v>
      </c>
      <c r="L86" s="3">
        <f t="shared" si="20"/>
        <v>31.5</v>
      </c>
      <c r="M86" s="3">
        <f t="shared" si="20"/>
        <v>31.17</v>
      </c>
      <c r="P86" s="10" t="s">
        <v>82</v>
      </c>
      <c r="Q86" s="10" t="str">
        <f t="shared" si="14"/>
        <v xml:space="preserve">ITAUUNIBANCO-PN  </v>
      </c>
      <c r="R86" s="56">
        <f t="shared" si="15"/>
        <v>41654</v>
      </c>
      <c r="S86" s="5">
        <f t="shared" si="16"/>
        <v>31.5</v>
      </c>
      <c r="T86" s="5">
        <f t="shared" si="17"/>
        <v>31.25</v>
      </c>
      <c r="U86" s="5">
        <f t="shared" si="18"/>
        <v>31.5</v>
      </c>
      <c r="V86" s="5">
        <f t="shared" si="19"/>
        <v>31.17</v>
      </c>
    </row>
    <row r="87" spans="1:22" x14ac:dyDescent="0.2">
      <c r="A87" s="35" t="str">
        <f>IF(Tabela1[[#This Row],[Código]]="IBOV","^BVSP",IF(Tabela1[[#This Row],[Código]]="","",CONCATENATE(LEFT(Tabela1[[#This Row],[Código]],6),".SA")))</f>
        <v>KLBN3.SA</v>
      </c>
      <c r="C87" s="3" t="s">
        <v>206</v>
      </c>
      <c r="D87" s="3" t="s">
        <v>148</v>
      </c>
      <c r="E87" s="3" t="s">
        <v>148</v>
      </c>
      <c r="F87" s="3" t="s">
        <v>148</v>
      </c>
      <c r="G87" s="3" t="s">
        <v>148</v>
      </c>
      <c r="H87" s="48">
        <v>41613</v>
      </c>
      <c r="J87" s="3">
        <f t="shared" si="20"/>
        <v>11</v>
      </c>
      <c r="K87" s="3">
        <f t="shared" si="20"/>
        <v>11</v>
      </c>
      <c r="L87" s="3">
        <f t="shared" si="20"/>
        <v>11</v>
      </c>
      <c r="M87" s="3">
        <f t="shared" si="20"/>
        <v>11</v>
      </c>
      <c r="P87" s="15" t="s">
        <v>205</v>
      </c>
      <c r="Q87" s="10" t="str">
        <f t="shared" si="14"/>
        <v xml:space="preserve">KLABIN S/A  -ON  </v>
      </c>
      <c r="R87" s="56">
        <f t="shared" si="15"/>
        <v>41613</v>
      </c>
      <c r="S87" s="5">
        <f t="shared" si="16"/>
        <v>11</v>
      </c>
      <c r="T87" s="5">
        <f t="shared" si="17"/>
        <v>11</v>
      </c>
      <c r="U87" s="5">
        <f t="shared" si="18"/>
        <v>11</v>
      </c>
      <c r="V87" s="5">
        <f t="shared" si="19"/>
        <v>11</v>
      </c>
    </row>
    <row r="88" spans="1:22" x14ac:dyDescent="0.2">
      <c r="A88" s="35" t="str">
        <f>IF(Tabela1[[#This Row],[Código]]="IBOV","^BVSP",IF(Tabela1[[#This Row],[Código]]="","",CONCATENATE(LEFT(Tabela1[[#This Row],[Código]],6),".SA")))</f>
        <v>KLBN4.SA</v>
      </c>
      <c r="C88" s="3" t="s">
        <v>158</v>
      </c>
      <c r="D88" s="3" t="s">
        <v>533</v>
      </c>
      <c r="E88" s="3" t="s">
        <v>603</v>
      </c>
      <c r="F88" s="3" t="s">
        <v>713</v>
      </c>
      <c r="G88" s="3" t="s">
        <v>533</v>
      </c>
      <c r="H88" s="48">
        <v>41654</v>
      </c>
      <c r="J88" s="3">
        <f t="shared" si="20"/>
        <v>12.53</v>
      </c>
      <c r="K88" s="3">
        <f t="shared" si="20"/>
        <v>12.71</v>
      </c>
      <c r="L88" s="3">
        <f t="shared" si="20"/>
        <v>12.84</v>
      </c>
      <c r="M88" s="3">
        <f t="shared" si="20"/>
        <v>12.53</v>
      </c>
      <c r="P88" s="15" t="s">
        <v>54</v>
      </c>
      <c r="Q88" s="10" t="str">
        <f t="shared" si="14"/>
        <v xml:space="preserve">KLABIN S/A  -PN  </v>
      </c>
      <c r="R88" s="56">
        <f t="shared" si="15"/>
        <v>41654</v>
      </c>
      <c r="S88" s="5">
        <f t="shared" si="16"/>
        <v>12.53</v>
      </c>
      <c r="T88" s="5">
        <f t="shared" si="17"/>
        <v>12.71</v>
      </c>
      <c r="U88" s="5">
        <f t="shared" si="18"/>
        <v>12.84</v>
      </c>
      <c r="V88" s="5">
        <f t="shared" si="19"/>
        <v>12.53</v>
      </c>
    </row>
    <row r="89" spans="1:22" x14ac:dyDescent="0.2">
      <c r="A89" s="35" t="str">
        <f>IF(Tabela1[[#This Row],[Código]]="IBOV","^BVSP",IF(Tabela1[[#This Row],[Código]]="","",CONCATENATE(LEFT(Tabela1[[#This Row],[Código]],6),".SA")))</f>
        <v>LIGT3.SA</v>
      </c>
      <c r="C89" s="3" t="s">
        <v>159</v>
      </c>
      <c r="D89" s="3" t="s">
        <v>484</v>
      </c>
      <c r="E89" s="3" t="s">
        <v>765</v>
      </c>
      <c r="F89" s="3" t="s">
        <v>604</v>
      </c>
      <c r="G89" s="3" t="s">
        <v>605</v>
      </c>
      <c r="H89" s="48">
        <v>41654</v>
      </c>
      <c r="J89" s="3">
        <f t="shared" si="20"/>
        <v>20.8</v>
      </c>
      <c r="K89" s="3">
        <f t="shared" si="20"/>
        <v>20.61</v>
      </c>
      <c r="L89" s="3">
        <f t="shared" si="20"/>
        <v>20.97</v>
      </c>
      <c r="M89" s="3">
        <f t="shared" si="20"/>
        <v>20.55</v>
      </c>
      <c r="P89" s="46" t="s">
        <v>55</v>
      </c>
      <c r="Q89" s="10" t="str">
        <f t="shared" si="14"/>
        <v xml:space="preserve">LIGHT S/A   -ON  </v>
      </c>
      <c r="R89" s="56">
        <f t="shared" si="15"/>
        <v>41654</v>
      </c>
      <c r="S89" s="5">
        <f t="shared" si="16"/>
        <v>20.8</v>
      </c>
      <c r="T89" s="5">
        <f t="shared" si="17"/>
        <v>20.61</v>
      </c>
      <c r="U89" s="5">
        <f t="shared" si="18"/>
        <v>20.97</v>
      </c>
      <c r="V89" s="5">
        <f t="shared" si="19"/>
        <v>20.55</v>
      </c>
    </row>
    <row r="90" spans="1:22" x14ac:dyDescent="0.2">
      <c r="A90" s="35" t="str">
        <f>IF(Tabela1[[#This Row],[Código]]="IBOV","^BVSP",IF(Tabela1[[#This Row],[Código]]="","",CONCATENATE(LEFT(Tabela1[[#This Row],[Código]],6),".SA")))</f>
        <v>LIPR3.SA</v>
      </c>
      <c r="C90" s="3" t="s">
        <v>181</v>
      </c>
      <c r="D90" s="3" t="s">
        <v>182</v>
      </c>
      <c r="E90" s="3" t="s">
        <v>390</v>
      </c>
      <c r="F90" s="3" t="s">
        <v>390</v>
      </c>
      <c r="G90" s="3" t="s">
        <v>182</v>
      </c>
      <c r="H90" s="48">
        <v>41642</v>
      </c>
      <c r="J90" s="3">
        <f t="shared" si="20"/>
        <v>49.45</v>
      </c>
      <c r="K90" s="3">
        <f t="shared" si="20"/>
        <v>49.6</v>
      </c>
      <c r="L90" s="3">
        <f t="shared" si="20"/>
        <v>49.6</v>
      </c>
      <c r="M90" s="3">
        <f t="shared" si="20"/>
        <v>49.45</v>
      </c>
      <c r="P90" s="14" t="s">
        <v>180</v>
      </c>
      <c r="Q90" s="10" t="str">
        <f t="shared" si="14"/>
        <v>ELETROPAR   -ON</v>
      </c>
      <c r="R90" s="56">
        <f t="shared" si="15"/>
        <v>41642</v>
      </c>
      <c r="S90" s="5">
        <f t="shared" si="16"/>
        <v>49.45</v>
      </c>
      <c r="T90" s="5">
        <f t="shared" si="17"/>
        <v>49.6</v>
      </c>
      <c r="U90" s="5">
        <f t="shared" si="18"/>
        <v>49.6</v>
      </c>
      <c r="V90" s="5">
        <f t="shared" si="19"/>
        <v>49.45</v>
      </c>
    </row>
    <row r="91" spans="1:22" x14ac:dyDescent="0.2">
      <c r="A91" s="35" t="str">
        <f>IF(Tabela1[[#This Row],[Código]]="IBOV","^BVSP",IF(Tabela1[[#This Row],[Código]]="","",CONCATENATE(LEFT(Tabela1[[#This Row],[Código]],6),".SA")))</f>
        <v>PINE4.SA</v>
      </c>
      <c r="C91" s="3" t="s">
        <v>160</v>
      </c>
      <c r="D91" s="3" t="s">
        <v>606</v>
      </c>
      <c r="E91" s="79" t="s">
        <v>526</v>
      </c>
      <c r="F91" s="79" t="s">
        <v>534</v>
      </c>
      <c r="G91" s="3" t="s">
        <v>712</v>
      </c>
      <c r="H91" s="48">
        <v>41654</v>
      </c>
      <c r="J91" s="3">
        <f t="shared" si="20"/>
        <v>8.7200000000000006</v>
      </c>
      <c r="K91" s="3">
        <f t="shared" si="20"/>
        <v>8.6999999999999993</v>
      </c>
      <c r="L91" s="3">
        <f t="shared" si="20"/>
        <v>8.76</v>
      </c>
      <c r="M91" s="3">
        <f t="shared" si="20"/>
        <v>8.6199999999999992</v>
      </c>
      <c r="P91" s="10" t="s">
        <v>76</v>
      </c>
      <c r="Q91" s="10" t="str">
        <f t="shared" si="14"/>
        <v xml:space="preserve">PINE        -PN  </v>
      </c>
      <c r="R91" s="56">
        <f t="shared" si="15"/>
        <v>41654</v>
      </c>
      <c r="S91" s="5">
        <f t="shared" si="16"/>
        <v>8.7200000000000006</v>
      </c>
      <c r="T91" s="5">
        <f t="shared" si="17"/>
        <v>8.6999999999999993</v>
      </c>
      <c r="U91" s="5">
        <f t="shared" si="18"/>
        <v>8.76</v>
      </c>
      <c r="V91" s="5">
        <f t="shared" si="19"/>
        <v>8.6199999999999992</v>
      </c>
    </row>
    <row r="92" spans="1:22" x14ac:dyDescent="0.2">
      <c r="A92" s="35" t="str">
        <f>IF(Tabela1[[#This Row],[Código]]="IBOV","^BVSP",IF(Tabela1[[#This Row],[Código]]="","",CONCATENATE(LEFT(Tabela1[[#This Row],[Código]],6),".SA")))</f>
        <v>PRBC4.SA</v>
      </c>
      <c r="C92" s="3" t="s">
        <v>161</v>
      </c>
      <c r="D92" s="3" t="s">
        <v>607</v>
      </c>
      <c r="E92" s="3" t="s">
        <v>766</v>
      </c>
      <c r="F92" s="3" t="s">
        <v>511</v>
      </c>
      <c r="G92" s="3" t="s">
        <v>766</v>
      </c>
      <c r="H92" s="48">
        <v>41654</v>
      </c>
      <c r="J92" s="3">
        <f t="shared" si="20"/>
        <v>11.66</v>
      </c>
      <c r="K92" s="3">
        <f t="shared" si="20"/>
        <v>11.32</v>
      </c>
      <c r="L92" s="3">
        <f t="shared" si="20"/>
        <v>11.8</v>
      </c>
      <c r="M92" s="3">
        <f t="shared" si="20"/>
        <v>11.32</v>
      </c>
      <c r="P92" s="16" t="s">
        <v>84</v>
      </c>
      <c r="Q92" s="10" t="str">
        <f t="shared" si="14"/>
        <v xml:space="preserve">PARANA      -PN  </v>
      </c>
      <c r="R92" s="56">
        <f t="shared" si="15"/>
        <v>41654</v>
      </c>
      <c r="S92" s="5">
        <f t="shared" si="16"/>
        <v>11.66</v>
      </c>
      <c r="T92" s="5">
        <f t="shared" si="17"/>
        <v>11.32</v>
      </c>
      <c r="U92" s="5">
        <f t="shared" si="18"/>
        <v>11.8</v>
      </c>
      <c r="V92" s="5">
        <f t="shared" si="19"/>
        <v>11.32</v>
      </c>
    </row>
    <row r="93" spans="1:22" x14ac:dyDescent="0.2">
      <c r="A93" s="35" t="str">
        <f>IF(Tabela1[[#This Row],[Código]]="IBOV","^BVSP",IF(Tabela1[[#This Row],[Código]]="","",CONCATENATE(LEFT(Tabela1[[#This Row],[Código]],6),".SA")))</f>
        <v>PSSA3.SA</v>
      </c>
      <c r="C93" s="3" t="s">
        <v>266</v>
      </c>
      <c r="D93" s="3" t="s">
        <v>515</v>
      </c>
      <c r="E93" s="3" t="s">
        <v>767</v>
      </c>
      <c r="F93" s="3" t="s">
        <v>768</v>
      </c>
      <c r="G93" s="3" t="s">
        <v>515</v>
      </c>
      <c r="H93" s="48">
        <v>41654</v>
      </c>
      <c r="J93" s="3">
        <f t="shared" si="20"/>
        <v>28.35</v>
      </c>
      <c r="K93" s="3">
        <f t="shared" si="20"/>
        <v>29</v>
      </c>
      <c r="L93" s="3">
        <f t="shared" si="20"/>
        <v>29.34</v>
      </c>
      <c r="M93" s="3">
        <f t="shared" si="20"/>
        <v>28.35</v>
      </c>
      <c r="P93" s="16" t="s">
        <v>265</v>
      </c>
      <c r="Q93" s="10" t="str">
        <f t="shared" si="14"/>
        <v xml:space="preserve">PORTO SEGURO-ON  </v>
      </c>
      <c r="R93" s="56">
        <f t="shared" si="15"/>
        <v>41654</v>
      </c>
      <c r="S93" s="5">
        <f t="shared" si="16"/>
        <v>28.35</v>
      </c>
      <c r="T93" s="5">
        <f t="shared" si="17"/>
        <v>29</v>
      </c>
      <c r="U93" s="5">
        <f t="shared" si="18"/>
        <v>29.34</v>
      </c>
      <c r="V93" s="5">
        <f t="shared" si="19"/>
        <v>28.35</v>
      </c>
    </row>
    <row r="94" spans="1:22" x14ac:dyDescent="0.2">
      <c r="A94" s="35" t="str">
        <f>IF(Tabela1[[#This Row],[Código]]="IBOV","^BVSP",IF(Tabela1[[#This Row],[Código]]="","",CONCATENATE(LEFT(Tabela1[[#This Row],[Código]],6),".SA")))</f>
        <v>RANI3.SA</v>
      </c>
      <c r="C94" s="3" t="s">
        <v>203</v>
      </c>
      <c r="D94" s="3" t="s">
        <v>608</v>
      </c>
      <c r="E94" s="3" t="s">
        <v>769</v>
      </c>
      <c r="F94" s="3" t="s">
        <v>471</v>
      </c>
      <c r="G94" s="3" t="s">
        <v>608</v>
      </c>
      <c r="H94" s="48">
        <v>41654</v>
      </c>
      <c r="J94" s="3">
        <f t="shared" si="20"/>
        <v>3.2</v>
      </c>
      <c r="K94" s="3">
        <f t="shared" si="20"/>
        <v>3.25</v>
      </c>
      <c r="L94" s="3">
        <f t="shared" si="20"/>
        <v>3.3</v>
      </c>
      <c r="M94" s="3">
        <f t="shared" si="20"/>
        <v>3.2</v>
      </c>
      <c r="P94" s="14" t="s">
        <v>201</v>
      </c>
      <c r="Q94" s="10" t="str">
        <f t="shared" si="14"/>
        <v>CELUL IRANI -ON</v>
      </c>
      <c r="R94" s="56">
        <f t="shared" si="15"/>
        <v>41654</v>
      </c>
      <c r="S94" s="5">
        <f t="shared" si="16"/>
        <v>3.2</v>
      </c>
      <c r="T94" s="5">
        <f t="shared" si="17"/>
        <v>3.25</v>
      </c>
      <c r="U94" s="5">
        <f t="shared" si="18"/>
        <v>3.3</v>
      </c>
      <c r="V94" s="5">
        <f t="shared" si="19"/>
        <v>3.2</v>
      </c>
    </row>
    <row r="95" spans="1:22" x14ac:dyDescent="0.2">
      <c r="A95" s="35" t="str">
        <f>IF(Tabela1[[#This Row],[Código]]="IBOV","^BVSP",IF(Tabela1[[#This Row],[Código]]="","",CONCATENATE(LEFT(Tabela1[[#This Row],[Código]],6),".SA")))</f>
        <v>RANI4.SA</v>
      </c>
      <c r="C95" s="3" t="s">
        <v>204</v>
      </c>
      <c r="D95" s="3" t="s">
        <v>714</v>
      </c>
      <c r="E95" s="3" t="s">
        <v>714</v>
      </c>
      <c r="F95" s="3" t="s">
        <v>714</v>
      </c>
      <c r="G95" s="3" t="s">
        <v>714</v>
      </c>
      <c r="H95" s="48">
        <v>41654</v>
      </c>
      <c r="J95" s="3">
        <f t="shared" si="20"/>
        <v>3.36</v>
      </c>
      <c r="K95" s="3">
        <f t="shared" si="20"/>
        <v>3.36</v>
      </c>
      <c r="L95" s="3">
        <f t="shared" si="20"/>
        <v>3.36</v>
      </c>
      <c r="M95" s="3">
        <f t="shared" si="20"/>
        <v>3.36</v>
      </c>
      <c r="P95" s="14" t="s">
        <v>202</v>
      </c>
      <c r="Q95" s="10" t="str">
        <f t="shared" si="14"/>
        <v>CELUL IRANI -PN</v>
      </c>
      <c r="R95" s="56">
        <f t="shared" si="15"/>
        <v>41654</v>
      </c>
      <c r="S95" s="5">
        <f t="shared" si="16"/>
        <v>3.36</v>
      </c>
      <c r="T95" s="5">
        <f t="shared" si="17"/>
        <v>3.36</v>
      </c>
      <c r="U95" s="5">
        <f t="shared" si="18"/>
        <v>3.36</v>
      </c>
      <c r="V95" s="5">
        <f t="shared" si="19"/>
        <v>3.36</v>
      </c>
    </row>
    <row r="96" spans="1:22" x14ac:dyDescent="0.2">
      <c r="A96" s="35" t="str">
        <f>IF(Tabela1[[#This Row],[Código]]="IBOV","^BVSP",IF(Tabela1[[#This Row],[Código]]="","",CONCATENATE(LEFT(Tabela1[[#This Row],[Código]],6),".SA")))</f>
        <v>RDTR3.SA</v>
      </c>
      <c r="C96" s="3" t="s">
        <v>162</v>
      </c>
      <c r="D96" s="3" t="s">
        <v>449</v>
      </c>
      <c r="E96" s="3" t="s">
        <v>116</v>
      </c>
      <c r="F96" s="3" t="s">
        <v>116</v>
      </c>
      <c r="G96" s="3" t="s">
        <v>449</v>
      </c>
      <c r="H96" s="56">
        <v>41646</v>
      </c>
      <c r="J96" s="3">
        <f t="shared" si="20"/>
        <v>5.95</v>
      </c>
      <c r="K96" s="3">
        <f t="shared" si="20"/>
        <v>5.96</v>
      </c>
      <c r="L96" s="3">
        <f t="shared" si="20"/>
        <v>5.96</v>
      </c>
      <c r="M96" s="3">
        <f t="shared" si="20"/>
        <v>5.95</v>
      </c>
      <c r="P96" s="14" t="s">
        <v>66</v>
      </c>
      <c r="Q96" s="10" t="str">
        <f t="shared" si="14"/>
        <v>REDENTOR    -ON</v>
      </c>
      <c r="R96" s="56">
        <f t="shared" si="15"/>
        <v>41646</v>
      </c>
      <c r="S96" s="5">
        <f t="shared" si="16"/>
        <v>5.95</v>
      </c>
      <c r="T96" s="5">
        <f t="shared" si="17"/>
        <v>5.96</v>
      </c>
      <c r="U96" s="5">
        <f t="shared" si="18"/>
        <v>5.96</v>
      </c>
      <c r="V96" s="5">
        <f t="shared" si="19"/>
        <v>5.95</v>
      </c>
    </row>
    <row r="97" spans="1:22" x14ac:dyDescent="0.2">
      <c r="A97" s="35" t="str">
        <f>IF(Tabela1[[#This Row],[Código]]="IBOV","^BVSP",IF(Tabela1[[#This Row],[Código]]="","",CONCATENATE(LEFT(Tabela1[[#This Row],[Código]],6),".SA")))</f>
        <v>RPAD3.SA</v>
      </c>
      <c r="C97" s="3" t="s">
        <v>212</v>
      </c>
      <c r="D97" s="3" t="s">
        <v>213</v>
      </c>
      <c r="E97" s="3" t="s">
        <v>213</v>
      </c>
      <c r="F97" s="3" t="s">
        <v>213</v>
      </c>
      <c r="G97" s="3" t="s">
        <v>213</v>
      </c>
      <c r="H97" s="56">
        <v>41619</v>
      </c>
      <c r="J97" s="3">
        <f t="shared" si="20"/>
        <v>3.08</v>
      </c>
      <c r="K97" s="3">
        <f t="shared" si="20"/>
        <v>3.08</v>
      </c>
      <c r="L97" s="3">
        <f t="shared" si="20"/>
        <v>3.08</v>
      </c>
      <c r="M97" s="3">
        <f t="shared" si="20"/>
        <v>3.08</v>
      </c>
      <c r="P97" s="15" t="s">
        <v>210</v>
      </c>
      <c r="Q97" s="10" t="str">
        <f t="shared" si="14"/>
        <v>ALFA HOLDING-ON</v>
      </c>
      <c r="R97" s="56">
        <f t="shared" si="15"/>
        <v>41619</v>
      </c>
      <c r="S97" s="5">
        <f t="shared" si="16"/>
        <v>3.08</v>
      </c>
      <c r="T97" s="5">
        <f t="shared" si="17"/>
        <v>3.08</v>
      </c>
      <c r="U97" s="5">
        <f t="shared" si="18"/>
        <v>3.08</v>
      </c>
      <c r="V97" s="5">
        <f t="shared" si="19"/>
        <v>3.08</v>
      </c>
    </row>
    <row r="98" spans="1:22" x14ac:dyDescent="0.2">
      <c r="A98" s="35" t="str">
        <f>IF(Tabela1[[#This Row],[Código]]="IBOV","^BVSP",IF(Tabela1[[#This Row],[Código]]="","",CONCATENATE(LEFT(Tabela1[[#This Row],[Código]],6),".SA")))</f>
        <v>RPAD5.SA</v>
      </c>
      <c r="C98" s="3" t="s">
        <v>163</v>
      </c>
      <c r="D98" s="3" t="s">
        <v>501</v>
      </c>
      <c r="E98" s="3" t="s">
        <v>508</v>
      </c>
      <c r="F98" s="3" t="s">
        <v>508</v>
      </c>
      <c r="G98" s="3" t="s">
        <v>501</v>
      </c>
      <c r="H98" s="56">
        <v>41652</v>
      </c>
      <c r="J98" s="3">
        <f t="shared" si="20"/>
        <v>5.26</v>
      </c>
      <c r="K98" s="3">
        <f t="shared" si="20"/>
        <v>6.8</v>
      </c>
      <c r="L98" s="3">
        <f t="shared" si="20"/>
        <v>6.8</v>
      </c>
      <c r="M98" s="3">
        <f t="shared" si="20"/>
        <v>5.26</v>
      </c>
      <c r="P98" s="15" t="s">
        <v>78</v>
      </c>
      <c r="Q98" s="10" t="str">
        <f t="shared" si="14"/>
        <v>ALFA HOLDING-PNA</v>
      </c>
      <c r="R98" s="56">
        <f t="shared" si="15"/>
        <v>41652</v>
      </c>
      <c r="S98" s="5">
        <f t="shared" si="16"/>
        <v>5.26</v>
      </c>
      <c r="T98" s="5">
        <f t="shared" si="17"/>
        <v>6.8</v>
      </c>
      <c r="U98" s="5">
        <f t="shared" si="18"/>
        <v>6.8</v>
      </c>
      <c r="V98" s="5">
        <f t="shared" si="19"/>
        <v>5.26</v>
      </c>
    </row>
    <row r="99" spans="1:22" x14ac:dyDescent="0.2">
      <c r="A99" s="35" t="str">
        <f>IF(Tabela1[[#This Row],[Código]]="IBOV","^BVSP",IF(Tabela1[[#This Row],[Código]]="","",CONCATENATE(LEFT(Tabela1[[#This Row],[Código]],6),".SA")))</f>
        <v>RPAD6.SA</v>
      </c>
      <c r="C99" s="3" t="s">
        <v>214</v>
      </c>
      <c r="D99" s="3" t="s">
        <v>486</v>
      </c>
      <c r="E99" s="3" t="s">
        <v>486</v>
      </c>
      <c r="F99" s="3" t="s">
        <v>486</v>
      </c>
      <c r="G99" s="3" t="s">
        <v>486</v>
      </c>
      <c r="H99" s="56">
        <v>41652</v>
      </c>
      <c r="J99" s="3">
        <f t="shared" si="20"/>
        <v>2.99</v>
      </c>
      <c r="K99" s="3">
        <f t="shared" si="20"/>
        <v>2.99</v>
      </c>
      <c r="L99" s="3">
        <f t="shared" si="20"/>
        <v>2.99</v>
      </c>
      <c r="M99" s="3">
        <f t="shared" si="20"/>
        <v>2.99</v>
      </c>
      <c r="P99" s="15" t="s">
        <v>211</v>
      </c>
      <c r="Q99" s="10" t="str">
        <f t="shared" si="14"/>
        <v>ALFA HOLDING-PNB</v>
      </c>
      <c r="R99" s="56">
        <f t="shared" si="15"/>
        <v>41652</v>
      </c>
      <c r="S99" s="5">
        <f t="shared" si="16"/>
        <v>2.99</v>
      </c>
      <c r="T99" s="5">
        <f t="shared" si="17"/>
        <v>2.99</v>
      </c>
      <c r="U99" s="5">
        <f t="shared" si="18"/>
        <v>2.99</v>
      </c>
      <c r="V99" s="5">
        <f t="shared" si="19"/>
        <v>2.99</v>
      </c>
    </row>
    <row r="100" spans="1:22" x14ac:dyDescent="0.2">
      <c r="A100" s="35" t="str">
        <f>IF(Tabela1[[#This Row],[Código]]="IBOV","^BVSP",IF(Tabela1[[#This Row],[Código]]="","",CONCATENATE(LEFT(Tabela1[[#This Row],[Código]],6),".SA")))</f>
        <v>SAPR3.SA</v>
      </c>
      <c r="C100" s="3" t="s">
        <v>404</v>
      </c>
      <c r="D100" s="3" t="s">
        <v>200</v>
      </c>
      <c r="E100" s="3" t="s">
        <v>200</v>
      </c>
      <c r="F100" s="3" t="s">
        <v>200</v>
      </c>
      <c r="G100" s="3" t="s">
        <v>200</v>
      </c>
      <c r="H100" s="56">
        <v>41556</v>
      </c>
      <c r="J100" s="3">
        <f t="shared" si="20"/>
        <v>8.19</v>
      </c>
      <c r="K100" s="3">
        <f t="shared" si="20"/>
        <v>8.19</v>
      </c>
      <c r="L100" s="3">
        <f t="shared" si="20"/>
        <v>8.19</v>
      </c>
      <c r="M100" s="3">
        <f t="shared" si="20"/>
        <v>8.19</v>
      </c>
      <c r="P100" s="14" t="s">
        <v>199</v>
      </c>
      <c r="Q100" s="10" t="str">
        <f t="shared" si="14"/>
        <v xml:space="preserve">SANEPAR     -ON  </v>
      </c>
      <c r="R100" s="56">
        <f t="shared" si="15"/>
        <v>41556</v>
      </c>
      <c r="S100" s="5">
        <f t="shared" si="16"/>
        <v>8.19</v>
      </c>
      <c r="T100" s="5">
        <f t="shared" si="17"/>
        <v>8.19</v>
      </c>
      <c r="U100" s="5">
        <f t="shared" si="18"/>
        <v>8.19</v>
      </c>
      <c r="V100" s="5">
        <f t="shared" si="19"/>
        <v>8.19</v>
      </c>
    </row>
    <row r="101" spans="1:22" x14ac:dyDescent="0.2">
      <c r="A101" s="35" t="str">
        <f>IF(Tabela1[[#This Row],[Código]]="IBOV","^BVSP",IF(Tabela1[[#This Row],[Código]]="","",CONCATENATE(LEFT(Tabela1[[#This Row],[Código]],6),".SA")))</f>
        <v>SAPR4.SA</v>
      </c>
      <c r="C101" s="3" t="s">
        <v>405</v>
      </c>
      <c r="D101" s="3" t="s">
        <v>478</v>
      </c>
      <c r="E101" s="3" t="s">
        <v>513</v>
      </c>
      <c r="F101" s="3" t="s">
        <v>478</v>
      </c>
      <c r="G101" s="3" t="s">
        <v>513</v>
      </c>
      <c r="H101" s="56">
        <v>41654</v>
      </c>
      <c r="J101" s="3">
        <f t="shared" si="20"/>
        <v>5.97</v>
      </c>
      <c r="K101" s="3">
        <f t="shared" si="20"/>
        <v>5.8</v>
      </c>
      <c r="L101" s="3">
        <f t="shared" si="20"/>
        <v>5.97</v>
      </c>
      <c r="M101" s="3">
        <f t="shared" si="20"/>
        <v>5.8</v>
      </c>
      <c r="P101" s="14" t="s">
        <v>67</v>
      </c>
      <c r="Q101" s="10" t="str">
        <f t="shared" si="14"/>
        <v xml:space="preserve">SANEPAR     -PN  </v>
      </c>
      <c r="R101" s="56">
        <f t="shared" si="15"/>
        <v>41654</v>
      </c>
      <c r="S101" s="5">
        <f t="shared" si="16"/>
        <v>5.97</v>
      </c>
      <c r="T101" s="5">
        <f t="shared" si="17"/>
        <v>5.8</v>
      </c>
      <c r="U101" s="5">
        <f t="shared" si="18"/>
        <v>5.97</v>
      </c>
      <c r="V101" s="5">
        <f t="shared" si="19"/>
        <v>5.8</v>
      </c>
    </row>
    <row r="102" spans="1:22" x14ac:dyDescent="0.2">
      <c r="A102" s="35" t="str">
        <f>IF(Tabela1[[#This Row],[Código]]="IBOV","^BVSP",IF(Tabela1[[#This Row],[Código]]="","",CONCATENATE(LEFT(Tabela1[[#This Row],[Código]],6),".SA")))</f>
        <v>SBSP3.SA</v>
      </c>
      <c r="C102" s="3" t="s">
        <v>164</v>
      </c>
      <c r="D102" s="3" t="s">
        <v>609</v>
      </c>
      <c r="E102" s="3" t="s">
        <v>632</v>
      </c>
      <c r="F102" s="3" t="s">
        <v>610</v>
      </c>
      <c r="G102" s="3" t="s">
        <v>611</v>
      </c>
      <c r="H102" s="56">
        <v>41654</v>
      </c>
      <c r="J102" s="3">
        <f t="shared" si="20"/>
        <v>23.5</v>
      </c>
      <c r="K102" s="3">
        <f t="shared" si="20"/>
        <v>23.46</v>
      </c>
      <c r="L102" s="3">
        <f t="shared" si="20"/>
        <v>24.06</v>
      </c>
      <c r="M102" s="3">
        <f t="shared" si="20"/>
        <v>23.25</v>
      </c>
      <c r="P102" s="14" t="s">
        <v>36</v>
      </c>
      <c r="Q102" s="10" t="str">
        <f t="shared" si="14"/>
        <v xml:space="preserve">SABESP      -ON  </v>
      </c>
      <c r="R102" s="56">
        <f t="shared" si="15"/>
        <v>41654</v>
      </c>
      <c r="S102" s="5">
        <f t="shared" si="16"/>
        <v>23.5</v>
      </c>
      <c r="T102" s="5">
        <f t="shared" si="17"/>
        <v>23.46</v>
      </c>
      <c r="U102" s="5">
        <f t="shared" si="18"/>
        <v>24.06</v>
      </c>
      <c r="V102" s="5">
        <f t="shared" si="19"/>
        <v>23.25</v>
      </c>
    </row>
    <row r="103" spans="1:22" x14ac:dyDescent="0.2">
      <c r="A103" s="35" t="str">
        <f>IF(Tabela1[[#This Row],[Código]]="IBOV","^BVSP",IF(Tabela1[[#This Row],[Código]]="","",CONCATENATE(LEFT(Tabela1[[#This Row],[Código]],6),".SA")))</f>
        <v>SFSA4.SA</v>
      </c>
      <c r="C103" s="3" t="s">
        <v>165</v>
      </c>
      <c r="D103" s="3" t="s">
        <v>612</v>
      </c>
      <c r="E103" s="3" t="s">
        <v>770</v>
      </c>
      <c r="F103" s="3" t="s">
        <v>771</v>
      </c>
      <c r="G103" s="3" t="s">
        <v>612</v>
      </c>
      <c r="H103" s="56">
        <v>41654</v>
      </c>
      <c r="J103" s="3">
        <f t="shared" si="20"/>
        <v>2.7</v>
      </c>
      <c r="K103" s="3">
        <f t="shared" si="20"/>
        <v>2.85</v>
      </c>
      <c r="L103" s="3">
        <f t="shared" si="20"/>
        <v>2.97</v>
      </c>
      <c r="M103" s="3">
        <f t="shared" si="20"/>
        <v>2.7</v>
      </c>
      <c r="P103" s="15" t="s">
        <v>77</v>
      </c>
      <c r="Q103" s="10" t="str">
        <f t="shared" ref="Q103:Q112" si="21">IF(A103="","",C103)</f>
        <v xml:space="preserve">SOFISA      -PN  </v>
      </c>
      <c r="R103" s="56">
        <f t="shared" ref="R103:R112" si="22">IF(A103="","",H103)</f>
        <v>41654</v>
      </c>
      <c r="S103" s="5">
        <f t="shared" ref="S103:S112" si="23">J103</f>
        <v>2.7</v>
      </c>
      <c r="T103" s="5">
        <f t="shared" ref="T103:T112" si="24">K103</f>
        <v>2.85</v>
      </c>
      <c r="U103" s="5">
        <f t="shared" ref="U103:U112" si="25">L103</f>
        <v>2.97</v>
      </c>
      <c r="V103" s="5">
        <f t="shared" ref="V103:V112" si="26">M103</f>
        <v>2.7</v>
      </c>
    </row>
    <row r="104" spans="1:22" x14ac:dyDescent="0.2">
      <c r="A104" s="35" t="str">
        <f>IF(Tabela1[[#This Row],[Código]]="IBOV","^BVSP",IF(Tabela1[[#This Row],[Código]]="","",CONCATENATE(LEFT(Tabela1[[#This Row],[Código]],6),".SA")))</f>
        <v>SUZB5.SA</v>
      </c>
      <c r="C104" s="3" t="s">
        <v>166</v>
      </c>
      <c r="D104" s="3" t="s">
        <v>613</v>
      </c>
      <c r="E104" s="3" t="s">
        <v>772</v>
      </c>
      <c r="F104" s="3" t="s">
        <v>715</v>
      </c>
      <c r="G104" s="3" t="s">
        <v>614</v>
      </c>
      <c r="H104" s="56">
        <v>41654</v>
      </c>
      <c r="J104" s="3">
        <f t="shared" si="20"/>
        <v>9.2799999999999994</v>
      </c>
      <c r="K104" s="3">
        <f t="shared" si="20"/>
        <v>9.43</v>
      </c>
      <c r="L104" s="3">
        <f t="shared" si="20"/>
        <v>9.49</v>
      </c>
      <c r="M104" s="3">
        <f t="shared" si="20"/>
        <v>9.27</v>
      </c>
      <c r="P104" s="15" t="s">
        <v>18</v>
      </c>
      <c r="Q104" s="10" t="str">
        <f t="shared" si="21"/>
        <v xml:space="preserve">SUZANO PAPEL-PNA </v>
      </c>
      <c r="R104" s="56">
        <f t="shared" si="22"/>
        <v>41654</v>
      </c>
      <c r="S104" s="5">
        <f t="shared" si="23"/>
        <v>9.2799999999999994</v>
      </c>
      <c r="T104" s="5">
        <f t="shared" si="24"/>
        <v>9.43</v>
      </c>
      <c r="U104" s="5">
        <f t="shared" si="25"/>
        <v>9.49</v>
      </c>
      <c r="V104" s="5">
        <f t="shared" si="26"/>
        <v>9.27</v>
      </c>
    </row>
    <row r="105" spans="1:22" x14ac:dyDescent="0.2">
      <c r="A105" s="35" t="str">
        <f>IF(Tabela1[[#This Row],[Código]]="IBOV","^BVSP",IF(Tabela1[[#This Row],[Código]]="","",CONCATENATE(LEFT(Tabela1[[#This Row],[Código]],6),".SA")))</f>
        <v>SUZB6.SA</v>
      </c>
      <c r="C105" s="3" t="s">
        <v>209</v>
      </c>
      <c r="D105" s="3" t="s">
        <v>177</v>
      </c>
      <c r="E105" s="3" t="s">
        <v>177</v>
      </c>
      <c r="F105" s="3" t="s">
        <v>177</v>
      </c>
      <c r="G105" s="3" t="s">
        <v>177</v>
      </c>
      <c r="H105" s="56">
        <v>41576</v>
      </c>
      <c r="J105" s="3">
        <f t="shared" si="20"/>
        <v>5.7</v>
      </c>
      <c r="K105" s="3">
        <f t="shared" si="20"/>
        <v>5.7</v>
      </c>
      <c r="L105" s="3">
        <f t="shared" si="20"/>
        <v>5.7</v>
      </c>
      <c r="M105" s="3">
        <f t="shared" si="20"/>
        <v>5.7</v>
      </c>
      <c r="P105" s="15" t="s">
        <v>207</v>
      </c>
      <c r="Q105" s="10" t="str">
        <f t="shared" si="21"/>
        <v xml:space="preserve">SUZANO PAPEL-PNB </v>
      </c>
      <c r="R105" s="56">
        <f t="shared" si="22"/>
        <v>41576</v>
      </c>
      <c r="S105" s="5">
        <f t="shared" si="23"/>
        <v>5.7</v>
      </c>
      <c r="T105" s="5">
        <f t="shared" si="24"/>
        <v>5.7</v>
      </c>
      <c r="U105" s="5">
        <f t="shared" si="25"/>
        <v>5.7</v>
      </c>
      <c r="V105" s="5">
        <f t="shared" si="26"/>
        <v>5.7</v>
      </c>
    </row>
    <row r="106" spans="1:22" x14ac:dyDescent="0.2">
      <c r="A106" s="35" t="str">
        <f>IF(Tabela1[[#This Row],[Código]]="IBOV","^BVSP",IF(Tabela1[[#This Row],[Código]]="","",CONCATENATE(LEFT(Tabela1[[#This Row],[Código]],6),".SA")))</f>
        <v>TAEE11.SA</v>
      </c>
      <c r="C106" s="3" t="s">
        <v>167</v>
      </c>
      <c r="D106" s="3" t="s">
        <v>615</v>
      </c>
      <c r="E106" s="3" t="s">
        <v>681</v>
      </c>
      <c r="F106" s="3" t="s">
        <v>616</v>
      </c>
      <c r="G106" s="3" t="s">
        <v>681</v>
      </c>
      <c r="H106" s="56">
        <v>41654</v>
      </c>
      <c r="J106" s="3">
        <f t="shared" si="20"/>
        <v>17.96</v>
      </c>
      <c r="K106" s="3">
        <f t="shared" si="20"/>
        <v>17.95</v>
      </c>
      <c r="L106" s="3">
        <f t="shared" si="20"/>
        <v>18.16</v>
      </c>
      <c r="M106" s="3">
        <f t="shared" si="20"/>
        <v>17.95</v>
      </c>
      <c r="P106" s="14" t="s">
        <v>56</v>
      </c>
      <c r="Q106" s="10" t="str">
        <f t="shared" si="21"/>
        <v xml:space="preserve">TAESA       -UNT </v>
      </c>
      <c r="R106" s="56">
        <f t="shared" si="22"/>
        <v>41654</v>
      </c>
      <c r="S106" s="5">
        <f t="shared" si="23"/>
        <v>17.96</v>
      </c>
      <c r="T106" s="5">
        <f t="shared" si="24"/>
        <v>17.95</v>
      </c>
      <c r="U106" s="5">
        <f t="shared" si="25"/>
        <v>18.16</v>
      </c>
      <c r="V106" s="5">
        <f t="shared" si="26"/>
        <v>17.95</v>
      </c>
    </row>
    <row r="107" spans="1:22" x14ac:dyDescent="0.2">
      <c r="A107" s="35" t="str">
        <f>IF(Tabela1[[#This Row],[Código]]="IBOV","^BVSP",IF(Tabela1[[#This Row],[Código]]="","",CONCATENATE(LEFT(Tabela1[[#This Row],[Código]],6),".SA")))</f>
        <v>TBLE3.SA</v>
      </c>
      <c r="C107" s="3" t="s">
        <v>194</v>
      </c>
      <c r="D107" s="3" t="s">
        <v>617</v>
      </c>
      <c r="E107" s="3" t="s">
        <v>773</v>
      </c>
      <c r="F107" s="3" t="s">
        <v>716</v>
      </c>
      <c r="G107" s="3" t="s">
        <v>618</v>
      </c>
      <c r="H107" s="56">
        <v>41654</v>
      </c>
      <c r="J107" s="3">
        <f t="shared" si="20"/>
        <v>35.28</v>
      </c>
      <c r="K107" s="3">
        <f t="shared" si="20"/>
        <v>35.17</v>
      </c>
      <c r="L107" s="3">
        <f t="shared" si="20"/>
        <v>35.71</v>
      </c>
      <c r="M107" s="3">
        <f t="shared" si="20"/>
        <v>34.93</v>
      </c>
      <c r="P107" s="14" t="s">
        <v>193</v>
      </c>
      <c r="Q107" s="10" t="str">
        <f t="shared" si="21"/>
        <v xml:space="preserve">TRACTEBEL   -ON  </v>
      </c>
      <c r="R107" s="56">
        <f t="shared" si="22"/>
        <v>41654</v>
      </c>
      <c r="S107" s="5">
        <f t="shared" si="23"/>
        <v>35.28</v>
      </c>
      <c r="T107" s="5">
        <f t="shared" si="24"/>
        <v>35.17</v>
      </c>
      <c r="U107" s="5">
        <f t="shared" si="25"/>
        <v>35.71</v>
      </c>
      <c r="V107" s="5">
        <f t="shared" si="26"/>
        <v>34.93</v>
      </c>
    </row>
    <row r="108" spans="1:22" x14ac:dyDescent="0.2">
      <c r="A108" s="35" t="str">
        <f>IF(Tabela1[[#This Row],[Código]]="IBOV","^BVSP",IF(Tabela1[[#This Row],[Código]]="","",CONCATENATE(LEFT(Tabela1[[#This Row],[Código]],6),".SA")))</f>
        <v>TRPL3.SA</v>
      </c>
      <c r="C108" s="3" t="s">
        <v>175</v>
      </c>
      <c r="D108" s="3" t="s">
        <v>774</v>
      </c>
      <c r="E108" s="3" t="s">
        <v>775</v>
      </c>
      <c r="F108" s="3" t="s">
        <v>775</v>
      </c>
      <c r="G108" s="3" t="s">
        <v>774</v>
      </c>
      <c r="H108" s="56">
        <v>41654</v>
      </c>
      <c r="J108" s="3">
        <f t="shared" si="20"/>
        <v>41.5</v>
      </c>
      <c r="K108" s="3">
        <f t="shared" si="20"/>
        <v>42</v>
      </c>
      <c r="L108" s="3">
        <f t="shared" si="20"/>
        <v>42</v>
      </c>
      <c r="M108" s="3">
        <f t="shared" si="20"/>
        <v>41.5</v>
      </c>
      <c r="P108" s="14" t="s">
        <v>170</v>
      </c>
      <c r="Q108" s="10" t="str">
        <f t="shared" si="21"/>
        <v xml:space="preserve">TRAN PAULIST-ON  </v>
      </c>
      <c r="R108" s="56">
        <f t="shared" si="22"/>
        <v>41654</v>
      </c>
      <c r="S108" s="5">
        <f t="shared" si="23"/>
        <v>41.5</v>
      </c>
      <c r="T108" s="5">
        <f t="shared" si="24"/>
        <v>42</v>
      </c>
      <c r="U108" s="5">
        <f t="shared" si="25"/>
        <v>42</v>
      </c>
      <c r="V108" s="5">
        <f t="shared" si="26"/>
        <v>41.5</v>
      </c>
    </row>
    <row r="109" spans="1:22" x14ac:dyDescent="0.2">
      <c r="A109" s="35" t="str">
        <f>IF(Tabela1[[#This Row],[Código]]="IBOV","^BVSP",IF(Tabela1[[#This Row],[Código]]="","",CONCATENATE(LEFT(Tabela1[[#This Row],[Código]],6),".SA")))</f>
        <v>TRPL4.SA</v>
      </c>
      <c r="C109" s="3" t="s">
        <v>176</v>
      </c>
      <c r="D109" s="3" t="s">
        <v>619</v>
      </c>
      <c r="E109" s="3" t="s">
        <v>776</v>
      </c>
      <c r="F109" s="3" t="s">
        <v>527</v>
      </c>
      <c r="G109" s="3" t="s">
        <v>620</v>
      </c>
      <c r="H109" s="56">
        <v>41654</v>
      </c>
      <c r="J109" s="3">
        <f t="shared" si="20"/>
        <v>26.44</v>
      </c>
      <c r="K109" s="3">
        <f t="shared" si="20"/>
        <v>26.83</v>
      </c>
      <c r="L109" s="3">
        <f t="shared" si="20"/>
        <v>26.95</v>
      </c>
      <c r="M109" s="3">
        <f t="shared" si="20"/>
        <v>26.42</v>
      </c>
      <c r="P109" s="14" t="s">
        <v>171</v>
      </c>
      <c r="Q109" s="10" t="str">
        <f t="shared" si="21"/>
        <v xml:space="preserve">TRAN PAULIST-PN  </v>
      </c>
      <c r="R109" s="56">
        <f t="shared" si="22"/>
        <v>41654</v>
      </c>
      <c r="S109" s="5">
        <f t="shared" si="23"/>
        <v>26.44</v>
      </c>
      <c r="T109" s="5">
        <f t="shared" si="24"/>
        <v>26.83</v>
      </c>
      <c r="U109" s="5">
        <f t="shared" si="25"/>
        <v>26.95</v>
      </c>
      <c r="V109" s="5">
        <f t="shared" si="26"/>
        <v>26.42</v>
      </c>
    </row>
    <row r="110" spans="1:22" x14ac:dyDescent="0.2">
      <c r="A110" s="35" t="str">
        <f>IF(Tabela1[[#This Row],[Código]]="IBOV","^BVSP",IF(Tabela1[[#This Row],[Código]]="","",CONCATENATE(LEFT(Tabela1[[#This Row],[Código]],6),".SA")))</f>
        <v>UNIP5.SA</v>
      </c>
      <c r="C110" s="3" t="s">
        <v>168</v>
      </c>
      <c r="D110" s="3" t="s">
        <v>502</v>
      </c>
      <c r="E110" s="3" t="s">
        <v>502</v>
      </c>
      <c r="F110" s="3" t="s">
        <v>621</v>
      </c>
      <c r="G110" s="3" t="s">
        <v>517</v>
      </c>
      <c r="H110" s="56">
        <v>41654</v>
      </c>
      <c r="J110" s="3">
        <f t="shared" si="20"/>
        <v>0.65</v>
      </c>
      <c r="K110" s="3">
        <f t="shared" si="20"/>
        <v>0.65</v>
      </c>
      <c r="L110" s="3">
        <f t="shared" si="20"/>
        <v>0.66</v>
      </c>
      <c r="M110" s="3">
        <f t="shared" si="20"/>
        <v>0.63</v>
      </c>
      <c r="P110" s="15" t="s">
        <v>75</v>
      </c>
      <c r="Q110" s="10" t="str">
        <f t="shared" si="21"/>
        <v>UNIPAR      -PNA</v>
      </c>
      <c r="R110" s="56">
        <f t="shared" si="22"/>
        <v>41654</v>
      </c>
      <c r="S110" s="5">
        <f t="shared" si="23"/>
        <v>0.65</v>
      </c>
      <c r="T110" s="5">
        <f t="shared" si="24"/>
        <v>0.65</v>
      </c>
      <c r="U110" s="5">
        <f t="shared" si="25"/>
        <v>0.66</v>
      </c>
      <c r="V110" s="5">
        <f t="shared" si="26"/>
        <v>0.63</v>
      </c>
    </row>
    <row r="111" spans="1:22" x14ac:dyDescent="0.2">
      <c r="A111" s="35" t="str">
        <f>IF(Tabela1[[#This Row],[Código]]="IBOV","^BVSP",IF(Tabela1[[#This Row],[Código]]="","",CONCATENATE(LEFT(Tabela1[[#This Row],[Código]],6),".SA")))</f>
        <v>UNIP6.SA</v>
      </c>
      <c r="C111" s="3" t="s">
        <v>169</v>
      </c>
      <c r="D111" s="3" t="s">
        <v>492</v>
      </c>
      <c r="E111" s="3" t="s">
        <v>406</v>
      </c>
      <c r="F111" s="3" t="s">
        <v>406</v>
      </c>
      <c r="G111" s="3" t="s">
        <v>622</v>
      </c>
      <c r="H111" s="56">
        <v>41654</v>
      </c>
      <c r="J111" s="3">
        <f t="shared" si="20"/>
        <v>0.5</v>
      </c>
      <c r="K111" s="3">
        <f t="shared" si="20"/>
        <v>0.51</v>
      </c>
      <c r="L111" s="3">
        <f t="shared" si="20"/>
        <v>0.51</v>
      </c>
      <c r="M111" s="3">
        <f t="shared" si="20"/>
        <v>0.49</v>
      </c>
      <c r="P111" s="14" t="s">
        <v>39</v>
      </c>
      <c r="Q111" s="10" t="str">
        <f t="shared" si="21"/>
        <v>UNIPAR      -PNB</v>
      </c>
      <c r="R111" s="56">
        <f t="shared" si="22"/>
        <v>41654</v>
      </c>
      <c r="S111" s="5">
        <f t="shared" si="23"/>
        <v>0.5</v>
      </c>
      <c r="T111" s="5">
        <f t="shared" si="24"/>
        <v>0.51</v>
      </c>
      <c r="U111" s="5">
        <f t="shared" si="25"/>
        <v>0.51</v>
      </c>
      <c r="V111" s="5">
        <f t="shared" si="26"/>
        <v>0.49</v>
      </c>
    </row>
    <row r="112" spans="1:22" x14ac:dyDescent="0.2">
      <c r="A112" s="35" t="str">
        <f>IF(Tabela1[[#This Row],[Código]]="IBOV","^BVSP",IF(Tabela1[[#This Row],[Código]]="","",CONCATENATE(LEFT(Tabela1[[#This Row],[Código]],6),".SA")))</f>
        <v/>
      </c>
      <c r="C112" s="3" t="s">
        <v>106</v>
      </c>
      <c r="H112" s="56"/>
      <c r="J112" s="3">
        <f t="shared" ref="J112:J121" si="27">IF($A112="",0,VALUE(CONCATENATE(LEFT(D112,LEN(D112)-3),",",RIGHT(D112,2))))</f>
        <v>0</v>
      </c>
      <c r="K112" s="3">
        <f t="shared" si="20"/>
        <v>0</v>
      </c>
      <c r="L112" s="3">
        <f t="shared" si="20"/>
        <v>0</v>
      </c>
      <c r="M112" s="3">
        <f t="shared" si="20"/>
        <v>0</v>
      </c>
      <c r="Q112" s="10" t="str">
        <f t="shared" si="21"/>
        <v/>
      </c>
      <c r="R112" s="56" t="str">
        <f t="shared" si="22"/>
        <v/>
      </c>
      <c r="S112" s="5">
        <f t="shared" si="23"/>
        <v>0</v>
      </c>
      <c r="T112" s="5">
        <f t="shared" si="24"/>
        <v>0</v>
      </c>
      <c r="U112" s="5">
        <f t="shared" si="25"/>
        <v>0</v>
      </c>
      <c r="V112" s="5">
        <f t="shared" si="26"/>
        <v>0</v>
      </c>
    </row>
    <row r="113" spans="1:22" x14ac:dyDescent="0.2">
      <c r="A113" s="35"/>
      <c r="H113" s="56"/>
      <c r="J113" s="3">
        <f t="shared" si="27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8">IF(A117="","",C117)</f>
        <v/>
      </c>
      <c r="R113" s="56" t="str">
        <f t="shared" ref="R113:R131" si="29">IF(A117="","",H117)</f>
        <v/>
      </c>
      <c r="S113" s="5">
        <f t="shared" ref="S113:S131" si="30">J117</f>
        <v>0</v>
      </c>
      <c r="T113" s="5">
        <f t="shared" ref="T113:T131" si="31">K117</f>
        <v>0</v>
      </c>
      <c r="U113" s="5">
        <f t="shared" ref="U113:U131" si="32">L117</f>
        <v>0</v>
      </c>
      <c r="V113" s="5">
        <f t="shared" ref="V113:V131" si="33">M117</f>
        <v>0</v>
      </c>
    </row>
    <row r="114" spans="1:22" x14ac:dyDescent="0.2">
      <c r="A114" s="35"/>
      <c r="J114" s="3">
        <f t="shared" si="27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8"/>
        <v/>
      </c>
      <c r="R114" s="56" t="str">
        <f t="shared" si="29"/>
        <v/>
      </c>
      <c r="S114" s="5">
        <f t="shared" si="30"/>
        <v>0</v>
      </c>
      <c r="T114" s="5">
        <f t="shared" si="31"/>
        <v>0</v>
      </c>
      <c r="U114" s="5">
        <f t="shared" si="32"/>
        <v>0</v>
      </c>
      <c r="V114" s="5">
        <f t="shared" si="33"/>
        <v>0</v>
      </c>
    </row>
    <row r="115" spans="1:22" x14ac:dyDescent="0.2">
      <c r="A115" s="35"/>
      <c r="J115" s="3">
        <f t="shared" si="27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8"/>
        <v/>
      </c>
      <c r="R115" s="56" t="str">
        <f t="shared" si="29"/>
        <v/>
      </c>
      <c r="S115" s="5">
        <f t="shared" si="30"/>
        <v>0</v>
      </c>
      <c r="T115" s="5">
        <f t="shared" si="31"/>
        <v>0</v>
      </c>
      <c r="U115" s="5">
        <f t="shared" si="32"/>
        <v>0</v>
      </c>
      <c r="V115" s="5">
        <f t="shared" si="33"/>
        <v>0</v>
      </c>
    </row>
    <row r="116" spans="1:22" x14ac:dyDescent="0.2">
      <c r="A116" s="35"/>
      <c r="J116" s="3">
        <f t="shared" si="27"/>
        <v>0</v>
      </c>
      <c r="K116" s="3">
        <f t="shared" ref="K116:M172" si="34">IF($A116="",0,VALUE(CONCATENATE(LEFT(E116,LEN(E116)-3),",",RIGHT(E116,2))))</f>
        <v>0</v>
      </c>
      <c r="L116" s="3">
        <f t="shared" si="34"/>
        <v>0</v>
      </c>
      <c r="M116" s="3">
        <f t="shared" si="34"/>
        <v>0</v>
      </c>
      <c r="Q116" s="10" t="str">
        <f t="shared" si="28"/>
        <v/>
      </c>
      <c r="R116" s="56" t="str">
        <f t="shared" si="29"/>
        <v/>
      </c>
      <c r="S116" s="5">
        <f t="shared" si="30"/>
        <v>0</v>
      </c>
      <c r="T116" s="5">
        <f t="shared" si="31"/>
        <v>0</v>
      </c>
      <c r="U116" s="5">
        <f t="shared" si="32"/>
        <v>0</v>
      </c>
      <c r="V116" s="5">
        <f t="shared" si="33"/>
        <v>0</v>
      </c>
    </row>
    <row r="117" spans="1:22" x14ac:dyDescent="0.2">
      <c r="A117" s="35"/>
      <c r="J117" s="3">
        <f t="shared" si="27"/>
        <v>0</v>
      </c>
      <c r="K117" s="3">
        <f t="shared" si="34"/>
        <v>0</v>
      </c>
      <c r="L117" s="3">
        <f t="shared" si="34"/>
        <v>0</v>
      </c>
      <c r="M117" s="3">
        <f t="shared" si="34"/>
        <v>0</v>
      </c>
      <c r="Q117" s="10" t="e">
        <f t="shared" si="28"/>
        <v>#VALUE!</v>
      </c>
      <c r="R117" s="56" t="e">
        <f t="shared" si="29"/>
        <v>#VALUE!</v>
      </c>
      <c r="S117" s="5" t="e">
        <f t="shared" si="30"/>
        <v>#VALUE!</v>
      </c>
      <c r="T117" s="5" t="e">
        <f t="shared" si="31"/>
        <v>#VALUE!</v>
      </c>
      <c r="U117" s="5" t="e">
        <f t="shared" si="32"/>
        <v>#VALUE!</v>
      </c>
      <c r="V117" s="5" t="e">
        <f t="shared" si="33"/>
        <v>#VALUE!</v>
      </c>
    </row>
    <row r="118" spans="1:22" x14ac:dyDescent="0.2">
      <c r="A118" s="35"/>
      <c r="J118" s="3">
        <f t="shared" si="27"/>
        <v>0</v>
      </c>
      <c r="K118" s="3">
        <f t="shared" si="34"/>
        <v>0</v>
      </c>
      <c r="L118" s="3">
        <f t="shared" si="34"/>
        <v>0</v>
      </c>
      <c r="M118" s="3">
        <f t="shared" si="34"/>
        <v>0</v>
      </c>
      <c r="Q118" s="10" t="e">
        <f t="shared" si="28"/>
        <v>#VALUE!</v>
      </c>
      <c r="R118" s="56" t="e">
        <f t="shared" si="29"/>
        <v>#VALUE!</v>
      </c>
      <c r="S118" s="5" t="e">
        <f t="shared" si="30"/>
        <v>#VALUE!</v>
      </c>
      <c r="T118" s="5" t="e">
        <f t="shared" si="31"/>
        <v>#VALUE!</v>
      </c>
      <c r="U118" s="5" t="e">
        <f t="shared" si="32"/>
        <v>#VALUE!</v>
      </c>
      <c r="V118" s="5" t="e">
        <f t="shared" si="33"/>
        <v>#VALUE!</v>
      </c>
    </row>
    <row r="119" spans="1:22" x14ac:dyDescent="0.2">
      <c r="A119" s="35"/>
      <c r="J119" s="3">
        <f t="shared" si="27"/>
        <v>0</v>
      </c>
      <c r="K119" s="3">
        <f t="shared" si="34"/>
        <v>0</v>
      </c>
      <c r="L119" s="3">
        <f t="shared" si="34"/>
        <v>0</v>
      </c>
      <c r="M119" s="3">
        <f t="shared" si="34"/>
        <v>0</v>
      </c>
      <c r="Q119" s="10" t="e">
        <f t="shared" si="28"/>
        <v>#VALUE!</v>
      </c>
      <c r="R119" s="56" t="e">
        <f t="shared" si="29"/>
        <v>#VALUE!</v>
      </c>
      <c r="S119" s="5" t="e">
        <f t="shared" si="30"/>
        <v>#VALUE!</v>
      </c>
      <c r="T119" s="5" t="e">
        <f t="shared" si="31"/>
        <v>#VALUE!</v>
      </c>
      <c r="U119" s="5" t="e">
        <f t="shared" si="32"/>
        <v>#VALUE!</v>
      </c>
      <c r="V119" s="5" t="e">
        <f t="shared" si="33"/>
        <v>#VALUE!</v>
      </c>
    </row>
    <row r="120" spans="1:22" x14ac:dyDescent="0.2">
      <c r="A120" s="35"/>
      <c r="J120" s="3">
        <f t="shared" si="27"/>
        <v>0</v>
      </c>
      <c r="K120" s="3">
        <f t="shared" si="34"/>
        <v>0</v>
      </c>
      <c r="L120" s="3">
        <f t="shared" si="34"/>
        <v>0</v>
      </c>
      <c r="M120" s="3">
        <f t="shared" si="34"/>
        <v>0</v>
      </c>
      <c r="Q120" s="10" t="e">
        <f t="shared" si="28"/>
        <v>#VALUE!</v>
      </c>
      <c r="R120" s="56" t="e">
        <f t="shared" si="29"/>
        <v>#VALUE!</v>
      </c>
      <c r="S120" s="5" t="e">
        <f t="shared" si="30"/>
        <v>#VALUE!</v>
      </c>
      <c r="T120" s="5" t="e">
        <f t="shared" si="31"/>
        <v>#VALUE!</v>
      </c>
      <c r="U120" s="5" t="e">
        <f t="shared" si="32"/>
        <v>#VALUE!</v>
      </c>
      <c r="V120" s="5" t="e">
        <f t="shared" si="33"/>
        <v>#VALUE!</v>
      </c>
    </row>
    <row r="121" spans="1:22" x14ac:dyDescent="0.2">
      <c r="A121" s="35" t="e">
        <f>IF(Tabela1[[#This Row],[Código]]="IBOV","^BVSP",IF(Tabela1[[#This Row],[Código]]="","",CONCATENATE(LEFT(Tabela1[[#This Row],[Código]],6),".SA")))</f>
        <v>#VALUE!</v>
      </c>
      <c r="J121" s="3" t="e">
        <f t="shared" si="27"/>
        <v>#VALUE!</v>
      </c>
      <c r="K121" s="3" t="e">
        <f t="shared" si="34"/>
        <v>#VALUE!</v>
      </c>
      <c r="L121" s="3" t="e">
        <f t="shared" si="34"/>
        <v>#VALUE!</v>
      </c>
      <c r="M121" s="3" t="e">
        <f t="shared" si="34"/>
        <v>#VALUE!</v>
      </c>
      <c r="Q121" s="10" t="e">
        <f t="shared" si="28"/>
        <v>#VALUE!</v>
      </c>
      <c r="R121" s="56" t="e">
        <f t="shared" si="29"/>
        <v>#VALUE!</v>
      </c>
      <c r="S121" s="5" t="e">
        <f t="shared" si="30"/>
        <v>#VALUE!</v>
      </c>
      <c r="T121" s="5" t="e">
        <f t="shared" si="31"/>
        <v>#VALUE!</v>
      </c>
      <c r="U121" s="5" t="e">
        <f t="shared" si="32"/>
        <v>#VALUE!</v>
      </c>
      <c r="V121" s="5" t="e">
        <f t="shared" si="33"/>
        <v>#VALUE!</v>
      </c>
    </row>
    <row r="122" spans="1:22" x14ac:dyDescent="0.2">
      <c r="A122" s="35" t="e">
        <f>IF(Tabela1[[#This Row],[Código]]="IBOV","^BVSP",IF(Tabela1[[#This Row],[Código]]="","",CONCATENATE(LEFT(Tabela1[[#This Row],[Código]],6),".SA")))</f>
        <v>#VALUE!</v>
      </c>
      <c r="J122" s="3" t="e">
        <f t="shared" si="20"/>
        <v>#VALUE!</v>
      </c>
      <c r="K122" s="3" t="e">
        <f t="shared" si="34"/>
        <v>#VALUE!</v>
      </c>
      <c r="L122" s="3" t="e">
        <f t="shared" si="34"/>
        <v>#VALUE!</v>
      </c>
      <c r="M122" s="3" t="e">
        <f t="shared" si="34"/>
        <v>#VALUE!</v>
      </c>
      <c r="Q122" s="10" t="e">
        <f t="shared" si="28"/>
        <v>#VALUE!</v>
      </c>
      <c r="R122" s="56" t="e">
        <f t="shared" si="29"/>
        <v>#VALUE!</v>
      </c>
      <c r="S122" s="5" t="e">
        <f t="shared" si="30"/>
        <v>#VALUE!</v>
      </c>
      <c r="T122" s="5" t="e">
        <f t="shared" si="31"/>
        <v>#VALUE!</v>
      </c>
      <c r="U122" s="5" t="e">
        <f t="shared" si="32"/>
        <v>#VALUE!</v>
      </c>
      <c r="V122" s="5" t="e">
        <f t="shared" si="33"/>
        <v>#VALUE!</v>
      </c>
    </row>
    <row r="123" spans="1:22" x14ac:dyDescent="0.2">
      <c r="A123" s="35" t="e">
        <f>IF(Tabela1[[#This Row],[Código]]="IBOV","^BVSP",IF(Tabela1[[#This Row],[Código]]="","",CONCATENATE(LEFT(Tabela1[[#This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34"/>
        <v>#VALUE!</v>
      </c>
      <c r="L123" s="3" t="e">
        <f t="shared" si="34"/>
        <v>#VALUE!</v>
      </c>
      <c r="M123" s="3" t="e">
        <f t="shared" si="34"/>
        <v>#VALUE!</v>
      </c>
      <c r="Q123" s="10" t="e">
        <f t="shared" si="28"/>
        <v>#VALUE!</v>
      </c>
      <c r="R123" s="56" t="e">
        <f t="shared" si="29"/>
        <v>#VALUE!</v>
      </c>
      <c r="S123" s="5" t="e">
        <f t="shared" si="30"/>
        <v>#VALUE!</v>
      </c>
      <c r="T123" s="5" t="e">
        <f t="shared" si="31"/>
        <v>#VALUE!</v>
      </c>
      <c r="U123" s="5" t="e">
        <f t="shared" si="32"/>
        <v>#VALUE!</v>
      </c>
      <c r="V123" s="5" t="e">
        <f t="shared" si="33"/>
        <v>#VALUE!</v>
      </c>
    </row>
    <row r="124" spans="1:22" x14ac:dyDescent="0.2">
      <c r="A124" s="35" t="e">
        <f>IF(Tabela1[[#This Row],[Código]]="IBOV","^BVSP",IF(Tabela1[[#This Row],[Código]]="","",CONCATENATE(LEFT(Tabela1[[#This Row],[Código]],6),".SA")))</f>
        <v>#VALUE!</v>
      </c>
      <c r="J124" s="3" t="e">
        <f t="shared" si="20"/>
        <v>#VALUE!</v>
      </c>
      <c r="K124" s="3" t="e">
        <f t="shared" si="34"/>
        <v>#VALUE!</v>
      </c>
      <c r="L124" s="3" t="e">
        <f t="shared" si="34"/>
        <v>#VALUE!</v>
      </c>
      <c r="M124" s="3" t="e">
        <f t="shared" si="34"/>
        <v>#VALUE!</v>
      </c>
      <c r="Q124" s="10" t="e">
        <f t="shared" si="28"/>
        <v>#VALUE!</v>
      </c>
      <c r="R124" s="56" t="e">
        <f t="shared" si="29"/>
        <v>#VALUE!</v>
      </c>
      <c r="S124" s="5" t="e">
        <f t="shared" si="30"/>
        <v>#VALUE!</v>
      </c>
      <c r="T124" s="5" t="e">
        <f t="shared" si="31"/>
        <v>#VALUE!</v>
      </c>
      <c r="U124" s="5" t="e">
        <f t="shared" si="32"/>
        <v>#VALUE!</v>
      </c>
      <c r="V124" s="5" t="e">
        <f t="shared" si="33"/>
        <v>#VALUE!</v>
      </c>
    </row>
    <row r="125" spans="1:22" x14ac:dyDescent="0.2">
      <c r="A125" s="35" t="e">
        <f>IF(Tabela1[[#This Row],[Código]]="IBOV","^BVSP",IF(Tabela1[[#This Row],[Código]]="","",CONCATENATE(LEFT(Tabela1[[#This Row],[Código]],6),".SA")))</f>
        <v>#VALUE!</v>
      </c>
      <c r="J125" s="3" t="e">
        <f t="shared" si="20"/>
        <v>#VALUE!</v>
      </c>
      <c r="K125" s="3" t="e">
        <f t="shared" si="34"/>
        <v>#VALUE!</v>
      </c>
      <c r="L125" s="3" t="e">
        <f t="shared" si="34"/>
        <v>#VALUE!</v>
      </c>
      <c r="M125" s="3" t="e">
        <f t="shared" si="34"/>
        <v>#VALUE!</v>
      </c>
      <c r="Q125" s="10" t="e">
        <f t="shared" si="28"/>
        <v>#VALUE!</v>
      </c>
      <c r="R125" s="56" t="e">
        <f t="shared" si="29"/>
        <v>#VALUE!</v>
      </c>
      <c r="S125" s="5" t="e">
        <f t="shared" si="30"/>
        <v>#VALUE!</v>
      </c>
      <c r="T125" s="5" t="e">
        <f t="shared" si="31"/>
        <v>#VALUE!</v>
      </c>
      <c r="U125" s="5" t="e">
        <f t="shared" si="32"/>
        <v>#VALUE!</v>
      </c>
      <c r="V125" s="5" t="e">
        <f t="shared" si="33"/>
        <v>#VALUE!</v>
      </c>
    </row>
    <row r="126" spans="1:22" x14ac:dyDescent="0.2">
      <c r="A126" s="35" t="e">
        <f>IF(Tabela1[[#This Row],[Código]]="IBOV","^BVSP",IF(Tabela1[[#This Row],[Código]]="","",CONCATENATE(LEFT(Tabela1[[#This Row],[Código]],6),".SA")))</f>
        <v>#VALUE!</v>
      </c>
      <c r="J126" s="3" t="e">
        <f t="shared" si="20"/>
        <v>#VALUE!</v>
      </c>
      <c r="K126" s="3" t="e">
        <f t="shared" si="34"/>
        <v>#VALUE!</v>
      </c>
      <c r="L126" s="3" t="e">
        <f t="shared" si="34"/>
        <v>#VALUE!</v>
      </c>
      <c r="M126" s="3" t="e">
        <f t="shared" si="34"/>
        <v>#VALUE!</v>
      </c>
      <c r="Q126" s="10" t="e">
        <f t="shared" si="28"/>
        <v>#VALUE!</v>
      </c>
      <c r="R126" s="56" t="e">
        <f t="shared" si="29"/>
        <v>#VALUE!</v>
      </c>
      <c r="S126" s="5" t="e">
        <f t="shared" si="30"/>
        <v>#VALUE!</v>
      </c>
      <c r="T126" s="5" t="e">
        <f t="shared" si="31"/>
        <v>#VALUE!</v>
      </c>
      <c r="U126" s="5" t="e">
        <f t="shared" si="32"/>
        <v>#VALUE!</v>
      </c>
      <c r="V126" s="5" t="e">
        <f t="shared" si="33"/>
        <v>#VALUE!</v>
      </c>
    </row>
    <row r="127" spans="1:22" x14ac:dyDescent="0.2">
      <c r="A127" s="35" t="e">
        <f>IF(Tabela1[[#This Row],[Código]]="IBOV","^BVSP",IF(Tabela1[[#This Row],[Código]]="","",CONCATENATE(LEFT(Tabela1[[#This Row],[Código]],6),".SA")))</f>
        <v>#VALUE!</v>
      </c>
      <c r="J127" s="3" t="e">
        <f t="shared" si="20"/>
        <v>#VALUE!</v>
      </c>
      <c r="K127" s="3" t="e">
        <f t="shared" si="34"/>
        <v>#VALUE!</v>
      </c>
      <c r="L127" s="3" t="e">
        <f t="shared" si="34"/>
        <v>#VALUE!</v>
      </c>
      <c r="M127" s="3" t="e">
        <f t="shared" si="34"/>
        <v>#VALUE!</v>
      </c>
      <c r="Q127" s="10" t="e">
        <f t="shared" si="28"/>
        <v>#VALUE!</v>
      </c>
      <c r="R127" s="56" t="e">
        <f t="shared" si="29"/>
        <v>#VALUE!</v>
      </c>
      <c r="S127" s="5" t="e">
        <f t="shared" si="30"/>
        <v>#VALUE!</v>
      </c>
      <c r="T127" s="5" t="e">
        <f t="shared" si="31"/>
        <v>#VALUE!</v>
      </c>
      <c r="U127" s="5" t="e">
        <f t="shared" si="32"/>
        <v>#VALUE!</v>
      </c>
      <c r="V127" s="5" t="e">
        <f t="shared" si="33"/>
        <v>#VALUE!</v>
      </c>
    </row>
    <row r="128" spans="1:22" x14ac:dyDescent="0.2">
      <c r="A128" s="35" t="e">
        <f>IF(Tabela1[[#This Row],[Código]]="IBOV","^BVSP",IF(Tabela1[[#This Row],[Código]]="","",CONCATENATE(LEFT(Tabela1[[#This Row],[Código]],6),".SA")))</f>
        <v>#VALUE!</v>
      </c>
      <c r="J128" s="3" t="e">
        <f t="shared" si="20"/>
        <v>#VALUE!</v>
      </c>
      <c r="K128" s="3" t="e">
        <f t="shared" si="34"/>
        <v>#VALUE!</v>
      </c>
      <c r="L128" s="3" t="e">
        <f t="shared" si="34"/>
        <v>#VALUE!</v>
      </c>
      <c r="M128" s="3" t="e">
        <f t="shared" si="34"/>
        <v>#VALUE!</v>
      </c>
      <c r="Q128" s="10" t="e">
        <f t="shared" si="28"/>
        <v>#VALUE!</v>
      </c>
      <c r="R128" s="56" t="e">
        <f t="shared" si="29"/>
        <v>#VALUE!</v>
      </c>
      <c r="S128" s="5" t="e">
        <f t="shared" si="30"/>
        <v>#VALUE!</v>
      </c>
      <c r="T128" s="5" t="e">
        <f t="shared" si="31"/>
        <v>#VALUE!</v>
      </c>
      <c r="U128" s="5" t="e">
        <f t="shared" si="32"/>
        <v>#VALUE!</v>
      </c>
      <c r="V128" s="5" t="e">
        <f t="shared" si="33"/>
        <v>#VALUE!</v>
      </c>
    </row>
    <row r="129" spans="1:22" x14ac:dyDescent="0.2">
      <c r="A129" s="35" t="e">
        <f>IF(Tabela1[[#This Row],[Código]]="IBOV","^BVSP",IF(Tabela1[[#This Row],[Código]]="","",CONCATENATE(LEFT(Tabela1[[#This Row],[Código]],6),".SA")))</f>
        <v>#VALUE!</v>
      </c>
      <c r="J129" s="3" t="e">
        <f t="shared" si="20"/>
        <v>#VALUE!</v>
      </c>
      <c r="K129" s="3" t="e">
        <f t="shared" si="34"/>
        <v>#VALUE!</v>
      </c>
      <c r="L129" s="3" t="e">
        <f t="shared" si="34"/>
        <v>#VALUE!</v>
      </c>
      <c r="M129" s="3" t="e">
        <f t="shared" si="34"/>
        <v>#VALUE!</v>
      </c>
      <c r="P129" s="4"/>
      <c r="Q129" s="10" t="e">
        <f t="shared" si="28"/>
        <v>#VALUE!</v>
      </c>
      <c r="R129" s="56" t="e">
        <f t="shared" si="29"/>
        <v>#VALUE!</v>
      </c>
      <c r="S129" s="5" t="e">
        <f t="shared" si="30"/>
        <v>#VALUE!</v>
      </c>
      <c r="T129" s="5" t="e">
        <f t="shared" si="31"/>
        <v>#VALUE!</v>
      </c>
      <c r="U129" s="5" t="e">
        <f t="shared" si="32"/>
        <v>#VALUE!</v>
      </c>
      <c r="V129" s="5" t="e">
        <f t="shared" si="33"/>
        <v>#VALUE!</v>
      </c>
    </row>
    <row r="130" spans="1:22" x14ac:dyDescent="0.2">
      <c r="A130" s="35" t="e">
        <f>IF(Tabela1[[#This Row],[Código]]="IBOV","^BVSP",IF(Tabela1[[#This Row],[Código]]="","",CONCATENATE(LEFT(Tabela1[[#This Row],[Código]],6),".SA")))</f>
        <v>#VALUE!</v>
      </c>
      <c r="J130" s="3" t="e">
        <f t="shared" si="20"/>
        <v>#VALUE!</v>
      </c>
      <c r="K130" s="3" t="e">
        <f t="shared" si="34"/>
        <v>#VALUE!</v>
      </c>
      <c r="L130" s="3" t="e">
        <f t="shared" si="34"/>
        <v>#VALUE!</v>
      </c>
      <c r="M130" s="3" t="e">
        <f t="shared" si="34"/>
        <v>#VALUE!</v>
      </c>
      <c r="P130" s="10"/>
      <c r="Q130" s="10" t="str">
        <f t="shared" si="28"/>
        <v/>
      </c>
      <c r="R130" s="56" t="str">
        <f t="shared" si="29"/>
        <v/>
      </c>
      <c r="S130" s="5">
        <f t="shared" si="30"/>
        <v>0</v>
      </c>
      <c r="T130" s="5">
        <f t="shared" si="31"/>
        <v>0</v>
      </c>
      <c r="U130" s="5">
        <f t="shared" si="32"/>
        <v>0</v>
      </c>
      <c r="V130" s="5">
        <f t="shared" si="33"/>
        <v>0</v>
      </c>
    </row>
    <row r="131" spans="1:22" x14ac:dyDescent="0.2">
      <c r="A131" s="35" t="e">
        <f>IF(Tabela1[[#This Row],[Código]]="IBOV","^BVSP",IF(Tabela1[[#This Row],[Código]]="","",CONCATENATE(LEFT(Tabela1[[#This Row],[Código]],6),".SA")))</f>
        <v>#VALUE!</v>
      </c>
      <c r="J131" s="3" t="e">
        <f t="shared" si="20"/>
        <v>#VALUE!</v>
      </c>
      <c r="K131" s="3" t="e">
        <f t="shared" si="34"/>
        <v>#VALUE!</v>
      </c>
      <c r="L131" s="3" t="e">
        <f t="shared" si="34"/>
        <v>#VALUE!</v>
      </c>
      <c r="M131" s="3" t="e">
        <f t="shared" si="34"/>
        <v>#VALUE!</v>
      </c>
      <c r="Q131" s="10" t="str">
        <f t="shared" si="28"/>
        <v/>
      </c>
      <c r="R131" s="56" t="str">
        <f t="shared" si="29"/>
        <v/>
      </c>
      <c r="S131" s="5">
        <f t="shared" si="30"/>
        <v>0</v>
      </c>
      <c r="T131" s="5">
        <f t="shared" si="31"/>
        <v>0</v>
      </c>
      <c r="U131" s="5">
        <f t="shared" si="32"/>
        <v>0</v>
      </c>
      <c r="V131" s="5">
        <f t="shared" si="33"/>
        <v>0</v>
      </c>
    </row>
    <row r="132" spans="1:22" x14ac:dyDescent="0.2">
      <c r="A132" s="35" t="e">
        <f>IF(Tabela1[[#This Row],[Código]]="IBOV","^BVSP",IF(Tabela1[[#This Row],[Código]]="","",CONCATENATE(LEFT(Tabela1[[#This Row],[Código]],6),".SA")))</f>
        <v>#VALUE!</v>
      </c>
      <c r="J132" s="3" t="e">
        <f t="shared" si="20"/>
        <v>#VALUE!</v>
      </c>
      <c r="K132" s="3" t="e">
        <f t="shared" si="34"/>
        <v>#VALUE!</v>
      </c>
      <c r="L132" s="3" t="e">
        <f t="shared" si="34"/>
        <v>#VALUE!</v>
      </c>
      <c r="M132" s="3" t="e">
        <f t="shared" si="34"/>
        <v>#VALUE!</v>
      </c>
      <c r="P132" s="3" t="str">
        <f>IF([1]Patrimonio!C143="","",[1]Patrimonio!C143)</f>
        <v/>
      </c>
      <c r="Q132" s="3" t="str">
        <f t="shared" ref="Q132:Q144" si="35">IF(A148="","",C149)</f>
        <v/>
      </c>
      <c r="R132" s="20" t="str">
        <f t="shared" ref="R132:R158" si="36">IF(A148="","",H148)</f>
        <v/>
      </c>
      <c r="S132" s="5">
        <f t="shared" ref="S132:V135" si="37">J148</f>
        <v>0</v>
      </c>
      <c r="T132" s="5">
        <f t="shared" si="37"/>
        <v>0</v>
      </c>
      <c r="U132" s="5">
        <f t="shared" si="37"/>
        <v>0</v>
      </c>
      <c r="V132" s="5">
        <f t="shared" si="37"/>
        <v>0</v>
      </c>
    </row>
    <row r="133" spans="1:22" x14ac:dyDescent="0.2">
      <c r="A133" s="35" t="e">
        <f>IF(Tabela1[[#This Row],[Código]]="IBOV","^BVSP",IF(Tabela1[[#This Row],[Código]]="","",CONCATENATE(LEFT(Tabela1[[#This Row],[Código]],6),".SA")))</f>
        <v>#VALUE!</v>
      </c>
      <c r="J133" s="3" t="e">
        <f t="shared" si="20"/>
        <v>#VALUE!</v>
      </c>
      <c r="K133" s="3" t="e">
        <f t="shared" si="34"/>
        <v>#VALUE!</v>
      </c>
      <c r="L133" s="3" t="e">
        <f t="shared" si="34"/>
        <v>#VALUE!</v>
      </c>
      <c r="M133" s="3" t="e">
        <f t="shared" si="34"/>
        <v>#VALUE!</v>
      </c>
      <c r="P133" s="3" t="str">
        <f>IF([1]Patrimonio!C144="","",[1]Patrimonio!C144)</f>
        <v/>
      </c>
      <c r="Q133" s="3" t="str">
        <f t="shared" si="35"/>
        <v/>
      </c>
      <c r="R133" s="20" t="str">
        <f t="shared" si="36"/>
        <v/>
      </c>
      <c r="S133" s="5">
        <f t="shared" si="37"/>
        <v>0</v>
      </c>
      <c r="T133" s="5">
        <f t="shared" si="37"/>
        <v>0</v>
      </c>
      <c r="U133" s="5">
        <f t="shared" si="37"/>
        <v>0</v>
      </c>
      <c r="V133" s="5">
        <f t="shared" si="37"/>
        <v>0</v>
      </c>
    </row>
    <row r="134" spans="1:22" x14ac:dyDescent="0.2">
      <c r="A134" s="35"/>
      <c r="J134" s="3">
        <f t="shared" si="20"/>
        <v>0</v>
      </c>
      <c r="K134" s="3">
        <f t="shared" si="34"/>
        <v>0</v>
      </c>
      <c r="L134" s="3">
        <f t="shared" si="34"/>
        <v>0</v>
      </c>
      <c r="M134" s="3">
        <f t="shared" si="34"/>
        <v>0</v>
      </c>
      <c r="P134" s="3" t="str">
        <f>IF([1]Patrimonio!C145="","",[1]Patrimonio!C145)</f>
        <v/>
      </c>
      <c r="Q134" s="3" t="str">
        <f t="shared" si="35"/>
        <v/>
      </c>
      <c r="R134" s="20" t="str">
        <f t="shared" si="36"/>
        <v/>
      </c>
      <c r="S134" s="5">
        <f t="shared" si="37"/>
        <v>0</v>
      </c>
      <c r="T134" s="5">
        <f t="shared" si="37"/>
        <v>0</v>
      </c>
      <c r="U134" s="5">
        <f t="shared" si="37"/>
        <v>0</v>
      </c>
      <c r="V134" s="5">
        <f t="shared" si="37"/>
        <v>0</v>
      </c>
    </row>
    <row r="135" spans="1:22" x14ac:dyDescent="0.2">
      <c r="A135" s="35"/>
      <c r="J135" s="3">
        <f t="shared" si="20"/>
        <v>0</v>
      </c>
      <c r="K135" s="3">
        <f t="shared" si="34"/>
        <v>0</v>
      </c>
      <c r="L135" s="3">
        <f t="shared" si="34"/>
        <v>0</v>
      </c>
      <c r="M135" s="3">
        <f t="shared" si="34"/>
        <v>0</v>
      </c>
      <c r="P135" s="3" t="str">
        <f>IF([1]Patrimonio!C146="","",[1]Patrimonio!C146)</f>
        <v/>
      </c>
      <c r="Q135" s="3" t="str">
        <f t="shared" si="35"/>
        <v/>
      </c>
      <c r="R135" s="20" t="str">
        <f t="shared" si="36"/>
        <v/>
      </c>
      <c r="S135" s="5">
        <f t="shared" si="37"/>
        <v>0</v>
      </c>
      <c r="T135" s="5">
        <f t="shared" si="37"/>
        <v>0</v>
      </c>
      <c r="U135" s="5">
        <f t="shared" si="37"/>
        <v>0</v>
      </c>
      <c r="V135" s="5">
        <f t="shared" si="37"/>
        <v>0</v>
      </c>
    </row>
    <row r="136" spans="1:22" x14ac:dyDescent="0.2">
      <c r="A136" s="35"/>
      <c r="J136" s="3">
        <f t="shared" ref="J136:J172" si="38">IF($A136="",0,VALUE(CONCATENATE(LEFT(D136,LEN(D136)-3),",",RIGHT(D136,2))))</f>
        <v>0</v>
      </c>
      <c r="K136" s="3">
        <f t="shared" si="34"/>
        <v>0</v>
      </c>
      <c r="L136" s="3">
        <f t="shared" si="34"/>
        <v>0</v>
      </c>
      <c r="M136" s="3">
        <f t="shared" si="34"/>
        <v>0</v>
      </c>
      <c r="P136" s="3" t="str">
        <f>IF([1]Patrimonio!C147="","",[1]Patrimonio!C147)</f>
        <v/>
      </c>
      <c r="Q136" s="3" t="str">
        <f t="shared" si="35"/>
        <v/>
      </c>
      <c r="R136" s="20" t="str">
        <f t="shared" si="36"/>
        <v/>
      </c>
      <c r="S136" s="5">
        <f t="shared" ref="S136:V158" si="39">J152</f>
        <v>0</v>
      </c>
      <c r="T136" s="5">
        <f t="shared" si="39"/>
        <v>0</v>
      </c>
      <c r="U136" s="5">
        <f t="shared" si="39"/>
        <v>0</v>
      </c>
      <c r="V136" s="5">
        <f t="shared" si="39"/>
        <v>0</v>
      </c>
    </row>
    <row r="137" spans="1:22" x14ac:dyDescent="0.2">
      <c r="A137" s="35"/>
      <c r="J137" s="3">
        <f t="shared" si="38"/>
        <v>0</v>
      </c>
      <c r="K137" s="3">
        <f t="shared" si="34"/>
        <v>0</v>
      </c>
      <c r="L137" s="3">
        <f t="shared" si="34"/>
        <v>0</v>
      </c>
      <c r="M137" s="3">
        <f t="shared" si="34"/>
        <v>0</v>
      </c>
      <c r="P137" s="3" t="str">
        <f>IF([1]Patrimonio!C148="","",[1]Patrimonio!C148)</f>
        <v/>
      </c>
      <c r="Q137" s="3" t="str">
        <f t="shared" si="35"/>
        <v/>
      </c>
      <c r="R137" s="20" t="str">
        <f t="shared" si="36"/>
        <v/>
      </c>
      <c r="S137" s="5">
        <f t="shared" si="39"/>
        <v>0</v>
      </c>
      <c r="T137" s="5">
        <f t="shared" si="39"/>
        <v>0</v>
      </c>
      <c r="U137" s="5">
        <f t="shared" si="39"/>
        <v>0</v>
      </c>
      <c r="V137" s="5">
        <f t="shared" si="39"/>
        <v>0</v>
      </c>
    </row>
    <row r="138" spans="1:22" x14ac:dyDescent="0.2">
      <c r="A138" s="35"/>
      <c r="J138" s="3">
        <f t="shared" si="38"/>
        <v>0</v>
      </c>
      <c r="K138" s="3">
        <f t="shared" si="34"/>
        <v>0</v>
      </c>
      <c r="L138" s="3">
        <f t="shared" si="34"/>
        <v>0</v>
      </c>
      <c r="M138" s="3">
        <f t="shared" si="34"/>
        <v>0</v>
      </c>
      <c r="P138" s="3" t="str">
        <f>IF([1]Patrimonio!C149="","",[1]Patrimonio!C149)</f>
        <v/>
      </c>
      <c r="Q138" s="3" t="str">
        <f t="shared" si="35"/>
        <v/>
      </c>
      <c r="R138" s="20" t="str">
        <f t="shared" si="36"/>
        <v/>
      </c>
      <c r="S138" s="5">
        <f t="shared" si="39"/>
        <v>0</v>
      </c>
      <c r="T138" s="5">
        <f t="shared" si="39"/>
        <v>0</v>
      </c>
      <c r="U138" s="5">
        <f t="shared" si="39"/>
        <v>0</v>
      </c>
      <c r="V138" s="5">
        <f t="shared" si="39"/>
        <v>0</v>
      </c>
    </row>
    <row r="139" spans="1:22" x14ac:dyDescent="0.2">
      <c r="A139" s="35"/>
      <c r="J139" s="3">
        <f t="shared" si="38"/>
        <v>0</v>
      </c>
      <c r="K139" s="3">
        <f t="shared" si="34"/>
        <v>0</v>
      </c>
      <c r="L139" s="3">
        <f t="shared" si="34"/>
        <v>0</v>
      </c>
      <c r="M139" s="3">
        <f t="shared" si="34"/>
        <v>0</v>
      </c>
      <c r="P139" s="3" t="str">
        <f>IF([1]Patrimonio!C150="","",[1]Patrimonio!C150)</f>
        <v/>
      </c>
      <c r="Q139" s="3" t="str">
        <f t="shared" si="35"/>
        <v/>
      </c>
      <c r="R139" s="20" t="str">
        <f t="shared" si="36"/>
        <v/>
      </c>
      <c r="S139" s="5">
        <f t="shared" si="39"/>
        <v>0</v>
      </c>
      <c r="T139" s="5">
        <f t="shared" si="39"/>
        <v>0</v>
      </c>
      <c r="U139" s="5">
        <f t="shared" si="39"/>
        <v>0</v>
      </c>
      <c r="V139" s="5">
        <f t="shared" si="39"/>
        <v>0</v>
      </c>
    </row>
    <row r="140" spans="1:22" x14ac:dyDescent="0.2">
      <c r="A140" s="35"/>
      <c r="J140" s="3">
        <f t="shared" si="38"/>
        <v>0</v>
      </c>
      <c r="K140" s="3">
        <f t="shared" si="34"/>
        <v>0</v>
      </c>
      <c r="L140" s="3">
        <f t="shared" si="34"/>
        <v>0</v>
      </c>
      <c r="M140" s="3">
        <f t="shared" si="34"/>
        <v>0</v>
      </c>
      <c r="P140" s="3" t="str">
        <f>IF([1]Patrimonio!C151="","",[1]Patrimonio!C151)</f>
        <v/>
      </c>
      <c r="Q140" s="3" t="str">
        <f t="shared" si="35"/>
        <v/>
      </c>
      <c r="R140" s="20" t="str">
        <f t="shared" si="36"/>
        <v/>
      </c>
      <c r="S140" s="5">
        <f t="shared" si="39"/>
        <v>0</v>
      </c>
      <c r="T140" s="5">
        <f t="shared" si="39"/>
        <v>0</v>
      </c>
      <c r="U140" s="5">
        <f t="shared" si="39"/>
        <v>0</v>
      </c>
      <c r="V140" s="5">
        <f t="shared" si="39"/>
        <v>0</v>
      </c>
    </row>
    <row r="141" spans="1:22" x14ac:dyDescent="0.2">
      <c r="A141" s="35"/>
      <c r="J141" s="3">
        <f t="shared" si="38"/>
        <v>0</v>
      </c>
      <c r="K141" s="3">
        <f t="shared" si="34"/>
        <v>0</v>
      </c>
      <c r="L141" s="3">
        <f t="shared" si="34"/>
        <v>0</v>
      </c>
      <c r="M141" s="3">
        <f t="shared" si="34"/>
        <v>0</v>
      </c>
      <c r="P141" s="3" t="str">
        <f>IF([1]Patrimonio!C152="","",[1]Patrimonio!C152)</f>
        <v/>
      </c>
      <c r="Q141" s="3" t="str">
        <f t="shared" si="35"/>
        <v/>
      </c>
      <c r="R141" s="20" t="str">
        <f t="shared" si="36"/>
        <v/>
      </c>
      <c r="S141" s="5">
        <f t="shared" si="39"/>
        <v>0</v>
      </c>
      <c r="T141" s="5">
        <f t="shared" si="39"/>
        <v>0</v>
      </c>
      <c r="U141" s="5">
        <f t="shared" si="39"/>
        <v>0</v>
      </c>
      <c r="V141" s="5">
        <f t="shared" si="39"/>
        <v>0</v>
      </c>
    </row>
    <row r="142" spans="1:22" x14ac:dyDescent="0.2">
      <c r="A142" s="35"/>
      <c r="J142" s="3">
        <f t="shared" si="38"/>
        <v>0</v>
      </c>
      <c r="K142" s="3">
        <f t="shared" si="34"/>
        <v>0</v>
      </c>
      <c r="L142" s="3">
        <f t="shared" si="34"/>
        <v>0</v>
      </c>
      <c r="M142" s="3">
        <f t="shared" si="34"/>
        <v>0</v>
      </c>
      <c r="P142" s="3" t="str">
        <f>IF([1]Patrimonio!C153="","",[1]Patrimonio!C153)</f>
        <v/>
      </c>
      <c r="Q142" s="3" t="str">
        <f t="shared" si="35"/>
        <v/>
      </c>
      <c r="R142" s="20" t="str">
        <f t="shared" si="36"/>
        <v/>
      </c>
      <c r="S142" s="5">
        <f t="shared" si="39"/>
        <v>0</v>
      </c>
      <c r="T142" s="5">
        <f t="shared" si="39"/>
        <v>0</v>
      </c>
      <c r="U142" s="5">
        <f t="shared" si="39"/>
        <v>0</v>
      </c>
      <c r="V142" s="5">
        <f t="shared" si="39"/>
        <v>0</v>
      </c>
    </row>
    <row r="143" spans="1:22" x14ac:dyDescent="0.2">
      <c r="A143" s="35"/>
      <c r="J143" s="3">
        <f t="shared" si="38"/>
        <v>0</v>
      </c>
      <c r="K143" s="3">
        <f t="shared" si="34"/>
        <v>0</v>
      </c>
      <c r="L143" s="3">
        <f t="shared" si="34"/>
        <v>0</v>
      </c>
      <c r="M143" s="3">
        <f t="shared" si="34"/>
        <v>0</v>
      </c>
      <c r="P143" s="3" t="str">
        <f>IF([1]Patrimonio!C154="","",[1]Patrimonio!C154)</f>
        <v/>
      </c>
      <c r="Q143" s="3" t="str">
        <f t="shared" si="35"/>
        <v/>
      </c>
      <c r="R143" s="20" t="str">
        <f t="shared" si="36"/>
        <v/>
      </c>
      <c r="S143" s="5">
        <f t="shared" si="39"/>
        <v>0</v>
      </c>
      <c r="T143" s="5">
        <f t="shared" si="39"/>
        <v>0</v>
      </c>
      <c r="U143" s="5">
        <f t="shared" si="39"/>
        <v>0</v>
      </c>
      <c r="V143" s="5">
        <f t="shared" si="39"/>
        <v>0</v>
      </c>
    </row>
    <row r="144" spans="1:22" x14ac:dyDescent="0.2">
      <c r="A144" s="35"/>
      <c r="J144" s="3">
        <f t="shared" si="38"/>
        <v>0</v>
      </c>
      <c r="K144" s="3">
        <f t="shared" si="34"/>
        <v>0</v>
      </c>
      <c r="L144" s="3">
        <f t="shared" si="34"/>
        <v>0</v>
      </c>
      <c r="M144" s="3">
        <f t="shared" si="34"/>
        <v>0</v>
      </c>
      <c r="P144" s="3" t="str">
        <f>IF([1]Patrimonio!C155="","",[1]Patrimonio!C155)</f>
        <v/>
      </c>
      <c r="Q144" s="3" t="str">
        <f t="shared" si="35"/>
        <v/>
      </c>
      <c r="R144" s="20" t="str">
        <f t="shared" si="36"/>
        <v/>
      </c>
      <c r="S144" s="5">
        <f t="shared" si="39"/>
        <v>0</v>
      </c>
      <c r="T144" s="5">
        <f t="shared" si="39"/>
        <v>0</v>
      </c>
      <c r="U144" s="5">
        <f t="shared" si="39"/>
        <v>0</v>
      </c>
      <c r="V144" s="5">
        <f t="shared" si="39"/>
        <v>0</v>
      </c>
    </row>
    <row r="145" spans="1:22" x14ac:dyDescent="0.2">
      <c r="A145" s="35"/>
      <c r="J145" s="3">
        <f t="shared" si="38"/>
        <v>0</v>
      </c>
      <c r="K145" s="3">
        <f t="shared" si="34"/>
        <v>0</v>
      </c>
      <c r="L145" s="3">
        <f t="shared" si="34"/>
        <v>0</v>
      </c>
      <c r="M145" s="3">
        <f t="shared" si="34"/>
        <v>0</v>
      </c>
      <c r="P145" s="3" t="str">
        <f>IF([1]Patrimonio!C156="","",[1]Patrimonio!C156)</f>
        <v/>
      </c>
      <c r="Q145" s="3" t="str">
        <f t="shared" ref="Q145:Q158" si="40">IF(A161="","",C162)</f>
        <v/>
      </c>
      <c r="R145" s="20" t="str">
        <f t="shared" si="36"/>
        <v/>
      </c>
      <c r="S145" s="5">
        <f t="shared" si="39"/>
        <v>0</v>
      </c>
      <c r="T145" s="5">
        <f t="shared" si="39"/>
        <v>0</v>
      </c>
      <c r="U145" s="5">
        <f t="shared" si="39"/>
        <v>0</v>
      </c>
      <c r="V145" s="5">
        <f t="shared" si="39"/>
        <v>0</v>
      </c>
    </row>
    <row r="146" spans="1:22" x14ac:dyDescent="0.2">
      <c r="A146" s="35"/>
      <c r="J146" s="3">
        <f t="shared" si="38"/>
        <v>0</v>
      </c>
      <c r="K146" s="3">
        <f t="shared" si="34"/>
        <v>0</v>
      </c>
      <c r="L146" s="3">
        <f t="shared" si="34"/>
        <v>0</v>
      </c>
      <c r="M146" s="3">
        <f t="shared" si="34"/>
        <v>0</v>
      </c>
      <c r="P146" s="3" t="str">
        <f>IF([1]Patrimonio!C157="","",[1]Patrimonio!C157)</f>
        <v/>
      </c>
      <c r="Q146" s="3" t="str">
        <f t="shared" si="40"/>
        <v/>
      </c>
      <c r="R146" s="20" t="str">
        <f t="shared" si="36"/>
        <v/>
      </c>
      <c r="S146" s="5">
        <f t="shared" si="39"/>
        <v>0</v>
      </c>
      <c r="T146" s="5">
        <f t="shared" si="39"/>
        <v>0</v>
      </c>
      <c r="U146" s="5">
        <f t="shared" si="39"/>
        <v>0</v>
      </c>
      <c r="V146" s="5">
        <f t="shared" si="39"/>
        <v>0</v>
      </c>
    </row>
    <row r="147" spans="1:22" x14ac:dyDescent="0.2">
      <c r="A147" s="35"/>
      <c r="J147" s="3">
        <f t="shared" si="38"/>
        <v>0</v>
      </c>
      <c r="K147" s="3">
        <f t="shared" si="34"/>
        <v>0</v>
      </c>
      <c r="L147" s="3">
        <f t="shared" si="34"/>
        <v>0</v>
      </c>
      <c r="M147" s="3">
        <f t="shared" si="34"/>
        <v>0</v>
      </c>
      <c r="P147" s="3" t="str">
        <f>IF([1]Patrimonio!C158="","",[1]Patrimonio!C158)</f>
        <v/>
      </c>
      <c r="Q147" s="3" t="str">
        <f t="shared" si="40"/>
        <v/>
      </c>
      <c r="R147" s="20" t="str">
        <f t="shared" si="36"/>
        <v/>
      </c>
      <c r="S147" s="5">
        <f t="shared" si="39"/>
        <v>0</v>
      </c>
      <c r="T147" s="5">
        <f t="shared" si="39"/>
        <v>0</v>
      </c>
      <c r="U147" s="5">
        <f t="shared" si="39"/>
        <v>0</v>
      </c>
      <c r="V147" s="5">
        <f t="shared" si="39"/>
        <v>0</v>
      </c>
    </row>
    <row r="148" spans="1:22" x14ac:dyDescent="0.2">
      <c r="A148" s="35"/>
      <c r="J148" s="3">
        <f t="shared" si="38"/>
        <v>0</v>
      </c>
      <c r="K148" s="3">
        <f t="shared" si="34"/>
        <v>0</v>
      </c>
      <c r="L148" s="3">
        <f t="shared" si="34"/>
        <v>0</v>
      </c>
      <c r="M148" s="3">
        <f t="shared" si="34"/>
        <v>0</v>
      </c>
      <c r="P148" s="3" t="str">
        <f>IF([1]Patrimonio!C159="","",[1]Patrimonio!C159)</f>
        <v/>
      </c>
      <c r="Q148" s="3" t="str">
        <f t="shared" si="40"/>
        <v/>
      </c>
      <c r="R148" s="20" t="str">
        <f t="shared" si="36"/>
        <v/>
      </c>
      <c r="S148" s="5">
        <f t="shared" si="39"/>
        <v>0</v>
      </c>
      <c r="T148" s="5">
        <f t="shared" si="39"/>
        <v>0</v>
      </c>
      <c r="U148" s="5">
        <f t="shared" si="39"/>
        <v>0</v>
      </c>
      <c r="V148" s="5">
        <f t="shared" si="39"/>
        <v>0</v>
      </c>
    </row>
    <row r="149" spans="1:22" x14ac:dyDescent="0.2">
      <c r="A149" s="35"/>
      <c r="J149" s="3">
        <f t="shared" si="38"/>
        <v>0</v>
      </c>
      <c r="K149" s="3">
        <f t="shared" si="34"/>
        <v>0</v>
      </c>
      <c r="L149" s="3">
        <f t="shared" si="34"/>
        <v>0</v>
      </c>
      <c r="M149" s="3">
        <f t="shared" si="34"/>
        <v>0</v>
      </c>
      <c r="P149" s="3" t="str">
        <f>IF([1]Patrimonio!C160="","",[1]Patrimonio!C160)</f>
        <v/>
      </c>
      <c r="Q149" s="3" t="str">
        <f t="shared" si="40"/>
        <v/>
      </c>
      <c r="R149" s="20" t="str">
        <f t="shared" si="36"/>
        <v/>
      </c>
      <c r="S149" s="5">
        <f t="shared" si="39"/>
        <v>0</v>
      </c>
      <c r="T149" s="5">
        <f t="shared" si="39"/>
        <v>0</v>
      </c>
      <c r="U149" s="5">
        <f t="shared" si="39"/>
        <v>0</v>
      </c>
      <c r="V149" s="5">
        <f t="shared" si="39"/>
        <v>0</v>
      </c>
    </row>
    <row r="150" spans="1:22" x14ac:dyDescent="0.2">
      <c r="A150" s="35"/>
      <c r="J150" s="3">
        <f t="shared" si="38"/>
        <v>0</v>
      </c>
      <c r="K150" s="3">
        <f t="shared" si="34"/>
        <v>0</v>
      </c>
      <c r="L150" s="3">
        <f t="shared" si="34"/>
        <v>0</v>
      </c>
      <c r="M150" s="3">
        <f t="shared" si="34"/>
        <v>0</v>
      </c>
      <c r="P150" s="3" t="str">
        <f>IF([1]Patrimonio!C161="","",[1]Patrimonio!C161)</f>
        <v/>
      </c>
      <c r="Q150" s="3" t="str">
        <f t="shared" si="40"/>
        <v/>
      </c>
      <c r="R150" s="20" t="str">
        <f t="shared" si="36"/>
        <v/>
      </c>
      <c r="S150" s="5">
        <f t="shared" si="39"/>
        <v>0</v>
      </c>
      <c r="T150" s="5">
        <f t="shared" si="39"/>
        <v>0</v>
      </c>
      <c r="U150" s="5">
        <f t="shared" si="39"/>
        <v>0</v>
      </c>
      <c r="V150" s="5">
        <f t="shared" si="39"/>
        <v>0</v>
      </c>
    </row>
    <row r="151" spans="1:22" x14ac:dyDescent="0.2">
      <c r="A151" s="35"/>
      <c r="J151" s="3">
        <f t="shared" si="38"/>
        <v>0</v>
      </c>
      <c r="K151" s="3">
        <f t="shared" si="34"/>
        <v>0</v>
      </c>
      <c r="L151" s="3">
        <f t="shared" si="34"/>
        <v>0</v>
      </c>
      <c r="M151" s="3">
        <f t="shared" si="34"/>
        <v>0</v>
      </c>
      <c r="P151" s="3" t="str">
        <f>IF([1]Patrimonio!C162="","",[1]Patrimonio!C162)</f>
        <v/>
      </c>
      <c r="Q151" s="3" t="str">
        <f t="shared" si="40"/>
        <v/>
      </c>
      <c r="R151" s="20" t="str">
        <f t="shared" si="36"/>
        <v/>
      </c>
      <c r="S151" s="5">
        <f t="shared" si="39"/>
        <v>0</v>
      </c>
      <c r="T151" s="5">
        <f t="shared" si="39"/>
        <v>0</v>
      </c>
      <c r="U151" s="5">
        <f t="shared" si="39"/>
        <v>0</v>
      </c>
      <c r="V151" s="5">
        <f t="shared" si="39"/>
        <v>0</v>
      </c>
    </row>
    <row r="152" spans="1:22" x14ac:dyDescent="0.2">
      <c r="A152" s="35"/>
      <c r="J152" s="3">
        <f t="shared" si="38"/>
        <v>0</v>
      </c>
      <c r="K152" s="3">
        <f t="shared" si="34"/>
        <v>0</v>
      </c>
      <c r="L152" s="3">
        <f t="shared" si="34"/>
        <v>0</v>
      </c>
      <c r="M152" s="3">
        <f t="shared" si="34"/>
        <v>0</v>
      </c>
      <c r="P152" s="3" t="str">
        <f>IF([1]Patrimonio!C163="","",[1]Patrimonio!C163)</f>
        <v/>
      </c>
      <c r="Q152" s="3" t="str">
        <f t="shared" si="40"/>
        <v/>
      </c>
      <c r="R152" s="20" t="str">
        <f t="shared" si="36"/>
        <v/>
      </c>
      <c r="S152" s="5">
        <f t="shared" si="39"/>
        <v>0</v>
      </c>
      <c r="T152" s="5">
        <f t="shared" si="39"/>
        <v>0</v>
      </c>
      <c r="U152" s="5">
        <f t="shared" si="39"/>
        <v>0</v>
      </c>
      <c r="V152" s="5">
        <f t="shared" si="39"/>
        <v>0</v>
      </c>
    </row>
    <row r="153" spans="1:22" x14ac:dyDescent="0.2">
      <c r="A153" s="35"/>
      <c r="J153" s="3">
        <f t="shared" si="38"/>
        <v>0</v>
      </c>
      <c r="K153" s="3">
        <f t="shared" si="34"/>
        <v>0</v>
      </c>
      <c r="L153" s="3">
        <f t="shared" si="34"/>
        <v>0</v>
      </c>
      <c r="M153" s="3">
        <f t="shared" si="34"/>
        <v>0</v>
      </c>
      <c r="P153" s="3" t="str">
        <f>IF([1]Patrimonio!C164="","",[1]Patrimonio!C164)</f>
        <v/>
      </c>
      <c r="Q153" s="3" t="str">
        <f t="shared" si="40"/>
        <v/>
      </c>
      <c r="R153" s="20" t="str">
        <f t="shared" si="36"/>
        <v/>
      </c>
      <c r="S153" s="5">
        <f t="shared" si="39"/>
        <v>0</v>
      </c>
      <c r="T153" s="5">
        <f t="shared" si="39"/>
        <v>0</v>
      </c>
      <c r="U153" s="5">
        <f t="shared" si="39"/>
        <v>0</v>
      </c>
      <c r="V153" s="5">
        <f t="shared" si="39"/>
        <v>0</v>
      </c>
    </row>
    <row r="154" spans="1:22" x14ac:dyDescent="0.2">
      <c r="A154" s="35"/>
      <c r="J154" s="3">
        <f t="shared" si="38"/>
        <v>0</v>
      </c>
      <c r="K154" s="3">
        <f t="shared" si="34"/>
        <v>0</v>
      </c>
      <c r="L154" s="3">
        <f t="shared" si="34"/>
        <v>0</v>
      </c>
      <c r="M154" s="3">
        <f t="shared" si="34"/>
        <v>0</v>
      </c>
      <c r="P154" s="3" t="str">
        <f>IF([1]Patrimonio!C165="","",[1]Patrimonio!C165)</f>
        <v/>
      </c>
      <c r="Q154" s="3" t="str">
        <f t="shared" si="40"/>
        <v/>
      </c>
      <c r="R154" s="20" t="str">
        <f t="shared" si="36"/>
        <v/>
      </c>
      <c r="S154" s="5">
        <f t="shared" si="39"/>
        <v>0</v>
      </c>
      <c r="T154" s="5">
        <f t="shared" si="39"/>
        <v>0</v>
      </c>
      <c r="U154" s="5">
        <f t="shared" si="39"/>
        <v>0</v>
      </c>
      <c r="V154" s="5">
        <f t="shared" si="39"/>
        <v>0</v>
      </c>
    </row>
    <row r="155" spans="1:22" x14ac:dyDescent="0.2">
      <c r="A155" s="35"/>
      <c r="J155" s="3">
        <f t="shared" si="38"/>
        <v>0</v>
      </c>
      <c r="K155" s="3">
        <f t="shared" si="34"/>
        <v>0</v>
      </c>
      <c r="L155" s="3">
        <f t="shared" si="34"/>
        <v>0</v>
      </c>
      <c r="M155" s="3">
        <f t="shared" si="34"/>
        <v>0</v>
      </c>
      <c r="P155" s="3" t="str">
        <f>IF([1]Patrimonio!C166="","",[1]Patrimonio!C166)</f>
        <v/>
      </c>
      <c r="Q155" s="3" t="str">
        <f t="shared" si="40"/>
        <v/>
      </c>
      <c r="R155" s="20" t="str">
        <f t="shared" si="36"/>
        <v/>
      </c>
      <c r="S155" s="5">
        <f t="shared" si="39"/>
        <v>0</v>
      </c>
      <c r="T155" s="5">
        <f t="shared" si="39"/>
        <v>0</v>
      </c>
      <c r="U155" s="5">
        <f t="shared" si="39"/>
        <v>0</v>
      </c>
      <c r="V155" s="5">
        <f t="shared" si="39"/>
        <v>0</v>
      </c>
    </row>
    <row r="156" spans="1:22" x14ac:dyDescent="0.2">
      <c r="A156" s="35"/>
      <c r="J156" s="3">
        <f t="shared" si="38"/>
        <v>0</v>
      </c>
      <c r="K156" s="3">
        <f t="shared" si="34"/>
        <v>0</v>
      </c>
      <c r="L156" s="3">
        <f t="shared" si="34"/>
        <v>0</v>
      </c>
      <c r="M156" s="3">
        <f t="shared" si="34"/>
        <v>0</v>
      </c>
      <c r="P156" s="3" t="str">
        <f>IF([1]Patrimonio!C167="","",[1]Patrimonio!C167)</f>
        <v/>
      </c>
      <c r="Q156" s="3" t="str">
        <f t="shared" si="40"/>
        <v/>
      </c>
      <c r="R156" s="20" t="str">
        <f t="shared" si="36"/>
        <v/>
      </c>
      <c r="S156" s="5">
        <f t="shared" si="39"/>
        <v>0</v>
      </c>
      <c r="T156" s="5">
        <f t="shared" si="39"/>
        <v>0</v>
      </c>
      <c r="U156" s="5">
        <f t="shared" si="39"/>
        <v>0</v>
      </c>
      <c r="V156" s="5">
        <f t="shared" si="39"/>
        <v>0</v>
      </c>
    </row>
    <row r="157" spans="1:22" x14ac:dyDescent="0.2">
      <c r="A157" s="35"/>
      <c r="J157" s="3">
        <f t="shared" si="38"/>
        <v>0</v>
      </c>
      <c r="K157" s="3">
        <f t="shared" si="34"/>
        <v>0</v>
      </c>
      <c r="L157" s="3">
        <f t="shared" si="34"/>
        <v>0</v>
      </c>
      <c r="M157" s="3">
        <f t="shared" si="34"/>
        <v>0</v>
      </c>
      <c r="P157" s="3" t="str">
        <f>IF([1]Patrimonio!C168="","",[1]Patrimonio!C168)</f>
        <v/>
      </c>
      <c r="Q157" s="3" t="str">
        <f t="shared" si="40"/>
        <v/>
      </c>
      <c r="R157" s="20" t="str">
        <f t="shared" si="36"/>
        <v/>
      </c>
      <c r="S157" s="5">
        <f t="shared" si="39"/>
        <v>0</v>
      </c>
      <c r="T157" s="5">
        <f t="shared" si="39"/>
        <v>0</v>
      </c>
      <c r="U157" s="5">
        <f t="shared" si="39"/>
        <v>0</v>
      </c>
      <c r="V157" s="5">
        <f t="shared" si="39"/>
        <v>0</v>
      </c>
    </row>
    <row r="158" spans="1:22" x14ac:dyDescent="0.2">
      <c r="A158" s="35"/>
      <c r="J158" s="3">
        <f t="shared" si="38"/>
        <v>0</v>
      </c>
      <c r="K158" s="3">
        <f t="shared" si="34"/>
        <v>0</v>
      </c>
      <c r="L158" s="3">
        <f t="shared" si="34"/>
        <v>0</v>
      </c>
      <c r="M158" s="3">
        <f t="shared" si="34"/>
        <v>0</v>
      </c>
      <c r="P158" s="3" t="str">
        <f>IF([1]Patrimonio!C169="","",[1]Patrimonio!C169)</f>
        <v/>
      </c>
      <c r="Q158" s="3" t="str">
        <f t="shared" si="40"/>
        <v/>
      </c>
      <c r="R158" s="20" t="str">
        <f t="shared" si="36"/>
        <v/>
      </c>
      <c r="S158" s="5">
        <f t="shared" si="39"/>
        <v>0</v>
      </c>
      <c r="T158" s="5">
        <f t="shared" si="39"/>
        <v>0</v>
      </c>
      <c r="U158" s="5">
        <f t="shared" si="39"/>
        <v>0</v>
      </c>
      <c r="V158" s="5">
        <f t="shared" si="39"/>
        <v>0</v>
      </c>
    </row>
    <row r="159" spans="1:22" x14ac:dyDescent="0.2">
      <c r="A159" s="35"/>
      <c r="J159" s="3">
        <f t="shared" si="38"/>
        <v>0</v>
      </c>
      <c r="K159" s="3">
        <f t="shared" si="34"/>
        <v>0</v>
      </c>
      <c r="L159" s="3">
        <f t="shared" si="34"/>
        <v>0</v>
      </c>
      <c r="M159" s="3">
        <f t="shared" si="34"/>
        <v>0</v>
      </c>
    </row>
    <row r="160" spans="1:22" x14ac:dyDescent="0.2">
      <c r="A160" s="35"/>
      <c r="J160" s="3">
        <f t="shared" si="38"/>
        <v>0</v>
      </c>
      <c r="K160" s="3">
        <f t="shared" si="34"/>
        <v>0</v>
      </c>
      <c r="L160" s="3">
        <f t="shared" si="34"/>
        <v>0</v>
      </c>
      <c r="M160" s="3">
        <f t="shared" si="34"/>
        <v>0</v>
      </c>
    </row>
    <row r="161" spans="1:13" x14ac:dyDescent="0.2">
      <c r="A161" s="35"/>
      <c r="J161" s="3">
        <f t="shared" si="38"/>
        <v>0</v>
      </c>
      <c r="K161" s="3">
        <f t="shared" si="34"/>
        <v>0</v>
      </c>
      <c r="L161" s="3">
        <f t="shared" si="34"/>
        <v>0</v>
      </c>
      <c r="M161" s="3">
        <f t="shared" si="34"/>
        <v>0</v>
      </c>
    </row>
    <row r="162" spans="1:13" x14ac:dyDescent="0.2">
      <c r="A162" s="35"/>
      <c r="J162" s="3">
        <f t="shared" si="38"/>
        <v>0</v>
      </c>
      <c r="K162" s="3">
        <f t="shared" si="34"/>
        <v>0</v>
      </c>
      <c r="L162" s="3">
        <f t="shared" si="34"/>
        <v>0</v>
      </c>
      <c r="M162" s="3">
        <f t="shared" si="34"/>
        <v>0</v>
      </c>
    </row>
    <row r="163" spans="1:13" x14ac:dyDescent="0.2">
      <c r="A163" s="35"/>
      <c r="J163" s="3">
        <f t="shared" si="38"/>
        <v>0</v>
      </c>
      <c r="K163" s="3">
        <f t="shared" si="34"/>
        <v>0</v>
      </c>
      <c r="L163" s="3">
        <f t="shared" si="34"/>
        <v>0</v>
      </c>
      <c r="M163" s="3">
        <f t="shared" si="34"/>
        <v>0</v>
      </c>
    </row>
    <row r="164" spans="1:13" x14ac:dyDescent="0.2">
      <c r="A164" s="35"/>
      <c r="J164" s="3">
        <f t="shared" si="38"/>
        <v>0</v>
      </c>
      <c r="K164" s="3">
        <f t="shared" si="34"/>
        <v>0</v>
      </c>
      <c r="L164" s="3">
        <f t="shared" si="34"/>
        <v>0</v>
      </c>
      <c r="M164" s="3">
        <f t="shared" si="34"/>
        <v>0</v>
      </c>
    </row>
    <row r="165" spans="1:13" x14ac:dyDescent="0.2">
      <c r="A165" s="35"/>
      <c r="J165" s="3">
        <f t="shared" si="38"/>
        <v>0</v>
      </c>
      <c r="K165" s="3">
        <f t="shared" si="34"/>
        <v>0</v>
      </c>
      <c r="L165" s="3">
        <f t="shared" si="34"/>
        <v>0</v>
      </c>
      <c r="M165" s="3">
        <f t="shared" si="34"/>
        <v>0</v>
      </c>
    </row>
    <row r="166" spans="1:13" x14ac:dyDescent="0.2">
      <c r="A166" s="35"/>
      <c r="J166" s="3">
        <f t="shared" si="38"/>
        <v>0</v>
      </c>
      <c r="K166" s="3">
        <f t="shared" si="34"/>
        <v>0</v>
      </c>
      <c r="L166" s="3">
        <f t="shared" si="34"/>
        <v>0</v>
      </c>
      <c r="M166" s="3">
        <f t="shared" si="34"/>
        <v>0</v>
      </c>
    </row>
    <row r="167" spans="1:13" x14ac:dyDescent="0.2">
      <c r="A167" s="35"/>
      <c r="J167" s="3">
        <f t="shared" si="38"/>
        <v>0</v>
      </c>
      <c r="K167" s="3">
        <f t="shared" si="34"/>
        <v>0</v>
      </c>
      <c r="L167" s="3">
        <f t="shared" si="34"/>
        <v>0</v>
      </c>
      <c r="M167" s="3">
        <f t="shared" si="34"/>
        <v>0</v>
      </c>
    </row>
    <row r="168" spans="1:13" x14ac:dyDescent="0.2">
      <c r="A168" s="35"/>
      <c r="J168" s="3">
        <f t="shared" si="38"/>
        <v>0</v>
      </c>
      <c r="K168" s="3">
        <f t="shared" si="34"/>
        <v>0</v>
      </c>
      <c r="L168" s="3">
        <f t="shared" si="34"/>
        <v>0</v>
      </c>
      <c r="M168" s="3">
        <f t="shared" si="34"/>
        <v>0</v>
      </c>
    </row>
    <row r="169" spans="1:13" x14ac:dyDescent="0.2">
      <c r="A169" s="35"/>
      <c r="J169" s="3">
        <f t="shared" si="38"/>
        <v>0</v>
      </c>
      <c r="K169" s="3">
        <f t="shared" si="34"/>
        <v>0</v>
      </c>
      <c r="L169" s="3">
        <f t="shared" si="34"/>
        <v>0</v>
      </c>
      <c r="M169" s="3">
        <f t="shared" si="34"/>
        <v>0</v>
      </c>
    </row>
    <row r="170" spans="1:13" x14ac:dyDescent="0.2">
      <c r="A170" s="35"/>
      <c r="J170" s="3">
        <f t="shared" si="38"/>
        <v>0</v>
      </c>
      <c r="K170" s="3">
        <f t="shared" si="34"/>
        <v>0</v>
      </c>
      <c r="L170" s="3">
        <f t="shared" si="34"/>
        <v>0</v>
      </c>
      <c r="M170" s="3">
        <f t="shared" si="34"/>
        <v>0</v>
      </c>
    </row>
    <row r="171" spans="1:13" x14ac:dyDescent="0.2">
      <c r="A171" s="35"/>
      <c r="J171" s="3">
        <f t="shared" si="38"/>
        <v>0</v>
      </c>
      <c r="K171" s="3">
        <f t="shared" si="34"/>
        <v>0</v>
      </c>
      <c r="L171" s="3">
        <f t="shared" si="34"/>
        <v>0</v>
      </c>
      <c r="M171" s="3">
        <f t="shared" si="34"/>
        <v>0</v>
      </c>
    </row>
    <row r="172" spans="1:13" x14ac:dyDescent="0.2">
      <c r="A172" s="35"/>
      <c r="J172" s="3">
        <f t="shared" si="38"/>
        <v>0</v>
      </c>
      <c r="K172" s="3">
        <f t="shared" si="34"/>
        <v>0</v>
      </c>
      <c r="L172" s="3">
        <f t="shared" si="34"/>
        <v>0</v>
      </c>
      <c r="M172" s="3">
        <f t="shared" si="34"/>
        <v>0</v>
      </c>
    </row>
    <row r="173" spans="1:13" x14ac:dyDescent="0.2">
      <c r="A173" s="35"/>
    </row>
    <row r="174" spans="1:13" x14ac:dyDescent="0.2">
      <c r="A174" s="35"/>
    </row>
    <row r="175" spans="1:13" x14ac:dyDescent="0.2">
      <c r="A175" s="35"/>
    </row>
    <row r="176" spans="1:13" x14ac:dyDescent="0.2">
      <c r="A176" s="35"/>
    </row>
    <row r="177" spans="1:1" x14ac:dyDescent="0.2">
      <c r="A177" s="35"/>
    </row>
    <row r="178" spans="1:1" x14ac:dyDescent="0.2">
      <c r="A178" s="35"/>
    </row>
    <row r="179" spans="1:1" x14ac:dyDescent="0.2">
      <c r="A179" s="35"/>
    </row>
    <row r="180" spans="1:1" x14ac:dyDescent="0.2">
      <c r="A180" s="35"/>
    </row>
    <row r="181" spans="1:1" x14ac:dyDescent="0.2">
      <c r="A181" s="35"/>
    </row>
    <row r="182" spans="1:1" x14ac:dyDescent="0.2">
      <c r="A182" s="35"/>
    </row>
    <row r="183" spans="1:1" x14ac:dyDescent="0.2">
      <c r="A183" s="35"/>
    </row>
    <row r="184" spans="1:1" x14ac:dyDescent="0.2">
      <c r="A184" s="35"/>
    </row>
    <row r="185" spans="1:1" x14ac:dyDescent="0.2">
      <c r="A185" s="35"/>
    </row>
    <row r="186" spans="1:1" x14ac:dyDescent="0.2">
      <c r="A186" s="35"/>
    </row>
    <row r="187" spans="1:1" x14ac:dyDescent="0.2">
      <c r="A187" s="35"/>
    </row>
    <row r="188" spans="1:1" x14ac:dyDescent="0.2">
      <c r="A188" s="35"/>
    </row>
    <row r="189" spans="1:1" x14ac:dyDescent="0.2">
      <c r="A189" s="35"/>
    </row>
    <row r="190" spans="1:1" x14ac:dyDescent="0.2">
      <c r="A190" s="35"/>
    </row>
    <row r="191" spans="1:1" x14ac:dyDescent="0.2">
      <c r="A191" s="35"/>
    </row>
    <row r="192" spans="1:1" x14ac:dyDescent="0.2">
      <c r="A192" s="35"/>
    </row>
    <row r="193" spans="1:1" x14ac:dyDescent="0.2">
      <c r="A193" s="35"/>
    </row>
    <row r="194" spans="1:1" x14ac:dyDescent="0.2">
      <c r="A194" s="35"/>
    </row>
    <row r="195" spans="1:1" x14ac:dyDescent="0.2">
      <c r="A195" s="35"/>
    </row>
    <row r="196" spans="1:1" x14ac:dyDescent="0.2">
      <c r="A196" s="35"/>
    </row>
    <row r="197" spans="1:1" x14ac:dyDescent="0.2">
      <c r="A197" s="35"/>
    </row>
    <row r="198" spans="1:1" x14ac:dyDescent="0.2">
      <c r="A198" s="35"/>
    </row>
    <row r="199" spans="1:1" x14ac:dyDescent="0.2">
      <c r="A199" s="35"/>
    </row>
    <row r="200" spans="1:1" x14ac:dyDescent="0.2">
      <c r="A200" s="35"/>
    </row>
    <row r="201" spans="1:1" x14ac:dyDescent="0.2">
      <c r="A201" s="35"/>
    </row>
    <row r="202" spans="1:1" x14ac:dyDescent="0.2">
      <c r="A202" s="35"/>
    </row>
    <row r="203" spans="1:1" x14ac:dyDescent="0.2">
      <c r="A203" s="35"/>
    </row>
    <row r="204" spans="1:1" x14ac:dyDescent="0.2">
      <c r="A204" s="35"/>
    </row>
    <row r="205" spans="1:1" x14ac:dyDescent="0.2">
      <c r="A205" s="35"/>
    </row>
    <row r="206" spans="1:1" x14ac:dyDescent="0.2">
      <c r="A206" s="35"/>
    </row>
    <row r="207" spans="1:1" x14ac:dyDescent="0.2">
      <c r="A207" s="35"/>
    </row>
    <row r="208" spans="1:1" x14ac:dyDescent="0.2">
      <c r="A208" s="35"/>
    </row>
    <row r="209" spans="1:1" x14ac:dyDescent="0.2">
      <c r="A209" s="35"/>
    </row>
    <row r="210" spans="1:1" x14ac:dyDescent="0.2">
      <c r="A210" s="35"/>
    </row>
    <row r="211" spans="1:1" x14ac:dyDescent="0.2">
      <c r="A211" s="35"/>
    </row>
    <row r="212" spans="1:1" x14ac:dyDescent="0.2">
      <c r="A212" s="35"/>
    </row>
    <row r="213" spans="1:1" x14ac:dyDescent="0.2">
      <c r="A213" s="35"/>
    </row>
    <row r="214" spans="1:1" x14ac:dyDescent="0.2">
      <c r="A214" s="35"/>
    </row>
    <row r="215" spans="1:1" x14ac:dyDescent="0.2">
      <c r="A215" s="35"/>
    </row>
    <row r="216" spans="1:1" x14ac:dyDescent="0.2">
      <c r="A216" s="35"/>
    </row>
    <row r="217" spans="1:1" x14ac:dyDescent="0.2">
      <c r="A217" s="35"/>
    </row>
    <row r="218" spans="1:1" x14ac:dyDescent="0.2">
      <c r="A218" s="35"/>
    </row>
    <row r="219" spans="1:1" x14ac:dyDescent="0.2">
      <c r="A219" s="35"/>
    </row>
    <row r="220" spans="1:1" x14ac:dyDescent="0.2">
      <c r="A220" s="35"/>
    </row>
    <row r="221" spans="1:1" x14ac:dyDescent="0.2">
      <c r="A221" s="35"/>
    </row>
    <row r="222" spans="1:1" x14ac:dyDescent="0.2">
      <c r="A222" s="35"/>
    </row>
    <row r="223" spans="1:1" x14ac:dyDescent="0.2">
      <c r="A223" s="35"/>
    </row>
    <row r="224" spans="1:1" x14ac:dyDescent="0.2">
      <c r="A224" s="35"/>
    </row>
    <row r="225" spans="1:1" x14ac:dyDescent="0.2">
      <c r="A225" s="35"/>
    </row>
    <row r="226" spans="1:1" x14ac:dyDescent="0.2">
      <c r="A226" s="35"/>
    </row>
    <row r="227" spans="1:1" x14ac:dyDescent="0.2">
      <c r="A227" s="35"/>
    </row>
    <row r="228" spans="1:1" x14ac:dyDescent="0.2">
      <c r="A228" s="35"/>
    </row>
    <row r="229" spans="1:1" x14ac:dyDescent="0.2">
      <c r="A229" s="35"/>
    </row>
    <row r="230" spans="1:1" x14ac:dyDescent="0.2">
      <c r="A230" s="35"/>
    </row>
    <row r="231" spans="1:1" x14ac:dyDescent="0.2">
      <c r="A231" s="35"/>
    </row>
    <row r="232" spans="1:1" x14ac:dyDescent="0.2">
      <c r="A232" s="35"/>
    </row>
    <row r="233" spans="1:1" x14ac:dyDescent="0.2">
      <c r="A233" s="35"/>
    </row>
    <row r="234" spans="1:1" x14ac:dyDescent="0.2">
      <c r="A234" s="35"/>
    </row>
    <row r="235" spans="1:1" x14ac:dyDescent="0.2">
      <c r="A235" s="35"/>
    </row>
    <row r="236" spans="1:1" x14ac:dyDescent="0.2">
      <c r="A236" s="35"/>
    </row>
    <row r="237" spans="1:1" x14ac:dyDescent="0.2">
      <c r="A237" s="35"/>
    </row>
    <row r="238" spans="1:1" x14ac:dyDescent="0.2">
      <c r="A238" s="35"/>
    </row>
    <row r="239" spans="1:1" x14ac:dyDescent="0.2">
      <c r="A239" s="35"/>
    </row>
    <row r="240" spans="1:1" x14ac:dyDescent="0.2">
      <c r="A240" s="35"/>
    </row>
    <row r="241" spans="1:1" x14ac:dyDescent="0.2">
      <c r="A241" s="35"/>
    </row>
    <row r="242" spans="1:1" x14ac:dyDescent="0.2">
      <c r="A242" s="35"/>
    </row>
    <row r="243" spans="1:1" x14ac:dyDescent="0.2">
      <c r="A243" s="35"/>
    </row>
    <row r="244" spans="1:1" x14ac:dyDescent="0.2">
      <c r="A244" s="35"/>
    </row>
    <row r="245" spans="1:1" x14ac:dyDescent="0.2">
      <c r="A245" s="35"/>
    </row>
    <row r="246" spans="1:1" x14ac:dyDescent="0.2">
      <c r="A246" s="35"/>
    </row>
    <row r="247" spans="1:1" x14ac:dyDescent="0.2">
      <c r="A247" s="35"/>
    </row>
    <row r="248" spans="1:1" x14ac:dyDescent="0.2">
      <c r="A248" s="35"/>
    </row>
    <row r="249" spans="1:1" x14ac:dyDescent="0.2">
      <c r="A249" s="35"/>
    </row>
    <row r="250" spans="1:1" x14ac:dyDescent="0.2">
      <c r="A250" s="35"/>
    </row>
    <row r="251" spans="1:1" x14ac:dyDescent="0.2">
      <c r="A251" s="35"/>
    </row>
    <row r="252" spans="1:1" x14ac:dyDescent="0.2">
      <c r="A252" s="35"/>
    </row>
    <row r="253" spans="1:1" x14ac:dyDescent="0.2">
      <c r="A253" s="35"/>
    </row>
    <row r="254" spans="1:1" x14ac:dyDescent="0.2">
      <c r="A254" s="35"/>
    </row>
    <row r="255" spans="1:1" x14ac:dyDescent="0.2">
      <c r="A255" s="35"/>
    </row>
    <row r="256" spans="1:1" x14ac:dyDescent="0.2">
      <c r="A256" s="35"/>
    </row>
    <row r="257" spans="1:1" x14ac:dyDescent="0.2">
      <c r="A257" s="35"/>
    </row>
    <row r="258" spans="1:1" x14ac:dyDescent="0.2">
      <c r="A258" s="35"/>
    </row>
    <row r="259" spans="1:1" x14ac:dyDescent="0.2">
      <c r="A259" s="35"/>
    </row>
    <row r="260" spans="1:1" x14ac:dyDescent="0.2">
      <c r="A260" s="35"/>
    </row>
    <row r="261" spans="1:1" x14ac:dyDescent="0.2">
      <c r="A261" s="35"/>
    </row>
    <row r="262" spans="1:1" x14ac:dyDescent="0.2">
      <c r="A262" s="35"/>
    </row>
    <row r="263" spans="1:1" x14ac:dyDescent="0.2">
      <c r="A263" s="35"/>
    </row>
    <row r="264" spans="1:1" x14ac:dyDescent="0.2">
      <c r="A264" s="35"/>
    </row>
    <row r="265" spans="1:1" x14ac:dyDescent="0.2">
      <c r="A265" s="35"/>
    </row>
    <row r="266" spans="1:1" x14ac:dyDescent="0.2">
      <c r="A266" s="35"/>
    </row>
    <row r="267" spans="1:1" x14ac:dyDescent="0.2">
      <c r="A267" s="35"/>
    </row>
    <row r="268" spans="1:1" x14ac:dyDescent="0.2">
      <c r="A268" s="35"/>
    </row>
    <row r="269" spans="1:1" x14ac:dyDescent="0.2">
      <c r="A269" s="35"/>
    </row>
    <row r="270" spans="1:1" x14ac:dyDescent="0.2">
      <c r="A270" s="35"/>
    </row>
    <row r="271" spans="1:1" x14ac:dyDescent="0.2">
      <c r="A271" s="35"/>
    </row>
    <row r="272" spans="1:1" x14ac:dyDescent="0.2">
      <c r="A272" s="35"/>
    </row>
    <row r="273" spans="1:1" x14ac:dyDescent="0.2">
      <c r="A273" s="35"/>
    </row>
    <row r="274" spans="1:1" x14ac:dyDescent="0.2">
      <c r="A274" s="35"/>
    </row>
    <row r="275" spans="1:1" x14ac:dyDescent="0.2">
      <c r="A275" s="35"/>
    </row>
    <row r="276" spans="1:1" x14ac:dyDescent="0.2">
      <c r="A276" s="35"/>
    </row>
    <row r="277" spans="1:1" x14ac:dyDescent="0.2">
      <c r="A277" s="35"/>
    </row>
    <row r="278" spans="1:1" x14ac:dyDescent="0.2">
      <c r="A278" s="35"/>
    </row>
    <row r="279" spans="1:1" x14ac:dyDescent="0.2">
      <c r="A279" s="35"/>
    </row>
    <row r="280" spans="1:1" x14ac:dyDescent="0.2">
      <c r="A280" s="35"/>
    </row>
    <row r="281" spans="1:1" x14ac:dyDescent="0.2">
      <c r="A281" s="35"/>
    </row>
    <row r="282" spans="1:1" x14ac:dyDescent="0.2">
      <c r="A282" s="35"/>
    </row>
    <row r="283" spans="1:1" x14ac:dyDescent="0.2">
      <c r="A283" s="35"/>
    </row>
    <row r="284" spans="1:1" x14ac:dyDescent="0.2">
      <c r="A284" s="35"/>
    </row>
    <row r="285" spans="1:1" x14ac:dyDescent="0.2">
      <c r="A285" s="35"/>
    </row>
    <row r="286" spans="1:1" x14ac:dyDescent="0.2">
      <c r="A286" s="35"/>
    </row>
    <row r="287" spans="1:1" x14ac:dyDescent="0.2">
      <c r="A287" s="35"/>
    </row>
    <row r="288" spans="1:1" x14ac:dyDescent="0.2">
      <c r="A288" s="35"/>
    </row>
    <row r="289" spans="1:1" x14ac:dyDescent="0.2">
      <c r="A289" s="35"/>
    </row>
    <row r="290" spans="1:1" x14ac:dyDescent="0.2">
      <c r="A290" s="35"/>
    </row>
    <row r="291" spans="1:1" x14ac:dyDescent="0.2">
      <c r="A291" s="35"/>
    </row>
    <row r="292" spans="1:1" x14ac:dyDescent="0.2">
      <c r="A292" s="35"/>
    </row>
    <row r="293" spans="1:1" x14ac:dyDescent="0.2">
      <c r="A293" s="35"/>
    </row>
    <row r="294" spans="1:1" x14ac:dyDescent="0.2">
      <c r="A294" s="35"/>
    </row>
    <row r="295" spans="1:1" x14ac:dyDescent="0.2">
      <c r="A295" s="35"/>
    </row>
    <row r="296" spans="1:1" x14ac:dyDescent="0.2">
      <c r="A296" s="35"/>
    </row>
    <row r="297" spans="1:1" x14ac:dyDescent="0.2">
      <c r="A297" s="35"/>
    </row>
    <row r="298" spans="1:1" x14ac:dyDescent="0.2">
      <c r="A298" s="35"/>
    </row>
    <row r="299" spans="1:1" x14ac:dyDescent="0.2">
      <c r="A299" s="35"/>
    </row>
    <row r="300" spans="1:1" x14ac:dyDescent="0.2">
      <c r="A300" s="35"/>
    </row>
    <row r="301" spans="1:1" x14ac:dyDescent="0.2">
      <c r="A301" s="35"/>
    </row>
    <row r="302" spans="1:1" x14ac:dyDescent="0.2">
      <c r="A302" s="35"/>
    </row>
    <row r="303" spans="1:1" x14ac:dyDescent="0.2">
      <c r="A303" s="35"/>
    </row>
    <row r="304" spans="1:1" x14ac:dyDescent="0.2">
      <c r="A304" s="35"/>
    </row>
    <row r="305" spans="1:1" x14ac:dyDescent="0.2">
      <c r="A305" s="35"/>
    </row>
    <row r="306" spans="1:1" x14ac:dyDescent="0.2">
      <c r="A306" s="35"/>
    </row>
    <row r="307" spans="1:1" x14ac:dyDescent="0.2">
      <c r="A307" s="35"/>
    </row>
    <row r="308" spans="1:1" x14ac:dyDescent="0.2">
      <c r="A308" s="35"/>
    </row>
    <row r="309" spans="1:1" x14ac:dyDescent="0.2">
      <c r="A309" s="35"/>
    </row>
    <row r="310" spans="1:1" x14ac:dyDescent="0.2">
      <c r="A310" s="35"/>
    </row>
    <row r="311" spans="1:1" x14ac:dyDescent="0.2">
      <c r="A311" s="35"/>
    </row>
    <row r="312" spans="1:1" x14ac:dyDescent="0.2">
      <c r="A312" s="35"/>
    </row>
    <row r="313" spans="1:1" x14ac:dyDescent="0.2">
      <c r="A313" s="35"/>
    </row>
    <row r="314" spans="1:1" x14ac:dyDescent="0.2">
      <c r="A314" s="35"/>
    </row>
    <row r="315" spans="1:1" x14ac:dyDescent="0.2">
      <c r="A315" s="35"/>
    </row>
    <row r="316" spans="1:1" x14ac:dyDescent="0.2">
      <c r="A316" s="35"/>
    </row>
    <row r="317" spans="1:1" x14ac:dyDescent="0.2">
      <c r="A317" s="35"/>
    </row>
    <row r="318" spans="1:1" x14ac:dyDescent="0.2">
      <c r="A318" s="35"/>
    </row>
    <row r="319" spans="1:1" x14ac:dyDescent="0.2">
      <c r="A319" s="35"/>
    </row>
    <row r="320" spans="1:1" x14ac:dyDescent="0.2">
      <c r="A320" s="35"/>
    </row>
    <row r="321" spans="1:1" x14ac:dyDescent="0.2">
      <c r="A321" s="35"/>
    </row>
    <row r="322" spans="1:1" x14ac:dyDescent="0.2">
      <c r="A322" s="35"/>
    </row>
    <row r="323" spans="1:1" x14ac:dyDescent="0.2">
      <c r="A323" s="35"/>
    </row>
    <row r="324" spans="1:1" x14ac:dyDescent="0.2">
      <c r="A324" s="35"/>
    </row>
    <row r="325" spans="1:1" x14ac:dyDescent="0.2">
      <c r="A325" s="35"/>
    </row>
    <row r="326" spans="1:1" x14ac:dyDescent="0.2">
      <c r="A326" s="35"/>
    </row>
    <row r="327" spans="1:1" x14ac:dyDescent="0.2">
      <c r="A327" s="35"/>
    </row>
    <row r="328" spans="1:1" x14ac:dyDescent="0.2">
      <c r="A328" s="35"/>
    </row>
    <row r="329" spans="1:1" x14ac:dyDescent="0.2">
      <c r="A329" s="35"/>
    </row>
    <row r="330" spans="1:1" x14ac:dyDescent="0.2">
      <c r="A330" s="35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tualizar_Yahoo">
                <anchor moveWithCells="1">
                  <from>
                    <xdr:col>17</xdr:col>
                    <xdr:colOff>66675</xdr:colOff>
                    <xdr:row>0</xdr:row>
                    <xdr:rowOff>114300</xdr:rowOff>
                  </from>
                  <to>
                    <xdr:col>18</xdr:col>
                    <xdr:colOff>200025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/>
  <dimension ref="A1:V330"/>
  <sheetViews>
    <sheetView workbookViewId="0">
      <selection activeCell="H2" sqref="H2"/>
    </sheetView>
  </sheetViews>
  <sheetFormatPr defaultRowHeight="11.25" x14ac:dyDescent="0.2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 x14ac:dyDescent="0.2">
      <c r="A1" s="3" t="s">
        <v>42</v>
      </c>
      <c r="C1" s="3" t="s">
        <v>452</v>
      </c>
    </row>
    <row r="2" spans="1:22" x14ac:dyDescent="0.2">
      <c r="A2" s="3" t="s">
        <v>43</v>
      </c>
      <c r="C2" s="3" t="s">
        <v>46</v>
      </c>
    </row>
    <row r="3" spans="1:22" x14ac:dyDescent="0.2">
      <c r="A3" s="3" t="s">
        <v>44</v>
      </c>
    </row>
    <row r="4" spans="1:22" x14ac:dyDescent="0.2">
      <c r="A4" s="3" t="s">
        <v>45</v>
      </c>
    </row>
    <row r="6" spans="1:22" x14ac:dyDescent="0.2">
      <c r="P6" s="33" t="s">
        <v>45</v>
      </c>
      <c r="Q6" s="33" t="s">
        <v>0</v>
      </c>
      <c r="R6" s="34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 x14ac:dyDescent="0.2">
      <c r="A7" s="35" t="str">
        <f>IF(Tabela17[[#This Row],[Código]]="IBOV","^BVSP",IF(Tabela17[[#This Row],[Código]]="","",CONCATENATE(LEFT(Tabela17[[#This Row],[Código]],6),".SA")))</f>
        <v>PETR3.SA</v>
      </c>
      <c r="C7" s="3" t="s">
        <v>277</v>
      </c>
      <c r="D7" s="3" t="s">
        <v>623</v>
      </c>
      <c r="E7" s="3" t="s">
        <v>730</v>
      </c>
      <c r="F7" s="3" t="s">
        <v>717</v>
      </c>
      <c r="G7" s="3" t="s">
        <v>625</v>
      </c>
      <c r="H7" s="56">
        <v>41654</v>
      </c>
      <c r="J7" s="3">
        <f>IF($A7="",0,VALUE(CONCATENATE(LEFT(D7,LEN(D7)-3),",",RIGHT(D7,2))))</f>
        <v>14.74</v>
      </c>
      <c r="K7" s="3">
        <f t="shared" ref="K7:M22" si="0">IF($A7="",0,VALUE(CONCATENATE(LEFT(E7,LEN(E7)-3),",",RIGHT(E7,2))))</f>
        <v>15.12</v>
      </c>
      <c r="L7" s="3">
        <f t="shared" si="0"/>
        <v>15.18</v>
      </c>
      <c r="M7" s="3">
        <f t="shared" si="0"/>
        <v>14.65</v>
      </c>
      <c r="P7" s="14" t="s">
        <v>20</v>
      </c>
      <c r="Q7" s="10" t="str">
        <f t="shared" ref="Q7:Q70" si="1">IF(A7="","",C7)</f>
        <v>PETROBRAS   -ON</v>
      </c>
      <c r="R7" s="56">
        <f t="shared" ref="R7:R70" si="2">IF(A7="","",H7)</f>
        <v>41654</v>
      </c>
      <c r="S7" s="5">
        <f t="shared" ref="S7:V38" si="3">J7</f>
        <v>14.74</v>
      </c>
      <c r="T7" s="5">
        <f t="shared" si="3"/>
        <v>15.12</v>
      </c>
      <c r="U7" s="5">
        <f t="shared" si="3"/>
        <v>15.18</v>
      </c>
      <c r="V7" s="5">
        <f t="shared" si="3"/>
        <v>14.65</v>
      </c>
    </row>
    <row r="8" spans="1:22" x14ac:dyDescent="0.2">
      <c r="A8" s="35" t="str">
        <f>IF(Tabela17[[#This Row],[Código]]="IBOV","^BVSP",IF(Tabela17[[#This Row],[Código]]="","",CONCATENATE(LEFT(Tabela17[[#This Row],[Código]],6),".SA")))</f>
        <v>PETR4.SA</v>
      </c>
      <c r="C8" s="3" t="s">
        <v>274</v>
      </c>
      <c r="D8" s="3" t="s">
        <v>626</v>
      </c>
      <c r="E8" s="3" t="s">
        <v>777</v>
      </c>
      <c r="F8" s="3" t="s">
        <v>718</v>
      </c>
      <c r="G8" s="3" t="s">
        <v>627</v>
      </c>
      <c r="H8" s="56">
        <v>41654</v>
      </c>
      <c r="J8" s="3">
        <f t="shared" ref="J8:M71" si="4">IF($A8="",0,VALUE(CONCATENATE(LEFT(D8,LEN(D8)-3),",",RIGHT(D8,2))))</f>
        <v>15.79</v>
      </c>
      <c r="K8" s="3">
        <f t="shared" si="0"/>
        <v>16.04</v>
      </c>
      <c r="L8" s="3">
        <f t="shared" si="0"/>
        <v>16.149999999999999</v>
      </c>
      <c r="M8" s="3">
        <f t="shared" si="0"/>
        <v>15.69</v>
      </c>
      <c r="P8" s="14" t="s">
        <v>21</v>
      </c>
      <c r="Q8" s="10" t="str">
        <f t="shared" si="1"/>
        <v>PETROBRAS   -PN</v>
      </c>
      <c r="R8" s="56">
        <f t="shared" si="2"/>
        <v>41654</v>
      </c>
      <c r="S8" s="5">
        <f t="shared" si="3"/>
        <v>15.79</v>
      </c>
      <c r="T8" s="5">
        <f t="shared" si="3"/>
        <v>16.04</v>
      </c>
      <c r="U8" s="5">
        <f t="shared" si="3"/>
        <v>16.149999999999999</v>
      </c>
      <c r="V8" s="5">
        <f t="shared" si="3"/>
        <v>15.69</v>
      </c>
    </row>
    <row r="9" spans="1:22" x14ac:dyDescent="0.2">
      <c r="A9" s="35" t="str">
        <f>IF(Tabela17[[#This Row],[Código]]="IBOV","^BVSP",IF(Tabela17[[#This Row],[Código]]="","",CONCATENATE(LEFT(Tabela17[[#This Row],[Código]],6),".SA")))</f>
        <v>QGEP3.SA</v>
      </c>
      <c r="C9" s="3" t="s">
        <v>280</v>
      </c>
      <c r="D9" s="3" t="s">
        <v>514</v>
      </c>
      <c r="E9" s="3" t="s">
        <v>514</v>
      </c>
      <c r="F9" s="3" t="s">
        <v>628</v>
      </c>
      <c r="G9" s="3" t="s">
        <v>629</v>
      </c>
      <c r="H9" s="56">
        <v>41654</v>
      </c>
      <c r="J9" s="3">
        <f t="shared" si="4"/>
        <v>9.6999999999999993</v>
      </c>
      <c r="K9" s="3">
        <f t="shared" si="0"/>
        <v>9.6999999999999993</v>
      </c>
      <c r="L9" s="3">
        <f t="shared" si="0"/>
        <v>9.74</v>
      </c>
      <c r="M9" s="3">
        <f t="shared" si="0"/>
        <v>9.5399999999999991</v>
      </c>
      <c r="P9" s="15" t="s">
        <v>279</v>
      </c>
      <c r="Q9" s="10" t="str">
        <f t="shared" si="1"/>
        <v xml:space="preserve">QGEP PART   -ON  </v>
      </c>
      <c r="R9" s="56">
        <f t="shared" si="2"/>
        <v>41654</v>
      </c>
      <c r="S9" s="5">
        <f t="shared" si="3"/>
        <v>9.6999999999999993</v>
      </c>
      <c r="T9" s="5">
        <f t="shared" si="3"/>
        <v>9.6999999999999993</v>
      </c>
      <c r="U9" s="5">
        <f t="shared" si="3"/>
        <v>9.74</v>
      </c>
      <c r="V9" s="5">
        <f t="shared" si="3"/>
        <v>9.5399999999999991</v>
      </c>
    </row>
    <row r="10" spans="1:22" x14ac:dyDescent="0.2">
      <c r="A10" s="35" t="str">
        <f>IF(Tabela17[[#This Row],[Código]]="IBOV","^BVSP",IF(Tabela17[[#This Row],[Código]]="","",CONCATENATE(LEFT(Tabela17[[#This Row],[Código]],6),".SA")))</f>
        <v>SULA11.SA</v>
      </c>
      <c r="C10" s="3" t="s">
        <v>281</v>
      </c>
      <c r="D10" s="3" t="s">
        <v>630</v>
      </c>
      <c r="E10" s="3" t="s">
        <v>778</v>
      </c>
      <c r="F10" s="3" t="s">
        <v>779</v>
      </c>
      <c r="G10" s="3" t="s">
        <v>631</v>
      </c>
      <c r="H10" s="56">
        <v>41654</v>
      </c>
      <c r="J10" s="3">
        <f t="shared" si="4"/>
        <v>14.08</v>
      </c>
      <c r="K10" s="3">
        <f t="shared" si="0"/>
        <v>14.07</v>
      </c>
      <c r="L10" s="3">
        <f t="shared" si="0"/>
        <v>14.19</v>
      </c>
      <c r="M10" s="3">
        <f t="shared" si="0"/>
        <v>13.87</v>
      </c>
      <c r="P10" s="14" t="s">
        <v>57</v>
      </c>
      <c r="Q10" s="10" t="str">
        <f t="shared" si="1"/>
        <v xml:space="preserve">SUL AMERICA -UNT </v>
      </c>
      <c r="R10" s="56">
        <f t="shared" si="2"/>
        <v>41654</v>
      </c>
      <c r="S10" s="5">
        <f t="shared" si="3"/>
        <v>14.08</v>
      </c>
      <c r="T10" s="5">
        <f t="shared" si="3"/>
        <v>14.07</v>
      </c>
      <c r="U10" s="5">
        <f t="shared" si="3"/>
        <v>14.19</v>
      </c>
      <c r="V10" s="5">
        <f t="shared" si="3"/>
        <v>13.87</v>
      </c>
    </row>
    <row r="11" spans="1:22" x14ac:dyDescent="0.2">
      <c r="A11" s="35" t="str">
        <f>IF(Tabela17[[#This Row],[Código]]="IBOV","^BVSP",IF(Tabela17[[#This Row],[Código]]="","",CONCATENATE(LEFT(Tabela17[[#This Row],[Código]],6),".SA")))</f>
        <v>CSAB3.SA</v>
      </c>
      <c r="C11" s="3" t="s">
        <v>284</v>
      </c>
      <c r="D11" s="3" t="s">
        <v>285</v>
      </c>
      <c r="E11" s="3" t="s">
        <v>285</v>
      </c>
      <c r="F11" s="3" t="s">
        <v>285</v>
      </c>
      <c r="G11" s="3" t="s">
        <v>285</v>
      </c>
      <c r="H11" s="56">
        <v>41619</v>
      </c>
      <c r="J11" s="3">
        <f t="shared" si="4"/>
        <v>30.01</v>
      </c>
      <c r="K11" s="3">
        <f t="shared" si="0"/>
        <v>30.01</v>
      </c>
      <c r="L11" s="3">
        <f t="shared" si="0"/>
        <v>30.01</v>
      </c>
      <c r="M11" s="3">
        <f t="shared" si="0"/>
        <v>30.01</v>
      </c>
      <c r="P11" s="14" t="s">
        <v>282</v>
      </c>
      <c r="Q11" s="10" t="str">
        <f t="shared" si="1"/>
        <v>SEG AL BAHIA-ON</v>
      </c>
      <c r="R11" s="56">
        <f t="shared" si="2"/>
        <v>41619</v>
      </c>
      <c r="S11" s="5">
        <f t="shared" si="3"/>
        <v>30.01</v>
      </c>
      <c r="T11" s="5">
        <f t="shared" si="3"/>
        <v>30.01</v>
      </c>
      <c r="U11" s="5">
        <f t="shared" si="3"/>
        <v>30.01</v>
      </c>
      <c r="V11" s="5">
        <f t="shared" si="3"/>
        <v>30.01</v>
      </c>
    </row>
    <row r="12" spans="1:22" x14ac:dyDescent="0.2">
      <c r="A12" s="35" t="str">
        <f>IF(Tabela17[[#This Row],[Código]]="IBOV","^BVSP",IF(Tabela17[[#This Row],[Código]]="","",CONCATENATE(LEFT(Tabela17[[#This Row],[Código]],6),".SA")))</f>
        <v>CSAB4.SA</v>
      </c>
      <c r="C12" s="3" t="s">
        <v>286</v>
      </c>
      <c r="D12" s="3" t="s">
        <v>472</v>
      </c>
      <c r="E12" s="3" t="s">
        <v>472</v>
      </c>
      <c r="F12" s="3" t="s">
        <v>472</v>
      </c>
      <c r="G12" s="3" t="s">
        <v>472</v>
      </c>
      <c r="H12" s="56">
        <v>41648</v>
      </c>
      <c r="J12" s="3">
        <f t="shared" si="4"/>
        <v>30.05</v>
      </c>
      <c r="K12" s="3">
        <f t="shared" si="0"/>
        <v>30.05</v>
      </c>
      <c r="L12" s="3">
        <f t="shared" si="0"/>
        <v>30.05</v>
      </c>
      <c r="M12" s="3">
        <f t="shared" si="0"/>
        <v>30.05</v>
      </c>
      <c r="P12" s="14" t="s">
        <v>283</v>
      </c>
      <c r="Q12" s="10" t="str">
        <f t="shared" si="1"/>
        <v>SEG AL BAHIA-PN</v>
      </c>
      <c r="R12" s="56">
        <f t="shared" si="2"/>
        <v>41648</v>
      </c>
      <c r="S12" s="5">
        <f t="shared" si="3"/>
        <v>30.05</v>
      </c>
      <c r="T12" s="5">
        <f t="shared" si="3"/>
        <v>30.05</v>
      </c>
      <c r="U12" s="5">
        <f t="shared" si="3"/>
        <v>30.05</v>
      </c>
      <c r="V12" s="5">
        <f t="shared" si="3"/>
        <v>30.05</v>
      </c>
    </row>
    <row r="13" spans="1:22" x14ac:dyDescent="0.2">
      <c r="A13" s="35" t="str">
        <f>IF(Tabela17[[#This Row],[Código]]="IBOV","^BVSP",IF(Tabela17[[#This Row],[Código]]="","",CONCATENATE(LEFT(Tabela17[[#This Row],[Código]],6),".SA")))</f>
        <v>BBSE3.SA</v>
      </c>
      <c r="C13" s="3" t="s">
        <v>287</v>
      </c>
      <c r="D13" s="3" t="s">
        <v>518</v>
      </c>
      <c r="E13" s="3" t="s">
        <v>780</v>
      </c>
      <c r="F13" s="3" t="s">
        <v>610</v>
      </c>
      <c r="G13" s="3" t="s">
        <v>632</v>
      </c>
      <c r="H13" s="56">
        <v>41654</v>
      </c>
      <c r="J13" s="3">
        <f t="shared" si="4"/>
        <v>23.47</v>
      </c>
      <c r="K13" s="3">
        <f t="shared" si="0"/>
        <v>23.96</v>
      </c>
      <c r="L13" s="3">
        <f t="shared" si="0"/>
        <v>24.06</v>
      </c>
      <c r="M13" s="3">
        <f t="shared" si="0"/>
        <v>23.46</v>
      </c>
      <c r="P13" s="15" t="s">
        <v>25</v>
      </c>
      <c r="Q13" s="10" t="str">
        <f t="shared" si="1"/>
        <v xml:space="preserve">BBSEGURIDADE-ON  </v>
      </c>
      <c r="R13" s="56">
        <f t="shared" si="2"/>
        <v>41654</v>
      </c>
      <c r="S13" s="5">
        <f t="shared" si="3"/>
        <v>23.47</v>
      </c>
      <c r="T13" s="5">
        <f t="shared" si="3"/>
        <v>23.96</v>
      </c>
      <c r="U13" s="5">
        <f t="shared" si="3"/>
        <v>24.06</v>
      </c>
      <c r="V13" s="5">
        <f t="shared" si="3"/>
        <v>23.46</v>
      </c>
    </row>
    <row r="14" spans="1:22" x14ac:dyDescent="0.2">
      <c r="A14" s="35" t="str">
        <f>IF(Tabela17[[#This Row],[Código]]="IBOV","^BVSP",IF(Tabela17[[#This Row],[Código]]="","",CONCATENATE(LEFT(Tabela17[[#This Row],[Código]],6),".SA")))</f>
        <v>JOPA3.SA</v>
      </c>
      <c r="C14" s="3" t="s">
        <v>290</v>
      </c>
      <c r="D14" s="3" t="s">
        <v>291</v>
      </c>
      <c r="E14" s="3" t="s">
        <v>291</v>
      </c>
      <c r="F14" s="3" t="s">
        <v>291</v>
      </c>
      <c r="G14" s="3" t="s">
        <v>291</v>
      </c>
      <c r="H14" s="56">
        <v>41631</v>
      </c>
      <c r="J14" s="3">
        <f t="shared" si="4"/>
        <v>17</v>
      </c>
      <c r="K14" s="3">
        <f t="shared" si="0"/>
        <v>17</v>
      </c>
      <c r="L14" s="3">
        <f t="shared" si="0"/>
        <v>17</v>
      </c>
      <c r="M14" s="3">
        <f t="shared" si="0"/>
        <v>17</v>
      </c>
      <c r="P14" s="15" t="s">
        <v>288</v>
      </c>
      <c r="Q14" s="10" t="str">
        <f t="shared" si="1"/>
        <v>JOSAPAR     -ON</v>
      </c>
      <c r="R14" s="56">
        <f t="shared" si="2"/>
        <v>41631</v>
      </c>
      <c r="S14" s="5">
        <f t="shared" si="3"/>
        <v>17</v>
      </c>
      <c r="T14" s="5">
        <f t="shared" si="3"/>
        <v>17</v>
      </c>
      <c r="U14" s="5">
        <f t="shared" si="3"/>
        <v>17</v>
      </c>
      <c r="V14" s="5">
        <f t="shared" si="3"/>
        <v>17</v>
      </c>
    </row>
    <row r="15" spans="1:22" x14ac:dyDescent="0.2">
      <c r="A15" s="35" t="str">
        <f>IF(Tabela17[[#This Row],[Código]]="IBOV","^BVSP",IF(Tabela17[[#This Row],[Código]]="","",CONCATENATE(LEFT(Tabela17[[#This Row],[Código]],6),".SA")))</f>
        <v>JOPA4.SA</v>
      </c>
      <c r="C15" s="3" t="s">
        <v>292</v>
      </c>
      <c r="D15" s="3" t="s">
        <v>483</v>
      </c>
      <c r="E15" s="3" t="s">
        <v>483</v>
      </c>
      <c r="F15" s="3" t="s">
        <v>483</v>
      </c>
      <c r="G15" s="3" t="s">
        <v>483</v>
      </c>
      <c r="H15" s="56">
        <v>41653</v>
      </c>
      <c r="J15" s="3">
        <f t="shared" si="4"/>
        <v>19.5</v>
      </c>
      <c r="K15" s="3">
        <f t="shared" si="0"/>
        <v>19.5</v>
      </c>
      <c r="L15" s="3">
        <f t="shared" si="0"/>
        <v>19.5</v>
      </c>
      <c r="M15" s="3">
        <f t="shared" si="0"/>
        <v>19.5</v>
      </c>
      <c r="P15" s="10" t="s">
        <v>289</v>
      </c>
      <c r="Q15" s="10" t="str">
        <f t="shared" si="1"/>
        <v>JOSAPAR     -PN</v>
      </c>
      <c r="R15" s="56">
        <f t="shared" si="2"/>
        <v>41653</v>
      </c>
      <c r="S15" s="5">
        <f t="shared" si="3"/>
        <v>19.5</v>
      </c>
      <c r="T15" s="5">
        <f t="shared" si="3"/>
        <v>19.5</v>
      </c>
      <c r="U15" s="5">
        <f t="shared" si="3"/>
        <v>19.5</v>
      </c>
      <c r="V15" s="5">
        <f t="shared" si="3"/>
        <v>19.5</v>
      </c>
    </row>
    <row r="16" spans="1:22" x14ac:dyDescent="0.2">
      <c r="A16" s="35" t="str">
        <f>IF(Tabela17[[#This Row],[Código]]="IBOV","^BVSP",IF(Tabela17[[#This Row],[Código]]="","",CONCATENATE(LEFT(Tabela17[[#This Row],[Código]],6),".SA")))</f>
        <v>TERI3.SA</v>
      </c>
      <c r="C16" s="3" t="s">
        <v>293</v>
      </c>
      <c r="D16" s="3" t="s">
        <v>519</v>
      </c>
      <c r="E16" s="3" t="s">
        <v>719</v>
      </c>
      <c r="F16" s="3" t="s">
        <v>519</v>
      </c>
      <c r="G16" s="3" t="s">
        <v>633</v>
      </c>
      <c r="H16" s="56">
        <v>41654</v>
      </c>
      <c r="J16" s="3">
        <f t="shared" si="4"/>
        <v>2.46</v>
      </c>
      <c r="K16" s="3">
        <f t="shared" si="0"/>
        <v>2.41</v>
      </c>
      <c r="L16" s="3">
        <f t="shared" si="0"/>
        <v>2.46</v>
      </c>
      <c r="M16" s="3">
        <f t="shared" si="0"/>
        <v>2.39</v>
      </c>
      <c r="P16" s="15" t="s">
        <v>80</v>
      </c>
      <c r="Q16" s="10" t="str">
        <f t="shared" si="1"/>
        <v xml:space="preserve">TEREOS      -ON  </v>
      </c>
      <c r="R16" s="56">
        <f t="shared" si="2"/>
        <v>41654</v>
      </c>
      <c r="S16" s="5">
        <f t="shared" si="3"/>
        <v>2.46</v>
      </c>
      <c r="T16" s="5">
        <f t="shared" si="3"/>
        <v>2.41</v>
      </c>
      <c r="U16" s="5">
        <f t="shared" si="3"/>
        <v>2.46</v>
      </c>
      <c r="V16" s="5">
        <f t="shared" si="3"/>
        <v>2.39</v>
      </c>
    </row>
    <row r="17" spans="1:22" x14ac:dyDescent="0.2">
      <c r="A17" s="35" t="str">
        <f>IF(Tabela17[[#This Row],[Código]]="IBOV","^BVSP",IF(Tabela17[[#This Row],[Código]]="","",CONCATENATE(LEFT(Tabela17[[#This Row],[Código]],6),".SA")))</f>
        <v>ELEK3.SA</v>
      </c>
      <c r="C17" s="3" t="s">
        <v>493</v>
      </c>
      <c r="D17" s="3" t="s">
        <v>297</v>
      </c>
      <c r="E17" s="3" t="s">
        <v>297</v>
      </c>
      <c r="F17" s="3" t="s">
        <v>297</v>
      </c>
      <c r="G17" s="3" t="s">
        <v>297</v>
      </c>
      <c r="H17" s="56">
        <v>41617</v>
      </c>
      <c r="J17" s="3">
        <f t="shared" si="4"/>
        <v>10</v>
      </c>
      <c r="K17" s="3">
        <f t="shared" si="0"/>
        <v>10</v>
      </c>
      <c r="L17" s="3">
        <f t="shared" si="0"/>
        <v>10</v>
      </c>
      <c r="M17" s="3">
        <f t="shared" si="0"/>
        <v>10</v>
      </c>
      <c r="P17" s="14" t="s">
        <v>295</v>
      </c>
      <c r="Q17" s="10" t="str">
        <f t="shared" si="1"/>
        <v>ELEKEIROZ   -ON</v>
      </c>
      <c r="R17" s="56">
        <f t="shared" si="2"/>
        <v>41617</v>
      </c>
      <c r="S17" s="5">
        <f t="shared" si="3"/>
        <v>10</v>
      </c>
      <c r="T17" s="5">
        <f t="shared" si="3"/>
        <v>10</v>
      </c>
      <c r="U17" s="5">
        <f t="shared" si="3"/>
        <v>10</v>
      </c>
      <c r="V17" s="5">
        <f t="shared" si="3"/>
        <v>10</v>
      </c>
    </row>
    <row r="18" spans="1:22" x14ac:dyDescent="0.2">
      <c r="A18" s="35" t="str">
        <f>IF(Tabela17[[#This Row],[Código]]="IBOV","^BVSP",IF(Tabela17[[#This Row],[Código]]="","",CONCATENATE(LEFT(Tabela17[[#This Row],[Código]],6),".SA")))</f>
        <v>ELEK4.SA</v>
      </c>
      <c r="C18" s="3" t="s">
        <v>494</v>
      </c>
      <c r="D18" s="3" t="s">
        <v>111</v>
      </c>
      <c r="E18" s="3" t="s">
        <v>389</v>
      </c>
      <c r="F18" s="3" t="s">
        <v>454</v>
      </c>
      <c r="G18" s="3" t="s">
        <v>111</v>
      </c>
      <c r="H18" s="56">
        <v>41646</v>
      </c>
      <c r="J18" s="3">
        <f t="shared" si="4"/>
        <v>9</v>
      </c>
      <c r="K18" s="3">
        <f t="shared" si="0"/>
        <v>9.5</v>
      </c>
      <c r="L18" s="3">
        <f t="shared" si="0"/>
        <v>9.89</v>
      </c>
      <c r="M18" s="3">
        <f t="shared" si="0"/>
        <v>9</v>
      </c>
      <c r="P18" s="14" t="s">
        <v>296</v>
      </c>
      <c r="Q18" s="10" t="str">
        <f t="shared" si="1"/>
        <v>ELEKEIROZ   -PN</v>
      </c>
      <c r="R18" s="56">
        <f t="shared" si="2"/>
        <v>41646</v>
      </c>
      <c r="S18" s="5">
        <f t="shared" si="3"/>
        <v>9</v>
      </c>
      <c r="T18" s="5">
        <f t="shared" si="3"/>
        <v>9.5</v>
      </c>
      <c r="U18" s="5">
        <f t="shared" si="3"/>
        <v>9.89</v>
      </c>
      <c r="V18" s="5">
        <f t="shared" si="3"/>
        <v>9</v>
      </c>
    </row>
    <row r="19" spans="1:22" x14ac:dyDescent="0.2">
      <c r="A19" s="35" t="str">
        <f>IF(Tabela17[[#This Row],[Código]]="IBOV","^BVSP",IF(Tabela17[[#This Row],[Código]]="","",CONCATENATE(LEFT(Tabela17[[#This Row],[Código]],6),".SA")))</f>
        <v>BRKM3.SA</v>
      </c>
      <c r="C19" s="3" t="s">
        <v>301</v>
      </c>
      <c r="D19" s="3" t="s">
        <v>466</v>
      </c>
      <c r="E19" s="3" t="s">
        <v>466</v>
      </c>
      <c r="F19" s="3" t="s">
        <v>634</v>
      </c>
      <c r="G19" s="3" t="s">
        <v>466</v>
      </c>
      <c r="H19" s="56">
        <v>41654</v>
      </c>
      <c r="J19" s="3">
        <f t="shared" si="4"/>
        <v>16</v>
      </c>
      <c r="K19" s="3">
        <f t="shared" si="0"/>
        <v>16</v>
      </c>
      <c r="L19" s="3">
        <f t="shared" si="0"/>
        <v>16.440000000000001</v>
      </c>
      <c r="M19" s="3">
        <f t="shared" si="0"/>
        <v>16</v>
      </c>
      <c r="P19" s="14" t="s">
        <v>298</v>
      </c>
      <c r="Q19" s="10" t="str">
        <f t="shared" si="1"/>
        <v xml:space="preserve">BRASKEM     -ON  </v>
      </c>
      <c r="R19" s="56">
        <f t="shared" si="2"/>
        <v>41654</v>
      </c>
      <c r="S19" s="5">
        <f t="shared" si="3"/>
        <v>16</v>
      </c>
      <c r="T19" s="5">
        <f t="shared" si="3"/>
        <v>16</v>
      </c>
      <c r="U19" s="5">
        <f t="shared" si="3"/>
        <v>16.440000000000001</v>
      </c>
      <c r="V19" s="5">
        <f t="shared" si="3"/>
        <v>16</v>
      </c>
    </row>
    <row r="20" spans="1:22" x14ac:dyDescent="0.2">
      <c r="A20" s="35" t="str">
        <f>IF(Tabela17[[#This Row],[Código]]="IBOV","^BVSP",IF(Tabela17[[#This Row],[Código]]="","",CONCATENATE(LEFT(Tabela17[[#This Row],[Código]],6),".SA")))</f>
        <v>BRKM5.SA</v>
      </c>
      <c r="C20" s="3" t="s">
        <v>302</v>
      </c>
      <c r="D20" s="3" t="s">
        <v>635</v>
      </c>
      <c r="E20" s="3" t="s">
        <v>720</v>
      </c>
      <c r="F20" s="3" t="s">
        <v>635</v>
      </c>
      <c r="G20" s="3" t="s">
        <v>491</v>
      </c>
      <c r="H20" s="56">
        <v>41654</v>
      </c>
      <c r="J20" s="3">
        <f t="shared" si="4"/>
        <v>20.309999999999999</v>
      </c>
      <c r="K20" s="3">
        <f t="shared" si="0"/>
        <v>20.170000000000002</v>
      </c>
      <c r="L20" s="3">
        <f t="shared" si="0"/>
        <v>20.309999999999999</v>
      </c>
      <c r="M20" s="3">
        <f t="shared" si="0"/>
        <v>19.899999999999999</v>
      </c>
      <c r="P20" s="14" t="s">
        <v>299</v>
      </c>
      <c r="Q20" s="10" t="str">
        <f t="shared" si="1"/>
        <v xml:space="preserve">BRASKEM     -PNA </v>
      </c>
      <c r="R20" s="56">
        <f t="shared" si="2"/>
        <v>41654</v>
      </c>
      <c r="S20" s="5">
        <f t="shared" si="3"/>
        <v>20.309999999999999</v>
      </c>
      <c r="T20" s="5">
        <f t="shared" si="3"/>
        <v>20.170000000000002</v>
      </c>
      <c r="U20" s="5">
        <f t="shared" si="3"/>
        <v>20.309999999999999</v>
      </c>
      <c r="V20" s="5">
        <f t="shared" si="3"/>
        <v>19.899999999999999</v>
      </c>
    </row>
    <row r="21" spans="1:22" x14ac:dyDescent="0.2">
      <c r="A21" s="35" t="str">
        <f>IF(Tabela17[[#This Row],[Código]]="IBOV","^BVSP",IF(Tabela17[[#This Row],[Código]]="","",CONCATENATE(LEFT(Tabela17[[#This Row],[Código]],6),".SA")))</f>
        <v>BRKM6.SA</v>
      </c>
      <c r="C21" s="3" t="s">
        <v>303</v>
      </c>
      <c r="D21" s="3" t="s">
        <v>473</v>
      </c>
      <c r="E21" s="3" t="s">
        <v>473</v>
      </c>
      <c r="F21" s="3" t="s">
        <v>473</v>
      </c>
      <c r="G21" s="3" t="s">
        <v>473</v>
      </c>
      <c r="H21" s="56">
        <v>41647</v>
      </c>
      <c r="J21" s="3">
        <f t="shared" si="4"/>
        <v>10.5</v>
      </c>
      <c r="K21" s="3">
        <f t="shared" si="0"/>
        <v>10.5</v>
      </c>
      <c r="L21" s="3">
        <f t="shared" si="0"/>
        <v>10.5</v>
      </c>
      <c r="M21" s="3">
        <f t="shared" si="0"/>
        <v>10.5</v>
      </c>
      <c r="P21" s="15" t="s">
        <v>300</v>
      </c>
      <c r="Q21" s="10" t="str">
        <f t="shared" si="1"/>
        <v xml:space="preserve">BRASKEM     -PNB </v>
      </c>
      <c r="R21" s="56">
        <f t="shared" si="2"/>
        <v>41647</v>
      </c>
      <c r="S21" s="5">
        <f t="shared" si="3"/>
        <v>10.5</v>
      </c>
      <c r="T21" s="5">
        <f t="shared" si="3"/>
        <v>10.5</v>
      </c>
      <c r="U21" s="5">
        <f t="shared" si="3"/>
        <v>10.5</v>
      </c>
      <c r="V21" s="5">
        <f t="shared" si="3"/>
        <v>10.5</v>
      </c>
    </row>
    <row r="22" spans="1:22" x14ac:dyDescent="0.2">
      <c r="A22" s="35" t="str">
        <f>IF(Tabela17[[#This Row],[Código]]="IBOV","^BVSP",IF(Tabela17[[#This Row],[Código]]="","",CONCATENATE(LEFT(Tabela17[[#This Row],[Código]],6),".SA")))</f>
        <v>CSAN3.SA</v>
      </c>
      <c r="C22" s="3" t="s">
        <v>306</v>
      </c>
      <c r="D22" s="3" t="s">
        <v>637</v>
      </c>
      <c r="E22" s="3" t="s">
        <v>781</v>
      </c>
      <c r="F22" s="3" t="s">
        <v>638</v>
      </c>
      <c r="G22" s="3" t="s">
        <v>639</v>
      </c>
      <c r="H22" s="56">
        <v>41654</v>
      </c>
      <c r="J22" s="3">
        <f t="shared" si="4"/>
        <v>38.729999999999997</v>
      </c>
      <c r="K22" s="3">
        <f t="shared" si="0"/>
        <v>38.26</v>
      </c>
      <c r="L22" s="3">
        <f t="shared" si="0"/>
        <v>38.9</v>
      </c>
      <c r="M22" s="3">
        <f t="shared" si="0"/>
        <v>38.1</v>
      </c>
      <c r="P22" s="14" t="s">
        <v>305</v>
      </c>
      <c r="Q22" s="10" t="str">
        <f t="shared" si="1"/>
        <v xml:space="preserve">COSAN       -ON  </v>
      </c>
      <c r="R22" s="56">
        <f t="shared" si="2"/>
        <v>41654</v>
      </c>
      <c r="S22" s="5">
        <f t="shared" si="3"/>
        <v>38.729999999999997</v>
      </c>
      <c r="T22" s="5">
        <f t="shared" si="3"/>
        <v>38.26</v>
      </c>
      <c r="U22" s="5">
        <f t="shared" si="3"/>
        <v>38.9</v>
      </c>
      <c r="V22" s="5">
        <f t="shared" si="3"/>
        <v>38.1</v>
      </c>
    </row>
    <row r="23" spans="1:22" x14ac:dyDescent="0.2">
      <c r="A23" s="35" t="str">
        <f>IF(Tabela17[[#This Row],[Código]]="IBOV","^BVSP",IF(Tabela17[[#This Row],[Código]]="","",CONCATENATE(LEFT(Tabela17[[#This Row],[Código]],6),".SA")))</f>
        <v>SMTO3.SA</v>
      </c>
      <c r="C23" s="3" t="s">
        <v>308</v>
      </c>
      <c r="D23" s="3" t="s">
        <v>640</v>
      </c>
      <c r="E23" s="3" t="s">
        <v>525</v>
      </c>
      <c r="F23" s="3" t="s">
        <v>641</v>
      </c>
      <c r="G23" s="3" t="s">
        <v>642</v>
      </c>
      <c r="H23" s="56">
        <v>41654</v>
      </c>
      <c r="J23" s="3">
        <f t="shared" si="4"/>
        <v>27.37</v>
      </c>
      <c r="K23" s="3">
        <f t="shared" si="4"/>
        <v>26.8</v>
      </c>
      <c r="L23" s="3">
        <f t="shared" si="4"/>
        <v>27.47</v>
      </c>
      <c r="M23" s="3">
        <f t="shared" si="4"/>
        <v>26.53</v>
      </c>
      <c r="P23" s="15" t="s">
        <v>307</v>
      </c>
      <c r="Q23" s="10" t="str">
        <f t="shared" si="1"/>
        <v xml:space="preserve">SAO MARTINHO-ON  </v>
      </c>
      <c r="R23" s="56">
        <f t="shared" si="2"/>
        <v>41654</v>
      </c>
      <c r="S23" s="5">
        <f t="shared" si="3"/>
        <v>27.37</v>
      </c>
      <c r="T23" s="5">
        <f t="shared" si="3"/>
        <v>26.8</v>
      </c>
      <c r="U23" s="5">
        <f t="shared" si="3"/>
        <v>27.47</v>
      </c>
      <c r="V23" s="5">
        <f t="shared" si="3"/>
        <v>26.53</v>
      </c>
    </row>
    <row r="24" spans="1:22" x14ac:dyDescent="0.2">
      <c r="A24" s="35" t="str">
        <f>IF(Tabela17[[#This Row],[Código]]="IBOV","^BVSP",IF(Tabela17[[#This Row],[Código]]="","",CONCATENATE(LEFT(Tabela17[[#This Row],[Código]],6),".SA")))</f>
        <v>CIQU3.SA</v>
      </c>
      <c r="C24" s="3" t="s">
        <v>391</v>
      </c>
      <c r="D24" s="3" t="s">
        <v>311</v>
      </c>
      <c r="E24" s="3" t="s">
        <v>311</v>
      </c>
      <c r="F24" s="3" t="s">
        <v>311</v>
      </c>
      <c r="G24" s="3" t="s">
        <v>311</v>
      </c>
      <c r="H24" s="56">
        <v>41605</v>
      </c>
      <c r="J24" s="3">
        <f t="shared" si="4"/>
        <v>7.08</v>
      </c>
      <c r="K24" s="3">
        <f t="shared" si="4"/>
        <v>7.08</v>
      </c>
      <c r="L24" s="3">
        <f t="shared" si="4"/>
        <v>7.08</v>
      </c>
      <c r="M24" s="3">
        <f t="shared" si="4"/>
        <v>7.08</v>
      </c>
      <c r="P24" s="10" t="s">
        <v>309</v>
      </c>
      <c r="Q24" s="10" t="str">
        <f t="shared" si="1"/>
        <v xml:space="preserve">CACIQUE     -ON  </v>
      </c>
      <c r="R24" s="56">
        <f t="shared" si="2"/>
        <v>41605</v>
      </c>
      <c r="S24" s="5">
        <f t="shared" si="3"/>
        <v>7.08</v>
      </c>
      <c r="T24" s="5">
        <f t="shared" si="3"/>
        <v>7.08</v>
      </c>
      <c r="U24" s="5">
        <f t="shared" si="3"/>
        <v>7.08</v>
      </c>
      <c r="V24" s="5">
        <f t="shared" si="3"/>
        <v>7.08</v>
      </c>
    </row>
    <row r="25" spans="1:22" x14ac:dyDescent="0.2">
      <c r="A25" s="35" t="str">
        <f>IF(Tabela17[[#This Row],[Código]]="IBOV","^BVSP",IF(Tabela17[[#This Row],[Código]]="","",CONCATENATE(LEFT(Tabela17[[#This Row],[Código]],6),".SA")))</f>
        <v>CIQU4.SA</v>
      </c>
      <c r="C25" s="3" t="s">
        <v>392</v>
      </c>
      <c r="D25" s="3" t="s">
        <v>485</v>
      </c>
      <c r="E25" s="3" t="s">
        <v>485</v>
      </c>
      <c r="F25" s="3" t="s">
        <v>485</v>
      </c>
      <c r="G25" s="3" t="s">
        <v>485</v>
      </c>
      <c r="H25" s="56">
        <v>41649</v>
      </c>
      <c r="J25" s="3">
        <f t="shared" si="4"/>
        <v>13.08</v>
      </c>
      <c r="K25" s="3">
        <f t="shared" si="4"/>
        <v>13.08</v>
      </c>
      <c r="L25" s="3">
        <f t="shared" si="4"/>
        <v>13.08</v>
      </c>
      <c r="M25" s="3">
        <f t="shared" si="4"/>
        <v>13.08</v>
      </c>
      <c r="P25" s="15" t="s">
        <v>310</v>
      </c>
      <c r="Q25" s="10" t="str">
        <f t="shared" si="1"/>
        <v xml:space="preserve">CACIQUE     -PN  </v>
      </c>
      <c r="R25" s="56">
        <f t="shared" si="2"/>
        <v>41649</v>
      </c>
      <c r="S25" s="5">
        <f t="shared" si="3"/>
        <v>13.08</v>
      </c>
      <c r="T25" s="5">
        <f t="shared" si="3"/>
        <v>13.08</v>
      </c>
      <c r="U25" s="5">
        <f t="shared" si="3"/>
        <v>13.08</v>
      </c>
      <c r="V25" s="5">
        <f t="shared" si="3"/>
        <v>13.08</v>
      </c>
    </row>
    <row r="26" spans="1:22" x14ac:dyDescent="0.2">
      <c r="A26" s="35" t="str">
        <f>IF(Tabela17[[#This Row],[Código]]="IBOV","^BVSP",IF(Tabela17[[#This Row],[Código]]="","",CONCATENATE(LEFT(Tabela17[[#This Row],[Código]],6),".SA")))</f>
        <v>BRFS3.SA</v>
      </c>
      <c r="C26" s="3" t="s">
        <v>315</v>
      </c>
      <c r="D26" s="3" t="s">
        <v>643</v>
      </c>
      <c r="E26" s="3" t="s">
        <v>782</v>
      </c>
      <c r="F26" s="3" t="s">
        <v>721</v>
      </c>
      <c r="G26" s="3" t="s">
        <v>644</v>
      </c>
      <c r="H26" s="56">
        <v>41654</v>
      </c>
      <c r="J26" s="3">
        <f t="shared" si="4"/>
        <v>44.83</v>
      </c>
      <c r="K26" s="3">
        <f t="shared" si="4"/>
        <v>44.71</v>
      </c>
      <c r="L26" s="3">
        <f t="shared" si="4"/>
        <v>45.2</v>
      </c>
      <c r="M26" s="3">
        <f t="shared" si="4"/>
        <v>44.42</v>
      </c>
      <c r="P26" s="10" t="s">
        <v>313</v>
      </c>
      <c r="Q26" s="10" t="str">
        <f t="shared" si="1"/>
        <v xml:space="preserve">BRF SA      -ON  </v>
      </c>
      <c r="R26" s="56">
        <f t="shared" si="2"/>
        <v>41654</v>
      </c>
      <c r="S26" s="5">
        <f t="shared" si="3"/>
        <v>44.83</v>
      </c>
      <c r="T26" s="5">
        <f t="shared" si="3"/>
        <v>44.71</v>
      </c>
      <c r="U26" s="5">
        <f t="shared" si="3"/>
        <v>45.2</v>
      </c>
      <c r="V26" s="5">
        <f t="shared" si="3"/>
        <v>44.42</v>
      </c>
    </row>
    <row r="27" spans="1:22" x14ac:dyDescent="0.2">
      <c r="A27" s="35" t="str">
        <f>IF(Tabela17[[#This Row],[Código]]="IBOV","^BVSP",IF(Tabela17[[#This Row],[Código]]="","",CONCATENATE(LEFT(Tabela17[[#This Row],[Código]],6),".SA")))</f>
        <v>JBSS3.SA</v>
      </c>
      <c r="C27" s="3" t="s">
        <v>317</v>
      </c>
      <c r="D27" s="3" t="s">
        <v>536</v>
      </c>
      <c r="E27" s="3" t="s">
        <v>587</v>
      </c>
      <c r="F27" s="3" t="s">
        <v>588</v>
      </c>
      <c r="G27" s="3" t="s">
        <v>526</v>
      </c>
      <c r="H27" s="56">
        <v>41654</v>
      </c>
      <c r="J27" s="3">
        <f t="shared" si="4"/>
        <v>8.74</v>
      </c>
      <c r="K27" s="3">
        <f t="shared" si="4"/>
        <v>8.9</v>
      </c>
      <c r="L27" s="3">
        <f t="shared" si="4"/>
        <v>9.08</v>
      </c>
      <c r="M27" s="3">
        <f t="shared" si="4"/>
        <v>8.6999999999999993</v>
      </c>
      <c r="P27" s="46" t="s">
        <v>316</v>
      </c>
      <c r="Q27" s="10" t="str">
        <f t="shared" si="1"/>
        <v xml:space="preserve">JBS         -ON  </v>
      </c>
      <c r="R27" s="56">
        <f t="shared" si="2"/>
        <v>41654</v>
      </c>
      <c r="S27" s="5">
        <f t="shared" si="3"/>
        <v>8.74</v>
      </c>
      <c r="T27" s="5">
        <f t="shared" si="3"/>
        <v>8.9</v>
      </c>
      <c r="U27" s="5">
        <f t="shared" si="3"/>
        <v>9.08</v>
      </c>
      <c r="V27" s="5">
        <f t="shared" si="3"/>
        <v>8.6999999999999993</v>
      </c>
    </row>
    <row r="28" spans="1:22" x14ac:dyDescent="0.2">
      <c r="A28" s="35" t="str">
        <f>IF(Tabela17[[#This Row],[Código]]="IBOV","^BVSP",IF(Tabela17[[#This Row],[Código]]="","",CONCATENATE(LEFT(Tabela17[[#This Row],[Código]],6),".SA")))</f>
        <v>VIGR3.SA</v>
      </c>
      <c r="C28" s="3" t="s">
        <v>319</v>
      </c>
      <c r="D28" s="3" t="s">
        <v>646</v>
      </c>
      <c r="E28" s="3" t="s">
        <v>722</v>
      </c>
      <c r="F28" s="3" t="s">
        <v>722</v>
      </c>
      <c r="G28" s="3" t="s">
        <v>646</v>
      </c>
      <c r="H28" s="56">
        <v>41654</v>
      </c>
      <c r="J28" s="3">
        <f t="shared" si="4"/>
        <v>9.01</v>
      </c>
      <c r="K28" s="3">
        <f t="shared" si="4"/>
        <v>9.15</v>
      </c>
      <c r="L28" s="3">
        <f t="shared" si="4"/>
        <v>9.15</v>
      </c>
      <c r="M28" s="3">
        <f t="shared" si="4"/>
        <v>9.01</v>
      </c>
      <c r="P28" s="46" t="s">
        <v>318</v>
      </c>
      <c r="Q28" s="10" t="str">
        <f t="shared" si="1"/>
        <v xml:space="preserve">VIGOR FOOD  -ON  </v>
      </c>
      <c r="R28" s="56">
        <f t="shared" si="2"/>
        <v>41654</v>
      </c>
      <c r="S28" s="5">
        <f t="shared" si="3"/>
        <v>9.01</v>
      </c>
      <c r="T28" s="5">
        <f t="shared" si="3"/>
        <v>9.15</v>
      </c>
      <c r="U28" s="5">
        <f t="shared" si="3"/>
        <v>9.15</v>
      </c>
      <c r="V28" s="5">
        <f t="shared" si="3"/>
        <v>9.01</v>
      </c>
    </row>
    <row r="29" spans="1:22" x14ac:dyDescent="0.2">
      <c r="A29" s="35" t="str">
        <f>IF(Tabela17[[#This Row],[Código]]="IBOV","^BVSP",IF(Tabela17[[#This Row],[Código]]="","",CONCATENATE(LEFT(Tabela17[[#This Row],[Código]],6),".SA")))</f>
        <v>TIMP3.SA</v>
      </c>
      <c r="C29" s="3" t="s">
        <v>323</v>
      </c>
      <c r="D29" s="3" t="s">
        <v>537</v>
      </c>
      <c r="E29" s="3" t="s">
        <v>783</v>
      </c>
      <c r="F29" s="3" t="s">
        <v>647</v>
      </c>
      <c r="G29" s="3" t="s">
        <v>784</v>
      </c>
      <c r="H29" s="56">
        <v>41654</v>
      </c>
      <c r="J29" s="3">
        <f>IF($A29="",0,VALUE(CONCATENATE(LEFT(D29,LEN(D29)-3),",",RIGHT(D29,2))))</f>
        <v>13.45</v>
      </c>
      <c r="K29" s="3">
        <f t="shared" si="4"/>
        <v>13.46</v>
      </c>
      <c r="L29" s="3">
        <f t="shared" si="4"/>
        <v>13.47</v>
      </c>
      <c r="M29" s="3">
        <f t="shared" si="4"/>
        <v>13.27</v>
      </c>
      <c r="P29" s="15" t="s">
        <v>321</v>
      </c>
      <c r="Q29" s="10" t="str">
        <f t="shared" si="1"/>
        <v xml:space="preserve">TIM PART S/A-ON  </v>
      </c>
      <c r="R29" s="56">
        <f t="shared" si="2"/>
        <v>41654</v>
      </c>
      <c r="S29" s="5">
        <f t="shared" si="3"/>
        <v>13.45</v>
      </c>
      <c r="T29" s="5">
        <f t="shared" si="3"/>
        <v>13.46</v>
      </c>
      <c r="U29" s="5">
        <f t="shared" si="3"/>
        <v>13.47</v>
      </c>
      <c r="V29" s="5">
        <f t="shared" si="3"/>
        <v>13.27</v>
      </c>
    </row>
    <row r="30" spans="1:22" x14ac:dyDescent="0.2">
      <c r="A30" s="35" t="str">
        <f>IF(Tabela17[[#This Row],[Código]]="IBOV","^BVSP",IF(Tabela17[[#This Row],[Código]]="","",CONCATENATE(LEFT(Tabela17[[#This Row],[Código]],6),".SA")))</f>
        <v>OIBR3.SA</v>
      </c>
      <c r="C30" s="3" t="s">
        <v>326</v>
      </c>
      <c r="D30" s="3" t="s">
        <v>648</v>
      </c>
      <c r="E30" s="3" t="s">
        <v>785</v>
      </c>
      <c r="F30" s="3" t="s">
        <v>723</v>
      </c>
      <c r="G30" s="3" t="s">
        <v>649</v>
      </c>
      <c r="H30" s="56">
        <v>41654</v>
      </c>
      <c r="J30" s="3">
        <f t="shared" si="4"/>
        <v>4.63</v>
      </c>
      <c r="K30" s="3">
        <f t="shared" si="4"/>
        <v>4.6900000000000004</v>
      </c>
      <c r="L30" s="3">
        <f t="shared" si="4"/>
        <v>4.72</v>
      </c>
      <c r="M30" s="3">
        <f t="shared" si="4"/>
        <v>4.57</v>
      </c>
      <c r="P30" s="14" t="s">
        <v>324</v>
      </c>
      <c r="Q30" s="10" t="str">
        <f t="shared" si="1"/>
        <v xml:space="preserve">OI          -ON  </v>
      </c>
      <c r="R30" s="56">
        <f t="shared" si="2"/>
        <v>41654</v>
      </c>
      <c r="S30" s="5">
        <f t="shared" si="3"/>
        <v>4.63</v>
      </c>
      <c r="T30" s="5">
        <f t="shared" si="3"/>
        <v>4.6900000000000004</v>
      </c>
      <c r="U30" s="5">
        <f t="shared" si="3"/>
        <v>4.72</v>
      </c>
      <c r="V30" s="5">
        <f t="shared" si="3"/>
        <v>4.57</v>
      </c>
    </row>
    <row r="31" spans="1:22" x14ac:dyDescent="0.2">
      <c r="A31" s="35" t="str">
        <f>IF(Tabela17[[#This Row],[Código]]="IBOV","^BVSP",IF(Tabela17[[#This Row],[Código]]="","",CONCATENATE(LEFT(Tabela17[[#This Row],[Código]],6),".SA")))</f>
        <v>OIBR4.SA</v>
      </c>
      <c r="C31" s="3" t="s">
        <v>327</v>
      </c>
      <c r="D31" s="3" t="s">
        <v>650</v>
      </c>
      <c r="E31" s="3" t="s">
        <v>651</v>
      </c>
      <c r="F31" s="3" t="s">
        <v>538</v>
      </c>
      <c r="G31" s="3" t="s">
        <v>651</v>
      </c>
      <c r="H31" s="56">
        <v>41654</v>
      </c>
      <c r="J31" s="3">
        <f t="shared" si="4"/>
        <v>4.45</v>
      </c>
      <c r="K31" s="3">
        <f t="shared" si="4"/>
        <v>4.37</v>
      </c>
      <c r="L31" s="3">
        <f t="shared" si="4"/>
        <v>4.53</v>
      </c>
      <c r="M31" s="3">
        <f t="shared" si="4"/>
        <v>4.37</v>
      </c>
      <c r="P31" s="10" t="s">
        <v>325</v>
      </c>
      <c r="Q31" s="10" t="str">
        <f t="shared" si="1"/>
        <v xml:space="preserve">OI          -PN  </v>
      </c>
      <c r="R31" s="56">
        <f t="shared" si="2"/>
        <v>41654</v>
      </c>
      <c r="S31" s="5">
        <f t="shared" si="3"/>
        <v>4.45</v>
      </c>
      <c r="T31" s="5">
        <f t="shared" si="3"/>
        <v>4.37</v>
      </c>
      <c r="U31" s="5">
        <f t="shared" si="3"/>
        <v>4.53</v>
      </c>
      <c r="V31" s="5">
        <f t="shared" si="3"/>
        <v>4.37</v>
      </c>
    </row>
    <row r="32" spans="1:22" x14ac:dyDescent="0.2">
      <c r="A32" s="35" t="str">
        <f>IF(Tabela17[[#This Row],[Código]]="IBOV","^BVSP",IF(Tabela17[[#This Row],[Código]]="","",CONCATENATE(LEFT(Tabela17[[#This Row],[Código]],6),".SA")))</f>
        <v>VIVT3.SA</v>
      </c>
      <c r="C32" s="3" t="s">
        <v>393</v>
      </c>
      <c r="D32" s="3" t="s">
        <v>652</v>
      </c>
      <c r="E32" s="3" t="s">
        <v>786</v>
      </c>
      <c r="F32" s="3" t="s">
        <v>787</v>
      </c>
      <c r="G32" s="3" t="s">
        <v>652</v>
      </c>
      <c r="H32" s="56">
        <v>41654</v>
      </c>
      <c r="J32" s="3">
        <f t="shared" si="4"/>
        <v>40.85</v>
      </c>
      <c r="K32" s="3">
        <f t="shared" si="4"/>
        <v>41.55</v>
      </c>
      <c r="L32" s="3">
        <f t="shared" si="4"/>
        <v>41.77</v>
      </c>
      <c r="M32" s="3">
        <f t="shared" si="4"/>
        <v>40.85</v>
      </c>
      <c r="P32" s="15" t="s">
        <v>329</v>
      </c>
      <c r="Q32" s="10" t="str">
        <f t="shared" si="1"/>
        <v xml:space="preserve">TELEF BRASIL-ON  </v>
      </c>
      <c r="R32" s="56">
        <f t="shared" si="2"/>
        <v>41654</v>
      </c>
      <c r="S32" s="5">
        <f t="shared" si="3"/>
        <v>40.85</v>
      </c>
      <c r="T32" s="5">
        <f t="shared" si="3"/>
        <v>41.55</v>
      </c>
      <c r="U32" s="5">
        <f t="shared" si="3"/>
        <v>41.77</v>
      </c>
      <c r="V32" s="5">
        <f t="shared" si="3"/>
        <v>40.85</v>
      </c>
    </row>
    <row r="33" spans="1:22" x14ac:dyDescent="0.2">
      <c r="A33" s="35" t="str">
        <f>IF(Tabela17[[#This Row],[Código]]="IBOV","^BVSP",IF(Tabela17[[#This Row],[Código]]="","",CONCATENATE(LEFT(Tabela17[[#This Row],[Código]],6),".SA")))</f>
        <v>VIVT4.SA</v>
      </c>
      <c r="C33" s="3" t="s">
        <v>394</v>
      </c>
      <c r="D33" s="3" t="s">
        <v>653</v>
      </c>
      <c r="E33" s="3" t="s">
        <v>788</v>
      </c>
      <c r="F33" s="3" t="s">
        <v>654</v>
      </c>
      <c r="G33" s="3" t="s">
        <v>653</v>
      </c>
      <c r="H33" s="56">
        <v>41654</v>
      </c>
      <c r="J33" s="3">
        <f t="shared" si="4"/>
        <v>46.12</v>
      </c>
      <c r="K33" s="3">
        <f t="shared" si="4"/>
        <v>46.9</v>
      </c>
      <c r="L33" s="3">
        <f t="shared" si="4"/>
        <v>47.26</v>
      </c>
      <c r="M33" s="3">
        <f t="shared" si="4"/>
        <v>46.12</v>
      </c>
      <c r="P33" s="15" t="s">
        <v>330</v>
      </c>
      <c r="Q33" s="10" t="str">
        <f t="shared" si="1"/>
        <v xml:space="preserve">TELEF BRASIL-PN  </v>
      </c>
      <c r="R33" s="56">
        <f t="shared" si="2"/>
        <v>41654</v>
      </c>
      <c r="S33" s="5">
        <f t="shared" si="3"/>
        <v>46.12</v>
      </c>
      <c r="T33" s="5">
        <f t="shared" si="3"/>
        <v>46.9</v>
      </c>
      <c r="U33" s="5">
        <f t="shared" si="3"/>
        <v>47.26</v>
      </c>
      <c r="V33" s="5">
        <f t="shared" si="3"/>
        <v>46.12</v>
      </c>
    </row>
    <row r="34" spans="1:22" x14ac:dyDescent="0.2">
      <c r="A34" s="35" t="str">
        <f>IF(Tabela17[[#This Row],[Código]]="IBOV","^BVSP",IF(Tabela17[[#This Row],[Código]]="","",CONCATENATE(LEFT(Tabela17[[#This Row],[Código]],6),".SA")))</f>
        <v>BRAP3.SA</v>
      </c>
      <c r="C34" s="3" t="s">
        <v>334</v>
      </c>
      <c r="D34" s="3" t="s">
        <v>125</v>
      </c>
      <c r="E34" s="3" t="s">
        <v>616</v>
      </c>
      <c r="F34" s="3" t="s">
        <v>724</v>
      </c>
      <c r="G34" s="3" t="s">
        <v>125</v>
      </c>
      <c r="H34" s="56">
        <v>41654</v>
      </c>
      <c r="J34" s="3">
        <f t="shared" si="4"/>
        <v>18</v>
      </c>
      <c r="K34" s="3">
        <f t="shared" si="4"/>
        <v>18.16</v>
      </c>
      <c r="L34" s="3">
        <f t="shared" si="4"/>
        <v>18.2</v>
      </c>
      <c r="M34" s="3">
        <f t="shared" si="4"/>
        <v>18</v>
      </c>
      <c r="P34" s="10" t="s">
        <v>331</v>
      </c>
      <c r="Q34" s="10" t="str">
        <f t="shared" si="1"/>
        <v xml:space="preserve">BRADESPAR   -ON  </v>
      </c>
      <c r="R34" s="56">
        <f t="shared" si="2"/>
        <v>41654</v>
      </c>
      <c r="S34" s="5">
        <f t="shared" si="3"/>
        <v>18</v>
      </c>
      <c r="T34" s="5">
        <f t="shared" si="3"/>
        <v>18.16</v>
      </c>
      <c r="U34" s="5">
        <f t="shared" si="3"/>
        <v>18.2</v>
      </c>
      <c r="V34" s="5">
        <f t="shared" si="3"/>
        <v>18</v>
      </c>
    </row>
    <row r="35" spans="1:22" x14ac:dyDescent="0.2">
      <c r="A35" s="35" t="str">
        <f>IF(Tabela17[[#This Row],[Código]]="IBOV","^BVSP",IF(Tabela17[[#This Row],[Código]]="","",CONCATENATE(LEFT(Tabela17[[#This Row],[Código]],6),".SA")))</f>
        <v>BRAP4.SA</v>
      </c>
      <c r="C35" s="3" t="s">
        <v>335</v>
      </c>
      <c r="D35" s="3" t="s">
        <v>656</v>
      </c>
      <c r="E35" s="3" t="s">
        <v>789</v>
      </c>
      <c r="F35" s="3" t="s">
        <v>790</v>
      </c>
      <c r="G35" s="3" t="s">
        <v>657</v>
      </c>
      <c r="H35" s="56">
        <v>41654</v>
      </c>
      <c r="J35" s="3">
        <f t="shared" si="4"/>
        <v>22.38</v>
      </c>
      <c r="K35" s="3">
        <f t="shared" si="4"/>
        <v>22.41</v>
      </c>
      <c r="L35" s="3">
        <f t="shared" si="4"/>
        <v>22.52</v>
      </c>
      <c r="M35" s="3">
        <f t="shared" si="4"/>
        <v>22.19</v>
      </c>
      <c r="P35" s="10" t="s">
        <v>332</v>
      </c>
      <c r="Q35" s="10" t="str">
        <f t="shared" si="1"/>
        <v xml:space="preserve">BRADESPAR   -PN  </v>
      </c>
      <c r="R35" s="56">
        <f t="shared" si="2"/>
        <v>41654</v>
      </c>
      <c r="S35" s="5">
        <f t="shared" si="3"/>
        <v>22.38</v>
      </c>
      <c r="T35" s="5">
        <f t="shared" si="3"/>
        <v>22.41</v>
      </c>
      <c r="U35" s="5">
        <f t="shared" si="3"/>
        <v>22.52</v>
      </c>
      <c r="V35" s="5">
        <f t="shared" si="3"/>
        <v>22.19</v>
      </c>
    </row>
    <row r="36" spans="1:22" x14ac:dyDescent="0.2">
      <c r="A36" s="35" t="str">
        <f>IF(Tabela17[[#This Row],[Código]]="IBOV","^BVSP",IF(Tabela17[[#This Row],[Código]]="","",CONCATENATE(LEFT(Tabela17[[#This Row],[Código]],6),".SA")))</f>
        <v>HBTS5.SA</v>
      </c>
      <c r="C36" s="3" t="s">
        <v>341</v>
      </c>
      <c r="D36" s="3" t="s">
        <v>658</v>
      </c>
      <c r="E36" s="3" t="s">
        <v>522</v>
      </c>
      <c r="F36" s="3" t="s">
        <v>522</v>
      </c>
      <c r="G36" s="3" t="s">
        <v>658</v>
      </c>
      <c r="H36" s="56">
        <v>41654</v>
      </c>
      <c r="J36" s="3">
        <f t="shared" si="4"/>
        <v>15.95</v>
      </c>
      <c r="K36" s="3">
        <f t="shared" si="4"/>
        <v>17.97</v>
      </c>
      <c r="L36" s="3">
        <f t="shared" si="4"/>
        <v>17.97</v>
      </c>
      <c r="M36" s="3">
        <f t="shared" si="4"/>
        <v>15.95</v>
      </c>
      <c r="P36" s="14" t="s">
        <v>340</v>
      </c>
      <c r="Q36" s="10" t="str">
        <f t="shared" si="1"/>
        <v>HABITASUL   -PNA</v>
      </c>
      <c r="R36" s="56">
        <f t="shared" si="2"/>
        <v>41654</v>
      </c>
      <c r="S36" s="5">
        <f t="shared" si="3"/>
        <v>15.95</v>
      </c>
      <c r="T36" s="5">
        <f t="shared" si="3"/>
        <v>17.97</v>
      </c>
      <c r="U36" s="5">
        <f t="shared" si="3"/>
        <v>17.97</v>
      </c>
      <c r="V36" s="5">
        <f t="shared" si="3"/>
        <v>15.95</v>
      </c>
    </row>
    <row r="37" spans="1:22" x14ac:dyDescent="0.2">
      <c r="A37" s="35" t="str">
        <f>IF(Tabela17[[#This Row],[Código]]="IBOV","^BVSP",IF(Tabela17[[#This Row],[Código]]="","",CONCATENATE(LEFT(Tabela17[[#This Row],[Código]],6),".SA")))</f>
        <v>MOAR3.SA</v>
      </c>
      <c r="C37" s="3" t="s">
        <v>495</v>
      </c>
      <c r="D37" s="3" t="s">
        <v>343</v>
      </c>
      <c r="E37" s="3" t="s">
        <v>344</v>
      </c>
      <c r="F37" s="3" t="s">
        <v>343</v>
      </c>
      <c r="G37" s="3" t="s">
        <v>344</v>
      </c>
      <c r="H37" s="56">
        <v>41634</v>
      </c>
      <c r="J37" s="3">
        <f t="shared" si="4"/>
        <v>159</v>
      </c>
      <c r="K37" s="3">
        <f t="shared" si="4"/>
        <v>158.99</v>
      </c>
      <c r="L37" s="3">
        <f t="shared" si="4"/>
        <v>159</v>
      </c>
      <c r="M37" s="3">
        <f t="shared" si="4"/>
        <v>158.99</v>
      </c>
      <c r="P37" s="14" t="s">
        <v>342</v>
      </c>
      <c r="Q37" s="10" t="str">
        <f t="shared" si="1"/>
        <v>MONT ARANHA -ON</v>
      </c>
      <c r="R37" s="56">
        <f t="shared" si="2"/>
        <v>41634</v>
      </c>
      <c r="S37" s="5">
        <f t="shared" si="3"/>
        <v>159</v>
      </c>
      <c r="T37" s="5">
        <f t="shared" si="3"/>
        <v>158.99</v>
      </c>
      <c r="U37" s="5">
        <f t="shared" si="3"/>
        <v>159</v>
      </c>
      <c r="V37" s="5">
        <f t="shared" si="3"/>
        <v>158.99</v>
      </c>
    </row>
    <row r="38" spans="1:22" x14ac:dyDescent="0.2">
      <c r="A38" s="35" t="str">
        <f>IF(Tabela17[[#This Row],[Código]]="IBOV","^BVSP",IF(Tabela17[[#This Row],[Código]]="","",CONCATENATE(LEFT(Tabela17[[#This Row],[Código]],6),".SA")))</f>
        <v>UGPA3.SA</v>
      </c>
      <c r="C38" s="3" t="s">
        <v>346</v>
      </c>
      <c r="D38" s="3" t="s">
        <v>659</v>
      </c>
      <c r="E38" s="3" t="s">
        <v>791</v>
      </c>
      <c r="F38" s="3" t="s">
        <v>660</v>
      </c>
      <c r="G38" s="3" t="s">
        <v>731</v>
      </c>
      <c r="H38" s="56">
        <v>41654</v>
      </c>
      <c r="J38" s="3">
        <f t="shared" si="4"/>
        <v>54.7</v>
      </c>
      <c r="K38" s="3">
        <f t="shared" si="4"/>
        <v>53.92</v>
      </c>
      <c r="L38" s="3">
        <f t="shared" si="4"/>
        <v>54.74</v>
      </c>
      <c r="M38" s="3">
        <f t="shared" si="4"/>
        <v>53.55</v>
      </c>
      <c r="P38" s="14" t="s">
        <v>345</v>
      </c>
      <c r="Q38" s="10" t="str">
        <f t="shared" si="1"/>
        <v xml:space="preserve">ULTRAPAR    -ON  </v>
      </c>
      <c r="R38" s="56">
        <f t="shared" si="2"/>
        <v>41654</v>
      </c>
      <c r="S38" s="5">
        <f t="shared" si="3"/>
        <v>54.7</v>
      </c>
      <c r="T38" s="5">
        <f t="shared" si="3"/>
        <v>53.92</v>
      </c>
      <c r="U38" s="5">
        <f t="shared" si="3"/>
        <v>54.74</v>
      </c>
      <c r="V38" s="5">
        <f t="shared" si="3"/>
        <v>53.55</v>
      </c>
    </row>
    <row r="39" spans="1:22" x14ac:dyDescent="0.2">
      <c r="A39" s="35" t="str">
        <f>IF(Tabela17[[#This Row],[Código]]="IBOV","^BVSP",IF(Tabela17[[#This Row],[Código]]="","",CONCATENATE(LEFT(Tabela17[[#This Row],[Código]],6),".SA")))</f>
        <v>BAHI3.SA</v>
      </c>
      <c r="C39" s="3" t="s">
        <v>348</v>
      </c>
      <c r="D39" s="3" t="s">
        <v>661</v>
      </c>
      <c r="E39" s="3" t="s">
        <v>792</v>
      </c>
      <c r="F39" s="3" t="s">
        <v>661</v>
      </c>
      <c r="G39" s="3" t="s">
        <v>792</v>
      </c>
      <c r="H39" s="56">
        <v>41654</v>
      </c>
      <c r="J39" s="3">
        <f t="shared" si="4"/>
        <v>5.3</v>
      </c>
      <c r="K39" s="3">
        <f t="shared" si="4"/>
        <v>4.8099999999999996</v>
      </c>
      <c r="L39" s="3">
        <f t="shared" si="4"/>
        <v>5.3</v>
      </c>
      <c r="M39" s="3">
        <f t="shared" si="4"/>
        <v>4.8099999999999996</v>
      </c>
      <c r="P39" s="14" t="s">
        <v>347</v>
      </c>
      <c r="Q39" s="10" t="str">
        <f t="shared" si="1"/>
        <v>BAHEMA      -ON</v>
      </c>
      <c r="R39" s="56">
        <f t="shared" si="2"/>
        <v>41654</v>
      </c>
      <c r="S39" s="5">
        <f t="shared" ref="S39:V70" si="5">J39</f>
        <v>5.3</v>
      </c>
      <c r="T39" s="5">
        <f t="shared" si="5"/>
        <v>4.8099999999999996</v>
      </c>
      <c r="U39" s="5">
        <f t="shared" si="5"/>
        <v>5.3</v>
      </c>
      <c r="V39" s="5">
        <f t="shared" si="5"/>
        <v>4.8099999999999996</v>
      </c>
    </row>
    <row r="40" spans="1:22" x14ac:dyDescent="0.2">
      <c r="A40" s="35" t="str">
        <f>IF(Tabela17[[#This Row],[Código]]="IBOV","^BVSP",IF(Tabela17[[#This Row],[Código]]="","",CONCATENATE(LEFT(Tabela17[[#This Row],[Código]],6),".SA")))</f>
        <v>LCAM3.SA</v>
      </c>
      <c r="C40" s="3" t="s">
        <v>356</v>
      </c>
      <c r="D40" s="3" t="s">
        <v>662</v>
      </c>
      <c r="E40" s="3" t="s">
        <v>662</v>
      </c>
      <c r="F40" s="3" t="s">
        <v>540</v>
      </c>
      <c r="G40" s="3" t="s">
        <v>793</v>
      </c>
      <c r="H40" s="56">
        <v>41654</v>
      </c>
      <c r="J40" s="3">
        <f t="shared" si="4"/>
        <v>6.5</v>
      </c>
      <c r="K40" s="3">
        <f t="shared" si="4"/>
        <v>6.5</v>
      </c>
      <c r="L40" s="3">
        <f t="shared" si="4"/>
        <v>6.55</v>
      </c>
      <c r="M40" s="3">
        <f t="shared" si="4"/>
        <v>6.42</v>
      </c>
      <c r="P40" s="14" t="s">
        <v>355</v>
      </c>
      <c r="Q40" s="10" t="str">
        <f t="shared" si="1"/>
        <v xml:space="preserve">LOCAMERICA  -ON  </v>
      </c>
      <c r="R40" s="56">
        <f t="shared" si="2"/>
        <v>41654</v>
      </c>
      <c r="S40" s="5">
        <f t="shared" si="5"/>
        <v>6.5</v>
      </c>
      <c r="T40" s="5">
        <f t="shared" si="5"/>
        <v>6.5</v>
      </c>
      <c r="U40" s="5">
        <f t="shared" si="5"/>
        <v>6.55</v>
      </c>
      <c r="V40" s="5">
        <f t="shared" si="5"/>
        <v>6.42</v>
      </c>
    </row>
    <row r="41" spans="1:22" x14ac:dyDescent="0.2">
      <c r="A41" s="35" t="str">
        <f>IF(Tabela17[[#This Row],[Código]]="IBOV","^BVSP",IF(Tabela17[[#This Row],[Código]]="","",CONCATENATE(LEFT(Tabela17[[#This Row],[Código]],6),".SA")))</f>
        <v>PTPA4.SA</v>
      </c>
      <c r="C41" s="3" t="s">
        <v>496</v>
      </c>
      <c r="D41" s="3" t="s">
        <v>267</v>
      </c>
      <c r="E41" s="3" t="s">
        <v>267</v>
      </c>
      <c r="F41" s="3" t="s">
        <v>267</v>
      </c>
      <c r="G41" s="3" t="s">
        <v>267</v>
      </c>
      <c r="H41" s="56">
        <v>41647</v>
      </c>
      <c r="J41" s="3">
        <f t="shared" si="4"/>
        <v>58</v>
      </c>
      <c r="K41" s="3">
        <f t="shared" si="4"/>
        <v>58</v>
      </c>
      <c r="L41" s="3">
        <f t="shared" si="4"/>
        <v>58</v>
      </c>
      <c r="M41" s="3">
        <f t="shared" si="4"/>
        <v>58</v>
      </c>
      <c r="P41" s="14" t="s">
        <v>360</v>
      </c>
      <c r="Q41" s="10" t="str">
        <f t="shared" si="1"/>
        <v>EVORA       -PN</v>
      </c>
      <c r="R41" s="49">
        <f t="shared" si="2"/>
        <v>41647</v>
      </c>
      <c r="S41" s="6">
        <f t="shared" si="5"/>
        <v>58</v>
      </c>
      <c r="T41" s="6">
        <f t="shared" si="5"/>
        <v>58</v>
      </c>
      <c r="U41" s="6">
        <f t="shared" si="5"/>
        <v>58</v>
      </c>
      <c r="V41" s="6">
        <f t="shared" si="5"/>
        <v>58</v>
      </c>
    </row>
    <row r="42" spans="1:22" x14ac:dyDescent="0.2">
      <c r="A42" s="35" t="str">
        <f>IF(Tabela17[[#This Row],[Código]]="IBOV","^BVSP",IF(Tabela17[[#This Row],[Código]]="","",CONCATENATE(LEFT(Tabela17[[#This Row],[Código]],6),".SA")))</f>
        <v>DTEX3.SA</v>
      </c>
      <c r="C42" s="3" t="s">
        <v>366</v>
      </c>
      <c r="D42" s="3" t="s">
        <v>663</v>
      </c>
      <c r="E42" s="3" t="s">
        <v>794</v>
      </c>
      <c r="F42" s="3" t="s">
        <v>794</v>
      </c>
      <c r="G42" s="3" t="s">
        <v>665</v>
      </c>
      <c r="H42" s="56">
        <v>41654</v>
      </c>
      <c r="J42" s="3">
        <f t="shared" si="4"/>
        <v>12.26</v>
      </c>
      <c r="K42" s="3">
        <f t="shared" si="4"/>
        <v>12.54</v>
      </c>
      <c r="L42" s="3">
        <f t="shared" si="4"/>
        <v>12.54</v>
      </c>
      <c r="M42" s="3">
        <f t="shared" si="4"/>
        <v>12.15</v>
      </c>
      <c r="P42" s="14" t="s">
        <v>364</v>
      </c>
      <c r="Q42" s="10" t="str">
        <f t="shared" si="1"/>
        <v xml:space="preserve">DURATEX     -ON  </v>
      </c>
      <c r="R42" s="56">
        <f t="shared" si="2"/>
        <v>41654</v>
      </c>
      <c r="S42" s="5">
        <f t="shared" si="5"/>
        <v>12.26</v>
      </c>
      <c r="T42" s="5">
        <f t="shared" si="5"/>
        <v>12.54</v>
      </c>
      <c r="U42" s="5">
        <f t="shared" si="5"/>
        <v>12.54</v>
      </c>
      <c r="V42" s="5">
        <f t="shared" si="5"/>
        <v>12.15</v>
      </c>
    </row>
    <row r="43" spans="1:22" x14ac:dyDescent="0.2">
      <c r="A43" s="35" t="str">
        <f>IF(Tabela17[[#This Row],[Código]]="IBOV","^BVSP",IF(Tabela17[[#This Row],[Código]]="","",CONCATENATE(LEFT(Tabela17[[#This Row],[Código]],6),".SA")))</f>
        <v>EUCA4.SA</v>
      </c>
      <c r="C43" s="3" t="s">
        <v>368</v>
      </c>
      <c r="D43" s="3" t="s">
        <v>666</v>
      </c>
      <c r="E43" s="3" t="s">
        <v>358</v>
      </c>
      <c r="F43" s="3" t="s">
        <v>725</v>
      </c>
      <c r="G43" s="3" t="s">
        <v>540</v>
      </c>
      <c r="H43" s="56">
        <v>41654</v>
      </c>
      <c r="J43" s="3">
        <f t="shared" si="4"/>
        <v>6.59</v>
      </c>
      <c r="K43" s="3">
        <f t="shared" si="4"/>
        <v>6.61</v>
      </c>
      <c r="L43" s="3">
        <f t="shared" si="4"/>
        <v>6.62</v>
      </c>
      <c r="M43" s="3">
        <f t="shared" si="4"/>
        <v>6.55</v>
      </c>
      <c r="P43" s="14" t="s">
        <v>367</v>
      </c>
      <c r="Q43" s="10" t="str">
        <f t="shared" si="1"/>
        <v xml:space="preserve">EUCATEX     -PN  </v>
      </c>
      <c r="R43" s="56">
        <f t="shared" si="2"/>
        <v>41654</v>
      </c>
      <c r="S43" s="5">
        <f t="shared" si="5"/>
        <v>6.59</v>
      </c>
      <c r="T43" s="5">
        <f t="shared" si="5"/>
        <v>6.61</v>
      </c>
      <c r="U43" s="5">
        <f t="shared" si="5"/>
        <v>6.62</v>
      </c>
      <c r="V43" s="5">
        <f t="shared" si="5"/>
        <v>6.55</v>
      </c>
    </row>
    <row r="44" spans="1:22" x14ac:dyDescent="0.2">
      <c r="A44" s="35" t="str">
        <f>IF(Tabela17[[#This Row],[Código]]="IBOV","^BVSP",IF(Tabela17[[#This Row],[Código]]="","",CONCATENATE(LEFT(Tabela17[[#This Row],[Código]],6),".SA")))</f>
        <v>PRVI3.SA</v>
      </c>
      <c r="C44" s="3" t="s">
        <v>371</v>
      </c>
      <c r="D44" s="3" t="s">
        <v>667</v>
      </c>
      <c r="E44" s="3" t="s">
        <v>510</v>
      </c>
      <c r="F44" s="3" t="s">
        <v>669</v>
      </c>
      <c r="G44" s="3" t="s">
        <v>670</v>
      </c>
      <c r="H44" s="56">
        <v>41654</v>
      </c>
      <c r="J44" s="3">
        <f t="shared" si="4"/>
        <v>7.71</v>
      </c>
      <c r="K44" s="3">
        <f t="shared" si="4"/>
        <v>7.7</v>
      </c>
      <c r="L44" s="3">
        <f t="shared" si="4"/>
        <v>7.76</v>
      </c>
      <c r="M44" s="3">
        <f t="shared" si="4"/>
        <v>7.67</v>
      </c>
      <c r="P44" s="14" t="s">
        <v>370</v>
      </c>
      <c r="Q44" s="10" t="str">
        <f t="shared" si="1"/>
        <v xml:space="preserve">PROVIDENCIA -ON  </v>
      </c>
      <c r="R44" s="56">
        <f t="shared" si="2"/>
        <v>41654</v>
      </c>
      <c r="S44" s="5">
        <f t="shared" si="5"/>
        <v>7.71</v>
      </c>
      <c r="T44" s="5">
        <f t="shared" si="5"/>
        <v>7.7</v>
      </c>
      <c r="U44" s="5">
        <f t="shared" si="5"/>
        <v>7.76</v>
      </c>
      <c r="V44" s="5">
        <f t="shared" si="5"/>
        <v>7.67</v>
      </c>
    </row>
    <row r="45" spans="1:22" x14ac:dyDescent="0.2">
      <c r="A45" s="35" t="str">
        <f>IF(Tabela17[[#This Row],[Código]]="IBOV","^BVSP",IF(Tabela17[[#This Row],[Código]]="","",CONCATENATE(LEFT(Tabela17[[#This Row],[Código]],6),".SA")))</f>
        <v>MAGG3.SA</v>
      </c>
      <c r="C45" s="3" t="s">
        <v>373</v>
      </c>
      <c r="D45" s="3" t="s">
        <v>671</v>
      </c>
      <c r="E45" s="3" t="s">
        <v>479</v>
      </c>
      <c r="F45" s="3" t="s">
        <v>672</v>
      </c>
      <c r="G45" s="3" t="s">
        <v>584</v>
      </c>
      <c r="H45" s="56">
        <v>41654</v>
      </c>
      <c r="J45" s="3">
        <f t="shared" si="4"/>
        <v>5.68</v>
      </c>
      <c r="K45" s="3">
        <f t="shared" si="4"/>
        <v>5.65</v>
      </c>
      <c r="L45" s="3">
        <f t="shared" si="4"/>
        <v>5.75</v>
      </c>
      <c r="M45" s="3">
        <f t="shared" si="4"/>
        <v>5.6</v>
      </c>
      <c r="P45" s="14" t="s">
        <v>372</v>
      </c>
      <c r="Q45" s="10" t="str">
        <f t="shared" si="1"/>
        <v xml:space="preserve">MAGNESITA SA-ON  </v>
      </c>
      <c r="R45" s="49">
        <f t="shared" si="2"/>
        <v>41654</v>
      </c>
      <c r="S45" s="6">
        <f t="shared" si="5"/>
        <v>5.68</v>
      </c>
      <c r="T45" s="6">
        <f t="shared" si="5"/>
        <v>5.65</v>
      </c>
      <c r="U45" s="6">
        <f t="shared" si="5"/>
        <v>5.75</v>
      </c>
      <c r="V45" s="6">
        <f t="shared" si="5"/>
        <v>5.6</v>
      </c>
    </row>
    <row r="46" spans="1:22" x14ac:dyDescent="0.2">
      <c r="A46" s="35" t="str">
        <f>IF(Tabela17[[#This Row],[Código]]="IBOV","^BVSP",IF(Tabela17[[#This Row],[Código]]="","",CONCATENATE(LEFT(Tabela17[[#This Row],[Código]],6),".SA")))</f>
        <v>VALE5.SA</v>
      </c>
      <c r="C46" s="3" t="s">
        <v>376</v>
      </c>
      <c r="D46" s="3" t="s">
        <v>673</v>
      </c>
      <c r="E46" s="3" t="s">
        <v>795</v>
      </c>
      <c r="F46" s="3" t="s">
        <v>795</v>
      </c>
      <c r="G46" s="3" t="s">
        <v>674</v>
      </c>
      <c r="H46" s="56">
        <v>41654</v>
      </c>
      <c r="J46" s="3">
        <f t="shared" si="4"/>
        <v>29.93</v>
      </c>
      <c r="K46" s="3">
        <f t="shared" si="4"/>
        <v>30.23</v>
      </c>
      <c r="L46" s="3">
        <f t="shared" si="4"/>
        <v>30.23</v>
      </c>
      <c r="M46" s="3">
        <f t="shared" si="4"/>
        <v>29.74</v>
      </c>
      <c r="P46" s="14" t="s">
        <v>375</v>
      </c>
      <c r="Q46" s="10" t="str">
        <f t="shared" si="1"/>
        <v xml:space="preserve">VALE        -PNA </v>
      </c>
      <c r="R46" s="49">
        <f t="shared" si="2"/>
        <v>41654</v>
      </c>
      <c r="S46" s="6">
        <f t="shared" si="5"/>
        <v>29.93</v>
      </c>
      <c r="T46" s="6">
        <f t="shared" si="5"/>
        <v>30.23</v>
      </c>
      <c r="U46" s="6">
        <f t="shared" si="5"/>
        <v>30.23</v>
      </c>
      <c r="V46" s="6">
        <f t="shared" si="5"/>
        <v>29.74</v>
      </c>
    </row>
    <row r="47" spans="1:22" x14ac:dyDescent="0.2">
      <c r="A47" s="35" t="str">
        <f>IF(Tabela17[[#This Row],[Código]]="IBOV","^BVSP",IF(Tabela17[[#This Row],[Código]]="","",CONCATENATE(LEFT(Tabela17[[#This Row],[Código]],6),".SA")))</f>
        <v>NUTR3M.SA</v>
      </c>
      <c r="C47" s="3" t="s">
        <v>378</v>
      </c>
      <c r="D47" s="3" t="s">
        <v>726</v>
      </c>
      <c r="E47" s="3" t="s">
        <v>732</v>
      </c>
      <c r="F47" s="3" t="s">
        <v>726</v>
      </c>
      <c r="G47" s="3" t="s">
        <v>732</v>
      </c>
      <c r="H47" s="56">
        <v>41654</v>
      </c>
      <c r="J47" s="3">
        <f t="shared" si="4"/>
        <v>1.52</v>
      </c>
      <c r="K47" s="3">
        <f t="shared" si="4"/>
        <v>1.51</v>
      </c>
      <c r="L47" s="3">
        <f t="shared" si="4"/>
        <v>1.52</v>
      </c>
      <c r="M47" s="3">
        <f t="shared" si="4"/>
        <v>1.51</v>
      </c>
      <c r="P47" s="14" t="s">
        <v>377</v>
      </c>
      <c r="Q47" s="10" t="str">
        <f t="shared" si="1"/>
        <v xml:space="preserve">NUTRIPLANT  -ON  </v>
      </c>
      <c r="R47" s="56">
        <f t="shared" si="2"/>
        <v>41654</v>
      </c>
      <c r="S47" s="5">
        <f t="shared" si="5"/>
        <v>1.52</v>
      </c>
      <c r="T47" s="5">
        <f t="shared" si="5"/>
        <v>1.51</v>
      </c>
      <c r="U47" s="5">
        <f t="shared" si="5"/>
        <v>1.52</v>
      </c>
      <c r="V47" s="5">
        <f t="shared" si="5"/>
        <v>1.51</v>
      </c>
    </row>
    <row r="48" spans="1:22" x14ac:dyDescent="0.2">
      <c r="A48" s="35" t="str">
        <f>IF(Tabela17[[#This Row],[Código]]="IBOV","^BVSP",IF(Tabela17[[#This Row],[Código]]="","",CONCATENATE(LEFT(Tabela17[[#This Row],[Código]],6),".SA")))</f>
        <v>PATI4.SA</v>
      </c>
      <c r="C48" s="3" t="s">
        <v>381</v>
      </c>
      <c r="D48" s="3" t="s">
        <v>636</v>
      </c>
      <c r="E48" s="3" t="s">
        <v>636</v>
      </c>
      <c r="F48" s="3" t="s">
        <v>636</v>
      </c>
      <c r="G48" s="3" t="s">
        <v>636</v>
      </c>
      <c r="H48" s="56">
        <v>41654</v>
      </c>
      <c r="J48" s="3">
        <f t="shared" si="4"/>
        <v>20</v>
      </c>
      <c r="K48" s="3">
        <f t="shared" si="4"/>
        <v>20</v>
      </c>
      <c r="L48" s="3">
        <f t="shared" si="4"/>
        <v>20</v>
      </c>
      <c r="M48" s="3">
        <f t="shared" si="4"/>
        <v>20</v>
      </c>
      <c r="P48" s="14" t="s">
        <v>379</v>
      </c>
      <c r="Q48" s="10" t="str">
        <f t="shared" si="1"/>
        <v>PANATLANTICA-PN</v>
      </c>
      <c r="R48" s="56">
        <f t="shared" si="2"/>
        <v>41654</v>
      </c>
      <c r="S48" s="5">
        <f t="shared" si="5"/>
        <v>20</v>
      </c>
      <c r="T48" s="5">
        <f t="shared" si="5"/>
        <v>20</v>
      </c>
      <c r="U48" s="5">
        <f t="shared" si="5"/>
        <v>20</v>
      </c>
      <c r="V48" s="5">
        <f t="shared" si="5"/>
        <v>20</v>
      </c>
    </row>
    <row r="49" spans="1:22" x14ac:dyDescent="0.2">
      <c r="A49" s="35" t="str">
        <f>IF(Tabela17[[#This Row],[Código]]="IBOV","^BVSP",IF(Tabela17[[#This Row],[Código]]="","",CONCATENATE(LEFT(Tabela17[[#This Row],[Código]],6),".SA")))</f>
        <v>TKNO4.SA</v>
      </c>
      <c r="C49" s="3" t="s">
        <v>384</v>
      </c>
      <c r="D49" s="3" t="s">
        <v>385</v>
      </c>
      <c r="E49" s="3" t="s">
        <v>385</v>
      </c>
      <c r="F49" s="3" t="s">
        <v>385</v>
      </c>
      <c r="G49" s="3" t="s">
        <v>385</v>
      </c>
      <c r="H49" s="56">
        <v>41654</v>
      </c>
      <c r="J49" s="3">
        <f t="shared" si="4"/>
        <v>88</v>
      </c>
      <c r="K49" s="3">
        <f t="shared" si="4"/>
        <v>88</v>
      </c>
      <c r="L49" s="3">
        <f t="shared" si="4"/>
        <v>88</v>
      </c>
      <c r="M49" s="3">
        <f t="shared" si="4"/>
        <v>88</v>
      </c>
      <c r="P49" s="15" t="s">
        <v>383</v>
      </c>
      <c r="Q49" s="10" t="str">
        <f t="shared" si="1"/>
        <v>TEKNO       -PN</v>
      </c>
      <c r="R49" s="56">
        <f t="shared" si="2"/>
        <v>41654</v>
      </c>
      <c r="S49" s="5">
        <f t="shared" si="5"/>
        <v>88</v>
      </c>
      <c r="T49" s="5">
        <f t="shared" si="5"/>
        <v>88</v>
      </c>
      <c r="U49" s="5">
        <f t="shared" si="5"/>
        <v>88</v>
      </c>
      <c r="V49" s="5">
        <f t="shared" si="5"/>
        <v>88</v>
      </c>
    </row>
    <row r="50" spans="1:22" x14ac:dyDescent="0.2">
      <c r="A50" s="35" t="str">
        <f>IF(Tabela17[[#This Row],[Código]]="IBOV","^BVSP",IF(Tabela17[[#This Row],[Código]]="","",CONCATENATE(LEFT(Tabela17[[#This Row],[Código]],6),".SA")))</f>
        <v>ETER3.SA</v>
      </c>
      <c r="C50" s="3" t="s">
        <v>388</v>
      </c>
      <c r="D50" s="3" t="s">
        <v>521</v>
      </c>
      <c r="E50" s="3" t="s">
        <v>544</v>
      </c>
      <c r="F50" s="3" t="s">
        <v>675</v>
      </c>
      <c r="G50" s="3" t="s">
        <v>676</v>
      </c>
      <c r="H50" s="56">
        <v>41654</v>
      </c>
      <c r="J50" s="3">
        <f t="shared" si="4"/>
        <v>8.4</v>
      </c>
      <c r="K50" s="3">
        <f t="shared" si="4"/>
        <v>8.2799999999999994</v>
      </c>
      <c r="L50" s="3">
        <f t="shared" si="4"/>
        <v>8.44</v>
      </c>
      <c r="M50" s="3">
        <f t="shared" si="4"/>
        <v>8.27</v>
      </c>
      <c r="P50" s="15" t="s">
        <v>386</v>
      </c>
      <c r="Q50" s="10" t="str">
        <f t="shared" si="1"/>
        <v xml:space="preserve">ETERNIT     -ON  </v>
      </c>
      <c r="R50" s="49">
        <f t="shared" si="2"/>
        <v>41654</v>
      </c>
      <c r="S50" s="6">
        <f t="shared" si="5"/>
        <v>8.4</v>
      </c>
      <c r="T50" s="6">
        <f t="shared" si="5"/>
        <v>8.2799999999999994</v>
      </c>
      <c r="U50" s="6">
        <f t="shared" si="5"/>
        <v>8.44</v>
      </c>
      <c r="V50" s="6">
        <f t="shared" si="5"/>
        <v>8.27</v>
      </c>
    </row>
    <row r="51" spans="1:22" x14ac:dyDescent="0.2">
      <c r="A51" s="35" t="str">
        <f>IF(Tabela17[[#This Row],[Código]]="IBOV","^BVSP",IF(Tabela17[[#This Row],[Código]]="","",CONCATENATE(LEFT(Tabela17[[#This Row],[Código]],6),".SA")))</f>
        <v>ALSC3.SA</v>
      </c>
      <c r="C51" s="3" t="s">
        <v>409</v>
      </c>
      <c r="D51" s="3" t="s">
        <v>677</v>
      </c>
      <c r="E51" s="3" t="s">
        <v>125</v>
      </c>
      <c r="F51" s="3" t="s">
        <v>796</v>
      </c>
      <c r="G51" s="3" t="s">
        <v>678</v>
      </c>
      <c r="H51" s="56">
        <v>41654</v>
      </c>
      <c r="J51" s="3">
        <f t="shared" si="4"/>
        <v>18.05</v>
      </c>
      <c r="K51" s="3">
        <f t="shared" si="4"/>
        <v>18</v>
      </c>
      <c r="L51" s="3">
        <f t="shared" si="4"/>
        <v>18.18</v>
      </c>
      <c r="M51" s="3">
        <f t="shared" si="4"/>
        <v>17.66</v>
      </c>
      <c r="P51" s="14" t="s">
        <v>408</v>
      </c>
      <c r="Q51" s="10" t="str">
        <f t="shared" si="1"/>
        <v xml:space="preserve">ALIANSCE    -ON  </v>
      </c>
      <c r="R51" s="49">
        <f t="shared" si="2"/>
        <v>41654</v>
      </c>
      <c r="S51" s="6">
        <f t="shared" si="5"/>
        <v>18.05</v>
      </c>
      <c r="T51" s="6">
        <f t="shared" si="5"/>
        <v>18</v>
      </c>
      <c r="U51" s="6">
        <f t="shared" si="5"/>
        <v>18.18</v>
      </c>
      <c r="V51" s="6">
        <f t="shared" si="5"/>
        <v>17.66</v>
      </c>
    </row>
    <row r="52" spans="1:22" x14ac:dyDescent="0.2">
      <c r="A52" s="35" t="str">
        <f>IF(Tabela17[[#This Row],[Código]]="IBOV","^BVSP",IF(Tabela17[[#This Row],[Código]]="","",CONCATENATE(LEFT(Tabela17[[#This Row],[Código]],6),".SA")))</f>
        <v>BRML3.SA</v>
      </c>
      <c r="C52" s="3" t="s">
        <v>411</v>
      </c>
      <c r="D52" s="3" t="s">
        <v>679</v>
      </c>
      <c r="E52" s="3" t="s">
        <v>727</v>
      </c>
      <c r="F52" s="3" t="s">
        <v>524</v>
      </c>
      <c r="G52" s="3" t="s">
        <v>680</v>
      </c>
      <c r="H52" s="56">
        <v>41654</v>
      </c>
      <c r="J52" s="3">
        <f t="shared" si="4"/>
        <v>16.82</v>
      </c>
      <c r="K52" s="3">
        <f t="shared" si="4"/>
        <v>17.14</v>
      </c>
      <c r="L52" s="3">
        <f t="shared" si="4"/>
        <v>17.18</v>
      </c>
      <c r="M52" s="3">
        <f t="shared" si="4"/>
        <v>16.690000000000001</v>
      </c>
      <c r="P52" s="10" t="s">
        <v>410</v>
      </c>
      <c r="Q52" s="10" t="str">
        <f t="shared" si="1"/>
        <v xml:space="preserve">BR MALLS PAR-ON  </v>
      </c>
      <c r="R52" s="56">
        <f t="shared" si="2"/>
        <v>41654</v>
      </c>
      <c r="S52" s="5">
        <f t="shared" si="5"/>
        <v>16.82</v>
      </c>
      <c r="T52" s="5">
        <f t="shared" si="5"/>
        <v>17.14</v>
      </c>
      <c r="U52" s="5">
        <f t="shared" si="5"/>
        <v>17.18</v>
      </c>
      <c r="V52" s="5">
        <f t="shared" si="5"/>
        <v>16.690000000000001</v>
      </c>
    </row>
    <row r="53" spans="1:22" x14ac:dyDescent="0.2">
      <c r="A53" s="35" t="str">
        <f>IF(Tabela17[[#This Row],[Código]]="IBOV","^BVSP",IF(Tabela17[[#This Row],[Código]]="","",CONCATENATE(LEFT(Tabela17[[#This Row],[Código]],6),".SA")))</f>
        <v>BRPR3.SA</v>
      </c>
      <c r="C53" s="3" t="s">
        <v>413</v>
      </c>
      <c r="D53" s="3" t="s">
        <v>509</v>
      </c>
      <c r="E53" s="3" t="s">
        <v>125</v>
      </c>
      <c r="F53" s="3" t="s">
        <v>509</v>
      </c>
      <c r="G53" s="3" t="s">
        <v>681</v>
      </c>
      <c r="H53" s="56">
        <v>41654</v>
      </c>
      <c r="J53" s="3">
        <f t="shared" si="4"/>
        <v>18.190000000000001</v>
      </c>
      <c r="K53" s="3">
        <f t="shared" si="4"/>
        <v>18</v>
      </c>
      <c r="L53" s="3">
        <f t="shared" si="4"/>
        <v>18.190000000000001</v>
      </c>
      <c r="M53" s="3">
        <f t="shared" si="4"/>
        <v>17.95</v>
      </c>
      <c r="P53" s="15" t="s">
        <v>412</v>
      </c>
      <c r="Q53" s="10" t="str">
        <f t="shared" si="1"/>
        <v xml:space="preserve">BR PROPERT  -ON  </v>
      </c>
      <c r="R53" s="56">
        <f t="shared" si="2"/>
        <v>41654</v>
      </c>
      <c r="S53" s="5">
        <f t="shared" si="5"/>
        <v>18.190000000000001</v>
      </c>
      <c r="T53" s="5">
        <f t="shared" si="5"/>
        <v>18</v>
      </c>
      <c r="U53" s="5">
        <f t="shared" si="5"/>
        <v>18.190000000000001</v>
      </c>
      <c r="V53" s="5">
        <f t="shared" si="5"/>
        <v>17.95</v>
      </c>
    </row>
    <row r="54" spans="1:22" x14ac:dyDescent="0.2">
      <c r="A54" s="35" t="str">
        <f>IF(Tabela17[[#This Row],[Código]]="IBOV","^BVSP",IF(Tabela17[[#This Row],[Código]]="","",CONCATENATE(LEFT(Tabela17[[#This Row],[Código]],6),".SA")))</f>
        <v>CCPR3.SA</v>
      </c>
      <c r="C54" s="3" t="s">
        <v>415</v>
      </c>
      <c r="D54" s="3" t="s">
        <v>682</v>
      </c>
      <c r="E54" s="3" t="s">
        <v>682</v>
      </c>
      <c r="F54" s="3" t="s">
        <v>682</v>
      </c>
      <c r="G54" s="3" t="s">
        <v>682</v>
      </c>
      <c r="H54" s="56">
        <v>41654</v>
      </c>
      <c r="J54" s="3">
        <f t="shared" si="4"/>
        <v>20.6</v>
      </c>
      <c r="K54" s="3">
        <f t="shared" si="4"/>
        <v>20.6</v>
      </c>
      <c r="L54" s="3">
        <f t="shared" si="4"/>
        <v>20.6</v>
      </c>
      <c r="M54" s="3">
        <f t="shared" si="4"/>
        <v>20.6</v>
      </c>
      <c r="P54" s="15" t="s">
        <v>414</v>
      </c>
      <c r="Q54" s="10" t="str">
        <f t="shared" si="1"/>
        <v xml:space="preserve">CYRE COM-CCP-ON  </v>
      </c>
      <c r="R54" s="56">
        <f t="shared" si="2"/>
        <v>41654</v>
      </c>
      <c r="S54" s="5">
        <f t="shared" si="5"/>
        <v>20.6</v>
      </c>
      <c r="T54" s="5">
        <f t="shared" si="5"/>
        <v>20.6</v>
      </c>
      <c r="U54" s="5">
        <f t="shared" si="5"/>
        <v>20.6</v>
      </c>
      <c r="V54" s="5">
        <f t="shared" si="5"/>
        <v>20.6</v>
      </c>
    </row>
    <row r="55" spans="1:22" x14ac:dyDescent="0.2">
      <c r="A55" s="35" t="str">
        <f>IF(Tabela17[[#This Row],[Código]]="IBOV","^BVSP",IF(Tabela17[[#This Row],[Código]]="","",CONCATENATE(LEFT(Tabela17[[#This Row],[Código]],6),".SA")))</f>
        <v>IGTA3.SA</v>
      </c>
      <c r="C55" s="3" t="s">
        <v>417</v>
      </c>
      <c r="D55" s="3" t="s">
        <v>558</v>
      </c>
      <c r="E55" s="3" t="s">
        <v>797</v>
      </c>
      <c r="F55" s="3" t="s">
        <v>733</v>
      </c>
      <c r="G55" s="3" t="s">
        <v>683</v>
      </c>
      <c r="H55" s="56">
        <v>41654</v>
      </c>
      <c r="J55" s="3">
        <f t="shared" si="4"/>
        <v>21.5</v>
      </c>
      <c r="K55" s="3">
        <f t="shared" si="4"/>
        <v>21.35</v>
      </c>
      <c r="L55" s="3">
        <f t="shared" si="4"/>
        <v>21.67</v>
      </c>
      <c r="M55" s="3">
        <f t="shared" si="4"/>
        <v>21.22</v>
      </c>
      <c r="P55" s="14" t="s">
        <v>416</v>
      </c>
      <c r="Q55" s="10" t="str">
        <f t="shared" si="1"/>
        <v xml:space="preserve">IGUATEMI    -ON  </v>
      </c>
      <c r="R55" s="56">
        <f t="shared" si="2"/>
        <v>41654</v>
      </c>
      <c r="S55" s="5">
        <f t="shared" si="5"/>
        <v>21.5</v>
      </c>
      <c r="T55" s="5">
        <f t="shared" si="5"/>
        <v>21.35</v>
      </c>
      <c r="U55" s="5">
        <f t="shared" si="5"/>
        <v>21.67</v>
      </c>
      <c r="V55" s="5">
        <f t="shared" si="5"/>
        <v>21.22</v>
      </c>
    </row>
    <row r="56" spans="1:22" x14ac:dyDescent="0.2">
      <c r="A56" s="35" t="str">
        <f>IF(Tabela17[[#This Row],[Código]]="IBOV","^BVSP",IF(Tabela17[[#This Row],[Código]]="","",CONCATENATE(LEFT(Tabela17[[#This Row],[Código]],6),".SA")))</f>
        <v>MULT3.SA</v>
      </c>
      <c r="C56" s="3" t="s">
        <v>419</v>
      </c>
      <c r="D56" s="3" t="s">
        <v>684</v>
      </c>
      <c r="E56" s="3" t="s">
        <v>798</v>
      </c>
      <c r="F56" s="3" t="s">
        <v>799</v>
      </c>
      <c r="G56" s="3" t="s">
        <v>684</v>
      </c>
      <c r="H56" s="56">
        <v>41654</v>
      </c>
      <c r="J56" s="3">
        <f t="shared" si="4"/>
        <v>47.05</v>
      </c>
      <c r="K56" s="3">
        <f t="shared" si="4"/>
        <v>47.25</v>
      </c>
      <c r="L56" s="3">
        <f t="shared" si="4"/>
        <v>47.81</v>
      </c>
      <c r="M56" s="3">
        <f t="shared" si="4"/>
        <v>47.05</v>
      </c>
      <c r="P56" s="14" t="s">
        <v>418</v>
      </c>
      <c r="Q56" s="10" t="str">
        <f t="shared" si="1"/>
        <v xml:space="preserve">MULTIPLAN   -ON  </v>
      </c>
      <c r="R56" s="56">
        <f t="shared" si="2"/>
        <v>41654</v>
      </c>
      <c r="S56" s="5">
        <f t="shared" si="5"/>
        <v>47.05</v>
      </c>
      <c r="T56" s="5">
        <f t="shared" si="5"/>
        <v>47.25</v>
      </c>
      <c r="U56" s="5">
        <f t="shared" si="5"/>
        <v>47.81</v>
      </c>
      <c r="V56" s="5">
        <f t="shared" si="5"/>
        <v>47.05</v>
      </c>
    </row>
    <row r="57" spans="1:22" x14ac:dyDescent="0.2">
      <c r="A57" s="35" t="str">
        <f>IF(Tabela17[[#This Row],[Código]]="IBOV","^BVSP",IF(Tabela17[[#This Row],[Código]]="","",CONCATENATE(LEFT(Tabela17[[#This Row],[Código]],6),".SA")))</f>
        <v>SSBR3.SA</v>
      </c>
      <c r="C57" s="3" t="s">
        <v>422</v>
      </c>
      <c r="D57" s="3" t="s">
        <v>685</v>
      </c>
      <c r="E57" s="3" t="s">
        <v>685</v>
      </c>
      <c r="F57" s="3" t="s">
        <v>686</v>
      </c>
      <c r="G57" s="3" t="s">
        <v>687</v>
      </c>
      <c r="H57" s="56">
        <v>41654</v>
      </c>
      <c r="J57" s="3">
        <f t="shared" si="4"/>
        <v>17.350000000000001</v>
      </c>
      <c r="K57" s="3">
        <f t="shared" si="4"/>
        <v>17.350000000000001</v>
      </c>
      <c r="L57" s="3">
        <f t="shared" si="4"/>
        <v>17.36</v>
      </c>
      <c r="M57" s="3">
        <f t="shared" si="4"/>
        <v>17.149999999999999</v>
      </c>
      <c r="P57" s="14" t="s">
        <v>420</v>
      </c>
      <c r="Q57" s="10" t="str">
        <f t="shared" si="1"/>
        <v xml:space="preserve">SIERRABRASIL-ON  </v>
      </c>
      <c r="R57" s="56">
        <f t="shared" si="2"/>
        <v>41654</v>
      </c>
      <c r="S57" s="5">
        <f t="shared" si="5"/>
        <v>17.350000000000001</v>
      </c>
      <c r="T57" s="5">
        <f t="shared" si="5"/>
        <v>17.350000000000001</v>
      </c>
      <c r="U57" s="5">
        <f t="shared" si="5"/>
        <v>17.36</v>
      </c>
      <c r="V57" s="5">
        <f t="shared" si="5"/>
        <v>17.149999999999999</v>
      </c>
    </row>
    <row r="58" spans="1:22" x14ac:dyDescent="0.2">
      <c r="A58" s="35" t="str">
        <f>IF(Tabela17[[#This Row],[Código]]="IBOV","^BVSP",IF(Tabela17[[#This Row],[Código]]="","",CONCATENATE(LEFT(Tabela17[[#This Row],[Código]],6),".SA")))</f>
        <v>SCAR3.SA</v>
      </c>
      <c r="C58" s="3" t="s">
        <v>423</v>
      </c>
      <c r="D58" s="3" t="s">
        <v>688</v>
      </c>
      <c r="E58" s="3" t="s">
        <v>800</v>
      </c>
      <c r="F58" s="3" t="s">
        <v>801</v>
      </c>
      <c r="G58" s="3" t="s">
        <v>689</v>
      </c>
      <c r="H58" s="56">
        <v>41654</v>
      </c>
      <c r="J58" s="3">
        <f t="shared" si="4"/>
        <v>34.51</v>
      </c>
      <c r="K58" s="3">
        <f t="shared" si="4"/>
        <v>34.28</v>
      </c>
      <c r="L58" s="3">
        <f t="shared" si="4"/>
        <v>34.799999999999997</v>
      </c>
      <c r="M58" s="3">
        <f t="shared" si="4"/>
        <v>34.200000000000003</v>
      </c>
      <c r="P58" s="14" t="s">
        <v>421</v>
      </c>
      <c r="Q58" s="10" t="str">
        <f t="shared" si="1"/>
        <v xml:space="preserve">SAO CARLOS  -ON  </v>
      </c>
      <c r="R58" s="56">
        <f t="shared" si="2"/>
        <v>41654</v>
      </c>
      <c r="S58" s="5">
        <f t="shared" si="5"/>
        <v>34.51</v>
      </c>
      <c r="T58" s="5">
        <f t="shared" si="5"/>
        <v>34.28</v>
      </c>
      <c r="U58" s="5">
        <f t="shared" si="5"/>
        <v>34.799999999999997</v>
      </c>
      <c r="V58" s="5">
        <f t="shared" si="5"/>
        <v>34.200000000000003</v>
      </c>
    </row>
    <row r="59" spans="1:22" x14ac:dyDescent="0.2">
      <c r="A59" s="35" t="str">
        <f>IF(Tabela17[[#This Row],[Código]]="IBOV","^BVSP",IF(Tabela17[[#This Row],[Código]]="","",CONCATENATE(LEFT(Tabela17[[#This Row],[Código]],6),".SA")))</f>
        <v>MERC3.SA</v>
      </c>
      <c r="C59" s="3" t="s">
        <v>427</v>
      </c>
      <c r="D59" s="3" t="s">
        <v>428</v>
      </c>
      <c r="E59" s="79">
        <v>83591</v>
      </c>
      <c r="F59" s="79">
        <v>83591</v>
      </c>
      <c r="G59" s="79">
        <v>83591</v>
      </c>
      <c r="H59" s="56">
        <v>41603</v>
      </c>
      <c r="J59" s="3">
        <f t="shared" si="4"/>
        <v>8.5500000000000007</v>
      </c>
      <c r="K59" s="3">
        <f t="shared" si="4"/>
        <v>83.91</v>
      </c>
      <c r="L59" s="3">
        <f t="shared" si="4"/>
        <v>83.91</v>
      </c>
      <c r="M59" s="3">
        <f t="shared" si="4"/>
        <v>83.91</v>
      </c>
      <c r="P59" s="14" t="s">
        <v>424</v>
      </c>
      <c r="Q59" s="10" t="str">
        <f t="shared" si="1"/>
        <v>MERC FINANC -ON</v>
      </c>
      <c r="R59" s="56">
        <f t="shared" si="2"/>
        <v>41603</v>
      </c>
      <c r="S59" s="5">
        <f t="shared" si="5"/>
        <v>8.5500000000000007</v>
      </c>
      <c r="T59" s="5">
        <f t="shared" si="5"/>
        <v>83.91</v>
      </c>
      <c r="U59" s="5">
        <f t="shared" si="5"/>
        <v>83.91</v>
      </c>
      <c r="V59" s="5">
        <f t="shared" si="5"/>
        <v>83.91</v>
      </c>
    </row>
    <row r="60" spans="1:22" x14ac:dyDescent="0.2">
      <c r="A60" s="35" t="str">
        <f>IF(Tabela17[[#This Row],[Código]]="IBOV","^BVSP",IF(Tabela17[[#This Row],[Código]]="","",CONCATENATE(LEFT(Tabela17[[#This Row],[Código]],6),".SA")))</f>
        <v>MERC4.SA</v>
      </c>
      <c r="C60" s="3" t="s">
        <v>429</v>
      </c>
      <c r="D60" s="3" t="s">
        <v>476</v>
      </c>
      <c r="E60" s="3" t="s">
        <v>476</v>
      </c>
      <c r="F60" s="3" t="s">
        <v>476</v>
      </c>
      <c r="G60" s="3" t="s">
        <v>476</v>
      </c>
      <c r="H60" s="56">
        <v>41649</v>
      </c>
      <c r="J60" s="3">
        <f t="shared" si="4"/>
        <v>6.58</v>
      </c>
      <c r="K60" s="3">
        <f t="shared" si="4"/>
        <v>6.58</v>
      </c>
      <c r="L60" s="3">
        <f t="shared" si="4"/>
        <v>6.58</v>
      </c>
      <c r="M60" s="3">
        <f t="shared" si="4"/>
        <v>6.58</v>
      </c>
      <c r="P60" s="14" t="s">
        <v>425</v>
      </c>
      <c r="Q60" s="10" t="str">
        <f t="shared" si="1"/>
        <v>MERC FINANC -PN</v>
      </c>
      <c r="R60" s="56">
        <f t="shared" si="2"/>
        <v>41649</v>
      </c>
      <c r="S60" s="5">
        <f t="shared" si="5"/>
        <v>6.58</v>
      </c>
      <c r="T60" s="5">
        <f t="shared" si="5"/>
        <v>6.58</v>
      </c>
      <c r="U60" s="5">
        <f t="shared" si="5"/>
        <v>6.58</v>
      </c>
      <c r="V60" s="5">
        <f t="shared" si="5"/>
        <v>6.58</v>
      </c>
    </row>
    <row r="61" spans="1:22" x14ac:dyDescent="0.2">
      <c r="A61" s="35" t="str">
        <f>IF(Tabela17[[#This Row],[Código]]="IBOV","^BVSP",IF(Tabela17[[#This Row],[Código]]="","",CONCATENATE(LEFT(Tabela17[[#This Row],[Código]],6),".SA")))</f>
        <v>CRIV3.SA</v>
      </c>
      <c r="C61" s="3" t="s">
        <v>432</v>
      </c>
      <c r="D61" s="3" t="s">
        <v>497</v>
      </c>
      <c r="E61" s="3" t="s">
        <v>497</v>
      </c>
      <c r="F61" s="3" t="s">
        <v>497</v>
      </c>
      <c r="G61" s="3" t="s">
        <v>497</v>
      </c>
      <c r="H61" s="56">
        <v>41652</v>
      </c>
      <c r="J61" s="3">
        <f t="shared" si="4"/>
        <v>3.85</v>
      </c>
      <c r="K61" s="3">
        <f t="shared" si="4"/>
        <v>3.85</v>
      </c>
      <c r="L61" s="3">
        <f t="shared" si="4"/>
        <v>3.85</v>
      </c>
      <c r="M61" s="3">
        <f t="shared" si="4"/>
        <v>3.85</v>
      </c>
      <c r="P61" s="10" t="s">
        <v>430</v>
      </c>
      <c r="Q61" s="10" t="str">
        <f t="shared" si="1"/>
        <v>ALFA FINANC -ON</v>
      </c>
      <c r="R61" s="56">
        <f t="shared" si="2"/>
        <v>41652</v>
      </c>
      <c r="S61" s="5">
        <f t="shared" si="5"/>
        <v>3.85</v>
      </c>
      <c r="T61" s="5">
        <f t="shared" si="5"/>
        <v>3.85</v>
      </c>
      <c r="U61" s="5">
        <f t="shared" si="5"/>
        <v>3.85</v>
      </c>
      <c r="V61" s="5">
        <f t="shared" si="5"/>
        <v>3.85</v>
      </c>
    </row>
    <row r="62" spans="1:22" x14ac:dyDescent="0.2">
      <c r="A62" s="35" t="str">
        <f>IF(Tabela17[[#This Row],[Código]]="IBOV","^BVSP",IF(Tabela17[[#This Row],[Código]]="","",CONCATENATE(LEFT(Tabela17[[#This Row],[Código]],6),".SA")))</f>
        <v>CRIV4.SA</v>
      </c>
      <c r="C62" s="3" t="s">
        <v>433</v>
      </c>
      <c r="D62" s="3" t="s">
        <v>541</v>
      </c>
      <c r="E62" s="3" t="s">
        <v>690</v>
      </c>
      <c r="F62" s="3" t="s">
        <v>690</v>
      </c>
      <c r="G62" s="3" t="s">
        <v>542</v>
      </c>
      <c r="H62" s="56">
        <v>41653</v>
      </c>
      <c r="J62" s="3">
        <f t="shared" si="4"/>
        <v>3.88</v>
      </c>
      <c r="K62" s="3">
        <f t="shared" si="4"/>
        <v>4.01</v>
      </c>
      <c r="L62" s="3">
        <f t="shared" si="4"/>
        <v>4.01</v>
      </c>
      <c r="M62" s="3">
        <f t="shared" si="4"/>
        <v>3.84</v>
      </c>
      <c r="P62" s="14" t="s">
        <v>431</v>
      </c>
      <c r="Q62" s="10" t="str">
        <f t="shared" si="1"/>
        <v>ALFA FINANC -PN</v>
      </c>
      <c r="R62" s="56">
        <f t="shared" si="2"/>
        <v>41653</v>
      </c>
      <c r="S62" s="5">
        <f t="shared" si="5"/>
        <v>3.88</v>
      </c>
      <c r="T62" s="5">
        <f t="shared" si="5"/>
        <v>4.01</v>
      </c>
      <c r="U62" s="5">
        <f t="shared" si="5"/>
        <v>4.01</v>
      </c>
      <c r="V62" s="5">
        <f t="shared" si="5"/>
        <v>3.84</v>
      </c>
    </row>
    <row r="63" spans="1:22" x14ac:dyDescent="0.2">
      <c r="A63" s="35" t="str">
        <f>IF(Tabela17[[#This Row],[Código]]="IBOV","^BVSP",IF(Tabela17[[#This Row],[Código]]="","",CONCATENATE(LEFT(Tabela17[[#This Row],[Código]],6),".SA")))</f>
        <v>BRIN3.SA</v>
      </c>
      <c r="C63" s="3" t="s">
        <v>436</v>
      </c>
      <c r="D63" s="3" t="s">
        <v>655</v>
      </c>
      <c r="E63" s="3" t="s">
        <v>724</v>
      </c>
      <c r="F63" s="3" t="s">
        <v>691</v>
      </c>
      <c r="G63" s="3" t="s">
        <v>655</v>
      </c>
      <c r="H63" s="56">
        <v>41654</v>
      </c>
      <c r="J63" s="3">
        <f t="shared" si="4"/>
        <v>18.100000000000001</v>
      </c>
      <c r="K63" s="3">
        <f t="shared" si="4"/>
        <v>18.2</v>
      </c>
      <c r="L63" s="3">
        <f t="shared" si="4"/>
        <v>18.66</v>
      </c>
      <c r="M63" s="3">
        <f t="shared" si="4"/>
        <v>18.100000000000001</v>
      </c>
      <c r="P63" s="14" t="s">
        <v>434</v>
      </c>
      <c r="Q63" s="10" t="str">
        <f t="shared" si="1"/>
        <v xml:space="preserve">BR INSURANCE-ON  </v>
      </c>
      <c r="R63" s="56">
        <f t="shared" si="2"/>
        <v>41654</v>
      </c>
      <c r="S63" s="5">
        <f t="shared" si="5"/>
        <v>18.100000000000001</v>
      </c>
      <c r="T63" s="5">
        <f t="shared" si="5"/>
        <v>18.2</v>
      </c>
      <c r="U63" s="5">
        <f t="shared" si="5"/>
        <v>18.66</v>
      </c>
      <c r="V63" s="5">
        <f t="shared" si="5"/>
        <v>18.100000000000001</v>
      </c>
    </row>
    <row r="64" spans="1:22" x14ac:dyDescent="0.2">
      <c r="A64" s="35" t="str">
        <f>IF(Tabela17[[#This Row],[Código]]="IBOV","^BVSP",IF(Tabela17[[#This Row],[Código]]="","",CONCATENATE(LEFT(Tabela17[[#This Row],[Código]],6),".SA")))</f>
        <v>TRPN3.SA</v>
      </c>
      <c r="C64" s="3" t="s">
        <v>439</v>
      </c>
      <c r="D64" s="3" t="s">
        <v>624</v>
      </c>
      <c r="E64" s="3" t="s">
        <v>802</v>
      </c>
      <c r="F64" s="3" t="s">
        <v>498</v>
      </c>
      <c r="G64" s="3" t="s">
        <v>624</v>
      </c>
      <c r="H64" s="56">
        <v>41654</v>
      </c>
      <c r="J64" s="3">
        <f t="shared" si="4"/>
        <v>14.95</v>
      </c>
      <c r="K64" s="3">
        <f t="shared" si="4"/>
        <v>15.1</v>
      </c>
      <c r="L64" s="3">
        <f t="shared" si="4"/>
        <v>15.5</v>
      </c>
      <c r="M64" s="3">
        <f t="shared" si="4"/>
        <v>14.95</v>
      </c>
      <c r="P64" s="15" t="s">
        <v>437</v>
      </c>
      <c r="Q64" s="10" t="str">
        <f t="shared" si="1"/>
        <v xml:space="preserve">TARPON INV  -ON  </v>
      </c>
      <c r="R64" s="56">
        <f t="shared" si="2"/>
        <v>41654</v>
      </c>
      <c r="S64" s="5">
        <f t="shared" si="5"/>
        <v>14.95</v>
      </c>
      <c r="T64" s="5">
        <f t="shared" si="5"/>
        <v>15.1</v>
      </c>
      <c r="U64" s="5">
        <f t="shared" si="5"/>
        <v>15.5</v>
      </c>
      <c r="V64" s="5">
        <f t="shared" si="5"/>
        <v>14.95</v>
      </c>
    </row>
    <row r="65" spans="1:22" x14ac:dyDescent="0.2">
      <c r="A65" s="35" t="str">
        <f>IF(Tabela17[[#This Row],[Código]]="IBOV","^BVSP",IF(Tabela17[[#This Row],[Código]]="","",CONCATENATE(LEFT(Tabela17[[#This Row],[Código]],6),".SA")))</f>
        <v>BVMF3.SA</v>
      </c>
      <c r="C65" s="3" t="s">
        <v>442</v>
      </c>
      <c r="D65" s="3" t="s">
        <v>692</v>
      </c>
      <c r="E65" s="3" t="s">
        <v>692</v>
      </c>
      <c r="F65" s="3" t="s">
        <v>591</v>
      </c>
      <c r="G65" s="3" t="s">
        <v>728</v>
      </c>
      <c r="H65" s="56">
        <v>41654</v>
      </c>
      <c r="J65" s="3">
        <f t="shared" si="4"/>
        <v>10.34</v>
      </c>
      <c r="K65" s="3">
        <f t="shared" si="4"/>
        <v>10.34</v>
      </c>
      <c r="L65" s="3">
        <f t="shared" si="4"/>
        <v>10.43</v>
      </c>
      <c r="M65" s="3">
        <f t="shared" si="4"/>
        <v>10.27</v>
      </c>
      <c r="P65" s="15" t="s">
        <v>440</v>
      </c>
      <c r="Q65" s="10" t="str">
        <f t="shared" si="1"/>
        <v xml:space="preserve">BMFBOVESPA  -ON  </v>
      </c>
      <c r="R65" s="56">
        <f t="shared" si="2"/>
        <v>41654</v>
      </c>
      <c r="S65" s="5">
        <f t="shared" si="5"/>
        <v>10.34</v>
      </c>
      <c r="T65" s="5">
        <f t="shared" si="5"/>
        <v>10.34</v>
      </c>
      <c r="U65" s="5">
        <f t="shared" si="5"/>
        <v>10.43</v>
      </c>
      <c r="V65" s="5">
        <f t="shared" si="5"/>
        <v>10.27</v>
      </c>
    </row>
    <row r="66" spans="1:22" x14ac:dyDescent="0.2">
      <c r="A66" s="35" t="str">
        <f>IF(Tabela17[[#This Row],[Código]]="IBOV","^BVSP",IF(Tabela17[[#This Row],[Código]]="","",CONCATENATE(LEFT(Tabela17[[#This Row],[Código]],6),".SA")))</f>
        <v>CTIP3.SA</v>
      </c>
      <c r="C66" s="3" t="s">
        <v>445</v>
      </c>
      <c r="D66" s="3" t="s">
        <v>693</v>
      </c>
      <c r="E66" s="3" t="s">
        <v>545</v>
      </c>
      <c r="F66" s="3" t="s">
        <v>694</v>
      </c>
      <c r="G66" s="3" t="s">
        <v>611</v>
      </c>
      <c r="H66" s="56">
        <v>41654</v>
      </c>
      <c r="J66" s="3">
        <f t="shared" si="4"/>
        <v>23.26</v>
      </c>
      <c r="K66" s="3">
        <f t="shared" si="4"/>
        <v>23.41</v>
      </c>
      <c r="L66" s="3">
        <f t="shared" si="4"/>
        <v>23.64</v>
      </c>
      <c r="M66" s="3">
        <f t="shared" si="4"/>
        <v>23.25</v>
      </c>
      <c r="P66" s="14" t="s">
        <v>443</v>
      </c>
      <c r="Q66" s="10" t="str">
        <f t="shared" si="1"/>
        <v xml:space="preserve">CETIP       -ON  </v>
      </c>
      <c r="R66" s="56">
        <f t="shared" si="2"/>
        <v>41654</v>
      </c>
      <c r="S66" s="5">
        <f t="shared" si="5"/>
        <v>23.26</v>
      </c>
      <c r="T66" s="5">
        <f t="shared" si="5"/>
        <v>23.41</v>
      </c>
      <c r="U66" s="5">
        <f t="shared" si="5"/>
        <v>23.64</v>
      </c>
      <c r="V66" s="5">
        <f t="shared" si="5"/>
        <v>23.25</v>
      </c>
    </row>
    <row r="67" spans="1:22" x14ac:dyDescent="0.2">
      <c r="A67" s="35" t="str">
        <f>IF(Tabela17[[#This Row],[Código]]="IBOV","^BVSP",IF(Tabela17[[#This Row],[Código]]="","",CONCATENATE(LEFT(Tabela17[[#This Row],[Código]],6),".SA")))</f>
        <v>CIEL3.SA</v>
      </c>
      <c r="C67" s="3" t="s">
        <v>446</v>
      </c>
      <c r="D67" s="3" t="s">
        <v>695</v>
      </c>
      <c r="E67" s="3" t="s">
        <v>803</v>
      </c>
      <c r="F67" s="3" t="s">
        <v>696</v>
      </c>
      <c r="G67" s="3" t="s">
        <v>729</v>
      </c>
      <c r="H67" s="56">
        <v>41654</v>
      </c>
      <c r="J67" s="3">
        <f t="shared" si="4"/>
        <v>66.989999999999995</v>
      </c>
      <c r="K67" s="3">
        <f t="shared" si="4"/>
        <v>66.599999999999994</v>
      </c>
      <c r="L67" s="3">
        <f t="shared" si="4"/>
        <v>67.17</v>
      </c>
      <c r="M67" s="3">
        <f t="shared" si="4"/>
        <v>66.55</v>
      </c>
      <c r="P67" s="46" t="s">
        <v>444</v>
      </c>
      <c r="Q67" s="10" t="str">
        <f t="shared" si="1"/>
        <v xml:space="preserve">CIELO       -ON  </v>
      </c>
      <c r="R67" s="56">
        <f t="shared" si="2"/>
        <v>41654</v>
      </c>
      <c r="S67" s="5">
        <f t="shared" si="5"/>
        <v>66.989999999999995</v>
      </c>
      <c r="T67" s="5">
        <f t="shared" si="5"/>
        <v>66.599999999999994</v>
      </c>
      <c r="U67" s="5">
        <f t="shared" si="5"/>
        <v>67.17</v>
      </c>
      <c r="V67" s="5">
        <f t="shared" si="5"/>
        <v>66.55</v>
      </c>
    </row>
    <row r="68" spans="1:22" x14ac:dyDescent="0.2">
      <c r="A68" s="35" t="str">
        <f>IF(Tabela17[[#This Row],[Código]]="IBOV","^BVSP",IF(Tabela17[[#This Row],[Código]]="","",CONCATENATE(LEFT(Tabela17[[#This Row],[Código]],6),".SA")))</f>
        <v>EBTP4.SA</v>
      </c>
      <c r="C68" s="3" t="s">
        <v>453</v>
      </c>
      <c r="D68" s="3" t="s">
        <v>645</v>
      </c>
      <c r="E68" s="3" t="s">
        <v>520</v>
      </c>
      <c r="F68" s="3" t="s">
        <v>645</v>
      </c>
      <c r="G68" s="3" t="s">
        <v>520</v>
      </c>
      <c r="H68" s="56">
        <v>41654</v>
      </c>
      <c r="J68" s="3">
        <f t="shared" si="4"/>
        <v>8.99</v>
      </c>
      <c r="K68" s="3">
        <f t="shared" si="4"/>
        <v>8.9600000000000009</v>
      </c>
      <c r="L68" s="3">
        <f t="shared" si="4"/>
        <v>8.99</v>
      </c>
      <c r="M68" s="3">
        <f t="shared" si="4"/>
        <v>8.9600000000000009</v>
      </c>
      <c r="P68" s="14" t="s">
        <v>451</v>
      </c>
      <c r="Q68" s="10" t="str">
        <f t="shared" si="1"/>
        <v>EMBRATEL PAR-PN *</v>
      </c>
      <c r="R68" s="49">
        <f t="shared" si="2"/>
        <v>41654</v>
      </c>
      <c r="S68" s="6">
        <f t="shared" si="5"/>
        <v>8.99</v>
      </c>
      <c r="T68" s="6">
        <f t="shared" si="5"/>
        <v>8.9600000000000009</v>
      </c>
      <c r="U68" s="6">
        <f t="shared" si="5"/>
        <v>8.99</v>
      </c>
      <c r="V68" s="6">
        <f t="shared" si="5"/>
        <v>8.9600000000000009</v>
      </c>
    </row>
    <row r="69" spans="1:22" x14ac:dyDescent="0.2">
      <c r="A69" s="35" t="str">
        <f>IF(Tabela17[[#This Row],[Código]]="IBOV","^BVSP",IF(Tabela17[[#This Row],[Código]]="","",CONCATENATE(LEFT(Tabela17[[#This Row],[Código]],6),".SA")))</f>
        <v/>
      </c>
      <c r="C69" s="3" t="s">
        <v>106</v>
      </c>
      <c r="H69" s="56"/>
      <c r="J69" s="3">
        <f t="shared" si="4"/>
        <v>0</v>
      </c>
      <c r="K69" s="3">
        <f t="shared" si="4"/>
        <v>0</v>
      </c>
      <c r="L69" s="3">
        <f t="shared" si="4"/>
        <v>0</v>
      </c>
      <c r="M69" s="3">
        <f t="shared" si="4"/>
        <v>0</v>
      </c>
      <c r="P69" s="14"/>
      <c r="Q69" s="10" t="str">
        <f t="shared" si="1"/>
        <v/>
      </c>
      <c r="R69" s="56" t="str">
        <f t="shared" si="2"/>
        <v/>
      </c>
      <c r="S69" s="5">
        <f t="shared" si="5"/>
        <v>0</v>
      </c>
      <c r="T69" s="5">
        <f t="shared" si="5"/>
        <v>0</v>
      </c>
      <c r="U69" s="5">
        <f t="shared" si="5"/>
        <v>0</v>
      </c>
      <c r="V69" s="5">
        <f t="shared" si="5"/>
        <v>0</v>
      </c>
    </row>
    <row r="70" spans="1:22" x14ac:dyDescent="0.2">
      <c r="A70" s="35" t="str">
        <f>IF(Tabela17[[#This Row],[Código]]="IBOV","^BVSP",IF(Tabela17[[#This Row],[Código]]="","",CONCATENATE(LEFT(Tabela17[[#This Row],[Código]],6),".SA")))</f>
        <v/>
      </c>
      <c r="H70" s="56"/>
      <c r="J70" s="3">
        <f t="shared" si="4"/>
        <v>0</v>
      </c>
      <c r="K70" s="3">
        <f t="shared" si="4"/>
        <v>0</v>
      </c>
      <c r="L70" s="3">
        <f t="shared" si="4"/>
        <v>0</v>
      </c>
      <c r="M70" s="3">
        <f t="shared" si="4"/>
        <v>0</v>
      </c>
      <c r="P70" s="14"/>
      <c r="Q70" s="10" t="str">
        <f t="shared" si="1"/>
        <v/>
      </c>
      <c r="R70" s="56" t="str">
        <f t="shared" si="2"/>
        <v/>
      </c>
      <c r="S70" s="5">
        <f t="shared" si="5"/>
        <v>0</v>
      </c>
      <c r="T70" s="5">
        <f t="shared" si="5"/>
        <v>0</v>
      </c>
      <c r="U70" s="5">
        <f t="shared" si="5"/>
        <v>0</v>
      </c>
      <c r="V70" s="5">
        <f t="shared" si="5"/>
        <v>0</v>
      </c>
    </row>
    <row r="71" spans="1:22" x14ac:dyDescent="0.2">
      <c r="A71" s="35" t="str">
        <f>IF(Tabela17[[#This Row],[Código]]="IBOV","^BVSP",IF(Tabela17[[#This Row],[Código]]="","",CONCATENATE(LEFT(Tabela17[[#This Row],[Código]],6),".SA")))</f>
        <v/>
      </c>
      <c r="H71" s="56"/>
      <c r="J71" s="3">
        <f t="shared" si="4"/>
        <v>0</v>
      </c>
      <c r="K71" s="3">
        <f t="shared" si="4"/>
        <v>0</v>
      </c>
      <c r="L71" s="3">
        <f t="shared" si="4"/>
        <v>0</v>
      </c>
      <c r="M71" s="3">
        <f t="shared" si="4"/>
        <v>0</v>
      </c>
      <c r="P71" s="14"/>
      <c r="Q71" s="10" t="str">
        <f t="shared" ref="Q71:Q112" si="6">IF(A71="","",C71)</f>
        <v/>
      </c>
      <c r="R71" s="56" t="str">
        <f t="shared" ref="R71:R112" si="7">IF(A71="","",H71)</f>
        <v/>
      </c>
      <c r="S71" s="5">
        <f t="shared" ref="S71:V102" si="8">J71</f>
        <v>0</v>
      </c>
      <c r="T71" s="5">
        <f t="shared" si="8"/>
        <v>0</v>
      </c>
      <c r="U71" s="5">
        <f t="shared" si="8"/>
        <v>0</v>
      </c>
      <c r="V71" s="5">
        <f t="shared" si="8"/>
        <v>0</v>
      </c>
    </row>
    <row r="72" spans="1:22" x14ac:dyDescent="0.2">
      <c r="A72" s="35" t="str">
        <f>IF(Tabela17[[#This Row],[Código]]="IBOV","^BVSP",IF(Tabela17[[#This Row],[Código]]="","",CONCATENATE(LEFT(Tabela17[[#This Row],[Código]],6),".SA")))</f>
        <v/>
      </c>
      <c r="H72" s="56"/>
      <c r="J72" s="3">
        <f t="shared" ref="J72:M135" si="9">IF($A72="",0,VALUE(CONCATENATE(LEFT(D72,LEN(D72)-3),",",RIGHT(D72,2))))</f>
        <v>0</v>
      </c>
      <c r="K72" s="3">
        <f t="shared" si="9"/>
        <v>0</v>
      </c>
      <c r="L72" s="3">
        <f t="shared" si="9"/>
        <v>0</v>
      </c>
      <c r="M72" s="3">
        <f t="shared" si="9"/>
        <v>0</v>
      </c>
      <c r="P72" s="14"/>
      <c r="Q72" s="10" t="str">
        <f t="shared" si="6"/>
        <v/>
      </c>
      <c r="R72" s="49" t="str">
        <f t="shared" si="7"/>
        <v/>
      </c>
      <c r="S72" s="6">
        <f t="shared" si="8"/>
        <v>0</v>
      </c>
      <c r="T72" s="6">
        <f t="shared" si="8"/>
        <v>0</v>
      </c>
      <c r="U72" s="5">
        <f t="shared" si="8"/>
        <v>0</v>
      </c>
      <c r="V72" s="5">
        <f t="shared" si="8"/>
        <v>0</v>
      </c>
    </row>
    <row r="73" spans="1:22" x14ac:dyDescent="0.2">
      <c r="A73" s="35" t="str">
        <f>IF(Tabela17[[#This Row],[Código]]="IBOV","^BVSP",IF(Tabela17[[#This Row],[Código]]="","",CONCATENATE(LEFT(Tabela17[[#This Row],[Código]],6),".SA")))</f>
        <v/>
      </c>
      <c r="H73" s="56"/>
      <c r="J73" s="3">
        <f t="shared" si="9"/>
        <v>0</v>
      </c>
      <c r="K73" s="3">
        <f t="shared" si="9"/>
        <v>0</v>
      </c>
      <c r="L73" s="3">
        <f t="shared" si="9"/>
        <v>0</v>
      </c>
      <c r="M73" s="3">
        <f t="shared" si="9"/>
        <v>0</v>
      </c>
      <c r="P73" s="14"/>
      <c r="Q73" s="10" t="str">
        <f t="shared" si="6"/>
        <v/>
      </c>
      <c r="R73" s="56" t="str">
        <f t="shared" si="7"/>
        <v/>
      </c>
      <c r="S73" s="5">
        <f t="shared" si="8"/>
        <v>0</v>
      </c>
      <c r="T73" s="5">
        <f t="shared" si="8"/>
        <v>0</v>
      </c>
      <c r="U73" s="5">
        <f t="shared" si="8"/>
        <v>0</v>
      </c>
      <c r="V73" s="5">
        <f t="shared" si="8"/>
        <v>0</v>
      </c>
    </row>
    <row r="74" spans="1:22" x14ac:dyDescent="0.2">
      <c r="A74" s="35" t="str">
        <f>IF(Tabela17[[#This Row],[Código]]="IBOV","^BVSP",IF(Tabela17[[#This Row],[Código]]="","",CONCATENATE(LEFT(Tabela17[[#This Row],[Código]],6),".SA")))</f>
        <v/>
      </c>
      <c r="H74" s="56"/>
      <c r="J74" s="3">
        <f t="shared" si="9"/>
        <v>0</v>
      </c>
      <c r="K74" s="3">
        <f t="shared" si="9"/>
        <v>0</v>
      </c>
      <c r="L74" s="3">
        <f t="shared" si="9"/>
        <v>0</v>
      </c>
      <c r="M74" s="3">
        <f t="shared" si="9"/>
        <v>0</v>
      </c>
      <c r="P74" s="27"/>
      <c r="Q74" s="10" t="str">
        <f t="shared" si="6"/>
        <v/>
      </c>
      <c r="R74" s="56" t="str">
        <f t="shared" si="7"/>
        <v/>
      </c>
      <c r="S74" s="5">
        <f t="shared" si="8"/>
        <v>0</v>
      </c>
      <c r="T74" s="5">
        <f t="shared" si="8"/>
        <v>0</v>
      </c>
      <c r="U74" s="5">
        <f t="shared" si="8"/>
        <v>0</v>
      </c>
      <c r="V74" s="5">
        <f t="shared" si="8"/>
        <v>0</v>
      </c>
    </row>
    <row r="75" spans="1:22" x14ac:dyDescent="0.2">
      <c r="A75" s="35" t="str">
        <f>IF(Tabela17[[#This Row],[Código]]="IBOV","^BVSP",IF(Tabela17[[#This Row],[Código]]="","",CONCATENATE(LEFT(Tabela17[[#This Row],[Código]],6),".SA")))</f>
        <v/>
      </c>
      <c r="H75" s="56"/>
      <c r="J75" s="3">
        <f t="shared" si="9"/>
        <v>0</v>
      </c>
      <c r="K75" s="3">
        <f t="shared" si="9"/>
        <v>0</v>
      </c>
      <c r="L75" s="3">
        <f t="shared" si="9"/>
        <v>0</v>
      </c>
      <c r="M75" s="3">
        <f t="shared" si="9"/>
        <v>0</v>
      </c>
      <c r="P75" s="14"/>
      <c r="Q75" s="10" t="str">
        <f t="shared" si="6"/>
        <v/>
      </c>
      <c r="R75" s="56" t="str">
        <f t="shared" si="7"/>
        <v/>
      </c>
      <c r="S75" s="5">
        <f t="shared" si="8"/>
        <v>0</v>
      </c>
      <c r="T75" s="5">
        <f t="shared" si="8"/>
        <v>0</v>
      </c>
      <c r="U75" s="5">
        <f t="shared" si="8"/>
        <v>0</v>
      </c>
      <c r="V75" s="5">
        <f t="shared" si="8"/>
        <v>0</v>
      </c>
    </row>
    <row r="76" spans="1:22" x14ac:dyDescent="0.2">
      <c r="A76" s="35" t="str">
        <f>IF(Tabela17[[#This Row],[Código]]="IBOV","^BVSP",IF(Tabela17[[#This Row],[Código]]="","",CONCATENATE(LEFT(Tabela17[[#This Row],[Código]],6),".SA")))</f>
        <v/>
      </c>
      <c r="H76" s="56"/>
      <c r="J76" s="3">
        <f t="shared" si="9"/>
        <v>0</v>
      </c>
      <c r="K76" s="3">
        <f t="shared" si="9"/>
        <v>0</v>
      </c>
      <c r="L76" s="3">
        <f t="shared" si="9"/>
        <v>0</v>
      </c>
      <c r="M76" s="3">
        <f t="shared" si="9"/>
        <v>0</v>
      </c>
      <c r="P76" s="15"/>
      <c r="Q76" s="10" t="str">
        <f t="shared" si="6"/>
        <v/>
      </c>
      <c r="R76" s="56" t="str">
        <f t="shared" si="7"/>
        <v/>
      </c>
      <c r="S76" s="5">
        <f t="shared" si="8"/>
        <v>0</v>
      </c>
      <c r="T76" s="5">
        <f t="shared" si="8"/>
        <v>0</v>
      </c>
      <c r="U76" s="5">
        <f t="shared" si="8"/>
        <v>0</v>
      </c>
      <c r="V76" s="5">
        <f t="shared" si="8"/>
        <v>0</v>
      </c>
    </row>
    <row r="77" spans="1:22" x14ac:dyDescent="0.2">
      <c r="A77" s="35" t="str">
        <f>IF(Tabela17[[#This Row],[Código]]="IBOV","^BVSP",IF(Tabela17[[#This Row],[Código]]="","",CONCATENATE(LEFT(Tabela17[[#This Row],[Código]],6),".SA")))</f>
        <v/>
      </c>
      <c r="H77" s="56"/>
      <c r="J77" s="3">
        <f t="shared" si="9"/>
        <v>0</v>
      </c>
      <c r="K77" s="3">
        <f t="shared" si="9"/>
        <v>0</v>
      </c>
      <c r="L77" s="3">
        <f t="shared" si="9"/>
        <v>0</v>
      </c>
      <c r="M77" s="3">
        <f t="shared" si="9"/>
        <v>0</v>
      </c>
      <c r="P77" s="14"/>
      <c r="Q77" s="10" t="str">
        <f t="shared" si="6"/>
        <v/>
      </c>
      <c r="R77" s="56" t="str">
        <f t="shared" si="7"/>
        <v/>
      </c>
      <c r="S77" s="5">
        <f t="shared" si="8"/>
        <v>0</v>
      </c>
      <c r="T77" s="5">
        <f t="shared" si="8"/>
        <v>0</v>
      </c>
      <c r="U77" s="5">
        <f t="shared" si="8"/>
        <v>0</v>
      </c>
      <c r="V77" s="5">
        <f t="shared" si="8"/>
        <v>0</v>
      </c>
    </row>
    <row r="78" spans="1:22" x14ac:dyDescent="0.2">
      <c r="A78" s="35" t="str">
        <f>IF(Tabela17[[#This Row],[Código]]="IBOV","^BVSP",IF(Tabela17[[#This Row],[Código]]="","",CONCATENATE(LEFT(Tabela17[[#This Row],[Código]],6),".SA")))</f>
        <v/>
      </c>
      <c r="H78" s="56"/>
      <c r="J78" s="3">
        <f t="shared" si="9"/>
        <v>0</v>
      </c>
      <c r="K78" s="3">
        <f t="shared" si="9"/>
        <v>0</v>
      </c>
      <c r="L78" s="3">
        <f t="shared" si="9"/>
        <v>0</v>
      </c>
      <c r="M78" s="3">
        <f t="shared" si="9"/>
        <v>0</v>
      </c>
      <c r="P78" s="27"/>
      <c r="Q78" s="10" t="str">
        <f t="shared" si="6"/>
        <v/>
      </c>
      <c r="R78" s="56" t="str">
        <f t="shared" si="7"/>
        <v/>
      </c>
      <c r="S78" s="5">
        <f t="shared" si="8"/>
        <v>0</v>
      </c>
      <c r="T78" s="5">
        <f t="shared" si="8"/>
        <v>0</v>
      </c>
      <c r="U78" s="5">
        <f t="shared" si="8"/>
        <v>0</v>
      </c>
      <c r="V78" s="5">
        <f t="shared" si="8"/>
        <v>0</v>
      </c>
    </row>
    <row r="79" spans="1:22" x14ac:dyDescent="0.2">
      <c r="A79" s="35" t="str">
        <f>IF(Tabela17[[#This Row],[Código]]="IBOV","^BVSP",IF(Tabela17[[#This Row],[Código]]="","",CONCATENATE(LEFT(Tabela17[[#This Row],[Código]],6),".SA")))</f>
        <v/>
      </c>
      <c r="H79" s="56"/>
      <c r="J79" s="3">
        <f t="shared" si="9"/>
        <v>0</v>
      </c>
      <c r="K79" s="3">
        <f t="shared" si="9"/>
        <v>0</v>
      </c>
      <c r="L79" s="3">
        <f t="shared" si="9"/>
        <v>0</v>
      </c>
      <c r="M79" s="3">
        <f t="shared" si="9"/>
        <v>0</v>
      </c>
      <c r="P79" s="27"/>
      <c r="Q79" s="10" t="str">
        <f t="shared" si="6"/>
        <v/>
      </c>
      <c r="R79" s="56" t="str">
        <f t="shared" si="7"/>
        <v/>
      </c>
      <c r="S79" s="5">
        <f t="shared" si="8"/>
        <v>0</v>
      </c>
      <c r="T79" s="5">
        <f t="shared" si="8"/>
        <v>0</v>
      </c>
      <c r="U79" s="5">
        <f t="shared" si="8"/>
        <v>0</v>
      </c>
      <c r="V79" s="5">
        <f t="shared" si="8"/>
        <v>0</v>
      </c>
    </row>
    <row r="80" spans="1:22" x14ac:dyDescent="0.2">
      <c r="A80" s="35" t="str">
        <f>IF(Tabela17[[#This Row],[Código]]="IBOV","^BVSP",IF(Tabela17[[#This Row],[Código]]="","",CONCATENATE(LEFT(Tabela17[[#This Row],[Código]],6),".SA")))</f>
        <v/>
      </c>
      <c r="H80" s="56"/>
      <c r="J80" s="3">
        <f t="shared" si="9"/>
        <v>0</v>
      </c>
      <c r="K80" s="3">
        <f t="shared" si="9"/>
        <v>0</v>
      </c>
      <c r="L80" s="3">
        <f t="shared" si="9"/>
        <v>0</v>
      </c>
      <c r="M80" s="3">
        <f t="shared" si="9"/>
        <v>0</v>
      </c>
      <c r="P80" s="27"/>
      <c r="Q80" s="10" t="str">
        <f t="shared" si="6"/>
        <v/>
      </c>
      <c r="R80" s="56" t="str">
        <f t="shared" si="7"/>
        <v/>
      </c>
      <c r="S80" s="5">
        <f t="shared" si="8"/>
        <v>0</v>
      </c>
      <c r="T80" s="5">
        <f t="shared" si="8"/>
        <v>0</v>
      </c>
      <c r="U80" s="5">
        <f t="shared" si="8"/>
        <v>0</v>
      </c>
      <c r="V80" s="5">
        <f t="shared" si="8"/>
        <v>0</v>
      </c>
    </row>
    <row r="81" spans="1:22" x14ac:dyDescent="0.2">
      <c r="A81" s="35" t="str">
        <f>IF(Tabela17[[#This Row],[Código]]="IBOV","^BVSP",IF(Tabela17[[#This Row],[Código]]="","",CONCATENATE(LEFT(Tabela17[[#This Row],[Código]],6),".SA")))</f>
        <v/>
      </c>
      <c r="H81" s="56"/>
      <c r="J81" s="3">
        <f t="shared" si="9"/>
        <v>0</v>
      </c>
      <c r="K81" s="3">
        <f t="shared" si="9"/>
        <v>0</v>
      </c>
      <c r="L81" s="3">
        <f t="shared" si="9"/>
        <v>0</v>
      </c>
      <c r="M81" s="3">
        <f t="shared" si="9"/>
        <v>0</v>
      </c>
      <c r="P81" s="14"/>
      <c r="Q81" s="10" t="str">
        <f t="shared" si="6"/>
        <v/>
      </c>
      <c r="R81" s="56" t="str">
        <f t="shared" si="7"/>
        <v/>
      </c>
      <c r="S81" s="5">
        <f t="shared" si="8"/>
        <v>0</v>
      </c>
      <c r="T81" s="5">
        <f t="shared" si="8"/>
        <v>0</v>
      </c>
      <c r="U81" s="5">
        <f t="shared" si="8"/>
        <v>0</v>
      </c>
      <c r="V81" s="5">
        <f t="shared" si="8"/>
        <v>0</v>
      </c>
    </row>
    <row r="82" spans="1:22" x14ac:dyDescent="0.2">
      <c r="A82" s="35" t="str">
        <f>IF(Tabela17[[#This Row],[Código]]="IBOV","^BVSP",IF(Tabela17[[#This Row],[Código]]="","",CONCATENATE(LEFT(Tabela17[[#This Row],[Código]],6),".SA")))</f>
        <v/>
      </c>
      <c r="H82" s="56"/>
      <c r="J82" s="3">
        <f t="shared" si="9"/>
        <v>0</v>
      </c>
      <c r="K82" s="3">
        <f t="shared" si="9"/>
        <v>0</v>
      </c>
      <c r="L82" s="3">
        <f t="shared" si="9"/>
        <v>0</v>
      </c>
      <c r="M82" s="3">
        <f t="shared" si="9"/>
        <v>0</v>
      </c>
      <c r="P82" s="14"/>
      <c r="Q82" s="10" t="str">
        <f t="shared" si="6"/>
        <v/>
      </c>
      <c r="R82" s="56" t="str">
        <f t="shared" si="7"/>
        <v/>
      </c>
      <c r="S82" s="5">
        <f t="shared" si="8"/>
        <v>0</v>
      </c>
      <c r="T82" s="5">
        <f t="shared" si="8"/>
        <v>0</v>
      </c>
      <c r="U82" s="5">
        <f t="shared" si="8"/>
        <v>0</v>
      </c>
      <c r="V82" s="5">
        <f t="shared" si="8"/>
        <v>0</v>
      </c>
    </row>
    <row r="83" spans="1:22" x14ac:dyDescent="0.2">
      <c r="A83" s="35" t="str">
        <f>IF(Tabela17[[#This Row],[Código]]="IBOV","^BVSP",IF(Tabela17[[#This Row],[Código]]="","",CONCATENATE(LEFT(Tabela17[[#This Row],[Código]],6),".SA")))</f>
        <v/>
      </c>
      <c r="H83" s="56"/>
      <c r="J83" s="3">
        <f t="shared" si="9"/>
        <v>0</v>
      </c>
      <c r="K83" s="3">
        <f t="shared" si="9"/>
        <v>0</v>
      </c>
      <c r="L83" s="3">
        <f t="shared" si="9"/>
        <v>0</v>
      </c>
      <c r="M83" s="3">
        <f t="shared" si="9"/>
        <v>0</v>
      </c>
      <c r="P83" s="15"/>
      <c r="Q83" s="10" t="str">
        <f t="shared" si="6"/>
        <v/>
      </c>
      <c r="R83" s="56" t="str">
        <f t="shared" si="7"/>
        <v/>
      </c>
      <c r="S83" s="5">
        <f t="shared" si="8"/>
        <v>0</v>
      </c>
      <c r="T83" s="5">
        <f t="shared" si="8"/>
        <v>0</v>
      </c>
      <c r="U83" s="5">
        <f t="shared" si="8"/>
        <v>0</v>
      </c>
      <c r="V83" s="5">
        <f t="shared" si="8"/>
        <v>0</v>
      </c>
    </row>
    <row r="84" spans="1:22" x14ac:dyDescent="0.2">
      <c r="A84" s="35" t="str">
        <f>IF(Tabela17[[#This Row],[Código]]="IBOV","^BVSP",IF(Tabela17[[#This Row],[Código]]="","",CONCATENATE(LEFT(Tabela17[[#This Row],[Código]],6),".SA")))</f>
        <v/>
      </c>
      <c r="H84" s="56"/>
      <c r="J84" s="3">
        <f t="shared" si="9"/>
        <v>0</v>
      </c>
      <c r="K84" s="3">
        <f t="shared" si="9"/>
        <v>0</v>
      </c>
      <c r="L84" s="3">
        <f t="shared" si="9"/>
        <v>0</v>
      </c>
      <c r="M84" s="3">
        <f t="shared" si="9"/>
        <v>0</v>
      </c>
      <c r="P84" s="15"/>
      <c r="Q84" s="10" t="str">
        <f t="shared" si="6"/>
        <v/>
      </c>
      <c r="R84" s="56" t="str">
        <f t="shared" si="7"/>
        <v/>
      </c>
      <c r="S84" s="5">
        <f t="shared" si="8"/>
        <v>0</v>
      </c>
      <c r="T84" s="5">
        <f t="shared" si="8"/>
        <v>0</v>
      </c>
      <c r="U84" s="5">
        <f t="shared" si="8"/>
        <v>0</v>
      </c>
      <c r="V84" s="5">
        <f t="shared" si="8"/>
        <v>0</v>
      </c>
    </row>
    <row r="85" spans="1:22" x14ac:dyDescent="0.2">
      <c r="A85" s="35" t="str">
        <f>IF(Tabela17[[#This Row],[Código]]="IBOV","^BVSP",IF(Tabela17[[#This Row],[Código]]="","",CONCATENATE(LEFT(Tabela17[[#This Row],[Código]],6),".SA")))</f>
        <v/>
      </c>
      <c r="H85" s="56"/>
      <c r="J85" s="3">
        <f t="shared" si="9"/>
        <v>0</v>
      </c>
      <c r="K85" s="3">
        <f t="shared" si="9"/>
        <v>0</v>
      </c>
      <c r="L85" s="3">
        <f t="shared" si="9"/>
        <v>0</v>
      </c>
      <c r="M85" s="3">
        <f t="shared" si="9"/>
        <v>0</v>
      </c>
      <c r="P85" s="10"/>
      <c r="Q85" s="10" t="str">
        <f t="shared" si="6"/>
        <v/>
      </c>
      <c r="R85" s="56" t="str">
        <f t="shared" si="7"/>
        <v/>
      </c>
      <c r="S85" s="5">
        <f t="shared" si="8"/>
        <v>0</v>
      </c>
      <c r="T85" s="5">
        <f t="shared" si="8"/>
        <v>0</v>
      </c>
      <c r="U85" s="5">
        <f t="shared" si="8"/>
        <v>0</v>
      </c>
      <c r="V85" s="5">
        <f t="shared" si="8"/>
        <v>0</v>
      </c>
    </row>
    <row r="86" spans="1:22" x14ac:dyDescent="0.2">
      <c r="A86" s="35" t="str">
        <f>IF(Tabela17[[#This Row],[Código]]="IBOV","^BVSP",IF(Tabela17[[#This Row],[Código]]="","",CONCATENATE(LEFT(Tabela17[[#This Row],[Código]],6),".SA")))</f>
        <v/>
      </c>
      <c r="H86" s="56"/>
      <c r="J86" s="3">
        <f t="shared" si="9"/>
        <v>0</v>
      </c>
      <c r="K86" s="3">
        <f t="shared" si="9"/>
        <v>0</v>
      </c>
      <c r="L86" s="3">
        <f t="shared" si="9"/>
        <v>0</v>
      </c>
      <c r="M86" s="3">
        <f t="shared" si="9"/>
        <v>0</v>
      </c>
      <c r="P86" s="10"/>
      <c r="Q86" s="10" t="str">
        <f t="shared" si="6"/>
        <v/>
      </c>
      <c r="R86" s="56" t="str">
        <f t="shared" si="7"/>
        <v/>
      </c>
      <c r="S86" s="5">
        <f t="shared" si="8"/>
        <v>0</v>
      </c>
      <c r="T86" s="5">
        <f t="shared" si="8"/>
        <v>0</v>
      </c>
      <c r="U86" s="5">
        <f t="shared" si="8"/>
        <v>0</v>
      </c>
      <c r="V86" s="5">
        <f t="shared" si="8"/>
        <v>0</v>
      </c>
    </row>
    <row r="87" spans="1:22" x14ac:dyDescent="0.2">
      <c r="A87" s="35" t="str">
        <f>IF(Tabela17[[#This Row],[Código]]="IBOV","^BVSP",IF(Tabela17[[#This Row],[Código]]="","",CONCATENATE(LEFT(Tabela17[[#This Row],[Código]],6),".SA")))</f>
        <v/>
      </c>
      <c r="H87" s="56"/>
      <c r="J87" s="3">
        <f t="shared" si="9"/>
        <v>0</v>
      </c>
      <c r="K87" s="3">
        <f t="shared" si="9"/>
        <v>0</v>
      </c>
      <c r="L87" s="3">
        <f t="shared" si="9"/>
        <v>0</v>
      </c>
      <c r="M87" s="3">
        <f t="shared" si="9"/>
        <v>0</v>
      </c>
      <c r="P87" s="15"/>
      <c r="Q87" s="10" t="str">
        <f t="shared" si="6"/>
        <v/>
      </c>
      <c r="R87" s="56" t="str">
        <f t="shared" si="7"/>
        <v/>
      </c>
      <c r="S87" s="5">
        <f t="shared" si="8"/>
        <v>0</v>
      </c>
      <c r="T87" s="5">
        <f t="shared" si="8"/>
        <v>0</v>
      </c>
      <c r="U87" s="5">
        <f t="shared" si="8"/>
        <v>0</v>
      </c>
      <c r="V87" s="5">
        <f t="shared" si="8"/>
        <v>0</v>
      </c>
    </row>
    <row r="88" spans="1:22" x14ac:dyDescent="0.2">
      <c r="A88" s="35" t="str">
        <f>IF(Tabela17[[#This Row],[Código]]="IBOV","^BVSP",IF(Tabela17[[#This Row],[Código]]="","",CONCATENATE(LEFT(Tabela17[[#This Row],[Código]],6),".SA")))</f>
        <v/>
      </c>
      <c r="H88" s="56"/>
      <c r="J88" s="3">
        <f t="shared" si="9"/>
        <v>0</v>
      </c>
      <c r="K88" s="3">
        <f t="shared" si="9"/>
        <v>0</v>
      </c>
      <c r="L88" s="3">
        <f t="shared" si="9"/>
        <v>0</v>
      </c>
      <c r="M88" s="3">
        <f t="shared" si="9"/>
        <v>0</v>
      </c>
      <c r="P88" s="15"/>
      <c r="Q88" s="10" t="str">
        <f t="shared" si="6"/>
        <v/>
      </c>
      <c r="R88" s="56" t="str">
        <f t="shared" si="7"/>
        <v/>
      </c>
      <c r="S88" s="5">
        <f t="shared" si="8"/>
        <v>0</v>
      </c>
      <c r="T88" s="5">
        <f t="shared" si="8"/>
        <v>0</v>
      </c>
      <c r="U88" s="5">
        <f t="shared" si="8"/>
        <v>0</v>
      </c>
      <c r="V88" s="5">
        <f t="shared" si="8"/>
        <v>0</v>
      </c>
    </row>
    <row r="89" spans="1:22" x14ac:dyDescent="0.2">
      <c r="A89" s="35" t="str">
        <f>IF(Tabela17[[#This Row],[Código]]="IBOV","^BVSP",IF(Tabela17[[#This Row],[Código]]="","",CONCATENATE(LEFT(Tabela17[[#This Row],[Código]],6),".SA")))</f>
        <v/>
      </c>
      <c r="H89" s="56"/>
      <c r="J89" s="3">
        <f t="shared" si="9"/>
        <v>0</v>
      </c>
      <c r="K89" s="3">
        <f t="shared" si="9"/>
        <v>0</v>
      </c>
      <c r="L89" s="3">
        <f t="shared" si="9"/>
        <v>0</v>
      </c>
      <c r="M89" s="3">
        <f t="shared" si="9"/>
        <v>0</v>
      </c>
      <c r="P89" s="46"/>
      <c r="Q89" s="10" t="str">
        <f t="shared" si="6"/>
        <v/>
      </c>
      <c r="R89" s="56" t="str">
        <f t="shared" si="7"/>
        <v/>
      </c>
      <c r="S89" s="5">
        <f t="shared" si="8"/>
        <v>0</v>
      </c>
      <c r="T89" s="5">
        <f t="shared" si="8"/>
        <v>0</v>
      </c>
      <c r="U89" s="5">
        <f t="shared" si="8"/>
        <v>0</v>
      </c>
      <c r="V89" s="5">
        <f t="shared" si="8"/>
        <v>0</v>
      </c>
    </row>
    <row r="90" spans="1:22" x14ac:dyDescent="0.2">
      <c r="A90" s="35" t="str">
        <f>IF(Tabela17[[#This Row],[Código]]="IBOV","^BVSP",IF(Tabela17[[#This Row],[Código]]="","",CONCATENATE(LEFT(Tabela17[[#This Row],[Código]],6),".SA")))</f>
        <v/>
      </c>
      <c r="H90" s="56"/>
      <c r="J90" s="3">
        <f t="shared" si="9"/>
        <v>0</v>
      </c>
      <c r="K90" s="3">
        <f t="shared" si="9"/>
        <v>0</v>
      </c>
      <c r="L90" s="3">
        <f t="shared" si="9"/>
        <v>0</v>
      </c>
      <c r="M90" s="3">
        <f t="shared" si="9"/>
        <v>0</v>
      </c>
      <c r="P90" s="14"/>
      <c r="Q90" s="10" t="str">
        <f t="shared" si="6"/>
        <v/>
      </c>
      <c r="R90" s="56" t="str">
        <f t="shared" si="7"/>
        <v/>
      </c>
      <c r="S90" s="5">
        <f t="shared" si="8"/>
        <v>0</v>
      </c>
      <c r="T90" s="5">
        <f t="shared" si="8"/>
        <v>0</v>
      </c>
      <c r="U90" s="5">
        <f t="shared" si="8"/>
        <v>0</v>
      </c>
      <c r="V90" s="5">
        <f t="shared" si="8"/>
        <v>0</v>
      </c>
    </row>
    <row r="91" spans="1:22" x14ac:dyDescent="0.2">
      <c r="A91" s="35" t="str">
        <f>IF(Tabela17[[#This Row],[Código]]="IBOV","^BVSP",IF(Tabela17[[#This Row],[Código]]="","",CONCATENATE(LEFT(Tabela17[[#This Row],[Código]],6),".SA")))</f>
        <v/>
      </c>
      <c r="H91" s="56"/>
      <c r="J91" s="3">
        <f t="shared" si="9"/>
        <v>0</v>
      </c>
      <c r="K91" s="3">
        <f t="shared" si="9"/>
        <v>0</v>
      </c>
      <c r="L91" s="3">
        <f t="shared" si="9"/>
        <v>0</v>
      </c>
      <c r="M91" s="3">
        <f t="shared" si="9"/>
        <v>0</v>
      </c>
      <c r="P91" s="10"/>
      <c r="Q91" s="10" t="str">
        <f t="shared" si="6"/>
        <v/>
      </c>
      <c r="R91" s="56" t="str">
        <f t="shared" si="7"/>
        <v/>
      </c>
      <c r="S91" s="5">
        <f t="shared" si="8"/>
        <v>0</v>
      </c>
      <c r="T91" s="5">
        <f t="shared" si="8"/>
        <v>0</v>
      </c>
      <c r="U91" s="5">
        <f t="shared" si="8"/>
        <v>0</v>
      </c>
      <c r="V91" s="5">
        <f t="shared" si="8"/>
        <v>0</v>
      </c>
    </row>
    <row r="92" spans="1:22" x14ac:dyDescent="0.2">
      <c r="A92" s="35" t="str">
        <f>IF(Tabela17[[#This Row],[Código]]="IBOV","^BVSP",IF(Tabela17[[#This Row],[Código]]="","",CONCATENATE(LEFT(Tabela17[[#This Row],[Código]],6),".SA")))</f>
        <v/>
      </c>
      <c r="H92" s="56"/>
      <c r="J92" s="3">
        <f t="shared" si="9"/>
        <v>0</v>
      </c>
      <c r="K92" s="3">
        <f t="shared" si="9"/>
        <v>0</v>
      </c>
      <c r="L92" s="3">
        <f t="shared" si="9"/>
        <v>0</v>
      </c>
      <c r="M92" s="3">
        <f t="shared" si="9"/>
        <v>0</v>
      </c>
      <c r="P92" s="16"/>
      <c r="Q92" s="10" t="str">
        <f t="shared" si="6"/>
        <v/>
      </c>
      <c r="R92" s="56" t="str">
        <f t="shared" si="7"/>
        <v/>
      </c>
      <c r="S92" s="5">
        <f t="shared" si="8"/>
        <v>0</v>
      </c>
      <c r="T92" s="5">
        <f t="shared" si="8"/>
        <v>0</v>
      </c>
      <c r="U92" s="5">
        <f t="shared" si="8"/>
        <v>0</v>
      </c>
      <c r="V92" s="5">
        <f t="shared" si="8"/>
        <v>0</v>
      </c>
    </row>
    <row r="93" spans="1:22" x14ac:dyDescent="0.2">
      <c r="A93" s="35" t="str">
        <f>IF(Tabela17[[#This Row],[Código]]="IBOV","^BVSP",IF(Tabela17[[#This Row],[Código]]="","",CONCATENATE(LEFT(Tabela17[[#This Row],[Código]],6),".SA")))</f>
        <v/>
      </c>
      <c r="H93" s="56"/>
      <c r="J93" s="3">
        <f t="shared" si="9"/>
        <v>0</v>
      </c>
      <c r="K93" s="3">
        <f t="shared" si="9"/>
        <v>0</v>
      </c>
      <c r="L93" s="3">
        <f t="shared" si="9"/>
        <v>0</v>
      </c>
      <c r="M93" s="3">
        <f t="shared" si="9"/>
        <v>0</v>
      </c>
      <c r="P93" s="16"/>
      <c r="Q93" s="10" t="str">
        <f t="shared" si="6"/>
        <v/>
      </c>
      <c r="R93" s="56" t="str">
        <f t="shared" si="7"/>
        <v/>
      </c>
      <c r="S93" s="5">
        <f t="shared" si="8"/>
        <v>0</v>
      </c>
      <c r="T93" s="5">
        <f t="shared" si="8"/>
        <v>0</v>
      </c>
      <c r="U93" s="5">
        <f t="shared" si="8"/>
        <v>0</v>
      </c>
      <c r="V93" s="5">
        <f t="shared" si="8"/>
        <v>0</v>
      </c>
    </row>
    <row r="94" spans="1:22" x14ac:dyDescent="0.2">
      <c r="A94" s="35" t="str">
        <f>IF(Tabela17[[#This Row],[Código]]="IBOV","^BVSP",IF(Tabela17[[#This Row],[Código]]="","",CONCATENATE(LEFT(Tabela17[[#This Row],[Código]],6),".SA")))</f>
        <v/>
      </c>
      <c r="H94" s="56"/>
      <c r="J94" s="3">
        <f t="shared" si="9"/>
        <v>0</v>
      </c>
      <c r="K94" s="3">
        <f t="shared" si="9"/>
        <v>0</v>
      </c>
      <c r="L94" s="3">
        <f t="shared" si="9"/>
        <v>0</v>
      </c>
      <c r="M94" s="3">
        <f t="shared" si="9"/>
        <v>0</v>
      </c>
      <c r="P94" s="14"/>
      <c r="Q94" s="10" t="str">
        <f t="shared" si="6"/>
        <v/>
      </c>
      <c r="R94" s="56" t="str">
        <f t="shared" si="7"/>
        <v/>
      </c>
      <c r="S94" s="5">
        <f t="shared" si="8"/>
        <v>0</v>
      </c>
      <c r="T94" s="5">
        <f t="shared" si="8"/>
        <v>0</v>
      </c>
      <c r="U94" s="5">
        <f t="shared" si="8"/>
        <v>0</v>
      </c>
      <c r="V94" s="5">
        <f t="shared" si="8"/>
        <v>0</v>
      </c>
    </row>
    <row r="95" spans="1:22" x14ac:dyDescent="0.2">
      <c r="A95" s="35" t="str">
        <f>IF(Tabela17[[#This Row],[Código]]="IBOV","^BVSP",IF(Tabela17[[#This Row],[Código]]="","",CONCATENATE(LEFT(Tabela17[[#This Row],[Código]],6),".SA")))</f>
        <v/>
      </c>
      <c r="H95" s="56"/>
      <c r="J95" s="3">
        <f t="shared" si="9"/>
        <v>0</v>
      </c>
      <c r="K95" s="3">
        <f t="shared" si="9"/>
        <v>0</v>
      </c>
      <c r="L95" s="3">
        <f t="shared" si="9"/>
        <v>0</v>
      </c>
      <c r="M95" s="3">
        <f t="shared" si="9"/>
        <v>0</v>
      </c>
      <c r="P95" s="14"/>
      <c r="Q95" s="10" t="str">
        <f t="shared" si="6"/>
        <v/>
      </c>
      <c r="R95" s="56" t="str">
        <f t="shared" si="7"/>
        <v/>
      </c>
      <c r="S95" s="5">
        <f t="shared" si="8"/>
        <v>0</v>
      </c>
      <c r="T95" s="5">
        <f t="shared" si="8"/>
        <v>0</v>
      </c>
      <c r="U95" s="5">
        <f t="shared" si="8"/>
        <v>0</v>
      </c>
      <c r="V95" s="5">
        <f t="shared" si="8"/>
        <v>0</v>
      </c>
    </row>
    <row r="96" spans="1:22" x14ac:dyDescent="0.2">
      <c r="A96" s="35" t="str">
        <f>IF(Tabela17[[#This Row],[Código]]="IBOV","^BVSP",IF(Tabela17[[#This Row],[Código]]="","",CONCATENATE(LEFT(Tabela17[[#This Row],[Código]],6),".SA")))</f>
        <v/>
      </c>
      <c r="H96" s="56"/>
      <c r="J96" s="3">
        <f t="shared" si="9"/>
        <v>0</v>
      </c>
      <c r="K96" s="3">
        <f t="shared" si="9"/>
        <v>0</v>
      </c>
      <c r="L96" s="3">
        <f t="shared" si="9"/>
        <v>0</v>
      </c>
      <c r="M96" s="3">
        <f t="shared" si="9"/>
        <v>0</v>
      </c>
      <c r="P96" s="14"/>
      <c r="Q96" s="10" t="str">
        <f t="shared" si="6"/>
        <v/>
      </c>
      <c r="R96" s="56" t="str">
        <f t="shared" si="7"/>
        <v/>
      </c>
      <c r="S96" s="5">
        <f t="shared" si="8"/>
        <v>0</v>
      </c>
      <c r="T96" s="5">
        <f t="shared" si="8"/>
        <v>0</v>
      </c>
      <c r="U96" s="5">
        <f t="shared" si="8"/>
        <v>0</v>
      </c>
      <c r="V96" s="5">
        <f t="shared" si="8"/>
        <v>0</v>
      </c>
    </row>
    <row r="97" spans="1:22" x14ac:dyDescent="0.2">
      <c r="A97" s="35" t="str">
        <f>IF(Tabela17[[#This Row],[Código]]="IBOV","^BVSP",IF(Tabela17[[#This Row],[Código]]="","",CONCATENATE(LEFT(Tabela17[[#This Row],[Código]],6),".SA")))</f>
        <v/>
      </c>
      <c r="H97" s="56"/>
      <c r="J97" s="3">
        <f t="shared" si="9"/>
        <v>0</v>
      </c>
      <c r="K97" s="3">
        <f t="shared" si="9"/>
        <v>0</v>
      </c>
      <c r="L97" s="3">
        <f t="shared" si="9"/>
        <v>0</v>
      </c>
      <c r="M97" s="3">
        <f t="shared" si="9"/>
        <v>0</v>
      </c>
      <c r="P97" s="15"/>
      <c r="Q97" s="10" t="str">
        <f t="shared" si="6"/>
        <v/>
      </c>
      <c r="R97" s="56" t="str">
        <f t="shared" si="7"/>
        <v/>
      </c>
      <c r="S97" s="5">
        <f t="shared" si="8"/>
        <v>0</v>
      </c>
      <c r="T97" s="5">
        <f t="shared" si="8"/>
        <v>0</v>
      </c>
      <c r="U97" s="5">
        <f t="shared" si="8"/>
        <v>0</v>
      </c>
      <c r="V97" s="5">
        <f t="shared" si="8"/>
        <v>0</v>
      </c>
    </row>
    <row r="98" spans="1:22" x14ac:dyDescent="0.2">
      <c r="A98" s="35" t="str">
        <f>IF(Tabela17[[#This Row],[Código]]="IBOV","^BVSP",IF(Tabela17[[#This Row],[Código]]="","",CONCATENATE(LEFT(Tabela17[[#This Row],[Código]],6),".SA")))</f>
        <v/>
      </c>
      <c r="H98" s="56"/>
      <c r="J98" s="3">
        <f t="shared" si="9"/>
        <v>0</v>
      </c>
      <c r="K98" s="3">
        <f t="shared" si="9"/>
        <v>0</v>
      </c>
      <c r="L98" s="3">
        <f t="shared" si="9"/>
        <v>0</v>
      </c>
      <c r="M98" s="3">
        <f t="shared" si="9"/>
        <v>0</v>
      </c>
      <c r="P98" s="15"/>
      <c r="Q98" s="10" t="str">
        <f t="shared" si="6"/>
        <v/>
      </c>
      <c r="R98" s="56" t="str">
        <f t="shared" si="7"/>
        <v/>
      </c>
      <c r="S98" s="5">
        <f t="shared" si="8"/>
        <v>0</v>
      </c>
      <c r="T98" s="5">
        <f t="shared" si="8"/>
        <v>0</v>
      </c>
      <c r="U98" s="5">
        <f t="shared" si="8"/>
        <v>0</v>
      </c>
      <c r="V98" s="5">
        <f t="shared" si="8"/>
        <v>0</v>
      </c>
    </row>
    <row r="99" spans="1:22" x14ac:dyDescent="0.2">
      <c r="A99" s="35" t="str">
        <f>IF(Tabela17[[#This Row],[Código]]="IBOV","^BVSP",IF(Tabela17[[#This Row],[Código]]="","",CONCATENATE(LEFT(Tabela17[[#This Row],[Código]],6),".SA")))</f>
        <v/>
      </c>
      <c r="H99" s="56"/>
      <c r="J99" s="3">
        <f t="shared" si="9"/>
        <v>0</v>
      </c>
      <c r="K99" s="3">
        <f t="shared" si="9"/>
        <v>0</v>
      </c>
      <c r="L99" s="3">
        <f t="shared" si="9"/>
        <v>0</v>
      </c>
      <c r="M99" s="3">
        <f t="shared" si="9"/>
        <v>0</v>
      </c>
      <c r="P99" s="15"/>
      <c r="Q99" s="10" t="str">
        <f t="shared" si="6"/>
        <v/>
      </c>
      <c r="R99" s="56" t="str">
        <f t="shared" si="7"/>
        <v/>
      </c>
      <c r="S99" s="5">
        <f t="shared" si="8"/>
        <v>0</v>
      </c>
      <c r="T99" s="5">
        <f t="shared" si="8"/>
        <v>0</v>
      </c>
      <c r="U99" s="5">
        <f t="shared" si="8"/>
        <v>0</v>
      </c>
      <c r="V99" s="5">
        <f t="shared" si="8"/>
        <v>0</v>
      </c>
    </row>
    <row r="100" spans="1:22" x14ac:dyDescent="0.2">
      <c r="A100" s="35" t="str">
        <f>IF(Tabela17[[#This Row],[Código]]="IBOV","^BVSP",IF(Tabela17[[#This Row],[Código]]="","",CONCATENATE(LEFT(Tabela17[[#This Row],[Código]],6),".SA")))</f>
        <v/>
      </c>
      <c r="H100" s="56"/>
      <c r="J100" s="3">
        <f t="shared" si="9"/>
        <v>0</v>
      </c>
      <c r="K100" s="3">
        <f t="shared" si="9"/>
        <v>0</v>
      </c>
      <c r="L100" s="3">
        <f t="shared" si="9"/>
        <v>0</v>
      </c>
      <c r="M100" s="3">
        <f t="shared" si="9"/>
        <v>0</v>
      </c>
      <c r="P100" s="14"/>
      <c r="Q100" s="10" t="str">
        <f t="shared" si="6"/>
        <v/>
      </c>
      <c r="R100" s="56" t="str">
        <f t="shared" si="7"/>
        <v/>
      </c>
      <c r="S100" s="5">
        <f t="shared" si="8"/>
        <v>0</v>
      </c>
      <c r="T100" s="5">
        <f t="shared" si="8"/>
        <v>0</v>
      </c>
      <c r="U100" s="5">
        <f t="shared" si="8"/>
        <v>0</v>
      </c>
      <c r="V100" s="5">
        <f t="shared" si="8"/>
        <v>0</v>
      </c>
    </row>
    <row r="101" spans="1:22" x14ac:dyDescent="0.2">
      <c r="A101" s="35" t="str">
        <f>IF(Tabela17[[#This Row],[Código]]="IBOV","^BVSP",IF(Tabela17[[#This Row],[Código]]="","",CONCATENATE(LEFT(Tabela17[[#This Row],[Código]],6),".SA")))</f>
        <v/>
      </c>
      <c r="H101" s="56"/>
      <c r="J101" s="3">
        <f t="shared" si="9"/>
        <v>0</v>
      </c>
      <c r="K101" s="3">
        <f t="shared" si="9"/>
        <v>0</v>
      </c>
      <c r="L101" s="3">
        <f t="shared" si="9"/>
        <v>0</v>
      </c>
      <c r="M101" s="3">
        <f t="shared" si="9"/>
        <v>0</v>
      </c>
      <c r="P101" s="14"/>
      <c r="Q101" s="10" t="str">
        <f t="shared" si="6"/>
        <v/>
      </c>
      <c r="R101" s="56" t="str">
        <f t="shared" si="7"/>
        <v/>
      </c>
      <c r="S101" s="5">
        <f t="shared" si="8"/>
        <v>0</v>
      </c>
      <c r="T101" s="5">
        <f t="shared" si="8"/>
        <v>0</v>
      </c>
      <c r="U101" s="5">
        <f t="shared" si="8"/>
        <v>0</v>
      </c>
      <c r="V101" s="5">
        <f t="shared" si="8"/>
        <v>0</v>
      </c>
    </row>
    <row r="102" spans="1:22" x14ac:dyDescent="0.2">
      <c r="A102" s="35" t="str">
        <f>IF(Tabela17[[#This Row],[Código]]="IBOV","^BVSP",IF(Tabela17[[#This Row],[Código]]="","",CONCATENATE(LEFT(Tabela17[[#This Row],[Código]],6),".SA")))</f>
        <v/>
      </c>
      <c r="H102" s="56"/>
      <c r="J102" s="3">
        <f t="shared" si="9"/>
        <v>0</v>
      </c>
      <c r="K102" s="3">
        <f t="shared" si="9"/>
        <v>0</v>
      </c>
      <c r="L102" s="3">
        <f t="shared" si="9"/>
        <v>0</v>
      </c>
      <c r="M102" s="3">
        <f t="shared" si="9"/>
        <v>0</v>
      </c>
      <c r="P102" s="14"/>
      <c r="Q102" s="10" t="str">
        <f t="shared" si="6"/>
        <v/>
      </c>
      <c r="R102" s="56" t="str">
        <f t="shared" si="7"/>
        <v/>
      </c>
      <c r="S102" s="5">
        <f t="shared" si="8"/>
        <v>0</v>
      </c>
      <c r="T102" s="5">
        <f t="shared" si="8"/>
        <v>0</v>
      </c>
      <c r="U102" s="5">
        <f t="shared" si="8"/>
        <v>0</v>
      </c>
      <c r="V102" s="5">
        <f t="shared" si="8"/>
        <v>0</v>
      </c>
    </row>
    <row r="103" spans="1:22" x14ac:dyDescent="0.2">
      <c r="A103" s="35" t="str">
        <f>IF(Tabela17[[#This Row],[Código]]="IBOV","^BVSP",IF(Tabela17[[#This Row],[Código]]="","",CONCATENATE(LEFT(Tabela17[[#This Row],[Código]],6),".SA")))</f>
        <v/>
      </c>
      <c r="H103" s="56"/>
      <c r="J103" s="3">
        <f t="shared" si="9"/>
        <v>0</v>
      </c>
      <c r="K103" s="3">
        <f t="shared" si="9"/>
        <v>0</v>
      </c>
      <c r="L103" s="3">
        <f t="shared" si="9"/>
        <v>0</v>
      </c>
      <c r="M103" s="3">
        <f t="shared" si="9"/>
        <v>0</v>
      </c>
      <c r="P103" s="15"/>
      <c r="Q103" s="10" t="str">
        <f t="shared" si="6"/>
        <v/>
      </c>
      <c r="R103" s="56" t="str">
        <f t="shared" si="7"/>
        <v/>
      </c>
      <c r="S103" s="5">
        <f t="shared" ref="S103:V112" si="10">J103</f>
        <v>0</v>
      </c>
      <c r="T103" s="5">
        <f t="shared" si="10"/>
        <v>0</v>
      </c>
      <c r="U103" s="5">
        <f t="shared" si="10"/>
        <v>0</v>
      </c>
      <c r="V103" s="5">
        <f t="shared" si="10"/>
        <v>0</v>
      </c>
    </row>
    <row r="104" spans="1:22" x14ac:dyDescent="0.2">
      <c r="A104" s="35" t="str">
        <f>IF(Tabela17[[#This Row],[Código]]="IBOV","^BVSP",IF(Tabela17[[#This Row],[Código]]="","",CONCATENATE(LEFT(Tabela17[[#This Row],[Código]],6),".SA")))</f>
        <v/>
      </c>
      <c r="H104" s="56"/>
      <c r="J104" s="3">
        <f t="shared" si="9"/>
        <v>0</v>
      </c>
      <c r="K104" s="3">
        <f t="shared" si="9"/>
        <v>0</v>
      </c>
      <c r="L104" s="3">
        <f t="shared" si="9"/>
        <v>0</v>
      </c>
      <c r="M104" s="3">
        <f t="shared" si="9"/>
        <v>0</v>
      </c>
      <c r="P104" s="15"/>
      <c r="Q104" s="10" t="str">
        <f t="shared" si="6"/>
        <v/>
      </c>
      <c r="R104" s="56" t="str">
        <f t="shared" si="7"/>
        <v/>
      </c>
      <c r="S104" s="5">
        <f t="shared" si="10"/>
        <v>0</v>
      </c>
      <c r="T104" s="5">
        <f t="shared" si="10"/>
        <v>0</v>
      </c>
      <c r="U104" s="5">
        <f t="shared" si="10"/>
        <v>0</v>
      </c>
      <c r="V104" s="5">
        <f t="shared" si="10"/>
        <v>0</v>
      </c>
    </row>
    <row r="105" spans="1:22" x14ac:dyDescent="0.2">
      <c r="A105" s="35" t="str">
        <f>IF(Tabela17[[#This Row],[Código]]="IBOV","^BVSP",IF(Tabela17[[#This Row],[Código]]="","",CONCATENATE(LEFT(Tabela17[[#This Row],[Código]],6),".SA")))</f>
        <v/>
      </c>
      <c r="H105" s="56"/>
      <c r="J105" s="3">
        <f t="shared" si="9"/>
        <v>0</v>
      </c>
      <c r="K105" s="3">
        <f t="shared" si="9"/>
        <v>0</v>
      </c>
      <c r="L105" s="3">
        <f t="shared" si="9"/>
        <v>0</v>
      </c>
      <c r="M105" s="3">
        <f t="shared" si="9"/>
        <v>0</v>
      </c>
      <c r="P105" s="15"/>
      <c r="Q105" s="10" t="str">
        <f t="shared" si="6"/>
        <v/>
      </c>
      <c r="R105" s="56" t="str">
        <f t="shared" si="7"/>
        <v/>
      </c>
      <c r="S105" s="5">
        <f t="shared" si="10"/>
        <v>0</v>
      </c>
      <c r="T105" s="5">
        <f t="shared" si="10"/>
        <v>0</v>
      </c>
      <c r="U105" s="5">
        <f t="shared" si="10"/>
        <v>0</v>
      </c>
      <c r="V105" s="5">
        <f t="shared" si="10"/>
        <v>0</v>
      </c>
    </row>
    <row r="106" spans="1:22" x14ac:dyDescent="0.2">
      <c r="A106" s="35" t="str">
        <f>IF(Tabela17[[#This Row],[Código]]="IBOV","^BVSP",IF(Tabela17[[#This Row],[Código]]="","",CONCATENATE(LEFT(Tabela17[[#This Row],[Código]],6),".SA")))</f>
        <v/>
      </c>
      <c r="H106" s="56"/>
      <c r="J106" s="3">
        <f t="shared" si="9"/>
        <v>0</v>
      </c>
      <c r="K106" s="3">
        <f t="shared" si="9"/>
        <v>0</v>
      </c>
      <c r="L106" s="3">
        <f t="shared" si="9"/>
        <v>0</v>
      </c>
      <c r="M106" s="3">
        <f t="shared" si="9"/>
        <v>0</v>
      </c>
      <c r="P106" s="14"/>
      <c r="Q106" s="10" t="str">
        <f t="shared" si="6"/>
        <v/>
      </c>
      <c r="R106" s="56" t="str">
        <f t="shared" si="7"/>
        <v/>
      </c>
      <c r="S106" s="5">
        <f t="shared" si="10"/>
        <v>0</v>
      </c>
      <c r="T106" s="5">
        <f t="shared" si="10"/>
        <v>0</v>
      </c>
      <c r="U106" s="5">
        <f t="shared" si="10"/>
        <v>0</v>
      </c>
      <c r="V106" s="5">
        <f t="shared" si="10"/>
        <v>0</v>
      </c>
    </row>
    <row r="107" spans="1:22" x14ac:dyDescent="0.2">
      <c r="A107" s="35" t="str">
        <f>IF(Tabela17[[#This Row],[Código]]="IBOV","^BVSP",IF(Tabela17[[#This Row],[Código]]="","",CONCATENATE(LEFT(Tabela17[[#This Row],[Código]],6),".SA")))</f>
        <v/>
      </c>
      <c r="H107" s="56"/>
      <c r="J107" s="3">
        <f t="shared" si="9"/>
        <v>0</v>
      </c>
      <c r="K107" s="3">
        <f t="shared" si="9"/>
        <v>0</v>
      </c>
      <c r="L107" s="3">
        <f t="shared" si="9"/>
        <v>0</v>
      </c>
      <c r="M107" s="3">
        <f t="shared" si="9"/>
        <v>0</v>
      </c>
      <c r="P107" s="14"/>
      <c r="Q107" s="10" t="str">
        <f t="shared" si="6"/>
        <v/>
      </c>
      <c r="R107" s="56" t="str">
        <f t="shared" si="7"/>
        <v/>
      </c>
      <c r="S107" s="5">
        <f t="shared" si="10"/>
        <v>0</v>
      </c>
      <c r="T107" s="5">
        <f t="shared" si="10"/>
        <v>0</v>
      </c>
      <c r="U107" s="5">
        <f t="shared" si="10"/>
        <v>0</v>
      </c>
      <c r="V107" s="5">
        <f t="shared" si="10"/>
        <v>0</v>
      </c>
    </row>
    <row r="108" spans="1:22" x14ac:dyDescent="0.2">
      <c r="A108" s="35" t="str">
        <f>IF(Tabela17[[#This Row],[Código]]="IBOV","^BVSP",IF(Tabela17[[#This Row],[Código]]="","",CONCATENATE(LEFT(Tabela17[[#This Row],[Código]],6),".SA")))</f>
        <v/>
      </c>
      <c r="H108" s="56"/>
      <c r="J108" s="3">
        <f t="shared" si="9"/>
        <v>0</v>
      </c>
      <c r="K108" s="3">
        <f t="shared" si="9"/>
        <v>0</v>
      </c>
      <c r="L108" s="3">
        <f t="shared" si="9"/>
        <v>0</v>
      </c>
      <c r="M108" s="3">
        <f t="shared" si="9"/>
        <v>0</v>
      </c>
      <c r="P108" s="14"/>
      <c r="Q108" s="10" t="str">
        <f t="shared" si="6"/>
        <v/>
      </c>
      <c r="R108" s="56" t="str">
        <f t="shared" si="7"/>
        <v/>
      </c>
      <c r="S108" s="5">
        <f t="shared" si="10"/>
        <v>0</v>
      </c>
      <c r="T108" s="5">
        <f t="shared" si="10"/>
        <v>0</v>
      </c>
      <c r="U108" s="5">
        <f t="shared" si="10"/>
        <v>0</v>
      </c>
      <c r="V108" s="5">
        <f t="shared" si="10"/>
        <v>0</v>
      </c>
    </row>
    <row r="109" spans="1:22" x14ac:dyDescent="0.2">
      <c r="A109" s="35" t="str">
        <f>IF(Tabela17[[#This Row],[Código]]="IBOV","^BVSP",IF(Tabela17[[#This Row],[Código]]="","",CONCATENATE(LEFT(Tabela17[[#This Row],[Código]],6),".SA")))</f>
        <v/>
      </c>
      <c r="H109" s="56"/>
      <c r="J109" s="3">
        <f t="shared" si="9"/>
        <v>0</v>
      </c>
      <c r="K109" s="3">
        <f t="shared" si="9"/>
        <v>0</v>
      </c>
      <c r="L109" s="3">
        <f t="shared" si="9"/>
        <v>0</v>
      </c>
      <c r="M109" s="3">
        <f t="shared" si="9"/>
        <v>0</v>
      </c>
      <c r="P109" s="14"/>
      <c r="Q109" s="10" t="str">
        <f t="shared" si="6"/>
        <v/>
      </c>
      <c r="R109" s="56" t="str">
        <f t="shared" si="7"/>
        <v/>
      </c>
      <c r="S109" s="5">
        <f t="shared" si="10"/>
        <v>0</v>
      </c>
      <c r="T109" s="5">
        <f t="shared" si="10"/>
        <v>0</v>
      </c>
      <c r="U109" s="5">
        <f t="shared" si="10"/>
        <v>0</v>
      </c>
      <c r="V109" s="5">
        <f t="shared" si="10"/>
        <v>0</v>
      </c>
    </row>
    <row r="110" spans="1:22" x14ac:dyDescent="0.2">
      <c r="A110" s="35" t="str">
        <f>IF(Tabela17[[#This Row],[Código]]="IBOV","^BVSP",IF(Tabela17[[#This Row],[Código]]="","",CONCATENATE(LEFT(Tabela17[[#This Row],[Código]],6),".SA")))</f>
        <v/>
      </c>
      <c r="H110" s="56"/>
      <c r="J110" s="3">
        <f t="shared" si="9"/>
        <v>0</v>
      </c>
      <c r="K110" s="3">
        <f t="shared" si="9"/>
        <v>0</v>
      </c>
      <c r="L110" s="3">
        <f t="shared" si="9"/>
        <v>0</v>
      </c>
      <c r="M110" s="3">
        <f t="shared" si="9"/>
        <v>0</v>
      </c>
      <c r="P110" s="15"/>
      <c r="Q110" s="10" t="str">
        <f t="shared" si="6"/>
        <v/>
      </c>
      <c r="R110" s="56" t="str">
        <f t="shared" si="7"/>
        <v/>
      </c>
      <c r="S110" s="5">
        <f t="shared" si="10"/>
        <v>0</v>
      </c>
      <c r="T110" s="5">
        <f t="shared" si="10"/>
        <v>0</v>
      </c>
      <c r="U110" s="5">
        <f t="shared" si="10"/>
        <v>0</v>
      </c>
      <c r="V110" s="5">
        <f t="shared" si="10"/>
        <v>0</v>
      </c>
    </row>
    <row r="111" spans="1:22" x14ac:dyDescent="0.2">
      <c r="A111" s="35" t="str">
        <f>IF(Tabela17[[#This Row],[Código]]="IBOV","^BVSP",IF(Tabela17[[#This Row],[Código]]="","",CONCATENATE(LEFT(Tabela17[[#This Row],[Código]],6),".SA")))</f>
        <v/>
      </c>
      <c r="H111" s="56"/>
      <c r="J111" s="3">
        <f t="shared" si="9"/>
        <v>0</v>
      </c>
      <c r="K111" s="3">
        <f t="shared" si="9"/>
        <v>0</v>
      </c>
      <c r="L111" s="3">
        <f t="shared" si="9"/>
        <v>0</v>
      </c>
      <c r="M111" s="3">
        <f t="shared" si="9"/>
        <v>0</v>
      </c>
      <c r="P111" s="14"/>
      <c r="Q111" s="10" t="str">
        <f t="shared" si="6"/>
        <v/>
      </c>
      <c r="R111" s="56" t="str">
        <f t="shared" si="7"/>
        <v/>
      </c>
      <c r="S111" s="5">
        <f t="shared" si="10"/>
        <v>0</v>
      </c>
      <c r="T111" s="5">
        <f t="shared" si="10"/>
        <v>0</v>
      </c>
      <c r="U111" s="5">
        <f t="shared" si="10"/>
        <v>0</v>
      </c>
      <c r="V111" s="5">
        <f t="shared" si="10"/>
        <v>0</v>
      </c>
    </row>
    <row r="112" spans="1:22" x14ac:dyDescent="0.2">
      <c r="A112" s="35" t="str">
        <f>IF(Tabela17[[#This Row],[Código]]="IBOV","^BVSP",IF(Tabela17[[#This Row],[Código]]="","",CONCATENATE(LEFT(Tabela17[[#This Row],[Código]],6),".SA")))</f>
        <v/>
      </c>
      <c r="H112" s="56"/>
      <c r="J112" s="3">
        <f t="shared" si="9"/>
        <v>0</v>
      </c>
      <c r="K112" s="3">
        <f t="shared" si="9"/>
        <v>0</v>
      </c>
      <c r="L112" s="3">
        <f t="shared" si="9"/>
        <v>0</v>
      </c>
      <c r="M112" s="3">
        <f t="shared" si="9"/>
        <v>0</v>
      </c>
      <c r="Q112" s="10" t="str">
        <f t="shared" si="6"/>
        <v/>
      </c>
      <c r="R112" s="56" t="str">
        <f t="shared" si="7"/>
        <v/>
      </c>
      <c r="S112" s="5">
        <f t="shared" si="10"/>
        <v>0</v>
      </c>
      <c r="T112" s="5">
        <f t="shared" si="10"/>
        <v>0</v>
      </c>
      <c r="U112" s="5">
        <f t="shared" si="10"/>
        <v>0</v>
      </c>
      <c r="V112" s="5">
        <f t="shared" si="10"/>
        <v>0</v>
      </c>
    </row>
    <row r="113" spans="1:22" x14ac:dyDescent="0.2">
      <c r="A113" s="35"/>
      <c r="H113" s="56"/>
      <c r="J113" s="3">
        <f t="shared" si="9"/>
        <v>0</v>
      </c>
      <c r="K113" s="3">
        <f t="shared" si="9"/>
        <v>0</v>
      </c>
      <c r="L113" s="3">
        <f t="shared" si="9"/>
        <v>0</v>
      </c>
      <c r="M113" s="3">
        <f t="shared" si="9"/>
        <v>0</v>
      </c>
      <c r="Q113" s="10" t="str">
        <f t="shared" ref="Q113:Q131" si="11">IF(A117="","",C117)</f>
        <v/>
      </c>
      <c r="R113" s="56" t="str">
        <f t="shared" ref="R113:R131" si="12">IF(A117="","",H117)</f>
        <v/>
      </c>
      <c r="S113" s="5">
        <f t="shared" ref="S113:V131" si="13">J117</f>
        <v>0</v>
      </c>
      <c r="T113" s="5">
        <f t="shared" si="13"/>
        <v>0</v>
      </c>
      <c r="U113" s="5">
        <f t="shared" si="13"/>
        <v>0</v>
      </c>
      <c r="V113" s="5">
        <f t="shared" si="13"/>
        <v>0</v>
      </c>
    </row>
    <row r="114" spans="1:22" x14ac:dyDescent="0.2">
      <c r="A114" s="35"/>
      <c r="J114" s="3">
        <f t="shared" si="9"/>
        <v>0</v>
      </c>
      <c r="K114" s="3">
        <f>IF($A114="",0,VALUE(CONCATENATE(LEFT(E114,LEN(E114)-3),",",RIGHT(E114,2))))</f>
        <v>0</v>
      </c>
      <c r="L114" s="3">
        <f t="shared" si="9"/>
        <v>0</v>
      </c>
      <c r="M114" s="3">
        <f t="shared" si="9"/>
        <v>0</v>
      </c>
      <c r="Q114" s="10" t="str">
        <f t="shared" si="11"/>
        <v/>
      </c>
      <c r="R114" s="56" t="str">
        <f t="shared" si="12"/>
        <v/>
      </c>
      <c r="S114" s="5">
        <f t="shared" si="13"/>
        <v>0</v>
      </c>
      <c r="T114" s="5">
        <f t="shared" si="13"/>
        <v>0</v>
      </c>
      <c r="U114" s="5">
        <f t="shared" si="13"/>
        <v>0</v>
      </c>
      <c r="V114" s="5">
        <f t="shared" si="13"/>
        <v>0</v>
      </c>
    </row>
    <row r="115" spans="1:22" x14ac:dyDescent="0.2">
      <c r="A115" s="35"/>
      <c r="J115" s="3">
        <f t="shared" si="9"/>
        <v>0</v>
      </c>
      <c r="K115" s="3">
        <f t="shared" si="9"/>
        <v>0</v>
      </c>
      <c r="L115" s="3">
        <f t="shared" si="9"/>
        <v>0</v>
      </c>
      <c r="M115" s="3">
        <f t="shared" si="9"/>
        <v>0</v>
      </c>
      <c r="Q115" s="10" t="str">
        <f t="shared" si="11"/>
        <v/>
      </c>
      <c r="R115" s="56" t="str">
        <f t="shared" si="12"/>
        <v/>
      </c>
      <c r="S115" s="5">
        <f t="shared" si="13"/>
        <v>0</v>
      </c>
      <c r="T115" s="5">
        <f t="shared" si="13"/>
        <v>0</v>
      </c>
      <c r="U115" s="5">
        <f t="shared" si="13"/>
        <v>0</v>
      </c>
      <c r="V115" s="5">
        <f t="shared" si="13"/>
        <v>0</v>
      </c>
    </row>
    <row r="116" spans="1:22" x14ac:dyDescent="0.2">
      <c r="A116" s="35"/>
      <c r="J116" s="3">
        <f t="shared" si="9"/>
        <v>0</v>
      </c>
      <c r="K116" s="3">
        <f t="shared" si="9"/>
        <v>0</v>
      </c>
      <c r="L116" s="3">
        <f t="shared" si="9"/>
        <v>0</v>
      </c>
      <c r="M116" s="3">
        <f t="shared" si="9"/>
        <v>0</v>
      </c>
      <c r="Q116" s="10" t="str">
        <f t="shared" si="11"/>
        <v/>
      </c>
      <c r="R116" s="56" t="str">
        <f t="shared" si="12"/>
        <v/>
      </c>
      <c r="S116" s="5">
        <f t="shared" si="13"/>
        <v>0</v>
      </c>
      <c r="T116" s="5">
        <f t="shared" si="13"/>
        <v>0</v>
      </c>
      <c r="U116" s="5">
        <f t="shared" si="13"/>
        <v>0</v>
      </c>
      <c r="V116" s="5">
        <f t="shared" si="13"/>
        <v>0</v>
      </c>
    </row>
    <row r="117" spans="1:22" x14ac:dyDescent="0.2">
      <c r="A117" s="35"/>
      <c r="J117" s="3">
        <f t="shared" si="9"/>
        <v>0</v>
      </c>
      <c r="K117" s="3">
        <f t="shared" si="9"/>
        <v>0</v>
      </c>
      <c r="L117" s="3">
        <f t="shared" si="9"/>
        <v>0</v>
      </c>
      <c r="M117" s="3">
        <f t="shared" si="9"/>
        <v>0</v>
      </c>
      <c r="Q117" s="10" t="e">
        <f t="shared" si="11"/>
        <v>#VALUE!</v>
      </c>
      <c r="R117" s="56" t="e">
        <f t="shared" si="12"/>
        <v>#VALUE!</v>
      </c>
      <c r="S117" s="5" t="e">
        <f t="shared" si="13"/>
        <v>#VALUE!</v>
      </c>
      <c r="T117" s="5" t="e">
        <f t="shared" si="13"/>
        <v>#VALUE!</v>
      </c>
      <c r="U117" s="5" t="e">
        <f t="shared" si="13"/>
        <v>#VALUE!</v>
      </c>
      <c r="V117" s="5" t="e">
        <f t="shared" si="13"/>
        <v>#VALUE!</v>
      </c>
    </row>
    <row r="118" spans="1:22" x14ac:dyDescent="0.2">
      <c r="A118" s="35"/>
      <c r="J118" s="3">
        <f t="shared" si="9"/>
        <v>0</v>
      </c>
      <c r="K118" s="3">
        <f t="shared" si="9"/>
        <v>0</v>
      </c>
      <c r="L118" s="3">
        <f t="shared" si="9"/>
        <v>0</v>
      </c>
      <c r="M118" s="3">
        <f t="shared" si="9"/>
        <v>0</v>
      </c>
      <c r="Q118" s="10" t="e">
        <f t="shared" si="11"/>
        <v>#VALUE!</v>
      </c>
      <c r="R118" s="56" t="e">
        <f t="shared" si="12"/>
        <v>#VALUE!</v>
      </c>
      <c r="S118" s="5" t="e">
        <f t="shared" si="13"/>
        <v>#VALUE!</v>
      </c>
      <c r="T118" s="5" t="e">
        <f t="shared" si="13"/>
        <v>#VALUE!</v>
      </c>
      <c r="U118" s="5" t="e">
        <f t="shared" si="13"/>
        <v>#VALUE!</v>
      </c>
      <c r="V118" s="5" t="e">
        <f t="shared" si="13"/>
        <v>#VALUE!</v>
      </c>
    </row>
    <row r="119" spans="1:22" x14ac:dyDescent="0.2">
      <c r="A119" s="35"/>
      <c r="J119" s="3">
        <f t="shared" si="9"/>
        <v>0</v>
      </c>
      <c r="K119" s="3">
        <f t="shared" si="9"/>
        <v>0</v>
      </c>
      <c r="L119" s="3">
        <f t="shared" si="9"/>
        <v>0</v>
      </c>
      <c r="M119" s="3">
        <f t="shared" si="9"/>
        <v>0</v>
      </c>
      <c r="Q119" s="10" t="e">
        <f t="shared" si="11"/>
        <v>#VALUE!</v>
      </c>
      <c r="R119" s="56" t="e">
        <f t="shared" si="12"/>
        <v>#VALUE!</v>
      </c>
      <c r="S119" s="5" t="e">
        <f t="shared" si="13"/>
        <v>#VALUE!</v>
      </c>
      <c r="T119" s="5" t="e">
        <f t="shared" si="13"/>
        <v>#VALUE!</v>
      </c>
      <c r="U119" s="5" t="e">
        <f t="shared" si="13"/>
        <v>#VALUE!</v>
      </c>
      <c r="V119" s="5" t="e">
        <f t="shared" si="13"/>
        <v>#VALUE!</v>
      </c>
    </row>
    <row r="120" spans="1:22" x14ac:dyDescent="0.2">
      <c r="A120" s="35"/>
      <c r="J120" s="3">
        <f t="shared" si="9"/>
        <v>0</v>
      </c>
      <c r="K120" s="3">
        <f t="shared" si="9"/>
        <v>0</v>
      </c>
      <c r="L120" s="3">
        <f t="shared" si="9"/>
        <v>0</v>
      </c>
      <c r="M120" s="3">
        <f t="shared" si="9"/>
        <v>0</v>
      </c>
      <c r="Q120" s="10" t="e">
        <f t="shared" si="11"/>
        <v>#VALUE!</v>
      </c>
      <c r="R120" s="56" t="e">
        <f t="shared" si="12"/>
        <v>#VALUE!</v>
      </c>
      <c r="S120" s="5" t="e">
        <f t="shared" si="13"/>
        <v>#VALUE!</v>
      </c>
      <c r="T120" s="5" t="e">
        <f t="shared" si="13"/>
        <v>#VALUE!</v>
      </c>
      <c r="U120" s="5" t="e">
        <f t="shared" si="13"/>
        <v>#VALUE!</v>
      </c>
      <c r="V120" s="5" t="e">
        <f t="shared" si="13"/>
        <v>#VALUE!</v>
      </c>
    </row>
    <row r="121" spans="1:22" x14ac:dyDescent="0.2">
      <c r="A121" s="35" t="e">
        <f>IF(Tabela17[[#This Row],[Código]]="IBOV","^BVSP",IF(Tabela17[[#This Row],[Código]]="","",CONCATENATE(LEFT(Tabela17[[#This Row],[Código]],6),".SA")))</f>
        <v>#VALUE!</v>
      </c>
      <c r="J121" s="3" t="e">
        <f t="shared" si="9"/>
        <v>#VALUE!</v>
      </c>
      <c r="K121" s="3" t="e">
        <f t="shared" si="9"/>
        <v>#VALUE!</v>
      </c>
      <c r="L121" s="3" t="e">
        <f t="shared" si="9"/>
        <v>#VALUE!</v>
      </c>
      <c r="M121" s="3" t="e">
        <f t="shared" si="9"/>
        <v>#VALUE!</v>
      </c>
      <c r="Q121" s="10" t="e">
        <f t="shared" si="11"/>
        <v>#VALUE!</v>
      </c>
      <c r="R121" s="56" t="e">
        <f t="shared" si="12"/>
        <v>#VALUE!</v>
      </c>
      <c r="S121" s="5" t="e">
        <f t="shared" si="13"/>
        <v>#VALUE!</v>
      </c>
      <c r="T121" s="5" t="e">
        <f t="shared" si="13"/>
        <v>#VALUE!</v>
      </c>
      <c r="U121" s="5" t="e">
        <f t="shared" si="13"/>
        <v>#VALUE!</v>
      </c>
      <c r="V121" s="5" t="e">
        <f t="shared" si="13"/>
        <v>#VALUE!</v>
      </c>
    </row>
    <row r="122" spans="1:22" x14ac:dyDescent="0.2">
      <c r="A122" s="35" t="e">
        <f>IF(Tabela17[[#This Row],[Código]]="IBOV","^BVSP",IF(Tabela17[[#This Row],[Código]]="","",CONCATENATE(LEFT(Tabela17[[#This Row],[Código]],6),".SA")))</f>
        <v>#VALUE!</v>
      </c>
      <c r="J122" s="3" t="e">
        <f t="shared" si="9"/>
        <v>#VALUE!</v>
      </c>
      <c r="K122" s="3" t="e">
        <f t="shared" si="9"/>
        <v>#VALUE!</v>
      </c>
      <c r="L122" s="3" t="e">
        <f t="shared" si="9"/>
        <v>#VALUE!</v>
      </c>
      <c r="M122" s="3" t="e">
        <f t="shared" si="9"/>
        <v>#VALUE!</v>
      </c>
      <c r="Q122" s="10" t="e">
        <f t="shared" si="11"/>
        <v>#VALUE!</v>
      </c>
      <c r="R122" s="56" t="e">
        <f t="shared" si="12"/>
        <v>#VALUE!</v>
      </c>
      <c r="S122" s="5" t="e">
        <f t="shared" si="13"/>
        <v>#VALUE!</v>
      </c>
      <c r="T122" s="5" t="e">
        <f t="shared" si="13"/>
        <v>#VALUE!</v>
      </c>
      <c r="U122" s="5" t="e">
        <f t="shared" si="13"/>
        <v>#VALUE!</v>
      </c>
      <c r="V122" s="5" t="e">
        <f t="shared" si="13"/>
        <v>#VALUE!</v>
      </c>
    </row>
    <row r="123" spans="1:22" x14ac:dyDescent="0.2">
      <c r="A123" s="35" t="e">
        <f>IF(Tabela17[[#This Row],[Código]]="IBOV","^BVSP",IF(Tabela17[[#This Row],[Código]]="","",CONCATENATE(LEFT(Tabela17[[#This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9"/>
        <v>#VALUE!</v>
      </c>
      <c r="L123" s="3" t="e">
        <f t="shared" si="9"/>
        <v>#VALUE!</v>
      </c>
      <c r="M123" s="3" t="e">
        <f t="shared" si="9"/>
        <v>#VALUE!</v>
      </c>
      <c r="Q123" s="10" t="e">
        <f t="shared" si="11"/>
        <v>#VALUE!</v>
      </c>
      <c r="R123" s="56" t="e">
        <f t="shared" si="12"/>
        <v>#VALUE!</v>
      </c>
      <c r="S123" s="5" t="e">
        <f t="shared" si="13"/>
        <v>#VALUE!</v>
      </c>
      <c r="T123" s="5" t="e">
        <f t="shared" si="13"/>
        <v>#VALUE!</v>
      </c>
      <c r="U123" s="5" t="e">
        <f t="shared" si="13"/>
        <v>#VALUE!</v>
      </c>
      <c r="V123" s="5" t="e">
        <f t="shared" si="13"/>
        <v>#VALUE!</v>
      </c>
    </row>
    <row r="124" spans="1:22" x14ac:dyDescent="0.2">
      <c r="A124" s="35" t="e">
        <f>IF(Tabela17[[#This Row],[Código]]="IBOV","^BVSP",IF(Tabela17[[#This Row],[Código]]="","",CONCATENATE(LEFT(Tabela17[[#This Row],[Código]],6),".SA")))</f>
        <v>#VALUE!</v>
      </c>
      <c r="J124" s="3" t="e">
        <f t="shared" si="9"/>
        <v>#VALUE!</v>
      </c>
      <c r="K124" s="3" t="e">
        <f t="shared" si="9"/>
        <v>#VALUE!</v>
      </c>
      <c r="L124" s="3" t="e">
        <f t="shared" si="9"/>
        <v>#VALUE!</v>
      </c>
      <c r="M124" s="3" t="e">
        <f t="shared" si="9"/>
        <v>#VALUE!</v>
      </c>
      <c r="Q124" s="10" t="e">
        <f t="shared" si="11"/>
        <v>#VALUE!</v>
      </c>
      <c r="R124" s="56" t="e">
        <f t="shared" si="12"/>
        <v>#VALUE!</v>
      </c>
      <c r="S124" s="5" t="e">
        <f t="shared" si="13"/>
        <v>#VALUE!</v>
      </c>
      <c r="T124" s="5" t="e">
        <f t="shared" si="13"/>
        <v>#VALUE!</v>
      </c>
      <c r="U124" s="5" t="e">
        <f t="shared" si="13"/>
        <v>#VALUE!</v>
      </c>
      <c r="V124" s="5" t="e">
        <f t="shared" si="13"/>
        <v>#VALUE!</v>
      </c>
    </row>
    <row r="125" spans="1:22" x14ac:dyDescent="0.2">
      <c r="A125" s="35" t="e">
        <f>IF(Tabela17[[#This Row],[Código]]="IBOV","^BVSP",IF(Tabela17[[#This Row],[Código]]="","",CONCATENATE(LEFT(Tabela17[[#This Row],[Código]],6),".SA")))</f>
        <v>#VALUE!</v>
      </c>
      <c r="J125" s="3" t="e">
        <f t="shared" si="9"/>
        <v>#VALUE!</v>
      </c>
      <c r="K125" s="3" t="e">
        <f t="shared" si="9"/>
        <v>#VALUE!</v>
      </c>
      <c r="L125" s="3" t="e">
        <f t="shared" si="9"/>
        <v>#VALUE!</v>
      </c>
      <c r="M125" s="3" t="e">
        <f t="shared" si="9"/>
        <v>#VALUE!</v>
      </c>
      <c r="Q125" s="10" t="e">
        <f t="shared" si="11"/>
        <v>#VALUE!</v>
      </c>
      <c r="R125" s="56" t="e">
        <f t="shared" si="12"/>
        <v>#VALUE!</v>
      </c>
      <c r="S125" s="5" t="e">
        <f t="shared" si="13"/>
        <v>#VALUE!</v>
      </c>
      <c r="T125" s="5" t="e">
        <f t="shared" si="13"/>
        <v>#VALUE!</v>
      </c>
      <c r="U125" s="5" t="e">
        <f t="shared" si="13"/>
        <v>#VALUE!</v>
      </c>
      <c r="V125" s="5" t="e">
        <f t="shared" si="13"/>
        <v>#VALUE!</v>
      </c>
    </row>
    <row r="126" spans="1:22" x14ac:dyDescent="0.2">
      <c r="A126" s="35" t="e">
        <f>IF(Tabela17[[#This Row],[Código]]="IBOV","^BVSP",IF(Tabela17[[#This Row],[Código]]="","",CONCATENATE(LEFT(Tabela17[[#This Row],[Código]],6),".SA")))</f>
        <v>#VALUE!</v>
      </c>
      <c r="J126" s="3" t="e">
        <f t="shared" si="9"/>
        <v>#VALUE!</v>
      </c>
      <c r="K126" s="3" t="e">
        <f t="shared" si="9"/>
        <v>#VALUE!</v>
      </c>
      <c r="L126" s="3" t="e">
        <f t="shared" si="9"/>
        <v>#VALUE!</v>
      </c>
      <c r="M126" s="3" t="e">
        <f t="shared" si="9"/>
        <v>#VALUE!</v>
      </c>
      <c r="Q126" s="10" t="e">
        <f t="shared" si="11"/>
        <v>#VALUE!</v>
      </c>
      <c r="R126" s="56" t="e">
        <f t="shared" si="12"/>
        <v>#VALUE!</v>
      </c>
      <c r="S126" s="5" t="e">
        <f t="shared" si="13"/>
        <v>#VALUE!</v>
      </c>
      <c r="T126" s="5" t="e">
        <f t="shared" si="13"/>
        <v>#VALUE!</v>
      </c>
      <c r="U126" s="5" t="e">
        <f t="shared" si="13"/>
        <v>#VALUE!</v>
      </c>
      <c r="V126" s="5" t="e">
        <f t="shared" si="13"/>
        <v>#VALUE!</v>
      </c>
    </row>
    <row r="127" spans="1:22" x14ac:dyDescent="0.2">
      <c r="A127" s="35" t="e">
        <f>IF(Tabela17[[#This Row],[Código]]="IBOV","^BVSP",IF(Tabela17[[#This Row],[Código]]="","",CONCATENATE(LEFT(Tabela17[[#This Row],[Código]],6),".SA")))</f>
        <v>#VALUE!</v>
      </c>
      <c r="J127" s="3" t="e">
        <f t="shared" si="9"/>
        <v>#VALUE!</v>
      </c>
      <c r="K127" s="3" t="e">
        <f t="shared" si="9"/>
        <v>#VALUE!</v>
      </c>
      <c r="L127" s="3" t="e">
        <f t="shared" si="9"/>
        <v>#VALUE!</v>
      </c>
      <c r="M127" s="3" t="e">
        <f t="shared" si="9"/>
        <v>#VALUE!</v>
      </c>
      <c r="Q127" s="10" t="e">
        <f t="shared" si="11"/>
        <v>#VALUE!</v>
      </c>
      <c r="R127" s="56" t="e">
        <f t="shared" si="12"/>
        <v>#VALUE!</v>
      </c>
      <c r="S127" s="5" t="e">
        <f t="shared" si="13"/>
        <v>#VALUE!</v>
      </c>
      <c r="T127" s="5" t="e">
        <f t="shared" si="13"/>
        <v>#VALUE!</v>
      </c>
      <c r="U127" s="5" t="e">
        <f t="shared" si="13"/>
        <v>#VALUE!</v>
      </c>
      <c r="V127" s="5" t="e">
        <f t="shared" si="13"/>
        <v>#VALUE!</v>
      </c>
    </row>
    <row r="128" spans="1:22" x14ac:dyDescent="0.2">
      <c r="A128" s="35" t="e">
        <f>IF(Tabela17[[#This Row],[Código]]="IBOV","^BVSP",IF(Tabela17[[#This Row],[Código]]="","",CONCATENATE(LEFT(Tabela17[[#This Row],[Código]],6),".SA")))</f>
        <v>#VALUE!</v>
      </c>
      <c r="J128" s="3" t="e">
        <f t="shared" si="9"/>
        <v>#VALUE!</v>
      </c>
      <c r="K128" s="3" t="e">
        <f t="shared" si="9"/>
        <v>#VALUE!</v>
      </c>
      <c r="L128" s="3" t="e">
        <f t="shared" si="9"/>
        <v>#VALUE!</v>
      </c>
      <c r="M128" s="3" t="e">
        <f t="shared" si="9"/>
        <v>#VALUE!</v>
      </c>
      <c r="Q128" s="10" t="e">
        <f t="shared" si="11"/>
        <v>#VALUE!</v>
      </c>
      <c r="R128" s="56" t="e">
        <f t="shared" si="12"/>
        <v>#VALUE!</v>
      </c>
      <c r="S128" s="5" t="e">
        <f t="shared" si="13"/>
        <v>#VALUE!</v>
      </c>
      <c r="T128" s="5" t="e">
        <f t="shared" si="13"/>
        <v>#VALUE!</v>
      </c>
      <c r="U128" s="5" t="e">
        <f t="shared" si="13"/>
        <v>#VALUE!</v>
      </c>
      <c r="V128" s="5" t="e">
        <f t="shared" si="13"/>
        <v>#VALUE!</v>
      </c>
    </row>
    <row r="129" spans="1:22" x14ac:dyDescent="0.2">
      <c r="A129" s="35" t="e">
        <f>IF(Tabela17[[#This Row],[Código]]="IBOV","^BVSP",IF(Tabela17[[#This Row],[Código]]="","",CONCATENATE(LEFT(Tabela17[[#This Row],[Código]],6),".SA")))</f>
        <v>#VALUE!</v>
      </c>
      <c r="J129" s="3" t="e">
        <f t="shared" si="9"/>
        <v>#VALUE!</v>
      </c>
      <c r="K129" s="3" t="e">
        <f t="shared" si="9"/>
        <v>#VALUE!</v>
      </c>
      <c r="L129" s="3" t="e">
        <f t="shared" si="9"/>
        <v>#VALUE!</v>
      </c>
      <c r="M129" s="3" t="e">
        <f t="shared" si="9"/>
        <v>#VALUE!</v>
      </c>
      <c r="P129" s="4"/>
      <c r="Q129" s="10" t="e">
        <f t="shared" si="11"/>
        <v>#VALUE!</v>
      </c>
      <c r="R129" s="56" t="e">
        <f t="shared" si="12"/>
        <v>#VALUE!</v>
      </c>
      <c r="S129" s="5" t="e">
        <f t="shared" si="13"/>
        <v>#VALUE!</v>
      </c>
      <c r="T129" s="5" t="e">
        <f t="shared" si="13"/>
        <v>#VALUE!</v>
      </c>
      <c r="U129" s="5" t="e">
        <f t="shared" si="13"/>
        <v>#VALUE!</v>
      </c>
      <c r="V129" s="5" t="e">
        <f t="shared" si="13"/>
        <v>#VALUE!</v>
      </c>
    </row>
    <row r="130" spans="1:22" x14ac:dyDescent="0.2">
      <c r="A130" s="35" t="e">
        <f>IF(Tabela17[[#This Row],[Código]]="IBOV","^BVSP",IF(Tabela17[[#This Row],[Código]]="","",CONCATENATE(LEFT(Tabela17[[#This Row],[Código]],6),".SA")))</f>
        <v>#VALUE!</v>
      </c>
      <c r="J130" s="3" t="e">
        <f t="shared" si="9"/>
        <v>#VALUE!</v>
      </c>
      <c r="K130" s="3" t="e">
        <f t="shared" si="9"/>
        <v>#VALUE!</v>
      </c>
      <c r="L130" s="3" t="e">
        <f t="shared" si="9"/>
        <v>#VALUE!</v>
      </c>
      <c r="M130" s="3" t="e">
        <f t="shared" si="9"/>
        <v>#VALUE!</v>
      </c>
      <c r="P130" s="10"/>
      <c r="Q130" s="10" t="str">
        <f t="shared" si="11"/>
        <v/>
      </c>
      <c r="R130" s="56" t="str">
        <f t="shared" si="12"/>
        <v/>
      </c>
      <c r="S130" s="5">
        <f t="shared" si="13"/>
        <v>0</v>
      </c>
      <c r="T130" s="5">
        <f t="shared" si="13"/>
        <v>0</v>
      </c>
      <c r="U130" s="5">
        <f t="shared" si="13"/>
        <v>0</v>
      </c>
      <c r="V130" s="5">
        <f t="shared" si="13"/>
        <v>0</v>
      </c>
    </row>
    <row r="131" spans="1:22" x14ac:dyDescent="0.2">
      <c r="A131" s="35" t="e">
        <f>IF(Tabela17[[#This Row],[Código]]="IBOV","^BVSP",IF(Tabela17[[#This Row],[Código]]="","",CONCATENATE(LEFT(Tabela17[[#This Row],[Código]],6),".SA")))</f>
        <v>#VALUE!</v>
      </c>
      <c r="J131" s="3" t="e">
        <f t="shared" si="9"/>
        <v>#VALUE!</v>
      </c>
      <c r="K131" s="3" t="e">
        <f t="shared" si="9"/>
        <v>#VALUE!</v>
      </c>
      <c r="L131" s="3" t="e">
        <f t="shared" si="9"/>
        <v>#VALUE!</v>
      </c>
      <c r="M131" s="3" t="e">
        <f t="shared" si="9"/>
        <v>#VALUE!</v>
      </c>
      <c r="Q131" s="10" t="str">
        <f t="shared" si="11"/>
        <v/>
      </c>
      <c r="R131" s="56" t="str">
        <f t="shared" si="12"/>
        <v/>
      </c>
      <c r="S131" s="5">
        <f t="shared" si="13"/>
        <v>0</v>
      </c>
      <c r="T131" s="5">
        <f t="shared" si="13"/>
        <v>0</v>
      </c>
      <c r="U131" s="5">
        <f t="shared" si="13"/>
        <v>0</v>
      </c>
      <c r="V131" s="5">
        <f t="shared" si="13"/>
        <v>0</v>
      </c>
    </row>
    <row r="132" spans="1:22" x14ac:dyDescent="0.2">
      <c r="A132" s="35" t="e">
        <f>IF(Tabela17[[#This Row],[Código]]="IBOV","^BVSP",IF(Tabela17[[#This Row],[Código]]="","",CONCATENATE(LEFT(Tabela17[[#This Row],[Código]],6),".SA")))</f>
        <v>#VALUE!</v>
      </c>
      <c r="J132" s="3" t="e">
        <f t="shared" si="9"/>
        <v>#VALUE!</v>
      </c>
      <c r="K132" s="3" t="e">
        <f t="shared" si="9"/>
        <v>#VALUE!</v>
      </c>
      <c r="L132" s="3" t="e">
        <f t="shared" si="9"/>
        <v>#VALUE!</v>
      </c>
      <c r="M132" s="3" t="e">
        <f t="shared" si="9"/>
        <v>#VALUE!</v>
      </c>
      <c r="P132" s="3" t="str">
        <f>IF([1]Patrimonio!C143="","",[1]Patrimonio!C143)</f>
        <v/>
      </c>
      <c r="Q132" s="3" t="str">
        <f t="shared" ref="Q132:Q158" si="14">IF(A148="","",C149)</f>
        <v/>
      </c>
      <c r="R132" s="56" t="str">
        <f t="shared" ref="R132:R158" si="15">IF(A148="","",H148)</f>
        <v/>
      </c>
      <c r="S132" s="5">
        <f t="shared" ref="S132:V147" si="16">J148</f>
        <v>0</v>
      </c>
      <c r="T132" s="5">
        <f t="shared" si="16"/>
        <v>0</v>
      </c>
      <c r="U132" s="5">
        <f t="shared" si="16"/>
        <v>0</v>
      </c>
      <c r="V132" s="5">
        <f t="shared" si="16"/>
        <v>0</v>
      </c>
    </row>
    <row r="133" spans="1:22" x14ac:dyDescent="0.2">
      <c r="A133" s="35" t="e">
        <f>IF(Tabela17[[#This Row],[Código]]="IBOV","^BVSP",IF(Tabela17[[#This Row],[Código]]="","",CONCATENATE(LEFT(Tabela17[[#This Row],[Código]],6),".SA")))</f>
        <v>#VALUE!</v>
      </c>
      <c r="J133" s="3" t="e">
        <f t="shared" si="9"/>
        <v>#VALUE!</v>
      </c>
      <c r="K133" s="3" t="e">
        <f t="shared" si="9"/>
        <v>#VALUE!</v>
      </c>
      <c r="L133" s="3" t="e">
        <f t="shared" si="9"/>
        <v>#VALUE!</v>
      </c>
      <c r="M133" s="3" t="e">
        <f t="shared" si="9"/>
        <v>#VALUE!</v>
      </c>
      <c r="P133" s="3" t="str">
        <f>IF([1]Patrimonio!C144="","",[1]Patrimonio!C144)</f>
        <v/>
      </c>
      <c r="Q133" s="3" t="str">
        <f t="shared" si="14"/>
        <v/>
      </c>
      <c r="R133" s="56" t="str">
        <f t="shared" si="15"/>
        <v/>
      </c>
      <c r="S133" s="5">
        <f t="shared" si="16"/>
        <v>0</v>
      </c>
      <c r="T133" s="5">
        <f t="shared" si="16"/>
        <v>0</v>
      </c>
      <c r="U133" s="5">
        <f t="shared" si="16"/>
        <v>0</v>
      </c>
      <c r="V133" s="5">
        <f t="shared" si="16"/>
        <v>0</v>
      </c>
    </row>
    <row r="134" spans="1:22" x14ac:dyDescent="0.2">
      <c r="A134" s="35"/>
      <c r="J134" s="3">
        <f t="shared" si="9"/>
        <v>0</v>
      </c>
      <c r="K134" s="3">
        <f t="shared" si="9"/>
        <v>0</v>
      </c>
      <c r="L134" s="3">
        <f t="shared" si="9"/>
        <v>0</v>
      </c>
      <c r="M134" s="3">
        <f t="shared" si="9"/>
        <v>0</v>
      </c>
      <c r="P134" s="3" t="str">
        <f>IF([1]Patrimonio!C145="","",[1]Patrimonio!C145)</f>
        <v/>
      </c>
      <c r="Q134" s="3" t="str">
        <f t="shared" si="14"/>
        <v/>
      </c>
      <c r="R134" s="56" t="str">
        <f t="shared" si="15"/>
        <v/>
      </c>
      <c r="S134" s="5">
        <f t="shared" si="16"/>
        <v>0</v>
      </c>
      <c r="T134" s="5">
        <f t="shared" si="16"/>
        <v>0</v>
      </c>
      <c r="U134" s="5">
        <f t="shared" si="16"/>
        <v>0</v>
      </c>
      <c r="V134" s="5">
        <f t="shared" si="16"/>
        <v>0</v>
      </c>
    </row>
    <row r="135" spans="1:22" x14ac:dyDescent="0.2">
      <c r="A135" s="35"/>
      <c r="J135" s="3">
        <f t="shared" si="9"/>
        <v>0</v>
      </c>
      <c r="K135" s="3">
        <f t="shared" si="9"/>
        <v>0</v>
      </c>
      <c r="L135" s="3">
        <f t="shared" si="9"/>
        <v>0</v>
      </c>
      <c r="M135" s="3">
        <f t="shared" si="9"/>
        <v>0</v>
      </c>
      <c r="P135" s="3" t="str">
        <f>IF([1]Patrimonio!C146="","",[1]Patrimonio!C146)</f>
        <v/>
      </c>
      <c r="Q135" s="3" t="str">
        <f t="shared" si="14"/>
        <v/>
      </c>
      <c r="R135" s="56" t="str">
        <f t="shared" si="15"/>
        <v/>
      </c>
      <c r="S135" s="5">
        <f t="shared" si="16"/>
        <v>0</v>
      </c>
      <c r="T135" s="5">
        <f t="shared" si="16"/>
        <v>0</v>
      </c>
      <c r="U135" s="5">
        <f t="shared" si="16"/>
        <v>0</v>
      </c>
      <c r="V135" s="5">
        <f t="shared" si="16"/>
        <v>0</v>
      </c>
    </row>
    <row r="136" spans="1:22" x14ac:dyDescent="0.2">
      <c r="A136" s="35"/>
      <c r="J136" s="3">
        <f t="shared" ref="J136:M172" si="17">IF($A136="",0,VALUE(CONCATENATE(LEFT(D136,LEN(D136)-3),",",RIGHT(D136,2))))</f>
        <v>0</v>
      </c>
      <c r="K136" s="3">
        <f t="shared" si="17"/>
        <v>0</v>
      </c>
      <c r="L136" s="3">
        <f t="shared" si="17"/>
        <v>0</v>
      </c>
      <c r="M136" s="3">
        <f t="shared" si="17"/>
        <v>0</v>
      </c>
      <c r="P136" s="3" t="str">
        <f>IF([1]Patrimonio!C147="","",[1]Patrimonio!C147)</f>
        <v/>
      </c>
      <c r="Q136" s="3" t="str">
        <f t="shared" si="14"/>
        <v/>
      </c>
      <c r="R136" s="56" t="str">
        <f t="shared" si="15"/>
        <v/>
      </c>
      <c r="S136" s="5">
        <f t="shared" si="16"/>
        <v>0</v>
      </c>
      <c r="T136" s="5">
        <f t="shared" si="16"/>
        <v>0</v>
      </c>
      <c r="U136" s="5">
        <f t="shared" si="16"/>
        <v>0</v>
      </c>
      <c r="V136" s="5">
        <f t="shared" si="16"/>
        <v>0</v>
      </c>
    </row>
    <row r="137" spans="1:22" x14ac:dyDescent="0.2">
      <c r="A137" s="35"/>
      <c r="J137" s="3">
        <f t="shared" si="17"/>
        <v>0</v>
      </c>
      <c r="K137" s="3">
        <f t="shared" si="17"/>
        <v>0</v>
      </c>
      <c r="L137" s="3">
        <f t="shared" si="17"/>
        <v>0</v>
      </c>
      <c r="M137" s="3">
        <f t="shared" si="17"/>
        <v>0</v>
      </c>
      <c r="P137" s="3" t="str">
        <f>IF([1]Patrimonio!C148="","",[1]Patrimonio!C148)</f>
        <v/>
      </c>
      <c r="Q137" s="3" t="str">
        <f t="shared" si="14"/>
        <v/>
      </c>
      <c r="R137" s="56" t="str">
        <f t="shared" si="15"/>
        <v/>
      </c>
      <c r="S137" s="5">
        <f t="shared" si="16"/>
        <v>0</v>
      </c>
      <c r="T137" s="5">
        <f t="shared" si="16"/>
        <v>0</v>
      </c>
      <c r="U137" s="5">
        <f t="shared" si="16"/>
        <v>0</v>
      </c>
      <c r="V137" s="5">
        <f t="shared" si="16"/>
        <v>0</v>
      </c>
    </row>
    <row r="138" spans="1:22" x14ac:dyDescent="0.2">
      <c r="A138" s="35"/>
      <c r="J138" s="3">
        <f t="shared" si="17"/>
        <v>0</v>
      </c>
      <c r="K138" s="3">
        <f t="shared" si="17"/>
        <v>0</v>
      </c>
      <c r="L138" s="3">
        <f t="shared" si="17"/>
        <v>0</v>
      </c>
      <c r="M138" s="3">
        <f t="shared" si="17"/>
        <v>0</v>
      </c>
      <c r="P138" s="3" t="str">
        <f>IF([1]Patrimonio!C149="","",[1]Patrimonio!C149)</f>
        <v/>
      </c>
      <c r="Q138" s="3" t="str">
        <f t="shared" si="14"/>
        <v/>
      </c>
      <c r="R138" s="56" t="str">
        <f t="shared" si="15"/>
        <v/>
      </c>
      <c r="S138" s="5">
        <f t="shared" si="16"/>
        <v>0</v>
      </c>
      <c r="T138" s="5">
        <f t="shared" si="16"/>
        <v>0</v>
      </c>
      <c r="U138" s="5">
        <f t="shared" si="16"/>
        <v>0</v>
      </c>
      <c r="V138" s="5">
        <f t="shared" si="16"/>
        <v>0</v>
      </c>
    </row>
    <row r="139" spans="1:22" x14ac:dyDescent="0.2">
      <c r="A139" s="35"/>
      <c r="J139" s="3">
        <f t="shared" si="17"/>
        <v>0</v>
      </c>
      <c r="K139" s="3">
        <f t="shared" si="17"/>
        <v>0</v>
      </c>
      <c r="L139" s="3">
        <f t="shared" si="17"/>
        <v>0</v>
      </c>
      <c r="M139" s="3">
        <f t="shared" si="17"/>
        <v>0</v>
      </c>
      <c r="P139" s="3" t="str">
        <f>IF([1]Patrimonio!C150="","",[1]Patrimonio!C150)</f>
        <v/>
      </c>
      <c r="Q139" s="3" t="str">
        <f t="shared" si="14"/>
        <v/>
      </c>
      <c r="R139" s="56" t="str">
        <f t="shared" si="15"/>
        <v/>
      </c>
      <c r="S139" s="5">
        <f t="shared" si="16"/>
        <v>0</v>
      </c>
      <c r="T139" s="5">
        <f t="shared" si="16"/>
        <v>0</v>
      </c>
      <c r="U139" s="5">
        <f t="shared" si="16"/>
        <v>0</v>
      </c>
      <c r="V139" s="5">
        <f t="shared" si="16"/>
        <v>0</v>
      </c>
    </row>
    <row r="140" spans="1:22" x14ac:dyDescent="0.2">
      <c r="A140" s="35"/>
      <c r="J140" s="3">
        <f t="shared" si="17"/>
        <v>0</v>
      </c>
      <c r="K140" s="3">
        <f t="shared" si="17"/>
        <v>0</v>
      </c>
      <c r="L140" s="3">
        <f t="shared" si="17"/>
        <v>0</v>
      </c>
      <c r="M140" s="3">
        <f t="shared" si="17"/>
        <v>0</v>
      </c>
      <c r="P140" s="3" t="str">
        <f>IF([1]Patrimonio!C151="","",[1]Patrimonio!C151)</f>
        <v/>
      </c>
      <c r="Q140" s="3" t="str">
        <f t="shared" si="14"/>
        <v/>
      </c>
      <c r="R140" s="56" t="str">
        <f t="shared" si="15"/>
        <v/>
      </c>
      <c r="S140" s="5">
        <f t="shared" si="16"/>
        <v>0</v>
      </c>
      <c r="T140" s="5">
        <f t="shared" si="16"/>
        <v>0</v>
      </c>
      <c r="U140" s="5">
        <f t="shared" si="16"/>
        <v>0</v>
      </c>
      <c r="V140" s="5">
        <f t="shared" si="16"/>
        <v>0</v>
      </c>
    </row>
    <row r="141" spans="1:22" x14ac:dyDescent="0.2">
      <c r="A141" s="35"/>
      <c r="J141" s="3">
        <f t="shared" si="17"/>
        <v>0</v>
      </c>
      <c r="K141" s="3">
        <f t="shared" si="17"/>
        <v>0</v>
      </c>
      <c r="L141" s="3">
        <f t="shared" si="17"/>
        <v>0</v>
      </c>
      <c r="M141" s="3">
        <f t="shared" si="17"/>
        <v>0</v>
      </c>
      <c r="P141" s="3" t="str">
        <f>IF([1]Patrimonio!C152="","",[1]Patrimonio!C152)</f>
        <v/>
      </c>
      <c r="Q141" s="3" t="str">
        <f t="shared" si="14"/>
        <v/>
      </c>
      <c r="R141" s="56" t="str">
        <f t="shared" si="15"/>
        <v/>
      </c>
      <c r="S141" s="5">
        <f t="shared" si="16"/>
        <v>0</v>
      </c>
      <c r="T141" s="5">
        <f t="shared" si="16"/>
        <v>0</v>
      </c>
      <c r="U141" s="5">
        <f t="shared" si="16"/>
        <v>0</v>
      </c>
      <c r="V141" s="5">
        <f t="shared" si="16"/>
        <v>0</v>
      </c>
    </row>
    <row r="142" spans="1:22" x14ac:dyDescent="0.2">
      <c r="A142" s="35"/>
      <c r="J142" s="3">
        <f t="shared" si="17"/>
        <v>0</v>
      </c>
      <c r="K142" s="3">
        <f t="shared" si="17"/>
        <v>0</v>
      </c>
      <c r="L142" s="3">
        <f t="shared" si="17"/>
        <v>0</v>
      </c>
      <c r="M142" s="3">
        <f t="shared" si="17"/>
        <v>0</v>
      </c>
      <c r="P142" s="3" t="str">
        <f>IF([1]Patrimonio!C153="","",[1]Patrimonio!C153)</f>
        <v/>
      </c>
      <c r="Q142" s="3" t="str">
        <f t="shared" si="14"/>
        <v/>
      </c>
      <c r="R142" s="56" t="str">
        <f t="shared" si="15"/>
        <v/>
      </c>
      <c r="S142" s="5">
        <f t="shared" si="16"/>
        <v>0</v>
      </c>
      <c r="T142" s="5">
        <f t="shared" si="16"/>
        <v>0</v>
      </c>
      <c r="U142" s="5">
        <f t="shared" si="16"/>
        <v>0</v>
      </c>
      <c r="V142" s="5">
        <f t="shared" si="16"/>
        <v>0</v>
      </c>
    </row>
    <row r="143" spans="1:22" x14ac:dyDescent="0.2">
      <c r="A143" s="35"/>
      <c r="J143" s="3">
        <f t="shared" si="17"/>
        <v>0</v>
      </c>
      <c r="K143" s="3">
        <f t="shared" si="17"/>
        <v>0</v>
      </c>
      <c r="L143" s="3">
        <f t="shared" si="17"/>
        <v>0</v>
      </c>
      <c r="M143" s="3">
        <f t="shared" si="17"/>
        <v>0</v>
      </c>
      <c r="P143" s="3" t="str">
        <f>IF([1]Patrimonio!C154="","",[1]Patrimonio!C154)</f>
        <v/>
      </c>
      <c r="Q143" s="3" t="str">
        <f t="shared" si="14"/>
        <v/>
      </c>
      <c r="R143" s="56" t="str">
        <f t="shared" si="15"/>
        <v/>
      </c>
      <c r="S143" s="5">
        <f t="shared" si="16"/>
        <v>0</v>
      </c>
      <c r="T143" s="5">
        <f t="shared" si="16"/>
        <v>0</v>
      </c>
      <c r="U143" s="5">
        <f t="shared" si="16"/>
        <v>0</v>
      </c>
      <c r="V143" s="5">
        <f t="shared" si="16"/>
        <v>0</v>
      </c>
    </row>
    <row r="144" spans="1:22" x14ac:dyDescent="0.2">
      <c r="A144" s="35"/>
      <c r="J144" s="3">
        <f t="shared" si="17"/>
        <v>0</v>
      </c>
      <c r="K144" s="3">
        <f t="shared" si="17"/>
        <v>0</v>
      </c>
      <c r="L144" s="3">
        <f t="shared" si="17"/>
        <v>0</v>
      </c>
      <c r="M144" s="3">
        <f t="shared" si="17"/>
        <v>0</v>
      </c>
      <c r="P144" s="3" t="str">
        <f>IF([1]Patrimonio!C155="","",[1]Patrimonio!C155)</f>
        <v/>
      </c>
      <c r="Q144" s="3" t="str">
        <f t="shared" si="14"/>
        <v/>
      </c>
      <c r="R144" s="56" t="str">
        <f t="shared" si="15"/>
        <v/>
      </c>
      <c r="S144" s="5">
        <f t="shared" si="16"/>
        <v>0</v>
      </c>
      <c r="T144" s="5">
        <f t="shared" si="16"/>
        <v>0</v>
      </c>
      <c r="U144" s="5">
        <f t="shared" si="16"/>
        <v>0</v>
      </c>
      <c r="V144" s="5">
        <f t="shared" si="16"/>
        <v>0</v>
      </c>
    </row>
    <row r="145" spans="1:22" x14ac:dyDescent="0.2">
      <c r="A145" s="35"/>
      <c r="J145" s="3">
        <f t="shared" si="17"/>
        <v>0</v>
      </c>
      <c r="K145" s="3">
        <f t="shared" si="17"/>
        <v>0</v>
      </c>
      <c r="L145" s="3">
        <f t="shared" si="17"/>
        <v>0</v>
      </c>
      <c r="M145" s="3">
        <f t="shared" si="17"/>
        <v>0</v>
      </c>
      <c r="P145" s="3" t="str">
        <f>IF([1]Patrimonio!C156="","",[1]Patrimonio!C156)</f>
        <v/>
      </c>
      <c r="Q145" s="3" t="str">
        <f t="shared" si="14"/>
        <v/>
      </c>
      <c r="R145" s="56" t="str">
        <f t="shared" si="15"/>
        <v/>
      </c>
      <c r="S145" s="5">
        <f t="shared" si="16"/>
        <v>0</v>
      </c>
      <c r="T145" s="5">
        <f t="shared" si="16"/>
        <v>0</v>
      </c>
      <c r="U145" s="5">
        <f t="shared" si="16"/>
        <v>0</v>
      </c>
      <c r="V145" s="5">
        <f t="shared" si="16"/>
        <v>0</v>
      </c>
    </row>
    <row r="146" spans="1:22" x14ac:dyDescent="0.2">
      <c r="A146" s="35"/>
      <c r="J146" s="3">
        <f t="shared" si="17"/>
        <v>0</v>
      </c>
      <c r="K146" s="3">
        <f t="shared" si="17"/>
        <v>0</v>
      </c>
      <c r="L146" s="3">
        <f t="shared" si="17"/>
        <v>0</v>
      </c>
      <c r="M146" s="3">
        <f t="shared" si="17"/>
        <v>0</v>
      </c>
      <c r="P146" s="3" t="str">
        <f>IF([1]Patrimonio!C157="","",[1]Patrimonio!C157)</f>
        <v/>
      </c>
      <c r="Q146" s="3" t="str">
        <f t="shared" si="14"/>
        <v/>
      </c>
      <c r="R146" s="56" t="str">
        <f t="shared" si="15"/>
        <v/>
      </c>
      <c r="S146" s="5">
        <f t="shared" si="16"/>
        <v>0</v>
      </c>
      <c r="T146" s="5">
        <f t="shared" si="16"/>
        <v>0</v>
      </c>
      <c r="U146" s="5">
        <f t="shared" si="16"/>
        <v>0</v>
      </c>
      <c r="V146" s="5">
        <f t="shared" si="16"/>
        <v>0</v>
      </c>
    </row>
    <row r="147" spans="1:22" x14ac:dyDescent="0.2">
      <c r="A147" s="35"/>
      <c r="J147" s="3">
        <f t="shared" si="17"/>
        <v>0</v>
      </c>
      <c r="K147" s="3">
        <f t="shared" si="17"/>
        <v>0</v>
      </c>
      <c r="L147" s="3">
        <f t="shared" si="17"/>
        <v>0</v>
      </c>
      <c r="M147" s="3">
        <f t="shared" si="17"/>
        <v>0</v>
      </c>
      <c r="P147" s="3" t="str">
        <f>IF([1]Patrimonio!C158="","",[1]Patrimonio!C158)</f>
        <v/>
      </c>
      <c r="Q147" s="3" t="str">
        <f t="shared" si="14"/>
        <v/>
      </c>
      <c r="R147" s="56" t="str">
        <f t="shared" si="15"/>
        <v/>
      </c>
      <c r="S147" s="5">
        <f t="shared" si="16"/>
        <v>0</v>
      </c>
      <c r="T147" s="5">
        <f t="shared" si="16"/>
        <v>0</v>
      </c>
      <c r="U147" s="5">
        <f t="shared" si="16"/>
        <v>0</v>
      </c>
      <c r="V147" s="5">
        <f t="shared" si="16"/>
        <v>0</v>
      </c>
    </row>
    <row r="148" spans="1:22" x14ac:dyDescent="0.2">
      <c r="A148" s="35"/>
      <c r="J148" s="3">
        <f t="shared" si="17"/>
        <v>0</v>
      </c>
      <c r="K148" s="3">
        <f t="shared" si="17"/>
        <v>0</v>
      </c>
      <c r="L148" s="3">
        <f t="shared" si="17"/>
        <v>0</v>
      </c>
      <c r="M148" s="3">
        <f t="shared" si="17"/>
        <v>0</v>
      </c>
      <c r="P148" s="3" t="str">
        <f>IF([1]Patrimonio!C159="","",[1]Patrimonio!C159)</f>
        <v/>
      </c>
      <c r="Q148" s="3" t="str">
        <f t="shared" si="14"/>
        <v/>
      </c>
      <c r="R148" s="56" t="str">
        <f t="shared" si="15"/>
        <v/>
      </c>
      <c r="S148" s="5">
        <f t="shared" ref="S148:V158" si="18">J164</f>
        <v>0</v>
      </c>
      <c r="T148" s="5">
        <f t="shared" si="18"/>
        <v>0</v>
      </c>
      <c r="U148" s="5">
        <f t="shared" si="18"/>
        <v>0</v>
      </c>
      <c r="V148" s="5">
        <f t="shared" si="18"/>
        <v>0</v>
      </c>
    </row>
    <row r="149" spans="1:22" x14ac:dyDescent="0.2">
      <c r="A149" s="35"/>
      <c r="J149" s="3">
        <f t="shared" si="17"/>
        <v>0</v>
      </c>
      <c r="K149" s="3">
        <f t="shared" si="17"/>
        <v>0</v>
      </c>
      <c r="L149" s="3">
        <f t="shared" si="17"/>
        <v>0</v>
      </c>
      <c r="M149" s="3">
        <f t="shared" si="17"/>
        <v>0</v>
      </c>
      <c r="P149" s="3" t="str">
        <f>IF([1]Patrimonio!C160="","",[1]Patrimonio!C160)</f>
        <v/>
      </c>
      <c r="Q149" s="3" t="str">
        <f t="shared" si="14"/>
        <v/>
      </c>
      <c r="R149" s="56" t="str">
        <f t="shared" si="15"/>
        <v/>
      </c>
      <c r="S149" s="5">
        <f t="shared" si="18"/>
        <v>0</v>
      </c>
      <c r="T149" s="5">
        <f t="shared" si="18"/>
        <v>0</v>
      </c>
      <c r="U149" s="5">
        <f t="shared" si="18"/>
        <v>0</v>
      </c>
      <c r="V149" s="5">
        <f t="shared" si="18"/>
        <v>0</v>
      </c>
    </row>
    <row r="150" spans="1:22" x14ac:dyDescent="0.2">
      <c r="A150" s="35"/>
      <c r="J150" s="3">
        <f t="shared" si="17"/>
        <v>0</v>
      </c>
      <c r="K150" s="3">
        <f t="shared" si="17"/>
        <v>0</v>
      </c>
      <c r="L150" s="3">
        <f t="shared" si="17"/>
        <v>0</v>
      </c>
      <c r="M150" s="3">
        <f t="shared" si="17"/>
        <v>0</v>
      </c>
      <c r="P150" s="3" t="str">
        <f>IF([1]Patrimonio!C161="","",[1]Patrimonio!C161)</f>
        <v/>
      </c>
      <c r="Q150" s="3" t="str">
        <f t="shared" si="14"/>
        <v/>
      </c>
      <c r="R150" s="56" t="str">
        <f t="shared" si="15"/>
        <v/>
      </c>
      <c r="S150" s="5">
        <f t="shared" si="18"/>
        <v>0</v>
      </c>
      <c r="T150" s="5">
        <f t="shared" si="18"/>
        <v>0</v>
      </c>
      <c r="U150" s="5">
        <f t="shared" si="18"/>
        <v>0</v>
      </c>
      <c r="V150" s="5">
        <f t="shared" si="18"/>
        <v>0</v>
      </c>
    </row>
    <row r="151" spans="1:22" x14ac:dyDescent="0.2">
      <c r="A151" s="35"/>
      <c r="J151" s="3">
        <f t="shared" si="17"/>
        <v>0</v>
      </c>
      <c r="K151" s="3">
        <f t="shared" si="17"/>
        <v>0</v>
      </c>
      <c r="L151" s="3">
        <f t="shared" si="17"/>
        <v>0</v>
      </c>
      <c r="M151" s="3">
        <f t="shared" si="17"/>
        <v>0</v>
      </c>
      <c r="P151" s="3" t="str">
        <f>IF([1]Patrimonio!C162="","",[1]Patrimonio!C162)</f>
        <v/>
      </c>
      <c r="Q151" s="3" t="str">
        <f t="shared" si="14"/>
        <v/>
      </c>
      <c r="R151" s="56" t="str">
        <f t="shared" si="15"/>
        <v/>
      </c>
      <c r="S151" s="5">
        <f t="shared" si="18"/>
        <v>0</v>
      </c>
      <c r="T151" s="5">
        <f t="shared" si="18"/>
        <v>0</v>
      </c>
      <c r="U151" s="5">
        <f t="shared" si="18"/>
        <v>0</v>
      </c>
      <c r="V151" s="5">
        <f t="shared" si="18"/>
        <v>0</v>
      </c>
    </row>
    <row r="152" spans="1:22" x14ac:dyDescent="0.2">
      <c r="A152" s="35"/>
      <c r="J152" s="3">
        <f t="shared" si="17"/>
        <v>0</v>
      </c>
      <c r="K152" s="3">
        <f t="shared" si="17"/>
        <v>0</v>
      </c>
      <c r="L152" s="3">
        <f t="shared" si="17"/>
        <v>0</v>
      </c>
      <c r="M152" s="3">
        <f t="shared" si="17"/>
        <v>0</v>
      </c>
      <c r="P152" s="3" t="str">
        <f>IF([1]Patrimonio!C163="","",[1]Patrimonio!C163)</f>
        <v/>
      </c>
      <c r="Q152" s="3" t="str">
        <f t="shared" si="14"/>
        <v/>
      </c>
      <c r="R152" s="56" t="str">
        <f t="shared" si="15"/>
        <v/>
      </c>
      <c r="S152" s="5">
        <f t="shared" si="18"/>
        <v>0</v>
      </c>
      <c r="T152" s="5">
        <f t="shared" si="18"/>
        <v>0</v>
      </c>
      <c r="U152" s="5">
        <f t="shared" si="18"/>
        <v>0</v>
      </c>
      <c r="V152" s="5">
        <f t="shared" si="18"/>
        <v>0</v>
      </c>
    </row>
    <row r="153" spans="1:22" x14ac:dyDescent="0.2">
      <c r="A153" s="35"/>
      <c r="J153" s="3">
        <f t="shared" si="17"/>
        <v>0</v>
      </c>
      <c r="K153" s="3">
        <f t="shared" si="17"/>
        <v>0</v>
      </c>
      <c r="L153" s="3">
        <f t="shared" si="17"/>
        <v>0</v>
      </c>
      <c r="M153" s="3">
        <f t="shared" si="17"/>
        <v>0</v>
      </c>
      <c r="P153" s="3" t="str">
        <f>IF([1]Patrimonio!C164="","",[1]Patrimonio!C164)</f>
        <v/>
      </c>
      <c r="Q153" s="3" t="str">
        <f t="shared" si="14"/>
        <v/>
      </c>
      <c r="R153" s="56" t="str">
        <f t="shared" si="15"/>
        <v/>
      </c>
      <c r="S153" s="5">
        <f t="shared" si="18"/>
        <v>0</v>
      </c>
      <c r="T153" s="5">
        <f t="shared" si="18"/>
        <v>0</v>
      </c>
      <c r="U153" s="5">
        <f t="shared" si="18"/>
        <v>0</v>
      </c>
      <c r="V153" s="5">
        <f t="shared" si="18"/>
        <v>0</v>
      </c>
    </row>
    <row r="154" spans="1:22" x14ac:dyDescent="0.2">
      <c r="A154" s="35"/>
      <c r="J154" s="3">
        <f t="shared" si="17"/>
        <v>0</v>
      </c>
      <c r="K154" s="3">
        <f t="shared" si="17"/>
        <v>0</v>
      </c>
      <c r="L154" s="3">
        <f t="shared" si="17"/>
        <v>0</v>
      </c>
      <c r="M154" s="3">
        <f t="shared" si="17"/>
        <v>0</v>
      </c>
      <c r="P154" s="3" t="str">
        <f>IF([1]Patrimonio!C165="","",[1]Patrimonio!C165)</f>
        <v/>
      </c>
      <c r="Q154" s="3" t="str">
        <f t="shared" si="14"/>
        <v/>
      </c>
      <c r="R154" s="56" t="str">
        <f t="shared" si="15"/>
        <v/>
      </c>
      <c r="S154" s="5">
        <f t="shared" si="18"/>
        <v>0</v>
      </c>
      <c r="T154" s="5">
        <f t="shared" si="18"/>
        <v>0</v>
      </c>
      <c r="U154" s="5">
        <f t="shared" si="18"/>
        <v>0</v>
      </c>
      <c r="V154" s="5">
        <f t="shared" si="18"/>
        <v>0</v>
      </c>
    </row>
    <row r="155" spans="1:22" x14ac:dyDescent="0.2">
      <c r="A155" s="35"/>
      <c r="J155" s="3">
        <f t="shared" si="17"/>
        <v>0</v>
      </c>
      <c r="K155" s="3">
        <f t="shared" si="17"/>
        <v>0</v>
      </c>
      <c r="L155" s="3">
        <f t="shared" si="17"/>
        <v>0</v>
      </c>
      <c r="M155" s="3">
        <f t="shared" si="17"/>
        <v>0</v>
      </c>
      <c r="P155" s="3" t="str">
        <f>IF([1]Patrimonio!C166="","",[1]Patrimonio!C166)</f>
        <v/>
      </c>
      <c r="Q155" s="3" t="str">
        <f t="shared" si="14"/>
        <v/>
      </c>
      <c r="R155" s="56" t="str">
        <f t="shared" si="15"/>
        <v/>
      </c>
      <c r="S155" s="5">
        <f t="shared" si="18"/>
        <v>0</v>
      </c>
      <c r="T155" s="5">
        <f t="shared" si="18"/>
        <v>0</v>
      </c>
      <c r="U155" s="5">
        <f t="shared" si="18"/>
        <v>0</v>
      </c>
      <c r="V155" s="5">
        <f t="shared" si="18"/>
        <v>0</v>
      </c>
    </row>
    <row r="156" spans="1:22" x14ac:dyDescent="0.2">
      <c r="A156" s="35"/>
      <c r="J156" s="3">
        <f t="shared" si="17"/>
        <v>0</v>
      </c>
      <c r="K156" s="3">
        <f t="shared" si="17"/>
        <v>0</v>
      </c>
      <c r="L156" s="3">
        <f t="shared" si="17"/>
        <v>0</v>
      </c>
      <c r="M156" s="3">
        <f t="shared" si="17"/>
        <v>0</v>
      </c>
      <c r="P156" s="3" t="str">
        <f>IF([1]Patrimonio!C167="","",[1]Patrimonio!C167)</f>
        <v/>
      </c>
      <c r="Q156" s="3" t="str">
        <f t="shared" si="14"/>
        <v/>
      </c>
      <c r="R156" s="56" t="str">
        <f t="shared" si="15"/>
        <v/>
      </c>
      <c r="S156" s="5">
        <f t="shared" si="18"/>
        <v>0</v>
      </c>
      <c r="T156" s="5">
        <f t="shared" si="18"/>
        <v>0</v>
      </c>
      <c r="U156" s="5">
        <f t="shared" si="18"/>
        <v>0</v>
      </c>
      <c r="V156" s="5">
        <f t="shared" si="18"/>
        <v>0</v>
      </c>
    </row>
    <row r="157" spans="1:22" x14ac:dyDescent="0.2">
      <c r="A157" s="35"/>
      <c r="J157" s="3">
        <f t="shared" si="17"/>
        <v>0</v>
      </c>
      <c r="K157" s="3">
        <f t="shared" si="17"/>
        <v>0</v>
      </c>
      <c r="L157" s="3">
        <f t="shared" si="17"/>
        <v>0</v>
      </c>
      <c r="M157" s="3">
        <f t="shared" si="17"/>
        <v>0</v>
      </c>
      <c r="P157" s="3" t="str">
        <f>IF([1]Patrimonio!C168="","",[1]Patrimonio!C168)</f>
        <v/>
      </c>
      <c r="Q157" s="3" t="str">
        <f t="shared" si="14"/>
        <v/>
      </c>
      <c r="R157" s="56" t="str">
        <f t="shared" si="15"/>
        <v/>
      </c>
      <c r="S157" s="5">
        <f t="shared" si="18"/>
        <v>0</v>
      </c>
      <c r="T157" s="5">
        <f t="shared" si="18"/>
        <v>0</v>
      </c>
      <c r="U157" s="5">
        <f t="shared" si="18"/>
        <v>0</v>
      </c>
      <c r="V157" s="5">
        <f t="shared" si="18"/>
        <v>0</v>
      </c>
    </row>
    <row r="158" spans="1:22" x14ac:dyDescent="0.2">
      <c r="A158" s="35"/>
      <c r="J158" s="3">
        <f t="shared" si="17"/>
        <v>0</v>
      </c>
      <c r="K158" s="3">
        <f t="shared" si="17"/>
        <v>0</v>
      </c>
      <c r="L158" s="3">
        <f t="shared" si="17"/>
        <v>0</v>
      </c>
      <c r="M158" s="3">
        <f t="shared" si="17"/>
        <v>0</v>
      </c>
      <c r="P158" s="3" t="str">
        <f>IF([1]Patrimonio!C169="","",[1]Patrimonio!C169)</f>
        <v/>
      </c>
      <c r="Q158" s="3" t="str">
        <f t="shared" si="14"/>
        <v/>
      </c>
      <c r="R158" s="56" t="str">
        <f t="shared" si="15"/>
        <v/>
      </c>
      <c r="S158" s="5">
        <f t="shared" si="18"/>
        <v>0</v>
      </c>
      <c r="T158" s="5">
        <f t="shared" si="18"/>
        <v>0</v>
      </c>
      <c r="U158" s="5">
        <f t="shared" si="18"/>
        <v>0</v>
      </c>
      <c r="V158" s="5">
        <f t="shared" si="18"/>
        <v>0</v>
      </c>
    </row>
    <row r="159" spans="1:22" x14ac:dyDescent="0.2">
      <c r="A159" s="35"/>
      <c r="J159" s="3">
        <f t="shared" si="17"/>
        <v>0</v>
      </c>
      <c r="K159" s="3">
        <f t="shared" si="17"/>
        <v>0</v>
      </c>
      <c r="L159" s="3">
        <f t="shared" si="17"/>
        <v>0</v>
      </c>
      <c r="M159" s="3">
        <f t="shared" si="17"/>
        <v>0</v>
      </c>
    </row>
    <row r="160" spans="1:22" x14ac:dyDescent="0.2">
      <c r="A160" s="35"/>
      <c r="J160" s="3">
        <f t="shared" si="17"/>
        <v>0</v>
      </c>
      <c r="K160" s="3">
        <f t="shared" si="17"/>
        <v>0</v>
      </c>
      <c r="L160" s="3">
        <f t="shared" si="17"/>
        <v>0</v>
      </c>
      <c r="M160" s="3">
        <f t="shared" si="17"/>
        <v>0</v>
      </c>
    </row>
    <row r="161" spans="1:13" x14ac:dyDescent="0.2">
      <c r="A161" s="35"/>
      <c r="J161" s="3">
        <f t="shared" si="17"/>
        <v>0</v>
      </c>
      <c r="K161" s="3">
        <f t="shared" si="17"/>
        <v>0</v>
      </c>
      <c r="L161" s="3">
        <f t="shared" si="17"/>
        <v>0</v>
      </c>
      <c r="M161" s="3">
        <f t="shared" si="17"/>
        <v>0</v>
      </c>
    </row>
    <row r="162" spans="1:13" x14ac:dyDescent="0.2">
      <c r="A162" s="35"/>
      <c r="J162" s="3">
        <f t="shared" si="17"/>
        <v>0</v>
      </c>
      <c r="K162" s="3">
        <f t="shared" si="17"/>
        <v>0</v>
      </c>
      <c r="L162" s="3">
        <f t="shared" si="17"/>
        <v>0</v>
      </c>
      <c r="M162" s="3">
        <f t="shared" si="17"/>
        <v>0</v>
      </c>
    </row>
    <row r="163" spans="1:13" x14ac:dyDescent="0.2">
      <c r="A163" s="35"/>
      <c r="J163" s="3">
        <f t="shared" si="17"/>
        <v>0</v>
      </c>
      <c r="K163" s="3">
        <f t="shared" si="17"/>
        <v>0</v>
      </c>
      <c r="L163" s="3">
        <f t="shared" si="17"/>
        <v>0</v>
      </c>
      <c r="M163" s="3">
        <f t="shared" si="17"/>
        <v>0</v>
      </c>
    </row>
    <row r="164" spans="1:13" x14ac:dyDescent="0.2">
      <c r="A164" s="35"/>
      <c r="J164" s="3">
        <f t="shared" si="17"/>
        <v>0</v>
      </c>
      <c r="K164" s="3">
        <f t="shared" si="17"/>
        <v>0</v>
      </c>
      <c r="L164" s="3">
        <f t="shared" si="17"/>
        <v>0</v>
      </c>
      <c r="M164" s="3">
        <f t="shared" si="17"/>
        <v>0</v>
      </c>
    </row>
    <row r="165" spans="1:13" x14ac:dyDescent="0.2">
      <c r="A165" s="35"/>
      <c r="J165" s="3">
        <f t="shared" si="17"/>
        <v>0</v>
      </c>
      <c r="K165" s="3">
        <f t="shared" si="17"/>
        <v>0</v>
      </c>
      <c r="L165" s="3">
        <f t="shared" si="17"/>
        <v>0</v>
      </c>
      <c r="M165" s="3">
        <f t="shared" si="17"/>
        <v>0</v>
      </c>
    </row>
    <row r="166" spans="1:13" x14ac:dyDescent="0.2">
      <c r="A166" s="35"/>
      <c r="J166" s="3">
        <f t="shared" si="17"/>
        <v>0</v>
      </c>
      <c r="K166" s="3">
        <f t="shared" si="17"/>
        <v>0</v>
      </c>
      <c r="L166" s="3">
        <f t="shared" si="17"/>
        <v>0</v>
      </c>
      <c r="M166" s="3">
        <f t="shared" si="17"/>
        <v>0</v>
      </c>
    </row>
    <row r="167" spans="1:13" x14ac:dyDescent="0.2">
      <c r="A167" s="35"/>
      <c r="J167" s="3">
        <f t="shared" si="17"/>
        <v>0</v>
      </c>
      <c r="K167" s="3">
        <f t="shared" si="17"/>
        <v>0</v>
      </c>
      <c r="L167" s="3">
        <f t="shared" si="17"/>
        <v>0</v>
      </c>
      <c r="M167" s="3">
        <f t="shared" si="17"/>
        <v>0</v>
      </c>
    </row>
    <row r="168" spans="1:13" x14ac:dyDescent="0.2">
      <c r="A168" s="35"/>
      <c r="J168" s="3">
        <f t="shared" si="17"/>
        <v>0</v>
      </c>
      <c r="K168" s="3">
        <f t="shared" si="17"/>
        <v>0</v>
      </c>
      <c r="L168" s="3">
        <f t="shared" si="17"/>
        <v>0</v>
      </c>
      <c r="M168" s="3">
        <f t="shared" si="17"/>
        <v>0</v>
      </c>
    </row>
    <row r="169" spans="1:13" x14ac:dyDescent="0.2">
      <c r="A169" s="35"/>
      <c r="J169" s="3">
        <f t="shared" si="17"/>
        <v>0</v>
      </c>
      <c r="K169" s="3">
        <f t="shared" si="17"/>
        <v>0</v>
      </c>
      <c r="L169" s="3">
        <f t="shared" si="17"/>
        <v>0</v>
      </c>
      <c r="M169" s="3">
        <f t="shared" si="17"/>
        <v>0</v>
      </c>
    </row>
    <row r="170" spans="1:13" x14ac:dyDescent="0.2">
      <c r="A170" s="35"/>
      <c r="J170" s="3">
        <f t="shared" si="17"/>
        <v>0</v>
      </c>
      <c r="K170" s="3">
        <f t="shared" si="17"/>
        <v>0</v>
      </c>
      <c r="L170" s="3">
        <f t="shared" si="17"/>
        <v>0</v>
      </c>
      <c r="M170" s="3">
        <f t="shared" si="17"/>
        <v>0</v>
      </c>
    </row>
    <row r="171" spans="1:13" x14ac:dyDescent="0.2">
      <c r="A171" s="35"/>
      <c r="J171" s="3">
        <f t="shared" si="17"/>
        <v>0</v>
      </c>
      <c r="K171" s="3">
        <f t="shared" si="17"/>
        <v>0</v>
      </c>
      <c r="L171" s="3">
        <f t="shared" si="17"/>
        <v>0</v>
      </c>
      <c r="M171" s="3">
        <f t="shared" si="17"/>
        <v>0</v>
      </c>
    </row>
    <row r="172" spans="1:13" x14ac:dyDescent="0.2">
      <c r="A172" s="35"/>
      <c r="J172" s="3">
        <f t="shared" si="17"/>
        <v>0</v>
      </c>
      <c r="K172" s="3">
        <f t="shared" si="17"/>
        <v>0</v>
      </c>
      <c r="L172" s="3">
        <f t="shared" si="17"/>
        <v>0</v>
      </c>
      <c r="M172" s="3">
        <f t="shared" si="17"/>
        <v>0</v>
      </c>
    </row>
    <row r="173" spans="1:13" x14ac:dyDescent="0.2">
      <c r="A173" s="35"/>
    </row>
    <row r="174" spans="1:13" x14ac:dyDescent="0.2">
      <c r="A174" s="35"/>
    </row>
    <row r="175" spans="1:13" x14ac:dyDescent="0.2">
      <c r="A175" s="35"/>
    </row>
    <row r="176" spans="1:13" x14ac:dyDescent="0.2">
      <c r="A176" s="35"/>
    </row>
    <row r="177" spans="1:1" x14ac:dyDescent="0.2">
      <c r="A177" s="35"/>
    </row>
    <row r="178" spans="1:1" x14ac:dyDescent="0.2">
      <c r="A178" s="35"/>
    </row>
    <row r="179" spans="1:1" x14ac:dyDescent="0.2">
      <c r="A179" s="35"/>
    </row>
    <row r="180" spans="1:1" x14ac:dyDescent="0.2">
      <c r="A180" s="35"/>
    </row>
    <row r="181" spans="1:1" x14ac:dyDescent="0.2">
      <c r="A181" s="35"/>
    </row>
    <row r="182" spans="1:1" x14ac:dyDescent="0.2">
      <c r="A182" s="35"/>
    </row>
    <row r="183" spans="1:1" x14ac:dyDescent="0.2">
      <c r="A183" s="35"/>
    </row>
    <row r="184" spans="1:1" x14ac:dyDescent="0.2">
      <c r="A184" s="35"/>
    </row>
    <row r="185" spans="1:1" x14ac:dyDescent="0.2">
      <c r="A185" s="35"/>
    </row>
    <row r="186" spans="1:1" x14ac:dyDescent="0.2">
      <c r="A186" s="35"/>
    </row>
    <row r="187" spans="1:1" x14ac:dyDescent="0.2">
      <c r="A187" s="35"/>
    </row>
    <row r="188" spans="1:1" x14ac:dyDescent="0.2">
      <c r="A188" s="35"/>
    </row>
    <row r="189" spans="1:1" x14ac:dyDescent="0.2">
      <c r="A189" s="35"/>
    </row>
    <row r="190" spans="1:1" x14ac:dyDescent="0.2">
      <c r="A190" s="35"/>
    </row>
    <row r="191" spans="1:1" x14ac:dyDescent="0.2">
      <c r="A191" s="35"/>
    </row>
    <row r="192" spans="1:1" x14ac:dyDescent="0.2">
      <c r="A192" s="35"/>
    </row>
    <row r="193" spans="1:1" x14ac:dyDescent="0.2">
      <c r="A193" s="35"/>
    </row>
    <row r="194" spans="1:1" x14ac:dyDescent="0.2">
      <c r="A194" s="35"/>
    </row>
    <row r="195" spans="1:1" x14ac:dyDescent="0.2">
      <c r="A195" s="35"/>
    </row>
    <row r="196" spans="1:1" x14ac:dyDescent="0.2">
      <c r="A196" s="35"/>
    </row>
    <row r="197" spans="1:1" x14ac:dyDescent="0.2">
      <c r="A197" s="35"/>
    </row>
    <row r="198" spans="1:1" x14ac:dyDescent="0.2">
      <c r="A198" s="35"/>
    </row>
    <row r="199" spans="1:1" x14ac:dyDescent="0.2">
      <c r="A199" s="35"/>
    </row>
    <row r="200" spans="1:1" x14ac:dyDescent="0.2">
      <c r="A200" s="35"/>
    </row>
    <row r="201" spans="1:1" x14ac:dyDescent="0.2">
      <c r="A201" s="35"/>
    </row>
    <row r="202" spans="1:1" x14ac:dyDescent="0.2">
      <c r="A202" s="35"/>
    </row>
    <row r="203" spans="1:1" x14ac:dyDescent="0.2">
      <c r="A203" s="35"/>
    </row>
    <row r="204" spans="1:1" x14ac:dyDescent="0.2">
      <c r="A204" s="35"/>
    </row>
    <row r="205" spans="1:1" x14ac:dyDescent="0.2">
      <c r="A205" s="35"/>
    </row>
    <row r="206" spans="1:1" x14ac:dyDescent="0.2">
      <c r="A206" s="35"/>
    </row>
    <row r="207" spans="1:1" x14ac:dyDescent="0.2">
      <c r="A207" s="35"/>
    </row>
    <row r="208" spans="1:1" x14ac:dyDescent="0.2">
      <c r="A208" s="35"/>
    </row>
    <row r="209" spans="1:1" x14ac:dyDescent="0.2">
      <c r="A209" s="35"/>
    </row>
    <row r="210" spans="1:1" x14ac:dyDescent="0.2">
      <c r="A210" s="35"/>
    </row>
    <row r="211" spans="1:1" x14ac:dyDescent="0.2">
      <c r="A211" s="35"/>
    </row>
    <row r="212" spans="1:1" x14ac:dyDescent="0.2">
      <c r="A212" s="35"/>
    </row>
    <row r="213" spans="1:1" x14ac:dyDescent="0.2">
      <c r="A213" s="35"/>
    </row>
    <row r="214" spans="1:1" x14ac:dyDescent="0.2">
      <c r="A214" s="35"/>
    </row>
    <row r="215" spans="1:1" x14ac:dyDescent="0.2">
      <c r="A215" s="35"/>
    </row>
    <row r="216" spans="1:1" x14ac:dyDescent="0.2">
      <c r="A216" s="35"/>
    </row>
    <row r="217" spans="1:1" x14ac:dyDescent="0.2">
      <c r="A217" s="35"/>
    </row>
    <row r="218" spans="1:1" x14ac:dyDescent="0.2">
      <c r="A218" s="35"/>
    </row>
    <row r="219" spans="1:1" x14ac:dyDescent="0.2">
      <c r="A219" s="35"/>
    </row>
    <row r="220" spans="1:1" x14ac:dyDescent="0.2">
      <c r="A220" s="35"/>
    </row>
    <row r="221" spans="1:1" x14ac:dyDescent="0.2">
      <c r="A221" s="35"/>
    </row>
    <row r="222" spans="1:1" x14ac:dyDescent="0.2">
      <c r="A222" s="35"/>
    </row>
    <row r="223" spans="1:1" x14ac:dyDescent="0.2">
      <c r="A223" s="35"/>
    </row>
    <row r="224" spans="1:1" x14ac:dyDescent="0.2">
      <c r="A224" s="35"/>
    </row>
    <row r="225" spans="1:1" x14ac:dyDescent="0.2">
      <c r="A225" s="35"/>
    </row>
    <row r="226" spans="1:1" x14ac:dyDescent="0.2">
      <c r="A226" s="35"/>
    </row>
    <row r="227" spans="1:1" x14ac:dyDescent="0.2">
      <c r="A227" s="35"/>
    </row>
    <row r="228" spans="1:1" x14ac:dyDescent="0.2">
      <c r="A228" s="35"/>
    </row>
    <row r="229" spans="1:1" x14ac:dyDescent="0.2">
      <c r="A229" s="35"/>
    </row>
    <row r="230" spans="1:1" x14ac:dyDescent="0.2">
      <c r="A230" s="35"/>
    </row>
    <row r="231" spans="1:1" x14ac:dyDescent="0.2">
      <c r="A231" s="35"/>
    </row>
    <row r="232" spans="1:1" x14ac:dyDescent="0.2">
      <c r="A232" s="35"/>
    </row>
    <row r="233" spans="1:1" x14ac:dyDescent="0.2">
      <c r="A233" s="35"/>
    </row>
    <row r="234" spans="1:1" x14ac:dyDescent="0.2">
      <c r="A234" s="35"/>
    </row>
    <row r="235" spans="1:1" x14ac:dyDescent="0.2">
      <c r="A235" s="35"/>
    </row>
    <row r="236" spans="1:1" x14ac:dyDescent="0.2">
      <c r="A236" s="35"/>
    </row>
    <row r="237" spans="1:1" x14ac:dyDescent="0.2">
      <c r="A237" s="35"/>
    </row>
    <row r="238" spans="1:1" x14ac:dyDescent="0.2">
      <c r="A238" s="35"/>
    </row>
    <row r="239" spans="1:1" x14ac:dyDescent="0.2">
      <c r="A239" s="35"/>
    </row>
    <row r="240" spans="1:1" x14ac:dyDescent="0.2">
      <c r="A240" s="35"/>
    </row>
    <row r="241" spans="1:1" x14ac:dyDescent="0.2">
      <c r="A241" s="35"/>
    </row>
    <row r="242" spans="1:1" x14ac:dyDescent="0.2">
      <c r="A242" s="35"/>
    </row>
    <row r="243" spans="1:1" x14ac:dyDescent="0.2">
      <c r="A243" s="35"/>
    </row>
    <row r="244" spans="1:1" x14ac:dyDescent="0.2">
      <c r="A244" s="35"/>
    </row>
    <row r="245" spans="1:1" x14ac:dyDescent="0.2">
      <c r="A245" s="35"/>
    </row>
    <row r="246" spans="1:1" x14ac:dyDescent="0.2">
      <c r="A246" s="35"/>
    </row>
    <row r="247" spans="1:1" x14ac:dyDescent="0.2">
      <c r="A247" s="35"/>
    </row>
    <row r="248" spans="1:1" x14ac:dyDescent="0.2">
      <c r="A248" s="35"/>
    </row>
    <row r="249" spans="1:1" x14ac:dyDescent="0.2">
      <c r="A249" s="35"/>
    </row>
    <row r="250" spans="1:1" x14ac:dyDescent="0.2">
      <c r="A250" s="35"/>
    </row>
    <row r="251" spans="1:1" x14ac:dyDescent="0.2">
      <c r="A251" s="35"/>
    </row>
    <row r="252" spans="1:1" x14ac:dyDescent="0.2">
      <c r="A252" s="35"/>
    </row>
    <row r="253" spans="1:1" x14ac:dyDescent="0.2">
      <c r="A253" s="35"/>
    </row>
    <row r="254" spans="1:1" x14ac:dyDescent="0.2">
      <c r="A254" s="35"/>
    </row>
    <row r="255" spans="1:1" x14ac:dyDescent="0.2">
      <c r="A255" s="35"/>
    </row>
    <row r="256" spans="1:1" x14ac:dyDescent="0.2">
      <c r="A256" s="35"/>
    </row>
    <row r="257" spans="1:1" x14ac:dyDescent="0.2">
      <c r="A257" s="35"/>
    </row>
    <row r="258" spans="1:1" x14ac:dyDescent="0.2">
      <c r="A258" s="35"/>
    </row>
    <row r="259" spans="1:1" x14ac:dyDescent="0.2">
      <c r="A259" s="35"/>
    </row>
    <row r="260" spans="1:1" x14ac:dyDescent="0.2">
      <c r="A260" s="35"/>
    </row>
    <row r="261" spans="1:1" x14ac:dyDescent="0.2">
      <c r="A261" s="35"/>
    </row>
    <row r="262" spans="1:1" x14ac:dyDescent="0.2">
      <c r="A262" s="35"/>
    </row>
    <row r="263" spans="1:1" x14ac:dyDescent="0.2">
      <c r="A263" s="35"/>
    </row>
    <row r="264" spans="1:1" x14ac:dyDescent="0.2">
      <c r="A264" s="35"/>
    </row>
    <row r="265" spans="1:1" x14ac:dyDescent="0.2">
      <c r="A265" s="35"/>
    </row>
    <row r="266" spans="1:1" x14ac:dyDescent="0.2">
      <c r="A266" s="35"/>
    </row>
    <row r="267" spans="1:1" x14ac:dyDescent="0.2">
      <c r="A267" s="35"/>
    </row>
    <row r="268" spans="1:1" x14ac:dyDescent="0.2">
      <c r="A268" s="35"/>
    </row>
    <row r="269" spans="1:1" x14ac:dyDescent="0.2">
      <c r="A269" s="35"/>
    </row>
    <row r="270" spans="1:1" x14ac:dyDescent="0.2">
      <c r="A270" s="35"/>
    </row>
    <row r="271" spans="1:1" x14ac:dyDescent="0.2">
      <c r="A271" s="35"/>
    </row>
    <row r="272" spans="1:1" x14ac:dyDescent="0.2">
      <c r="A272" s="35"/>
    </row>
    <row r="273" spans="1:1" x14ac:dyDescent="0.2">
      <c r="A273" s="35"/>
    </row>
    <row r="274" spans="1:1" x14ac:dyDescent="0.2">
      <c r="A274" s="35"/>
    </row>
    <row r="275" spans="1:1" x14ac:dyDescent="0.2">
      <c r="A275" s="35"/>
    </row>
    <row r="276" spans="1:1" x14ac:dyDescent="0.2">
      <c r="A276" s="35"/>
    </row>
    <row r="277" spans="1:1" x14ac:dyDescent="0.2">
      <c r="A277" s="35"/>
    </row>
    <row r="278" spans="1:1" x14ac:dyDescent="0.2">
      <c r="A278" s="35"/>
    </row>
    <row r="279" spans="1:1" x14ac:dyDescent="0.2">
      <c r="A279" s="35"/>
    </row>
    <row r="280" spans="1:1" x14ac:dyDescent="0.2">
      <c r="A280" s="35"/>
    </row>
    <row r="281" spans="1:1" x14ac:dyDescent="0.2">
      <c r="A281" s="35"/>
    </row>
    <row r="282" spans="1:1" x14ac:dyDescent="0.2">
      <c r="A282" s="35"/>
    </row>
    <row r="283" spans="1:1" x14ac:dyDescent="0.2">
      <c r="A283" s="35"/>
    </row>
    <row r="284" spans="1:1" x14ac:dyDescent="0.2">
      <c r="A284" s="35"/>
    </row>
    <row r="285" spans="1:1" x14ac:dyDescent="0.2">
      <c r="A285" s="35"/>
    </row>
    <row r="286" spans="1:1" x14ac:dyDescent="0.2">
      <c r="A286" s="35"/>
    </row>
    <row r="287" spans="1:1" x14ac:dyDescent="0.2">
      <c r="A287" s="35"/>
    </row>
    <row r="288" spans="1:1" x14ac:dyDescent="0.2">
      <c r="A288" s="35"/>
    </row>
    <row r="289" spans="1:1" x14ac:dyDescent="0.2">
      <c r="A289" s="35"/>
    </row>
    <row r="290" spans="1:1" x14ac:dyDescent="0.2">
      <c r="A290" s="35"/>
    </row>
    <row r="291" spans="1:1" x14ac:dyDescent="0.2">
      <c r="A291" s="35"/>
    </row>
    <row r="292" spans="1:1" x14ac:dyDescent="0.2">
      <c r="A292" s="35"/>
    </row>
    <row r="293" spans="1:1" x14ac:dyDescent="0.2">
      <c r="A293" s="35"/>
    </row>
    <row r="294" spans="1:1" x14ac:dyDescent="0.2">
      <c r="A294" s="35"/>
    </row>
    <row r="295" spans="1:1" x14ac:dyDescent="0.2">
      <c r="A295" s="35"/>
    </row>
    <row r="296" spans="1:1" x14ac:dyDescent="0.2">
      <c r="A296" s="35"/>
    </row>
    <row r="297" spans="1:1" x14ac:dyDescent="0.2">
      <c r="A297" s="35"/>
    </row>
    <row r="298" spans="1:1" x14ac:dyDescent="0.2">
      <c r="A298" s="35"/>
    </row>
    <row r="299" spans="1:1" x14ac:dyDescent="0.2">
      <c r="A299" s="35"/>
    </row>
    <row r="300" spans="1:1" x14ac:dyDescent="0.2">
      <c r="A300" s="35"/>
    </row>
    <row r="301" spans="1:1" x14ac:dyDescent="0.2">
      <c r="A301" s="35"/>
    </row>
    <row r="302" spans="1:1" x14ac:dyDescent="0.2">
      <c r="A302" s="35"/>
    </row>
    <row r="303" spans="1:1" x14ac:dyDescent="0.2">
      <c r="A303" s="35"/>
    </row>
    <row r="304" spans="1:1" x14ac:dyDescent="0.2">
      <c r="A304" s="35"/>
    </row>
    <row r="305" spans="1:1" x14ac:dyDescent="0.2">
      <c r="A305" s="35"/>
    </row>
    <row r="306" spans="1:1" x14ac:dyDescent="0.2">
      <c r="A306" s="35"/>
    </row>
    <row r="307" spans="1:1" x14ac:dyDescent="0.2">
      <c r="A307" s="35"/>
    </row>
    <row r="308" spans="1:1" x14ac:dyDescent="0.2">
      <c r="A308" s="35"/>
    </row>
    <row r="309" spans="1:1" x14ac:dyDescent="0.2">
      <c r="A309" s="35"/>
    </row>
    <row r="310" spans="1:1" x14ac:dyDescent="0.2">
      <c r="A310" s="35"/>
    </row>
    <row r="311" spans="1:1" x14ac:dyDescent="0.2">
      <c r="A311" s="35"/>
    </row>
    <row r="312" spans="1:1" x14ac:dyDescent="0.2">
      <c r="A312" s="35"/>
    </row>
    <row r="313" spans="1:1" x14ac:dyDescent="0.2">
      <c r="A313" s="35"/>
    </row>
    <row r="314" spans="1:1" x14ac:dyDescent="0.2">
      <c r="A314" s="35"/>
    </row>
    <row r="315" spans="1:1" x14ac:dyDescent="0.2">
      <c r="A315" s="35"/>
    </row>
    <row r="316" spans="1:1" x14ac:dyDescent="0.2">
      <c r="A316" s="35"/>
    </row>
    <row r="317" spans="1:1" x14ac:dyDescent="0.2">
      <c r="A317" s="35"/>
    </row>
    <row r="318" spans="1:1" x14ac:dyDescent="0.2">
      <c r="A318" s="35"/>
    </row>
    <row r="319" spans="1:1" x14ac:dyDescent="0.2">
      <c r="A319" s="35"/>
    </row>
    <row r="320" spans="1:1" x14ac:dyDescent="0.2">
      <c r="A320" s="35"/>
    </row>
    <row r="321" spans="1:1" x14ac:dyDescent="0.2">
      <c r="A321" s="35"/>
    </row>
    <row r="322" spans="1:1" x14ac:dyDescent="0.2">
      <c r="A322" s="35"/>
    </row>
    <row r="323" spans="1:1" x14ac:dyDescent="0.2">
      <c r="A323" s="35"/>
    </row>
    <row r="324" spans="1:1" x14ac:dyDescent="0.2">
      <c r="A324" s="35"/>
    </row>
    <row r="325" spans="1:1" x14ac:dyDescent="0.2">
      <c r="A325" s="35"/>
    </row>
    <row r="326" spans="1:1" x14ac:dyDescent="0.2">
      <c r="A326" s="35"/>
    </row>
    <row r="327" spans="1:1" x14ac:dyDescent="0.2">
      <c r="A327" s="35"/>
    </row>
    <row r="328" spans="1:1" x14ac:dyDescent="0.2">
      <c r="A328" s="35"/>
    </row>
    <row r="329" spans="1:1" x14ac:dyDescent="0.2">
      <c r="A329" s="35"/>
    </row>
    <row r="330" spans="1:1" x14ac:dyDescent="0.2">
      <c r="A330" s="35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tualizar_Yahoo">
                <anchor moveWithCells="1">
                  <from>
                    <xdr:col>17</xdr:col>
                    <xdr:colOff>66675</xdr:colOff>
                    <xdr:row>0</xdr:row>
                    <xdr:rowOff>114300</xdr:rowOff>
                  </from>
                  <to>
                    <xdr:col>18</xdr:col>
                    <xdr:colOff>200025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N582"/>
  <sheetViews>
    <sheetView topLeftCell="A429" workbookViewId="0">
      <selection activeCell="E432" sqref="E432"/>
    </sheetView>
  </sheetViews>
  <sheetFormatPr defaultRowHeight="11.25" x14ac:dyDescent="0.2"/>
  <cols>
    <col min="1" max="1" width="6.7109375" style="3" bestFit="1" customWidth="1"/>
    <col min="2" max="2" width="9.140625" style="3"/>
    <col min="3" max="3" width="16.85546875" style="5" bestFit="1" customWidth="1"/>
    <col min="4" max="4" width="12.5703125" style="3" bestFit="1" customWidth="1"/>
    <col min="5" max="6" width="15.7109375" style="3" bestFit="1" customWidth="1"/>
    <col min="7" max="7" width="7.85546875" style="5" bestFit="1" customWidth="1"/>
    <col min="8" max="8" width="9.140625" style="18"/>
    <col min="9" max="9" width="9.140625" style="3" customWidth="1"/>
    <col min="10" max="11" width="9.5703125" style="3" customWidth="1"/>
    <col min="12" max="12" width="16.85546875" style="3" bestFit="1" customWidth="1"/>
    <col min="13" max="13" width="11.7109375" style="18" bestFit="1" customWidth="1"/>
    <col min="14" max="14" width="14.85546875" style="3" bestFit="1" customWidth="1"/>
    <col min="15" max="16384" width="9.140625" style="3"/>
  </cols>
  <sheetData>
    <row r="1" spans="1:13" x14ac:dyDescent="0.2">
      <c r="A1" s="3" t="s">
        <v>0</v>
      </c>
      <c r="B1" s="3" t="s">
        <v>85</v>
      </c>
      <c r="C1" s="5" t="s">
        <v>53</v>
      </c>
      <c r="D1" s="61" t="s">
        <v>4</v>
      </c>
      <c r="E1" s="62" t="s">
        <v>87</v>
      </c>
      <c r="F1" s="62" t="s">
        <v>88</v>
      </c>
      <c r="G1" s="18" t="s">
        <v>74</v>
      </c>
      <c r="H1" s="5" t="s">
        <v>6</v>
      </c>
      <c r="I1" s="18" t="s">
        <v>90</v>
      </c>
      <c r="J1" s="18" t="s">
        <v>275</v>
      </c>
      <c r="K1" s="18" t="s">
        <v>276</v>
      </c>
      <c r="L1" s="18" t="s">
        <v>805</v>
      </c>
      <c r="M1" s="18" t="s">
        <v>806</v>
      </c>
    </row>
    <row r="2" spans="1:13" x14ac:dyDescent="0.2">
      <c r="A2" s="4" t="s">
        <v>22</v>
      </c>
      <c r="B2" s="4">
        <v>2012</v>
      </c>
      <c r="C2" s="6">
        <v>226618835.09</v>
      </c>
      <c r="D2" s="8">
        <f>SUMPRODUCT(N(Tabela3[PAPEL]=Tabela2[[#This Row],[Ativo]]),Tabela3[Total Ações])</f>
        <v>147232649</v>
      </c>
      <c r="E2" s="65">
        <f>(Tabela2[[#This Row],[Lucro Líquido]])/Tabela2[[#This Row],[Total Ações]]</f>
        <v>1.5391887372073296</v>
      </c>
      <c r="F2" s="65">
        <v>0.62</v>
      </c>
      <c r="G2" s="45">
        <f>IF(AND(Tabela2[[#This Row],[Dividendo / Ação]]&gt;0,Tabela2[[#This Row],[Lucro por ação]]&gt;0),Tabela2[[#This Row],[Dividendo / Ação]]/Tabela2[[#This Row],[Lucro por ação]],"")</f>
        <v>0.40280960028652135</v>
      </c>
      <c r="H2" s="6">
        <f>MAX(Tabela2[[#This Row],[Cotação 1]],Tabela2[[#This Row],[Cotação 2]])</f>
        <v>12.19</v>
      </c>
      <c r="I2" s="19">
        <f>IF(Tabela2[[#This Row],[Dividendo / Ação]]&gt;0,Tabela2[[#This Row],[Dividendo / Ação]]/Tabela2[[#This Row],[Cotação]],"")</f>
        <v>5.0861361771944218E-2</v>
      </c>
      <c r="J2" s="6">
        <f>SUMPRODUCT(N(Tabela1[Código]=Tabela2[[#This Row],[Ativo]]),Tabela1[Fechamento])</f>
        <v>12.19</v>
      </c>
      <c r="K2" s="6">
        <f>SUMPRODUCT(N(Tabela17[Código]=Tabela2[[#This Row],[Ativo]]),Tabela17[Fechamento])</f>
        <v>0</v>
      </c>
      <c r="L2" s="13">
        <f>SUMPRODUCT(N(Tabela2[Ativo]=Tabela2[[#This Row],[Ativo]]),N(Tabela2[Exercício]=Tabela2[[#This Row],[Exercício]]-1),Tabela2[Lucro Líquido])</f>
        <v>259319392</v>
      </c>
      <c r="M2" s="19">
        <f>IF(Tabela2[[#This Row],[Lucro Anterior]]=0,"",IF(Tabela2[[#This Row],[Lucro Líquido]]&gt;0,Tabela2[[#This Row],[Lucro Líquido]]/Tabela2[[#This Row],[Lucro Anterior]]-1,0))</f>
        <v>-0.12610147146265094</v>
      </c>
    </row>
    <row r="3" spans="1:13" x14ac:dyDescent="0.2">
      <c r="A3" s="4" t="s">
        <v>22</v>
      </c>
      <c r="B3" s="4">
        <v>2011</v>
      </c>
      <c r="C3" s="6">
        <v>259319392</v>
      </c>
      <c r="D3" s="8">
        <f>SUMPRODUCT(N(Tabela3[PAPEL]=Tabela2[[#This Row],[Ativo]]),Tabela3[Total Ações])</f>
        <v>147232649</v>
      </c>
      <c r="E3" s="65">
        <f>(Tabela2[[#This Row],[Lucro Líquido]])/Tabela2[[#This Row],[Total Ações]]</f>
        <v>1.7612899975738399</v>
      </c>
      <c r="F3" s="65">
        <v>0.6</v>
      </c>
      <c r="G3" s="45">
        <f>IF(AND(Tabela2[[#This Row],[Dividendo / Ação]]&gt;0,Tabela2[[#This Row],[Lucro por ação]]&gt;0),Tabela2[[#This Row],[Dividendo / Ação]]/Tabela2[[#This Row],[Lucro por ação]],"")</f>
        <v>0.34065940352042778</v>
      </c>
      <c r="H3" s="6">
        <f>MAX(Tabela2[[#This Row],[Cotação 1]],Tabela2[[#This Row],[Cotação 2]])</f>
        <v>12.19</v>
      </c>
      <c r="I3" s="19">
        <f>IF(Tabela2[[#This Row],[Dividendo / Ação]]&gt;0,Tabela2[[#This Row],[Dividendo / Ação]]/Tabela2[[#This Row],[Cotação]],"")</f>
        <v>4.922067268252666E-2</v>
      </c>
      <c r="J3" s="60">
        <f>SUMPRODUCT(N(Tabela1[Código]=Tabela2[[#This Row],[Ativo]]),Tabela1[Fechamento])</f>
        <v>12.19</v>
      </c>
      <c r="K3" s="60">
        <f>SUMPRODUCT(N(Tabela17[Código]=Tabela2[[#This Row],[Ativo]]),Tabela17[Fechamento])</f>
        <v>0</v>
      </c>
      <c r="L3" s="60">
        <f>SUMPRODUCT(N(Tabela2[Ativo]=Tabela2[[#This Row],[Ativo]]),N(Tabela2[Exercício]=Tabela2[[#This Row],[Exercício]]-1),Tabela2[Lucro Líquido])</f>
        <v>221437904</v>
      </c>
      <c r="M3" s="19">
        <f>IF(Tabela2[[#This Row],[Lucro Anterior]]=0,"",IF(Tabela2[[#This Row],[Lucro Líquido]]&gt;0,Tabela2[[#This Row],[Lucro Líquido]]/Tabela2[[#This Row],[Lucro Anterior]]-1,0))</f>
        <v>0.17107047761796013</v>
      </c>
    </row>
    <row r="4" spans="1:13" x14ac:dyDescent="0.2">
      <c r="A4" s="4" t="s">
        <v>22</v>
      </c>
      <c r="B4" s="4">
        <v>2010</v>
      </c>
      <c r="C4" s="6">
        <v>221437904</v>
      </c>
      <c r="D4" s="8">
        <f>SUMPRODUCT(N(Tabela3[PAPEL]=Tabela2[[#This Row],[Ativo]]),Tabela3[Total Ações])</f>
        <v>147232649</v>
      </c>
      <c r="E4" s="65">
        <f>(Tabela2[[#This Row],[Lucro Líquido]])/Tabela2[[#This Row],[Total Ações]]</f>
        <v>1.5039999993479707</v>
      </c>
      <c r="F4" s="65">
        <v>0.54</v>
      </c>
      <c r="G4" s="45">
        <f>IF(AND(Tabela2[[#This Row],[Dividendo / Ação]]&gt;0,Tabela2[[#This Row],[Lucro por ação]]&gt;0),Tabela2[[#This Row],[Dividendo / Ação]]/Tabela2[[#This Row],[Lucro por ação]],"")</f>
        <v>0.35904255334714513</v>
      </c>
      <c r="H4" s="6">
        <f>MAX(Tabela2[[#This Row],[Cotação 1]],Tabela2[[#This Row],[Cotação 2]])</f>
        <v>12.19</v>
      </c>
      <c r="I4" s="19">
        <f>IF(Tabela2[[#This Row],[Dividendo / Ação]]&gt;0,Tabela2[[#This Row],[Dividendo / Ação]]/Tabela2[[#This Row],[Cotação]],"")</f>
        <v>4.4298605414274002E-2</v>
      </c>
      <c r="J4" s="60">
        <f>SUMPRODUCT(N(Tabela1[Código]=Tabela2[[#This Row],[Ativo]]),Tabela1[Fechamento])</f>
        <v>12.19</v>
      </c>
      <c r="K4" s="60">
        <f>SUMPRODUCT(N(Tabela17[Código]=Tabela2[[#This Row],[Ativo]]),Tabela17[Fechamento])</f>
        <v>0</v>
      </c>
      <c r="L4" s="60">
        <f>SUMPRODUCT(N(Tabela2[Ativo]=Tabela2[[#This Row],[Ativo]]),N(Tabela2[Exercício]=Tabela2[[#This Row],[Exercício]]-1),Tabela2[Lucro Líquido])</f>
        <v>165523361</v>
      </c>
      <c r="M4" s="19">
        <f>IF(Tabela2[[#This Row],[Lucro Anterior]]=0,"",IF(Tabela2[[#This Row],[Lucro Líquido]]&gt;0,Tabela2[[#This Row],[Lucro Líquido]]/Tabela2[[#This Row],[Lucro Anterior]]-1,0))</f>
        <v>0.33780454107622915</v>
      </c>
    </row>
    <row r="5" spans="1:13" x14ac:dyDescent="0.2">
      <c r="A5" s="4" t="s">
        <v>22</v>
      </c>
      <c r="B5" s="4">
        <v>2009</v>
      </c>
      <c r="C5" s="6">
        <v>165523361</v>
      </c>
      <c r="D5" s="8">
        <f>SUMPRODUCT(N(Tabela3[PAPEL]=Tabela2[[#This Row],[Ativo]]),Tabela3[Total Ações])</f>
        <v>147232649</v>
      </c>
      <c r="E5" s="65">
        <f>(Tabela2[[#This Row],[Lucro Líquido]])/Tabela2[[#This Row],[Total Ações]]</f>
        <v>1.1242300001000458</v>
      </c>
      <c r="F5" s="65">
        <v>0.51</v>
      </c>
      <c r="G5" s="45">
        <f>IF(AND(Tabela2[[#This Row],[Dividendo / Ação]]&gt;0,Tabela2[[#This Row],[Lucro por ação]]&gt;0),Tabela2[[#This Row],[Dividendo / Ação]]/Tabela2[[#This Row],[Lucro por ação]],"")</f>
        <v>0.45364382729033637</v>
      </c>
      <c r="H5" s="6">
        <f>MAX(Tabela2[[#This Row],[Cotação 1]],Tabela2[[#This Row],[Cotação 2]])</f>
        <v>12.19</v>
      </c>
      <c r="I5" s="19">
        <f>IF(Tabela2[[#This Row],[Dividendo / Ação]]&gt;0,Tabela2[[#This Row],[Dividendo / Ação]]/Tabela2[[#This Row],[Cotação]],"")</f>
        <v>4.1837571780147666E-2</v>
      </c>
      <c r="J5" s="60">
        <f>SUMPRODUCT(N(Tabela1[Código]=Tabela2[[#This Row],[Ativo]]),Tabela1[Fechamento])</f>
        <v>12.19</v>
      </c>
      <c r="K5" s="60">
        <f>SUMPRODUCT(N(Tabela17[Código]=Tabela2[[#This Row],[Ativo]]),Tabela17[Fechamento])</f>
        <v>0</v>
      </c>
      <c r="L5" s="60">
        <f>SUMPRODUCT(N(Tabela2[Ativo]=Tabela2[[#This Row],[Ativo]]),N(Tabela2[Exercício]=Tabela2[[#This Row],[Exercício]]-1),Tabela2[Lucro Líquido])</f>
        <v>0</v>
      </c>
      <c r="M5" s="19" t="str">
        <f>IF(Tabela2[[#This Row],[Lucro Anterior]]=0,"",IF(Tabela2[[#This Row],[Lucro Líquido]]&gt;0,Tabela2[[#This Row],[Lucro Líquido]]/Tabela2[[#This Row],[Lucro Anterior]]-1,0))</f>
        <v/>
      </c>
    </row>
    <row r="6" spans="1:13" x14ac:dyDescent="0.2">
      <c r="A6" s="4" t="s">
        <v>68</v>
      </c>
      <c r="B6" s="4">
        <v>2012</v>
      </c>
      <c r="C6" s="6">
        <v>-30675397.18</v>
      </c>
      <c r="D6" s="8">
        <f>SUMPRODUCT(N(Tabela3[PAPEL]=Tabela2[[#This Row],[Ativo]]),Tabela3[Total Ações])</f>
        <v>95061053</v>
      </c>
      <c r="E6" s="65">
        <f>(Tabela2[[#This Row],[Lucro Líquido]])/Tabela2[[#This Row],[Total Ações]]</f>
        <v>-0.32269153572283699</v>
      </c>
      <c r="F6" s="65">
        <v>0</v>
      </c>
      <c r="G6" s="45" t="str">
        <f>IF(AND(Tabela2[[#This Row],[Dividendo / Ação]]&gt;0,Tabela2[[#This Row],[Lucro por ação]]&gt;0),Tabela2[[#This Row],[Dividendo / Ação]]/Tabela2[[#This Row],[Lucro por ação]],"")</f>
        <v/>
      </c>
      <c r="H6" s="6">
        <f>MAX(Tabela2[[#This Row],[Cotação 1]],Tabela2[[#This Row],[Cotação 2]])</f>
        <v>8.3000000000000007</v>
      </c>
      <c r="I6" s="19" t="str">
        <f>IF(Tabela2[[#This Row],[Dividendo / Ação]]&gt;0,Tabela2[[#This Row],[Dividendo / Ação]]/Tabela2[[#This Row],[Cotação]],"")</f>
        <v/>
      </c>
      <c r="J6" s="60">
        <f>SUMPRODUCT(N(Tabela1[Código]=Tabela2[[#This Row],[Ativo]]),Tabela1[Fechamento])</f>
        <v>8.3000000000000007</v>
      </c>
      <c r="K6" s="60">
        <f>SUMPRODUCT(N(Tabela17[Código]=Tabela2[[#This Row],[Ativo]]),Tabela17[Fechamento])</f>
        <v>0</v>
      </c>
      <c r="L6" s="60">
        <f>SUMPRODUCT(N(Tabela2[Ativo]=Tabela2[[#This Row],[Ativo]]),N(Tabela2[Exercício]=Tabela2[[#This Row],[Exercício]]-1),Tabela2[Lucro Líquido])</f>
        <v>436885000</v>
      </c>
      <c r="M6" s="19">
        <f>IF(Tabela2[[#This Row],[Lucro Anterior]]=0,"",IF(Tabela2[[#This Row],[Lucro Líquido]]&gt;0,Tabela2[[#This Row],[Lucro Líquido]]/Tabela2[[#This Row],[Lucro Anterior]]-1,0))</f>
        <v>0</v>
      </c>
    </row>
    <row r="7" spans="1:13" x14ac:dyDescent="0.2">
      <c r="A7" s="4" t="s">
        <v>68</v>
      </c>
      <c r="B7" s="4">
        <v>2011</v>
      </c>
      <c r="C7" s="6">
        <v>436885000</v>
      </c>
      <c r="D7" s="8">
        <f>SUMPRODUCT(N(Tabela3[PAPEL]=Tabela2[[#This Row],[Ativo]]),Tabela3[Total Ações])</f>
        <v>95061053</v>
      </c>
      <c r="E7" s="63">
        <f>(Tabela2[[#This Row],[Lucro Líquido]])/Tabela2[[#This Row],[Total Ações]]</f>
        <v>4.5958358992720187</v>
      </c>
      <c r="F7" s="63">
        <v>3.2228539679999999</v>
      </c>
      <c r="G7" s="19">
        <f>IF(AND(Tabela2[[#This Row],[Dividendo / Ação]]&gt;0,Tabela2[[#This Row],[Lucro por ação]]&gt;0),Tabela2[[#This Row],[Dividendo / Ação]]/Tabela2[[#This Row],[Lucro por ação]],"")</f>
        <v>0.70125523161314363</v>
      </c>
      <c r="H7" s="6">
        <f>MAX(Tabela2[[#This Row],[Cotação 1]],Tabela2[[#This Row],[Cotação 2]])</f>
        <v>8.3000000000000007</v>
      </c>
      <c r="I7" s="18">
        <f>IF(Tabela2[[#This Row],[Dividendo / Ação]]&gt;0,Tabela2[[#This Row],[Dividendo / Ação]]/Tabela2[[#This Row],[Cotação]],"")</f>
        <v>0.38829565879518069</v>
      </c>
      <c r="J7" s="59">
        <f>SUMPRODUCT(N(Tabela1[Código]=Tabela2[[#This Row],[Ativo]]),Tabela1[Fechamento])</f>
        <v>8.3000000000000007</v>
      </c>
      <c r="K7" s="59">
        <f>SUMPRODUCT(N(Tabela17[Código]=Tabela2[[#This Row],[Ativo]]),Tabela17[Fechamento])</f>
        <v>0</v>
      </c>
      <c r="L7" s="59">
        <f>SUMPRODUCT(N(Tabela2[Ativo]=Tabela2[[#This Row],[Ativo]]),N(Tabela2[Exercício]=Tabela2[[#This Row],[Exercício]]-1),Tabela2[Lucro Líquido])</f>
        <v>376137000</v>
      </c>
      <c r="M7" s="18">
        <f>IF(Tabela2[[#This Row],[Lucro Anterior]]=0,"",IF(Tabela2[[#This Row],[Lucro Líquido]]&gt;0,Tabela2[[#This Row],[Lucro Líquido]]/Tabela2[[#This Row],[Lucro Anterior]]-1,0))</f>
        <v>0.16150498355652321</v>
      </c>
    </row>
    <row r="8" spans="1:13" x14ac:dyDescent="0.2">
      <c r="A8" s="4" t="s">
        <v>68</v>
      </c>
      <c r="B8" s="4">
        <v>2010</v>
      </c>
      <c r="C8" s="5">
        <v>376137000</v>
      </c>
      <c r="D8" s="61">
        <f>SUMPRODUCT(N(Tabela3[PAPEL]=Tabela2[[#This Row],[Ativo]]),Tabela3[Total Ações])</f>
        <v>95061053</v>
      </c>
      <c r="E8" s="62">
        <f>(Tabela2[[#This Row],[Lucro Líquido]])/Tabela2[[#This Row],[Total Ações]]</f>
        <v>3.9567939564061003</v>
      </c>
      <c r="F8" s="62">
        <v>3.5129712419999999</v>
      </c>
      <c r="G8" s="18">
        <f>IF(AND(Tabela2[[#This Row],[Dividendo / Ação]]&gt;0,Tabela2[[#This Row],[Lucro por ação]]&gt;0),Tabela2[[#This Row],[Dividendo / Ação]]/Tabela2[[#This Row],[Lucro por ação]],"")</f>
        <v>0.8878327455773769</v>
      </c>
      <c r="H8" s="5">
        <f>MAX(Tabela2[[#This Row],[Cotação 1]],Tabela2[[#This Row],[Cotação 2]])</f>
        <v>8.3000000000000007</v>
      </c>
      <c r="I8" s="18">
        <f>IF(Tabela2[[#This Row],[Dividendo / Ação]]&gt;0,Tabela2[[#This Row],[Dividendo / Ação]]/Tabela2[[#This Row],[Cotação]],"")</f>
        <v>0.42324954722891561</v>
      </c>
      <c r="J8" s="59">
        <f>SUMPRODUCT(N(Tabela1[Código]=Tabela2[[#This Row],[Ativo]]),Tabela1[Fechamento])</f>
        <v>8.3000000000000007</v>
      </c>
      <c r="K8" s="59">
        <f>SUMPRODUCT(N(Tabela17[Código]=Tabela2[[#This Row],[Ativo]]),Tabela17[Fechamento])</f>
        <v>0</v>
      </c>
      <c r="L8" s="59">
        <f>SUMPRODUCT(N(Tabela2[Ativo]=Tabela2[[#This Row],[Ativo]]),N(Tabela2[Exercício]=Tabela2[[#This Row],[Exercício]]-1),Tabela2[Lucro Líquido])</f>
        <v>335010000</v>
      </c>
      <c r="M8" s="18">
        <f>IF(Tabela2[[#This Row],[Lucro Anterior]]=0,"",IF(Tabela2[[#This Row],[Lucro Líquido]]&gt;0,Tabela2[[#This Row],[Lucro Líquido]]/Tabela2[[#This Row],[Lucro Anterior]]-1,0))</f>
        <v>0.12276349959702704</v>
      </c>
    </row>
    <row r="9" spans="1:13" x14ac:dyDescent="0.2">
      <c r="A9" s="4" t="s">
        <v>68</v>
      </c>
      <c r="B9" s="4">
        <v>2009</v>
      </c>
      <c r="C9" s="5">
        <v>335010000</v>
      </c>
      <c r="D9" s="61">
        <f>SUMPRODUCT(N(Tabela3[PAPEL]=Tabela2[[#This Row],[Ativo]]),Tabela3[Total Ações])</f>
        <v>95061053</v>
      </c>
      <c r="E9" s="62">
        <f>(Tabela2[[#This Row],[Lucro Líquido]])/Tabela2[[#This Row],[Total Ações]]</f>
        <v>3.5241562072744976</v>
      </c>
      <c r="F9" s="62">
        <v>3.1989132250000001</v>
      </c>
      <c r="G9" s="18">
        <f>IF(AND(Tabela2[[#This Row],[Dividendo / Ação]]&gt;0,Tabela2[[#This Row],[Lucro por ação]]&gt;0),Tabela2[[#This Row],[Dividendo / Ação]]/Tabela2[[#This Row],[Lucro por ação]],"")</f>
        <v>0.90771039558259736</v>
      </c>
      <c r="H9" s="5">
        <f>MAX(Tabela2[[#This Row],[Cotação 1]],Tabela2[[#This Row],[Cotação 2]])</f>
        <v>8.3000000000000007</v>
      </c>
      <c r="I9" s="18">
        <f>IF(Tabela2[[#This Row],[Dividendo / Ação]]&gt;0,Tabela2[[#This Row],[Dividendo / Ação]]/Tabela2[[#This Row],[Cotação]],"")</f>
        <v>0.38541123192771082</v>
      </c>
      <c r="J9" s="59">
        <f>SUMPRODUCT(N(Tabela1[Código]=Tabela2[[#This Row],[Ativo]]),Tabela1[Fechamento])</f>
        <v>8.3000000000000007</v>
      </c>
      <c r="K9" s="59">
        <f>SUMPRODUCT(N(Tabela17[Código]=Tabela2[[#This Row],[Ativo]]),Tabela17[Fechamento])</f>
        <v>0</v>
      </c>
      <c r="L9" s="59">
        <f>SUMPRODUCT(N(Tabela2[Ativo]=Tabela2[[#This Row],[Ativo]]),N(Tabela2[Exercício]=Tabela2[[#This Row],[Exercício]]-1),Tabela2[Lucro Líquido])</f>
        <v>0</v>
      </c>
      <c r="M9" s="18" t="str">
        <f>IF(Tabela2[[#This Row],[Lucro Anterior]]=0,"",IF(Tabela2[[#This Row],[Lucro Líquido]]&gt;0,Tabela2[[#This Row],[Lucro Líquido]]/Tabela2[[#This Row],[Lucro Anterior]]-1,0))</f>
        <v/>
      </c>
    </row>
    <row r="10" spans="1:13" x14ac:dyDescent="0.2">
      <c r="A10" s="4" t="s">
        <v>408</v>
      </c>
      <c r="B10" s="4">
        <v>2012</v>
      </c>
      <c r="C10" s="6">
        <v>127417790.75</v>
      </c>
      <c r="D10" s="77">
        <f>SUMPRODUCT(N(Tabela3[PAPEL]=Tabela2[[#This Row],[Ativo]]),Tabela3[Total Ações])</f>
        <v>159025920</v>
      </c>
      <c r="E10" s="65">
        <f>(Tabela2[[#This Row],[Lucro Líquido]])/Tabela2[[#This Row],[Total Ações]]</f>
        <v>0.80123913604775876</v>
      </c>
      <c r="F10" s="65">
        <v>0.346085953</v>
      </c>
      <c r="G10" s="44">
        <f>IF(AND(Tabela2[[#This Row],[Dividendo / Ação]]&gt;0,Tabela2[[#This Row],[Lucro por ação]]&gt;0),Tabela2[[#This Row],[Dividendo / Ação]]/Tabela2[[#This Row],[Lucro por ação]],"")</f>
        <v>0.43193840319274063</v>
      </c>
      <c r="H10" s="60">
        <f>MAX(Tabela2[[#This Row],[Cotação 1]],Tabela2[[#This Row],[Cotação 2]])</f>
        <v>18</v>
      </c>
      <c r="I10" s="45">
        <f>IF(Tabela2[[#This Row],[Dividendo / Ação]]&gt;0,Tabela2[[#This Row],[Dividendo / Ação]]/Tabela2[[#This Row],[Cotação]],"")</f>
        <v>1.9226997388888889E-2</v>
      </c>
      <c r="J10" s="17">
        <f>SUMPRODUCT(N(Tabela1[Código]=Tabela2[[#This Row],[Ativo]]),Tabela1[Fechamento])</f>
        <v>0</v>
      </c>
      <c r="K10" s="17">
        <f>SUMPRODUCT(N(Tabela17[Código]=Tabela2[[#This Row],[Ativo]]),Tabela17[Fechamento])</f>
        <v>18</v>
      </c>
      <c r="L10" s="17">
        <f>SUMPRODUCT(N(Tabela2[Ativo]=Tabela2[[#This Row],[Ativo]]),N(Tabela2[Exercício]=Tabela2[[#This Row],[Exercício]]-1),Tabela2[Lucro Líquido])</f>
        <v>101417617.86</v>
      </c>
      <c r="M10" s="19">
        <f>IF(Tabela2[[#This Row],[Lucro Anterior]]=0,"",IF(Tabela2[[#This Row],[Lucro Líquido]]&gt;0,Tabela2[[#This Row],[Lucro Líquido]]/Tabela2[[#This Row],[Lucro Anterior]]-1,0))</f>
        <v>0.25636741858689138</v>
      </c>
    </row>
    <row r="11" spans="1:13" x14ac:dyDescent="0.2">
      <c r="A11" s="4" t="s">
        <v>408</v>
      </c>
      <c r="B11" s="4">
        <v>2011</v>
      </c>
      <c r="C11" s="6">
        <v>101417617.86</v>
      </c>
      <c r="D11" s="77">
        <f>SUMPRODUCT(N(Tabela3[PAPEL]=Tabela2[[#This Row],[Ativo]]),Tabela3[Total Ações])</f>
        <v>159025920</v>
      </c>
      <c r="E11" s="65">
        <f>(Tabela2[[#This Row],[Lucro Líquido]])/Tabela2[[#This Row],[Total Ações]]</f>
        <v>0.63774268911634024</v>
      </c>
      <c r="F11" s="65">
        <v>0.18179478700000001</v>
      </c>
      <c r="G11" s="44">
        <f>IF(AND(Tabela2[[#This Row],[Dividendo / Ação]]&gt;0,Tabela2[[#This Row],[Lucro por ação]]&gt;0),Tabela2[[#This Row],[Dividendo / Ação]]/Tabela2[[#This Row],[Lucro por ação]],"")</f>
        <v>0.28505977426710427</v>
      </c>
      <c r="H11" s="60">
        <f>MAX(Tabela2[[#This Row],[Cotação 1]],Tabela2[[#This Row],[Cotação 2]])</f>
        <v>18</v>
      </c>
      <c r="I11" s="45">
        <f>IF(Tabela2[[#This Row],[Dividendo / Ação]]&gt;0,Tabela2[[#This Row],[Dividendo / Ação]]/Tabela2[[#This Row],[Cotação]],"")</f>
        <v>1.0099710388888889E-2</v>
      </c>
      <c r="J11" s="17">
        <f>SUMPRODUCT(N(Tabela1[Código]=Tabela2[[#This Row],[Ativo]]),Tabela1[Fechamento])</f>
        <v>0</v>
      </c>
      <c r="K11" s="17">
        <f>SUMPRODUCT(N(Tabela17[Código]=Tabela2[[#This Row],[Ativo]]),Tabela17[Fechamento])</f>
        <v>18</v>
      </c>
      <c r="L11" s="17">
        <f>SUMPRODUCT(N(Tabela2[Ativo]=Tabela2[[#This Row],[Ativo]]),N(Tabela2[Exercício]=Tabela2[[#This Row],[Exercício]]-1),Tabela2[Lucro Líquido])</f>
        <v>54564689.799999997</v>
      </c>
      <c r="M11" s="19">
        <f>IF(Tabela2[[#This Row],[Lucro Anterior]]=0,"",IF(Tabela2[[#This Row],[Lucro Líquido]]&gt;0,Tabela2[[#This Row],[Lucro Líquido]]/Tabela2[[#This Row],[Lucro Anterior]]-1,0))</f>
        <v>0.8586675418064964</v>
      </c>
    </row>
    <row r="12" spans="1:13" x14ac:dyDescent="0.2">
      <c r="A12" s="4" t="s">
        <v>408</v>
      </c>
      <c r="B12" s="4">
        <v>2010</v>
      </c>
      <c r="C12" s="6">
        <v>54564689.799999997</v>
      </c>
      <c r="D12" s="77">
        <f>SUMPRODUCT(N(Tabela3[PAPEL]=Tabela2[[#This Row],[Ativo]]),Tabela3[Total Ações])</f>
        <v>159025920</v>
      </c>
      <c r="E12" s="65">
        <f>(Tabela2[[#This Row],[Lucro Líquido]])/Tabela2[[#This Row],[Total Ações]]</f>
        <v>0.34311821494257033</v>
      </c>
      <c r="F12" s="65">
        <v>9.2918793E-2</v>
      </c>
      <c r="G12" s="44">
        <f>IF(AND(Tabela2[[#This Row],[Dividendo / Ação]]&gt;0,Tabela2[[#This Row],[Lucro por ação]]&gt;0),Tabela2[[#This Row],[Dividendo / Ação]]/Tabela2[[#This Row],[Lucro por ação]],"")</f>
        <v>0.27080693753187179</v>
      </c>
      <c r="H12" s="60">
        <f>MAX(Tabela2[[#This Row],[Cotação 1]],Tabela2[[#This Row],[Cotação 2]])</f>
        <v>18</v>
      </c>
      <c r="I12" s="45">
        <f>IF(Tabela2[[#This Row],[Dividendo / Ação]]&gt;0,Tabela2[[#This Row],[Dividendo / Ação]]/Tabela2[[#This Row],[Cotação]],"")</f>
        <v>5.1621551666666664E-3</v>
      </c>
      <c r="J12" s="17">
        <f>SUMPRODUCT(N(Tabela1[Código]=Tabela2[[#This Row],[Ativo]]),Tabela1[Fechamento])</f>
        <v>0</v>
      </c>
      <c r="K12" s="17">
        <f>SUMPRODUCT(N(Tabela17[Código]=Tabela2[[#This Row],[Ativo]]),Tabela17[Fechamento])</f>
        <v>18</v>
      </c>
      <c r="L12" s="17">
        <f>SUMPRODUCT(N(Tabela2[Ativo]=Tabela2[[#This Row],[Ativo]]),N(Tabela2[Exercício]=Tabela2[[#This Row],[Exercício]]-1),Tabela2[Lucro Líquido])</f>
        <v>47715454.25</v>
      </c>
      <c r="M12" s="19">
        <f>IF(Tabela2[[#This Row],[Lucro Anterior]]=0,"",IF(Tabela2[[#This Row],[Lucro Líquido]]&gt;0,Tabela2[[#This Row],[Lucro Líquido]]/Tabela2[[#This Row],[Lucro Anterior]]-1,0))</f>
        <v>0.14354333742929826</v>
      </c>
    </row>
    <row r="13" spans="1:13" x14ac:dyDescent="0.2">
      <c r="A13" s="4" t="s">
        <v>408</v>
      </c>
      <c r="B13" s="4">
        <v>2009</v>
      </c>
      <c r="C13" s="6">
        <v>47715454.25</v>
      </c>
      <c r="D13" s="77">
        <f>SUMPRODUCT(N(Tabela3[PAPEL]=Tabela2[[#This Row],[Ativo]]),Tabela3[Total Ações])</f>
        <v>159025920</v>
      </c>
      <c r="E13" s="65">
        <f>(Tabela2[[#This Row],[Lucro Líquido]])/Tabela2[[#This Row],[Total Ações]]</f>
        <v>0.30004828300946162</v>
      </c>
      <c r="F13" s="65">
        <v>8.036008E-2</v>
      </c>
      <c r="G13" s="44">
        <f>IF(AND(Tabela2[[#This Row],[Dividendo / Ação]]&gt;0,Tabela2[[#This Row],[Lucro por ação]]&gt;0),Tabela2[[#This Row],[Dividendo / Ação]]/Tabela2[[#This Row],[Lucro por ação]],"")</f>
        <v>0.26782382886512285</v>
      </c>
      <c r="H13" s="60">
        <f>MAX(Tabela2[[#This Row],[Cotação 1]],Tabela2[[#This Row],[Cotação 2]])</f>
        <v>18</v>
      </c>
      <c r="I13" s="45">
        <f>IF(Tabela2[[#This Row],[Dividendo / Ação]]&gt;0,Tabela2[[#This Row],[Dividendo / Ação]]/Tabela2[[#This Row],[Cotação]],"")</f>
        <v>4.4644488888888889E-3</v>
      </c>
      <c r="J13" s="17">
        <f>SUMPRODUCT(N(Tabela1[Código]=Tabela2[[#This Row],[Ativo]]),Tabela1[Fechamento])</f>
        <v>0</v>
      </c>
      <c r="K13" s="17">
        <f>SUMPRODUCT(N(Tabela17[Código]=Tabela2[[#This Row],[Ativo]]),Tabela17[Fechamento])</f>
        <v>18</v>
      </c>
      <c r="L13" s="17">
        <f>SUMPRODUCT(N(Tabela2[Ativo]=Tabela2[[#This Row],[Ativo]]),N(Tabela2[Exercício]=Tabela2[[#This Row],[Exercício]]-1),Tabela2[Lucro Líquido])</f>
        <v>0</v>
      </c>
      <c r="M13" s="19" t="str">
        <f>IF(Tabela2[[#This Row],[Lucro Anterior]]=0,"",IF(Tabela2[[#This Row],[Lucro Líquido]]&gt;0,Tabela2[[#This Row],[Lucro Líquido]]/Tabela2[[#This Row],[Lucro Anterior]]-1,0))</f>
        <v/>
      </c>
    </row>
    <row r="14" spans="1:13" x14ac:dyDescent="0.2">
      <c r="A14" s="3" t="s">
        <v>347</v>
      </c>
      <c r="B14" s="3">
        <v>2012</v>
      </c>
      <c r="C14" s="5">
        <v>-2048000</v>
      </c>
      <c r="D14" s="61">
        <f>SUMPRODUCT(N(Tabela3[PAPEL]=Tabela2[[#This Row],[Ativo]]),Tabela3[Total Ações])</f>
        <v>5996334</v>
      </c>
      <c r="E14" s="64">
        <f>(Tabela2[[#This Row],[Lucro Líquido]])/Tabela2[[#This Row],[Total Ações]]</f>
        <v>-0.34154201550480678</v>
      </c>
      <c r="F14" s="64">
        <v>1</v>
      </c>
      <c r="G14" s="22" t="str">
        <f>IF(AND(Tabela2[[#This Row],[Dividendo / Ação]]&gt;0,Tabela2[[#This Row],[Lucro por ação]]&gt;0),Tabela2[[#This Row],[Dividendo / Ação]]/Tabela2[[#This Row],[Lucro por ação]],"")</f>
        <v/>
      </c>
      <c r="H14" s="50">
        <f>MAX(Tabela2[[#This Row],[Cotação 1]],Tabela2[[#This Row],[Cotação 2]])</f>
        <v>4.8099999999999996</v>
      </c>
      <c r="I14" s="18">
        <f>IF(Tabela2[[#This Row],[Dividendo / Ação]]&gt;0,Tabela2[[#This Row],[Dividendo / Ação]]/Tabela2[[#This Row],[Cotação]],"")</f>
        <v>0.20790020790020791</v>
      </c>
      <c r="J14" s="7">
        <f>SUMPRODUCT(N(Tabela1[Código]=Tabela2[[#This Row],[Ativo]]),Tabela1[Fechamento])</f>
        <v>0</v>
      </c>
      <c r="K14" s="7">
        <f>SUMPRODUCT(N(Tabela17[Código]=Tabela2[[#This Row],[Ativo]]),Tabela17[Fechamento])</f>
        <v>4.8099999999999996</v>
      </c>
      <c r="L14" s="7">
        <f>SUMPRODUCT(N(Tabela2[Ativo]=Tabela2[[#This Row],[Ativo]]),N(Tabela2[Exercício]=Tabela2[[#This Row],[Exercício]]-1),Tabela2[Lucro Líquido])</f>
        <v>-2767000</v>
      </c>
      <c r="M14" s="18">
        <f>IF(Tabela2[[#This Row],[Lucro Anterior]]=0,"",IF(Tabela2[[#This Row],[Lucro Líquido]]&gt;0,Tabela2[[#This Row],[Lucro Líquido]]/Tabela2[[#This Row],[Lucro Anterior]]-1,0))</f>
        <v>0</v>
      </c>
    </row>
    <row r="15" spans="1:13" x14ac:dyDescent="0.2">
      <c r="A15" s="3" t="s">
        <v>347</v>
      </c>
      <c r="B15" s="3">
        <v>2011</v>
      </c>
      <c r="C15" s="5">
        <v>-2767000</v>
      </c>
      <c r="D15" s="61">
        <f>SUMPRODUCT(N(Tabela3[PAPEL]=Tabela2[[#This Row],[Ativo]]),Tabela3[Total Ações])</f>
        <v>5996334</v>
      </c>
      <c r="E15" s="64">
        <f>(Tabela2[[#This Row],[Lucro Líquido]])/Tabela2[[#This Row],[Total Ações]]</f>
        <v>-0.4614486117684572</v>
      </c>
      <c r="F15" s="64">
        <v>1</v>
      </c>
      <c r="G15" s="22" t="str">
        <f>IF(AND(Tabela2[[#This Row],[Dividendo / Ação]]&gt;0,Tabela2[[#This Row],[Lucro por ação]]&gt;0),Tabela2[[#This Row],[Dividendo / Ação]]/Tabela2[[#This Row],[Lucro por ação]],"")</f>
        <v/>
      </c>
      <c r="H15" s="50">
        <f>MAX(Tabela2[[#This Row],[Cotação 1]],Tabela2[[#This Row],[Cotação 2]])</f>
        <v>4.8099999999999996</v>
      </c>
      <c r="I15" s="18">
        <f>IF(Tabela2[[#This Row],[Dividendo / Ação]]&gt;0,Tabela2[[#This Row],[Dividendo / Ação]]/Tabela2[[#This Row],[Cotação]],"")</f>
        <v>0.20790020790020791</v>
      </c>
      <c r="J15" s="7">
        <f>SUMPRODUCT(N(Tabela1[Código]=Tabela2[[#This Row],[Ativo]]),Tabela1[Fechamento])</f>
        <v>0</v>
      </c>
      <c r="K15" s="7">
        <f>SUMPRODUCT(N(Tabela17[Código]=Tabela2[[#This Row],[Ativo]]),Tabela17[Fechamento])</f>
        <v>4.8099999999999996</v>
      </c>
      <c r="L15" s="7">
        <f>SUMPRODUCT(N(Tabela2[Ativo]=Tabela2[[#This Row],[Ativo]]),N(Tabela2[Exercício]=Tabela2[[#This Row],[Exercício]]-1),Tabela2[Lucro Líquido])</f>
        <v>47518888.590000004</v>
      </c>
      <c r="M15" s="18">
        <f>IF(Tabela2[[#This Row],[Lucro Anterior]]=0,"",IF(Tabela2[[#This Row],[Lucro Líquido]]&gt;0,Tabela2[[#This Row],[Lucro Líquido]]/Tabela2[[#This Row],[Lucro Anterior]]-1,0))</f>
        <v>0</v>
      </c>
    </row>
    <row r="16" spans="1:13" x14ac:dyDescent="0.2">
      <c r="A16" s="3" t="s">
        <v>347</v>
      </c>
      <c r="B16" s="3">
        <v>2010</v>
      </c>
      <c r="C16" s="5">
        <v>47518888.590000004</v>
      </c>
      <c r="D16" s="61">
        <f>SUMPRODUCT(N(Tabela3[PAPEL]=Tabela2[[#This Row],[Ativo]]),Tabela3[Total Ações])</f>
        <v>5996334</v>
      </c>
      <c r="E16" s="64">
        <f>(Tabela2[[#This Row],[Lucro Líquido]])/Tabela2[[#This Row],[Total Ações]]</f>
        <v>7.9246567302621909</v>
      </c>
      <c r="F16" s="64">
        <v>1.5139</v>
      </c>
      <c r="G16" s="22">
        <f>IF(AND(Tabela2[[#This Row],[Dividendo / Ação]]&gt;0,Tabela2[[#This Row],[Lucro por ação]]&gt;0),Tabela2[[#This Row],[Dividendo / Ação]]/Tabela2[[#This Row],[Lucro por ação]],"")</f>
        <v>0.19103666588090965</v>
      </c>
      <c r="H16" s="50">
        <f>MAX(Tabela2[[#This Row],[Cotação 1]],Tabela2[[#This Row],[Cotação 2]])</f>
        <v>4.8099999999999996</v>
      </c>
      <c r="I16" s="18">
        <f>IF(Tabela2[[#This Row],[Dividendo / Ação]]&gt;0,Tabela2[[#This Row],[Dividendo / Ação]]/Tabela2[[#This Row],[Cotação]],"")</f>
        <v>0.31474012474012475</v>
      </c>
      <c r="J16" s="7">
        <f>SUMPRODUCT(N(Tabela1[Código]=Tabela2[[#This Row],[Ativo]]),Tabela1[Fechamento])</f>
        <v>0</v>
      </c>
      <c r="K16" s="7">
        <f>SUMPRODUCT(N(Tabela17[Código]=Tabela2[[#This Row],[Ativo]]),Tabela17[Fechamento])</f>
        <v>4.8099999999999996</v>
      </c>
      <c r="L16" s="7">
        <f>SUMPRODUCT(N(Tabela2[Ativo]=Tabela2[[#This Row],[Ativo]]),N(Tabela2[Exercício]=Tabela2[[#This Row],[Exercício]]-1),Tabela2[Lucro Líquido])</f>
        <v>0</v>
      </c>
      <c r="M16" s="18" t="str">
        <f>IF(Tabela2[[#This Row],[Lucro Anterior]]=0,"",IF(Tabela2[[#This Row],[Lucro Líquido]]&gt;0,Tabela2[[#This Row],[Lucro Líquido]]/Tabela2[[#This Row],[Lucro Anterior]]-1,0))</f>
        <v/>
      </c>
    </row>
    <row r="17" spans="1:13" x14ac:dyDescent="0.2">
      <c r="A17" s="4" t="s">
        <v>63</v>
      </c>
      <c r="B17" s="4">
        <v>2012</v>
      </c>
      <c r="C17" s="6">
        <v>165948458.28999999</v>
      </c>
      <c r="D17" s="8">
        <f>SUMPRODUCT(N(Tabela3[PAPEL]=Tabela2[[#This Row],[Ativo]]),Tabela3[Total Ações])</f>
        <v>2964596762</v>
      </c>
      <c r="E17" s="65">
        <f>(Tabela2[[#This Row],[Lucro Líquido]])/Tabela2[[#This Row],[Total Ações]]</f>
        <v>5.5976738697524085E-2</v>
      </c>
      <c r="F17" s="65">
        <v>2.6766000000000002E-2</v>
      </c>
      <c r="G17" s="45">
        <f>IF(AND(Tabela2[[#This Row],[Dividendo / Ação]]&gt;0,Tabela2[[#This Row],[Lucro por ação]]&gt;0),Tabela2[[#This Row],[Dividendo / Ação]]/Tabela2[[#This Row],[Lucro por ação]],"")</f>
        <v>0.47816290521376681</v>
      </c>
      <c r="H17" s="6">
        <f>MAX(Tabela2[[#This Row],[Cotação 1]],Tabela2[[#This Row],[Cotação 2]])</f>
        <v>0.33</v>
      </c>
      <c r="I17" s="19">
        <f>IF(Tabela2[[#This Row],[Dividendo / Ação]]&gt;0,Tabela2[[#This Row],[Dividendo / Ação]]/Tabela2[[#This Row],[Cotação]],"")</f>
        <v>8.1109090909090908E-2</v>
      </c>
      <c r="J17" s="60">
        <f>SUMPRODUCT(N(Tabela1[Código]=Tabela2[[#This Row],[Ativo]]),Tabela1[Fechamento])</f>
        <v>0.33</v>
      </c>
      <c r="K17" s="60">
        <f>SUMPRODUCT(N(Tabela17[Código]=Tabela2[[#This Row],[Ativo]]),Tabela17[Fechamento])</f>
        <v>0</v>
      </c>
      <c r="L17" s="60">
        <f>SUMPRODUCT(N(Tabela2[Ativo]=Tabela2[[#This Row],[Ativo]]),N(Tabela2[Exercício]=Tabela2[[#This Row],[Exercício]]-1),Tabela2[Lucro Líquido])</f>
        <v>78567508.840000004</v>
      </c>
      <c r="M17" s="19">
        <f>IF(Tabela2[[#This Row],[Lucro Anterior]]=0,"",IF(Tabela2[[#This Row],[Lucro Líquido]]&gt;0,Tabela2[[#This Row],[Lucro Líquido]]/Tabela2[[#This Row],[Lucro Anterior]]-1,0))</f>
        <v>1.1121766585211228</v>
      </c>
    </row>
    <row r="18" spans="1:13" x14ac:dyDescent="0.2">
      <c r="A18" s="4" t="s">
        <v>63</v>
      </c>
      <c r="B18" s="4">
        <v>2011</v>
      </c>
      <c r="C18" s="6">
        <v>78567508.840000004</v>
      </c>
      <c r="D18" s="8">
        <f>SUMPRODUCT(N(Tabela3[PAPEL]=Tabela2[[#This Row],[Ativo]]),Tabela3[Total Ações])</f>
        <v>2964596762</v>
      </c>
      <c r="E18" s="65">
        <f>(Tabela2[[#This Row],[Lucro Líquido]])/Tabela2[[#This Row],[Total Ações]]</f>
        <v>2.6501920884173184E-2</v>
      </c>
      <c r="F18" s="65">
        <v>2.648E-2</v>
      </c>
      <c r="G18" s="45">
        <f>IF(AND(Tabela2[[#This Row],[Dividendo / Ação]]&gt;0,Tabela2[[#This Row],[Lucro por ação]]&gt;0),Tabela2[[#This Row],[Dividendo / Ação]]/Tabela2[[#This Row],[Lucro por ação]],"")</f>
        <v>0.99917285678011836</v>
      </c>
      <c r="H18" s="6">
        <f>MAX(Tabela2[[#This Row],[Cotação 1]],Tabela2[[#This Row],[Cotação 2]])</f>
        <v>0.33</v>
      </c>
      <c r="I18" s="19">
        <f>IF(Tabela2[[#This Row],[Dividendo / Ação]]&gt;0,Tabela2[[#This Row],[Dividendo / Ação]]/Tabela2[[#This Row],[Cotação]],"")</f>
        <v>8.024242424242424E-2</v>
      </c>
      <c r="J18" s="60">
        <f>SUMPRODUCT(N(Tabela1[Código]=Tabela2[[#This Row],[Ativo]]),Tabela1[Fechamento])</f>
        <v>0.33</v>
      </c>
      <c r="K18" s="60">
        <f>SUMPRODUCT(N(Tabela17[Código]=Tabela2[[#This Row],[Ativo]]),Tabela17[Fechamento])</f>
        <v>0</v>
      </c>
      <c r="L18" s="60">
        <f>SUMPRODUCT(N(Tabela2[Ativo]=Tabela2[[#This Row],[Ativo]]),N(Tabela2[Exercício]=Tabela2[[#This Row],[Exercício]]-1),Tabela2[Lucro Líquido])</f>
        <v>142163159.71000001</v>
      </c>
      <c r="M18" s="19">
        <f>IF(Tabela2[[#This Row],[Lucro Anterior]]=0,"",IF(Tabela2[[#This Row],[Lucro Líquido]]&gt;0,Tabela2[[#This Row],[Lucro Líquido]]/Tabela2[[#This Row],[Lucro Anterior]]-1,0))</f>
        <v>-0.4473426941250418</v>
      </c>
    </row>
    <row r="19" spans="1:13" x14ac:dyDescent="0.2">
      <c r="A19" s="4" t="s">
        <v>63</v>
      </c>
      <c r="B19" s="4">
        <v>2010</v>
      </c>
      <c r="C19" s="6">
        <v>142163159.71000001</v>
      </c>
      <c r="D19" s="8">
        <f>SUMPRODUCT(N(Tabela3[PAPEL]=Tabela2[[#This Row],[Ativo]]),Tabela3[Total Ações])</f>
        <v>2964596762</v>
      </c>
      <c r="E19" s="65">
        <f>(Tabela2[[#This Row],[Lucro Líquido]])/Tabela2[[#This Row],[Total Ações]]</f>
        <v>4.7953624429547294E-2</v>
      </c>
      <c r="F19" s="65">
        <v>3.7429999999999998E-2</v>
      </c>
      <c r="G19" s="45">
        <f>IF(AND(Tabela2[[#This Row],[Dividendo / Ação]]&gt;0,Tabela2[[#This Row],[Lucro por ação]]&gt;0),Tabela2[[#This Row],[Dividendo / Ação]]/Tabela2[[#This Row],[Lucro por ação]],"")</f>
        <v>0.78054579701251903</v>
      </c>
      <c r="H19" s="6">
        <f>MAX(Tabela2[[#This Row],[Cotação 1]],Tabela2[[#This Row],[Cotação 2]])</f>
        <v>0.33</v>
      </c>
      <c r="I19" s="19">
        <f>IF(Tabela2[[#This Row],[Dividendo / Ação]]&gt;0,Tabela2[[#This Row],[Dividendo / Ação]]/Tabela2[[#This Row],[Cotação]],"")</f>
        <v>0.11342424242424241</v>
      </c>
      <c r="J19" s="60">
        <f>SUMPRODUCT(N(Tabela1[Código]=Tabela2[[#This Row],[Ativo]]),Tabela1[Fechamento])</f>
        <v>0.33</v>
      </c>
      <c r="K19" s="60">
        <f>SUMPRODUCT(N(Tabela17[Código]=Tabela2[[#This Row],[Ativo]]),Tabela17[Fechamento])</f>
        <v>0</v>
      </c>
      <c r="L19" s="60">
        <f>SUMPRODUCT(N(Tabela2[Ativo]=Tabela2[[#This Row],[Ativo]]),N(Tabela2[Exercício]=Tabela2[[#This Row],[Exercício]]-1),Tabela2[Lucro Líquido])</f>
        <v>0</v>
      </c>
      <c r="M19" s="19" t="str">
        <f>IF(Tabela2[[#This Row],[Lucro Anterior]]=0,"",IF(Tabela2[[#This Row],[Lucro Líquido]]&gt;0,Tabela2[[#This Row],[Lucro Líquido]]/Tabela2[[#This Row],[Lucro Anterior]]-1,0))</f>
        <v/>
      </c>
    </row>
    <row r="20" spans="1:13" x14ac:dyDescent="0.2">
      <c r="A20" s="4" t="s">
        <v>24</v>
      </c>
      <c r="B20" s="4">
        <v>2012</v>
      </c>
      <c r="C20" s="6">
        <v>12309870442.799999</v>
      </c>
      <c r="D20" s="8">
        <f>SUMPRODUCT(N(Tabela3[PAPEL]=Tabela2[[#This Row],[Ativo]]),Tabela3[Total Ações])</f>
        <v>2865417020</v>
      </c>
      <c r="E20" s="65">
        <f>(Tabela2[[#This Row],[Lucro Líquido]])/Tabela2[[#This Row],[Total Ações]]</f>
        <v>4.2960135843682536</v>
      </c>
      <c r="F20" s="65">
        <v>1.722</v>
      </c>
      <c r="G20" s="45">
        <f>IF(AND(Tabela2[[#This Row],[Dividendo / Ação]]&gt;0,Tabela2[[#This Row],[Lucro por ação]]&gt;0),Tabela2[[#This Row],[Dividendo / Ação]]/Tabela2[[#This Row],[Lucro por ação]],"")</f>
        <v>0.40083672134226433</v>
      </c>
      <c r="H20" s="6">
        <f>MAX(Tabela2[[#This Row],[Cotação 1]],Tabela2[[#This Row],[Cotação 2]])</f>
        <v>23.17</v>
      </c>
      <c r="I20" s="19">
        <f>IF(Tabela2[[#This Row],[Dividendo / Ação]]&gt;0,Tabela2[[#This Row],[Dividendo / Ação]]/Tabela2[[#This Row],[Cotação]],"")</f>
        <v>7.4320241691842898E-2</v>
      </c>
      <c r="J20" s="60">
        <f>SUMPRODUCT(N(Tabela1[Código]=Tabela2[[#This Row],[Ativo]]),Tabela1[Fechamento])</f>
        <v>23.17</v>
      </c>
      <c r="K20" s="60">
        <f>SUMPRODUCT(N(Tabela17[Código]=Tabela2[[#This Row],[Ativo]]),Tabela17[Fechamento])</f>
        <v>0</v>
      </c>
      <c r="L20" s="60">
        <f>SUMPRODUCT(N(Tabela2[Ativo]=Tabela2[[#This Row],[Ativo]]),N(Tabela2[Exercício]=Tabela2[[#This Row],[Exercício]]-1),Tabela2[Lucro Líquido])</f>
        <v>12247330314.43</v>
      </c>
      <c r="M20" s="19">
        <f>IF(Tabela2[[#This Row],[Lucro Anterior]]=0,"",IF(Tabela2[[#This Row],[Lucro Líquido]]&gt;0,Tabela2[[#This Row],[Lucro Líquido]]/Tabela2[[#This Row],[Lucro Anterior]]-1,0))</f>
        <v>5.1064294637594987E-3</v>
      </c>
    </row>
    <row r="21" spans="1:13" x14ac:dyDescent="0.2">
      <c r="A21" s="4" t="s">
        <v>24</v>
      </c>
      <c r="B21" s="4">
        <v>2011</v>
      </c>
      <c r="C21" s="6">
        <v>12247330314.43</v>
      </c>
      <c r="D21" s="8">
        <f>SUMPRODUCT(N(Tabela3[PAPEL]=Tabela2[[#This Row],[Ativo]]),Tabela3[Total Ações])</f>
        <v>2865417020</v>
      </c>
      <c r="E21" s="65">
        <f>(Tabela2[[#This Row],[Lucro Líquido]])/Tabela2[[#This Row],[Total Ações]]</f>
        <v>4.2741877461277875</v>
      </c>
      <c r="F21" s="65">
        <v>1.7096750979999999</v>
      </c>
      <c r="G21" s="45">
        <f>IF(AND(Tabela2[[#This Row],[Dividendo / Ação]]&gt;0,Tabela2[[#This Row],[Lucro por ação]]&gt;0),Tabela2[[#This Row],[Dividendo / Ação]]/Tabela2[[#This Row],[Lucro por ação]],"")</f>
        <v>0.39999999989445595</v>
      </c>
      <c r="H21" s="6">
        <f>MAX(Tabela2[[#This Row],[Cotação 1]],Tabela2[[#This Row],[Cotação 2]])</f>
        <v>23.17</v>
      </c>
      <c r="I21" s="19">
        <f>IF(Tabela2[[#This Row],[Dividendo / Ação]]&gt;0,Tabela2[[#This Row],[Dividendo / Ação]]/Tabela2[[#This Row],[Cotação]],"")</f>
        <v>7.3788308070781169E-2</v>
      </c>
      <c r="J21" s="60">
        <f>SUMPRODUCT(N(Tabela1[Código]=Tabela2[[#This Row],[Ativo]]),Tabela1[Fechamento])</f>
        <v>23.17</v>
      </c>
      <c r="K21" s="60">
        <f>SUMPRODUCT(N(Tabela17[Código]=Tabela2[[#This Row],[Ativo]]),Tabela17[Fechamento])</f>
        <v>0</v>
      </c>
      <c r="L21" s="60">
        <f>SUMPRODUCT(N(Tabela2[Ativo]=Tabela2[[#This Row],[Ativo]]),N(Tabela2[Exercício]=Tabela2[[#This Row],[Exercício]]-1),Tabela2[Lucro Líquido])</f>
        <v>11758093384.549999</v>
      </c>
      <c r="M21" s="19">
        <f>IF(Tabela2[[#This Row],[Lucro Anterior]]=0,"",IF(Tabela2[[#This Row],[Lucro Líquido]]&gt;0,Tabela2[[#This Row],[Lucro Líquido]]/Tabela2[[#This Row],[Lucro Anterior]]-1,0))</f>
        <v>4.1608525623963111E-2</v>
      </c>
    </row>
    <row r="22" spans="1:13" x14ac:dyDescent="0.2">
      <c r="A22" s="4" t="s">
        <v>24</v>
      </c>
      <c r="B22" s="4">
        <v>2010</v>
      </c>
      <c r="C22" s="6">
        <v>11758093384.549999</v>
      </c>
      <c r="D22" s="8">
        <f>SUMPRODUCT(N(Tabela3[PAPEL]=Tabela2[[#This Row],[Ativo]]),Tabela3[Total Ações])</f>
        <v>2865417020</v>
      </c>
      <c r="E22" s="65">
        <f>(Tabela2[[#This Row],[Lucro Líquido]])/Tabela2[[#This Row],[Total Ações]]</f>
        <v>4.1034492719492537</v>
      </c>
      <c r="F22" s="65">
        <v>1.6421960419999999</v>
      </c>
      <c r="G22" s="45">
        <f>IF(AND(Tabela2[[#This Row],[Dividendo / Ação]]&gt;0,Tabela2[[#This Row],[Lucro por ação]]&gt;0),Tabela2[[#This Row],[Dividendo / Ação]]/Tabela2[[#This Row],[Lucro por ação]],"")</f>
        <v>0.40019893829951275</v>
      </c>
      <c r="H22" s="6">
        <f>MAX(Tabela2[[#This Row],[Cotação 1]],Tabela2[[#This Row],[Cotação 2]])</f>
        <v>23.17</v>
      </c>
      <c r="I22" s="19">
        <f>IF(Tabela2[[#This Row],[Dividendo / Ação]]&gt;0,Tabela2[[#This Row],[Dividendo / Ação]]/Tabela2[[#This Row],[Cotação]],"")</f>
        <v>7.0875962106171767E-2</v>
      </c>
      <c r="J22" s="60">
        <f>SUMPRODUCT(N(Tabela1[Código]=Tabela2[[#This Row],[Ativo]]),Tabela1[Fechamento])</f>
        <v>23.17</v>
      </c>
      <c r="K22" s="60">
        <f>SUMPRODUCT(N(Tabela17[Código]=Tabela2[[#This Row],[Ativo]]),Tabela17[Fechamento])</f>
        <v>0</v>
      </c>
      <c r="L22" s="60">
        <f>SUMPRODUCT(N(Tabela2[Ativo]=Tabela2[[#This Row],[Ativo]]),N(Tabela2[Exercício]=Tabela2[[#This Row],[Exercício]]-1),Tabela2[Lucro Líquido])</f>
        <v>10147521914.51</v>
      </c>
      <c r="M22" s="19">
        <f>IF(Tabela2[[#This Row],[Lucro Anterior]]=0,"",IF(Tabela2[[#This Row],[Lucro Líquido]]&gt;0,Tabela2[[#This Row],[Lucro Líquido]]/Tabela2[[#This Row],[Lucro Anterior]]-1,0))</f>
        <v>0.15871574199184857</v>
      </c>
    </row>
    <row r="23" spans="1:13" x14ac:dyDescent="0.2">
      <c r="A23" s="4" t="s">
        <v>24</v>
      </c>
      <c r="B23" s="4">
        <v>2009</v>
      </c>
      <c r="C23" s="6">
        <v>10147521914.51</v>
      </c>
      <c r="D23" s="8">
        <f>SUMPRODUCT(N(Tabela3[PAPEL]=Tabela2[[#This Row],[Ativo]]),Tabela3[Total Ações])</f>
        <v>2865417020</v>
      </c>
      <c r="E23" s="65">
        <f>(Tabela2[[#This Row],[Lucro Líquido]])/Tabela2[[#This Row],[Total Ações]]</f>
        <v>3.5413769945814031</v>
      </c>
      <c r="F23" s="65">
        <v>1.4165507980000001</v>
      </c>
      <c r="G23" s="45">
        <f>IF(AND(Tabela2[[#This Row],[Dividendo / Ação]]&gt;0,Tabela2[[#This Row],[Lucro por ação]]&gt;0),Tabela2[[#This Row],[Dividendo / Ação]]/Tabela2[[#This Row],[Lucro por ação]],"")</f>
        <v>0.4000000000472807</v>
      </c>
      <c r="H23" s="6">
        <f>MAX(Tabela2[[#This Row],[Cotação 1]],Tabela2[[#This Row],[Cotação 2]])</f>
        <v>23.17</v>
      </c>
      <c r="I23" s="19">
        <f>IF(Tabela2[[#This Row],[Dividendo / Ação]]&gt;0,Tabela2[[#This Row],[Dividendo / Ação]]/Tabela2[[#This Row],[Cotação]],"")</f>
        <v>6.1137280880448855E-2</v>
      </c>
      <c r="J23" s="60">
        <f>SUMPRODUCT(N(Tabela1[Código]=Tabela2[[#This Row],[Ativo]]),Tabela1[Fechamento])</f>
        <v>23.17</v>
      </c>
      <c r="K23" s="60">
        <f>SUMPRODUCT(N(Tabela17[Código]=Tabela2[[#This Row],[Ativo]]),Tabela17[Fechamento])</f>
        <v>0</v>
      </c>
      <c r="L23" s="60">
        <f>SUMPRODUCT(N(Tabela2[Ativo]=Tabela2[[#This Row],[Ativo]]),N(Tabela2[Exercício]=Tabela2[[#This Row],[Exercício]]-1),Tabela2[Lucro Líquido])</f>
        <v>0</v>
      </c>
      <c r="M23" s="19" t="str">
        <f>IF(Tabela2[[#This Row],[Lucro Anterior]]=0,"",IF(Tabela2[[#This Row],[Lucro Líquido]]&gt;0,Tabela2[[#This Row],[Lucro Líquido]]/Tabela2[[#This Row],[Lucro Anterior]]-1,0))</f>
        <v/>
      </c>
    </row>
    <row r="24" spans="1:13" x14ac:dyDescent="0.2">
      <c r="A24" s="4" t="s">
        <v>219</v>
      </c>
      <c r="B24" s="4">
        <v>2012</v>
      </c>
      <c r="C24" s="6">
        <v>11381244459.27</v>
      </c>
      <c r="D24" s="8">
        <f>SUMPRODUCT(N(Tabela3[PAPEL]=Tabela2[[#This Row],[Ativo]]),Tabela3[Total Ações])</f>
        <v>4207274039</v>
      </c>
      <c r="E24" s="65">
        <f>(Tabela2[[#This Row],[Lucro Líquido]])/Tabela2[[#This Row],[Total Ações]]</f>
        <v>2.705135047959732</v>
      </c>
      <c r="F24" s="65">
        <v>0.97174542699999999</v>
      </c>
      <c r="G24" s="45">
        <f>IF(AND(Tabela2[[#This Row],[Dividendo / Ação]]&gt;0,Tabela2[[#This Row],[Lucro por ação]]&gt;0),Tabela2[[#This Row],[Dividendo / Ação]]/Tabela2[[#This Row],[Lucro por ação]],"")</f>
        <v>0.35922251930930776</v>
      </c>
      <c r="H24" s="6">
        <f>MAX(Tabela2[[#This Row],[Cotação 1]],Tabela2[[#This Row],[Cotação 2]])</f>
        <v>30.03</v>
      </c>
      <c r="I24" s="19">
        <f>IF(Tabela2[[#This Row],[Dividendo / Ação]]&gt;0,Tabela2[[#This Row],[Dividendo / Ação]]/Tabela2[[#This Row],[Cotação]],"")</f>
        <v>3.2359155078255077E-2</v>
      </c>
      <c r="J24" s="60">
        <f>SUMPRODUCT(N(Tabela1[Código]=Tabela2[[#This Row],[Ativo]]),Tabela1[Fechamento])</f>
        <v>30.03</v>
      </c>
      <c r="K24" s="60">
        <f>SUMPRODUCT(N(Tabela17[Código]=Tabela2[[#This Row],[Ativo]]),Tabela17[Fechamento])</f>
        <v>0</v>
      </c>
      <c r="L24" s="60">
        <f>SUMPRODUCT(N(Tabela2[Ativo]=Tabela2[[#This Row],[Ativo]]),N(Tabela2[Exercício]=Tabela2[[#This Row],[Exercício]]-1),Tabela2[Lucro Líquido])</f>
        <v>11037515599</v>
      </c>
      <c r="M24" s="19">
        <f>IF(Tabela2[[#This Row],[Lucro Anterior]]=0,"",IF(Tabela2[[#This Row],[Lucro Líquido]]&gt;0,Tabela2[[#This Row],[Lucro Líquido]]/Tabela2[[#This Row],[Lucro Anterior]]-1,0))</f>
        <v>3.1141868583283605E-2</v>
      </c>
    </row>
    <row r="25" spans="1:13" x14ac:dyDescent="0.2">
      <c r="A25" s="4" t="s">
        <v>219</v>
      </c>
      <c r="B25" s="3">
        <v>2011</v>
      </c>
      <c r="C25" s="5">
        <v>11037515599</v>
      </c>
      <c r="D25" s="61">
        <f>SUMPRODUCT(N(Tabela3[PAPEL]=Tabela2[[#This Row],[Ativo]]),Tabela3[Total Ações])</f>
        <v>4207274039</v>
      </c>
      <c r="E25" s="64">
        <f>(Tabela2[[#This Row],[Lucro Líquido]])/Tabela2[[#This Row],[Total Ações]]</f>
        <v>2.6234363382765142</v>
      </c>
      <c r="F25" s="64">
        <v>0.933388</v>
      </c>
      <c r="G25" s="22">
        <f>IF(AND(Tabela2[[#This Row],[Dividendo / Ação]]&gt;0,Tabela2[[#This Row],[Lucro por ação]]&gt;0),Tabela2[[#This Row],[Dividendo / Ação]]/Tabela2[[#This Row],[Lucro por ação]],"")</f>
        <v>0.35578831717075171</v>
      </c>
      <c r="H25" s="5">
        <f>MAX(Tabela2[[#This Row],[Cotação 1]],Tabela2[[#This Row],[Cotação 2]])</f>
        <v>30.03</v>
      </c>
      <c r="I25" s="18">
        <f>IF(Tabela2[[#This Row],[Dividendo / Ação]]&gt;0,Tabela2[[#This Row],[Dividendo / Ação]]/Tabela2[[#This Row],[Cotação]],"")</f>
        <v>3.1081851481851479E-2</v>
      </c>
      <c r="J25" s="59">
        <f>SUMPRODUCT(N(Tabela1[Código]=Tabela2[[#This Row],[Ativo]]),Tabela1[Fechamento])</f>
        <v>30.03</v>
      </c>
      <c r="K25" s="59">
        <f>SUMPRODUCT(N(Tabela17[Código]=Tabela2[[#This Row],[Ativo]]),Tabela17[Fechamento])</f>
        <v>0</v>
      </c>
      <c r="L25" s="59">
        <f>SUMPRODUCT(N(Tabela2[Ativo]=Tabela2[[#This Row],[Ativo]]),N(Tabela2[Exercício]=Tabela2[[#This Row],[Exercício]]-1),Tabela2[Lucro Líquido])</f>
        <v>10159097403</v>
      </c>
      <c r="M25" s="18">
        <f>IF(Tabela2[[#This Row],[Lucro Anterior]]=0,"",IF(Tabela2[[#This Row],[Lucro Líquido]]&gt;0,Tabela2[[#This Row],[Lucro Líquido]]/Tabela2[[#This Row],[Lucro Anterior]]-1,0))</f>
        <v>8.6466165364316838E-2</v>
      </c>
    </row>
    <row r="26" spans="1:13" x14ac:dyDescent="0.2">
      <c r="A26" s="4" t="s">
        <v>219</v>
      </c>
      <c r="B26" s="3">
        <v>2010</v>
      </c>
      <c r="C26" s="5">
        <v>10159097403</v>
      </c>
      <c r="D26" s="61">
        <f>SUMPRODUCT(N(Tabela3[PAPEL]=Tabela2[[#This Row],[Ativo]]),Tabela3[Total Ações])</f>
        <v>4207274039</v>
      </c>
      <c r="E26" s="64">
        <f>(Tabela2[[#This Row],[Lucro Líquido]])/Tabela2[[#This Row],[Total Ações]]</f>
        <v>2.4146507474503967</v>
      </c>
      <c r="F26" s="64">
        <v>0.87638400000000005</v>
      </c>
      <c r="G26" s="22">
        <f>IF(AND(Tabela2[[#This Row],[Dividendo / Ação]]&gt;0,Tabela2[[#This Row],[Lucro por ação]]&gt;0),Tabela2[[#This Row],[Dividendo / Ação]]/Tabela2[[#This Row],[Lucro por ação]],"")</f>
        <v>0.36294441377303294</v>
      </c>
      <c r="H26" s="5">
        <f>MAX(Tabela2[[#This Row],[Cotação 1]],Tabela2[[#This Row],[Cotação 2]])</f>
        <v>30.03</v>
      </c>
      <c r="I26" s="18">
        <f>IF(Tabela2[[#This Row],[Dividendo / Ação]]&gt;0,Tabela2[[#This Row],[Dividendo / Ação]]/Tabela2[[#This Row],[Cotação]],"")</f>
        <v>2.9183616383616384E-2</v>
      </c>
      <c r="J26" s="59">
        <f>SUMPRODUCT(N(Tabela1[Código]=Tabela2[[#This Row],[Ativo]]),Tabela1[Fechamento])</f>
        <v>30.03</v>
      </c>
      <c r="K26" s="59">
        <f>SUMPRODUCT(N(Tabela17[Código]=Tabela2[[#This Row],[Ativo]]),Tabela17[Fechamento])</f>
        <v>0</v>
      </c>
      <c r="L26" s="59">
        <f>SUMPRODUCT(N(Tabela2[Ativo]=Tabela2[[#This Row],[Ativo]]),N(Tabela2[Exercício]=Tabela2[[#This Row],[Exercício]]-1),Tabela2[Lucro Líquido])</f>
        <v>8134916341</v>
      </c>
      <c r="M26" s="18">
        <f>IF(Tabela2[[#This Row],[Lucro Anterior]]=0,"",IF(Tabela2[[#This Row],[Lucro Líquido]]&gt;0,Tabela2[[#This Row],[Lucro Líquido]]/Tabela2[[#This Row],[Lucro Anterior]]-1,0))</f>
        <v>0.24882629115656929</v>
      </c>
    </row>
    <row r="27" spans="1:13" x14ac:dyDescent="0.2">
      <c r="A27" s="4" t="s">
        <v>219</v>
      </c>
      <c r="B27" s="3">
        <v>2009</v>
      </c>
      <c r="C27" s="5">
        <v>8134916341</v>
      </c>
      <c r="D27" s="61">
        <f>SUMPRODUCT(N(Tabela3[PAPEL]=Tabela2[[#This Row],[Ativo]]),Tabela3[Total Ações])</f>
        <v>4207274039</v>
      </c>
      <c r="E27" s="64">
        <f>(Tabela2[[#This Row],[Lucro Líquido]])/Tabela2[[#This Row],[Total Ações]]</f>
        <v>1.933536124719258</v>
      </c>
      <c r="F27" s="64">
        <v>0.834144</v>
      </c>
      <c r="G27" s="22">
        <f>IF(AND(Tabela2[[#This Row],[Dividendo / Ação]]&gt;0,Tabela2[[#This Row],[Lucro por ação]]&gt;0),Tabela2[[#This Row],[Dividendo / Ação]]/Tabela2[[#This Row],[Lucro por ação]],"")</f>
        <v>0.43140854175719862</v>
      </c>
      <c r="H27" s="5">
        <f>MAX(Tabela2[[#This Row],[Cotação 1]],Tabela2[[#This Row],[Cotação 2]])</f>
        <v>30.03</v>
      </c>
      <c r="I27" s="18">
        <f>IF(Tabela2[[#This Row],[Dividendo / Ação]]&gt;0,Tabela2[[#This Row],[Dividendo / Ação]]/Tabela2[[#This Row],[Cotação]],"")</f>
        <v>2.7777022977022975E-2</v>
      </c>
      <c r="J27" s="59">
        <f>SUMPRODUCT(N(Tabela1[Código]=Tabela2[[#This Row],[Ativo]]),Tabela1[Fechamento])</f>
        <v>30.03</v>
      </c>
      <c r="K27" s="59">
        <f>SUMPRODUCT(N(Tabela17[Código]=Tabela2[[#This Row],[Ativo]]),Tabela17[Fechamento])</f>
        <v>0</v>
      </c>
      <c r="L27" s="59">
        <f>SUMPRODUCT(N(Tabela2[Ativo]=Tabela2[[#This Row],[Ativo]]),N(Tabela2[Exercício]=Tabela2[[#This Row],[Exercício]]-1),Tabela2[Lucro Líquido])</f>
        <v>0</v>
      </c>
      <c r="M27" s="18" t="str">
        <f>IF(Tabela2[[#This Row],[Lucro Anterior]]=0,"",IF(Tabela2[[#This Row],[Lucro Líquido]]&gt;0,Tabela2[[#This Row],[Lucro Líquido]]/Tabela2[[#This Row],[Lucro Anterior]]-1,0))</f>
        <v/>
      </c>
    </row>
    <row r="28" spans="1:13" x14ac:dyDescent="0.2">
      <c r="A28" s="4" t="s">
        <v>220</v>
      </c>
      <c r="B28" s="4">
        <v>2012</v>
      </c>
      <c r="C28" s="6">
        <v>11381244459.27</v>
      </c>
      <c r="D28" s="8">
        <f>SUMPRODUCT(N(Tabela3[PAPEL]=Tabela2[[#This Row],[Ativo]]),Tabela3[Total Ações])</f>
        <v>4207274039</v>
      </c>
      <c r="E28" s="65">
        <f>(Tabela2[[#This Row],[Lucro Líquido]])/Tabela2[[#This Row],[Total Ações]]</f>
        <v>2.705135047959732</v>
      </c>
      <c r="F28" s="65">
        <v>1.0689199700000001</v>
      </c>
      <c r="G28" s="45">
        <f>IF(AND(Tabela2[[#This Row],[Dividendo / Ação]]&gt;0,Tabela2[[#This Row],[Lucro por ação]]&gt;0),Tabela2[[#This Row],[Dividendo / Ação]]/Tabela2[[#This Row],[Lucro por ação]],"")</f>
        <v>0.39514477135113873</v>
      </c>
      <c r="H28" s="6">
        <f>MAX(Tabela2[[#This Row],[Cotação 1]],Tabela2[[#This Row],[Cotação 2]])</f>
        <v>27.83</v>
      </c>
      <c r="I28" s="19">
        <f>IF(Tabela2[[#This Row],[Dividendo / Ação]]&gt;0,Tabela2[[#This Row],[Dividendo / Ação]]/Tabela2[[#This Row],[Cotação]],"")</f>
        <v>3.8408910168882503E-2</v>
      </c>
      <c r="J28" s="60">
        <f>SUMPRODUCT(N(Tabela1[Código]=Tabela2[[#This Row],[Ativo]]),Tabela1[Fechamento])</f>
        <v>27.83</v>
      </c>
      <c r="K28" s="60">
        <f>SUMPRODUCT(N(Tabela17[Código]=Tabela2[[#This Row],[Ativo]]),Tabela17[Fechamento])</f>
        <v>0</v>
      </c>
      <c r="L28" s="60">
        <f>SUMPRODUCT(N(Tabela2[Ativo]=Tabela2[[#This Row],[Ativo]]),N(Tabela2[Exercício]=Tabela2[[#This Row],[Exercício]]-1),Tabela2[Lucro Líquido])</f>
        <v>11037515599</v>
      </c>
      <c r="M28" s="19">
        <f>IF(Tabela2[[#This Row],[Lucro Anterior]]=0,"",IF(Tabela2[[#This Row],[Lucro Líquido]]&gt;0,Tabela2[[#This Row],[Lucro Líquido]]/Tabela2[[#This Row],[Lucro Anterior]]-1,0))</f>
        <v>3.1141868583283605E-2</v>
      </c>
    </row>
    <row r="29" spans="1:13" x14ac:dyDescent="0.2">
      <c r="A29" s="4" t="s">
        <v>220</v>
      </c>
      <c r="B29" s="4">
        <v>2011</v>
      </c>
      <c r="C29" s="5">
        <v>11037515599</v>
      </c>
      <c r="D29" s="8">
        <f>SUMPRODUCT(N(Tabela3[PAPEL]=Tabela2[[#This Row],[Ativo]]),Tabela3[Total Ações])</f>
        <v>4207274039</v>
      </c>
      <c r="E29" s="65">
        <f>(Tabela2[[#This Row],[Lucro Líquido]])/Tabela2[[#This Row],[Total Ações]]</f>
        <v>2.6234363382765142</v>
      </c>
      <c r="F29" s="65">
        <v>1.0267269999999999</v>
      </c>
      <c r="G29" s="45">
        <f>IF(AND(Tabela2[[#This Row],[Dividendo / Ação]]&gt;0,Tabela2[[#This Row],[Lucro por ação]]&gt;0),Tabela2[[#This Row],[Dividendo / Ação]]/Tabela2[[#This Row],[Lucro por ação]],"")</f>
        <v>0.3913672251237153</v>
      </c>
      <c r="H29" s="6">
        <f>MAX(Tabela2[[#This Row],[Cotação 1]],Tabela2[[#This Row],[Cotação 2]])</f>
        <v>27.83</v>
      </c>
      <c r="I29" s="19">
        <f>IF(Tabela2[[#This Row],[Dividendo / Ação]]&gt;0,Tabela2[[#This Row],[Dividendo / Ação]]/Tabela2[[#This Row],[Cotação]],"")</f>
        <v>3.6892813510600073E-2</v>
      </c>
      <c r="J29" s="60">
        <f>SUMPRODUCT(N(Tabela1[Código]=Tabela2[[#This Row],[Ativo]]),Tabela1[Fechamento])</f>
        <v>27.83</v>
      </c>
      <c r="K29" s="60">
        <f>SUMPRODUCT(N(Tabela17[Código]=Tabela2[[#This Row],[Ativo]]),Tabela17[Fechamento])</f>
        <v>0</v>
      </c>
      <c r="L29" s="60">
        <f>SUMPRODUCT(N(Tabela2[Ativo]=Tabela2[[#This Row],[Ativo]]),N(Tabela2[Exercício]=Tabela2[[#This Row],[Exercício]]-1),Tabela2[Lucro Líquido])</f>
        <v>10159097403</v>
      </c>
      <c r="M29" s="19">
        <f>IF(Tabela2[[#This Row],[Lucro Anterior]]=0,"",IF(Tabela2[[#This Row],[Lucro Líquido]]&gt;0,Tabela2[[#This Row],[Lucro Líquido]]/Tabela2[[#This Row],[Lucro Anterior]]-1,0))</f>
        <v>8.6466165364316838E-2</v>
      </c>
    </row>
    <row r="30" spans="1:13" x14ac:dyDescent="0.2">
      <c r="A30" s="4" t="s">
        <v>220</v>
      </c>
      <c r="B30" s="4">
        <v>2010</v>
      </c>
      <c r="C30" s="5">
        <v>10159097403</v>
      </c>
      <c r="D30" s="8">
        <f>SUMPRODUCT(N(Tabela3[PAPEL]=Tabela2[[#This Row],[Ativo]]),Tabela3[Total Ações])</f>
        <v>4207274039</v>
      </c>
      <c r="E30" s="65">
        <f>(Tabela2[[#This Row],[Lucro Líquido]])/Tabela2[[#This Row],[Total Ações]]</f>
        <v>2.4146507474503967</v>
      </c>
      <c r="F30" s="65">
        <v>0.96402200000000005</v>
      </c>
      <c r="G30" s="45">
        <f>IF(AND(Tabela2[[#This Row],[Dividendo / Ação]]&gt;0,Tabela2[[#This Row],[Lucro por ação]]&gt;0),Tabela2[[#This Row],[Dividendo / Ação]]/Tabela2[[#This Row],[Lucro por ação]],"")</f>
        <v>0.39923868949490948</v>
      </c>
      <c r="H30" s="6">
        <f>MAX(Tabela2[[#This Row],[Cotação 1]],Tabela2[[#This Row],[Cotação 2]])</f>
        <v>27.83</v>
      </c>
      <c r="I30" s="19">
        <f>IF(Tabela2[[#This Row],[Dividendo / Ação]]&gt;0,Tabela2[[#This Row],[Dividendo / Ação]]/Tabela2[[#This Row],[Cotação]],"")</f>
        <v>3.4639669421487607E-2</v>
      </c>
      <c r="J30" s="60">
        <f>SUMPRODUCT(N(Tabela1[Código]=Tabela2[[#This Row],[Ativo]]),Tabela1[Fechamento])</f>
        <v>27.83</v>
      </c>
      <c r="K30" s="60">
        <f>SUMPRODUCT(N(Tabela17[Código]=Tabela2[[#This Row],[Ativo]]),Tabela17[Fechamento])</f>
        <v>0</v>
      </c>
      <c r="L30" s="60">
        <f>SUMPRODUCT(N(Tabela2[Ativo]=Tabela2[[#This Row],[Ativo]]),N(Tabela2[Exercício]=Tabela2[[#This Row],[Exercício]]-1),Tabela2[Lucro Líquido])</f>
        <v>8134916341</v>
      </c>
      <c r="M30" s="19">
        <f>IF(Tabela2[[#This Row],[Lucro Anterior]]=0,"",IF(Tabela2[[#This Row],[Lucro Líquido]]&gt;0,Tabela2[[#This Row],[Lucro Líquido]]/Tabela2[[#This Row],[Lucro Anterior]]-1,0))</f>
        <v>0.24882629115656929</v>
      </c>
    </row>
    <row r="31" spans="1:13" x14ac:dyDescent="0.2">
      <c r="A31" s="4" t="s">
        <v>220</v>
      </c>
      <c r="B31" s="4">
        <v>2009</v>
      </c>
      <c r="C31" s="5">
        <v>8134916341</v>
      </c>
      <c r="D31" s="8">
        <f>SUMPRODUCT(N(Tabela3[PAPEL]=Tabela2[[#This Row],[Ativo]]),Tabela3[Total Ações])</f>
        <v>4207274039</v>
      </c>
      <c r="E31" s="65">
        <f>(Tabela2[[#This Row],[Lucro Líquido]])/Tabela2[[#This Row],[Total Ações]]</f>
        <v>1.933536124719258</v>
      </c>
      <c r="F31" s="65">
        <v>0.91755799999999998</v>
      </c>
      <c r="G31" s="45">
        <f>IF(AND(Tabela2[[#This Row],[Dividendo / Ação]]&gt;0,Tabela2[[#This Row],[Lucro por ação]]&gt;0),Tabela2[[#This Row],[Dividendo / Ação]]/Tabela2[[#This Row],[Lucro por ação]],"")</f>
        <v>0.47454918905806631</v>
      </c>
      <c r="H31" s="6">
        <f>MAX(Tabela2[[#This Row],[Cotação 1]],Tabela2[[#This Row],[Cotação 2]])</f>
        <v>27.83</v>
      </c>
      <c r="I31" s="19">
        <f>IF(Tabela2[[#This Row],[Dividendo / Ação]]&gt;0,Tabela2[[#This Row],[Dividendo / Ação]]/Tabela2[[#This Row],[Cotação]],"")</f>
        <v>3.2970104204096302E-2</v>
      </c>
      <c r="J31" s="60">
        <f>SUMPRODUCT(N(Tabela1[Código]=Tabela2[[#This Row],[Ativo]]),Tabela1[Fechamento])</f>
        <v>27.83</v>
      </c>
      <c r="K31" s="60">
        <f>SUMPRODUCT(N(Tabela17[Código]=Tabela2[[#This Row],[Ativo]]),Tabela17[Fechamento])</f>
        <v>0</v>
      </c>
      <c r="L31" s="60">
        <f>SUMPRODUCT(N(Tabela2[Ativo]=Tabela2[[#This Row],[Ativo]]),N(Tabela2[Exercício]=Tabela2[[#This Row],[Exercício]]-1),Tabela2[Lucro Líquido])</f>
        <v>0</v>
      </c>
      <c r="M31" s="19" t="str">
        <f>IF(Tabela2[[#This Row],[Lucro Anterior]]=0,"",IF(Tabela2[[#This Row],[Lucro Líquido]]&gt;0,Tabela2[[#This Row],[Lucro Líquido]]/Tabela2[[#This Row],[Lucro Anterior]]-1,0))</f>
        <v/>
      </c>
    </row>
    <row r="32" spans="1:13" x14ac:dyDescent="0.2">
      <c r="A32" s="4" t="s">
        <v>25</v>
      </c>
      <c r="B32" s="4">
        <v>2012</v>
      </c>
      <c r="C32" s="6">
        <v>2000000000</v>
      </c>
      <c r="D32" s="8">
        <f>SUMPRODUCT(N(Tabela3[PAPEL]=Tabela2[[#This Row],[Ativo]]),Tabela3[Total Ações])</f>
        <v>2000000000</v>
      </c>
      <c r="E32" s="65">
        <f>(Tabela2[[#This Row],[Lucro Líquido]])/Tabela2[[#This Row],[Total Ações]]</f>
        <v>1</v>
      </c>
      <c r="F32" s="65">
        <v>0.25</v>
      </c>
      <c r="G32" s="45">
        <f>IF(AND(Tabela2[[#This Row],[Dividendo / Ação]]&gt;0,Tabela2[[#This Row],[Lucro por ação]]&gt;0),Tabela2[[#This Row],[Dividendo / Ação]]/Tabela2[[#This Row],[Lucro por ação]],"")</f>
        <v>0.25</v>
      </c>
      <c r="H32" s="13">
        <f>MAX(Tabela2[[#This Row],[Cotação 1]],Tabela2[[#This Row],[Cotação 2]])</f>
        <v>23.96</v>
      </c>
      <c r="I32" s="19">
        <f>IF(Tabela2[[#This Row],[Dividendo / Ação]]&gt;0,Tabela2[[#This Row],[Dividendo / Ação]]/Tabela2[[#This Row],[Cotação]],"")</f>
        <v>1.0434056761268781E-2</v>
      </c>
      <c r="J32" s="17">
        <f>SUMPRODUCT(N(Tabela1[Código]=Tabela2[[#This Row],[Ativo]]),Tabela1[Fechamento])</f>
        <v>0</v>
      </c>
      <c r="K32" s="17">
        <f>SUMPRODUCT(N(Tabela17[Código]=Tabela2[[#This Row],[Ativo]]),Tabela17[Fechamento])</f>
        <v>23.96</v>
      </c>
      <c r="L32" s="17">
        <f>SUMPRODUCT(N(Tabela2[Ativo]=Tabela2[[#This Row],[Ativo]]),N(Tabela2[Exercício]=Tabela2[[#This Row],[Exercício]]-1),Tabela2[Lucro Líquido])</f>
        <v>0</v>
      </c>
      <c r="M32" s="19" t="str">
        <f>IF(Tabela2[[#This Row],[Lucro Anterior]]=0,"",IF(Tabela2[[#This Row],[Lucro Líquido]]&gt;0,Tabela2[[#This Row],[Lucro Líquido]]/Tabela2[[#This Row],[Lucro Anterior]]-1,0))</f>
        <v/>
      </c>
    </row>
    <row r="33" spans="1:13" x14ac:dyDescent="0.2">
      <c r="A33" s="4" t="s">
        <v>59</v>
      </c>
      <c r="B33" s="4">
        <v>2012</v>
      </c>
      <c r="C33" s="6">
        <v>81395000</v>
      </c>
      <c r="D33" s="8">
        <f>SUMPRODUCT(N(Tabela3[PAPEL]=Tabela2[[#This Row],[Ativo]]),Tabela3[Total Ações])</f>
        <v>1579564303</v>
      </c>
      <c r="E33" s="65">
        <f>(Tabela2[[#This Row],[Lucro Líquido]])/Tabela2[[#This Row],[Total Ações]]</f>
        <v>5.153003258266213E-2</v>
      </c>
      <c r="F33" s="65">
        <v>2.0200094799999999E-2</v>
      </c>
      <c r="G33" s="45">
        <f>IF(AND(Tabela2[[#This Row],[Dividendo / Ação]]&gt;0,Tabela2[[#This Row],[Lucro por ação]]&gt;0),Tabela2[[#This Row],[Dividendo / Ação]]/Tabela2[[#This Row],[Lucro por ação]],"")</f>
        <v>0.39200624931870415</v>
      </c>
      <c r="H33" s="6">
        <f>MAX(Tabela2[[#This Row],[Cotação 1]],Tabela2[[#This Row],[Cotação 2]])</f>
        <v>0.47</v>
      </c>
      <c r="I33" s="19">
        <f>IF(Tabela2[[#This Row],[Dividendo / Ação]]&gt;0,Tabela2[[#This Row],[Dividendo / Ação]]/Tabela2[[#This Row],[Cotação]],"")</f>
        <v>4.297892510638298E-2</v>
      </c>
      <c r="J33" s="60">
        <f>SUMPRODUCT(N(Tabela1[Código]=Tabela2[[#This Row],[Ativo]]),Tabela1[Fechamento])</f>
        <v>0.47</v>
      </c>
      <c r="K33" s="60">
        <f>SUMPRODUCT(N(Tabela17[Código]=Tabela2[[#This Row],[Ativo]]),Tabela17[Fechamento])</f>
        <v>0</v>
      </c>
      <c r="L33" s="60">
        <f>SUMPRODUCT(N(Tabela2[Ativo]=Tabela2[[#This Row],[Ativo]]),N(Tabela2[Exercício]=Tabela2[[#This Row],[Exercício]]-1),Tabela2[Lucro Líquido])</f>
        <v>87892000</v>
      </c>
      <c r="M33" s="19">
        <f>IF(Tabela2[[#This Row],[Lucro Anterior]]=0,"",IF(Tabela2[[#This Row],[Lucro Líquido]]&gt;0,Tabela2[[#This Row],[Lucro Líquido]]/Tabela2[[#This Row],[Lucro Anterior]]-1,0))</f>
        <v>-7.3920265780730854E-2</v>
      </c>
    </row>
    <row r="34" spans="1:13" x14ac:dyDescent="0.2">
      <c r="A34" s="4" t="s">
        <v>59</v>
      </c>
      <c r="B34" s="3">
        <v>2011</v>
      </c>
      <c r="C34" s="5">
        <v>87892000</v>
      </c>
      <c r="D34" s="61">
        <f>SUMPRODUCT(N(Tabela3[PAPEL]=Tabela2[[#This Row],[Ativo]]),Tabela3[Total Ações])</f>
        <v>1579564303</v>
      </c>
      <c r="E34" s="64">
        <f>(Tabela2[[#This Row],[Lucro Líquido]])/Tabela2[[#This Row],[Total Ações]]</f>
        <v>5.5643192134103327E-2</v>
      </c>
      <c r="F34" s="64">
        <v>3.1132696000000001E-2</v>
      </c>
      <c r="G34" s="22">
        <f>IF(AND(Tabela2[[#This Row],[Dividendo / Ação]]&gt;0,Tabela2[[#This Row],[Lucro por ação]]&gt;0),Tabela2[[#This Row],[Dividendo / Ação]]/Tabela2[[#This Row],[Lucro por ação]],"")</f>
        <v>0.55950593066207266</v>
      </c>
      <c r="H34" s="5">
        <f>MAX(Tabela2[[#This Row],[Cotação 1]],Tabela2[[#This Row],[Cotação 2]])</f>
        <v>0.47</v>
      </c>
      <c r="I34" s="18">
        <f>IF(Tabela2[[#This Row],[Dividendo / Ação]]&gt;0,Tabela2[[#This Row],[Dividendo / Ação]]/Tabela2[[#This Row],[Cotação]],"")</f>
        <v>6.6239778723404266E-2</v>
      </c>
      <c r="J34" s="59">
        <f>SUMPRODUCT(N(Tabela1[Código]=Tabela2[[#This Row],[Ativo]]),Tabela1[Fechamento])</f>
        <v>0.47</v>
      </c>
      <c r="K34" s="59">
        <f>SUMPRODUCT(N(Tabela17[Código]=Tabela2[[#This Row],[Ativo]]),Tabela17[Fechamento])</f>
        <v>0</v>
      </c>
      <c r="L34" s="59">
        <f>SUMPRODUCT(N(Tabela2[Ativo]=Tabela2[[#This Row],[Ativo]]),N(Tabela2[Exercício]=Tabela2[[#This Row],[Exercício]]-1),Tabela2[Lucro Líquido])</f>
        <v>167023000</v>
      </c>
      <c r="M34" s="18">
        <f>IF(Tabela2[[#This Row],[Lucro Anterior]]=0,"",IF(Tabela2[[#This Row],[Lucro Líquido]]&gt;0,Tabela2[[#This Row],[Lucro Líquido]]/Tabela2[[#This Row],[Lucro Anterior]]-1,0))</f>
        <v>-0.47377307316956352</v>
      </c>
    </row>
    <row r="35" spans="1:13" x14ac:dyDescent="0.2">
      <c r="A35" s="4" t="s">
        <v>59</v>
      </c>
      <c r="B35" s="3">
        <v>2010</v>
      </c>
      <c r="C35" s="5">
        <v>167023000</v>
      </c>
      <c r="D35" s="61">
        <f>SUMPRODUCT(N(Tabela3[PAPEL]=Tabela2[[#This Row],[Ativo]]),Tabela3[Total Ações])</f>
        <v>1579564303</v>
      </c>
      <c r="E35" s="64">
        <f>(Tabela2[[#This Row],[Lucro Líquido]])/Tabela2[[#This Row],[Total Ações]]</f>
        <v>0.1057399180791692</v>
      </c>
      <c r="F35" s="64">
        <v>2.6446688999999999E-2</v>
      </c>
      <c r="G35" s="22">
        <f>IF(AND(Tabela2[[#This Row],[Dividendo / Ação]]&gt;0,Tabela2[[#This Row],[Lucro por ação]]&gt;0),Tabela2[[#This Row],[Dividendo / Ação]]/Tabela2[[#This Row],[Lucro por ação]],"")</f>
        <v>0.25011073850273774</v>
      </c>
      <c r="H35" s="5">
        <f>MAX(Tabela2[[#This Row],[Cotação 1]],Tabela2[[#This Row],[Cotação 2]])</f>
        <v>0.47</v>
      </c>
      <c r="I35" s="18">
        <f>IF(Tabela2[[#This Row],[Dividendo / Ação]]&gt;0,Tabela2[[#This Row],[Dividendo / Ação]]/Tabela2[[#This Row],[Cotação]],"")</f>
        <v>5.626955106382979E-2</v>
      </c>
      <c r="J35" s="59">
        <f>SUMPRODUCT(N(Tabela1[Código]=Tabela2[[#This Row],[Ativo]]),Tabela1[Fechamento])</f>
        <v>0.47</v>
      </c>
      <c r="K35" s="59">
        <f>SUMPRODUCT(N(Tabela17[Código]=Tabela2[[#This Row],[Ativo]]),Tabela17[Fechamento])</f>
        <v>0</v>
      </c>
      <c r="L35" s="59">
        <f>SUMPRODUCT(N(Tabela2[Ativo]=Tabela2[[#This Row],[Ativo]]),N(Tabela2[Exercício]=Tabela2[[#This Row],[Exercício]]-1),Tabela2[Lucro Líquido])</f>
        <v>132496000</v>
      </c>
      <c r="M35" s="18">
        <f>IF(Tabela2[[#This Row],[Lucro Anterior]]=0,"",IF(Tabela2[[#This Row],[Lucro Líquido]]&gt;0,Tabela2[[#This Row],[Lucro Líquido]]/Tabela2[[#This Row],[Lucro Anterior]]-1,0))</f>
        <v>0.26058899891317466</v>
      </c>
    </row>
    <row r="36" spans="1:13" x14ac:dyDescent="0.2">
      <c r="A36" s="4" t="s">
        <v>59</v>
      </c>
      <c r="B36" s="3">
        <v>2009</v>
      </c>
      <c r="C36" s="5">
        <v>132496000</v>
      </c>
      <c r="D36" s="61">
        <f>SUMPRODUCT(N(Tabela3[PAPEL]=Tabela2[[#This Row],[Ativo]]),Tabela3[Total Ações])</f>
        <v>1579564303</v>
      </c>
      <c r="E36" s="64">
        <f>(Tabela2[[#This Row],[Lucro Líquido]])/Tabela2[[#This Row],[Total Ações]]</f>
        <v>8.3881358769855668E-2</v>
      </c>
      <c r="F36" s="64">
        <v>2.117499288E-2</v>
      </c>
      <c r="G36" s="22">
        <f>IF(AND(Tabela2[[#This Row],[Dividendo / Ação]]&gt;0,Tabela2[[#This Row],[Lucro por ação]]&gt;0),Tabela2[[#This Row],[Dividendo / Ação]]/Tabela2[[#This Row],[Lucro por ação]],"")</f>
        <v>0.2524397934241574</v>
      </c>
      <c r="H36" s="5">
        <f>MAX(Tabela2[[#This Row],[Cotação 1]],Tabela2[[#This Row],[Cotação 2]])</f>
        <v>0.47</v>
      </c>
      <c r="I36" s="18">
        <f>IF(Tabela2[[#This Row],[Dividendo / Ação]]&gt;0,Tabela2[[#This Row],[Dividendo / Ação]]/Tabela2[[#This Row],[Cotação]],"")</f>
        <v>4.5053176340425535E-2</v>
      </c>
      <c r="J36" s="59">
        <f>SUMPRODUCT(N(Tabela1[Código]=Tabela2[[#This Row],[Ativo]]),Tabela1[Fechamento])</f>
        <v>0.47</v>
      </c>
      <c r="K36" s="59">
        <f>SUMPRODUCT(N(Tabela17[Código]=Tabela2[[#This Row],[Ativo]]),Tabela17[Fechamento])</f>
        <v>0</v>
      </c>
      <c r="L36" s="59">
        <f>SUMPRODUCT(N(Tabela2[Ativo]=Tabela2[[#This Row],[Ativo]]),N(Tabela2[Exercício]=Tabela2[[#This Row],[Exercício]]-1),Tabela2[Lucro Líquido])</f>
        <v>0</v>
      </c>
      <c r="M36" s="18" t="str">
        <f>IF(Tabela2[[#This Row],[Lucro Anterior]]=0,"",IF(Tabela2[[#This Row],[Lucro Líquido]]&gt;0,Tabela2[[#This Row],[Lucro Líquido]]/Tabela2[[#This Row],[Lucro Anterior]]-1,0))</f>
        <v/>
      </c>
    </row>
    <row r="37" spans="1:13" x14ac:dyDescent="0.2">
      <c r="A37" s="4" t="s">
        <v>60</v>
      </c>
      <c r="B37" s="4">
        <v>2012</v>
      </c>
      <c r="C37" s="6">
        <v>81395000</v>
      </c>
      <c r="D37" s="8">
        <f>SUMPRODUCT(N(Tabela3[PAPEL]=Tabela2[[#This Row],[Ativo]]),Tabela3[Total Ações])</f>
        <v>1579564303</v>
      </c>
      <c r="E37" s="65">
        <f>(Tabela2[[#This Row],[Lucro Líquido]])/Tabela2[[#This Row],[Total Ações]]</f>
        <v>5.153003258266213E-2</v>
      </c>
      <c r="F37" s="65">
        <v>2.0200094799999999E-2</v>
      </c>
      <c r="G37" s="45">
        <f>IF(AND(Tabela2[[#This Row],[Dividendo / Ação]]&gt;0,Tabela2[[#This Row],[Lucro por ação]]&gt;0),Tabela2[[#This Row],[Dividendo / Ação]]/Tabela2[[#This Row],[Lucro por ação]],"")</f>
        <v>0.39200624931870415</v>
      </c>
      <c r="H37" s="6">
        <f>MAX(Tabela2[[#This Row],[Cotação 1]],Tabela2[[#This Row],[Cotação 2]])</f>
        <v>0.46</v>
      </c>
      <c r="I37" s="19">
        <f>IF(Tabela2[[#This Row],[Dividendo / Ação]]&gt;0,Tabela2[[#This Row],[Dividendo / Ação]]/Tabela2[[#This Row],[Cotação]],"")</f>
        <v>4.3913249565217388E-2</v>
      </c>
      <c r="J37" s="60">
        <f>SUMPRODUCT(N(Tabela1[Código]=Tabela2[[#This Row],[Ativo]]),Tabela1[Fechamento])</f>
        <v>0.46</v>
      </c>
      <c r="K37" s="60">
        <f>SUMPRODUCT(N(Tabela17[Código]=Tabela2[[#This Row],[Ativo]]),Tabela17[Fechamento])</f>
        <v>0</v>
      </c>
      <c r="L37" s="60">
        <f>SUMPRODUCT(N(Tabela2[Ativo]=Tabela2[[#This Row],[Ativo]]),N(Tabela2[Exercício]=Tabela2[[#This Row],[Exercício]]-1),Tabela2[Lucro Líquido])</f>
        <v>87892000</v>
      </c>
      <c r="M37" s="19">
        <f>IF(Tabela2[[#This Row],[Lucro Anterior]]=0,"",IF(Tabela2[[#This Row],[Lucro Líquido]]&gt;0,Tabela2[[#This Row],[Lucro Líquido]]/Tabela2[[#This Row],[Lucro Anterior]]-1,0))</f>
        <v>-7.3920265780730854E-2</v>
      </c>
    </row>
    <row r="38" spans="1:13" x14ac:dyDescent="0.2">
      <c r="A38" s="4" t="s">
        <v>60</v>
      </c>
      <c r="B38" s="4">
        <v>2011</v>
      </c>
      <c r="C38" s="5">
        <v>87892000</v>
      </c>
      <c r="D38" s="8">
        <f>SUMPRODUCT(N(Tabela3[PAPEL]=Tabela2[[#This Row],[Ativo]]),Tabela3[Total Ações])</f>
        <v>1579564303</v>
      </c>
      <c r="E38" s="65">
        <f>(Tabela2[[#This Row],[Lucro Líquido]])/Tabela2[[#This Row],[Total Ações]]</f>
        <v>5.5643192134103327E-2</v>
      </c>
      <c r="F38" s="64">
        <v>3.1132696000000001E-2</v>
      </c>
      <c r="G38" s="45">
        <f>IF(AND(Tabela2[[#This Row],[Dividendo / Ação]]&gt;0,Tabela2[[#This Row],[Lucro por ação]]&gt;0),Tabela2[[#This Row],[Dividendo / Ação]]/Tabela2[[#This Row],[Lucro por ação]],"")</f>
        <v>0.55950593066207266</v>
      </c>
      <c r="H38" s="6">
        <f>MAX(Tabela2[[#This Row],[Cotação 1]],Tabela2[[#This Row],[Cotação 2]])</f>
        <v>0.46</v>
      </c>
      <c r="I38" s="19">
        <f>IF(Tabela2[[#This Row],[Dividendo / Ação]]&gt;0,Tabela2[[#This Row],[Dividendo / Ação]]/Tabela2[[#This Row],[Cotação]],"")</f>
        <v>6.7679773913043473E-2</v>
      </c>
      <c r="J38" s="60">
        <f>SUMPRODUCT(N(Tabela1[Código]=Tabela2[[#This Row],[Ativo]]),Tabela1[Fechamento])</f>
        <v>0.46</v>
      </c>
      <c r="K38" s="60">
        <f>SUMPRODUCT(N(Tabela17[Código]=Tabela2[[#This Row],[Ativo]]),Tabela17[Fechamento])</f>
        <v>0</v>
      </c>
      <c r="L38" s="60">
        <f>SUMPRODUCT(N(Tabela2[Ativo]=Tabela2[[#This Row],[Ativo]]),N(Tabela2[Exercício]=Tabela2[[#This Row],[Exercício]]-1),Tabela2[Lucro Líquido])</f>
        <v>167023000</v>
      </c>
      <c r="M38" s="19">
        <f>IF(Tabela2[[#This Row],[Lucro Anterior]]=0,"",IF(Tabela2[[#This Row],[Lucro Líquido]]&gt;0,Tabela2[[#This Row],[Lucro Líquido]]/Tabela2[[#This Row],[Lucro Anterior]]-1,0))</f>
        <v>-0.47377307316956352</v>
      </c>
    </row>
    <row r="39" spans="1:13" x14ac:dyDescent="0.2">
      <c r="A39" s="4" t="s">
        <v>60</v>
      </c>
      <c r="B39" s="4">
        <v>2010</v>
      </c>
      <c r="C39" s="5">
        <v>167023000</v>
      </c>
      <c r="D39" s="8">
        <f>SUMPRODUCT(N(Tabela3[PAPEL]=Tabela2[[#This Row],[Ativo]]),Tabela3[Total Ações])</f>
        <v>1579564303</v>
      </c>
      <c r="E39" s="65">
        <f>(Tabela2[[#This Row],[Lucro Líquido]])/Tabela2[[#This Row],[Total Ações]]</f>
        <v>0.1057399180791692</v>
      </c>
      <c r="F39" s="64">
        <v>2.6446688999999999E-2</v>
      </c>
      <c r="G39" s="45">
        <f>IF(AND(Tabela2[[#This Row],[Dividendo / Ação]]&gt;0,Tabela2[[#This Row],[Lucro por ação]]&gt;0),Tabela2[[#This Row],[Dividendo / Ação]]/Tabela2[[#This Row],[Lucro por ação]],"")</f>
        <v>0.25011073850273774</v>
      </c>
      <c r="H39" s="6">
        <f>MAX(Tabela2[[#This Row],[Cotação 1]],Tabela2[[#This Row],[Cotação 2]])</f>
        <v>0.46</v>
      </c>
      <c r="I39" s="19">
        <f>IF(Tabela2[[#This Row],[Dividendo / Ação]]&gt;0,Tabela2[[#This Row],[Dividendo / Ação]]/Tabela2[[#This Row],[Cotação]],"")</f>
        <v>5.7492802173913039E-2</v>
      </c>
      <c r="J39" s="60">
        <f>SUMPRODUCT(N(Tabela1[Código]=Tabela2[[#This Row],[Ativo]]),Tabela1[Fechamento])</f>
        <v>0.46</v>
      </c>
      <c r="K39" s="60">
        <f>SUMPRODUCT(N(Tabela17[Código]=Tabela2[[#This Row],[Ativo]]),Tabela17[Fechamento])</f>
        <v>0</v>
      </c>
      <c r="L39" s="60">
        <f>SUMPRODUCT(N(Tabela2[Ativo]=Tabela2[[#This Row],[Ativo]]),N(Tabela2[Exercício]=Tabela2[[#This Row],[Exercício]]-1),Tabela2[Lucro Líquido])</f>
        <v>132496000</v>
      </c>
      <c r="M39" s="19">
        <f>IF(Tabela2[[#This Row],[Lucro Anterior]]=0,"",IF(Tabela2[[#This Row],[Lucro Líquido]]&gt;0,Tabela2[[#This Row],[Lucro Líquido]]/Tabela2[[#This Row],[Lucro Anterior]]-1,0))</f>
        <v>0.26058899891317466</v>
      </c>
    </row>
    <row r="40" spans="1:13" x14ac:dyDescent="0.2">
      <c r="A40" s="4" t="s">
        <v>60</v>
      </c>
      <c r="B40" s="4">
        <v>2009</v>
      </c>
      <c r="C40" s="5">
        <v>132496000</v>
      </c>
      <c r="D40" s="8">
        <f>SUMPRODUCT(N(Tabela3[PAPEL]=Tabela2[[#This Row],[Ativo]]),Tabela3[Total Ações])</f>
        <v>1579564303</v>
      </c>
      <c r="E40" s="65">
        <f>(Tabela2[[#This Row],[Lucro Líquido]])/Tabela2[[#This Row],[Total Ações]]</f>
        <v>8.3881358769855668E-2</v>
      </c>
      <c r="F40" s="64">
        <v>2.117499288E-2</v>
      </c>
      <c r="G40" s="45">
        <f>IF(AND(Tabela2[[#This Row],[Dividendo / Ação]]&gt;0,Tabela2[[#This Row],[Lucro por ação]]&gt;0),Tabela2[[#This Row],[Dividendo / Ação]]/Tabela2[[#This Row],[Lucro por ação]],"")</f>
        <v>0.2524397934241574</v>
      </c>
      <c r="H40" s="6">
        <f>MAX(Tabela2[[#This Row],[Cotação 1]],Tabela2[[#This Row],[Cotação 2]])</f>
        <v>0.46</v>
      </c>
      <c r="I40" s="19">
        <f>IF(Tabela2[[#This Row],[Dividendo / Ação]]&gt;0,Tabela2[[#This Row],[Dividendo / Ação]]/Tabela2[[#This Row],[Cotação]],"")</f>
        <v>4.6032593217391303E-2</v>
      </c>
      <c r="J40" s="60">
        <f>SUMPRODUCT(N(Tabela1[Código]=Tabela2[[#This Row],[Ativo]]),Tabela1[Fechamento])</f>
        <v>0.46</v>
      </c>
      <c r="K40" s="60">
        <f>SUMPRODUCT(N(Tabela17[Código]=Tabela2[[#This Row],[Ativo]]),Tabela17[Fechamento])</f>
        <v>0</v>
      </c>
      <c r="L40" s="60">
        <f>SUMPRODUCT(N(Tabela2[Ativo]=Tabela2[[#This Row],[Ativo]]),N(Tabela2[Exercício]=Tabela2[[#This Row],[Exercício]]-1),Tabela2[Lucro Líquido])</f>
        <v>0</v>
      </c>
      <c r="M40" s="19" t="str">
        <f>IF(Tabela2[[#This Row],[Lucro Anterior]]=0,"",IF(Tabela2[[#This Row],[Lucro Líquido]]&gt;0,Tabela2[[#This Row],[Lucro Líquido]]/Tabela2[[#This Row],[Lucro Anterior]]-1,0))</f>
        <v/>
      </c>
    </row>
    <row r="41" spans="1:13" x14ac:dyDescent="0.2">
      <c r="A41" s="14" t="s">
        <v>224</v>
      </c>
      <c r="B41" s="3">
        <v>2012</v>
      </c>
      <c r="C41" s="5">
        <v>87990976.469999999</v>
      </c>
      <c r="D41" s="61">
        <f>SUMPRODUCT(N(Tabela3[PAPEL]=Tabela2[[#This Row],[Ativo]]),Tabela3[Total Ações])</f>
        <v>10541442</v>
      </c>
      <c r="E41" s="64">
        <f>(Tabela2[[#This Row],[Lucro Líquido]])/Tabela2[[#This Row],[Total Ações]]</f>
        <v>8.3471479964505804</v>
      </c>
      <c r="F41" s="64">
        <v>4.946395323</v>
      </c>
      <c r="G41" s="22">
        <f>IF(AND(Tabela2[[#This Row],[Dividendo / Ação]]&gt;0,Tabela2[[#This Row],[Lucro por ação]]&gt;0),Tabela2[[#This Row],[Dividendo / Ação]]/Tabela2[[#This Row],[Lucro por ação]],"")</f>
        <v>0.5925850751781726</v>
      </c>
      <c r="H41" s="5">
        <f>MAX(Tabela2[[#This Row],[Cotação 1]],Tabela2[[#This Row],[Cotação 2]])</f>
        <v>43.25</v>
      </c>
      <c r="I41" s="18">
        <f>IF(Tabela2[[#This Row],[Dividendo / Ação]]&gt;0,Tabela2[[#This Row],[Dividendo / Ação]]/Tabela2[[#This Row],[Cotação]],"")</f>
        <v>0.11436752191907515</v>
      </c>
      <c r="J41" s="59">
        <f>SUMPRODUCT(N(Tabela1[Código]=Tabela2[[#This Row],[Ativo]]),Tabela1[Fechamento])</f>
        <v>43.25</v>
      </c>
      <c r="K41" s="59">
        <f>SUMPRODUCT(N(Tabela17[Código]=Tabela2[[#This Row],[Ativo]]),Tabela17[Fechamento])</f>
        <v>0</v>
      </c>
      <c r="L41" s="59">
        <f>SUMPRODUCT(N(Tabela2[Ativo]=Tabela2[[#This Row],[Ativo]]),N(Tabela2[Exercício]=Tabela2[[#This Row],[Exercício]]-1),Tabela2[Lucro Líquido])</f>
        <v>90962523.890000001</v>
      </c>
      <c r="M41" s="18">
        <f>IF(Tabela2[[#This Row],[Lucro Anterior]]=0,"",IF(Tabela2[[#This Row],[Lucro Líquido]]&gt;0,Tabela2[[#This Row],[Lucro Líquido]]/Tabela2[[#This Row],[Lucro Anterior]]-1,0))</f>
        <v>-3.2667820690567728E-2</v>
      </c>
    </row>
    <row r="42" spans="1:13" x14ac:dyDescent="0.2">
      <c r="A42" s="14" t="s">
        <v>224</v>
      </c>
      <c r="B42" s="3">
        <v>2011</v>
      </c>
      <c r="C42" s="5">
        <v>90962523.890000001</v>
      </c>
      <c r="D42" s="61">
        <f>SUMPRODUCT(N(Tabela3[PAPEL]=Tabela2[[#This Row],[Ativo]]),Tabela3[Total Ações])</f>
        <v>10541442</v>
      </c>
      <c r="E42" s="64">
        <f>(Tabela2[[#This Row],[Lucro Líquido]])/Tabela2[[#This Row],[Total Ações]]</f>
        <v>8.6290399254675023</v>
      </c>
      <c r="F42" s="64">
        <v>5.5438895290000003</v>
      </c>
      <c r="G42" s="22">
        <f>IF(AND(Tabela2[[#This Row],[Dividendo / Ação]]&gt;0,Tabela2[[#This Row],[Lucro por ação]]&gt;0),Tabela2[[#This Row],[Dividendo / Ação]]/Tabela2[[#This Row],[Lucro por ação]],"")</f>
        <v>0.64246886987252461</v>
      </c>
      <c r="H42" s="5">
        <f>MAX(Tabela2[[#This Row],[Cotação 1]],Tabela2[[#This Row],[Cotação 2]])</f>
        <v>43.25</v>
      </c>
      <c r="I42" s="18">
        <f>IF(Tabela2[[#This Row],[Dividendo / Ação]]&gt;0,Tabela2[[#This Row],[Dividendo / Ação]]/Tabela2[[#This Row],[Cotação]],"")</f>
        <v>0.12818241685549134</v>
      </c>
      <c r="J42" s="59">
        <f>SUMPRODUCT(N(Tabela1[Código]=Tabela2[[#This Row],[Ativo]]),Tabela1[Fechamento])</f>
        <v>43.25</v>
      </c>
      <c r="K42" s="59">
        <f>SUMPRODUCT(N(Tabela17[Código]=Tabela2[[#This Row],[Ativo]]),Tabela17[Fechamento])</f>
        <v>0</v>
      </c>
      <c r="L42" s="59">
        <f>SUMPRODUCT(N(Tabela2[Ativo]=Tabela2[[#This Row],[Ativo]]),N(Tabela2[Exercício]=Tabela2[[#This Row],[Exercício]]-1),Tabela2[Lucro Líquido])</f>
        <v>54465018.079999998</v>
      </c>
      <c r="M42" s="18">
        <f>IF(Tabela2[[#This Row],[Lucro Anterior]]=0,"",IF(Tabela2[[#This Row],[Lucro Líquido]]&gt;0,Tabela2[[#This Row],[Lucro Líquido]]/Tabela2[[#This Row],[Lucro Anterior]]-1,0))</f>
        <v>0.67010912869598749</v>
      </c>
    </row>
    <row r="43" spans="1:13" x14ac:dyDescent="0.2">
      <c r="A43" s="14" t="s">
        <v>224</v>
      </c>
      <c r="B43" s="3">
        <v>2010</v>
      </c>
      <c r="C43" s="5">
        <v>54465018.079999998</v>
      </c>
      <c r="D43" s="61">
        <f>SUMPRODUCT(N(Tabela3[PAPEL]=Tabela2[[#This Row],[Ativo]]),Tabela3[Total Ações])</f>
        <v>10541442</v>
      </c>
      <c r="E43" s="64">
        <f>(Tabela2[[#This Row],[Lucro Líquido]])/Tabela2[[#This Row],[Total Ações]]</f>
        <v>5.1667521464330965</v>
      </c>
      <c r="F43" s="64">
        <v>2.2723217359999999</v>
      </c>
      <c r="G43" s="22">
        <f>IF(AND(Tabela2[[#This Row],[Dividendo / Ação]]&gt;0,Tabela2[[#This Row],[Lucro por ação]]&gt;0),Tabela2[[#This Row],[Dividendo / Ação]]/Tabela2[[#This Row],[Lucro por ação]],"")</f>
        <v>0.43979693076020943</v>
      </c>
      <c r="H43" s="5">
        <f>MAX(Tabela2[[#This Row],[Cotação 1]],Tabela2[[#This Row],[Cotação 2]])</f>
        <v>43.25</v>
      </c>
      <c r="I43" s="18">
        <f>IF(Tabela2[[#This Row],[Dividendo / Ação]]&gt;0,Tabela2[[#This Row],[Dividendo / Ação]]/Tabela2[[#This Row],[Cotação]],"")</f>
        <v>5.2539230890173406E-2</v>
      </c>
      <c r="J43" s="59">
        <f>SUMPRODUCT(N(Tabela1[Código]=Tabela2[[#This Row],[Ativo]]),Tabela1[Fechamento])</f>
        <v>43.25</v>
      </c>
      <c r="K43" s="59">
        <f>SUMPRODUCT(N(Tabela17[Código]=Tabela2[[#This Row],[Ativo]]),Tabela17[Fechamento])</f>
        <v>0</v>
      </c>
      <c r="L43" s="59">
        <f>SUMPRODUCT(N(Tabela2[Ativo]=Tabela2[[#This Row],[Ativo]]),N(Tabela2[Exercício]=Tabela2[[#This Row],[Exercício]]-1),Tabela2[Lucro Líquido])</f>
        <v>39114199.380000003</v>
      </c>
      <c r="M43" s="18">
        <f>IF(Tabela2[[#This Row],[Lucro Anterior]]=0,"",IF(Tabela2[[#This Row],[Lucro Líquido]]&gt;0,Tabela2[[#This Row],[Lucro Líquido]]/Tabela2[[#This Row],[Lucro Anterior]]-1,0))</f>
        <v>0.39246153425932651</v>
      </c>
    </row>
    <row r="44" spans="1:13" x14ac:dyDescent="0.2">
      <c r="A44" s="14" t="s">
        <v>224</v>
      </c>
      <c r="B44" s="3">
        <v>2009</v>
      </c>
      <c r="C44" s="5">
        <v>39114199.380000003</v>
      </c>
      <c r="D44" s="61">
        <f>SUMPRODUCT(N(Tabela3[PAPEL]=Tabela2[[#This Row],[Ativo]]),Tabela3[Total Ações])</f>
        <v>10541442</v>
      </c>
      <c r="E44" s="64">
        <f>(Tabela2[[#This Row],[Lucro Líquido]])/Tabela2[[#This Row],[Total Ações]]</f>
        <v>3.7105169653259966</v>
      </c>
      <c r="F44" s="64">
        <v>1.979881029</v>
      </c>
      <c r="G44" s="22">
        <f>IF(AND(Tabela2[[#This Row],[Dividendo / Ação]]&gt;0,Tabela2[[#This Row],[Lucro por ação]]&gt;0),Tabela2[[#This Row],[Dividendo / Ação]]/Tabela2[[#This Row],[Lucro por ação]],"")</f>
        <v>0.53358630279865937</v>
      </c>
      <c r="H44" s="5">
        <f>MAX(Tabela2[[#This Row],[Cotação 1]],Tabela2[[#This Row],[Cotação 2]])</f>
        <v>43.25</v>
      </c>
      <c r="I44" s="18">
        <f>IF(Tabela2[[#This Row],[Dividendo / Ação]]&gt;0,Tabela2[[#This Row],[Dividendo / Ação]]/Tabela2[[#This Row],[Cotação]],"")</f>
        <v>4.577759604624277E-2</v>
      </c>
      <c r="J44" s="59">
        <f>SUMPRODUCT(N(Tabela1[Código]=Tabela2[[#This Row],[Ativo]]),Tabela1[Fechamento])</f>
        <v>43.25</v>
      </c>
      <c r="K44" s="59">
        <f>SUMPRODUCT(N(Tabela17[Código]=Tabela2[[#This Row],[Ativo]]),Tabela17[Fechamento])</f>
        <v>0</v>
      </c>
      <c r="L44" s="59">
        <f>SUMPRODUCT(N(Tabela2[Ativo]=Tabela2[[#This Row],[Ativo]]),N(Tabela2[Exercício]=Tabela2[[#This Row],[Exercício]]-1),Tabela2[Lucro Líquido])</f>
        <v>0</v>
      </c>
      <c r="M44" s="18" t="str">
        <f>IF(Tabela2[[#This Row],[Lucro Anterior]]=0,"",IF(Tabela2[[#This Row],[Lucro Líquido]]&gt;0,Tabela2[[#This Row],[Lucro Líquido]]/Tabela2[[#This Row],[Lucro Anterior]]-1,0))</f>
        <v/>
      </c>
    </row>
    <row r="45" spans="1:13" x14ac:dyDescent="0.2">
      <c r="A45" s="14" t="s">
        <v>225</v>
      </c>
      <c r="B45" s="4">
        <v>2012</v>
      </c>
      <c r="C45" s="5">
        <v>87990976.469999999</v>
      </c>
      <c r="D45" s="8">
        <f>SUMPRODUCT(N(Tabela3[PAPEL]=Tabela2[[#This Row],[Ativo]]),Tabela3[Total Ações])</f>
        <v>10541442</v>
      </c>
      <c r="E45" s="65">
        <f>(Tabela2[[#This Row],[Lucro Líquido]])/Tabela2[[#This Row],[Total Ações]]</f>
        <v>8.3471479964505804</v>
      </c>
      <c r="F45" s="65">
        <v>5.4410348859999997</v>
      </c>
      <c r="G45" s="45">
        <f>IF(AND(Tabela2[[#This Row],[Dividendo / Ação]]&gt;0,Tabela2[[#This Row],[Lucro por ação]]&gt;0),Tabela2[[#This Row],[Dividendo / Ação]]/Tabela2[[#This Row],[Lucro por ação]],"")</f>
        <v>0.65184358637389272</v>
      </c>
      <c r="H45" s="6">
        <f>MAX(Tabela2[[#This Row],[Cotação 1]],Tabela2[[#This Row],[Cotação 2]])</f>
        <v>45</v>
      </c>
      <c r="I45" s="19">
        <f>IF(Tabela2[[#This Row],[Dividendo / Ação]]&gt;0,Tabela2[[#This Row],[Dividendo / Ação]]/Tabela2[[#This Row],[Cotação]],"")</f>
        <v>0.12091188635555555</v>
      </c>
      <c r="J45" s="60">
        <f>SUMPRODUCT(N(Tabela1[Código]=Tabela2[[#This Row],[Ativo]]),Tabela1[Fechamento])</f>
        <v>45</v>
      </c>
      <c r="K45" s="60">
        <f>SUMPRODUCT(N(Tabela17[Código]=Tabela2[[#This Row],[Ativo]]),Tabela17[Fechamento])</f>
        <v>0</v>
      </c>
      <c r="L45" s="60">
        <f>SUMPRODUCT(N(Tabela2[Ativo]=Tabela2[[#This Row],[Ativo]]),N(Tabela2[Exercício]=Tabela2[[#This Row],[Exercício]]-1),Tabela2[Lucro Líquido])</f>
        <v>90962523.890000001</v>
      </c>
      <c r="M45" s="19">
        <f>IF(Tabela2[[#This Row],[Lucro Anterior]]=0,"",IF(Tabela2[[#This Row],[Lucro Líquido]]&gt;0,Tabela2[[#This Row],[Lucro Líquido]]/Tabela2[[#This Row],[Lucro Anterior]]-1,0))</f>
        <v>-3.2667820690567728E-2</v>
      </c>
    </row>
    <row r="46" spans="1:13" x14ac:dyDescent="0.2">
      <c r="A46" s="14" t="s">
        <v>225</v>
      </c>
      <c r="B46" s="4">
        <v>2011</v>
      </c>
      <c r="C46" s="5">
        <v>90962523.890000001</v>
      </c>
      <c r="D46" s="8">
        <f>SUMPRODUCT(N(Tabela3[PAPEL]=Tabela2[[#This Row],[Ativo]]),Tabela3[Total Ações])</f>
        <v>10541442</v>
      </c>
      <c r="E46" s="65">
        <f>(Tabela2[[#This Row],[Lucro Líquido]])/Tabela2[[#This Row],[Total Ações]]</f>
        <v>8.6290399254675023</v>
      </c>
      <c r="F46" s="65">
        <v>6.0982784810000004</v>
      </c>
      <c r="G46" s="45">
        <f>IF(AND(Tabela2[[#This Row],[Dividendo / Ação]]&gt;0,Tabela2[[#This Row],[Lucro por ação]]&gt;0),Tabela2[[#This Row],[Dividendo / Ação]]/Tabela2[[#This Row],[Lucro por ação]],"")</f>
        <v>0.70671575675547815</v>
      </c>
      <c r="H46" s="6">
        <f>MAX(Tabela2[[#This Row],[Cotação 1]],Tabela2[[#This Row],[Cotação 2]])</f>
        <v>45</v>
      </c>
      <c r="I46" s="19">
        <f>IF(Tabela2[[#This Row],[Dividendo / Ação]]&gt;0,Tabela2[[#This Row],[Dividendo / Ação]]/Tabela2[[#This Row],[Cotação]],"")</f>
        <v>0.13551729957777778</v>
      </c>
      <c r="J46" s="60">
        <f>SUMPRODUCT(N(Tabela1[Código]=Tabela2[[#This Row],[Ativo]]),Tabela1[Fechamento])</f>
        <v>45</v>
      </c>
      <c r="K46" s="60">
        <f>SUMPRODUCT(N(Tabela17[Código]=Tabela2[[#This Row],[Ativo]]),Tabela17[Fechamento])</f>
        <v>0</v>
      </c>
      <c r="L46" s="60">
        <f>SUMPRODUCT(N(Tabela2[Ativo]=Tabela2[[#This Row],[Ativo]]),N(Tabela2[Exercício]=Tabela2[[#This Row],[Exercício]]-1),Tabela2[Lucro Líquido])</f>
        <v>54465018.079999998</v>
      </c>
      <c r="M46" s="19">
        <f>IF(Tabela2[[#This Row],[Lucro Anterior]]=0,"",IF(Tabela2[[#This Row],[Lucro Líquido]]&gt;0,Tabela2[[#This Row],[Lucro Líquido]]/Tabela2[[#This Row],[Lucro Anterior]]-1,0))</f>
        <v>0.67010912869598749</v>
      </c>
    </row>
    <row r="47" spans="1:13" x14ac:dyDescent="0.2">
      <c r="A47" s="14" t="s">
        <v>225</v>
      </c>
      <c r="B47" s="4">
        <v>2010</v>
      </c>
      <c r="C47" s="5">
        <v>54465018.079999998</v>
      </c>
      <c r="D47" s="8">
        <f>SUMPRODUCT(N(Tabela3[PAPEL]=Tabela2[[#This Row],[Ativo]]),Tabela3[Total Ações])</f>
        <v>10541442</v>
      </c>
      <c r="E47" s="65">
        <f>(Tabela2[[#This Row],[Lucro Líquido]])/Tabela2[[#This Row],[Total Ações]]</f>
        <v>5.1667521464330965</v>
      </c>
      <c r="F47" s="65">
        <v>2.4995539089999999</v>
      </c>
      <c r="G47" s="45">
        <f>IF(AND(Tabela2[[#This Row],[Dividendo / Ação]]&gt;0,Tabela2[[#This Row],[Lucro por ação]]&gt;0),Tabela2[[#This Row],[Dividendo / Ação]]/Tabela2[[#This Row],[Lucro por ação]],"")</f>
        <v>0.48377662372010322</v>
      </c>
      <c r="H47" s="6">
        <f>MAX(Tabela2[[#This Row],[Cotação 1]],Tabela2[[#This Row],[Cotação 2]])</f>
        <v>45</v>
      </c>
      <c r="I47" s="19">
        <f>IF(Tabela2[[#This Row],[Dividendo / Ação]]&gt;0,Tabela2[[#This Row],[Dividendo / Ação]]/Tabela2[[#This Row],[Cotação]],"")</f>
        <v>5.5545642422222222E-2</v>
      </c>
      <c r="J47" s="60">
        <f>SUMPRODUCT(N(Tabela1[Código]=Tabela2[[#This Row],[Ativo]]),Tabela1[Fechamento])</f>
        <v>45</v>
      </c>
      <c r="K47" s="60">
        <f>SUMPRODUCT(N(Tabela17[Código]=Tabela2[[#This Row],[Ativo]]),Tabela17[Fechamento])</f>
        <v>0</v>
      </c>
      <c r="L47" s="60">
        <f>SUMPRODUCT(N(Tabela2[Ativo]=Tabela2[[#This Row],[Ativo]]),N(Tabela2[Exercício]=Tabela2[[#This Row],[Exercício]]-1),Tabela2[Lucro Líquido])</f>
        <v>39114199.380000003</v>
      </c>
      <c r="M47" s="19">
        <f>IF(Tabela2[[#This Row],[Lucro Anterior]]=0,"",IF(Tabela2[[#This Row],[Lucro Líquido]]&gt;0,Tabela2[[#This Row],[Lucro Líquido]]/Tabela2[[#This Row],[Lucro Anterior]]-1,0))</f>
        <v>0.39246153425932651</v>
      </c>
    </row>
    <row r="48" spans="1:13" x14ac:dyDescent="0.2">
      <c r="A48" s="14" t="s">
        <v>225</v>
      </c>
      <c r="B48" s="4">
        <v>2009</v>
      </c>
      <c r="C48" s="5">
        <v>39114199.380000003</v>
      </c>
      <c r="D48" s="8">
        <f>SUMPRODUCT(N(Tabela3[PAPEL]=Tabela2[[#This Row],[Ativo]]),Tabela3[Total Ações])</f>
        <v>10541442</v>
      </c>
      <c r="E48" s="65">
        <f>(Tabela2[[#This Row],[Lucro Líquido]])/Tabela2[[#This Row],[Total Ações]]</f>
        <v>3.7105169653259966</v>
      </c>
      <c r="F48" s="65">
        <v>2.1790691309999999</v>
      </c>
      <c r="G48" s="45">
        <f>IF(AND(Tabela2[[#This Row],[Dividendo / Ação]]&gt;0,Tabela2[[#This Row],[Lucro por ação]]&gt;0),Tabela2[[#This Row],[Dividendo / Ação]]/Tabela2[[#This Row],[Lucro por ação]],"")</f>
        <v>0.58726833790626598</v>
      </c>
      <c r="H48" s="6">
        <f>MAX(Tabela2[[#This Row],[Cotação 1]],Tabela2[[#This Row],[Cotação 2]])</f>
        <v>45</v>
      </c>
      <c r="I48" s="19">
        <f>IF(Tabela2[[#This Row],[Dividendo / Ação]]&gt;0,Tabela2[[#This Row],[Dividendo / Ação]]/Tabela2[[#This Row],[Cotação]],"")</f>
        <v>4.8423758466666661E-2</v>
      </c>
      <c r="J48" s="60">
        <f>SUMPRODUCT(N(Tabela1[Código]=Tabela2[[#This Row],[Ativo]]),Tabela1[Fechamento])</f>
        <v>45</v>
      </c>
      <c r="K48" s="60">
        <f>SUMPRODUCT(N(Tabela17[Código]=Tabela2[[#This Row],[Ativo]]),Tabela17[Fechamento])</f>
        <v>0</v>
      </c>
      <c r="L48" s="60">
        <f>SUMPRODUCT(N(Tabela2[Ativo]=Tabela2[[#This Row],[Ativo]]),N(Tabela2[Exercício]=Tabela2[[#This Row],[Exercício]]-1),Tabela2[Lucro Líquido])</f>
        <v>0</v>
      </c>
      <c r="M48" s="19" t="str">
        <f>IF(Tabela2[[#This Row],[Lucro Anterior]]=0,"",IF(Tabela2[[#This Row],[Lucro Líquido]]&gt;0,Tabela2[[#This Row],[Lucro Líquido]]/Tabela2[[#This Row],[Lucro Anterior]]-1,0))</f>
        <v/>
      </c>
    </row>
    <row r="49" spans="1:13" x14ac:dyDescent="0.2">
      <c r="A49" s="4" t="s">
        <v>231</v>
      </c>
      <c r="B49" s="4">
        <v>2012</v>
      </c>
      <c r="C49" s="6">
        <v>108819511.64</v>
      </c>
      <c r="D49" s="8">
        <f>SUMPRODUCT(N(Tabela3[PAPEL]=Tabela2[[#This Row],[Ativo]]),Tabela3[Total Ações])</f>
        <v>252903569</v>
      </c>
      <c r="E49" s="65">
        <f>(Tabela2[[#This Row],[Lucro Líquido]])/Tabela2[[#This Row],[Total Ações]]</f>
        <v>0.43028064835257424</v>
      </c>
      <c r="F49" s="65">
        <v>0.48572491200000001</v>
      </c>
      <c r="G49" s="45">
        <f>IF(AND(Tabela2[[#This Row],[Dividendo / Ação]]&gt;0,Tabela2[[#This Row],[Lucro por ação]]&gt;0),Tabela2[[#This Row],[Dividendo / Ação]]/Tabela2[[#This Row],[Lucro por ação]],"")</f>
        <v>1.1288560474650824</v>
      </c>
      <c r="H49" s="6">
        <f>MAX(Tabela2[[#This Row],[Cotação 1]],Tabela2[[#This Row],[Cotação 2]])</f>
        <v>9.65</v>
      </c>
      <c r="I49" s="19">
        <f>IF(Tabela2[[#This Row],[Dividendo / Ação]]&gt;0,Tabela2[[#This Row],[Dividendo / Ação]]/Tabela2[[#This Row],[Cotação]],"")</f>
        <v>5.0334187772020728E-2</v>
      </c>
      <c r="J49" s="60">
        <f>SUMPRODUCT(N(Tabela1[Código]=Tabela2[[#This Row],[Ativo]]),Tabela1[Fechamento])</f>
        <v>9.65</v>
      </c>
      <c r="K49" s="60">
        <f>SUMPRODUCT(N(Tabela17[Código]=Tabela2[[#This Row],[Ativo]]),Tabela17[Fechamento])</f>
        <v>0</v>
      </c>
      <c r="L49" s="60">
        <f>SUMPRODUCT(N(Tabela2[Ativo]=Tabela2[[#This Row],[Ativo]]),N(Tabela2[Exercício]=Tabela2[[#This Row],[Exercício]]-1),Tabela2[Lucro Líquido])</f>
        <v>232542541</v>
      </c>
      <c r="M49" s="19">
        <f>IF(Tabela2[[#This Row],[Lucro Anterior]]=0,"",IF(Tabela2[[#This Row],[Lucro Líquido]]&gt;0,Tabela2[[#This Row],[Lucro Líquido]]/Tabela2[[#This Row],[Lucro Anterior]]-1,0))</f>
        <v>-0.53204471245542984</v>
      </c>
    </row>
    <row r="50" spans="1:13" x14ac:dyDescent="0.2">
      <c r="A50" s="4" t="s">
        <v>231</v>
      </c>
      <c r="B50" s="3">
        <v>2011</v>
      </c>
      <c r="C50" s="5">
        <v>232542541</v>
      </c>
      <c r="D50" s="61">
        <f>SUMPRODUCT(N(Tabela3[PAPEL]=Tabela2[[#This Row],[Ativo]]),Tabela3[Total Ações])</f>
        <v>252903569</v>
      </c>
      <c r="E50" s="65">
        <f>(Tabela2[[#This Row],[Lucro Líquido]])/Tabela2[[#This Row],[Total Ações]]</f>
        <v>0.91949094241528873</v>
      </c>
      <c r="F50" s="64">
        <v>0.46371743599999998</v>
      </c>
      <c r="G50" s="22">
        <f>IF(AND(Tabela2[[#This Row],[Dividendo / Ação]]&gt;0,Tabela2[[#This Row],[Lucro por ação]]&gt;0),Tabela2[[#This Row],[Dividendo / Ação]]/Tabela2[[#This Row],[Lucro por ação]],"")</f>
        <v>0.50431974325045792</v>
      </c>
      <c r="H50" s="5">
        <f>MAX(Tabela2[[#This Row],[Cotação 1]],Tabela2[[#This Row],[Cotação 2]])</f>
        <v>9.65</v>
      </c>
      <c r="I50" s="18">
        <f>IF(Tabela2[[#This Row],[Dividendo / Ação]]&gt;0,Tabela2[[#This Row],[Dividendo / Ação]]/Tabela2[[#This Row],[Cotação]],"")</f>
        <v>4.8053620310880826E-2</v>
      </c>
      <c r="J50" s="59">
        <f>SUMPRODUCT(N(Tabela1[Código]=Tabela2[[#This Row],[Ativo]]),Tabela1[Fechamento])</f>
        <v>9.65</v>
      </c>
      <c r="K50" s="59">
        <f>SUMPRODUCT(N(Tabela17[Código]=Tabela2[[#This Row],[Ativo]]),Tabela17[Fechamento])</f>
        <v>0</v>
      </c>
      <c r="L50" s="59">
        <f>SUMPRODUCT(N(Tabela2[Ativo]=Tabela2[[#This Row],[Ativo]]),N(Tabela2[Exercício]=Tabela2[[#This Row],[Exercício]]-1),Tabela2[Lucro Líquido])</f>
        <v>348395895.98000002</v>
      </c>
      <c r="M50" s="18">
        <f>IF(Tabela2[[#This Row],[Lucro Anterior]]=0,"",IF(Tabela2[[#This Row],[Lucro Líquido]]&gt;0,Tabela2[[#This Row],[Lucro Líquido]]/Tabela2[[#This Row],[Lucro Anterior]]-1,0))</f>
        <v>-0.33253363864725516</v>
      </c>
    </row>
    <row r="51" spans="1:13" x14ac:dyDescent="0.2">
      <c r="A51" s="4" t="s">
        <v>231</v>
      </c>
      <c r="B51" s="3">
        <v>2010</v>
      </c>
      <c r="C51" s="5">
        <v>348395895.98000002</v>
      </c>
      <c r="D51" s="61">
        <f>SUMPRODUCT(N(Tabela3[PAPEL]=Tabela2[[#This Row],[Ativo]]),Tabela3[Total Ações])</f>
        <v>252903569</v>
      </c>
      <c r="E51" s="65">
        <f>(Tabela2[[#This Row],[Lucro Líquido]])/Tabela2[[#This Row],[Total Ações]]</f>
        <v>1.3775839437837274</v>
      </c>
      <c r="F51" s="64">
        <v>0.60299663000000003</v>
      </c>
      <c r="G51" s="22">
        <f>IF(AND(Tabela2[[#This Row],[Dividendo / Ação]]&gt;0,Tabela2[[#This Row],[Lucro por ação]]&gt;0),Tabela2[[#This Row],[Dividendo / Ação]]/Tabela2[[#This Row],[Lucro por ação]],"")</f>
        <v>0.43772042547460682</v>
      </c>
      <c r="H51" s="5">
        <f>MAX(Tabela2[[#This Row],[Cotação 1]],Tabela2[[#This Row],[Cotação 2]])</f>
        <v>9.65</v>
      </c>
      <c r="I51" s="18">
        <f>IF(Tabela2[[#This Row],[Dividendo / Ação]]&gt;0,Tabela2[[#This Row],[Dividendo / Ação]]/Tabela2[[#This Row],[Cotação]],"")</f>
        <v>6.2486697409326428E-2</v>
      </c>
      <c r="J51" s="59">
        <f>SUMPRODUCT(N(Tabela1[Código]=Tabela2[[#This Row],[Ativo]]),Tabela1[Fechamento])</f>
        <v>9.65</v>
      </c>
      <c r="K51" s="59">
        <f>SUMPRODUCT(N(Tabela17[Código]=Tabela2[[#This Row],[Ativo]]),Tabela17[Fechamento])</f>
        <v>0</v>
      </c>
      <c r="L51" s="59">
        <f>SUMPRODUCT(N(Tabela2[Ativo]=Tabela2[[#This Row],[Ativo]]),N(Tabela2[Exercício]=Tabela2[[#This Row],[Exercício]]-1),Tabela2[Lucro Líquido])</f>
        <v>0</v>
      </c>
      <c r="M51" s="18" t="str">
        <f>IF(Tabela2[[#This Row],[Lucro Anterior]]=0,"",IF(Tabela2[[#This Row],[Lucro Líquido]]&gt;0,Tabela2[[#This Row],[Lucro Líquido]]/Tabela2[[#This Row],[Lucro Anterior]]-1,0))</f>
        <v/>
      </c>
    </row>
    <row r="52" spans="1:13" x14ac:dyDescent="0.2">
      <c r="A52" s="4" t="s">
        <v>10</v>
      </c>
      <c r="B52" s="4">
        <v>2012</v>
      </c>
      <c r="C52" s="6">
        <v>108819511.64</v>
      </c>
      <c r="D52" s="8">
        <f>SUMPRODUCT(N(Tabela3[PAPEL]=Tabela2[[#This Row],[Ativo]]),Tabela3[Total Ações])</f>
        <v>252903569</v>
      </c>
      <c r="E52" s="65">
        <f>(Tabela2[[#This Row],[Lucro Líquido]])/Tabela2[[#This Row],[Total Ações]]</f>
        <v>0.43028064835257424</v>
      </c>
      <c r="F52" s="65">
        <v>0.48572491200000001</v>
      </c>
      <c r="G52" s="45">
        <f>IF(AND(Tabela2[[#This Row],[Dividendo / Ação]]&gt;0,Tabela2[[#This Row],[Lucro por ação]]&gt;0),Tabela2[[#This Row],[Dividendo / Ação]]/Tabela2[[#This Row],[Lucro por ação]],"")</f>
        <v>1.1288560474650824</v>
      </c>
      <c r="H52" s="6">
        <f>MAX(Tabela2[[#This Row],[Cotação 1]],Tabela2[[#This Row],[Cotação 2]])</f>
        <v>7.4</v>
      </c>
      <c r="I52" s="19">
        <f>IF(Tabela2[[#This Row],[Dividendo / Ação]]&gt;0,Tabela2[[#This Row],[Dividendo / Ação]]/Tabela2[[#This Row],[Cotação]],"")</f>
        <v>6.5638501621621617E-2</v>
      </c>
      <c r="J52" s="60">
        <f>SUMPRODUCT(N(Tabela1[Código]=Tabela2[[#This Row],[Ativo]]),Tabela1[Fechamento])</f>
        <v>7.4</v>
      </c>
      <c r="K52" s="60">
        <f>SUMPRODUCT(N(Tabela17[Código]=Tabela2[[#This Row],[Ativo]]),Tabela17[Fechamento])</f>
        <v>0</v>
      </c>
      <c r="L52" s="60">
        <f>SUMPRODUCT(N(Tabela2[Ativo]=Tabela2[[#This Row],[Ativo]]),N(Tabela2[Exercício]=Tabela2[[#This Row],[Exercício]]-1),Tabela2[Lucro Líquido])</f>
        <v>232542541</v>
      </c>
      <c r="M52" s="19">
        <f>IF(Tabela2[[#This Row],[Lucro Anterior]]=0,"",IF(Tabela2[[#This Row],[Lucro Líquido]]&gt;0,Tabela2[[#This Row],[Lucro Líquido]]/Tabela2[[#This Row],[Lucro Anterior]]-1,0))</f>
        <v>-0.53204471245542984</v>
      </c>
    </row>
    <row r="53" spans="1:13" x14ac:dyDescent="0.2">
      <c r="A53" s="4" t="s">
        <v>10</v>
      </c>
      <c r="B53" s="4">
        <v>2011</v>
      </c>
      <c r="C53" s="5">
        <v>232542541</v>
      </c>
      <c r="D53" s="8">
        <f>SUMPRODUCT(N(Tabela3[PAPEL]=Tabela2[[#This Row],[Ativo]]),Tabela3[Total Ações])</f>
        <v>252903569</v>
      </c>
      <c r="E53" s="65">
        <f>(Tabela2[[#This Row],[Lucro Líquido]])/Tabela2[[#This Row],[Total Ações]]</f>
        <v>0.91949094241528873</v>
      </c>
      <c r="F53" s="64">
        <v>0.46371743599999998</v>
      </c>
      <c r="G53" s="45">
        <f>IF(AND(Tabela2[[#This Row],[Dividendo / Ação]]&gt;0,Tabela2[[#This Row],[Lucro por ação]]&gt;0),Tabela2[[#This Row],[Dividendo / Ação]]/Tabela2[[#This Row],[Lucro por ação]],"")</f>
        <v>0.50431974325045792</v>
      </c>
      <c r="H53" s="6">
        <f>MAX(Tabela2[[#This Row],[Cotação 1]],Tabela2[[#This Row],[Cotação 2]])</f>
        <v>7.4</v>
      </c>
      <c r="I53" s="19">
        <f>IF(Tabela2[[#This Row],[Dividendo / Ação]]&gt;0,Tabela2[[#This Row],[Dividendo / Ação]]/Tabela2[[#This Row],[Cotação]],"")</f>
        <v>6.2664518378378373E-2</v>
      </c>
      <c r="J53" s="60">
        <f>SUMPRODUCT(N(Tabela1[Código]=Tabela2[[#This Row],[Ativo]]),Tabela1[Fechamento])</f>
        <v>7.4</v>
      </c>
      <c r="K53" s="60">
        <f>SUMPRODUCT(N(Tabela17[Código]=Tabela2[[#This Row],[Ativo]]),Tabela17[Fechamento])</f>
        <v>0</v>
      </c>
      <c r="L53" s="60">
        <f>SUMPRODUCT(N(Tabela2[Ativo]=Tabela2[[#This Row],[Ativo]]),N(Tabela2[Exercício]=Tabela2[[#This Row],[Exercício]]-1),Tabela2[Lucro Líquido])</f>
        <v>348395895.98000002</v>
      </c>
      <c r="M53" s="19">
        <f>IF(Tabela2[[#This Row],[Lucro Anterior]]=0,"",IF(Tabela2[[#This Row],[Lucro Líquido]]&gt;0,Tabela2[[#This Row],[Lucro Líquido]]/Tabela2[[#This Row],[Lucro Anterior]]-1,0))</f>
        <v>-0.33253363864725516</v>
      </c>
    </row>
    <row r="54" spans="1:13" x14ac:dyDescent="0.2">
      <c r="A54" s="4" t="s">
        <v>10</v>
      </c>
      <c r="B54" s="4">
        <v>2010</v>
      </c>
      <c r="C54" s="5">
        <v>348395895.98000002</v>
      </c>
      <c r="D54" s="8">
        <f>SUMPRODUCT(N(Tabela3[PAPEL]=Tabela2[[#This Row],[Ativo]]),Tabela3[Total Ações])</f>
        <v>252903569</v>
      </c>
      <c r="E54" s="65">
        <f>(Tabela2[[#This Row],[Lucro Líquido]])/Tabela2[[#This Row],[Total Ações]]</f>
        <v>1.3775839437837274</v>
      </c>
      <c r="F54" s="64">
        <v>0.60299663000000003</v>
      </c>
      <c r="G54" s="45">
        <f>IF(AND(Tabela2[[#This Row],[Dividendo / Ação]]&gt;0,Tabela2[[#This Row],[Lucro por ação]]&gt;0),Tabela2[[#This Row],[Dividendo / Ação]]/Tabela2[[#This Row],[Lucro por ação]],"")</f>
        <v>0.43772042547460682</v>
      </c>
      <c r="H54" s="6">
        <f>MAX(Tabela2[[#This Row],[Cotação 1]],Tabela2[[#This Row],[Cotação 2]])</f>
        <v>7.4</v>
      </c>
      <c r="I54" s="19">
        <f>IF(Tabela2[[#This Row],[Dividendo / Ação]]&gt;0,Tabela2[[#This Row],[Dividendo / Ação]]/Tabela2[[#This Row],[Cotação]],"")</f>
        <v>8.1486031081081087E-2</v>
      </c>
      <c r="J54" s="60">
        <f>SUMPRODUCT(N(Tabela1[Código]=Tabela2[[#This Row],[Ativo]]),Tabela1[Fechamento])</f>
        <v>7.4</v>
      </c>
      <c r="K54" s="60">
        <f>SUMPRODUCT(N(Tabela17[Código]=Tabela2[[#This Row],[Ativo]]),Tabela17[Fechamento])</f>
        <v>0</v>
      </c>
      <c r="L54" s="60">
        <f>SUMPRODUCT(N(Tabela2[Ativo]=Tabela2[[#This Row],[Ativo]]),N(Tabela2[Exercício]=Tabela2[[#This Row],[Exercício]]-1),Tabela2[Lucro Líquido])</f>
        <v>0</v>
      </c>
      <c r="M54" s="19" t="str">
        <f>IF(Tabela2[[#This Row],[Lucro Anterior]]=0,"",IF(Tabela2[[#This Row],[Lucro Líquido]]&gt;0,Tabela2[[#This Row],[Lucro Líquido]]/Tabela2[[#This Row],[Lucro Anterior]]-1,0))</f>
        <v/>
      </c>
    </row>
    <row r="55" spans="1:13" x14ac:dyDescent="0.2">
      <c r="A55" s="4" t="s">
        <v>235</v>
      </c>
      <c r="B55" s="4">
        <v>2012</v>
      </c>
      <c r="C55" s="6">
        <v>5431000</v>
      </c>
      <c r="D55" s="8">
        <f>SUMPRODUCT(N(Tabela3[PAPEL]=Tabela2[[#This Row],[Ativo]]),Tabela3[Total Ações])</f>
        <v>182520000</v>
      </c>
      <c r="E55" s="65">
        <f>(Tabela2[[#This Row],[Lucro Líquido]])/Tabela2[[#This Row],[Total Ações]]</f>
        <v>2.9755643217181677E-2</v>
      </c>
      <c r="F55" s="65">
        <v>8.9999999999999993E-3</v>
      </c>
      <c r="G55" s="45">
        <f>IF(AND(Tabela2[[#This Row],[Dividendo / Ação]]&gt;0,Tabela2[[#This Row],[Lucro por ação]]&gt;0),Tabela2[[#This Row],[Dividendo / Ação]]/Tabela2[[#This Row],[Lucro por ação]],"")</f>
        <v>0.30246363468974408</v>
      </c>
      <c r="H55" s="6">
        <f>MAX(Tabela2[[#This Row],[Cotação 1]],Tabela2[[#This Row],[Cotação 2]])</f>
        <v>1.1000000000000001</v>
      </c>
      <c r="I55" s="19">
        <f>IF(Tabela2[[#This Row],[Dividendo / Ação]]&gt;0,Tabela2[[#This Row],[Dividendo / Ação]]/Tabela2[[#This Row],[Cotação]],"")</f>
        <v>8.1818181818181807E-3</v>
      </c>
      <c r="J55" s="60">
        <f>SUMPRODUCT(N(Tabela1[Código]=Tabela2[[#This Row],[Ativo]]),Tabela1[Fechamento])</f>
        <v>1.1000000000000001</v>
      </c>
      <c r="K55" s="60">
        <f>SUMPRODUCT(N(Tabela17[Código]=Tabela2[[#This Row],[Ativo]]),Tabela17[Fechamento])</f>
        <v>0</v>
      </c>
      <c r="L55" s="60">
        <f>SUMPRODUCT(N(Tabela2[Ativo]=Tabela2[[#This Row],[Ativo]]),N(Tabela2[Exercício]=Tabela2[[#This Row],[Exercício]]-1),Tabela2[Lucro Líquido])</f>
        <v>5361000</v>
      </c>
      <c r="M55" s="19">
        <f>IF(Tabela2[[#This Row],[Lucro Anterior]]=0,"",IF(Tabela2[[#This Row],[Lucro Líquido]]&gt;0,Tabela2[[#This Row],[Lucro Líquido]]/Tabela2[[#This Row],[Lucro Anterior]]-1,0))</f>
        <v>1.3057265435552967E-2</v>
      </c>
    </row>
    <row r="56" spans="1:13" x14ac:dyDescent="0.2">
      <c r="A56" s="4" t="s">
        <v>235</v>
      </c>
      <c r="B56" s="3">
        <v>2011</v>
      </c>
      <c r="C56" s="5">
        <v>5361000</v>
      </c>
      <c r="D56" s="61">
        <f>SUMPRODUCT(N(Tabela3[PAPEL]=Tabela2[[#This Row],[Ativo]]),Tabela3[Total Ações])</f>
        <v>182520000</v>
      </c>
      <c r="E56" s="64">
        <f>(Tabela2[[#This Row],[Lucro Líquido]])/Tabela2[[#This Row],[Total Ações]]</f>
        <v>2.9372123602892833E-2</v>
      </c>
      <c r="F56" s="64">
        <v>8.9999999999999993E-3</v>
      </c>
      <c r="G56" s="22">
        <f>IF(AND(Tabela2[[#This Row],[Dividendo / Ação]]&gt;0,Tabela2[[#This Row],[Lucro por ação]]&gt;0),Tabela2[[#This Row],[Dividendo / Ação]]/Tabela2[[#This Row],[Lucro por ação]],"")</f>
        <v>0.30641298265249017</v>
      </c>
      <c r="H56" s="5">
        <f>MAX(Tabela2[[#This Row],[Cotação 1]],Tabela2[[#This Row],[Cotação 2]])</f>
        <v>1.1000000000000001</v>
      </c>
      <c r="I56" s="18">
        <f>IF(Tabela2[[#This Row],[Dividendo / Ação]]&gt;0,Tabela2[[#This Row],[Dividendo / Ação]]/Tabela2[[#This Row],[Cotação]],"")</f>
        <v>8.1818181818181807E-3</v>
      </c>
      <c r="J56" s="59">
        <f>SUMPRODUCT(N(Tabela1[Código]=Tabela2[[#This Row],[Ativo]]),Tabela1[Fechamento])</f>
        <v>1.1000000000000001</v>
      </c>
      <c r="K56" s="59">
        <f>SUMPRODUCT(N(Tabela17[Código]=Tabela2[[#This Row],[Ativo]]),Tabela17[Fechamento])</f>
        <v>0</v>
      </c>
      <c r="L56" s="59">
        <f>SUMPRODUCT(N(Tabela2[Ativo]=Tabela2[[#This Row],[Ativo]]),N(Tabela2[Exercício]=Tabela2[[#This Row],[Exercício]]-1),Tabela2[Lucro Líquido])</f>
        <v>2644000</v>
      </c>
      <c r="M56" s="18">
        <f>IF(Tabela2[[#This Row],[Lucro Anterior]]=0,"",IF(Tabela2[[#This Row],[Lucro Líquido]]&gt;0,Tabela2[[#This Row],[Lucro Líquido]]/Tabela2[[#This Row],[Lucro Anterior]]-1,0))</f>
        <v>1.0276096822995462</v>
      </c>
    </row>
    <row r="57" spans="1:13" x14ac:dyDescent="0.2">
      <c r="A57" s="4" t="s">
        <v>235</v>
      </c>
      <c r="B57" s="3">
        <v>2010</v>
      </c>
      <c r="C57" s="5">
        <v>2644000</v>
      </c>
      <c r="D57" s="61">
        <f>SUMPRODUCT(N(Tabela3[PAPEL]=Tabela2[[#This Row],[Ativo]]),Tabela3[Total Ações])</f>
        <v>182520000</v>
      </c>
      <c r="E57" s="64">
        <f>(Tabela2[[#This Row],[Lucro Líquido]])/Tabela2[[#This Row],[Total Ações]]</f>
        <v>1.4486083716852947E-2</v>
      </c>
      <c r="F57" s="64">
        <v>3.9100000000000003E-3</v>
      </c>
      <c r="G57" s="22">
        <f>IF(AND(Tabela2[[#This Row],[Dividendo / Ação]]&gt;0,Tabela2[[#This Row],[Lucro por ação]]&gt;0),Tabela2[[#This Row],[Dividendo / Ação]]/Tabela2[[#This Row],[Lucro por ação]],"")</f>
        <v>0.26991422087745842</v>
      </c>
      <c r="H57" s="5">
        <f>MAX(Tabela2[[#This Row],[Cotação 1]],Tabela2[[#This Row],[Cotação 2]])</f>
        <v>1.1000000000000001</v>
      </c>
      <c r="I57" s="18">
        <f>IF(Tabela2[[#This Row],[Dividendo / Ação]]&gt;0,Tabela2[[#This Row],[Dividendo / Ação]]/Tabela2[[#This Row],[Cotação]],"")</f>
        <v>3.5545454545454543E-3</v>
      </c>
      <c r="J57" s="59">
        <f>SUMPRODUCT(N(Tabela1[Código]=Tabela2[[#This Row],[Ativo]]),Tabela1[Fechamento])</f>
        <v>1.1000000000000001</v>
      </c>
      <c r="K57" s="59">
        <f>SUMPRODUCT(N(Tabela17[Código]=Tabela2[[#This Row],[Ativo]]),Tabela17[Fechamento])</f>
        <v>0</v>
      </c>
      <c r="L57" s="59">
        <f>SUMPRODUCT(N(Tabela2[Ativo]=Tabela2[[#This Row],[Ativo]]),N(Tabela2[Exercício]=Tabela2[[#This Row],[Exercício]]-1),Tabela2[Lucro Líquido])</f>
        <v>0</v>
      </c>
      <c r="M57" s="18" t="str">
        <f>IF(Tabela2[[#This Row],[Lucro Anterior]]=0,"",IF(Tabela2[[#This Row],[Lucro Líquido]]&gt;0,Tabela2[[#This Row],[Lucro Líquido]]/Tabela2[[#This Row],[Lucro Anterior]]-1,0))</f>
        <v/>
      </c>
    </row>
    <row r="58" spans="1:13" x14ac:dyDescent="0.2">
      <c r="A58" s="4" t="s">
        <v>62</v>
      </c>
      <c r="B58" s="4">
        <v>2012</v>
      </c>
      <c r="C58" s="6">
        <v>5431000</v>
      </c>
      <c r="D58" s="8">
        <f>SUMPRODUCT(N(Tabela3[PAPEL]=Tabela2[[#This Row],[Ativo]]),Tabela3[Total Ações])</f>
        <v>182520000</v>
      </c>
      <c r="E58" s="65">
        <f>(Tabela2[[#This Row],[Lucro Líquido]])/Tabela2[[#This Row],[Total Ações]]</f>
        <v>2.9755643217181677E-2</v>
      </c>
      <c r="F58" s="65">
        <v>1.2352500000000001E-2</v>
      </c>
      <c r="G58" s="45">
        <f>IF(AND(Tabela2[[#This Row],[Dividendo / Ação]]&gt;0,Tabela2[[#This Row],[Lucro por ação]]&gt;0),Tabela2[[#This Row],[Dividendo / Ação]]/Tabela2[[#This Row],[Lucro por ação]],"")</f>
        <v>0.41513133861167378</v>
      </c>
      <c r="H58" s="6">
        <f>MAX(Tabela2[[#This Row],[Cotação 1]],Tabela2[[#This Row],[Cotação 2]])</f>
        <v>0.26</v>
      </c>
      <c r="I58" s="19">
        <f>IF(Tabela2[[#This Row],[Dividendo / Ação]]&gt;0,Tabela2[[#This Row],[Dividendo / Ação]]/Tabela2[[#This Row],[Cotação]],"")</f>
        <v>4.7509615384615386E-2</v>
      </c>
      <c r="J58" s="60">
        <f>SUMPRODUCT(N(Tabela1[Código]=Tabela2[[#This Row],[Ativo]]),Tabela1[Fechamento])</f>
        <v>0.26</v>
      </c>
      <c r="K58" s="60">
        <f>SUMPRODUCT(N(Tabela17[Código]=Tabela2[[#This Row],[Ativo]]),Tabela17[Fechamento])</f>
        <v>0</v>
      </c>
      <c r="L58" s="60">
        <f>SUMPRODUCT(N(Tabela2[Ativo]=Tabela2[[#This Row],[Ativo]]),N(Tabela2[Exercício]=Tabela2[[#This Row],[Exercício]]-1),Tabela2[Lucro Líquido])</f>
        <v>5361000</v>
      </c>
      <c r="M58" s="19">
        <f>IF(Tabela2[[#This Row],[Lucro Anterior]]=0,"",IF(Tabela2[[#This Row],[Lucro Líquido]]&gt;0,Tabela2[[#This Row],[Lucro Líquido]]/Tabela2[[#This Row],[Lucro Anterior]]-1,0))</f>
        <v>1.3057265435552967E-2</v>
      </c>
    </row>
    <row r="59" spans="1:13" x14ac:dyDescent="0.2">
      <c r="A59" s="4" t="s">
        <v>62</v>
      </c>
      <c r="B59" s="4">
        <v>2011</v>
      </c>
      <c r="C59" s="5">
        <v>5361000</v>
      </c>
      <c r="D59" s="8">
        <f>SUMPRODUCT(N(Tabela3[PAPEL]=Tabela2[[#This Row],[Ativo]]),Tabela3[Total Ações])</f>
        <v>182520000</v>
      </c>
      <c r="E59" s="65">
        <f>(Tabela2[[#This Row],[Lucro Líquido]])/Tabela2[[#This Row],[Total Ações]]</f>
        <v>2.9372123602892833E-2</v>
      </c>
      <c r="F59" s="65">
        <v>1.1599999999999999E-2</v>
      </c>
      <c r="G59" s="45">
        <f>IF(AND(Tabela2[[#This Row],[Dividendo / Ação]]&gt;0,Tabela2[[#This Row],[Lucro por ação]]&gt;0),Tabela2[[#This Row],[Dividendo / Ação]]/Tabela2[[#This Row],[Lucro por ação]],"")</f>
        <v>0.39493228875209846</v>
      </c>
      <c r="H59" s="6">
        <f>MAX(Tabela2[[#This Row],[Cotação 1]],Tabela2[[#This Row],[Cotação 2]])</f>
        <v>0.26</v>
      </c>
      <c r="I59" s="19">
        <f>IF(Tabela2[[#This Row],[Dividendo / Ação]]&gt;0,Tabela2[[#This Row],[Dividendo / Ação]]/Tabela2[[#This Row],[Cotação]],"")</f>
        <v>4.4615384615384612E-2</v>
      </c>
      <c r="J59" s="60">
        <f>SUMPRODUCT(N(Tabela1[Código]=Tabela2[[#This Row],[Ativo]]),Tabela1[Fechamento])</f>
        <v>0.26</v>
      </c>
      <c r="K59" s="60">
        <f>SUMPRODUCT(N(Tabela17[Código]=Tabela2[[#This Row],[Ativo]]),Tabela17[Fechamento])</f>
        <v>0</v>
      </c>
      <c r="L59" s="60">
        <f>SUMPRODUCT(N(Tabela2[Ativo]=Tabela2[[#This Row],[Ativo]]),N(Tabela2[Exercício]=Tabela2[[#This Row],[Exercício]]-1),Tabela2[Lucro Líquido])</f>
        <v>2644000</v>
      </c>
      <c r="M59" s="19">
        <f>IF(Tabela2[[#This Row],[Lucro Anterior]]=0,"",IF(Tabela2[[#This Row],[Lucro Líquido]]&gt;0,Tabela2[[#This Row],[Lucro Líquido]]/Tabela2[[#This Row],[Lucro Anterior]]-1,0))</f>
        <v>1.0276096822995462</v>
      </c>
    </row>
    <row r="60" spans="1:13" x14ac:dyDescent="0.2">
      <c r="A60" s="4" t="s">
        <v>62</v>
      </c>
      <c r="B60" s="4">
        <v>2010</v>
      </c>
      <c r="C60" s="5">
        <v>2644000</v>
      </c>
      <c r="D60" s="8">
        <f>SUMPRODUCT(N(Tabela3[PAPEL]=Tabela2[[#This Row],[Ativo]]),Tabela3[Total Ações])</f>
        <v>182520000</v>
      </c>
      <c r="E60" s="65">
        <f>(Tabela2[[#This Row],[Lucro Líquido]])/Tabela2[[#This Row],[Total Ações]]</f>
        <v>1.4486083716852947E-2</v>
      </c>
      <c r="F60" s="65">
        <v>9.8600000000000007E-3</v>
      </c>
      <c r="G60" s="45">
        <f>IF(AND(Tabela2[[#This Row],[Dividendo / Ação]]&gt;0,Tabela2[[#This Row],[Lucro por ação]]&gt;0),Tabela2[[#This Row],[Dividendo / Ação]]/Tabela2[[#This Row],[Lucro por ação]],"")</f>
        <v>0.68065325264750387</v>
      </c>
      <c r="H60" s="6">
        <f>MAX(Tabela2[[#This Row],[Cotação 1]],Tabela2[[#This Row],[Cotação 2]])</f>
        <v>0.26</v>
      </c>
      <c r="I60" s="19">
        <f>IF(Tabela2[[#This Row],[Dividendo / Ação]]&gt;0,Tabela2[[#This Row],[Dividendo / Ação]]/Tabela2[[#This Row],[Cotação]],"")</f>
        <v>3.7923076923076927E-2</v>
      </c>
      <c r="J60" s="60">
        <f>SUMPRODUCT(N(Tabela1[Código]=Tabela2[[#This Row],[Ativo]]),Tabela1[Fechamento])</f>
        <v>0.26</v>
      </c>
      <c r="K60" s="60">
        <f>SUMPRODUCT(N(Tabela17[Código]=Tabela2[[#This Row],[Ativo]]),Tabela17[Fechamento])</f>
        <v>0</v>
      </c>
      <c r="L60" s="60">
        <f>SUMPRODUCT(N(Tabela2[Ativo]=Tabela2[[#This Row],[Ativo]]),N(Tabela2[Exercício]=Tabela2[[#This Row],[Exercício]]-1),Tabela2[Lucro Líquido])</f>
        <v>0</v>
      </c>
      <c r="M60" s="19" t="str">
        <f>IF(Tabela2[[#This Row],[Lucro Anterior]]=0,"",IF(Tabela2[[#This Row],[Lucro Líquido]]&gt;0,Tabela2[[#This Row],[Lucro Líquido]]/Tabela2[[#This Row],[Lucro Anterior]]-1,0))</f>
        <v/>
      </c>
    </row>
    <row r="61" spans="1:13" x14ac:dyDescent="0.2">
      <c r="A61" s="14" t="s">
        <v>237</v>
      </c>
      <c r="B61" s="3">
        <v>2012</v>
      </c>
      <c r="C61" s="5">
        <v>508363303.81999999</v>
      </c>
      <c r="D61" s="61">
        <f>SUMPRODUCT(N(Tabela3[PAPEL]=Tabela2[[#This Row],[Ativo]]),Tabela3[Total Ações])</f>
        <v>87001901</v>
      </c>
      <c r="E61" s="64">
        <f>(Tabela2[[#This Row],[Lucro Líquido]])/Tabela2[[#This Row],[Total Ações]]</f>
        <v>5.8431286900271298</v>
      </c>
      <c r="F61" s="64">
        <v>2.09879358938</v>
      </c>
      <c r="G61" s="22">
        <f>IF(AND(Tabela2[[#This Row],[Dividendo / Ação]]&gt;0,Tabela2[[#This Row],[Lucro por ação]]&gt;0),Tabela2[[#This Row],[Dividendo / Ação]]/Tabela2[[#This Row],[Lucro por ação]],"")</f>
        <v>0.35919003340832723</v>
      </c>
      <c r="H61" s="5">
        <f>MAX(Tabela2[[#This Row],[Cotação 1]],Tabela2[[#This Row],[Cotação 2]])</f>
        <v>28.74</v>
      </c>
      <c r="I61" s="18">
        <f>IF(Tabela2[[#This Row],[Dividendo / Ação]]&gt;0,Tabela2[[#This Row],[Dividendo / Ação]]/Tabela2[[#This Row],[Cotação]],"")</f>
        <v>7.3026916819067506E-2</v>
      </c>
      <c r="J61" s="59">
        <f>SUMPRODUCT(N(Tabela1[Código]=Tabela2[[#This Row],[Ativo]]),Tabela1[Fechamento])</f>
        <v>28.74</v>
      </c>
      <c r="K61" s="59">
        <f>SUMPRODUCT(N(Tabela17[Código]=Tabela2[[#This Row],[Ativo]]),Tabela17[Fechamento])</f>
        <v>0</v>
      </c>
      <c r="L61" s="59">
        <f>SUMPRODUCT(N(Tabela2[Ativo]=Tabela2[[#This Row],[Ativo]]),N(Tabela2[Exercício]=Tabela2[[#This Row],[Exercício]]-1),Tabela2[Lucro Líquido])</f>
        <v>314799260.60000002</v>
      </c>
      <c r="M61" s="18">
        <f>IF(Tabela2[[#This Row],[Lucro Anterior]]=0,"",IF(Tabela2[[#This Row],[Lucro Líquido]]&gt;0,Tabela2[[#This Row],[Lucro Líquido]]/Tabela2[[#This Row],[Lucro Anterior]]-1,0))</f>
        <v>0.6148808699584345</v>
      </c>
    </row>
    <row r="62" spans="1:13" x14ac:dyDescent="0.2">
      <c r="A62" s="14" t="s">
        <v>237</v>
      </c>
      <c r="B62" s="4">
        <v>2011</v>
      </c>
      <c r="C62" s="6">
        <v>314799260.60000002</v>
      </c>
      <c r="D62" s="8">
        <f>SUMPRODUCT(N(Tabela3[PAPEL]=Tabela2[[#This Row],[Ativo]]),Tabela3[Total Ações])</f>
        <v>87001901</v>
      </c>
      <c r="E62" s="65">
        <f>(Tabela2[[#This Row],[Lucro Líquido]])/Tabela2[[#This Row],[Total Ações]]</f>
        <v>3.6183032437417664</v>
      </c>
      <c r="F62" s="65">
        <v>1.8628371749999999</v>
      </c>
      <c r="G62" s="45">
        <f>IF(AND(Tabela2[[#This Row],[Dividendo / Ação]]&gt;0,Tabela2[[#This Row],[Lucro por ação]]&gt;0),Tabela2[[#This Row],[Dividendo / Ação]]/Tabela2[[#This Row],[Lucro por ação]],"")</f>
        <v>0.51483721775447411</v>
      </c>
      <c r="H62" s="6">
        <f>MAX(Tabela2[[#This Row],[Cotação 1]],Tabela2[[#This Row],[Cotação 2]])</f>
        <v>28.74</v>
      </c>
      <c r="I62" s="19">
        <f>IF(Tabela2[[#This Row],[Dividendo / Ação]]&gt;0,Tabela2[[#This Row],[Dividendo / Ação]]/Tabela2[[#This Row],[Cotação]],"")</f>
        <v>6.4816881524008357E-2</v>
      </c>
      <c r="J62" s="60">
        <f>SUMPRODUCT(N(Tabela1[Código]=Tabela2[[#This Row],[Ativo]]),Tabela1[Fechamento])</f>
        <v>28.74</v>
      </c>
      <c r="K62" s="60">
        <f>SUMPRODUCT(N(Tabela17[Código]=Tabela2[[#This Row],[Ativo]]),Tabela17[Fechamento])</f>
        <v>0</v>
      </c>
      <c r="L62" s="60">
        <f>SUMPRODUCT(N(Tabela2[Ativo]=Tabela2[[#This Row],[Ativo]]),N(Tabela2[Exercício]=Tabela2[[#This Row],[Exercício]]-1),Tabela2[Lucro Líquido])</f>
        <v>313589945.75999999</v>
      </c>
      <c r="M62" s="19">
        <f>IF(Tabela2[[#This Row],[Lucro Anterior]]=0,"",IF(Tabela2[[#This Row],[Lucro Líquido]]&gt;0,Tabela2[[#This Row],[Lucro Líquido]]/Tabela2[[#This Row],[Lucro Anterior]]-1,0))</f>
        <v>3.8563571834844268E-3</v>
      </c>
    </row>
    <row r="63" spans="1:13" x14ac:dyDescent="0.2">
      <c r="A63" s="14" t="s">
        <v>237</v>
      </c>
      <c r="B63" s="4">
        <v>2010</v>
      </c>
      <c r="C63" s="6">
        <v>313589945.75999999</v>
      </c>
      <c r="D63" s="8">
        <f>SUMPRODUCT(N(Tabela3[PAPEL]=Tabela2[[#This Row],[Ativo]]),Tabela3[Total Ações])</f>
        <v>87001901</v>
      </c>
      <c r="E63" s="65">
        <f>(Tabela2[[#This Row],[Lucro Líquido]])/Tabela2[[#This Row],[Total Ações]]</f>
        <v>3.6044033768871326</v>
      </c>
      <c r="F63" s="65">
        <v>2.2732746009999998</v>
      </c>
      <c r="G63" s="45">
        <f>IF(AND(Tabela2[[#This Row],[Dividendo / Ação]]&gt;0,Tabela2[[#This Row],[Lucro por ação]]&gt;0),Tabela2[[#This Row],[Dividendo / Ação]]/Tabela2[[#This Row],[Lucro por ação]],"")</f>
        <v>0.63069372744935825</v>
      </c>
      <c r="H63" s="6">
        <f>MAX(Tabela2[[#This Row],[Cotação 1]],Tabela2[[#This Row],[Cotação 2]])</f>
        <v>28.74</v>
      </c>
      <c r="I63" s="19">
        <f>IF(Tabela2[[#This Row],[Dividendo / Ação]]&gt;0,Tabela2[[#This Row],[Dividendo / Ação]]/Tabela2[[#This Row],[Cotação]],"")</f>
        <v>7.9097933228949202E-2</v>
      </c>
      <c r="J63" s="60">
        <f>SUMPRODUCT(N(Tabela1[Código]=Tabela2[[#This Row],[Ativo]]),Tabela1[Fechamento])</f>
        <v>28.74</v>
      </c>
      <c r="K63" s="60">
        <f>SUMPRODUCT(N(Tabela17[Código]=Tabela2[[#This Row],[Ativo]]),Tabela17[Fechamento])</f>
        <v>0</v>
      </c>
      <c r="L63" s="60">
        <f>SUMPRODUCT(N(Tabela2[Ativo]=Tabela2[[#This Row],[Ativo]]),N(Tabela2[Exercício]=Tabela2[[#This Row],[Exercício]]-1),Tabela2[Lucro Líquido])</f>
        <v>459012514.60000002</v>
      </c>
      <c r="M63" s="19">
        <f>IF(Tabela2[[#This Row],[Lucro Anterior]]=0,"",IF(Tabela2[[#This Row],[Lucro Líquido]]&gt;0,Tabela2[[#This Row],[Lucro Líquido]]/Tabela2[[#This Row],[Lucro Anterior]]-1,0))</f>
        <v>-0.31681613074695025</v>
      </c>
    </row>
    <row r="64" spans="1:13" x14ac:dyDescent="0.2">
      <c r="A64" s="14" t="s">
        <v>237</v>
      </c>
      <c r="B64" s="3">
        <v>2009</v>
      </c>
      <c r="C64" s="5">
        <v>459012514.60000002</v>
      </c>
      <c r="D64" s="61">
        <f>SUMPRODUCT(N(Tabela3[PAPEL]=Tabela2[[#This Row],[Ativo]]),Tabela3[Total Ações])</f>
        <v>87001901</v>
      </c>
      <c r="E64" s="64">
        <f>(Tabela2[[#This Row],[Lucro Líquido]])/Tabela2[[#This Row],[Total Ações]]</f>
        <v>5.2758906337000617</v>
      </c>
      <c r="F64" s="64">
        <v>2.646819604</v>
      </c>
      <c r="G64" s="22">
        <f>IF(AND(Tabela2[[#This Row],[Dividendo / Ação]]&gt;0,Tabela2[[#This Row],[Lucro por ação]]&gt;0),Tabela2[[#This Row],[Dividendo / Ação]]/Tabela2[[#This Row],[Lucro por ação]],"")</f>
        <v>0.50168204532013683</v>
      </c>
      <c r="H64" s="5">
        <f>MAX(Tabela2[[#This Row],[Cotação 1]],Tabela2[[#This Row],[Cotação 2]])</f>
        <v>28.74</v>
      </c>
      <c r="I64" s="18">
        <f>IF(Tabela2[[#This Row],[Dividendo / Ação]]&gt;0,Tabela2[[#This Row],[Dividendo / Ação]]/Tabela2[[#This Row],[Cotação]],"")</f>
        <v>9.2095323729993045E-2</v>
      </c>
      <c r="J64" s="59">
        <f>SUMPRODUCT(N(Tabela1[Código]=Tabela2[[#This Row],[Ativo]]),Tabela1[Fechamento])</f>
        <v>28.74</v>
      </c>
      <c r="K64" s="59">
        <f>SUMPRODUCT(N(Tabela17[Código]=Tabela2[[#This Row],[Ativo]]),Tabela17[Fechamento])</f>
        <v>0</v>
      </c>
      <c r="L64" s="59">
        <f>SUMPRODUCT(N(Tabela2[Ativo]=Tabela2[[#This Row],[Ativo]]),N(Tabela2[Exercício]=Tabela2[[#This Row],[Exercício]]-1),Tabela2[Lucro Líquido])</f>
        <v>0</v>
      </c>
      <c r="M64" s="18" t="str">
        <f>IF(Tabela2[[#This Row],[Lucro Anterior]]=0,"",IF(Tabela2[[#This Row],[Lucro Líquido]]&gt;0,Tabela2[[#This Row],[Lucro Líquido]]/Tabela2[[#This Row],[Lucro Anterior]]-1,0))</f>
        <v/>
      </c>
    </row>
    <row r="65" spans="1:14" x14ac:dyDescent="0.2">
      <c r="A65" s="14" t="s">
        <v>238</v>
      </c>
      <c r="B65" s="4">
        <v>2012</v>
      </c>
      <c r="C65" s="5">
        <v>508363303.81999999</v>
      </c>
      <c r="D65" s="8">
        <f>SUMPRODUCT(N(Tabela3[PAPEL]=Tabela2[[#This Row],[Ativo]]),Tabela3[Total Ações])</f>
        <v>87001901</v>
      </c>
      <c r="E65" s="65">
        <f>(Tabela2[[#This Row],[Lucro Líquido]])/Tabela2[[#This Row],[Total Ações]]</f>
        <v>5.8431286900271298</v>
      </c>
      <c r="F65" s="65">
        <v>2.308672948101</v>
      </c>
      <c r="G65" s="45">
        <f>IF(AND(Tabela2[[#This Row],[Dividendo / Ação]]&gt;0,Tabela2[[#This Row],[Lucro por ação]]&gt;0),Tabela2[[#This Row],[Dividendo / Ação]]/Tabela2[[#This Row],[Lucro por ação]],"")</f>
        <v>0.3951090367120223</v>
      </c>
      <c r="H65" s="6">
        <f>MAX(Tabela2[[#This Row],[Cotação 1]],Tabela2[[#This Row],[Cotação 2]])</f>
        <v>23.54</v>
      </c>
      <c r="I65" s="19">
        <f>IF(Tabela2[[#This Row],[Dividendo / Ação]]&gt;0,Tabela2[[#This Row],[Dividendo / Ação]]/Tabela2[[#This Row],[Cotação]],"")</f>
        <v>9.8074466784239589E-2</v>
      </c>
      <c r="J65" s="60">
        <f>SUMPRODUCT(N(Tabela1[Código]=Tabela2[[#This Row],[Ativo]]),Tabela1[Fechamento])</f>
        <v>23.54</v>
      </c>
      <c r="K65" s="60">
        <f>SUMPRODUCT(N(Tabela17[Código]=Tabela2[[#This Row],[Ativo]]),Tabela17[Fechamento])</f>
        <v>0</v>
      </c>
      <c r="L65" s="60">
        <f>SUMPRODUCT(N(Tabela2[Ativo]=Tabela2[[#This Row],[Ativo]]),N(Tabela2[Exercício]=Tabela2[[#This Row],[Exercício]]-1),Tabela2[Lucro Líquido])</f>
        <v>314799260.60000002</v>
      </c>
      <c r="M65" s="19">
        <f>IF(Tabela2[[#This Row],[Lucro Anterior]]=0,"",IF(Tabela2[[#This Row],[Lucro Líquido]]&gt;0,Tabela2[[#This Row],[Lucro Líquido]]/Tabela2[[#This Row],[Lucro Anterior]]-1,0))</f>
        <v>0.6148808699584345</v>
      </c>
    </row>
    <row r="66" spans="1:14" x14ac:dyDescent="0.2">
      <c r="A66" s="14" t="s">
        <v>238</v>
      </c>
      <c r="B66" s="4">
        <v>2011</v>
      </c>
      <c r="C66" s="6">
        <v>314799260.60000002</v>
      </c>
      <c r="D66" s="8">
        <f>SUMPRODUCT(N(Tabela3[PAPEL]=Tabela2[[#This Row],[Ativo]]),Tabela3[Total Ações])</f>
        <v>87001901</v>
      </c>
      <c r="E66" s="65">
        <f>(Tabela2[[#This Row],[Lucro Líquido]])/Tabela2[[#This Row],[Total Ações]]</f>
        <v>3.6183032437417664</v>
      </c>
      <c r="F66" s="65">
        <v>2.0491208919999999</v>
      </c>
      <c r="G66" s="45">
        <f>IF(AND(Tabela2[[#This Row],[Dividendo / Ação]]&gt;0,Tabela2[[#This Row],[Lucro por ação]]&gt;0),Tabela2[[#This Row],[Dividendo / Ação]]/Tabela2[[#This Row],[Lucro por ação]],"")</f>
        <v>0.56632093939173522</v>
      </c>
      <c r="H66" s="6">
        <f>MAX(Tabela2[[#This Row],[Cotação 1]],Tabela2[[#This Row],[Cotação 2]])</f>
        <v>23.54</v>
      </c>
      <c r="I66" s="19">
        <f>IF(Tabela2[[#This Row],[Dividendo / Ação]]&gt;0,Tabela2[[#This Row],[Dividendo / Ação]]/Tabela2[[#This Row],[Cotação]],"")</f>
        <v>8.7048466100254879E-2</v>
      </c>
      <c r="J66" s="60">
        <f>SUMPRODUCT(N(Tabela1[Código]=Tabela2[[#This Row],[Ativo]]),Tabela1[Fechamento])</f>
        <v>23.54</v>
      </c>
      <c r="K66" s="60">
        <f>SUMPRODUCT(N(Tabela17[Código]=Tabela2[[#This Row],[Ativo]]),Tabela17[Fechamento])</f>
        <v>0</v>
      </c>
      <c r="L66" s="60">
        <f>SUMPRODUCT(N(Tabela2[Ativo]=Tabela2[[#This Row],[Ativo]]),N(Tabela2[Exercício]=Tabela2[[#This Row],[Exercício]]-1),Tabela2[Lucro Líquido])</f>
        <v>313589945.75999999</v>
      </c>
      <c r="M66" s="19">
        <f>IF(Tabela2[[#This Row],[Lucro Anterior]]=0,"",IF(Tabela2[[#This Row],[Lucro Líquido]]&gt;0,Tabela2[[#This Row],[Lucro Líquido]]/Tabela2[[#This Row],[Lucro Anterior]]-1,0))</f>
        <v>3.8563571834844268E-3</v>
      </c>
    </row>
    <row r="67" spans="1:14" x14ac:dyDescent="0.2">
      <c r="A67" s="14" t="s">
        <v>238</v>
      </c>
      <c r="B67" s="4">
        <v>2010</v>
      </c>
      <c r="C67" s="6">
        <v>313589945.75999999</v>
      </c>
      <c r="D67" s="8">
        <f>SUMPRODUCT(N(Tabela3[PAPEL]=Tabela2[[#This Row],[Ativo]]),Tabela3[Total Ações])</f>
        <v>87001901</v>
      </c>
      <c r="E67" s="65">
        <f>(Tabela2[[#This Row],[Lucro Líquido]])/Tabela2[[#This Row],[Total Ações]]</f>
        <v>3.6044033768871326</v>
      </c>
      <c r="F67" s="65">
        <v>2.5006020599999998</v>
      </c>
      <c r="G67" s="45">
        <f>IF(AND(Tabela2[[#This Row],[Dividendo / Ação]]&gt;0,Tabela2[[#This Row],[Lucro por ação]]&gt;0),Tabela2[[#This Row],[Dividendo / Ação]]/Tabela2[[#This Row],[Lucro por ação]],"")</f>
        <v>0.69376309988911189</v>
      </c>
      <c r="H67" s="6">
        <f>MAX(Tabela2[[#This Row],[Cotação 1]],Tabela2[[#This Row],[Cotação 2]])</f>
        <v>23.54</v>
      </c>
      <c r="I67" s="19">
        <f>IF(Tabela2[[#This Row],[Dividendo / Ação]]&gt;0,Tabela2[[#This Row],[Dividendo / Ação]]/Tabela2[[#This Row],[Cotação]],"")</f>
        <v>0.10622778504672897</v>
      </c>
      <c r="J67" s="60">
        <f>SUMPRODUCT(N(Tabela1[Código]=Tabela2[[#This Row],[Ativo]]),Tabela1[Fechamento])</f>
        <v>23.54</v>
      </c>
      <c r="K67" s="60">
        <f>SUMPRODUCT(N(Tabela17[Código]=Tabela2[[#This Row],[Ativo]]),Tabela17[Fechamento])</f>
        <v>0</v>
      </c>
      <c r="L67" s="60">
        <f>SUMPRODUCT(N(Tabela2[Ativo]=Tabela2[[#This Row],[Ativo]]),N(Tabela2[Exercício]=Tabela2[[#This Row],[Exercício]]-1),Tabela2[Lucro Líquido])</f>
        <v>459012514.60000002</v>
      </c>
      <c r="M67" s="19">
        <f>IF(Tabela2[[#This Row],[Lucro Anterior]]=0,"",IF(Tabela2[[#This Row],[Lucro Líquido]]&gt;0,Tabela2[[#This Row],[Lucro Líquido]]/Tabela2[[#This Row],[Lucro Anterior]]-1,0))</f>
        <v>-0.31681613074695025</v>
      </c>
    </row>
    <row r="68" spans="1:14" x14ac:dyDescent="0.2">
      <c r="A68" s="14" t="s">
        <v>238</v>
      </c>
      <c r="B68" s="4">
        <v>2009</v>
      </c>
      <c r="C68" s="5">
        <v>459012514.60000002</v>
      </c>
      <c r="D68" s="8">
        <f>SUMPRODUCT(N(Tabela3[PAPEL]=Tabela2[[#This Row],[Ativo]]),Tabela3[Total Ações])</f>
        <v>87001901</v>
      </c>
      <c r="E68" s="65">
        <f>(Tabela2[[#This Row],[Lucro Líquido]])/Tabela2[[#This Row],[Total Ações]]</f>
        <v>5.2758906337000617</v>
      </c>
      <c r="F68" s="65">
        <v>2.911501565</v>
      </c>
      <c r="G68" s="45">
        <f>IF(AND(Tabela2[[#This Row],[Dividendo / Ação]]&gt;0,Tabela2[[#This Row],[Lucro por ação]]&gt;0),Tabela2[[#This Row],[Dividendo / Ação]]/Tabela2[[#This Row],[Lucro por ação]],"")</f>
        <v>0.55185024996587539</v>
      </c>
      <c r="H68" s="6">
        <f>MAX(Tabela2[[#This Row],[Cotação 1]],Tabela2[[#This Row],[Cotação 2]])</f>
        <v>23.54</v>
      </c>
      <c r="I68" s="19">
        <f>IF(Tabela2[[#This Row],[Dividendo / Ação]]&gt;0,Tabela2[[#This Row],[Dividendo / Ação]]/Tabela2[[#This Row],[Cotação]],"")</f>
        <v>0.1236831590909091</v>
      </c>
      <c r="J68" s="60">
        <f>SUMPRODUCT(N(Tabela1[Código]=Tabela2[[#This Row],[Ativo]]),Tabela1[Fechamento])</f>
        <v>23.54</v>
      </c>
      <c r="K68" s="60">
        <f>SUMPRODUCT(N(Tabela17[Código]=Tabela2[[#This Row],[Ativo]]),Tabela17[Fechamento])</f>
        <v>0</v>
      </c>
      <c r="L68" s="60">
        <f>SUMPRODUCT(N(Tabela2[Ativo]=Tabela2[[#This Row],[Ativo]]),N(Tabela2[Exercício]=Tabela2[[#This Row],[Exercício]]-1),Tabela2[Lucro Líquido])</f>
        <v>0</v>
      </c>
      <c r="M68" s="19" t="str">
        <f>IF(Tabela2[[#This Row],[Lucro Anterior]]=0,"",IF(Tabela2[[#This Row],[Lucro Líquido]]&gt;0,Tabela2[[#This Row],[Lucro Líquido]]/Tabela2[[#This Row],[Lucro Anterior]]-1,0))</f>
        <v/>
      </c>
      <c r="N68" s="3">
        <v>0.51486764249999994</v>
      </c>
    </row>
    <row r="69" spans="1:14" x14ac:dyDescent="0.2">
      <c r="A69" s="10" t="s">
        <v>331</v>
      </c>
      <c r="B69" s="3">
        <v>2012</v>
      </c>
      <c r="C69" s="5">
        <v>476737173.38</v>
      </c>
      <c r="D69" s="61">
        <f>SUMPRODUCT(N(Tabela3[PAPEL]=Tabela2[[#This Row],[Ativo]]),Tabela3[Total Ações])</f>
        <v>349547945</v>
      </c>
      <c r="E69" s="64">
        <f>(Tabela2[[#This Row],[Lucro Líquido]])/Tabela2[[#This Row],[Total Ações]]</f>
        <v>1.3638677617744255</v>
      </c>
      <c r="F69" s="64">
        <v>0.59109131800000003</v>
      </c>
      <c r="G69" s="22">
        <f>IF(AND(Tabela2[[#This Row],[Dividendo / Ação]]&gt;0,Tabela2[[#This Row],[Lucro por ação]]&gt;0),Tabela2[[#This Row],[Dividendo / Ação]]/Tabela2[[#This Row],[Lucro por ação]],"")</f>
        <v>0.43339342315047885</v>
      </c>
      <c r="H69" s="50">
        <f>MAX(Tabela2[[#This Row],[Cotação 1]],Tabela2[[#This Row],[Cotação 2]])</f>
        <v>18.16</v>
      </c>
      <c r="I69" s="18">
        <f>IF(Tabela2[[#This Row],[Dividendo / Ação]]&gt;0,Tabela2[[#This Row],[Dividendo / Ação]]/Tabela2[[#This Row],[Cotação]],"")</f>
        <v>3.2549081387665199E-2</v>
      </c>
      <c r="J69" s="7">
        <f>SUMPRODUCT(N(Tabela1[Código]=Tabela2[[#This Row],[Ativo]]),Tabela1[Fechamento])</f>
        <v>0</v>
      </c>
      <c r="K69" s="7">
        <f>SUMPRODUCT(N(Tabela17[Código]=Tabela2[[#This Row],[Ativo]]),Tabela17[Fechamento])</f>
        <v>18.16</v>
      </c>
      <c r="L69" s="7">
        <f>SUMPRODUCT(N(Tabela2[Ativo]=Tabela2[[#This Row],[Ativo]]),N(Tabela2[Exercício]=Tabela2[[#This Row],[Exercício]]-1),Tabela2[Lucro Líquido])</f>
        <v>2023882601.55</v>
      </c>
      <c r="M69" s="18">
        <f>IF(Tabela2[[#This Row],[Lucro Anterior]]=0,"",IF(Tabela2[[#This Row],[Lucro Líquido]]&gt;0,Tabela2[[#This Row],[Lucro Líquido]]/Tabela2[[#This Row],[Lucro Anterior]]-1,0))</f>
        <v>-0.76444425530666227</v>
      </c>
      <c r="N69" s="3">
        <v>3.1891227100000002E-2</v>
      </c>
    </row>
    <row r="70" spans="1:14" x14ac:dyDescent="0.2">
      <c r="A70" s="10" t="s">
        <v>331</v>
      </c>
      <c r="B70" s="3">
        <v>2011</v>
      </c>
      <c r="C70" s="5">
        <v>2023882601.55</v>
      </c>
      <c r="D70" s="61">
        <f>SUMPRODUCT(N(Tabela3[PAPEL]=Tabela2[[#This Row],[Ativo]]),Tabela3[Total Ações])</f>
        <v>349547945</v>
      </c>
      <c r="E70" s="64">
        <f>(Tabela2[[#This Row],[Lucro Líquido]])/Tabela2[[#This Row],[Total Ações]]</f>
        <v>5.79</v>
      </c>
      <c r="F70" s="64">
        <v>1.7780234450000001</v>
      </c>
      <c r="G70" s="22">
        <f>IF(AND(Tabela2[[#This Row],[Dividendo / Ação]]&gt;0,Tabela2[[#This Row],[Lucro por ação]]&gt;0),Tabela2[[#This Row],[Dividendo / Ação]]/Tabela2[[#This Row],[Lucro por ação]],"")</f>
        <v>0.30708522366148533</v>
      </c>
      <c r="H70" s="50">
        <f>MAX(Tabela2[[#This Row],[Cotação 1]],Tabela2[[#This Row],[Cotação 2]])</f>
        <v>18.16</v>
      </c>
      <c r="I70" s="18">
        <f>IF(Tabela2[[#This Row],[Dividendo / Ação]]&gt;0,Tabela2[[#This Row],[Dividendo / Ação]]/Tabela2[[#This Row],[Cotação]],"")</f>
        <v>9.7908780011013219E-2</v>
      </c>
      <c r="J70" s="7">
        <f>SUMPRODUCT(N(Tabela1[Código]=Tabela2[[#This Row],[Ativo]]),Tabela1[Fechamento])</f>
        <v>0</v>
      </c>
      <c r="K70" s="7">
        <f>SUMPRODUCT(N(Tabela17[Código]=Tabela2[[#This Row],[Ativo]]),Tabela17[Fechamento])</f>
        <v>18.16</v>
      </c>
      <c r="L70" s="7">
        <f>SUMPRODUCT(N(Tabela2[Ativo]=Tabela2[[#This Row],[Ativo]]),N(Tabela2[Exercício]=Tabela2[[#This Row],[Exercício]]-1),Tabela2[Lucro Líquido])</f>
        <v>1758226163.3499999</v>
      </c>
      <c r="M70" s="18">
        <f>IF(Tabela2[[#This Row],[Lucro Anterior]]=0,"",IF(Tabela2[[#This Row],[Lucro Líquido]]&gt;0,Tabela2[[#This Row],[Lucro Líquido]]/Tabela2[[#This Row],[Lucro Anterior]]-1,0))</f>
        <v>0.15109343936381703</v>
      </c>
      <c r="N70" s="3">
        <v>7.8275895100000006E-2</v>
      </c>
    </row>
    <row r="71" spans="1:14" x14ac:dyDescent="0.2">
      <c r="A71" s="10" t="s">
        <v>331</v>
      </c>
      <c r="B71" s="3">
        <v>2010</v>
      </c>
      <c r="C71" s="5">
        <v>1758226163.3499999</v>
      </c>
      <c r="D71" s="61">
        <f>SUMPRODUCT(N(Tabela3[PAPEL]=Tabela2[[#This Row],[Ativo]]),Tabela3[Total Ações])</f>
        <v>349547945</v>
      </c>
      <c r="E71" s="64">
        <f>(Tabela2[[#This Row],[Lucro Líquido]])/Tabela2[[#This Row],[Total Ações]]</f>
        <v>5.0299999999999994</v>
      </c>
      <c r="F71" s="64">
        <v>1.5299646339999999</v>
      </c>
      <c r="G71" s="22">
        <f>IF(AND(Tabela2[[#This Row],[Dividendo / Ação]]&gt;0,Tabela2[[#This Row],[Lucro por ação]]&gt;0),Tabela2[[#This Row],[Dividendo / Ação]]/Tabela2[[#This Row],[Lucro por ação]],"")</f>
        <v>0.30416791928429426</v>
      </c>
      <c r="H71" s="50">
        <f>MAX(Tabela2[[#This Row],[Cotação 1]],Tabela2[[#This Row],[Cotação 2]])</f>
        <v>18.16</v>
      </c>
      <c r="I71" s="18">
        <f>IF(Tabela2[[#This Row],[Dividendo / Ação]]&gt;0,Tabela2[[#This Row],[Dividendo / Ação]]/Tabela2[[#This Row],[Cotação]],"")</f>
        <v>8.4249153854625544E-2</v>
      </c>
      <c r="J71" s="7">
        <f>SUMPRODUCT(N(Tabela1[Código]=Tabela2[[#This Row],[Ativo]]),Tabela1[Fechamento])</f>
        <v>0</v>
      </c>
      <c r="K71" s="7">
        <f>SUMPRODUCT(N(Tabela17[Código]=Tabela2[[#This Row],[Ativo]]),Tabela17[Fechamento])</f>
        <v>18.16</v>
      </c>
      <c r="L71" s="7">
        <f>SUMPRODUCT(N(Tabela2[Ativo]=Tabela2[[#This Row],[Ativo]]),N(Tabela2[Exercício]=Tabela2[[#This Row],[Exercício]]-1),Tabela2[Lucro Líquido])</f>
        <v>961256848.75</v>
      </c>
      <c r="M71" s="18">
        <f>IF(Tabela2[[#This Row],[Lucro Anterior]]=0,"",IF(Tabela2[[#This Row],[Lucro Líquido]]&gt;0,Tabela2[[#This Row],[Lucro Líquido]]/Tabela2[[#This Row],[Lucro Anterior]]-1,0))</f>
        <v>0.8290909090909091</v>
      </c>
      <c r="N71" s="3">
        <v>7.8275895100000006E-2</v>
      </c>
    </row>
    <row r="72" spans="1:14" x14ac:dyDescent="0.2">
      <c r="A72" s="10" t="s">
        <v>331</v>
      </c>
      <c r="B72" s="3">
        <v>2009</v>
      </c>
      <c r="C72" s="5">
        <v>961256848.75</v>
      </c>
      <c r="D72" s="66">
        <f>SUMPRODUCT(N(Tabela3[PAPEL]=Tabela2[[#This Row],[Ativo]]),Tabela3[Total Ações])</f>
        <v>349547945</v>
      </c>
      <c r="E72" s="64">
        <f>(Tabela2[[#This Row],[Lucro Líquido]])/Tabela2[[#This Row],[Total Ações]]</f>
        <v>2.75</v>
      </c>
      <c r="F72" s="64">
        <v>0.86687395199999995</v>
      </c>
      <c r="G72" s="74">
        <f>IF(AND(Tabela2[[#This Row],[Dividendo / Ação]]&gt;0,Tabela2[[#This Row],[Lucro por ação]]&gt;0),Tabela2[[#This Row],[Dividendo / Ação]]/Tabela2[[#This Row],[Lucro por ação]],"")</f>
        <v>0.31522689163636364</v>
      </c>
      <c r="H72" s="59">
        <f>MAX(Tabela2[[#This Row],[Cotação 1]],Tabela2[[#This Row],[Cotação 2]])</f>
        <v>18.16</v>
      </c>
      <c r="I72" s="22">
        <f>IF(Tabela2[[#This Row],[Dividendo / Ação]]&gt;0,Tabela2[[#This Row],[Dividendo / Ação]]/Tabela2[[#This Row],[Cotação]],"")</f>
        <v>4.7735349779735682E-2</v>
      </c>
      <c r="J72" s="7">
        <f>SUMPRODUCT(N(Tabela1[Código]=Tabela2[[#This Row],[Ativo]]),Tabela1[Fechamento])</f>
        <v>0</v>
      </c>
      <c r="K72" s="7">
        <f>SUMPRODUCT(N(Tabela17[Código]=Tabela2[[#This Row],[Ativo]]),Tabela17[Fechamento])</f>
        <v>18.16</v>
      </c>
      <c r="L72" s="7">
        <f>SUMPRODUCT(N(Tabela2[Ativo]=Tabela2[[#This Row],[Ativo]]),N(Tabela2[Exercício]=Tabela2[[#This Row],[Exercício]]-1),Tabela2[Lucro Líquido])</f>
        <v>0</v>
      </c>
      <c r="M72" s="18" t="str">
        <f>IF(Tabela2[[#This Row],[Lucro Anterior]]=0,"",IF(Tabela2[[#This Row],[Lucro Líquido]]&gt;0,Tabela2[[#This Row],[Lucro Líquido]]/Tabela2[[#This Row],[Lucro Anterior]]-1,0))</f>
        <v/>
      </c>
      <c r="N72" s="3">
        <f>SUM(N68:N71)</f>
        <v>0.70331065979999996</v>
      </c>
    </row>
    <row r="73" spans="1:14" x14ac:dyDescent="0.2">
      <c r="A73" s="10" t="s">
        <v>332</v>
      </c>
      <c r="B73" s="3">
        <v>2012</v>
      </c>
      <c r="C73" s="5">
        <v>476737173.38</v>
      </c>
      <c r="D73" s="61">
        <f>SUMPRODUCT(N(Tabela3[PAPEL]=Tabela2[[#This Row],[Ativo]]),Tabela3[Total Ações])</f>
        <v>349547945</v>
      </c>
      <c r="E73" s="64">
        <f>(Tabela2[[#This Row],[Lucro Líquido]])/Tabela2[[#This Row],[Total Ações]]</f>
        <v>1.3638677617744255</v>
      </c>
      <c r="F73" s="64">
        <v>0.65020045000000004</v>
      </c>
      <c r="G73" s="22">
        <f>IF(AND(Tabela2[[#This Row],[Dividendo / Ação]]&gt;0,Tabela2[[#This Row],[Lucro por ação]]&gt;0),Tabela2[[#This Row],[Dividendo / Ação]]/Tabela2[[#This Row],[Lucro por ação]],"")</f>
        <v>0.47673276561216849</v>
      </c>
      <c r="H73" s="50">
        <f>MAX(Tabela2[[#This Row],[Cotação 1]],Tabela2[[#This Row],[Cotação 2]])</f>
        <v>22.41</v>
      </c>
      <c r="I73" s="18">
        <f>IF(Tabela2[[#This Row],[Dividendo / Ação]]&gt;0,Tabela2[[#This Row],[Dividendo / Ação]]/Tabela2[[#This Row],[Cotação]],"")</f>
        <v>2.9013853190539941E-2</v>
      </c>
      <c r="J73" s="7">
        <f>SUMPRODUCT(N(Tabela1[Código]=Tabela2[[#This Row],[Ativo]]),Tabela1[Fechamento])</f>
        <v>0</v>
      </c>
      <c r="K73" s="7">
        <f>SUMPRODUCT(N(Tabela17[Código]=Tabela2[[#This Row],[Ativo]]),Tabela17[Fechamento])</f>
        <v>22.41</v>
      </c>
      <c r="L73" s="7">
        <f>SUMPRODUCT(N(Tabela2[Ativo]=Tabela2[[#This Row],[Ativo]]),N(Tabela2[Exercício]=Tabela2[[#This Row],[Exercício]]-1),Tabela2[Lucro Líquido])</f>
        <v>2023882601.55</v>
      </c>
      <c r="M73" s="18">
        <f>IF(Tabela2[[#This Row],[Lucro Anterior]]=0,"",IF(Tabela2[[#This Row],[Lucro Líquido]]&gt;0,Tabela2[[#This Row],[Lucro Líquido]]/Tabela2[[#This Row],[Lucro Anterior]]-1,0))</f>
        <v>-0.76444425530666227</v>
      </c>
    </row>
    <row r="74" spans="1:14" x14ac:dyDescent="0.2">
      <c r="A74" s="10" t="s">
        <v>332</v>
      </c>
      <c r="B74" s="3">
        <v>2011</v>
      </c>
      <c r="C74" s="5">
        <v>2023882601.55</v>
      </c>
      <c r="D74" s="61">
        <f>SUMPRODUCT(N(Tabela3[PAPEL]=Tabela2[[#This Row],[Ativo]]),Tabela3[Total Ações])</f>
        <v>349547945</v>
      </c>
      <c r="E74" s="64">
        <f>(Tabela2[[#This Row],[Lucro Líquido]])/Tabela2[[#This Row],[Total Ações]]</f>
        <v>5.79</v>
      </c>
      <c r="F74" s="64">
        <v>1.955825792</v>
      </c>
      <c r="G74" s="22">
        <f>IF(AND(Tabela2[[#This Row],[Dividendo / Ação]]&gt;0,Tabela2[[#This Row],[Lucro por ação]]&gt;0),Tabela2[[#This Row],[Dividendo / Ação]]/Tabela2[[#This Row],[Lucro por ação]],"")</f>
        <v>0.33779374645941279</v>
      </c>
      <c r="H74" s="50">
        <f>MAX(Tabela2[[#This Row],[Cotação 1]],Tabela2[[#This Row],[Cotação 2]])</f>
        <v>22.41</v>
      </c>
      <c r="I74" s="18">
        <f>IF(Tabela2[[#This Row],[Dividendo / Ação]]&gt;0,Tabela2[[#This Row],[Dividendo / Ação]]/Tabela2[[#This Row],[Cotação]],"")</f>
        <v>8.727468951360999E-2</v>
      </c>
      <c r="J74" s="7">
        <f>SUMPRODUCT(N(Tabela1[Código]=Tabela2[[#This Row],[Ativo]]),Tabela1[Fechamento])</f>
        <v>0</v>
      </c>
      <c r="K74" s="7">
        <f>SUMPRODUCT(N(Tabela17[Código]=Tabela2[[#This Row],[Ativo]]),Tabela17[Fechamento])</f>
        <v>22.41</v>
      </c>
      <c r="L74" s="7">
        <f>SUMPRODUCT(N(Tabela2[Ativo]=Tabela2[[#This Row],[Ativo]]),N(Tabela2[Exercício]=Tabela2[[#This Row],[Exercício]]-1),Tabela2[Lucro Líquido])</f>
        <v>1758226163.3499999</v>
      </c>
      <c r="M74" s="18">
        <f>IF(Tabela2[[#This Row],[Lucro Anterior]]=0,"",IF(Tabela2[[#This Row],[Lucro Líquido]]&gt;0,Tabela2[[#This Row],[Lucro Líquido]]/Tabela2[[#This Row],[Lucro Anterior]]-1,0))</f>
        <v>0.15109343936381703</v>
      </c>
    </row>
    <row r="75" spans="1:14" x14ac:dyDescent="0.2">
      <c r="A75" s="10" t="s">
        <v>332</v>
      </c>
      <c r="B75" s="3">
        <v>2010</v>
      </c>
      <c r="C75" s="5">
        <v>1758226163.3499999</v>
      </c>
      <c r="D75" s="61">
        <f>SUMPRODUCT(N(Tabela3[PAPEL]=Tabela2[[#This Row],[Ativo]]),Tabela3[Total Ações])</f>
        <v>349547945</v>
      </c>
      <c r="E75" s="64">
        <f>(Tabela2[[#This Row],[Lucro Líquido]])/Tabela2[[#This Row],[Total Ações]]</f>
        <v>5.0299999999999994</v>
      </c>
      <c r="F75" s="64">
        <v>1.6829611</v>
      </c>
      <c r="G75" s="22">
        <f>IF(AND(Tabela2[[#This Row],[Dividendo / Ação]]&gt;0,Tabela2[[#This Row],[Lucro por ação]]&gt;0),Tabela2[[#This Row],[Dividendo / Ação]]/Tabela2[[#This Row],[Lucro por ação]],"")</f>
        <v>0.33458471172962229</v>
      </c>
      <c r="H75" s="50">
        <f>MAX(Tabela2[[#This Row],[Cotação 1]],Tabela2[[#This Row],[Cotação 2]])</f>
        <v>22.41</v>
      </c>
      <c r="I75" s="18">
        <f>IF(Tabela2[[#This Row],[Dividendo / Ação]]&gt;0,Tabela2[[#This Row],[Dividendo / Ação]]/Tabela2[[#This Row],[Cotação]],"")</f>
        <v>7.5098665774207943E-2</v>
      </c>
      <c r="J75" s="7">
        <f>SUMPRODUCT(N(Tabela1[Código]=Tabela2[[#This Row],[Ativo]]),Tabela1[Fechamento])</f>
        <v>0</v>
      </c>
      <c r="K75" s="7">
        <f>SUMPRODUCT(N(Tabela17[Código]=Tabela2[[#This Row],[Ativo]]),Tabela17[Fechamento])</f>
        <v>22.41</v>
      </c>
      <c r="L75" s="7">
        <f>SUMPRODUCT(N(Tabela2[Ativo]=Tabela2[[#This Row],[Ativo]]),N(Tabela2[Exercício]=Tabela2[[#This Row],[Exercício]]-1),Tabela2[Lucro Líquido])</f>
        <v>961256848.75</v>
      </c>
      <c r="M75" s="18">
        <f>IF(Tabela2[[#This Row],[Lucro Anterior]]=0,"",IF(Tabela2[[#This Row],[Lucro Líquido]]&gt;0,Tabela2[[#This Row],[Lucro Líquido]]/Tabela2[[#This Row],[Lucro Anterior]]-1,0))</f>
        <v>0.8290909090909091</v>
      </c>
    </row>
    <row r="76" spans="1:14" x14ac:dyDescent="0.2">
      <c r="A76" s="10" t="s">
        <v>332</v>
      </c>
      <c r="B76" s="3">
        <v>2009</v>
      </c>
      <c r="C76" s="5">
        <v>961256848.75</v>
      </c>
      <c r="D76" s="66">
        <f>SUMPRODUCT(N(Tabela3[PAPEL]=Tabela2[[#This Row],[Ativo]]),Tabela3[Total Ações])</f>
        <v>349547945</v>
      </c>
      <c r="E76" s="64">
        <f>(Tabela2[[#This Row],[Lucro Líquido]])/Tabela2[[#This Row],[Total Ações]]</f>
        <v>2.75</v>
      </c>
      <c r="F76" s="64">
        <v>0.953561349</v>
      </c>
      <c r="G76" s="74">
        <f>IF(AND(Tabela2[[#This Row],[Dividendo / Ação]]&gt;0,Tabela2[[#This Row],[Lucro por ação]]&gt;0),Tabela2[[#This Row],[Dividendo / Ação]]/Tabela2[[#This Row],[Lucro por ação]],"")</f>
        <v>0.34674958145454543</v>
      </c>
      <c r="H76" s="59">
        <f>MAX(Tabela2[[#This Row],[Cotação 1]],Tabela2[[#This Row],[Cotação 2]])</f>
        <v>22.41</v>
      </c>
      <c r="I76" s="22">
        <f>IF(Tabela2[[#This Row],[Dividendo / Ação]]&gt;0,Tabela2[[#This Row],[Dividendo / Ação]]/Tabela2[[#This Row],[Cotação]],"")</f>
        <v>4.2550707228915664E-2</v>
      </c>
      <c r="J76" s="7">
        <f>SUMPRODUCT(N(Tabela1[Código]=Tabela2[[#This Row],[Ativo]]),Tabela1[Fechamento])</f>
        <v>0</v>
      </c>
      <c r="K76" s="7">
        <f>SUMPRODUCT(N(Tabela17[Código]=Tabela2[[#This Row],[Ativo]]),Tabela17[Fechamento])</f>
        <v>22.41</v>
      </c>
      <c r="L76" s="7">
        <f>SUMPRODUCT(N(Tabela2[Ativo]=Tabela2[[#This Row],[Ativo]]),N(Tabela2[Exercício]=Tabela2[[#This Row],[Exercício]]-1),Tabela2[Lucro Líquido])</f>
        <v>0</v>
      </c>
      <c r="M76" s="18" t="str">
        <f>IF(Tabela2[[#This Row],[Lucro Anterior]]=0,"",IF(Tabela2[[#This Row],[Lucro Líquido]]&gt;0,Tabela2[[#This Row],[Lucro Líquido]]/Tabela2[[#This Row],[Lucro Anterior]]-1,0))</f>
        <v/>
      </c>
    </row>
    <row r="77" spans="1:14" x14ac:dyDescent="0.2">
      <c r="A77" s="10" t="s">
        <v>313</v>
      </c>
      <c r="B77" s="3">
        <v>2012</v>
      </c>
      <c r="C77" s="5">
        <v>813227000</v>
      </c>
      <c r="D77" s="61">
        <f>SUMPRODUCT(N(Tabela3[PAPEL]=Tabela2[[#This Row],[Ativo]]),Tabela3[Total Ações])</f>
        <v>872473246</v>
      </c>
      <c r="E77" s="64">
        <f>(Tabela2[[#This Row],[Lucro Líquido]])/Tabela2[[#This Row],[Total Ações]]</f>
        <v>0.93209391087735427</v>
      </c>
      <c r="F77" s="64">
        <v>0.32</v>
      </c>
      <c r="G77" s="22">
        <f>IF(AND(Tabela2[[#This Row],[Dividendo / Ação]]&gt;0,Tabela2[[#This Row],[Lucro por ação]]&gt;0),Tabela2[[#This Row],[Dividendo / Ação]]/Tabela2[[#This Row],[Lucro por ação]],"")</f>
        <v>0.34331304632040011</v>
      </c>
      <c r="H77" s="50">
        <f>MAX(Tabela2[[#This Row],[Cotação 1]],Tabela2[[#This Row],[Cotação 2]])</f>
        <v>44.71</v>
      </c>
      <c r="I77" s="18">
        <f>IF(Tabela2[[#This Row],[Dividendo / Ação]]&gt;0,Tabela2[[#This Row],[Dividendo / Ação]]/Tabela2[[#This Row],[Cotação]],"")</f>
        <v>7.1572355177812567E-3</v>
      </c>
      <c r="J77" s="7">
        <f>SUMPRODUCT(N(Tabela1[Código]=Tabela2[[#This Row],[Ativo]]),Tabela1[Fechamento])</f>
        <v>0</v>
      </c>
      <c r="K77" s="7">
        <f>SUMPRODUCT(N(Tabela17[Código]=Tabela2[[#This Row],[Ativo]]),Tabela17[Fechamento])</f>
        <v>44.71</v>
      </c>
      <c r="L77" s="7">
        <f>SUMPRODUCT(N(Tabela2[Ativo]=Tabela2[[#This Row],[Ativo]]),N(Tabela2[Exercício]=Tabela2[[#This Row],[Exercício]]-1),Tabela2[Lucro Líquido])</f>
        <v>1367409000</v>
      </c>
      <c r="M77" s="18">
        <f>IF(Tabela2[[#This Row],[Lucro Anterior]]=0,"",IF(Tabela2[[#This Row],[Lucro Líquido]]&gt;0,Tabela2[[#This Row],[Lucro Líquido]]/Tabela2[[#This Row],[Lucro Anterior]]-1,0))</f>
        <v>-0.40527888875969076</v>
      </c>
    </row>
    <row r="78" spans="1:14" x14ac:dyDescent="0.2">
      <c r="A78" s="3" t="s">
        <v>313</v>
      </c>
      <c r="B78" s="3">
        <v>2011</v>
      </c>
      <c r="C78" s="5">
        <v>1367409000</v>
      </c>
      <c r="D78" s="61">
        <f>SUMPRODUCT(N(Tabela3[PAPEL]=Tabela2[[#This Row],[Ativo]]),Tabela3[Total Ações])</f>
        <v>872473246</v>
      </c>
      <c r="E78" s="64">
        <f>(Tabela2[[#This Row],[Lucro Líquido]])/Tabela2[[#This Row],[Total Ações]]</f>
        <v>1.5672790039913729</v>
      </c>
      <c r="F78" s="64">
        <v>0.72453109900000001</v>
      </c>
      <c r="G78" s="22">
        <f>IF(AND(Tabela2[[#This Row],[Dividendo / Ação]]&gt;0,Tabela2[[#This Row],[Lucro por ação]]&gt;0),Tabela2[[#This Row],[Dividendo / Ação]]/Tabela2[[#This Row],[Lucro por ação]],"")</f>
        <v>0.46228597279415107</v>
      </c>
      <c r="H78" s="50">
        <f>MAX(Tabela2[[#This Row],[Cotação 1]],Tabela2[[#This Row],[Cotação 2]])</f>
        <v>44.71</v>
      </c>
      <c r="I78" s="18">
        <f>IF(Tabela2[[#This Row],[Dividendo / Ação]]&gt;0,Tabela2[[#This Row],[Dividendo / Ação]]/Tabela2[[#This Row],[Cotação]],"")</f>
        <v>1.620512411093715E-2</v>
      </c>
      <c r="J78" s="7">
        <f>SUMPRODUCT(N(Tabela1[Código]=Tabela2[[#This Row],[Ativo]]),Tabela1[Fechamento])</f>
        <v>0</v>
      </c>
      <c r="K78" s="7">
        <f>SUMPRODUCT(N(Tabela17[Código]=Tabela2[[#This Row],[Ativo]]),Tabela17[Fechamento])</f>
        <v>44.71</v>
      </c>
      <c r="L78" s="7">
        <f>SUMPRODUCT(N(Tabela2[Ativo]=Tabela2[[#This Row],[Ativo]]),N(Tabela2[Exercício]=Tabela2[[#This Row],[Exercício]]-1),Tabela2[Lucro Líquido])</f>
        <v>804106000</v>
      </c>
      <c r="M78" s="18">
        <f>IF(Tabela2[[#This Row],[Lucro Anterior]]=0,"",IF(Tabela2[[#This Row],[Lucro Líquido]]&gt;0,Tabela2[[#This Row],[Lucro Líquido]]/Tabela2[[#This Row],[Lucro Anterior]]-1,0))</f>
        <v>0.7005332630275114</v>
      </c>
    </row>
    <row r="79" spans="1:14" x14ac:dyDescent="0.2">
      <c r="A79" s="10" t="s">
        <v>313</v>
      </c>
      <c r="B79" s="3">
        <v>2010</v>
      </c>
      <c r="C79" s="5">
        <v>804106000</v>
      </c>
      <c r="D79" s="61">
        <f>SUMPRODUCT(N(Tabela3[PAPEL]=Tabela2[[#This Row],[Ativo]]),Tabela3[Total Ações])</f>
        <v>872473246</v>
      </c>
      <c r="E79" s="64">
        <f>(Tabela2[[#This Row],[Lucro Líquido]])/Tabela2[[#This Row],[Total Ações]]</f>
        <v>0.92163972211934164</v>
      </c>
      <c r="F79" s="64">
        <v>0.30086882500000001</v>
      </c>
      <c r="G79" s="22">
        <f>IF(AND(Tabela2[[#This Row],[Dividendo / Ação]]&gt;0,Tabela2[[#This Row],[Lucro por ação]]&gt;0),Tabela2[[#This Row],[Dividendo / Ação]]/Tabela2[[#This Row],[Lucro por ação]],"")</f>
        <v>0.32644949840935888</v>
      </c>
      <c r="H79" s="50">
        <f>MAX(Tabela2[[#This Row],[Cotação 1]],Tabela2[[#This Row],[Cotação 2]])</f>
        <v>44.71</v>
      </c>
      <c r="I79" s="18">
        <f>IF(Tabela2[[#This Row],[Dividendo / Ação]]&gt;0,Tabela2[[#This Row],[Dividendo / Ação]]/Tabela2[[#This Row],[Cotação]],"")</f>
        <v>6.7293407515097298E-3</v>
      </c>
      <c r="J79" s="7">
        <f>SUMPRODUCT(N(Tabela1[Código]=Tabela2[[#This Row],[Ativo]]),Tabela1[Fechamento])</f>
        <v>0</v>
      </c>
      <c r="K79" s="7">
        <f>SUMPRODUCT(N(Tabela17[Código]=Tabela2[[#This Row],[Ativo]]),Tabela17[Fechamento])</f>
        <v>44.71</v>
      </c>
      <c r="L79" s="7">
        <f>SUMPRODUCT(N(Tabela2[Ativo]=Tabela2[[#This Row],[Ativo]]),N(Tabela2[Exercício]=Tabela2[[#This Row],[Exercício]]-1),Tabela2[Lucro Líquido])</f>
        <v>0</v>
      </c>
      <c r="M79" s="18" t="str">
        <f>IF(Tabela2[[#This Row],[Lucro Anterior]]=0,"",IF(Tabela2[[#This Row],[Lucro Líquido]]&gt;0,Tabela2[[#This Row],[Lucro Líquido]]/Tabela2[[#This Row],[Lucro Anterior]]-1,0))</f>
        <v/>
      </c>
    </row>
    <row r="80" spans="1:14" x14ac:dyDescent="0.2">
      <c r="A80" s="15" t="s">
        <v>250</v>
      </c>
      <c r="B80" s="3">
        <v>2012</v>
      </c>
      <c r="C80" s="5">
        <v>63154000</v>
      </c>
      <c r="D80" s="61">
        <f>SUMPRODUCT(N(Tabela3[PAPEL]=Tabela2[[#This Row],[Ativo]]),Tabela3[Total Ações])</f>
        <v>73646388</v>
      </c>
      <c r="E80" s="64">
        <f>(Tabela2[[#This Row],[Lucro Líquido]])/Tabela2[[#This Row],[Total Ações]]</f>
        <v>0.85753017513907126</v>
      </c>
      <c r="F80" s="64">
        <v>0.24782000000000001</v>
      </c>
      <c r="G80" s="22">
        <f>IF(AND(Tabela2[[#This Row],[Dividendo / Ação]]&gt;0,Tabela2[[#This Row],[Lucro por ação]]&gt;0),Tabela2[[#This Row],[Dividendo / Ação]]/Tabela2[[#This Row],[Lucro por ação]],"")</f>
        <v>0.28899274589353013</v>
      </c>
      <c r="H80" s="5">
        <f>MAX(Tabela2[[#This Row],[Cotação 1]],Tabela2[[#This Row],[Cotação 2]])</f>
        <v>3.82</v>
      </c>
      <c r="I80" s="18">
        <f>IF(Tabela2[[#This Row],[Dividendo / Ação]]&gt;0,Tabela2[[#This Row],[Dividendo / Ação]]/Tabela2[[#This Row],[Cotação]],"")</f>
        <v>6.4874345549738227E-2</v>
      </c>
      <c r="J80" s="59">
        <f>SUMPRODUCT(N(Tabela1[Código]=Tabela2[[#This Row],[Ativo]]),Tabela1[Fechamento])</f>
        <v>3.82</v>
      </c>
      <c r="K80" s="59">
        <f>SUMPRODUCT(N(Tabela17[Código]=Tabela2[[#This Row],[Ativo]]),Tabela17[Fechamento])</f>
        <v>0</v>
      </c>
      <c r="L80" s="59">
        <f>SUMPRODUCT(N(Tabela2[Ativo]=Tabela2[[#This Row],[Ativo]]),N(Tabela2[Exercício]=Tabela2[[#This Row],[Exercício]]-1),Tabela2[Lucro Líquido])</f>
        <v>56638000</v>
      </c>
      <c r="M80" s="18">
        <f>IF(Tabela2[[#This Row],[Lucro Anterior]]=0,"",IF(Tabela2[[#This Row],[Lucro Líquido]]&gt;0,Tabela2[[#This Row],[Lucro Líquido]]/Tabela2[[#This Row],[Lucro Anterior]]-1,0))</f>
        <v>0.11504643525548208</v>
      </c>
    </row>
    <row r="81" spans="1:13" x14ac:dyDescent="0.2">
      <c r="A81" s="15" t="s">
        <v>250</v>
      </c>
      <c r="B81" s="3">
        <v>2011</v>
      </c>
      <c r="C81" s="5">
        <v>56638000</v>
      </c>
      <c r="D81" s="61">
        <f>SUMPRODUCT(N(Tabela3[PAPEL]=Tabela2[[#This Row],[Ativo]]),Tabela3[Total Ações])</f>
        <v>73646388</v>
      </c>
      <c r="E81" s="64">
        <f>(Tabela2[[#This Row],[Lucro Líquido]])/Tabela2[[#This Row],[Total Ações]]</f>
        <v>0.76905333089791184</v>
      </c>
      <c r="F81" s="64">
        <v>0.22899</v>
      </c>
      <c r="G81" s="22">
        <f>IF(AND(Tabela2[[#This Row],[Dividendo / Ação]]&gt;0,Tabela2[[#This Row],[Lucro por ação]]&gt;0),Tabela2[[#This Row],[Dividendo / Ação]]/Tabela2[[#This Row],[Lucro por ação]],"")</f>
        <v>0.29775568325364593</v>
      </c>
      <c r="H81" s="5">
        <f>MAX(Tabela2[[#This Row],[Cotação 1]],Tabela2[[#This Row],[Cotação 2]])</f>
        <v>3.82</v>
      </c>
      <c r="I81" s="18">
        <f>IF(Tabela2[[#This Row],[Dividendo / Ação]]&gt;0,Tabela2[[#This Row],[Dividendo / Ação]]/Tabela2[[#This Row],[Cotação]],"")</f>
        <v>5.9945026178010473E-2</v>
      </c>
      <c r="J81" s="59">
        <f>SUMPRODUCT(N(Tabela1[Código]=Tabela2[[#This Row],[Ativo]]),Tabela1[Fechamento])</f>
        <v>3.82</v>
      </c>
      <c r="K81" s="59">
        <f>SUMPRODUCT(N(Tabela17[Código]=Tabela2[[#This Row],[Ativo]]),Tabela17[Fechamento])</f>
        <v>0</v>
      </c>
      <c r="L81" s="59">
        <f>SUMPRODUCT(N(Tabela2[Ativo]=Tabela2[[#This Row],[Ativo]]),N(Tabela2[Exercício]=Tabela2[[#This Row],[Exercício]]-1),Tabela2[Lucro Líquido])</f>
        <v>50724000</v>
      </c>
      <c r="M81" s="18">
        <f>IF(Tabela2[[#This Row],[Lucro Anterior]]=0,"",IF(Tabela2[[#This Row],[Lucro Líquido]]&gt;0,Tabela2[[#This Row],[Lucro Líquido]]/Tabela2[[#This Row],[Lucro Anterior]]-1,0))</f>
        <v>0.11659175143916101</v>
      </c>
    </row>
    <row r="82" spans="1:13" x14ac:dyDescent="0.2">
      <c r="A82" s="15" t="s">
        <v>250</v>
      </c>
      <c r="B82" s="3">
        <v>2010</v>
      </c>
      <c r="C82" s="5">
        <v>50724000</v>
      </c>
      <c r="D82" s="61">
        <f>SUMPRODUCT(N(Tabela3[PAPEL]=Tabela2[[#This Row],[Ativo]]),Tabela3[Total Ações])</f>
        <v>73646388</v>
      </c>
      <c r="E82" s="64">
        <f>(Tabela2[[#This Row],[Lucro Líquido]])/Tabela2[[#This Row],[Total Ações]]</f>
        <v>0.6887506825181976</v>
      </c>
      <c r="F82" s="64">
        <v>0.22311</v>
      </c>
      <c r="G82" s="22">
        <f>IF(AND(Tabela2[[#This Row],[Dividendo / Ação]]&gt;0,Tabela2[[#This Row],[Lucro por ação]]&gt;0),Tabela2[[#This Row],[Dividendo / Ação]]/Tabela2[[#This Row],[Lucro por ação]],"")</f>
        <v>0.32393434324343506</v>
      </c>
      <c r="H82" s="5">
        <f>MAX(Tabela2[[#This Row],[Cotação 1]],Tabela2[[#This Row],[Cotação 2]])</f>
        <v>3.82</v>
      </c>
      <c r="I82" s="18">
        <f>IF(Tabela2[[#This Row],[Dividendo / Ação]]&gt;0,Tabela2[[#This Row],[Dividendo / Ação]]/Tabela2[[#This Row],[Cotação]],"")</f>
        <v>5.8405759162303665E-2</v>
      </c>
      <c r="J82" s="59">
        <f>SUMPRODUCT(N(Tabela1[Código]=Tabela2[[#This Row],[Ativo]]),Tabela1[Fechamento])</f>
        <v>3.82</v>
      </c>
      <c r="K82" s="59">
        <f>SUMPRODUCT(N(Tabela17[Código]=Tabela2[[#This Row],[Ativo]]),Tabela17[Fechamento])</f>
        <v>0</v>
      </c>
      <c r="L82" s="59">
        <f>SUMPRODUCT(N(Tabela2[Ativo]=Tabela2[[#This Row],[Ativo]]),N(Tabela2[Exercício]=Tabela2[[#This Row],[Exercício]]-1),Tabela2[Lucro Líquido])</f>
        <v>46296000</v>
      </c>
      <c r="M82" s="18">
        <f>IF(Tabela2[[#This Row],[Lucro Anterior]]=0,"",IF(Tabela2[[#This Row],[Lucro Líquido]]&gt;0,Tabela2[[#This Row],[Lucro Líquido]]/Tabela2[[#This Row],[Lucro Anterior]]-1,0))</f>
        <v>9.5645412130637597E-2</v>
      </c>
    </row>
    <row r="83" spans="1:13" x14ac:dyDescent="0.2">
      <c r="A83" s="15" t="s">
        <v>250</v>
      </c>
      <c r="B83" s="3">
        <v>2009</v>
      </c>
      <c r="C83" s="5">
        <v>46296000</v>
      </c>
      <c r="D83" s="61">
        <f>SUMPRODUCT(N(Tabela3[PAPEL]=Tabela2[[#This Row],[Ativo]]),Tabela3[Total Ações])</f>
        <v>73646388</v>
      </c>
      <c r="E83" s="64">
        <f>(Tabela2[[#This Row],[Lucro Líquido]])/Tabela2[[#This Row],[Total Ações]]</f>
        <v>0.62862553422171907</v>
      </c>
      <c r="F83" s="64">
        <v>0.19269</v>
      </c>
      <c r="G83" s="22">
        <f>IF(AND(Tabela2[[#This Row],[Dividendo / Ação]]&gt;0,Tabela2[[#This Row],[Lucro por ação]]&gt;0),Tabela2[[#This Row],[Dividendo / Ação]]/Tabela2[[#This Row],[Lucro por ação]],"")</f>
        <v>0.30652588784603418</v>
      </c>
      <c r="H83" s="5">
        <f>MAX(Tabela2[[#This Row],[Cotação 1]],Tabela2[[#This Row],[Cotação 2]])</f>
        <v>3.82</v>
      </c>
      <c r="I83" s="18">
        <f>IF(Tabela2[[#This Row],[Dividendo / Ação]]&gt;0,Tabela2[[#This Row],[Dividendo / Ação]]/Tabela2[[#This Row],[Cotação]],"")</f>
        <v>5.0442408376963351E-2</v>
      </c>
      <c r="J83" s="59">
        <f>SUMPRODUCT(N(Tabela1[Código]=Tabela2[[#This Row],[Ativo]]),Tabela1[Fechamento])</f>
        <v>3.82</v>
      </c>
      <c r="K83" s="59">
        <f>SUMPRODUCT(N(Tabela17[Código]=Tabela2[[#This Row],[Ativo]]),Tabela17[Fechamento])</f>
        <v>0</v>
      </c>
      <c r="L83" s="59">
        <f>SUMPRODUCT(N(Tabela2[Ativo]=Tabela2[[#This Row],[Ativo]]),N(Tabela2[Exercício]=Tabela2[[#This Row],[Exercício]]-1),Tabela2[Lucro Líquido])</f>
        <v>0</v>
      </c>
      <c r="M83" s="18" t="str">
        <f>IF(Tabela2[[#This Row],[Lucro Anterior]]=0,"",IF(Tabela2[[#This Row],[Lucro Líquido]]&gt;0,Tabela2[[#This Row],[Lucro Líquido]]/Tabela2[[#This Row],[Lucro Anterior]]-1,0))</f>
        <v/>
      </c>
    </row>
    <row r="84" spans="1:13" x14ac:dyDescent="0.2">
      <c r="A84" s="14" t="s">
        <v>251</v>
      </c>
      <c r="B84" s="3">
        <v>2012</v>
      </c>
      <c r="C84" s="5">
        <v>63154000</v>
      </c>
      <c r="D84" s="8">
        <f>SUMPRODUCT(N(Tabela3[PAPEL]=Tabela2[[#This Row],[Ativo]]),Tabela3[Total Ações])</f>
        <v>73646388</v>
      </c>
      <c r="E84" s="65">
        <f>(Tabela2[[#This Row],[Lucro Líquido]])/Tabela2[[#This Row],[Total Ações]]</f>
        <v>0.85753017513907126</v>
      </c>
      <c r="F84" s="65">
        <v>3.3640000000000003E-2</v>
      </c>
      <c r="G84" s="45">
        <f>IF(AND(Tabela2[[#This Row],[Dividendo / Ação]]&gt;0,Tabela2[[#This Row],[Lucro por ação]]&gt;0),Tabela2[[#This Row],[Dividendo / Ação]]/Tabela2[[#This Row],[Lucro por ação]],"")</f>
        <v>3.9228940246381863E-2</v>
      </c>
      <c r="H84" s="6">
        <f>MAX(Tabela2[[#This Row],[Cotação 1]],Tabela2[[#This Row],[Cotação 2]])</f>
        <v>4</v>
      </c>
      <c r="I84" s="19">
        <f>IF(Tabela2[[#This Row],[Dividendo / Ação]]&gt;0,Tabela2[[#This Row],[Dividendo / Ação]]/Tabela2[[#This Row],[Cotação]],"")</f>
        <v>8.4100000000000008E-3</v>
      </c>
      <c r="J84" s="60">
        <f>SUMPRODUCT(N(Tabela1[Código]=Tabela2[[#This Row],[Ativo]]),Tabela1[Fechamento])</f>
        <v>4</v>
      </c>
      <c r="K84" s="60">
        <f>SUMPRODUCT(N(Tabela17[Código]=Tabela2[[#This Row],[Ativo]]),Tabela17[Fechamento])</f>
        <v>0</v>
      </c>
      <c r="L84" s="60">
        <f>SUMPRODUCT(N(Tabela2[Ativo]=Tabela2[[#This Row],[Ativo]]),N(Tabela2[Exercício]=Tabela2[[#This Row],[Exercício]]-1),Tabela2[Lucro Líquido])</f>
        <v>56638000</v>
      </c>
      <c r="M84" s="19">
        <f>IF(Tabela2[[#This Row],[Lucro Anterior]]=0,"",IF(Tabela2[[#This Row],[Lucro Líquido]]&gt;0,Tabela2[[#This Row],[Lucro Líquido]]/Tabela2[[#This Row],[Lucro Anterior]]-1,0))</f>
        <v>0.11504643525548208</v>
      </c>
    </row>
    <row r="85" spans="1:13" x14ac:dyDescent="0.2">
      <c r="A85" s="14" t="s">
        <v>251</v>
      </c>
      <c r="B85" s="3">
        <v>2011</v>
      </c>
      <c r="C85" s="5">
        <v>56638000</v>
      </c>
      <c r="D85" s="8">
        <f>SUMPRODUCT(N(Tabela3[PAPEL]=Tabela2[[#This Row],[Ativo]]),Tabela3[Total Ações])</f>
        <v>73646388</v>
      </c>
      <c r="E85" s="65">
        <f>(Tabela2[[#This Row],[Lucro Líquido]])/Tabela2[[#This Row],[Total Ações]]</f>
        <v>0.76905333089791184</v>
      </c>
      <c r="F85" s="65">
        <v>1.0189999999999999E-2</v>
      </c>
      <c r="G85" s="45">
        <f>IF(AND(Tabela2[[#This Row],[Dividendo / Ação]]&gt;0,Tabela2[[#This Row],[Lucro por ação]]&gt;0),Tabela2[[#This Row],[Dividendo / Ação]]/Tabela2[[#This Row],[Lucro por ação]],"")</f>
        <v>1.3250056388290545E-2</v>
      </c>
      <c r="H85" s="6">
        <f>MAX(Tabela2[[#This Row],[Cotação 1]],Tabela2[[#This Row],[Cotação 2]])</f>
        <v>4</v>
      </c>
      <c r="I85" s="19">
        <f>IF(Tabela2[[#This Row],[Dividendo / Ação]]&gt;0,Tabela2[[#This Row],[Dividendo / Ação]]/Tabela2[[#This Row],[Cotação]],"")</f>
        <v>2.5474999999999999E-3</v>
      </c>
      <c r="J85" s="60">
        <f>SUMPRODUCT(N(Tabela1[Código]=Tabela2[[#This Row],[Ativo]]),Tabela1[Fechamento])</f>
        <v>4</v>
      </c>
      <c r="K85" s="60">
        <f>SUMPRODUCT(N(Tabela17[Código]=Tabela2[[#This Row],[Ativo]]),Tabela17[Fechamento])</f>
        <v>0</v>
      </c>
      <c r="L85" s="60">
        <f>SUMPRODUCT(N(Tabela2[Ativo]=Tabela2[[#This Row],[Ativo]]),N(Tabela2[Exercício]=Tabela2[[#This Row],[Exercício]]-1),Tabela2[Lucro Líquido])</f>
        <v>50724000</v>
      </c>
      <c r="M85" s="19">
        <f>IF(Tabela2[[#This Row],[Lucro Anterior]]=0,"",IF(Tabela2[[#This Row],[Lucro Líquido]]&gt;0,Tabela2[[#This Row],[Lucro Líquido]]/Tabela2[[#This Row],[Lucro Anterior]]-1,0))</f>
        <v>0.11659175143916101</v>
      </c>
    </row>
    <row r="86" spans="1:13" x14ac:dyDescent="0.2">
      <c r="A86" s="14" t="s">
        <v>251</v>
      </c>
      <c r="B86" s="3">
        <v>2010</v>
      </c>
      <c r="C86" s="5">
        <v>50724000</v>
      </c>
      <c r="D86" s="8">
        <f>SUMPRODUCT(N(Tabela3[PAPEL]=Tabela2[[#This Row],[Ativo]]),Tabela3[Total Ações])</f>
        <v>73646388</v>
      </c>
      <c r="E86" s="65">
        <f>(Tabela2[[#This Row],[Lucro Líquido]])/Tabela2[[#This Row],[Total Ações]]</f>
        <v>0.6887506825181976</v>
      </c>
      <c r="F86" s="65">
        <v>3.8589999999999999E-2</v>
      </c>
      <c r="G86" s="45">
        <f>IF(AND(Tabela2[[#This Row],[Dividendo / Ação]]&gt;0,Tabela2[[#This Row],[Lucro por ação]]&gt;0),Tabela2[[#This Row],[Dividendo / Ação]]/Tabela2[[#This Row],[Lucro por ação]],"")</f>
        <v>5.6028982590489711E-2</v>
      </c>
      <c r="H86" s="6">
        <f>MAX(Tabela2[[#This Row],[Cotação 1]],Tabela2[[#This Row],[Cotação 2]])</f>
        <v>4</v>
      </c>
      <c r="I86" s="19">
        <f>IF(Tabela2[[#This Row],[Dividendo / Ação]]&gt;0,Tabela2[[#This Row],[Dividendo / Ação]]/Tabela2[[#This Row],[Cotação]],"")</f>
        <v>9.6474999999999998E-3</v>
      </c>
      <c r="J86" s="60">
        <f>SUMPRODUCT(N(Tabela1[Código]=Tabela2[[#This Row],[Ativo]]),Tabela1[Fechamento])</f>
        <v>4</v>
      </c>
      <c r="K86" s="60">
        <f>SUMPRODUCT(N(Tabela17[Código]=Tabela2[[#This Row],[Ativo]]),Tabela17[Fechamento])</f>
        <v>0</v>
      </c>
      <c r="L86" s="60">
        <f>SUMPRODUCT(N(Tabela2[Ativo]=Tabela2[[#This Row],[Ativo]]),N(Tabela2[Exercício]=Tabela2[[#This Row],[Exercício]]-1),Tabela2[Lucro Líquido])</f>
        <v>46296000</v>
      </c>
      <c r="M86" s="19">
        <f>IF(Tabela2[[#This Row],[Lucro Anterior]]=0,"",IF(Tabela2[[#This Row],[Lucro Líquido]]&gt;0,Tabela2[[#This Row],[Lucro Líquido]]/Tabela2[[#This Row],[Lucro Anterior]]-1,0))</f>
        <v>9.5645412130637597E-2</v>
      </c>
    </row>
    <row r="87" spans="1:13" x14ac:dyDescent="0.2">
      <c r="A87" s="14" t="s">
        <v>251</v>
      </c>
      <c r="B87" s="3">
        <v>2009</v>
      </c>
      <c r="C87" s="5">
        <v>46296000</v>
      </c>
      <c r="D87" s="8">
        <f>SUMPRODUCT(N(Tabela3[PAPEL]=Tabela2[[#This Row],[Ativo]]),Tabela3[Total Ações])</f>
        <v>73646388</v>
      </c>
      <c r="E87" s="65">
        <f>(Tabela2[[#This Row],[Lucro Líquido]])/Tabela2[[#This Row],[Total Ações]]</f>
        <v>0.62862553422171907</v>
      </c>
      <c r="F87" s="64">
        <v>6.8790000000000004E-2</v>
      </c>
      <c r="G87" s="45">
        <f>IF(AND(Tabela2[[#This Row],[Dividendo / Ação]]&gt;0,Tabela2[[#This Row],[Lucro por ação]]&gt;0),Tabela2[[#This Row],[Dividendo / Ação]]/Tabela2[[#This Row],[Lucro por ação]],"")</f>
        <v>0.10942921700622084</v>
      </c>
      <c r="H87" s="6">
        <f>MAX(Tabela2[[#This Row],[Cotação 1]],Tabela2[[#This Row],[Cotação 2]])</f>
        <v>4</v>
      </c>
      <c r="I87" s="19">
        <f>IF(Tabela2[[#This Row],[Dividendo / Ação]]&gt;0,Tabela2[[#This Row],[Dividendo / Ação]]/Tabela2[[#This Row],[Cotação]],"")</f>
        <v>1.7197500000000001E-2</v>
      </c>
      <c r="J87" s="60">
        <f>SUMPRODUCT(N(Tabela1[Código]=Tabela2[[#This Row],[Ativo]]),Tabela1[Fechamento])</f>
        <v>4</v>
      </c>
      <c r="K87" s="60">
        <f>SUMPRODUCT(N(Tabela17[Código]=Tabela2[[#This Row],[Ativo]]),Tabela17[Fechamento])</f>
        <v>0</v>
      </c>
      <c r="L87" s="60">
        <f>SUMPRODUCT(N(Tabela2[Ativo]=Tabela2[[#This Row],[Ativo]]),N(Tabela2[Exercício]=Tabela2[[#This Row],[Exercício]]-1),Tabela2[Lucro Líquido])</f>
        <v>0</v>
      </c>
      <c r="M87" s="19" t="str">
        <f>IF(Tabela2[[#This Row],[Lucro Anterior]]=0,"",IF(Tabela2[[#This Row],[Lucro Líquido]]&gt;0,Tabela2[[#This Row],[Lucro Líquido]]/Tabela2[[#This Row],[Lucro Anterior]]-1,0))</f>
        <v/>
      </c>
    </row>
    <row r="88" spans="1:13" x14ac:dyDescent="0.2">
      <c r="A88" s="15" t="s">
        <v>246</v>
      </c>
      <c r="B88" s="3">
        <v>2012</v>
      </c>
      <c r="C88" s="5">
        <v>63154000</v>
      </c>
      <c r="D88" s="61">
        <f>SUMPRODUCT(N(Tabela3[PAPEL]=Tabela2[[#This Row],[Ativo]]),Tabela3[Total Ações])</f>
        <v>73646388</v>
      </c>
      <c r="E88" s="64">
        <f>(Tabela2[[#This Row],[Lucro Líquido]])/Tabela2[[#This Row],[Total Ações]]</f>
        <v>0.85753017513907126</v>
      </c>
      <c r="F88" s="64">
        <v>3.058E-2</v>
      </c>
      <c r="G88" s="22">
        <f>IF(AND(Tabela2[[#This Row],[Dividendo / Ação]]&gt;0,Tabela2[[#This Row],[Lucro por ação]]&gt;0),Tabela2[[#This Row],[Dividendo / Ação]]/Tabela2[[#This Row],[Lucro por ação]],"")</f>
        <v>3.5660552697216331E-2</v>
      </c>
      <c r="H88" s="5">
        <f>MAX(Tabela2[[#This Row],[Cotação 1]],Tabela2[[#This Row],[Cotação 2]])</f>
        <v>4.2</v>
      </c>
      <c r="I88" s="18">
        <f>IF(Tabela2[[#This Row],[Dividendo / Ação]]&gt;0,Tabela2[[#This Row],[Dividendo / Ação]]/Tabela2[[#This Row],[Cotação]],"")</f>
        <v>7.2809523809523801E-3</v>
      </c>
      <c r="J88" s="59">
        <f>SUMPRODUCT(N(Tabela1[Código]=Tabela2[[#This Row],[Ativo]]),Tabela1[Fechamento])</f>
        <v>4.2</v>
      </c>
      <c r="K88" s="59">
        <f>SUMPRODUCT(N(Tabela17[Código]=Tabela2[[#This Row],[Ativo]]),Tabela17[Fechamento])</f>
        <v>0</v>
      </c>
      <c r="L88" s="59">
        <f>SUMPRODUCT(N(Tabela2[Ativo]=Tabela2[[#This Row],[Ativo]]),N(Tabela2[Exercício]=Tabela2[[#This Row],[Exercício]]-1),Tabela2[Lucro Líquido])</f>
        <v>56638000</v>
      </c>
      <c r="M88" s="18">
        <f>IF(Tabela2[[#This Row],[Lucro Anterior]]=0,"",IF(Tabela2[[#This Row],[Lucro Líquido]]&gt;0,Tabela2[[#This Row],[Lucro Líquido]]/Tabela2[[#This Row],[Lucro Anterior]]-1,0))</f>
        <v>0.11504643525548208</v>
      </c>
    </row>
    <row r="89" spans="1:13" x14ac:dyDescent="0.2">
      <c r="A89" s="15" t="s">
        <v>246</v>
      </c>
      <c r="B89" s="3">
        <v>2011</v>
      </c>
      <c r="C89" s="5">
        <v>56638000</v>
      </c>
      <c r="D89" s="61">
        <f>SUMPRODUCT(N(Tabela3[PAPEL]=Tabela2[[#This Row],[Ativo]]),Tabela3[Total Ações])</f>
        <v>73646388</v>
      </c>
      <c r="E89" s="64">
        <f>(Tabela2[[#This Row],[Lucro Líquido]])/Tabela2[[#This Row],[Total Ações]]</f>
        <v>0.76905333089791184</v>
      </c>
      <c r="F89" s="64">
        <v>2.5999999999999999E-3</v>
      </c>
      <c r="G89" s="22">
        <f>IF(AND(Tabela2[[#This Row],[Dividendo / Ação]]&gt;0,Tabela2[[#This Row],[Lucro por ação]]&gt;0),Tabela2[[#This Row],[Dividendo / Ação]]/Tabela2[[#This Row],[Lucro por ação]],"")</f>
        <v>3.380779843921042E-3</v>
      </c>
      <c r="H89" s="5">
        <f>MAX(Tabela2[[#This Row],[Cotação 1]],Tabela2[[#This Row],[Cotação 2]])</f>
        <v>4.2</v>
      </c>
      <c r="I89" s="18">
        <f>IF(Tabela2[[#This Row],[Dividendo / Ação]]&gt;0,Tabela2[[#This Row],[Dividendo / Ação]]/Tabela2[[#This Row],[Cotação]],"")</f>
        <v>6.19047619047619E-4</v>
      </c>
      <c r="J89" s="59">
        <f>SUMPRODUCT(N(Tabela1[Código]=Tabela2[[#This Row],[Ativo]]),Tabela1[Fechamento])</f>
        <v>4.2</v>
      </c>
      <c r="K89" s="59">
        <f>SUMPRODUCT(N(Tabela17[Código]=Tabela2[[#This Row],[Ativo]]),Tabela17[Fechamento])</f>
        <v>0</v>
      </c>
      <c r="L89" s="59">
        <f>SUMPRODUCT(N(Tabela2[Ativo]=Tabela2[[#This Row],[Ativo]]),N(Tabela2[Exercício]=Tabela2[[#This Row],[Exercício]]-1),Tabela2[Lucro Líquido])</f>
        <v>50724000</v>
      </c>
      <c r="M89" s="18">
        <f>IF(Tabela2[[#This Row],[Lucro Anterior]]=0,"",IF(Tabela2[[#This Row],[Lucro Líquido]]&gt;0,Tabela2[[#This Row],[Lucro Líquido]]/Tabela2[[#This Row],[Lucro Anterior]]-1,0))</f>
        <v>0.11659175143916101</v>
      </c>
    </row>
    <row r="90" spans="1:13" x14ac:dyDescent="0.2">
      <c r="A90" s="15" t="s">
        <v>246</v>
      </c>
      <c r="B90" s="3">
        <v>2010</v>
      </c>
      <c r="C90" s="5">
        <v>50724000</v>
      </c>
      <c r="D90" s="61">
        <f>SUMPRODUCT(N(Tabela3[PAPEL]=Tabela2[[#This Row],[Ativo]]),Tabela3[Total Ações])</f>
        <v>73646388</v>
      </c>
      <c r="E90" s="64">
        <f>(Tabela2[[#This Row],[Lucro Líquido]])/Tabela2[[#This Row],[Total Ações]]</f>
        <v>0.6887506825181976</v>
      </c>
      <c r="F90" s="64">
        <v>3.508E-2</v>
      </c>
      <c r="G90" s="22">
        <f>IF(AND(Tabela2[[#This Row],[Dividendo / Ação]]&gt;0,Tabela2[[#This Row],[Lucro por ação]]&gt;0),Tabela2[[#This Row],[Dividendo / Ação]]/Tabela2[[#This Row],[Lucro por ação]],"")</f>
        <v>5.0932798892831796E-2</v>
      </c>
      <c r="H90" s="5">
        <f>MAX(Tabela2[[#This Row],[Cotação 1]],Tabela2[[#This Row],[Cotação 2]])</f>
        <v>4.2</v>
      </c>
      <c r="I90" s="18">
        <f>IF(Tabela2[[#This Row],[Dividendo / Ação]]&gt;0,Tabela2[[#This Row],[Dividendo / Ação]]/Tabela2[[#This Row],[Cotação]],"")</f>
        <v>8.3523809523809514E-3</v>
      </c>
      <c r="J90" s="59">
        <f>SUMPRODUCT(N(Tabela1[Código]=Tabela2[[#This Row],[Ativo]]),Tabela1[Fechamento])</f>
        <v>4.2</v>
      </c>
      <c r="K90" s="59">
        <f>SUMPRODUCT(N(Tabela17[Código]=Tabela2[[#This Row],[Ativo]]),Tabela17[Fechamento])</f>
        <v>0</v>
      </c>
      <c r="L90" s="59">
        <f>SUMPRODUCT(N(Tabela2[Ativo]=Tabela2[[#This Row],[Ativo]]),N(Tabela2[Exercício]=Tabela2[[#This Row],[Exercício]]-1),Tabela2[Lucro Líquido])</f>
        <v>46296000</v>
      </c>
      <c r="M90" s="18">
        <f>IF(Tabela2[[#This Row],[Lucro Anterior]]=0,"",IF(Tabela2[[#This Row],[Lucro Líquido]]&gt;0,Tabela2[[#This Row],[Lucro Líquido]]/Tabela2[[#This Row],[Lucro Anterior]]-1,0))</f>
        <v>9.5645412130637597E-2</v>
      </c>
    </row>
    <row r="91" spans="1:13" x14ac:dyDescent="0.2">
      <c r="A91" s="15" t="s">
        <v>246</v>
      </c>
      <c r="B91" s="3">
        <v>2009</v>
      </c>
      <c r="C91" s="5">
        <v>46296000</v>
      </c>
      <c r="D91" s="61">
        <f>SUMPRODUCT(N(Tabela3[PAPEL]=Tabela2[[#This Row],[Ativo]]),Tabela3[Total Ações])</f>
        <v>73646388</v>
      </c>
      <c r="E91" s="64">
        <f>(Tabela2[[#This Row],[Lucro Líquido]])/Tabela2[[#This Row],[Total Ações]]</f>
        <v>0.62862553422171907</v>
      </c>
      <c r="F91" s="64">
        <v>6.2530000000000002E-2</v>
      </c>
      <c r="G91" s="22">
        <f>IF(AND(Tabela2[[#This Row],[Dividendo / Ação]]&gt;0,Tabela2[[#This Row],[Lucro por ação]]&gt;0),Tabela2[[#This Row],[Dividendo / Ação]]/Tabela2[[#This Row],[Lucro por ação]],"")</f>
        <v>9.9470983273716951E-2</v>
      </c>
      <c r="H91" s="5">
        <f>MAX(Tabela2[[#This Row],[Cotação 1]],Tabela2[[#This Row],[Cotação 2]])</f>
        <v>4.2</v>
      </c>
      <c r="I91" s="18">
        <f>IF(Tabela2[[#This Row],[Dividendo / Ação]]&gt;0,Tabela2[[#This Row],[Dividendo / Ação]]/Tabela2[[#This Row],[Cotação]],"")</f>
        <v>1.4888095238095238E-2</v>
      </c>
      <c r="J91" s="59">
        <f>SUMPRODUCT(N(Tabela1[Código]=Tabela2[[#This Row],[Ativo]]),Tabela1[Fechamento])</f>
        <v>4.2</v>
      </c>
      <c r="K91" s="59">
        <f>SUMPRODUCT(N(Tabela17[Código]=Tabela2[[#This Row],[Ativo]]),Tabela17[Fechamento])</f>
        <v>0</v>
      </c>
      <c r="L91" s="59">
        <f>SUMPRODUCT(N(Tabela2[Ativo]=Tabela2[[#This Row],[Ativo]]),N(Tabela2[Exercício]=Tabela2[[#This Row],[Exercício]]-1),Tabela2[Lucro Líquido])</f>
        <v>0</v>
      </c>
      <c r="M91" s="18" t="str">
        <f>IF(Tabela2[[#This Row],[Lucro Anterior]]=0,"",IF(Tabela2[[#This Row],[Lucro Líquido]]&gt;0,Tabela2[[#This Row],[Lucro Líquido]]/Tabela2[[#This Row],[Lucro Anterior]]-1,0))</f>
        <v/>
      </c>
    </row>
    <row r="92" spans="1:13" x14ac:dyDescent="0.2">
      <c r="A92" s="10" t="s">
        <v>247</v>
      </c>
      <c r="B92" s="3">
        <v>2012</v>
      </c>
      <c r="C92" s="5">
        <v>63154000</v>
      </c>
      <c r="D92" s="61">
        <f>SUMPRODUCT(N(Tabela3[PAPEL]=Tabela2[[#This Row],[Ativo]]),Tabela3[Total Ações])</f>
        <v>73646388</v>
      </c>
      <c r="E92" s="64">
        <f>(Tabela2[[#This Row],[Lucro Líquido]])/Tabela2[[#This Row],[Total Ações]]</f>
        <v>0.85753017513907126</v>
      </c>
      <c r="F92" s="64">
        <v>0.20652000000000001</v>
      </c>
      <c r="G92" s="22">
        <f>IF(AND(Tabela2[[#This Row],[Dividendo / Ação]]&gt;0,Tabela2[[#This Row],[Lucro por ação]]&gt;0),Tabela2[[#This Row],[Dividendo / Ação]]/Tabela2[[#This Row],[Lucro por ação]],"")</f>
        <v>0.24083117537701496</v>
      </c>
      <c r="H92" s="5">
        <f>MAX(Tabela2[[#This Row],[Cotação 1]],Tabela2[[#This Row],[Cotação 2]])</f>
        <v>3.27</v>
      </c>
      <c r="I92" s="18">
        <f>IF(Tabela2[[#This Row],[Dividendo / Ação]]&gt;0,Tabela2[[#This Row],[Dividendo / Ação]]/Tabela2[[#This Row],[Cotação]],"")</f>
        <v>6.3155963302752291E-2</v>
      </c>
      <c r="J92" s="59">
        <f>SUMPRODUCT(N(Tabela1[Código]=Tabela2[[#This Row],[Ativo]]),Tabela1[Fechamento])</f>
        <v>3.27</v>
      </c>
      <c r="K92" s="59">
        <f>SUMPRODUCT(N(Tabela17[Código]=Tabela2[[#This Row],[Ativo]]),Tabela17[Fechamento])</f>
        <v>0</v>
      </c>
      <c r="L92" s="59">
        <f>SUMPRODUCT(N(Tabela2[Ativo]=Tabela2[[#This Row],[Ativo]]),N(Tabela2[Exercício]=Tabela2[[#This Row],[Exercício]]-1),Tabela2[Lucro Líquido])</f>
        <v>56638000</v>
      </c>
      <c r="M92" s="18">
        <f>IF(Tabela2[[#This Row],[Lucro Anterior]]=0,"",IF(Tabela2[[#This Row],[Lucro Líquido]]&gt;0,Tabela2[[#This Row],[Lucro Líquido]]/Tabela2[[#This Row],[Lucro Anterior]]-1,0))</f>
        <v>0.11504643525548208</v>
      </c>
    </row>
    <row r="93" spans="1:13" x14ac:dyDescent="0.2">
      <c r="A93" s="10" t="s">
        <v>247</v>
      </c>
      <c r="B93" s="3">
        <v>2011</v>
      </c>
      <c r="C93" s="5">
        <v>56638000</v>
      </c>
      <c r="D93" s="61">
        <f>SUMPRODUCT(N(Tabela3[PAPEL]=Tabela2[[#This Row],[Ativo]]),Tabela3[Total Ações])</f>
        <v>73646388</v>
      </c>
      <c r="E93" s="64">
        <f>(Tabela2[[#This Row],[Lucro Líquido]])/Tabela2[[#This Row],[Total Ações]]</f>
        <v>0.76905333089791184</v>
      </c>
      <c r="F93" s="64">
        <v>0.19086</v>
      </c>
      <c r="G93" s="22">
        <f>IF(AND(Tabela2[[#This Row],[Dividendo / Ação]]&gt;0,Tabela2[[#This Row],[Lucro por ação]]&gt;0),Tabela2[[#This Row],[Dividendo / Ação]]/Tabela2[[#This Row],[Lucro por ação]],"")</f>
        <v>0.24817524654260389</v>
      </c>
      <c r="H93" s="5">
        <f>MAX(Tabela2[[#This Row],[Cotação 1]],Tabela2[[#This Row],[Cotação 2]])</f>
        <v>3.27</v>
      </c>
      <c r="I93" s="18">
        <f>IF(Tabela2[[#This Row],[Dividendo / Ação]]&gt;0,Tabela2[[#This Row],[Dividendo / Ação]]/Tabela2[[#This Row],[Cotação]],"")</f>
        <v>5.8366972477064218E-2</v>
      </c>
      <c r="J93" s="59">
        <f>SUMPRODUCT(N(Tabela1[Código]=Tabela2[[#This Row],[Ativo]]),Tabela1[Fechamento])</f>
        <v>3.27</v>
      </c>
      <c r="K93" s="59">
        <f>SUMPRODUCT(N(Tabela17[Código]=Tabela2[[#This Row],[Ativo]]),Tabela17[Fechamento])</f>
        <v>0</v>
      </c>
      <c r="L93" s="59">
        <f>SUMPRODUCT(N(Tabela2[Ativo]=Tabela2[[#This Row],[Ativo]]),N(Tabela2[Exercício]=Tabela2[[#This Row],[Exercício]]-1),Tabela2[Lucro Líquido])</f>
        <v>50724000</v>
      </c>
      <c r="M93" s="18">
        <f>IF(Tabela2[[#This Row],[Lucro Anterior]]=0,"",IF(Tabela2[[#This Row],[Lucro Líquido]]&gt;0,Tabela2[[#This Row],[Lucro Líquido]]/Tabela2[[#This Row],[Lucro Anterior]]-1,0))</f>
        <v>0.11659175143916101</v>
      </c>
    </row>
    <row r="94" spans="1:13" x14ac:dyDescent="0.2">
      <c r="A94" s="10" t="s">
        <v>247</v>
      </c>
      <c r="B94" s="3">
        <v>2010</v>
      </c>
      <c r="C94" s="5">
        <v>50724000</v>
      </c>
      <c r="D94" s="61">
        <f>SUMPRODUCT(N(Tabela3[PAPEL]=Tabela2[[#This Row],[Ativo]]),Tabela3[Total Ações])</f>
        <v>73646388</v>
      </c>
      <c r="E94" s="64">
        <f>(Tabela2[[#This Row],[Lucro Líquido]])/Tabela2[[#This Row],[Total Ações]]</f>
        <v>0.6887506825181976</v>
      </c>
      <c r="F94" s="64">
        <v>0.18592</v>
      </c>
      <c r="G94" s="22">
        <f>IF(AND(Tabela2[[#This Row],[Dividendo / Ação]]&gt;0,Tabela2[[#This Row],[Lucro por ação]]&gt;0),Tabela2[[#This Row],[Dividendo / Ação]]/Tabela2[[#This Row],[Lucro por ação]],"")</f>
        <v>0.26993802651525906</v>
      </c>
      <c r="H94" s="5">
        <f>MAX(Tabela2[[#This Row],[Cotação 1]],Tabela2[[#This Row],[Cotação 2]])</f>
        <v>3.27</v>
      </c>
      <c r="I94" s="18">
        <f>IF(Tabela2[[#This Row],[Dividendo / Ação]]&gt;0,Tabela2[[#This Row],[Dividendo / Ação]]/Tabela2[[#This Row],[Cotação]],"")</f>
        <v>5.6856269113149845E-2</v>
      </c>
      <c r="J94" s="59">
        <f>SUMPRODUCT(N(Tabela1[Código]=Tabela2[[#This Row],[Ativo]]),Tabela1[Fechamento])</f>
        <v>3.27</v>
      </c>
      <c r="K94" s="59">
        <f>SUMPRODUCT(N(Tabela17[Código]=Tabela2[[#This Row],[Ativo]]),Tabela17[Fechamento])</f>
        <v>0</v>
      </c>
      <c r="L94" s="59">
        <f>SUMPRODUCT(N(Tabela2[Ativo]=Tabela2[[#This Row],[Ativo]]),N(Tabela2[Exercício]=Tabela2[[#This Row],[Exercício]]-1),Tabela2[Lucro Líquido])</f>
        <v>46296000</v>
      </c>
      <c r="M94" s="18">
        <f>IF(Tabela2[[#This Row],[Lucro Anterior]]=0,"",IF(Tabela2[[#This Row],[Lucro Líquido]]&gt;0,Tabela2[[#This Row],[Lucro Líquido]]/Tabela2[[#This Row],[Lucro Anterior]]-1,0))</f>
        <v>9.5645412130637597E-2</v>
      </c>
    </row>
    <row r="95" spans="1:13" x14ac:dyDescent="0.2">
      <c r="A95" s="10" t="s">
        <v>247</v>
      </c>
      <c r="B95" s="3">
        <v>2009</v>
      </c>
      <c r="C95" s="5">
        <v>46296000</v>
      </c>
      <c r="D95" s="61">
        <f>SUMPRODUCT(N(Tabela3[PAPEL]=Tabela2[[#This Row],[Ativo]]),Tabela3[Total Ações])</f>
        <v>73646388</v>
      </c>
      <c r="E95" s="64">
        <f>(Tabela2[[#This Row],[Lucro Líquido]])/Tabela2[[#This Row],[Total Ações]]</f>
        <v>0.62862553422171907</v>
      </c>
      <c r="F95" s="64">
        <v>0.16084999999999999</v>
      </c>
      <c r="G95" s="22">
        <f>IF(AND(Tabela2[[#This Row],[Dividendo / Ação]]&gt;0,Tabela2[[#This Row],[Lucro por ação]]&gt;0),Tabela2[[#This Row],[Dividendo / Ação]]/Tabela2[[#This Row],[Lucro por ação]],"")</f>
        <v>0.25587570221617417</v>
      </c>
      <c r="H95" s="5">
        <f>MAX(Tabela2[[#This Row],[Cotação 1]],Tabela2[[#This Row],[Cotação 2]])</f>
        <v>3.27</v>
      </c>
      <c r="I95" s="18">
        <f>IF(Tabela2[[#This Row],[Dividendo / Ação]]&gt;0,Tabela2[[#This Row],[Dividendo / Ação]]/Tabela2[[#This Row],[Cotação]],"")</f>
        <v>4.9189602446483176E-2</v>
      </c>
      <c r="J95" s="59">
        <f>SUMPRODUCT(N(Tabela1[Código]=Tabela2[[#This Row],[Ativo]]),Tabela1[Fechamento])</f>
        <v>3.27</v>
      </c>
      <c r="K95" s="59">
        <f>SUMPRODUCT(N(Tabela17[Código]=Tabela2[[#This Row],[Ativo]]),Tabela17[Fechamento])</f>
        <v>0</v>
      </c>
      <c r="L95" s="59">
        <f>SUMPRODUCT(N(Tabela2[Ativo]=Tabela2[[#This Row],[Ativo]]),N(Tabela2[Exercício]=Tabela2[[#This Row],[Exercício]]-1),Tabela2[Lucro Líquido])</f>
        <v>0</v>
      </c>
      <c r="M95" s="18" t="str">
        <f>IF(Tabela2[[#This Row],[Lucro Anterior]]=0,"",IF(Tabela2[[#This Row],[Lucro Líquido]]&gt;0,Tabela2[[#This Row],[Lucro Líquido]]/Tabela2[[#This Row],[Lucro Anterior]]-1,0))</f>
        <v/>
      </c>
    </row>
    <row r="96" spans="1:13" x14ac:dyDescent="0.2">
      <c r="A96" s="15" t="s">
        <v>79</v>
      </c>
      <c r="B96" s="3">
        <v>2012</v>
      </c>
      <c r="C96" s="5">
        <v>63154000</v>
      </c>
      <c r="D96" s="61">
        <f>SUMPRODUCT(N(Tabela3[PAPEL]=Tabela2[[#This Row],[Ativo]]),Tabela3[Total Ações])</f>
        <v>73646388</v>
      </c>
      <c r="E96" s="64">
        <f>(Tabela2[[#This Row],[Lucro Líquido]])/Tabela2[[#This Row],[Total Ações]]</f>
        <v>0.85753017513907126</v>
      </c>
      <c r="F96" s="64">
        <v>0.49564999999999998</v>
      </c>
      <c r="G96" s="22">
        <f>IF(AND(Tabela2[[#This Row],[Dividendo / Ação]]&gt;0,Tabela2[[#This Row],[Lucro por ação]]&gt;0),Tabela2[[#This Row],[Dividendo / Ação]]/Tabela2[[#This Row],[Lucro por ação]],"")</f>
        <v>0.57799715318427969</v>
      </c>
      <c r="H96" s="5">
        <f>MAX(Tabela2[[#This Row],[Cotação 1]],Tabela2[[#This Row],[Cotação 2]])</f>
        <v>5.97</v>
      </c>
      <c r="I96" s="18">
        <f>IF(Tabela2[[#This Row],[Dividendo / Ação]]&gt;0,Tabela2[[#This Row],[Dividendo / Ação]]/Tabela2[[#This Row],[Cotação]],"")</f>
        <v>8.302345058626466E-2</v>
      </c>
      <c r="J96" s="59">
        <f>SUMPRODUCT(N(Tabela1[Código]=Tabela2[[#This Row],[Ativo]]),Tabela1[Fechamento])</f>
        <v>5.97</v>
      </c>
      <c r="K96" s="59">
        <f>SUMPRODUCT(N(Tabela17[Código]=Tabela2[[#This Row],[Ativo]]),Tabela17[Fechamento])</f>
        <v>0</v>
      </c>
      <c r="L96" s="59">
        <f>SUMPRODUCT(N(Tabela2[Ativo]=Tabela2[[#This Row],[Ativo]]),N(Tabela2[Exercício]=Tabela2[[#This Row],[Exercício]]-1),Tabela2[Lucro Líquido])</f>
        <v>56638000</v>
      </c>
      <c r="M96" s="18">
        <f>IF(Tabela2[[#This Row],[Lucro Anterior]]=0,"",IF(Tabela2[[#This Row],[Lucro Líquido]]&gt;0,Tabela2[[#This Row],[Lucro Líquido]]/Tabela2[[#This Row],[Lucro Anterior]]-1,0))</f>
        <v>0.11504643525548208</v>
      </c>
    </row>
    <row r="97" spans="1:13" x14ac:dyDescent="0.2">
      <c r="A97" s="15" t="s">
        <v>79</v>
      </c>
      <c r="B97" s="3">
        <v>2011</v>
      </c>
      <c r="C97" s="5">
        <v>56638000</v>
      </c>
      <c r="D97" s="61">
        <f>SUMPRODUCT(N(Tabela3[PAPEL]=Tabela2[[#This Row],[Ativo]]),Tabela3[Total Ações])</f>
        <v>73646388</v>
      </c>
      <c r="E97" s="64">
        <f>(Tabela2[[#This Row],[Lucro Líquido]])/Tabela2[[#This Row],[Total Ações]]</f>
        <v>0.76905333089791184</v>
      </c>
      <c r="F97" s="64">
        <v>0.45779999999999998</v>
      </c>
      <c r="G97" s="22">
        <f>IF(AND(Tabela2[[#This Row],[Dividendo / Ação]]&gt;0,Tabela2[[#This Row],[Lucro por ação]]&gt;0),Tabela2[[#This Row],[Dividendo / Ação]]/Tabela2[[#This Row],[Lucro por ação]],"")</f>
        <v>0.59527731251809735</v>
      </c>
      <c r="H97" s="5">
        <f>MAX(Tabela2[[#This Row],[Cotação 1]],Tabela2[[#This Row],[Cotação 2]])</f>
        <v>5.97</v>
      </c>
      <c r="I97" s="18">
        <f>IF(Tabela2[[#This Row],[Dividendo / Ação]]&gt;0,Tabela2[[#This Row],[Dividendo / Ação]]/Tabela2[[#This Row],[Cotação]],"")</f>
        <v>7.6683417085427141E-2</v>
      </c>
      <c r="J97" s="59">
        <f>SUMPRODUCT(N(Tabela1[Código]=Tabela2[[#This Row],[Ativo]]),Tabela1[Fechamento])</f>
        <v>5.97</v>
      </c>
      <c r="K97" s="59">
        <f>SUMPRODUCT(N(Tabela17[Código]=Tabela2[[#This Row],[Ativo]]),Tabela17[Fechamento])</f>
        <v>0</v>
      </c>
      <c r="L97" s="59">
        <f>SUMPRODUCT(N(Tabela2[Ativo]=Tabela2[[#This Row],[Ativo]]),N(Tabela2[Exercício]=Tabela2[[#This Row],[Exercício]]-1),Tabela2[Lucro Líquido])</f>
        <v>50724000</v>
      </c>
      <c r="M97" s="18">
        <f>IF(Tabela2[[#This Row],[Lucro Anterior]]=0,"",IF(Tabela2[[#This Row],[Lucro Líquido]]&gt;0,Tabela2[[#This Row],[Lucro Líquido]]/Tabela2[[#This Row],[Lucro Anterior]]-1,0))</f>
        <v>0.11659175143916101</v>
      </c>
    </row>
    <row r="98" spans="1:13" x14ac:dyDescent="0.2">
      <c r="A98" s="15" t="s">
        <v>79</v>
      </c>
      <c r="B98" s="3">
        <v>2010</v>
      </c>
      <c r="C98" s="5">
        <v>50724000</v>
      </c>
      <c r="D98" s="61">
        <f>SUMPRODUCT(N(Tabela3[PAPEL]=Tabela2[[#This Row],[Ativo]]),Tabela3[Total Ações])</f>
        <v>73646388</v>
      </c>
      <c r="E98" s="64">
        <f>(Tabela2[[#This Row],[Lucro Líquido]])/Tabela2[[#This Row],[Total Ações]]</f>
        <v>0.6887506825181976</v>
      </c>
      <c r="F98" s="64">
        <v>0.44624000000000003</v>
      </c>
      <c r="G98" s="22">
        <f>IF(AND(Tabela2[[#This Row],[Dividendo / Ação]]&gt;0,Tabela2[[#This Row],[Lucro por ação]]&gt;0),Tabela2[[#This Row],[Dividendo / Ação]]/Tabela2[[#This Row],[Lucro por ação]],"")</f>
        <v>0.64789772457061756</v>
      </c>
      <c r="H98" s="5">
        <f>MAX(Tabela2[[#This Row],[Cotação 1]],Tabela2[[#This Row],[Cotação 2]])</f>
        <v>5.97</v>
      </c>
      <c r="I98" s="18">
        <f>IF(Tabela2[[#This Row],[Dividendo / Ação]]&gt;0,Tabela2[[#This Row],[Dividendo / Ação]]/Tabela2[[#This Row],[Cotação]],"")</f>
        <v>7.4747068676716918E-2</v>
      </c>
      <c r="J98" s="59">
        <f>SUMPRODUCT(N(Tabela1[Código]=Tabela2[[#This Row],[Ativo]]),Tabela1[Fechamento])</f>
        <v>5.97</v>
      </c>
      <c r="K98" s="59">
        <f>SUMPRODUCT(N(Tabela17[Código]=Tabela2[[#This Row],[Ativo]]),Tabela17[Fechamento])</f>
        <v>0</v>
      </c>
      <c r="L98" s="59">
        <f>SUMPRODUCT(N(Tabela2[Ativo]=Tabela2[[#This Row],[Ativo]]),N(Tabela2[Exercício]=Tabela2[[#This Row],[Exercício]]-1),Tabela2[Lucro Líquido])</f>
        <v>46296000</v>
      </c>
      <c r="M98" s="18">
        <f>IF(Tabela2[[#This Row],[Lucro Anterior]]=0,"",IF(Tabela2[[#This Row],[Lucro Líquido]]&gt;0,Tabela2[[#This Row],[Lucro Líquido]]/Tabela2[[#This Row],[Lucro Anterior]]-1,0))</f>
        <v>9.5645412130637597E-2</v>
      </c>
    </row>
    <row r="99" spans="1:13" x14ac:dyDescent="0.2">
      <c r="A99" s="15" t="s">
        <v>79</v>
      </c>
      <c r="B99" s="3">
        <v>2009</v>
      </c>
      <c r="C99" s="5">
        <v>46296000</v>
      </c>
      <c r="D99" s="61">
        <f>SUMPRODUCT(N(Tabela3[PAPEL]=Tabela2[[#This Row],[Ativo]]),Tabela3[Total Ações])</f>
        <v>73646388</v>
      </c>
      <c r="E99" s="64">
        <f>(Tabela2[[#This Row],[Lucro Líquido]])/Tabela2[[#This Row],[Total Ações]]</f>
        <v>0.62862553422171907</v>
      </c>
      <c r="F99" s="64">
        <v>0.38367000000000001</v>
      </c>
      <c r="G99" s="22">
        <f>IF(AND(Tabela2[[#This Row],[Dividendo / Ação]]&gt;0,Tabela2[[#This Row],[Lucro por ação]]&gt;0),Tabela2[[#This Row],[Dividendo / Ação]]/Tabela2[[#This Row],[Lucro por ação]],"")</f>
        <v>0.61033155529548988</v>
      </c>
      <c r="H99" s="5">
        <f>MAX(Tabela2[[#This Row],[Cotação 1]],Tabela2[[#This Row],[Cotação 2]])</f>
        <v>5.97</v>
      </c>
      <c r="I99" s="18">
        <f>IF(Tabela2[[#This Row],[Dividendo / Ação]]&gt;0,Tabela2[[#This Row],[Dividendo / Ação]]/Tabela2[[#This Row],[Cotação]],"")</f>
        <v>6.4266331658291459E-2</v>
      </c>
      <c r="J99" s="59">
        <f>SUMPRODUCT(N(Tabela1[Código]=Tabela2[[#This Row],[Ativo]]),Tabela1[Fechamento])</f>
        <v>5.97</v>
      </c>
      <c r="K99" s="59">
        <f>SUMPRODUCT(N(Tabela17[Código]=Tabela2[[#This Row],[Ativo]]),Tabela17[Fechamento])</f>
        <v>0</v>
      </c>
      <c r="L99" s="59">
        <f>SUMPRODUCT(N(Tabela2[Ativo]=Tabela2[[#This Row],[Ativo]]),N(Tabela2[Exercício]=Tabela2[[#This Row],[Exercício]]-1),Tabela2[Lucro Líquido])</f>
        <v>0</v>
      </c>
      <c r="M99" s="18" t="str">
        <f>IF(Tabela2[[#This Row],[Lucro Anterior]]=0,"",IF(Tabela2[[#This Row],[Lucro Líquido]]&gt;0,Tabela2[[#This Row],[Lucro Líquido]]/Tabela2[[#This Row],[Lucro Anterior]]-1,0))</f>
        <v/>
      </c>
    </row>
    <row r="100" spans="1:13" x14ac:dyDescent="0.2">
      <c r="A100" s="15" t="s">
        <v>248</v>
      </c>
      <c r="B100" s="3">
        <v>2012</v>
      </c>
      <c r="C100" s="5">
        <v>63154000</v>
      </c>
      <c r="D100" s="61">
        <f>SUMPRODUCT(N(Tabela3[PAPEL]=Tabela2[[#This Row],[Ativo]]),Tabela3[Total Ações])</f>
        <v>73646388</v>
      </c>
      <c r="E100" s="64">
        <f>(Tabela2[[#This Row],[Lucro Líquido]])/Tabela2[[#This Row],[Total Ações]]</f>
        <v>0.85753017513907126</v>
      </c>
      <c r="F100" s="64">
        <v>0.28913</v>
      </c>
      <c r="G100" s="22">
        <f>IF(AND(Tabela2[[#This Row],[Dividendo / Ação]]&gt;0,Tabela2[[#This Row],[Lucro por ação]]&gt;0),Tabela2[[#This Row],[Dividendo / Ação]]/Tabela2[[#This Row],[Lucro por ação]],"")</f>
        <v>0.33716597780726482</v>
      </c>
      <c r="H100" s="5">
        <f>MAX(Tabela2[[#This Row],[Cotação 1]],Tabela2[[#This Row],[Cotação 2]])</f>
        <v>3.6</v>
      </c>
      <c r="I100" s="18">
        <f>IF(Tabela2[[#This Row],[Dividendo / Ação]]&gt;0,Tabela2[[#This Row],[Dividendo / Ação]]/Tabela2[[#This Row],[Cotação]],"")</f>
        <v>8.0313888888888893E-2</v>
      </c>
      <c r="J100" s="59">
        <f>SUMPRODUCT(N(Tabela1[Código]=Tabela2[[#This Row],[Ativo]]),Tabela1[Fechamento])</f>
        <v>3.6</v>
      </c>
      <c r="K100" s="59">
        <f>SUMPRODUCT(N(Tabela17[Código]=Tabela2[[#This Row],[Ativo]]),Tabela17[Fechamento])</f>
        <v>0</v>
      </c>
      <c r="L100" s="59">
        <f>SUMPRODUCT(N(Tabela2[Ativo]=Tabela2[[#This Row],[Ativo]]),N(Tabela2[Exercício]=Tabela2[[#This Row],[Exercício]]-1),Tabela2[Lucro Líquido])</f>
        <v>56638000</v>
      </c>
      <c r="M100" s="18">
        <f>IF(Tabela2[[#This Row],[Lucro Anterior]]=0,"",IF(Tabela2[[#This Row],[Lucro Líquido]]&gt;0,Tabela2[[#This Row],[Lucro Líquido]]/Tabela2[[#This Row],[Lucro Anterior]]-1,0))</f>
        <v>0.11504643525548208</v>
      </c>
    </row>
    <row r="101" spans="1:13" x14ac:dyDescent="0.2">
      <c r="A101" s="15" t="s">
        <v>248</v>
      </c>
      <c r="B101" s="3">
        <v>2011</v>
      </c>
      <c r="C101" s="5">
        <v>56638000</v>
      </c>
      <c r="D101" s="61">
        <f>SUMPRODUCT(N(Tabela3[PAPEL]=Tabela2[[#This Row],[Ativo]]),Tabela3[Total Ações])</f>
        <v>73646388</v>
      </c>
      <c r="E101" s="64">
        <f>(Tabela2[[#This Row],[Lucro Líquido]])/Tabela2[[#This Row],[Total Ações]]</f>
        <v>0.76905333089791184</v>
      </c>
      <c r="F101" s="64">
        <v>0.26712000000000002</v>
      </c>
      <c r="G101" s="22">
        <f>IF(AND(Tabela2[[#This Row],[Dividendo / Ação]]&gt;0,Tabela2[[#This Row],[Lucro por ação]]&gt;0),Tabela2[[#This Row],[Dividendo / Ação]]/Tabela2[[#This Row],[Lucro por ação]],"")</f>
        <v>0.34733611996468805</v>
      </c>
      <c r="H101" s="5">
        <f>MAX(Tabela2[[#This Row],[Cotação 1]],Tabela2[[#This Row],[Cotação 2]])</f>
        <v>3.6</v>
      </c>
      <c r="I101" s="18">
        <f>IF(Tabela2[[#This Row],[Dividendo / Ação]]&gt;0,Tabela2[[#This Row],[Dividendo / Ação]]/Tabela2[[#This Row],[Cotação]],"")</f>
        <v>7.4200000000000002E-2</v>
      </c>
      <c r="J101" s="59">
        <f>SUMPRODUCT(N(Tabela1[Código]=Tabela2[[#This Row],[Ativo]]),Tabela1[Fechamento])</f>
        <v>3.6</v>
      </c>
      <c r="K101" s="59">
        <f>SUMPRODUCT(N(Tabela17[Código]=Tabela2[[#This Row],[Ativo]]),Tabela17[Fechamento])</f>
        <v>0</v>
      </c>
      <c r="L101" s="59">
        <f>SUMPRODUCT(N(Tabela2[Ativo]=Tabela2[[#This Row],[Ativo]]),N(Tabela2[Exercício]=Tabela2[[#This Row],[Exercício]]-1),Tabela2[Lucro Líquido])</f>
        <v>50724000</v>
      </c>
      <c r="M101" s="18">
        <f>IF(Tabela2[[#This Row],[Lucro Anterior]]=0,"",IF(Tabela2[[#This Row],[Lucro Líquido]]&gt;0,Tabela2[[#This Row],[Lucro Líquido]]/Tabela2[[#This Row],[Lucro Anterior]]-1,0))</f>
        <v>0.11659175143916101</v>
      </c>
    </row>
    <row r="102" spans="1:13" x14ac:dyDescent="0.2">
      <c r="A102" s="15" t="s">
        <v>248</v>
      </c>
      <c r="B102" s="3">
        <v>2010</v>
      </c>
      <c r="C102" s="5">
        <v>50724000</v>
      </c>
      <c r="D102" s="61">
        <f>SUMPRODUCT(N(Tabela3[PAPEL]=Tabela2[[#This Row],[Ativo]]),Tabela3[Total Ações])</f>
        <v>73646388</v>
      </c>
      <c r="E102" s="64">
        <f>(Tabela2[[#This Row],[Lucro Líquido]])/Tabela2[[#This Row],[Total Ações]]</f>
        <v>0.6887506825181976</v>
      </c>
      <c r="F102" s="64">
        <v>0.26029999999999998</v>
      </c>
      <c r="G102" s="22">
        <f>IF(AND(Tabela2[[#This Row],[Dividendo / Ação]]&gt;0,Tabela2[[#This Row],[Lucro por ação]]&gt;0),Tabela2[[#This Row],[Dividendo / Ação]]/Tabela2[[#This Row],[Lucro por ação]],"")</f>
        <v>0.37793065997161107</v>
      </c>
      <c r="H102" s="5">
        <f>MAX(Tabela2[[#This Row],[Cotação 1]],Tabela2[[#This Row],[Cotação 2]])</f>
        <v>3.6</v>
      </c>
      <c r="I102" s="18">
        <f>IF(Tabela2[[#This Row],[Dividendo / Ação]]&gt;0,Tabela2[[#This Row],[Dividendo / Ação]]/Tabela2[[#This Row],[Cotação]],"")</f>
        <v>7.2305555555555553E-2</v>
      </c>
      <c r="J102" s="59">
        <f>SUMPRODUCT(N(Tabela1[Código]=Tabela2[[#This Row],[Ativo]]),Tabela1[Fechamento])</f>
        <v>3.6</v>
      </c>
      <c r="K102" s="59">
        <f>SUMPRODUCT(N(Tabela17[Código]=Tabela2[[#This Row],[Ativo]]),Tabela17[Fechamento])</f>
        <v>0</v>
      </c>
      <c r="L102" s="59">
        <f>SUMPRODUCT(N(Tabela2[Ativo]=Tabela2[[#This Row],[Ativo]]),N(Tabela2[Exercício]=Tabela2[[#This Row],[Exercício]]-1),Tabela2[Lucro Líquido])</f>
        <v>46296000</v>
      </c>
      <c r="M102" s="18">
        <f>IF(Tabela2[[#This Row],[Lucro Anterior]]=0,"",IF(Tabela2[[#This Row],[Lucro Líquido]]&gt;0,Tabela2[[#This Row],[Lucro Líquido]]/Tabela2[[#This Row],[Lucro Anterior]]-1,0))</f>
        <v>9.5645412130637597E-2</v>
      </c>
    </row>
    <row r="103" spans="1:13" x14ac:dyDescent="0.2">
      <c r="A103" s="15" t="s">
        <v>248</v>
      </c>
      <c r="B103" s="3">
        <v>2009</v>
      </c>
      <c r="C103" s="5">
        <v>46296000</v>
      </c>
      <c r="D103" s="61">
        <f>SUMPRODUCT(N(Tabela3[PAPEL]=Tabela2[[#This Row],[Ativo]]),Tabela3[Total Ações])</f>
        <v>73646388</v>
      </c>
      <c r="E103" s="64">
        <f>(Tabela2[[#This Row],[Lucro Líquido]])/Tabela2[[#This Row],[Total Ações]]</f>
        <v>0.62862553422171907</v>
      </c>
      <c r="F103" s="64">
        <v>0.22452</v>
      </c>
      <c r="G103" s="22">
        <f>IF(AND(Tabela2[[#This Row],[Dividendo / Ação]]&gt;0,Tabela2[[#This Row],[Lucro por ação]]&gt;0),Tabela2[[#This Row],[Dividendo / Ação]]/Tabela2[[#This Row],[Lucro por ação]],"")</f>
        <v>0.35716016575427684</v>
      </c>
      <c r="H103" s="5">
        <f>MAX(Tabela2[[#This Row],[Cotação 1]],Tabela2[[#This Row],[Cotação 2]])</f>
        <v>3.6</v>
      </c>
      <c r="I103" s="18">
        <f>IF(Tabela2[[#This Row],[Dividendo / Ação]]&gt;0,Tabela2[[#This Row],[Dividendo / Ação]]/Tabela2[[#This Row],[Cotação]],"")</f>
        <v>6.2366666666666667E-2</v>
      </c>
      <c r="J103" s="59">
        <f>SUMPRODUCT(N(Tabela1[Código]=Tabela2[[#This Row],[Ativo]]),Tabela1[Fechamento])</f>
        <v>3.6</v>
      </c>
      <c r="K103" s="59">
        <f>SUMPRODUCT(N(Tabela17[Código]=Tabela2[[#This Row],[Ativo]]),Tabela17[Fechamento])</f>
        <v>0</v>
      </c>
      <c r="L103" s="59">
        <f>SUMPRODUCT(N(Tabela2[Ativo]=Tabela2[[#This Row],[Ativo]]),N(Tabela2[Exercício]=Tabela2[[#This Row],[Exercício]]-1),Tabela2[Lucro Líquido])</f>
        <v>0</v>
      </c>
      <c r="M103" s="18" t="str">
        <f>IF(Tabela2[[#This Row],[Lucro Anterior]]=0,"",IF(Tabela2[[#This Row],[Lucro Líquido]]&gt;0,Tabela2[[#This Row],[Lucro Líquido]]/Tabela2[[#This Row],[Lucro Anterior]]-1,0))</f>
        <v/>
      </c>
    </row>
    <row r="104" spans="1:13" x14ac:dyDescent="0.2">
      <c r="A104" s="15" t="s">
        <v>249</v>
      </c>
      <c r="B104" s="3">
        <v>2012</v>
      </c>
      <c r="C104" s="5">
        <v>63154000</v>
      </c>
      <c r="D104" s="61">
        <f>SUMPRODUCT(N(Tabela3[PAPEL]=Tabela2[[#This Row],[Ativo]]),Tabela3[Total Ações])</f>
        <v>73646388</v>
      </c>
      <c r="E104" s="64">
        <f>(Tabela2[[#This Row],[Lucro Líquido]])/Tabela2[[#This Row],[Total Ações]]</f>
        <v>0.85753017513907126</v>
      </c>
      <c r="F104" s="64">
        <v>0.20652000000000001</v>
      </c>
      <c r="G104" s="22">
        <f>IF(AND(Tabela2[[#This Row],[Dividendo / Ação]]&gt;0,Tabela2[[#This Row],[Lucro por ação]]&gt;0),Tabela2[[#This Row],[Dividendo / Ação]]/Tabela2[[#This Row],[Lucro por ação]],"")</f>
        <v>0.24083117537701496</v>
      </c>
      <c r="H104" s="5">
        <f>MAX(Tabela2[[#This Row],[Cotação 1]],Tabela2[[#This Row],[Cotação 2]])</f>
        <v>3.81</v>
      </c>
      <c r="I104" s="18">
        <f>IF(Tabela2[[#This Row],[Dividendo / Ação]]&gt;0,Tabela2[[#This Row],[Dividendo / Ação]]/Tabela2[[#This Row],[Cotação]],"")</f>
        <v>5.4204724409448818E-2</v>
      </c>
      <c r="J104" s="59">
        <f>SUMPRODUCT(N(Tabela1[Código]=Tabela2[[#This Row],[Ativo]]),Tabela1[Fechamento])</f>
        <v>3.81</v>
      </c>
      <c r="K104" s="59">
        <f>SUMPRODUCT(N(Tabela17[Código]=Tabela2[[#This Row],[Ativo]]),Tabela17[Fechamento])</f>
        <v>0</v>
      </c>
      <c r="L104" s="59">
        <f>SUMPRODUCT(N(Tabela2[Ativo]=Tabela2[[#This Row],[Ativo]]),N(Tabela2[Exercício]=Tabela2[[#This Row],[Exercício]]-1),Tabela2[Lucro Líquido])</f>
        <v>56638000</v>
      </c>
      <c r="M104" s="18">
        <f>IF(Tabela2[[#This Row],[Lucro Anterior]]=0,"",IF(Tabela2[[#This Row],[Lucro Líquido]]&gt;0,Tabela2[[#This Row],[Lucro Líquido]]/Tabela2[[#This Row],[Lucro Anterior]]-1,0))</f>
        <v>0.11504643525548208</v>
      </c>
    </row>
    <row r="105" spans="1:13" x14ac:dyDescent="0.2">
      <c r="A105" s="15" t="s">
        <v>249</v>
      </c>
      <c r="B105" s="3">
        <v>2011</v>
      </c>
      <c r="C105" s="5">
        <v>56638000</v>
      </c>
      <c r="D105" s="61">
        <f>SUMPRODUCT(N(Tabela3[PAPEL]=Tabela2[[#This Row],[Ativo]]),Tabela3[Total Ações])</f>
        <v>73646388</v>
      </c>
      <c r="E105" s="64">
        <f>(Tabela2[[#This Row],[Lucro Líquido]])/Tabela2[[#This Row],[Total Ações]]</f>
        <v>0.76905333089791184</v>
      </c>
      <c r="F105" s="64">
        <v>0.19086</v>
      </c>
      <c r="G105" s="22">
        <f>IF(AND(Tabela2[[#This Row],[Dividendo / Ação]]&gt;0,Tabela2[[#This Row],[Lucro por ação]]&gt;0),Tabela2[[#This Row],[Dividendo / Ação]]/Tabela2[[#This Row],[Lucro por ação]],"")</f>
        <v>0.24817524654260389</v>
      </c>
      <c r="H105" s="5">
        <f>MAX(Tabela2[[#This Row],[Cotação 1]],Tabela2[[#This Row],[Cotação 2]])</f>
        <v>3.81</v>
      </c>
      <c r="I105" s="18">
        <f>IF(Tabela2[[#This Row],[Dividendo / Ação]]&gt;0,Tabela2[[#This Row],[Dividendo / Ação]]/Tabela2[[#This Row],[Cotação]],"")</f>
        <v>5.0094488188976376E-2</v>
      </c>
      <c r="J105" s="59">
        <f>SUMPRODUCT(N(Tabela1[Código]=Tabela2[[#This Row],[Ativo]]),Tabela1[Fechamento])</f>
        <v>3.81</v>
      </c>
      <c r="K105" s="59">
        <f>SUMPRODUCT(N(Tabela17[Código]=Tabela2[[#This Row],[Ativo]]),Tabela17[Fechamento])</f>
        <v>0</v>
      </c>
      <c r="L105" s="59">
        <f>SUMPRODUCT(N(Tabela2[Ativo]=Tabela2[[#This Row],[Ativo]]),N(Tabela2[Exercício]=Tabela2[[#This Row],[Exercício]]-1),Tabela2[Lucro Líquido])</f>
        <v>50724000</v>
      </c>
      <c r="M105" s="18">
        <f>IF(Tabela2[[#This Row],[Lucro Anterior]]=0,"",IF(Tabela2[[#This Row],[Lucro Líquido]]&gt;0,Tabela2[[#This Row],[Lucro Líquido]]/Tabela2[[#This Row],[Lucro Anterior]]-1,0))</f>
        <v>0.11659175143916101</v>
      </c>
    </row>
    <row r="106" spans="1:13" x14ac:dyDescent="0.2">
      <c r="A106" s="15" t="s">
        <v>249</v>
      </c>
      <c r="B106" s="3">
        <v>2010</v>
      </c>
      <c r="C106" s="5">
        <v>50724000</v>
      </c>
      <c r="D106" s="61">
        <f>SUMPRODUCT(N(Tabela3[PAPEL]=Tabela2[[#This Row],[Ativo]]),Tabela3[Total Ações])</f>
        <v>73646388</v>
      </c>
      <c r="E106" s="64">
        <f>(Tabela2[[#This Row],[Lucro Líquido]])/Tabela2[[#This Row],[Total Ações]]</f>
        <v>0.6887506825181976</v>
      </c>
      <c r="F106" s="64">
        <v>0.18592</v>
      </c>
      <c r="G106" s="22">
        <f>IF(AND(Tabela2[[#This Row],[Dividendo / Ação]]&gt;0,Tabela2[[#This Row],[Lucro por ação]]&gt;0),Tabela2[[#This Row],[Dividendo / Ação]]/Tabela2[[#This Row],[Lucro por ação]],"")</f>
        <v>0.26993802651525906</v>
      </c>
      <c r="H106" s="5">
        <f>MAX(Tabela2[[#This Row],[Cotação 1]],Tabela2[[#This Row],[Cotação 2]])</f>
        <v>3.81</v>
      </c>
      <c r="I106" s="18">
        <f>IF(Tabela2[[#This Row],[Dividendo / Ação]]&gt;0,Tabela2[[#This Row],[Dividendo / Ação]]/Tabela2[[#This Row],[Cotação]],"")</f>
        <v>4.8797900262467192E-2</v>
      </c>
      <c r="J106" s="59">
        <f>SUMPRODUCT(N(Tabela1[Código]=Tabela2[[#This Row],[Ativo]]),Tabela1[Fechamento])</f>
        <v>3.81</v>
      </c>
      <c r="K106" s="59">
        <f>SUMPRODUCT(N(Tabela17[Código]=Tabela2[[#This Row],[Ativo]]),Tabela17[Fechamento])</f>
        <v>0</v>
      </c>
      <c r="L106" s="59">
        <f>SUMPRODUCT(N(Tabela2[Ativo]=Tabela2[[#This Row],[Ativo]]),N(Tabela2[Exercício]=Tabela2[[#This Row],[Exercício]]-1),Tabela2[Lucro Líquido])</f>
        <v>46296000</v>
      </c>
      <c r="M106" s="18">
        <f>IF(Tabela2[[#This Row],[Lucro Anterior]]=0,"",IF(Tabela2[[#This Row],[Lucro Líquido]]&gt;0,Tabela2[[#This Row],[Lucro Líquido]]/Tabela2[[#This Row],[Lucro Anterior]]-1,0))</f>
        <v>9.5645412130637597E-2</v>
      </c>
    </row>
    <row r="107" spans="1:13" x14ac:dyDescent="0.2">
      <c r="A107" s="15" t="s">
        <v>249</v>
      </c>
      <c r="B107" s="3">
        <v>2009</v>
      </c>
      <c r="C107" s="5">
        <v>46296000</v>
      </c>
      <c r="D107" s="61">
        <f>SUMPRODUCT(N(Tabela3[PAPEL]=Tabela2[[#This Row],[Ativo]]),Tabela3[Total Ações])</f>
        <v>73646388</v>
      </c>
      <c r="E107" s="64">
        <f>(Tabela2[[#This Row],[Lucro Líquido]])/Tabela2[[#This Row],[Total Ações]]</f>
        <v>0.62862553422171907</v>
      </c>
      <c r="F107" s="64">
        <v>0.16084999999999999</v>
      </c>
      <c r="G107" s="22">
        <f>IF(AND(Tabela2[[#This Row],[Dividendo / Ação]]&gt;0,Tabela2[[#This Row],[Lucro por ação]]&gt;0),Tabela2[[#This Row],[Dividendo / Ação]]/Tabela2[[#This Row],[Lucro por ação]],"")</f>
        <v>0.25587570221617417</v>
      </c>
      <c r="H107" s="5">
        <f>MAX(Tabela2[[#This Row],[Cotação 1]],Tabela2[[#This Row],[Cotação 2]])</f>
        <v>3.81</v>
      </c>
      <c r="I107" s="18">
        <f>IF(Tabela2[[#This Row],[Dividendo / Ação]]&gt;0,Tabela2[[#This Row],[Dividendo / Ação]]/Tabela2[[#This Row],[Cotação]],"")</f>
        <v>4.2217847769028871E-2</v>
      </c>
      <c r="J107" s="59">
        <f>SUMPRODUCT(N(Tabela1[Código]=Tabela2[[#This Row],[Ativo]]),Tabela1[Fechamento])</f>
        <v>3.81</v>
      </c>
      <c r="K107" s="59">
        <f>SUMPRODUCT(N(Tabela17[Código]=Tabela2[[#This Row],[Ativo]]),Tabela17[Fechamento])</f>
        <v>0</v>
      </c>
      <c r="L107" s="59">
        <f>SUMPRODUCT(N(Tabela2[Ativo]=Tabela2[[#This Row],[Ativo]]),N(Tabela2[Exercício]=Tabela2[[#This Row],[Exercício]]-1),Tabela2[Lucro Líquido])</f>
        <v>0</v>
      </c>
      <c r="M107" s="18" t="str">
        <f>IF(Tabela2[[#This Row],[Lucro Anterior]]=0,"",IF(Tabela2[[#This Row],[Lucro Líquido]]&gt;0,Tabela2[[#This Row],[Lucro Líquido]]/Tabela2[[#This Row],[Lucro Anterior]]-1,0))</f>
        <v/>
      </c>
    </row>
    <row r="108" spans="1:13" x14ac:dyDescent="0.2">
      <c r="A108" s="4" t="s">
        <v>215</v>
      </c>
      <c r="B108" s="4">
        <v>2012</v>
      </c>
      <c r="C108" s="6">
        <v>66187000</v>
      </c>
      <c r="D108" s="8">
        <f>SUMPRODUCT(N(Tabela3[PAPEL]=Tabela2[[#This Row],[Ativo]]),Tabela3[Total Ações])</f>
        <v>90224492</v>
      </c>
      <c r="E108" s="65">
        <f>(Tabela2[[#This Row],[Lucro Líquido]])/Tabela2[[#This Row],[Total Ações]]</f>
        <v>0.73358129852368692</v>
      </c>
      <c r="F108" s="65">
        <v>7.9699999999999993E-2</v>
      </c>
      <c r="G108" s="45">
        <f>IF(AND(Tabela2[[#This Row],[Dividendo / Ação]]&gt;0,Tabela2[[#This Row],[Lucro por ação]]&gt;0),Tabela2[[#This Row],[Dividendo / Ação]]/Tabela2[[#This Row],[Lucro por ação]],"")</f>
        <v>0.10864508154773594</v>
      </c>
      <c r="H108" s="6">
        <f>MAX(Tabela2[[#This Row],[Cotação 1]],Tabela2[[#This Row],[Cotação 2]])</f>
        <v>6.61</v>
      </c>
      <c r="I108" s="19">
        <f>IF(Tabela2[[#This Row],[Dividendo / Ação]]&gt;0,Tabela2[[#This Row],[Dividendo / Ação]]/Tabela2[[#This Row],[Cotação]],"")</f>
        <v>1.2057488653555219E-2</v>
      </c>
      <c r="J108" s="60">
        <f>SUMPRODUCT(N(Tabela1[Código]=Tabela2[[#This Row],[Ativo]]),Tabela1[Fechamento])</f>
        <v>6.61</v>
      </c>
      <c r="K108" s="60">
        <f>SUMPRODUCT(N(Tabela17[Código]=Tabela2[[#This Row],[Ativo]]),Tabela17[Fechamento])</f>
        <v>0</v>
      </c>
      <c r="L108" s="60">
        <f>SUMPRODUCT(N(Tabela2[Ativo]=Tabela2[[#This Row],[Ativo]]),N(Tabela2[Exercício]=Tabela2[[#This Row],[Exercício]]-1),Tabela2[Lucro Líquido])</f>
        <v>67513447</v>
      </c>
      <c r="M108" s="19">
        <f>IF(Tabela2[[#This Row],[Lucro Anterior]]=0,"",IF(Tabela2[[#This Row],[Lucro Líquido]]&gt;0,Tabela2[[#This Row],[Lucro Líquido]]/Tabela2[[#This Row],[Lucro Anterior]]-1,0))</f>
        <v>-1.9647152662787271E-2</v>
      </c>
    </row>
    <row r="109" spans="1:13" x14ac:dyDescent="0.2">
      <c r="A109" s="4" t="s">
        <v>215</v>
      </c>
      <c r="B109" s="3">
        <v>2011</v>
      </c>
      <c r="C109" s="5">
        <v>67513447</v>
      </c>
      <c r="D109" s="61">
        <f>SUMPRODUCT(N(Tabela3[PAPEL]=Tabela2[[#This Row],[Ativo]]),Tabela3[Total Ações])</f>
        <v>90224492</v>
      </c>
      <c r="E109" s="64">
        <f>(Tabela2[[#This Row],[Lucro Líquido]])/Tabela2[[#This Row],[Total Ações]]</f>
        <v>0.74828292743393887</v>
      </c>
      <c r="F109" s="64">
        <v>9.9199999999999997E-2</v>
      </c>
      <c r="G109" s="22">
        <f>IF(AND(Tabela2[[#This Row],[Dividendo / Ação]]&gt;0,Tabela2[[#This Row],[Lucro por ação]]&gt;0),Tabela2[[#This Row],[Dividendo / Ação]]/Tabela2[[#This Row],[Lucro por ação]],"")</f>
        <v>0.13257017681825667</v>
      </c>
      <c r="H109" s="5">
        <f>MAX(Tabela2[[#This Row],[Cotação 1]],Tabela2[[#This Row],[Cotação 2]])</f>
        <v>6.61</v>
      </c>
      <c r="I109" s="18">
        <f>IF(Tabela2[[#This Row],[Dividendo / Ação]]&gt;0,Tabela2[[#This Row],[Dividendo / Ação]]/Tabela2[[#This Row],[Cotação]],"")</f>
        <v>1.5007564296520422E-2</v>
      </c>
      <c r="J109" s="59">
        <f>SUMPRODUCT(N(Tabela1[Código]=Tabela2[[#This Row],[Ativo]]),Tabela1[Fechamento])</f>
        <v>6.61</v>
      </c>
      <c r="K109" s="59">
        <f>SUMPRODUCT(N(Tabela17[Código]=Tabela2[[#This Row],[Ativo]]),Tabela17[Fechamento])</f>
        <v>0</v>
      </c>
      <c r="L109" s="59">
        <f>SUMPRODUCT(N(Tabela2[Ativo]=Tabela2[[#This Row],[Ativo]]),N(Tabela2[Exercício]=Tabela2[[#This Row],[Exercício]]-1),Tabela2[Lucro Líquido])</f>
        <v>82086317</v>
      </c>
      <c r="M109" s="18">
        <f>IF(Tabela2[[#This Row],[Lucro Anterior]]=0,"",IF(Tabela2[[#This Row],[Lucro Líquido]]&gt;0,Tabela2[[#This Row],[Lucro Líquido]]/Tabela2[[#This Row],[Lucro Anterior]]-1,0))</f>
        <v>-0.17753104941960063</v>
      </c>
    </row>
    <row r="110" spans="1:13" x14ac:dyDescent="0.2">
      <c r="A110" s="4" t="s">
        <v>215</v>
      </c>
      <c r="B110" s="3">
        <v>2010</v>
      </c>
      <c r="C110" s="5">
        <v>82086317</v>
      </c>
      <c r="D110" s="61">
        <f>SUMPRODUCT(N(Tabela3[PAPEL]=Tabela2[[#This Row],[Ativo]]),Tabela3[Total Ações])</f>
        <v>90224492</v>
      </c>
      <c r="E110" s="64">
        <f>(Tabela2[[#This Row],[Lucro Líquido]])/Tabela2[[#This Row],[Total Ações]]</f>
        <v>0.90980082215370084</v>
      </c>
      <c r="F110" s="64">
        <v>0.1905</v>
      </c>
      <c r="G110" s="22">
        <f>IF(AND(Tabela2[[#This Row],[Dividendo / Ação]]&gt;0,Tabela2[[#This Row],[Lucro por ação]]&gt;0),Tabela2[[#This Row],[Dividendo / Ação]]/Tabela2[[#This Row],[Lucro por ação]],"")</f>
        <v>0.20938648917577821</v>
      </c>
      <c r="H110" s="5">
        <f>MAX(Tabela2[[#This Row],[Cotação 1]],Tabela2[[#This Row],[Cotação 2]])</f>
        <v>6.61</v>
      </c>
      <c r="I110" s="18">
        <f>IF(Tabela2[[#This Row],[Dividendo / Ação]]&gt;0,Tabela2[[#This Row],[Dividendo / Ação]]/Tabela2[[#This Row],[Cotação]],"")</f>
        <v>2.8819969742813919E-2</v>
      </c>
      <c r="J110" s="59">
        <f>SUMPRODUCT(N(Tabela1[Código]=Tabela2[[#This Row],[Ativo]]),Tabela1[Fechamento])</f>
        <v>6.61</v>
      </c>
      <c r="K110" s="59">
        <f>SUMPRODUCT(N(Tabela17[Código]=Tabela2[[#This Row],[Ativo]]),Tabela17[Fechamento])</f>
        <v>0</v>
      </c>
      <c r="L110" s="59">
        <f>SUMPRODUCT(N(Tabela2[Ativo]=Tabela2[[#This Row],[Ativo]]),N(Tabela2[Exercício]=Tabela2[[#This Row],[Exercício]]-1),Tabela2[Lucro Líquido])</f>
        <v>76789552</v>
      </c>
      <c r="M110" s="18">
        <f>IF(Tabela2[[#This Row],[Lucro Anterior]]=0,"",IF(Tabela2[[#This Row],[Lucro Líquido]]&gt;0,Tabela2[[#This Row],[Lucro Líquido]]/Tabela2[[#This Row],[Lucro Anterior]]-1,0))</f>
        <v>6.8977678109126028E-2</v>
      </c>
    </row>
    <row r="111" spans="1:13" x14ac:dyDescent="0.2">
      <c r="A111" s="4" t="s">
        <v>215</v>
      </c>
      <c r="B111" s="3">
        <v>2009</v>
      </c>
      <c r="C111" s="5">
        <v>76789552</v>
      </c>
      <c r="D111" s="61">
        <f>SUMPRODUCT(N(Tabela3[PAPEL]=Tabela2[[#This Row],[Ativo]]),Tabela3[Total Ações])</f>
        <v>90224492</v>
      </c>
      <c r="E111" s="64">
        <f>(Tabela2[[#This Row],[Lucro Líquido]])/Tabela2[[#This Row],[Total Ações]]</f>
        <v>0.85109431261746538</v>
      </c>
      <c r="F111" s="64">
        <v>0.1767</v>
      </c>
      <c r="G111" s="22">
        <f>IF(AND(Tabela2[[#This Row],[Dividendo / Ação]]&gt;0,Tabela2[[#This Row],[Lucro por ação]]&gt;0),Tabela2[[#This Row],[Dividendo / Ação]]/Tabela2[[#This Row],[Lucro por ação]],"")</f>
        <v>0.20761506378367722</v>
      </c>
      <c r="H111" s="5">
        <f>MAX(Tabela2[[#This Row],[Cotação 1]],Tabela2[[#This Row],[Cotação 2]])</f>
        <v>6.61</v>
      </c>
      <c r="I111" s="18">
        <f>IF(Tabela2[[#This Row],[Dividendo / Ação]]&gt;0,Tabela2[[#This Row],[Dividendo / Ação]]/Tabela2[[#This Row],[Cotação]],"")</f>
        <v>2.6732223903177001E-2</v>
      </c>
      <c r="J111" s="59">
        <f>SUMPRODUCT(N(Tabela1[Código]=Tabela2[[#This Row],[Ativo]]),Tabela1[Fechamento])</f>
        <v>6.61</v>
      </c>
      <c r="K111" s="59">
        <f>SUMPRODUCT(N(Tabela17[Código]=Tabela2[[#This Row],[Ativo]]),Tabela17[Fechamento])</f>
        <v>0</v>
      </c>
      <c r="L111" s="59">
        <f>SUMPRODUCT(N(Tabela2[Ativo]=Tabela2[[#This Row],[Ativo]]),N(Tabela2[Exercício]=Tabela2[[#This Row],[Exercício]]-1),Tabela2[Lucro Líquido])</f>
        <v>0</v>
      </c>
      <c r="M111" s="18" t="str">
        <f>IF(Tabela2[[#This Row],[Lucro Anterior]]=0,"",IF(Tabela2[[#This Row],[Lucro Líquido]]&gt;0,Tabela2[[#This Row],[Lucro Líquido]]/Tabela2[[#This Row],[Lucro Anterior]]-1,0))</f>
        <v/>
      </c>
    </row>
    <row r="112" spans="1:13" x14ac:dyDescent="0.2">
      <c r="A112" s="4" t="s">
        <v>216</v>
      </c>
      <c r="B112" s="4">
        <v>2012</v>
      </c>
      <c r="C112" s="6">
        <v>66187000</v>
      </c>
      <c r="D112" s="8">
        <f>SUMPRODUCT(N(Tabela3[PAPEL]=Tabela2[[#This Row],[Ativo]]),Tabela3[Total Ações])</f>
        <v>90224492</v>
      </c>
      <c r="E112" s="65">
        <f>(Tabela2[[#This Row],[Lucro Líquido]])/Tabela2[[#This Row],[Total Ações]]</f>
        <v>0.73358129852368692</v>
      </c>
      <c r="F112" s="65">
        <v>0.39119999999999999</v>
      </c>
      <c r="G112" s="45">
        <f>IF(AND(Tabela2[[#This Row],[Dividendo / Ação]]&gt;0,Tabela2[[#This Row],[Lucro por ação]]&gt;0),Tabela2[[#This Row],[Dividendo / Ação]]/Tabela2[[#This Row],[Lucro por ação]],"")</f>
        <v>0.53327422712012928</v>
      </c>
      <c r="H112" s="6">
        <f>MAX(Tabela2[[#This Row],[Cotação 1]],Tabela2[[#This Row],[Cotação 2]])</f>
        <v>5.64</v>
      </c>
      <c r="I112" s="19">
        <f>IF(Tabela2[[#This Row],[Dividendo / Ação]]&gt;0,Tabela2[[#This Row],[Dividendo / Ação]]/Tabela2[[#This Row],[Cotação]],"")</f>
        <v>6.9361702127659575E-2</v>
      </c>
      <c r="J112" s="60">
        <f>SUMPRODUCT(N(Tabela1[Código]=Tabela2[[#This Row],[Ativo]]),Tabela1[Fechamento])</f>
        <v>5.64</v>
      </c>
      <c r="K112" s="60">
        <f>SUMPRODUCT(N(Tabela17[Código]=Tabela2[[#This Row],[Ativo]]),Tabela17[Fechamento])</f>
        <v>0</v>
      </c>
      <c r="L112" s="60">
        <f>SUMPRODUCT(N(Tabela2[Ativo]=Tabela2[[#This Row],[Ativo]]),N(Tabela2[Exercício]=Tabela2[[#This Row],[Exercício]]-1),Tabela2[Lucro Líquido])</f>
        <v>67513447</v>
      </c>
      <c r="M112" s="19">
        <f>IF(Tabela2[[#This Row],[Lucro Anterior]]=0,"",IF(Tabela2[[#This Row],[Lucro Líquido]]&gt;0,Tabela2[[#This Row],[Lucro Líquido]]/Tabela2[[#This Row],[Lucro Anterior]]-1,0))</f>
        <v>-1.9647152662787271E-2</v>
      </c>
    </row>
    <row r="113" spans="1:13" x14ac:dyDescent="0.2">
      <c r="A113" s="4" t="s">
        <v>216</v>
      </c>
      <c r="B113" s="4">
        <v>2011</v>
      </c>
      <c r="C113" s="5">
        <v>67513447</v>
      </c>
      <c r="D113" s="8">
        <f>SUMPRODUCT(N(Tabela3[PAPEL]=Tabela2[[#This Row],[Ativo]]),Tabela3[Total Ações])</f>
        <v>90224492</v>
      </c>
      <c r="E113" s="65">
        <f>(Tabela2[[#This Row],[Lucro Líquido]])/Tabela2[[#This Row],[Total Ações]]</f>
        <v>0.74828292743393887</v>
      </c>
      <c r="F113" s="65">
        <v>0.37240000000000001</v>
      </c>
      <c r="G113" s="45">
        <f>IF(AND(Tabela2[[#This Row],[Dividendo / Ação]]&gt;0,Tabela2[[#This Row],[Lucro por ação]]&gt;0),Tabela2[[#This Row],[Dividendo / Ação]]/Tabela2[[#This Row],[Lucro por ação]],"")</f>
        <v>0.49767272023305226</v>
      </c>
      <c r="H113" s="6">
        <f>MAX(Tabela2[[#This Row],[Cotação 1]],Tabela2[[#This Row],[Cotação 2]])</f>
        <v>5.64</v>
      </c>
      <c r="I113" s="19">
        <f>IF(Tabela2[[#This Row],[Dividendo / Ação]]&gt;0,Tabela2[[#This Row],[Dividendo / Ação]]/Tabela2[[#This Row],[Cotação]],"")</f>
        <v>6.6028368794326248E-2</v>
      </c>
      <c r="J113" s="60">
        <f>SUMPRODUCT(N(Tabela1[Código]=Tabela2[[#This Row],[Ativo]]),Tabela1[Fechamento])</f>
        <v>5.64</v>
      </c>
      <c r="K113" s="60">
        <f>SUMPRODUCT(N(Tabela17[Código]=Tabela2[[#This Row],[Ativo]]),Tabela17[Fechamento])</f>
        <v>0</v>
      </c>
      <c r="L113" s="60">
        <f>SUMPRODUCT(N(Tabela2[Ativo]=Tabela2[[#This Row],[Ativo]]),N(Tabela2[Exercício]=Tabela2[[#This Row],[Exercício]]-1),Tabela2[Lucro Líquido])</f>
        <v>82086317</v>
      </c>
      <c r="M113" s="19">
        <f>IF(Tabela2[[#This Row],[Lucro Anterior]]=0,"",IF(Tabela2[[#This Row],[Lucro Líquido]]&gt;0,Tabela2[[#This Row],[Lucro Líquido]]/Tabela2[[#This Row],[Lucro Anterior]]-1,0))</f>
        <v>-0.17753104941960063</v>
      </c>
    </row>
    <row r="114" spans="1:13" x14ac:dyDescent="0.2">
      <c r="A114" s="4" t="s">
        <v>216</v>
      </c>
      <c r="B114" s="4">
        <v>2010</v>
      </c>
      <c r="C114" s="5">
        <v>82086317</v>
      </c>
      <c r="D114" s="8">
        <f>SUMPRODUCT(N(Tabela3[PAPEL]=Tabela2[[#This Row],[Ativo]]),Tabela3[Total Ações])</f>
        <v>90224492</v>
      </c>
      <c r="E114" s="65">
        <f>(Tabela2[[#This Row],[Lucro Líquido]])/Tabela2[[#This Row],[Total Ações]]</f>
        <v>0.90980082215370084</v>
      </c>
      <c r="F114" s="65">
        <v>0.34889999999999999</v>
      </c>
      <c r="G114" s="45">
        <f>IF(AND(Tabela2[[#This Row],[Dividendo / Ação]]&gt;0,Tabela2[[#This Row],[Lucro por ação]]&gt;0),Tabela2[[#This Row],[Dividendo / Ação]]/Tabela2[[#This Row],[Lucro por ação]],"")</f>
        <v>0.3834905305691812</v>
      </c>
      <c r="H114" s="6">
        <f>MAX(Tabela2[[#This Row],[Cotação 1]],Tabela2[[#This Row],[Cotação 2]])</f>
        <v>5.64</v>
      </c>
      <c r="I114" s="19">
        <f>IF(Tabela2[[#This Row],[Dividendo / Ação]]&gt;0,Tabela2[[#This Row],[Dividendo / Ação]]/Tabela2[[#This Row],[Cotação]],"")</f>
        <v>6.1861702127659575E-2</v>
      </c>
      <c r="J114" s="60">
        <f>SUMPRODUCT(N(Tabela1[Código]=Tabela2[[#This Row],[Ativo]]),Tabela1[Fechamento])</f>
        <v>5.64</v>
      </c>
      <c r="K114" s="60">
        <f>SUMPRODUCT(N(Tabela17[Código]=Tabela2[[#This Row],[Ativo]]),Tabela17[Fechamento])</f>
        <v>0</v>
      </c>
      <c r="L114" s="60">
        <f>SUMPRODUCT(N(Tabela2[Ativo]=Tabela2[[#This Row],[Ativo]]),N(Tabela2[Exercício]=Tabela2[[#This Row],[Exercício]]-1),Tabela2[Lucro Líquido])</f>
        <v>76789552</v>
      </c>
      <c r="M114" s="19">
        <f>IF(Tabela2[[#This Row],[Lucro Anterior]]=0,"",IF(Tabela2[[#This Row],[Lucro Líquido]]&gt;0,Tabela2[[#This Row],[Lucro Líquido]]/Tabela2[[#This Row],[Lucro Anterior]]-1,0))</f>
        <v>6.8977678109126028E-2</v>
      </c>
    </row>
    <row r="115" spans="1:13" x14ac:dyDescent="0.2">
      <c r="A115" s="4" t="s">
        <v>216</v>
      </c>
      <c r="B115" s="4">
        <v>2009</v>
      </c>
      <c r="C115" s="5">
        <v>76789552</v>
      </c>
      <c r="D115" s="8">
        <f>SUMPRODUCT(N(Tabela3[PAPEL]=Tabela2[[#This Row],[Ativo]]),Tabela3[Total Ações])</f>
        <v>90224492</v>
      </c>
      <c r="E115" s="65">
        <f>(Tabela2[[#This Row],[Lucro Líquido]])/Tabela2[[#This Row],[Total Ações]]</f>
        <v>0.85109431261746538</v>
      </c>
      <c r="F115" s="65">
        <v>0.3286</v>
      </c>
      <c r="G115" s="45">
        <f>IF(AND(Tabela2[[#This Row],[Dividendo / Ação]]&gt;0,Tabela2[[#This Row],[Lucro por ação]]&gt;0),Tabela2[[#This Row],[Dividendo / Ação]]/Tabela2[[#This Row],[Lucro por ação]],"")</f>
        <v>0.38609117124683834</v>
      </c>
      <c r="H115" s="6">
        <f>MAX(Tabela2[[#This Row],[Cotação 1]],Tabela2[[#This Row],[Cotação 2]])</f>
        <v>5.64</v>
      </c>
      <c r="I115" s="19">
        <f>IF(Tabela2[[#This Row],[Dividendo / Ação]]&gt;0,Tabela2[[#This Row],[Dividendo / Ação]]/Tabela2[[#This Row],[Cotação]],"")</f>
        <v>5.8262411347517737E-2</v>
      </c>
      <c r="J115" s="60">
        <f>SUMPRODUCT(N(Tabela1[Código]=Tabela2[[#This Row],[Ativo]]),Tabela1[Fechamento])</f>
        <v>5.64</v>
      </c>
      <c r="K115" s="60">
        <f>SUMPRODUCT(N(Tabela17[Código]=Tabela2[[#This Row],[Ativo]]),Tabela17[Fechamento])</f>
        <v>0</v>
      </c>
      <c r="L115" s="60">
        <f>SUMPRODUCT(N(Tabela2[Ativo]=Tabela2[[#This Row],[Ativo]]),N(Tabela2[Exercício]=Tabela2[[#This Row],[Exercício]]-1),Tabela2[Lucro Líquido])</f>
        <v>0</v>
      </c>
      <c r="M115" s="19" t="str">
        <f>IF(Tabela2[[#This Row],[Lucro Anterior]]=0,"",IF(Tabela2[[#This Row],[Lucro Líquido]]&gt;0,Tabela2[[#This Row],[Lucro Líquido]]/Tabela2[[#This Row],[Lucro Anterior]]-1,0))</f>
        <v/>
      </c>
    </row>
    <row r="116" spans="1:13" x14ac:dyDescent="0.2">
      <c r="A116" s="14" t="s">
        <v>298</v>
      </c>
      <c r="B116" s="3">
        <v>2012</v>
      </c>
      <c r="C116" s="5">
        <v>-731143033.12</v>
      </c>
      <c r="D116" s="61">
        <f>SUMPRODUCT(N(Tabela3[PAPEL]=Tabela2[[#This Row],[Ativo]]),Tabela3[Total Ações])</f>
        <v>797265348</v>
      </c>
      <c r="E116" s="64">
        <f>(Tabela2[[#This Row],[Lucro Líquido]])/Tabela2[[#This Row],[Total Ações]]</f>
        <v>-0.91706360367238737</v>
      </c>
      <c r="F116" s="64">
        <v>0</v>
      </c>
      <c r="G116" s="22" t="str">
        <f>IF(AND(Tabela2[[#This Row],[Dividendo / Ação]]&gt;0,Tabela2[[#This Row],[Lucro por ação]]&gt;0),Tabela2[[#This Row],[Dividendo / Ação]]/Tabela2[[#This Row],[Lucro por ação]],"")</f>
        <v/>
      </c>
      <c r="H116" s="50">
        <f>MAX(Tabela2[[#This Row],[Cotação 1]],Tabela2[[#This Row],[Cotação 2]])</f>
        <v>16</v>
      </c>
      <c r="I116" s="18" t="str">
        <f>IF(Tabela2[[#This Row],[Dividendo / Ação]]&gt;0,Tabela2[[#This Row],[Dividendo / Ação]]/Tabela2[[#This Row],[Cotação]],"")</f>
        <v/>
      </c>
      <c r="J116" s="7">
        <f>SUMPRODUCT(N(Tabela1[Código]=Tabela2[[#This Row],[Ativo]]),Tabela1[Fechamento])</f>
        <v>0</v>
      </c>
      <c r="K116" s="7">
        <f>SUMPRODUCT(N(Tabela17[Código]=Tabela2[[#This Row],[Ativo]]),Tabela17[Fechamento])</f>
        <v>16</v>
      </c>
      <c r="L116" s="7">
        <f>SUMPRODUCT(N(Tabela2[Ativo]=Tabela2[[#This Row],[Ativo]]),N(Tabela2[Exercício]=Tabela2[[#This Row],[Exercício]]-1),Tabela2[Lucro Líquido])</f>
        <v>-525142000</v>
      </c>
      <c r="M116" s="18">
        <f>IF(Tabela2[[#This Row],[Lucro Anterior]]=0,"",IF(Tabela2[[#This Row],[Lucro Líquido]]&gt;0,Tabela2[[#This Row],[Lucro Líquido]]/Tabela2[[#This Row],[Lucro Anterior]]-1,0))</f>
        <v>0</v>
      </c>
    </row>
    <row r="117" spans="1:13" x14ac:dyDescent="0.2">
      <c r="A117" s="14" t="s">
        <v>298</v>
      </c>
      <c r="B117" s="3">
        <v>2011</v>
      </c>
      <c r="C117" s="5">
        <v>-525142000</v>
      </c>
      <c r="D117" s="61">
        <f>SUMPRODUCT(N(Tabela3[PAPEL]=Tabela2[[#This Row],[Ativo]]),Tabela3[Total Ações])</f>
        <v>797265348</v>
      </c>
      <c r="E117" s="64">
        <f>(Tabela2[[#This Row],[Lucro Líquido]])/Tabela2[[#This Row],[Total Ações]]</f>
        <v>-0.65867907255389713</v>
      </c>
      <c r="F117" s="64">
        <v>0</v>
      </c>
      <c r="G117" s="22" t="str">
        <f>IF(AND(Tabela2[[#This Row],[Dividendo / Ação]]&gt;0,Tabela2[[#This Row],[Lucro por ação]]&gt;0),Tabela2[[#This Row],[Dividendo / Ação]]/Tabela2[[#This Row],[Lucro por ação]],"")</f>
        <v/>
      </c>
      <c r="H117" s="50">
        <f>MAX(Tabela2[[#This Row],[Cotação 1]],Tabela2[[#This Row],[Cotação 2]])</f>
        <v>16</v>
      </c>
      <c r="I117" s="18" t="str">
        <f>IF(Tabela2[[#This Row],[Dividendo / Ação]]&gt;0,Tabela2[[#This Row],[Dividendo / Ação]]/Tabela2[[#This Row],[Cotação]],"")</f>
        <v/>
      </c>
      <c r="J117" s="7">
        <f>SUMPRODUCT(N(Tabela1[Código]=Tabela2[[#This Row],[Ativo]]),Tabela1[Fechamento])</f>
        <v>0</v>
      </c>
      <c r="K117" s="7">
        <f>SUMPRODUCT(N(Tabela17[Código]=Tabela2[[#This Row],[Ativo]]),Tabela17[Fechamento])</f>
        <v>16</v>
      </c>
      <c r="L117" s="7">
        <f>SUMPRODUCT(N(Tabela2[Ativo]=Tabela2[[#This Row],[Ativo]]),N(Tabela2[Exercício]=Tabela2[[#This Row],[Exercício]]-1),Tabela2[Lucro Líquido])</f>
        <v>1895309000</v>
      </c>
      <c r="M117" s="18">
        <f>IF(Tabela2[[#This Row],[Lucro Anterior]]=0,"",IF(Tabela2[[#This Row],[Lucro Líquido]]&gt;0,Tabela2[[#This Row],[Lucro Líquido]]/Tabela2[[#This Row],[Lucro Anterior]]-1,0))</f>
        <v>0</v>
      </c>
    </row>
    <row r="118" spans="1:13" x14ac:dyDescent="0.2">
      <c r="A118" s="14" t="s">
        <v>298</v>
      </c>
      <c r="B118" s="3">
        <v>2010</v>
      </c>
      <c r="C118" s="5">
        <v>1895309000</v>
      </c>
      <c r="D118" s="61">
        <f>SUMPRODUCT(N(Tabela3[PAPEL]=Tabela2[[#This Row],[Ativo]]),Tabela3[Total Ações])</f>
        <v>797265348</v>
      </c>
      <c r="E118" s="64">
        <f>(Tabela2[[#This Row],[Lucro Líquido]])/Tabela2[[#This Row],[Total Ações]]</f>
        <v>2.3772624820011616</v>
      </c>
      <c r="F118" s="64">
        <v>0.83324714</v>
      </c>
      <c r="G118" s="22">
        <f>IF(AND(Tabela2[[#This Row],[Dividendo / Ação]]&gt;0,Tabela2[[#This Row],[Lucro por ação]]&gt;0),Tabela2[[#This Row],[Dividendo / Ação]]/Tabela2[[#This Row],[Lucro por ação]],"")</f>
        <v>0.35050699967240423</v>
      </c>
      <c r="H118" s="50">
        <f>MAX(Tabela2[[#This Row],[Cotação 1]],Tabela2[[#This Row],[Cotação 2]])</f>
        <v>16</v>
      </c>
      <c r="I118" s="18">
        <f>IF(Tabela2[[#This Row],[Dividendo / Ação]]&gt;0,Tabela2[[#This Row],[Dividendo / Ação]]/Tabela2[[#This Row],[Cotação]],"")</f>
        <v>5.207794625E-2</v>
      </c>
      <c r="J118" s="7">
        <f>SUMPRODUCT(N(Tabela1[Código]=Tabela2[[#This Row],[Ativo]]),Tabela1[Fechamento])</f>
        <v>0</v>
      </c>
      <c r="K118" s="7">
        <f>SUMPRODUCT(N(Tabela17[Código]=Tabela2[[#This Row],[Ativo]]),Tabela17[Fechamento])</f>
        <v>16</v>
      </c>
      <c r="L118" s="7">
        <f>SUMPRODUCT(N(Tabela2[Ativo]=Tabela2[[#This Row],[Ativo]]),N(Tabela2[Exercício]=Tabela2[[#This Row],[Exercício]]-1),Tabela2[Lucro Líquido])</f>
        <v>398491000</v>
      </c>
      <c r="M118" s="18">
        <f>IF(Tabela2[[#This Row],[Lucro Anterior]]=0,"",IF(Tabela2[[#This Row],[Lucro Líquido]]&gt;0,Tabela2[[#This Row],[Lucro Líquido]]/Tabela2[[#This Row],[Lucro Anterior]]-1,0))</f>
        <v>3.7562153223033894</v>
      </c>
    </row>
    <row r="119" spans="1:13" x14ac:dyDescent="0.2">
      <c r="A119" s="14" t="s">
        <v>298</v>
      </c>
      <c r="B119" s="3">
        <v>2009</v>
      </c>
      <c r="C119" s="5">
        <v>398491000</v>
      </c>
      <c r="D119" s="61">
        <f>SUMPRODUCT(N(Tabela3[PAPEL]=Tabela2[[#This Row],[Ativo]]),Tabela3[Total Ações])</f>
        <v>797265348</v>
      </c>
      <c r="E119" s="64">
        <f>(Tabela2[[#This Row],[Lucro Líquido]])/Tabela2[[#This Row],[Total Ações]]</f>
        <v>0.49982230006564893</v>
      </c>
      <c r="F119" s="64">
        <v>0</v>
      </c>
      <c r="G119" s="22" t="str">
        <f>IF(AND(Tabela2[[#This Row],[Dividendo / Ação]]&gt;0,Tabela2[[#This Row],[Lucro por ação]]&gt;0),Tabela2[[#This Row],[Dividendo / Ação]]/Tabela2[[#This Row],[Lucro por ação]],"")</f>
        <v/>
      </c>
      <c r="H119" s="50">
        <f>MAX(Tabela2[[#This Row],[Cotação 1]],Tabela2[[#This Row],[Cotação 2]])</f>
        <v>16</v>
      </c>
      <c r="I119" s="18" t="str">
        <f>IF(Tabela2[[#This Row],[Dividendo / Ação]]&gt;0,Tabela2[[#This Row],[Dividendo / Ação]]/Tabela2[[#This Row],[Cotação]],"")</f>
        <v/>
      </c>
      <c r="J119" s="7">
        <f>SUMPRODUCT(N(Tabela1[Código]=Tabela2[[#This Row],[Ativo]]),Tabela1[Fechamento])</f>
        <v>0</v>
      </c>
      <c r="K119" s="7">
        <f>SUMPRODUCT(N(Tabela17[Código]=Tabela2[[#This Row],[Ativo]]),Tabela17[Fechamento])</f>
        <v>16</v>
      </c>
      <c r="L119" s="7">
        <f>SUMPRODUCT(N(Tabela2[Ativo]=Tabela2[[#This Row],[Ativo]]),N(Tabela2[Exercício]=Tabela2[[#This Row],[Exercício]]-1),Tabela2[Lucro Líquido])</f>
        <v>0</v>
      </c>
      <c r="M119" s="18" t="str">
        <f>IF(Tabela2[[#This Row],[Lucro Anterior]]=0,"",IF(Tabela2[[#This Row],[Lucro Líquido]]&gt;0,Tabela2[[#This Row],[Lucro Líquido]]/Tabela2[[#This Row],[Lucro Anterior]]-1,0))</f>
        <v/>
      </c>
    </row>
    <row r="120" spans="1:13" x14ac:dyDescent="0.2">
      <c r="A120" s="14" t="s">
        <v>299</v>
      </c>
      <c r="B120" s="3">
        <v>2012</v>
      </c>
      <c r="C120" s="5">
        <v>-731143033.12</v>
      </c>
      <c r="D120" s="61">
        <f>SUMPRODUCT(N(Tabela3[PAPEL]=Tabela2[[#This Row],[Ativo]]),Tabela3[Total Ações])</f>
        <v>797265348</v>
      </c>
      <c r="E120" s="64">
        <f>(Tabela2[[#This Row],[Lucro Líquido]])/Tabela2[[#This Row],[Total Ações]]</f>
        <v>-0.91706360367238737</v>
      </c>
      <c r="F120" s="64">
        <v>0</v>
      </c>
      <c r="G120" s="22" t="str">
        <f>IF(AND(Tabela2[[#This Row],[Dividendo / Ação]]&gt;0,Tabela2[[#This Row],[Lucro por ação]]&gt;0),Tabela2[[#This Row],[Dividendo / Ação]]/Tabela2[[#This Row],[Lucro por ação]],"")</f>
        <v/>
      </c>
      <c r="H120" s="50">
        <f>MAX(Tabela2[[#This Row],[Cotação 1]],Tabela2[[#This Row],[Cotação 2]])</f>
        <v>20.170000000000002</v>
      </c>
      <c r="I120" s="18" t="str">
        <f>IF(Tabela2[[#This Row],[Dividendo / Ação]]&gt;0,Tabela2[[#This Row],[Dividendo / Ação]]/Tabela2[[#This Row],[Cotação]],"")</f>
        <v/>
      </c>
      <c r="J120" s="7">
        <f>SUMPRODUCT(N(Tabela1[Código]=Tabela2[[#This Row],[Ativo]]),Tabela1[Fechamento])</f>
        <v>0</v>
      </c>
      <c r="K120" s="7">
        <f>SUMPRODUCT(N(Tabela17[Código]=Tabela2[[#This Row],[Ativo]]),Tabela17[Fechamento])</f>
        <v>20.170000000000002</v>
      </c>
      <c r="L120" s="7">
        <f>SUMPRODUCT(N(Tabela2[Ativo]=Tabela2[[#This Row],[Ativo]]),N(Tabela2[Exercício]=Tabela2[[#This Row],[Exercício]]-1),Tabela2[Lucro Líquido])</f>
        <v>-525142000</v>
      </c>
      <c r="M120" s="18">
        <f>IF(Tabela2[[#This Row],[Lucro Anterior]]=0,"",IF(Tabela2[[#This Row],[Lucro Líquido]]&gt;0,Tabela2[[#This Row],[Lucro Líquido]]/Tabela2[[#This Row],[Lucro Anterior]]-1,0))</f>
        <v>0</v>
      </c>
    </row>
    <row r="121" spans="1:13" x14ac:dyDescent="0.2">
      <c r="A121" s="14" t="s">
        <v>299</v>
      </c>
      <c r="B121" s="3">
        <v>2011</v>
      </c>
      <c r="C121" s="5">
        <v>-525142000</v>
      </c>
      <c r="D121" s="61">
        <f>SUMPRODUCT(N(Tabela3[PAPEL]=Tabela2[[#This Row],[Ativo]]),Tabela3[Total Ações])</f>
        <v>797265348</v>
      </c>
      <c r="E121" s="64">
        <f>(Tabela2[[#This Row],[Lucro Líquido]])/Tabela2[[#This Row],[Total Ações]]</f>
        <v>-0.65867907255389713</v>
      </c>
      <c r="F121" s="64">
        <v>0</v>
      </c>
      <c r="G121" s="22" t="str">
        <f>IF(AND(Tabela2[[#This Row],[Dividendo / Ação]]&gt;0,Tabela2[[#This Row],[Lucro por ação]]&gt;0),Tabela2[[#This Row],[Dividendo / Ação]]/Tabela2[[#This Row],[Lucro por ação]],"")</f>
        <v/>
      </c>
      <c r="H121" s="50">
        <f>MAX(Tabela2[[#This Row],[Cotação 1]],Tabela2[[#This Row],[Cotação 2]])</f>
        <v>20.170000000000002</v>
      </c>
      <c r="I121" s="18" t="str">
        <f>IF(Tabela2[[#This Row],[Dividendo / Ação]]&gt;0,Tabela2[[#This Row],[Dividendo / Ação]]/Tabela2[[#This Row],[Cotação]],"")</f>
        <v/>
      </c>
      <c r="J121" s="7">
        <f>SUMPRODUCT(N(Tabela1[Código]=Tabela2[[#This Row],[Ativo]]),Tabela1[Fechamento])</f>
        <v>0</v>
      </c>
      <c r="K121" s="7">
        <f>SUMPRODUCT(N(Tabela17[Código]=Tabela2[[#This Row],[Ativo]]),Tabela17[Fechamento])</f>
        <v>20.170000000000002</v>
      </c>
      <c r="L121" s="7">
        <f>SUMPRODUCT(N(Tabela2[Ativo]=Tabela2[[#This Row],[Ativo]]),N(Tabela2[Exercício]=Tabela2[[#This Row],[Exercício]]-1),Tabela2[Lucro Líquido])</f>
        <v>1895309000</v>
      </c>
      <c r="M121" s="18">
        <f>IF(Tabela2[[#This Row],[Lucro Anterior]]=0,"",IF(Tabela2[[#This Row],[Lucro Líquido]]&gt;0,Tabela2[[#This Row],[Lucro Líquido]]/Tabela2[[#This Row],[Lucro Anterior]]-1,0))</f>
        <v>0</v>
      </c>
    </row>
    <row r="122" spans="1:13" x14ac:dyDescent="0.2">
      <c r="A122" s="14" t="s">
        <v>299</v>
      </c>
      <c r="B122" s="3">
        <v>2010</v>
      </c>
      <c r="C122" s="5">
        <v>1895309000</v>
      </c>
      <c r="D122" s="61">
        <f>SUMPRODUCT(N(Tabela3[PAPEL]=Tabela2[[#This Row],[Ativo]]),Tabela3[Total Ações])</f>
        <v>797265348</v>
      </c>
      <c r="E122" s="64">
        <f>(Tabela2[[#This Row],[Lucro Líquido]])/Tabela2[[#This Row],[Total Ações]]</f>
        <v>2.3772624820011616</v>
      </c>
      <c r="F122" s="64">
        <v>0.83324714</v>
      </c>
      <c r="G122" s="22">
        <f>IF(AND(Tabela2[[#This Row],[Dividendo / Ação]]&gt;0,Tabela2[[#This Row],[Lucro por ação]]&gt;0),Tabela2[[#This Row],[Dividendo / Ação]]/Tabela2[[#This Row],[Lucro por ação]],"")</f>
        <v>0.35050699967240423</v>
      </c>
      <c r="H122" s="50">
        <f>MAX(Tabela2[[#This Row],[Cotação 1]],Tabela2[[#This Row],[Cotação 2]])</f>
        <v>20.170000000000002</v>
      </c>
      <c r="I122" s="18">
        <f>IF(Tabela2[[#This Row],[Dividendo / Ação]]&gt;0,Tabela2[[#This Row],[Dividendo / Ação]]/Tabela2[[#This Row],[Cotação]],"")</f>
        <v>4.1311211700545358E-2</v>
      </c>
      <c r="J122" s="7">
        <f>SUMPRODUCT(N(Tabela1[Código]=Tabela2[[#This Row],[Ativo]]),Tabela1[Fechamento])</f>
        <v>0</v>
      </c>
      <c r="K122" s="7">
        <f>SUMPRODUCT(N(Tabela17[Código]=Tabela2[[#This Row],[Ativo]]),Tabela17[Fechamento])</f>
        <v>20.170000000000002</v>
      </c>
      <c r="L122" s="7">
        <f>SUMPRODUCT(N(Tabela2[Ativo]=Tabela2[[#This Row],[Ativo]]),N(Tabela2[Exercício]=Tabela2[[#This Row],[Exercício]]-1),Tabela2[Lucro Líquido])</f>
        <v>398491000</v>
      </c>
      <c r="M122" s="18">
        <f>IF(Tabela2[[#This Row],[Lucro Anterior]]=0,"",IF(Tabela2[[#This Row],[Lucro Líquido]]&gt;0,Tabela2[[#This Row],[Lucro Líquido]]/Tabela2[[#This Row],[Lucro Anterior]]-1,0))</f>
        <v>3.7562153223033894</v>
      </c>
    </row>
    <row r="123" spans="1:13" x14ac:dyDescent="0.2">
      <c r="A123" s="14" t="s">
        <v>299</v>
      </c>
      <c r="B123" s="3">
        <v>2009</v>
      </c>
      <c r="C123" s="5">
        <v>398491000</v>
      </c>
      <c r="D123" s="61">
        <f>SUMPRODUCT(N(Tabela3[PAPEL]=Tabela2[[#This Row],[Ativo]]),Tabela3[Total Ações])</f>
        <v>797265348</v>
      </c>
      <c r="E123" s="64">
        <f>(Tabela2[[#This Row],[Lucro Líquido]])/Tabela2[[#This Row],[Total Ações]]</f>
        <v>0.49982230006564893</v>
      </c>
      <c r="F123" s="64">
        <v>0</v>
      </c>
      <c r="G123" s="22" t="str">
        <f>IF(AND(Tabela2[[#This Row],[Dividendo / Ação]]&gt;0,Tabela2[[#This Row],[Lucro por ação]]&gt;0),Tabela2[[#This Row],[Dividendo / Ação]]/Tabela2[[#This Row],[Lucro por ação]],"")</f>
        <v/>
      </c>
      <c r="H123" s="50">
        <f>MAX(Tabela2[[#This Row],[Cotação 1]],Tabela2[[#This Row],[Cotação 2]])</f>
        <v>20.170000000000002</v>
      </c>
      <c r="I123" s="18" t="str">
        <f>IF(Tabela2[[#This Row],[Dividendo / Ação]]&gt;0,Tabela2[[#This Row],[Dividendo / Ação]]/Tabela2[[#This Row],[Cotação]],"")</f>
        <v/>
      </c>
      <c r="J123" s="7">
        <f>SUMPRODUCT(N(Tabela1[Código]=Tabela2[[#This Row],[Ativo]]),Tabela1[Fechamento])</f>
        <v>0</v>
      </c>
      <c r="K123" s="7">
        <f>SUMPRODUCT(N(Tabela17[Código]=Tabela2[[#This Row],[Ativo]]),Tabela17[Fechamento])</f>
        <v>20.170000000000002</v>
      </c>
      <c r="L123" s="7">
        <f>SUMPRODUCT(N(Tabela2[Ativo]=Tabela2[[#This Row],[Ativo]]),N(Tabela2[Exercício]=Tabela2[[#This Row],[Exercício]]-1),Tabela2[Lucro Líquido])</f>
        <v>0</v>
      </c>
      <c r="M123" s="18" t="str">
        <f>IF(Tabela2[[#This Row],[Lucro Anterior]]=0,"",IF(Tabela2[[#This Row],[Lucro Líquido]]&gt;0,Tabela2[[#This Row],[Lucro Líquido]]/Tabela2[[#This Row],[Lucro Anterior]]-1,0))</f>
        <v/>
      </c>
    </row>
    <row r="124" spans="1:13" x14ac:dyDescent="0.2">
      <c r="A124" s="15" t="s">
        <v>300</v>
      </c>
      <c r="B124" s="4">
        <v>2012</v>
      </c>
      <c r="C124" s="5">
        <v>-731143033.12</v>
      </c>
      <c r="D124" s="8">
        <f>SUMPRODUCT(N(Tabela3[PAPEL]=Tabela2[[#This Row],[Ativo]]),Tabela3[Total Ações])</f>
        <v>797265348</v>
      </c>
      <c r="E124" s="65">
        <f>(Tabela2[[#This Row],[Lucro Líquido]])/Tabela2[[#This Row],[Total Ações]]</f>
        <v>-0.91706360367238737</v>
      </c>
      <c r="F124" s="65">
        <v>0</v>
      </c>
      <c r="G124" s="45" t="str">
        <f>IF(AND(Tabela2[[#This Row],[Dividendo / Ação]]&gt;0,Tabela2[[#This Row],[Lucro por ação]]&gt;0),Tabela2[[#This Row],[Dividendo / Ação]]/Tabela2[[#This Row],[Lucro por ação]],"")</f>
        <v/>
      </c>
      <c r="H124" s="13">
        <f>MAX(Tabela2[[#This Row],[Cotação 1]],Tabela2[[#This Row],[Cotação 2]])</f>
        <v>10.5</v>
      </c>
      <c r="I124" s="19" t="str">
        <f>IF(Tabela2[[#This Row],[Dividendo / Ação]]&gt;0,Tabela2[[#This Row],[Dividendo / Ação]]/Tabela2[[#This Row],[Cotação]],"")</f>
        <v/>
      </c>
      <c r="J124" s="17">
        <f>SUMPRODUCT(N(Tabela1[Código]=Tabela2[[#This Row],[Ativo]]),Tabela1[Fechamento])</f>
        <v>0</v>
      </c>
      <c r="K124" s="17">
        <f>SUMPRODUCT(N(Tabela17[Código]=Tabela2[[#This Row],[Ativo]]),Tabela17[Fechamento])</f>
        <v>10.5</v>
      </c>
      <c r="L124" s="17">
        <f>SUMPRODUCT(N(Tabela2[Ativo]=Tabela2[[#This Row],[Ativo]]),N(Tabela2[Exercício]=Tabela2[[#This Row],[Exercício]]-1),Tabela2[Lucro Líquido])</f>
        <v>-525142000</v>
      </c>
      <c r="M124" s="19">
        <f>IF(Tabela2[[#This Row],[Lucro Anterior]]=0,"",IF(Tabela2[[#This Row],[Lucro Líquido]]&gt;0,Tabela2[[#This Row],[Lucro Líquido]]/Tabela2[[#This Row],[Lucro Anterior]]-1,0))</f>
        <v>0</v>
      </c>
    </row>
    <row r="125" spans="1:13" x14ac:dyDescent="0.2">
      <c r="A125" s="15" t="s">
        <v>300</v>
      </c>
      <c r="B125" s="4">
        <v>2011</v>
      </c>
      <c r="C125" s="5">
        <v>-525142000</v>
      </c>
      <c r="D125" s="8">
        <f>SUMPRODUCT(N(Tabela3[PAPEL]=Tabela2[[#This Row],[Ativo]]),Tabela3[Total Ações])</f>
        <v>797265348</v>
      </c>
      <c r="E125" s="65">
        <f>(Tabela2[[#This Row],[Lucro Líquido]])/Tabela2[[#This Row],[Total Ações]]</f>
        <v>-0.65867907255389713</v>
      </c>
      <c r="F125" s="65">
        <v>0</v>
      </c>
      <c r="G125" s="45" t="str">
        <f>IF(AND(Tabela2[[#This Row],[Dividendo / Ação]]&gt;0,Tabela2[[#This Row],[Lucro por ação]]&gt;0),Tabela2[[#This Row],[Dividendo / Ação]]/Tabela2[[#This Row],[Lucro por ação]],"")</f>
        <v/>
      </c>
      <c r="H125" s="13">
        <f>MAX(Tabela2[[#This Row],[Cotação 1]],Tabela2[[#This Row],[Cotação 2]])</f>
        <v>10.5</v>
      </c>
      <c r="I125" s="19" t="str">
        <f>IF(Tabela2[[#This Row],[Dividendo / Ação]]&gt;0,Tabela2[[#This Row],[Dividendo / Ação]]/Tabela2[[#This Row],[Cotação]],"")</f>
        <v/>
      </c>
      <c r="J125" s="17">
        <f>SUMPRODUCT(N(Tabela1[Código]=Tabela2[[#This Row],[Ativo]]),Tabela1[Fechamento])</f>
        <v>0</v>
      </c>
      <c r="K125" s="17">
        <f>SUMPRODUCT(N(Tabela17[Código]=Tabela2[[#This Row],[Ativo]]),Tabela17[Fechamento])</f>
        <v>10.5</v>
      </c>
      <c r="L125" s="17">
        <f>SUMPRODUCT(N(Tabela2[Ativo]=Tabela2[[#This Row],[Ativo]]),N(Tabela2[Exercício]=Tabela2[[#This Row],[Exercício]]-1),Tabela2[Lucro Líquido])</f>
        <v>1895309000</v>
      </c>
      <c r="M125" s="19">
        <f>IF(Tabela2[[#This Row],[Lucro Anterior]]=0,"",IF(Tabela2[[#This Row],[Lucro Líquido]]&gt;0,Tabela2[[#This Row],[Lucro Líquido]]/Tabela2[[#This Row],[Lucro Anterior]]-1,0))</f>
        <v>0</v>
      </c>
    </row>
    <row r="126" spans="1:13" x14ac:dyDescent="0.2">
      <c r="A126" s="15" t="s">
        <v>300</v>
      </c>
      <c r="B126" s="4">
        <v>2010</v>
      </c>
      <c r="C126" s="5">
        <v>1895309000</v>
      </c>
      <c r="D126" s="8">
        <f>SUMPRODUCT(N(Tabela3[PAPEL]=Tabela2[[#This Row],[Ativo]]),Tabela3[Total Ações])</f>
        <v>797265348</v>
      </c>
      <c r="E126" s="65">
        <f>(Tabela2[[#This Row],[Lucro Líquido]])/Tabela2[[#This Row],[Total Ações]]</f>
        <v>2.3772624820011616</v>
      </c>
      <c r="F126" s="65">
        <v>0.60198830400000003</v>
      </c>
      <c r="G126" s="45">
        <f>IF(AND(Tabela2[[#This Row],[Dividendo / Ação]]&gt;0,Tabela2[[#This Row],[Lucro por ação]]&gt;0),Tabela2[[#This Row],[Dividendo / Ação]]/Tabela2[[#This Row],[Lucro por ação]],"")</f>
        <v>0.25322752895727813</v>
      </c>
      <c r="H126" s="13">
        <f>MAX(Tabela2[[#This Row],[Cotação 1]],Tabela2[[#This Row],[Cotação 2]])</f>
        <v>10.5</v>
      </c>
      <c r="I126" s="19">
        <f>IF(Tabela2[[#This Row],[Dividendo / Ação]]&gt;0,Tabela2[[#This Row],[Dividendo / Ação]]/Tabela2[[#This Row],[Cotação]],"")</f>
        <v>5.7332219428571432E-2</v>
      </c>
      <c r="J126" s="17">
        <f>SUMPRODUCT(N(Tabela1[Código]=Tabela2[[#This Row],[Ativo]]),Tabela1[Fechamento])</f>
        <v>0</v>
      </c>
      <c r="K126" s="17">
        <f>SUMPRODUCT(N(Tabela17[Código]=Tabela2[[#This Row],[Ativo]]),Tabela17[Fechamento])</f>
        <v>10.5</v>
      </c>
      <c r="L126" s="17">
        <f>SUMPRODUCT(N(Tabela2[Ativo]=Tabela2[[#This Row],[Ativo]]),N(Tabela2[Exercício]=Tabela2[[#This Row],[Exercício]]-1),Tabela2[Lucro Líquido])</f>
        <v>398491000</v>
      </c>
      <c r="M126" s="19">
        <f>IF(Tabela2[[#This Row],[Lucro Anterior]]=0,"",IF(Tabela2[[#This Row],[Lucro Líquido]]&gt;0,Tabela2[[#This Row],[Lucro Líquido]]/Tabela2[[#This Row],[Lucro Anterior]]-1,0))</f>
        <v>3.7562153223033894</v>
      </c>
    </row>
    <row r="127" spans="1:13" x14ac:dyDescent="0.2">
      <c r="A127" s="15" t="s">
        <v>300</v>
      </c>
      <c r="B127" s="4">
        <v>2009</v>
      </c>
      <c r="C127" s="5">
        <v>398491000</v>
      </c>
      <c r="D127" s="8">
        <f>SUMPRODUCT(N(Tabela3[PAPEL]=Tabela2[[#This Row],[Ativo]]),Tabela3[Total Ações])</f>
        <v>797265348</v>
      </c>
      <c r="E127" s="65">
        <f>(Tabela2[[#This Row],[Lucro Líquido]])/Tabela2[[#This Row],[Total Ações]]</f>
        <v>0.49982230006564893</v>
      </c>
      <c r="F127" s="65">
        <v>0</v>
      </c>
      <c r="G127" s="45" t="str">
        <f>IF(AND(Tabela2[[#This Row],[Dividendo / Ação]]&gt;0,Tabela2[[#This Row],[Lucro por ação]]&gt;0),Tabela2[[#This Row],[Dividendo / Ação]]/Tabela2[[#This Row],[Lucro por ação]],"")</f>
        <v/>
      </c>
      <c r="H127" s="13">
        <f>MAX(Tabela2[[#This Row],[Cotação 1]],Tabela2[[#This Row],[Cotação 2]])</f>
        <v>10.5</v>
      </c>
      <c r="I127" s="19" t="str">
        <f>IF(Tabela2[[#This Row],[Dividendo / Ação]]&gt;0,Tabela2[[#This Row],[Dividendo / Ação]]/Tabela2[[#This Row],[Cotação]],"")</f>
        <v/>
      </c>
      <c r="J127" s="17">
        <f>SUMPRODUCT(N(Tabela1[Código]=Tabela2[[#This Row],[Ativo]]),Tabela1[Fechamento])</f>
        <v>0</v>
      </c>
      <c r="K127" s="17">
        <f>SUMPRODUCT(N(Tabela17[Código]=Tabela2[[#This Row],[Ativo]]),Tabela17[Fechamento])</f>
        <v>10.5</v>
      </c>
      <c r="L127" s="17">
        <f>SUMPRODUCT(N(Tabela2[Ativo]=Tabela2[[#This Row],[Ativo]]),N(Tabela2[Exercício]=Tabela2[[#This Row],[Exercício]]-1),Tabela2[Lucro Líquido])</f>
        <v>0</v>
      </c>
      <c r="M127" s="19" t="str">
        <f>IF(Tabela2[[#This Row],[Lucro Anterior]]=0,"",IF(Tabela2[[#This Row],[Lucro Líquido]]&gt;0,Tabela2[[#This Row],[Lucro Líquido]]/Tabela2[[#This Row],[Lucro Anterior]]-1,0))</f>
        <v/>
      </c>
    </row>
    <row r="128" spans="1:13" x14ac:dyDescent="0.2">
      <c r="A128" s="4" t="s">
        <v>410</v>
      </c>
      <c r="B128" s="4">
        <v>2012</v>
      </c>
      <c r="C128" s="6">
        <v>1741995406.21</v>
      </c>
      <c r="D128" s="77">
        <f>SUMPRODUCT(N(Tabela3[PAPEL]=Tabela2[[#This Row],[Ativo]]),Tabela3[Total Ações])</f>
        <v>457066306</v>
      </c>
      <c r="E128" s="65">
        <f>(Tabela2[[#This Row],[Lucro Líquido]])/Tabela2[[#This Row],[Total Ações]]</f>
        <v>3.8112531668654657</v>
      </c>
      <c r="F128" s="65">
        <v>0.47533848406620999</v>
      </c>
      <c r="G128" s="44">
        <f>IF(AND(Tabela2[[#This Row],[Dividendo / Ação]]&gt;0,Tabela2[[#This Row],[Lucro por ação]]&gt;0),Tabela2[[#This Row],[Dividendo / Ação]]/Tabela2[[#This Row],[Lucro por ação]],"")</f>
        <v>0.12471973475778002</v>
      </c>
      <c r="H128" s="60">
        <f>MAX(Tabela2[[#This Row],[Cotação 1]],Tabela2[[#This Row],[Cotação 2]])</f>
        <v>17.14</v>
      </c>
      <c r="I128" s="45">
        <f>IF(Tabela2[[#This Row],[Dividendo / Ação]]&gt;0,Tabela2[[#This Row],[Dividendo / Ação]]/Tabela2[[#This Row],[Cotação]],"")</f>
        <v>2.7732700353921235E-2</v>
      </c>
      <c r="J128" s="17">
        <f>SUMPRODUCT(N(Tabela1[Código]=Tabela2[[#This Row],[Ativo]]),Tabela1[Fechamento])</f>
        <v>0</v>
      </c>
      <c r="K128" s="17">
        <f>SUMPRODUCT(N(Tabela17[Código]=Tabela2[[#This Row],[Ativo]]),Tabela17[Fechamento])</f>
        <v>17.14</v>
      </c>
      <c r="L128" s="17">
        <f>SUMPRODUCT(N(Tabela2[Ativo]=Tabela2[[#This Row],[Ativo]]),N(Tabela2[Exercício]=Tabela2[[#This Row],[Exercício]]-1),Tabela2[Lucro Líquido])</f>
        <v>478868368.80000001</v>
      </c>
      <c r="M128" s="19">
        <f>IF(Tabela2[[#This Row],[Lucro Anterior]]=0,"",IF(Tabela2[[#This Row],[Lucro Líquido]]&gt;0,Tabela2[[#This Row],[Lucro Líquido]]/Tabela2[[#This Row],[Lucro Anterior]]-1,0))</f>
        <v>2.637733288952202</v>
      </c>
    </row>
    <row r="129" spans="1:13" x14ac:dyDescent="0.2">
      <c r="A129" s="4" t="s">
        <v>410</v>
      </c>
      <c r="B129" s="4">
        <v>2011</v>
      </c>
      <c r="C129" s="6">
        <v>478868368.80000001</v>
      </c>
      <c r="D129" s="77">
        <f>SUMPRODUCT(N(Tabela3[PAPEL]=Tabela2[[#This Row],[Ativo]]),Tabela3[Total Ações])</f>
        <v>457066306</v>
      </c>
      <c r="E129" s="65">
        <f>(Tabela2[[#This Row],[Lucro Líquido]])/Tabela2[[#This Row],[Total Ações]]</f>
        <v>1.0477000000083139</v>
      </c>
      <c r="F129" s="65">
        <v>0.15065705026321699</v>
      </c>
      <c r="G129" s="44">
        <f>IF(AND(Tabela2[[#This Row],[Dividendo / Ação]]&gt;0,Tabela2[[#This Row],[Lucro por ação]]&gt;0),Tabela2[[#This Row],[Dividendo / Ação]]/Tabela2[[#This Row],[Lucro por ação]],"")</f>
        <v>0.14379789086763528</v>
      </c>
      <c r="H129" s="60">
        <f>MAX(Tabela2[[#This Row],[Cotação 1]],Tabela2[[#This Row],[Cotação 2]])</f>
        <v>17.14</v>
      </c>
      <c r="I129" s="45">
        <f>IF(Tabela2[[#This Row],[Dividendo / Ação]]&gt;0,Tabela2[[#This Row],[Dividendo / Ação]]/Tabela2[[#This Row],[Cotação]],"")</f>
        <v>8.7897928975039074E-3</v>
      </c>
      <c r="J129" s="17">
        <f>SUMPRODUCT(N(Tabela1[Código]=Tabela2[[#This Row],[Ativo]]),Tabela1[Fechamento])</f>
        <v>0</v>
      </c>
      <c r="K129" s="17">
        <f>SUMPRODUCT(N(Tabela17[Código]=Tabela2[[#This Row],[Ativo]]),Tabela17[Fechamento])</f>
        <v>17.14</v>
      </c>
      <c r="L129" s="17">
        <f>SUMPRODUCT(N(Tabela2[Ativo]=Tabela2[[#This Row],[Ativo]]),N(Tabela2[Exercício]=Tabela2[[#This Row],[Exercício]]-1),Tabela2[Lucro Líquido])</f>
        <v>562602916.05999994</v>
      </c>
      <c r="M129" s="19">
        <f>IF(Tabela2[[#This Row],[Lucro Anterior]]=0,"",IF(Tabela2[[#This Row],[Lucro Líquido]]&gt;0,Tabela2[[#This Row],[Lucro Líquido]]/Tabela2[[#This Row],[Lucro Anterior]]-1,0))</f>
        <v>-0.14883418636790335</v>
      </c>
    </row>
    <row r="130" spans="1:13" x14ac:dyDescent="0.2">
      <c r="A130" s="4" t="s">
        <v>410</v>
      </c>
      <c r="B130" s="4">
        <v>2010</v>
      </c>
      <c r="C130" s="6">
        <v>562602916.05999994</v>
      </c>
      <c r="D130" s="77">
        <f>SUMPRODUCT(N(Tabela3[PAPEL]=Tabela2[[#This Row],[Ativo]]),Tabela3[Total Ações])</f>
        <v>457066306</v>
      </c>
      <c r="E130" s="65">
        <f>(Tabela2[[#This Row],[Lucro Líquido]])/Tabela2[[#This Row],[Total Ações]]</f>
        <v>1.2309000000100641</v>
      </c>
      <c r="F130" s="65">
        <v>0.16521896199328401</v>
      </c>
      <c r="G130" s="44">
        <f>IF(AND(Tabela2[[#This Row],[Dividendo / Ação]]&gt;0,Tabela2[[#This Row],[Lucro por ação]]&gt;0),Tabela2[[#This Row],[Dividendo / Ação]]/Tabela2[[#This Row],[Lucro por ação]],"")</f>
        <v>0.13422614509052982</v>
      </c>
      <c r="H130" s="60">
        <f>MAX(Tabela2[[#This Row],[Cotação 1]],Tabela2[[#This Row],[Cotação 2]])</f>
        <v>17.14</v>
      </c>
      <c r="I130" s="45">
        <f>IF(Tabela2[[#This Row],[Dividendo / Ação]]&gt;0,Tabela2[[#This Row],[Dividendo / Ação]]/Tabela2[[#This Row],[Cotação]],"")</f>
        <v>9.6393793461659275E-3</v>
      </c>
      <c r="J130" s="17">
        <f>SUMPRODUCT(N(Tabela1[Código]=Tabela2[[#This Row],[Ativo]]),Tabela1[Fechamento])</f>
        <v>0</v>
      </c>
      <c r="K130" s="17">
        <f>SUMPRODUCT(N(Tabela17[Código]=Tabela2[[#This Row],[Ativo]]),Tabela17[Fechamento])</f>
        <v>17.14</v>
      </c>
      <c r="L130" s="17">
        <f>SUMPRODUCT(N(Tabela2[Ativo]=Tabela2[[#This Row],[Ativo]]),N(Tabela2[Exercício]=Tabela2[[#This Row],[Exercício]]-1),Tabela2[Lucro Líquido])</f>
        <v>2228426774.9000001</v>
      </c>
      <c r="M130" s="19">
        <f>IF(Tabela2[[#This Row],[Lucro Anterior]]=0,"",IF(Tabela2[[#This Row],[Lucro Líquido]]&gt;0,Tabela2[[#This Row],[Lucro Líquido]]/Tabela2[[#This Row],[Lucro Anterior]]-1,0))</f>
        <v>-0.74753358629643707</v>
      </c>
    </row>
    <row r="131" spans="1:13" x14ac:dyDescent="0.2">
      <c r="A131" s="4" t="s">
        <v>410</v>
      </c>
      <c r="B131" s="4">
        <v>2009</v>
      </c>
      <c r="C131" s="6">
        <v>2228426774.9000001</v>
      </c>
      <c r="D131" s="77">
        <f>SUMPRODUCT(N(Tabela3[PAPEL]=Tabela2[[#This Row],[Ativo]]),Tabela3[Total Ações])</f>
        <v>457066306</v>
      </c>
      <c r="E131" s="65">
        <f>(Tabela2[[#This Row],[Lucro Líquido]])/Tabela2[[#This Row],[Total Ações]]</f>
        <v>4.875499999993437</v>
      </c>
      <c r="F131" s="65">
        <v>0.24224801190112999</v>
      </c>
      <c r="G131" s="44">
        <f>IF(AND(Tabela2[[#This Row],[Dividendo / Ação]]&gt;0,Tabela2[[#This Row],[Lucro por ação]]&gt;0),Tabela2[[#This Row],[Dividendo / Ação]]/Tabela2[[#This Row],[Lucro por ação]],"")</f>
        <v>4.968680379478127E-2</v>
      </c>
      <c r="H131" s="60">
        <f>MAX(Tabela2[[#This Row],[Cotação 1]],Tabela2[[#This Row],[Cotação 2]])</f>
        <v>17.14</v>
      </c>
      <c r="I131" s="45">
        <f>IF(Tabela2[[#This Row],[Dividendo / Ação]]&gt;0,Tabela2[[#This Row],[Dividendo / Ação]]/Tabela2[[#This Row],[Cotação]],"")</f>
        <v>1.4133489609167443E-2</v>
      </c>
      <c r="J131" s="17">
        <f>SUMPRODUCT(N(Tabela1[Código]=Tabela2[[#This Row],[Ativo]]),Tabela1[Fechamento])</f>
        <v>0</v>
      </c>
      <c r="K131" s="17">
        <f>SUMPRODUCT(N(Tabela17[Código]=Tabela2[[#This Row],[Ativo]]),Tabela17[Fechamento])</f>
        <v>17.14</v>
      </c>
      <c r="L131" s="17">
        <f>SUMPRODUCT(N(Tabela2[Ativo]=Tabela2[[#This Row],[Ativo]]),N(Tabela2[Exercício]=Tabela2[[#This Row],[Exercício]]-1),Tabela2[Lucro Líquido])</f>
        <v>0</v>
      </c>
      <c r="M131" s="19" t="str">
        <f>IF(Tabela2[[#This Row],[Lucro Anterior]]=0,"",IF(Tabela2[[#This Row],[Lucro Líquido]]&gt;0,Tabela2[[#This Row],[Lucro Líquido]]/Tabela2[[#This Row],[Lucro Anterior]]-1,0))</f>
        <v/>
      </c>
    </row>
    <row r="132" spans="1:13" x14ac:dyDescent="0.2">
      <c r="A132" s="4" t="s">
        <v>412</v>
      </c>
      <c r="B132" s="4">
        <v>2012</v>
      </c>
      <c r="C132" s="6">
        <v>1216399447.4000001</v>
      </c>
      <c r="D132" s="77">
        <f>SUMPRODUCT(N(Tabela3[PAPEL]=Tabela2[[#This Row],[Ativo]]),Tabela3[Total Ações])</f>
        <v>312653445</v>
      </c>
      <c r="E132" s="65">
        <f>(Tabela2[[#This Row],[Lucro Líquido]])/Tabela2[[#This Row],[Total Ações]]</f>
        <v>3.8905678694824557</v>
      </c>
      <c r="F132" s="65">
        <v>0.51</v>
      </c>
      <c r="G132" s="44">
        <f>IF(AND(Tabela2[[#This Row],[Dividendo / Ação]]&gt;0,Tabela2[[#This Row],[Lucro por ação]]&gt;0),Tabela2[[#This Row],[Dividendo / Ação]]/Tabela2[[#This Row],[Lucro por ação]],"")</f>
        <v>0.13108626223961567</v>
      </c>
      <c r="H132" s="60">
        <f>MAX(Tabela2[[#This Row],[Cotação 1]],Tabela2[[#This Row],[Cotação 2]])</f>
        <v>18</v>
      </c>
      <c r="I132" s="45">
        <f>IF(Tabela2[[#This Row],[Dividendo / Ação]]&gt;0,Tabela2[[#This Row],[Dividendo / Ação]]/Tabela2[[#This Row],[Cotação]],"")</f>
        <v>2.8333333333333335E-2</v>
      </c>
      <c r="J132" s="17">
        <f>SUMPRODUCT(N(Tabela1[Código]=Tabela2[[#This Row],[Ativo]]),Tabela1[Fechamento])</f>
        <v>0</v>
      </c>
      <c r="K132" s="17">
        <f>SUMPRODUCT(N(Tabela17[Código]=Tabela2[[#This Row],[Ativo]]),Tabela17[Fechamento])</f>
        <v>18</v>
      </c>
      <c r="L132" s="17">
        <f>SUMPRODUCT(N(Tabela2[Ativo]=Tabela2[[#This Row],[Ativo]]),N(Tabela2[Exercício]=Tabela2[[#This Row],[Exercício]]-1),Tabela2[Lucro Líquido])</f>
        <v>335408130.56999999</v>
      </c>
      <c r="M132" s="19">
        <f>IF(Tabela2[[#This Row],[Lucro Anterior]]=0,"",IF(Tabela2[[#This Row],[Lucro Líquido]]&gt;0,Tabela2[[#This Row],[Lucro Líquido]]/Tabela2[[#This Row],[Lucro Anterior]]-1,0))</f>
        <v>2.6266248088047957</v>
      </c>
    </row>
    <row r="133" spans="1:13" x14ac:dyDescent="0.2">
      <c r="A133" s="4" t="s">
        <v>412</v>
      </c>
      <c r="B133" s="4">
        <v>2011</v>
      </c>
      <c r="C133" s="13">
        <v>335408130.56999999</v>
      </c>
      <c r="D133" s="77">
        <f>SUMPRODUCT(N(Tabela3[PAPEL]=Tabela2[[#This Row],[Ativo]]),Tabela3[Total Ações])</f>
        <v>312653445</v>
      </c>
      <c r="E133" s="65">
        <f>(Tabela2[[#This Row],[Lucro Líquido]])/Tabela2[[#This Row],[Total Ações]]</f>
        <v>1.072779257461884</v>
      </c>
      <c r="F133" s="65">
        <v>0.19</v>
      </c>
      <c r="G133" s="44">
        <f>IF(AND(Tabela2[[#This Row],[Dividendo / Ação]]&gt;0,Tabela2[[#This Row],[Lucro por ação]]&gt;0),Tabela2[[#This Row],[Dividendo / Ação]]/Tabela2[[#This Row],[Lucro por ação]],"")</f>
        <v>0.17711006125297937</v>
      </c>
      <c r="H133" s="60">
        <f>MAX(Tabela2[[#This Row],[Cotação 1]],Tabela2[[#This Row],[Cotação 2]])</f>
        <v>18</v>
      </c>
      <c r="I133" s="45">
        <f>IF(Tabela2[[#This Row],[Dividendo / Ação]]&gt;0,Tabela2[[#This Row],[Dividendo / Ação]]/Tabela2[[#This Row],[Cotação]],"")</f>
        <v>1.0555555555555556E-2</v>
      </c>
      <c r="J133" s="17">
        <f>SUMPRODUCT(N(Tabela1[Código]=Tabela2[[#This Row],[Ativo]]),Tabela1[Fechamento])</f>
        <v>0</v>
      </c>
      <c r="K133" s="17">
        <f>SUMPRODUCT(N(Tabela17[Código]=Tabela2[[#This Row],[Ativo]]),Tabela17[Fechamento])</f>
        <v>18</v>
      </c>
      <c r="L133" s="17">
        <f>SUMPRODUCT(N(Tabela2[Ativo]=Tabela2[[#This Row],[Ativo]]),N(Tabela2[Exercício]=Tabela2[[#This Row],[Exercício]]-1),Tabela2[Lucro Líquido])</f>
        <v>813367859.21000004</v>
      </c>
      <c r="M133" s="19">
        <f>IF(Tabela2[[#This Row],[Lucro Anterior]]=0,"",IF(Tabela2[[#This Row],[Lucro Líquido]]&gt;0,Tabela2[[#This Row],[Lucro Líquido]]/Tabela2[[#This Row],[Lucro Anterior]]-1,0))</f>
        <v>-0.58763045924168689</v>
      </c>
    </row>
    <row r="134" spans="1:13" x14ac:dyDescent="0.2">
      <c r="A134" s="4" t="s">
        <v>412</v>
      </c>
      <c r="B134" s="4">
        <v>2010</v>
      </c>
      <c r="C134" s="6">
        <v>813367859.21000004</v>
      </c>
      <c r="D134" s="77">
        <f>SUMPRODUCT(N(Tabela3[PAPEL]=Tabela2[[#This Row],[Ativo]]),Tabela3[Total Ações])</f>
        <v>312653445</v>
      </c>
      <c r="E134" s="65">
        <f>(Tabela2[[#This Row],[Lucro Líquido]])/Tabela2[[#This Row],[Total Ações]]</f>
        <v>2.6014997506584328</v>
      </c>
      <c r="F134" s="65">
        <v>0.11</v>
      </c>
      <c r="G134" s="44">
        <f>IF(AND(Tabela2[[#This Row],[Dividendo / Ação]]&gt;0,Tabela2[[#This Row],[Lucro por ação]]&gt;0),Tabela2[[#This Row],[Dividendo / Ação]]/Tabela2[[#This Row],[Lucro por ação]],"")</f>
        <v>4.2283302149907678E-2</v>
      </c>
      <c r="H134" s="60">
        <f>MAX(Tabela2[[#This Row],[Cotação 1]],Tabela2[[#This Row],[Cotação 2]])</f>
        <v>18</v>
      </c>
      <c r="I134" s="45">
        <f>IF(Tabela2[[#This Row],[Dividendo / Ação]]&gt;0,Tabela2[[#This Row],[Dividendo / Ação]]/Tabela2[[#This Row],[Cotação]],"")</f>
        <v>6.1111111111111114E-3</v>
      </c>
      <c r="J134" s="17">
        <f>SUMPRODUCT(N(Tabela1[Código]=Tabela2[[#This Row],[Ativo]]),Tabela1[Fechamento])</f>
        <v>0</v>
      </c>
      <c r="K134" s="17">
        <f>SUMPRODUCT(N(Tabela17[Código]=Tabela2[[#This Row],[Ativo]]),Tabela17[Fechamento])</f>
        <v>18</v>
      </c>
      <c r="L134" s="17">
        <f>SUMPRODUCT(N(Tabela2[Ativo]=Tabela2[[#This Row],[Ativo]]),N(Tabela2[Exercício]=Tabela2[[#This Row],[Exercício]]-1),Tabela2[Lucro Líquido])</f>
        <v>0</v>
      </c>
      <c r="M134" s="19" t="str">
        <f>IF(Tabela2[[#This Row],[Lucro Anterior]]=0,"",IF(Tabela2[[#This Row],[Lucro Líquido]]&gt;0,Tabela2[[#This Row],[Lucro Líquido]]/Tabela2[[#This Row],[Lucro Anterior]]-1,0))</f>
        <v/>
      </c>
    </row>
    <row r="135" spans="1:13" x14ac:dyDescent="0.2">
      <c r="A135" s="14" t="s">
        <v>226</v>
      </c>
      <c r="B135" s="3">
        <v>2012</v>
      </c>
      <c r="C135" s="5">
        <v>818590368.54999995</v>
      </c>
      <c r="D135" s="61">
        <f>SUMPRODUCT(N(Tabela3[PAPEL]=Tabela2[[#This Row],[Ativo]]),Tabela3[Total Ações])</f>
        <v>408974477</v>
      </c>
      <c r="E135" s="64">
        <f>(Tabela2[[#This Row],[Lucro Líquido]])/Tabela2[[#This Row],[Total Ações]]</f>
        <v>2.0015683486038176</v>
      </c>
      <c r="F135" s="64">
        <v>0.79800700000000002</v>
      </c>
      <c r="G135" s="22">
        <f>IF(AND(Tabela2[[#This Row],[Dividendo / Ação]]&gt;0,Tabela2[[#This Row],[Lucro por ação]]&gt;0),Tabela2[[#This Row],[Dividendo / Ação]]/Tabela2[[#This Row],[Lucro por ação]],"")</f>
        <v>0.39869085687563216</v>
      </c>
      <c r="H135" s="5">
        <f>MAX(Tabela2[[#This Row],[Cotação 1]],Tabela2[[#This Row],[Cotação 2]])</f>
        <v>12.2</v>
      </c>
      <c r="I135" s="18">
        <f>IF(Tabela2[[#This Row],[Dividendo / Ação]]&gt;0,Tabela2[[#This Row],[Dividendo / Ação]]/Tabela2[[#This Row],[Cotação]],"")</f>
        <v>6.5410409836065581E-2</v>
      </c>
      <c r="J135" s="59">
        <f>SUMPRODUCT(N(Tabela1[Código]=Tabela2[[#This Row],[Ativo]]),Tabela1[Fechamento])</f>
        <v>12.2</v>
      </c>
      <c r="K135" s="59">
        <f>SUMPRODUCT(N(Tabela17[Código]=Tabela2[[#This Row],[Ativo]]),Tabela17[Fechamento])</f>
        <v>0</v>
      </c>
      <c r="L135" s="59">
        <f>SUMPRODUCT(N(Tabela2[Ativo]=Tabela2[[#This Row],[Ativo]]),N(Tabela2[Exercício]=Tabela2[[#This Row],[Exercício]]-1),Tabela2[Lucro Líquido])</f>
        <v>904348943.24000001</v>
      </c>
      <c r="M135" s="18">
        <f>IF(Tabela2[[#This Row],[Lucro Anterior]]=0,"",IF(Tabela2[[#This Row],[Lucro Líquido]]&gt;0,Tabela2[[#This Row],[Lucro Líquido]]/Tabela2[[#This Row],[Lucro Anterior]]-1,0))</f>
        <v>-9.4829076023192793E-2</v>
      </c>
    </row>
    <row r="136" spans="1:13" x14ac:dyDescent="0.2">
      <c r="A136" s="14" t="s">
        <v>226</v>
      </c>
      <c r="B136" s="3">
        <v>2011</v>
      </c>
      <c r="C136" s="5">
        <v>904348943.24000001</v>
      </c>
      <c r="D136" s="61">
        <f>SUMPRODUCT(N(Tabela3[PAPEL]=Tabela2[[#This Row],[Ativo]]),Tabela3[Total Ações])</f>
        <v>408974477</v>
      </c>
      <c r="E136" s="64">
        <f>(Tabela2[[#This Row],[Lucro Líquido]])/Tabela2[[#This Row],[Total Ações]]</f>
        <v>2.2112601008106432</v>
      </c>
      <c r="F136" s="64">
        <v>0.840279</v>
      </c>
      <c r="G136" s="22">
        <f>IF(AND(Tabela2[[#This Row],[Dividendo / Ação]]&gt;0,Tabela2[[#This Row],[Lucro por ação]]&gt;0),Tabela2[[#This Row],[Dividendo / Ação]]/Tabela2[[#This Row],[Lucro por ação]],"")</f>
        <v>0.38000007312208794</v>
      </c>
      <c r="H136" s="5">
        <f>MAX(Tabela2[[#This Row],[Cotação 1]],Tabela2[[#This Row],[Cotação 2]])</f>
        <v>12.2</v>
      </c>
      <c r="I136" s="18">
        <f>IF(Tabela2[[#This Row],[Dividendo / Ação]]&gt;0,Tabela2[[#This Row],[Dividendo / Ação]]/Tabela2[[#This Row],[Cotação]],"")</f>
        <v>6.8875327868852462E-2</v>
      </c>
      <c r="J136" s="59">
        <f>SUMPRODUCT(N(Tabela1[Código]=Tabela2[[#This Row],[Ativo]]),Tabela1[Fechamento])</f>
        <v>12.2</v>
      </c>
      <c r="K136" s="59">
        <f>SUMPRODUCT(N(Tabela17[Código]=Tabela2[[#This Row],[Ativo]]),Tabela17[Fechamento])</f>
        <v>0</v>
      </c>
      <c r="L136" s="59">
        <f>SUMPRODUCT(N(Tabela2[Ativo]=Tabela2[[#This Row],[Ativo]]),N(Tabela2[Exercício]=Tabela2[[#This Row],[Exercício]]-1),Tabela2[Lucro Líquido])</f>
        <v>0</v>
      </c>
      <c r="M136" s="18" t="str">
        <f>IF(Tabela2[[#This Row],[Lucro Anterior]]=0,"",IF(Tabela2[[#This Row],[Lucro Líquido]]&gt;0,Tabela2[[#This Row],[Lucro Líquido]]/Tabela2[[#This Row],[Lucro Anterior]]-1,0))</f>
        <v/>
      </c>
    </row>
    <row r="137" spans="1:13" x14ac:dyDescent="0.2">
      <c r="A137" s="14" t="s">
        <v>227</v>
      </c>
      <c r="B137" s="3">
        <v>2012</v>
      </c>
      <c r="C137" s="5">
        <v>818590368.54999995</v>
      </c>
      <c r="D137" s="61">
        <f>SUMPRODUCT(N(Tabela3[PAPEL]=Tabela2[[#This Row],[Ativo]]),Tabela3[Total Ações])</f>
        <v>408974477</v>
      </c>
      <c r="E137" s="64">
        <f>(Tabela2[[#This Row],[Lucro Líquido]])/Tabela2[[#This Row],[Total Ações]]</f>
        <v>2.0015683486038176</v>
      </c>
      <c r="F137" s="64">
        <v>0.82645999999999997</v>
      </c>
      <c r="G137" s="22">
        <f>IF(AND(Tabela2[[#This Row],[Dividendo / Ação]]&gt;0,Tabela2[[#This Row],[Lucro por ação]]&gt;0),Tabela2[[#This Row],[Dividendo / Ação]]/Tabela2[[#This Row],[Lucro por ação]],"")</f>
        <v>0.41290620956136337</v>
      </c>
      <c r="H137" s="5">
        <f>MAX(Tabela2[[#This Row],[Cotação 1]],Tabela2[[#This Row],[Cotação 2]])</f>
        <v>15.72</v>
      </c>
      <c r="I137" s="18">
        <f>IF(Tabela2[[#This Row],[Dividendo / Ação]]&gt;0,Tabela2[[#This Row],[Dividendo / Ação]]/Tabela2[[#This Row],[Cotação]],"")</f>
        <v>5.2573791348600504E-2</v>
      </c>
      <c r="J137" s="59">
        <f>SUMPRODUCT(N(Tabela1[Código]=Tabela2[[#This Row],[Ativo]]),Tabela1[Fechamento])</f>
        <v>15.72</v>
      </c>
      <c r="K137" s="59">
        <f>SUMPRODUCT(N(Tabela17[Código]=Tabela2[[#This Row],[Ativo]]),Tabela17[Fechamento])</f>
        <v>0</v>
      </c>
      <c r="L137" s="59">
        <f>SUMPRODUCT(N(Tabela2[Ativo]=Tabela2[[#This Row],[Ativo]]),N(Tabela2[Exercício]=Tabela2[[#This Row],[Exercício]]-1),Tabela2[Lucro Líquido])</f>
        <v>904348943.24000001</v>
      </c>
      <c r="M137" s="18">
        <f>IF(Tabela2[[#This Row],[Lucro Anterior]]=0,"",IF(Tabela2[[#This Row],[Lucro Líquido]]&gt;0,Tabela2[[#This Row],[Lucro Líquido]]/Tabela2[[#This Row],[Lucro Anterior]]-1,0))</f>
        <v>-9.4829076023192793E-2</v>
      </c>
    </row>
    <row r="138" spans="1:13" x14ac:dyDescent="0.2">
      <c r="A138" s="14" t="s">
        <v>227</v>
      </c>
      <c r="B138" s="3">
        <v>2011</v>
      </c>
      <c r="C138" s="5">
        <v>904348943.24000001</v>
      </c>
      <c r="D138" s="61">
        <f>SUMPRODUCT(N(Tabela3[PAPEL]=Tabela2[[#This Row],[Ativo]]),Tabela3[Total Ações])</f>
        <v>408974477</v>
      </c>
      <c r="E138" s="64">
        <f>(Tabela2[[#This Row],[Lucro Líquido]])/Tabela2[[#This Row],[Total Ações]]</f>
        <v>2.2112601008106432</v>
      </c>
      <c r="F138" s="64">
        <v>0.82327300000000003</v>
      </c>
      <c r="G138" s="22">
        <f>IF(AND(Tabela2[[#This Row],[Dividendo / Ação]]&gt;0,Tabela2[[#This Row],[Lucro por ação]]&gt;0),Tabela2[[#This Row],[Dividendo / Ação]]/Tabela2[[#This Row],[Lucro por ação]],"")</f>
        <v>0.37230943555585794</v>
      </c>
      <c r="H138" s="5">
        <f>MAX(Tabela2[[#This Row],[Cotação 1]],Tabela2[[#This Row],[Cotação 2]])</f>
        <v>15.72</v>
      </c>
      <c r="I138" s="18">
        <f>IF(Tabela2[[#This Row],[Dividendo / Ação]]&gt;0,Tabela2[[#This Row],[Dividendo / Ação]]/Tabela2[[#This Row],[Cotação]],"")</f>
        <v>5.2371055979643769E-2</v>
      </c>
      <c r="J138" s="59">
        <f>SUMPRODUCT(N(Tabela1[Código]=Tabela2[[#This Row],[Ativo]]),Tabela1[Fechamento])</f>
        <v>15.72</v>
      </c>
      <c r="K138" s="59">
        <f>SUMPRODUCT(N(Tabela17[Código]=Tabela2[[#This Row],[Ativo]]),Tabela17[Fechamento])</f>
        <v>0</v>
      </c>
      <c r="L138" s="59">
        <f>SUMPRODUCT(N(Tabela2[Ativo]=Tabela2[[#This Row],[Ativo]]),N(Tabela2[Exercício]=Tabela2[[#This Row],[Exercício]]-1),Tabela2[Lucro Líquido])</f>
        <v>0</v>
      </c>
      <c r="M138" s="18" t="str">
        <f>IF(Tabela2[[#This Row],[Lucro Anterior]]=0,"",IF(Tabela2[[#This Row],[Lucro Líquido]]&gt;0,Tabela2[[#This Row],[Lucro Líquido]]/Tabela2[[#This Row],[Lucro Anterior]]-1,0))</f>
        <v/>
      </c>
    </row>
    <row r="139" spans="1:13" x14ac:dyDescent="0.2">
      <c r="A139" s="14" t="s">
        <v>23</v>
      </c>
      <c r="B139" s="4">
        <v>2012</v>
      </c>
      <c r="C139" s="5">
        <v>818590368.54999995</v>
      </c>
      <c r="D139" s="8">
        <f>SUMPRODUCT(N(Tabela3[PAPEL]=Tabela2[[#This Row],[Ativo]]),Tabela3[Total Ações])</f>
        <v>408974477</v>
      </c>
      <c r="E139" s="65">
        <f>(Tabela2[[#This Row],[Lucro Líquido]])/Tabela2[[#This Row],[Total Ações]]</f>
        <v>2.0015683486038176</v>
      </c>
      <c r="F139" s="65">
        <v>0.79800700000000002</v>
      </c>
      <c r="G139" s="45">
        <f>IF(AND(Tabela2[[#This Row],[Dividendo / Ação]]&gt;0,Tabela2[[#This Row],[Lucro por ação]]&gt;0),Tabela2[[#This Row],[Dividendo / Ação]]/Tabela2[[#This Row],[Lucro por ação]],"")</f>
        <v>0.39869085687563216</v>
      </c>
      <c r="H139" s="6">
        <f>MAX(Tabela2[[#This Row],[Cotação 1]],Tabela2[[#This Row],[Cotação 2]])</f>
        <v>11.85</v>
      </c>
      <c r="I139" s="19">
        <f>IF(Tabela2[[#This Row],[Dividendo / Ação]]&gt;0,Tabela2[[#This Row],[Dividendo / Ação]]/Tabela2[[#This Row],[Cotação]],"")</f>
        <v>6.7342362869198313E-2</v>
      </c>
      <c r="J139" s="60">
        <f>SUMPRODUCT(N(Tabela1[Código]=Tabela2[[#This Row],[Ativo]]),Tabela1[Fechamento])</f>
        <v>11.85</v>
      </c>
      <c r="K139" s="60">
        <f>SUMPRODUCT(N(Tabela17[Código]=Tabela2[[#This Row],[Ativo]]),Tabela17[Fechamento])</f>
        <v>0</v>
      </c>
      <c r="L139" s="60">
        <f>SUMPRODUCT(N(Tabela2[Ativo]=Tabela2[[#This Row],[Ativo]]),N(Tabela2[Exercício]=Tabela2[[#This Row],[Exercício]]-1),Tabela2[Lucro Líquido])</f>
        <v>904348943.24000001</v>
      </c>
      <c r="M139" s="19">
        <f>IF(Tabela2[[#This Row],[Lucro Anterior]]=0,"",IF(Tabela2[[#This Row],[Lucro Líquido]]&gt;0,Tabela2[[#This Row],[Lucro Líquido]]/Tabela2[[#This Row],[Lucro Anterior]]-1,0))</f>
        <v>-9.4829076023192793E-2</v>
      </c>
    </row>
    <row r="140" spans="1:13" x14ac:dyDescent="0.2">
      <c r="A140" s="14" t="s">
        <v>23</v>
      </c>
      <c r="B140" s="4">
        <v>2011</v>
      </c>
      <c r="C140" s="5">
        <v>904348943.24000001</v>
      </c>
      <c r="D140" s="8">
        <f>SUMPRODUCT(N(Tabela3[PAPEL]=Tabela2[[#This Row],[Ativo]]),Tabela3[Total Ações])</f>
        <v>408974477</v>
      </c>
      <c r="E140" s="65">
        <f>(Tabela2[[#This Row],[Lucro Líquido]])/Tabela2[[#This Row],[Total Ações]]</f>
        <v>2.2112601008106432</v>
      </c>
      <c r="F140" s="65">
        <v>0.84058699999999997</v>
      </c>
      <c r="G140" s="45">
        <f>IF(AND(Tabela2[[#This Row],[Dividendo / Ação]]&gt;0,Tabela2[[#This Row],[Lucro por ação]]&gt;0),Tabela2[[#This Row],[Dividendo / Ação]]/Tabela2[[#This Row],[Lucro por ação]],"")</f>
        <v>0.3801393602190184</v>
      </c>
      <c r="H140" s="6">
        <f>MAX(Tabela2[[#This Row],[Cotação 1]],Tabela2[[#This Row],[Cotação 2]])</f>
        <v>11.85</v>
      </c>
      <c r="I140" s="19">
        <f>IF(Tabela2[[#This Row],[Dividendo / Ação]]&gt;0,Tabela2[[#This Row],[Dividendo / Ação]]/Tabela2[[#This Row],[Cotação]],"")</f>
        <v>7.0935611814345989E-2</v>
      </c>
      <c r="J140" s="60">
        <f>SUMPRODUCT(N(Tabela1[Código]=Tabela2[[#This Row],[Ativo]]),Tabela1[Fechamento])</f>
        <v>11.85</v>
      </c>
      <c r="K140" s="60">
        <f>SUMPRODUCT(N(Tabela17[Código]=Tabela2[[#This Row],[Ativo]]),Tabela17[Fechamento])</f>
        <v>0</v>
      </c>
      <c r="L140" s="60">
        <f>SUMPRODUCT(N(Tabela2[Ativo]=Tabela2[[#This Row],[Ativo]]),N(Tabela2[Exercício]=Tabela2[[#This Row],[Exercício]]-1),Tabela2[Lucro Líquido])</f>
        <v>0</v>
      </c>
      <c r="M140" s="19" t="str">
        <f>IF(Tabela2[[#This Row],[Lucro Anterior]]=0,"",IF(Tabela2[[#This Row],[Lucro Líquido]]&gt;0,Tabela2[[#This Row],[Lucro Líquido]]/Tabela2[[#This Row],[Lucro Anterior]]-1,0))</f>
        <v/>
      </c>
    </row>
    <row r="141" spans="1:13" x14ac:dyDescent="0.2">
      <c r="A141" s="15" t="s">
        <v>241</v>
      </c>
      <c r="B141" s="3">
        <v>2012</v>
      </c>
      <c r="C141" s="5">
        <v>215388793.88999999</v>
      </c>
      <c r="D141" s="61">
        <f>SUMPRODUCT(N(Tabela3[PAPEL]=Tabela2[[#This Row],[Ativo]]),Tabela3[Total Ações])</f>
        <v>36304650</v>
      </c>
      <c r="E141" s="64">
        <f>(Tabela2[[#This Row],[Lucro Líquido]])/Tabela2[[#This Row],[Total Ações]]</f>
        <v>5.9328156004809296</v>
      </c>
      <c r="F141" s="64">
        <v>1.375</v>
      </c>
      <c r="G141" s="22">
        <f>IF(AND(Tabela2[[#This Row],[Dividendo / Ação]]&gt;0,Tabela2[[#This Row],[Lucro por ação]]&gt;0),Tabela2[[#This Row],[Dividendo / Ação]]/Tabela2[[#This Row],[Lucro por ação]],"")</f>
        <v>0.23176179618468826</v>
      </c>
      <c r="H141" s="5">
        <f>MAX(Tabela2[[#This Row],[Cotação 1]],Tabela2[[#This Row],[Cotação 2]])</f>
        <v>27.5</v>
      </c>
      <c r="I141" s="18">
        <f>IF(Tabela2[[#This Row],[Dividendo / Ação]]&gt;0,Tabela2[[#This Row],[Dividendo / Ação]]/Tabela2[[#This Row],[Cotação]],"")</f>
        <v>0.05</v>
      </c>
      <c r="J141" s="59">
        <f>SUMPRODUCT(N(Tabela1[Código]=Tabela2[[#This Row],[Ativo]]),Tabela1[Fechamento])</f>
        <v>27.5</v>
      </c>
      <c r="K141" s="59">
        <f>SUMPRODUCT(N(Tabela17[Código]=Tabela2[[#This Row],[Ativo]]),Tabela17[Fechamento])</f>
        <v>0</v>
      </c>
      <c r="L141" s="59">
        <f>SUMPRODUCT(N(Tabela2[Ativo]=Tabela2[[#This Row],[Ativo]]),N(Tabela2[Exercício]=Tabela2[[#This Row],[Exercício]]-1),Tabela2[Lucro Líquido])</f>
        <v>96039575.989999995</v>
      </c>
      <c r="M141" s="18">
        <f>IF(Tabela2[[#This Row],[Lucro Anterior]]=0,"",IF(Tabela2[[#This Row],[Lucro Líquido]]&gt;0,Tabela2[[#This Row],[Lucro Líquido]]/Tabela2[[#This Row],[Lucro Anterior]]-1,0))</f>
        <v>1.2427087132540766</v>
      </c>
    </row>
    <row r="142" spans="1:13" x14ac:dyDescent="0.2">
      <c r="A142" s="15" t="s">
        <v>241</v>
      </c>
      <c r="B142" s="3">
        <v>2011</v>
      </c>
      <c r="C142" s="5">
        <v>96039575.989999995</v>
      </c>
      <c r="D142" s="61">
        <f>SUMPRODUCT(N(Tabela3[PAPEL]=Tabela2[[#This Row],[Ativo]]),Tabela3[Total Ações])</f>
        <v>36304650</v>
      </c>
      <c r="E142" s="64">
        <f>(Tabela2[[#This Row],[Lucro Líquido]])/Tabela2[[#This Row],[Total Ações]]</f>
        <v>2.6453794759073559</v>
      </c>
      <c r="F142" s="64">
        <v>0.59060447900000002</v>
      </c>
      <c r="G142" s="22">
        <f>IF(AND(Tabela2[[#This Row],[Dividendo / Ação]]&gt;0,Tabela2[[#This Row],[Lucro por ação]]&gt;0),Tabela2[[#This Row],[Dividendo / Ação]]/Tabela2[[#This Row],[Lucro por ação]],"")</f>
        <v>0.22325888757318069</v>
      </c>
      <c r="H142" s="5">
        <f>MAX(Tabela2[[#This Row],[Cotação 1]],Tabela2[[#This Row],[Cotação 2]])</f>
        <v>27.5</v>
      </c>
      <c r="I142" s="18">
        <f>IF(Tabela2[[#This Row],[Dividendo / Ação]]&gt;0,Tabela2[[#This Row],[Dividendo / Ação]]/Tabela2[[#This Row],[Cotação]],"")</f>
        <v>2.1476526509090911E-2</v>
      </c>
      <c r="J142" s="59">
        <f>SUMPRODUCT(N(Tabela1[Código]=Tabela2[[#This Row],[Ativo]]),Tabela1[Fechamento])</f>
        <v>27.5</v>
      </c>
      <c r="K142" s="59">
        <f>SUMPRODUCT(N(Tabela17[Código]=Tabela2[[#This Row],[Ativo]]),Tabela17[Fechamento])</f>
        <v>0</v>
      </c>
      <c r="L142" s="59">
        <f>SUMPRODUCT(N(Tabela2[Ativo]=Tabela2[[#This Row],[Ativo]]),N(Tabela2[Exercício]=Tabela2[[#This Row],[Exercício]]-1),Tabela2[Lucro Líquido])</f>
        <v>196040834.49000001</v>
      </c>
      <c r="M142" s="18">
        <f>IF(Tabela2[[#This Row],[Lucro Anterior]]=0,"",IF(Tabela2[[#This Row],[Lucro Líquido]]&gt;0,Tabela2[[#This Row],[Lucro Líquido]]/Tabela2[[#This Row],[Lucro Anterior]]-1,0))</f>
        <v>-0.51010422782658094</v>
      </c>
    </row>
    <row r="143" spans="1:13" x14ac:dyDescent="0.2">
      <c r="A143" s="15" t="s">
        <v>241</v>
      </c>
      <c r="B143" s="3">
        <v>2010</v>
      </c>
      <c r="C143" s="6">
        <v>196040834.49000001</v>
      </c>
      <c r="D143" s="61">
        <f>SUMPRODUCT(N(Tabela3[PAPEL]=Tabela2[[#This Row],[Ativo]]),Tabela3[Total Ações])</f>
        <v>36304650</v>
      </c>
      <c r="E143" s="64">
        <f>(Tabela2[[#This Row],[Lucro Líquido]])/Tabela2[[#This Row],[Total Ações]]</f>
        <v>5.3998822324412989</v>
      </c>
      <c r="F143" s="64">
        <v>0.52209249599999996</v>
      </c>
      <c r="G143" s="22">
        <f>IF(AND(Tabela2[[#This Row],[Dividendo / Ação]]&gt;0,Tabela2[[#This Row],[Lucro por ação]]&gt;0),Tabela2[[#This Row],[Dividendo / Ação]]/Tabela2[[#This Row],[Lucro por ação]],"")</f>
        <v>9.6685904159795125E-2</v>
      </c>
      <c r="H143" s="5">
        <f>MAX(Tabela2[[#This Row],[Cotação 1]],Tabela2[[#This Row],[Cotação 2]])</f>
        <v>27.5</v>
      </c>
      <c r="I143" s="18">
        <f>IF(Tabela2[[#This Row],[Dividendo / Ação]]&gt;0,Tabela2[[#This Row],[Dividendo / Ação]]/Tabela2[[#This Row],[Cotação]],"")</f>
        <v>1.898518167272727E-2</v>
      </c>
      <c r="J143" s="59">
        <f>SUMPRODUCT(N(Tabela1[Código]=Tabela2[[#This Row],[Ativo]]),Tabela1[Fechamento])</f>
        <v>27.5</v>
      </c>
      <c r="K143" s="59">
        <f>SUMPRODUCT(N(Tabela17[Código]=Tabela2[[#This Row],[Ativo]]),Tabela17[Fechamento])</f>
        <v>0</v>
      </c>
      <c r="L143" s="59">
        <f>SUMPRODUCT(N(Tabela2[Ativo]=Tabela2[[#This Row],[Ativo]]),N(Tabela2[Exercício]=Tabela2[[#This Row],[Exercício]]-1),Tabela2[Lucro Líquido])</f>
        <v>190454809.5</v>
      </c>
      <c r="M143" s="18">
        <f>IF(Tabela2[[#This Row],[Lucro Anterior]]=0,"",IF(Tabela2[[#This Row],[Lucro Líquido]]&gt;0,Tabela2[[#This Row],[Lucro Líquido]]/Tabela2[[#This Row],[Lucro Anterior]]-1,0))</f>
        <v>2.9329923485077458E-2</v>
      </c>
    </row>
    <row r="144" spans="1:13" x14ac:dyDescent="0.2">
      <c r="A144" s="15" t="s">
        <v>241</v>
      </c>
      <c r="B144" s="3">
        <v>2009</v>
      </c>
      <c r="C144" s="5">
        <v>190454809.5</v>
      </c>
      <c r="D144" s="61">
        <f>SUMPRODUCT(N(Tabela3[PAPEL]=Tabela2[[#This Row],[Ativo]]),Tabela3[Total Ações])</f>
        <v>36304650</v>
      </c>
      <c r="E144" s="64">
        <f>(Tabela2[[#This Row],[Lucro Líquido]])/Tabela2[[#This Row],[Total Ações]]</f>
        <v>5.2460169565055716</v>
      </c>
      <c r="F144" s="64">
        <v>0.18859646699999999</v>
      </c>
      <c r="G144" s="22">
        <f>IF(AND(Tabela2[[#This Row],[Dividendo / Ação]]&gt;0,Tabela2[[#This Row],[Lucro por ação]]&gt;0),Tabela2[[#This Row],[Dividendo / Ação]]/Tabela2[[#This Row],[Lucro por ação]],"")</f>
        <v>3.5950411247932017E-2</v>
      </c>
      <c r="H144" s="5">
        <f>MAX(Tabela2[[#This Row],[Cotação 1]],Tabela2[[#This Row],[Cotação 2]])</f>
        <v>27.5</v>
      </c>
      <c r="I144" s="18">
        <f>IF(Tabela2[[#This Row],[Dividendo / Ação]]&gt;0,Tabela2[[#This Row],[Dividendo / Ação]]/Tabela2[[#This Row],[Cotação]],"")</f>
        <v>6.8580533454545454E-3</v>
      </c>
      <c r="J144" s="59">
        <f>SUMPRODUCT(N(Tabela1[Código]=Tabela2[[#This Row],[Ativo]]),Tabela1[Fechamento])</f>
        <v>27.5</v>
      </c>
      <c r="K144" s="59">
        <f>SUMPRODUCT(N(Tabela17[Código]=Tabela2[[#This Row],[Ativo]]),Tabela17[Fechamento])</f>
        <v>0</v>
      </c>
      <c r="L144" s="59">
        <f>SUMPRODUCT(N(Tabela2[Ativo]=Tabela2[[#This Row],[Ativo]]),N(Tabela2[Exercício]=Tabela2[[#This Row],[Exercício]]-1),Tabela2[Lucro Líquido])</f>
        <v>0</v>
      </c>
      <c r="M144" s="18" t="str">
        <f>IF(Tabela2[[#This Row],[Lucro Anterior]]=0,"",IF(Tabela2[[#This Row],[Lucro Líquido]]&gt;0,Tabela2[[#This Row],[Lucro Líquido]]/Tabela2[[#This Row],[Lucro Anterior]]-1,0))</f>
        <v/>
      </c>
    </row>
    <row r="145" spans="1:14" x14ac:dyDescent="0.2">
      <c r="A145" s="14" t="s">
        <v>242</v>
      </c>
      <c r="B145" s="4">
        <v>2012</v>
      </c>
      <c r="C145" s="5">
        <v>215388793.88999999</v>
      </c>
      <c r="D145" s="8">
        <f>SUMPRODUCT(N(Tabela3[PAPEL]=Tabela2[[#This Row],[Ativo]]),Tabela3[Total Ações])</f>
        <v>36304650</v>
      </c>
      <c r="E145" s="65">
        <f>(Tabela2[[#This Row],[Lucro Líquido]])/Tabela2[[#This Row],[Total Ações]]</f>
        <v>5.9328156004809296</v>
      </c>
      <c r="F145" s="65">
        <v>1.5129999999999999</v>
      </c>
      <c r="G145" s="45">
        <f>IF(AND(Tabela2[[#This Row],[Dividendo / Ação]]&gt;0,Tabela2[[#This Row],[Lucro por ação]]&gt;0),Tabela2[[#This Row],[Dividendo / Ação]]/Tabela2[[#This Row],[Lucro por ação]],"")</f>
        <v>0.2550222528199515</v>
      </c>
      <c r="H145" s="6">
        <f>MAX(Tabela2[[#This Row],[Cotação 1]],Tabela2[[#This Row],[Cotação 2]])</f>
        <v>29.99</v>
      </c>
      <c r="I145" s="19">
        <f>IF(Tabela2[[#This Row],[Dividendo / Ação]]&gt;0,Tabela2[[#This Row],[Dividendo / Ação]]/Tabela2[[#This Row],[Cotação]],"")</f>
        <v>5.0450150050016671E-2</v>
      </c>
      <c r="J145" s="60">
        <f>SUMPRODUCT(N(Tabela1[Código]=Tabela2[[#This Row],[Ativo]]),Tabela1[Fechamento])</f>
        <v>29.99</v>
      </c>
      <c r="K145" s="60">
        <f>SUMPRODUCT(N(Tabela17[Código]=Tabela2[[#This Row],[Ativo]]),Tabela17[Fechamento])</f>
        <v>0</v>
      </c>
      <c r="L145" s="60">
        <f>SUMPRODUCT(N(Tabela2[Ativo]=Tabela2[[#This Row],[Ativo]]),N(Tabela2[Exercício]=Tabela2[[#This Row],[Exercício]]-1),Tabela2[Lucro Líquido])</f>
        <v>96039575.989999995</v>
      </c>
      <c r="M145" s="19">
        <f>IF(Tabela2[[#This Row],[Lucro Anterior]]=0,"",IF(Tabela2[[#This Row],[Lucro Líquido]]&gt;0,Tabela2[[#This Row],[Lucro Líquido]]/Tabela2[[#This Row],[Lucro Anterior]]-1,0))</f>
        <v>1.2427087132540766</v>
      </c>
    </row>
    <row r="146" spans="1:14" x14ac:dyDescent="0.2">
      <c r="A146" s="14" t="s">
        <v>242</v>
      </c>
      <c r="B146" s="4">
        <v>2011</v>
      </c>
      <c r="C146" s="5">
        <v>96039575.989999995</v>
      </c>
      <c r="D146" s="8">
        <f>SUMPRODUCT(N(Tabela3[PAPEL]=Tabela2[[#This Row],[Ativo]]),Tabela3[Total Ações])</f>
        <v>36304650</v>
      </c>
      <c r="E146" s="65">
        <f>(Tabela2[[#This Row],[Lucro Líquido]])/Tabela2[[#This Row],[Total Ações]]</f>
        <v>2.6453794759073559</v>
      </c>
      <c r="F146" s="65">
        <v>0.649664927</v>
      </c>
      <c r="G146" s="45">
        <f>IF(AND(Tabela2[[#This Row],[Dividendo / Ação]]&gt;0,Tabela2[[#This Row],[Lucro por ação]]&gt;0),Tabela2[[#This Row],[Dividendo / Ação]]/Tabela2[[#This Row],[Lucro por ação]],"")</f>
        <v>0.24558477636830051</v>
      </c>
      <c r="H146" s="6">
        <f>MAX(Tabela2[[#This Row],[Cotação 1]],Tabela2[[#This Row],[Cotação 2]])</f>
        <v>29.99</v>
      </c>
      <c r="I146" s="19">
        <f>IF(Tabela2[[#This Row],[Dividendo / Ação]]&gt;0,Tabela2[[#This Row],[Dividendo / Ação]]/Tabela2[[#This Row],[Cotação]],"")</f>
        <v>2.1662718472824277E-2</v>
      </c>
      <c r="J146" s="60">
        <f>SUMPRODUCT(N(Tabela1[Código]=Tabela2[[#This Row],[Ativo]]),Tabela1[Fechamento])</f>
        <v>29.99</v>
      </c>
      <c r="K146" s="60">
        <f>SUMPRODUCT(N(Tabela17[Código]=Tabela2[[#This Row],[Ativo]]),Tabela17[Fechamento])</f>
        <v>0</v>
      </c>
      <c r="L146" s="60">
        <f>SUMPRODUCT(N(Tabela2[Ativo]=Tabela2[[#This Row],[Ativo]]),N(Tabela2[Exercício]=Tabela2[[#This Row],[Exercício]]-1),Tabela2[Lucro Líquido])</f>
        <v>196040834.49000001</v>
      </c>
      <c r="M146" s="19">
        <f>IF(Tabela2[[#This Row],[Lucro Anterior]]=0,"",IF(Tabela2[[#This Row],[Lucro Líquido]]&gt;0,Tabela2[[#This Row],[Lucro Líquido]]/Tabela2[[#This Row],[Lucro Anterior]]-1,0))</f>
        <v>-0.51010422782658094</v>
      </c>
    </row>
    <row r="147" spans="1:14" x14ac:dyDescent="0.2">
      <c r="A147" s="14" t="s">
        <v>242</v>
      </c>
      <c r="B147" s="4">
        <v>2010</v>
      </c>
      <c r="C147" s="6">
        <v>196040834.49000001</v>
      </c>
      <c r="D147" s="8">
        <f>SUMPRODUCT(N(Tabela3[PAPEL]=Tabela2[[#This Row],[Ativo]]),Tabela3[Total Ações])</f>
        <v>36304650</v>
      </c>
      <c r="E147" s="65">
        <f>(Tabela2[[#This Row],[Lucro Líquido]])/Tabela2[[#This Row],[Total Ações]]</f>
        <v>5.3998822324412989</v>
      </c>
      <c r="F147" s="65">
        <v>1.954906128</v>
      </c>
      <c r="G147" s="45">
        <f>IF(AND(Tabela2[[#This Row],[Dividendo / Ação]]&gt;0,Tabela2[[#This Row],[Lucro por ação]]&gt;0),Tabela2[[#This Row],[Dividendo / Ação]]/Tabela2[[#This Row],[Lucro por ação]],"")</f>
        <v>0.3620275487223325</v>
      </c>
      <c r="H147" s="6">
        <f>MAX(Tabela2[[#This Row],[Cotação 1]],Tabela2[[#This Row],[Cotação 2]])</f>
        <v>29.99</v>
      </c>
      <c r="I147" s="19">
        <f>IF(Tabela2[[#This Row],[Dividendo / Ação]]&gt;0,Tabela2[[#This Row],[Dividendo / Ação]]/Tabela2[[#This Row],[Cotação]],"")</f>
        <v>6.5185266022007332E-2</v>
      </c>
      <c r="J147" s="60">
        <f>SUMPRODUCT(N(Tabela1[Código]=Tabela2[[#This Row],[Ativo]]),Tabela1[Fechamento])</f>
        <v>29.99</v>
      </c>
      <c r="K147" s="60">
        <f>SUMPRODUCT(N(Tabela17[Código]=Tabela2[[#This Row],[Ativo]]),Tabela17[Fechamento])</f>
        <v>0</v>
      </c>
      <c r="L147" s="60">
        <f>SUMPRODUCT(N(Tabela2[Ativo]=Tabela2[[#This Row],[Ativo]]),N(Tabela2[Exercício]=Tabela2[[#This Row],[Exercício]]-1),Tabela2[Lucro Líquido])</f>
        <v>190454809.5</v>
      </c>
      <c r="M147" s="19">
        <f>IF(Tabela2[[#This Row],[Lucro Anterior]]=0,"",IF(Tabela2[[#This Row],[Lucro Líquido]]&gt;0,Tabela2[[#This Row],[Lucro Líquido]]/Tabela2[[#This Row],[Lucro Anterior]]-1,0))</f>
        <v>2.9329923485077458E-2</v>
      </c>
    </row>
    <row r="148" spans="1:14" x14ac:dyDescent="0.2">
      <c r="A148" s="14" t="s">
        <v>242</v>
      </c>
      <c r="B148" s="4">
        <v>2009</v>
      </c>
      <c r="C148" s="5">
        <v>190454809.5</v>
      </c>
      <c r="D148" s="8">
        <f>SUMPRODUCT(N(Tabela3[PAPEL]=Tabela2[[#This Row],[Ativo]]),Tabela3[Total Ações])</f>
        <v>36304650</v>
      </c>
      <c r="E148" s="65">
        <f>(Tabela2[[#This Row],[Lucro Líquido]])/Tabela2[[#This Row],[Total Ações]]</f>
        <v>5.2460169565055716</v>
      </c>
      <c r="F148" s="65">
        <v>1.4895923250000001</v>
      </c>
      <c r="G148" s="45">
        <f>IF(AND(Tabela2[[#This Row],[Dividendo / Ação]]&gt;0,Tabela2[[#This Row],[Lucro por ação]]&gt;0),Tabela2[[#This Row],[Dividendo / Ação]]/Tabela2[[#This Row],[Lucro por ação]],"")</f>
        <v>0.28394729512888067</v>
      </c>
      <c r="H148" s="6">
        <f>MAX(Tabela2[[#This Row],[Cotação 1]],Tabela2[[#This Row],[Cotação 2]])</f>
        <v>29.99</v>
      </c>
      <c r="I148" s="19">
        <f>IF(Tabela2[[#This Row],[Dividendo / Ação]]&gt;0,Tabela2[[#This Row],[Dividendo / Ação]]/Tabela2[[#This Row],[Cotação]],"")</f>
        <v>4.9669634044681568E-2</v>
      </c>
      <c r="J148" s="60">
        <f>SUMPRODUCT(N(Tabela1[Código]=Tabela2[[#This Row],[Ativo]]),Tabela1[Fechamento])</f>
        <v>29.99</v>
      </c>
      <c r="K148" s="60">
        <f>SUMPRODUCT(N(Tabela17[Código]=Tabela2[[#This Row],[Ativo]]),Tabela17[Fechamento])</f>
        <v>0</v>
      </c>
      <c r="L148" s="60">
        <f>SUMPRODUCT(N(Tabela2[Ativo]=Tabela2[[#This Row],[Ativo]]),N(Tabela2[Exercício]=Tabela2[[#This Row],[Exercício]]-1),Tabela2[Lucro Líquido])</f>
        <v>0</v>
      </c>
      <c r="M148" s="19" t="str">
        <f>IF(Tabela2[[#This Row],[Lucro Anterior]]=0,"",IF(Tabela2[[#This Row],[Lucro Líquido]]&gt;0,Tabela2[[#This Row],[Lucro Líquido]]/Tabela2[[#This Row],[Lucro Anterior]]-1,0))</f>
        <v/>
      </c>
    </row>
    <row r="149" spans="1:14" x14ac:dyDescent="0.2">
      <c r="A149" s="4" t="s">
        <v>195</v>
      </c>
      <c r="B149" s="4">
        <v>2012</v>
      </c>
      <c r="C149" s="6">
        <v>21418024.760000002</v>
      </c>
      <c r="D149" s="8">
        <f>SUMPRODUCT(N(Tabela3[PAPEL]=Tabela2[[#This Row],[Ativo]]),Tabela3[Total Ações])</f>
        <v>715094432</v>
      </c>
      <c r="E149" s="65">
        <f>(Tabela2[[#This Row],[Lucro Líquido]])/Tabela2[[#This Row],[Total Ações]]</f>
        <v>2.995132363161793E-2</v>
      </c>
      <c r="F149" s="65">
        <v>7.6962999999999997E-3</v>
      </c>
      <c r="G149" s="45">
        <f>IF(AND(Tabela2[[#This Row],[Dividendo / Ação]]&gt;0,Tabela2[[#This Row],[Lucro por ação]]&gt;0),Tabela2[[#This Row],[Dividendo / Ação]]/Tabela2[[#This Row],[Lucro por ação]],"")</f>
        <v>0.25696026308084252</v>
      </c>
      <c r="H149" s="6">
        <f>MAX(Tabela2[[#This Row],[Cotação 1]],Tabela2[[#This Row],[Cotação 2]])</f>
        <v>4.12</v>
      </c>
      <c r="I149" s="19">
        <f>IF(Tabela2[[#This Row],[Dividendo / Ação]]&gt;0,Tabela2[[#This Row],[Dividendo / Ação]]/Tabela2[[#This Row],[Cotação]],"")</f>
        <v>1.8680339805825241E-3</v>
      </c>
      <c r="J149" s="60">
        <f>SUMPRODUCT(N(Tabela1[Código]=Tabela2[[#This Row],[Ativo]]),Tabela1[Fechamento])</f>
        <v>4.12</v>
      </c>
      <c r="K149" s="60">
        <f>SUMPRODUCT(N(Tabela17[Código]=Tabela2[[#This Row],[Ativo]]),Tabela17[Fechamento])</f>
        <v>0</v>
      </c>
      <c r="L149" s="60">
        <f>SUMPRODUCT(N(Tabela2[Ativo]=Tabela2[[#This Row],[Ativo]]),N(Tabela2[Exercício]=Tabela2[[#This Row],[Exercício]]-1),Tabela2[Lucro Líquido])</f>
        <v>7903625</v>
      </c>
      <c r="M149" s="19">
        <f>IF(Tabela2[[#This Row],[Lucro Anterior]]=0,"",IF(Tabela2[[#This Row],[Lucro Líquido]]&gt;0,Tabela2[[#This Row],[Lucro Líquido]]/Tabela2[[#This Row],[Lucro Anterior]]-1,0))</f>
        <v>1.7098989084122795</v>
      </c>
    </row>
    <row r="150" spans="1:14" x14ac:dyDescent="0.2">
      <c r="A150" s="4" t="s">
        <v>195</v>
      </c>
      <c r="B150" s="4">
        <v>2011</v>
      </c>
      <c r="C150" s="6">
        <v>7903625</v>
      </c>
      <c r="D150" s="8">
        <f>SUMPRODUCT(N(Tabela3[PAPEL]=Tabela2[[#This Row],[Ativo]]),Tabela3[Total Ações])</f>
        <v>715094432</v>
      </c>
      <c r="E150" s="65">
        <f>(Tabela2[[#This Row],[Lucro Líquido]])/Tabela2[[#This Row],[Total Ações]]</f>
        <v>1.1052561237115044E-2</v>
      </c>
      <c r="F150" s="65">
        <v>3.2377399999999998E-3</v>
      </c>
      <c r="G150" s="45">
        <f>IF(AND(Tabela2[[#This Row],[Dividendo / Ação]]&gt;0,Tabela2[[#This Row],[Lucro por ação]]&gt;0),Tabela2[[#This Row],[Dividendo / Ação]]/Tabela2[[#This Row],[Lucro por ação]],"")</f>
        <v>0.29294024530056523</v>
      </c>
      <c r="H150" s="6">
        <f>MAX(Tabela2[[#This Row],[Cotação 1]],Tabela2[[#This Row],[Cotação 2]])</f>
        <v>4.12</v>
      </c>
      <c r="I150" s="19">
        <f>IF(Tabela2[[#This Row],[Dividendo / Ação]]&gt;0,Tabela2[[#This Row],[Dividendo / Ação]]/Tabela2[[#This Row],[Cotação]],"")</f>
        <v>7.8585922330097078E-4</v>
      </c>
      <c r="J150" s="60">
        <f>SUMPRODUCT(N(Tabela1[Código]=Tabela2[[#This Row],[Ativo]]),Tabela1[Fechamento])</f>
        <v>4.12</v>
      </c>
      <c r="K150" s="60">
        <f>SUMPRODUCT(N(Tabela17[Código]=Tabela2[[#This Row],[Ativo]]),Tabela17[Fechamento])</f>
        <v>0</v>
      </c>
      <c r="L150" s="60">
        <f>SUMPRODUCT(N(Tabela2[Ativo]=Tabela2[[#This Row],[Ativo]]),N(Tabela2[Exercício]=Tabela2[[#This Row],[Exercício]]-1),Tabela2[Lucro Líquido])</f>
        <v>-11477601</v>
      </c>
      <c r="M150" s="19">
        <f>IF(Tabela2[[#This Row],[Lucro Anterior]]=0,"",IF(Tabela2[[#This Row],[Lucro Líquido]]&gt;0,Tabela2[[#This Row],[Lucro Líquido]]/Tabela2[[#This Row],[Lucro Anterior]]-1,0))</f>
        <v>-1.688612977572578</v>
      </c>
    </row>
    <row r="151" spans="1:14" x14ac:dyDescent="0.2">
      <c r="A151" s="4" t="s">
        <v>195</v>
      </c>
      <c r="B151" s="4">
        <v>2010</v>
      </c>
      <c r="C151" s="6">
        <v>-11477601</v>
      </c>
      <c r="D151" s="8">
        <f>SUMPRODUCT(N(Tabela3[PAPEL]=Tabela2[[#This Row],[Ativo]]),Tabela3[Total Ações])</f>
        <v>715094432</v>
      </c>
      <c r="E151" s="65">
        <f>(Tabela2[[#This Row],[Lucro Líquido]])/Tabela2[[#This Row],[Total Ações]]</f>
        <v>-1.6050468981976356E-2</v>
      </c>
      <c r="F151" s="65">
        <v>0</v>
      </c>
      <c r="G151" s="45" t="str">
        <f>IF(AND(Tabela2[[#This Row],[Dividendo / Ação]]&gt;0,Tabela2[[#This Row],[Lucro por ação]]&gt;0),Tabela2[[#This Row],[Dividendo / Ação]]/Tabela2[[#This Row],[Lucro por ação]],"")</f>
        <v/>
      </c>
      <c r="H151" s="6">
        <f>MAX(Tabela2[[#This Row],[Cotação 1]],Tabela2[[#This Row],[Cotação 2]])</f>
        <v>4.12</v>
      </c>
      <c r="I151" s="19" t="str">
        <f>IF(Tabela2[[#This Row],[Dividendo / Ação]]&gt;0,Tabela2[[#This Row],[Dividendo / Ação]]/Tabela2[[#This Row],[Cotação]],"")</f>
        <v/>
      </c>
      <c r="J151" s="60">
        <f>SUMPRODUCT(N(Tabela1[Código]=Tabela2[[#This Row],[Ativo]]),Tabela1[Fechamento])</f>
        <v>4.12</v>
      </c>
      <c r="K151" s="60">
        <f>SUMPRODUCT(N(Tabela17[Código]=Tabela2[[#This Row],[Ativo]]),Tabela17[Fechamento])</f>
        <v>0</v>
      </c>
      <c r="L151" s="60">
        <f>SUMPRODUCT(N(Tabela2[Ativo]=Tabela2[[#This Row],[Ativo]]),N(Tabela2[Exercício]=Tabela2[[#This Row],[Exercício]]-1),Tabela2[Lucro Líquido])</f>
        <v>32515448</v>
      </c>
      <c r="M151" s="19">
        <f>IF(Tabela2[[#This Row],[Lucro Anterior]]=0,"",IF(Tabela2[[#This Row],[Lucro Líquido]]&gt;0,Tabela2[[#This Row],[Lucro Líquido]]/Tabela2[[#This Row],[Lucro Anterior]]-1,0))</f>
        <v>0</v>
      </c>
    </row>
    <row r="152" spans="1:14" x14ac:dyDescent="0.2">
      <c r="A152" s="4" t="s">
        <v>195</v>
      </c>
      <c r="B152" s="4">
        <v>2009</v>
      </c>
      <c r="C152" s="6">
        <v>32515448</v>
      </c>
      <c r="D152" s="8">
        <f>SUMPRODUCT(N(Tabela3[PAPEL]=Tabela2[[#This Row],[Ativo]]),Tabela3[Total Ações])</f>
        <v>715094432</v>
      </c>
      <c r="E152" s="65">
        <f>(Tabela2[[#This Row],[Lucro Líquido]])/Tabela2[[#This Row],[Total Ações]]</f>
        <v>4.5470145682801236E-2</v>
      </c>
      <c r="F152" s="65">
        <v>1.1338000000000001E-2</v>
      </c>
      <c r="G152" s="45">
        <f>IF(AND(Tabela2[[#This Row],[Dividendo / Ação]]&gt;0,Tabela2[[#This Row],[Lucro por ação]]&gt;0),Tabela2[[#This Row],[Dividendo / Ação]]/Tabela2[[#This Row],[Lucro por ação]],"")</f>
        <v>0.24935042168313351</v>
      </c>
      <c r="H152" s="6">
        <f>MAX(Tabela2[[#This Row],[Cotação 1]],Tabela2[[#This Row],[Cotação 2]])</f>
        <v>4.12</v>
      </c>
      <c r="I152" s="19">
        <f>IF(Tabela2[[#This Row],[Dividendo / Ação]]&gt;0,Tabela2[[#This Row],[Dividendo / Ação]]/Tabela2[[#This Row],[Cotação]],"")</f>
        <v>2.7519417475728157E-3</v>
      </c>
      <c r="J152" s="60">
        <f>SUMPRODUCT(N(Tabela1[Código]=Tabela2[[#This Row],[Ativo]]),Tabela1[Fechamento])</f>
        <v>4.12</v>
      </c>
      <c r="K152" s="60">
        <f>SUMPRODUCT(N(Tabela17[Código]=Tabela2[[#This Row],[Ativo]]),Tabela17[Fechamento])</f>
        <v>0</v>
      </c>
      <c r="L152" s="60">
        <f>SUMPRODUCT(N(Tabela2[Ativo]=Tabela2[[#This Row],[Ativo]]),N(Tabela2[Exercício]=Tabela2[[#This Row],[Exercício]]-1),Tabela2[Lucro Líquido])</f>
        <v>0</v>
      </c>
      <c r="M152" s="19" t="str">
        <f>IF(Tabela2[[#This Row],[Lucro Anterior]]=0,"",IF(Tabela2[[#This Row],[Lucro Líquido]]&gt;0,Tabela2[[#This Row],[Lucro Líquido]]/Tabela2[[#This Row],[Lucro Anterior]]-1,0))</f>
        <v/>
      </c>
    </row>
    <row r="153" spans="1:14" x14ac:dyDescent="0.2">
      <c r="A153" s="4" t="s">
        <v>414</v>
      </c>
      <c r="B153" s="4">
        <v>2012</v>
      </c>
      <c r="C153" s="81">
        <v>153035960.99000001</v>
      </c>
      <c r="D153" s="77">
        <f>SUMPRODUCT(N(Tabela3[PAPEL]=Tabela2[[#This Row],[Ativo]]),Tabela3[Total Ações])</f>
        <v>83000000</v>
      </c>
      <c r="E153" s="65">
        <f>(Tabela2[[#This Row],[Lucro Líquido]])/Tabela2[[#This Row],[Total Ações]]</f>
        <v>1.8438067589156628</v>
      </c>
      <c r="F153" s="65">
        <v>0.87951522900000001</v>
      </c>
      <c r="G153" s="44">
        <f>IF(AND(Tabela2[[#This Row],[Dividendo / Ação]]&gt;0,Tabela2[[#This Row],[Lucro por ação]]&gt;0),Tabela2[[#This Row],[Dividendo / Ação]]/Tabela2[[#This Row],[Lucro por ação]],"")</f>
        <v>0.47701052442027075</v>
      </c>
      <c r="H153" s="60">
        <f>MAX(Tabela2[[#This Row],[Cotação 1]],Tabela2[[#This Row],[Cotação 2]])</f>
        <v>20.6</v>
      </c>
      <c r="I153" s="45">
        <f>IF(Tabela2[[#This Row],[Dividendo / Ação]]&gt;0,Tabela2[[#This Row],[Dividendo / Ação]]/Tabela2[[#This Row],[Cotação]],"")</f>
        <v>4.2694914029126209E-2</v>
      </c>
      <c r="J153" s="17">
        <f>SUMPRODUCT(N(Tabela1[Código]=Tabela2[[#This Row],[Ativo]]),Tabela1[Fechamento])</f>
        <v>0</v>
      </c>
      <c r="K153" s="17">
        <f>SUMPRODUCT(N(Tabela17[Código]=Tabela2[[#This Row],[Ativo]]),Tabela17[Fechamento])</f>
        <v>20.6</v>
      </c>
      <c r="L153" s="17">
        <f>SUMPRODUCT(N(Tabela2[Ativo]=Tabela2[[#This Row],[Ativo]]),N(Tabela2[Exercício]=Tabela2[[#This Row],[Exercício]]-1),Tabela2[Lucro Líquido])</f>
        <v>113733898.18000001</v>
      </c>
      <c r="M153" s="19">
        <f>IF(Tabela2[[#This Row],[Lucro Anterior]]=0,"",IF(Tabela2[[#This Row],[Lucro Líquido]]&gt;0,Tabela2[[#This Row],[Lucro Líquido]]/Tabela2[[#This Row],[Lucro Anterior]]-1,0))</f>
        <v>0.34556155586788129</v>
      </c>
    </row>
    <row r="154" spans="1:14" x14ac:dyDescent="0.2">
      <c r="A154" s="4" t="s">
        <v>414</v>
      </c>
      <c r="B154" s="4">
        <v>2011</v>
      </c>
      <c r="C154" s="6">
        <v>113733898.18000001</v>
      </c>
      <c r="D154" s="77">
        <f>SUMPRODUCT(N(Tabela3[PAPEL]=Tabela2[[#This Row],[Ativo]]),Tabela3[Total Ações])</f>
        <v>83000000</v>
      </c>
      <c r="E154" s="65">
        <f>(Tabela2[[#This Row],[Lucro Líquido]])/Tabela2[[#This Row],[Total Ações]]</f>
        <v>1.3702879298795181</v>
      </c>
      <c r="F154" s="65">
        <v>0</v>
      </c>
      <c r="G154" s="44" t="str">
        <f>IF(AND(Tabela2[[#This Row],[Dividendo / Ação]]&gt;0,Tabela2[[#This Row],[Lucro por ação]]&gt;0),Tabela2[[#This Row],[Dividendo / Ação]]/Tabela2[[#This Row],[Lucro por ação]],"")</f>
        <v/>
      </c>
      <c r="H154" s="60">
        <f>MAX(Tabela2[[#This Row],[Cotação 1]],Tabela2[[#This Row],[Cotação 2]])</f>
        <v>20.6</v>
      </c>
      <c r="I154" s="45" t="str">
        <f>IF(Tabela2[[#This Row],[Dividendo / Ação]]&gt;0,Tabela2[[#This Row],[Dividendo / Ação]]/Tabela2[[#This Row],[Cotação]],"")</f>
        <v/>
      </c>
      <c r="J154" s="17">
        <f>SUMPRODUCT(N(Tabela1[Código]=Tabela2[[#This Row],[Ativo]]),Tabela1[Fechamento])</f>
        <v>0</v>
      </c>
      <c r="K154" s="17">
        <f>SUMPRODUCT(N(Tabela17[Código]=Tabela2[[#This Row],[Ativo]]),Tabela17[Fechamento])</f>
        <v>20.6</v>
      </c>
      <c r="L154" s="17">
        <f>SUMPRODUCT(N(Tabela2[Ativo]=Tabela2[[#This Row],[Ativo]]),N(Tabela2[Exercício]=Tabela2[[#This Row],[Exercício]]-1),Tabela2[Lucro Líquido])</f>
        <v>93892304.709999993</v>
      </c>
      <c r="M154" s="19">
        <f>IF(Tabela2[[#This Row],[Lucro Anterior]]=0,"",IF(Tabela2[[#This Row],[Lucro Líquido]]&gt;0,Tabela2[[#This Row],[Lucro Líquido]]/Tabela2[[#This Row],[Lucro Anterior]]-1,0))</f>
        <v>0.21132289308781638</v>
      </c>
    </row>
    <row r="155" spans="1:14" x14ac:dyDescent="0.2">
      <c r="A155" s="4" t="s">
        <v>414</v>
      </c>
      <c r="B155" s="4">
        <v>2010</v>
      </c>
      <c r="C155" s="6">
        <v>93892304.709999993</v>
      </c>
      <c r="D155" s="77">
        <f>SUMPRODUCT(N(Tabela3[PAPEL]=Tabela2[[#This Row],[Ativo]]),Tabela3[Total Ações])</f>
        <v>83000000</v>
      </c>
      <c r="E155" s="65">
        <f>(Tabela2[[#This Row],[Lucro Líquido]])/Tabela2[[#This Row],[Total Ações]]</f>
        <v>1.1312325868674697</v>
      </c>
      <c r="F155" s="65">
        <v>0</v>
      </c>
      <c r="G155" s="44" t="str">
        <f>IF(AND(Tabela2[[#This Row],[Dividendo / Ação]]&gt;0,Tabela2[[#This Row],[Lucro por ação]]&gt;0),Tabela2[[#This Row],[Dividendo / Ação]]/Tabela2[[#This Row],[Lucro por ação]],"")</f>
        <v/>
      </c>
      <c r="H155" s="60">
        <f>MAX(Tabela2[[#This Row],[Cotação 1]],Tabela2[[#This Row],[Cotação 2]])</f>
        <v>20.6</v>
      </c>
      <c r="I155" s="45" t="str">
        <f>IF(Tabela2[[#This Row],[Dividendo / Ação]]&gt;0,Tabela2[[#This Row],[Dividendo / Ação]]/Tabela2[[#This Row],[Cotação]],"")</f>
        <v/>
      </c>
      <c r="J155" s="17">
        <f>SUMPRODUCT(N(Tabela1[Código]=Tabela2[[#This Row],[Ativo]]),Tabela1[Fechamento])</f>
        <v>0</v>
      </c>
      <c r="K155" s="17">
        <f>SUMPRODUCT(N(Tabela17[Código]=Tabela2[[#This Row],[Ativo]]),Tabela17[Fechamento])</f>
        <v>20.6</v>
      </c>
      <c r="L155" s="17">
        <f>SUMPRODUCT(N(Tabela2[Ativo]=Tabela2[[#This Row],[Ativo]]),N(Tabela2[Exercício]=Tabela2[[#This Row],[Exercício]]-1),Tabela2[Lucro Líquido])</f>
        <v>0</v>
      </c>
      <c r="M155" s="19" t="str">
        <f>IF(Tabela2[[#This Row],[Lucro Anterior]]=0,"",IF(Tabela2[[#This Row],[Lucro Líquido]]&gt;0,Tabela2[[#This Row],[Lucro Líquido]]/Tabela2[[#This Row],[Lucro Anterior]]-1,0))</f>
        <v/>
      </c>
    </row>
    <row r="156" spans="1:14" x14ac:dyDescent="0.2">
      <c r="A156" s="4" t="s">
        <v>95</v>
      </c>
      <c r="B156" s="4">
        <v>2012</v>
      </c>
      <c r="C156" s="6">
        <v>55498182.030000001</v>
      </c>
      <c r="D156" s="8">
        <f>SUMPRODUCT(N(Tabela3[PAPEL]=Tabela2[[#This Row],[Ativo]]),Tabela3[Total Ações])</f>
        <v>9183458</v>
      </c>
      <c r="E156" s="65">
        <f>(Tabela2[[#This Row],[Lucro Líquido]])/Tabela2[[#This Row],[Total Ações]]</f>
        <v>6.0432771653118031</v>
      </c>
      <c r="F156" s="65">
        <v>2.4664000000000001</v>
      </c>
      <c r="G156" s="45">
        <f>IF(AND(Tabela2[[#This Row],[Dividendo / Ação]]&gt;0,Tabela2[[#This Row],[Lucro por ação]]&gt;0),Tabela2[[#This Row],[Dividendo / Ação]]/Tabela2[[#This Row],[Lucro por ação]],"")</f>
        <v>0.40812293272879302</v>
      </c>
      <c r="H156" s="6">
        <f>MAX(Tabela2[[#This Row],[Cotação 1]],Tabela2[[#This Row],[Cotação 2]])</f>
        <v>16.510000000000002</v>
      </c>
      <c r="I156" s="19">
        <f>IF(Tabela2[[#This Row],[Dividendo / Ação]]&gt;0,Tabela2[[#This Row],[Dividendo / Ação]]/Tabela2[[#This Row],[Cotação]],"")</f>
        <v>0.14938824954572985</v>
      </c>
      <c r="J156" s="60">
        <f>SUMPRODUCT(N(Tabela1[Código]=Tabela2[[#This Row],[Ativo]]),Tabela1[Fechamento])</f>
        <v>16.510000000000002</v>
      </c>
      <c r="K156" s="60">
        <f>SUMPRODUCT(N(Tabela17[Código]=Tabela2[[#This Row],[Ativo]]),Tabela17[Fechamento])</f>
        <v>0</v>
      </c>
      <c r="L156" s="60">
        <f>SUMPRODUCT(N(Tabela2[Ativo]=Tabela2[[#This Row],[Ativo]]),N(Tabela2[Exercício]=Tabela2[[#This Row],[Exercício]]-1),Tabela2[Lucro Líquido])</f>
        <v>26190000</v>
      </c>
      <c r="M156" s="19">
        <f>IF(Tabela2[[#This Row],[Lucro Anterior]]=0,"",IF(Tabela2[[#This Row],[Lucro Líquido]]&gt;0,Tabela2[[#This Row],[Lucro Líquido]]/Tabela2[[#This Row],[Lucro Anterior]]-1,0))</f>
        <v>1.1190600240549831</v>
      </c>
    </row>
    <row r="157" spans="1:14" x14ac:dyDescent="0.2">
      <c r="A157" s="4" t="s">
        <v>95</v>
      </c>
      <c r="B157" s="3">
        <v>2011</v>
      </c>
      <c r="C157" s="5">
        <v>26190000</v>
      </c>
      <c r="D157" s="61">
        <f>SUMPRODUCT(N(Tabela3[PAPEL]=Tabela2[[#This Row],[Ativo]]),Tabela3[Total Ações])</f>
        <v>9183458</v>
      </c>
      <c r="E157" s="64">
        <f>(Tabela2[[#This Row],[Lucro Líquido]])/Tabela2[[#This Row],[Total Ações]]</f>
        <v>2.8518669111352173</v>
      </c>
      <c r="F157" s="64">
        <v>0</v>
      </c>
      <c r="G157" s="22" t="str">
        <f>IF(AND(Tabela2[[#This Row],[Dividendo / Ação]]&gt;0,Tabela2[[#This Row],[Lucro por ação]]&gt;0),Tabela2[[#This Row],[Dividendo / Ação]]/Tabela2[[#This Row],[Lucro por ação]],"")</f>
        <v/>
      </c>
      <c r="H157" s="5">
        <f>MAX(Tabela2[[#This Row],[Cotação 1]],Tabela2[[#This Row],[Cotação 2]])</f>
        <v>16.510000000000002</v>
      </c>
      <c r="I157" s="18" t="str">
        <f>IF(Tabela2[[#This Row],[Dividendo / Ação]]&gt;0,Tabela2[[#This Row],[Dividendo / Ação]]/Tabela2[[#This Row],[Cotação]],"")</f>
        <v/>
      </c>
      <c r="J157" s="59">
        <f>SUMPRODUCT(N(Tabela1[Código]=Tabela2[[#This Row],[Ativo]]),Tabela1[Fechamento])</f>
        <v>16.510000000000002</v>
      </c>
      <c r="K157" s="59">
        <f>SUMPRODUCT(N(Tabela17[Código]=Tabela2[[#This Row],[Ativo]]),Tabela17[Fechamento])</f>
        <v>0</v>
      </c>
      <c r="L157" s="59">
        <f>SUMPRODUCT(N(Tabela2[Ativo]=Tabela2[[#This Row],[Ativo]]),N(Tabela2[Exercício]=Tabela2[[#This Row],[Exercício]]-1),Tabela2[Lucro Líquido])</f>
        <v>2049000</v>
      </c>
      <c r="M157" s="18">
        <f>IF(Tabela2[[#This Row],[Lucro Anterior]]=0,"",IF(Tabela2[[#This Row],[Lucro Líquido]]&gt;0,Tabela2[[#This Row],[Lucro Líquido]]/Tabela2[[#This Row],[Lucro Anterior]]-1,0))</f>
        <v>11.781844802342606</v>
      </c>
    </row>
    <row r="158" spans="1:14" x14ac:dyDescent="0.2">
      <c r="A158" s="4" t="s">
        <v>95</v>
      </c>
      <c r="B158" s="3">
        <v>2010</v>
      </c>
      <c r="C158" s="5">
        <v>2049000</v>
      </c>
      <c r="D158" s="61">
        <f>SUMPRODUCT(N(Tabela3[PAPEL]=Tabela2[[#This Row],[Ativo]]),Tabela3[Total Ações])</f>
        <v>9183458</v>
      </c>
      <c r="E158" s="64">
        <f>(Tabela2[[#This Row],[Lucro Líquido]])/Tabela2[[#This Row],[Total Ações]]</f>
        <v>0.22311856819076212</v>
      </c>
      <c r="F158" s="64">
        <v>0</v>
      </c>
      <c r="G158" s="22" t="str">
        <f>IF(AND(Tabela2[[#This Row],[Dividendo / Ação]]&gt;0,Tabela2[[#This Row],[Lucro por ação]]&gt;0),Tabela2[[#This Row],[Dividendo / Ação]]/Tabela2[[#This Row],[Lucro por ação]],"")</f>
        <v/>
      </c>
      <c r="H158" s="5">
        <f>MAX(Tabela2[[#This Row],[Cotação 1]],Tabela2[[#This Row],[Cotação 2]])</f>
        <v>16.510000000000002</v>
      </c>
      <c r="I158" s="18" t="str">
        <f>IF(Tabela2[[#This Row],[Dividendo / Ação]]&gt;0,Tabela2[[#This Row],[Dividendo / Ação]]/Tabela2[[#This Row],[Cotação]],"")</f>
        <v/>
      </c>
      <c r="J158" s="59">
        <f>SUMPRODUCT(N(Tabela1[Código]=Tabela2[[#This Row],[Ativo]]),Tabela1[Fechamento])</f>
        <v>16.510000000000002</v>
      </c>
      <c r="K158" s="59">
        <f>SUMPRODUCT(N(Tabela17[Código]=Tabela2[[#This Row],[Ativo]]),Tabela17[Fechamento])</f>
        <v>0</v>
      </c>
      <c r="L158" s="59">
        <f>SUMPRODUCT(N(Tabela2[Ativo]=Tabela2[[#This Row],[Ativo]]),N(Tabela2[Exercício]=Tabela2[[#This Row],[Exercício]]-1),Tabela2[Lucro Líquido])</f>
        <v>48919970.259999998</v>
      </c>
      <c r="M158" s="18">
        <f>IF(Tabela2[[#This Row],[Lucro Anterior]]=0,"",IF(Tabela2[[#This Row],[Lucro Líquido]]&gt;0,Tabela2[[#This Row],[Lucro Líquido]]/Tabela2[[#This Row],[Lucro Anterior]]-1,0))</f>
        <v>-0.9581152648067861</v>
      </c>
      <c r="N158" s="66"/>
    </row>
    <row r="159" spans="1:14" x14ac:dyDescent="0.2">
      <c r="A159" s="4" t="s">
        <v>95</v>
      </c>
      <c r="B159" s="3">
        <v>2009</v>
      </c>
      <c r="C159" s="5">
        <v>48919970.259999998</v>
      </c>
      <c r="D159" s="61">
        <f>SUMPRODUCT(N(Tabela3[PAPEL]=Tabela2[[#This Row],[Ativo]]),Tabela3[Total Ações])</f>
        <v>9183458</v>
      </c>
      <c r="E159" s="64">
        <f>(Tabela2[[#This Row],[Lucro Líquido]])/Tabela2[[#This Row],[Total Ações]]</f>
        <v>5.3269661885533743</v>
      </c>
      <c r="F159" s="64">
        <v>2.8779460000000001</v>
      </c>
      <c r="G159" s="22">
        <f>IF(AND(Tabela2[[#This Row],[Dividendo / Ação]]&gt;0,Tabela2[[#This Row],[Lucro por ação]]&gt;0),Tabela2[[#This Row],[Dividendo / Ação]]/Tabela2[[#This Row],[Lucro por ação]],"")</f>
        <v>0.540259858638516</v>
      </c>
      <c r="H159" s="5">
        <f>MAX(Tabela2[[#This Row],[Cotação 1]],Tabela2[[#This Row],[Cotação 2]])</f>
        <v>16.510000000000002</v>
      </c>
      <c r="I159" s="18">
        <f>IF(Tabela2[[#This Row],[Dividendo / Ação]]&gt;0,Tabela2[[#This Row],[Dividendo / Ação]]/Tabela2[[#This Row],[Cotação]],"")</f>
        <v>0.1743153240460327</v>
      </c>
      <c r="J159" s="59">
        <f>SUMPRODUCT(N(Tabela1[Código]=Tabela2[[#This Row],[Ativo]]),Tabela1[Fechamento])</f>
        <v>16.510000000000002</v>
      </c>
      <c r="K159" s="59">
        <f>SUMPRODUCT(N(Tabela17[Código]=Tabela2[[#This Row],[Ativo]]),Tabela17[Fechamento])</f>
        <v>0</v>
      </c>
      <c r="L159" s="59">
        <f>SUMPRODUCT(N(Tabela2[Ativo]=Tabela2[[#This Row],[Ativo]]),N(Tabela2[Exercício]=Tabela2[[#This Row],[Exercício]]-1),Tabela2[Lucro Líquido])</f>
        <v>0</v>
      </c>
      <c r="M159" s="18" t="str">
        <f>IF(Tabela2[[#This Row],[Lucro Anterior]]=0,"",IF(Tabela2[[#This Row],[Lucro Líquido]]&gt;0,Tabela2[[#This Row],[Lucro Líquido]]/Tabela2[[#This Row],[Lucro Anterior]]-1,0))</f>
        <v/>
      </c>
    </row>
    <row r="160" spans="1:14" x14ac:dyDescent="0.2">
      <c r="A160" s="4" t="s">
        <v>96</v>
      </c>
      <c r="B160" s="4">
        <v>2012</v>
      </c>
      <c r="C160" s="6">
        <v>55498182.030000001</v>
      </c>
      <c r="D160" s="8">
        <f>SUMPRODUCT(N(Tabela3[PAPEL]=Tabela2[[#This Row],[Ativo]]),Tabela3[Total Ações])</f>
        <v>9183458</v>
      </c>
      <c r="E160" s="65">
        <f>(Tabela2[[#This Row],[Lucro Líquido]])/Tabela2[[#This Row],[Total Ações]]</f>
        <v>6.0432771653118031</v>
      </c>
      <c r="F160" s="65">
        <v>4.5993199999999996</v>
      </c>
      <c r="G160" s="45">
        <f>IF(AND(Tabela2[[#This Row],[Dividendo / Ação]]&gt;0,Tabela2[[#This Row],[Lucro por ação]]&gt;0),Tabela2[[#This Row],[Dividendo / Ação]]/Tabela2[[#This Row],[Lucro por ação]],"")</f>
        <v>0.76106388540309444</v>
      </c>
      <c r="H160" s="6">
        <f>MAX(Tabela2[[#This Row],[Cotação 1]],Tabela2[[#This Row],[Cotação 2]])</f>
        <v>24</v>
      </c>
      <c r="I160" s="19">
        <f>IF(Tabela2[[#This Row],[Dividendo / Ação]]&gt;0,Tabela2[[#This Row],[Dividendo / Ação]]/Tabela2[[#This Row],[Cotação]],"")</f>
        <v>0.19163833333333333</v>
      </c>
      <c r="J160" s="60">
        <f>SUMPRODUCT(N(Tabela1[Código]=Tabela2[[#This Row],[Ativo]]),Tabela1[Fechamento])</f>
        <v>24</v>
      </c>
      <c r="K160" s="60">
        <f>SUMPRODUCT(N(Tabela17[Código]=Tabela2[[#This Row],[Ativo]]),Tabela17[Fechamento])</f>
        <v>0</v>
      </c>
      <c r="L160" s="60">
        <f>SUMPRODUCT(N(Tabela2[Ativo]=Tabela2[[#This Row],[Ativo]]),N(Tabela2[Exercício]=Tabela2[[#This Row],[Exercício]]-1),Tabela2[Lucro Líquido])</f>
        <v>26190000</v>
      </c>
      <c r="M160" s="19">
        <f>IF(Tabela2[[#This Row],[Lucro Anterior]]=0,"",IF(Tabela2[[#This Row],[Lucro Líquido]]&gt;0,Tabela2[[#This Row],[Lucro Líquido]]/Tabela2[[#This Row],[Lucro Anterior]]-1,0))</f>
        <v>1.1190600240549831</v>
      </c>
    </row>
    <row r="161" spans="1:13" x14ac:dyDescent="0.2">
      <c r="A161" s="4" t="s">
        <v>96</v>
      </c>
      <c r="B161" s="3">
        <v>2011</v>
      </c>
      <c r="C161" s="5">
        <v>26190000</v>
      </c>
      <c r="D161" s="61">
        <f>SUMPRODUCT(N(Tabela3[PAPEL]=Tabela2[[#This Row],[Ativo]]),Tabela3[Total Ações])</f>
        <v>9183458</v>
      </c>
      <c r="E161" s="64">
        <f>(Tabela2[[#This Row],[Lucro Líquido]])/Tabela2[[#This Row],[Total Ações]]</f>
        <v>2.8518669111352173</v>
      </c>
      <c r="F161" s="64">
        <v>0</v>
      </c>
      <c r="G161" s="22" t="str">
        <f>IF(AND(Tabela2[[#This Row],[Dividendo / Ação]]&gt;0,Tabela2[[#This Row],[Lucro por ação]]&gt;0),Tabela2[[#This Row],[Dividendo / Ação]]/Tabela2[[#This Row],[Lucro por ação]],"")</f>
        <v/>
      </c>
      <c r="H161" s="5">
        <f>MAX(Tabela2[[#This Row],[Cotação 1]],Tabela2[[#This Row],[Cotação 2]])</f>
        <v>24</v>
      </c>
      <c r="I161" s="18" t="str">
        <f>IF(Tabela2[[#This Row],[Dividendo / Ação]]&gt;0,Tabela2[[#This Row],[Dividendo / Ação]]/Tabela2[[#This Row],[Cotação]],"")</f>
        <v/>
      </c>
      <c r="J161" s="59">
        <f>SUMPRODUCT(N(Tabela1[Código]=Tabela2[[#This Row],[Ativo]]),Tabela1[Fechamento])</f>
        <v>24</v>
      </c>
      <c r="K161" s="59">
        <f>SUMPRODUCT(N(Tabela17[Código]=Tabela2[[#This Row],[Ativo]]),Tabela17[Fechamento])</f>
        <v>0</v>
      </c>
      <c r="L161" s="59">
        <f>SUMPRODUCT(N(Tabela2[Ativo]=Tabela2[[#This Row],[Ativo]]),N(Tabela2[Exercício]=Tabela2[[#This Row],[Exercício]]-1),Tabela2[Lucro Líquido])</f>
        <v>2049000</v>
      </c>
      <c r="M161" s="18">
        <f>IF(Tabela2[[#This Row],[Lucro Anterior]]=0,"",IF(Tabela2[[#This Row],[Lucro Líquido]]&gt;0,Tabela2[[#This Row],[Lucro Líquido]]/Tabela2[[#This Row],[Lucro Anterior]]-1,0))</f>
        <v>11.781844802342606</v>
      </c>
    </row>
    <row r="162" spans="1:13" x14ac:dyDescent="0.2">
      <c r="A162" s="4" t="s">
        <v>96</v>
      </c>
      <c r="B162" s="3">
        <v>2010</v>
      </c>
      <c r="C162" s="5">
        <v>2049000</v>
      </c>
      <c r="D162" s="61">
        <f>SUMPRODUCT(N(Tabela3[PAPEL]=Tabela2[[#This Row],[Ativo]]),Tabela3[Total Ações])</f>
        <v>9183458</v>
      </c>
      <c r="E162" s="64">
        <f>(Tabela2[[#This Row],[Lucro Líquido]])/Tabela2[[#This Row],[Total Ações]]</f>
        <v>0.22311856819076212</v>
      </c>
      <c r="F162" s="64">
        <v>0</v>
      </c>
      <c r="G162" s="22" t="str">
        <f>IF(AND(Tabela2[[#This Row],[Dividendo / Ação]]&gt;0,Tabela2[[#This Row],[Lucro por ação]]&gt;0),Tabela2[[#This Row],[Dividendo / Ação]]/Tabela2[[#This Row],[Lucro por ação]],"")</f>
        <v/>
      </c>
      <c r="H162" s="5">
        <f>MAX(Tabela2[[#This Row],[Cotação 1]],Tabela2[[#This Row],[Cotação 2]])</f>
        <v>24</v>
      </c>
      <c r="I162" s="18" t="str">
        <f>IF(Tabela2[[#This Row],[Dividendo / Ação]]&gt;0,Tabela2[[#This Row],[Dividendo / Ação]]/Tabela2[[#This Row],[Cotação]],"")</f>
        <v/>
      </c>
      <c r="J162" s="59">
        <f>SUMPRODUCT(N(Tabela1[Código]=Tabela2[[#This Row],[Ativo]]),Tabela1[Fechamento])</f>
        <v>24</v>
      </c>
      <c r="K162" s="59">
        <f>SUMPRODUCT(N(Tabela17[Código]=Tabela2[[#This Row],[Ativo]]),Tabela17[Fechamento])</f>
        <v>0</v>
      </c>
      <c r="L162" s="59">
        <f>SUMPRODUCT(N(Tabela2[Ativo]=Tabela2[[#This Row],[Ativo]]),N(Tabela2[Exercício]=Tabela2[[#This Row],[Exercício]]-1),Tabela2[Lucro Líquido])</f>
        <v>48919970.259999998</v>
      </c>
      <c r="M162" s="18">
        <f>IF(Tabela2[[#This Row],[Lucro Anterior]]=0,"",IF(Tabela2[[#This Row],[Lucro Líquido]]&gt;0,Tabela2[[#This Row],[Lucro Líquido]]/Tabela2[[#This Row],[Lucro Anterior]]-1,0))</f>
        <v>-0.9581152648067861</v>
      </c>
    </row>
    <row r="163" spans="1:13" x14ac:dyDescent="0.2">
      <c r="A163" s="4" t="s">
        <v>96</v>
      </c>
      <c r="B163" s="3">
        <v>2009</v>
      </c>
      <c r="C163" s="5">
        <v>48919970.259999998</v>
      </c>
      <c r="D163" s="61">
        <f>SUMPRODUCT(N(Tabela3[PAPEL]=Tabela2[[#This Row],[Ativo]]),Tabela3[Total Ações])</f>
        <v>9183458</v>
      </c>
      <c r="E163" s="64">
        <f>(Tabela2[[#This Row],[Lucro Líquido]])/Tabela2[[#This Row],[Total Ações]]</f>
        <v>5.3269661885533743</v>
      </c>
      <c r="F163" s="64">
        <v>0</v>
      </c>
      <c r="G163" s="22" t="str">
        <f>IF(AND(Tabela2[[#This Row],[Dividendo / Ação]]&gt;0,Tabela2[[#This Row],[Lucro por ação]]&gt;0),Tabela2[[#This Row],[Dividendo / Ação]]/Tabela2[[#This Row],[Lucro por ação]],"")</f>
        <v/>
      </c>
      <c r="H163" s="5">
        <f>MAX(Tabela2[[#This Row],[Cotação 1]],Tabela2[[#This Row],[Cotação 2]])</f>
        <v>24</v>
      </c>
      <c r="I163" s="18" t="str">
        <f>IF(Tabela2[[#This Row],[Dividendo / Ação]]&gt;0,Tabela2[[#This Row],[Dividendo / Ação]]/Tabela2[[#This Row],[Cotação]],"")</f>
        <v/>
      </c>
      <c r="J163" s="59">
        <f>SUMPRODUCT(N(Tabela1[Código]=Tabela2[[#This Row],[Ativo]]),Tabela1[Fechamento])</f>
        <v>24</v>
      </c>
      <c r="K163" s="59">
        <f>SUMPRODUCT(N(Tabela17[Código]=Tabela2[[#This Row],[Ativo]]),Tabela17[Fechamento])</f>
        <v>0</v>
      </c>
      <c r="L163" s="59">
        <f>SUMPRODUCT(N(Tabela2[Ativo]=Tabela2[[#This Row],[Ativo]]),N(Tabela2[Exercício]=Tabela2[[#This Row],[Exercício]]-1),Tabela2[Lucro Líquido])</f>
        <v>0</v>
      </c>
      <c r="M163" s="18" t="str">
        <f>IF(Tabela2[[#This Row],[Lucro Anterior]]=0,"",IF(Tabela2[[#This Row],[Lucro Líquido]]&gt;0,Tabela2[[#This Row],[Lucro Líquido]]/Tabela2[[#This Row],[Lucro Anterior]]-1,0))</f>
        <v/>
      </c>
    </row>
    <row r="164" spans="1:13" x14ac:dyDescent="0.2">
      <c r="A164" s="4" t="s">
        <v>70</v>
      </c>
      <c r="B164" s="4">
        <v>2012</v>
      </c>
      <c r="C164" s="6">
        <v>55498182.030000001</v>
      </c>
      <c r="D164" s="8">
        <f>SUMPRODUCT(N(Tabela3[PAPEL]=Tabela2[[#This Row],[Ativo]]),Tabela3[Total Ações])</f>
        <v>9183458</v>
      </c>
      <c r="E164" s="65">
        <f>(Tabela2[[#This Row],[Lucro Líquido]])/Tabela2[[#This Row],[Total Ações]]</f>
        <v>6.0432771653118031</v>
      </c>
      <c r="F164" s="65">
        <v>3.7692600000000001</v>
      </c>
      <c r="G164" s="45">
        <f>IF(AND(Tabela2[[#This Row],[Dividendo / Ação]]&gt;0,Tabela2[[#This Row],[Lucro por ação]]&gt;0),Tabela2[[#This Row],[Dividendo / Ação]]/Tabela2[[#This Row],[Lucro por ação]],"")</f>
        <v>0.62371125746729261</v>
      </c>
      <c r="H164" s="6">
        <f>MAX(Tabela2[[#This Row],[Cotação 1]],Tabela2[[#This Row],[Cotação 2]])</f>
        <v>17.079999999999998</v>
      </c>
      <c r="I164" s="19">
        <f>IF(Tabela2[[#This Row],[Dividendo / Ação]]&gt;0,Tabela2[[#This Row],[Dividendo / Ação]]/Tabela2[[#This Row],[Cotação]],"")</f>
        <v>0.22068266978922718</v>
      </c>
      <c r="J164" s="60">
        <f>SUMPRODUCT(N(Tabela1[Código]=Tabela2[[#This Row],[Ativo]]),Tabela1[Fechamento])</f>
        <v>17.079999999999998</v>
      </c>
      <c r="K164" s="60">
        <f>SUMPRODUCT(N(Tabela17[Código]=Tabela2[[#This Row],[Ativo]]),Tabela17[Fechamento])</f>
        <v>0</v>
      </c>
      <c r="L164" s="60">
        <f>SUMPRODUCT(N(Tabela2[Ativo]=Tabela2[[#This Row],[Ativo]]),N(Tabela2[Exercício]=Tabela2[[#This Row],[Exercício]]-1),Tabela2[Lucro Líquido])</f>
        <v>26190000</v>
      </c>
      <c r="M164" s="19">
        <f>IF(Tabela2[[#This Row],[Lucro Anterior]]=0,"",IF(Tabela2[[#This Row],[Lucro Líquido]]&gt;0,Tabela2[[#This Row],[Lucro Líquido]]/Tabela2[[#This Row],[Lucro Anterior]]-1,0))</f>
        <v>1.1190600240549831</v>
      </c>
    </row>
    <row r="165" spans="1:13" x14ac:dyDescent="0.2">
      <c r="A165" s="4" t="s">
        <v>70</v>
      </c>
      <c r="B165" s="4">
        <v>2011</v>
      </c>
      <c r="C165" s="5">
        <v>26190000</v>
      </c>
      <c r="D165" s="8">
        <f>SUMPRODUCT(N(Tabela3[PAPEL]=Tabela2[[#This Row],[Ativo]]),Tabela3[Total Ações])</f>
        <v>9183458</v>
      </c>
      <c r="E165" s="65">
        <f>(Tabela2[[#This Row],[Lucro Líquido]])/Tabela2[[#This Row],[Total Ações]]</f>
        <v>2.8518669111352173</v>
      </c>
      <c r="F165" s="65">
        <v>0</v>
      </c>
      <c r="G165" s="45" t="str">
        <f>IF(AND(Tabela2[[#This Row],[Dividendo / Ação]]&gt;0,Tabela2[[#This Row],[Lucro por ação]]&gt;0),Tabela2[[#This Row],[Dividendo / Ação]]/Tabela2[[#This Row],[Lucro por ação]],"")</f>
        <v/>
      </c>
      <c r="H165" s="6">
        <f>MAX(Tabela2[[#This Row],[Cotação 1]],Tabela2[[#This Row],[Cotação 2]])</f>
        <v>17.079999999999998</v>
      </c>
      <c r="I165" s="19" t="str">
        <f>IF(Tabela2[[#This Row],[Dividendo / Ação]]&gt;0,Tabela2[[#This Row],[Dividendo / Ação]]/Tabela2[[#This Row],[Cotação]],"")</f>
        <v/>
      </c>
      <c r="J165" s="60">
        <f>SUMPRODUCT(N(Tabela1[Código]=Tabela2[[#This Row],[Ativo]]),Tabela1[Fechamento])</f>
        <v>17.079999999999998</v>
      </c>
      <c r="K165" s="60">
        <f>SUMPRODUCT(N(Tabela17[Código]=Tabela2[[#This Row],[Ativo]]),Tabela17[Fechamento])</f>
        <v>0</v>
      </c>
      <c r="L165" s="60">
        <f>SUMPRODUCT(N(Tabela2[Ativo]=Tabela2[[#This Row],[Ativo]]),N(Tabela2[Exercício]=Tabela2[[#This Row],[Exercício]]-1),Tabela2[Lucro Líquido])</f>
        <v>2049000</v>
      </c>
      <c r="M165" s="19">
        <f>IF(Tabela2[[#This Row],[Lucro Anterior]]=0,"",IF(Tabela2[[#This Row],[Lucro Líquido]]&gt;0,Tabela2[[#This Row],[Lucro Líquido]]/Tabela2[[#This Row],[Lucro Anterior]]-1,0))</f>
        <v>11.781844802342606</v>
      </c>
    </row>
    <row r="166" spans="1:13" x14ac:dyDescent="0.2">
      <c r="A166" s="4" t="s">
        <v>70</v>
      </c>
      <c r="B166" s="4">
        <v>2010</v>
      </c>
      <c r="C166" s="5">
        <v>2049000</v>
      </c>
      <c r="D166" s="8">
        <f>SUMPRODUCT(N(Tabela3[PAPEL]=Tabela2[[#This Row],[Ativo]]),Tabela3[Total Ações])</f>
        <v>9183458</v>
      </c>
      <c r="E166" s="65">
        <f>(Tabela2[[#This Row],[Lucro Líquido]])/Tabela2[[#This Row],[Total Ações]]</f>
        <v>0.22311856819076212</v>
      </c>
      <c r="F166" s="65">
        <v>0</v>
      </c>
      <c r="G166" s="45" t="str">
        <f>IF(AND(Tabela2[[#This Row],[Dividendo / Ação]]&gt;0,Tabela2[[#This Row],[Lucro por ação]]&gt;0),Tabela2[[#This Row],[Dividendo / Ação]]/Tabela2[[#This Row],[Lucro por ação]],"")</f>
        <v/>
      </c>
      <c r="H166" s="6">
        <f>MAX(Tabela2[[#This Row],[Cotação 1]],Tabela2[[#This Row],[Cotação 2]])</f>
        <v>17.079999999999998</v>
      </c>
      <c r="I166" s="19" t="str">
        <f>IF(Tabela2[[#This Row],[Dividendo / Ação]]&gt;0,Tabela2[[#This Row],[Dividendo / Ação]]/Tabela2[[#This Row],[Cotação]],"")</f>
        <v/>
      </c>
      <c r="J166" s="60">
        <f>SUMPRODUCT(N(Tabela1[Código]=Tabela2[[#This Row],[Ativo]]),Tabela1[Fechamento])</f>
        <v>17.079999999999998</v>
      </c>
      <c r="K166" s="60">
        <f>SUMPRODUCT(N(Tabela17[Código]=Tabela2[[#This Row],[Ativo]]),Tabela17[Fechamento])</f>
        <v>0</v>
      </c>
      <c r="L166" s="60">
        <f>SUMPRODUCT(N(Tabela2[Ativo]=Tabela2[[#This Row],[Ativo]]),N(Tabela2[Exercício]=Tabela2[[#This Row],[Exercício]]-1),Tabela2[Lucro Líquido])</f>
        <v>48919970.259999998</v>
      </c>
      <c r="M166" s="19">
        <f>IF(Tabela2[[#This Row],[Lucro Anterior]]=0,"",IF(Tabela2[[#This Row],[Lucro Líquido]]&gt;0,Tabela2[[#This Row],[Lucro Líquido]]/Tabela2[[#This Row],[Lucro Anterior]]-1,0))</f>
        <v>-0.9581152648067861</v>
      </c>
    </row>
    <row r="167" spans="1:13" x14ac:dyDescent="0.2">
      <c r="A167" s="4" t="s">
        <v>70</v>
      </c>
      <c r="B167" s="4">
        <v>2009</v>
      </c>
      <c r="C167" s="5">
        <v>48919970.259999998</v>
      </c>
      <c r="D167" s="8">
        <f>SUMPRODUCT(N(Tabela3[PAPEL]=Tabela2[[#This Row],[Ativo]]),Tabela3[Total Ações])</f>
        <v>9183458</v>
      </c>
      <c r="E167" s="65">
        <f>(Tabela2[[#This Row],[Lucro Líquido]])/Tabela2[[#This Row],[Total Ações]]</f>
        <v>5.3269661885533743</v>
      </c>
      <c r="F167" s="65">
        <v>4.3982070000000002</v>
      </c>
      <c r="G167" s="45">
        <f>IF(AND(Tabela2[[#This Row],[Dividendo / Ação]]&gt;0,Tabela2[[#This Row],[Lucro por ação]]&gt;0),Tabela2[[#This Row],[Dividendo / Ação]]/Tabela2[[#This Row],[Lucro por ação]],"")</f>
        <v>0.82564950561370198</v>
      </c>
      <c r="H167" s="6">
        <f>MAX(Tabela2[[#This Row],[Cotação 1]],Tabela2[[#This Row],[Cotação 2]])</f>
        <v>17.079999999999998</v>
      </c>
      <c r="I167" s="19">
        <f>IF(Tabela2[[#This Row],[Dividendo / Ação]]&gt;0,Tabela2[[#This Row],[Dividendo / Ação]]/Tabela2[[#This Row],[Cotação]],"")</f>
        <v>0.25750626463700238</v>
      </c>
      <c r="J167" s="60">
        <f>SUMPRODUCT(N(Tabela1[Código]=Tabela2[[#This Row],[Ativo]]),Tabela1[Fechamento])</f>
        <v>17.079999999999998</v>
      </c>
      <c r="K167" s="60">
        <f>SUMPRODUCT(N(Tabela17[Código]=Tabela2[[#This Row],[Ativo]]),Tabela17[Fechamento])</f>
        <v>0</v>
      </c>
      <c r="L167" s="60">
        <f>SUMPRODUCT(N(Tabela2[Ativo]=Tabela2[[#This Row],[Ativo]]),N(Tabela2[Exercício]=Tabela2[[#This Row],[Exercício]]-1),Tabela2[Lucro Líquido])</f>
        <v>0</v>
      </c>
      <c r="M167" s="19" t="str">
        <f>IF(Tabela2[[#This Row],[Lucro Anterior]]=0,"",IF(Tabela2[[#This Row],[Lucro Líquido]]&gt;0,Tabela2[[#This Row],[Lucro Líquido]]/Tabela2[[#This Row],[Lucro Anterior]]-1,0))</f>
        <v/>
      </c>
    </row>
    <row r="168" spans="1:13" x14ac:dyDescent="0.2">
      <c r="A168" s="4" t="s">
        <v>93</v>
      </c>
      <c r="B168" s="4">
        <v>2012</v>
      </c>
      <c r="C168" s="6">
        <v>805497405.55999994</v>
      </c>
      <c r="D168" s="8">
        <f>SUMPRODUCT(N(Tabela3[PAPEL]=Tabela2[[#This Row],[Ativo]]),Tabela3[Total Ações])</f>
        <v>188177338</v>
      </c>
      <c r="E168" s="65">
        <f>(Tabela2[[#This Row],[Lucro Líquido]])/Tabela2[[#This Row],[Total Ações]]</f>
        <v>4.2805229052607805</v>
      </c>
      <c r="F168" s="65">
        <v>2.3192654978</v>
      </c>
      <c r="G168" s="45">
        <f>IF(AND(Tabela2[[#This Row],[Dividendo / Ação]]&gt;0,Tabela2[[#This Row],[Lucro por ação]]&gt;0),Tabela2[[#This Row],[Dividendo / Ação]]/Tabela2[[#This Row],[Lucro por ação]],"")</f>
        <v>0.54181826592952298</v>
      </c>
      <c r="H168" s="6">
        <f>MAX(Tabela2[[#This Row],[Cotação 1]],Tabela2[[#This Row],[Cotação 2]])</f>
        <v>31.98</v>
      </c>
      <c r="I168" s="19">
        <f>IF(Tabela2[[#This Row],[Dividendo / Ação]]&gt;0,Tabela2[[#This Row],[Dividendo / Ação]]/Tabela2[[#This Row],[Cotação]],"")</f>
        <v>7.2522373289555978E-2</v>
      </c>
      <c r="J168" s="60">
        <f>SUMPRODUCT(N(Tabela1[Código]=Tabela2[[#This Row],[Ativo]]),Tabela1[Fechamento])</f>
        <v>31.98</v>
      </c>
      <c r="K168" s="60">
        <f>SUMPRODUCT(N(Tabela17[Código]=Tabela2[[#This Row],[Ativo]]),Tabela17[Fechamento])</f>
        <v>0</v>
      </c>
      <c r="L168" s="60">
        <f>SUMPRODUCT(N(Tabela2[Ativo]=Tabela2[[#This Row],[Ativo]]),N(Tabela2[Exercício]=Tabela2[[#This Row],[Exercício]]-1),Tabela2[Lucro Líquido])</f>
        <v>750490000</v>
      </c>
      <c r="M168" s="19">
        <f>IF(Tabela2[[#This Row],[Lucro Anterior]]=0,"",IF(Tabela2[[#This Row],[Lucro Líquido]]&gt;0,Tabela2[[#This Row],[Lucro Líquido]]/Tabela2[[#This Row],[Lucro Anterior]]-1,0))</f>
        <v>7.3295321136857217E-2</v>
      </c>
    </row>
    <row r="169" spans="1:13" x14ac:dyDescent="0.2">
      <c r="A169" s="4" t="s">
        <v>93</v>
      </c>
      <c r="B169" s="3">
        <v>2011</v>
      </c>
      <c r="C169" s="5">
        <v>750490000</v>
      </c>
      <c r="D169" s="61">
        <f>SUMPRODUCT(N(Tabela3[PAPEL]=Tabela2[[#This Row],[Ativo]]),Tabela3[Total Ações])</f>
        <v>188177338</v>
      </c>
      <c r="E169" s="64">
        <f>(Tabela2[[#This Row],[Lucro Líquido]])/Tabela2[[#This Row],[Total Ações]]</f>
        <v>3.988206061242082</v>
      </c>
      <c r="F169" s="64">
        <v>4.4176596381</v>
      </c>
      <c r="G169" s="22">
        <f>IF(AND(Tabela2[[#This Row],[Dividendo / Ação]]&gt;0,Tabela2[[#This Row],[Lucro por ação]]&gt;0),Tabela2[[#This Row],[Dividendo / Ação]]/Tabela2[[#This Row],[Lucro por ação]],"")</f>
        <v>1.1076808896690182</v>
      </c>
      <c r="H169" s="5">
        <f>MAX(Tabela2[[#This Row],[Cotação 1]],Tabela2[[#This Row],[Cotação 2]])</f>
        <v>31.98</v>
      </c>
      <c r="I169" s="18">
        <f>IF(Tabela2[[#This Row],[Dividendo / Ação]]&gt;0,Tabela2[[#This Row],[Dividendo / Ação]]/Tabela2[[#This Row],[Cotação]],"")</f>
        <v>0.13813820006566604</v>
      </c>
      <c r="J169" s="59">
        <f>SUMPRODUCT(N(Tabela1[Código]=Tabela2[[#This Row],[Ativo]]),Tabela1[Fechamento])</f>
        <v>31.98</v>
      </c>
      <c r="K169" s="59">
        <f>SUMPRODUCT(N(Tabela17[Código]=Tabela2[[#This Row],[Ativo]]),Tabela17[Fechamento])</f>
        <v>0</v>
      </c>
      <c r="L169" s="59">
        <f>SUMPRODUCT(N(Tabela2[Ativo]=Tabela2[[#This Row],[Ativo]]),N(Tabela2[Exercício]=Tabela2[[#This Row],[Exercício]]-1),Tabela2[Lucro Líquido])</f>
        <v>945719000</v>
      </c>
      <c r="M169" s="18">
        <f>IF(Tabela2[[#This Row],[Lucro Anterior]]=0,"",IF(Tabela2[[#This Row],[Lucro Líquido]]&gt;0,Tabela2[[#This Row],[Lucro Líquido]]/Tabela2[[#This Row],[Lucro Anterior]]-1,0))</f>
        <v>-0.20643446943542432</v>
      </c>
    </row>
    <row r="170" spans="1:13" x14ac:dyDescent="0.2">
      <c r="A170" s="4" t="s">
        <v>93</v>
      </c>
      <c r="B170" s="3">
        <v>2010</v>
      </c>
      <c r="C170" s="5">
        <v>945719000</v>
      </c>
      <c r="D170" s="61">
        <f>SUMPRODUCT(N(Tabela3[PAPEL]=Tabela2[[#This Row],[Ativo]]),Tabela3[Total Ações])</f>
        <v>188177338</v>
      </c>
      <c r="E170" s="64">
        <f>(Tabela2[[#This Row],[Lucro Líquido]])/Tabela2[[#This Row],[Total Ações]]</f>
        <v>5.0256795534008454</v>
      </c>
      <c r="F170" s="64">
        <v>3.6718683019</v>
      </c>
      <c r="G170" s="22">
        <f>IF(AND(Tabela2[[#This Row],[Dividendo / Ação]]&gt;0,Tabela2[[#This Row],[Lucro por ação]]&gt;0),Tabela2[[#This Row],[Dividendo / Ação]]/Tabela2[[#This Row],[Lucro por ação]],"")</f>
        <v>0.73062125487393448</v>
      </c>
      <c r="H170" s="5">
        <f>MAX(Tabela2[[#This Row],[Cotação 1]],Tabela2[[#This Row],[Cotação 2]])</f>
        <v>31.98</v>
      </c>
      <c r="I170" s="18">
        <f>IF(Tabela2[[#This Row],[Dividendo / Ação]]&gt;0,Tabela2[[#This Row],[Dividendo / Ação]]/Tabela2[[#This Row],[Cotação]],"")</f>
        <v>0.11481764546278925</v>
      </c>
      <c r="J170" s="59">
        <f>SUMPRODUCT(N(Tabela1[Código]=Tabela2[[#This Row],[Ativo]]),Tabela1[Fechamento])</f>
        <v>31.98</v>
      </c>
      <c r="K170" s="59">
        <f>SUMPRODUCT(N(Tabela17[Código]=Tabela2[[#This Row],[Ativo]]),Tabela17[Fechamento])</f>
        <v>0</v>
      </c>
      <c r="L170" s="59">
        <f>SUMPRODUCT(N(Tabela2[Ativo]=Tabela2[[#This Row],[Ativo]]),N(Tabela2[Exercício]=Tabela2[[#This Row],[Exercício]]-1),Tabela2[Lucro Líquido])</f>
        <v>887625000</v>
      </c>
      <c r="M170" s="18">
        <f>IF(Tabela2[[#This Row],[Lucro Anterior]]=0,"",IF(Tabela2[[#This Row],[Lucro Líquido]]&gt;0,Tabela2[[#This Row],[Lucro Líquido]]/Tabela2[[#This Row],[Lucro Anterior]]-1,0))</f>
        <v>6.5448810026756732E-2</v>
      </c>
    </row>
    <row r="171" spans="1:13" x14ac:dyDescent="0.2">
      <c r="A171" s="4" t="s">
        <v>93</v>
      </c>
      <c r="B171" s="3">
        <v>2009</v>
      </c>
      <c r="C171" s="5">
        <v>887625000</v>
      </c>
      <c r="D171" s="61">
        <f>SUMPRODUCT(N(Tabela3[PAPEL]=Tabela2[[#This Row],[Ativo]]),Tabela3[Total Ações])</f>
        <v>188177338</v>
      </c>
      <c r="E171" s="64">
        <f>(Tabela2[[#This Row],[Lucro Líquido]])/Tabela2[[#This Row],[Total Ações]]</f>
        <v>4.7169601261975549</v>
      </c>
      <c r="F171" s="64">
        <v>3.24332932</v>
      </c>
      <c r="G171" s="22">
        <f>IF(AND(Tabela2[[#This Row],[Dividendo / Ação]]&gt;0,Tabela2[[#This Row],[Lucro por ação]]&gt;0),Tabela2[[#This Row],[Dividendo / Ação]]/Tabela2[[#This Row],[Lucro por ação]],"")</f>
        <v>0.68758887784250122</v>
      </c>
      <c r="H171" s="5">
        <f>MAX(Tabela2[[#This Row],[Cotação 1]],Tabela2[[#This Row],[Cotação 2]])</f>
        <v>31.98</v>
      </c>
      <c r="I171" s="18">
        <f>IF(Tabela2[[#This Row],[Dividendo / Ação]]&gt;0,Tabela2[[#This Row],[Dividendo / Ação]]/Tabela2[[#This Row],[Cotação]],"")</f>
        <v>0.10141742714196372</v>
      </c>
      <c r="J171" s="59">
        <f>SUMPRODUCT(N(Tabela1[Código]=Tabela2[[#This Row],[Ativo]]),Tabela1[Fechamento])</f>
        <v>31.98</v>
      </c>
      <c r="K171" s="59">
        <f>SUMPRODUCT(N(Tabela17[Código]=Tabela2[[#This Row],[Ativo]]),Tabela17[Fechamento])</f>
        <v>0</v>
      </c>
      <c r="L171" s="59">
        <f>SUMPRODUCT(N(Tabela2[Ativo]=Tabela2[[#This Row],[Ativo]]),N(Tabela2[Exercício]=Tabela2[[#This Row],[Exercício]]-1),Tabela2[Lucro Líquido])</f>
        <v>0</v>
      </c>
      <c r="M171" s="18" t="str">
        <f>IF(Tabela2[[#This Row],[Lucro Anterior]]=0,"",IF(Tabela2[[#This Row],[Lucro Líquido]]&gt;0,Tabela2[[#This Row],[Lucro Líquido]]/Tabela2[[#This Row],[Lucro Anterior]]-1,0))</f>
        <v/>
      </c>
    </row>
    <row r="172" spans="1:13" x14ac:dyDescent="0.2">
      <c r="A172" s="4" t="s">
        <v>94</v>
      </c>
      <c r="B172" s="4">
        <v>2012</v>
      </c>
      <c r="C172" s="6">
        <v>805497405.55999994</v>
      </c>
      <c r="D172" s="8">
        <f>SUMPRODUCT(N(Tabela3[PAPEL]=Tabela2[[#This Row],[Ativo]]),Tabela3[Total Ações])</f>
        <v>188177338</v>
      </c>
      <c r="E172" s="65">
        <f>(Tabela2[[#This Row],[Lucro Líquido]])/Tabela2[[#This Row],[Total Ações]]</f>
        <v>4.2805229052607805</v>
      </c>
      <c r="F172" s="65">
        <v>2.3192654978</v>
      </c>
      <c r="G172" s="45">
        <f>IF(AND(Tabela2[[#This Row],[Dividendo / Ação]]&gt;0,Tabela2[[#This Row],[Lucro por ação]]&gt;0),Tabela2[[#This Row],[Dividendo / Ação]]/Tabela2[[#This Row],[Lucro por ação]],"")</f>
        <v>0.54181826592952298</v>
      </c>
      <c r="H172" s="6">
        <f>MAX(Tabela2[[#This Row],[Cotação 1]],Tabela2[[#This Row],[Cotação 2]])</f>
        <v>32.01</v>
      </c>
      <c r="I172" s="19">
        <f>IF(Tabela2[[#This Row],[Dividendo / Ação]]&gt;0,Tabela2[[#This Row],[Dividendo / Ação]]/Tabela2[[#This Row],[Cotação]],"")</f>
        <v>7.2454404804748518E-2</v>
      </c>
      <c r="J172" s="60">
        <f>SUMPRODUCT(N(Tabela1[Código]=Tabela2[[#This Row],[Ativo]]),Tabela1[Fechamento])</f>
        <v>32.01</v>
      </c>
      <c r="K172" s="60">
        <f>SUMPRODUCT(N(Tabela17[Código]=Tabela2[[#This Row],[Ativo]]),Tabela17[Fechamento])</f>
        <v>0</v>
      </c>
      <c r="L172" s="60">
        <f>SUMPRODUCT(N(Tabela2[Ativo]=Tabela2[[#This Row],[Ativo]]),N(Tabela2[Exercício]=Tabela2[[#This Row],[Exercício]]-1),Tabela2[Lucro Líquido])</f>
        <v>750490000</v>
      </c>
      <c r="M172" s="19">
        <f>IF(Tabela2[[#This Row],[Lucro Anterior]]=0,"",IF(Tabela2[[#This Row],[Lucro Líquido]]&gt;0,Tabela2[[#This Row],[Lucro Líquido]]/Tabela2[[#This Row],[Lucro Anterior]]-1,0))</f>
        <v>7.3295321136857217E-2</v>
      </c>
    </row>
    <row r="173" spans="1:13" x14ac:dyDescent="0.2">
      <c r="A173" s="4" t="s">
        <v>94</v>
      </c>
      <c r="B173" s="3">
        <v>2011</v>
      </c>
      <c r="C173" s="5">
        <v>750490000</v>
      </c>
      <c r="D173" s="61">
        <f>SUMPRODUCT(N(Tabela3[PAPEL]=Tabela2[[#This Row],[Ativo]]),Tabela3[Total Ações])</f>
        <v>188177338</v>
      </c>
      <c r="E173" s="64">
        <f>(Tabela2[[#This Row],[Lucro Líquido]])/Tabela2[[#This Row],[Total Ações]]</f>
        <v>3.988206061242082</v>
      </c>
      <c r="F173" s="64">
        <v>4.4176596381</v>
      </c>
      <c r="G173" s="22">
        <f>IF(AND(Tabela2[[#This Row],[Dividendo / Ação]]&gt;0,Tabela2[[#This Row],[Lucro por ação]]&gt;0),Tabela2[[#This Row],[Dividendo / Ação]]/Tabela2[[#This Row],[Lucro por ação]],"")</f>
        <v>1.1076808896690182</v>
      </c>
      <c r="H173" s="5">
        <f>MAX(Tabela2[[#This Row],[Cotação 1]],Tabela2[[#This Row],[Cotação 2]])</f>
        <v>32.01</v>
      </c>
      <c r="I173" s="18">
        <f>IF(Tabela2[[#This Row],[Dividendo / Ação]]&gt;0,Tabela2[[#This Row],[Dividendo / Ação]]/Tabela2[[#This Row],[Cotação]],"")</f>
        <v>0.13800873596063731</v>
      </c>
      <c r="J173" s="59">
        <f>SUMPRODUCT(N(Tabela1[Código]=Tabela2[[#This Row],[Ativo]]),Tabela1[Fechamento])</f>
        <v>32.01</v>
      </c>
      <c r="K173" s="59">
        <f>SUMPRODUCT(N(Tabela17[Código]=Tabela2[[#This Row],[Ativo]]),Tabela17[Fechamento])</f>
        <v>0</v>
      </c>
      <c r="L173" s="59">
        <f>SUMPRODUCT(N(Tabela2[Ativo]=Tabela2[[#This Row],[Ativo]]),N(Tabela2[Exercício]=Tabela2[[#This Row],[Exercício]]-1),Tabela2[Lucro Líquido])</f>
        <v>945719000</v>
      </c>
      <c r="M173" s="18">
        <f>IF(Tabela2[[#This Row],[Lucro Anterior]]=0,"",IF(Tabela2[[#This Row],[Lucro Líquido]]&gt;0,Tabela2[[#This Row],[Lucro Líquido]]/Tabela2[[#This Row],[Lucro Anterior]]-1,0))</f>
        <v>-0.20643446943542432</v>
      </c>
    </row>
    <row r="174" spans="1:13" x14ac:dyDescent="0.2">
      <c r="A174" s="4" t="s">
        <v>94</v>
      </c>
      <c r="B174" s="3">
        <v>2010</v>
      </c>
      <c r="C174" s="5">
        <v>945719000</v>
      </c>
      <c r="D174" s="61">
        <f>SUMPRODUCT(N(Tabela3[PAPEL]=Tabela2[[#This Row],[Ativo]]),Tabela3[Total Ações])</f>
        <v>188177338</v>
      </c>
      <c r="E174" s="64">
        <f>(Tabela2[[#This Row],[Lucro Líquido]])/Tabela2[[#This Row],[Total Ações]]</f>
        <v>5.0256795534008454</v>
      </c>
      <c r="F174" s="64">
        <v>3.6718683019</v>
      </c>
      <c r="G174" s="22">
        <f>IF(AND(Tabela2[[#This Row],[Dividendo / Ação]]&gt;0,Tabela2[[#This Row],[Lucro por ação]]&gt;0),Tabela2[[#This Row],[Dividendo / Ação]]/Tabela2[[#This Row],[Lucro por ação]],"")</f>
        <v>0.73062125487393448</v>
      </c>
      <c r="H174" s="5">
        <f>MAX(Tabela2[[#This Row],[Cotação 1]],Tabela2[[#This Row],[Cotação 2]])</f>
        <v>32.01</v>
      </c>
      <c r="I174" s="18">
        <f>IF(Tabela2[[#This Row],[Dividendo / Ação]]&gt;0,Tabela2[[#This Row],[Dividendo / Ação]]/Tabela2[[#This Row],[Cotação]],"")</f>
        <v>0.11471003754764136</v>
      </c>
      <c r="J174" s="59">
        <f>SUMPRODUCT(N(Tabela1[Código]=Tabela2[[#This Row],[Ativo]]),Tabela1[Fechamento])</f>
        <v>32.01</v>
      </c>
      <c r="K174" s="59">
        <f>SUMPRODUCT(N(Tabela17[Código]=Tabela2[[#This Row],[Ativo]]),Tabela17[Fechamento])</f>
        <v>0</v>
      </c>
      <c r="L174" s="59">
        <f>SUMPRODUCT(N(Tabela2[Ativo]=Tabela2[[#This Row],[Ativo]]),N(Tabela2[Exercício]=Tabela2[[#This Row],[Exercício]]-1),Tabela2[Lucro Líquido])</f>
        <v>887625000</v>
      </c>
      <c r="M174" s="18">
        <f>IF(Tabela2[[#This Row],[Lucro Anterior]]=0,"",IF(Tabela2[[#This Row],[Lucro Líquido]]&gt;0,Tabela2[[#This Row],[Lucro Líquido]]/Tabela2[[#This Row],[Lucro Anterior]]-1,0))</f>
        <v>6.5448810026756732E-2</v>
      </c>
    </row>
    <row r="175" spans="1:13" x14ac:dyDescent="0.2">
      <c r="A175" s="4" t="s">
        <v>94</v>
      </c>
      <c r="B175" s="3">
        <v>2009</v>
      </c>
      <c r="C175" s="5">
        <v>887625000</v>
      </c>
      <c r="D175" s="61">
        <f>SUMPRODUCT(N(Tabela3[PAPEL]=Tabela2[[#This Row],[Ativo]]),Tabela3[Total Ações])</f>
        <v>188177338</v>
      </c>
      <c r="E175" s="64">
        <f>(Tabela2[[#This Row],[Lucro Líquido]])/Tabela2[[#This Row],[Total Ações]]</f>
        <v>4.7169601261975549</v>
      </c>
      <c r="F175" s="64">
        <v>3.24332932</v>
      </c>
      <c r="G175" s="22">
        <f>IF(AND(Tabela2[[#This Row],[Dividendo / Ação]]&gt;0,Tabela2[[#This Row],[Lucro por ação]]&gt;0),Tabela2[[#This Row],[Dividendo / Ação]]/Tabela2[[#This Row],[Lucro por ação]],"")</f>
        <v>0.68758887784250122</v>
      </c>
      <c r="H175" s="5">
        <f>MAX(Tabela2[[#This Row],[Cotação 1]],Tabela2[[#This Row],[Cotação 2]])</f>
        <v>32.01</v>
      </c>
      <c r="I175" s="18">
        <f>IF(Tabela2[[#This Row],[Dividendo / Ação]]&gt;0,Tabela2[[#This Row],[Dividendo / Ação]]/Tabela2[[#This Row],[Cotação]],"")</f>
        <v>0.10132237800687285</v>
      </c>
      <c r="J175" s="59">
        <f>SUMPRODUCT(N(Tabela1[Código]=Tabela2[[#This Row],[Ativo]]),Tabela1[Fechamento])</f>
        <v>32.01</v>
      </c>
      <c r="K175" s="59">
        <f>SUMPRODUCT(N(Tabela17[Código]=Tabela2[[#This Row],[Ativo]]),Tabela17[Fechamento])</f>
        <v>0</v>
      </c>
      <c r="L175" s="59">
        <f>SUMPRODUCT(N(Tabela2[Ativo]=Tabela2[[#This Row],[Ativo]]),N(Tabela2[Exercício]=Tabela2[[#This Row],[Exercício]]-1),Tabela2[Lucro Líquido])</f>
        <v>0</v>
      </c>
      <c r="M175" s="18" t="str">
        <f>IF(Tabela2[[#This Row],[Lucro Anterior]]=0,"",IF(Tabela2[[#This Row],[Lucro Líquido]]&gt;0,Tabela2[[#This Row],[Lucro Líquido]]/Tabela2[[#This Row],[Lucro Anterior]]-1,0))</f>
        <v/>
      </c>
    </row>
    <row r="176" spans="1:13" x14ac:dyDescent="0.2">
      <c r="A176" s="4" t="s">
        <v>71</v>
      </c>
      <c r="B176" s="4">
        <v>2012</v>
      </c>
      <c r="C176" s="6">
        <v>15128479.970000001</v>
      </c>
      <c r="D176" s="8">
        <f>SUMPRODUCT(N(Tabela3[PAPEL]=Tabela2[[#This Row],[Ativo]]),Tabela3[Total Ações])</f>
        <v>74612388</v>
      </c>
      <c r="E176" s="65">
        <f>(Tabela2[[#This Row],[Lucro Líquido]])/Tabela2[[#This Row],[Total Ações]]</f>
        <v>0.20276096738788202</v>
      </c>
      <c r="F176" s="65">
        <v>0.20233950000000001</v>
      </c>
      <c r="G176" s="45">
        <f>IF(AND(Tabela2[[#This Row],[Dividendo / Ação]]&gt;0,Tabela2[[#This Row],[Lucro por ação]]&gt;0),Tabela2[[#This Row],[Dividendo / Ação]]/Tabela2[[#This Row],[Lucro por ação]],"")</f>
        <v>0.99792135836935647</v>
      </c>
      <c r="H176" s="6">
        <f>MAX(Tabela2[[#This Row],[Cotação 1]],Tabela2[[#This Row],[Cotação 2]])</f>
        <v>18</v>
      </c>
      <c r="I176" s="19">
        <f>IF(Tabela2[[#This Row],[Dividendo / Ação]]&gt;0,Tabela2[[#This Row],[Dividendo / Ação]]/Tabela2[[#This Row],[Cotação]],"")</f>
        <v>1.1241083333333334E-2</v>
      </c>
      <c r="J176" s="60">
        <f>SUMPRODUCT(N(Tabela1[Código]=Tabela2[[#This Row],[Ativo]]),Tabela1[Fechamento])</f>
        <v>18</v>
      </c>
      <c r="K176" s="60">
        <f>SUMPRODUCT(N(Tabela17[Código]=Tabela2[[#This Row],[Ativo]]),Tabela17[Fechamento])</f>
        <v>0</v>
      </c>
      <c r="L176" s="60">
        <f>SUMPRODUCT(N(Tabela2[Ativo]=Tabela2[[#This Row],[Ativo]]),N(Tabela2[Exercício]=Tabela2[[#This Row],[Exercício]]-1),Tabela2[Lucro Líquido])</f>
        <v>283416000</v>
      </c>
      <c r="M176" s="19">
        <f>IF(Tabela2[[#This Row],[Lucro Anterior]]=0,"",IF(Tabela2[[#This Row],[Lucro Líquido]]&gt;0,Tabela2[[#This Row],[Lucro Líquido]]/Tabela2[[#This Row],[Lucro Anterior]]-1,0))</f>
        <v>-0.94662093893781574</v>
      </c>
    </row>
    <row r="177" spans="1:13" x14ac:dyDescent="0.2">
      <c r="A177" s="4" t="s">
        <v>71</v>
      </c>
      <c r="B177" s="3">
        <v>2011</v>
      </c>
      <c r="C177" s="5">
        <v>283416000</v>
      </c>
      <c r="D177" s="61">
        <f>SUMPRODUCT(N(Tabela3[PAPEL]=Tabela2[[#This Row],[Ativo]]),Tabela3[Total Ações])</f>
        <v>74612388</v>
      </c>
      <c r="E177" s="64">
        <f>(Tabela2[[#This Row],[Lucro Líquido]])/Tabela2[[#This Row],[Total Ações]]</f>
        <v>3.7985113142337705</v>
      </c>
      <c r="F177" s="64">
        <v>3.2507519999999999</v>
      </c>
      <c r="G177" s="22">
        <f>IF(AND(Tabela2[[#This Row],[Dividendo / Ação]]&gt;0,Tabela2[[#This Row],[Lucro por ação]]&gt;0),Tabela2[[#This Row],[Dividendo / Ação]]/Tabela2[[#This Row],[Lucro por ação]],"")</f>
        <v>0.85579631889440255</v>
      </c>
      <c r="H177" s="5">
        <f>MAX(Tabela2[[#This Row],[Cotação 1]],Tabela2[[#This Row],[Cotação 2]])</f>
        <v>18</v>
      </c>
      <c r="I177" s="18">
        <f>IF(Tabela2[[#This Row],[Dividendo / Ação]]&gt;0,Tabela2[[#This Row],[Dividendo / Ação]]/Tabela2[[#This Row],[Cotação]],"")</f>
        <v>0.18059733333333333</v>
      </c>
      <c r="J177" s="59">
        <f>SUMPRODUCT(N(Tabela1[Código]=Tabela2[[#This Row],[Ativo]]),Tabela1[Fechamento])</f>
        <v>18</v>
      </c>
      <c r="K177" s="59">
        <f>SUMPRODUCT(N(Tabela17[Código]=Tabela2[[#This Row],[Ativo]]),Tabela17[Fechamento])</f>
        <v>0</v>
      </c>
      <c r="L177" s="59">
        <f>SUMPRODUCT(N(Tabela2[Ativo]=Tabela2[[#This Row],[Ativo]]),N(Tabela2[Exercício]=Tabela2[[#This Row],[Exercício]]-1),Tabela2[Lucro Líquido])</f>
        <v>1035240000</v>
      </c>
      <c r="M177" s="18">
        <f>IF(Tabela2[[#This Row],[Lucro Anterior]]=0,"",IF(Tabela2[[#This Row],[Lucro Líquido]]&gt;0,Tabela2[[#This Row],[Lucro Líquido]]/Tabela2[[#This Row],[Lucro Anterior]]-1,0))</f>
        <v>-0.72623159846992003</v>
      </c>
    </row>
    <row r="178" spans="1:13" x14ac:dyDescent="0.2">
      <c r="A178" s="4" t="s">
        <v>71</v>
      </c>
      <c r="B178" s="3">
        <v>2010</v>
      </c>
      <c r="C178" s="5">
        <v>448291000</v>
      </c>
      <c r="D178" s="61">
        <f>SUMPRODUCT(N(Tabela3[PAPEL]=Tabela2[[#This Row],[Ativo]]),Tabela3[Total Ações])</f>
        <v>74612388</v>
      </c>
      <c r="E178" s="64">
        <f>(Tabela2[[#This Row],[Lucro Líquido]])/Tabela2[[#This Row],[Total Ações]]</f>
        <v>6.0082650082182063</v>
      </c>
      <c r="F178" s="64">
        <v>3.3315596300000001</v>
      </c>
      <c r="G178" s="22">
        <f>IF(AND(Tabela2[[#This Row],[Dividendo / Ação]]&gt;0,Tabela2[[#This Row],[Lucro por ação]]&gt;0),Tabela2[[#This Row],[Dividendo / Ação]]/Tabela2[[#This Row],[Lucro por ação]],"")</f>
        <v>0.55449611916968322</v>
      </c>
      <c r="H178" s="5">
        <f>MAX(Tabela2[[#This Row],[Cotação 1]],Tabela2[[#This Row],[Cotação 2]])</f>
        <v>18</v>
      </c>
      <c r="I178" s="18">
        <f>IF(Tabela2[[#This Row],[Dividendo / Ação]]&gt;0,Tabela2[[#This Row],[Dividendo / Ação]]/Tabela2[[#This Row],[Cotação]],"")</f>
        <v>0.18508664611111111</v>
      </c>
      <c r="J178" s="59">
        <f>SUMPRODUCT(N(Tabela1[Código]=Tabela2[[#This Row],[Ativo]]),Tabela1[Fechamento])</f>
        <v>18</v>
      </c>
      <c r="K178" s="59">
        <f>SUMPRODUCT(N(Tabela17[Código]=Tabela2[[#This Row],[Ativo]]),Tabela17[Fechamento])</f>
        <v>0</v>
      </c>
      <c r="L178" s="59">
        <f>SUMPRODUCT(N(Tabela2[Ativo]=Tabela2[[#This Row],[Ativo]]),N(Tabela2[Exercício]=Tabela2[[#This Row],[Exercício]]-1),Tabela2[Lucro Líquido])</f>
        <v>0</v>
      </c>
      <c r="M178" s="18" t="str">
        <f>IF(Tabela2[[#This Row],[Lucro Anterior]]=0,"",IF(Tabela2[[#This Row],[Lucro Líquido]]&gt;0,Tabela2[[#This Row],[Lucro Líquido]]/Tabela2[[#This Row],[Lucro Anterior]]-1,0))</f>
        <v/>
      </c>
    </row>
    <row r="179" spans="1:13" x14ac:dyDescent="0.2">
      <c r="A179" s="4" t="s">
        <v>71</v>
      </c>
      <c r="B179" s="3">
        <v>2010</v>
      </c>
      <c r="C179" s="5">
        <v>586949000</v>
      </c>
      <c r="D179" s="61">
        <f>SUMPRODUCT(N(Tabela3[PAPEL]=Tabela2[[#This Row],[Ativo]]),Tabela3[Total Ações])</f>
        <v>74612388</v>
      </c>
      <c r="E179" s="64">
        <f>(Tabela2[[#This Row],[Lucro Líquido]])/Tabela2[[#This Row],[Total Ações]]</f>
        <v>7.866642734983901</v>
      </c>
      <c r="F179" s="64">
        <v>4.429843</v>
      </c>
      <c r="G179" s="22">
        <f>IF(AND(Tabela2[[#This Row],[Dividendo / Ação]]&gt;0,Tabela2[[#This Row],[Lucro por ação]]&gt;0),Tabela2[[#This Row],[Dividendo / Ação]]/Tabela2[[#This Row],[Lucro por ação]],"")</f>
        <v>0.56311734868801888</v>
      </c>
      <c r="H179" s="5">
        <f>MAX(Tabela2[[#This Row],[Cotação 1]],Tabela2[[#This Row],[Cotação 2]])</f>
        <v>18</v>
      </c>
      <c r="I179" s="18">
        <f>IF(Tabela2[[#This Row],[Dividendo / Ação]]&gt;0,Tabela2[[#This Row],[Dividendo / Ação]]/Tabela2[[#This Row],[Cotação]],"")</f>
        <v>0.24610238888888888</v>
      </c>
      <c r="J179" s="59">
        <f>SUMPRODUCT(N(Tabela1[Código]=Tabela2[[#This Row],[Ativo]]),Tabela1[Fechamento])</f>
        <v>18</v>
      </c>
      <c r="K179" s="59">
        <f>SUMPRODUCT(N(Tabela17[Código]=Tabela2[[#This Row],[Ativo]]),Tabela17[Fechamento])</f>
        <v>0</v>
      </c>
      <c r="L179" s="59">
        <f>SUMPRODUCT(N(Tabela2[Ativo]=Tabela2[[#This Row],[Ativo]]),N(Tabela2[Exercício]=Tabela2[[#This Row],[Exercício]]-1),Tabela2[Lucro Líquido])</f>
        <v>0</v>
      </c>
      <c r="M179" s="18" t="str">
        <f>IF(Tabela2[[#This Row],[Lucro Anterior]]=0,"",IF(Tabela2[[#This Row],[Lucro Líquido]]&gt;0,Tabela2[[#This Row],[Lucro Líquido]]/Tabela2[[#This Row],[Lucro Anterior]]-1,0))</f>
        <v/>
      </c>
    </row>
    <row r="180" spans="1:13" x14ac:dyDescent="0.2">
      <c r="A180" s="4" t="s">
        <v>97</v>
      </c>
      <c r="B180" s="4">
        <v>2012</v>
      </c>
      <c r="C180" s="6">
        <v>15128479.970000001</v>
      </c>
      <c r="D180" s="8">
        <f>SUMPRODUCT(N(Tabela3[PAPEL]=Tabela2[[#This Row],[Ativo]]),Tabela3[Total Ações])</f>
        <v>74612388</v>
      </c>
      <c r="E180" s="65">
        <f>(Tabela2[[#This Row],[Lucro Líquido]])/Tabela2[[#This Row],[Total Ações]]</f>
        <v>0.20276096738788202</v>
      </c>
      <c r="F180" s="65">
        <v>0.22263450000000001</v>
      </c>
      <c r="G180" s="45">
        <f>IF(AND(Tabela2[[#This Row],[Dividendo / Ação]]&gt;0,Tabela2[[#This Row],[Lucro por ação]]&gt;0),Tabela2[[#This Row],[Dividendo / Ação]]/Tabela2[[#This Row],[Lucro por ação]],"")</f>
        <v>1.0980145876602565</v>
      </c>
      <c r="H180" s="6">
        <f>MAX(Tabela2[[#This Row],[Cotação 1]],Tabela2[[#This Row],[Cotação 2]])</f>
        <v>21.51</v>
      </c>
      <c r="I180" s="19">
        <f>IF(Tabela2[[#This Row],[Dividendo / Ação]]&gt;0,Tabela2[[#This Row],[Dividendo / Ação]]/Tabela2[[#This Row],[Cotação]],"")</f>
        <v>1.0350278940027893E-2</v>
      </c>
      <c r="J180" s="60">
        <f>SUMPRODUCT(N(Tabela1[Código]=Tabela2[[#This Row],[Ativo]]),Tabela1[Fechamento])</f>
        <v>21.51</v>
      </c>
      <c r="K180" s="60">
        <f>SUMPRODUCT(N(Tabela17[Código]=Tabela2[[#This Row],[Ativo]]),Tabela17[Fechamento])</f>
        <v>0</v>
      </c>
      <c r="L180" s="60">
        <f>SUMPRODUCT(N(Tabela2[Ativo]=Tabela2[[#This Row],[Ativo]]),N(Tabela2[Exercício]=Tabela2[[#This Row],[Exercício]]-1),Tabela2[Lucro Líquido])</f>
        <v>283416000</v>
      </c>
      <c r="M180" s="19">
        <f>IF(Tabela2[[#This Row],[Lucro Anterior]]=0,"",IF(Tabela2[[#This Row],[Lucro Líquido]]&gt;0,Tabela2[[#This Row],[Lucro Líquido]]/Tabela2[[#This Row],[Lucro Anterior]]-1,0))</f>
        <v>-0.94662093893781574</v>
      </c>
    </row>
    <row r="181" spans="1:13" x14ac:dyDescent="0.2">
      <c r="A181" s="4" t="s">
        <v>97</v>
      </c>
      <c r="B181" s="4">
        <v>2011</v>
      </c>
      <c r="C181" s="5">
        <v>283416000</v>
      </c>
      <c r="D181" s="8">
        <f>SUMPRODUCT(N(Tabela3[PAPEL]=Tabela2[[#This Row],[Ativo]]),Tabela3[Total Ações])</f>
        <v>74612388</v>
      </c>
      <c r="E181" s="65">
        <f>(Tabela2[[#This Row],[Lucro Líquido]])/Tabela2[[#This Row],[Total Ações]]</f>
        <v>3.7985113142337705</v>
      </c>
      <c r="F181" s="65">
        <v>3.5758272</v>
      </c>
      <c r="G181" s="45">
        <f>IF(AND(Tabela2[[#This Row],[Dividendo / Ação]]&gt;0,Tabela2[[#This Row],[Lucro por ação]]&gt;0),Tabela2[[#This Row],[Dividendo / Ação]]/Tabela2[[#This Row],[Lucro por ação]],"")</f>
        <v>0.94137595078384284</v>
      </c>
      <c r="H181" s="6">
        <f>MAX(Tabela2[[#This Row],[Cotação 1]],Tabela2[[#This Row],[Cotação 2]])</f>
        <v>21.51</v>
      </c>
      <c r="I181" s="19">
        <f>IF(Tabela2[[#This Row],[Dividendo / Ação]]&gt;0,Tabela2[[#This Row],[Dividendo / Ação]]/Tabela2[[#This Row],[Cotação]],"")</f>
        <v>0.1662402231520223</v>
      </c>
      <c r="J181" s="60">
        <f>SUMPRODUCT(N(Tabela1[Código]=Tabela2[[#This Row],[Ativo]]),Tabela1[Fechamento])</f>
        <v>21.51</v>
      </c>
      <c r="K181" s="60">
        <f>SUMPRODUCT(N(Tabela17[Código]=Tabela2[[#This Row],[Ativo]]),Tabela17[Fechamento])</f>
        <v>0</v>
      </c>
      <c r="L181" s="60">
        <f>SUMPRODUCT(N(Tabela2[Ativo]=Tabela2[[#This Row],[Ativo]]),N(Tabela2[Exercício]=Tabela2[[#This Row],[Exercício]]-1),Tabela2[Lucro Líquido])</f>
        <v>1035240000</v>
      </c>
      <c r="M181" s="19">
        <f>IF(Tabela2[[#This Row],[Lucro Anterior]]=0,"",IF(Tabela2[[#This Row],[Lucro Líquido]]&gt;0,Tabela2[[#This Row],[Lucro Líquido]]/Tabela2[[#This Row],[Lucro Anterior]]-1,0))</f>
        <v>-0.72623159846992003</v>
      </c>
    </row>
    <row r="182" spans="1:13" x14ac:dyDescent="0.2">
      <c r="A182" s="4" t="s">
        <v>97</v>
      </c>
      <c r="B182" s="4">
        <v>2010</v>
      </c>
      <c r="C182" s="5">
        <v>448291000</v>
      </c>
      <c r="D182" s="8">
        <f>SUMPRODUCT(N(Tabela3[PAPEL]=Tabela2[[#This Row],[Ativo]]),Tabela3[Total Ações])</f>
        <v>74612388</v>
      </c>
      <c r="E182" s="65">
        <f>(Tabela2[[#This Row],[Lucro Líquido]])/Tabela2[[#This Row],[Total Ações]]</f>
        <v>6.0082650082182063</v>
      </c>
      <c r="F182" s="65">
        <v>3.6647560000000001</v>
      </c>
      <c r="G182" s="45">
        <f>IF(AND(Tabela2[[#This Row],[Dividendo / Ação]]&gt;0,Tabela2[[#This Row],[Lucro por ação]]&gt;0),Tabela2[[#This Row],[Dividendo / Ação]]/Tabela2[[#This Row],[Lucro por ação]],"")</f>
        <v>0.60995245632262973</v>
      </c>
      <c r="H182" s="6">
        <f>MAX(Tabela2[[#This Row],[Cotação 1]],Tabela2[[#This Row],[Cotação 2]])</f>
        <v>21.51</v>
      </c>
      <c r="I182" s="19">
        <f>IF(Tabela2[[#This Row],[Dividendo / Ação]]&gt;0,Tabela2[[#This Row],[Dividendo / Ação]]/Tabela2[[#This Row],[Cotação]],"")</f>
        <v>0.17037452347745233</v>
      </c>
      <c r="J182" s="60">
        <f>SUMPRODUCT(N(Tabela1[Código]=Tabela2[[#This Row],[Ativo]]),Tabela1[Fechamento])</f>
        <v>21.51</v>
      </c>
      <c r="K182" s="60">
        <f>SUMPRODUCT(N(Tabela17[Código]=Tabela2[[#This Row],[Ativo]]),Tabela17[Fechamento])</f>
        <v>0</v>
      </c>
      <c r="L182" s="60">
        <f>SUMPRODUCT(N(Tabela2[Ativo]=Tabela2[[#This Row],[Ativo]]),N(Tabela2[Exercício]=Tabela2[[#This Row],[Exercício]]-1),Tabela2[Lucro Líquido])</f>
        <v>0</v>
      </c>
      <c r="M182" s="19" t="str">
        <f>IF(Tabela2[[#This Row],[Lucro Anterior]]=0,"",IF(Tabela2[[#This Row],[Lucro Líquido]]&gt;0,Tabela2[[#This Row],[Lucro Líquido]]/Tabela2[[#This Row],[Lucro Anterior]]-1,0))</f>
        <v/>
      </c>
    </row>
    <row r="183" spans="1:13" x14ac:dyDescent="0.2">
      <c r="A183" s="4" t="s">
        <v>97</v>
      </c>
      <c r="B183" s="4">
        <v>2010</v>
      </c>
      <c r="C183" s="5">
        <v>586949000</v>
      </c>
      <c r="D183" s="8">
        <f>SUMPRODUCT(N(Tabela3[PAPEL]=Tabela2[[#This Row],[Ativo]]),Tabela3[Total Ações])</f>
        <v>74612388</v>
      </c>
      <c r="E183" s="65">
        <f>(Tabela2[[#This Row],[Lucro Líquido]])/Tabela2[[#This Row],[Total Ações]]</f>
        <v>7.866642734983901</v>
      </c>
      <c r="F183" s="65">
        <v>4.8728273</v>
      </c>
      <c r="G183" s="45">
        <f>IF(AND(Tabela2[[#This Row],[Dividendo / Ação]]&gt;0,Tabela2[[#This Row],[Lucro por ação]]&gt;0),Tabela2[[#This Row],[Dividendo / Ação]]/Tabela2[[#This Row],[Lucro por ação]],"")</f>
        <v>0.6194290835568208</v>
      </c>
      <c r="H183" s="6">
        <f>MAX(Tabela2[[#This Row],[Cotação 1]],Tabela2[[#This Row],[Cotação 2]])</f>
        <v>21.51</v>
      </c>
      <c r="I183" s="19">
        <f>IF(Tabela2[[#This Row],[Dividendo / Ação]]&gt;0,Tabela2[[#This Row],[Dividendo / Ação]]/Tabela2[[#This Row],[Cotação]],"")</f>
        <v>0.22653776383077637</v>
      </c>
      <c r="J183" s="60">
        <f>SUMPRODUCT(N(Tabela1[Código]=Tabela2[[#This Row],[Ativo]]),Tabela1[Fechamento])</f>
        <v>21.51</v>
      </c>
      <c r="K183" s="60">
        <f>SUMPRODUCT(N(Tabela17[Código]=Tabela2[[#This Row],[Ativo]]),Tabela17[Fechamento])</f>
        <v>0</v>
      </c>
      <c r="L183" s="60">
        <f>SUMPRODUCT(N(Tabela2[Ativo]=Tabela2[[#This Row],[Ativo]]),N(Tabela2[Exercício]=Tabela2[[#This Row],[Exercício]]-1),Tabela2[Lucro Líquido])</f>
        <v>0</v>
      </c>
      <c r="M183" s="19" t="str">
        <f>IF(Tabela2[[#This Row],[Lucro Anterior]]=0,"",IF(Tabela2[[#This Row],[Lucro Líquido]]&gt;0,Tabela2[[#This Row],[Lucro Líquido]]/Tabela2[[#This Row],[Lucro Anterior]]-1,0))</f>
        <v/>
      </c>
    </row>
    <row r="184" spans="1:13" x14ac:dyDescent="0.2">
      <c r="A184" s="4" t="s">
        <v>73</v>
      </c>
      <c r="B184" s="4">
        <v>2012</v>
      </c>
      <c r="C184" s="6">
        <v>147982000</v>
      </c>
      <c r="D184" s="8">
        <f>SUMPRODUCT(N(Tabela3[PAPEL]=Tabela2[[#This Row],[Ativo]]),Tabela3[Total Ações])</f>
        <v>327502673</v>
      </c>
      <c r="E184" s="65">
        <f>(Tabela2[[#This Row],[Lucro Líquido]])/Tabela2[[#This Row],[Total Ações]]</f>
        <v>0.4518497471927504</v>
      </c>
      <c r="F184" s="65">
        <v>1.1599999999999999</v>
      </c>
      <c r="G184" s="45">
        <f>IF(AND(Tabela2[[#This Row],[Dividendo / Ação]]&gt;0,Tabela2[[#This Row],[Lucro por ação]]&gt;0),Tabela2[[#This Row],[Dividendo / Ação]]/Tabela2[[#This Row],[Lucro por ação]],"")</f>
        <v>2.5672250725088186</v>
      </c>
      <c r="H184" s="6">
        <f>MAX(Tabela2[[#This Row],[Cotação 1]],Tabela2[[#This Row],[Cotação 2]])</f>
        <v>19.399999999999999</v>
      </c>
      <c r="I184" s="19">
        <f>IF(Tabela2[[#This Row],[Dividendo / Ação]]&gt;0,Tabela2[[#This Row],[Dividendo / Ação]]/Tabela2[[#This Row],[Cotação]],"")</f>
        <v>5.9793814432989693E-2</v>
      </c>
      <c r="J184" s="60">
        <f>SUMPRODUCT(N(Tabela1[Código]=Tabela2[[#This Row],[Ativo]]),Tabela1[Fechamento])</f>
        <v>19.399999999999999</v>
      </c>
      <c r="K184" s="60">
        <f>SUMPRODUCT(N(Tabela17[Código]=Tabela2[[#This Row],[Ativo]]),Tabela17[Fechamento])</f>
        <v>0</v>
      </c>
      <c r="L184" s="60">
        <f>SUMPRODUCT(N(Tabela2[Ativo]=Tabela2[[#This Row],[Ativo]]),N(Tabela2[Exercício]=Tabela2[[#This Row],[Exercício]]-1),Tabela2[Lucro Líquido])</f>
        <v>108581000</v>
      </c>
      <c r="M184" s="19">
        <f>IF(Tabela2[[#This Row],[Lucro Anterior]]=0,"",IF(Tabela2[[#This Row],[Lucro Líquido]]&gt;0,Tabela2[[#This Row],[Lucro Líquido]]/Tabela2[[#This Row],[Lucro Anterior]]-1,0))</f>
        <v>0.36287195734060296</v>
      </c>
    </row>
    <row r="185" spans="1:13" x14ac:dyDescent="0.2">
      <c r="A185" s="4" t="s">
        <v>73</v>
      </c>
      <c r="B185" s="3">
        <v>2011</v>
      </c>
      <c r="C185" s="5">
        <v>108581000</v>
      </c>
      <c r="D185" s="61">
        <f>SUMPRODUCT(N(Tabela3[PAPEL]=Tabela2[[#This Row],[Ativo]]),Tabela3[Total Ações])</f>
        <v>327502673</v>
      </c>
      <c r="E185" s="64">
        <f>(Tabela2[[#This Row],[Lucro Líquido]])/Tabela2[[#This Row],[Total Ações]]</f>
        <v>0.33154233217510259</v>
      </c>
      <c r="F185" s="64">
        <v>1.6978355000000001</v>
      </c>
      <c r="G185" s="22">
        <f>IF(AND(Tabela2[[#This Row],[Dividendo / Ação]]&gt;0,Tabela2[[#This Row],[Lucro por ação]]&gt;0),Tabela2[[#This Row],[Dividendo / Ação]]/Tabela2[[#This Row],[Lucro por ação]],"")</f>
        <v>5.121021767752107</v>
      </c>
      <c r="H185" s="5">
        <f>MAX(Tabela2[[#This Row],[Cotação 1]],Tabela2[[#This Row],[Cotação 2]])</f>
        <v>19.399999999999999</v>
      </c>
      <c r="I185" s="18">
        <f>IF(Tabela2[[#This Row],[Dividendo / Ação]]&gt;0,Tabela2[[#This Row],[Dividendo / Ação]]/Tabela2[[#This Row],[Cotação]],"")</f>
        <v>8.7517293814433003E-2</v>
      </c>
      <c r="J185" s="59">
        <f>SUMPRODUCT(N(Tabela1[Código]=Tabela2[[#This Row],[Ativo]]),Tabela1[Fechamento])</f>
        <v>19.399999999999999</v>
      </c>
      <c r="K185" s="59">
        <f>SUMPRODUCT(N(Tabela17[Código]=Tabela2[[#This Row],[Ativo]]),Tabela17[Fechamento])</f>
        <v>0</v>
      </c>
      <c r="L185" s="59">
        <f>SUMPRODUCT(N(Tabela2[Ativo]=Tabela2[[#This Row],[Ativo]]),N(Tabela2[Exercício]=Tabela2[[#This Row],[Exercício]]-1),Tabela2[Lucro Líquido])</f>
        <v>93042000</v>
      </c>
      <c r="M185" s="18">
        <f>IF(Tabela2[[#This Row],[Lucro Anterior]]=0,"",IF(Tabela2[[#This Row],[Lucro Líquido]]&gt;0,Tabela2[[#This Row],[Lucro Líquido]]/Tabela2[[#This Row],[Lucro Anterior]]-1,0))</f>
        <v>0.16701059736463097</v>
      </c>
    </row>
    <row r="186" spans="1:13" x14ac:dyDescent="0.2">
      <c r="A186" s="4" t="s">
        <v>73</v>
      </c>
      <c r="B186" s="3">
        <v>2010</v>
      </c>
      <c r="C186" s="5">
        <v>93042000</v>
      </c>
      <c r="D186" s="61">
        <f>SUMPRODUCT(N(Tabela3[PAPEL]=Tabela2[[#This Row],[Ativo]]),Tabela3[Total Ações])</f>
        <v>327502673</v>
      </c>
      <c r="E186" s="64">
        <f>(Tabela2[[#This Row],[Lucro Líquido]])/Tabela2[[#This Row],[Total Ações]]</f>
        <v>0.28409539118479193</v>
      </c>
      <c r="F186" s="64">
        <v>0.70331069999999996</v>
      </c>
      <c r="G186" s="22">
        <f>IF(AND(Tabela2[[#This Row],[Dividendo / Ação]]&gt;0,Tabela2[[#This Row],[Lucro por ação]]&gt;0),Tabela2[[#This Row],[Dividendo / Ação]]/Tabela2[[#This Row],[Lucro por ação]],"")</f>
        <v>2.475614606301467</v>
      </c>
      <c r="H186" s="5">
        <f>MAX(Tabela2[[#This Row],[Cotação 1]],Tabela2[[#This Row],[Cotação 2]])</f>
        <v>19.399999999999999</v>
      </c>
      <c r="I186" s="18">
        <f>IF(Tabela2[[#This Row],[Dividendo / Ação]]&gt;0,Tabela2[[#This Row],[Dividendo / Ação]]/Tabela2[[#This Row],[Cotação]],"")</f>
        <v>3.6253128865979381E-2</v>
      </c>
      <c r="J186" s="59">
        <f>SUMPRODUCT(N(Tabela1[Código]=Tabela2[[#This Row],[Ativo]]),Tabela1[Fechamento])</f>
        <v>19.399999999999999</v>
      </c>
      <c r="K186" s="59">
        <f>SUMPRODUCT(N(Tabela17[Código]=Tabela2[[#This Row],[Ativo]]),Tabela17[Fechamento])</f>
        <v>0</v>
      </c>
      <c r="L186" s="59">
        <f>SUMPRODUCT(N(Tabela2[Ativo]=Tabela2[[#This Row],[Ativo]]),N(Tabela2[Exercício]=Tabela2[[#This Row],[Exercício]]-1),Tabela2[Lucro Líquido])</f>
        <v>0</v>
      </c>
      <c r="M186" s="18" t="str">
        <f>IF(Tabela2[[#This Row],[Lucro Anterior]]=0,"",IF(Tabela2[[#This Row],[Lucro Líquido]]&gt;0,Tabela2[[#This Row],[Lucro Líquido]]/Tabela2[[#This Row],[Lucro Anterior]]-1,0))</f>
        <v/>
      </c>
    </row>
    <row r="187" spans="1:13" x14ac:dyDescent="0.2">
      <c r="A187" s="4" t="s">
        <v>91</v>
      </c>
      <c r="B187" s="4">
        <v>2012</v>
      </c>
      <c r="C187" s="6">
        <v>147982000</v>
      </c>
      <c r="D187" s="8">
        <f>SUMPRODUCT(N(Tabela3[PAPEL]=Tabela2[[#This Row],[Ativo]]),Tabela3[Total Ações])</f>
        <v>0</v>
      </c>
      <c r="E187" s="65" t="e">
        <f>(Tabela2[[#This Row],[Lucro Líquido]])/Tabela2[[#This Row],[Total Ações]]</f>
        <v>#DIV/0!</v>
      </c>
      <c r="F187" s="65">
        <v>1.82</v>
      </c>
      <c r="G187" s="45" t="e">
        <f>IF(AND(Tabela2[[#This Row],[Dividendo / Ação]]&gt;0,Tabela2[[#This Row],[Lucro por ação]]&gt;0),Tabela2[[#This Row],[Dividendo / Ação]]/Tabela2[[#This Row],[Lucro por ação]],"")</f>
        <v>#DIV/0!</v>
      </c>
      <c r="H187" s="6">
        <f>MAX(Tabela2[[#This Row],[Cotação 1]],Tabela2[[#This Row],[Cotação 2]])</f>
        <v>21.64</v>
      </c>
      <c r="I187" s="19">
        <f>IF(Tabela2[[#This Row],[Dividendo / Ação]]&gt;0,Tabela2[[#This Row],[Dividendo / Ação]]/Tabela2[[#This Row],[Cotação]],"")</f>
        <v>8.4103512014787427E-2</v>
      </c>
      <c r="J187" s="60">
        <f>SUMPRODUCT(N(Tabela1[Código]=Tabela2[[#This Row],[Ativo]]),Tabela1[Fechamento])</f>
        <v>21.64</v>
      </c>
      <c r="K187" s="60">
        <f>SUMPRODUCT(N(Tabela17[Código]=Tabela2[[#This Row],[Ativo]]),Tabela17[Fechamento])</f>
        <v>0</v>
      </c>
      <c r="L187" s="60">
        <f>SUMPRODUCT(N(Tabela2[Ativo]=Tabela2[[#This Row],[Ativo]]),N(Tabela2[Exercício]=Tabela2[[#This Row],[Exercício]]-1),Tabela2[Lucro Líquido])</f>
        <v>108581000</v>
      </c>
      <c r="M187" s="19">
        <f>IF(Tabela2[[#This Row],[Lucro Anterior]]=0,"",IF(Tabela2[[#This Row],[Lucro Líquido]]&gt;0,Tabela2[[#This Row],[Lucro Líquido]]/Tabela2[[#This Row],[Lucro Anterior]]-1,0))</f>
        <v>0.36287195734060296</v>
      </c>
    </row>
    <row r="188" spans="1:13" x14ac:dyDescent="0.2">
      <c r="A188" s="4" t="s">
        <v>91</v>
      </c>
      <c r="B188" s="3">
        <v>2011</v>
      </c>
      <c r="C188" s="5">
        <v>108581000</v>
      </c>
      <c r="D188" s="61">
        <f>SUMPRODUCT(N(Tabela3[PAPEL]=Tabela2[[#This Row],[Ativo]]),Tabela3[Total Ações])</f>
        <v>0</v>
      </c>
      <c r="E188" s="64" t="e">
        <f>(Tabela2[[#This Row],[Lucro Líquido]])/Tabela2[[#This Row],[Total Ações]]</f>
        <v>#DIV/0!</v>
      </c>
      <c r="F188" s="64">
        <v>1.8245449413999999</v>
      </c>
      <c r="G188" s="22" t="e">
        <f>IF(AND(Tabela2[[#This Row],[Dividendo / Ação]]&gt;0,Tabela2[[#This Row],[Lucro por ação]]&gt;0),Tabela2[[#This Row],[Dividendo / Ação]]/Tabela2[[#This Row],[Lucro por ação]],"")</f>
        <v>#DIV/0!</v>
      </c>
      <c r="H188" s="5">
        <f>MAX(Tabela2[[#This Row],[Cotação 1]],Tabela2[[#This Row],[Cotação 2]])</f>
        <v>21.64</v>
      </c>
      <c r="I188" s="18">
        <f>IF(Tabela2[[#This Row],[Dividendo / Ação]]&gt;0,Tabela2[[#This Row],[Dividendo / Ação]]/Tabela2[[#This Row],[Cotação]],"")</f>
        <v>8.4313537033271713E-2</v>
      </c>
      <c r="J188" s="59">
        <f>SUMPRODUCT(N(Tabela1[Código]=Tabela2[[#This Row],[Ativo]]),Tabela1[Fechamento])</f>
        <v>21.64</v>
      </c>
      <c r="K188" s="59">
        <f>SUMPRODUCT(N(Tabela17[Código]=Tabela2[[#This Row],[Ativo]]),Tabela17[Fechamento])</f>
        <v>0</v>
      </c>
      <c r="L188" s="59">
        <f>SUMPRODUCT(N(Tabela2[Ativo]=Tabela2[[#This Row],[Ativo]]),N(Tabela2[Exercício]=Tabela2[[#This Row],[Exercício]]-1),Tabela2[Lucro Líquido])</f>
        <v>93042000</v>
      </c>
      <c r="M188" s="18">
        <f>IF(Tabela2[[#This Row],[Lucro Anterior]]=0,"",IF(Tabela2[[#This Row],[Lucro Líquido]]&gt;0,Tabela2[[#This Row],[Lucro Líquido]]/Tabela2[[#This Row],[Lucro Anterior]]-1,0))</f>
        <v>0.16701059736463097</v>
      </c>
    </row>
    <row r="189" spans="1:13" x14ac:dyDescent="0.2">
      <c r="A189" s="4" t="s">
        <v>91</v>
      </c>
      <c r="B189" s="3">
        <v>2010</v>
      </c>
      <c r="C189" s="5">
        <v>93042000</v>
      </c>
      <c r="D189" s="61">
        <f>SUMPRODUCT(N(Tabela3[PAPEL]=Tabela2[[#This Row],[Ativo]]),Tabela3[Total Ações])</f>
        <v>0</v>
      </c>
      <c r="E189" s="64" t="e">
        <f>(Tabela2[[#This Row],[Lucro Líquido]])/Tabela2[[#This Row],[Total Ações]]</f>
        <v>#DIV/0!</v>
      </c>
      <c r="F189" s="64">
        <v>1.8245449413999999</v>
      </c>
      <c r="G189" s="22" t="e">
        <f>IF(AND(Tabela2[[#This Row],[Dividendo / Ação]]&gt;0,Tabela2[[#This Row],[Lucro por ação]]&gt;0),Tabela2[[#This Row],[Dividendo / Ação]]/Tabela2[[#This Row],[Lucro por ação]],"")</f>
        <v>#DIV/0!</v>
      </c>
      <c r="H189" s="5">
        <f>MAX(Tabela2[[#This Row],[Cotação 1]],Tabela2[[#This Row],[Cotação 2]])</f>
        <v>21.64</v>
      </c>
      <c r="I189" s="18">
        <f>IF(Tabela2[[#This Row],[Dividendo / Ação]]&gt;0,Tabela2[[#This Row],[Dividendo / Ação]]/Tabela2[[#This Row],[Cotação]],"")</f>
        <v>8.4313537033271713E-2</v>
      </c>
      <c r="J189" s="59">
        <f>SUMPRODUCT(N(Tabela1[Código]=Tabela2[[#This Row],[Ativo]]),Tabela1[Fechamento])</f>
        <v>21.64</v>
      </c>
      <c r="K189" s="59">
        <f>SUMPRODUCT(N(Tabela17[Código]=Tabela2[[#This Row],[Ativo]]),Tabela17[Fechamento])</f>
        <v>0</v>
      </c>
      <c r="L189" s="59">
        <f>SUMPRODUCT(N(Tabela2[Ativo]=Tabela2[[#This Row],[Ativo]]),N(Tabela2[Exercício]=Tabela2[[#This Row],[Exercício]]-1),Tabela2[Lucro Líquido])</f>
        <v>0</v>
      </c>
      <c r="M189" s="18" t="str">
        <f>IF(Tabela2[[#This Row],[Lucro Anterior]]=0,"",IF(Tabela2[[#This Row],[Lucro Líquido]]&gt;0,Tabela2[[#This Row],[Lucro Líquido]]/Tabela2[[#This Row],[Lucro Anterior]]-1,0))</f>
        <v/>
      </c>
    </row>
    <row r="190" spans="1:13" x14ac:dyDescent="0.2">
      <c r="A190" s="4" t="s">
        <v>92</v>
      </c>
      <c r="B190" s="4">
        <v>2012</v>
      </c>
      <c r="C190" s="6">
        <v>147982000</v>
      </c>
      <c r="D190" s="8">
        <f>SUMPRODUCT(N(Tabela3[PAPEL]=Tabela2[[#This Row],[Ativo]]),Tabela3[Total Ações])</f>
        <v>327502673</v>
      </c>
      <c r="E190" s="65">
        <f>(Tabela2[[#This Row],[Lucro Líquido]])/Tabela2[[#This Row],[Total Ações]]</f>
        <v>0.4518497471927504</v>
      </c>
      <c r="F190" s="65">
        <v>1.1599999999999999</v>
      </c>
      <c r="G190" s="45">
        <f>IF(AND(Tabela2[[#This Row],[Dividendo / Ação]]&gt;0,Tabela2[[#This Row],[Lucro por ação]]&gt;0),Tabela2[[#This Row],[Dividendo / Ação]]/Tabela2[[#This Row],[Lucro por ação]],"")</f>
        <v>2.5672250725088186</v>
      </c>
      <c r="H190" s="6">
        <f>MAX(Tabela2[[#This Row],[Cotação 1]],Tabela2[[#This Row],[Cotação 2]])</f>
        <v>21.47</v>
      </c>
      <c r="I190" s="19">
        <f>IF(Tabela2[[#This Row],[Dividendo / Ação]]&gt;0,Tabela2[[#This Row],[Dividendo / Ação]]/Tabela2[[#This Row],[Cotação]],"")</f>
        <v>5.4028877503493243E-2</v>
      </c>
      <c r="J190" s="60">
        <f>SUMPRODUCT(N(Tabela1[Código]=Tabela2[[#This Row],[Ativo]]),Tabela1[Fechamento])</f>
        <v>21.47</v>
      </c>
      <c r="K190" s="60">
        <f>SUMPRODUCT(N(Tabela17[Código]=Tabela2[[#This Row],[Ativo]]),Tabela17[Fechamento])</f>
        <v>0</v>
      </c>
      <c r="L190" s="60">
        <f>SUMPRODUCT(N(Tabela2[Ativo]=Tabela2[[#This Row],[Ativo]]),N(Tabela2[Exercício]=Tabela2[[#This Row],[Exercício]]-1),Tabela2[Lucro Líquido])</f>
        <v>108581000</v>
      </c>
      <c r="M190" s="19">
        <f>IF(Tabela2[[#This Row],[Lucro Anterior]]=0,"",IF(Tabela2[[#This Row],[Lucro Líquido]]&gt;0,Tabela2[[#This Row],[Lucro Líquido]]/Tabela2[[#This Row],[Lucro Anterior]]-1,0))</f>
        <v>0.36287195734060296</v>
      </c>
    </row>
    <row r="191" spans="1:13" x14ac:dyDescent="0.2">
      <c r="A191" s="4" t="s">
        <v>92</v>
      </c>
      <c r="B191" s="4">
        <v>2011</v>
      </c>
      <c r="C191" s="5">
        <v>108581000</v>
      </c>
      <c r="D191" s="8">
        <f>SUMPRODUCT(N(Tabela3[PAPEL]=Tabela2[[#This Row],[Ativo]]),Tabela3[Total Ações])</f>
        <v>327502673</v>
      </c>
      <c r="E191" s="65">
        <f>(Tabela2[[#This Row],[Lucro Líquido]])/Tabela2[[#This Row],[Total Ações]]</f>
        <v>0.33154233217510259</v>
      </c>
      <c r="F191" s="65">
        <v>1.4108145000000001</v>
      </c>
      <c r="G191" s="45">
        <f>IF(AND(Tabela2[[#This Row],[Dividendo / Ação]]&gt;0,Tabela2[[#This Row],[Lucro por ação]]&gt;0),Tabela2[[#This Row],[Dividendo / Ação]]/Tabela2[[#This Row],[Lucro por ação]],"")</f>
        <v>4.2553072808056518</v>
      </c>
      <c r="H191" s="6">
        <f>MAX(Tabela2[[#This Row],[Cotação 1]],Tabela2[[#This Row],[Cotação 2]])</f>
        <v>21.47</v>
      </c>
      <c r="I191" s="19">
        <f>IF(Tabela2[[#This Row],[Dividendo / Ação]]&gt;0,Tabela2[[#This Row],[Dividendo / Ação]]/Tabela2[[#This Row],[Cotação]],"")</f>
        <v>6.5710968793665586E-2</v>
      </c>
      <c r="J191" s="60">
        <f>SUMPRODUCT(N(Tabela1[Código]=Tabela2[[#This Row],[Ativo]]),Tabela1[Fechamento])</f>
        <v>21.47</v>
      </c>
      <c r="K191" s="60">
        <f>SUMPRODUCT(N(Tabela17[Código]=Tabela2[[#This Row],[Ativo]]),Tabela17[Fechamento])</f>
        <v>0</v>
      </c>
      <c r="L191" s="60">
        <f>SUMPRODUCT(N(Tabela2[Ativo]=Tabela2[[#This Row],[Ativo]]),N(Tabela2[Exercício]=Tabela2[[#This Row],[Exercício]]-1),Tabela2[Lucro Líquido])</f>
        <v>93042000</v>
      </c>
      <c r="M191" s="19">
        <f>IF(Tabela2[[#This Row],[Lucro Anterior]]=0,"",IF(Tabela2[[#This Row],[Lucro Líquido]]&gt;0,Tabela2[[#This Row],[Lucro Líquido]]/Tabela2[[#This Row],[Lucro Anterior]]-1,0))</f>
        <v>0.16701059736463097</v>
      </c>
    </row>
    <row r="192" spans="1:13" x14ac:dyDescent="0.2">
      <c r="A192" s="4" t="s">
        <v>92</v>
      </c>
      <c r="B192" s="4">
        <v>2010</v>
      </c>
      <c r="C192" s="5">
        <v>93042000</v>
      </c>
      <c r="D192" s="8">
        <f>SUMPRODUCT(N(Tabela3[PAPEL]=Tabela2[[#This Row],[Ativo]]),Tabela3[Total Ações])</f>
        <v>327502673</v>
      </c>
      <c r="E192" s="65">
        <f>(Tabela2[[#This Row],[Lucro Líquido]])/Tabela2[[#This Row],[Total Ações]]</f>
        <v>0.28409539118479193</v>
      </c>
      <c r="F192" s="65">
        <v>0.70331069999999996</v>
      </c>
      <c r="G192" s="45">
        <f>IF(AND(Tabela2[[#This Row],[Dividendo / Ação]]&gt;0,Tabela2[[#This Row],[Lucro por ação]]&gt;0),Tabela2[[#This Row],[Dividendo / Ação]]/Tabela2[[#This Row],[Lucro por ação]],"")</f>
        <v>2.475614606301467</v>
      </c>
      <c r="H192" s="6">
        <f>MAX(Tabela2[[#This Row],[Cotação 1]],Tabela2[[#This Row],[Cotação 2]])</f>
        <v>21.47</v>
      </c>
      <c r="I192" s="19">
        <f>IF(Tabela2[[#This Row],[Dividendo / Ação]]&gt;0,Tabela2[[#This Row],[Dividendo / Ação]]/Tabela2[[#This Row],[Cotação]],"")</f>
        <v>3.2757834187238009E-2</v>
      </c>
      <c r="J192" s="60">
        <f>SUMPRODUCT(N(Tabela1[Código]=Tabela2[[#This Row],[Ativo]]),Tabela1[Fechamento])</f>
        <v>21.47</v>
      </c>
      <c r="K192" s="60">
        <f>SUMPRODUCT(N(Tabela17[Código]=Tabela2[[#This Row],[Ativo]]),Tabela17[Fechamento])</f>
        <v>0</v>
      </c>
      <c r="L192" s="60">
        <f>SUMPRODUCT(N(Tabela2[Ativo]=Tabela2[[#This Row],[Ativo]]),N(Tabela2[Exercício]=Tabela2[[#This Row],[Exercício]]-1),Tabela2[Lucro Líquido])</f>
        <v>0</v>
      </c>
      <c r="M192" s="19" t="str">
        <f>IF(Tabela2[[#This Row],[Lucro Anterior]]=0,"",IF(Tabela2[[#This Row],[Lucro Líquido]]&gt;0,Tabela2[[#This Row],[Lucro Líquido]]/Tabela2[[#This Row],[Lucro Anterior]]-1,0))</f>
        <v/>
      </c>
    </row>
    <row r="193" spans="1:13" x14ac:dyDescent="0.2">
      <c r="A193" s="10" t="s">
        <v>309</v>
      </c>
      <c r="B193" s="3">
        <v>2012</v>
      </c>
      <c r="C193" s="5">
        <v>11833190.779999999</v>
      </c>
      <c r="D193" s="61">
        <f>SUMPRODUCT(N(Tabela3[PAPEL]=Tabela2[[#This Row],[Ativo]]),Tabela3[Total Ações])</f>
        <v>24948000</v>
      </c>
      <c r="E193" s="64">
        <f>(Tabela2[[#This Row],[Lucro Líquido]])/Tabela2[[#This Row],[Total Ações]]</f>
        <v>0.47431420474587138</v>
      </c>
      <c r="F193" s="64">
        <v>5.0590000000000003E-2</v>
      </c>
      <c r="G193" s="22">
        <f>IF(AND(Tabela2[[#This Row],[Dividendo / Ação]]&gt;0,Tabela2[[#This Row],[Lucro por ação]]&gt;0),Tabela2[[#This Row],[Dividendo / Ação]]/Tabela2[[#This Row],[Lucro por ação]],"")</f>
        <v>0.10665925560273948</v>
      </c>
      <c r="H193" s="50">
        <f>MAX(Tabela2[[#This Row],[Cotação 1]],Tabela2[[#This Row],[Cotação 2]])</f>
        <v>7.08</v>
      </c>
      <c r="I193" s="18">
        <f>IF(Tabela2[[#This Row],[Dividendo / Ação]]&gt;0,Tabela2[[#This Row],[Dividendo / Ação]]/Tabela2[[#This Row],[Cotação]],"")</f>
        <v>7.1454802259887009E-3</v>
      </c>
      <c r="J193" s="7">
        <f>SUMPRODUCT(N(Tabela1[Código]=Tabela2[[#This Row],[Ativo]]),Tabela1[Fechamento])</f>
        <v>0</v>
      </c>
      <c r="K193" s="7">
        <f>SUMPRODUCT(N(Tabela17[Código]=Tabela2[[#This Row],[Ativo]]),Tabela17[Fechamento])</f>
        <v>7.08</v>
      </c>
      <c r="L193" s="7">
        <f>SUMPRODUCT(N(Tabela2[Ativo]=Tabela2[[#This Row],[Ativo]]),N(Tabela2[Exercício]=Tabela2[[#This Row],[Exercício]]-1),Tabela2[Lucro Líquido])</f>
        <v>-9978849.7799999993</v>
      </c>
      <c r="M193" s="18">
        <f>IF(Tabela2[[#This Row],[Lucro Anterior]]=0,"",IF(Tabela2[[#This Row],[Lucro Líquido]]&gt;0,Tabela2[[#This Row],[Lucro Líquido]]/Tabela2[[#This Row],[Lucro Anterior]]-1,0))</f>
        <v>-2.1858271284648998</v>
      </c>
    </row>
    <row r="194" spans="1:13" x14ac:dyDescent="0.2">
      <c r="A194" s="10" t="s">
        <v>309</v>
      </c>
      <c r="B194" s="3">
        <v>2011</v>
      </c>
      <c r="C194" s="5">
        <v>-9978849.7799999993</v>
      </c>
      <c r="D194" s="61">
        <f>SUMPRODUCT(N(Tabela3[PAPEL]=Tabela2[[#This Row],[Ativo]]),Tabela3[Total Ações])</f>
        <v>24948000</v>
      </c>
      <c r="E194" s="64">
        <f>(Tabela2[[#This Row],[Lucro Líquido]])/Tabela2[[#This Row],[Total Ações]]</f>
        <v>-0.39998596200096198</v>
      </c>
      <c r="F194" s="64">
        <v>0</v>
      </c>
      <c r="G194" s="22" t="str">
        <f>IF(AND(Tabela2[[#This Row],[Dividendo / Ação]]&gt;0,Tabela2[[#This Row],[Lucro por ação]]&gt;0),Tabela2[[#This Row],[Dividendo / Ação]]/Tabela2[[#This Row],[Lucro por ação]],"")</f>
        <v/>
      </c>
      <c r="H194" s="50">
        <f>MAX(Tabela2[[#This Row],[Cotação 1]],Tabela2[[#This Row],[Cotação 2]])</f>
        <v>7.08</v>
      </c>
      <c r="I194" s="18" t="str">
        <f>IF(Tabela2[[#This Row],[Dividendo / Ação]]&gt;0,Tabela2[[#This Row],[Dividendo / Ação]]/Tabela2[[#This Row],[Cotação]],"")</f>
        <v/>
      </c>
      <c r="J194" s="7">
        <f>SUMPRODUCT(N(Tabela1[Código]=Tabela2[[#This Row],[Ativo]]),Tabela1[Fechamento])</f>
        <v>0</v>
      </c>
      <c r="K194" s="7">
        <f>SUMPRODUCT(N(Tabela17[Código]=Tabela2[[#This Row],[Ativo]]),Tabela17[Fechamento])</f>
        <v>7.08</v>
      </c>
      <c r="L194" s="7">
        <f>SUMPRODUCT(N(Tabela2[Ativo]=Tabela2[[#This Row],[Ativo]]),N(Tabela2[Exercício]=Tabela2[[#This Row],[Exercício]]-1),Tabela2[Lucro Líquido])</f>
        <v>9148149.2799999993</v>
      </c>
      <c r="M194" s="18">
        <f>IF(Tabela2[[#This Row],[Lucro Anterior]]=0,"",IF(Tabela2[[#This Row],[Lucro Líquido]]&gt;0,Tabela2[[#This Row],[Lucro Líquido]]/Tabela2[[#This Row],[Lucro Anterior]]-1,0))</f>
        <v>0</v>
      </c>
    </row>
    <row r="195" spans="1:13" x14ac:dyDescent="0.2">
      <c r="A195" s="10" t="s">
        <v>309</v>
      </c>
      <c r="B195" s="3">
        <v>2010</v>
      </c>
      <c r="C195" s="5">
        <v>9148149.2799999993</v>
      </c>
      <c r="D195" s="61">
        <f>SUMPRODUCT(N(Tabela3[PAPEL]=Tabela2[[#This Row],[Ativo]]),Tabela3[Total Ações])</f>
        <v>24948000</v>
      </c>
      <c r="E195" s="64">
        <f>(Tabela2[[#This Row],[Lucro Líquido]])/Tabela2[[#This Row],[Total Ações]]</f>
        <v>0.36668868366201696</v>
      </c>
      <c r="F195" s="64">
        <v>9.9110000000000004E-2</v>
      </c>
      <c r="G195" s="22">
        <f>IF(AND(Tabela2[[#This Row],[Dividendo / Ação]]&gt;0,Tabela2[[#This Row],[Lucro por ação]]&gt;0),Tabela2[[#This Row],[Dividendo / Ação]]/Tabela2[[#This Row],[Lucro por ação]],"")</f>
        <v>0.27028377044586227</v>
      </c>
      <c r="H195" s="50">
        <f>MAX(Tabela2[[#This Row],[Cotação 1]],Tabela2[[#This Row],[Cotação 2]])</f>
        <v>7.08</v>
      </c>
      <c r="I195" s="18">
        <f>IF(Tabela2[[#This Row],[Dividendo / Ação]]&gt;0,Tabela2[[#This Row],[Dividendo / Ação]]/Tabela2[[#This Row],[Cotação]],"")</f>
        <v>1.399858757062147E-2</v>
      </c>
      <c r="J195" s="7">
        <f>SUMPRODUCT(N(Tabela1[Código]=Tabela2[[#This Row],[Ativo]]),Tabela1[Fechamento])</f>
        <v>0</v>
      </c>
      <c r="K195" s="7">
        <f>SUMPRODUCT(N(Tabela17[Código]=Tabela2[[#This Row],[Ativo]]),Tabela17[Fechamento])</f>
        <v>7.08</v>
      </c>
      <c r="L195" s="7">
        <f>SUMPRODUCT(N(Tabela2[Ativo]=Tabela2[[#This Row],[Ativo]]),N(Tabela2[Exercício]=Tabela2[[#This Row],[Exercício]]-1),Tabela2[Lucro Líquido])</f>
        <v>8891946.6600000001</v>
      </c>
      <c r="M195" s="18">
        <f>IF(Tabela2[[#This Row],[Lucro Anterior]]=0,"",IF(Tabela2[[#This Row],[Lucro Líquido]]&gt;0,Tabela2[[#This Row],[Lucro Líquido]]/Tabela2[[#This Row],[Lucro Anterior]]-1,0))</f>
        <v>2.8812883139809564E-2</v>
      </c>
    </row>
    <row r="196" spans="1:13" x14ac:dyDescent="0.2">
      <c r="A196" s="10" t="s">
        <v>309</v>
      </c>
      <c r="B196" s="3">
        <v>2009</v>
      </c>
      <c r="C196" s="5">
        <v>8891946.6600000001</v>
      </c>
      <c r="D196" s="61">
        <f>SUMPRODUCT(N(Tabela3[PAPEL]=Tabela2[[#This Row],[Ativo]]),Tabela3[Total Ações])</f>
        <v>24948000</v>
      </c>
      <c r="E196" s="64">
        <f>(Tabela2[[#This Row],[Lucro Líquido]])/Tabela2[[#This Row],[Total Ações]]</f>
        <v>0.35641921837421836</v>
      </c>
      <c r="F196" s="64">
        <v>8.3030000000000007E-2</v>
      </c>
      <c r="G196" s="22">
        <f>IF(AND(Tabela2[[#This Row],[Dividendo / Ação]]&gt;0,Tabela2[[#This Row],[Lucro por ação]]&gt;0),Tabela2[[#This Row],[Dividendo / Ação]]/Tabela2[[#This Row],[Lucro por ação]],"")</f>
        <v>0.23295601280631167</v>
      </c>
      <c r="H196" s="50">
        <f>MAX(Tabela2[[#This Row],[Cotação 1]],Tabela2[[#This Row],[Cotação 2]])</f>
        <v>7.08</v>
      </c>
      <c r="I196" s="18">
        <f>IF(Tabela2[[#This Row],[Dividendo / Ação]]&gt;0,Tabela2[[#This Row],[Dividendo / Ação]]/Tabela2[[#This Row],[Cotação]],"")</f>
        <v>1.1727401129943504E-2</v>
      </c>
      <c r="J196" s="7">
        <f>SUMPRODUCT(N(Tabela1[Código]=Tabela2[[#This Row],[Ativo]]),Tabela1[Fechamento])</f>
        <v>0</v>
      </c>
      <c r="K196" s="7">
        <f>SUMPRODUCT(N(Tabela17[Código]=Tabela2[[#This Row],[Ativo]]),Tabela17[Fechamento])</f>
        <v>7.08</v>
      </c>
      <c r="L196" s="7">
        <f>SUMPRODUCT(N(Tabela2[Ativo]=Tabela2[[#This Row],[Ativo]]),N(Tabela2[Exercício]=Tabela2[[#This Row],[Exercício]]-1),Tabela2[Lucro Líquido])</f>
        <v>0</v>
      </c>
      <c r="M196" s="18" t="str">
        <f>IF(Tabela2[[#This Row],[Lucro Anterior]]=0,"",IF(Tabela2[[#This Row],[Lucro Líquido]]&gt;0,Tabela2[[#This Row],[Lucro Líquido]]/Tabela2[[#This Row],[Lucro Anterior]]-1,0))</f>
        <v/>
      </c>
    </row>
    <row r="197" spans="1:13" x14ac:dyDescent="0.2">
      <c r="A197" s="10" t="s">
        <v>310</v>
      </c>
      <c r="B197" s="3">
        <v>2012</v>
      </c>
      <c r="C197" s="5">
        <v>11833190.779999999</v>
      </c>
      <c r="D197" s="61">
        <f>SUMPRODUCT(N(Tabela3[PAPEL]=Tabela2[[#This Row],[Ativo]]),Tabela3[Total Ações])</f>
        <v>24948000</v>
      </c>
      <c r="E197" s="64">
        <f>(Tabela2[[#This Row],[Lucro Líquido]])/Tabela2[[#This Row],[Total Ações]]</f>
        <v>0.47431420474587138</v>
      </c>
      <c r="F197" s="64">
        <v>5.5649999999999998E-2</v>
      </c>
      <c r="G197" s="22">
        <f>IF(AND(Tabela2[[#This Row],[Dividendo / Ação]]&gt;0,Tabela2[[#This Row],[Lucro por ação]]&gt;0),Tabela2[[#This Row],[Dividendo / Ação]]/Tabela2[[#This Row],[Lucro por ação]],"")</f>
        <v>0.11732728947010183</v>
      </c>
      <c r="H197" s="50">
        <f>MAX(Tabela2[[#This Row],[Cotação 1]],Tabela2[[#This Row],[Cotação 2]])</f>
        <v>13.08</v>
      </c>
      <c r="I197" s="18">
        <f>IF(Tabela2[[#This Row],[Dividendo / Ação]]&gt;0,Tabela2[[#This Row],[Dividendo / Ação]]/Tabela2[[#This Row],[Cotação]],"")</f>
        <v>4.2545871559633028E-3</v>
      </c>
      <c r="J197" s="7">
        <f>SUMPRODUCT(N(Tabela1[Código]=Tabela2[[#This Row],[Ativo]]),Tabela1[Fechamento])</f>
        <v>0</v>
      </c>
      <c r="K197" s="7">
        <f>SUMPRODUCT(N(Tabela17[Código]=Tabela2[[#This Row],[Ativo]]),Tabela17[Fechamento])</f>
        <v>13.08</v>
      </c>
      <c r="L197" s="7">
        <f>SUMPRODUCT(N(Tabela2[Ativo]=Tabela2[[#This Row],[Ativo]]),N(Tabela2[Exercício]=Tabela2[[#This Row],[Exercício]]-1),Tabela2[Lucro Líquido])</f>
        <v>-9978849.7799999993</v>
      </c>
      <c r="M197" s="18">
        <f>IF(Tabela2[[#This Row],[Lucro Anterior]]=0,"",IF(Tabela2[[#This Row],[Lucro Líquido]]&gt;0,Tabela2[[#This Row],[Lucro Líquido]]/Tabela2[[#This Row],[Lucro Anterior]]-1,0))</f>
        <v>-2.1858271284648998</v>
      </c>
    </row>
    <row r="198" spans="1:13" x14ac:dyDescent="0.2">
      <c r="A198" s="10" t="s">
        <v>310</v>
      </c>
      <c r="B198" s="3">
        <v>2011</v>
      </c>
      <c r="C198" s="5">
        <v>-9978849.7799999993</v>
      </c>
      <c r="D198" s="61">
        <f>SUMPRODUCT(N(Tabela3[PAPEL]=Tabela2[[#This Row],[Ativo]]),Tabela3[Total Ações])</f>
        <v>24948000</v>
      </c>
      <c r="E198" s="64">
        <f>(Tabela2[[#This Row],[Lucro Líquido]])/Tabela2[[#This Row],[Total Ações]]</f>
        <v>-0.39998596200096198</v>
      </c>
      <c r="F198" s="64">
        <v>0</v>
      </c>
      <c r="G198" s="22" t="str">
        <f>IF(AND(Tabela2[[#This Row],[Dividendo / Ação]]&gt;0,Tabela2[[#This Row],[Lucro por ação]]&gt;0),Tabela2[[#This Row],[Dividendo / Ação]]/Tabela2[[#This Row],[Lucro por ação]],"")</f>
        <v/>
      </c>
      <c r="H198" s="50">
        <f>MAX(Tabela2[[#This Row],[Cotação 1]],Tabela2[[#This Row],[Cotação 2]])</f>
        <v>13.08</v>
      </c>
      <c r="I198" s="18" t="str">
        <f>IF(Tabela2[[#This Row],[Dividendo / Ação]]&gt;0,Tabela2[[#This Row],[Dividendo / Ação]]/Tabela2[[#This Row],[Cotação]],"")</f>
        <v/>
      </c>
      <c r="J198" s="7">
        <f>SUMPRODUCT(N(Tabela1[Código]=Tabela2[[#This Row],[Ativo]]),Tabela1[Fechamento])</f>
        <v>0</v>
      </c>
      <c r="K198" s="7">
        <f>SUMPRODUCT(N(Tabela17[Código]=Tabela2[[#This Row],[Ativo]]),Tabela17[Fechamento])</f>
        <v>13.08</v>
      </c>
      <c r="L198" s="7">
        <f>SUMPRODUCT(N(Tabela2[Ativo]=Tabela2[[#This Row],[Ativo]]),N(Tabela2[Exercício]=Tabela2[[#This Row],[Exercício]]-1),Tabela2[Lucro Líquido])</f>
        <v>9148149.2799999993</v>
      </c>
      <c r="M198" s="18">
        <f>IF(Tabela2[[#This Row],[Lucro Anterior]]=0,"",IF(Tabela2[[#This Row],[Lucro Líquido]]&gt;0,Tabela2[[#This Row],[Lucro Líquido]]/Tabela2[[#This Row],[Lucro Anterior]]-1,0))</f>
        <v>0</v>
      </c>
    </row>
    <row r="199" spans="1:13" x14ac:dyDescent="0.2">
      <c r="A199" s="10" t="s">
        <v>310</v>
      </c>
      <c r="B199" s="3">
        <v>2010</v>
      </c>
      <c r="C199" s="5">
        <v>9148149.2799999993</v>
      </c>
      <c r="D199" s="61">
        <f>SUMPRODUCT(N(Tabela3[PAPEL]=Tabela2[[#This Row],[Ativo]]),Tabela3[Total Ações])</f>
        <v>24948000</v>
      </c>
      <c r="E199" s="64">
        <f>(Tabela2[[#This Row],[Lucro Líquido]])/Tabela2[[#This Row],[Total Ações]]</f>
        <v>0.36668868366201696</v>
      </c>
      <c r="F199" s="64">
        <v>0.10902000000000001</v>
      </c>
      <c r="G199" s="22">
        <f>IF(AND(Tabela2[[#This Row],[Dividendo / Ação]]&gt;0,Tabela2[[#This Row],[Lucro por ação]]&gt;0),Tabela2[[#This Row],[Dividendo / Ação]]/Tabela2[[#This Row],[Lucro por ação]],"")</f>
        <v>0.29730942038147418</v>
      </c>
      <c r="H199" s="50">
        <f>MAX(Tabela2[[#This Row],[Cotação 1]],Tabela2[[#This Row],[Cotação 2]])</f>
        <v>13.08</v>
      </c>
      <c r="I199" s="18">
        <f>IF(Tabela2[[#This Row],[Dividendo / Ação]]&gt;0,Tabela2[[#This Row],[Dividendo / Ação]]/Tabela2[[#This Row],[Cotação]],"")</f>
        <v>8.3348623853211016E-3</v>
      </c>
      <c r="J199" s="7">
        <f>SUMPRODUCT(N(Tabela1[Código]=Tabela2[[#This Row],[Ativo]]),Tabela1[Fechamento])</f>
        <v>0</v>
      </c>
      <c r="K199" s="7">
        <f>SUMPRODUCT(N(Tabela17[Código]=Tabela2[[#This Row],[Ativo]]),Tabela17[Fechamento])</f>
        <v>13.08</v>
      </c>
      <c r="L199" s="7">
        <f>SUMPRODUCT(N(Tabela2[Ativo]=Tabela2[[#This Row],[Ativo]]),N(Tabela2[Exercício]=Tabela2[[#This Row],[Exercício]]-1),Tabela2[Lucro Líquido])</f>
        <v>8891946.6600000001</v>
      </c>
      <c r="M199" s="18">
        <f>IF(Tabela2[[#This Row],[Lucro Anterior]]=0,"",IF(Tabela2[[#This Row],[Lucro Líquido]]&gt;0,Tabela2[[#This Row],[Lucro Líquido]]/Tabela2[[#This Row],[Lucro Anterior]]-1,0))</f>
        <v>2.8812883139809564E-2</v>
      </c>
    </row>
    <row r="200" spans="1:13" x14ac:dyDescent="0.2">
      <c r="A200" s="10" t="s">
        <v>310</v>
      </c>
      <c r="B200" s="3">
        <v>2009</v>
      </c>
      <c r="C200" s="5">
        <v>8891946.6600000001</v>
      </c>
      <c r="D200" s="61">
        <f>SUMPRODUCT(N(Tabela3[PAPEL]=Tabela2[[#This Row],[Ativo]]),Tabela3[Total Ações])</f>
        <v>24948000</v>
      </c>
      <c r="E200" s="64">
        <f>(Tabela2[[#This Row],[Lucro Líquido]])/Tabela2[[#This Row],[Total Ações]]</f>
        <v>0.35641921837421836</v>
      </c>
      <c r="F200" s="64">
        <v>9.1329999999999995E-2</v>
      </c>
      <c r="G200" s="22">
        <f>IF(AND(Tabela2[[#This Row],[Dividendo / Ação]]&gt;0,Tabela2[[#This Row],[Lucro por ação]]&gt;0),Tabela2[[#This Row],[Dividendo / Ação]]/Tabela2[[#This Row],[Lucro por ação]],"")</f>
        <v>0.25624319703240322</v>
      </c>
      <c r="H200" s="50">
        <f>MAX(Tabela2[[#This Row],[Cotação 1]],Tabela2[[#This Row],[Cotação 2]])</f>
        <v>13.08</v>
      </c>
      <c r="I200" s="18">
        <f>IF(Tabela2[[#This Row],[Dividendo / Ação]]&gt;0,Tabela2[[#This Row],[Dividendo / Ação]]/Tabela2[[#This Row],[Cotação]],"")</f>
        <v>6.9824159021406726E-3</v>
      </c>
      <c r="J200" s="7">
        <f>SUMPRODUCT(N(Tabela1[Código]=Tabela2[[#This Row],[Ativo]]),Tabela1[Fechamento])</f>
        <v>0</v>
      </c>
      <c r="K200" s="7">
        <f>SUMPRODUCT(N(Tabela17[Código]=Tabela2[[#This Row],[Ativo]]),Tabela17[Fechamento])</f>
        <v>13.08</v>
      </c>
      <c r="L200" s="7">
        <f>SUMPRODUCT(N(Tabela2[Ativo]=Tabela2[[#This Row],[Ativo]]),N(Tabela2[Exercício]=Tabela2[[#This Row],[Exercício]]-1),Tabela2[Lucro Líquido])</f>
        <v>0</v>
      </c>
      <c r="M200" s="18" t="str">
        <f>IF(Tabela2[[#This Row],[Lucro Anterior]]=0,"",IF(Tabela2[[#This Row],[Lucro Líquido]]&gt;0,Tabela2[[#This Row],[Lucro Líquido]]/Tabela2[[#This Row],[Lucro Anterior]]-1,0))</f>
        <v/>
      </c>
    </row>
    <row r="201" spans="1:13" x14ac:dyDescent="0.2">
      <c r="A201" s="4" t="s">
        <v>72</v>
      </c>
      <c r="B201" s="4">
        <v>2012</v>
      </c>
      <c r="C201" s="6">
        <v>-258366398.66</v>
      </c>
      <c r="D201" s="8">
        <f>SUMPRODUCT(N(Tabela3[PAPEL]=Tabela2[[#This Row],[Ativo]]),Tabela3[Total Ações])</f>
        <v>38571591</v>
      </c>
      <c r="E201" s="65">
        <f>(Tabela2[[#This Row],[Lucro Líquido]])/Tabela2[[#This Row],[Total Ações]]</f>
        <v>-6.6983599058695811</v>
      </c>
      <c r="F201" s="65">
        <v>0</v>
      </c>
      <c r="G201" s="45" t="str">
        <f>IF(AND(Tabela2[[#This Row],[Dividendo / Ação]]&gt;0,Tabela2[[#This Row],[Lucro por ação]]&gt;0),Tabela2[[#This Row],[Dividendo / Ação]]/Tabela2[[#This Row],[Lucro por ação]],"")</f>
        <v/>
      </c>
      <c r="H201" s="6">
        <f>MAX(Tabela2[[#This Row],[Cotação 1]],Tabela2[[#This Row],[Cotação 2]])</f>
        <v>15.9</v>
      </c>
      <c r="I201" s="19" t="str">
        <f>IF(Tabela2[[#This Row],[Dividendo / Ação]]&gt;0,Tabela2[[#This Row],[Dividendo / Ação]]/Tabela2[[#This Row],[Cotação]],"")</f>
        <v/>
      </c>
      <c r="J201" s="60">
        <f>SUMPRODUCT(N(Tabela1[Código]=Tabela2[[#This Row],[Ativo]]),Tabela1[Fechamento])</f>
        <v>15.9</v>
      </c>
      <c r="K201" s="60">
        <f>SUMPRODUCT(N(Tabela17[Código]=Tabela2[[#This Row],[Ativo]]),Tabela17[Fechamento])</f>
        <v>0</v>
      </c>
      <c r="L201" s="60">
        <f>SUMPRODUCT(N(Tabela2[Ativo]=Tabela2[[#This Row],[Ativo]]),N(Tabela2[Exercício]=Tabela2[[#This Row],[Exercício]]-1),Tabela2[Lucro Líquido])</f>
        <v>323886563.73000002</v>
      </c>
      <c r="M201" s="19">
        <f>IF(Tabela2[[#This Row],[Lucro Anterior]]=0,"",IF(Tabela2[[#This Row],[Lucro Líquido]]&gt;0,Tabela2[[#This Row],[Lucro Líquido]]/Tabela2[[#This Row],[Lucro Anterior]]-1,0))</f>
        <v>0</v>
      </c>
    </row>
    <row r="202" spans="1:13" x14ac:dyDescent="0.2">
      <c r="A202" s="4" t="s">
        <v>72</v>
      </c>
      <c r="B202" s="4">
        <v>2011</v>
      </c>
      <c r="C202" s="6">
        <v>323886563.73000002</v>
      </c>
      <c r="D202" s="8">
        <f>SUMPRODUCT(N(Tabela3[PAPEL]=Tabela2[[#This Row],[Ativo]]),Tabela3[Total Ações])</f>
        <v>38571591</v>
      </c>
      <c r="E202" s="65">
        <f>(Tabela2[[#This Row],[Lucro Líquido]])/Tabela2[[#This Row],[Total Ações]]</f>
        <v>8.3970236988668692</v>
      </c>
      <c r="F202" s="65">
        <v>2.2201449599999998</v>
      </c>
      <c r="G202" s="45">
        <f>IF(AND(Tabela2[[#This Row],[Dividendo / Ação]]&gt;0,Tabela2[[#This Row],[Lucro por ação]]&gt;0),Tabela2[[#This Row],[Dividendo / Ação]]/Tabela2[[#This Row],[Lucro por ação]],"")</f>
        <v>0.26439665286398989</v>
      </c>
      <c r="H202" s="6">
        <f>MAX(Tabela2[[#This Row],[Cotação 1]],Tabela2[[#This Row],[Cotação 2]])</f>
        <v>15.9</v>
      </c>
      <c r="I202" s="19">
        <f>IF(Tabela2[[#This Row],[Dividendo / Ação]]&gt;0,Tabela2[[#This Row],[Dividendo / Ação]]/Tabela2[[#This Row],[Cotação]],"")</f>
        <v>0.13963175849056603</v>
      </c>
      <c r="J202" s="60">
        <f>SUMPRODUCT(N(Tabela1[Código]=Tabela2[[#This Row],[Ativo]]),Tabela1[Fechamento])</f>
        <v>15.9</v>
      </c>
      <c r="K202" s="60">
        <f>SUMPRODUCT(N(Tabela17[Código]=Tabela2[[#This Row],[Ativo]]),Tabela17[Fechamento])</f>
        <v>0</v>
      </c>
      <c r="L202" s="60">
        <f>SUMPRODUCT(N(Tabela2[Ativo]=Tabela2[[#This Row],[Ativo]]),N(Tabela2[Exercício]=Tabela2[[#This Row],[Exercício]]-1),Tabela2[Lucro Líquido])</f>
        <v>259841000</v>
      </c>
      <c r="M202" s="19">
        <f>IF(Tabela2[[#This Row],[Lucro Anterior]]=0,"",IF(Tabela2[[#This Row],[Lucro Líquido]]&gt;0,Tabela2[[#This Row],[Lucro Líquido]]/Tabela2[[#This Row],[Lucro Anterior]]-1,0))</f>
        <v>0.24647982316108696</v>
      </c>
    </row>
    <row r="203" spans="1:13" x14ac:dyDescent="0.2">
      <c r="A203" s="4" t="s">
        <v>72</v>
      </c>
      <c r="B203" s="4">
        <v>2010</v>
      </c>
      <c r="C203" s="6">
        <v>259841000</v>
      </c>
      <c r="D203" s="8">
        <f>SUMPRODUCT(N(Tabela3[PAPEL]=Tabela2[[#This Row],[Ativo]]),Tabela3[Total Ações])</f>
        <v>38571591</v>
      </c>
      <c r="E203" s="65">
        <f>(Tabela2[[#This Row],[Lucro Líquido]])/Tabela2[[#This Row],[Total Ações]]</f>
        <v>6.7365901499888867</v>
      </c>
      <c r="F203" s="65">
        <v>2.09736089</v>
      </c>
      <c r="G203" s="45">
        <f>IF(AND(Tabela2[[#This Row],[Dividendo / Ação]]&gt;0,Tabela2[[#This Row],[Lucro por ação]]&gt;0),Tabela2[[#This Row],[Dividendo / Ação]]/Tabela2[[#This Row],[Lucro por ação]],"")</f>
        <v>0.31133865105382136</v>
      </c>
      <c r="H203" s="6">
        <f>MAX(Tabela2[[#This Row],[Cotação 1]],Tabela2[[#This Row],[Cotação 2]])</f>
        <v>15.9</v>
      </c>
      <c r="I203" s="19">
        <f>IF(Tabela2[[#This Row],[Dividendo / Ação]]&gt;0,Tabela2[[#This Row],[Dividendo / Ação]]/Tabela2[[#This Row],[Cotação]],"")</f>
        <v>0.13190948993710691</v>
      </c>
      <c r="J203" s="60">
        <f>SUMPRODUCT(N(Tabela1[Código]=Tabela2[[#This Row],[Ativo]]),Tabela1[Fechamento])</f>
        <v>15.9</v>
      </c>
      <c r="K203" s="60">
        <f>SUMPRODUCT(N(Tabela17[Código]=Tabela2[[#This Row],[Ativo]]),Tabela17[Fechamento])</f>
        <v>0</v>
      </c>
      <c r="L203" s="60">
        <f>SUMPRODUCT(N(Tabela2[Ativo]=Tabela2[[#This Row],[Ativo]]),N(Tabela2[Exercício]=Tabela2[[#This Row],[Exercício]]-1),Tabela2[Lucro Líquido])</f>
        <v>120919000</v>
      </c>
      <c r="M203" s="19">
        <f>IF(Tabela2[[#This Row],[Lucro Anterior]]=0,"",IF(Tabela2[[#This Row],[Lucro Líquido]]&gt;0,Tabela2[[#This Row],[Lucro Líquido]]/Tabela2[[#This Row],[Lucro Anterior]]-1,0))</f>
        <v>1.1488847906449773</v>
      </c>
    </row>
    <row r="204" spans="1:13" x14ac:dyDescent="0.2">
      <c r="A204" s="4" t="s">
        <v>72</v>
      </c>
      <c r="B204" s="4">
        <v>2009</v>
      </c>
      <c r="C204" s="6">
        <v>120919000</v>
      </c>
      <c r="D204" s="8">
        <f>SUMPRODUCT(N(Tabela3[PAPEL]=Tabela2[[#This Row],[Ativo]]),Tabela3[Total Ações])</f>
        <v>38571591</v>
      </c>
      <c r="E204" s="65">
        <f>(Tabela2[[#This Row],[Lucro Líquido]])/Tabela2[[#This Row],[Total Ações]]</f>
        <v>3.1349238355244409</v>
      </c>
      <c r="F204" s="65">
        <v>0.97620123000000003</v>
      </c>
      <c r="G204" s="45">
        <f>IF(AND(Tabela2[[#This Row],[Dividendo / Ação]]&gt;0,Tabela2[[#This Row],[Lucro por ação]]&gt;0),Tabela2[[#This Row],[Dividendo / Ação]]/Tabela2[[#This Row],[Lucro por ação]],"")</f>
        <v>0.31139551747249755</v>
      </c>
      <c r="H204" s="6">
        <f>MAX(Tabela2[[#This Row],[Cotação 1]],Tabela2[[#This Row],[Cotação 2]])</f>
        <v>15.9</v>
      </c>
      <c r="I204" s="19">
        <f>IF(Tabela2[[#This Row],[Dividendo / Ação]]&gt;0,Tabela2[[#This Row],[Dividendo / Ação]]/Tabela2[[#This Row],[Cotação]],"")</f>
        <v>6.1396303773584904E-2</v>
      </c>
      <c r="J204" s="60">
        <f>SUMPRODUCT(N(Tabela1[Código]=Tabela2[[#This Row],[Ativo]]),Tabela1[Fechamento])</f>
        <v>15.9</v>
      </c>
      <c r="K204" s="60">
        <f>SUMPRODUCT(N(Tabela17[Código]=Tabela2[[#This Row],[Ativo]]),Tabela17[Fechamento])</f>
        <v>0</v>
      </c>
      <c r="L204" s="60">
        <f>SUMPRODUCT(N(Tabela2[Ativo]=Tabela2[[#This Row],[Ativo]]),N(Tabela2[Exercício]=Tabela2[[#This Row],[Exercício]]-1),Tabela2[Lucro Líquido])</f>
        <v>245522000</v>
      </c>
      <c r="M204" s="19">
        <f>IF(Tabela2[[#This Row],[Lucro Anterior]]=0,"",IF(Tabela2[[#This Row],[Lucro Líquido]]&gt;0,Tabela2[[#This Row],[Lucro Líquido]]/Tabela2[[#This Row],[Lucro Anterior]]-1,0))</f>
        <v>-0.50750238267853798</v>
      </c>
    </row>
    <row r="205" spans="1:13" x14ac:dyDescent="0.2">
      <c r="A205" s="4" t="s">
        <v>72</v>
      </c>
      <c r="B205" s="4">
        <v>2008</v>
      </c>
      <c r="C205" s="6">
        <v>245522000</v>
      </c>
      <c r="D205" s="8">
        <f>SUMPRODUCT(N(Tabela3[PAPEL]=Tabela2[[#This Row],[Ativo]]),Tabela3[Total Ações])</f>
        <v>38571591</v>
      </c>
      <c r="E205" s="65">
        <f>(Tabela2[[#This Row],[Lucro Líquido]])/Tabela2[[#This Row],[Total Ações]]</f>
        <v>6.3653583799537854</v>
      </c>
      <c r="F205" s="65">
        <v>1.9821435199999999</v>
      </c>
      <c r="G205" s="45">
        <f>IF(AND(Tabela2[[#This Row],[Dividendo / Ação]]&gt;0,Tabela2[[#This Row],[Lucro por ação]]&gt;0),Tabela2[[#This Row],[Dividendo / Ação]]/Tabela2[[#This Row],[Lucro por ação]],"")</f>
        <v>0.31139543159773997</v>
      </c>
      <c r="H205" s="6">
        <f>MAX(Tabela2[[#This Row],[Cotação 1]],Tabela2[[#This Row],[Cotação 2]])</f>
        <v>15.9</v>
      </c>
      <c r="I205" s="19">
        <f>IF(Tabela2[[#This Row],[Dividendo / Ação]]&gt;0,Tabela2[[#This Row],[Dividendo / Ação]]/Tabela2[[#This Row],[Cotação]],"")</f>
        <v>0.1246631144654088</v>
      </c>
      <c r="J205" s="60">
        <f>SUMPRODUCT(N(Tabela1[Código]=Tabela2[[#This Row],[Ativo]]),Tabela1[Fechamento])</f>
        <v>15.9</v>
      </c>
      <c r="K205" s="60">
        <f>SUMPRODUCT(N(Tabela17[Código]=Tabela2[[#This Row],[Ativo]]),Tabela17[Fechamento])</f>
        <v>0</v>
      </c>
      <c r="L205" s="60">
        <f>SUMPRODUCT(N(Tabela2[Ativo]=Tabela2[[#This Row],[Ativo]]),N(Tabela2[Exercício]=Tabela2[[#This Row],[Exercício]]-1),Tabela2[Lucro Líquido])</f>
        <v>0</v>
      </c>
      <c r="M205" s="19" t="str">
        <f>IF(Tabela2[[#This Row],[Lucro Anterior]]=0,"",IF(Tabela2[[#This Row],[Lucro Líquido]]&gt;0,Tabela2[[#This Row],[Lucro Líquido]]/Tabela2[[#This Row],[Lucro Anterior]]-1,0))</f>
        <v/>
      </c>
    </row>
    <row r="206" spans="1:13" x14ac:dyDescent="0.2">
      <c r="A206" s="4" t="s">
        <v>31</v>
      </c>
      <c r="B206" s="4">
        <v>2012</v>
      </c>
      <c r="C206" s="6">
        <v>4271685000</v>
      </c>
      <c r="D206" s="8">
        <f>SUMPRODUCT(N(Tabela3[PAPEL]=Tabela2[[#This Row],[Ativo]]),Tabela3[Total Ações])</f>
        <v>0</v>
      </c>
      <c r="E206" s="65" t="e">
        <f>(Tabela2[[#This Row],[Lucro Líquido]])/Tabela2[[#This Row],[Total Ações]]</f>
        <v>#DIV/0!</v>
      </c>
      <c r="F206" s="65">
        <v>1.4286055</v>
      </c>
      <c r="G206" s="45" t="e">
        <f>IF(AND(Tabela2[[#This Row],[Dividendo / Ação]]&gt;0,Tabela2[[#This Row],[Lucro por ação]]&gt;0),Tabela2[[#This Row],[Dividendo / Ação]]/Tabela2[[#This Row],[Lucro por ação]],"")</f>
        <v>#DIV/0!</v>
      </c>
      <c r="H206" s="6">
        <f>MAX(Tabela2[[#This Row],[Cotação 1]],Tabela2[[#This Row],[Cotação 2]])</f>
        <v>13.81</v>
      </c>
      <c r="I206" s="19">
        <f>IF(Tabela2[[#This Row],[Dividendo / Ação]]&gt;0,Tabela2[[#This Row],[Dividendo / Ação]]/Tabela2[[#This Row],[Cotação]],"")</f>
        <v>0.10344717595944967</v>
      </c>
      <c r="J206" s="60">
        <f>SUMPRODUCT(N(Tabela1[Código]=Tabela2[[#This Row],[Ativo]]),Tabela1[Fechamento])</f>
        <v>13.81</v>
      </c>
      <c r="K206" s="60">
        <f>SUMPRODUCT(N(Tabela17[Código]=Tabela2[[#This Row],[Ativo]]),Tabela17[Fechamento])</f>
        <v>0</v>
      </c>
      <c r="L206" s="60">
        <f>SUMPRODUCT(N(Tabela2[Ativo]=Tabela2[[#This Row],[Ativo]]),N(Tabela2[Exercício]=Tabela2[[#This Row],[Exercício]]-1),Tabela2[Lucro Líquido])</f>
        <v>2415450000</v>
      </c>
      <c r="M206" s="19">
        <f>IF(Tabela2[[#This Row],[Lucro Anterior]]=0,"",IF(Tabela2[[#This Row],[Lucro Líquido]]&gt;0,Tabela2[[#This Row],[Lucro Líquido]]/Tabela2[[#This Row],[Lucro Anterior]]-1,0))</f>
        <v>0.76848413339129351</v>
      </c>
    </row>
    <row r="207" spans="1:13" x14ac:dyDescent="0.2">
      <c r="A207" s="4" t="s">
        <v>31</v>
      </c>
      <c r="B207" s="3">
        <v>2011</v>
      </c>
      <c r="C207" s="5">
        <v>2415450000</v>
      </c>
      <c r="D207" s="61">
        <f>SUMPRODUCT(N(Tabela3[PAPEL]=Tabela2[[#This Row],[Ativo]]),Tabela3[Total Ações])</f>
        <v>0</v>
      </c>
      <c r="E207" s="64" t="e">
        <f>(Tabela2[[#This Row],[Lucro Líquido]])/Tabela2[[#This Row],[Total Ações]]</f>
        <v>#DIV/0!</v>
      </c>
      <c r="F207" s="64">
        <v>1.9</v>
      </c>
      <c r="G207" s="22" t="e">
        <f>IF(AND(Tabela2[[#This Row],[Dividendo / Ação]]&gt;0,Tabela2[[#This Row],[Lucro por ação]]&gt;0),Tabela2[[#This Row],[Dividendo / Ação]]/Tabela2[[#This Row],[Lucro por ação]],"")</f>
        <v>#DIV/0!</v>
      </c>
      <c r="H207" s="5">
        <f>MAX(Tabela2[[#This Row],[Cotação 1]],Tabela2[[#This Row],[Cotação 2]])</f>
        <v>13.81</v>
      </c>
      <c r="I207" s="18">
        <f>IF(Tabela2[[#This Row],[Dividendo / Ação]]&gt;0,Tabela2[[#This Row],[Dividendo / Ação]]/Tabela2[[#This Row],[Cotação]],"")</f>
        <v>0.13758146270818247</v>
      </c>
      <c r="J207" s="59">
        <f>SUMPRODUCT(N(Tabela1[Código]=Tabela2[[#This Row],[Ativo]]),Tabela1[Fechamento])</f>
        <v>13.81</v>
      </c>
      <c r="K207" s="59">
        <f>SUMPRODUCT(N(Tabela17[Código]=Tabela2[[#This Row],[Ativo]]),Tabela17[Fechamento])</f>
        <v>0</v>
      </c>
      <c r="L207" s="59">
        <f>SUMPRODUCT(N(Tabela2[Ativo]=Tabela2[[#This Row],[Ativo]]),N(Tabela2[Exercício]=Tabela2[[#This Row],[Exercício]]-1),Tabela2[Lucro Líquido])</f>
        <v>2257976000</v>
      </c>
      <c r="M207" s="18">
        <f>IF(Tabela2[[#This Row],[Lucro Anterior]]=0,"",IF(Tabela2[[#This Row],[Lucro Líquido]]&gt;0,Tabela2[[#This Row],[Lucro Líquido]]/Tabela2[[#This Row],[Lucro Anterior]]-1,0))</f>
        <v>6.9741219570092827E-2</v>
      </c>
    </row>
    <row r="208" spans="1:13" x14ac:dyDescent="0.2">
      <c r="A208" s="4" t="s">
        <v>31</v>
      </c>
      <c r="B208" s="3">
        <v>2010</v>
      </c>
      <c r="C208" s="5">
        <v>2257976000</v>
      </c>
      <c r="D208" s="61">
        <f>SUMPRODUCT(N(Tabela3[PAPEL]=Tabela2[[#This Row],[Ativo]]),Tabela3[Total Ações])</f>
        <v>0</v>
      </c>
      <c r="E208" s="64" t="e">
        <f>(Tabela2[[#This Row],[Lucro Líquido]])/Tabela2[[#This Row],[Total Ações]]</f>
        <v>#DIV/0!</v>
      </c>
      <c r="F208" s="64">
        <v>1.75</v>
      </c>
      <c r="G208" s="22" t="e">
        <f>IF(AND(Tabela2[[#This Row],[Dividendo / Ação]]&gt;0,Tabela2[[#This Row],[Lucro por ação]]&gt;0),Tabela2[[#This Row],[Dividendo / Ação]]/Tabela2[[#This Row],[Lucro por ação]],"")</f>
        <v>#DIV/0!</v>
      </c>
      <c r="H208" s="5">
        <f>MAX(Tabela2[[#This Row],[Cotação 1]],Tabela2[[#This Row],[Cotação 2]])</f>
        <v>13.81</v>
      </c>
      <c r="I208" s="18">
        <f>IF(Tabela2[[#This Row],[Dividendo / Ação]]&gt;0,Tabela2[[#This Row],[Dividendo / Ação]]/Tabela2[[#This Row],[Cotação]],"")</f>
        <v>0.12671976828385229</v>
      </c>
      <c r="J208" s="59">
        <f>SUMPRODUCT(N(Tabela1[Código]=Tabela2[[#This Row],[Ativo]]),Tabela1[Fechamento])</f>
        <v>13.81</v>
      </c>
      <c r="K208" s="59">
        <f>SUMPRODUCT(N(Tabela17[Código]=Tabela2[[#This Row],[Ativo]]),Tabela17[Fechamento])</f>
        <v>0</v>
      </c>
      <c r="L208" s="59">
        <f>SUMPRODUCT(N(Tabela2[Ativo]=Tabela2[[#This Row],[Ativo]]),N(Tabela2[Exercício]=Tabela2[[#This Row],[Exercício]]-1),Tabela2[Lucro Líquido])</f>
        <v>1861403000</v>
      </c>
      <c r="M208" s="18">
        <f>IF(Tabela2[[#This Row],[Lucro Anterior]]=0,"",IF(Tabela2[[#This Row],[Lucro Líquido]]&gt;0,Tabela2[[#This Row],[Lucro Líquido]]/Tabela2[[#This Row],[Lucro Anterior]]-1,0))</f>
        <v>0.21305058603644667</v>
      </c>
    </row>
    <row r="209" spans="1:14" x14ac:dyDescent="0.2">
      <c r="A209" s="4" t="s">
        <v>31</v>
      </c>
      <c r="B209" s="3">
        <v>2009</v>
      </c>
      <c r="C209" s="5">
        <v>1861403000</v>
      </c>
      <c r="D209" s="61">
        <f>SUMPRODUCT(N(Tabela3[PAPEL]=Tabela2[[#This Row],[Ativo]]),Tabela3[Total Ações])</f>
        <v>0</v>
      </c>
      <c r="E209" s="64" t="e">
        <f>(Tabela2[[#This Row],[Lucro Líquido]])/Tabela2[[#This Row],[Total Ações]]</f>
        <v>#DIV/0!</v>
      </c>
      <c r="F209" s="64">
        <v>1.5</v>
      </c>
      <c r="G209" s="22" t="e">
        <f>IF(AND(Tabela2[[#This Row],[Dividendo / Ação]]&gt;0,Tabela2[[#This Row],[Lucro por ação]]&gt;0),Tabela2[[#This Row],[Dividendo / Ação]]/Tabela2[[#This Row],[Lucro por ação]],"")</f>
        <v>#DIV/0!</v>
      </c>
      <c r="H209" s="5">
        <f>MAX(Tabela2[[#This Row],[Cotação 1]],Tabela2[[#This Row],[Cotação 2]])</f>
        <v>13.81</v>
      </c>
      <c r="I209" s="18">
        <f>IF(Tabela2[[#This Row],[Dividendo / Ação]]&gt;0,Tabela2[[#This Row],[Dividendo / Ação]]/Tabela2[[#This Row],[Cotação]],"")</f>
        <v>0.10861694424330195</v>
      </c>
      <c r="J209" s="59">
        <f>SUMPRODUCT(N(Tabela1[Código]=Tabela2[[#This Row],[Ativo]]),Tabela1[Fechamento])</f>
        <v>13.81</v>
      </c>
      <c r="K209" s="59">
        <f>SUMPRODUCT(N(Tabela17[Código]=Tabela2[[#This Row],[Ativo]]),Tabela17[Fechamento])</f>
        <v>0</v>
      </c>
      <c r="L209" s="59">
        <f>SUMPRODUCT(N(Tabela2[Ativo]=Tabela2[[#This Row],[Ativo]]),N(Tabela2[Exercício]=Tabela2[[#This Row],[Exercício]]-1),Tabela2[Lucro Líquido])</f>
        <v>0</v>
      </c>
      <c r="M209" s="18" t="str">
        <f>IF(Tabela2[[#This Row],[Lucro Anterior]]=0,"",IF(Tabela2[[#This Row],[Lucro Líquido]]&gt;0,Tabela2[[#This Row],[Lucro Líquido]]/Tabela2[[#This Row],[Lucro Anterior]]-1,0))</f>
        <v/>
      </c>
    </row>
    <row r="210" spans="1:14" x14ac:dyDescent="0.2">
      <c r="A210" s="4" t="s">
        <v>30</v>
      </c>
      <c r="B210" s="4">
        <v>2012</v>
      </c>
      <c r="C210" s="6">
        <v>4271685000</v>
      </c>
      <c r="D210" s="8">
        <f>SUMPRODUCT(N(Tabela3[PAPEL]=Tabela2[[#This Row],[Ativo]]),Tabela3[Total Ações])</f>
        <v>962672385</v>
      </c>
      <c r="E210" s="65">
        <f>(Tabela2[[#This Row],[Lucro Líquido]])/Tabela2[[#This Row],[Total Ações]]</f>
        <v>4.4373195560190499</v>
      </c>
      <c r="F210" s="65">
        <v>1.4286055</v>
      </c>
      <c r="G210" s="45">
        <f>IF(AND(Tabela2[[#This Row],[Dividendo / Ação]]&gt;0,Tabela2[[#This Row],[Lucro por ação]]&gt;0),Tabela2[[#This Row],[Dividendo / Ação]]/Tabela2[[#This Row],[Lucro por ação]],"")</f>
        <v>0.32195235929360838</v>
      </c>
      <c r="H210" s="6">
        <f>MAX(Tabela2[[#This Row],[Cotação 1]],Tabela2[[#This Row],[Cotação 2]])</f>
        <v>13.3</v>
      </c>
      <c r="I210" s="19">
        <f>IF(Tabela2[[#This Row],[Dividendo / Ação]]&gt;0,Tabela2[[#This Row],[Dividendo / Ação]]/Tabela2[[#This Row],[Cotação]],"")</f>
        <v>0.10741394736842104</v>
      </c>
      <c r="J210" s="60">
        <f>SUMPRODUCT(N(Tabela1[Código]=Tabela2[[#This Row],[Ativo]]),Tabela1[Fechamento])</f>
        <v>13.3</v>
      </c>
      <c r="K210" s="60">
        <f>SUMPRODUCT(N(Tabela17[Código]=Tabela2[[#This Row],[Ativo]]),Tabela17[Fechamento])</f>
        <v>0</v>
      </c>
      <c r="L210" s="60">
        <f>SUMPRODUCT(N(Tabela2[Ativo]=Tabela2[[#This Row],[Ativo]]),N(Tabela2[Exercício]=Tabela2[[#This Row],[Exercício]]-1),Tabela2[Lucro Líquido])</f>
        <v>2415450000</v>
      </c>
      <c r="M210" s="19">
        <f>IF(Tabela2[[#This Row],[Lucro Anterior]]=0,"",IF(Tabela2[[#This Row],[Lucro Líquido]]&gt;0,Tabela2[[#This Row],[Lucro Líquido]]/Tabela2[[#This Row],[Lucro Anterior]]-1,0))</f>
        <v>0.76848413339129351</v>
      </c>
    </row>
    <row r="211" spans="1:14" x14ac:dyDescent="0.2">
      <c r="A211" s="4" t="s">
        <v>30</v>
      </c>
      <c r="B211" s="4">
        <v>2011</v>
      </c>
      <c r="C211" s="5">
        <v>2415450000</v>
      </c>
      <c r="D211" s="8">
        <f>SUMPRODUCT(N(Tabela3[PAPEL]=Tabela2[[#This Row],[Ativo]]),Tabela3[Total Ações])</f>
        <v>962672385</v>
      </c>
      <c r="E211" s="65">
        <f>(Tabela2[[#This Row],[Lucro Líquido]])/Tabela2[[#This Row],[Total Ações]]</f>
        <v>2.5091090568677732</v>
      </c>
      <c r="F211" s="65">
        <v>1.9</v>
      </c>
      <c r="G211" s="45">
        <f>IF(AND(Tabela2[[#This Row],[Dividendo / Ação]]&gt;0,Tabela2[[#This Row],[Lucro por ação]]&gt;0),Tabela2[[#This Row],[Dividendo / Ação]]/Tabela2[[#This Row],[Lucro por ação]],"")</f>
        <v>0.75724089983232934</v>
      </c>
      <c r="H211" s="6">
        <f>MAX(Tabela2[[#This Row],[Cotação 1]],Tabela2[[#This Row],[Cotação 2]])</f>
        <v>13.3</v>
      </c>
      <c r="I211" s="19">
        <f>IF(Tabela2[[#This Row],[Dividendo / Ação]]&gt;0,Tabela2[[#This Row],[Dividendo / Ação]]/Tabela2[[#This Row],[Cotação]],"")</f>
        <v>0.14285714285714285</v>
      </c>
      <c r="J211" s="60">
        <f>SUMPRODUCT(N(Tabela1[Código]=Tabela2[[#This Row],[Ativo]]),Tabela1[Fechamento])</f>
        <v>13.3</v>
      </c>
      <c r="K211" s="60">
        <f>SUMPRODUCT(N(Tabela17[Código]=Tabela2[[#This Row],[Ativo]]),Tabela17[Fechamento])</f>
        <v>0</v>
      </c>
      <c r="L211" s="60">
        <f>SUMPRODUCT(N(Tabela2[Ativo]=Tabela2[[#This Row],[Ativo]]),N(Tabela2[Exercício]=Tabela2[[#This Row],[Exercício]]-1),Tabela2[Lucro Líquido])</f>
        <v>2257976000</v>
      </c>
      <c r="M211" s="19">
        <f>IF(Tabela2[[#This Row],[Lucro Anterior]]=0,"",IF(Tabela2[[#This Row],[Lucro Líquido]]&gt;0,Tabela2[[#This Row],[Lucro Líquido]]/Tabela2[[#This Row],[Lucro Anterior]]-1,0))</f>
        <v>6.9741219570092827E-2</v>
      </c>
    </row>
    <row r="212" spans="1:14" x14ac:dyDescent="0.2">
      <c r="A212" s="4" t="s">
        <v>30</v>
      </c>
      <c r="B212" s="4">
        <v>2010</v>
      </c>
      <c r="C212" s="5">
        <v>2257976000</v>
      </c>
      <c r="D212" s="8">
        <f>SUMPRODUCT(N(Tabela3[PAPEL]=Tabela2[[#This Row],[Ativo]]),Tabela3[Total Ações])</f>
        <v>962672385</v>
      </c>
      <c r="E212" s="65">
        <f>(Tabela2[[#This Row],[Lucro Líquido]])/Tabela2[[#This Row],[Total Ações]]</f>
        <v>2.3455290036184011</v>
      </c>
      <c r="F212" s="65">
        <v>1.75</v>
      </c>
      <c r="G212" s="45">
        <f>IF(AND(Tabela2[[#This Row],[Dividendo / Ação]]&gt;0,Tabela2[[#This Row],[Lucro por ação]]&gt;0),Tabela2[[#This Row],[Dividendo / Ação]]/Tabela2[[#This Row],[Lucro por ação]],"")</f>
        <v>0.74610034550854398</v>
      </c>
      <c r="H212" s="6">
        <f>MAX(Tabela2[[#This Row],[Cotação 1]],Tabela2[[#This Row],[Cotação 2]])</f>
        <v>13.3</v>
      </c>
      <c r="I212" s="19">
        <f>IF(Tabela2[[#This Row],[Dividendo / Ação]]&gt;0,Tabela2[[#This Row],[Dividendo / Ação]]/Tabela2[[#This Row],[Cotação]],"")</f>
        <v>0.13157894736842105</v>
      </c>
      <c r="J212" s="60">
        <f>SUMPRODUCT(N(Tabela1[Código]=Tabela2[[#This Row],[Ativo]]),Tabela1[Fechamento])</f>
        <v>13.3</v>
      </c>
      <c r="K212" s="60">
        <f>SUMPRODUCT(N(Tabela17[Código]=Tabela2[[#This Row],[Ativo]]),Tabela17[Fechamento])</f>
        <v>0</v>
      </c>
      <c r="L212" s="60">
        <f>SUMPRODUCT(N(Tabela2[Ativo]=Tabela2[[#This Row],[Ativo]]),N(Tabela2[Exercício]=Tabela2[[#This Row],[Exercício]]-1),Tabela2[Lucro Líquido])</f>
        <v>1861403000</v>
      </c>
      <c r="M212" s="19">
        <f>IF(Tabela2[[#This Row],[Lucro Anterior]]=0,"",IF(Tabela2[[#This Row],[Lucro Líquido]]&gt;0,Tabela2[[#This Row],[Lucro Líquido]]/Tabela2[[#This Row],[Lucro Anterior]]-1,0))</f>
        <v>0.21305058603644667</v>
      </c>
    </row>
    <row r="213" spans="1:14" x14ac:dyDescent="0.2">
      <c r="A213" s="4" t="s">
        <v>30</v>
      </c>
      <c r="B213" s="4">
        <v>2009</v>
      </c>
      <c r="C213" s="5">
        <v>1861403000</v>
      </c>
      <c r="D213" s="8">
        <f>SUMPRODUCT(N(Tabela3[PAPEL]=Tabela2[[#This Row],[Ativo]]),Tabela3[Total Ações])</f>
        <v>962672385</v>
      </c>
      <c r="E213" s="65">
        <f>(Tabela2[[#This Row],[Lucro Líquido]])/Tabela2[[#This Row],[Total Ações]]</f>
        <v>1.9335788883151561</v>
      </c>
      <c r="F213" s="65">
        <v>1.5</v>
      </c>
      <c r="G213" s="45">
        <f>IF(AND(Tabela2[[#This Row],[Dividendo / Ação]]&gt;0,Tabela2[[#This Row],[Lucro por ação]]&gt;0),Tabela2[[#This Row],[Dividendo / Ação]]/Tabela2[[#This Row],[Lucro por ação]],"")</f>
        <v>0.77576353830954392</v>
      </c>
      <c r="H213" s="6">
        <f>MAX(Tabela2[[#This Row],[Cotação 1]],Tabela2[[#This Row],[Cotação 2]])</f>
        <v>13.3</v>
      </c>
      <c r="I213" s="19">
        <f>IF(Tabela2[[#This Row],[Dividendo / Ação]]&gt;0,Tabela2[[#This Row],[Dividendo / Ação]]/Tabela2[[#This Row],[Cotação]],"")</f>
        <v>0.11278195488721804</v>
      </c>
      <c r="J213" s="60">
        <f>SUMPRODUCT(N(Tabela1[Código]=Tabela2[[#This Row],[Ativo]]),Tabela1[Fechamento])</f>
        <v>13.3</v>
      </c>
      <c r="K213" s="60">
        <f>SUMPRODUCT(N(Tabela17[Código]=Tabela2[[#This Row],[Ativo]]),Tabela17[Fechamento])</f>
        <v>0</v>
      </c>
      <c r="L213" s="60">
        <f>SUMPRODUCT(N(Tabela2[Ativo]=Tabela2[[#This Row],[Ativo]]),N(Tabela2[Exercício]=Tabela2[[#This Row],[Exercício]]-1),Tabela2[Lucro Líquido])</f>
        <v>0</v>
      </c>
      <c r="M213" s="19" t="str">
        <f>IF(Tabela2[[#This Row],[Lucro Anterior]]=0,"",IF(Tabela2[[#This Row],[Lucro Líquido]]&gt;0,Tabela2[[#This Row],[Lucro Líquido]]/Tabela2[[#This Row],[Lucro Anterior]]-1,0))</f>
        <v/>
      </c>
    </row>
    <row r="214" spans="1:14" x14ac:dyDescent="0.2">
      <c r="A214" s="4" t="s">
        <v>98</v>
      </c>
      <c r="B214" s="4">
        <v>2012</v>
      </c>
      <c r="C214" s="6">
        <v>400000153.68000001</v>
      </c>
      <c r="D214" s="8">
        <f>SUMPRODUCT(N(Tabela3[PAPEL]=Tabela2[[#This Row],[Ativo]]),Tabela3[Total Ações])</f>
        <v>77855299</v>
      </c>
      <c r="E214" s="65">
        <f>(Tabela2[[#This Row],[Lucro Líquido]])/Tabela2[[#This Row],[Total Ações]]</f>
        <v>5.1377383276120998</v>
      </c>
      <c r="F214" s="65">
        <v>2.7486247275000002</v>
      </c>
      <c r="G214" s="45">
        <f>IF(AND(Tabela2[[#This Row],[Dividendo / Ação]]&gt;0,Tabela2[[#This Row],[Lucro por ação]]&gt;0),Tabela2[[#This Row],[Dividendo / Ação]]/Tabela2[[#This Row],[Lucro por ação]],"")</f>
        <v>0.53498729445364657</v>
      </c>
      <c r="H214" s="6">
        <f>MAX(Tabela2[[#This Row],[Cotação 1]],Tabela2[[#This Row],[Cotação 2]])</f>
        <v>48.35</v>
      </c>
      <c r="I214" s="19">
        <f>IF(Tabela2[[#This Row],[Dividendo / Ação]]&gt;0,Tabela2[[#This Row],[Dividendo / Ação]]/Tabela2[[#This Row],[Cotação]],"")</f>
        <v>5.6848494881075497E-2</v>
      </c>
      <c r="J214" s="60">
        <f>SUMPRODUCT(N(Tabela1[Código]=Tabela2[[#This Row],[Ativo]]),Tabela1[Fechamento])</f>
        <v>48.35</v>
      </c>
      <c r="K214" s="60">
        <f>SUMPRODUCT(N(Tabela17[Código]=Tabela2[[#This Row],[Ativo]]),Tabela17[Fechamento])</f>
        <v>0</v>
      </c>
      <c r="L214" s="60">
        <f>SUMPRODUCT(N(Tabela2[Ativo]=Tabela2[[#This Row],[Ativo]]),N(Tabela2[Exercício]=Tabela2[[#This Row],[Exercício]]-1),Tabela2[Lucro Líquido])</f>
        <v>471181647.69999999</v>
      </c>
      <c r="M214" s="19">
        <f>IF(Tabela2[[#This Row],[Lucro Anterior]]=0,"",IF(Tabela2[[#This Row],[Lucro Líquido]]&gt;0,Tabela2[[#This Row],[Lucro Líquido]]/Tabela2[[#This Row],[Lucro Anterior]]-1,0))</f>
        <v>-0.15107017509587095</v>
      </c>
    </row>
    <row r="215" spans="1:14" x14ac:dyDescent="0.2">
      <c r="A215" s="4" t="s">
        <v>98</v>
      </c>
      <c r="B215" s="3">
        <v>2011</v>
      </c>
      <c r="C215" s="5">
        <v>471181647.69999999</v>
      </c>
      <c r="D215" s="61">
        <f>SUMPRODUCT(N(Tabela3[PAPEL]=Tabela2[[#This Row],[Ativo]]),Tabela3[Total Ações])</f>
        <v>77855299</v>
      </c>
      <c r="E215" s="64">
        <f>(Tabela2[[#This Row],[Lucro Líquido]])/Tabela2[[#This Row],[Total Ações]]</f>
        <v>6.0520177014540781</v>
      </c>
      <c r="F215" s="64">
        <v>3.5452297189999999</v>
      </c>
      <c r="G215" s="22">
        <f>IF(AND(Tabela2[[#This Row],[Dividendo / Ação]]&gt;0,Tabela2[[#This Row],[Lucro por ação]]&gt;0),Tabela2[[#This Row],[Dividendo / Ação]]/Tabela2[[#This Row],[Lucro por ação]],"")</f>
        <v>0.58579301877260059</v>
      </c>
      <c r="H215" s="5">
        <f>MAX(Tabela2[[#This Row],[Cotação 1]],Tabela2[[#This Row],[Cotação 2]])</f>
        <v>48.35</v>
      </c>
      <c r="I215" s="18">
        <f>IF(Tabela2[[#This Row],[Dividendo / Ação]]&gt;0,Tabela2[[#This Row],[Dividendo / Ação]]/Tabela2[[#This Row],[Cotação]],"")</f>
        <v>7.3324296153050667E-2</v>
      </c>
      <c r="J215" s="59">
        <f>SUMPRODUCT(N(Tabela1[Código]=Tabela2[[#This Row],[Ativo]]),Tabela1[Fechamento])</f>
        <v>48.35</v>
      </c>
      <c r="K215" s="59">
        <f>SUMPRODUCT(N(Tabela17[Código]=Tabela2[[#This Row],[Ativo]]),Tabela17[Fechamento])</f>
        <v>0</v>
      </c>
      <c r="L215" s="59">
        <f>SUMPRODUCT(N(Tabela2[Ativo]=Tabela2[[#This Row],[Ativo]]),N(Tabela2[Exercício]=Tabela2[[#This Row],[Exercício]]-1),Tabela2[Lucro Líquido])</f>
        <v>458054165.95999998</v>
      </c>
      <c r="M215" s="18">
        <f>IF(Tabela2[[#This Row],[Lucro Anterior]]=0,"",IF(Tabela2[[#This Row],[Lucro Líquido]]&gt;0,Tabela2[[#This Row],[Lucro Líquido]]/Tabela2[[#This Row],[Lucro Anterior]]-1,0))</f>
        <v>2.8659234465179706E-2</v>
      </c>
      <c r="N215" s="67"/>
    </row>
    <row r="216" spans="1:14" x14ac:dyDescent="0.2">
      <c r="A216" s="4" t="s">
        <v>98</v>
      </c>
      <c r="B216" s="3">
        <v>2010</v>
      </c>
      <c r="C216" s="5">
        <v>458054165.95999998</v>
      </c>
      <c r="D216" s="61">
        <f>SUMPRODUCT(N(Tabela3[PAPEL]=Tabela2[[#This Row],[Ativo]]),Tabela3[Total Ações])</f>
        <v>77855299</v>
      </c>
      <c r="E216" s="64">
        <f>(Tabela2[[#This Row],[Lucro Líquido]])/Tabela2[[#This Row],[Total Ações]]</f>
        <v>5.8834038510339548</v>
      </c>
      <c r="F216" s="64">
        <v>4.272592929</v>
      </c>
      <c r="G216" s="22">
        <f>IF(AND(Tabela2[[#This Row],[Dividendo / Ação]]&gt;0,Tabela2[[#This Row],[Lucro por ação]]&gt;0),Tabela2[[#This Row],[Dividendo / Ação]]/Tabela2[[#This Row],[Lucro por ação]],"")</f>
        <v>0.72621105692908205</v>
      </c>
      <c r="H216" s="5">
        <f>MAX(Tabela2[[#This Row],[Cotação 1]],Tabela2[[#This Row],[Cotação 2]])</f>
        <v>48.35</v>
      </c>
      <c r="I216" s="18">
        <f>IF(Tabela2[[#This Row],[Dividendo / Ação]]&gt;0,Tabela2[[#This Row],[Dividendo / Ação]]/Tabela2[[#This Row],[Cotação]],"")</f>
        <v>8.8368002668045495E-2</v>
      </c>
      <c r="J216" s="59">
        <f>SUMPRODUCT(N(Tabela1[Código]=Tabela2[[#This Row],[Ativo]]),Tabela1[Fechamento])</f>
        <v>48.35</v>
      </c>
      <c r="K216" s="59">
        <f>SUMPRODUCT(N(Tabela17[Código]=Tabela2[[#This Row],[Ativo]]),Tabela17[Fechamento])</f>
        <v>0</v>
      </c>
      <c r="L216" s="59">
        <f>SUMPRODUCT(N(Tabela2[Ativo]=Tabela2[[#This Row],[Ativo]]),N(Tabela2[Exercício]=Tabela2[[#This Row],[Exercício]]-1),Tabela2[Lucro Líquido])</f>
        <v>0</v>
      </c>
      <c r="M216" s="18" t="str">
        <f>IF(Tabela2[[#This Row],[Lucro Anterior]]=0,"",IF(Tabela2[[#This Row],[Lucro Líquido]]&gt;0,Tabela2[[#This Row],[Lucro Líquido]]/Tabela2[[#This Row],[Lucro Anterior]]-1,0))</f>
        <v/>
      </c>
    </row>
    <row r="217" spans="1:14" x14ac:dyDescent="0.2">
      <c r="A217" s="4" t="s">
        <v>83</v>
      </c>
      <c r="B217" s="4">
        <v>2012</v>
      </c>
      <c r="C217" s="6">
        <v>400000153.68000001</v>
      </c>
      <c r="D217" s="8">
        <f>SUMPRODUCT(N(Tabela3[PAPEL]=Tabela2[[#This Row],[Ativo]]),Tabela3[Total Ações])</f>
        <v>77855299</v>
      </c>
      <c r="E217" s="65">
        <f>(Tabela2[[#This Row],[Lucro Líquido]])/Tabela2[[#This Row],[Total Ações]]</f>
        <v>5.1377383276120998</v>
      </c>
      <c r="F217" s="65">
        <v>2.7486247275000002</v>
      </c>
      <c r="G217" s="45">
        <f>IF(AND(Tabela2[[#This Row],[Dividendo / Ação]]&gt;0,Tabela2[[#This Row],[Lucro por ação]]&gt;0),Tabela2[[#This Row],[Dividendo / Ação]]/Tabela2[[#This Row],[Lucro por ação]],"")</f>
        <v>0.53498729445364657</v>
      </c>
      <c r="H217" s="6">
        <f>MAX(Tabela2[[#This Row],[Cotação 1]],Tabela2[[#This Row],[Cotação 2]])</f>
        <v>48.1</v>
      </c>
      <c r="I217" s="19">
        <f>IF(Tabela2[[#This Row],[Dividendo / Ação]]&gt;0,Tabela2[[#This Row],[Dividendo / Ação]]/Tabela2[[#This Row],[Cotação]],"")</f>
        <v>5.7143965228690231E-2</v>
      </c>
      <c r="J217" s="60">
        <f>SUMPRODUCT(N(Tabela1[Código]=Tabela2[[#This Row],[Ativo]]),Tabela1[Fechamento])</f>
        <v>48.1</v>
      </c>
      <c r="K217" s="60">
        <f>SUMPRODUCT(N(Tabela17[Código]=Tabela2[[#This Row],[Ativo]]),Tabela17[Fechamento])</f>
        <v>0</v>
      </c>
      <c r="L217" s="60">
        <f>SUMPRODUCT(N(Tabela2[Ativo]=Tabela2[[#This Row],[Ativo]]),N(Tabela2[Exercício]=Tabela2[[#This Row],[Exercício]]-1),Tabela2[Lucro Líquido])</f>
        <v>471181647.69999999</v>
      </c>
      <c r="M217" s="19">
        <f>IF(Tabela2[[#This Row],[Lucro Anterior]]=0,"",IF(Tabela2[[#This Row],[Lucro Líquido]]&gt;0,Tabela2[[#This Row],[Lucro Líquido]]/Tabela2[[#This Row],[Lucro Anterior]]-1,0))</f>
        <v>-0.15107017509587095</v>
      </c>
    </row>
    <row r="218" spans="1:14" x14ac:dyDescent="0.2">
      <c r="A218" s="4" t="s">
        <v>83</v>
      </c>
      <c r="B218" s="4">
        <v>2011</v>
      </c>
      <c r="C218" s="5">
        <v>471181647.69999999</v>
      </c>
      <c r="D218" s="8">
        <f>SUMPRODUCT(N(Tabela3[PAPEL]=Tabela2[[#This Row],[Ativo]]),Tabela3[Total Ações])</f>
        <v>77855299</v>
      </c>
      <c r="E218" s="65">
        <f>(Tabela2[[#This Row],[Lucro Líquido]])/Tabela2[[#This Row],[Total Ações]]</f>
        <v>6.0520177014540781</v>
      </c>
      <c r="F218" s="64">
        <v>3.5452297189999999</v>
      </c>
      <c r="G218" s="45">
        <f>IF(AND(Tabela2[[#This Row],[Dividendo / Ação]]&gt;0,Tabela2[[#This Row],[Lucro por ação]]&gt;0),Tabela2[[#This Row],[Dividendo / Ação]]/Tabela2[[#This Row],[Lucro por ação]],"")</f>
        <v>0.58579301877260059</v>
      </c>
      <c r="H218" s="6">
        <f>MAX(Tabela2[[#This Row],[Cotação 1]],Tabela2[[#This Row],[Cotação 2]])</f>
        <v>48.1</v>
      </c>
      <c r="I218" s="19">
        <f>IF(Tabela2[[#This Row],[Dividendo / Ação]]&gt;0,Tabela2[[#This Row],[Dividendo / Ação]]/Tabela2[[#This Row],[Cotação]],"")</f>
        <v>7.370539956340956E-2</v>
      </c>
      <c r="J218" s="60">
        <f>SUMPRODUCT(N(Tabela1[Código]=Tabela2[[#This Row],[Ativo]]),Tabela1[Fechamento])</f>
        <v>48.1</v>
      </c>
      <c r="K218" s="60">
        <f>SUMPRODUCT(N(Tabela17[Código]=Tabela2[[#This Row],[Ativo]]),Tabela17[Fechamento])</f>
        <v>0</v>
      </c>
      <c r="L218" s="60">
        <f>SUMPRODUCT(N(Tabela2[Ativo]=Tabela2[[#This Row],[Ativo]]),N(Tabela2[Exercício]=Tabela2[[#This Row],[Exercício]]-1),Tabela2[Lucro Líquido])</f>
        <v>458054165.95999998</v>
      </c>
      <c r="M218" s="19">
        <f>IF(Tabela2[[#This Row],[Lucro Anterior]]=0,"",IF(Tabela2[[#This Row],[Lucro Líquido]]&gt;0,Tabela2[[#This Row],[Lucro Líquido]]/Tabela2[[#This Row],[Lucro Anterior]]-1,0))</f>
        <v>2.8659234465179706E-2</v>
      </c>
    </row>
    <row r="219" spans="1:14" x14ac:dyDescent="0.2">
      <c r="A219" s="4" t="s">
        <v>83</v>
      </c>
      <c r="B219" s="4">
        <v>2010</v>
      </c>
      <c r="C219" s="5">
        <v>458054165.95999998</v>
      </c>
      <c r="D219" s="8">
        <f>SUMPRODUCT(N(Tabela3[PAPEL]=Tabela2[[#This Row],[Ativo]]),Tabela3[Total Ações])</f>
        <v>77855299</v>
      </c>
      <c r="E219" s="65">
        <f>(Tabela2[[#This Row],[Lucro Líquido]])/Tabela2[[#This Row],[Total Ações]]</f>
        <v>5.8834038510339548</v>
      </c>
      <c r="F219" s="64">
        <v>4.272592929</v>
      </c>
      <c r="G219" s="45">
        <f>IF(AND(Tabela2[[#This Row],[Dividendo / Ação]]&gt;0,Tabela2[[#This Row],[Lucro por ação]]&gt;0),Tabela2[[#This Row],[Dividendo / Ação]]/Tabela2[[#This Row],[Lucro por ação]],"")</f>
        <v>0.72621105692908205</v>
      </c>
      <c r="H219" s="6">
        <f>MAX(Tabela2[[#This Row],[Cotação 1]],Tabela2[[#This Row],[Cotação 2]])</f>
        <v>48.1</v>
      </c>
      <c r="I219" s="19">
        <f>IF(Tabela2[[#This Row],[Dividendo / Ação]]&gt;0,Tabela2[[#This Row],[Dividendo / Ação]]/Tabela2[[#This Row],[Cotação]],"")</f>
        <v>8.8827295821205812E-2</v>
      </c>
      <c r="J219" s="60">
        <f>SUMPRODUCT(N(Tabela1[Código]=Tabela2[[#This Row],[Ativo]]),Tabela1[Fechamento])</f>
        <v>48.1</v>
      </c>
      <c r="K219" s="60">
        <f>SUMPRODUCT(N(Tabela17[Código]=Tabela2[[#This Row],[Ativo]]),Tabela17[Fechamento])</f>
        <v>0</v>
      </c>
      <c r="L219" s="60">
        <f>SUMPRODUCT(N(Tabela2[Ativo]=Tabela2[[#This Row],[Ativo]]),N(Tabela2[Exercício]=Tabela2[[#This Row],[Exercício]]-1),Tabela2[Lucro Líquido])</f>
        <v>0</v>
      </c>
      <c r="M219" s="19" t="str">
        <f>IF(Tabela2[[#This Row],[Lucro Anterior]]=0,"",IF(Tabela2[[#This Row],[Lucro Líquido]]&gt;0,Tabela2[[#This Row],[Lucro Líquido]]/Tabela2[[#This Row],[Lucro Anterior]]-1,0))</f>
        <v/>
      </c>
    </row>
    <row r="220" spans="1:14" x14ac:dyDescent="0.2">
      <c r="A220" s="4" t="s">
        <v>32</v>
      </c>
      <c r="B220" s="4">
        <v>2012</v>
      </c>
      <c r="C220" s="6">
        <v>1225923257.8099999</v>
      </c>
      <c r="D220" s="8">
        <f>SUMPRODUCT(N(Tabela3[PAPEL]=Tabela2[[#This Row],[Ativo]]),Tabela3[Total Ações])</f>
        <v>962274260</v>
      </c>
      <c r="E220" s="65">
        <f>(Tabela2[[#This Row],[Lucro Líquido]])/Tabela2[[#This Row],[Total Ações]]</f>
        <v>1.2739852958448665</v>
      </c>
      <c r="F220" s="65">
        <v>1.139118233</v>
      </c>
      <c r="G220" s="45">
        <f>IF(AND(Tabela2[[#This Row],[Dividendo / Ação]]&gt;0,Tabela2[[#This Row],[Lucro por ação]]&gt;0),Tabela2[[#This Row],[Dividendo / Ação]]/Tabela2[[#This Row],[Lucro por ação]],"")</f>
        <v>0.89413766133350314</v>
      </c>
      <c r="H220" s="6">
        <f>MAX(Tabela2[[#This Row],[Cotação 1]],Tabela2[[#This Row],[Cotação 2]])</f>
        <v>18.73</v>
      </c>
      <c r="I220" s="19">
        <f>IF(Tabela2[[#This Row],[Dividendo / Ação]]&gt;0,Tabela2[[#This Row],[Dividendo / Ação]]/Tabela2[[#This Row],[Cotação]],"")</f>
        <v>6.0817844794447413E-2</v>
      </c>
      <c r="J220" s="60">
        <f>SUMPRODUCT(N(Tabela1[Código]=Tabela2[[#This Row],[Ativo]]),Tabela1[Fechamento])</f>
        <v>18.73</v>
      </c>
      <c r="K220" s="60">
        <f>SUMPRODUCT(N(Tabela17[Código]=Tabela2[[#This Row],[Ativo]]),Tabela17[Fechamento])</f>
        <v>0</v>
      </c>
      <c r="L220" s="60">
        <f>SUMPRODUCT(N(Tabela2[Ativo]=Tabela2[[#This Row],[Ativo]]),N(Tabela2[Exercício]=Tabela2[[#This Row],[Exercício]]-1),Tabela2[Lucro Líquido])</f>
        <v>1572292596.6700001</v>
      </c>
      <c r="M220" s="19">
        <f>IF(Tabela2[[#This Row],[Lucro Anterior]]=0,"",IF(Tabela2[[#This Row],[Lucro Líquido]]&gt;0,Tabela2[[#This Row],[Lucro Líquido]]/Tabela2[[#This Row],[Lucro Anterior]]-1,0))</f>
        <v>-0.2202957258678091</v>
      </c>
    </row>
    <row r="221" spans="1:14" x14ac:dyDescent="0.2">
      <c r="A221" s="4" t="s">
        <v>32</v>
      </c>
      <c r="B221" s="4">
        <v>2011</v>
      </c>
      <c r="C221" s="6">
        <v>1572292596.6700001</v>
      </c>
      <c r="D221" s="8">
        <f>SUMPRODUCT(N(Tabela3[PAPEL]=Tabela2[[#This Row],[Ativo]]),Tabela3[Total Ações])</f>
        <v>962274260</v>
      </c>
      <c r="E221" s="65">
        <f>(Tabela2[[#This Row],[Lucro Líquido]])/Tabela2[[#This Row],[Total Ações]]</f>
        <v>1.6339339645954991</v>
      </c>
      <c r="F221" s="65">
        <v>1.5653283019999999</v>
      </c>
      <c r="G221" s="45">
        <f>IF(AND(Tabela2[[#This Row],[Dividendo / Ação]]&gt;0,Tabela2[[#This Row],[Lucro por ação]]&gt;0),Tabela2[[#This Row],[Dividendo / Ação]]/Tabela2[[#This Row],[Lucro por ação]],"")</f>
        <v>0.9580119735056225</v>
      </c>
      <c r="H221" s="6">
        <f>MAX(Tabela2[[#This Row],[Cotação 1]],Tabela2[[#This Row],[Cotação 2]])</f>
        <v>18.73</v>
      </c>
      <c r="I221" s="19">
        <f>IF(Tabela2[[#This Row],[Dividendo / Ação]]&gt;0,Tabela2[[#This Row],[Dividendo / Ação]]/Tabela2[[#This Row],[Cotação]],"")</f>
        <v>8.3573320982381197E-2</v>
      </c>
      <c r="J221" s="60">
        <f>SUMPRODUCT(N(Tabela1[Código]=Tabela2[[#This Row],[Ativo]]),Tabela1[Fechamento])</f>
        <v>18.73</v>
      </c>
      <c r="K221" s="60">
        <f>SUMPRODUCT(N(Tabela17[Código]=Tabela2[[#This Row],[Ativo]]),Tabela17[Fechamento])</f>
        <v>0</v>
      </c>
      <c r="L221" s="60">
        <f>SUMPRODUCT(N(Tabela2[Ativo]=Tabela2[[#This Row],[Ativo]]),N(Tabela2[Exercício]=Tabela2[[#This Row],[Exercício]]-1),Tabela2[Lucro Líquido])</f>
        <v>1595150826.9300001</v>
      </c>
      <c r="M221" s="19">
        <f>IF(Tabela2[[#This Row],[Lucro Anterior]]=0,"",IF(Tabela2[[#This Row],[Lucro Líquido]]&gt;0,Tabela2[[#This Row],[Lucro Líquido]]/Tabela2[[#This Row],[Lucro Anterior]]-1,0))</f>
        <v>-1.4329823784746787E-2</v>
      </c>
    </row>
    <row r="222" spans="1:14" x14ac:dyDescent="0.2">
      <c r="A222" s="4" t="s">
        <v>32</v>
      </c>
      <c r="B222" s="4">
        <v>2010</v>
      </c>
      <c r="C222" s="6">
        <v>1595150826.9300001</v>
      </c>
      <c r="D222" s="8">
        <f>SUMPRODUCT(N(Tabela3[PAPEL]=Tabela2[[#This Row],[Ativo]]),Tabela3[Total Ações])</f>
        <v>962274260</v>
      </c>
      <c r="E222" s="65">
        <f>(Tabela2[[#This Row],[Lucro Líquido]])/Tabela2[[#This Row],[Total Ações]]</f>
        <v>1.6576883464907397</v>
      </c>
      <c r="F222" s="65">
        <v>2.6197703689999998</v>
      </c>
      <c r="G222" s="45">
        <f>IF(AND(Tabela2[[#This Row],[Dividendo / Ação]]&gt;0,Tabela2[[#This Row],[Lucro por ação]]&gt;0),Tabela2[[#This Row],[Dividendo / Ação]]/Tabela2[[#This Row],[Lucro por ação]],"")</f>
        <v>1.580375692780823</v>
      </c>
      <c r="H222" s="6">
        <f>MAX(Tabela2[[#This Row],[Cotação 1]],Tabela2[[#This Row],[Cotação 2]])</f>
        <v>18.73</v>
      </c>
      <c r="I222" s="19">
        <f>IF(Tabela2[[#This Row],[Dividendo / Ação]]&gt;0,Tabela2[[#This Row],[Dividendo / Ação]]/Tabela2[[#This Row],[Cotação]],"")</f>
        <v>0.13987028131340096</v>
      </c>
      <c r="J222" s="60">
        <f>SUMPRODUCT(N(Tabela1[Código]=Tabela2[[#This Row],[Ativo]]),Tabela1[Fechamento])</f>
        <v>18.73</v>
      </c>
      <c r="K222" s="60">
        <f>SUMPRODUCT(N(Tabela17[Código]=Tabela2[[#This Row],[Ativo]]),Tabela17[Fechamento])</f>
        <v>0</v>
      </c>
      <c r="L222" s="60">
        <f>SUMPRODUCT(N(Tabela2[Ativo]=Tabela2[[#This Row],[Ativo]]),N(Tabela2[Exercício]=Tabela2[[#This Row],[Exercício]]-1),Tabela2[Lucro Líquido])</f>
        <v>1649898817.26</v>
      </c>
      <c r="M222" s="19">
        <f>IF(Tabela2[[#This Row],[Lucro Anterior]]=0,"",IF(Tabela2[[#This Row],[Lucro Líquido]]&gt;0,Tabela2[[#This Row],[Lucro Líquido]]/Tabela2[[#This Row],[Lucro Anterior]]-1,0))</f>
        <v>-3.3182635054506138E-2</v>
      </c>
    </row>
    <row r="223" spans="1:14" x14ac:dyDescent="0.2">
      <c r="A223" s="4" t="s">
        <v>32</v>
      </c>
      <c r="B223" s="4">
        <v>2009</v>
      </c>
      <c r="C223" s="6">
        <v>1649898817.26</v>
      </c>
      <c r="D223" s="8">
        <f>SUMPRODUCT(N(Tabela3[PAPEL]=Tabela2[[#This Row],[Ativo]]),Tabela3[Total Ações])</f>
        <v>962274260</v>
      </c>
      <c r="E223" s="65">
        <f>(Tabela2[[#This Row],[Lucro Líquido]])/Tabela2[[#This Row],[Total Ações]]</f>
        <v>1.7145827191304068</v>
      </c>
      <c r="F223" s="65">
        <v>2.5560733889999998</v>
      </c>
      <c r="G223" s="45">
        <f>IF(AND(Tabela2[[#This Row],[Dividendo / Ação]]&gt;0,Tabela2[[#This Row],[Lucro por ação]]&gt;0),Tabela2[[#This Row],[Dividendo / Ação]]/Tabela2[[#This Row],[Lucro por ação]],"")</f>
        <v>1.4907845276175278</v>
      </c>
      <c r="H223" s="6">
        <f>MAX(Tabela2[[#This Row],[Cotação 1]],Tabela2[[#This Row],[Cotação 2]])</f>
        <v>18.73</v>
      </c>
      <c r="I223" s="19">
        <f>IF(Tabela2[[#This Row],[Dividendo / Ação]]&gt;0,Tabela2[[#This Row],[Dividendo / Ação]]/Tabela2[[#This Row],[Cotação]],"")</f>
        <v>0.13646948152696209</v>
      </c>
      <c r="J223" s="60">
        <f>SUMPRODUCT(N(Tabela1[Código]=Tabela2[[#This Row],[Ativo]]),Tabela1[Fechamento])</f>
        <v>18.73</v>
      </c>
      <c r="K223" s="60">
        <f>SUMPRODUCT(N(Tabela17[Código]=Tabela2[[#This Row],[Ativo]]),Tabela17[Fechamento])</f>
        <v>0</v>
      </c>
      <c r="L223" s="60">
        <f>SUMPRODUCT(N(Tabela2[Ativo]=Tabela2[[#This Row],[Ativo]]),N(Tabela2[Exercício]=Tabela2[[#This Row],[Exercício]]-1),Tabela2[Lucro Líquido])</f>
        <v>0</v>
      </c>
      <c r="M223" s="19" t="str">
        <f>IF(Tabela2[[#This Row],[Lucro Anterior]]=0,"",IF(Tabela2[[#This Row],[Lucro Líquido]]&gt;0,Tabela2[[#This Row],[Lucro Líquido]]/Tabela2[[#This Row],[Lucro Anterior]]-1,0))</f>
        <v/>
      </c>
    </row>
    <row r="224" spans="1:14" x14ac:dyDescent="0.2">
      <c r="A224" s="4" t="s">
        <v>34</v>
      </c>
      <c r="B224" s="4">
        <v>2012</v>
      </c>
      <c r="C224" s="6">
        <v>700688167.34000003</v>
      </c>
      <c r="D224" s="8">
        <f>SUMPRODUCT(N(Tabela3[PAPEL]=Tabela2[[#This Row],[Ativo]]),Tabela3[Total Ações])</f>
        <v>273655375</v>
      </c>
      <c r="E224" s="65">
        <f>(Tabela2[[#This Row],[Lucro Líquido]])/Tabela2[[#This Row],[Total Ações]]</f>
        <v>2.5604765385660708</v>
      </c>
      <c r="F224" s="65">
        <v>0.93527000000000005</v>
      </c>
      <c r="G224" s="45">
        <f>IF(AND(Tabela2[[#This Row],[Dividendo / Ação]]&gt;0,Tabela2[[#This Row],[Lucro por ação]]&gt;0),Tabela2[[#This Row],[Dividendo / Ação]]/Tabela2[[#This Row],[Lucro por ação]],"")</f>
        <v>0.36527184917061339</v>
      </c>
      <c r="H224" s="6">
        <f>MAX(Tabela2[[#This Row],[Cotação 1]],Tabela2[[#This Row],[Cotação 2]])</f>
        <v>22.2</v>
      </c>
      <c r="I224" s="19">
        <f>IF(Tabela2[[#This Row],[Dividendo / Ação]]&gt;0,Tabela2[[#This Row],[Dividendo / Ação]]/Tabela2[[#This Row],[Cotação]],"")</f>
        <v>4.2129279279279286E-2</v>
      </c>
      <c r="J224" s="60">
        <f>SUMPRODUCT(N(Tabela1[Código]=Tabela2[[#This Row],[Ativo]]),Tabela1[Fechamento])</f>
        <v>22.2</v>
      </c>
      <c r="K224" s="60">
        <f>SUMPRODUCT(N(Tabela17[Código]=Tabela2[[#This Row],[Ativo]]),Tabela17[Fechamento])</f>
        <v>0</v>
      </c>
      <c r="L224" s="60">
        <f>SUMPRODUCT(N(Tabela2[Ativo]=Tabela2[[#This Row],[Ativo]]),N(Tabela2[Exercício]=Tabela2[[#This Row],[Exercício]]-1),Tabela2[Lucro Líquido])</f>
        <v>1203117000</v>
      </c>
      <c r="M224" s="19">
        <f>IF(Tabela2[[#This Row],[Lucro Anterior]]=0,"",IF(Tabela2[[#This Row],[Lucro Líquido]]&gt;0,Tabela2[[#This Row],[Lucro Líquido]]/Tabela2[[#This Row],[Lucro Anterior]]-1,0))</f>
        <v>-0.41760596239600967</v>
      </c>
    </row>
    <row r="225" spans="1:13" x14ac:dyDescent="0.2">
      <c r="A225" s="4" t="s">
        <v>34</v>
      </c>
      <c r="B225" s="3">
        <v>2011</v>
      </c>
      <c r="C225" s="5">
        <v>1203117000</v>
      </c>
      <c r="D225" s="61">
        <f>SUMPRODUCT(N(Tabela3[PAPEL]=Tabela2[[#This Row],[Ativo]]),Tabela3[Total Ações])</f>
        <v>273655375</v>
      </c>
      <c r="E225" s="64">
        <f>(Tabela2[[#This Row],[Lucro Líquido]])/Tabela2[[#This Row],[Total Ações]]</f>
        <v>4.396467637443628</v>
      </c>
      <c r="F225" s="64">
        <v>1.4683299999999999</v>
      </c>
      <c r="G225" s="22">
        <f>IF(AND(Tabela2[[#This Row],[Dividendo / Ação]]&gt;0,Tabela2[[#This Row],[Lucro por ação]]&gt;0),Tabela2[[#This Row],[Dividendo / Ação]]/Tabela2[[#This Row],[Lucro por ação]],"")</f>
        <v>0.33397948559761848</v>
      </c>
      <c r="H225" s="5">
        <f>MAX(Tabela2[[#This Row],[Cotação 1]],Tabela2[[#This Row],[Cotação 2]])</f>
        <v>22.2</v>
      </c>
      <c r="I225" s="18">
        <f>IF(Tabela2[[#This Row],[Dividendo / Ação]]&gt;0,Tabela2[[#This Row],[Dividendo / Ação]]/Tabela2[[#This Row],[Cotação]],"")</f>
        <v>6.6140990990990994E-2</v>
      </c>
      <c r="J225" s="59">
        <f>SUMPRODUCT(N(Tabela1[Código]=Tabela2[[#This Row],[Ativo]]),Tabela1[Fechamento])</f>
        <v>22.2</v>
      </c>
      <c r="K225" s="59">
        <f>SUMPRODUCT(N(Tabela17[Código]=Tabela2[[#This Row],[Ativo]]),Tabela17[Fechamento])</f>
        <v>0</v>
      </c>
      <c r="L225" s="59">
        <f>SUMPRODUCT(N(Tabela2[Ativo]=Tabela2[[#This Row],[Ativo]]),N(Tabela2[Exercício]=Tabela2[[#This Row],[Exercício]]-1),Tabela2[Lucro Líquido])</f>
        <v>1041534000</v>
      </c>
      <c r="M225" s="18">
        <f>IF(Tabela2[[#This Row],[Lucro Anterior]]=0,"",IF(Tabela2[[#This Row],[Lucro Líquido]]&gt;0,Tabela2[[#This Row],[Lucro Líquido]]/Tabela2[[#This Row],[Lucro Anterior]]-1,0))</f>
        <v>0.15513943855889489</v>
      </c>
    </row>
    <row r="226" spans="1:13" x14ac:dyDescent="0.2">
      <c r="A226" s="4" t="s">
        <v>34</v>
      </c>
      <c r="B226" s="3">
        <v>2010</v>
      </c>
      <c r="C226" s="5">
        <v>1041534000</v>
      </c>
      <c r="D226" s="61">
        <f>SUMPRODUCT(N(Tabela3[PAPEL]=Tabela2[[#This Row],[Ativo]]),Tabela3[Total Ações])</f>
        <v>273655375</v>
      </c>
      <c r="E226" s="64">
        <f>(Tabela2[[#This Row],[Lucro Líquido]])/Tabela2[[#This Row],[Total Ações]]</f>
        <v>3.8060060029882474</v>
      </c>
      <c r="F226" s="64">
        <v>0.98026999999999997</v>
      </c>
      <c r="G226" s="22">
        <f>IF(AND(Tabela2[[#This Row],[Dividendo / Ação]]&gt;0,Tabela2[[#This Row],[Lucro por ação]]&gt;0),Tabela2[[#This Row],[Dividendo / Ação]]/Tabela2[[#This Row],[Lucro por ação]],"")</f>
        <v>0.25755871095062666</v>
      </c>
      <c r="H226" s="5">
        <f>MAX(Tabela2[[#This Row],[Cotação 1]],Tabela2[[#This Row],[Cotação 2]])</f>
        <v>22.2</v>
      </c>
      <c r="I226" s="18">
        <f>IF(Tabela2[[#This Row],[Dividendo / Ação]]&gt;0,Tabela2[[#This Row],[Dividendo / Ação]]/Tabela2[[#This Row],[Cotação]],"")</f>
        <v>4.4156306306306306E-2</v>
      </c>
      <c r="J226" s="59">
        <f>SUMPRODUCT(N(Tabela1[Código]=Tabela2[[#This Row],[Ativo]]),Tabela1[Fechamento])</f>
        <v>22.2</v>
      </c>
      <c r="K226" s="59">
        <f>SUMPRODUCT(N(Tabela17[Código]=Tabela2[[#This Row],[Ativo]]),Tabela17[Fechamento])</f>
        <v>0</v>
      </c>
      <c r="L226" s="59">
        <f>SUMPRODUCT(N(Tabela2[Ativo]=Tabela2[[#This Row],[Ativo]]),N(Tabela2[Exercício]=Tabela2[[#This Row],[Exercício]]-1),Tabela2[Lucro Líquido])</f>
        <v>900821000</v>
      </c>
      <c r="M226" s="18">
        <f>IF(Tabela2[[#This Row],[Lucro Anterior]]=0,"",IF(Tabela2[[#This Row],[Lucro Líquido]]&gt;0,Tabela2[[#This Row],[Lucro Líquido]]/Tabela2[[#This Row],[Lucro Anterior]]-1,0))</f>
        <v>0.15620528384662435</v>
      </c>
    </row>
    <row r="227" spans="1:13" x14ac:dyDescent="0.2">
      <c r="A227" s="4" t="s">
        <v>34</v>
      </c>
      <c r="B227" s="3">
        <v>2009</v>
      </c>
      <c r="C227" s="5">
        <v>900821000</v>
      </c>
      <c r="D227" s="61">
        <f>SUMPRODUCT(N(Tabela3[PAPEL]=Tabela2[[#This Row],[Ativo]]),Tabela3[Total Ações])</f>
        <v>273655375</v>
      </c>
      <c r="E227" s="64">
        <f>(Tabela2[[#This Row],[Lucro Líquido]])/Tabela2[[#This Row],[Total Ações]]</f>
        <v>3.2918081729620696</v>
      </c>
      <c r="F227" s="64">
        <v>0.86965000000000003</v>
      </c>
      <c r="G227" s="22">
        <f>IF(AND(Tabela2[[#This Row],[Dividendo / Ação]]&gt;0,Tabela2[[#This Row],[Lucro por ação]]&gt;0),Tabela2[[#This Row],[Dividendo / Ação]]/Tabela2[[#This Row],[Lucro por ação]],"")</f>
        <v>0.26418611119051399</v>
      </c>
      <c r="H227" s="5">
        <f>MAX(Tabela2[[#This Row],[Cotação 1]],Tabela2[[#This Row],[Cotação 2]])</f>
        <v>22.2</v>
      </c>
      <c r="I227" s="18">
        <f>IF(Tabela2[[#This Row],[Dividendo / Ação]]&gt;0,Tabela2[[#This Row],[Dividendo / Ação]]/Tabela2[[#This Row],[Cotação]],"")</f>
        <v>3.9173423423423427E-2</v>
      </c>
      <c r="J227" s="59">
        <f>SUMPRODUCT(N(Tabela1[Código]=Tabela2[[#This Row],[Ativo]]),Tabela1[Fechamento])</f>
        <v>22.2</v>
      </c>
      <c r="K227" s="59">
        <f>SUMPRODUCT(N(Tabela17[Código]=Tabela2[[#This Row],[Ativo]]),Tabela17[Fechamento])</f>
        <v>0</v>
      </c>
      <c r="L227" s="59">
        <f>SUMPRODUCT(N(Tabela2[Ativo]=Tabela2[[#This Row],[Ativo]]),N(Tabela2[Exercício]=Tabela2[[#This Row],[Exercício]]-1),Tabela2[Lucro Líquido])</f>
        <v>0</v>
      </c>
      <c r="M227" s="18" t="str">
        <f>IF(Tabela2[[#This Row],[Lucro Anterior]]=0,"",IF(Tabela2[[#This Row],[Lucro Líquido]]&gt;0,Tabela2[[#This Row],[Lucro Líquido]]/Tabela2[[#This Row],[Lucro Anterior]]-1,0))</f>
        <v/>
      </c>
    </row>
    <row r="228" spans="1:13" x14ac:dyDescent="0.2">
      <c r="A228" s="4" t="s">
        <v>104</v>
      </c>
      <c r="B228" s="4">
        <v>2012</v>
      </c>
      <c r="C228" s="6">
        <v>700688167.34000003</v>
      </c>
      <c r="D228" s="8">
        <f>SUMPRODUCT(N(Tabela3[PAPEL]=Tabela2[[#This Row],[Ativo]]),Tabela3[Total Ações])</f>
        <v>273655375</v>
      </c>
      <c r="E228" s="65">
        <f>(Tabela2[[#This Row],[Lucro Líquido]])/Tabela2[[#This Row],[Total Ações]]</f>
        <v>2.5604765385660708</v>
      </c>
      <c r="F228" s="65">
        <v>2.5250699999999999</v>
      </c>
      <c r="G228" s="45">
        <f>IF(AND(Tabela2[[#This Row],[Dividendo / Ação]]&gt;0,Tabela2[[#This Row],[Lucro por ação]]&gt;0),Tabela2[[#This Row],[Dividendo / Ação]]/Tabela2[[#This Row],[Lucro por ação]],"")</f>
        <v>0.98617189494503266</v>
      </c>
      <c r="H228" s="6">
        <f>MAX(Tabela2[[#This Row],[Cotação 1]],Tabela2[[#This Row],[Cotação 2]])</f>
        <v>30</v>
      </c>
      <c r="I228" s="19">
        <f>IF(Tabela2[[#This Row],[Dividendo / Ação]]&gt;0,Tabela2[[#This Row],[Dividendo / Ação]]/Tabela2[[#This Row],[Cotação]],"")</f>
        <v>8.4168999999999994E-2</v>
      </c>
      <c r="J228" s="60">
        <f>SUMPRODUCT(N(Tabela1[Código]=Tabela2[[#This Row],[Ativo]]),Tabela1[Fechamento])</f>
        <v>30</v>
      </c>
      <c r="K228" s="60">
        <f>SUMPRODUCT(N(Tabela17[Código]=Tabela2[[#This Row],[Ativo]]),Tabela17[Fechamento])</f>
        <v>0</v>
      </c>
      <c r="L228" s="60">
        <f>SUMPRODUCT(N(Tabela2[Ativo]=Tabela2[[#This Row],[Ativo]]),N(Tabela2[Exercício]=Tabela2[[#This Row],[Exercício]]-1),Tabela2[Lucro Líquido])</f>
        <v>1203117000</v>
      </c>
      <c r="M228" s="19">
        <f>IF(Tabela2[[#This Row],[Lucro Anterior]]=0,"",IF(Tabela2[[#This Row],[Lucro Líquido]]&gt;0,Tabela2[[#This Row],[Lucro Líquido]]/Tabela2[[#This Row],[Lucro Anterior]]-1,0))</f>
        <v>-0.41760596239600967</v>
      </c>
    </row>
    <row r="229" spans="1:13" x14ac:dyDescent="0.2">
      <c r="A229" s="4" t="s">
        <v>104</v>
      </c>
      <c r="B229" s="3">
        <v>2011</v>
      </c>
      <c r="C229" s="5">
        <v>1203117000</v>
      </c>
      <c r="D229" s="61">
        <f>SUMPRODUCT(N(Tabela3[PAPEL]=Tabela2[[#This Row],[Ativo]]),Tabela3[Total Ações])</f>
        <v>273655375</v>
      </c>
      <c r="E229" s="64">
        <f>(Tabela2[[#This Row],[Lucro Líquido]])/Tabela2[[#This Row],[Total Ações]]</f>
        <v>4.396467637443628</v>
      </c>
      <c r="F229" s="64">
        <v>2.5250699999999999</v>
      </c>
      <c r="G229" s="22">
        <f>IF(AND(Tabela2[[#This Row],[Dividendo / Ação]]&gt;0,Tabela2[[#This Row],[Lucro por ação]]&gt;0),Tabela2[[#This Row],[Dividendo / Ação]]/Tabela2[[#This Row],[Lucro por ação]],"")</f>
        <v>0.57434063166861571</v>
      </c>
      <c r="H229" s="5">
        <f>MAX(Tabela2[[#This Row],[Cotação 1]],Tabela2[[#This Row],[Cotação 2]])</f>
        <v>30</v>
      </c>
      <c r="I229" s="18">
        <f>IF(Tabela2[[#This Row],[Dividendo / Ação]]&gt;0,Tabela2[[#This Row],[Dividendo / Ação]]/Tabela2[[#This Row],[Cotação]],"")</f>
        <v>8.4168999999999994E-2</v>
      </c>
      <c r="J229" s="59">
        <f>SUMPRODUCT(N(Tabela1[Código]=Tabela2[[#This Row],[Ativo]]),Tabela1[Fechamento])</f>
        <v>30</v>
      </c>
      <c r="K229" s="59">
        <f>SUMPRODUCT(N(Tabela17[Código]=Tabela2[[#This Row],[Ativo]]),Tabela17[Fechamento])</f>
        <v>0</v>
      </c>
      <c r="L229" s="59">
        <f>SUMPRODUCT(N(Tabela2[Ativo]=Tabela2[[#This Row],[Ativo]]),N(Tabela2[Exercício]=Tabela2[[#This Row],[Exercício]]-1),Tabela2[Lucro Líquido])</f>
        <v>1041534000</v>
      </c>
      <c r="M229" s="18">
        <f>IF(Tabela2[[#This Row],[Lucro Anterior]]=0,"",IF(Tabela2[[#This Row],[Lucro Líquido]]&gt;0,Tabela2[[#This Row],[Lucro Líquido]]/Tabela2[[#This Row],[Lucro Anterior]]-1,0))</f>
        <v>0.15513943855889489</v>
      </c>
    </row>
    <row r="230" spans="1:13" x14ac:dyDescent="0.2">
      <c r="A230" s="4" t="s">
        <v>104</v>
      </c>
      <c r="B230" s="3">
        <v>2010</v>
      </c>
      <c r="C230" s="5">
        <v>1041534000</v>
      </c>
      <c r="D230" s="61">
        <f>SUMPRODUCT(N(Tabela3[PAPEL]=Tabela2[[#This Row],[Ativo]]),Tabela3[Total Ações])</f>
        <v>273655375</v>
      </c>
      <c r="E230" s="64">
        <f>(Tabela2[[#This Row],[Lucro Líquido]])/Tabela2[[#This Row],[Total Ações]]</f>
        <v>3.8060060029882474</v>
      </c>
      <c r="F230" s="64">
        <v>2.5250699999999999</v>
      </c>
      <c r="G230" s="22">
        <f>IF(AND(Tabela2[[#This Row],[Dividendo / Ação]]&gt;0,Tabela2[[#This Row],[Lucro por ação]]&gt;0),Tabela2[[#This Row],[Dividendo / Ação]]/Tabela2[[#This Row],[Lucro por ação]],"")</f>
        <v>0.66344351480724584</v>
      </c>
      <c r="H230" s="5">
        <f>MAX(Tabela2[[#This Row],[Cotação 1]],Tabela2[[#This Row],[Cotação 2]])</f>
        <v>30</v>
      </c>
      <c r="I230" s="18">
        <f>IF(Tabela2[[#This Row],[Dividendo / Ação]]&gt;0,Tabela2[[#This Row],[Dividendo / Ação]]/Tabela2[[#This Row],[Cotação]],"")</f>
        <v>8.4168999999999994E-2</v>
      </c>
      <c r="J230" s="59">
        <f>SUMPRODUCT(N(Tabela1[Código]=Tabela2[[#This Row],[Ativo]]),Tabela1[Fechamento])</f>
        <v>30</v>
      </c>
      <c r="K230" s="59">
        <f>SUMPRODUCT(N(Tabela17[Código]=Tabela2[[#This Row],[Ativo]]),Tabela17[Fechamento])</f>
        <v>0</v>
      </c>
      <c r="L230" s="59">
        <f>SUMPRODUCT(N(Tabela2[Ativo]=Tabela2[[#This Row],[Ativo]]),N(Tabela2[Exercício]=Tabela2[[#This Row],[Exercício]]-1),Tabela2[Lucro Líquido])</f>
        <v>900821000</v>
      </c>
      <c r="M230" s="18">
        <f>IF(Tabela2[[#This Row],[Lucro Anterior]]=0,"",IF(Tabela2[[#This Row],[Lucro Líquido]]&gt;0,Tabela2[[#This Row],[Lucro Líquido]]/Tabela2[[#This Row],[Lucro Anterior]]-1,0))</f>
        <v>0.15620528384662435</v>
      </c>
    </row>
    <row r="231" spans="1:13" x14ac:dyDescent="0.2">
      <c r="A231" s="4" t="s">
        <v>104</v>
      </c>
      <c r="B231" s="3">
        <v>2009</v>
      </c>
      <c r="C231" s="5">
        <v>900821000</v>
      </c>
      <c r="D231" s="61">
        <f>SUMPRODUCT(N(Tabela3[PAPEL]=Tabela2[[#This Row],[Ativo]]),Tabela3[Total Ações])</f>
        <v>273655375</v>
      </c>
      <c r="E231" s="64">
        <f>(Tabela2[[#This Row],[Lucro Líquido]])/Tabela2[[#This Row],[Total Ações]]</f>
        <v>3.2918081729620696</v>
      </c>
      <c r="F231" s="64">
        <v>1.6297900000000001</v>
      </c>
      <c r="G231" s="22">
        <f>IF(AND(Tabela2[[#This Row],[Dividendo / Ação]]&gt;0,Tabela2[[#This Row],[Lucro por ação]]&gt;0),Tabela2[[#This Row],[Dividendo / Ação]]/Tabela2[[#This Row],[Lucro por ação]],"")</f>
        <v>0.49510479176356903</v>
      </c>
      <c r="H231" s="5">
        <f>MAX(Tabela2[[#This Row],[Cotação 1]],Tabela2[[#This Row],[Cotação 2]])</f>
        <v>30</v>
      </c>
      <c r="I231" s="18">
        <f>IF(Tabela2[[#This Row],[Dividendo / Ação]]&gt;0,Tabela2[[#This Row],[Dividendo / Ação]]/Tabela2[[#This Row],[Cotação]],"")</f>
        <v>5.4326333333333338E-2</v>
      </c>
      <c r="J231" s="59">
        <f>SUMPRODUCT(N(Tabela1[Código]=Tabela2[[#This Row],[Ativo]]),Tabela1[Fechamento])</f>
        <v>30</v>
      </c>
      <c r="K231" s="59">
        <f>SUMPRODUCT(N(Tabela17[Código]=Tabela2[[#This Row],[Ativo]]),Tabela17[Fechamento])</f>
        <v>0</v>
      </c>
      <c r="L231" s="59">
        <f>SUMPRODUCT(N(Tabela2[Ativo]=Tabela2[[#This Row],[Ativo]]),N(Tabela2[Exercício]=Tabela2[[#This Row],[Exercício]]-1),Tabela2[Lucro Líquido])</f>
        <v>0</v>
      </c>
      <c r="M231" s="18" t="str">
        <f>IF(Tabela2[[#This Row],[Lucro Anterior]]=0,"",IF(Tabela2[[#This Row],[Lucro Líquido]]&gt;0,Tabela2[[#This Row],[Lucro Líquido]]/Tabela2[[#This Row],[Lucro Anterior]]-1,0))</f>
        <v/>
      </c>
    </row>
    <row r="232" spans="1:13" x14ac:dyDescent="0.2">
      <c r="A232" s="4" t="s">
        <v>105</v>
      </c>
      <c r="B232" s="4">
        <v>2012</v>
      </c>
      <c r="C232" s="6">
        <v>700688167.34000003</v>
      </c>
      <c r="D232" s="8">
        <f>SUMPRODUCT(N(Tabela3[PAPEL]=Tabela2[[#This Row],[Ativo]]),Tabela3[Total Ações])</f>
        <v>273655375</v>
      </c>
      <c r="E232" s="65">
        <f>(Tabela2[[#This Row],[Lucro Líquido]])/Tabela2[[#This Row],[Total Ações]]</f>
        <v>2.5604765385660708</v>
      </c>
      <c r="F232" s="65">
        <v>1.0288900000000001</v>
      </c>
      <c r="G232" s="45">
        <f>IF(AND(Tabela2[[#This Row],[Dividendo / Ação]]&gt;0,Tabela2[[#This Row],[Lucro por ação]]&gt;0),Tabela2[[#This Row],[Dividendo / Ação]]/Tabela2[[#This Row],[Lucro por ação]],"")</f>
        <v>0.40183535545152993</v>
      </c>
      <c r="H232" s="6">
        <f>MAX(Tabela2[[#This Row],[Cotação 1]],Tabela2[[#This Row],[Cotação 2]])</f>
        <v>30.83</v>
      </c>
      <c r="I232" s="19">
        <f>IF(Tabela2[[#This Row],[Dividendo / Ação]]&gt;0,Tabela2[[#This Row],[Dividendo / Ação]]/Tabela2[[#This Row],[Cotação]],"")</f>
        <v>3.3373013298735002E-2</v>
      </c>
      <c r="J232" s="60">
        <f>SUMPRODUCT(N(Tabela1[Código]=Tabela2[[#This Row],[Ativo]]),Tabela1[Fechamento])</f>
        <v>30.83</v>
      </c>
      <c r="K232" s="60">
        <f>SUMPRODUCT(N(Tabela17[Código]=Tabela2[[#This Row],[Ativo]]),Tabela17[Fechamento])</f>
        <v>0</v>
      </c>
      <c r="L232" s="60">
        <f>SUMPRODUCT(N(Tabela2[Ativo]=Tabela2[[#This Row],[Ativo]]),N(Tabela2[Exercício]=Tabela2[[#This Row],[Exercício]]-1),Tabela2[Lucro Líquido])</f>
        <v>1203117000</v>
      </c>
      <c r="M232" s="19">
        <f>IF(Tabela2[[#This Row],[Lucro Anterior]]=0,"",IF(Tabela2[[#This Row],[Lucro Líquido]]&gt;0,Tabela2[[#This Row],[Lucro Líquido]]/Tabela2[[#This Row],[Lucro Anterior]]-1,0))</f>
        <v>-0.41760596239600967</v>
      </c>
    </row>
    <row r="233" spans="1:13" x14ac:dyDescent="0.2">
      <c r="A233" s="4" t="s">
        <v>105</v>
      </c>
      <c r="B233" s="4">
        <v>2011</v>
      </c>
      <c r="C233" s="5">
        <v>1203117000</v>
      </c>
      <c r="D233" s="8">
        <f>SUMPRODUCT(N(Tabela3[PAPEL]=Tabela2[[#This Row],[Ativo]]),Tabela3[Total Ações])</f>
        <v>273655375</v>
      </c>
      <c r="E233" s="65">
        <f>(Tabela2[[#This Row],[Lucro Líquido]])/Tabela2[[#This Row],[Total Ações]]</f>
        <v>4.396467637443628</v>
      </c>
      <c r="F233" s="65">
        <v>1.6154599999999999</v>
      </c>
      <c r="G233" s="45">
        <f>IF(AND(Tabela2[[#This Row],[Dividendo / Ação]]&gt;0,Tabela2[[#This Row],[Lucro por ação]]&gt;0),Tabela2[[#This Row],[Dividendo / Ação]]/Tabela2[[#This Row],[Lucro por ação]],"")</f>
        <v>0.3674449883905721</v>
      </c>
      <c r="H233" s="6">
        <f>MAX(Tabela2[[#This Row],[Cotação 1]],Tabela2[[#This Row],[Cotação 2]])</f>
        <v>30.83</v>
      </c>
      <c r="I233" s="19">
        <f>IF(Tabela2[[#This Row],[Dividendo / Ação]]&gt;0,Tabela2[[#This Row],[Dividendo / Ação]]/Tabela2[[#This Row],[Cotação]],"")</f>
        <v>5.2398962049951349E-2</v>
      </c>
      <c r="J233" s="60">
        <f>SUMPRODUCT(N(Tabela1[Código]=Tabela2[[#This Row],[Ativo]]),Tabela1[Fechamento])</f>
        <v>30.83</v>
      </c>
      <c r="K233" s="60">
        <f>SUMPRODUCT(N(Tabela17[Código]=Tabela2[[#This Row],[Ativo]]),Tabela17[Fechamento])</f>
        <v>0</v>
      </c>
      <c r="L233" s="60">
        <f>SUMPRODUCT(N(Tabela2[Ativo]=Tabela2[[#This Row],[Ativo]]),N(Tabela2[Exercício]=Tabela2[[#This Row],[Exercício]]-1),Tabela2[Lucro Líquido])</f>
        <v>1041534000</v>
      </c>
      <c r="M233" s="19">
        <f>IF(Tabela2[[#This Row],[Lucro Anterior]]=0,"",IF(Tabela2[[#This Row],[Lucro Líquido]]&gt;0,Tabela2[[#This Row],[Lucro Líquido]]/Tabela2[[#This Row],[Lucro Anterior]]-1,0))</f>
        <v>0.15513943855889489</v>
      </c>
    </row>
    <row r="234" spans="1:13" x14ac:dyDescent="0.2">
      <c r="A234" s="4" t="s">
        <v>105</v>
      </c>
      <c r="B234" s="4">
        <v>2010</v>
      </c>
      <c r="C234" s="5">
        <v>1041534000</v>
      </c>
      <c r="D234" s="8">
        <f>SUMPRODUCT(N(Tabela3[PAPEL]=Tabela2[[#This Row],[Ativo]]),Tabela3[Total Ações])</f>
        <v>273655375</v>
      </c>
      <c r="E234" s="65">
        <f>(Tabela2[[#This Row],[Lucro Líquido]])/Tabela2[[#This Row],[Total Ações]]</f>
        <v>3.8060060029882474</v>
      </c>
      <c r="F234" s="65">
        <v>1.0785400000000001</v>
      </c>
      <c r="G234" s="45">
        <f>IF(AND(Tabela2[[#This Row],[Dividendo / Ação]]&gt;0,Tabela2[[#This Row],[Lucro por ação]]&gt;0),Tabela2[[#This Row],[Dividendo / Ação]]/Tabela2[[#This Row],[Lucro por ação]],"")</f>
        <v>0.28337842850305417</v>
      </c>
      <c r="H234" s="6">
        <f>MAX(Tabela2[[#This Row],[Cotação 1]],Tabela2[[#This Row],[Cotação 2]])</f>
        <v>30.83</v>
      </c>
      <c r="I234" s="19">
        <f>IF(Tabela2[[#This Row],[Dividendo / Ação]]&gt;0,Tabela2[[#This Row],[Dividendo / Ação]]/Tabela2[[#This Row],[Cotação]],"")</f>
        <v>3.4983457671099581E-2</v>
      </c>
      <c r="J234" s="60">
        <f>SUMPRODUCT(N(Tabela1[Código]=Tabela2[[#This Row],[Ativo]]),Tabela1[Fechamento])</f>
        <v>30.83</v>
      </c>
      <c r="K234" s="60">
        <f>SUMPRODUCT(N(Tabela17[Código]=Tabela2[[#This Row],[Ativo]]),Tabela17[Fechamento])</f>
        <v>0</v>
      </c>
      <c r="L234" s="60">
        <f>SUMPRODUCT(N(Tabela2[Ativo]=Tabela2[[#This Row],[Ativo]]),N(Tabela2[Exercício]=Tabela2[[#This Row],[Exercício]]-1),Tabela2[Lucro Líquido])</f>
        <v>900821000</v>
      </c>
      <c r="M234" s="19">
        <f>IF(Tabela2[[#This Row],[Lucro Anterior]]=0,"",IF(Tabela2[[#This Row],[Lucro Líquido]]&gt;0,Tabela2[[#This Row],[Lucro Líquido]]/Tabela2[[#This Row],[Lucro Anterior]]-1,0))</f>
        <v>0.15620528384662435</v>
      </c>
    </row>
    <row r="235" spans="1:13" x14ac:dyDescent="0.2">
      <c r="A235" s="4" t="s">
        <v>105</v>
      </c>
      <c r="B235" s="4">
        <v>2009</v>
      </c>
      <c r="C235" s="5">
        <v>900821000</v>
      </c>
      <c r="D235" s="8">
        <f>SUMPRODUCT(N(Tabela3[PAPEL]=Tabela2[[#This Row],[Ativo]]),Tabela3[Total Ações])</f>
        <v>273655375</v>
      </c>
      <c r="E235" s="65">
        <f>(Tabela2[[#This Row],[Lucro Líquido]])/Tabela2[[#This Row],[Total Ações]]</f>
        <v>3.2918081729620696</v>
      </c>
      <c r="F235" s="65">
        <v>0.95679000000000003</v>
      </c>
      <c r="G235" s="45">
        <f>IF(AND(Tabela2[[#This Row],[Dividendo / Ação]]&gt;0,Tabela2[[#This Row],[Lucro por ação]]&gt;0),Tabela2[[#This Row],[Dividendo / Ação]]/Tabela2[[#This Row],[Lucro por ação]],"")</f>
        <v>0.29065788458112102</v>
      </c>
      <c r="H235" s="6">
        <f>MAX(Tabela2[[#This Row],[Cotação 1]],Tabela2[[#This Row],[Cotação 2]])</f>
        <v>30.83</v>
      </c>
      <c r="I235" s="19">
        <f>IF(Tabela2[[#This Row],[Dividendo / Ação]]&gt;0,Tabela2[[#This Row],[Dividendo / Ação]]/Tabela2[[#This Row],[Cotação]],"")</f>
        <v>3.1034382095361662E-2</v>
      </c>
      <c r="J235" s="60">
        <f>SUMPRODUCT(N(Tabela1[Código]=Tabela2[[#This Row],[Ativo]]),Tabela1[Fechamento])</f>
        <v>30.83</v>
      </c>
      <c r="K235" s="60">
        <f>SUMPRODUCT(N(Tabela17[Código]=Tabela2[[#This Row],[Ativo]]),Tabela17[Fechamento])</f>
        <v>0</v>
      </c>
      <c r="L235" s="60">
        <f>SUMPRODUCT(N(Tabela2[Ativo]=Tabela2[[#This Row],[Ativo]]),N(Tabela2[Exercício]=Tabela2[[#This Row],[Exercício]]-1),Tabela2[Lucro Líquido])</f>
        <v>0</v>
      </c>
      <c r="M235" s="19" t="str">
        <f>IF(Tabela2[[#This Row],[Lucro Anterior]]=0,"",IF(Tabela2[[#This Row],[Lucro Líquido]]&gt;0,Tabela2[[#This Row],[Lucro Líquido]]/Tabela2[[#This Row],[Lucro Anterior]]-1,0))</f>
        <v/>
      </c>
    </row>
    <row r="236" spans="1:13" x14ac:dyDescent="0.2">
      <c r="A236" s="4" t="s">
        <v>430</v>
      </c>
      <c r="B236" s="4">
        <v>2012</v>
      </c>
      <c r="C236" s="6">
        <v>94365000</v>
      </c>
      <c r="D236" s="77">
        <f>SUMPRODUCT(N(Tabela3[PAPEL]=Tabela2[[#This Row],[Ativo]]),Tabela3[Total Ações])</f>
        <v>105765903</v>
      </c>
      <c r="E236" s="65">
        <f>(Tabela2[[#This Row],[Lucro Líquido]])/Tabela2[[#This Row],[Total Ações]]</f>
        <v>0.8922062528979684</v>
      </c>
      <c r="F236" s="65">
        <v>0.23760000000000001</v>
      </c>
      <c r="G236" s="44">
        <f>IF(AND(Tabela2[[#This Row],[Dividendo / Ação]]&gt;0,Tabela2[[#This Row],[Lucro por ação]]&gt;0),Tabela2[[#This Row],[Dividendo / Ação]]/Tabela2[[#This Row],[Lucro por ação]],"")</f>
        <v>0.2663061363090129</v>
      </c>
      <c r="H236" s="60">
        <f>MAX(Tabela2[[#This Row],[Cotação 1]],Tabela2[[#This Row],[Cotação 2]])</f>
        <v>3.85</v>
      </c>
      <c r="I236" s="45">
        <f>IF(Tabela2[[#This Row],[Dividendo / Ação]]&gt;0,Tabela2[[#This Row],[Dividendo / Ação]]/Tabela2[[#This Row],[Cotação]],"")</f>
        <v>6.1714285714285715E-2</v>
      </c>
      <c r="J236" s="17">
        <f>SUMPRODUCT(N(Tabela1[Código]=Tabela2[[#This Row],[Ativo]]),Tabela1[Fechamento])</f>
        <v>0</v>
      </c>
      <c r="K236" s="17">
        <f>SUMPRODUCT(N(Tabela17[Código]=Tabela2[[#This Row],[Ativo]]),Tabela17[Fechamento])</f>
        <v>3.85</v>
      </c>
      <c r="L236" s="17">
        <f>SUMPRODUCT(N(Tabela2[Ativo]=Tabela2[[#This Row],[Ativo]]),N(Tabela2[Exercício]=Tabela2[[#This Row],[Exercício]]-1),Tabela2[Lucro Líquido])</f>
        <v>76912864.659999996</v>
      </c>
      <c r="M236" s="19">
        <f>IF(Tabela2[[#This Row],[Lucro Anterior]]=0,"",IF(Tabela2[[#This Row],[Lucro Líquido]]&gt;0,Tabela2[[#This Row],[Lucro Líquido]]/Tabela2[[#This Row],[Lucro Anterior]]-1,0))</f>
        <v>0.22690788357901748</v>
      </c>
    </row>
    <row r="237" spans="1:13" x14ac:dyDescent="0.2">
      <c r="A237" s="4" t="s">
        <v>430</v>
      </c>
      <c r="B237" s="3">
        <v>2011</v>
      </c>
      <c r="C237" s="5">
        <v>76912864.659999996</v>
      </c>
      <c r="D237" s="66">
        <f>SUMPRODUCT(N(Tabela3[PAPEL]=Tabela2[[#This Row],[Ativo]]),Tabela3[Total Ações])</f>
        <v>105765903</v>
      </c>
      <c r="E237" s="64">
        <f>(Tabela2[[#This Row],[Lucro Líquido]])/Tabela2[[#This Row],[Total Ações]]</f>
        <v>0.72719905450057942</v>
      </c>
      <c r="F237" s="64">
        <v>0.17430000000000001</v>
      </c>
      <c r="G237" s="74">
        <f>IF(AND(Tabela2[[#This Row],[Dividendo / Ação]]&gt;0,Tabela2[[#This Row],[Lucro por ação]]&gt;0),Tabela2[[#This Row],[Dividendo / Ação]]/Tabela2[[#This Row],[Lucro por ação]],"")</f>
        <v>0.23968678028563242</v>
      </c>
      <c r="H237" s="59">
        <f>MAX(Tabela2[[#This Row],[Cotação 1]],Tabela2[[#This Row],[Cotação 2]])</f>
        <v>3.85</v>
      </c>
      <c r="I237" s="22">
        <f>IF(Tabela2[[#This Row],[Dividendo / Ação]]&gt;0,Tabela2[[#This Row],[Dividendo / Ação]]/Tabela2[[#This Row],[Cotação]],"")</f>
        <v>4.5272727272727277E-2</v>
      </c>
      <c r="J237" s="7">
        <f>SUMPRODUCT(N(Tabela1[Código]=Tabela2[[#This Row],[Ativo]]),Tabela1[Fechamento])</f>
        <v>0</v>
      </c>
      <c r="K237" s="7">
        <f>SUMPRODUCT(N(Tabela17[Código]=Tabela2[[#This Row],[Ativo]]),Tabela17[Fechamento])</f>
        <v>3.85</v>
      </c>
      <c r="L237" s="7">
        <f>SUMPRODUCT(N(Tabela2[Ativo]=Tabela2[[#This Row],[Ativo]]),N(Tabela2[Exercício]=Tabela2[[#This Row],[Exercício]]-1),Tabela2[Lucro Líquido])</f>
        <v>61174998.299999997</v>
      </c>
      <c r="M237" s="18">
        <f>IF(Tabela2[[#This Row],[Lucro Anterior]]=0,"",IF(Tabela2[[#This Row],[Lucro Líquido]]&gt;0,Tabela2[[#This Row],[Lucro Líquido]]/Tabela2[[#This Row],[Lucro Anterior]]-1,0))</f>
        <v>0.25725977600885352</v>
      </c>
    </row>
    <row r="238" spans="1:13" x14ac:dyDescent="0.2">
      <c r="A238" s="4" t="s">
        <v>430</v>
      </c>
      <c r="B238" s="3">
        <v>2010</v>
      </c>
      <c r="C238" s="5">
        <v>61174998.299999997</v>
      </c>
      <c r="D238" s="66">
        <f>SUMPRODUCT(N(Tabela3[PAPEL]=Tabela2[[#This Row],[Ativo]]),Tabela3[Total Ações])</f>
        <v>105765903</v>
      </c>
      <c r="E238" s="64">
        <f>(Tabela2[[#This Row],[Lucro Líquido]])/Tabela2[[#This Row],[Total Ações]]</f>
        <v>0.57840000004538317</v>
      </c>
      <c r="F238" s="64">
        <v>0.1163</v>
      </c>
      <c r="G238" s="74">
        <f>IF(AND(Tabela2[[#This Row],[Dividendo / Ação]]&gt;0,Tabela2[[#This Row],[Lucro por ação]]&gt;0),Tabela2[[#This Row],[Dividendo / Ação]]/Tabela2[[#This Row],[Lucro por ação]],"")</f>
        <v>0.20107192252917483</v>
      </c>
      <c r="H238" s="59">
        <f>MAX(Tabela2[[#This Row],[Cotação 1]],Tabela2[[#This Row],[Cotação 2]])</f>
        <v>3.85</v>
      </c>
      <c r="I238" s="22">
        <f>IF(Tabela2[[#This Row],[Dividendo / Ação]]&gt;0,Tabela2[[#This Row],[Dividendo / Ação]]/Tabela2[[#This Row],[Cotação]],"")</f>
        <v>3.0207792207792208E-2</v>
      </c>
      <c r="J238" s="7">
        <f>SUMPRODUCT(N(Tabela1[Código]=Tabela2[[#This Row],[Ativo]]),Tabela1[Fechamento])</f>
        <v>0</v>
      </c>
      <c r="K238" s="7">
        <f>SUMPRODUCT(N(Tabela17[Código]=Tabela2[[#This Row],[Ativo]]),Tabela17[Fechamento])</f>
        <v>3.85</v>
      </c>
      <c r="L238" s="7">
        <f>SUMPRODUCT(N(Tabela2[Ativo]=Tabela2[[#This Row],[Ativo]]),N(Tabela2[Exercício]=Tabela2[[#This Row],[Exercício]]-1),Tabela2[Lucro Líquido])</f>
        <v>67848826.769999996</v>
      </c>
      <c r="M238" s="18">
        <f>IF(Tabela2[[#This Row],[Lucro Anterior]]=0,"",IF(Tabela2[[#This Row],[Lucro Líquido]]&gt;0,Tabela2[[#This Row],[Lucro Líquido]]/Tabela2[[#This Row],[Lucro Anterior]]-1,0))</f>
        <v>-9.8363211093148828E-2</v>
      </c>
    </row>
    <row r="239" spans="1:13" x14ac:dyDescent="0.2">
      <c r="A239" s="4" t="s">
        <v>430</v>
      </c>
      <c r="B239" s="4">
        <v>2009</v>
      </c>
      <c r="C239" s="6">
        <v>67848826.769999996</v>
      </c>
      <c r="D239" s="77">
        <f>SUMPRODUCT(N(Tabela3[PAPEL]=Tabela2[[#This Row],[Ativo]]),Tabela3[Total Ações])</f>
        <v>105765903</v>
      </c>
      <c r="E239" s="65">
        <f>(Tabela2[[#This Row],[Lucro Líquido]])/Tabela2[[#This Row],[Total Ações]]</f>
        <v>0.64149999995745322</v>
      </c>
      <c r="F239" s="65">
        <v>0.16420000000000001</v>
      </c>
      <c r="G239" s="44">
        <f>IF(AND(Tabela2[[#This Row],[Dividendo / Ação]]&gt;0,Tabela2[[#This Row],[Lucro por ação]]&gt;0),Tabela2[[#This Row],[Dividendo / Ação]]/Tabela2[[#This Row],[Lucro por ação]],"")</f>
        <v>0.25596258770208946</v>
      </c>
      <c r="H239" s="60">
        <f>MAX(Tabela2[[#This Row],[Cotação 1]],Tabela2[[#This Row],[Cotação 2]])</f>
        <v>3.85</v>
      </c>
      <c r="I239" s="45">
        <f>IF(Tabela2[[#This Row],[Dividendo / Ação]]&gt;0,Tabela2[[#This Row],[Dividendo / Ação]]/Tabela2[[#This Row],[Cotação]],"")</f>
        <v>4.2649350649350652E-2</v>
      </c>
      <c r="J239" s="17">
        <f>SUMPRODUCT(N(Tabela1[Código]=Tabela2[[#This Row],[Ativo]]),Tabela1[Fechamento])</f>
        <v>0</v>
      </c>
      <c r="K239" s="17">
        <f>SUMPRODUCT(N(Tabela17[Código]=Tabela2[[#This Row],[Ativo]]),Tabela17[Fechamento])</f>
        <v>3.85</v>
      </c>
      <c r="L239" s="17">
        <f>SUMPRODUCT(N(Tabela2[Ativo]=Tabela2[[#This Row],[Ativo]]),N(Tabela2[Exercício]=Tabela2[[#This Row],[Exercício]]-1),Tabela2[Lucro Líquido])</f>
        <v>0</v>
      </c>
      <c r="M239" s="19" t="str">
        <f>IF(Tabela2[[#This Row],[Lucro Anterior]]=0,"",IF(Tabela2[[#This Row],[Lucro Líquido]]&gt;0,Tabela2[[#This Row],[Lucro Líquido]]/Tabela2[[#This Row],[Lucro Anterior]]-1,0))</f>
        <v/>
      </c>
    </row>
    <row r="240" spans="1:13" x14ac:dyDescent="0.2">
      <c r="A240" s="4" t="s">
        <v>431</v>
      </c>
      <c r="B240" s="4">
        <v>2012</v>
      </c>
      <c r="C240" s="6">
        <v>94365000</v>
      </c>
      <c r="D240" s="77">
        <f>SUMPRODUCT(N(Tabela3[PAPEL]=Tabela2[[#This Row],[Ativo]]),Tabela3[Total Ações])</f>
        <v>105765903</v>
      </c>
      <c r="E240" s="65">
        <f>(Tabela2[[#This Row],[Lucro Líquido]])/Tabela2[[#This Row],[Total Ações]]</f>
        <v>0.8922062528979684</v>
      </c>
      <c r="F240" s="65">
        <v>0.26429999999999998</v>
      </c>
      <c r="G240" s="44">
        <f>IF(AND(Tabela2[[#This Row],[Dividendo / Ação]]&gt;0,Tabela2[[#This Row],[Lucro por ação]]&gt;0),Tabela2[[#This Row],[Dividendo / Ação]]/Tabela2[[#This Row],[Lucro por ação]],"")</f>
        <v>0.29623195213161657</v>
      </c>
      <c r="H240" s="60">
        <f>MAX(Tabela2[[#This Row],[Cotação 1]],Tabela2[[#This Row],[Cotação 2]])</f>
        <v>4.01</v>
      </c>
      <c r="I240" s="45">
        <f>IF(Tabela2[[#This Row],[Dividendo / Ação]]&gt;0,Tabela2[[#This Row],[Dividendo / Ação]]/Tabela2[[#This Row],[Cotação]],"")</f>
        <v>6.5910224438902737E-2</v>
      </c>
      <c r="J240" s="17">
        <f>SUMPRODUCT(N(Tabela1[Código]=Tabela2[[#This Row],[Ativo]]),Tabela1[Fechamento])</f>
        <v>0</v>
      </c>
      <c r="K240" s="17">
        <f>SUMPRODUCT(N(Tabela17[Código]=Tabela2[[#This Row],[Ativo]]),Tabela17[Fechamento])</f>
        <v>4.01</v>
      </c>
      <c r="L240" s="17">
        <f>SUMPRODUCT(N(Tabela2[Ativo]=Tabela2[[#This Row],[Ativo]]),N(Tabela2[Exercício]=Tabela2[[#This Row],[Exercício]]-1),Tabela2[Lucro Líquido])</f>
        <v>76912864.659999996</v>
      </c>
      <c r="M240" s="19">
        <f>IF(Tabela2[[#This Row],[Lucro Anterior]]=0,"",IF(Tabela2[[#This Row],[Lucro Líquido]]&gt;0,Tabela2[[#This Row],[Lucro Líquido]]/Tabela2[[#This Row],[Lucro Anterior]]-1,0))</f>
        <v>0.22690788357901748</v>
      </c>
    </row>
    <row r="241" spans="1:13" x14ac:dyDescent="0.2">
      <c r="A241" s="4" t="s">
        <v>431</v>
      </c>
      <c r="B241" s="4">
        <v>2011</v>
      </c>
      <c r="C241" s="5">
        <v>76912864.659999996</v>
      </c>
      <c r="D241" s="77">
        <f>SUMPRODUCT(N(Tabela3[PAPEL]=Tabela2[[#This Row],[Ativo]]),Tabela3[Total Ações])</f>
        <v>105765903</v>
      </c>
      <c r="E241" s="65">
        <f>(Tabela2[[#This Row],[Lucro Líquido]])/Tabela2[[#This Row],[Total Ações]]</f>
        <v>0.72719905450057942</v>
      </c>
      <c r="F241" s="65">
        <v>0.2402</v>
      </c>
      <c r="G241" s="44">
        <f>IF(AND(Tabela2[[#This Row],[Dividendo / Ação]]&gt;0,Tabela2[[#This Row],[Lucro por ação]]&gt;0),Tabela2[[#This Row],[Dividendo / Ação]]/Tabela2[[#This Row],[Lucro por ação]],"")</f>
        <v>0.33030846026740618</v>
      </c>
      <c r="H241" s="60">
        <f>MAX(Tabela2[[#This Row],[Cotação 1]],Tabela2[[#This Row],[Cotação 2]])</f>
        <v>4.01</v>
      </c>
      <c r="I241" s="45">
        <f>IF(Tabela2[[#This Row],[Dividendo / Ação]]&gt;0,Tabela2[[#This Row],[Dividendo / Ação]]/Tabela2[[#This Row],[Cotação]],"")</f>
        <v>5.9900249376558606E-2</v>
      </c>
      <c r="J241" s="17">
        <f>SUMPRODUCT(N(Tabela1[Código]=Tabela2[[#This Row],[Ativo]]),Tabela1[Fechamento])</f>
        <v>0</v>
      </c>
      <c r="K241" s="17">
        <f>SUMPRODUCT(N(Tabela17[Código]=Tabela2[[#This Row],[Ativo]]),Tabela17[Fechamento])</f>
        <v>4.01</v>
      </c>
      <c r="L241" s="17">
        <f>SUMPRODUCT(N(Tabela2[Ativo]=Tabela2[[#This Row],[Ativo]]),N(Tabela2[Exercício]=Tabela2[[#This Row],[Exercício]]-1),Tabela2[Lucro Líquido])</f>
        <v>61174998.299999997</v>
      </c>
      <c r="M241" s="19">
        <f>IF(Tabela2[[#This Row],[Lucro Anterior]]=0,"",IF(Tabela2[[#This Row],[Lucro Líquido]]&gt;0,Tabela2[[#This Row],[Lucro Líquido]]/Tabela2[[#This Row],[Lucro Anterior]]-1,0))</f>
        <v>0.25725977600885352</v>
      </c>
    </row>
    <row r="242" spans="1:13" x14ac:dyDescent="0.2">
      <c r="A242" s="4" t="s">
        <v>431</v>
      </c>
      <c r="B242" s="4">
        <v>2010</v>
      </c>
      <c r="C242" s="5">
        <v>61174998.299999997</v>
      </c>
      <c r="D242" s="77">
        <f>SUMPRODUCT(N(Tabela3[PAPEL]=Tabela2[[#This Row],[Ativo]]),Tabela3[Total Ações])</f>
        <v>105765903</v>
      </c>
      <c r="E242" s="65">
        <f>(Tabela2[[#This Row],[Lucro Líquido]])/Tabela2[[#This Row],[Total Ações]]</f>
        <v>0.57840000004538317</v>
      </c>
      <c r="F242" s="65">
        <v>0.2198</v>
      </c>
      <c r="G242" s="44">
        <f>IF(AND(Tabela2[[#This Row],[Dividendo / Ação]]&gt;0,Tabela2[[#This Row],[Lucro por ação]]&gt;0),Tabela2[[#This Row],[Dividendo / Ação]]/Tabela2[[#This Row],[Lucro por ação]],"")</f>
        <v>0.38001383122882737</v>
      </c>
      <c r="H242" s="60">
        <f>MAX(Tabela2[[#This Row],[Cotação 1]],Tabela2[[#This Row],[Cotação 2]])</f>
        <v>4.01</v>
      </c>
      <c r="I242" s="45">
        <f>IF(Tabela2[[#This Row],[Dividendo / Ação]]&gt;0,Tabela2[[#This Row],[Dividendo / Ação]]/Tabela2[[#This Row],[Cotação]],"")</f>
        <v>5.4812967581047381E-2</v>
      </c>
      <c r="J242" s="17">
        <f>SUMPRODUCT(N(Tabela1[Código]=Tabela2[[#This Row],[Ativo]]),Tabela1[Fechamento])</f>
        <v>0</v>
      </c>
      <c r="K242" s="17">
        <f>SUMPRODUCT(N(Tabela17[Código]=Tabela2[[#This Row],[Ativo]]),Tabela17[Fechamento])</f>
        <v>4.01</v>
      </c>
      <c r="L242" s="17">
        <f>SUMPRODUCT(N(Tabela2[Ativo]=Tabela2[[#This Row],[Ativo]]),N(Tabela2[Exercício]=Tabela2[[#This Row],[Exercício]]-1),Tabela2[Lucro Líquido])</f>
        <v>67848826.769999996</v>
      </c>
      <c r="M242" s="19">
        <f>IF(Tabela2[[#This Row],[Lucro Anterior]]=0,"",IF(Tabela2[[#This Row],[Lucro Líquido]]&gt;0,Tabela2[[#This Row],[Lucro Líquido]]/Tabela2[[#This Row],[Lucro Anterior]]-1,0))</f>
        <v>-9.8363211093148828E-2</v>
      </c>
    </row>
    <row r="243" spans="1:13" x14ac:dyDescent="0.2">
      <c r="A243" s="4" t="s">
        <v>431</v>
      </c>
      <c r="B243" s="4">
        <v>2009</v>
      </c>
      <c r="C243" s="6">
        <v>67848826.769999996</v>
      </c>
      <c r="D243" s="77">
        <f>SUMPRODUCT(N(Tabela3[PAPEL]=Tabela2[[#This Row],[Ativo]]),Tabela3[Total Ações])</f>
        <v>105765903</v>
      </c>
      <c r="E243" s="65">
        <f>(Tabela2[[#This Row],[Lucro Líquido]])/Tabela2[[#This Row],[Total Ações]]</f>
        <v>0.64149999995745322</v>
      </c>
      <c r="F243" s="65">
        <v>0.19839999999999999</v>
      </c>
      <c r="G243" s="44">
        <f>IF(AND(Tabela2[[#This Row],[Dividendo / Ação]]&gt;0,Tabela2[[#This Row],[Lucro por ação]]&gt;0),Tabela2[[#This Row],[Dividendo / Ação]]/Tabela2[[#This Row],[Lucro por ação]],"")</f>
        <v>0.30927513641957699</v>
      </c>
      <c r="H243" s="60">
        <f>MAX(Tabela2[[#This Row],[Cotação 1]],Tabela2[[#This Row],[Cotação 2]])</f>
        <v>4.01</v>
      </c>
      <c r="I243" s="45">
        <f>IF(Tabela2[[#This Row],[Dividendo / Ação]]&gt;0,Tabela2[[#This Row],[Dividendo / Ação]]/Tabela2[[#This Row],[Cotação]],"")</f>
        <v>4.947630922693267E-2</v>
      </c>
      <c r="J243" s="17">
        <f>SUMPRODUCT(N(Tabela1[Código]=Tabela2[[#This Row],[Ativo]]),Tabela1[Fechamento])</f>
        <v>0</v>
      </c>
      <c r="K243" s="17">
        <f>SUMPRODUCT(N(Tabela17[Código]=Tabela2[[#This Row],[Ativo]]),Tabela17[Fechamento])</f>
        <v>4.01</v>
      </c>
      <c r="L243" s="17">
        <f>SUMPRODUCT(N(Tabela2[Ativo]=Tabela2[[#This Row],[Ativo]]),N(Tabela2[Exercício]=Tabela2[[#This Row],[Exercício]]-1),Tabela2[Lucro Líquido])</f>
        <v>0</v>
      </c>
      <c r="M243" s="19" t="str">
        <f>IF(Tabela2[[#This Row],[Lucro Anterior]]=0,"",IF(Tabela2[[#This Row],[Lucro Líquido]]&gt;0,Tabela2[[#This Row],[Lucro Líquido]]/Tabela2[[#This Row],[Lucro Anterior]]-1,0))</f>
        <v/>
      </c>
    </row>
    <row r="244" spans="1:13" x14ac:dyDescent="0.2">
      <c r="A244" s="14" t="s">
        <v>282</v>
      </c>
      <c r="B244" s="3">
        <v>2012</v>
      </c>
      <c r="C244" s="5">
        <v>13717907.74</v>
      </c>
      <c r="D244" s="61">
        <f>SUMPRODUCT(N(Tabela3[PAPEL]=Tabela2[[#This Row],[Ativo]]),Tabela3[Total Ações])</f>
        <v>7680000</v>
      </c>
      <c r="E244" s="64">
        <f>(Tabela2[[#This Row],[Lucro Líquido]])/Tabela2[[#This Row],[Total Ações]]</f>
        <v>1.7861859036458334</v>
      </c>
      <c r="F244" s="64">
        <v>1.24</v>
      </c>
      <c r="G244" s="22">
        <f>IF(AND(Tabela2[[#This Row],[Dividendo / Ação]]&gt;0,Tabela2[[#This Row],[Lucro por ação]]&gt;0),Tabela2[[#This Row],[Dividendo / Ação]]/Tabela2[[#This Row],[Lucro por ação]],"")</f>
        <v>0.69421665318766745</v>
      </c>
      <c r="H244" s="50">
        <f>MAX(Tabela2[[#This Row],[Cotação 1]],Tabela2[[#This Row],[Cotação 2]])</f>
        <v>30.01</v>
      </c>
      <c r="I244" s="18">
        <f>IF(Tabela2[[#This Row],[Dividendo / Ação]]&gt;0,Tabela2[[#This Row],[Dividendo / Ação]]/Tabela2[[#This Row],[Cotação]],"")</f>
        <v>4.1319560146617793E-2</v>
      </c>
      <c r="J244" s="7">
        <f>SUMPRODUCT(N(Tabela1[Código]=Tabela2[[#This Row],[Ativo]]),Tabela1[Fechamento])</f>
        <v>0</v>
      </c>
      <c r="K244" s="7">
        <f>SUMPRODUCT(N(Tabela17[Código]=Tabela2[[#This Row],[Ativo]]),Tabela17[Fechamento])</f>
        <v>30.01</v>
      </c>
      <c r="L244" s="7">
        <f>SUMPRODUCT(N(Tabela2[Ativo]=Tabela2[[#This Row],[Ativo]]),N(Tabela2[Exercício]=Tabela2[[#This Row],[Exercício]]-1),Tabela2[Lucro Líquido])</f>
        <v>28253000</v>
      </c>
      <c r="M244" s="18">
        <f>IF(Tabela2[[#This Row],[Lucro Anterior]]=0,"",IF(Tabela2[[#This Row],[Lucro Líquido]]&gt;0,Tabela2[[#This Row],[Lucro Líquido]]/Tabela2[[#This Row],[Lucro Anterior]]-1,0))</f>
        <v>-0.51446190705411809</v>
      </c>
    </row>
    <row r="245" spans="1:13" x14ac:dyDescent="0.2">
      <c r="A245" s="14" t="s">
        <v>282</v>
      </c>
      <c r="B245" s="3">
        <v>2011</v>
      </c>
      <c r="C245" s="5">
        <v>28253000</v>
      </c>
      <c r="D245" s="61">
        <f>SUMPRODUCT(N(Tabela3[PAPEL]=Tabela2[[#This Row],[Ativo]]),Tabela3[Total Ações])</f>
        <v>7680000</v>
      </c>
      <c r="E245" s="64">
        <f>(Tabela2[[#This Row],[Lucro Líquido]])/Tabela2[[#This Row],[Total Ações]]</f>
        <v>3.6787760416666666</v>
      </c>
      <c r="F245" s="64">
        <v>2.48</v>
      </c>
      <c r="G245" s="22">
        <f>IF(AND(Tabela2[[#This Row],[Dividendo / Ação]]&gt;0,Tabela2[[#This Row],[Lucro por ação]]&gt;0),Tabela2[[#This Row],[Dividendo / Ação]]/Tabela2[[#This Row],[Lucro por ação]],"")</f>
        <v>0.67413725976002548</v>
      </c>
      <c r="H245" s="50">
        <f>MAX(Tabela2[[#This Row],[Cotação 1]],Tabela2[[#This Row],[Cotação 2]])</f>
        <v>30.01</v>
      </c>
      <c r="I245" s="18">
        <f>IF(Tabela2[[#This Row],[Dividendo / Ação]]&gt;0,Tabela2[[#This Row],[Dividendo / Ação]]/Tabela2[[#This Row],[Cotação]],"")</f>
        <v>8.2639120293235585E-2</v>
      </c>
      <c r="J245" s="7">
        <f>SUMPRODUCT(N(Tabela1[Código]=Tabela2[[#This Row],[Ativo]]),Tabela1[Fechamento])</f>
        <v>0</v>
      </c>
      <c r="K245" s="7">
        <f>SUMPRODUCT(N(Tabela17[Código]=Tabela2[[#This Row],[Ativo]]),Tabela17[Fechamento])</f>
        <v>30.01</v>
      </c>
      <c r="L245" s="7">
        <f>SUMPRODUCT(N(Tabela2[Ativo]=Tabela2[[#This Row],[Ativo]]),N(Tabela2[Exercício]=Tabela2[[#This Row],[Exercício]]-1),Tabela2[Lucro Líquido])</f>
        <v>23457000</v>
      </c>
      <c r="M245" s="18">
        <f>IF(Tabela2[[#This Row],[Lucro Anterior]]=0,"",IF(Tabela2[[#This Row],[Lucro Líquido]]&gt;0,Tabela2[[#This Row],[Lucro Líquido]]/Tabela2[[#This Row],[Lucro Anterior]]-1,0))</f>
        <v>0.20445922325958144</v>
      </c>
    </row>
    <row r="246" spans="1:13" x14ac:dyDescent="0.2">
      <c r="A246" s="14" t="s">
        <v>282</v>
      </c>
      <c r="B246" s="3">
        <v>2010</v>
      </c>
      <c r="C246" s="5">
        <v>23457000</v>
      </c>
      <c r="D246" s="61">
        <f>SUMPRODUCT(N(Tabela3[PAPEL]=Tabela2[[#This Row],[Ativo]]),Tabela3[Total Ações])</f>
        <v>7680000</v>
      </c>
      <c r="E246" s="64">
        <f>(Tabela2[[#This Row],[Lucro Líquido]])/Tabela2[[#This Row],[Total Ações]]</f>
        <v>3.0542968749999999</v>
      </c>
      <c r="F246" s="64">
        <v>2.5</v>
      </c>
      <c r="G246" s="22">
        <f>IF(AND(Tabela2[[#This Row],[Dividendo / Ação]]&gt;0,Tabela2[[#This Row],[Lucro por ação]]&gt;0),Tabela2[[#This Row],[Dividendo / Ação]]/Tabela2[[#This Row],[Lucro por ação]],"")</f>
        <v>0.81851899219849089</v>
      </c>
      <c r="H246" s="50">
        <f>MAX(Tabela2[[#This Row],[Cotação 1]],Tabela2[[#This Row],[Cotação 2]])</f>
        <v>30.01</v>
      </c>
      <c r="I246" s="18">
        <f>IF(Tabela2[[#This Row],[Dividendo / Ação]]&gt;0,Tabela2[[#This Row],[Dividendo / Ação]]/Tabela2[[#This Row],[Cotação]],"")</f>
        <v>8.3305564811729418E-2</v>
      </c>
      <c r="J246" s="7">
        <f>SUMPRODUCT(N(Tabela1[Código]=Tabela2[[#This Row],[Ativo]]),Tabela1[Fechamento])</f>
        <v>0</v>
      </c>
      <c r="K246" s="7">
        <f>SUMPRODUCT(N(Tabela17[Código]=Tabela2[[#This Row],[Ativo]]),Tabela17[Fechamento])</f>
        <v>30.01</v>
      </c>
      <c r="L246" s="7">
        <f>SUMPRODUCT(N(Tabela2[Ativo]=Tabela2[[#This Row],[Ativo]]),N(Tabela2[Exercício]=Tabela2[[#This Row],[Exercício]]-1),Tabela2[Lucro Líquido])</f>
        <v>0</v>
      </c>
      <c r="M246" s="18" t="str">
        <f>IF(Tabela2[[#This Row],[Lucro Anterior]]=0,"",IF(Tabela2[[#This Row],[Lucro Líquido]]&gt;0,Tabela2[[#This Row],[Lucro Líquido]]/Tabela2[[#This Row],[Lucro Anterior]]-1,0))</f>
        <v/>
      </c>
    </row>
    <row r="247" spans="1:13" x14ac:dyDescent="0.2">
      <c r="A247" s="14" t="s">
        <v>283</v>
      </c>
      <c r="B247" s="4">
        <v>2012</v>
      </c>
      <c r="C247" s="5">
        <v>13717907.74</v>
      </c>
      <c r="D247" s="8">
        <f>SUMPRODUCT(N(Tabela3[PAPEL]=Tabela2[[#This Row],[Ativo]]),Tabela3[Total Ações])</f>
        <v>7680000</v>
      </c>
      <c r="E247" s="65">
        <f>(Tabela2[[#This Row],[Lucro Líquido]])/Tabela2[[#This Row],[Total Ações]]</f>
        <v>1.7861859036458334</v>
      </c>
      <c r="F247" s="65">
        <v>1.37</v>
      </c>
      <c r="G247" s="45">
        <f>IF(AND(Tabela2[[#This Row],[Dividendo / Ação]]&gt;0,Tabela2[[#This Row],[Lucro por ação]]&gt;0),Tabela2[[#This Row],[Dividendo / Ação]]/Tabela2[[#This Row],[Lucro por ação]],"")</f>
        <v>0.7669974313444391</v>
      </c>
      <c r="H247" s="13">
        <f>MAX(Tabela2[[#This Row],[Cotação 1]],Tabela2[[#This Row],[Cotação 2]])</f>
        <v>30.05</v>
      </c>
      <c r="I247" s="19">
        <f>IF(Tabela2[[#This Row],[Dividendo / Ação]]&gt;0,Tabela2[[#This Row],[Dividendo / Ação]]/Tabela2[[#This Row],[Cotação]],"")</f>
        <v>4.5590682196339438E-2</v>
      </c>
      <c r="J247" s="17">
        <f>SUMPRODUCT(N(Tabela1[Código]=Tabela2[[#This Row],[Ativo]]),Tabela1[Fechamento])</f>
        <v>0</v>
      </c>
      <c r="K247" s="17">
        <f>SUMPRODUCT(N(Tabela17[Código]=Tabela2[[#This Row],[Ativo]]),Tabela17[Fechamento])</f>
        <v>30.05</v>
      </c>
      <c r="L247" s="17">
        <f>SUMPRODUCT(N(Tabela2[Ativo]=Tabela2[[#This Row],[Ativo]]),N(Tabela2[Exercício]=Tabela2[[#This Row],[Exercício]]-1),Tabela2[Lucro Líquido])</f>
        <v>28253000</v>
      </c>
      <c r="M247" s="19">
        <f>IF(Tabela2[[#This Row],[Lucro Anterior]]=0,"",IF(Tabela2[[#This Row],[Lucro Líquido]]&gt;0,Tabela2[[#This Row],[Lucro Líquido]]/Tabela2[[#This Row],[Lucro Anterior]]-1,0))</f>
        <v>-0.51446190705411809</v>
      </c>
    </row>
    <row r="248" spans="1:13" x14ac:dyDescent="0.2">
      <c r="A248" s="14" t="s">
        <v>283</v>
      </c>
      <c r="B248" s="4">
        <v>2011</v>
      </c>
      <c r="C248" s="5">
        <v>28253000</v>
      </c>
      <c r="D248" s="8">
        <f>SUMPRODUCT(N(Tabela3[PAPEL]=Tabela2[[#This Row],[Ativo]]),Tabela3[Total Ações])</f>
        <v>7680000</v>
      </c>
      <c r="E248" s="65">
        <f>(Tabela2[[#This Row],[Lucro Líquido]])/Tabela2[[#This Row],[Total Ações]]</f>
        <v>3.6787760416666666</v>
      </c>
      <c r="F248" s="65">
        <v>2.74</v>
      </c>
      <c r="G248" s="45">
        <f>IF(AND(Tabela2[[#This Row],[Dividendo / Ação]]&gt;0,Tabela2[[#This Row],[Lucro por ação]]&gt;0),Tabela2[[#This Row],[Dividendo / Ação]]/Tabela2[[#This Row],[Lucro por ação]],"")</f>
        <v>0.7448129402187379</v>
      </c>
      <c r="H248" s="13">
        <f>MAX(Tabela2[[#This Row],[Cotação 1]],Tabela2[[#This Row],[Cotação 2]])</f>
        <v>30.05</v>
      </c>
      <c r="I248" s="19">
        <f>IF(Tabela2[[#This Row],[Dividendo / Ação]]&gt;0,Tabela2[[#This Row],[Dividendo / Ação]]/Tabela2[[#This Row],[Cotação]],"")</f>
        <v>9.1181364392678876E-2</v>
      </c>
      <c r="J248" s="17">
        <f>SUMPRODUCT(N(Tabela1[Código]=Tabela2[[#This Row],[Ativo]]),Tabela1[Fechamento])</f>
        <v>0</v>
      </c>
      <c r="K248" s="17">
        <f>SUMPRODUCT(N(Tabela17[Código]=Tabela2[[#This Row],[Ativo]]),Tabela17[Fechamento])</f>
        <v>30.05</v>
      </c>
      <c r="L248" s="17">
        <f>SUMPRODUCT(N(Tabela2[Ativo]=Tabela2[[#This Row],[Ativo]]),N(Tabela2[Exercício]=Tabela2[[#This Row],[Exercício]]-1),Tabela2[Lucro Líquido])</f>
        <v>23457000</v>
      </c>
      <c r="M248" s="19">
        <f>IF(Tabela2[[#This Row],[Lucro Anterior]]=0,"",IF(Tabela2[[#This Row],[Lucro Líquido]]&gt;0,Tabela2[[#This Row],[Lucro Líquido]]/Tabela2[[#This Row],[Lucro Anterior]]-1,0))</f>
        <v>0.20445922325958144</v>
      </c>
    </row>
    <row r="249" spans="1:13" x14ac:dyDescent="0.2">
      <c r="A249" s="14" t="s">
        <v>283</v>
      </c>
      <c r="B249" s="4">
        <v>2010</v>
      </c>
      <c r="C249" s="5">
        <v>23457000</v>
      </c>
      <c r="D249" s="8">
        <f>SUMPRODUCT(N(Tabela3[PAPEL]=Tabela2[[#This Row],[Ativo]]),Tabela3[Total Ações])</f>
        <v>7680000</v>
      </c>
      <c r="E249" s="65">
        <f>(Tabela2[[#This Row],[Lucro Líquido]])/Tabela2[[#This Row],[Total Ações]]</f>
        <v>3.0542968749999999</v>
      </c>
      <c r="F249" s="65">
        <v>2.75</v>
      </c>
      <c r="G249" s="45">
        <f>IF(AND(Tabela2[[#This Row],[Dividendo / Ação]]&gt;0,Tabela2[[#This Row],[Lucro por ação]]&gt;0),Tabela2[[#This Row],[Dividendo / Ação]]/Tabela2[[#This Row],[Lucro por ação]],"")</f>
        <v>0.90037089141833992</v>
      </c>
      <c r="H249" s="13">
        <f>MAX(Tabela2[[#This Row],[Cotação 1]],Tabela2[[#This Row],[Cotação 2]])</f>
        <v>30.05</v>
      </c>
      <c r="I249" s="19">
        <f>IF(Tabela2[[#This Row],[Dividendo / Ação]]&gt;0,Tabela2[[#This Row],[Dividendo / Ação]]/Tabela2[[#This Row],[Cotação]],"")</f>
        <v>9.1514143094841932E-2</v>
      </c>
      <c r="J249" s="17">
        <f>SUMPRODUCT(N(Tabela1[Código]=Tabela2[[#This Row],[Ativo]]),Tabela1[Fechamento])</f>
        <v>0</v>
      </c>
      <c r="K249" s="17">
        <f>SUMPRODUCT(N(Tabela17[Código]=Tabela2[[#This Row],[Ativo]]),Tabela17[Fechamento])</f>
        <v>30.05</v>
      </c>
      <c r="L249" s="17">
        <f>SUMPRODUCT(N(Tabela2[Ativo]=Tabela2[[#This Row],[Ativo]]),N(Tabela2[Exercício]=Tabela2[[#This Row],[Exercício]]-1),Tabela2[Lucro Líquido])</f>
        <v>0</v>
      </c>
      <c r="M249" s="19" t="str">
        <f>IF(Tabela2[[#This Row],[Lucro Anterior]]=0,"",IF(Tabela2[[#This Row],[Lucro Líquido]]&gt;0,Tabela2[[#This Row],[Lucro Líquido]]/Tabela2[[#This Row],[Lucro Anterior]]-1,0))</f>
        <v/>
      </c>
    </row>
    <row r="250" spans="1:13" x14ac:dyDescent="0.2">
      <c r="A250" s="3" t="s">
        <v>305</v>
      </c>
      <c r="B250" s="3">
        <v>2012</v>
      </c>
      <c r="C250" s="5">
        <v>638200000</v>
      </c>
      <c r="D250" s="61">
        <f>SUMPRODUCT(N(Tabela3[PAPEL]=Tabela2[[#This Row],[Ativo]]),Tabela3[Total Ações])</f>
        <v>407214353</v>
      </c>
      <c r="E250" s="64">
        <f>(Tabela2[[#This Row],[Lucro Líquido]])/Tabela2[[#This Row],[Total Ações]]</f>
        <v>1.5672335596677753</v>
      </c>
      <c r="F250" s="64">
        <v>0.74068530099999996</v>
      </c>
      <c r="G250" s="22">
        <f>IF(AND(Tabela2[[#This Row],[Dividendo / Ação]]&gt;0,Tabela2[[#This Row],[Lucro por ação]]&gt;0),Tabela2[[#This Row],[Dividendo / Ação]]/Tabela2[[#This Row],[Lucro por ação]],"")</f>
        <v>0.4726068405254234</v>
      </c>
      <c r="H250" s="50">
        <f>MAX(Tabela2[[#This Row],[Cotação 1]],Tabela2[[#This Row],[Cotação 2]])</f>
        <v>38.26</v>
      </c>
      <c r="I250" s="18">
        <f>IF(Tabela2[[#This Row],[Dividendo / Ação]]&gt;0,Tabela2[[#This Row],[Dividendo / Ação]]/Tabela2[[#This Row],[Cotação]],"")</f>
        <v>1.9359260350235233E-2</v>
      </c>
      <c r="J250" s="7">
        <f>SUMPRODUCT(N(Tabela1[Código]=Tabela2[[#This Row],[Ativo]]),Tabela1[Fechamento])</f>
        <v>0</v>
      </c>
      <c r="K250" s="7">
        <f>SUMPRODUCT(N(Tabela17[Código]=Tabela2[[#This Row],[Ativo]]),Tabela17[Fechamento])</f>
        <v>38.26</v>
      </c>
      <c r="L250" s="7">
        <f>SUMPRODUCT(N(Tabela2[Ativo]=Tabela2[[#This Row],[Ativo]]),N(Tabela2[Exercício]=Tabela2[[#This Row],[Exercício]]-1),Tabela2[Lucro Líquido])</f>
        <v>2605800000</v>
      </c>
      <c r="M250" s="18">
        <f>IF(Tabela2[[#This Row],[Lucro Anterior]]=0,"",IF(Tabela2[[#This Row],[Lucro Líquido]]&gt;0,Tabela2[[#This Row],[Lucro Líquido]]/Tabela2[[#This Row],[Lucro Anterior]]-1,0))</f>
        <v>-0.75508481080666212</v>
      </c>
    </row>
    <row r="251" spans="1:13" x14ac:dyDescent="0.2">
      <c r="A251" s="3" t="s">
        <v>305</v>
      </c>
      <c r="B251" s="3">
        <v>2011</v>
      </c>
      <c r="C251" s="5">
        <v>2605800000</v>
      </c>
      <c r="D251" s="61">
        <f>SUMPRODUCT(N(Tabela3[PAPEL]=Tabela2[[#This Row],[Ativo]]),Tabela3[Total Ações])</f>
        <v>407214353</v>
      </c>
      <c r="E251" s="64">
        <f>(Tabela2[[#This Row],[Lucro Líquido]])/Tabela2[[#This Row],[Total Ações]]</f>
        <v>6.399086821971621</v>
      </c>
      <c r="F251" s="64">
        <v>0.61834152200000003</v>
      </c>
      <c r="G251" s="22">
        <f>IF(AND(Tabela2[[#This Row],[Dividendo / Ação]]&gt;0,Tabela2[[#This Row],[Lucro por ação]]&gt;0),Tabela2[[#This Row],[Dividendo / Ação]]/Tabela2[[#This Row],[Lucro por ação]],"")</f>
        <v>9.6629650323994662E-2</v>
      </c>
      <c r="H251" s="50">
        <f>MAX(Tabela2[[#This Row],[Cotação 1]],Tabela2[[#This Row],[Cotação 2]])</f>
        <v>38.26</v>
      </c>
      <c r="I251" s="18">
        <f>IF(Tabela2[[#This Row],[Dividendo / Ação]]&gt;0,Tabela2[[#This Row],[Dividendo / Ação]]/Tabela2[[#This Row],[Cotação]],"")</f>
        <v>1.6161566178776791E-2</v>
      </c>
      <c r="J251" s="7">
        <f>SUMPRODUCT(N(Tabela1[Código]=Tabela2[[#This Row],[Ativo]]),Tabela1[Fechamento])</f>
        <v>0</v>
      </c>
      <c r="K251" s="7">
        <f>SUMPRODUCT(N(Tabela17[Código]=Tabela2[[#This Row],[Ativo]]),Tabela17[Fechamento])</f>
        <v>38.26</v>
      </c>
      <c r="L251" s="7">
        <f>SUMPRODUCT(N(Tabela2[Ativo]=Tabela2[[#This Row],[Ativo]]),N(Tabela2[Exercício]=Tabela2[[#This Row],[Exercício]]-1),Tabela2[Lucro Líquido])</f>
        <v>771500000</v>
      </c>
      <c r="M251" s="18">
        <f>IF(Tabela2[[#This Row],[Lucro Anterior]]=0,"",IF(Tabela2[[#This Row],[Lucro Líquido]]&gt;0,Tabela2[[#This Row],[Lucro Líquido]]/Tabela2[[#This Row],[Lucro Anterior]]-1,0))</f>
        <v>2.3775761503564485</v>
      </c>
    </row>
    <row r="252" spans="1:13" x14ac:dyDescent="0.2">
      <c r="A252" s="3" t="s">
        <v>305</v>
      </c>
      <c r="B252" s="3">
        <v>2010</v>
      </c>
      <c r="C252" s="5">
        <v>771500000</v>
      </c>
      <c r="D252" s="61">
        <f>SUMPRODUCT(N(Tabela3[PAPEL]=Tabela2[[#This Row],[Ativo]]),Tabela3[Total Ações])</f>
        <v>407214353</v>
      </c>
      <c r="E252" s="64">
        <f>(Tabela2[[#This Row],[Lucro Líquido]])/Tabela2[[#This Row],[Total Ações]]</f>
        <v>1.8945795852141782</v>
      </c>
      <c r="F252" s="64">
        <v>0.49227156500000002</v>
      </c>
      <c r="G252" s="22">
        <f>IF(AND(Tabela2[[#This Row],[Dividendo / Ação]]&gt;0,Tabela2[[#This Row],[Lucro por ação]]&gt;0),Tabela2[[#This Row],[Dividendo / Ação]]/Tabela2[[#This Row],[Lucro por ação]],"")</f>
        <v>0.25983155779879774</v>
      </c>
      <c r="H252" s="50">
        <f>MAX(Tabela2[[#This Row],[Cotação 1]],Tabela2[[#This Row],[Cotação 2]])</f>
        <v>38.26</v>
      </c>
      <c r="I252" s="18">
        <f>IF(Tabela2[[#This Row],[Dividendo / Ação]]&gt;0,Tabela2[[#This Row],[Dividendo / Ação]]/Tabela2[[#This Row],[Cotação]],"")</f>
        <v>1.2866481050705699E-2</v>
      </c>
      <c r="J252" s="7">
        <f>SUMPRODUCT(N(Tabela1[Código]=Tabela2[[#This Row],[Ativo]]),Tabela1[Fechamento])</f>
        <v>0</v>
      </c>
      <c r="K252" s="7">
        <f>SUMPRODUCT(N(Tabela17[Código]=Tabela2[[#This Row],[Ativo]]),Tabela17[Fechamento])</f>
        <v>38.26</v>
      </c>
      <c r="L252" s="7">
        <f>SUMPRODUCT(N(Tabela2[Ativo]=Tabela2[[#This Row],[Ativo]]),N(Tabela2[Exercício]=Tabela2[[#This Row],[Exercício]]-1),Tabela2[Lucro Líquido])</f>
        <v>0</v>
      </c>
      <c r="M252" s="18" t="str">
        <f>IF(Tabela2[[#This Row],[Lucro Anterior]]=0,"",IF(Tabela2[[#This Row],[Lucro Líquido]]&gt;0,Tabela2[[#This Row],[Lucro Líquido]]/Tabela2[[#This Row],[Lucro Anterior]]-1,0))</f>
        <v/>
      </c>
    </row>
    <row r="253" spans="1:13" x14ac:dyDescent="0.2">
      <c r="A253" s="15" t="s">
        <v>197</v>
      </c>
      <c r="B253" s="4">
        <v>2012</v>
      </c>
      <c r="C253" s="6">
        <v>486927674.55000001</v>
      </c>
      <c r="D253" s="8">
        <f>SUMPRODUCT(N(Tabela3[PAPEL]=Tabela2[[#This Row],[Ativo]]),Tabela3[Total Ações])</f>
        <v>119684430</v>
      </c>
      <c r="E253" s="65">
        <f>(Tabela2[[#This Row],[Lucro Líquido]])/Tabela2[[#This Row],[Total Ações]]</f>
        <v>4.0684295739220211</v>
      </c>
      <c r="F253" s="65">
        <v>1.3564000000000001</v>
      </c>
      <c r="G253" s="45">
        <f>IF(AND(Tabela2[[#This Row],[Dividendo / Ação]]&gt;0,Tabela2[[#This Row],[Lucro por ação]]&gt;0),Tabela2[[#This Row],[Dividendo / Ação]]/Tabela2[[#This Row],[Lucro por ação]],"")</f>
        <v>0.33339645564822007</v>
      </c>
      <c r="H253" s="6">
        <f>MAX(Tabela2[[#This Row],[Cotação 1]],Tabela2[[#This Row],[Cotação 2]])</f>
        <v>32.880000000000003</v>
      </c>
      <c r="I253" s="19">
        <f>IF(Tabela2[[#This Row],[Dividendo / Ação]]&gt;0,Tabela2[[#This Row],[Dividendo / Ação]]/Tabela2[[#This Row],[Cotação]],"")</f>
        <v>4.1253041362530413E-2</v>
      </c>
      <c r="J253" s="60">
        <f>SUMPRODUCT(N(Tabela1[Código]=Tabela2[[#This Row],[Ativo]]),Tabela1[Fechamento])</f>
        <v>32.880000000000003</v>
      </c>
      <c r="K253" s="60">
        <f>SUMPRODUCT(N(Tabela17[Código]=Tabela2[[#This Row],[Ativo]]),Tabela17[Fechamento])</f>
        <v>0</v>
      </c>
      <c r="L253" s="60">
        <f>SUMPRODUCT(N(Tabela2[Ativo]=Tabela2[[#This Row],[Ativo]]),N(Tabela2[Exercício]=Tabela2[[#This Row],[Exercício]]-1),Tabela2[Lucro Líquido])</f>
        <v>470437900</v>
      </c>
      <c r="M253" s="19">
        <f>IF(Tabela2[[#This Row],[Lucro Anterior]]=0,"",IF(Tabela2[[#This Row],[Lucro Líquido]]&gt;0,Tabela2[[#This Row],[Lucro Líquido]]/Tabela2[[#This Row],[Lucro Anterior]]-1,0))</f>
        <v>3.5051968708303516E-2</v>
      </c>
    </row>
    <row r="254" spans="1:13" x14ac:dyDescent="0.2">
      <c r="A254" s="15" t="s">
        <v>197</v>
      </c>
      <c r="B254" s="4">
        <v>2011</v>
      </c>
      <c r="C254" s="6">
        <v>470437900</v>
      </c>
      <c r="D254" s="8">
        <f>SUMPRODUCT(N(Tabela3[PAPEL]=Tabela2[[#This Row],[Ativo]]),Tabela3[Total Ações])</f>
        <v>119684430</v>
      </c>
      <c r="E254" s="65">
        <f>(Tabela2[[#This Row],[Lucro Líquido]])/Tabela2[[#This Row],[Total Ações]]</f>
        <v>3.9306524666575258</v>
      </c>
      <c r="F254" s="65">
        <v>1.33</v>
      </c>
      <c r="G254" s="45">
        <f>IF(AND(Tabela2[[#This Row],[Dividendo / Ação]]&gt;0,Tabela2[[#This Row],[Lucro por ação]]&gt;0),Tabela2[[#This Row],[Dividendo / Ação]]/Tabela2[[#This Row],[Lucro por ação]],"")</f>
        <v>0.33836621560465263</v>
      </c>
      <c r="H254" s="6">
        <f>MAX(Tabela2[[#This Row],[Cotação 1]],Tabela2[[#This Row],[Cotação 2]])</f>
        <v>32.880000000000003</v>
      </c>
      <c r="I254" s="19">
        <f>IF(Tabela2[[#This Row],[Dividendo / Ação]]&gt;0,Tabela2[[#This Row],[Dividendo / Ação]]/Tabela2[[#This Row],[Cotação]],"")</f>
        <v>4.0450121654501216E-2</v>
      </c>
      <c r="J254" s="60">
        <f>SUMPRODUCT(N(Tabela1[Código]=Tabela2[[#This Row],[Ativo]]),Tabela1[Fechamento])</f>
        <v>32.880000000000003</v>
      </c>
      <c r="K254" s="60">
        <f>SUMPRODUCT(N(Tabela17[Código]=Tabela2[[#This Row],[Ativo]]),Tabela17[Fechamento])</f>
        <v>0</v>
      </c>
      <c r="L254" s="60">
        <f>SUMPRODUCT(N(Tabela2[Ativo]=Tabela2[[#This Row],[Ativo]]),N(Tabela2[Exercício]=Tabela2[[#This Row],[Exercício]]-1),Tabela2[Lucro Líquido])</f>
        <v>677124500</v>
      </c>
      <c r="M254" s="19">
        <f>IF(Tabela2[[#This Row],[Lucro Anterior]]=0,"",IF(Tabela2[[#This Row],[Lucro Líquido]]&gt;0,Tabela2[[#This Row],[Lucro Líquido]]/Tabela2[[#This Row],[Lucro Anterior]]-1,0))</f>
        <v>-0.30524165053841645</v>
      </c>
    </row>
    <row r="255" spans="1:13" x14ac:dyDescent="0.2">
      <c r="A255" s="15" t="s">
        <v>197</v>
      </c>
      <c r="B255" s="4">
        <v>2010</v>
      </c>
      <c r="C255" s="6">
        <v>677124500</v>
      </c>
      <c r="D255" s="8">
        <f>SUMPRODUCT(N(Tabela3[PAPEL]=Tabela2[[#This Row],[Ativo]]),Tabela3[Total Ações])</f>
        <v>119684430</v>
      </c>
      <c r="E255" s="65">
        <f>(Tabela2[[#This Row],[Lucro Líquido]])/Tabela2[[#This Row],[Total Ações]]</f>
        <v>5.6575821934398656</v>
      </c>
      <c r="F255" s="65">
        <v>1.95</v>
      </c>
      <c r="G255" s="45">
        <f>IF(AND(Tabela2[[#This Row],[Dividendo / Ação]]&gt;0,Tabela2[[#This Row],[Lucro por ação]]&gt;0),Tabela2[[#This Row],[Dividendo / Ação]]/Tabela2[[#This Row],[Lucro por ação]],"")</f>
        <v>0.34467020245169089</v>
      </c>
      <c r="H255" s="6">
        <f>MAX(Tabela2[[#This Row],[Cotação 1]],Tabela2[[#This Row],[Cotação 2]])</f>
        <v>32.880000000000003</v>
      </c>
      <c r="I255" s="19">
        <f>IF(Tabela2[[#This Row],[Dividendo / Ação]]&gt;0,Tabela2[[#This Row],[Dividendo / Ação]]/Tabela2[[#This Row],[Cotação]],"")</f>
        <v>5.930656934306569E-2</v>
      </c>
      <c r="J255" s="60">
        <f>SUMPRODUCT(N(Tabela1[Código]=Tabela2[[#This Row],[Ativo]]),Tabela1[Fechamento])</f>
        <v>32.880000000000003</v>
      </c>
      <c r="K255" s="60">
        <f>SUMPRODUCT(N(Tabela17[Código]=Tabela2[[#This Row],[Ativo]]),Tabela17[Fechamento])</f>
        <v>0</v>
      </c>
      <c r="L255" s="60">
        <f>SUMPRODUCT(N(Tabela2[Ativo]=Tabela2[[#This Row],[Ativo]]),N(Tabela2[Exercício]=Tabela2[[#This Row],[Exercício]]-1),Tabela2[Lucro Líquido])</f>
        <v>525306600</v>
      </c>
      <c r="M255" s="19">
        <f>IF(Tabela2[[#This Row],[Lucro Anterior]]=0,"",IF(Tabela2[[#This Row],[Lucro Líquido]]&gt;0,Tabela2[[#This Row],[Lucro Líquido]]/Tabela2[[#This Row],[Lucro Anterior]]-1,0))</f>
        <v>0.28900817160873293</v>
      </c>
    </row>
    <row r="256" spans="1:13" x14ac:dyDescent="0.2">
      <c r="A256" s="15" t="s">
        <v>197</v>
      </c>
      <c r="B256" s="4">
        <v>2009</v>
      </c>
      <c r="C256" s="6">
        <v>525306600</v>
      </c>
      <c r="D256" s="8">
        <f>SUMPRODUCT(N(Tabela3[PAPEL]=Tabela2[[#This Row],[Ativo]]),Tabela3[Total Ações])</f>
        <v>119684430</v>
      </c>
      <c r="E256" s="65">
        <f>(Tabela2[[#This Row],[Lucro Líquido]])/Tabela2[[#This Row],[Total Ações]]</f>
        <v>4.3890972284364809</v>
      </c>
      <c r="F256" s="65">
        <v>1.5</v>
      </c>
      <c r="G256" s="45">
        <f>IF(AND(Tabela2[[#This Row],[Dividendo / Ação]]&gt;0,Tabela2[[#This Row],[Lucro por ação]]&gt;0),Tabela2[[#This Row],[Dividendo / Ação]]/Tabela2[[#This Row],[Lucro por ação]],"")</f>
        <v>0.34175592882328149</v>
      </c>
      <c r="H256" s="6">
        <f>MAX(Tabela2[[#This Row],[Cotação 1]],Tabela2[[#This Row],[Cotação 2]])</f>
        <v>32.880000000000003</v>
      </c>
      <c r="I256" s="19">
        <f>IF(Tabela2[[#This Row],[Dividendo / Ação]]&gt;0,Tabela2[[#This Row],[Dividendo / Ação]]/Tabela2[[#This Row],[Cotação]],"")</f>
        <v>4.5620437956204379E-2</v>
      </c>
      <c r="J256" s="60">
        <f>SUMPRODUCT(N(Tabela1[Código]=Tabela2[[#This Row],[Ativo]]),Tabela1[Fechamento])</f>
        <v>32.880000000000003</v>
      </c>
      <c r="K256" s="60">
        <f>SUMPRODUCT(N(Tabela17[Código]=Tabela2[[#This Row],[Ativo]]),Tabela17[Fechamento])</f>
        <v>0</v>
      </c>
      <c r="L256" s="60">
        <f>SUMPRODUCT(N(Tabela2[Ativo]=Tabela2[[#This Row],[Ativo]]),N(Tabela2[Exercício]=Tabela2[[#This Row],[Exercício]]-1),Tabela2[Lucro Líquido])</f>
        <v>0</v>
      </c>
      <c r="M256" s="19" t="str">
        <f>IF(Tabela2[[#This Row],[Lucro Anterior]]=0,"",IF(Tabela2[[#This Row],[Lucro Líquido]]&gt;0,Tabela2[[#This Row],[Lucro Líquido]]/Tabela2[[#This Row],[Lucro Anterior]]-1,0))</f>
        <v/>
      </c>
    </row>
    <row r="257" spans="1:13" x14ac:dyDescent="0.2">
      <c r="A257" s="4" t="s">
        <v>100</v>
      </c>
      <c r="B257" s="4">
        <v>2012</v>
      </c>
      <c r="C257" s="6">
        <v>245872000</v>
      </c>
      <c r="D257" s="8">
        <f>SUMPRODUCT(N(Tabela3[PAPEL]=Tabela2[[#This Row],[Ativo]]),Tabela3[Total Ações])</f>
        <v>168074028</v>
      </c>
      <c r="E257" s="65">
        <f>(Tabela2[[#This Row],[Lucro Líquido]])/Tabela2[[#This Row],[Total Ações]]</f>
        <v>1.4628792022524741</v>
      </c>
      <c r="F257" s="65">
        <v>0.210547822</v>
      </c>
      <c r="G257" s="45">
        <f>IF(AND(Tabela2[[#This Row],[Dividendo / Ação]]&gt;0,Tabela2[[#This Row],[Lucro por ação]]&gt;0),Tabela2[[#This Row],[Dividendo / Ação]]/Tabela2[[#This Row],[Lucro por ação]],"")</f>
        <v>0.14392700482432735</v>
      </c>
      <c r="H257" s="6">
        <f>MAX(Tabela2[[#This Row],[Cotação 1]],Tabela2[[#This Row],[Cotação 2]])</f>
        <v>9.5</v>
      </c>
      <c r="I257" s="19">
        <f>IF(Tabela2[[#This Row],[Dividendo / Ação]]&gt;0,Tabela2[[#This Row],[Dividendo / Ação]]/Tabela2[[#This Row],[Cotação]],"")</f>
        <v>2.2162928631578947E-2</v>
      </c>
      <c r="J257" s="60">
        <f>SUMPRODUCT(N(Tabela1[Código]=Tabela2[[#This Row],[Ativo]]),Tabela1[Fechamento])</f>
        <v>9.5</v>
      </c>
      <c r="K257" s="60">
        <f>SUMPRODUCT(N(Tabela17[Código]=Tabela2[[#This Row],[Ativo]]),Tabela17[Fechamento])</f>
        <v>0</v>
      </c>
      <c r="L257" s="60">
        <f>SUMPRODUCT(N(Tabela2[Ativo]=Tabela2[[#This Row],[Ativo]]),N(Tabela2[Exercício]=Tabela2[[#This Row],[Exercício]]-1),Tabela2[Lucro Líquido])</f>
        <v>232128000</v>
      </c>
      <c r="M257" s="19">
        <f>IF(Tabela2[[#This Row],[Lucro Anterior]]=0,"",IF(Tabela2[[#This Row],[Lucro Líquido]]&gt;0,Tabela2[[#This Row],[Lucro Líquido]]/Tabela2[[#This Row],[Lucro Anterior]]-1,0))</f>
        <v>5.9208712434518862E-2</v>
      </c>
    </row>
    <row r="258" spans="1:13" x14ac:dyDescent="0.2">
      <c r="A258" s="4" t="s">
        <v>100</v>
      </c>
      <c r="B258" s="3">
        <v>2011</v>
      </c>
      <c r="C258" s="5">
        <v>232128000</v>
      </c>
      <c r="D258" s="61">
        <f>SUMPRODUCT(N(Tabela3[PAPEL]=Tabela2[[#This Row],[Ativo]]),Tabela3[Total Ações])</f>
        <v>168074028</v>
      </c>
      <c r="E258" s="64">
        <f>(Tabela2[[#This Row],[Lucro Líquido]])/Tabela2[[#This Row],[Total Ações]]</f>
        <v>1.3811057113476213</v>
      </c>
      <c r="F258" s="64">
        <v>1.158632954</v>
      </c>
      <c r="G258" s="22">
        <f>IF(AND(Tabela2[[#This Row],[Dividendo / Ação]]&gt;0,Tabela2[[#This Row],[Lucro por ação]]&gt;0),Tabela2[[#This Row],[Dividendo / Ação]]/Tabela2[[#This Row],[Lucro por ação]],"")</f>
        <v>0.83891692321615097</v>
      </c>
      <c r="H258" s="5">
        <f>MAX(Tabela2[[#This Row],[Cotação 1]],Tabela2[[#This Row],[Cotação 2]])</f>
        <v>9.5</v>
      </c>
      <c r="I258" s="18">
        <f>IF(Tabela2[[#This Row],[Dividendo / Ação]]&gt;0,Tabela2[[#This Row],[Dividendo / Ação]]/Tabela2[[#This Row],[Cotação]],"")</f>
        <v>0.12196136357894737</v>
      </c>
      <c r="J258" s="59">
        <f>SUMPRODUCT(N(Tabela1[Código]=Tabela2[[#This Row],[Ativo]]),Tabela1[Fechamento])</f>
        <v>9.5</v>
      </c>
      <c r="K258" s="59">
        <f>SUMPRODUCT(N(Tabela17[Código]=Tabela2[[#This Row],[Ativo]]),Tabela17[Fechamento])</f>
        <v>0</v>
      </c>
      <c r="L258" s="59">
        <f>SUMPRODUCT(N(Tabela2[Ativo]=Tabela2[[#This Row],[Ativo]]),N(Tabela2[Exercício]=Tabela2[[#This Row],[Exercício]]-1),Tabela2[Lucro Líquido])</f>
        <v>253664000</v>
      </c>
      <c r="M258" s="18">
        <f>IF(Tabela2[[#This Row],[Lucro Anterior]]=0,"",IF(Tabela2[[#This Row],[Lucro Líquido]]&gt;0,Tabela2[[#This Row],[Lucro Líquido]]/Tabela2[[#This Row],[Lucro Anterior]]-1,0))</f>
        <v>-8.4899709852403138E-2</v>
      </c>
    </row>
    <row r="259" spans="1:13" x14ac:dyDescent="0.2">
      <c r="A259" s="4" t="s">
        <v>100</v>
      </c>
      <c r="B259" s="3">
        <v>2010</v>
      </c>
      <c r="C259" s="5">
        <v>253664000</v>
      </c>
      <c r="D259" s="61">
        <f>SUMPRODUCT(N(Tabela3[PAPEL]=Tabela2[[#This Row],[Ativo]]),Tabela3[Total Ações])</f>
        <v>168074028</v>
      </c>
      <c r="E259" s="64">
        <f>(Tabela2[[#This Row],[Lucro Líquido]])/Tabela2[[#This Row],[Total Ações]]</f>
        <v>1.5092397261996957</v>
      </c>
      <c r="F259" s="64">
        <v>1.1372260759999999</v>
      </c>
      <c r="G259" s="22">
        <f>IF(AND(Tabela2[[#This Row],[Dividendo / Ação]]&gt;0,Tabela2[[#This Row],[Lucro por ação]]&gt;0),Tabela2[[#This Row],[Dividendo / Ação]]/Tabela2[[#This Row],[Lucro por ação]],"")</f>
        <v>0.75350923796815517</v>
      </c>
      <c r="H259" s="5">
        <f>MAX(Tabela2[[#This Row],[Cotação 1]],Tabela2[[#This Row],[Cotação 2]])</f>
        <v>9.5</v>
      </c>
      <c r="I259" s="18">
        <f>IF(Tabela2[[#This Row],[Dividendo / Ação]]&gt;0,Tabela2[[#This Row],[Dividendo / Ação]]/Tabela2[[#This Row],[Cotação]],"")</f>
        <v>0.11970800799999999</v>
      </c>
      <c r="J259" s="59">
        <f>SUMPRODUCT(N(Tabela1[Código]=Tabela2[[#This Row],[Ativo]]),Tabela1[Fechamento])</f>
        <v>9.5</v>
      </c>
      <c r="K259" s="59">
        <f>SUMPRODUCT(N(Tabela17[Código]=Tabela2[[#This Row],[Ativo]]),Tabela17[Fechamento])</f>
        <v>0</v>
      </c>
      <c r="L259" s="59">
        <f>SUMPRODUCT(N(Tabela2[Ativo]=Tabela2[[#This Row],[Ativo]]),N(Tabela2[Exercício]=Tabela2[[#This Row],[Exercício]]-1),Tabela2[Lucro Líquido])</f>
        <v>244788000</v>
      </c>
      <c r="M259" s="18">
        <f>IF(Tabela2[[#This Row],[Lucro Anterior]]=0,"",IF(Tabela2[[#This Row],[Lucro Líquido]]&gt;0,Tabela2[[#This Row],[Lucro Líquido]]/Tabela2[[#This Row],[Lucro Anterior]]-1,0))</f>
        <v>3.6259947383041613E-2</v>
      </c>
    </row>
    <row r="260" spans="1:13" x14ac:dyDescent="0.2">
      <c r="A260" s="4" t="s">
        <v>100</v>
      </c>
      <c r="B260" s="3">
        <v>2009</v>
      </c>
      <c r="C260" s="5">
        <v>244788000</v>
      </c>
      <c r="D260" s="61">
        <f>SUMPRODUCT(N(Tabela3[PAPEL]=Tabela2[[#This Row],[Ativo]]),Tabela3[Total Ações])</f>
        <v>168074028</v>
      </c>
      <c r="E260" s="64">
        <f>(Tabela2[[#This Row],[Lucro Líquido]])/Tabela2[[#This Row],[Total Ações]]</f>
        <v>1.4564296632433893</v>
      </c>
      <c r="F260" s="64">
        <v>0.9505576</v>
      </c>
      <c r="G260" s="22">
        <f>IF(AND(Tabela2[[#This Row],[Dividendo / Ação]]&gt;0,Tabela2[[#This Row],[Lucro por ação]]&gt;0),Tabela2[[#This Row],[Dividendo / Ação]]/Tabela2[[#This Row],[Lucro por ação]],"")</f>
        <v>0.65266289474162464</v>
      </c>
      <c r="H260" s="5">
        <f>MAX(Tabela2[[#This Row],[Cotação 1]],Tabela2[[#This Row],[Cotação 2]])</f>
        <v>9.5</v>
      </c>
      <c r="I260" s="18">
        <f>IF(Tabela2[[#This Row],[Dividendo / Ação]]&gt;0,Tabela2[[#This Row],[Dividendo / Ação]]/Tabela2[[#This Row],[Cotação]],"")</f>
        <v>0.1000586947368421</v>
      </c>
      <c r="J260" s="59">
        <f>SUMPRODUCT(N(Tabela1[Código]=Tabela2[[#This Row],[Ativo]]),Tabela1[Fechamento])</f>
        <v>9.5</v>
      </c>
      <c r="K260" s="59">
        <f>SUMPRODUCT(N(Tabela17[Código]=Tabela2[[#This Row],[Ativo]]),Tabela17[Fechamento])</f>
        <v>0</v>
      </c>
      <c r="L260" s="59">
        <f>SUMPRODUCT(N(Tabela2[Ativo]=Tabela2[[#This Row],[Ativo]]),N(Tabela2[Exercício]=Tabela2[[#This Row],[Exercício]]-1),Tabela2[Lucro Líquido])</f>
        <v>0</v>
      </c>
      <c r="M260" s="18" t="str">
        <f>IF(Tabela2[[#This Row],[Lucro Anterior]]=0,"",IF(Tabela2[[#This Row],[Lucro Líquido]]&gt;0,Tabela2[[#This Row],[Lucro Líquido]]/Tabela2[[#This Row],[Lucro Anterior]]-1,0))</f>
        <v/>
      </c>
    </row>
    <row r="261" spans="1:13" x14ac:dyDescent="0.2">
      <c r="A261" s="4" t="s">
        <v>101</v>
      </c>
      <c r="B261" s="4">
        <v>2012</v>
      </c>
      <c r="C261" s="6">
        <v>245872000</v>
      </c>
      <c r="D261" s="8">
        <f>SUMPRODUCT(N(Tabela3[PAPEL]=Tabela2[[#This Row],[Ativo]]),Tabela3[Total Ações])</f>
        <v>168074028</v>
      </c>
      <c r="E261" s="65">
        <f>(Tabela2[[#This Row],[Lucro Líquido]])/Tabela2[[#This Row],[Total Ações]]</f>
        <v>1.4628792022524741</v>
      </c>
      <c r="F261" s="65">
        <v>0.23160260399999999</v>
      </c>
      <c r="G261" s="45">
        <f>IF(AND(Tabela2[[#This Row],[Dividendo / Ação]]&gt;0,Tabela2[[#This Row],[Lucro por ação]]&gt;0),Tabela2[[#This Row],[Dividendo / Ação]]/Tabela2[[#This Row],[Lucro por ação]],"")</f>
        <v>0.1583197051700434</v>
      </c>
      <c r="H261" s="6">
        <f>MAX(Tabela2[[#This Row],[Cotação 1]],Tabela2[[#This Row],[Cotação 2]])</f>
        <v>10.119999999999999</v>
      </c>
      <c r="I261" s="19">
        <f>IF(Tabela2[[#This Row],[Dividendo / Ação]]&gt;0,Tabela2[[#This Row],[Dividendo / Ação]]/Tabela2[[#This Row],[Cotação]],"")</f>
        <v>2.2885632806324111E-2</v>
      </c>
      <c r="J261" s="60">
        <f>SUMPRODUCT(N(Tabela1[Código]=Tabela2[[#This Row],[Ativo]]),Tabela1[Fechamento])</f>
        <v>10.119999999999999</v>
      </c>
      <c r="K261" s="60">
        <f>SUMPRODUCT(N(Tabela17[Código]=Tabela2[[#This Row],[Ativo]]),Tabela17[Fechamento])</f>
        <v>0</v>
      </c>
      <c r="L261" s="60">
        <f>SUMPRODUCT(N(Tabela2[Ativo]=Tabela2[[#This Row],[Ativo]]),N(Tabela2[Exercício]=Tabela2[[#This Row],[Exercício]]-1),Tabela2[Lucro Líquido])</f>
        <v>232128000</v>
      </c>
      <c r="M261" s="19">
        <f>IF(Tabela2[[#This Row],[Lucro Anterior]]=0,"",IF(Tabela2[[#This Row],[Lucro Líquido]]&gt;0,Tabela2[[#This Row],[Lucro Líquido]]/Tabela2[[#This Row],[Lucro Anterior]]-1,0))</f>
        <v>5.9208712434518862E-2</v>
      </c>
    </row>
    <row r="262" spans="1:13" x14ac:dyDescent="0.2">
      <c r="A262" s="4" t="s">
        <v>101</v>
      </c>
      <c r="B262" s="3">
        <v>2011</v>
      </c>
      <c r="C262" s="5">
        <v>232128000</v>
      </c>
      <c r="D262" s="61">
        <f>SUMPRODUCT(N(Tabela3[PAPEL]=Tabela2[[#This Row],[Ativo]]),Tabela3[Total Ações])</f>
        <v>168074028</v>
      </c>
      <c r="E262" s="64">
        <f>(Tabela2[[#This Row],[Lucro Líquido]])/Tabela2[[#This Row],[Total Ações]]</f>
        <v>1.3811057113476213</v>
      </c>
      <c r="F262" s="64">
        <v>1.2744962500000001</v>
      </c>
      <c r="G262" s="22">
        <f>IF(AND(Tabela2[[#This Row],[Dividendo / Ação]]&gt;0,Tabela2[[#This Row],[Lucro por ação]]&gt;0),Tabela2[[#This Row],[Dividendo / Ação]]/Tabela2[[#This Row],[Lucro por ação]],"")</f>
        <v>0.92280861597220065</v>
      </c>
      <c r="H262" s="5">
        <f>MAX(Tabela2[[#This Row],[Cotação 1]],Tabela2[[#This Row],[Cotação 2]])</f>
        <v>10.119999999999999</v>
      </c>
      <c r="I262" s="18">
        <f>IF(Tabela2[[#This Row],[Dividendo / Ação]]&gt;0,Tabela2[[#This Row],[Dividendo / Ação]]/Tabela2[[#This Row],[Cotação]],"")</f>
        <v>0.12593836462450594</v>
      </c>
      <c r="J262" s="59">
        <f>SUMPRODUCT(N(Tabela1[Código]=Tabela2[[#This Row],[Ativo]]),Tabela1[Fechamento])</f>
        <v>10.119999999999999</v>
      </c>
      <c r="K262" s="59">
        <f>SUMPRODUCT(N(Tabela17[Código]=Tabela2[[#This Row],[Ativo]]),Tabela17[Fechamento])</f>
        <v>0</v>
      </c>
      <c r="L262" s="59">
        <f>SUMPRODUCT(N(Tabela2[Ativo]=Tabela2[[#This Row],[Ativo]]),N(Tabela2[Exercício]=Tabela2[[#This Row],[Exercício]]-1),Tabela2[Lucro Líquido])</f>
        <v>253664000</v>
      </c>
      <c r="M262" s="18">
        <f>IF(Tabela2[[#This Row],[Lucro Anterior]]=0,"",IF(Tabela2[[#This Row],[Lucro Líquido]]&gt;0,Tabela2[[#This Row],[Lucro Líquido]]/Tabela2[[#This Row],[Lucro Anterior]]-1,0))</f>
        <v>-8.4899709852403138E-2</v>
      </c>
    </row>
    <row r="263" spans="1:13" x14ac:dyDescent="0.2">
      <c r="A263" s="4" t="s">
        <v>101</v>
      </c>
      <c r="B263" s="3">
        <v>2010</v>
      </c>
      <c r="C263" s="5">
        <v>253664000</v>
      </c>
      <c r="D263" s="61">
        <f>SUMPRODUCT(N(Tabela3[PAPEL]=Tabela2[[#This Row],[Ativo]]),Tabela3[Total Ações])</f>
        <v>168074028</v>
      </c>
      <c r="E263" s="64">
        <f>(Tabela2[[#This Row],[Lucro Líquido]])/Tabela2[[#This Row],[Total Ações]]</f>
        <v>1.5092397261996957</v>
      </c>
      <c r="F263" s="64">
        <v>1.250948685</v>
      </c>
      <c r="G263" s="22">
        <f>IF(AND(Tabela2[[#This Row],[Dividendo / Ação]]&gt;0,Tabela2[[#This Row],[Lucro por ação]]&gt;0),Tabela2[[#This Row],[Dividendo / Ação]]/Tabela2[[#This Row],[Lucro por ação]],"")</f>
        <v>0.82886016269259011</v>
      </c>
      <c r="H263" s="5">
        <f>MAX(Tabela2[[#This Row],[Cotação 1]],Tabela2[[#This Row],[Cotação 2]])</f>
        <v>10.119999999999999</v>
      </c>
      <c r="I263" s="18">
        <f>IF(Tabela2[[#This Row],[Dividendo / Ação]]&gt;0,Tabela2[[#This Row],[Dividendo / Ação]]/Tabela2[[#This Row],[Cotação]],"")</f>
        <v>0.12361153013833993</v>
      </c>
      <c r="J263" s="59">
        <f>SUMPRODUCT(N(Tabela1[Código]=Tabela2[[#This Row],[Ativo]]),Tabela1[Fechamento])</f>
        <v>10.119999999999999</v>
      </c>
      <c r="K263" s="59">
        <f>SUMPRODUCT(N(Tabela17[Código]=Tabela2[[#This Row],[Ativo]]),Tabela17[Fechamento])</f>
        <v>0</v>
      </c>
      <c r="L263" s="59">
        <f>SUMPRODUCT(N(Tabela2[Ativo]=Tabela2[[#This Row],[Ativo]]),N(Tabela2[Exercício]=Tabela2[[#This Row],[Exercício]]-1),Tabela2[Lucro Líquido])</f>
        <v>244788000</v>
      </c>
      <c r="M263" s="18">
        <f>IF(Tabela2[[#This Row],[Lucro Anterior]]=0,"",IF(Tabela2[[#This Row],[Lucro Líquido]]&gt;0,Tabela2[[#This Row],[Lucro Líquido]]/Tabela2[[#This Row],[Lucro Anterior]]-1,0))</f>
        <v>3.6259947383041613E-2</v>
      </c>
    </row>
    <row r="264" spans="1:13" x14ac:dyDescent="0.2">
      <c r="A264" s="4" t="s">
        <v>101</v>
      </c>
      <c r="B264" s="3">
        <v>2009</v>
      </c>
      <c r="C264" s="5">
        <v>244788000</v>
      </c>
      <c r="D264" s="61">
        <f>SUMPRODUCT(N(Tabela3[PAPEL]=Tabela2[[#This Row],[Ativo]]),Tabela3[Total Ações])</f>
        <v>168074028</v>
      </c>
      <c r="E264" s="64">
        <f>(Tabela2[[#This Row],[Lucro Líquido]])/Tabela2[[#This Row],[Total Ações]]</f>
        <v>1.4564296632433893</v>
      </c>
      <c r="F264" s="64">
        <v>1.0456133000000001</v>
      </c>
      <c r="G264" s="22">
        <f>IF(AND(Tabela2[[#This Row],[Dividendo / Ação]]&gt;0,Tabela2[[#This Row],[Lucro por ação]]&gt;0),Tabela2[[#This Row],[Dividendo / Ação]]/Tabela2[[#This Row],[Lucro por ação]],"")</f>
        <v>0.717929143019153</v>
      </c>
      <c r="H264" s="5">
        <f>MAX(Tabela2[[#This Row],[Cotação 1]],Tabela2[[#This Row],[Cotação 2]])</f>
        <v>10.119999999999999</v>
      </c>
      <c r="I264" s="18">
        <f>IF(Tabela2[[#This Row],[Dividendo / Ação]]&gt;0,Tabela2[[#This Row],[Dividendo / Ação]]/Tabela2[[#This Row],[Cotação]],"")</f>
        <v>0.10332147233201583</v>
      </c>
      <c r="J264" s="59">
        <f>SUMPRODUCT(N(Tabela1[Código]=Tabela2[[#This Row],[Ativo]]),Tabela1[Fechamento])</f>
        <v>10.119999999999999</v>
      </c>
      <c r="K264" s="59">
        <f>SUMPRODUCT(N(Tabela17[Código]=Tabela2[[#This Row],[Ativo]]),Tabela17[Fechamento])</f>
        <v>0</v>
      </c>
      <c r="L264" s="59">
        <f>SUMPRODUCT(N(Tabela2[Ativo]=Tabela2[[#This Row],[Ativo]]),N(Tabela2[Exercício]=Tabela2[[#This Row],[Exercício]]-1),Tabela2[Lucro Líquido])</f>
        <v>0</v>
      </c>
      <c r="M264" s="18" t="str">
        <f>IF(Tabela2[[#This Row],[Lucro Anterior]]=0,"",IF(Tabela2[[#This Row],[Lucro Líquido]]&gt;0,Tabela2[[#This Row],[Lucro Líquido]]/Tabela2[[#This Row],[Lucro Anterior]]-1,0))</f>
        <v/>
      </c>
    </row>
    <row r="265" spans="1:13" x14ac:dyDescent="0.2">
      <c r="A265" s="4" t="s">
        <v>69</v>
      </c>
      <c r="B265" s="4">
        <v>2012</v>
      </c>
      <c r="C265" s="6">
        <v>245872000</v>
      </c>
      <c r="D265" s="8">
        <f>SUMPRODUCT(N(Tabela3[PAPEL]=Tabela2[[#This Row],[Ativo]]),Tabela3[Total Ações])</f>
        <v>168074028</v>
      </c>
      <c r="E265" s="65">
        <f>(Tabela2[[#This Row],[Lucro Líquido]])/Tabela2[[#This Row],[Total Ações]]</f>
        <v>1.4628792022524741</v>
      </c>
      <c r="F265" s="65">
        <v>0.23160260399999999</v>
      </c>
      <c r="G265" s="45">
        <f>IF(AND(Tabela2[[#This Row],[Dividendo / Ação]]&gt;0,Tabela2[[#This Row],[Lucro por ação]]&gt;0),Tabela2[[#This Row],[Dividendo / Ação]]/Tabela2[[#This Row],[Lucro por ação]],"")</f>
        <v>0.1583197051700434</v>
      </c>
      <c r="H265" s="6">
        <f>MAX(Tabela2[[#This Row],[Cotação 1]],Tabela2[[#This Row],[Cotação 2]])</f>
        <v>9</v>
      </c>
      <c r="I265" s="19">
        <f>IF(Tabela2[[#This Row],[Dividendo / Ação]]&gt;0,Tabela2[[#This Row],[Dividendo / Ação]]/Tabela2[[#This Row],[Cotação]],"")</f>
        <v>2.5733622666666664E-2</v>
      </c>
      <c r="J265" s="60">
        <f>SUMPRODUCT(N(Tabela1[Código]=Tabela2[[#This Row],[Ativo]]),Tabela1[Fechamento])</f>
        <v>9</v>
      </c>
      <c r="K265" s="60">
        <f>SUMPRODUCT(N(Tabela17[Código]=Tabela2[[#This Row],[Ativo]]),Tabela17[Fechamento])</f>
        <v>0</v>
      </c>
      <c r="L265" s="60">
        <f>SUMPRODUCT(N(Tabela2[Ativo]=Tabela2[[#This Row],[Ativo]]),N(Tabela2[Exercício]=Tabela2[[#This Row],[Exercício]]-1),Tabela2[Lucro Líquido])</f>
        <v>232128000</v>
      </c>
      <c r="M265" s="19">
        <f>IF(Tabela2[[#This Row],[Lucro Anterior]]=0,"",IF(Tabela2[[#This Row],[Lucro Líquido]]&gt;0,Tabela2[[#This Row],[Lucro Líquido]]/Tabela2[[#This Row],[Lucro Anterior]]-1,0))</f>
        <v>5.9208712434518862E-2</v>
      </c>
    </row>
    <row r="266" spans="1:13" x14ac:dyDescent="0.2">
      <c r="A266" s="4" t="s">
        <v>69</v>
      </c>
      <c r="B266" s="4">
        <v>2011</v>
      </c>
      <c r="C266" s="5">
        <v>232128000</v>
      </c>
      <c r="D266" s="8">
        <f>SUMPRODUCT(N(Tabela3[PAPEL]=Tabela2[[#This Row],[Ativo]]),Tabela3[Total Ações])</f>
        <v>168074028</v>
      </c>
      <c r="E266" s="65">
        <f>(Tabela2[[#This Row],[Lucro Líquido]])/Tabela2[[#This Row],[Total Ações]]</f>
        <v>1.3811057113476213</v>
      </c>
      <c r="F266" s="64">
        <v>1.2744962500000001</v>
      </c>
      <c r="G266" s="45">
        <f>IF(AND(Tabela2[[#This Row],[Dividendo / Ação]]&gt;0,Tabela2[[#This Row],[Lucro por ação]]&gt;0),Tabela2[[#This Row],[Dividendo / Ação]]/Tabela2[[#This Row],[Lucro por ação]],"")</f>
        <v>0.92280861597220065</v>
      </c>
      <c r="H266" s="6">
        <f>MAX(Tabela2[[#This Row],[Cotação 1]],Tabela2[[#This Row],[Cotação 2]])</f>
        <v>9</v>
      </c>
      <c r="I266" s="19">
        <f>IF(Tabela2[[#This Row],[Dividendo / Ação]]&gt;0,Tabela2[[#This Row],[Dividendo / Ação]]/Tabela2[[#This Row],[Cotação]],"")</f>
        <v>0.14161069444444446</v>
      </c>
      <c r="J266" s="60">
        <f>SUMPRODUCT(N(Tabela1[Código]=Tabela2[[#This Row],[Ativo]]),Tabela1[Fechamento])</f>
        <v>9</v>
      </c>
      <c r="K266" s="60">
        <f>SUMPRODUCT(N(Tabela17[Código]=Tabela2[[#This Row],[Ativo]]),Tabela17[Fechamento])</f>
        <v>0</v>
      </c>
      <c r="L266" s="60">
        <f>SUMPRODUCT(N(Tabela2[Ativo]=Tabela2[[#This Row],[Ativo]]),N(Tabela2[Exercício]=Tabela2[[#This Row],[Exercício]]-1),Tabela2[Lucro Líquido])</f>
        <v>253664000</v>
      </c>
      <c r="M266" s="19">
        <f>IF(Tabela2[[#This Row],[Lucro Anterior]]=0,"",IF(Tabela2[[#This Row],[Lucro Líquido]]&gt;0,Tabela2[[#This Row],[Lucro Líquido]]/Tabela2[[#This Row],[Lucro Anterior]]-1,0))</f>
        <v>-8.4899709852403138E-2</v>
      </c>
    </row>
    <row r="267" spans="1:13" x14ac:dyDescent="0.2">
      <c r="A267" s="4" t="s">
        <v>69</v>
      </c>
      <c r="B267" s="4">
        <v>2010</v>
      </c>
      <c r="C267" s="5">
        <v>253664000</v>
      </c>
      <c r="D267" s="8">
        <f>SUMPRODUCT(N(Tabela3[PAPEL]=Tabela2[[#This Row],[Ativo]]),Tabela3[Total Ações])</f>
        <v>168074028</v>
      </c>
      <c r="E267" s="65">
        <f>(Tabela2[[#This Row],[Lucro Líquido]])/Tabela2[[#This Row],[Total Ações]]</f>
        <v>1.5092397261996957</v>
      </c>
      <c r="F267" s="64">
        <v>1.250948685</v>
      </c>
      <c r="G267" s="45">
        <f>IF(AND(Tabela2[[#This Row],[Dividendo / Ação]]&gt;0,Tabela2[[#This Row],[Lucro por ação]]&gt;0),Tabela2[[#This Row],[Dividendo / Ação]]/Tabela2[[#This Row],[Lucro por ação]],"")</f>
        <v>0.82886016269259011</v>
      </c>
      <c r="H267" s="6">
        <f>MAX(Tabela2[[#This Row],[Cotação 1]],Tabela2[[#This Row],[Cotação 2]])</f>
        <v>9</v>
      </c>
      <c r="I267" s="19">
        <f>IF(Tabela2[[#This Row],[Dividendo / Ação]]&gt;0,Tabela2[[#This Row],[Dividendo / Ação]]/Tabela2[[#This Row],[Cotação]],"")</f>
        <v>0.13899429833333332</v>
      </c>
      <c r="J267" s="60">
        <f>SUMPRODUCT(N(Tabela1[Código]=Tabela2[[#This Row],[Ativo]]),Tabela1[Fechamento])</f>
        <v>9</v>
      </c>
      <c r="K267" s="60">
        <f>SUMPRODUCT(N(Tabela17[Código]=Tabela2[[#This Row],[Ativo]]),Tabela17[Fechamento])</f>
        <v>0</v>
      </c>
      <c r="L267" s="60">
        <f>SUMPRODUCT(N(Tabela2[Ativo]=Tabela2[[#This Row],[Ativo]]),N(Tabela2[Exercício]=Tabela2[[#This Row],[Exercício]]-1),Tabela2[Lucro Líquido])</f>
        <v>244788000</v>
      </c>
      <c r="M267" s="19">
        <f>IF(Tabela2[[#This Row],[Lucro Anterior]]=0,"",IF(Tabela2[[#This Row],[Lucro Líquido]]&gt;0,Tabela2[[#This Row],[Lucro Líquido]]/Tabela2[[#This Row],[Lucro Anterior]]-1,0))</f>
        <v>3.6259947383041613E-2</v>
      </c>
    </row>
    <row r="268" spans="1:13" x14ac:dyDescent="0.2">
      <c r="A268" s="4" t="s">
        <v>69</v>
      </c>
      <c r="B268" s="4">
        <v>2009</v>
      </c>
      <c r="C268" s="5">
        <v>244788000</v>
      </c>
      <c r="D268" s="8">
        <f>SUMPRODUCT(N(Tabela3[PAPEL]=Tabela2[[#This Row],[Ativo]]),Tabela3[Total Ações])</f>
        <v>168074028</v>
      </c>
      <c r="E268" s="65">
        <f>(Tabela2[[#This Row],[Lucro Líquido]])/Tabela2[[#This Row],[Total Ações]]</f>
        <v>1.4564296632433893</v>
      </c>
      <c r="F268" s="64">
        <v>1.0456133000000001</v>
      </c>
      <c r="G268" s="45">
        <f>IF(AND(Tabela2[[#This Row],[Dividendo / Ação]]&gt;0,Tabela2[[#This Row],[Lucro por ação]]&gt;0),Tabela2[[#This Row],[Dividendo / Ação]]/Tabela2[[#This Row],[Lucro por ação]],"")</f>
        <v>0.717929143019153</v>
      </c>
      <c r="H268" s="6">
        <f>MAX(Tabela2[[#This Row],[Cotação 1]],Tabela2[[#This Row],[Cotação 2]])</f>
        <v>9</v>
      </c>
      <c r="I268" s="19">
        <f>IF(Tabela2[[#This Row],[Dividendo / Ação]]&gt;0,Tabela2[[#This Row],[Dividendo / Ação]]/Tabela2[[#This Row],[Cotação]],"")</f>
        <v>0.11617925555555557</v>
      </c>
      <c r="J268" s="60">
        <f>SUMPRODUCT(N(Tabela1[Código]=Tabela2[[#This Row],[Ativo]]),Tabela1[Fechamento])</f>
        <v>9</v>
      </c>
      <c r="K268" s="60">
        <f>SUMPRODUCT(N(Tabela17[Código]=Tabela2[[#This Row],[Ativo]]),Tabela17[Fechamento])</f>
        <v>0</v>
      </c>
      <c r="L268" s="60">
        <f>SUMPRODUCT(N(Tabela2[Ativo]=Tabela2[[#This Row],[Ativo]]),N(Tabela2[Exercício]=Tabela2[[#This Row],[Exercício]]-1),Tabela2[Lucro Líquido])</f>
        <v>0</v>
      </c>
      <c r="M268" s="19" t="str">
        <f>IF(Tabela2[[#This Row],[Lucro Anterior]]=0,"",IF(Tabela2[[#This Row],[Lucro Líquido]]&gt;0,Tabela2[[#This Row],[Lucro Líquido]]/Tabela2[[#This Row],[Lucro Anterior]]-1,0))</f>
        <v/>
      </c>
    </row>
    <row r="269" spans="1:13" x14ac:dyDescent="0.2">
      <c r="A269" s="4" t="s">
        <v>15</v>
      </c>
      <c r="B269" s="4">
        <v>2012</v>
      </c>
      <c r="C269" s="6">
        <v>357464258.91000003</v>
      </c>
      <c r="D269" s="8">
        <f>SUMPRODUCT(N(Tabela3[PAPEL]=Tabela2[[#This Row],[Ativo]]),Tabela3[Total Ações])</f>
        <v>243051520</v>
      </c>
      <c r="E269" s="65">
        <f>(Tabela2[[#This Row],[Lucro Líquido]])/Tabela2[[#This Row],[Total Ações]]</f>
        <v>1.4707345130365777</v>
      </c>
      <c r="F269" s="65">
        <v>0.74467047200000003</v>
      </c>
      <c r="G269" s="45">
        <f>IF(AND(Tabela2[[#This Row],[Dividendo / Ação]]&gt;0,Tabela2[[#This Row],[Lucro por ação]]&gt;0),Tabela2[[#This Row],[Dividendo / Ação]]/Tabela2[[#This Row],[Lucro por ação]],"")</f>
        <v>0.50632555733155615</v>
      </c>
      <c r="H269" s="6">
        <f>MAX(Tabela2[[#This Row],[Cotação 1]],Tabela2[[#This Row],[Cotação 2]])</f>
        <v>7.78</v>
      </c>
      <c r="I269" s="19">
        <f>IF(Tabela2[[#This Row],[Dividendo / Ação]]&gt;0,Tabela2[[#This Row],[Dividendo / Ação]]/Tabela2[[#This Row],[Cotação]],"")</f>
        <v>9.5715998971722366E-2</v>
      </c>
      <c r="J269" s="60">
        <f>SUMPRODUCT(N(Tabela1[Código]=Tabela2[[#This Row],[Ativo]]),Tabela1[Fechamento])</f>
        <v>7.78</v>
      </c>
      <c r="K269" s="60">
        <f>SUMPRODUCT(N(Tabela17[Código]=Tabela2[[#This Row],[Ativo]]),Tabela17[Fechamento])</f>
        <v>0</v>
      </c>
      <c r="L269" s="60">
        <f>SUMPRODUCT(N(Tabela2[Ativo]=Tabela2[[#This Row],[Ativo]]),N(Tabela2[Exercício]=Tabela2[[#This Row],[Exercício]]-1),Tabela2[Lucro Líquido])</f>
        <v>305060417.76999998</v>
      </c>
      <c r="M269" s="19">
        <f>IF(Tabela2[[#This Row],[Lucro Anterior]]=0,"",IF(Tabela2[[#This Row],[Lucro Líquido]]&gt;0,Tabela2[[#This Row],[Lucro Líquido]]/Tabela2[[#This Row],[Lucro Anterior]]-1,0))</f>
        <v>0.17178184414442743</v>
      </c>
    </row>
    <row r="270" spans="1:13" x14ac:dyDescent="0.2">
      <c r="A270" s="4" t="s">
        <v>15</v>
      </c>
      <c r="B270" s="4">
        <v>2011</v>
      </c>
      <c r="C270" s="6">
        <v>305060417.76999998</v>
      </c>
      <c r="D270" s="8">
        <f>SUMPRODUCT(N(Tabela3[PAPEL]=Tabela2[[#This Row],[Ativo]]),Tabela3[Total Ações])</f>
        <v>243051520</v>
      </c>
      <c r="E270" s="65">
        <f>(Tabela2[[#This Row],[Lucro Líquido]])/Tabela2[[#This Row],[Total Ações]]</f>
        <v>1.2551265582293005</v>
      </c>
      <c r="F270" s="65">
        <v>0.63549999999999995</v>
      </c>
      <c r="G270" s="45">
        <f>IF(AND(Tabela2[[#This Row],[Dividendo / Ação]]&gt;0,Tabela2[[#This Row],[Lucro por ação]]&gt;0),Tabela2[[#This Row],[Dividendo / Ação]]/Tabela2[[#This Row],[Lucro por ação]],"")</f>
        <v>0.50632344271046792</v>
      </c>
      <c r="H270" s="6">
        <f>MAX(Tabela2[[#This Row],[Cotação 1]],Tabela2[[#This Row],[Cotação 2]])</f>
        <v>7.78</v>
      </c>
      <c r="I270" s="19">
        <f>IF(Tabela2[[#This Row],[Dividendo / Ação]]&gt;0,Tabela2[[#This Row],[Dividendo / Ação]]/Tabela2[[#This Row],[Cotação]],"")</f>
        <v>8.1683804627249348E-2</v>
      </c>
      <c r="J270" s="60">
        <f>SUMPRODUCT(N(Tabela1[Código]=Tabela2[[#This Row],[Ativo]]),Tabela1[Fechamento])</f>
        <v>7.78</v>
      </c>
      <c r="K270" s="60">
        <f>SUMPRODUCT(N(Tabela17[Código]=Tabela2[[#This Row],[Ativo]]),Tabela17[Fechamento])</f>
        <v>0</v>
      </c>
      <c r="L270" s="60">
        <f>SUMPRODUCT(N(Tabela2[Ativo]=Tabela2[[#This Row],[Ativo]]),N(Tabela2[Exercício]=Tabela2[[#This Row],[Exercício]]-1),Tabela2[Lucro Líquido])</f>
        <v>276916946.19</v>
      </c>
      <c r="M270" s="19">
        <f>IF(Tabela2[[#This Row],[Lucro Anterior]]=0,"",IF(Tabela2[[#This Row],[Lucro Líquido]]&gt;0,Tabela2[[#This Row],[Lucro Líquido]]/Tabela2[[#This Row],[Lucro Anterior]]-1,0))</f>
        <v>0.10163145292195308</v>
      </c>
    </row>
    <row r="271" spans="1:13" x14ac:dyDescent="0.2">
      <c r="A271" s="4" t="s">
        <v>15</v>
      </c>
      <c r="B271" s="4">
        <v>2010</v>
      </c>
      <c r="C271" s="6">
        <v>276916946.19</v>
      </c>
      <c r="D271" s="8">
        <f>SUMPRODUCT(N(Tabela3[PAPEL]=Tabela2[[#This Row],[Ativo]]),Tabela3[Total Ações])</f>
        <v>243051520</v>
      </c>
      <c r="E271" s="65">
        <f>(Tabela2[[#This Row],[Lucro Líquido]])/Tabela2[[#This Row],[Total Ações]]</f>
        <v>1.1393343526096853</v>
      </c>
      <c r="F271" s="65">
        <v>0.57389999999999997</v>
      </c>
      <c r="G271" s="45">
        <f>IF(AND(Tabela2[[#This Row],[Dividendo / Ação]]&gt;0,Tabela2[[#This Row],[Lucro por ação]]&gt;0),Tabela2[[#This Row],[Dividendo / Ação]]/Tabela2[[#This Row],[Lucro por ação]],"")</f>
        <v>0.50371517253514031</v>
      </c>
      <c r="H271" s="6">
        <f>MAX(Tabela2[[#This Row],[Cotação 1]],Tabela2[[#This Row],[Cotação 2]])</f>
        <v>7.78</v>
      </c>
      <c r="I271" s="19">
        <f>IF(Tabela2[[#This Row],[Dividendo / Ação]]&gt;0,Tabela2[[#This Row],[Dividendo / Ação]]/Tabela2[[#This Row],[Cotação]],"")</f>
        <v>7.3766066838046263E-2</v>
      </c>
      <c r="J271" s="60">
        <f>SUMPRODUCT(N(Tabela1[Código]=Tabela2[[#This Row],[Ativo]]),Tabela1[Fechamento])</f>
        <v>7.78</v>
      </c>
      <c r="K271" s="60">
        <f>SUMPRODUCT(N(Tabela17[Código]=Tabela2[[#This Row],[Ativo]]),Tabela17[Fechamento])</f>
        <v>0</v>
      </c>
      <c r="L271" s="60">
        <f>SUMPRODUCT(N(Tabela2[Ativo]=Tabela2[[#This Row],[Ativo]]),N(Tabela2[Exercício]=Tabela2[[#This Row],[Exercício]]-1),Tabela2[Lucro Líquido])</f>
        <v>211087826.47999999</v>
      </c>
      <c r="M271" s="19">
        <f>IF(Tabela2[[#This Row],[Lucro Anterior]]=0,"",IF(Tabela2[[#This Row],[Lucro Líquido]]&gt;0,Tabela2[[#This Row],[Lucro Líquido]]/Tabela2[[#This Row],[Lucro Anterior]]-1,0))</f>
        <v>0.31185654240576088</v>
      </c>
    </row>
    <row r="272" spans="1:13" x14ac:dyDescent="0.2">
      <c r="A272" s="4" t="s">
        <v>15</v>
      </c>
      <c r="B272" s="4">
        <v>2009</v>
      </c>
      <c r="C272" s="6">
        <v>211087826.47999999</v>
      </c>
      <c r="D272" s="8">
        <f>SUMPRODUCT(N(Tabela3[PAPEL]=Tabela2[[#This Row],[Ativo]]),Tabela3[Total Ações])</f>
        <v>243051520</v>
      </c>
      <c r="E272" s="65">
        <f>(Tabela2[[#This Row],[Lucro Líquido]])/Tabela2[[#This Row],[Total Ações]]</f>
        <v>0.8684900488587769</v>
      </c>
      <c r="F272" s="65">
        <v>0.43609999999999999</v>
      </c>
      <c r="G272" s="45">
        <f>IF(AND(Tabela2[[#This Row],[Dividendo / Ação]]&gt;0,Tabela2[[#This Row],[Lucro por ação]]&gt;0),Tabela2[[#This Row],[Dividendo / Ação]]/Tabela2[[#This Row],[Lucro por ação]],"")</f>
        <v>0.50213586278052236</v>
      </c>
      <c r="H272" s="6">
        <f>MAX(Tabela2[[#This Row],[Cotação 1]],Tabela2[[#This Row],[Cotação 2]])</f>
        <v>7.78</v>
      </c>
      <c r="I272" s="19">
        <f>IF(Tabela2[[#This Row],[Dividendo / Ação]]&gt;0,Tabela2[[#This Row],[Dividendo / Ação]]/Tabela2[[#This Row],[Cotação]],"")</f>
        <v>5.6053984575835471E-2</v>
      </c>
      <c r="J272" s="60">
        <f>SUMPRODUCT(N(Tabela1[Código]=Tabela2[[#This Row],[Ativo]]),Tabela1[Fechamento])</f>
        <v>7.78</v>
      </c>
      <c r="K272" s="60">
        <f>SUMPRODUCT(N(Tabela17[Código]=Tabela2[[#This Row],[Ativo]]),Tabela17[Fechamento])</f>
        <v>0</v>
      </c>
      <c r="L272" s="60">
        <f>SUMPRODUCT(N(Tabela2[Ativo]=Tabela2[[#This Row],[Ativo]]),N(Tabela2[Exercício]=Tabela2[[#This Row],[Exercício]]-1),Tabela2[Lucro Líquido])</f>
        <v>0</v>
      </c>
      <c r="M272" s="19" t="str">
        <f>IF(Tabela2[[#This Row],[Lucro Anterior]]=0,"",IF(Tabela2[[#This Row],[Lucro Líquido]]&gt;0,Tabela2[[#This Row],[Lucro Líquido]]/Tabela2[[#This Row],[Lucro Anterior]]-1,0))</f>
        <v/>
      </c>
    </row>
    <row r="273" spans="1:14" x14ac:dyDescent="0.2">
      <c r="A273" s="4" t="s">
        <v>364</v>
      </c>
      <c r="B273" s="4">
        <v>2012</v>
      </c>
      <c r="C273" s="6">
        <v>459255478.19</v>
      </c>
      <c r="D273" s="77">
        <f>SUMPRODUCT(N(Tabela3[PAPEL]=Tabela2[[#This Row],[Ativo]]),Tabela3[Total Ações])</f>
        <v>605059489</v>
      </c>
      <c r="E273" s="65">
        <f>(Tabela2[[#This Row],[Lucro Líquido]])/Tabela2[[#This Row],[Total Ações]]</f>
        <v>0.7590253298052152</v>
      </c>
      <c r="F273" s="65">
        <v>0.28884578700000002</v>
      </c>
      <c r="G273" s="44">
        <f>IF(AND(Tabela2[[#This Row],[Dividendo / Ação]]&gt;0,Tabela2[[#This Row],[Lucro por ação]]&gt;0),Tabela2[[#This Row],[Dividendo / Ação]]/Tabela2[[#This Row],[Lucro por ação]],"")</f>
        <v>0.38054828430314053</v>
      </c>
      <c r="H273" s="60">
        <f>MAX(Tabela2[[#This Row],[Cotação 1]],Tabela2[[#This Row],[Cotação 2]])</f>
        <v>12.54</v>
      </c>
      <c r="I273" s="45">
        <f>IF(Tabela2[[#This Row],[Dividendo / Ação]]&gt;0,Tabela2[[#This Row],[Dividendo / Ação]]/Tabela2[[#This Row],[Cotação]],"")</f>
        <v>2.30339543062201E-2</v>
      </c>
      <c r="J273" s="17">
        <f>SUMPRODUCT(N(Tabela1[Código]=Tabela2[[#This Row],[Ativo]]),Tabela1[Fechamento])</f>
        <v>0</v>
      </c>
      <c r="K273" s="17">
        <f>SUMPRODUCT(N(Tabela17[Código]=Tabela2[[#This Row],[Ativo]]),Tabela17[Fechamento])</f>
        <v>12.54</v>
      </c>
      <c r="L273" s="17">
        <f>SUMPRODUCT(N(Tabela2[Ativo]=Tabela2[[#This Row],[Ativo]]),N(Tabela2[Exercício]=Tabela2[[#This Row],[Exercício]]-1),Tabela2[Lucro Líquido])</f>
        <v>374211888.35000002</v>
      </c>
      <c r="M273" s="19">
        <f>IF(Tabela2[[#This Row],[Lucro Anterior]]=0,"",IF(Tabela2[[#This Row],[Lucro Líquido]]&gt;0,Tabela2[[#This Row],[Lucro Líquido]]/Tabela2[[#This Row],[Lucro Anterior]]-1,0))</f>
        <v>0.22726052401750207</v>
      </c>
    </row>
    <row r="274" spans="1:14" x14ac:dyDescent="0.2">
      <c r="A274" s="4" t="s">
        <v>364</v>
      </c>
      <c r="B274" s="4">
        <v>2011</v>
      </c>
      <c r="C274" s="6">
        <v>374211888.35000002</v>
      </c>
      <c r="D274" s="77">
        <f>SUMPRODUCT(N(Tabela3[PAPEL]=Tabela2[[#This Row],[Ativo]]),Tabela3[Total Ações])</f>
        <v>605059489</v>
      </c>
      <c r="E274" s="65">
        <f>(Tabela2[[#This Row],[Lucro Líquido]])/Tabela2[[#This Row],[Total Ações]]</f>
        <v>0.61847123324761211</v>
      </c>
      <c r="F274" s="65">
        <v>0.23499071399999999</v>
      </c>
      <c r="G274" s="44">
        <f>IF(AND(Tabela2[[#This Row],[Dividendo / Ação]]&gt;0,Tabela2[[#This Row],[Lucro por ação]]&gt;0),Tabela2[[#This Row],[Dividendo / Ação]]/Tabela2[[#This Row],[Lucro por ação]],"")</f>
        <v>0.37995415367349633</v>
      </c>
      <c r="H274" s="60">
        <f>MAX(Tabela2[[#This Row],[Cotação 1]],Tabela2[[#This Row],[Cotação 2]])</f>
        <v>12.54</v>
      </c>
      <c r="I274" s="45">
        <f>IF(Tabela2[[#This Row],[Dividendo / Ação]]&gt;0,Tabela2[[#This Row],[Dividendo / Ação]]/Tabela2[[#This Row],[Cotação]],"")</f>
        <v>1.8739291387559809E-2</v>
      </c>
      <c r="J274" s="17">
        <f>SUMPRODUCT(N(Tabela1[Código]=Tabela2[[#This Row],[Ativo]]),Tabela1[Fechamento])</f>
        <v>0</v>
      </c>
      <c r="K274" s="17">
        <f>SUMPRODUCT(N(Tabela17[Código]=Tabela2[[#This Row],[Ativo]]),Tabela17[Fechamento])</f>
        <v>12.54</v>
      </c>
      <c r="L274" s="17">
        <f>SUMPRODUCT(N(Tabela2[Ativo]=Tabela2[[#This Row],[Ativo]]),N(Tabela2[Exercício]=Tabela2[[#This Row],[Exercício]]-1),Tabela2[Lucro Líquido])</f>
        <v>466895395.82999998</v>
      </c>
      <c r="M274" s="19">
        <f>IF(Tabela2[[#This Row],[Lucro Anterior]]=0,"",IF(Tabela2[[#This Row],[Lucro Líquido]]&gt;0,Tabela2[[#This Row],[Lucro Líquido]]/Tabela2[[#This Row],[Lucro Anterior]]-1,0))</f>
        <v>-0.19851021943627545</v>
      </c>
    </row>
    <row r="275" spans="1:14" x14ac:dyDescent="0.2">
      <c r="A275" s="4" t="s">
        <v>364</v>
      </c>
      <c r="B275" s="4">
        <v>2010</v>
      </c>
      <c r="C275" s="6">
        <v>466895395.82999998</v>
      </c>
      <c r="D275" s="77">
        <f>SUMPRODUCT(N(Tabela3[PAPEL]=Tabela2[[#This Row],[Ativo]]),Tabela3[Total Ações])</f>
        <v>605059489</v>
      </c>
      <c r="E275" s="65">
        <f>(Tabela2[[#This Row],[Lucro Líquido]])/Tabela2[[#This Row],[Total Ações]]</f>
        <v>0.77165205127458136</v>
      </c>
      <c r="F275" s="65">
        <v>0.34668314900000002</v>
      </c>
      <c r="G275" s="44">
        <f>IF(AND(Tabela2[[#This Row],[Dividendo / Ação]]&gt;0,Tabela2[[#This Row],[Lucro por ação]]&gt;0),Tabela2[[#This Row],[Dividendo / Ação]]/Tabela2[[#This Row],[Lucro por ação]],"")</f>
        <v>0.44927392913342723</v>
      </c>
      <c r="H275" s="60">
        <f>MAX(Tabela2[[#This Row],[Cotação 1]],Tabela2[[#This Row],[Cotação 2]])</f>
        <v>12.54</v>
      </c>
      <c r="I275" s="45">
        <f>IF(Tabela2[[#This Row],[Dividendo / Ação]]&gt;0,Tabela2[[#This Row],[Dividendo / Ação]]/Tabela2[[#This Row],[Cotação]],"")</f>
        <v>2.7646184130781504E-2</v>
      </c>
      <c r="J275" s="17">
        <f>SUMPRODUCT(N(Tabela1[Código]=Tabela2[[#This Row],[Ativo]]),Tabela1[Fechamento])</f>
        <v>0</v>
      </c>
      <c r="K275" s="17">
        <f>SUMPRODUCT(N(Tabela17[Código]=Tabela2[[#This Row],[Ativo]]),Tabela17[Fechamento])</f>
        <v>12.54</v>
      </c>
      <c r="L275" s="17">
        <f>SUMPRODUCT(N(Tabela2[Ativo]=Tabela2[[#This Row],[Ativo]]),N(Tabela2[Exercício]=Tabela2[[#This Row],[Exercício]]-1),Tabela2[Lucro Líquido])</f>
        <v>179469272.13999999</v>
      </c>
      <c r="M275" s="19">
        <f>IF(Tabela2[[#This Row],[Lucro Anterior]]=0,"",IF(Tabela2[[#This Row],[Lucro Líquido]]&gt;0,Tabela2[[#This Row],[Lucro Líquido]]/Tabela2[[#This Row],[Lucro Anterior]]-1,0))</f>
        <v>1.6015339019472106</v>
      </c>
    </row>
    <row r="276" spans="1:14" x14ac:dyDescent="0.2">
      <c r="A276" s="4" t="s">
        <v>364</v>
      </c>
      <c r="B276" s="4">
        <v>2009</v>
      </c>
      <c r="C276" s="6">
        <v>179469272.13999999</v>
      </c>
      <c r="D276" s="77">
        <f>SUMPRODUCT(N(Tabela3[PAPEL]=Tabela2[[#This Row],[Ativo]]),Tabela3[Total Ações])</f>
        <v>605059489</v>
      </c>
      <c r="E276" s="65">
        <f>(Tabela2[[#This Row],[Lucro Líquido]])/Tabela2[[#This Row],[Total Ações]]</f>
        <v>0.29661425926335649</v>
      </c>
      <c r="F276" s="65">
        <v>7.8760800000000006E-2</v>
      </c>
      <c r="G276" s="44">
        <f>IF(AND(Tabela2[[#This Row],[Dividendo / Ação]]&gt;0,Tabela2[[#This Row],[Lucro por ação]]&gt;0),Tabela2[[#This Row],[Dividendo / Ação]]/Tabela2[[#This Row],[Lucro por ação]],"")</f>
        <v>0.26553275016380867</v>
      </c>
      <c r="H276" s="60">
        <f>MAX(Tabela2[[#This Row],[Cotação 1]],Tabela2[[#This Row],[Cotação 2]])</f>
        <v>12.54</v>
      </c>
      <c r="I276" s="45">
        <f>IF(Tabela2[[#This Row],[Dividendo / Ação]]&gt;0,Tabela2[[#This Row],[Dividendo / Ação]]/Tabela2[[#This Row],[Cotação]],"")</f>
        <v>6.280765550239235E-3</v>
      </c>
      <c r="J276" s="17">
        <f>SUMPRODUCT(N(Tabela1[Código]=Tabela2[[#This Row],[Ativo]]),Tabela1[Fechamento])</f>
        <v>0</v>
      </c>
      <c r="K276" s="17">
        <f>SUMPRODUCT(N(Tabela17[Código]=Tabela2[[#This Row],[Ativo]]),Tabela17[Fechamento])</f>
        <v>12.54</v>
      </c>
      <c r="L276" s="17">
        <f>SUMPRODUCT(N(Tabela2[Ativo]=Tabela2[[#This Row],[Ativo]]),N(Tabela2[Exercício]=Tabela2[[#This Row],[Exercício]]-1),Tabela2[Lucro Líquido])</f>
        <v>0</v>
      </c>
      <c r="M276" s="19" t="str">
        <f>IF(Tabela2[[#This Row],[Lucro Anterior]]=0,"",IF(Tabela2[[#This Row],[Lucro Líquido]]&gt;0,Tabela2[[#This Row],[Lucro Líquido]]/Tabela2[[#This Row],[Lucro Anterior]]-1,0))</f>
        <v/>
      </c>
    </row>
    <row r="277" spans="1:14" x14ac:dyDescent="0.2">
      <c r="A277" s="4" t="s">
        <v>102</v>
      </c>
      <c r="B277" s="4">
        <v>2012</v>
      </c>
      <c r="C277" s="6">
        <v>-130200000</v>
      </c>
      <c r="D277" s="8">
        <f>SUMPRODUCT(N(Tabela3[PAPEL]=Tabela2[[#This Row],[Ativo]]),Tabela3[Total Ações])</f>
        <v>387229828</v>
      </c>
      <c r="E277" s="65">
        <f>(Tabela2[[#This Row],[Lucro Líquido]])/Tabela2[[#This Row],[Total Ações]]</f>
        <v>-0.33623442871761416</v>
      </c>
      <c r="F277" s="65">
        <v>0</v>
      </c>
      <c r="G277" s="45" t="str">
        <f>IF(AND(Tabela2[[#This Row],[Dividendo / Ação]]&gt;0,Tabela2[[#This Row],[Lucro por ação]]&gt;0),Tabela2[[#This Row],[Dividendo / Ação]]/Tabela2[[#This Row],[Lucro por ação]],"")</f>
        <v/>
      </c>
      <c r="H277" s="6">
        <f>MAX(Tabela2[[#This Row],[Cotação 1]],Tabela2[[#This Row],[Cotação 2]])</f>
        <v>1.4</v>
      </c>
      <c r="I277" s="19" t="str">
        <f>IF(Tabela2[[#This Row],[Dividendo / Ação]]&gt;0,Tabela2[[#This Row],[Dividendo / Ação]]/Tabela2[[#This Row],[Cotação]],"")</f>
        <v/>
      </c>
      <c r="J277" s="60">
        <f>SUMPRODUCT(N(Tabela1[Código]=Tabela2[[#This Row],[Ativo]]),Tabela1[Fechamento])</f>
        <v>1.4</v>
      </c>
      <c r="K277" s="60">
        <f>SUMPRODUCT(N(Tabela17[Código]=Tabela2[[#This Row],[Ativo]]),Tabela17[Fechamento])</f>
        <v>0</v>
      </c>
      <c r="L277" s="60">
        <f>SUMPRODUCT(N(Tabela2[Ativo]=Tabela2[[#This Row],[Ativo]]),N(Tabela2[Exercício]=Tabela2[[#This Row],[Exercício]]-1),Tabela2[Lucro Líquido])</f>
        <v>88173075.810000002</v>
      </c>
      <c r="M277" s="19">
        <f>IF(Tabela2[[#This Row],[Lucro Anterior]]=0,"",IF(Tabela2[[#This Row],[Lucro Líquido]]&gt;0,Tabela2[[#This Row],[Lucro Líquido]]/Tabela2[[#This Row],[Lucro Anterior]]-1,0))</f>
        <v>0</v>
      </c>
    </row>
    <row r="278" spans="1:14" x14ac:dyDescent="0.2">
      <c r="A278" s="4" t="s">
        <v>102</v>
      </c>
      <c r="B278" s="3">
        <v>2011</v>
      </c>
      <c r="C278" s="5">
        <v>88173075.810000002</v>
      </c>
      <c r="D278" s="61">
        <f>SUMPRODUCT(N(Tabela3[PAPEL]=Tabela2[[#This Row],[Ativo]]),Tabela3[Total Ações])</f>
        <v>387229828</v>
      </c>
      <c r="E278" s="64">
        <f>(Tabela2[[#This Row],[Lucro Líquido]])/Tabela2[[#This Row],[Total Ações]]</f>
        <v>0.22770217951805097</v>
      </c>
      <c r="F278" s="64">
        <v>0.1</v>
      </c>
      <c r="G278" s="22">
        <f>IF(AND(Tabela2[[#This Row],[Dividendo / Ação]]&gt;0,Tabela2[[#This Row],[Lucro por ação]]&gt;0),Tabela2[[#This Row],[Dividendo / Ação]]/Tabela2[[#This Row],[Lucro por ação]],"")</f>
        <v>0.43917014853198871</v>
      </c>
      <c r="H278" s="5">
        <f>MAX(Tabela2[[#This Row],[Cotação 1]],Tabela2[[#This Row],[Cotação 2]])</f>
        <v>1.4</v>
      </c>
      <c r="I278" s="18">
        <f>IF(Tabela2[[#This Row],[Dividendo / Ação]]&gt;0,Tabela2[[#This Row],[Dividendo / Ação]]/Tabela2[[#This Row],[Cotação]],"")</f>
        <v>7.1428571428571438E-2</v>
      </c>
      <c r="J278" s="59">
        <f>SUMPRODUCT(N(Tabela1[Código]=Tabela2[[#This Row],[Ativo]]),Tabela1[Fechamento])</f>
        <v>1.4</v>
      </c>
      <c r="K278" s="59">
        <f>SUMPRODUCT(N(Tabela17[Código]=Tabela2[[#This Row],[Ativo]]),Tabela17[Fechamento])</f>
        <v>0</v>
      </c>
      <c r="L278" s="59">
        <f>SUMPRODUCT(N(Tabela2[Ativo]=Tabela2[[#This Row],[Ativo]]),N(Tabela2[Exercício]=Tabela2[[#This Row],[Exercício]]-1),Tabela2[Lucro Líquido])</f>
        <v>0</v>
      </c>
      <c r="M278" s="18" t="str">
        <f>IF(Tabela2[[#This Row],[Lucro Anterior]]=0,"",IF(Tabela2[[#This Row],[Lucro Líquido]]&gt;0,Tabela2[[#This Row],[Lucro Líquido]]/Tabela2[[#This Row],[Lucro Anterior]]-1,0))</f>
        <v/>
      </c>
    </row>
    <row r="279" spans="1:14" x14ac:dyDescent="0.2">
      <c r="A279" s="4" t="s">
        <v>103</v>
      </c>
      <c r="B279" s="4">
        <v>2012</v>
      </c>
      <c r="C279" s="6">
        <v>-130200000</v>
      </c>
      <c r="D279" s="8">
        <f>SUMPRODUCT(N(Tabela3[PAPEL]=Tabela2[[#This Row],[Ativo]]),Tabela3[Total Ações])</f>
        <v>387229828</v>
      </c>
      <c r="E279" s="65">
        <f>(Tabela2[[#This Row],[Lucro Líquido]])/Tabela2[[#This Row],[Total Ações]]</f>
        <v>-0.33623442871761416</v>
      </c>
      <c r="F279" s="65">
        <v>0</v>
      </c>
      <c r="G279" s="45" t="str">
        <f>IF(AND(Tabela2[[#This Row],[Dividendo / Ação]]&gt;0,Tabela2[[#This Row],[Lucro por ação]]&gt;0),Tabela2[[#This Row],[Dividendo / Ação]]/Tabela2[[#This Row],[Lucro por ação]],"")</f>
        <v/>
      </c>
      <c r="H279" s="6">
        <f>MAX(Tabela2[[#This Row],[Cotação 1]],Tabela2[[#This Row],[Cotação 2]])</f>
        <v>1.85</v>
      </c>
      <c r="I279" s="19" t="str">
        <f>IF(Tabela2[[#This Row],[Dividendo / Ação]]&gt;0,Tabela2[[#This Row],[Dividendo / Ação]]/Tabela2[[#This Row],[Cotação]],"")</f>
        <v/>
      </c>
      <c r="J279" s="60">
        <f>SUMPRODUCT(N(Tabela1[Código]=Tabela2[[#This Row],[Ativo]]),Tabela1[Fechamento])</f>
        <v>1.85</v>
      </c>
      <c r="K279" s="60">
        <f>SUMPRODUCT(N(Tabela17[Código]=Tabela2[[#This Row],[Ativo]]),Tabela17[Fechamento])</f>
        <v>0</v>
      </c>
      <c r="L279" s="60">
        <f>SUMPRODUCT(N(Tabela2[Ativo]=Tabela2[[#This Row],[Ativo]]),N(Tabela2[Exercício]=Tabela2[[#This Row],[Exercício]]-1),Tabela2[Lucro Líquido])</f>
        <v>88173075.810000002</v>
      </c>
      <c r="M279" s="19">
        <f>IF(Tabela2[[#This Row],[Lucro Anterior]]=0,"",IF(Tabela2[[#This Row],[Lucro Líquido]]&gt;0,Tabela2[[#This Row],[Lucro Líquido]]/Tabela2[[#This Row],[Lucro Anterior]]-1,0))</f>
        <v>0</v>
      </c>
    </row>
    <row r="280" spans="1:14" x14ac:dyDescent="0.2">
      <c r="A280" s="4" t="s">
        <v>103</v>
      </c>
      <c r="B280" s="4">
        <v>2011</v>
      </c>
      <c r="C280" s="5">
        <v>88173075.810000002</v>
      </c>
      <c r="D280" s="8">
        <f>SUMPRODUCT(N(Tabela3[PAPEL]=Tabela2[[#This Row],[Ativo]]),Tabela3[Total Ações])</f>
        <v>387229828</v>
      </c>
      <c r="E280" s="65">
        <f>(Tabela2[[#This Row],[Lucro Líquido]])/Tabela2[[#This Row],[Total Ações]]</f>
        <v>0.22770217951805097</v>
      </c>
      <c r="F280" s="65">
        <v>0.1</v>
      </c>
      <c r="G280" s="45">
        <f>IF(AND(Tabela2[[#This Row],[Dividendo / Ação]]&gt;0,Tabela2[[#This Row],[Lucro por ação]]&gt;0),Tabela2[[#This Row],[Dividendo / Ação]]/Tabela2[[#This Row],[Lucro por ação]],"")</f>
        <v>0.43917014853198871</v>
      </c>
      <c r="H280" s="6">
        <f>MAX(Tabela2[[#This Row],[Cotação 1]],Tabela2[[#This Row],[Cotação 2]])</f>
        <v>1.85</v>
      </c>
      <c r="I280" s="19">
        <f>IF(Tabela2[[#This Row],[Dividendo / Ação]]&gt;0,Tabela2[[#This Row],[Dividendo / Ação]]/Tabela2[[#This Row],[Cotação]],"")</f>
        <v>5.4054054054054057E-2</v>
      </c>
      <c r="J280" s="60">
        <f>SUMPRODUCT(N(Tabela1[Código]=Tabela2[[#This Row],[Ativo]]),Tabela1[Fechamento])</f>
        <v>1.85</v>
      </c>
      <c r="K280" s="60">
        <f>SUMPRODUCT(N(Tabela17[Código]=Tabela2[[#This Row],[Ativo]]),Tabela17[Fechamento])</f>
        <v>0</v>
      </c>
      <c r="L280" s="60">
        <f>SUMPRODUCT(N(Tabela2[Ativo]=Tabela2[[#This Row],[Ativo]]),N(Tabela2[Exercício]=Tabela2[[#This Row],[Exercício]]-1),Tabela2[Lucro Líquido])</f>
        <v>0</v>
      </c>
      <c r="M280" s="19" t="str">
        <f>IF(Tabela2[[#This Row],[Lucro Anterior]]=0,"",IF(Tabela2[[#This Row],[Lucro Líquido]]&gt;0,Tabela2[[#This Row],[Lucro Líquido]]/Tabela2[[#This Row],[Lucro Anterior]]-1,0))</f>
        <v/>
      </c>
    </row>
    <row r="281" spans="1:14" x14ac:dyDescent="0.2">
      <c r="A281" s="14" t="s">
        <v>295</v>
      </c>
      <c r="B281" s="3">
        <v>2012</v>
      </c>
      <c r="C281" s="5">
        <v>459346.49</v>
      </c>
      <c r="D281" s="61">
        <f>SUMPRODUCT(N(Tabela3[PAPEL]=Tabela2[[#This Row],[Ativo]]),Tabela3[Total Ações])</f>
        <v>31485170</v>
      </c>
      <c r="E281" s="64">
        <f>(Tabela2[[#This Row],[Lucro Líquido]])/Tabela2[[#This Row],[Total Ações]]</f>
        <v>1.4589296802272307E-2</v>
      </c>
      <c r="F281" s="64">
        <v>0</v>
      </c>
      <c r="G281" s="22" t="str">
        <f>IF(AND(Tabela2[[#This Row],[Dividendo / Ação]]&gt;0,Tabela2[[#This Row],[Lucro por ação]]&gt;0),Tabela2[[#This Row],[Dividendo / Ação]]/Tabela2[[#This Row],[Lucro por ação]],"")</f>
        <v/>
      </c>
      <c r="H281" s="50">
        <f>MAX(Tabela2[[#This Row],[Cotação 1]],Tabela2[[#This Row],[Cotação 2]])</f>
        <v>10</v>
      </c>
      <c r="I281" s="18" t="str">
        <f>IF(Tabela2[[#This Row],[Dividendo / Ação]]&gt;0,Tabela2[[#This Row],[Dividendo / Ação]]/Tabela2[[#This Row],[Cotação]],"")</f>
        <v/>
      </c>
      <c r="J281" s="7">
        <f>SUMPRODUCT(N(Tabela1[Código]=Tabela2[[#This Row],[Ativo]]),Tabela1[Fechamento])</f>
        <v>0</v>
      </c>
      <c r="K281" s="7">
        <f>SUMPRODUCT(N(Tabela17[Código]=Tabela2[[#This Row],[Ativo]]),Tabela17[Fechamento])</f>
        <v>10</v>
      </c>
      <c r="L281" s="7">
        <f>SUMPRODUCT(N(Tabela2[Ativo]=Tabela2[[#This Row],[Ativo]]),N(Tabela2[Exercício]=Tabela2[[#This Row],[Exercício]]-1),Tabela2[Lucro Líquido])</f>
        <v>14826895.1</v>
      </c>
      <c r="M281" s="18">
        <f>IF(Tabela2[[#This Row],[Lucro Anterior]]=0,"",IF(Tabela2[[#This Row],[Lucro Líquido]]&gt;0,Tabela2[[#This Row],[Lucro Líquido]]/Tabela2[[#This Row],[Lucro Anterior]]-1,0))</f>
        <v>-0.96901937412371653</v>
      </c>
    </row>
    <row r="282" spans="1:14" x14ac:dyDescent="0.2">
      <c r="A282" s="14" t="s">
        <v>295</v>
      </c>
      <c r="B282" s="3">
        <v>2011</v>
      </c>
      <c r="C282" s="5">
        <v>14826895.1</v>
      </c>
      <c r="D282" s="61">
        <f>SUMPRODUCT(N(Tabela3[PAPEL]=Tabela2[[#This Row],[Ativo]]),Tabela3[Total Ações])</f>
        <v>31485170</v>
      </c>
      <c r="E282" s="64">
        <f>(Tabela2[[#This Row],[Lucro Líquido]])/Tabela2[[#This Row],[Total Ações]]</f>
        <v>0.47091678717313579</v>
      </c>
      <c r="F282" s="64">
        <v>0.11279</v>
      </c>
      <c r="G282" s="22">
        <f>IF(AND(Tabela2[[#This Row],[Dividendo / Ação]]&gt;0,Tabela2[[#This Row],[Lucro por ação]]&gt;0),Tabela2[[#This Row],[Dividendo / Ação]]/Tabela2[[#This Row],[Lucro por ação]],"")</f>
        <v>0.2395115295784348</v>
      </c>
      <c r="H282" s="50">
        <f>MAX(Tabela2[[#This Row],[Cotação 1]],Tabela2[[#This Row],[Cotação 2]])</f>
        <v>10</v>
      </c>
      <c r="I282" s="18">
        <f>IF(Tabela2[[#This Row],[Dividendo / Ação]]&gt;0,Tabela2[[#This Row],[Dividendo / Ação]]/Tabela2[[#This Row],[Cotação]],"")</f>
        <v>1.1279000000000001E-2</v>
      </c>
      <c r="J282" s="7">
        <f>SUMPRODUCT(N(Tabela1[Código]=Tabela2[[#This Row],[Ativo]]),Tabela1[Fechamento])</f>
        <v>0</v>
      </c>
      <c r="K282" s="7">
        <f>SUMPRODUCT(N(Tabela17[Código]=Tabela2[[#This Row],[Ativo]]),Tabela17[Fechamento])</f>
        <v>10</v>
      </c>
      <c r="L282" s="7">
        <f>SUMPRODUCT(N(Tabela2[Ativo]=Tabela2[[#This Row],[Ativo]]),N(Tabela2[Exercício]=Tabela2[[#This Row],[Exercício]]-1),Tabela2[Lucro Líquido])</f>
        <v>45200803.640000001</v>
      </c>
      <c r="M282" s="18">
        <f>IF(Tabela2[[#This Row],[Lucro Anterior]]=0,"",IF(Tabela2[[#This Row],[Lucro Líquido]]&gt;0,Tabela2[[#This Row],[Lucro Líquido]]/Tabela2[[#This Row],[Lucro Anterior]]-1,0))</f>
        <v>-0.67197717947476743</v>
      </c>
      <c r="N282" s="3">
        <v>0.39897712400000002</v>
      </c>
    </row>
    <row r="283" spans="1:14" x14ac:dyDescent="0.2">
      <c r="A283" s="14" t="s">
        <v>295</v>
      </c>
      <c r="B283" s="3">
        <v>2010</v>
      </c>
      <c r="C283" s="5">
        <v>45200803.640000001</v>
      </c>
      <c r="D283" s="61">
        <f>SUMPRODUCT(N(Tabela3[PAPEL]=Tabela2[[#This Row],[Ativo]]),Tabela3[Total Ações])</f>
        <v>31485170</v>
      </c>
      <c r="E283" s="64">
        <f>(Tabela2[[#This Row],[Lucro Líquido]])/Tabela2[[#This Row],[Total Ações]]</f>
        <v>1.4356220290377979</v>
      </c>
      <c r="F283" s="64">
        <v>0.31025000000000003</v>
      </c>
      <c r="G283" s="22">
        <f>IF(AND(Tabela2[[#This Row],[Dividendo / Ação]]&gt;0,Tabela2[[#This Row],[Lucro por ação]]&gt;0),Tabela2[[#This Row],[Dividendo / Ação]]/Tabela2[[#This Row],[Lucro por ação]],"")</f>
        <v>0.21610841414013407</v>
      </c>
      <c r="H283" s="50">
        <f>MAX(Tabela2[[#This Row],[Cotação 1]],Tabela2[[#This Row],[Cotação 2]])</f>
        <v>10</v>
      </c>
      <c r="I283" s="18">
        <f>IF(Tabela2[[#This Row],[Dividendo / Ação]]&gt;0,Tabela2[[#This Row],[Dividendo / Ação]]/Tabela2[[#This Row],[Cotação]],"")</f>
        <v>3.1025000000000004E-2</v>
      </c>
      <c r="J283" s="7">
        <f>SUMPRODUCT(N(Tabela1[Código]=Tabela2[[#This Row],[Ativo]]),Tabela1[Fechamento])</f>
        <v>0</v>
      </c>
      <c r="K283" s="7">
        <f>SUMPRODUCT(N(Tabela17[Código]=Tabela2[[#This Row],[Ativo]]),Tabela17[Fechamento])</f>
        <v>10</v>
      </c>
      <c r="L283" s="7">
        <f>SUMPRODUCT(N(Tabela2[Ativo]=Tabela2[[#This Row],[Ativo]]),N(Tabela2[Exercício]=Tabela2[[#This Row],[Exercício]]-1),Tabela2[Lucro Líquido])</f>
        <v>3829778.75</v>
      </c>
      <c r="M283" s="18">
        <f>IF(Tabela2[[#This Row],[Lucro Anterior]]=0,"",IF(Tabela2[[#This Row],[Lucro Líquido]]&gt;0,Tabela2[[#This Row],[Lucro Líquido]]/Tabela2[[#This Row],[Lucro Anterior]]-1,0))</f>
        <v>10.802458207278946</v>
      </c>
      <c r="N283" s="3">
        <v>0.385525487</v>
      </c>
    </row>
    <row r="284" spans="1:14" x14ac:dyDescent="0.2">
      <c r="A284" s="14" t="s">
        <v>295</v>
      </c>
      <c r="B284" s="3">
        <v>2009</v>
      </c>
      <c r="C284" s="6">
        <v>3829778.75</v>
      </c>
      <c r="D284" s="61">
        <f>SUMPRODUCT(N(Tabela3[PAPEL]=Tabela2[[#This Row],[Ativo]]),Tabela3[Total Ações])</f>
        <v>31485170</v>
      </c>
      <c r="E284" s="64">
        <f>(Tabela2[[#This Row],[Lucro Líquido]])/Tabela2[[#This Row],[Total Ações]]</f>
        <v>0.12163754396117284</v>
      </c>
      <c r="F284" s="64">
        <v>4.3194999999999997E-2</v>
      </c>
      <c r="G284" s="22">
        <f>IF(AND(Tabela2[[#This Row],[Dividendo / Ação]]&gt;0,Tabela2[[#This Row],[Lucro por ação]]&gt;0),Tabela2[[#This Row],[Dividendo / Ação]]/Tabela2[[#This Row],[Lucro por ação]],"")</f>
        <v>0.35511239863399419</v>
      </c>
      <c r="H284" s="50">
        <f>MAX(Tabela2[[#This Row],[Cotação 1]],Tabela2[[#This Row],[Cotação 2]])</f>
        <v>10</v>
      </c>
      <c r="I284" s="18">
        <f>IF(Tabela2[[#This Row],[Dividendo / Ação]]&gt;0,Tabela2[[#This Row],[Dividendo / Ação]]/Tabela2[[#This Row],[Cotação]],"")</f>
        <v>4.3194999999999996E-3</v>
      </c>
      <c r="J284" s="7">
        <f>SUMPRODUCT(N(Tabela1[Código]=Tabela2[[#This Row],[Ativo]]),Tabela1[Fechamento])</f>
        <v>0</v>
      </c>
      <c r="K284" s="7">
        <f>SUMPRODUCT(N(Tabela17[Código]=Tabela2[[#This Row],[Ativo]]),Tabela17[Fechamento])</f>
        <v>10</v>
      </c>
      <c r="L284" s="7">
        <f>SUMPRODUCT(N(Tabela2[Ativo]=Tabela2[[#This Row],[Ativo]]),N(Tabela2[Exercício]=Tabela2[[#This Row],[Exercício]]-1),Tabela2[Lucro Líquido])</f>
        <v>0</v>
      </c>
      <c r="M284" s="18" t="str">
        <f>IF(Tabela2[[#This Row],[Lucro Anterior]]=0,"",IF(Tabela2[[#This Row],[Lucro Líquido]]&gt;0,Tabela2[[#This Row],[Lucro Líquido]]/Tabela2[[#This Row],[Lucro Anterior]]-1,0))</f>
        <v/>
      </c>
      <c r="N284" s="3">
        <v>0.33254521399999998</v>
      </c>
    </row>
    <row r="285" spans="1:14" x14ac:dyDescent="0.2">
      <c r="A285" s="14" t="s">
        <v>296</v>
      </c>
      <c r="B285" s="4">
        <v>2012</v>
      </c>
      <c r="C285" s="5">
        <v>459346.49</v>
      </c>
      <c r="D285" s="8">
        <f>SUMPRODUCT(N(Tabela3[PAPEL]=Tabela2[[#This Row],[Ativo]]),Tabela3[Total Ações])</f>
        <v>31485170</v>
      </c>
      <c r="E285" s="65">
        <f>(Tabela2[[#This Row],[Lucro Líquido]])/Tabela2[[#This Row],[Total Ações]]</f>
        <v>1.4589296802272307E-2</v>
      </c>
      <c r="F285" s="64">
        <v>2E-3</v>
      </c>
      <c r="G285" s="45">
        <f>IF(AND(Tabela2[[#This Row],[Dividendo / Ação]]&gt;0,Tabela2[[#This Row],[Lucro por ação]]&gt;0),Tabela2[[#This Row],[Dividendo / Ação]]/Tabela2[[#This Row],[Lucro por ação]],"")</f>
        <v>0.13708679911758986</v>
      </c>
      <c r="H285" s="13">
        <f>MAX(Tabela2[[#This Row],[Cotação 1]],Tabela2[[#This Row],[Cotação 2]])</f>
        <v>9.5</v>
      </c>
      <c r="I285" s="19">
        <f>IF(Tabela2[[#This Row],[Dividendo / Ação]]&gt;0,Tabela2[[#This Row],[Dividendo / Ação]]/Tabela2[[#This Row],[Cotação]],"")</f>
        <v>2.105263157894737E-4</v>
      </c>
      <c r="J285" s="17">
        <f>SUMPRODUCT(N(Tabela1[Código]=Tabela2[[#This Row],[Ativo]]),Tabela1[Fechamento])</f>
        <v>0</v>
      </c>
      <c r="K285" s="17">
        <f>SUMPRODUCT(N(Tabela17[Código]=Tabela2[[#This Row],[Ativo]]),Tabela17[Fechamento])</f>
        <v>9.5</v>
      </c>
      <c r="L285" s="17">
        <f>SUMPRODUCT(N(Tabela2[Ativo]=Tabela2[[#This Row],[Ativo]]),N(Tabela2[Exercício]=Tabela2[[#This Row],[Exercício]]-1),Tabela2[Lucro Líquido])</f>
        <v>14826895.1</v>
      </c>
      <c r="M285" s="19">
        <f>IF(Tabela2[[#This Row],[Lucro Anterior]]=0,"",IF(Tabela2[[#This Row],[Lucro Líquido]]&gt;0,Tabela2[[#This Row],[Lucro Líquido]]/Tabela2[[#This Row],[Lucro Anterior]]-1,0))</f>
        <v>-0.96901937412371653</v>
      </c>
      <c r="N285" s="3">
        <v>1.0620213060000001</v>
      </c>
    </row>
    <row r="286" spans="1:14" x14ac:dyDescent="0.2">
      <c r="A286" s="14" t="s">
        <v>296</v>
      </c>
      <c r="B286" s="4">
        <v>2011</v>
      </c>
      <c r="C286" s="5">
        <v>14826895.1</v>
      </c>
      <c r="D286" s="8">
        <f>SUMPRODUCT(N(Tabela3[PAPEL]=Tabela2[[#This Row],[Ativo]]),Tabela3[Total Ações])</f>
        <v>31485170</v>
      </c>
      <c r="E286" s="65">
        <f>(Tabela2[[#This Row],[Lucro Líquido]])/Tabela2[[#This Row],[Total Ações]]</f>
        <v>0.47091678717313579</v>
      </c>
      <c r="F286" s="64">
        <v>0.11279</v>
      </c>
      <c r="G286" s="45">
        <f>IF(AND(Tabela2[[#This Row],[Dividendo / Ação]]&gt;0,Tabela2[[#This Row],[Lucro por ação]]&gt;0),Tabela2[[#This Row],[Dividendo / Ação]]/Tabela2[[#This Row],[Lucro por ação]],"")</f>
        <v>0.2395115295784348</v>
      </c>
      <c r="H286" s="13">
        <f>MAX(Tabela2[[#This Row],[Cotação 1]],Tabela2[[#This Row],[Cotação 2]])</f>
        <v>9.5</v>
      </c>
      <c r="I286" s="19">
        <f>IF(Tabela2[[#This Row],[Dividendo / Ação]]&gt;0,Tabela2[[#This Row],[Dividendo / Ação]]/Tabela2[[#This Row],[Cotação]],"")</f>
        <v>1.1872631578947369E-2</v>
      </c>
      <c r="J286" s="17">
        <f>SUMPRODUCT(N(Tabela1[Código]=Tabela2[[#This Row],[Ativo]]),Tabela1[Fechamento])</f>
        <v>0</v>
      </c>
      <c r="K286" s="17">
        <f>SUMPRODUCT(N(Tabela17[Código]=Tabela2[[#This Row],[Ativo]]),Tabela17[Fechamento])</f>
        <v>9.5</v>
      </c>
      <c r="L286" s="17">
        <f>SUMPRODUCT(N(Tabela2[Ativo]=Tabela2[[#This Row],[Ativo]]),N(Tabela2[Exercício]=Tabela2[[#This Row],[Exercício]]-1),Tabela2[Lucro Líquido])</f>
        <v>45200803.640000001</v>
      </c>
      <c r="M286" s="19">
        <f>IF(Tabela2[[#This Row],[Lucro Anterior]]=0,"",IF(Tabela2[[#This Row],[Lucro Líquido]]&gt;0,Tabela2[[#This Row],[Lucro Líquido]]/Tabela2[[#This Row],[Lucro Anterior]]-1,0))</f>
        <v>-0.67197717947476743</v>
      </c>
      <c r="N286" s="3">
        <f>SUM(N282:N285)</f>
        <v>2.1790691310000003</v>
      </c>
    </row>
    <row r="287" spans="1:14" x14ac:dyDescent="0.2">
      <c r="A287" s="14" t="s">
        <v>296</v>
      </c>
      <c r="B287" s="4">
        <v>2010</v>
      </c>
      <c r="C287" s="5">
        <v>45200803.640000001</v>
      </c>
      <c r="D287" s="8">
        <f>SUMPRODUCT(N(Tabela3[PAPEL]=Tabela2[[#This Row],[Ativo]]),Tabela3[Total Ações])</f>
        <v>31485170</v>
      </c>
      <c r="E287" s="65">
        <f>(Tabela2[[#This Row],[Lucro Líquido]])/Tabela2[[#This Row],[Total Ações]]</f>
        <v>1.4356220290377979</v>
      </c>
      <c r="F287" s="64">
        <v>0.31025000000000003</v>
      </c>
      <c r="G287" s="45">
        <f>IF(AND(Tabela2[[#This Row],[Dividendo / Ação]]&gt;0,Tabela2[[#This Row],[Lucro por ação]]&gt;0),Tabela2[[#This Row],[Dividendo / Ação]]/Tabela2[[#This Row],[Lucro por ação]],"")</f>
        <v>0.21610841414013407</v>
      </c>
      <c r="H287" s="13">
        <f>MAX(Tabela2[[#This Row],[Cotação 1]],Tabela2[[#This Row],[Cotação 2]])</f>
        <v>9.5</v>
      </c>
      <c r="I287" s="19">
        <f>IF(Tabela2[[#This Row],[Dividendo / Ação]]&gt;0,Tabela2[[#This Row],[Dividendo / Ação]]/Tabela2[[#This Row],[Cotação]],"")</f>
        <v>3.2657894736842108E-2</v>
      </c>
      <c r="J287" s="17">
        <f>SUMPRODUCT(N(Tabela1[Código]=Tabela2[[#This Row],[Ativo]]),Tabela1[Fechamento])</f>
        <v>0</v>
      </c>
      <c r="K287" s="17">
        <f>SUMPRODUCT(N(Tabela17[Código]=Tabela2[[#This Row],[Ativo]]),Tabela17[Fechamento])</f>
        <v>9.5</v>
      </c>
      <c r="L287" s="17">
        <f>SUMPRODUCT(N(Tabela2[Ativo]=Tabela2[[#This Row],[Ativo]]),N(Tabela2[Exercício]=Tabela2[[#This Row],[Exercício]]-1),Tabela2[Lucro Líquido])</f>
        <v>3829778.75</v>
      </c>
      <c r="M287" s="19">
        <f>IF(Tabela2[[#This Row],[Lucro Anterior]]=0,"",IF(Tabela2[[#This Row],[Lucro Líquido]]&gt;0,Tabela2[[#This Row],[Lucro Líquido]]/Tabela2[[#This Row],[Lucro Anterior]]-1,0))</f>
        <v>10.802458207278946</v>
      </c>
    </row>
    <row r="288" spans="1:14" x14ac:dyDescent="0.2">
      <c r="A288" s="14" t="s">
        <v>296</v>
      </c>
      <c r="B288" s="4">
        <v>2009</v>
      </c>
      <c r="C288" s="6">
        <v>3829778.75</v>
      </c>
      <c r="D288" s="8">
        <f>SUMPRODUCT(N(Tabela3[PAPEL]=Tabela2[[#This Row],[Ativo]]),Tabela3[Total Ações])</f>
        <v>31485170</v>
      </c>
      <c r="E288" s="65">
        <f>(Tabela2[[#This Row],[Lucro Líquido]])/Tabela2[[#This Row],[Total Ações]]</f>
        <v>0.12163754396117284</v>
      </c>
      <c r="F288" s="64">
        <v>4.3194999999999997E-2</v>
      </c>
      <c r="G288" s="45">
        <f>IF(AND(Tabela2[[#This Row],[Dividendo / Ação]]&gt;0,Tabela2[[#This Row],[Lucro por ação]]&gt;0),Tabela2[[#This Row],[Dividendo / Ação]]/Tabela2[[#This Row],[Lucro por ação]],"")</f>
        <v>0.35511239863399419</v>
      </c>
      <c r="H288" s="13">
        <f>MAX(Tabela2[[#This Row],[Cotação 1]],Tabela2[[#This Row],[Cotação 2]])</f>
        <v>9.5</v>
      </c>
      <c r="I288" s="19">
        <f>IF(Tabela2[[#This Row],[Dividendo / Ação]]&gt;0,Tabela2[[#This Row],[Dividendo / Ação]]/Tabela2[[#This Row],[Cotação]],"")</f>
        <v>4.5468421052631573E-3</v>
      </c>
      <c r="J288" s="17">
        <f>SUMPRODUCT(N(Tabela1[Código]=Tabela2[[#This Row],[Ativo]]),Tabela1[Fechamento])</f>
        <v>0</v>
      </c>
      <c r="K288" s="17">
        <f>SUMPRODUCT(N(Tabela17[Código]=Tabela2[[#This Row],[Ativo]]),Tabela17[Fechamento])</f>
        <v>9.5</v>
      </c>
      <c r="L288" s="17">
        <f>SUMPRODUCT(N(Tabela2[Ativo]=Tabela2[[#This Row],[Ativo]]),N(Tabela2[Exercício]=Tabela2[[#This Row],[Exercício]]-1),Tabela2[Lucro Líquido])</f>
        <v>0</v>
      </c>
      <c r="M288" s="19" t="str">
        <f>IF(Tabela2[[#This Row],[Lucro Anterior]]=0,"",IF(Tabela2[[#This Row],[Lucro Líquido]]&gt;0,Tabela2[[#This Row],[Lucro Líquido]]/Tabela2[[#This Row],[Lucro Anterior]]-1,0))</f>
        <v/>
      </c>
    </row>
    <row r="289" spans="1:13" x14ac:dyDescent="0.2">
      <c r="A289" s="4" t="s">
        <v>2</v>
      </c>
      <c r="B289" s="4">
        <v>2012</v>
      </c>
      <c r="C289" s="6">
        <v>-6878916000</v>
      </c>
      <c r="D289" s="8">
        <f>SUMPRODUCT(N(Tabela3[PAPEL]=Tabela2[[#This Row],[Ativo]]),Tabela3[Total Ações])</f>
        <v>1352634100</v>
      </c>
      <c r="E289" s="65">
        <f>(Tabela2[[#This Row],[Lucro Líquido]])/Tabela2[[#This Row],[Total Ações]]</f>
        <v>-5.0855704436255156</v>
      </c>
      <c r="F289" s="65">
        <v>0.40852810099999998</v>
      </c>
      <c r="G289" s="45" t="str">
        <f>IF(AND(Tabela2[[#This Row],[Dividendo / Ação]]&gt;0,Tabela2[[#This Row],[Lucro por ação]]&gt;0),Tabela2[[#This Row],[Dividendo / Ação]]/Tabela2[[#This Row],[Lucro por ação]],"")</f>
        <v/>
      </c>
      <c r="H289" s="6">
        <f>MAX(Tabela2[[#This Row],[Cotação 1]],Tabela2[[#This Row],[Cotação 2]])</f>
        <v>5.65</v>
      </c>
      <c r="I289" s="19">
        <f>IF(Tabela2[[#This Row],[Dividendo / Ação]]&gt;0,Tabela2[[#This Row],[Dividendo / Ação]]/Tabela2[[#This Row],[Cotação]],"")</f>
        <v>7.2305858584070792E-2</v>
      </c>
      <c r="J289" s="60">
        <f>SUMPRODUCT(N(Tabela1[Código]=Tabela2[[#This Row],[Ativo]]),Tabela1[Fechamento])</f>
        <v>5.65</v>
      </c>
      <c r="K289" s="60">
        <f>SUMPRODUCT(N(Tabela17[Código]=Tabela2[[#This Row],[Ativo]]),Tabela17[Fechamento])</f>
        <v>0</v>
      </c>
      <c r="L289" s="60">
        <f>SUMPRODUCT(N(Tabela2[Ativo]=Tabela2[[#This Row],[Ativo]]),N(Tabela2[Exercício]=Tabela2[[#This Row],[Exercício]]-1),Tabela2[Lucro Líquido])</f>
        <v>3732565000</v>
      </c>
      <c r="M289" s="19">
        <f>IF(Tabela2[[#This Row],[Lucro Anterior]]=0,"",IF(Tabela2[[#This Row],[Lucro Líquido]]&gt;0,Tabela2[[#This Row],[Lucro Líquido]]/Tabela2[[#This Row],[Lucro Anterior]]-1,0))</f>
        <v>0</v>
      </c>
    </row>
    <row r="290" spans="1:13" x14ac:dyDescent="0.2">
      <c r="A290" s="4" t="s">
        <v>2</v>
      </c>
      <c r="B290" s="3">
        <v>2011</v>
      </c>
      <c r="C290" s="5">
        <v>3732565000</v>
      </c>
      <c r="D290" s="61">
        <f>SUMPRODUCT(N(Tabela3[PAPEL]=Tabela2[[#This Row],[Ativo]]),Tabela3[Total Ações])</f>
        <v>1352634100</v>
      </c>
      <c r="E290" s="64">
        <f>(Tabela2[[#This Row],[Lucro Líquido]])/Tabela2[[#This Row],[Total Ações]]</f>
        <v>2.7594787089871531</v>
      </c>
      <c r="F290" s="64">
        <v>1.2317791624600001</v>
      </c>
      <c r="G290" s="22">
        <f>IF(AND(Tabela2[[#This Row],[Dividendo / Ação]]&gt;0,Tabela2[[#This Row],[Lucro por ação]]&gt;0),Tabela2[[#This Row],[Dividendo / Ação]]/Tabela2[[#This Row],[Lucro por ação]],"")</f>
        <v>0.44638110757959637</v>
      </c>
      <c r="H290" s="5">
        <f>MAX(Tabela2[[#This Row],[Cotação 1]],Tabela2[[#This Row],[Cotação 2]])</f>
        <v>5.65</v>
      </c>
      <c r="I290" s="18">
        <f>IF(Tabela2[[#This Row],[Dividendo / Ação]]&gt;0,Tabela2[[#This Row],[Dividendo / Ação]]/Tabela2[[#This Row],[Cotação]],"")</f>
        <v>0.21801401105486726</v>
      </c>
      <c r="J290" s="59">
        <f>SUMPRODUCT(N(Tabela1[Código]=Tabela2[[#This Row],[Ativo]]),Tabela1[Fechamento])</f>
        <v>5.65</v>
      </c>
      <c r="K290" s="59">
        <f>SUMPRODUCT(N(Tabela17[Código]=Tabela2[[#This Row],[Ativo]]),Tabela17[Fechamento])</f>
        <v>0</v>
      </c>
      <c r="L290" s="59">
        <f>SUMPRODUCT(N(Tabela2[Ativo]=Tabela2[[#This Row],[Ativo]]),N(Tabela2[Exercício]=Tabela2[[#This Row],[Exercício]]-1),Tabela2[Lucro Líquido])</f>
        <v>2247913000</v>
      </c>
      <c r="M290" s="18">
        <f>IF(Tabela2[[#This Row],[Lucro Anterior]]=0,"",IF(Tabela2[[#This Row],[Lucro Líquido]]&gt;0,Tabela2[[#This Row],[Lucro Líquido]]/Tabela2[[#This Row],[Lucro Anterior]]-1,0))</f>
        <v>0.66045794476921493</v>
      </c>
    </row>
    <row r="291" spans="1:13" x14ac:dyDescent="0.2">
      <c r="A291" s="4" t="s">
        <v>2</v>
      </c>
      <c r="B291" s="3">
        <v>2010</v>
      </c>
      <c r="C291" s="5">
        <v>2247913000</v>
      </c>
      <c r="D291" s="61">
        <f>SUMPRODUCT(N(Tabela3[PAPEL]=Tabela2[[#This Row],[Ativo]]),Tabela3[Total Ações])</f>
        <v>1352634100</v>
      </c>
      <c r="E291" s="64">
        <f>(Tabela2[[#This Row],[Lucro Líquido]])/Tabela2[[#This Row],[Total Ações]]</f>
        <v>1.6618781087952759</v>
      </c>
      <c r="F291" s="64">
        <v>0.83224516954000005</v>
      </c>
      <c r="G291" s="22">
        <f>IF(AND(Tabela2[[#This Row],[Dividendo / Ação]]&gt;0,Tabela2[[#This Row],[Lucro por ação]]&gt;0),Tabela2[[#This Row],[Dividendo / Ação]]/Tabela2[[#This Row],[Lucro por ação]],"")</f>
        <v>0.50078592716003034</v>
      </c>
      <c r="H291" s="5">
        <f>MAX(Tabela2[[#This Row],[Cotação 1]],Tabela2[[#This Row],[Cotação 2]])</f>
        <v>5.65</v>
      </c>
      <c r="I291" s="18">
        <f>IF(Tabela2[[#This Row],[Dividendo / Ação]]&gt;0,Tabela2[[#This Row],[Dividendo / Ação]]/Tabela2[[#This Row],[Cotação]],"")</f>
        <v>0.14730003000707964</v>
      </c>
      <c r="J291" s="59">
        <f>SUMPRODUCT(N(Tabela1[Código]=Tabela2[[#This Row],[Ativo]]),Tabela1[Fechamento])</f>
        <v>5.65</v>
      </c>
      <c r="K291" s="59">
        <f>SUMPRODUCT(N(Tabela17[Código]=Tabela2[[#This Row],[Ativo]]),Tabela17[Fechamento])</f>
        <v>0</v>
      </c>
      <c r="L291" s="59">
        <f>SUMPRODUCT(N(Tabela2[Ativo]=Tabela2[[#This Row],[Ativo]]),N(Tabela2[Exercício]=Tabela2[[#This Row],[Exercício]]-1),Tabela2[Lucro Líquido])</f>
        <v>170526000</v>
      </c>
      <c r="M291" s="18">
        <f>IF(Tabela2[[#This Row],[Lucro Anterior]]=0,"",IF(Tabela2[[#This Row],[Lucro Líquido]]&gt;0,Tabela2[[#This Row],[Lucro Líquido]]/Tabela2[[#This Row],[Lucro Anterior]]-1,0))</f>
        <v>12.182230275735078</v>
      </c>
    </row>
    <row r="292" spans="1:13" x14ac:dyDescent="0.2">
      <c r="A292" s="4" t="s">
        <v>2</v>
      </c>
      <c r="B292" s="3">
        <v>2009</v>
      </c>
      <c r="C292" s="5">
        <v>170526000</v>
      </c>
      <c r="D292" s="61">
        <f>SUMPRODUCT(N(Tabela3[PAPEL]=Tabela2[[#This Row],[Ativo]]),Tabela3[Total Ações])</f>
        <v>1352634100</v>
      </c>
      <c r="E292" s="64">
        <f>(Tabela2[[#This Row],[Lucro Líquido]])/Tabela2[[#This Row],[Total Ações]]</f>
        <v>0.12606957047733752</v>
      </c>
      <c r="F292" s="64">
        <v>0.41</v>
      </c>
      <c r="G292" s="22">
        <f>IF(AND(Tabela2[[#This Row],[Dividendo / Ação]]&gt;0,Tabela2[[#This Row],[Lucro por ação]]&gt;0),Tabela2[[#This Row],[Dividendo / Ação]]/Tabela2[[#This Row],[Lucro por ação]],"")</f>
        <v>3.2521725777887238</v>
      </c>
      <c r="H292" s="5">
        <f>MAX(Tabela2[[#This Row],[Cotação 1]],Tabela2[[#This Row],[Cotação 2]])</f>
        <v>5.65</v>
      </c>
      <c r="I292" s="18">
        <f>IF(Tabela2[[#This Row],[Dividendo / Ação]]&gt;0,Tabela2[[#This Row],[Dividendo / Ação]]/Tabela2[[#This Row],[Cotação]],"")</f>
        <v>7.2566371681415914E-2</v>
      </c>
      <c r="J292" s="59">
        <f>SUMPRODUCT(N(Tabela1[Código]=Tabela2[[#This Row],[Ativo]]),Tabela1[Fechamento])</f>
        <v>5.65</v>
      </c>
      <c r="K292" s="59">
        <f>SUMPRODUCT(N(Tabela17[Código]=Tabela2[[#This Row],[Ativo]]),Tabela17[Fechamento])</f>
        <v>0</v>
      </c>
      <c r="L292" s="59">
        <f>SUMPRODUCT(N(Tabela2[Ativo]=Tabela2[[#This Row],[Ativo]]),N(Tabela2[Exercício]=Tabela2[[#This Row],[Exercício]]-1),Tabela2[Lucro Líquido])</f>
        <v>6136497000</v>
      </c>
      <c r="M292" s="18">
        <f>IF(Tabela2[[#This Row],[Lucro Anterior]]=0,"",IF(Tabela2[[#This Row],[Lucro Líquido]]&gt;0,Tabela2[[#This Row],[Lucro Líquido]]/Tabela2[[#This Row],[Lucro Anterior]]-1,0))</f>
        <v>-0.9722111817214284</v>
      </c>
    </row>
    <row r="293" spans="1:13" x14ac:dyDescent="0.2">
      <c r="A293" s="4" t="s">
        <v>2</v>
      </c>
      <c r="B293" s="3">
        <v>2008</v>
      </c>
      <c r="C293" s="5">
        <v>6136497000</v>
      </c>
      <c r="D293" s="61">
        <f>SUMPRODUCT(N(Tabela3[PAPEL]=Tabela2[[#This Row],[Ativo]]),Tabela3[Total Ações])</f>
        <v>1352634100</v>
      </c>
      <c r="E293" s="64">
        <f>(Tabela2[[#This Row],[Lucro Líquido]])/Tabela2[[#This Row],[Total Ações]]</f>
        <v>4.5367013887939098</v>
      </c>
      <c r="F293" s="64">
        <v>1.54227975422</v>
      </c>
      <c r="G293" s="22">
        <f>IF(AND(Tabela2[[#This Row],[Dividendo / Ação]]&gt;0,Tabela2[[#This Row],[Lucro por ação]]&gt;0),Tabela2[[#This Row],[Dividendo / Ação]]/Tabela2[[#This Row],[Lucro por ação]],"")</f>
        <v>0.33995619769676261</v>
      </c>
      <c r="H293" s="5">
        <f>MAX(Tabela2[[#This Row],[Cotação 1]],Tabela2[[#This Row],[Cotação 2]])</f>
        <v>5.65</v>
      </c>
      <c r="I293" s="18">
        <f>IF(Tabela2[[#This Row],[Dividendo / Ação]]&gt;0,Tabela2[[#This Row],[Dividendo / Ação]]/Tabela2[[#This Row],[Cotação]],"")</f>
        <v>0.27296986800353978</v>
      </c>
      <c r="J293" s="59">
        <f>SUMPRODUCT(N(Tabela1[Código]=Tabela2[[#This Row],[Ativo]]),Tabela1[Fechamento])</f>
        <v>5.65</v>
      </c>
      <c r="K293" s="59">
        <f>SUMPRODUCT(N(Tabela17[Código]=Tabela2[[#This Row],[Ativo]]),Tabela17[Fechamento])</f>
        <v>0</v>
      </c>
      <c r="L293" s="59">
        <f>SUMPRODUCT(N(Tabela2[Ativo]=Tabela2[[#This Row],[Ativo]]),N(Tabela2[Exercício]=Tabela2[[#This Row],[Exercício]]-1),Tabela2[Lucro Líquido])</f>
        <v>0</v>
      </c>
      <c r="M293" s="18" t="str">
        <f>IF(Tabela2[[#This Row],[Lucro Anterior]]=0,"",IF(Tabela2[[#This Row],[Lucro Líquido]]&gt;0,Tabela2[[#This Row],[Lucro Líquido]]/Tabela2[[#This Row],[Lucro Anterior]]-1,0))</f>
        <v/>
      </c>
    </row>
    <row r="294" spans="1:13" x14ac:dyDescent="0.2">
      <c r="A294" s="4" t="s">
        <v>27</v>
      </c>
      <c r="B294" s="4">
        <v>2012</v>
      </c>
      <c r="C294" s="6">
        <v>-6878916000</v>
      </c>
      <c r="D294" s="8">
        <f>SUMPRODUCT(N(Tabela3[PAPEL]=Tabela2[[#This Row],[Ativo]]),Tabela3[Total Ações])</f>
        <v>1352634100</v>
      </c>
      <c r="E294" s="65">
        <f>(Tabela2[[#This Row],[Lucro Líquido]])/Tabela2[[#This Row],[Total Ações]]</f>
        <v>-5.0855704436255156</v>
      </c>
      <c r="F294" s="65">
        <v>1.671821523</v>
      </c>
      <c r="G294" s="45" t="str">
        <f>IF(AND(Tabela2[[#This Row],[Dividendo / Ação]]&gt;0,Tabela2[[#This Row],[Lucro por ação]]&gt;0),Tabela2[[#This Row],[Dividendo / Ação]]/Tabela2[[#This Row],[Lucro por ação]],"")</f>
        <v/>
      </c>
      <c r="H294" s="6">
        <f>MAX(Tabela2[[#This Row],[Cotação 1]],Tabela2[[#This Row],[Cotação 2]])</f>
        <v>9.57</v>
      </c>
      <c r="I294" s="19">
        <f>IF(Tabela2[[#This Row],[Dividendo / Ação]]&gt;0,Tabela2[[#This Row],[Dividendo / Ação]]/Tabela2[[#This Row],[Cotação]],"")</f>
        <v>0.17469399404388714</v>
      </c>
      <c r="J294" s="60">
        <f>SUMPRODUCT(N(Tabela1[Código]=Tabela2[[#This Row],[Ativo]]),Tabela1[Fechamento])</f>
        <v>9.57</v>
      </c>
      <c r="K294" s="60">
        <f>SUMPRODUCT(N(Tabela17[Código]=Tabela2[[#This Row],[Ativo]]),Tabela17[Fechamento])</f>
        <v>0</v>
      </c>
      <c r="L294" s="60">
        <f>SUMPRODUCT(N(Tabela2[Ativo]=Tabela2[[#This Row],[Ativo]]),N(Tabela2[Exercício]=Tabela2[[#This Row],[Exercício]]-1),Tabela2[Lucro Líquido])</f>
        <v>3732565000</v>
      </c>
      <c r="M294" s="19">
        <f>IF(Tabela2[[#This Row],[Lucro Anterior]]=0,"",IF(Tabela2[[#This Row],[Lucro Líquido]]&gt;0,Tabela2[[#This Row],[Lucro Líquido]]/Tabela2[[#This Row],[Lucro Anterior]]-1,0))</f>
        <v>0</v>
      </c>
    </row>
    <row r="295" spans="1:13" x14ac:dyDescent="0.2">
      <c r="A295" s="4" t="s">
        <v>27</v>
      </c>
      <c r="B295" s="4">
        <v>2011</v>
      </c>
      <c r="C295" s="5">
        <v>3732565000</v>
      </c>
      <c r="D295" s="8">
        <f>SUMPRODUCT(N(Tabela3[PAPEL]=Tabela2[[#This Row],[Ativo]]),Tabela3[Total Ações])</f>
        <v>1352634100</v>
      </c>
      <c r="E295" s="65">
        <f>(Tabela2[[#This Row],[Lucro Líquido]])/Tabela2[[#This Row],[Total Ações]]</f>
        <v>2.7594787089871531</v>
      </c>
      <c r="F295" s="65">
        <v>1.6336924400499999</v>
      </c>
      <c r="G295" s="45">
        <f>IF(AND(Tabela2[[#This Row],[Dividendo / Ação]]&gt;0,Tabela2[[#This Row],[Lucro por ação]]&gt;0),Tabela2[[#This Row],[Dividendo / Ação]]/Tabela2[[#This Row],[Lucro por ação]],"")</f>
        <v>0.59202936943464768</v>
      </c>
      <c r="H295" s="6">
        <f>MAX(Tabela2[[#This Row],[Cotação 1]],Tabela2[[#This Row],[Cotação 2]])</f>
        <v>9.57</v>
      </c>
      <c r="I295" s="19">
        <f>IF(Tabela2[[#This Row],[Dividendo / Ação]]&gt;0,Tabela2[[#This Row],[Dividendo / Ação]]/Tabela2[[#This Row],[Cotação]],"")</f>
        <v>0.17070976385057471</v>
      </c>
      <c r="J295" s="60">
        <f>SUMPRODUCT(N(Tabela1[Código]=Tabela2[[#This Row],[Ativo]]),Tabela1[Fechamento])</f>
        <v>9.57</v>
      </c>
      <c r="K295" s="60">
        <f>SUMPRODUCT(N(Tabela17[Código]=Tabela2[[#This Row],[Ativo]]),Tabela17[Fechamento])</f>
        <v>0</v>
      </c>
      <c r="L295" s="60">
        <f>SUMPRODUCT(N(Tabela2[Ativo]=Tabela2[[#This Row],[Ativo]]),N(Tabela2[Exercício]=Tabela2[[#This Row],[Exercício]]-1),Tabela2[Lucro Líquido])</f>
        <v>2247913000</v>
      </c>
      <c r="M295" s="19">
        <f>IF(Tabela2[[#This Row],[Lucro Anterior]]=0,"",IF(Tabela2[[#This Row],[Lucro Líquido]]&gt;0,Tabela2[[#This Row],[Lucro Líquido]]/Tabela2[[#This Row],[Lucro Anterior]]-1,0))</f>
        <v>0.66045794476921493</v>
      </c>
    </row>
    <row r="296" spans="1:13" x14ac:dyDescent="0.2">
      <c r="A296" s="4" t="s">
        <v>27</v>
      </c>
      <c r="B296" s="4">
        <v>2010</v>
      </c>
      <c r="C296" s="5">
        <v>2247913000</v>
      </c>
      <c r="D296" s="8">
        <f>SUMPRODUCT(N(Tabela3[PAPEL]=Tabela2[[#This Row],[Ativo]]),Tabela3[Total Ações])</f>
        <v>1352634100</v>
      </c>
      <c r="E296" s="65">
        <f>(Tabela2[[#This Row],[Lucro Líquido]])/Tabela2[[#This Row],[Total Ações]]</f>
        <v>1.6618781087952759</v>
      </c>
      <c r="F296" s="65">
        <v>1.6305332803199999</v>
      </c>
      <c r="G296" s="45">
        <f>IF(AND(Tabela2[[#This Row],[Dividendo / Ação]]&gt;0,Tabela2[[#This Row],[Lucro por ação]]&gt;0),Tabela2[[#This Row],[Dividendo / Ação]]/Tabela2[[#This Row],[Lucro por ação]],"")</f>
        <v>0.98113891246933971</v>
      </c>
      <c r="H296" s="6">
        <f>MAX(Tabela2[[#This Row],[Cotação 1]],Tabela2[[#This Row],[Cotação 2]])</f>
        <v>9.57</v>
      </c>
      <c r="I296" s="19">
        <f>IF(Tabela2[[#This Row],[Dividendo / Ação]]&gt;0,Tabela2[[#This Row],[Dividendo / Ação]]/Tabela2[[#This Row],[Cotação]],"")</f>
        <v>0.17037965311598743</v>
      </c>
      <c r="J296" s="60">
        <f>SUMPRODUCT(N(Tabela1[Código]=Tabela2[[#This Row],[Ativo]]),Tabela1[Fechamento])</f>
        <v>9.57</v>
      </c>
      <c r="K296" s="60">
        <f>SUMPRODUCT(N(Tabela17[Código]=Tabela2[[#This Row],[Ativo]]),Tabela17[Fechamento])</f>
        <v>0</v>
      </c>
      <c r="L296" s="60">
        <f>SUMPRODUCT(N(Tabela2[Ativo]=Tabela2[[#This Row],[Ativo]]),N(Tabela2[Exercício]=Tabela2[[#This Row],[Exercício]]-1),Tabela2[Lucro Líquido])</f>
        <v>170526000</v>
      </c>
      <c r="M296" s="19">
        <f>IF(Tabela2[[#This Row],[Lucro Anterior]]=0,"",IF(Tabela2[[#This Row],[Lucro Líquido]]&gt;0,Tabela2[[#This Row],[Lucro Líquido]]/Tabela2[[#This Row],[Lucro Anterior]]-1,0))</f>
        <v>12.182230275735078</v>
      </c>
    </row>
    <row r="297" spans="1:13" x14ac:dyDescent="0.2">
      <c r="A297" s="4" t="s">
        <v>27</v>
      </c>
      <c r="B297" s="4">
        <v>2009</v>
      </c>
      <c r="C297" s="5">
        <v>170526000</v>
      </c>
      <c r="D297" s="8">
        <f>SUMPRODUCT(N(Tabela3[PAPEL]=Tabela2[[#This Row],[Ativo]]),Tabela3[Total Ações])</f>
        <v>1352634100</v>
      </c>
      <c r="E297" s="65">
        <f>(Tabela2[[#This Row],[Lucro Líquido]])/Tabela2[[#This Row],[Total Ações]]</f>
        <v>0.12606957047733752</v>
      </c>
      <c r="F297" s="65">
        <v>1.63</v>
      </c>
      <c r="G297" s="45">
        <f>IF(AND(Tabela2[[#This Row],[Dividendo / Ação]]&gt;0,Tabela2[[#This Row],[Lucro por ação]]&gt;0),Tabela2[[#This Row],[Dividendo / Ação]]/Tabela2[[#This Row],[Lucro por ação]],"")</f>
        <v>12.929369028769806</v>
      </c>
      <c r="H297" s="6">
        <f>MAX(Tabela2[[#This Row],[Cotação 1]],Tabela2[[#This Row],[Cotação 2]])</f>
        <v>9.57</v>
      </c>
      <c r="I297" s="19">
        <f>IF(Tabela2[[#This Row],[Dividendo / Ação]]&gt;0,Tabela2[[#This Row],[Dividendo / Ação]]/Tabela2[[#This Row],[Cotação]],"")</f>
        <v>0.17032392894461859</v>
      </c>
      <c r="J297" s="60">
        <f>SUMPRODUCT(N(Tabela1[Código]=Tabela2[[#This Row],[Ativo]]),Tabela1[Fechamento])</f>
        <v>9.57</v>
      </c>
      <c r="K297" s="60">
        <f>SUMPRODUCT(N(Tabela17[Código]=Tabela2[[#This Row],[Ativo]]),Tabela17[Fechamento])</f>
        <v>0</v>
      </c>
      <c r="L297" s="60">
        <f>SUMPRODUCT(N(Tabela2[Ativo]=Tabela2[[#This Row],[Ativo]]),N(Tabela2[Exercício]=Tabela2[[#This Row],[Exercício]]-1),Tabela2[Lucro Líquido])</f>
        <v>6136497000</v>
      </c>
      <c r="M297" s="19">
        <f>IF(Tabela2[[#This Row],[Lucro Anterior]]=0,"",IF(Tabela2[[#This Row],[Lucro Líquido]]&gt;0,Tabela2[[#This Row],[Lucro Líquido]]/Tabela2[[#This Row],[Lucro Anterior]]-1,0))</f>
        <v>-0.9722111817214284</v>
      </c>
    </row>
    <row r="298" spans="1:13" x14ac:dyDescent="0.2">
      <c r="A298" s="4" t="s">
        <v>27</v>
      </c>
      <c r="B298" s="4">
        <v>2008</v>
      </c>
      <c r="C298" s="5">
        <v>6136497000</v>
      </c>
      <c r="D298" s="8">
        <f>SUMPRODUCT(N(Tabela3[PAPEL]=Tabela2[[#This Row],[Ativo]]),Tabela3[Total Ações])</f>
        <v>1352634100</v>
      </c>
      <c r="E298" s="65">
        <f>(Tabela2[[#This Row],[Lucro Líquido]])/Tabela2[[#This Row],[Total Ações]]</f>
        <v>4.5367013887939098</v>
      </c>
      <c r="F298" s="65">
        <v>1.69650772972</v>
      </c>
      <c r="G298" s="45">
        <f>IF(AND(Tabela2[[#This Row],[Dividendo / Ação]]&gt;0,Tabela2[[#This Row],[Lucro por ação]]&gt;0),Tabela2[[#This Row],[Dividendo / Ação]]/Tabela2[[#This Row],[Lucro por ação]],"")</f>
        <v>0.37395181748363199</v>
      </c>
      <c r="H298" s="6">
        <f>MAX(Tabela2[[#This Row],[Cotação 1]],Tabela2[[#This Row],[Cotação 2]])</f>
        <v>9.57</v>
      </c>
      <c r="I298" s="19">
        <f>IF(Tabela2[[#This Row],[Dividendo / Ação]]&gt;0,Tabela2[[#This Row],[Dividendo / Ação]]/Tabela2[[#This Row],[Cotação]],"")</f>
        <v>0.17727353497596654</v>
      </c>
      <c r="J298" s="60">
        <f>SUMPRODUCT(N(Tabela1[Código]=Tabela2[[#This Row],[Ativo]]),Tabela1[Fechamento])</f>
        <v>9.57</v>
      </c>
      <c r="K298" s="60">
        <f>SUMPRODUCT(N(Tabela17[Código]=Tabela2[[#This Row],[Ativo]]),Tabela17[Fechamento])</f>
        <v>0</v>
      </c>
      <c r="L298" s="60">
        <f>SUMPRODUCT(N(Tabela2[Ativo]=Tabela2[[#This Row],[Ativo]]),N(Tabela2[Exercício]=Tabela2[[#This Row],[Exercício]]-1),Tabela2[Lucro Líquido])</f>
        <v>0</v>
      </c>
      <c r="M298" s="19" t="str">
        <f>IF(Tabela2[[#This Row],[Lucro Anterior]]=0,"",IF(Tabela2[[#This Row],[Lucro Líquido]]&gt;0,Tabela2[[#This Row],[Lucro Líquido]]/Tabela2[[#This Row],[Lucro Anterior]]-1,0))</f>
        <v/>
      </c>
    </row>
    <row r="299" spans="1:13" x14ac:dyDescent="0.2">
      <c r="A299" s="4" t="s">
        <v>183</v>
      </c>
      <c r="B299" s="4">
        <v>2012</v>
      </c>
      <c r="C299" s="6">
        <v>107945984.63</v>
      </c>
      <c r="D299" s="8">
        <f>SUMPRODUCT(N(Tabela3[PAPEL]=Tabela2[[#This Row],[Ativo]]),Tabela3[Total Ações])</f>
        <v>0</v>
      </c>
      <c r="E299" s="65" t="e">
        <f>(Tabela2[[#This Row],[Lucro Líquido]])/Tabela2[[#This Row],[Total Ações]]</f>
        <v>#DIV/0!</v>
      </c>
      <c r="F299" s="65">
        <v>0.30919236900000002</v>
      </c>
      <c r="G299" s="45" t="e">
        <f>IF(AND(Tabela2[[#This Row],[Dividendo / Ação]]&gt;0,Tabela2[[#This Row],[Lucro por ação]]&gt;0),Tabela2[[#This Row],[Dividendo / Ação]]/Tabela2[[#This Row],[Lucro por ação]],"")</f>
        <v>#DIV/0!</v>
      </c>
      <c r="H299" s="6">
        <f>MAX(Tabela2[[#This Row],[Cotação 1]],Tabela2[[#This Row],[Cotação 2]])</f>
        <v>11</v>
      </c>
      <c r="I299" s="19">
        <f>IF(Tabela2[[#This Row],[Dividendo / Ação]]&gt;0,Tabela2[[#This Row],[Dividendo / Ação]]/Tabela2[[#This Row],[Cotação]],"")</f>
        <v>2.8108397181818182E-2</v>
      </c>
      <c r="J299" s="60">
        <f>SUMPRODUCT(N(Tabela1[Código]=Tabela2[[#This Row],[Ativo]]),Tabela1[Fechamento])</f>
        <v>11</v>
      </c>
      <c r="K299" s="60">
        <f>SUMPRODUCT(N(Tabela17[Código]=Tabela2[[#This Row],[Ativo]]),Tabela17[Fechamento])</f>
        <v>0</v>
      </c>
      <c r="L299" s="60">
        <f>SUMPRODUCT(N(Tabela2[Ativo]=Tabela2[[#This Row],[Ativo]]),N(Tabela2[Exercício]=Tabela2[[#This Row],[Exercício]]-1),Tabela2[Lucro Líquido])</f>
        <v>1573104991</v>
      </c>
      <c r="M299" s="19">
        <f>IF(Tabela2[[#This Row],[Lucro Anterior]]=0,"",IF(Tabela2[[#This Row],[Lucro Líquido]]&gt;0,Tabela2[[#This Row],[Lucro Líquido]]/Tabela2[[#This Row],[Lucro Anterior]]-1,0))</f>
        <v>-0.93138030503521552</v>
      </c>
    </row>
    <row r="300" spans="1:13" x14ac:dyDescent="0.2">
      <c r="A300" s="4" t="s">
        <v>183</v>
      </c>
      <c r="B300" s="3">
        <v>2011</v>
      </c>
      <c r="C300" s="5">
        <v>1573104991</v>
      </c>
      <c r="D300" s="61">
        <f>SUMPRODUCT(N(Tabela3[PAPEL]=Tabela2[[#This Row],[Ativo]]),Tabela3[Total Ações])</f>
        <v>0</v>
      </c>
      <c r="E300" s="64" t="e">
        <f>(Tabela2[[#This Row],[Lucro Líquido]])/Tabela2[[#This Row],[Total Ações]]</f>
        <v>#DIV/0!</v>
      </c>
      <c r="F300" s="64">
        <v>5.1351776620000003</v>
      </c>
      <c r="G300" s="22" t="e">
        <f>IF(AND(Tabela2[[#This Row],[Dividendo / Ação]]&gt;0,Tabela2[[#This Row],[Lucro por ação]]&gt;0),Tabela2[[#This Row],[Dividendo / Ação]]/Tabela2[[#This Row],[Lucro por ação]],"")</f>
        <v>#DIV/0!</v>
      </c>
      <c r="H300" s="5">
        <f>MAX(Tabela2[[#This Row],[Cotação 1]],Tabela2[[#This Row],[Cotação 2]])</f>
        <v>11</v>
      </c>
      <c r="I300" s="18">
        <f>IF(Tabela2[[#This Row],[Dividendo / Ação]]&gt;0,Tabela2[[#This Row],[Dividendo / Ação]]/Tabela2[[#This Row],[Cotação]],"")</f>
        <v>0.46683433290909093</v>
      </c>
      <c r="J300" s="59">
        <f>SUMPRODUCT(N(Tabela1[Código]=Tabela2[[#This Row],[Ativo]]),Tabela1[Fechamento])</f>
        <v>11</v>
      </c>
      <c r="K300" s="59">
        <f>SUMPRODUCT(N(Tabela17[Código]=Tabela2[[#This Row],[Ativo]]),Tabela17[Fechamento])</f>
        <v>0</v>
      </c>
      <c r="L300" s="59">
        <f>SUMPRODUCT(N(Tabela2[Ativo]=Tabela2[[#This Row],[Ativo]]),N(Tabela2[Exercício]=Tabela2[[#This Row],[Exercício]]-1),Tabela2[Lucro Líquido])</f>
        <v>1347688144.1600001</v>
      </c>
      <c r="M300" s="18">
        <f>IF(Tabela2[[#This Row],[Lucro Anterior]]=0,"",IF(Tabela2[[#This Row],[Lucro Líquido]]&gt;0,Tabela2[[#This Row],[Lucro Líquido]]/Tabela2[[#This Row],[Lucro Anterior]]-1,0))</f>
        <v>0.16726187569194639</v>
      </c>
    </row>
    <row r="301" spans="1:13" x14ac:dyDescent="0.2">
      <c r="A301" s="4" t="s">
        <v>183</v>
      </c>
      <c r="B301" s="3">
        <v>2010</v>
      </c>
      <c r="C301" s="5">
        <v>1347688144.1600001</v>
      </c>
      <c r="D301" s="61">
        <f>SUMPRODUCT(N(Tabela3[PAPEL]=Tabela2[[#This Row],[Ativo]]),Tabela3[Total Ações])</f>
        <v>0</v>
      </c>
      <c r="E301" s="64" t="e">
        <f>(Tabela2[[#This Row],[Lucro Líquido]])/Tabela2[[#This Row],[Total Ações]]</f>
        <v>#DIV/0!</v>
      </c>
      <c r="F301" s="64">
        <v>8.6908053330000001</v>
      </c>
      <c r="G301" s="22" t="e">
        <f>IF(AND(Tabela2[[#This Row],[Dividendo / Ação]]&gt;0,Tabela2[[#This Row],[Lucro por ação]]&gt;0),Tabela2[[#This Row],[Dividendo / Ação]]/Tabela2[[#This Row],[Lucro por ação]],"")</f>
        <v>#DIV/0!</v>
      </c>
      <c r="H301" s="5">
        <f>MAX(Tabela2[[#This Row],[Cotação 1]],Tabela2[[#This Row],[Cotação 2]])</f>
        <v>11</v>
      </c>
      <c r="I301" s="18">
        <f>IF(Tabela2[[#This Row],[Dividendo / Ação]]&gt;0,Tabela2[[#This Row],[Dividendo / Ação]]/Tabela2[[#This Row],[Cotação]],"")</f>
        <v>0.79007321209090908</v>
      </c>
      <c r="J301" s="59">
        <f>SUMPRODUCT(N(Tabela1[Código]=Tabela2[[#This Row],[Ativo]]),Tabela1[Fechamento])</f>
        <v>11</v>
      </c>
      <c r="K301" s="59">
        <f>SUMPRODUCT(N(Tabela17[Código]=Tabela2[[#This Row],[Ativo]]),Tabela17[Fechamento])</f>
        <v>0</v>
      </c>
      <c r="L301" s="59">
        <f>SUMPRODUCT(N(Tabela2[Ativo]=Tabela2[[#This Row],[Ativo]]),N(Tabela2[Exercício]=Tabela2[[#This Row],[Exercício]]-1),Tabela2[Lucro Líquido])</f>
        <v>1063193672.4299999</v>
      </c>
      <c r="M301" s="18">
        <f>IF(Tabela2[[#This Row],[Lucro Anterior]]=0,"",IF(Tabela2[[#This Row],[Lucro Líquido]]&gt;0,Tabela2[[#This Row],[Lucro Líquido]]/Tabela2[[#This Row],[Lucro Anterior]]-1,0))</f>
        <v>0.26758480520277095</v>
      </c>
    </row>
    <row r="302" spans="1:13" x14ac:dyDescent="0.2">
      <c r="A302" s="4" t="s">
        <v>183</v>
      </c>
      <c r="B302" s="3">
        <v>2009</v>
      </c>
      <c r="C302" s="5">
        <v>1063193672.4299999</v>
      </c>
      <c r="D302" s="61">
        <f>SUMPRODUCT(N(Tabela3[PAPEL]=Tabela2[[#This Row],[Ativo]]),Tabela3[Total Ações])</f>
        <v>0</v>
      </c>
      <c r="E302" s="64" t="e">
        <f>(Tabela2[[#This Row],[Lucro Líquido]])/Tabela2[[#This Row],[Total Ações]]</f>
        <v>#DIV/0!</v>
      </c>
      <c r="F302" s="64">
        <v>6.086401306</v>
      </c>
      <c r="G302" s="22" t="e">
        <f>IF(AND(Tabela2[[#This Row],[Dividendo / Ação]]&gt;0,Tabela2[[#This Row],[Lucro por ação]]&gt;0),Tabela2[[#This Row],[Dividendo / Ação]]/Tabela2[[#This Row],[Lucro por ação]],"")</f>
        <v>#DIV/0!</v>
      </c>
      <c r="H302" s="5">
        <f>MAX(Tabela2[[#This Row],[Cotação 1]],Tabela2[[#This Row],[Cotação 2]])</f>
        <v>11</v>
      </c>
      <c r="I302" s="18">
        <f>IF(Tabela2[[#This Row],[Dividendo / Ação]]&gt;0,Tabela2[[#This Row],[Dividendo / Ação]]/Tabela2[[#This Row],[Cotação]],"")</f>
        <v>0.55330920963636365</v>
      </c>
      <c r="J302" s="59">
        <f>SUMPRODUCT(N(Tabela1[Código]=Tabela2[[#This Row],[Ativo]]),Tabela1[Fechamento])</f>
        <v>11</v>
      </c>
      <c r="K302" s="59">
        <f>SUMPRODUCT(N(Tabela17[Código]=Tabela2[[#This Row],[Ativo]]),Tabela17[Fechamento])</f>
        <v>0</v>
      </c>
      <c r="L302" s="59">
        <f>SUMPRODUCT(N(Tabela2[Ativo]=Tabela2[[#This Row],[Ativo]]),N(Tabela2[Exercício]=Tabela2[[#This Row],[Exercício]]-1),Tabela2[Lucro Líquido])</f>
        <v>0</v>
      </c>
      <c r="M302" s="18" t="str">
        <f>IF(Tabela2[[#This Row],[Lucro Anterior]]=0,"",IF(Tabela2[[#This Row],[Lucro Líquido]]&gt;0,Tabela2[[#This Row],[Lucro Líquido]]/Tabela2[[#This Row],[Lucro Anterior]]-1,0))</f>
        <v/>
      </c>
    </row>
    <row r="303" spans="1:13" x14ac:dyDescent="0.2">
      <c r="A303" s="4" t="s">
        <v>1</v>
      </c>
      <c r="B303" s="4">
        <v>2012</v>
      </c>
      <c r="C303" s="6">
        <v>107945984.63</v>
      </c>
      <c r="D303" s="8">
        <f>SUMPRODUCT(N(Tabela3[PAPEL]=Tabela2[[#This Row],[Ativo]]),Tabela3[Total Ações])</f>
        <v>167343887</v>
      </c>
      <c r="E303" s="65">
        <f>(Tabela2[[#This Row],[Lucro Líquido]])/Tabela2[[#This Row],[Total Ações]]</f>
        <v>0.64505484224828602</v>
      </c>
      <c r="F303" s="65">
        <v>0.34011160499999998</v>
      </c>
      <c r="G303" s="45">
        <f>IF(AND(Tabela2[[#This Row],[Dividendo / Ação]]&gt;0,Tabela2[[#This Row],[Lucro por ação]]&gt;0),Tabela2[[#This Row],[Dividendo / Ação]]/Tabela2[[#This Row],[Lucro por ação]],"")</f>
        <v>0.52725998275521624</v>
      </c>
      <c r="H303" s="6">
        <f>MAX(Tabela2[[#This Row],[Cotação 1]],Tabela2[[#This Row],[Cotação 2]])</f>
        <v>9.15</v>
      </c>
      <c r="I303" s="19">
        <f>IF(Tabela2[[#This Row],[Dividendo / Ação]]&gt;0,Tabela2[[#This Row],[Dividendo / Ação]]/Tabela2[[#This Row],[Cotação]],"")</f>
        <v>3.7170667213114753E-2</v>
      </c>
      <c r="J303" s="60">
        <f>SUMPRODUCT(N(Tabela1[Código]=Tabela2[[#This Row],[Ativo]]),Tabela1[Fechamento])</f>
        <v>9.15</v>
      </c>
      <c r="K303" s="60">
        <f>SUMPRODUCT(N(Tabela17[Código]=Tabela2[[#This Row],[Ativo]]),Tabela17[Fechamento])</f>
        <v>0</v>
      </c>
      <c r="L303" s="60">
        <f>SUMPRODUCT(N(Tabela2[Ativo]=Tabela2[[#This Row],[Ativo]]),N(Tabela2[Exercício]=Tabela2[[#This Row],[Exercício]]-1),Tabela2[Lucro Líquido])</f>
        <v>1573104991</v>
      </c>
      <c r="M303" s="19">
        <f>IF(Tabela2[[#This Row],[Lucro Anterior]]=0,"",IF(Tabela2[[#This Row],[Lucro Líquido]]&gt;0,Tabela2[[#This Row],[Lucro Líquido]]/Tabela2[[#This Row],[Lucro Anterior]]-1,0))</f>
        <v>-0.93138030503521552</v>
      </c>
    </row>
    <row r="304" spans="1:13" x14ac:dyDescent="0.2">
      <c r="A304" s="4" t="s">
        <v>1</v>
      </c>
      <c r="B304" s="4">
        <v>2011</v>
      </c>
      <c r="C304" s="5">
        <v>1573104991</v>
      </c>
      <c r="D304" s="8">
        <f>SUMPRODUCT(N(Tabela3[PAPEL]=Tabela2[[#This Row],[Ativo]]),Tabela3[Total Ações])</f>
        <v>167343887</v>
      </c>
      <c r="E304" s="65">
        <f>(Tabela2[[#This Row],[Lucro Líquido]])/Tabela2[[#This Row],[Total Ações]]</f>
        <v>9.4004329599443324</v>
      </c>
      <c r="F304" s="65">
        <v>5.648695429</v>
      </c>
      <c r="G304" s="45">
        <f>IF(AND(Tabela2[[#This Row],[Dividendo / Ação]]&gt;0,Tabela2[[#This Row],[Lucro por ação]]&gt;0),Tabela2[[#This Row],[Dividendo / Ação]]/Tabela2[[#This Row],[Lucro por ação]],"")</f>
        <v>0.60089736856476139</v>
      </c>
      <c r="H304" s="6">
        <f>MAX(Tabela2[[#This Row],[Cotação 1]],Tabela2[[#This Row],[Cotação 2]])</f>
        <v>9.15</v>
      </c>
      <c r="I304" s="19">
        <f>IF(Tabela2[[#This Row],[Dividendo / Ação]]&gt;0,Tabela2[[#This Row],[Dividendo / Ação]]/Tabela2[[#This Row],[Cotação]],"")</f>
        <v>0.61734376273224045</v>
      </c>
      <c r="J304" s="60">
        <f>SUMPRODUCT(N(Tabela1[Código]=Tabela2[[#This Row],[Ativo]]),Tabela1[Fechamento])</f>
        <v>9.15</v>
      </c>
      <c r="K304" s="60">
        <f>SUMPRODUCT(N(Tabela17[Código]=Tabela2[[#This Row],[Ativo]]),Tabela17[Fechamento])</f>
        <v>0</v>
      </c>
      <c r="L304" s="60">
        <f>SUMPRODUCT(N(Tabela2[Ativo]=Tabela2[[#This Row],[Ativo]]),N(Tabela2[Exercício]=Tabela2[[#This Row],[Exercício]]-1),Tabela2[Lucro Líquido])</f>
        <v>1347688144.1600001</v>
      </c>
      <c r="M304" s="19">
        <f>IF(Tabela2[[#This Row],[Lucro Anterior]]=0,"",IF(Tabela2[[#This Row],[Lucro Líquido]]&gt;0,Tabela2[[#This Row],[Lucro Líquido]]/Tabela2[[#This Row],[Lucro Anterior]]-1,0))</f>
        <v>0.16726187569194639</v>
      </c>
    </row>
    <row r="305" spans="1:13" x14ac:dyDescent="0.2">
      <c r="A305" s="4" t="s">
        <v>1</v>
      </c>
      <c r="B305" s="4">
        <v>2010</v>
      </c>
      <c r="C305" s="5">
        <v>1347688144.1600001</v>
      </c>
      <c r="D305" s="8">
        <f>SUMPRODUCT(N(Tabela3[PAPEL]=Tabela2[[#This Row],[Ativo]]),Tabela3[Total Ações])</f>
        <v>167343887</v>
      </c>
      <c r="E305" s="65">
        <f>(Tabela2[[#This Row],[Lucro Líquido]])/Tabela2[[#This Row],[Total Ações]]</f>
        <v>8.0534052860861305</v>
      </c>
      <c r="F305" s="65">
        <v>9.5598858660000001</v>
      </c>
      <c r="G305" s="45">
        <f>IF(AND(Tabela2[[#This Row],[Dividendo / Ação]]&gt;0,Tabela2[[#This Row],[Lucro por ação]]&gt;0),Tabela2[[#This Row],[Dividendo / Ação]]/Tabela2[[#This Row],[Lucro por ação]],"")</f>
        <v>1.1870613146114248</v>
      </c>
      <c r="H305" s="6">
        <f>MAX(Tabela2[[#This Row],[Cotação 1]],Tabela2[[#This Row],[Cotação 2]])</f>
        <v>9.15</v>
      </c>
      <c r="I305" s="19">
        <f>IF(Tabela2[[#This Row],[Dividendo / Ação]]&gt;0,Tabela2[[#This Row],[Dividendo / Ação]]/Tabela2[[#This Row],[Cotação]],"")</f>
        <v>1.0447962695081967</v>
      </c>
      <c r="J305" s="60">
        <f>SUMPRODUCT(N(Tabela1[Código]=Tabela2[[#This Row],[Ativo]]),Tabela1[Fechamento])</f>
        <v>9.15</v>
      </c>
      <c r="K305" s="60">
        <f>SUMPRODUCT(N(Tabela17[Código]=Tabela2[[#This Row],[Ativo]]),Tabela17[Fechamento])</f>
        <v>0</v>
      </c>
      <c r="L305" s="60">
        <f>SUMPRODUCT(N(Tabela2[Ativo]=Tabela2[[#This Row],[Ativo]]),N(Tabela2[Exercício]=Tabela2[[#This Row],[Exercício]]-1),Tabela2[Lucro Líquido])</f>
        <v>1063193672.4299999</v>
      </c>
      <c r="M305" s="19">
        <f>IF(Tabela2[[#This Row],[Lucro Anterior]]=0,"",IF(Tabela2[[#This Row],[Lucro Líquido]]&gt;0,Tabela2[[#This Row],[Lucro Líquido]]/Tabela2[[#This Row],[Lucro Anterior]]-1,0))</f>
        <v>0.26758480520277095</v>
      </c>
    </row>
    <row r="306" spans="1:13" x14ac:dyDescent="0.2">
      <c r="A306" s="4" t="s">
        <v>1</v>
      </c>
      <c r="B306" s="4">
        <v>2009</v>
      </c>
      <c r="C306" s="5">
        <v>1063193672.4299999</v>
      </c>
      <c r="D306" s="8">
        <f>SUMPRODUCT(N(Tabela3[PAPEL]=Tabela2[[#This Row],[Ativo]]),Tabela3[Total Ações])</f>
        <v>167343887</v>
      </c>
      <c r="E306" s="65">
        <f>(Tabela2[[#This Row],[Lucro Líquido]])/Tabela2[[#This Row],[Total Ações]]</f>
        <v>6.3533463426124426</v>
      </c>
      <c r="F306" s="65">
        <v>6.6950414370000004</v>
      </c>
      <c r="G306" s="45">
        <f>IF(AND(Tabela2[[#This Row],[Dividendo / Ação]]&gt;0,Tabela2[[#This Row],[Lucro por ação]]&gt;0),Tabela2[[#This Row],[Dividendo / Ação]]/Tabela2[[#This Row],[Lucro por ação]],"")</f>
        <v>1.0537819089281784</v>
      </c>
      <c r="H306" s="6">
        <f>MAX(Tabela2[[#This Row],[Cotação 1]],Tabela2[[#This Row],[Cotação 2]])</f>
        <v>9.15</v>
      </c>
      <c r="I306" s="19">
        <f>IF(Tabela2[[#This Row],[Dividendo / Ação]]&gt;0,Tabela2[[#This Row],[Dividendo / Ação]]/Tabela2[[#This Row],[Cotação]],"")</f>
        <v>0.73169851770491801</v>
      </c>
      <c r="J306" s="60">
        <f>SUMPRODUCT(N(Tabela1[Código]=Tabela2[[#This Row],[Ativo]]),Tabela1[Fechamento])</f>
        <v>9.15</v>
      </c>
      <c r="K306" s="60">
        <f>SUMPRODUCT(N(Tabela17[Código]=Tabela2[[#This Row],[Ativo]]),Tabela17[Fechamento])</f>
        <v>0</v>
      </c>
      <c r="L306" s="60">
        <f>SUMPRODUCT(N(Tabela2[Ativo]=Tabela2[[#This Row],[Ativo]]),N(Tabela2[Exercício]=Tabela2[[#This Row],[Exercício]]-1),Tabela2[Lucro Líquido])</f>
        <v>0</v>
      </c>
      <c r="M306" s="19" t="str">
        <f>IF(Tabela2[[#This Row],[Lucro Anterior]]=0,"",IF(Tabela2[[#This Row],[Lucro Líquido]]&gt;0,Tabela2[[#This Row],[Lucro Líquido]]/Tabela2[[#This Row],[Lucro Anterior]]-1,0))</f>
        <v/>
      </c>
    </row>
    <row r="307" spans="1:13" x14ac:dyDescent="0.2">
      <c r="A307" s="4" t="s">
        <v>185</v>
      </c>
      <c r="B307" s="4">
        <v>2012</v>
      </c>
      <c r="C307" s="6"/>
      <c r="D307" s="8">
        <f>SUMPRODUCT(N(Tabela3[PAPEL]=Tabela2[[#This Row],[Ativo]]),Tabela3[Total Ações])</f>
        <v>36947084</v>
      </c>
      <c r="E307" s="65">
        <f>(Tabela2[[#This Row],[Lucro Líquido]])/Tabela2[[#This Row],[Total Ações]]</f>
        <v>0</v>
      </c>
      <c r="F307" s="65">
        <v>0</v>
      </c>
      <c r="G307" s="45" t="str">
        <f>IF(AND(Tabela2[[#This Row],[Dividendo / Ação]]&gt;0,Tabela2[[#This Row],[Lucro por ação]]&gt;0),Tabela2[[#This Row],[Dividendo / Ação]]/Tabela2[[#This Row],[Lucro por ação]],"")</f>
        <v/>
      </c>
      <c r="H307" s="6">
        <f>MAX(Tabela2[[#This Row],[Cotação 1]],Tabela2[[#This Row],[Cotação 2]])</f>
        <v>5.67</v>
      </c>
      <c r="I307" s="19" t="str">
        <f>IF(Tabela2[[#This Row],[Dividendo / Ação]]&gt;0,Tabela2[[#This Row],[Dividendo / Ação]]/Tabela2[[#This Row],[Cotação]],"")</f>
        <v/>
      </c>
      <c r="J307" s="60">
        <f>SUMPRODUCT(N(Tabela1[Código]=Tabela2[[#This Row],[Ativo]]),Tabela1[Fechamento])</f>
        <v>5.67</v>
      </c>
      <c r="K307" s="60">
        <f>SUMPRODUCT(N(Tabela17[Código]=Tabela2[[#This Row],[Ativo]]),Tabela17[Fechamento])</f>
        <v>0</v>
      </c>
      <c r="L307" s="60">
        <f>SUMPRODUCT(N(Tabela2[Ativo]=Tabela2[[#This Row],[Ativo]]),N(Tabela2[Exercício]=Tabela2[[#This Row],[Exercício]]-1),Tabela2[Lucro Líquido])</f>
        <v>0</v>
      </c>
      <c r="M307" s="19" t="str">
        <f>IF(Tabela2[[#This Row],[Lucro Anterior]]=0,"",IF(Tabela2[[#This Row],[Lucro Líquido]]&gt;0,Tabela2[[#This Row],[Lucro Líquido]]/Tabela2[[#This Row],[Lucro Anterior]]-1,0))</f>
        <v/>
      </c>
    </row>
    <row r="308" spans="1:13" x14ac:dyDescent="0.2">
      <c r="A308" s="4" t="s">
        <v>185</v>
      </c>
      <c r="B308" s="4">
        <v>2011</v>
      </c>
      <c r="C308" s="6"/>
      <c r="D308" s="8">
        <f>SUMPRODUCT(N(Tabela3[PAPEL]=Tabela2[[#This Row],[Ativo]]),Tabela3[Total Ações])</f>
        <v>36947084</v>
      </c>
      <c r="E308" s="65">
        <f>(Tabela2[[#This Row],[Lucro Líquido]])/Tabela2[[#This Row],[Total Ações]]</f>
        <v>0</v>
      </c>
      <c r="F308" s="65">
        <v>0</v>
      </c>
      <c r="G308" s="45" t="str">
        <f>IF(AND(Tabela2[[#This Row],[Dividendo / Ação]]&gt;0,Tabela2[[#This Row],[Lucro por ação]]&gt;0),Tabela2[[#This Row],[Dividendo / Ação]]/Tabela2[[#This Row],[Lucro por ação]],"")</f>
        <v/>
      </c>
      <c r="H308" s="6">
        <f>MAX(Tabela2[[#This Row],[Cotação 1]],Tabela2[[#This Row],[Cotação 2]])</f>
        <v>5.67</v>
      </c>
      <c r="I308" s="19" t="str">
        <f>IF(Tabela2[[#This Row],[Dividendo / Ação]]&gt;0,Tabela2[[#This Row],[Dividendo / Ação]]/Tabela2[[#This Row],[Cotação]],"")</f>
        <v/>
      </c>
      <c r="J308" s="60">
        <f>SUMPRODUCT(N(Tabela1[Código]=Tabela2[[#This Row],[Ativo]]),Tabela1[Fechamento])</f>
        <v>5.67</v>
      </c>
      <c r="K308" s="60">
        <f>SUMPRODUCT(N(Tabela17[Código]=Tabela2[[#This Row],[Ativo]]),Tabela17[Fechamento])</f>
        <v>0</v>
      </c>
      <c r="L308" s="60">
        <f>SUMPRODUCT(N(Tabela2[Ativo]=Tabela2[[#This Row],[Ativo]]),N(Tabela2[Exercício]=Tabela2[[#This Row],[Exercício]]-1),Tabela2[Lucro Líquido])</f>
        <v>13974263.699999999</v>
      </c>
      <c r="M308" s="19">
        <f>IF(Tabela2[[#This Row],[Lucro Anterior]]=0,"",IF(Tabela2[[#This Row],[Lucro Líquido]]&gt;0,Tabela2[[#This Row],[Lucro Líquido]]/Tabela2[[#This Row],[Lucro Anterior]]-1,0))</f>
        <v>0</v>
      </c>
    </row>
    <row r="309" spans="1:13" x14ac:dyDescent="0.2">
      <c r="A309" s="4" t="s">
        <v>185</v>
      </c>
      <c r="B309" s="4">
        <v>2010</v>
      </c>
      <c r="C309" s="6">
        <v>13974263.699999999</v>
      </c>
      <c r="D309" s="8">
        <f>SUMPRODUCT(N(Tabela3[PAPEL]=Tabela2[[#This Row],[Ativo]]),Tabela3[Total Ações])</f>
        <v>36947084</v>
      </c>
      <c r="E309" s="65">
        <f>(Tabela2[[#This Row],[Lucro Líquido]])/Tabela2[[#This Row],[Total Ações]]</f>
        <v>0.37822372396154452</v>
      </c>
      <c r="F309" s="65">
        <v>8.7654448199999999E-2</v>
      </c>
      <c r="G309" s="45">
        <f>IF(AND(Tabela2[[#This Row],[Dividendo / Ação]]&gt;0,Tabela2[[#This Row],[Lucro por ação]]&gt;0),Tabela2[[#This Row],[Dividendo / Ação]]/Tabela2[[#This Row],[Lucro por ação]],"")</f>
        <v>0.23175290878610291</v>
      </c>
      <c r="H309" s="6">
        <f>MAX(Tabela2[[#This Row],[Cotação 1]],Tabela2[[#This Row],[Cotação 2]])</f>
        <v>5.67</v>
      </c>
      <c r="I309" s="19">
        <f>IF(Tabela2[[#This Row],[Dividendo / Ação]]&gt;0,Tabela2[[#This Row],[Dividendo / Ação]]/Tabela2[[#This Row],[Cotação]],"")</f>
        <v>1.5459338306878307E-2</v>
      </c>
      <c r="J309" s="60">
        <f>SUMPRODUCT(N(Tabela1[Código]=Tabela2[[#This Row],[Ativo]]),Tabela1[Fechamento])</f>
        <v>5.67</v>
      </c>
      <c r="K309" s="60">
        <f>SUMPRODUCT(N(Tabela17[Código]=Tabela2[[#This Row],[Ativo]]),Tabela17[Fechamento])</f>
        <v>0</v>
      </c>
      <c r="L309" s="60">
        <f>SUMPRODUCT(N(Tabela2[Ativo]=Tabela2[[#This Row],[Ativo]]),N(Tabela2[Exercício]=Tabela2[[#This Row],[Exercício]]-1),Tabela2[Lucro Líquido])</f>
        <v>-7526000</v>
      </c>
      <c r="M309" s="19">
        <f>IF(Tabela2[[#This Row],[Lucro Anterior]]=0,"",IF(Tabela2[[#This Row],[Lucro Líquido]]&gt;0,Tabela2[[#This Row],[Lucro Líquido]]/Tabela2[[#This Row],[Lucro Anterior]]-1,0))</f>
        <v>-2.8567982593675261</v>
      </c>
    </row>
    <row r="310" spans="1:13" x14ac:dyDescent="0.2">
      <c r="A310" s="4" t="s">
        <v>185</v>
      </c>
      <c r="B310" s="4">
        <v>2009</v>
      </c>
      <c r="C310" s="6">
        <v>-7526000</v>
      </c>
      <c r="D310" s="8">
        <f>SUMPRODUCT(N(Tabela3[PAPEL]=Tabela2[[#This Row],[Ativo]]),Tabela3[Total Ações])</f>
        <v>36947084</v>
      </c>
      <c r="E310" s="65">
        <f>(Tabela2[[#This Row],[Lucro Líquido]])/Tabela2[[#This Row],[Total Ações]]</f>
        <v>-0.20369672475370451</v>
      </c>
      <c r="F310" s="65">
        <v>0</v>
      </c>
      <c r="G310" s="45" t="str">
        <f>IF(AND(Tabela2[[#This Row],[Dividendo / Ação]]&gt;0,Tabela2[[#This Row],[Lucro por ação]]&gt;0),Tabela2[[#This Row],[Dividendo / Ação]]/Tabela2[[#This Row],[Lucro por ação]],"")</f>
        <v/>
      </c>
      <c r="H310" s="6">
        <f>MAX(Tabela2[[#This Row],[Cotação 1]],Tabela2[[#This Row],[Cotação 2]])</f>
        <v>5.67</v>
      </c>
      <c r="I310" s="19" t="str">
        <f>IF(Tabela2[[#This Row],[Dividendo / Ação]]&gt;0,Tabela2[[#This Row],[Dividendo / Ação]]/Tabela2[[#This Row],[Cotação]],"")</f>
        <v/>
      </c>
      <c r="J310" s="60">
        <f>SUMPRODUCT(N(Tabela1[Código]=Tabela2[[#This Row],[Ativo]]),Tabela1[Fechamento])</f>
        <v>5.67</v>
      </c>
      <c r="K310" s="60">
        <f>SUMPRODUCT(N(Tabela17[Código]=Tabela2[[#This Row],[Ativo]]),Tabela17[Fechamento])</f>
        <v>0</v>
      </c>
      <c r="L310" s="60">
        <f>SUMPRODUCT(N(Tabela2[Ativo]=Tabela2[[#This Row],[Ativo]]),N(Tabela2[Exercício]=Tabela2[[#This Row],[Exercício]]-1),Tabela2[Lucro Líquido])</f>
        <v>-170585000</v>
      </c>
      <c r="M310" s="19">
        <f>IF(Tabela2[[#This Row],[Lucro Anterior]]=0,"",IF(Tabela2[[#This Row],[Lucro Líquido]]&gt;0,Tabela2[[#This Row],[Lucro Líquido]]/Tabela2[[#This Row],[Lucro Anterior]]-1,0))</f>
        <v>0</v>
      </c>
    </row>
    <row r="311" spans="1:13" x14ac:dyDescent="0.2">
      <c r="A311" s="4" t="s">
        <v>185</v>
      </c>
      <c r="B311" s="4">
        <v>2008</v>
      </c>
      <c r="C311" s="6">
        <v>-170585000</v>
      </c>
      <c r="D311" s="8">
        <f>SUMPRODUCT(N(Tabela3[PAPEL]=Tabela2[[#This Row],[Ativo]]),Tabela3[Total Ações])</f>
        <v>36947084</v>
      </c>
      <c r="E311" s="65">
        <f>(Tabela2[[#This Row],[Lucro Líquido]])/Tabela2[[#This Row],[Total Ações]]</f>
        <v>-4.6170084762304926</v>
      </c>
      <c r="F311" s="65">
        <v>0.36506361199999998</v>
      </c>
      <c r="G311" s="45" t="str">
        <f>IF(AND(Tabela2[[#This Row],[Dividendo / Ação]]&gt;0,Tabela2[[#This Row],[Lucro por ação]]&gt;0),Tabela2[[#This Row],[Dividendo / Ação]]/Tabela2[[#This Row],[Lucro por ação]],"")</f>
        <v/>
      </c>
      <c r="H311" s="6">
        <f>MAX(Tabela2[[#This Row],[Cotação 1]],Tabela2[[#This Row],[Cotação 2]])</f>
        <v>5.67</v>
      </c>
      <c r="I311" s="19">
        <f>IF(Tabela2[[#This Row],[Dividendo / Ação]]&gt;0,Tabela2[[#This Row],[Dividendo / Ação]]/Tabela2[[#This Row],[Cotação]],"")</f>
        <v>6.4385116754850091E-2</v>
      </c>
      <c r="J311" s="60">
        <f>SUMPRODUCT(N(Tabela1[Código]=Tabela2[[#This Row],[Ativo]]),Tabela1[Fechamento])</f>
        <v>5.67</v>
      </c>
      <c r="K311" s="60">
        <f>SUMPRODUCT(N(Tabela17[Código]=Tabela2[[#This Row],[Ativo]]),Tabela17[Fechamento])</f>
        <v>0</v>
      </c>
      <c r="L311" s="60">
        <f>SUMPRODUCT(N(Tabela2[Ativo]=Tabela2[[#This Row],[Ativo]]),N(Tabela2[Exercício]=Tabela2[[#This Row],[Exercício]]-1),Tabela2[Lucro Líquido])</f>
        <v>0</v>
      </c>
      <c r="M311" s="19" t="str">
        <f>IF(Tabela2[[#This Row],[Lucro Anterior]]=0,"",IF(Tabela2[[#This Row],[Lucro Líquido]]&gt;0,Tabela2[[#This Row],[Lucro Líquido]]/Tabela2[[#This Row],[Lucro Anterior]]-1,0))</f>
        <v/>
      </c>
    </row>
    <row r="312" spans="1:13" x14ac:dyDescent="0.2">
      <c r="A312" s="4" t="s">
        <v>28</v>
      </c>
      <c r="B312" s="4">
        <v>2012</v>
      </c>
      <c r="C312" s="6">
        <v>341644899.63</v>
      </c>
      <c r="D312" s="8">
        <f>SUMPRODUCT(N(Tabela3[PAPEL]=Tabela2[[#This Row],[Ativo]]),Tabela3[Total Ações])</f>
        <v>476415612</v>
      </c>
      <c r="E312" s="65">
        <f>(Tabela2[[#This Row],[Lucro Líquido]])/Tabela2[[#This Row],[Total Ações]]</f>
        <v>0.71711524774717084</v>
      </c>
      <c r="F312" s="65">
        <v>0.77853000000000006</v>
      </c>
      <c r="G312" s="45">
        <f>IF(AND(Tabela2[[#This Row],[Dividendo / Ação]]&gt;0,Tabela2[[#This Row],[Lucro por ação]]&gt;0),Tabela2[[#This Row],[Dividendo / Ação]]/Tabela2[[#This Row],[Lucro por ação]],"")</f>
        <v>1.0856413978726078</v>
      </c>
      <c r="H312" s="6">
        <f>MAX(Tabela2[[#This Row],[Cotação 1]],Tabela2[[#This Row],[Cotação 2]])</f>
        <v>10.25</v>
      </c>
      <c r="I312" s="19">
        <f>IF(Tabela2[[#This Row],[Dividendo / Ação]]&gt;0,Tabela2[[#This Row],[Dividendo / Ação]]/Tabela2[[#This Row],[Cotação]],"")</f>
        <v>7.5954146341463413E-2</v>
      </c>
      <c r="J312" s="60">
        <f>SUMPRODUCT(N(Tabela1[Código]=Tabela2[[#This Row],[Ativo]]),Tabela1[Fechamento])</f>
        <v>10.25</v>
      </c>
      <c r="K312" s="60">
        <f>SUMPRODUCT(N(Tabela17[Código]=Tabela2[[#This Row],[Ativo]]),Tabela17[Fechamento])</f>
        <v>0</v>
      </c>
      <c r="L312" s="60">
        <f>SUMPRODUCT(N(Tabela2[Ativo]=Tabela2[[#This Row],[Ativo]]),N(Tabela2[Exercício]=Tabela2[[#This Row],[Exercício]]-1),Tabela2[Lucro Líquido])</f>
        <v>491579920.89999998</v>
      </c>
      <c r="M312" s="19">
        <f>IF(Tabela2[[#This Row],[Lucro Anterior]]=0,"",IF(Tabela2[[#This Row],[Lucro Líquido]]&gt;0,Tabela2[[#This Row],[Lucro Líquido]]/Tabela2[[#This Row],[Lucro Anterior]]-1,0))</f>
        <v>-0.30500639854348455</v>
      </c>
    </row>
    <row r="313" spans="1:13" x14ac:dyDescent="0.2">
      <c r="A313" s="4" t="s">
        <v>28</v>
      </c>
      <c r="B313" s="4">
        <v>2011</v>
      </c>
      <c r="C313" s="6">
        <v>491579920.89999998</v>
      </c>
      <c r="D313" s="8">
        <f>SUMPRODUCT(N(Tabela3[PAPEL]=Tabela2[[#This Row],[Ativo]]),Tabela3[Total Ações])</f>
        <v>476415612</v>
      </c>
      <c r="E313" s="65">
        <f>(Tabela2[[#This Row],[Lucro Líquido]])/Tabela2[[#This Row],[Total Ações]]</f>
        <v>1.0318299999371137</v>
      </c>
      <c r="F313" s="65">
        <v>2.3355890000000001</v>
      </c>
      <c r="G313" s="45">
        <f>IF(AND(Tabela2[[#This Row],[Dividendo / Ação]]&gt;0,Tabela2[[#This Row],[Lucro por ação]]&gt;0),Tabela2[[#This Row],[Dividendo / Ação]]/Tabela2[[#This Row],[Lucro por ação]],"")</f>
        <v>2.2635405058414135</v>
      </c>
      <c r="H313" s="6">
        <f>MAX(Tabela2[[#This Row],[Cotação 1]],Tabela2[[#This Row],[Cotação 2]])</f>
        <v>10.25</v>
      </c>
      <c r="I313" s="19">
        <f>IF(Tabela2[[#This Row],[Dividendo / Ação]]&gt;0,Tabela2[[#This Row],[Dividendo / Ação]]/Tabela2[[#This Row],[Cotação]],"")</f>
        <v>0.22786234146341464</v>
      </c>
      <c r="J313" s="60">
        <f>SUMPRODUCT(N(Tabela1[Código]=Tabela2[[#This Row],[Ativo]]),Tabela1[Fechamento])</f>
        <v>10.25</v>
      </c>
      <c r="K313" s="60">
        <f>SUMPRODUCT(N(Tabela17[Código]=Tabela2[[#This Row],[Ativo]]),Tabela17[Fechamento])</f>
        <v>0</v>
      </c>
      <c r="L313" s="60">
        <f>SUMPRODUCT(N(Tabela2[Ativo]=Tabela2[[#This Row],[Ativo]]),N(Tabela2[Exercício]=Tabela2[[#This Row],[Exercício]]-1),Tabela2[Lucro Líquido])</f>
        <v>588911630.5</v>
      </c>
      <c r="M313" s="19">
        <f>IF(Tabela2[[#This Row],[Lucro Anterior]]=0,"",IF(Tabela2[[#This Row],[Lucro Líquido]]&gt;0,Tabela2[[#This Row],[Lucro Líquido]]/Tabela2[[#This Row],[Lucro Anterior]]-1,0))</f>
        <v>-0.1652738790663093</v>
      </c>
    </row>
    <row r="314" spans="1:13" x14ac:dyDescent="0.2">
      <c r="A314" s="4" t="s">
        <v>28</v>
      </c>
      <c r="B314" s="4">
        <v>2010</v>
      </c>
      <c r="C314" s="6">
        <v>588911630.5</v>
      </c>
      <c r="D314" s="8">
        <f>SUMPRODUCT(N(Tabela3[PAPEL]=Tabela2[[#This Row],[Ativo]]),Tabela3[Total Ações])</f>
        <v>476415612</v>
      </c>
      <c r="E314" s="65">
        <f>(Tabela2[[#This Row],[Lucro Líquido]])/Tabela2[[#This Row],[Total Ações]]</f>
        <v>1.2361300000806859</v>
      </c>
      <c r="F314" s="65">
        <v>2.22437</v>
      </c>
      <c r="G314" s="45">
        <f>IF(AND(Tabela2[[#This Row],[Dividendo / Ação]]&gt;0,Tabela2[[#This Row],[Lucro por ação]]&gt;0),Tabela2[[#This Row],[Dividendo / Ação]]/Tabela2[[#This Row],[Lucro por ação]],"")</f>
        <v>1.7994628395515107</v>
      </c>
      <c r="H314" s="6">
        <f>MAX(Tabela2[[#This Row],[Cotação 1]],Tabela2[[#This Row],[Cotação 2]])</f>
        <v>10.25</v>
      </c>
      <c r="I314" s="19">
        <f>IF(Tabela2[[#This Row],[Dividendo / Ação]]&gt;0,Tabela2[[#This Row],[Dividendo / Ação]]/Tabela2[[#This Row],[Cotação]],"")</f>
        <v>0.21701170731707317</v>
      </c>
      <c r="J314" s="60">
        <f>SUMPRODUCT(N(Tabela1[Código]=Tabela2[[#This Row],[Ativo]]),Tabela1[Fechamento])</f>
        <v>10.25</v>
      </c>
      <c r="K314" s="60">
        <f>SUMPRODUCT(N(Tabela17[Código]=Tabela2[[#This Row],[Ativo]]),Tabela17[Fechamento])</f>
        <v>0</v>
      </c>
      <c r="L314" s="60">
        <f>SUMPRODUCT(N(Tabela2[Ativo]=Tabela2[[#This Row],[Ativo]]),N(Tabela2[Exercício]=Tabela2[[#This Row],[Exercício]]-1),Tabela2[Lucro Líquido])</f>
        <v>695571557.70000005</v>
      </c>
      <c r="M314" s="19">
        <f>IF(Tabela2[[#This Row],[Lucro Anterior]]=0,"",IF(Tabela2[[#This Row],[Lucro Líquido]]&gt;0,Tabela2[[#This Row],[Lucro Líquido]]/Tabela2[[#This Row],[Lucro Anterior]]-1,0))</f>
        <v>-0.15334141544356028</v>
      </c>
    </row>
    <row r="315" spans="1:13" x14ac:dyDescent="0.2">
      <c r="A315" s="4" t="s">
        <v>28</v>
      </c>
      <c r="B315" s="4">
        <v>2009</v>
      </c>
      <c r="C315" s="6">
        <v>695571557.70000005</v>
      </c>
      <c r="D315" s="8">
        <f>SUMPRODUCT(N(Tabela3[PAPEL]=Tabela2[[#This Row],[Ativo]]),Tabela3[Total Ações])</f>
        <v>476415612</v>
      </c>
      <c r="E315" s="65">
        <f>(Tabela2[[#This Row],[Lucro Líquido]])/Tabela2[[#This Row],[Total Ações]]</f>
        <v>1.4600100000501244</v>
      </c>
      <c r="F315" s="65">
        <v>1.869219</v>
      </c>
      <c r="G315" s="45">
        <f>IF(AND(Tabela2[[#This Row],[Dividendo / Ação]]&gt;0,Tabela2[[#This Row],[Lucro por ação]]&gt;0),Tabela2[[#This Row],[Dividendo / Ação]]/Tabela2[[#This Row],[Lucro por ação]],"")</f>
        <v>1.2802782172285305</v>
      </c>
      <c r="H315" s="6">
        <f>MAX(Tabela2[[#This Row],[Cotação 1]],Tabela2[[#This Row],[Cotação 2]])</f>
        <v>10.25</v>
      </c>
      <c r="I315" s="19">
        <f>IF(Tabela2[[#This Row],[Dividendo / Ação]]&gt;0,Tabela2[[#This Row],[Dividendo / Ação]]/Tabela2[[#This Row],[Cotação]],"")</f>
        <v>0.18236282926829267</v>
      </c>
      <c r="J315" s="60">
        <f>SUMPRODUCT(N(Tabela1[Código]=Tabela2[[#This Row],[Ativo]]),Tabela1[Fechamento])</f>
        <v>10.25</v>
      </c>
      <c r="K315" s="60">
        <f>SUMPRODUCT(N(Tabela17[Código]=Tabela2[[#This Row],[Ativo]]),Tabela17[Fechamento])</f>
        <v>0</v>
      </c>
      <c r="L315" s="60">
        <f>SUMPRODUCT(N(Tabela2[Ativo]=Tabela2[[#This Row],[Ativo]]),N(Tabela2[Exercício]=Tabela2[[#This Row],[Exercício]]-1),Tabela2[Lucro Líquido])</f>
        <v>0</v>
      </c>
      <c r="M315" s="19" t="str">
        <f>IF(Tabela2[[#This Row],[Lucro Anterior]]=0,"",IF(Tabela2[[#This Row],[Lucro Líquido]]&gt;0,Tabela2[[#This Row],[Lucro Líquido]]/Tabela2[[#This Row],[Lucro Anterior]]-1,0))</f>
        <v/>
      </c>
    </row>
    <row r="316" spans="1:13" x14ac:dyDescent="0.2">
      <c r="A316" s="4" t="s">
        <v>89</v>
      </c>
      <c r="B316" s="4">
        <v>2012</v>
      </c>
      <c r="C316" s="6">
        <v>290441196.88</v>
      </c>
      <c r="D316" s="8">
        <f>SUMPRODUCT(N(Tabela3[PAPEL]=Tabela2[[#This Row],[Ativo]]),Tabela3[Total Ações])</f>
        <v>1245690889</v>
      </c>
      <c r="E316" s="63">
        <f>(Tabela2[[#This Row],[Lucro Líquido]])/Tabela2[[#This Row],[Total Ações]]</f>
        <v>0.23315671603984894</v>
      </c>
      <c r="F316" s="63">
        <v>0.79500000000000004</v>
      </c>
      <c r="G316" s="19">
        <f>IF(AND(Tabela2[[#This Row],[Dividendo / Ação]]&gt;0,Tabela2[[#This Row],[Lucro por ação]]&gt;0),Tabela2[[#This Row],[Dividendo / Ação]]/Tabela2[[#This Row],[Lucro por ação]],"")</f>
        <v>3.4097237836551368</v>
      </c>
      <c r="H316" s="6">
        <f>MAX(Tabela2[[#This Row],[Cotação 1]],Tabela2[[#This Row],[Cotação 2]])</f>
        <v>12.4</v>
      </c>
      <c r="I316" s="18">
        <f>IF(Tabela2[[#This Row],[Dividendo / Ação]]&gt;0,Tabela2[[#This Row],[Dividendo / Ação]]/Tabela2[[#This Row],[Cotação]],"")</f>
        <v>6.4112903225806456E-2</v>
      </c>
      <c r="J316" s="59">
        <f>SUMPRODUCT(N(Tabela1[Código]=Tabela2[[#This Row],[Ativo]]),Tabela1[Fechamento])</f>
        <v>12.4</v>
      </c>
      <c r="K316" s="59">
        <f>SUMPRODUCT(N(Tabela17[Código]=Tabela2[[#This Row],[Ativo]]),Tabela17[Fechamento])</f>
        <v>0</v>
      </c>
      <c r="L316" s="59">
        <f>SUMPRODUCT(N(Tabela2[Ativo]=Tabela2[[#This Row],[Ativo]]),N(Tabela2[Exercício]=Tabela2[[#This Row],[Exercício]]-1),Tabela2[Lucro Líquido])</f>
        <v>212054242.16999999</v>
      </c>
      <c r="M316" s="18">
        <f>IF(Tabela2[[#This Row],[Lucro Anterior]]=0,"",IF(Tabela2[[#This Row],[Lucro Líquido]]&gt;0,Tabela2[[#This Row],[Lucro Líquido]]/Tabela2[[#This Row],[Lucro Anterior]]-1,0))</f>
        <v>0.36965520664830009</v>
      </c>
    </row>
    <row r="317" spans="1:13" x14ac:dyDescent="0.2">
      <c r="A317" s="4" t="s">
        <v>89</v>
      </c>
      <c r="B317" s="4">
        <v>2011</v>
      </c>
      <c r="C317" s="5">
        <v>212054242.16999999</v>
      </c>
      <c r="D317" s="8">
        <f>SUMPRODUCT(N(Tabela3[PAPEL]=Tabela2[[#This Row],[Ativo]]),Tabela3[Total Ações])</f>
        <v>1245690889</v>
      </c>
      <c r="E317" s="63">
        <f>(Tabela2[[#This Row],[Lucro Líquido]])/Tabela2[[#This Row],[Total Ações]]</f>
        <v>0.17023022648919767</v>
      </c>
      <c r="F317" s="63">
        <v>9.6000000000000002E-2</v>
      </c>
      <c r="G317" s="19">
        <f>IF(AND(Tabela2[[#This Row],[Dividendo / Ação]]&gt;0,Tabela2[[#This Row],[Lucro por ação]]&gt;0),Tabela2[[#This Row],[Dividendo / Ação]]/Tabela2[[#This Row],[Lucro por ação]],"")</f>
        <v>0.56394215046228524</v>
      </c>
      <c r="H317" s="6">
        <f>MAX(Tabela2[[#This Row],[Cotação 1]],Tabela2[[#This Row],[Cotação 2]])</f>
        <v>12.4</v>
      </c>
      <c r="I317" s="18">
        <f>IF(Tabela2[[#This Row],[Dividendo / Ação]]&gt;0,Tabela2[[#This Row],[Dividendo / Ação]]/Tabela2[[#This Row],[Cotação]],"")</f>
        <v>7.7419354838709677E-3</v>
      </c>
      <c r="J317" s="59">
        <f>SUMPRODUCT(N(Tabela1[Código]=Tabela2[[#This Row],[Ativo]]),Tabela1[Fechamento])</f>
        <v>12.4</v>
      </c>
      <c r="K317" s="59">
        <f>SUMPRODUCT(N(Tabela17[Código]=Tabela2[[#This Row],[Ativo]]),Tabela17[Fechamento])</f>
        <v>0</v>
      </c>
      <c r="L317" s="59">
        <f>SUMPRODUCT(N(Tabela2[Ativo]=Tabela2[[#This Row],[Ativo]]),N(Tabela2[Exercício]=Tabela2[[#This Row],[Exercício]]-1),Tabela2[Lucro Líquido])</f>
        <v>194647783.53</v>
      </c>
      <c r="M317" s="18">
        <f>IF(Tabela2[[#This Row],[Lucro Anterior]]=0,"",IF(Tabela2[[#This Row],[Lucro Líquido]]&gt;0,Tabela2[[#This Row],[Lucro Líquido]]/Tabela2[[#This Row],[Lucro Anterior]]-1,0))</f>
        <v>8.9425414070113174E-2</v>
      </c>
    </row>
    <row r="318" spans="1:13" x14ac:dyDescent="0.2">
      <c r="A318" s="4" t="s">
        <v>89</v>
      </c>
      <c r="B318" s="4">
        <v>2010</v>
      </c>
      <c r="C318" s="5">
        <v>194647783.53</v>
      </c>
      <c r="D318" s="8">
        <f>SUMPRODUCT(N(Tabela3[PAPEL]=Tabela2[[#This Row],[Ativo]]),Tabela3[Total Ações])</f>
        <v>1245690889</v>
      </c>
      <c r="E318" s="63">
        <f>(Tabela2[[#This Row],[Lucro Líquido]])/Tabela2[[#This Row],[Total Ações]]</f>
        <v>0.15625688944892011</v>
      </c>
      <c r="F318" s="63">
        <v>8.8999999999999996E-2</v>
      </c>
      <c r="G318" s="19">
        <f>IF(AND(Tabela2[[#This Row],[Dividendo / Ação]]&gt;0,Tabela2[[#This Row],[Lucro por ação]]&gt;0),Tabela2[[#This Row],[Dividendo / Ação]]/Tabela2[[#This Row],[Lucro por ação]],"")</f>
        <v>0.56957488603466555</v>
      </c>
      <c r="H318" s="6">
        <f>MAX(Tabela2[[#This Row],[Cotação 1]],Tabela2[[#This Row],[Cotação 2]])</f>
        <v>12.4</v>
      </c>
      <c r="I318" s="18">
        <f>IF(Tabela2[[#This Row],[Dividendo / Ação]]&gt;0,Tabela2[[#This Row],[Dividendo / Ação]]/Tabela2[[#This Row],[Cotação]],"")</f>
        <v>7.1774193548387087E-3</v>
      </c>
      <c r="J318" s="59">
        <f>SUMPRODUCT(N(Tabela1[Código]=Tabela2[[#This Row],[Ativo]]),Tabela1[Fechamento])</f>
        <v>12.4</v>
      </c>
      <c r="K318" s="59">
        <f>SUMPRODUCT(N(Tabela17[Código]=Tabela2[[#This Row],[Ativo]]),Tabela17[Fechamento])</f>
        <v>0</v>
      </c>
      <c r="L318" s="59">
        <f>SUMPRODUCT(N(Tabela2[Ativo]=Tabela2[[#This Row],[Ativo]]),N(Tabela2[Exercício]=Tabela2[[#This Row],[Exercício]]-1),Tabela2[Lucro Líquido])</f>
        <v>276855137.25</v>
      </c>
      <c r="M318" s="18">
        <f>IF(Tabela2[[#This Row],[Lucro Anterior]]=0,"",IF(Tabela2[[#This Row],[Lucro Líquido]]&gt;0,Tabela2[[#This Row],[Lucro Líquido]]/Tabela2[[#This Row],[Lucro Anterior]]-1,0))</f>
        <v>-0.29693273723061464</v>
      </c>
    </row>
    <row r="319" spans="1:13" x14ac:dyDescent="0.2">
      <c r="A319" s="4" t="s">
        <v>89</v>
      </c>
      <c r="B319" s="4">
        <v>2009</v>
      </c>
      <c r="C319" s="5">
        <v>276855137.25</v>
      </c>
      <c r="D319" s="8">
        <f>SUMPRODUCT(N(Tabela3[PAPEL]=Tabela2[[#This Row],[Ativo]]),Tabela3[Total Ações])</f>
        <v>1245690889</v>
      </c>
      <c r="E319" s="63">
        <f>(Tabela2[[#This Row],[Lucro Líquido]])/Tabela2[[#This Row],[Total Ações]]</f>
        <v>0.22225027066887379</v>
      </c>
      <c r="F319" s="63">
        <v>0.113</v>
      </c>
      <c r="G319" s="19">
        <f>IF(AND(Tabela2[[#This Row],[Dividendo / Ação]]&gt;0,Tabela2[[#This Row],[Lucro por ação]]&gt;0),Tabela2[[#This Row],[Dividendo / Ação]]/Tabela2[[#This Row],[Lucro por ação]],"")</f>
        <v>0.50843582624183359</v>
      </c>
      <c r="H319" s="6">
        <f>MAX(Tabela2[[#This Row],[Cotação 1]],Tabela2[[#This Row],[Cotação 2]])</f>
        <v>12.4</v>
      </c>
      <c r="I319" s="18">
        <f>IF(Tabela2[[#This Row],[Dividendo / Ação]]&gt;0,Tabela2[[#This Row],[Dividendo / Ação]]/Tabela2[[#This Row],[Cotação]],"")</f>
        <v>9.112903225806452E-3</v>
      </c>
      <c r="J319" s="59">
        <f>SUMPRODUCT(N(Tabela1[Código]=Tabela2[[#This Row],[Ativo]]),Tabela1[Fechamento])</f>
        <v>12.4</v>
      </c>
      <c r="K319" s="59">
        <f>SUMPRODUCT(N(Tabela17[Código]=Tabela2[[#This Row],[Ativo]]),Tabela17[Fechamento])</f>
        <v>0</v>
      </c>
      <c r="L319" s="59">
        <f>SUMPRODUCT(N(Tabela2[Ativo]=Tabela2[[#This Row],[Ativo]]),N(Tabela2[Exercício]=Tabela2[[#This Row],[Exercício]]-1),Tabela2[Lucro Líquido])</f>
        <v>0</v>
      </c>
      <c r="M319" s="18" t="str">
        <f>IF(Tabela2[[#This Row],[Lucro Anterior]]=0,"",IF(Tabela2[[#This Row],[Lucro Líquido]]&gt;0,Tabela2[[#This Row],[Lucro Líquido]]/Tabela2[[#This Row],[Lucro Anterior]]-1,0))</f>
        <v/>
      </c>
    </row>
    <row r="320" spans="1:13" x14ac:dyDescent="0.2">
      <c r="A320" s="4" t="s">
        <v>187</v>
      </c>
      <c r="B320" s="3">
        <v>2012</v>
      </c>
      <c r="C320" s="6">
        <v>290441196.88</v>
      </c>
      <c r="D320" s="61">
        <f>SUMPRODUCT(N(Tabela3[PAPEL]=Tabela2[[#This Row],[Ativo]]),Tabela3[Total Ações])</f>
        <v>1245690889</v>
      </c>
      <c r="E320" s="62">
        <f>(Tabela2[[#This Row],[Lucro Líquido]])/Tabela2[[#This Row],[Total Ações]]</f>
        <v>0.23315671603984894</v>
      </c>
      <c r="F320" s="62">
        <v>0.159</v>
      </c>
      <c r="G320" s="18">
        <f>IF(AND(Tabela2[[#This Row],[Dividendo / Ação]]&gt;0,Tabela2[[#This Row],[Lucro por ação]]&gt;0),Tabela2[[#This Row],[Dividendo / Ação]]/Tabela2[[#This Row],[Lucro por ação]],"")</f>
        <v>0.68194475673102728</v>
      </c>
      <c r="H320" s="5">
        <f>MAX(Tabela2[[#This Row],[Cotação 1]],Tabela2[[#This Row],[Cotação 2]])</f>
        <v>3.4</v>
      </c>
      <c r="I320" s="18">
        <f>IF(Tabela2[[#This Row],[Dividendo / Ação]]&gt;0,Tabela2[[#This Row],[Dividendo / Ação]]/Tabela2[[#This Row],[Cotação]],"")</f>
        <v>4.6764705882352944E-2</v>
      </c>
      <c r="J320" s="59">
        <f>SUMPRODUCT(N(Tabela1[Código]=Tabela2[[#This Row],[Ativo]]),Tabela1[Fechamento])</f>
        <v>3.4</v>
      </c>
      <c r="K320" s="59">
        <f>SUMPRODUCT(N(Tabela17[Código]=Tabela2[[#This Row],[Ativo]]),Tabela17[Fechamento])</f>
        <v>0</v>
      </c>
      <c r="L320" s="59">
        <f>SUMPRODUCT(N(Tabela2[Ativo]=Tabela2[[#This Row],[Ativo]]),N(Tabela2[Exercício]=Tabela2[[#This Row],[Exercício]]-1),Tabela2[Lucro Líquido])</f>
        <v>212054242.16999999</v>
      </c>
      <c r="M320" s="18">
        <f>IF(Tabela2[[#This Row],[Lucro Anterior]]=0,"",IF(Tabela2[[#This Row],[Lucro Líquido]]&gt;0,Tabela2[[#This Row],[Lucro Líquido]]/Tabela2[[#This Row],[Lucro Anterior]]-1,0))</f>
        <v>0.36965520664830009</v>
      </c>
    </row>
    <row r="321" spans="1:13" x14ac:dyDescent="0.2">
      <c r="A321" s="4" t="s">
        <v>187</v>
      </c>
      <c r="B321" s="3">
        <v>2011</v>
      </c>
      <c r="C321" s="5">
        <v>212054242.16999999</v>
      </c>
      <c r="D321" s="61">
        <f>SUMPRODUCT(N(Tabela3[PAPEL]=Tabela2[[#This Row],[Ativo]]),Tabela3[Total Ações])</f>
        <v>1245690889</v>
      </c>
      <c r="E321" s="62">
        <f>(Tabela2[[#This Row],[Lucro Líquido]])/Tabela2[[#This Row],[Total Ações]]</f>
        <v>0.17023022648919767</v>
      </c>
      <c r="F321" s="63">
        <v>9.6000000000000002E-2</v>
      </c>
      <c r="G321" s="18">
        <f>IF(AND(Tabela2[[#This Row],[Dividendo / Ação]]&gt;0,Tabela2[[#This Row],[Lucro por ação]]&gt;0),Tabela2[[#This Row],[Dividendo / Ação]]/Tabela2[[#This Row],[Lucro por ação]],"")</f>
        <v>0.56394215046228524</v>
      </c>
      <c r="H321" s="5">
        <f>MAX(Tabela2[[#This Row],[Cotação 1]],Tabela2[[#This Row],[Cotação 2]])</f>
        <v>3.4</v>
      </c>
      <c r="I321" s="18">
        <f>IF(Tabela2[[#This Row],[Dividendo / Ação]]&gt;0,Tabela2[[#This Row],[Dividendo / Ação]]/Tabela2[[#This Row],[Cotação]],"")</f>
        <v>2.823529411764706E-2</v>
      </c>
      <c r="J321" s="59">
        <f>SUMPRODUCT(N(Tabela1[Código]=Tabela2[[#This Row],[Ativo]]),Tabela1[Fechamento])</f>
        <v>3.4</v>
      </c>
      <c r="K321" s="59">
        <f>SUMPRODUCT(N(Tabela17[Código]=Tabela2[[#This Row],[Ativo]]),Tabela17[Fechamento])</f>
        <v>0</v>
      </c>
      <c r="L321" s="59">
        <f>SUMPRODUCT(N(Tabela2[Ativo]=Tabela2[[#This Row],[Ativo]]),N(Tabela2[Exercício]=Tabela2[[#This Row],[Exercício]]-1),Tabela2[Lucro Líquido])</f>
        <v>194647783.53</v>
      </c>
      <c r="M321" s="18">
        <f>IF(Tabela2[[#This Row],[Lucro Anterior]]=0,"",IF(Tabela2[[#This Row],[Lucro Líquido]]&gt;0,Tabela2[[#This Row],[Lucro Líquido]]/Tabela2[[#This Row],[Lucro Anterior]]-1,0))</f>
        <v>8.9425414070113174E-2</v>
      </c>
    </row>
    <row r="322" spans="1:13" x14ac:dyDescent="0.2">
      <c r="A322" s="4" t="s">
        <v>187</v>
      </c>
      <c r="B322" s="4">
        <v>2010</v>
      </c>
      <c r="C322" s="5">
        <v>194647783.53</v>
      </c>
      <c r="D322" s="61">
        <f>SUMPRODUCT(N(Tabela3[PAPEL]=Tabela2[[#This Row],[Ativo]]),Tabela3[Total Ações])</f>
        <v>1245690889</v>
      </c>
      <c r="E322" s="62">
        <f>(Tabela2[[#This Row],[Lucro Líquido]])/Tabela2[[#This Row],[Total Ações]]</f>
        <v>0.15625688944892011</v>
      </c>
      <c r="F322" s="63">
        <v>8.8999999999999996E-2</v>
      </c>
      <c r="G322" s="18">
        <f>IF(AND(Tabela2[[#This Row],[Dividendo / Ação]]&gt;0,Tabela2[[#This Row],[Lucro por ação]]&gt;0),Tabela2[[#This Row],[Dividendo / Ação]]/Tabela2[[#This Row],[Lucro por ação]],"")</f>
        <v>0.56957488603466555</v>
      </c>
      <c r="H322" s="5">
        <f>MAX(Tabela2[[#This Row],[Cotação 1]],Tabela2[[#This Row],[Cotação 2]])</f>
        <v>3.4</v>
      </c>
      <c r="I322" s="18">
        <f>IF(Tabela2[[#This Row],[Dividendo / Ação]]&gt;0,Tabela2[[#This Row],[Dividendo / Ação]]/Tabela2[[#This Row],[Cotação]],"")</f>
        <v>2.6176470588235294E-2</v>
      </c>
      <c r="J322" s="59">
        <f>SUMPRODUCT(N(Tabela1[Código]=Tabela2[[#This Row],[Ativo]]),Tabela1[Fechamento])</f>
        <v>3.4</v>
      </c>
      <c r="K322" s="59">
        <f>SUMPRODUCT(N(Tabela17[Código]=Tabela2[[#This Row],[Ativo]]),Tabela17[Fechamento])</f>
        <v>0</v>
      </c>
      <c r="L322" s="59">
        <f>SUMPRODUCT(N(Tabela2[Ativo]=Tabela2[[#This Row],[Ativo]]),N(Tabela2[Exercício]=Tabela2[[#This Row],[Exercício]]-1),Tabela2[Lucro Líquido])</f>
        <v>276855137.25</v>
      </c>
      <c r="M322" s="18">
        <f>IF(Tabela2[[#This Row],[Lucro Anterior]]=0,"",IF(Tabela2[[#This Row],[Lucro Líquido]]&gt;0,Tabela2[[#This Row],[Lucro Líquido]]/Tabela2[[#This Row],[Lucro Anterior]]-1,0))</f>
        <v>-0.29693273723061464</v>
      </c>
    </row>
    <row r="323" spans="1:13" x14ac:dyDescent="0.2">
      <c r="A323" s="4" t="s">
        <v>187</v>
      </c>
      <c r="B323" s="4">
        <v>2009</v>
      </c>
      <c r="C323" s="5">
        <v>276855137.25</v>
      </c>
      <c r="D323" s="61">
        <f>SUMPRODUCT(N(Tabela3[PAPEL]=Tabela2[[#This Row],[Ativo]]),Tabela3[Total Ações])</f>
        <v>1245690889</v>
      </c>
      <c r="E323" s="62">
        <f>(Tabela2[[#This Row],[Lucro Líquido]])/Tabela2[[#This Row],[Total Ações]]</f>
        <v>0.22225027066887379</v>
      </c>
      <c r="F323" s="63">
        <v>0.113</v>
      </c>
      <c r="G323" s="18">
        <f>IF(AND(Tabela2[[#This Row],[Dividendo / Ação]]&gt;0,Tabela2[[#This Row],[Lucro por ação]]&gt;0),Tabela2[[#This Row],[Dividendo / Ação]]/Tabela2[[#This Row],[Lucro por ação]],"")</f>
        <v>0.50843582624183359</v>
      </c>
      <c r="H323" s="5">
        <f>MAX(Tabela2[[#This Row],[Cotação 1]],Tabela2[[#This Row],[Cotação 2]])</f>
        <v>3.4</v>
      </c>
      <c r="I323" s="18">
        <f>IF(Tabela2[[#This Row],[Dividendo / Ação]]&gt;0,Tabela2[[#This Row],[Dividendo / Ação]]/Tabela2[[#This Row],[Cotação]],"")</f>
        <v>3.3235294117647057E-2</v>
      </c>
      <c r="J323" s="59">
        <f>SUMPRODUCT(N(Tabela1[Código]=Tabela2[[#This Row],[Ativo]]),Tabela1[Fechamento])</f>
        <v>3.4</v>
      </c>
      <c r="K323" s="59">
        <f>SUMPRODUCT(N(Tabela17[Código]=Tabela2[[#This Row],[Ativo]]),Tabela17[Fechamento])</f>
        <v>0</v>
      </c>
      <c r="L323" s="59">
        <f>SUMPRODUCT(N(Tabela2[Ativo]=Tabela2[[#This Row],[Ativo]]),N(Tabela2[Exercício]=Tabela2[[#This Row],[Exercício]]-1),Tabela2[Lucro Líquido])</f>
        <v>0</v>
      </c>
      <c r="M323" s="18" t="str">
        <f>IF(Tabela2[[#This Row],[Lucro Anterior]]=0,"",IF(Tabela2[[#This Row],[Lucro Líquido]]&gt;0,Tabela2[[#This Row],[Lucro Líquido]]/Tabela2[[#This Row],[Lucro Anterior]]-1,0))</f>
        <v/>
      </c>
    </row>
    <row r="324" spans="1:13" x14ac:dyDescent="0.2">
      <c r="A324" s="4" t="s">
        <v>65</v>
      </c>
      <c r="B324" s="4">
        <v>2012</v>
      </c>
      <c r="C324" s="6">
        <v>290441196.88</v>
      </c>
      <c r="D324" s="8">
        <f>SUMPRODUCT(N(Tabela3[PAPEL]=Tabela2[[#This Row],[Ativo]]),Tabela3[Total Ações])</f>
        <v>1245690889</v>
      </c>
      <c r="E324" s="63">
        <f>(Tabela2[[#This Row],[Lucro Líquido]])/Tabela2[[#This Row],[Total Ações]]</f>
        <v>0.23315671603984894</v>
      </c>
      <c r="F324" s="63">
        <v>0.159</v>
      </c>
      <c r="G324" s="19">
        <f>IF(AND(Tabela2[[#This Row],[Dividendo / Ação]]&gt;0,Tabela2[[#This Row],[Lucro por ação]]&gt;0),Tabela2[[#This Row],[Dividendo / Ação]]/Tabela2[[#This Row],[Lucro por ação]],"")</f>
        <v>0.68194475673102728</v>
      </c>
      <c r="H324" s="6">
        <f>MAX(Tabela2[[#This Row],[Cotação 1]],Tabela2[[#This Row],[Cotação 2]])</f>
        <v>2.1</v>
      </c>
      <c r="I324" s="18">
        <f>IF(Tabela2[[#This Row],[Dividendo / Ação]]&gt;0,Tabela2[[#This Row],[Dividendo / Ação]]/Tabela2[[#This Row],[Cotação]],"")</f>
        <v>7.5714285714285706E-2</v>
      </c>
      <c r="J324" s="59">
        <f>SUMPRODUCT(N(Tabela1[Código]=Tabela2[[#This Row],[Ativo]]),Tabela1[Fechamento])</f>
        <v>2.1</v>
      </c>
      <c r="K324" s="59">
        <f>SUMPRODUCT(N(Tabela17[Código]=Tabela2[[#This Row],[Ativo]]),Tabela17[Fechamento])</f>
        <v>0</v>
      </c>
      <c r="L324" s="59">
        <f>SUMPRODUCT(N(Tabela2[Ativo]=Tabela2[[#This Row],[Ativo]]),N(Tabela2[Exercício]=Tabela2[[#This Row],[Exercício]]-1),Tabela2[Lucro Líquido])</f>
        <v>212054242.16999999</v>
      </c>
      <c r="M324" s="18">
        <f>IF(Tabela2[[#This Row],[Lucro Anterior]]=0,"",IF(Tabela2[[#This Row],[Lucro Líquido]]&gt;0,Tabela2[[#This Row],[Lucro Líquido]]/Tabela2[[#This Row],[Lucro Anterior]]-1,0))</f>
        <v>0.36965520664830009</v>
      </c>
    </row>
    <row r="325" spans="1:13" x14ac:dyDescent="0.2">
      <c r="A325" s="4" t="s">
        <v>65</v>
      </c>
      <c r="B325" s="3">
        <v>2011</v>
      </c>
      <c r="C325" s="5">
        <v>212054242.16999999</v>
      </c>
      <c r="D325" s="61">
        <f>SUMPRODUCT(N(Tabela3[PAPEL]=Tabela2[[#This Row],[Ativo]]),Tabela3[Total Ações])</f>
        <v>1245690889</v>
      </c>
      <c r="E325" s="62">
        <f>(Tabela2[[#This Row],[Lucro Líquido]])/Tabela2[[#This Row],[Total Ações]]</f>
        <v>0.17023022648919767</v>
      </c>
      <c r="F325" s="63">
        <v>9.6000000000000002E-2</v>
      </c>
      <c r="G325" s="18">
        <f>IF(AND(Tabela2[[#This Row],[Dividendo / Ação]]&gt;0,Tabela2[[#This Row],[Lucro por ação]]&gt;0),Tabela2[[#This Row],[Dividendo / Ação]]/Tabela2[[#This Row],[Lucro por ação]],"")</f>
        <v>0.56394215046228524</v>
      </c>
      <c r="H325" s="5">
        <f>MAX(Tabela2[[#This Row],[Cotação 1]],Tabela2[[#This Row],[Cotação 2]])</f>
        <v>2.1</v>
      </c>
      <c r="I325" s="18">
        <f>IF(Tabela2[[#This Row],[Dividendo / Ação]]&gt;0,Tabela2[[#This Row],[Dividendo / Ação]]/Tabela2[[#This Row],[Cotação]],"")</f>
        <v>4.5714285714285714E-2</v>
      </c>
      <c r="J325" s="59">
        <f>SUMPRODUCT(N(Tabela1[Código]=Tabela2[[#This Row],[Ativo]]),Tabela1[Fechamento])</f>
        <v>2.1</v>
      </c>
      <c r="K325" s="59">
        <f>SUMPRODUCT(N(Tabela17[Código]=Tabela2[[#This Row],[Ativo]]),Tabela17[Fechamento])</f>
        <v>0</v>
      </c>
      <c r="L325" s="59">
        <f>SUMPRODUCT(N(Tabela2[Ativo]=Tabela2[[#This Row],[Ativo]]),N(Tabela2[Exercício]=Tabela2[[#This Row],[Exercício]]-1),Tabela2[Lucro Líquido])</f>
        <v>194647783.53</v>
      </c>
      <c r="M325" s="18">
        <f>IF(Tabela2[[#This Row],[Lucro Anterior]]=0,"",IF(Tabela2[[#This Row],[Lucro Líquido]]&gt;0,Tabela2[[#This Row],[Lucro Líquido]]/Tabela2[[#This Row],[Lucro Anterior]]-1,0))</f>
        <v>8.9425414070113174E-2</v>
      </c>
    </row>
    <row r="326" spans="1:13" x14ac:dyDescent="0.2">
      <c r="A326" s="4" t="s">
        <v>65</v>
      </c>
      <c r="B326" s="4">
        <v>2010</v>
      </c>
      <c r="C326" s="5">
        <v>194647783.53</v>
      </c>
      <c r="D326" s="61">
        <f>SUMPRODUCT(N(Tabela3[PAPEL]=Tabela2[[#This Row],[Ativo]]),Tabela3[Total Ações])</f>
        <v>1245690889</v>
      </c>
      <c r="E326" s="62">
        <f>(Tabela2[[#This Row],[Lucro Líquido]])/Tabela2[[#This Row],[Total Ações]]</f>
        <v>0.15625688944892011</v>
      </c>
      <c r="F326" s="63">
        <v>8.8999999999999996E-2</v>
      </c>
      <c r="G326" s="18">
        <f>IF(AND(Tabela2[[#This Row],[Dividendo / Ação]]&gt;0,Tabela2[[#This Row],[Lucro por ação]]&gt;0),Tabela2[[#This Row],[Dividendo / Ação]]/Tabela2[[#This Row],[Lucro por ação]],"")</f>
        <v>0.56957488603466555</v>
      </c>
      <c r="H326" s="5">
        <f>MAX(Tabela2[[#This Row],[Cotação 1]],Tabela2[[#This Row],[Cotação 2]])</f>
        <v>2.1</v>
      </c>
      <c r="I326" s="18">
        <f>IF(Tabela2[[#This Row],[Dividendo / Ação]]&gt;0,Tabela2[[#This Row],[Dividendo / Ação]]/Tabela2[[#This Row],[Cotação]],"")</f>
        <v>4.238095238095238E-2</v>
      </c>
      <c r="J326" s="59">
        <f>SUMPRODUCT(N(Tabela1[Código]=Tabela2[[#This Row],[Ativo]]),Tabela1[Fechamento])</f>
        <v>2.1</v>
      </c>
      <c r="K326" s="59">
        <f>SUMPRODUCT(N(Tabela17[Código]=Tabela2[[#This Row],[Ativo]]),Tabela17[Fechamento])</f>
        <v>0</v>
      </c>
      <c r="L326" s="59">
        <f>SUMPRODUCT(N(Tabela2[Ativo]=Tabela2[[#This Row],[Ativo]]),N(Tabela2[Exercício]=Tabela2[[#This Row],[Exercício]]-1),Tabela2[Lucro Líquido])</f>
        <v>276855137.25</v>
      </c>
      <c r="M326" s="18">
        <f>IF(Tabela2[[#This Row],[Lucro Anterior]]=0,"",IF(Tabela2[[#This Row],[Lucro Líquido]]&gt;0,Tabela2[[#This Row],[Lucro Líquido]]/Tabela2[[#This Row],[Lucro Anterior]]-1,0))</f>
        <v>-0.29693273723061464</v>
      </c>
    </row>
    <row r="327" spans="1:13" x14ac:dyDescent="0.2">
      <c r="A327" s="4" t="s">
        <v>65</v>
      </c>
      <c r="B327" s="4">
        <v>2009</v>
      </c>
      <c r="C327" s="5">
        <v>276855137.25</v>
      </c>
      <c r="D327" s="61">
        <f>SUMPRODUCT(N(Tabela3[PAPEL]=Tabela2[[#This Row],[Ativo]]),Tabela3[Total Ações])</f>
        <v>1245690889</v>
      </c>
      <c r="E327" s="62">
        <f>(Tabela2[[#This Row],[Lucro Líquido]])/Tabela2[[#This Row],[Total Ações]]</f>
        <v>0.22225027066887379</v>
      </c>
      <c r="F327" s="63">
        <v>0.113</v>
      </c>
      <c r="G327" s="18">
        <f>IF(AND(Tabela2[[#This Row],[Dividendo / Ação]]&gt;0,Tabela2[[#This Row],[Lucro por ação]]&gt;0),Tabela2[[#This Row],[Dividendo / Ação]]/Tabela2[[#This Row],[Lucro por ação]],"")</f>
        <v>0.50843582624183359</v>
      </c>
      <c r="H327" s="5">
        <f>MAX(Tabela2[[#This Row],[Cotação 1]],Tabela2[[#This Row],[Cotação 2]])</f>
        <v>2.1</v>
      </c>
      <c r="I327" s="18">
        <f>IF(Tabela2[[#This Row],[Dividendo / Ação]]&gt;0,Tabela2[[#This Row],[Dividendo / Ação]]/Tabela2[[#This Row],[Cotação]],"")</f>
        <v>5.3809523809523807E-2</v>
      </c>
      <c r="J327" s="59">
        <f>SUMPRODUCT(N(Tabela1[Código]=Tabela2[[#This Row],[Ativo]]),Tabela1[Fechamento])</f>
        <v>2.1</v>
      </c>
      <c r="K327" s="59">
        <f>SUMPRODUCT(N(Tabela17[Código]=Tabela2[[#This Row],[Ativo]]),Tabela17[Fechamento])</f>
        <v>0</v>
      </c>
      <c r="L327" s="59">
        <f>SUMPRODUCT(N(Tabela2[Ativo]=Tabela2[[#This Row],[Ativo]]),N(Tabela2[Exercício]=Tabela2[[#This Row],[Exercício]]-1),Tabela2[Lucro Líquido])</f>
        <v>0</v>
      </c>
      <c r="M327" s="18" t="str">
        <f>IF(Tabela2[[#This Row],[Lucro Anterior]]=0,"",IF(Tabela2[[#This Row],[Lucro Líquido]]&gt;0,Tabela2[[#This Row],[Lucro Líquido]]/Tabela2[[#This Row],[Lucro Anterior]]-1,0))</f>
        <v/>
      </c>
    </row>
    <row r="328" spans="1:13" x14ac:dyDescent="0.2">
      <c r="A328" s="4" t="s">
        <v>99</v>
      </c>
      <c r="B328" s="4">
        <v>2012</v>
      </c>
      <c r="C328" s="6">
        <v>384946993.33999997</v>
      </c>
      <c r="D328" s="8">
        <f>SUMPRODUCT(N(Tabela3[PAPEL]=Tabela2[[#This Row],[Ativo]]),Tabela3[Total Ações])</f>
        <v>164183899</v>
      </c>
      <c r="E328" s="65">
        <f>(Tabela2[[#This Row],[Lucro Líquido]])/Tabela2[[#This Row],[Total Ações]]</f>
        <v>2.3446086716456889</v>
      </c>
      <c r="F328" s="65">
        <v>0.46</v>
      </c>
      <c r="G328" s="45">
        <f>IF(AND(Tabela2[[#This Row],[Dividendo / Ação]]&gt;0,Tabela2[[#This Row],[Lucro por ação]]&gt;0),Tabela2[[#This Row],[Dividendo / Ação]]/Tabela2[[#This Row],[Lucro por ação]],"")</f>
        <v>0.19619478745556479</v>
      </c>
      <c r="H328" s="6">
        <f>MAX(Tabela2[[#This Row],[Cotação 1]],Tabela2[[#This Row],[Cotação 2]])</f>
        <v>15.4</v>
      </c>
      <c r="I328" s="19">
        <f>IF(Tabela2[[#This Row],[Dividendo / Ação]]&gt;0,Tabela2[[#This Row],[Dividendo / Ação]]/Tabela2[[#This Row],[Cotação]],"")</f>
        <v>2.987012987012987E-2</v>
      </c>
      <c r="J328" s="60">
        <f>SUMPRODUCT(N(Tabela1[Código]=Tabela2[[#This Row],[Ativo]]),Tabela1[Fechamento])</f>
        <v>15.4</v>
      </c>
      <c r="K328" s="60">
        <f>SUMPRODUCT(N(Tabela17[Código]=Tabela2[[#This Row],[Ativo]]),Tabela17[Fechamento])</f>
        <v>0</v>
      </c>
      <c r="L328" s="60">
        <f>SUMPRODUCT(N(Tabela2[Ativo]=Tabela2[[#This Row],[Ativo]]),N(Tabela2[Exercício]=Tabela2[[#This Row],[Exercício]]-1),Tabela2[Lucro Líquido])</f>
        <v>247502000</v>
      </c>
      <c r="M328" s="19">
        <f>IF(Tabela2[[#This Row],[Lucro Anterior]]=0,"",IF(Tabela2[[#This Row],[Lucro Líquido]]&gt;0,Tabela2[[#This Row],[Lucro Líquido]]/Tabela2[[#This Row],[Lucro Anterior]]-1,0))</f>
        <v>0.55532881891863495</v>
      </c>
    </row>
    <row r="329" spans="1:13" x14ac:dyDescent="0.2">
      <c r="A329" s="4" t="s">
        <v>99</v>
      </c>
      <c r="B329" s="4">
        <v>2011</v>
      </c>
      <c r="C329" s="6">
        <v>247502000</v>
      </c>
      <c r="D329" s="8">
        <f>SUMPRODUCT(N(Tabela3[PAPEL]=Tabela2[[#This Row],[Ativo]]),Tabela3[Total Ações])</f>
        <v>164183899</v>
      </c>
      <c r="E329" s="65">
        <f>(Tabela2[[#This Row],[Lucro Líquido]])/Tabela2[[#This Row],[Total Ações]]</f>
        <v>1.5074681592255279</v>
      </c>
      <c r="F329" s="65">
        <v>0.56999999999999995</v>
      </c>
      <c r="G329" s="45">
        <f>IF(AND(Tabela2[[#This Row],[Dividendo / Ação]]&gt;0,Tabela2[[#This Row],[Lucro por ação]]&gt;0),Tabela2[[#This Row],[Dividendo / Ação]]/Tabela2[[#This Row],[Lucro por ação]],"")</f>
        <v>0.37811743917220869</v>
      </c>
      <c r="H329" s="6">
        <f>MAX(Tabela2[[#This Row],[Cotação 1]],Tabela2[[#This Row],[Cotação 2]])</f>
        <v>15.4</v>
      </c>
      <c r="I329" s="19">
        <f>IF(Tabela2[[#This Row],[Dividendo / Ação]]&gt;0,Tabela2[[#This Row],[Dividendo / Ação]]/Tabela2[[#This Row],[Cotação]],"")</f>
        <v>3.7012987012987011E-2</v>
      </c>
      <c r="J329" s="60">
        <f>SUMPRODUCT(N(Tabela1[Código]=Tabela2[[#This Row],[Ativo]]),Tabela1[Fechamento])</f>
        <v>15.4</v>
      </c>
      <c r="K329" s="60">
        <f>SUMPRODUCT(N(Tabela17[Código]=Tabela2[[#This Row],[Ativo]]),Tabela17[Fechamento])</f>
        <v>0</v>
      </c>
      <c r="L329" s="60">
        <f>SUMPRODUCT(N(Tabela2[Ativo]=Tabela2[[#This Row],[Ativo]]),N(Tabela2[Exercício]=Tabela2[[#This Row],[Exercício]]-1),Tabela2[Lucro Líquido])</f>
        <v>278621000</v>
      </c>
      <c r="M329" s="19">
        <f>IF(Tabela2[[#This Row],[Lucro Anterior]]=0,"",IF(Tabela2[[#This Row],[Lucro Líquido]]&gt;0,Tabela2[[#This Row],[Lucro Líquido]]/Tabela2[[#This Row],[Lucro Anterior]]-1,0))</f>
        <v>-0.11168935579155914</v>
      </c>
    </row>
    <row r="330" spans="1:13" x14ac:dyDescent="0.2">
      <c r="A330" s="4" t="s">
        <v>99</v>
      </c>
      <c r="B330" s="4">
        <v>2010</v>
      </c>
      <c r="C330" s="6">
        <v>278621000</v>
      </c>
      <c r="D330" s="8">
        <f>SUMPRODUCT(N(Tabela3[PAPEL]=Tabela2[[#This Row],[Ativo]]),Tabela3[Total Ações])</f>
        <v>164183899</v>
      </c>
      <c r="E330" s="65">
        <f>(Tabela2[[#This Row],[Lucro Líquido]])/Tabela2[[#This Row],[Total Ações]]</f>
        <v>1.6970056241629394</v>
      </c>
      <c r="F330" s="65">
        <v>1.52</v>
      </c>
      <c r="G330" s="45">
        <f>IF(AND(Tabela2[[#This Row],[Dividendo / Ação]]&gt;0,Tabela2[[#This Row],[Lucro por ação]]&gt;0),Tabela2[[#This Row],[Dividendo / Ação]]/Tabela2[[#This Row],[Lucro por ação]],"")</f>
        <v>0.89569532260669515</v>
      </c>
      <c r="H330" s="6">
        <f>MAX(Tabela2[[#This Row],[Cotação 1]],Tabela2[[#This Row],[Cotação 2]])</f>
        <v>15.4</v>
      </c>
      <c r="I330" s="19">
        <f>IF(Tabela2[[#This Row],[Dividendo / Ação]]&gt;0,Tabela2[[#This Row],[Dividendo / Ação]]/Tabela2[[#This Row],[Cotação]],"")</f>
        <v>9.8701298701298706E-2</v>
      </c>
      <c r="J330" s="60">
        <f>SUMPRODUCT(N(Tabela1[Código]=Tabela2[[#This Row],[Ativo]]),Tabela1[Fechamento])</f>
        <v>15.4</v>
      </c>
      <c r="K330" s="60">
        <f>SUMPRODUCT(N(Tabela17[Código]=Tabela2[[#This Row],[Ativo]]),Tabela17[Fechamento])</f>
        <v>0</v>
      </c>
      <c r="L330" s="60">
        <f>SUMPRODUCT(N(Tabela2[Ativo]=Tabela2[[#This Row],[Ativo]]),N(Tabela2[Exercício]=Tabela2[[#This Row],[Exercício]]-1),Tabela2[Lucro Líquido])</f>
        <v>0</v>
      </c>
      <c r="M330" s="19" t="str">
        <f>IF(Tabela2[[#This Row],[Lucro Anterior]]=0,"",IF(Tabela2[[#This Row],[Lucro Líquido]]&gt;0,Tabela2[[#This Row],[Lucro Líquido]]/Tabela2[[#This Row],[Lucro Anterior]]-1,0))</f>
        <v/>
      </c>
    </row>
    <row r="331" spans="1:13" x14ac:dyDescent="0.2">
      <c r="A331" s="4" t="s">
        <v>35</v>
      </c>
      <c r="B331" s="4">
        <v>2012</v>
      </c>
      <c r="C331" s="6">
        <v>140995000</v>
      </c>
      <c r="D331" s="8">
        <f>SUMPRODUCT(N(Tabela3[PAPEL]=Tabela2[[#This Row],[Ativo]]),Tabela3[Total Ações])</f>
        <v>198447352</v>
      </c>
      <c r="E331" s="65">
        <f>(Tabela2[[#This Row],[Lucro Líquido]])/Tabela2[[#This Row],[Total Ações]]</f>
        <v>0.7104907098987141</v>
      </c>
      <c r="F331" s="65">
        <v>0.17</v>
      </c>
      <c r="G331" s="45">
        <f>IF(AND(Tabela2[[#This Row],[Dividendo / Ação]]&gt;0,Tabela2[[#This Row],[Lucro por ação]]&gt;0),Tabela2[[#This Row],[Dividendo / Ação]]/Tabela2[[#This Row],[Lucro por ação]],"")</f>
        <v>0.23927124961878082</v>
      </c>
      <c r="H331" s="6">
        <f>MAX(Tabela2[[#This Row],[Cotação 1]],Tabela2[[#This Row],[Cotação 2]])</f>
        <v>23.65</v>
      </c>
      <c r="I331" s="19">
        <f>IF(Tabela2[[#This Row],[Dividendo / Ação]]&gt;0,Tabela2[[#This Row],[Dividendo / Ação]]/Tabela2[[#This Row],[Cotação]],"")</f>
        <v>7.1881606765327706E-3</v>
      </c>
      <c r="J331" s="60">
        <f>SUMPRODUCT(N(Tabela1[Código]=Tabela2[[#This Row],[Ativo]]),Tabela1[Fechamento])</f>
        <v>23.65</v>
      </c>
      <c r="K331" s="60">
        <f>SUMPRODUCT(N(Tabela17[Código]=Tabela2[[#This Row],[Ativo]]),Tabela17[Fechamento])</f>
        <v>0</v>
      </c>
      <c r="L331" s="60">
        <f>SUMPRODUCT(N(Tabela2[Ativo]=Tabela2[[#This Row],[Ativo]]),N(Tabela2[Exercício]=Tabela2[[#This Row],[Exercício]]-1),Tabela2[Lucro Líquido])</f>
        <v>159996000</v>
      </c>
      <c r="M331" s="19">
        <f>IF(Tabela2[[#This Row],[Lucro Anterior]]=0,"",IF(Tabela2[[#This Row],[Lucro Líquido]]&gt;0,Tabela2[[#This Row],[Lucro Líquido]]/Tabela2[[#This Row],[Lucro Anterior]]-1,0))</f>
        <v>-0.11875921898047448</v>
      </c>
    </row>
    <row r="332" spans="1:13" x14ac:dyDescent="0.2">
      <c r="A332" s="4" t="s">
        <v>35</v>
      </c>
      <c r="B332" s="4">
        <v>2011</v>
      </c>
      <c r="C332" s="6">
        <v>159996000</v>
      </c>
      <c r="D332" s="8">
        <f>SUMPRODUCT(N(Tabela3[PAPEL]=Tabela2[[#This Row],[Ativo]]),Tabela3[Total Ações])</f>
        <v>198447352</v>
      </c>
      <c r="E332" s="65">
        <f>(Tabela2[[#This Row],[Lucro Líquido]])/Tabela2[[#This Row],[Total Ações]]</f>
        <v>0.80623902706446793</v>
      </c>
      <c r="F332" s="65">
        <v>0.46</v>
      </c>
      <c r="G332" s="45">
        <f>IF(AND(Tabela2[[#This Row],[Dividendo / Ação]]&gt;0,Tabela2[[#This Row],[Lucro por ação]]&gt;0),Tabela2[[#This Row],[Dividendo / Ação]]/Tabela2[[#This Row],[Lucro por ação]],"")</f>
        <v>0.57055040076001906</v>
      </c>
      <c r="H332" s="6">
        <f>MAX(Tabela2[[#This Row],[Cotação 1]],Tabela2[[#This Row],[Cotação 2]])</f>
        <v>23.65</v>
      </c>
      <c r="I332" s="19">
        <f>IF(Tabela2[[#This Row],[Dividendo / Ação]]&gt;0,Tabela2[[#This Row],[Dividendo / Ação]]/Tabela2[[#This Row],[Cotação]],"")</f>
        <v>1.945031712473573E-2</v>
      </c>
      <c r="J332" s="60">
        <f>SUMPRODUCT(N(Tabela1[Código]=Tabela2[[#This Row],[Ativo]]),Tabela1[Fechamento])</f>
        <v>23.65</v>
      </c>
      <c r="K332" s="60">
        <f>SUMPRODUCT(N(Tabela17[Código]=Tabela2[[#This Row],[Ativo]]),Tabela17[Fechamento])</f>
        <v>0</v>
      </c>
      <c r="L332" s="60">
        <f>SUMPRODUCT(N(Tabela2[Ativo]=Tabela2[[#This Row],[Ativo]]),N(Tabela2[Exercício]=Tabela2[[#This Row],[Exercício]]-1),Tabela2[Lucro Líquido])</f>
        <v>188871000</v>
      </c>
      <c r="M332" s="19">
        <f>IF(Tabela2[[#This Row],[Lucro Anterior]]=0,"",IF(Tabela2[[#This Row],[Lucro Líquido]]&gt;0,Tabela2[[#This Row],[Lucro Líquido]]/Tabela2[[#This Row],[Lucro Anterior]]-1,0))</f>
        <v>-0.15288212589545247</v>
      </c>
    </row>
    <row r="333" spans="1:13" x14ac:dyDescent="0.2">
      <c r="A333" s="4" t="s">
        <v>35</v>
      </c>
      <c r="B333" s="4">
        <v>2010</v>
      </c>
      <c r="C333" s="6">
        <v>188871000</v>
      </c>
      <c r="D333" s="8">
        <f>SUMPRODUCT(N(Tabela3[PAPEL]=Tabela2[[#This Row],[Ativo]]),Tabela3[Total Ações])</f>
        <v>198447352</v>
      </c>
      <c r="E333" s="65">
        <f>(Tabela2[[#This Row],[Lucro Líquido]])/Tabela2[[#This Row],[Total Ações]]</f>
        <v>0.95174361409468444</v>
      </c>
      <c r="F333" s="65">
        <v>1.8</v>
      </c>
      <c r="G333" s="45">
        <f>IF(AND(Tabela2[[#This Row],[Dividendo / Ação]]&gt;0,Tabela2[[#This Row],[Lucro por ação]]&gt;0),Tabela2[[#This Row],[Dividendo / Ação]]/Tabela2[[#This Row],[Lucro por ação]],"")</f>
        <v>1.8912656448051846</v>
      </c>
      <c r="H333" s="6">
        <f>MAX(Tabela2[[#This Row],[Cotação 1]],Tabela2[[#This Row],[Cotação 2]])</f>
        <v>23.65</v>
      </c>
      <c r="I333" s="19">
        <f>IF(Tabela2[[#This Row],[Dividendo / Ação]]&gt;0,Tabela2[[#This Row],[Dividendo / Ação]]/Tabela2[[#This Row],[Cotação]],"")</f>
        <v>7.6109936575052856E-2</v>
      </c>
      <c r="J333" s="60">
        <f>SUMPRODUCT(N(Tabela1[Código]=Tabela2[[#This Row],[Ativo]]),Tabela1[Fechamento])</f>
        <v>23.65</v>
      </c>
      <c r="K333" s="60">
        <f>SUMPRODUCT(N(Tabela17[Código]=Tabela2[[#This Row],[Ativo]]),Tabela17[Fechamento])</f>
        <v>0</v>
      </c>
      <c r="L333" s="60">
        <f>SUMPRODUCT(N(Tabela2[Ativo]=Tabela2[[#This Row],[Ativo]]),N(Tabela2[Exercício]=Tabela2[[#This Row],[Exercício]]-1),Tabela2[Lucro Líquido])</f>
        <v>0</v>
      </c>
      <c r="M333" s="19" t="str">
        <f>IF(Tabela2[[#This Row],[Lucro Anterior]]=0,"",IF(Tabela2[[#This Row],[Lucro Líquido]]&gt;0,Tabela2[[#This Row],[Lucro Líquido]]/Tabela2[[#This Row],[Lucro Anterior]]-1,0))</f>
        <v/>
      </c>
    </row>
    <row r="334" spans="1:13" x14ac:dyDescent="0.2">
      <c r="A334" s="4" t="s">
        <v>386</v>
      </c>
      <c r="B334" s="4">
        <v>2012</v>
      </c>
      <c r="C334" s="6">
        <v>113004000</v>
      </c>
      <c r="D334" s="77">
        <f>SUMPRODUCT(N(Tabela3[PAPEL]=Tabela2[[#This Row],[Ativo]]),Tabela3[Total Ações])</f>
        <v>89500000</v>
      </c>
      <c r="E334" s="65">
        <f>(Tabela2[[#This Row],[Lucro Líquido]])/Tabela2[[#This Row],[Total Ações]]</f>
        <v>1.2626145251396648</v>
      </c>
      <c r="F334" s="65">
        <v>0.8</v>
      </c>
      <c r="G334" s="44">
        <f>IF(AND(Tabela2[[#This Row],[Dividendo / Ação]]&gt;0,Tabela2[[#This Row],[Lucro por ação]]&gt;0),Tabela2[[#This Row],[Dividendo / Ação]]/Tabela2[[#This Row],[Lucro por ação]],"")</f>
        <v>0.6336058900569892</v>
      </c>
      <c r="H334" s="60">
        <f>MAX(Tabela2[[#This Row],[Cotação 1]],Tabela2[[#This Row],[Cotação 2]])</f>
        <v>8.2799999999999994</v>
      </c>
      <c r="I334" s="45">
        <f>IF(Tabela2[[#This Row],[Dividendo / Ação]]&gt;0,Tabela2[[#This Row],[Dividendo / Ação]]/Tabela2[[#This Row],[Cotação]],"")</f>
        <v>9.6618357487922718E-2</v>
      </c>
      <c r="J334" s="17">
        <f>SUMPRODUCT(N(Tabela1[Código]=Tabela2[[#This Row],[Ativo]]),Tabela1[Fechamento])</f>
        <v>0</v>
      </c>
      <c r="K334" s="17">
        <f>SUMPRODUCT(N(Tabela17[Código]=Tabela2[[#This Row],[Ativo]]),Tabela17[Fechamento])</f>
        <v>8.2799999999999994</v>
      </c>
      <c r="L334" s="17">
        <f>SUMPRODUCT(N(Tabela2[Ativo]=Tabela2[[#This Row],[Ativo]]),N(Tabela2[Exercício]=Tabela2[[#This Row],[Exercício]]-1),Tabela2[Lucro Líquido])</f>
        <v>97193000</v>
      </c>
      <c r="M334" s="19">
        <f>IF(Tabela2[[#This Row],[Lucro Anterior]]=0,"",IF(Tabela2[[#This Row],[Lucro Líquido]]&gt;0,Tabela2[[#This Row],[Lucro Líquido]]/Tabela2[[#This Row],[Lucro Anterior]]-1,0))</f>
        <v>0.16267632442665625</v>
      </c>
    </row>
    <row r="335" spans="1:13" x14ac:dyDescent="0.2">
      <c r="A335" s="4" t="s">
        <v>386</v>
      </c>
      <c r="B335" s="4">
        <v>2011</v>
      </c>
      <c r="C335" s="6">
        <v>97193000</v>
      </c>
      <c r="D335" s="77">
        <f>SUMPRODUCT(N(Tabela3[PAPEL]=Tabela2[[#This Row],[Ativo]]),Tabela3[Total Ações])</f>
        <v>89500000</v>
      </c>
      <c r="E335" s="65">
        <f>(Tabela2[[#This Row],[Lucro Líquido]])/Tabela2[[#This Row],[Total Ações]]</f>
        <v>1.0859553072625698</v>
      </c>
      <c r="F335" s="65">
        <v>0.9</v>
      </c>
      <c r="G335" s="44">
        <f>IF(AND(Tabela2[[#This Row],[Dividendo / Ação]]&gt;0,Tabela2[[#This Row],[Lucro por ação]]&gt;0),Tabela2[[#This Row],[Dividendo / Ação]]/Tabela2[[#This Row],[Lucro por ação]],"")</f>
        <v>0.82876338830985774</v>
      </c>
      <c r="H335" s="60">
        <f>MAX(Tabela2[[#This Row],[Cotação 1]],Tabela2[[#This Row],[Cotação 2]])</f>
        <v>8.2799999999999994</v>
      </c>
      <c r="I335" s="45">
        <f>IF(Tabela2[[#This Row],[Dividendo / Ação]]&gt;0,Tabela2[[#This Row],[Dividendo / Ação]]/Tabela2[[#This Row],[Cotação]],"")</f>
        <v>0.10869565217391305</v>
      </c>
      <c r="J335" s="17">
        <f>SUMPRODUCT(N(Tabela1[Código]=Tabela2[[#This Row],[Ativo]]),Tabela1[Fechamento])</f>
        <v>0</v>
      </c>
      <c r="K335" s="17">
        <f>SUMPRODUCT(N(Tabela17[Código]=Tabela2[[#This Row],[Ativo]]),Tabela17[Fechamento])</f>
        <v>8.2799999999999994</v>
      </c>
      <c r="L335" s="17">
        <f>SUMPRODUCT(N(Tabela2[Ativo]=Tabela2[[#This Row],[Ativo]]),N(Tabela2[Exercício]=Tabela2[[#This Row],[Exercício]]-1),Tabela2[Lucro Líquido])</f>
        <v>102085000</v>
      </c>
      <c r="M335" s="19">
        <f>IF(Tabela2[[#This Row],[Lucro Anterior]]=0,"",IF(Tabela2[[#This Row],[Lucro Líquido]]&gt;0,Tabela2[[#This Row],[Lucro Líquido]]/Tabela2[[#This Row],[Lucro Anterior]]-1,0))</f>
        <v>-4.7920850271832349E-2</v>
      </c>
    </row>
    <row r="336" spans="1:13" x14ac:dyDescent="0.2">
      <c r="A336" s="4" t="s">
        <v>386</v>
      </c>
      <c r="B336" s="4">
        <v>2010</v>
      </c>
      <c r="C336" s="6">
        <v>102085000</v>
      </c>
      <c r="D336" s="77">
        <f>SUMPRODUCT(N(Tabela3[PAPEL]=Tabela2[[#This Row],[Ativo]]),Tabela3[Total Ações])</f>
        <v>89500000</v>
      </c>
      <c r="E336" s="65">
        <f>(Tabela2[[#This Row],[Lucro Líquido]])/Tabela2[[#This Row],[Total Ações]]</f>
        <v>1.1406145251396649</v>
      </c>
      <c r="F336" s="65">
        <v>0.8</v>
      </c>
      <c r="G336" s="44">
        <f>IF(AND(Tabela2[[#This Row],[Dividendo / Ação]]&gt;0,Tabela2[[#This Row],[Lucro por ação]]&gt;0),Tabela2[[#This Row],[Dividendo / Ação]]/Tabela2[[#This Row],[Lucro por ação]],"")</f>
        <v>0.7013763040603419</v>
      </c>
      <c r="H336" s="60">
        <f>MAX(Tabela2[[#This Row],[Cotação 1]],Tabela2[[#This Row],[Cotação 2]])</f>
        <v>8.2799999999999994</v>
      </c>
      <c r="I336" s="45">
        <f>IF(Tabela2[[#This Row],[Dividendo / Ação]]&gt;0,Tabela2[[#This Row],[Dividendo / Ação]]/Tabela2[[#This Row],[Cotação]],"")</f>
        <v>9.6618357487922718E-2</v>
      </c>
      <c r="J336" s="17">
        <f>SUMPRODUCT(N(Tabela1[Código]=Tabela2[[#This Row],[Ativo]]),Tabela1[Fechamento])</f>
        <v>0</v>
      </c>
      <c r="K336" s="17">
        <f>SUMPRODUCT(N(Tabela17[Código]=Tabela2[[#This Row],[Ativo]]),Tabela17[Fechamento])</f>
        <v>8.2799999999999994</v>
      </c>
      <c r="L336" s="17">
        <f>SUMPRODUCT(N(Tabela2[Ativo]=Tabela2[[#This Row],[Ativo]]),N(Tabela2[Exercício]=Tabela2[[#This Row],[Exercício]]-1),Tabela2[Lucro Líquido])</f>
        <v>0</v>
      </c>
      <c r="M336" s="19" t="str">
        <f>IF(Tabela2[[#This Row],[Lucro Anterior]]=0,"",IF(Tabela2[[#This Row],[Lucro Líquido]]&gt;0,Tabela2[[#This Row],[Lucro Líquido]]/Tabela2[[#This Row],[Lucro Anterior]]-1,0))</f>
        <v/>
      </c>
    </row>
    <row r="337" spans="1:13" x14ac:dyDescent="0.2">
      <c r="A337" s="4" t="s">
        <v>367</v>
      </c>
      <c r="B337" s="4">
        <v>2012</v>
      </c>
      <c r="C337" s="6">
        <v>88379478.969999999</v>
      </c>
      <c r="D337" s="77">
        <f>SUMPRODUCT(N(Tabela3[PAPEL]=Tabela2[[#This Row],[Ativo]]),Tabela3[Total Ações])</f>
        <v>92619256</v>
      </c>
      <c r="E337" s="65">
        <f>(Tabela2[[#This Row],[Lucro Líquido]])/Tabela2[[#This Row],[Total Ações]]</f>
        <v>0.95422359007072999</v>
      </c>
      <c r="F337" s="65">
        <v>0.190493</v>
      </c>
      <c r="G337" s="44">
        <f>IF(AND(Tabela2[[#This Row],[Dividendo / Ação]]&gt;0,Tabela2[[#This Row],[Lucro por ação]]&gt;0),Tabela2[[#This Row],[Dividendo / Ação]]/Tabela2[[#This Row],[Lucro por ação]],"")</f>
        <v>0.1996314092233667</v>
      </c>
      <c r="H337" s="60">
        <f>MAX(Tabela2[[#This Row],[Cotação 1]],Tabela2[[#This Row],[Cotação 2]])</f>
        <v>6.61</v>
      </c>
      <c r="I337" s="45">
        <f>IF(Tabela2[[#This Row],[Dividendo / Ação]]&gt;0,Tabela2[[#This Row],[Dividendo / Ação]]/Tabela2[[#This Row],[Cotação]],"")</f>
        <v>2.8818910741301058E-2</v>
      </c>
      <c r="J337" s="17">
        <f>SUMPRODUCT(N(Tabela1[Código]=Tabela2[[#This Row],[Ativo]]),Tabela1[Fechamento])</f>
        <v>0</v>
      </c>
      <c r="K337" s="17">
        <f>SUMPRODUCT(N(Tabela17[Código]=Tabela2[[#This Row],[Ativo]]),Tabela17[Fechamento])</f>
        <v>6.61</v>
      </c>
      <c r="L337" s="17">
        <f>SUMPRODUCT(N(Tabela2[Ativo]=Tabela2[[#This Row],[Ativo]]),N(Tabela2[Exercício]=Tabela2[[#This Row],[Exercício]]-1),Tabela2[Lucro Líquido])</f>
        <v>88914485.760000005</v>
      </c>
      <c r="M337" s="19">
        <f>IF(Tabela2[[#This Row],[Lucro Anterior]]=0,"",IF(Tabela2[[#This Row],[Lucro Líquido]]&gt;0,Tabela2[[#This Row],[Lucro Líquido]]/Tabela2[[#This Row],[Lucro Anterior]]-1,0))</f>
        <v>-6.017093676322971E-3</v>
      </c>
    </row>
    <row r="338" spans="1:13" x14ac:dyDescent="0.2">
      <c r="A338" s="4" t="s">
        <v>367</v>
      </c>
      <c r="B338" s="4">
        <v>2011</v>
      </c>
      <c r="C338" s="6">
        <v>88914485.760000005</v>
      </c>
      <c r="D338" s="77">
        <f>SUMPRODUCT(N(Tabela3[PAPEL]=Tabela2[[#This Row],[Ativo]]),Tabela3[Total Ações])</f>
        <v>92619256</v>
      </c>
      <c r="E338" s="65">
        <f>(Tabela2[[#This Row],[Lucro Líquido]])/Tabela2[[#This Row],[Total Ações]]</f>
        <v>0.96000000000000008</v>
      </c>
      <c r="F338" s="65">
        <v>0.28855599999999998</v>
      </c>
      <c r="G338" s="44">
        <f>IF(AND(Tabela2[[#This Row],[Dividendo / Ação]]&gt;0,Tabela2[[#This Row],[Lucro por ação]]&gt;0),Tabela2[[#This Row],[Dividendo / Ação]]/Tabela2[[#This Row],[Lucro por ação]],"")</f>
        <v>0.30057916666666662</v>
      </c>
      <c r="H338" s="60">
        <f>MAX(Tabela2[[#This Row],[Cotação 1]],Tabela2[[#This Row],[Cotação 2]])</f>
        <v>6.61</v>
      </c>
      <c r="I338" s="45">
        <f>IF(Tabela2[[#This Row],[Dividendo / Ação]]&gt;0,Tabela2[[#This Row],[Dividendo / Ação]]/Tabela2[[#This Row],[Cotação]],"")</f>
        <v>4.3654462934947041E-2</v>
      </c>
      <c r="J338" s="17">
        <f>SUMPRODUCT(N(Tabela1[Código]=Tabela2[[#This Row],[Ativo]]),Tabela1[Fechamento])</f>
        <v>0</v>
      </c>
      <c r="K338" s="17">
        <f>SUMPRODUCT(N(Tabela17[Código]=Tabela2[[#This Row],[Ativo]]),Tabela17[Fechamento])</f>
        <v>6.61</v>
      </c>
      <c r="L338" s="17">
        <f>SUMPRODUCT(N(Tabela2[Ativo]=Tabela2[[#This Row],[Ativo]]),N(Tabela2[Exercício]=Tabela2[[#This Row],[Exercício]]-1),Tabela2[Lucro Líquido])</f>
        <v>120405032.8</v>
      </c>
      <c r="M338" s="19">
        <f>IF(Tabela2[[#This Row],[Lucro Anterior]]=0,"",IF(Tabela2[[#This Row],[Lucro Líquido]]&gt;0,Tabela2[[#This Row],[Lucro Líquido]]/Tabela2[[#This Row],[Lucro Anterior]]-1,0))</f>
        <v>-0.2615384615384615</v>
      </c>
    </row>
    <row r="339" spans="1:13" x14ac:dyDescent="0.2">
      <c r="A339" s="4" t="s">
        <v>367</v>
      </c>
      <c r="B339" s="4">
        <v>2010</v>
      </c>
      <c r="C339" s="6">
        <v>120405032.8</v>
      </c>
      <c r="D339" s="77">
        <f>SUMPRODUCT(N(Tabela3[PAPEL]=Tabela2[[#This Row],[Ativo]]),Tabela3[Total Ações])</f>
        <v>92619256</v>
      </c>
      <c r="E339" s="65">
        <f>(Tabela2[[#This Row],[Lucro Líquido]])/Tabela2[[#This Row],[Total Ações]]</f>
        <v>1.3</v>
      </c>
      <c r="F339" s="65">
        <v>0.28032499999999999</v>
      </c>
      <c r="G339" s="44">
        <f>IF(AND(Tabela2[[#This Row],[Dividendo / Ação]]&gt;0,Tabela2[[#This Row],[Lucro por ação]]&gt;0),Tabela2[[#This Row],[Dividendo / Ação]]/Tabela2[[#This Row],[Lucro por ação]],"")</f>
        <v>0.21563461538461537</v>
      </c>
      <c r="H339" s="60">
        <f>MAX(Tabela2[[#This Row],[Cotação 1]],Tabela2[[#This Row],[Cotação 2]])</f>
        <v>6.61</v>
      </c>
      <c r="I339" s="45">
        <f>IF(Tabela2[[#This Row],[Dividendo / Ação]]&gt;0,Tabela2[[#This Row],[Dividendo / Ação]]/Tabela2[[#This Row],[Cotação]],"")</f>
        <v>4.2409228441754911E-2</v>
      </c>
      <c r="J339" s="17">
        <f>SUMPRODUCT(N(Tabela1[Código]=Tabela2[[#This Row],[Ativo]]),Tabela1[Fechamento])</f>
        <v>0</v>
      </c>
      <c r="K339" s="17">
        <f>SUMPRODUCT(N(Tabela17[Código]=Tabela2[[#This Row],[Ativo]]),Tabela17[Fechamento])</f>
        <v>6.61</v>
      </c>
      <c r="L339" s="17">
        <f>SUMPRODUCT(N(Tabela2[Ativo]=Tabela2[[#This Row],[Ativo]]),N(Tabela2[Exercício]=Tabela2[[#This Row],[Exercício]]-1),Tabela2[Lucro Líquido])</f>
        <v>0</v>
      </c>
      <c r="M339" s="19" t="str">
        <f>IF(Tabela2[[#This Row],[Lucro Anterior]]=0,"",IF(Tabela2[[#This Row],[Lucro Líquido]]&gt;0,Tabela2[[#This Row],[Lucro Líquido]]/Tabela2[[#This Row],[Lucro Anterior]]-1,0))</f>
        <v/>
      </c>
    </row>
    <row r="340" spans="1:13" x14ac:dyDescent="0.2">
      <c r="A340" s="14" t="s">
        <v>269</v>
      </c>
      <c r="B340" s="3">
        <v>2012</v>
      </c>
      <c r="C340" s="5">
        <v>85326018.709999993</v>
      </c>
      <c r="D340" s="61">
        <f>SUMPRODUCT(N(Tabela3[PAPEL]=Tabela2[[#This Row],[Ativo]]),Tabela3[Total Ações])</f>
        <v>88320000</v>
      </c>
      <c r="E340" s="64">
        <f>(Tabela2[[#This Row],[Lucro Líquido]])/Tabela2[[#This Row],[Total Ações]]</f>
        <v>0.96610075532155792</v>
      </c>
      <c r="F340" s="64">
        <v>0.22040999999999999</v>
      </c>
      <c r="G340" s="22">
        <f>IF(AND(Tabela2[[#This Row],[Dividendo / Ação]]&gt;0,Tabela2[[#This Row],[Lucro por ação]]&gt;0),Tabela2[[#This Row],[Dividendo / Ação]]/Tabela2[[#This Row],[Lucro por ação]],"")</f>
        <v>0.22814390609459623</v>
      </c>
      <c r="H340" s="5">
        <f>MAX(Tabela2[[#This Row],[Cotação 1]],Tabela2[[#This Row],[Cotação 2]])</f>
        <v>19</v>
      </c>
      <c r="I340" s="18">
        <f>IF(Tabela2[[#This Row],[Dividendo / Ação]]&gt;0,Tabela2[[#This Row],[Dividendo / Ação]]/Tabela2[[#This Row],[Cotação]],"")</f>
        <v>1.1600526315789473E-2</v>
      </c>
      <c r="J340" s="59">
        <f>SUMPRODUCT(N(Tabela1[Código]=Tabela2[[#This Row],[Ativo]]),Tabela1[Fechamento])</f>
        <v>19</v>
      </c>
      <c r="K340" s="59">
        <f>SUMPRODUCT(N(Tabela17[Código]=Tabela2[[#This Row],[Ativo]]),Tabela17[Fechamento])</f>
        <v>0</v>
      </c>
      <c r="L340" s="59">
        <f>SUMPRODUCT(N(Tabela2[Ativo]=Tabela2[[#This Row],[Ativo]]),N(Tabela2[Exercício]=Tabela2[[#This Row],[Exercício]]-1),Tabela2[Lucro Líquido])</f>
        <v>90654592</v>
      </c>
      <c r="M340" s="18">
        <f>IF(Tabela2[[#This Row],[Lucro Anterior]]=0,"",IF(Tabela2[[#This Row],[Lucro Líquido]]&gt;0,Tabela2[[#This Row],[Lucro Líquido]]/Tabela2[[#This Row],[Lucro Anterior]]-1,0))</f>
        <v>-5.8778856894529996E-2</v>
      </c>
    </row>
    <row r="341" spans="1:13" x14ac:dyDescent="0.2">
      <c r="A341" s="14" t="s">
        <v>269</v>
      </c>
      <c r="B341" s="3">
        <v>2011</v>
      </c>
      <c r="C341" s="5">
        <v>90654592</v>
      </c>
      <c r="D341" s="61">
        <f>SUMPRODUCT(N(Tabela3[PAPEL]=Tabela2[[#This Row],[Ativo]]),Tabela3[Total Ações])</f>
        <v>88320000</v>
      </c>
      <c r="E341" s="64">
        <f>(Tabela2[[#This Row],[Lucro Líquido]])/Tabela2[[#This Row],[Total Ações]]</f>
        <v>1.0264333333333333</v>
      </c>
      <c r="F341" s="64">
        <v>0.244201419</v>
      </c>
      <c r="G341" s="22">
        <f>IF(AND(Tabela2[[#This Row],[Dividendo / Ação]]&gt;0,Tabela2[[#This Row],[Lucro por ação]]&gt;0),Tabela2[[#This Row],[Dividendo / Ação]]/Tabela2[[#This Row],[Lucro por ação]],"")</f>
        <v>0.23791259604455559</v>
      </c>
      <c r="H341" s="5">
        <f>MAX(Tabela2[[#This Row],[Cotação 1]],Tabela2[[#This Row],[Cotação 2]])</f>
        <v>19</v>
      </c>
      <c r="I341" s="18">
        <f>IF(Tabela2[[#This Row],[Dividendo / Ação]]&gt;0,Tabela2[[#This Row],[Dividendo / Ação]]/Tabela2[[#This Row],[Cotação]],"")</f>
        <v>1.2852706263157895E-2</v>
      </c>
      <c r="J341" s="59">
        <f>SUMPRODUCT(N(Tabela1[Código]=Tabela2[[#This Row],[Ativo]]),Tabela1[Fechamento])</f>
        <v>19</v>
      </c>
      <c r="K341" s="59">
        <f>SUMPRODUCT(N(Tabela17[Código]=Tabela2[[#This Row],[Ativo]]),Tabela17[Fechamento])</f>
        <v>0</v>
      </c>
      <c r="L341" s="59">
        <f>SUMPRODUCT(N(Tabela2[Ativo]=Tabela2[[#This Row],[Ativo]]),N(Tabela2[Exercício]=Tabela2[[#This Row],[Exercício]]-1),Tabela2[Lucro Líquido])</f>
        <v>133778304</v>
      </c>
      <c r="M341" s="18">
        <f>IF(Tabela2[[#This Row],[Lucro Anterior]]=0,"",IF(Tabela2[[#This Row],[Lucro Líquido]]&gt;0,Tabela2[[#This Row],[Lucro Líquido]]/Tabela2[[#This Row],[Lucro Anterior]]-1,0))</f>
        <v>-0.32235206091415247</v>
      </c>
    </row>
    <row r="342" spans="1:13" x14ac:dyDescent="0.2">
      <c r="A342" s="14" t="s">
        <v>269</v>
      </c>
      <c r="B342" s="3">
        <v>2010</v>
      </c>
      <c r="C342" s="5">
        <v>133778304</v>
      </c>
      <c r="D342" s="61">
        <f>SUMPRODUCT(N(Tabela3[PAPEL]=Tabela2[[#This Row],[Ativo]]),Tabela3[Total Ações])</f>
        <v>88320000</v>
      </c>
      <c r="E342" s="64">
        <f>(Tabela2[[#This Row],[Lucro Líquido]])/Tabela2[[#This Row],[Total Ações]]</f>
        <v>1.5146999999999999</v>
      </c>
      <c r="F342" s="64">
        <v>0.31610713000000001</v>
      </c>
      <c r="G342" s="22">
        <f>IF(AND(Tabela2[[#This Row],[Dividendo / Ação]]&gt;0,Tabela2[[#This Row],[Lucro por ação]]&gt;0),Tabela2[[#This Row],[Dividendo / Ação]]/Tabela2[[#This Row],[Lucro por ação]],"")</f>
        <v>0.20869289628309237</v>
      </c>
      <c r="H342" s="5">
        <f>MAX(Tabela2[[#This Row],[Cotação 1]],Tabela2[[#This Row],[Cotação 2]])</f>
        <v>19</v>
      </c>
      <c r="I342" s="18">
        <f>IF(Tabela2[[#This Row],[Dividendo / Ação]]&gt;0,Tabela2[[#This Row],[Dividendo / Ação]]/Tabela2[[#This Row],[Cotação]],"")</f>
        <v>1.6637217368421053E-2</v>
      </c>
      <c r="J342" s="59">
        <f>SUMPRODUCT(N(Tabela1[Código]=Tabela2[[#This Row],[Ativo]]),Tabela1[Fechamento])</f>
        <v>19</v>
      </c>
      <c r="K342" s="59">
        <f>SUMPRODUCT(N(Tabela17[Código]=Tabela2[[#This Row],[Ativo]]),Tabela17[Fechamento])</f>
        <v>0</v>
      </c>
      <c r="L342" s="59">
        <f>SUMPRODUCT(N(Tabela2[Ativo]=Tabela2[[#This Row],[Ativo]]),N(Tabela2[Exercício]=Tabela2[[#This Row],[Exercício]]-1),Tabela2[Lucro Líquido])</f>
        <v>0</v>
      </c>
      <c r="M342" s="18" t="str">
        <f>IF(Tabela2[[#This Row],[Lucro Anterior]]=0,"",IF(Tabela2[[#This Row],[Lucro Líquido]]&gt;0,Tabela2[[#This Row],[Lucro Líquido]]/Tabela2[[#This Row],[Lucro Anterior]]-1,0))</f>
        <v/>
      </c>
    </row>
    <row r="343" spans="1:13" x14ac:dyDescent="0.2">
      <c r="A343" s="15" t="s">
        <v>81</v>
      </c>
      <c r="B343" s="3">
        <v>2012</v>
      </c>
      <c r="C343" s="5">
        <v>85326018.709999993</v>
      </c>
      <c r="D343" s="61">
        <f>SUMPRODUCT(N(Tabela3[PAPEL]=Tabela2[[#This Row],[Ativo]]),Tabela3[Total Ações])</f>
        <v>88320000</v>
      </c>
      <c r="E343" s="64">
        <f>(Tabela2[[#This Row],[Lucro Líquido]])/Tabela2[[#This Row],[Total Ações]]</f>
        <v>0.96610075532155792</v>
      </c>
      <c r="F343" s="64">
        <v>0.24245</v>
      </c>
      <c r="G343" s="22">
        <f>IF(AND(Tabela2[[#This Row],[Dividendo / Ação]]&gt;0,Tabela2[[#This Row],[Lucro por ação]]&gt;0),Tabela2[[#This Row],[Dividendo / Ação]]/Tabela2[[#This Row],[Lucro por ação]],"")</f>
        <v>0.25095726161532989</v>
      </c>
      <c r="H343" s="5">
        <f>MAX(Tabela2[[#This Row],[Cotação 1]],Tabela2[[#This Row],[Cotação 2]])</f>
        <v>12.35</v>
      </c>
      <c r="I343" s="18">
        <f>IF(Tabela2[[#This Row],[Dividendo / Ação]]&gt;0,Tabela2[[#This Row],[Dividendo / Ação]]/Tabela2[[#This Row],[Cotação]],"")</f>
        <v>1.963157894736842E-2</v>
      </c>
      <c r="J343" s="59">
        <f>SUMPRODUCT(N(Tabela1[Código]=Tabela2[[#This Row],[Ativo]]),Tabela1[Fechamento])</f>
        <v>12.35</v>
      </c>
      <c r="K343" s="59">
        <f>SUMPRODUCT(N(Tabela17[Código]=Tabela2[[#This Row],[Ativo]]),Tabela17[Fechamento])</f>
        <v>0</v>
      </c>
      <c r="L343" s="59">
        <f>SUMPRODUCT(N(Tabela2[Ativo]=Tabela2[[#This Row],[Ativo]]),N(Tabela2[Exercício]=Tabela2[[#This Row],[Exercício]]-1),Tabela2[Lucro Líquido])</f>
        <v>90654592</v>
      </c>
      <c r="M343" s="18">
        <f>IF(Tabela2[[#This Row],[Lucro Anterior]]=0,"",IF(Tabela2[[#This Row],[Lucro Líquido]]&gt;0,Tabela2[[#This Row],[Lucro Líquido]]/Tabela2[[#This Row],[Lucro Anterior]]-1,0))</f>
        <v>-5.8778856894529996E-2</v>
      </c>
    </row>
    <row r="344" spans="1:13" x14ac:dyDescent="0.2">
      <c r="A344" s="15" t="s">
        <v>81</v>
      </c>
      <c r="B344" s="3">
        <v>2011</v>
      </c>
      <c r="C344" s="5">
        <v>90654592</v>
      </c>
      <c r="D344" s="61">
        <f>SUMPRODUCT(N(Tabela3[PAPEL]=Tabela2[[#This Row],[Ativo]]),Tabela3[Total Ações])</f>
        <v>88320000</v>
      </c>
      <c r="E344" s="64">
        <f>(Tabela2[[#This Row],[Lucro Líquido]])/Tabela2[[#This Row],[Total Ações]]</f>
        <v>1.0264333333333333</v>
      </c>
      <c r="F344" s="64">
        <v>0.26862156100000001</v>
      </c>
      <c r="G344" s="22">
        <f>IF(AND(Tabela2[[#This Row],[Dividendo / Ação]]&gt;0,Tabela2[[#This Row],[Lucro por ação]]&gt;0),Tabela2[[#This Row],[Dividendo / Ação]]/Tabela2[[#This Row],[Lucro por ação]],"")</f>
        <v>0.2617038557464359</v>
      </c>
      <c r="H344" s="5">
        <f>MAX(Tabela2[[#This Row],[Cotação 1]],Tabela2[[#This Row],[Cotação 2]])</f>
        <v>12.35</v>
      </c>
      <c r="I344" s="18">
        <f>IF(Tabela2[[#This Row],[Dividendo / Ação]]&gt;0,Tabela2[[#This Row],[Dividendo / Ação]]/Tabela2[[#This Row],[Cotação]],"")</f>
        <v>2.1750733684210526E-2</v>
      </c>
      <c r="J344" s="59">
        <f>SUMPRODUCT(N(Tabela1[Código]=Tabela2[[#This Row],[Ativo]]),Tabela1[Fechamento])</f>
        <v>12.35</v>
      </c>
      <c r="K344" s="59">
        <f>SUMPRODUCT(N(Tabela17[Código]=Tabela2[[#This Row],[Ativo]]),Tabela17[Fechamento])</f>
        <v>0</v>
      </c>
      <c r="L344" s="59">
        <f>SUMPRODUCT(N(Tabela2[Ativo]=Tabela2[[#This Row],[Ativo]]),N(Tabela2[Exercício]=Tabela2[[#This Row],[Exercício]]-1),Tabela2[Lucro Líquido])</f>
        <v>133778304</v>
      </c>
      <c r="M344" s="18">
        <f>IF(Tabela2[[#This Row],[Lucro Anterior]]=0,"",IF(Tabela2[[#This Row],[Lucro Líquido]]&gt;0,Tabela2[[#This Row],[Lucro Líquido]]/Tabela2[[#This Row],[Lucro Anterior]]-1,0))</f>
        <v>-0.32235206091415247</v>
      </c>
    </row>
    <row r="345" spans="1:13" x14ac:dyDescent="0.2">
      <c r="A345" s="15" t="s">
        <v>81</v>
      </c>
      <c r="B345" s="3">
        <v>2010</v>
      </c>
      <c r="C345" s="5">
        <v>133778304</v>
      </c>
      <c r="D345" s="61">
        <f>SUMPRODUCT(N(Tabela3[PAPEL]=Tabela2[[#This Row],[Ativo]]),Tabela3[Total Ações])</f>
        <v>88320000</v>
      </c>
      <c r="E345" s="64">
        <f>(Tabela2[[#This Row],[Lucro Líquido]])/Tabela2[[#This Row],[Total Ações]]</f>
        <v>1.5146999999999999</v>
      </c>
      <c r="F345" s="64">
        <v>0.3477384</v>
      </c>
      <c r="G345" s="22">
        <f>IF(AND(Tabela2[[#This Row],[Dividendo / Ação]]&gt;0,Tabela2[[#This Row],[Lucro por ação]]&gt;0),Tabela2[[#This Row],[Dividendo / Ação]]/Tabela2[[#This Row],[Lucro por ação]],"")</f>
        <v>0.2295757575757576</v>
      </c>
      <c r="H345" s="5">
        <f>MAX(Tabela2[[#This Row],[Cotação 1]],Tabela2[[#This Row],[Cotação 2]])</f>
        <v>12.35</v>
      </c>
      <c r="I345" s="18">
        <f>IF(Tabela2[[#This Row],[Dividendo / Ação]]&gt;0,Tabela2[[#This Row],[Dividendo / Ação]]/Tabela2[[#This Row],[Cotação]],"")</f>
        <v>2.8156955465587045E-2</v>
      </c>
      <c r="J345" s="59">
        <f>SUMPRODUCT(N(Tabela1[Código]=Tabela2[[#This Row],[Ativo]]),Tabela1[Fechamento])</f>
        <v>12.35</v>
      </c>
      <c r="K345" s="59">
        <f>SUMPRODUCT(N(Tabela17[Código]=Tabela2[[#This Row],[Ativo]]),Tabela17[Fechamento])</f>
        <v>0</v>
      </c>
      <c r="L345" s="59">
        <f>SUMPRODUCT(N(Tabela2[Ativo]=Tabela2[[#This Row],[Ativo]]),N(Tabela2[Exercício]=Tabela2[[#This Row],[Exercício]]-1),Tabela2[Lucro Líquido])</f>
        <v>0</v>
      </c>
      <c r="M345" s="18" t="str">
        <f>IF(Tabela2[[#This Row],[Lucro Anterior]]=0,"",IF(Tabela2[[#This Row],[Lucro Líquido]]&gt;0,Tabela2[[#This Row],[Lucro Líquido]]/Tabela2[[#This Row],[Lucro Anterior]]-1,0))</f>
        <v/>
      </c>
    </row>
    <row r="346" spans="1:13" x14ac:dyDescent="0.2">
      <c r="A346" s="4" t="s">
        <v>178</v>
      </c>
      <c r="B346" s="4">
        <v>2012</v>
      </c>
      <c r="C346" s="6">
        <v>324648000</v>
      </c>
      <c r="D346" s="8">
        <f>SUMPRODUCT(N(Tabela3[PAPEL]=Tabela2[[#This Row],[Ativo]]),Tabela3[Total Ações])</f>
        <v>94433283</v>
      </c>
      <c r="E346" s="65">
        <f>(Tabela2[[#This Row],[Lucro Líquido]])/Tabela2[[#This Row],[Total Ações]]</f>
        <v>3.4378556975510426</v>
      </c>
      <c r="F346" s="65">
        <v>3.9972394429999998</v>
      </c>
      <c r="G346" s="45">
        <f>IF(AND(Tabela2[[#This Row],[Dividendo / Ação]]&gt;0,Tabela2[[#This Row],[Lucro por ação]]&gt;0),Tabela2[[#This Row],[Dividendo / Ação]]/Tabela2[[#This Row],[Lucro por ação]],"")</f>
        <v>1.1627129800263096</v>
      </c>
      <c r="H346" s="6">
        <f>MAX(Tabela2[[#This Row],[Cotação 1]],Tabela2[[#This Row],[Cotação 2]])</f>
        <v>62.04</v>
      </c>
      <c r="I346" s="19">
        <f>IF(Tabela2[[#This Row],[Dividendo / Ação]]&gt;0,Tabela2[[#This Row],[Dividendo / Ação]]/Tabela2[[#This Row],[Cotação]],"")</f>
        <v>6.4430036154094136E-2</v>
      </c>
      <c r="J346" s="60">
        <f>SUMPRODUCT(N(Tabela1[Código]=Tabela2[[#This Row],[Ativo]]),Tabela1[Fechamento])</f>
        <v>62.04</v>
      </c>
      <c r="K346" s="60">
        <f>SUMPRODUCT(N(Tabela17[Código]=Tabela2[[#This Row],[Ativo]]),Tabela17[Fechamento])</f>
        <v>0</v>
      </c>
      <c r="L346" s="60">
        <f>SUMPRODUCT(N(Tabela2[Ativo]=Tabela2[[#This Row],[Ativo]]),N(Tabela2[Exercício]=Tabela2[[#This Row],[Exercício]]-1),Tabela2[Lucro Líquido])</f>
        <v>281411183</v>
      </c>
      <c r="M346" s="19">
        <f>IF(Tabela2[[#This Row],[Lucro Anterior]]=0,"",IF(Tabela2[[#This Row],[Lucro Líquido]]&gt;0,Tabela2[[#This Row],[Lucro Líquido]]/Tabela2[[#This Row],[Lucro Anterior]]-1,0))</f>
        <v>0.15364285292102275</v>
      </c>
    </row>
    <row r="347" spans="1:13" x14ac:dyDescent="0.2">
      <c r="A347" s="4" t="s">
        <v>178</v>
      </c>
      <c r="B347" s="4">
        <v>2011</v>
      </c>
      <c r="C347" s="6">
        <v>281411183</v>
      </c>
      <c r="D347" s="8">
        <f>SUMPRODUCT(N(Tabela3[PAPEL]=Tabela2[[#This Row],[Ativo]]),Tabela3[Total Ações])</f>
        <v>94433283</v>
      </c>
      <c r="E347" s="65">
        <f>(Tabela2[[#This Row],[Lucro Líquido]])/Tabela2[[#This Row],[Total Ações]]</f>
        <v>2.9799999963995747</v>
      </c>
      <c r="F347" s="65">
        <v>3.6127542309999998</v>
      </c>
      <c r="G347" s="45">
        <f>IF(AND(Tabela2[[#This Row],[Dividendo / Ação]]&gt;0,Tabela2[[#This Row],[Lucro por ação]]&gt;0),Tabela2[[#This Row],[Dividendo / Ação]]/Tabela2[[#This Row],[Lucro por ação]],"")</f>
        <v>1.2123336360284955</v>
      </c>
      <c r="H347" s="6">
        <f>MAX(Tabela2[[#This Row],[Cotação 1]],Tabela2[[#This Row],[Cotação 2]])</f>
        <v>62.04</v>
      </c>
      <c r="I347" s="19">
        <f>IF(Tabela2[[#This Row],[Dividendo / Ação]]&gt;0,Tabela2[[#This Row],[Dividendo / Ação]]/Tabela2[[#This Row],[Cotação]],"")</f>
        <v>5.8232660074145709E-2</v>
      </c>
      <c r="J347" s="60">
        <f>SUMPRODUCT(N(Tabela1[Código]=Tabela2[[#This Row],[Ativo]]),Tabela1[Fechamento])</f>
        <v>62.04</v>
      </c>
      <c r="K347" s="60">
        <f>SUMPRODUCT(N(Tabela17[Código]=Tabela2[[#This Row],[Ativo]]),Tabela17[Fechamento])</f>
        <v>0</v>
      </c>
      <c r="L347" s="60">
        <f>SUMPRODUCT(N(Tabela2[Ativo]=Tabela2[[#This Row],[Ativo]]),N(Tabela2[Exercício]=Tabela2[[#This Row],[Exercício]]-1),Tabela2[Lucro Líquido])</f>
        <v>183200569</v>
      </c>
      <c r="M347" s="19">
        <f>IF(Tabela2[[#This Row],[Lucro Anterior]]=0,"",IF(Tabela2[[#This Row],[Lucro Líquido]]&gt;0,Tabela2[[#This Row],[Lucro Líquido]]/Tabela2[[#This Row],[Lucro Anterior]]-1,0))</f>
        <v>0.53608247253860886</v>
      </c>
    </row>
    <row r="348" spans="1:13" x14ac:dyDescent="0.2">
      <c r="A348" s="4" t="s">
        <v>178</v>
      </c>
      <c r="B348" s="4">
        <v>2010</v>
      </c>
      <c r="C348" s="5">
        <v>183200569</v>
      </c>
      <c r="D348" s="8">
        <f>SUMPRODUCT(N(Tabela3[PAPEL]=Tabela2[[#This Row],[Ativo]]),Tabela3[Total Ações])</f>
        <v>94433283</v>
      </c>
      <c r="E348" s="65">
        <f>(Tabela2[[#This Row],[Lucro Líquido]])/Tabela2[[#This Row],[Total Ações]]</f>
        <v>1.9399999997882102</v>
      </c>
      <c r="F348" s="64">
        <v>2.6568953629999998</v>
      </c>
      <c r="G348" s="45">
        <f>IF(AND(Tabela2[[#This Row],[Dividendo / Ação]]&gt;0,Tabela2[[#This Row],[Lucro por ação]]&gt;0),Tabela2[[#This Row],[Dividendo / Ação]]/Tabela2[[#This Row],[Lucro por ação]],"")</f>
        <v>1.3695336924175532</v>
      </c>
      <c r="H348" s="6">
        <f>MAX(Tabela2[[#This Row],[Cotação 1]],Tabela2[[#This Row],[Cotação 2]])</f>
        <v>62.04</v>
      </c>
      <c r="I348" s="19">
        <f>IF(Tabela2[[#This Row],[Dividendo / Ação]]&gt;0,Tabela2[[#This Row],[Dividendo / Ação]]/Tabela2[[#This Row],[Cotação]],"")</f>
        <v>4.2825521647324304E-2</v>
      </c>
      <c r="J348" s="60">
        <f>SUMPRODUCT(N(Tabela1[Código]=Tabela2[[#This Row],[Ativo]]),Tabela1[Fechamento])</f>
        <v>62.04</v>
      </c>
      <c r="K348" s="60">
        <f>SUMPRODUCT(N(Tabela17[Código]=Tabela2[[#This Row],[Ativo]]),Tabela17[Fechamento])</f>
        <v>0</v>
      </c>
      <c r="L348" s="60">
        <f>SUMPRODUCT(N(Tabela2[Ativo]=Tabela2[[#This Row],[Ativo]]),N(Tabela2[Exercício]=Tabela2[[#This Row],[Exercício]]-1),Tabela2[Lucro Líquido])</f>
        <v>101987946</v>
      </c>
      <c r="M348" s="19">
        <f>IF(Tabela2[[#This Row],[Lucro Anterior]]=0,"",IF(Tabela2[[#This Row],[Lucro Líquido]]&gt;0,Tabela2[[#This Row],[Lucro Líquido]]/Tabela2[[#This Row],[Lucro Anterior]]-1,0))</f>
        <v>0.796296289759576</v>
      </c>
    </row>
    <row r="349" spans="1:13" x14ac:dyDescent="0.2">
      <c r="A349" s="4" t="s">
        <v>178</v>
      </c>
      <c r="B349" s="4">
        <v>2009</v>
      </c>
      <c r="C349" s="5">
        <v>101987946</v>
      </c>
      <c r="D349" s="8">
        <f>SUMPRODUCT(N(Tabela3[PAPEL]=Tabela2[[#This Row],[Ativo]]),Tabela3[Total Ações])</f>
        <v>94433283</v>
      </c>
      <c r="E349" s="65">
        <f>(Tabela2[[#This Row],[Lucro Líquido]])/Tabela2[[#This Row],[Total Ações]]</f>
        <v>1.0800000038122153</v>
      </c>
      <c r="F349" s="65">
        <v>1.4826292830000001</v>
      </c>
      <c r="G349" s="45">
        <f>IF(AND(Tabela2[[#This Row],[Dividendo / Ação]]&gt;0,Tabela2[[#This Row],[Lucro por ação]]&gt;0),Tabela2[[#This Row],[Dividendo / Ação]]/Tabela2[[#This Row],[Lucro por ação]],"")</f>
        <v>1.3728048868209002</v>
      </c>
      <c r="H349" s="6">
        <f>MAX(Tabela2[[#This Row],[Cotação 1]],Tabela2[[#This Row],[Cotação 2]])</f>
        <v>62.04</v>
      </c>
      <c r="I349" s="19">
        <f>IF(Tabela2[[#This Row],[Dividendo / Ação]]&gt;0,Tabela2[[#This Row],[Dividendo / Ação]]/Tabela2[[#This Row],[Cotação]],"")</f>
        <v>2.389795749516441E-2</v>
      </c>
      <c r="J349" s="60">
        <f>SUMPRODUCT(N(Tabela1[Código]=Tabela2[[#This Row],[Ativo]]),Tabela1[Fechamento])</f>
        <v>62.04</v>
      </c>
      <c r="K349" s="60">
        <f>SUMPRODUCT(N(Tabela17[Código]=Tabela2[[#This Row],[Ativo]]),Tabela17[Fechamento])</f>
        <v>0</v>
      </c>
      <c r="L349" s="60">
        <f>SUMPRODUCT(N(Tabela2[Ativo]=Tabela2[[#This Row],[Ativo]]),N(Tabela2[Exercício]=Tabela2[[#This Row],[Exercício]]-1),Tabela2[Lucro Líquido])</f>
        <v>0</v>
      </c>
      <c r="M349" s="19" t="str">
        <f>IF(Tabela2[[#This Row],[Lucro Anterior]]=0,"",IF(Tabela2[[#This Row],[Lucro Líquido]]&gt;0,Tabela2[[#This Row],[Lucro Líquido]]/Tabela2[[#This Row],[Lucro Anterior]]-1,0))</f>
        <v/>
      </c>
    </row>
    <row r="350" spans="1:13" x14ac:dyDescent="0.2">
      <c r="A350" s="4" t="s">
        <v>38</v>
      </c>
      <c r="B350" s="4">
        <v>2012</v>
      </c>
      <c r="C350" s="6">
        <v>324648000</v>
      </c>
      <c r="D350" s="8">
        <f>SUMPRODUCT(N(Tabela3[PAPEL]=Tabela2[[#This Row],[Ativo]]),Tabela3[Total Ações])</f>
        <v>94433283</v>
      </c>
      <c r="E350" s="65">
        <f>(Tabela2[[#This Row],[Lucro Líquido]])/Tabela2[[#This Row],[Total Ações]]</f>
        <v>3.4378556975510426</v>
      </c>
      <c r="F350" s="65">
        <v>3.9972394429999998</v>
      </c>
      <c r="G350" s="45">
        <f>IF(AND(Tabela2[[#This Row],[Dividendo / Ação]]&gt;0,Tabela2[[#This Row],[Lucro por ação]]&gt;0),Tabela2[[#This Row],[Dividendo / Ação]]/Tabela2[[#This Row],[Lucro por ação]],"")</f>
        <v>1.1627129800263096</v>
      </c>
      <c r="H350" s="6">
        <f>MAX(Tabela2[[#This Row],[Cotação 1]],Tabela2[[#This Row],[Cotação 2]])</f>
        <v>61.99</v>
      </c>
      <c r="I350" s="19">
        <f>IF(Tabela2[[#This Row],[Dividendo / Ação]]&gt;0,Tabela2[[#This Row],[Dividendo / Ação]]/Tabela2[[#This Row],[Cotação]],"")</f>
        <v>6.4482004242619767E-2</v>
      </c>
      <c r="J350" s="60">
        <f>SUMPRODUCT(N(Tabela1[Código]=Tabela2[[#This Row],[Ativo]]),Tabela1[Fechamento])</f>
        <v>61.99</v>
      </c>
      <c r="K350" s="60">
        <f>SUMPRODUCT(N(Tabela17[Código]=Tabela2[[#This Row],[Ativo]]),Tabela17[Fechamento])</f>
        <v>0</v>
      </c>
      <c r="L350" s="60">
        <f>SUMPRODUCT(N(Tabela2[Ativo]=Tabela2[[#This Row],[Ativo]]),N(Tabela2[Exercício]=Tabela2[[#This Row],[Exercício]]-1),Tabela2[Lucro Líquido])</f>
        <v>281411183</v>
      </c>
      <c r="M350" s="19">
        <f>IF(Tabela2[[#This Row],[Lucro Anterior]]=0,"",IF(Tabela2[[#This Row],[Lucro Líquido]]&gt;0,Tabela2[[#This Row],[Lucro Líquido]]/Tabela2[[#This Row],[Lucro Anterior]]-1,0))</f>
        <v>0.15364285292102275</v>
      </c>
    </row>
    <row r="351" spans="1:13" x14ac:dyDescent="0.2">
      <c r="A351" s="4" t="s">
        <v>38</v>
      </c>
      <c r="B351" s="4">
        <v>2011</v>
      </c>
      <c r="C351" s="6">
        <v>281411183</v>
      </c>
      <c r="D351" s="8">
        <f>SUMPRODUCT(N(Tabela3[PAPEL]=Tabela2[[#This Row],[Ativo]]),Tabela3[Total Ações])</f>
        <v>94433283</v>
      </c>
      <c r="E351" s="65">
        <f>(Tabela2[[#This Row],[Lucro Líquido]])/Tabela2[[#This Row],[Total Ações]]</f>
        <v>2.9799999963995747</v>
      </c>
      <c r="F351" s="65">
        <v>3.6127542300000002</v>
      </c>
      <c r="G351" s="45">
        <f>IF(AND(Tabela2[[#This Row],[Dividendo / Ação]]&gt;0,Tabela2[[#This Row],[Lucro por ação]]&gt;0),Tabela2[[#This Row],[Dividendo / Ação]]/Tabela2[[#This Row],[Lucro por ação]],"")</f>
        <v>1.2123336356929251</v>
      </c>
      <c r="H351" s="6">
        <f>MAX(Tabela2[[#This Row],[Cotação 1]],Tabela2[[#This Row],[Cotação 2]])</f>
        <v>61.99</v>
      </c>
      <c r="I351" s="19">
        <f>IF(Tabela2[[#This Row],[Dividendo / Ação]]&gt;0,Tabela2[[#This Row],[Dividendo / Ação]]/Tabela2[[#This Row],[Cotação]],"")</f>
        <v>5.8279629456363932E-2</v>
      </c>
      <c r="J351" s="60">
        <f>SUMPRODUCT(N(Tabela1[Código]=Tabela2[[#This Row],[Ativo]]),Tabela1[Fechamento])</f>
        <v>61.99</v>
      </c>
      <c r="K351" s="60">
        <f>SUMPRODUCT(N(Tabela17[Código]=Tabela2[[#This Row],[Ativo]]),Tabela17[Fechamento])</f>
        <v>0</v>
      </c>
      <c r="L351" s="60">
        <f>SUMPRODUCT(N(Tabela2[Ativo]=Tabela2[[#This Row],[Ativo]]),N(Tabela2[Exercício]=Tabela2[[#This Row],[Exercício]]-1),Tabela2[Lucro Líquido])</f>
        <v>183200569</v>
      </c>
      <c r="M351" s="19">
        <f>IF(Tabela2[[#This Row],[Lucro Anterior]]=0,"",IF(Tabela2[[#This Row],[Lucro Líquido]]&gt;0,Tabela2[[#This Row],[Lucro Líquido]]/Tabela2[[#This Row],[Lucro Anterior]]-1,0))</f>
        <v>0.53608247253860886</v>
      </c>
    </row>
    <row r="352" spans="1:13" x14ac:dyDescent="0.2">
      <c r="A352" s="4" t="s">
        <v>38</v>
      </c>
      <c r="B352" s="3">
        <v>2010</v>
      </c>
      <c r="C352" s="5">
        <v>183200569</v>
      </c>
      <c r="D352" s="61">
        <f>SUMPRODUCT(N(Tabela3[PAPEL]=Tabela2[[#This Row],[Ativo]]),Tabela3[Total Ações])</f>
        <v>94433283</v>
      </c>
      <c r="E352" s="64">
        <f>(Tabela2[[#This Row],[Lucro Líquido]])/Tabela2[[#This Row],[Total Ações]]</f>
        <v>1.9399999997882102</v>
      </c>
      <c r="F352" s="64">
        <v>2.6568953610000001</v>
      </c>
      <c r="G352" s="22">
        <f>IF(AND(Tabela2[[#This Row],[Dividendo / Ação]]&gt;0,Tabela2[[#This Row],[Lucro por ação]]&gt;0),Tabela2[[#This Row],[Dividendo / Ação]]/Tabela2[[#This Row],[Lucro por ação]],"")</f>
        <v>1.3695336913866254</v>
      </c>
      <c r="H352" s="5">
        <f>MAX(Tabela2[[#This Row],[Cotação 1]],Tabela2[[#This Row],[Cotação 2]])</f>
        <v>61.99</v>
      </c>
      <c r="I352" s="18">
        <f>IF(Tabela2[[#This Row],[Dividendo / Ação]]&gt;0,Tabela2[[#This Row],[Dividendo / Ação]]/Tabela2[[#This Row],[Cotação]],"")</f>
        <v>4.2860063897402809E-2</v>
      </c>
      <c r="J352" s="59">
        <f>SUMPRODUCT(N(Tabela1[Código]=Tabela2[[#This Row],[Ativo]]),Tabela1[Fechamento])</f>
        <v>61.99</v>
      </c>
      <c r="K352" s="59">
        <f>SUMPRODUCT(N(Tabela17[Código]=Tabela2[[#This Row],[Ativo]]),Tabela17[Fechamento])</f>
        <v>0</v>
      </c>
      <c r="L352" s="59">
        <f>SUMPRODUCT(N(Tabela2[Ativo]=Tabela2[[#This Row],[Ativo]]),N(Tabela2[Exercício]=Tabela2[[#This Row],[Exercício]]-1),Tabela2[Lucro Líquido])</f>
        <v>101987946</v>
      </c>
      <c r="M352" s="18">
        <f>IF(Tabela2[[#This Row],[Lucro Anterior]]=0,"",IF(Tabela2[[#This Row],[Lucro Líquido]]&gt;0,Tabela2[[#This Row],[Lucro Líquido]]/Tabela2[[#This Row],[Lucro Anterior]]-1,0))</f>
        <v>0.796296289759576</v>
      </c>
    </row>
    <row r="353" spans="1:13" x14ac:dyDescent="0.2">
      <c r="A353" s="4" t="s">
        <v>38</v>
      </c>
      <c r="B353" s="3">
        <v>2009</v>
      </c>
      <c r="C353" s="5">
        <v>101987946</v>
      </c>
      <c r="D353" s="61">
        <f>SUMPRODUCT(N(Tabela3[PAPEL]=Tabela2[[#This Row],[Ativo]]),Tabela3[Total Ações])</f>
        <v>94433283</v>
      </c>
      <c r="E353" s="64">
        <f>(Tabela2[[#This Row],[Lucro Líquido]])/Tabela2[[#This Row],[Total Ações]]</f>
        <v>1.0800000038122153</v>
      </c>
      <c r="F353" s="64">
        <v>2.1814776419999999</v>
      </c>
      <c r="G353" s="22">
        <f>IF(AND(Tabela2[[#This Row],[Dividendo / Ação]]&gt;0,Tabela2[[#This Row],[Lucro por ação]]&gt;0),Tabela2[[#This Row],[Dividendo / Ação]]/Tabela2[[#This Row],[Lucro por ação]],"")</f>
        <v>2.0198866984257009</v>
      </c>
      <c r="H353" s="5">
        <f>MAX(Tabela2[[#This Row],[Cotação 1]],Tabela2[[#This Row],[Cotação 2]])</f>
        <v>61.99</v>
      </c>
      <c r="I353" s="18">
        <f>IF(Tabela2[[#This Row],[Dividendo / Ação]]&gt;0,Tabela2[[#This Row],[Dividendo / Ação]]/Tabela2[[#This Row],[Cotação]],"")</f>
        <v>3.519079919341829E-2</v>
      </c>
      <c r="J353" s="59">
        <f>SUMPRODUCT(N(Tabela1[Código]=Tabela2[[#This Row],[Ativo]]),Tabela1[Fechamento])</f>
        <v>61.99</v>
      </c>
      <c r="K353" s="59">
        <f>SUMPRODUCT(N(Tabela17[Código]=Tabela2[[#This Row],[Ativo]]),Tabela17[Fechamento])</f>
        <v>0</v>
      </c>
      <c r="L353" s="59">
        <f>SUMPRODUCT(N(Tabela2[Ativo]=Tabela2[[#This Row],[Ativo]]),N(Tabela2[Exercício]=Tabela2[[#This Row],[Exercício]]-1),Tabela2[Lucro Líquido])</f>
        <v>0</v>
      </c>
      <c r="M353" s="18" t="str">
        <f>IF(Tabela2[[#This Row],[Lucro Anterior]]=0,"",IF(Tabela2[[#This Row],[Lucro Líquido]]&gt;0,Tabela2[[#This Row],[Lucro Líquido]]/Tabela2[[#This Row],[Lucro Anterior]]-1,0))</f>
        <v/>
      </c>
    </row>
    <row r="354" spans="1:13" x14ac:dyDescent="0.2">
      <c r="A354" s="4" t="s">
        <v>29</v>
      </c>
      <c r="B354" s="4">
        <v>2012</v>
      </c>
      <c r="C354" s="6">
        <v>901262803.92999995</v>
      </c>
      <c r="D354" s="8">
        <f>SUMPRODUCT(N(Tabela3[PAPEL]=Tabela2[[#This Row],[Ativo]]),Tabela3[Total Ações])</f>
        <v>381253493</v>
      </c>
      <c r="E354" s="65">
        <f>(Tabela2[[#This Row],[Lucro Líquido]])/Tabela2[[#This Row],[Total Ações]]</f>
        <v>2.363946351909227</v>
      </c>
      <c r="F354" s="65">
        <v>2.4435890119999999</v>
      </c>
      <c r="G354" s="45">
        <f>IF(AND(Tabela2[[#This Row],[Dividendo / Ação]]&gt;0,Tabela2[[#This Row],[Lucro por ação]]&gt;0),Tabela2[[#This Row],[Dividendo / Ação]]/Tabela2[[#This Row],[Lucro por ação]],"")</f>
        <v>1.0336905530984026</v>
      </c>
      <c r="H354" s="6">
        <f>MAX(Tabela2[[#This Row],[Cotação 1]],Tabela2[[#This Row],[Cotação 2]])</f>
        <v>17.239999999999998</v>
      </c>
      <c r="I354" s="19">
        <f>IF(Tabela2[[#This Row],[Dividendo / Ação]]&gt;0,Tabela2[[#This Row],[Dividendo / Ação]]/Tabela2[[#This Row],[Cotação]],"")</f>
        <v>0.1417395018561485</v>
      </c>
      <c r="J354" s="60">
        <f>SUMPRODUCT(N(Tabela1[Código]=Tabela2[[#This Row],[Ativo]]),Tabela1[Fechamento])</f>
        <v>17.239999999999998</v>
      </c>
      <c r="K354" s="60">
        <f>SUMPRODUCT(N(Tabela17[Código]=Tabela2[[#This Row],[Ativo]]),Tabela17[Fechamento])</f>
        <v>0</v>
      </c>
      <c r="L354" s="60">
        <f>SUMPRODUCT(N(Tabela2[Ativo]=Tabela2[[#This Row],[Ativo]]),N(Tabela2[Exercício]=Tabela2[[#This Row],[Exercício]]-1),Tabela2[Lucro Líquido])</f>
        <v>844863980.05999994</v>
      </c>
      <c r="M354" s="19">
        <f>IF(Tabela2[[#This Row],[Lucro Anterior]]=0,"",IF(Tabela2[[#This Row],[Lucro Líquido]]&gt;0,Tabela2[[#This Row],[Lucro Líquido]]/Tabela2[[#This Row],[Lucro Anterior]]-1,0))</f>
        <v>6.6754915822064831E-2</v>
      </c>
    </row>
    <row r="355" spans="1:13" x14ac:dyDescent="0.2">
      <c r="A355" s="4" t="s">
        <v>29</v>
      </c>
      <c r="B355" s="3">
        <v>2011</v>
      </c>
      <c r="C355" s="5">
        <v>844863980.05999994</v>
      </c>
      <c r="D355" s="61">
        <f>SUMPRODUCT(N(Tabela3[PAPEL]=Tabela2[[#This Row],[Ativo]]),Tabela3[Total Ações])</f>
        <v>381253493</v>
      </c>
      <c r="E355" s="64">
        <f>(Tabela2[[#This Row],[Lucro Líquido]])/Tabela2[[#This Row],[Total Ações]]</f>
        <v>2.2160163659405474</v>
      </c>
      <c r="F355" s="64">
        <v>2.307552448</v>
      </c>
      <c r="G355" s="22">
        <f>IF(AND(Tabela2[[#This Row],[Dividendo / Ação]]&gt;0,Tabela2[[#This Row],[Lucro por ação]]&gt;0),Tabela2[[#This Row],[Dividendo / Ação]]/Tabela2[[#This Row],[Lucro por ação]],"")</f>
        <v>1.0413065911724897</v>
      </c>
      <c r="H355" s="5">
        <f>MAX(Tabela2[[#This Row],[Cotação 1]],Tabela2[[#This Row],[Cotação 2]])</f>
        <v>17.239999999999998</v>
      </c>
      <c r="I355" s="18">
        <f>IF(Tabela2[[#This Row],[Dividendo / Ação]]&gt;0,Tabela2[[#This Row],[Dividendo / Ação]]/Tabela2[[#This Row],[Cotação]],"")</f>
        <v>0.13384874988399073</v>
      </c>
      <c r="J355" s="59">
        <f>SUMPRODUCT(N(Tabela1[Código]=Tabela2[[#This Row],[Ativo]]),Tabela1[Fechamento])</f>
        <v>17.239999999999998</v>
      </c>
      <c r="K355" s="59">
        <f>SUMPRODUCT(N(Tabela17[Código]=Tabela2[[#This Row],[Ativo]]),Tabela17[Fechamento])</f>
        <v>0</v>
      </c>
      <c r="L355" s="59">
        <f>SUMPRODUCT(N(Tabela2[Ativo]=Tabela2[[#This Row],[Ativo]]),N(Tabela2[Exercício]=Tabela2[[#This Row],[Exercício]]-1),Tabela2[Lucro Líquido])</f>
        <v>737339863.24000001</v>
      </c>
      <c r="M355" s="18">
        <f>IF(Tabela2[[#This Row],[Lucro Anterior]]=0,"",IF(Tabela2[[#This Row],[Lucro Líquido]]&gt;0,Tabela2[[#This Row],[Lucro Líquido]]/Tabela2[[#This Row],[Lucro Anterior]]-1,0))</f>
        <v>0.14582707673978201</v>
      </c>
    </row>
    <row r="356" spans="1:13" x14ac:dyDescent="0.2">
      <c r="A356" s="4" t="s">
        <v>29</v>
      </c>
      <c r="B356" s="3">
        <v>2010</v>
      </c>
      <c r="C356" s="5">
        <v>737339863.24000001</v>
      </c>
      <c r="D356" s="61">
        <f>SUMPRODUCT(N(Tabela3[PAPEL]=Tabela2[[#This Row],[Ativo]]),Tabela3[Total Ações])</f>
        <v>381253493</v>
      </c>
      <c r="E356" s="64">
        <f>(Tabela2[[#This Row],[Lucro Líquido]])/Tabela2[[#This Row],[Total Ações]]</f>
        <v>1.9339884795232551</v>
      </c>
      <c r="F356" s="64">
        <v>2.1575277719999999</v>
      </c>
      <c r="G356" s="22">
        <f>IF(AND(Tabela2[[#This Row],[Dividendo / Ação]]&gt;0,Tabela2[[#This Row],[Lucro por ação]]&gt;0),Tabela2[[#This Row],[Dividendo / Ação]]/Tabela2[[#This Row],[Lucro por ação]],"")</f>
        <v>1.1155846039640573</v>
      </c>
      <c r="H356" s="5">
        <f>MAX(Tabela2[[#This Row],[Cotação 1]],Tabela2[[#This Row],[Cotação 2]])</f>
        <v>17.239999999999998</v>
      </c>
      <c r="I356" s="18">
        <f>IF(Tabela2[[#This Row],[Dividendo / Ação]]&gt;0,Tabela2[[#This Row],[Dividendo / Ação]]/Tabela2[[#This Row],[Cotação]],"")</f>
        <v>0.12514662250580047</v>
      </c>
      <c r="J356" s="59">
        <f>SUMPRODUCT(N(Tabela1[Código]=Tabela2[[#This Row],[Ativo]]),Tabela1[Fechamento])</f>
        <v>17.239999999999998</v>
      </c>
      <c r="K356" s="59">
        <f>SUMPRODUCT(N(Tabela17[Código]=Tabela2[[#This Row],[Ativo]]),Tabela17[Fechamento])</f>
        <v>0</v>
      </c>
      <c r="L356" s="59">
        <f>SUMPRODUCT(N(Tabela2[Ativo]=Tabela2[[#This Row],[Ativo]]),N(Tabela2[Exercício]=Tabela2[[#This Row],[Exercício]]-1),Tabela2[Lucro Líquido])</f>
        <v>780235000</v>
      </c>
      <c r="M356" s="18">
        <f>IF(Tabela2[[#This Row],[Lucro Anterior]]=0,"",IF(Tabela2[[#This Row],[Lucro Líquido]]&gt;0,Tabela2[[#This Row],[Lucro Líquido]]/Tabela2[[#This Row],[Lucro Anterior]]-1,0))</f>
        <v>-5.4977201432901635E-2</v>
      </c>
    </row>
    <row r="357" spans="1:13" x14ac:dyDescent="0.2">
      <c r="A357" s="4" t="s">
        <v>29</v>
      </c>
      <c r="B357" s="3">
        <v>2009</v>
      </c>
      <c r="C357" s="5">
        <v>780235000</v>
      </c>
      <c r="D357" s="61">
        <f>SUMPRODUCT(N(Tabela3[PAPEL]=Tabela2[[#This Row],[Ativo]]),Tabela3[Total Ações])</f>
        <v>381253493</v>
      </c>
      <c r="E357" s="64">
        <f>(Tabela2[[#This Row],[Lucro Líquido]])/Tabela2[[#This Row],[Total Ações]]</f>
        <v>2.0464992828275541</v>
      </c>
      <c r="F357" s="64">
        <v>1.9523818630000001</v>
      </c>
      <c r="G357" s="22">
        <f>IF(AND(Tabela2[[#This Row],[Dividendo / Ação]]&gt;0,Tabela2[[#This Row],[Lucro por ação]]&gt;0),Tabela2[[#This Row],[Dividendo / Ação]]/Tabela2[[#This Row],[Lucro por ação]],"")</f>
        <v>0.95401052880042236</v>
      </c>
      <c r="H357" s="5">
        <f>MAX(Tabela2[[#This Row],[Cotação 1]],Tabela2[[#This Row],[Cotação 2]])</f>
        <v>17.239999999999998</v>
      </c>
      <c r="I357" s="18">
        <f>IF(Tabela2[[#This Row],[Dividendo / Ação]]&gt;0,Tabela2[[#This Row],[Dividendo / Ação]]/Tabela2[[#This Row],[Cotação]],"")</f>
        <v>0.11324720783062646</v>
      </c>
      <c r="J357" s="59">
        <f>SUMPRODUCT(N(Tabela1[Código]=Tabela2[[#This Row],[Ativo]]),Tabela1[Fechamento])</f>
        <v>17.239999999999998</v>
      </c>
      <c r="K357" s="59">
        <f>SUMPRODUCT(N(Tabela17[Código]=Tabela2[[#This Row],[Ativo]]),Tabela17[Fechamento])</f>
        <v>0</v>
      </c>
      <c r="L357" s="59">
        <f>SUMPRODUCT(N(Tabela2[Ativo]=Tabela2[[#This Row],[Ativo]]),N(Tabela2[Exercício]=Tabela2[[#This Row],[Exercício]]-1),Tabela2[Lucro Líquido])</f>
        <v>0</v>
      </c>
      <c r="M357" s="18" t="str">
        <f>IF(Tabela2[[#This Row],[Lucro Anterior]]=0,"",IF(Tabela2[[#This Row],[Lucro Líquido]]&gt;0,Tabela2[[#This Row],[Lucro Líquido]]/Tabela2[[#This Row],[Lucro Anterior]]-1,0))</f>
        <v/>
      </c>
    </row>
    <row r="358" spans="1:13" x14ac:dyDescent="0.2">
      <c r="A358" s="4" t="s">
        <v>33</v>
      </c>
      <c r="B358" s="4">
        <v>2012</v>
      </c>
      <c r="C358" s="6">
        <v>901262803.92999995</v>
      </c>
      <c r="D358" s="8">
        <f>SUMPRODUCT(N(Tabela3[PAPEL]=Tabela2[[#This Row],[Ativo]]),Tabela3[Total Ações])</f>
        <v>381253493</v>
      </c>
      <c r="E358" s="65">
        <f>(Tabela2[[#This Row],[Lucro Líquido]])/Tabela2[[#This Row],[Total Ações]]</f>
        <v>2.363946351909227</v>
      </c>
      <c r="F358" s="65">
        <v>2.687947914</v>
      </c>
      <c r="G358" s="45">
        <f>IF(AND(Tabela2[[#This Row],[Dividendo / Ação]]&gt;0,Tabela2[[#This Row],[Lucro por ação]]&gt;0),Tabela2[[#This Row],[Dividendo / Ação]]/Tabela2[[#This Row],[Lucro por ação]],"")</f>
        <v>1.13705960874666</v>
      </c>
      <c r="H358" s="6">
        <f>MAX(Tabela2[[#This Row],[Cotação 1]],Tabela2[[#This Row],[Cotação 2]])</f>
        <v>18.760000000000002</v>
      </c>
      <c r="I358" s="19">
        <f>IF(Tabela2[[#This Row],[Dividendo / Ação]]&gt;0,Tabela2[[#This Row],[Dividendo / Ação]]/Tabela2[[#This Row],[Cotação]],"")</f>
        <v>0.14328080565031981</v>
      </c>
      <c r="J358" s="60">
        <f>SUMPRODUCT(N(Tabela1[Código]=Tabela2[[#This Row],[Ativo]]),Tabela1[Fechamento])</f>
        <v>18.760000000000002</v>
      </c>
      <c r="K358" s="60">
        <f>SUMPRODUCT(N(Tabela17[Código]=Tabela2[[#This Row],[Ativo]]),Tabela17[Fechamento])</f>
        <v>0</v>
      </c>
      <c r="L358" s="60">
        <f>SUMPRODUCT(N(Tabela2[Ativo]=Tabela2[[#This Row],[Ativo]]),N(Tabela2[Exercício]=Tabela2[[#This Row],[Exercício]]-1),Tabela2[Lucro Líquido])</f>
        <v>844863980.05999994</v>
      </c>
      <c r="M358" s="19">
        <f>IF(Tabela2[[#This Row],[Lucro Anterior]]=0,"",IF(Tabela2[[#This Row],[Lucro Líquido]]&gt;0,Tabela2[[#This Row],[Lucro Líquido]]/Tabela2[[#This Row],[Lucro Anterior]]-1,0))</f>
        <v>6.6754915822064831E-2</v>
      </c>
    </row>
    <row r="359" spans="1:13" x14ac:dyDescent="0.2">
      <c r="A359" s="4" t="s">
        <v>33</v>
      </c>
      <c r="B359" s="4">
        <v>2011</v>
      </c>
      <c r="C359" s="5">
        <v>844863980.05999994</v>
      </c>
      <c r="D359" s="8">
        <f>SUMPRODUCT(N(Tabela3[PAPEL]=Tabela2[[#This Row],[Ativo]]),Tabela3[Total Ações])</f>
        <v>381253493</v>
      </c>
      <c r="E359" s="65">
        <f>(Tabela2[[#This Row],[Lucro Líquido]])/Tabela2[[#This Row],[Total Ações]]</f>
        <v>2.2160163659405474</v>
      </c>
      <c r="F359" s="65">
        <v>2.5383076930000001</v>
      </c>
      <c r="G359" s="45">
        <f>IF(AND(Tabela2[[#This Row],[Dividendo / Ação]]&gt;0,Tabela2[[#This Row],[Lucro por ação]]&gt;0),Tabela2[[#This Row],[Dividendo / Ação]]/Tabela2[[#This Row],[Lucro por ação]],"")</f>
        <v>1.1454372503799908</v>
      </c>
      <c r="H359" s="6">
        <f>MAX(Tabela2[[#This Row],[Cotação 1]],Tabela2[[#This Row],[Cotação 2]])</f>
        <v>18.760000000000002</v>
      </c>
      <c r="I359" s="19">
        <f>IF(Tabela2[[#This Row],[Dividendo / Ação]]&gt;0,Tabela2[[#This Row],[Dividendo / Ação]]/Tabela2[[#This Row],[Cotação]],"")</f>
        <v>0.13530424802771854</v>
      </c>
      <c r="J359" s="60">
        <f>SUMPRODUCT(N(Tabela1[Código]=Tabela2[[#This Row],[Ativo]]),Tabela1[Fechamento])</f>
        <v>18.760000000000002</v>
      </c>
      <c r="K359" s="60">
        <f>SUMPRODUCT(N(Tabela17[Código]=Tabela2[[#This Row],[Ativo]]),Tabela17[Fechamento])</f>
        <v>0</v>
      </c>
      <c r="L359" s="60">
        <f>SUMPRODUCT(N(Tabela2[Ativo]=Tabela2[[#This Row],[Ativo]]),N(Tabela2[Exercício]=Tabela2[[#This Row],[Exercício]]-1),Tabela2[Lucro Líquido])</f>
        <v>737339863.24000001</v>
      </c>
      <c r="M359" s="19">
        <f>IF(Tabela2[[#This Row],[Lucro Anterior]]=0,"",IF(Tabela2[[#This Row],[Lucro Líquido]]&gt;0,Tabela2[[#This Row],[Lucro Líquido]]/Tabela2[[#This Row],[Lucro Anterior]]-1,0))</f>
        <v>0.14582707673978201</v>
      </c>
    </row>
    <row r="360" spans="1:13" x14ac:dyDescent="0.2">
      <c r="A360" s="4" t="s">
        <v>33</v>
      </c>
      <c r="B360" s="4">
        <v>2010</v>
      </c>
      <c r="C360" s="5">
        <v>737339863.24000001</v>
      </c>
      <c r="D360" s="8">
        <f>SUMPRODUCT(N(Tabela3[PAPEL]=Tabela2[[#This Row],[Ativo]]),Tabela3[Total Ações])</f>
        <v>381253493</v>
      </c>
      <c r="E360" s="65">
        <f>(Tabela2[[#This Row],[Lucro Líquido]])/Tabela2[[#This Row],[Total Ações]]</f>
        <v>1.9339884795232551</v>
      </c>
      <c r="F360" s="65">
        <v>2.373280549</v>
      </c>
      <c r="G360" s="45">
        <f>IF(AND(Tabela2[[#This Row],[Dividendo / Ação]]&gt;0,Tabela2[[#This Row],[Lucro por ação]]&gt;0),Tabela2[[#This Row],[Dividendo / Ação]]/Tabela2[[#This Row],[Lucro por ação]],"")</f>
        <v>1.2271430642570498</v>
      </c>
      <c r="H360" s="6">
        <f>MAX(Tabela2[[#This Row],[Cotação 1]],Tabela2[[#This Row],[Cotação 2]])</f>
        <v>18.760000000000002</v>
      </c>
      <c r="I360" s="19">
        <f>IF(Tabela2[[#This Row],[Dividendo / Ação]]&gt;0,Tabela2[[#This Row],[Dividendo / Ação]]/Tabela2[[#This Row],[Cotação]],"")</f>
        <v>0.12650749195095948</v>
      </c>
      <c r="J360" s="60">
        <f>SUMPRODUCT(N(Tabela1[Código]=Tabela2[[#This Row],[Ativo]]),Tabela1[Fechamento])</f>
        <v>18.760000000000002</v>
      </c>
      <c r="K360" s="60">
        <f>SUMPRODUCT(N(Tabela17[Código]=Tabela2[[#This Row],[Ativo]]),Tabela17[Fechamento])</f>
        <v>0</v>
      </c>
      <c r="L360" s="60">
        <f>SUMPRODUCT(N(Tabela2[Ativo]=Tabela2[[#This Row],[Ativo]]),N(Tabela2[Exercício]=Tabela2[[#This Row],[Exercício]]-1),Tabela2[Lucro Líquido])</f>
        <v>780235000</v>
      </c>
      <c r="M360" s="19">
        <f>IF(Tabela2[[#This Row],[Lucro Anterior]]=0,"",IF(Tabela2[[#This Row],[Lucro Líquido]]&gt;0,Tabela2[[#This Row],[Lucro Líquido]]/Tabela2[[#This Row],[Lucro Anterior]]-1,0))</f>
        <v>-5.4977201432901635E-2</v>
      </c>
    </row>
    <row r="361" spans="1:13" x14ac:dyDescent="0.2">
      <c r="A361" s="4" t="s">
        <v>33</v>
      </c>
      <c r="B361" s="4">
        <v>2009</v>
      </c>
      <c r="C361" s="5">
        <v>780235000</v>
      </c>
      <c r="D361" s="8">
        <f>SUMPRODUCT(N(Tabela3[PAPEL]=Tabela2[[#This Row],[Ativo]]),Tabela3[Total Ações])</f>
        <v>381253493</v>
      </c>
      <c r="E361" s="65">
        <f>(Tabela2[[#This Row],[Lucro Líquido]])/Tabela2[[#This Row],[Total Ações]]</f>
        <v>2.0464992828275541</v>
      </c>
      <c r="F361" s="65">
        <v>2.1476200489999999</v>
      </c>
      <c r="G361" s="45">
        <f>IF(AND(Tabela2[[#This Row],[Dividendo / Ação]]&gt;0,Tabela2[[#This Row],[Lucro por ação]]&gt;0),Tabela2[[#This Row],[Dividendo / Ação]]/Tabela2[[#This Row],[Lucro por ação]],"")</f>
        <v>1.0494115815338727</v>
      </c>
      <c r="H361" s="6">
        <f>MAX(Tabela2[[#This Row],[Cotação 1]],Tabela2[[#This Row],[Cotação 2]])</f>
        <v>18.760000000000002</v>
      </c>
      <c r="I361" s="19">
        <f>IF(Tabela2[[#This Row],[Dividendo / Ação]]&gt;0,Tabela2[[#This Row],[Dividendo / Ação]]/Tabela2[[#This Row],[Cotação]],"")</f>
        <v>0.11447868065031981</v>
      </c>
      <c r="J361" s="60">
        <f>SUMPRODUCT(N(Tabela1[Código]=Tabela2[[#This Row],[Ativo]]),Tabela1[Fechamento])</f>
        <v>18.760000000000002</v>
      </c>
      <c r="K361" s="60">
        <f>SUMPRODUCT(N(Tabela17[Código]=Tabela2[[#This Row],[Ativo]]),Tabela17[Fechamento])</f>
        <v>0</v>
      </c>
      <c r="L361" s="60">
        <f>SUMPRODUCT(N(Tabela2[Ativo]=Tabela2[[#This Row],[Ativo]]),N(Tabela2[Exercício]=Tabela2[[#This Row],[Exercício]]-1),Tabela2[Lucro Líquido])</f>
        <v>0</v>
      </c>
      <c r="M361" s="19" t="str">
        <f>IF(Tabela2[[#This Row],[Lucro Anterior]]=0,"",IF(Tabela2[[#This Row],[Lucro Líquido]]&gt;0,Tabela2[[#This Row],[Lucro Líquido]]/Tabela2[[#This Row],[Lucro Anterior]]-1,0))</f>
        <v/>
      </c>
    </row>
    <row r="362" spans="1:13" x14ac:dyDescent="0.2">
      <c r="A362" s="4" t="s">
        <v>189</v>
      </c>
      <c r="B362" s="4">
        <v>2012</v>
      </c>
      <c r="C362" s="6">
        <v>3061251.15</v>
      </c>
      <c r="D362" s="8">
        <f>SUMPRODUCT(N(Tabela3[PAPEL]=Tabela2[[#This Row],[Ativo]]),Tabela3[Total Ações])</f>
        <v>166355563</v>
      </c>
      <c r="E362" s="65">
        <f>(Tabela2[[#This Row],[Lucro Líquido]])/Tabela2[[#This Row],[Total Ações]]</f>
        <v>1.8401856209641753E-2</v>
      </c>
      <c r="F362" s="65">
        <v>1.6664410399999999E-2</v>
      </c>
      <c r="G362" s="45">
        <f>IF(AND(Tabela2[[#This Row],[Dividendo / Ação]]&gt;0,Tabela2[[#This Row],[Lucro por ação]]&gt;0),Tabela2[[#This Row],[Dividendo / Ação]]/Tabela2[[#This Row],[Lucro por ação]],"")</f>
        <v>0.90558312216724046</v>
      </c>
      <c r="H362" s="6">
        <f>MAX(Tabela2[[#This Row],[Cotação 1]],Tabela2[[#This Row],[Cotação 2]])</f>
        <v>0.13</v>
      </c>
      <c r="I362" s="19">
        <f>IF(Tabela2[[#This Row],[Dividendo / Ação]]&gt;0,Tabela2[[#This Row],[Dividendo / Ação]]/Tabela2[[#This Row],[Cotação]],"")</f>
        <v>0.12818777230769229</v>
      </c>
      <c r="J362" s="60">
        <f>SUMPRODUCT(N(Tabela1[Código]=Tabela2[[#This Row],[Ativo]]),Tabela1[Fechamento])</f>
        <v>0.13</v>
      </c>
      <c r="K362" s="60">
        <f>SUMPRODUCT(N(Tabela17[Código]=Tabela2[[#This Row],[Ativo]]),Tabela17[Fechamento])</f>
        <v>0</v>
      </c>
      <c r="L362" s="60">
        <f>SUMPRODUCT(N(Tabela2[Ativo]=Tabela2[[#This Row],[Ativo]]),N(Tabela2[Exercício]=Tabela2[[#This Row],[Exercício]]-1),Tabela2[Lucro Líquido])</f>
        <v>2796437</v>
      </c>
      <c r="M362" s="19">
        <f>IF(Tabela2[[#This Row],[Lucro Anterior]]=0,"",IF(Tabela2[[#This Row],[Lucro Líquido]]&gt;0,Tabela2[[#This Row],[Lucro Líquido]]/Tabela2[[#This Row],[Lucro Anterior]]-1,0))</f>
        <v>9.4696984055067102E-2</v>
      </c>
    </row>
    <row r="363" spans="1:13" x14ac:dyDescent="0.2">
      <c r="A363" s="4" t="s">
        <v>189</v>
      </c>
      <c r="B363" s="3">
        <v>2011</v>
      </c>
      <c r="C363" s="5">
        <v>2796437</v>
      </c>
      <c r="D363" s="61">
        <f>SUMPRODUCT(N(Tabela3[PAPEL]=Tabela2[[#This Row],[Ativo]]),Tabela3[Total Ações])</f>
        <v>166355563</v>
      </c>
      <c r="E363" s="64">
        <f>(Tabela2[[#This Row],[Lucro Líquido]])/Tabela2[[#This Row],[Total Ações]]</f>
        <v>1.6809999915662573E-2</v>
      </c>
      <c r="F363" s="64">
        <v>1.4520999999999999E-2</v>
      </c>
      <c r="G363" s="22">
        <f>IF(AND(Tabela2[[#This Row],[Dividendo / Ação]]&gt;0,Tabela2[[#This Row],[Lucro por ação]]&gt;0),Tabela2[[#This Row],[Dividendo / Ação]]/Tabela2[[#This Row],[Lucro por ação]],"")</f>
        <v>0.86383105727860132</v>
      </c>
      <c r="H363" s="5">
        <f>MAX(Tabela2[[#This Row],[Cotação 1]],Tabela2[[#This Row],[Cotação 2]])</f>
        <v>0.13</v>
      </c>
      <c r="I363" s="18">
        <f>IF(Tabela2[[#This Row],[Dividendo / Ação]]&gt;0,Tabela2[[#This Row],[Dividendo / Ação]]/Tabela2[[#This Row],[Cotação]],"")</f>
        <v>0.11169999999999999</v>
      </c>
      <c r="J363" s="59">
        <f>SUMPRODUCT(N(Tabela1[Código]=Tabela2[[#This Row],[Ativo]]),Tabela1[Fechamento])</f>
        <v>0.13</v>
      </c>
      <c r="K363" s="59">
        <f>SUMPRODUCT(N(Tabela17[Código]=Tabela2[[#This Row],[Ativo]]),Tabela17[Fechamento])</f>
        <v>0</v>
      </c>
      <c r="L363" s="59">
        <f>SUMPRODUCT(N(Tabela2[Ativo]=Tabela2[[#This Row],[Ativo]]),N(Tabela2[Exercício]=Tabela2[[#This Row],[Exercício]]-1),Tabela2[Lucro Líquido])</f>
        <v>2520287</v>
      </c>
      <c r="M363" s="18">
        <f>IF(Tabela2[[#This Row],[Lucro Anterior]]=0,"",IF(Tabela2[[#This Row],[Lucro Líquido]]&gt;0,Tabela2[[#This Row],[Lucro Líquido]]/Tabela2[[#This Row],[Lucro Anterior]]-1,0))</f>
        <v>0.10957085443046766</v>
      </c>
    </row>
    <row r="364" spans="1:13" x14ac:dyDescent="0.2">
      <c r="A364" s="4" t="s">
        <v>189</v>
      </c>
      <c r="B364" s="3">
        <v>2010</v>
      </c>
      <c r="C364" s="5">
        <v>2520287</v>
      </c>
      <c r="D364" s="61">
        <f>SUMPRODUCT(N(Tabela3[PAPEL]=Tabela2[[#This Row],[Ativo]]),Tabela3[Total Ações])</f>
        <v>166355563</v>
      </c>
      <c r="E364" s="64">
        <f>(Tabela2[[#This Row],[Lucro Líquido]])/Tabela2[[#This Row],[Total Ações]]</f>
        <v>1.5150001325774719E-2</v>
      </c>
      <c r="F364" s="64">
        <v>2.696E-3</v>
      </c>
      <c r="G364" s="22">
        <f>IF(AND(Tabela2[[#This Row],[Dividendo / Ação]]&gt;0,Tabela2[[#This Row],[Lucro por ação]]&gt;0),Tabela2[[#This Row],[Dividendo / Ação]]/Tabela2[[#This Row],[Lucro por ação]],"")</f>
        <v>0.17795377980682361</v>
      </c>
      <c r="H364" s="5">
        <f>MAX(Tabela2[[#This Row],[Cotação 1]],Tabela2[[#This Row],[Cotação 2]])</f>
        <v>0.13</v>
      </c>
      <c r="I364" s="18">
        <f>IF(Tabela2[[#This Row],[Dividendo / Ação]]&gt;0,Tabela2[[#This Row],[Dividendo / Ação]]/Tabela2[[#This Row],[Cotação]],"")</f>
        <v>2.0738461538461539E-2</v>
      </c>
      <c r="J364" s="59">
        <f>SUMPRODUCT(N(Tabela1[Código]=Tabela2[[#This Row],[Ativo]]),Tabela1[Fechamento])</f>
        <v>0.13</v>
      </c>
      <c r="K364" s="59">
        <f>SUMPRODUCT(N(Tabela17[Código]=Tabela2[[#This Row],[Ativo]]),Tabela17[Fechamento])</f>
        <v>0</v>
      </c>
      <c r="L364" s="59">
        <f>SUMPRODUCT(N(Tabela2[Ativo]=Tabela2[[#This Row],[Ativo]]),N(Tabela2[Exercício]=Tabela2[[#This Row],[Exercício]]-1),Tabela2[Lucro Líquido])</f>
        <v>1605331</v>
      </c>
      <c r="M364" s="18">
        <f>IF(Tabela2[[#This Row],[Lucro Anterior]]=0,"",IF(Tabela2[[#This Row],[Lucro Líquido]]&gt;0,Tabela2[[#This Row],[Lucro Líquido]]/Tabela2[[#This Row],[Lucro Anterior]]-1,0))</f>
        <v>0.56994850283212628</v>
      </c>
    </row>
    <row r="365" spans="1:13" x14ac:dyDescent="0.2">
      <c r="A365" s="4" t="s">
        <v>189</v>
      </c>
      <c r="B365" s="3">
        <v>2009</v>
      </c>
      <c r="C365" s="5">
        <v>1605331</v>
      </c>
      <c r="D365" s="61">
        <f>SUMPRODUCT(N(Tabela3[PAPEL]=Tabela2[[#This Row],[Ativo]]),Tabela3[Total Ações])</f>
        <v>166355563</v>
      </c>
      <c r="E365" s="64">
        <f>(Tabela2[[#This Row],[Lucro Líquido]])/Tabela2[[#This Row],[Total Ações]]</f>
        <v>9.6499989002471771E-3</v>
      </c>
      <c r="F365" s="64">
        <v>1.01E-2</v>
      </c>
      <c r="G365" s="22">
        <f>IF(AND(Tabela2[[#This Row],[Dividendo / Ação]]&gt;0,Tabela2[[#This Row],[Lucro por ação]]&gt;0),Tabela2[[#This Row],[Dividendo / Ação]]/Tabela2[[#This Row],[Lucro por ação]],"")</f>
        <v>1.0466322436307527</v>
      </c>
      <c r="H365" s="5">
        <f>MAX(Tabela2[[#This Row],[Cotação 1]],Tabela2[[#This Row],[Cotação 2]])</f>
        <v>0.13</v>
      </c>
      <c r="I365" s="18">
        <f>IF(Tabela2[[#This Row],[Dividendo / Ação]]&gt;0,Tabela2[[#This Row],[Dividendo / Ação]]/Tabela2[[#This Row],[Cotação]],"")</f>
        <v>7.7692307692307686E-2</v>
      </c>
      <c r="J365" s="59">
        <f>SUMPRODUCT(N(Tabela1[Código]=Tabela2[[#This Row],[Ativo]]),Tabela1[Fechamento])</f>
        <v>0.13</v>
      </c>
      <c r="K365" s="59">
        <f>SUMPRODUCT(N(Tabela17[Código]=Tabela2[[#This Row],[Ativo]]),Tabela17[Fechamento])</f>
        <v>0</v>
      </c>
      <c r="L365" s="59">
        <f>SUMPRODUCT(N(Tabela2[Ativo]=Tabela2[[#This Row],[Ativo]]),N(Tabela2[Exercício]=Tabela2[[#This Row],[Exercício]]-1),Tabela2[Lucro Líquido])</f>
        <v>0</v>
      </c>
      <c r="M365" s="18" t="str">
        <f>IF(Tabela2[[#This Row],[Lucro Anterior]]=0,"",IF(Tabela2[[#This Row],[Lucro Líquido]]&gt;0,Tabela2[[#This Row],[Lucro Líquido]]/Tabela2[[#This Row],[Lucro Anterior]]-1,0))</f>
        <v/>
      </c>
    </row>
    <row r="366" spans="1:13" x14ac:dyDescent="0.2">
      <c r="A366" s="4" t="s">
        <v>190</v>
      </c>
      <c r="B366" s="4">
        <v>2012</v>
      </c>
      <c r="C366" s="6">
        <v>3061251.15</v>
      </c>
      <c r="D366" s="8">
        <f>SUMPRODUCT(N(Tabela3[PAPEL]=Tabela2[[#This Row],[Ativo]]),Tabela3[Total Ações])</f>
        <v>166355563</v>
      </c>
      <c r="E366" s="65">
        <f>(Tabela2[[#This Row],[Lucro Líquido]])/Tabela2[[#This Row],[Total Ações]]</f>
        <v>1.8401856209641753E-2</v>
      </c>
      <c r="F366" s="65">
        <v>1.8330851400000001E-2</v>
      </c>
      <c r="G366" s="45">
        <f>IF(AND(Tabela2[[#This Row],[Dividendo / Ação]]&gt;0,Tabela2[[#This Row],[Lucro por ação]]&gt;0),Tabela2[[#This Row],[Dividendo / Ação]]/Tabela2[[#This Row],[Lucro por ação]],"")</f>
        <v>0.99614143221027074</v>
      </c>
      <c r="H366" s="6">
        <f>MAX(Tabela2[[#This Row],[Cotação 1]],Tabela2[[#This Row],[Cotação 2]])</f>
        <v>0.12</v>
      </c>
      <c r="I366" s="19">
        <f>IF(Tabela2[[#This Row],[Dividendo / Ação]]&gt;0,Tabela2[[#This Row],[Dividendo / Ação]]/Tabela2[[#This Row],[Cotação]],"")</f>
        <v>0.15275709500000001</v>
      </c>
      <c r="J366" s="60">
        <f>SUMPRODUCT(N(Tabela1[Código]=Tabela2[[#This Row],[Ativo]]),Tabela1[Fechamento])</f>
        <v>0.12</v>
      </c>
      <c r="K366" s="60">
        <f>SUMPRODUCT(N(Tabela17[Código]=Tabela2[[#This Row],[Ativo]]),Tabela17[Fechamento])</f>
        <v>0</v>
      </c>
      <c r="L366" s="60">
        <f>SUMPRODUCT(N(Tabela2[Ativo]=Tabela2[[#This Row],[Ativo]]),N(Tabela2[Exercício]=Tabela2[[#This Row],[Exercício]]-1),Tabela2[Lucro Líquido])</f>
        <v>2796437</v>
      </c>
      <c r="M366" s="19">
        <f>IF(Tabela2[[#This Row],[Lucro Anterior]]=0,"",IF(Tabela2[[#This Row],[Lucro Líquido]]&gt;0,Tabela2[[#This Row],[Lucro Líquido]]/Tabela2[[#This Row],[Lucro Anterior]]-1,0))</f>
        <v>9.4696984055067102E-2</v>
      </c>
    </row>
    <row r="367" spans="1:13" x14ac:dyDescent="0.2">
      <c r="A367" s="4" t="s">
        <v>190</v>
      </c>
      <c r="B367" s="4">
        <v>2011</v>
      </c>
      <c r="C367" s="5">
        <v>2796437</v>
      </c>
      <c r="D367" s="8">
        <f>SUMPRODUCT(N(Tabela3[PAPEL]=Tabela2[[#This Row],[Ativo]]),Tabela3[Total Ações])</f>
        <v>166355563</v>
      </c>
      <c r="E367" s="65">
        <f>(Tabela2[[#This Row],[Lucro Líquido]])/Tabela2[[#This Row],[Total Ações]]</f>
        <v>1.6809999915662573E-2</v>
      </c>
      <c r="F367" s="65">
        <v>1.5972E-2</v>
      </c>
      <c r="G367" s="45">
        <f>IF(AND(Tabela2[[#This Row],[Dividendo / Ação]]&gt;0,Tabela2[[#This Row],[Lucro por ação]]&gt;0),Tabela2[[#This Row],[Dividendo / Ação]]/Tabela2[[#This Row],[Lucro por ação]],"")</f>
        <v>0.95014872576639497</v>
      </c>
      <c r="H367" s="6">
        <f>MAX(Tabela2[[#This Row],[Cotação 1]],Tabela2[[#This Row],[Cotação 2]])</f>
        <v>0.12</v>
      </c>
      <c r="I367" s="19">
        <f>IF(Tabela2[[#This Row],[Dividendo / Ação]]&gt;0,Tabela2[[#This Row],[Dividendo / Ação]]/Tabela2[[#This Row],[Cotação]],"")</f>
        <v>0.1331</v>
      </c>
      <c r="J367" s="60">
        <f>SUMPRODUCT(N(Tabela1[Código]=Tabela2[[#This Row],[Ativo]]),Tabela1[Fechamento])</f>
        <v>0.12</v>
      </c>
      <c r="K367" s="60">
        <f>SUMPRODUCT(N(Tabela17[Código]=Tabela2[[#This Row],[Ativo]]),Tabela17[Fechamento])</f>
        <v>0</v>
      </c>
      <c r="L367" s="60">
        <f>SUMPRODUCT(N(Tabela2[Ativo]=Tabela2[[#This Row],[Ativo]]),N(Tabela2[Exercício]=Tabela2[[#This Row],[Exercício]]-1),Tabela2[Lucro Líquido])</f>
        <v>2520287</v>
      </c>
      <c r="M367" s="19">
        <f>IF(Tabela2[[#This Row],[Lucro Anterior]]=0,"",IF(Tabela2[[#This Row],[Lucro Líquido]]&gt;0,Tabela2[[#This Row],[Lucro Líquido]]/Tabela2[[#This Row],[Lucro Anterior]]-1,0))</f>
        <v>0.10957085443046766</v>
      </c>
    </row>
    <row r="368" spans="1:13" x14ac:dyDescent="0.2">
      <c r="A368" s="4" t="s">
        <v>190</v>
      </c>
      <c r="B368" s="4">
        <v>2010</v>
      </c>
      <c r="C368" s="5">
        <v>2520287</v>
      </c>
      <c r="D368" s="8">
        <f>SUMPRODUCT(N(Tabela3[PAPEL]=Tabela2[[#This Row],[Ativo]]),Tabela3[Total Ações])</f>
        <v>166355563</v>
      </c>
      <c r="E368" s="65">
        <f>(Tabela2[[#This Row],[Lucro Líquido]])/Tabela2[[#This Row],[Total Ações]]</f>
        <v>1.5150001325774719E-2</v>
      </c>
      <c r="F368" s="65">
        <v>3.0049999999999999E-3</v>
      </c>
      <c r="G368" s="45">
        <f>IF(AND(Tabela2[[#This Row],[Dividendo / Ação]]&gt;0,Tabela2[[#This Row],[Lucro por ação]]&gt;0),Tabela2[[#This Row],[Dividendo / Ação]]/Tabela2[[#This Row],[Lucro por ação]],"")</f>
        <v>0.1983498176259291</v>
      </c>
      <c r="H368" s="6">
        <f>MAX(Tabela2[[#This Row],[Cotação 1]],Tabela2[[#This Row],[Cotação 2]])</f>
        <v>0.12</v>
      </c>
      <c r="I368" s="19">
        <f>IF(Tabela2[[#This Row],[Dividendo / Ação]]&gt;0,Tabela2[[#This Row],[Dividendo / Ação]]/Tabela2[[#This Row],[Cotação]],"")</f>
        <v>2.5041666666666667E-2</v>
      </c>
      <c r="J368" s="60">
        <f>SUMPRODUCT(N(Tabela1[Código]=Tabela2[[#This Row],[Ativo]]),Tabela1[Fechamento])</f>
        <v>0.12</v>
      </c>
      <c r="K368" s="60">
        <f>SUMPRODUCT(N(Tabela17[Código]=Tabela2[[#This Row],[Ativo]]),Tabela17[Fechamento])</f>
        <v>0</v>
      </c>
      <c r="L368" s="60">
        <f>SUMPRODUCT(N(Tabela2[Ativo]=Tabela2[[#This Row],[Ativo]]),N(Tabela2[Exercício]=Tabela2[[#This Row],[Exercício]]-1),Tabela2[Lucro Líquido])</f>
        <v>1605331</v>
      </c>
      <c r="M368" s="19">
        <f>IF(Tabela2[[#This Row],[Lucro Anterior]]=0,"",IF(Tabela2[[#This Row],[Lucro Líquido]]&gt;0,Tabela2[[#This Row],[Lucro Líquido]]/Tabela2[[#This Row],[Lucro Anterior]]-1,0))</f>
        <v>0.56994850283212628</v>
      </c>
    </row>
    <row r="369" spans="1:14" x14ac:dyDescent="0.2">
      <c r="A369" s="4" t="s">
        <v>190</v>
      </c>
      <c r="B369" s="4">
        <v>2009</v>
      </c>
      <c r="C369" s="5">
        <v>1605331</v>
      </c>
      <c r="D369" s="8">
        <f>SUMPRODUCT(N(Tabela3[PAPEL]=Tabela2[[#This Row],[Ativo]]),Tabela3[Total Ações])</f>
        <v>166355563</v>
      </c>
      <c r="E369" s="65">
        <f>(Tabela2[[#This Row],[Lucro Líquido]])/Tabela2[[#This Row],[Total Ações]]</f>
        <v>9.6499989002471771E-3</v>
      </c>
      <c r="F369" s="65">
        <v>1.11E-2</v>
      </c>
      <c r="G369" s="45">
        <f>IF(AND(Tabela2[[#This Row],[Dividendo / Ação]]&gt;0,Tabela2[[#This Row],[Lucro por ação]]&gt;0),Tabela2[[#This Row],[Dividendo / Ação]]/Tabela2[[#This Row],[Lucro por ação]],"")</f>
        <v>1.1502591984456789</v>
      </c>
      <c r="H369" s="6">
        <f>MAX(Tabela2[[#This Row],[Cotação 1]],Tabela2[[#This Row],[Cotação 2]])</f>
        <v>0.12</v>
      </c>
      <c r="I369" s="19">
        <f>IF(Tabela2[[#This Row],[Dividendo / Ação]]&gt;0,Tabela2[[#This Row],[Dividendo / Ação]]/Tabela2[[#This Row],[Cotação]],"")</f>
        <v>9.2500000000000013E-2</v>
      </c>
      <c r="J369" s="60">
        <f>SUMPRODUCT(N(Tabela1[Código]=Tabela2[[#This Row],[Ativo]]),Tabela1[Fechamento])</f>
        <v>0.12</v>
      </c>
      <c r="K369" s="60">
        <f>SUMPRODUCT(N(Tabela17[Código]=Tabela2[[#This Row],[Ativo]]),Tabela17[Fechamento])</f>
        <v>0</v>
      </c>
      <c r="L369" s="60">
        <f>SUMPRODUCT(N(Tabela2[Ativo]=Tabela2[[#This Row],[Ativo]]),N(Tabela2[Exercício]=Tabela2[[#This Row],[Exercício]]-1),Tabela2[Lucro Líquido])</f>
        <v>0</v>
      </c>
      <c r="M369" s="19" t="str">
        <f>IF(Tabela2[[#This Row],[Lucro Anterior]]=0,"",IF(Tabela2[[#This Row],[Lucro Líquido]]&gt;0,Tabela2[[#This Row],[Lucro Líquido]]/Tabela2[[#This Row],[Lucro Anterior]]-1,0))</f>
        <v/>
      </c>
    </row>
    <row r="370" spans="1:14" x14ac:dyDescent="0.2">
      <c r="A370" s="3" t="s">
        <v>340</v>
      </c>
      <c r="B370" s="3">
        <v>2012</v>
      </c>
      <c r="C370" s="5">
        <v>645407.11</v>
      </c>
      <c r="D370" s="66">
        <f>SUMPRODUCT(N(Tabela3[PAPEL]=Tabela2[[#This Row],[Ativo]]),Tabela3[Total Ações])</f>
        <v>9133687</v>
      </c>
      <c r="E370" s="64">
        <f>(Tabela2[[#This Row],[Lucro Líquido]])/Tabela2[[#This Row],[Total Ações]]</f>
        <v>7.0662275814794173E-2</v>
      </c>
      <c r="F370" s="64">
        <v>1.3493369900000001</v>
      </c>
      <c r="G370" s="74">
        <f>IF(AND(Tabela2[[#This Row],[Dividendo / Ação]]&gt;0,Tabela2[[#This Row],[Lucro por ação]]&gt;0),Tabela2[[#This Row],[Dividendo / Ação]]/Tabela2[[#This Row],[Lucro por ação]],"")</f>
        <v>19.095577865856068</v>
      </c>
      <c r="H370" s="59">
        <f>MAX(Tabela2[[#This Row],[Cotação 1]],Tabela2[[#This Row],[Cotação 2]])</f>
        <v>17.97</v>
      </c>
      <c r="I370" s="22">
        <f>IF(Tabela2[[#This Row],[Dividendo / Ação]]&gt;0,Tabela2[[#This Row],[Dividendo / Ação]]/Tabela2[[#This Row],[Cotação]],"")</f>
        <v>7.5088313299944365E-2</v>
      </c>
      <c r="J370" s="7">
        <f>SUMPRODUCT(N(Tabela1[Código]=Tabela2[[#This Row],[Ativo]]),Tabela1[Fechamento])</f>
        <v>0</v>
      </c>
      <c r="K370" s="7">
        <f>SUMPRODUCT(N(Tabela17[Código]=Tabela2[[#This Row],[Ativo]]),Tabela17[Fechamento])</f>
        <v>17.97</v>
      </c>
      <c r="L370" s="7">
        <f>SUMPRODUCT(N(Tabela2[Ativo]=Tabela2[[#This Row],[Ativo]]),N(Tabela2[Exercício]=Tabela2[[#This Row],[Exercício]]-1),Tabela2[Lucro Líquido])</f>
        <v>9737000</v>
      </c>
      <c r="M370" s="18">
        <f>IF(Tabela2[[#This Row],[Lucro Anterior]]=0,"",IF(Tabela2[[#This Row],[Lucro Líquido]]&gt;0,Tabela2[[#This Row],[Lucro Líquido]]/Tabela2[[#This Row],[Lucro Anterior]]-1,0))</f>
        <v>-0.93371602033480539</v>
      </c>
    </row>
    <row r="371" spans="1:14" x14ac:dyDescent="0.2">
      <c r="A371" s="3" t="s">
        <v>340</v>
      </c>
      <c r="B371" s="3">
        <v>2011</v>
      </c>
      <c r="C371" s="5">
        <v>9737000</v>
      </c>
      <c r="D371" s="66">
        <f>SUMPRODUCT(N(Tabela3[PAPEL]=Tabela2[[#This Row],[Ativo]]),Tabela3[Total Ações])</f>
        <v>9133687</v>
      </c>
      <c r="E371" s="64">
        <f>(Tabela2[[#This Row],[Lucro Líquido]])/Tabela2[[#This Row],[Total Ações]]</f>
        <v>1.0660536101138565</v>
      </c>
      <c r="F371" s="64">
        <v>0.91752482999999996</v>
      </c>
      <c r="G371" s="74">
        <f>IF(AND(Tabela2[[#This Row],[Dividendo / Ação]]&gt;0,Tabela2[[#This Row],[Lucro por ação]]&gt;0),Tabela2[[#This Row],[Dividendo / Ação]]/Tabela2[[#This Row],[Lucro por ação]],"")</f>
        <v>0.86067419245642496</v>
      </c>
      <c r="H371" s="59">
        <f>MAX(Tabela2[[#This Row],[Cotação 1]],Tabela2[[#This Row],[Cotação 2]])</f>
        <v>17.97</v>
      </c>
      <c r="I371" s="22">
        <f>IF(Tabela2[[#This Row],[Dividendo / Ação]]&gt;0,Tabela2[[#This Row],[Dividendo / Ação]]/Tabela2[[#This Row],[Cotação]],"")</f>
        <v>5.1058699499165278E-2</v>
      </c>
      <c r="J371" s="7">
        <f>SUMPRODUCT(N(Tabela1[Código]=Tabela2[[#This Row],[Ativo]]),Tabela1[Fechamento])</f>
        <v>0</v>
      </c>
      <c r="K371" s="7">
        <f>SUMPRODUCT(N(Tabela17[Código]=Tabela2[[#This Row],[Ativo]]),Tabela17[Fechamento])</f>
        <v>17.97</v>
      </c>
      <c r="L371" s="7">
        <f>SUMPRODUCT(N(Tabela2[Ativo]=Tabela2[[#This Row],[Ativo]]),N(Tabela2[Exercício]=Tabela2[[#This Row],[Exercício]]-1),Tabela2[Lucro Líquido])</f>
        <v>18645000</v>
      </c>
      <c r="M371" s="18">
        <f>IF(Tabela2[[#This Row],[Lucro Anterior]]=0,"",IF(Tabela2[[#This Row],[Lucro Líquido]]&gt;0,Tabela2[[#This Row],[Lucro Líquido]]/Tabela2[[#This Row],[Lucro Anterior]]-1,0))</f>
        <v>-0.47776883883078569</v>
      </c>
    </row>
    <row r="372" spans="1:14" x14ac:dyDescent="0.2">
      <c r="A372" s="3" t="s">
        <v>340</v>
      </c>
      <c r="B372" s="3">
        <v>2010</v>
      </c>
      <c r="C372" s="5">
        <v>18645000</v>
      </c>
      <c r="D372" s="66">
        <f>SUMPRODUCT(N(Tabela3[PAPEL]=Tabela2[[#This Row],[Ativo]]),Tabela3[Total Ações])</f>
        <v>9133687</v>
      </c>
      <c r="E372" s="64">
        <f>(Tabela2[[#This Row],[Lucro Líquido]])/Tabela2[[#This Row],[Total Ações]]</f>
        <v>2.0413443114483778</v>
      </c>
      <c r="F372" s="64">
        <v>0.50479059999999998</v>
      </c>
      <c r="G372" s="74">
        <f>IF(AND(Tabela2[[#This Row],[Dividendo / Ação]]&gt;0,Tabela2[[#This Row],[Lucro por ação]]&gt;0),Tabela2[[#This Row],[Dividendo / Ação]]/Tabela2[[#This Row],[Lucro por ação]],"")</f>
        <v>0.24728341866142128</v>
      </c>
      <c r="H372" s="59">
        <f>MAX(Tabela2[[#This Row],[Cotação 1]],Tabela2[[#This Row],[Cotação 2]])</f>
        <v>17.97</v>
      </c>
      <c r="I372" s="22">
        <f>IF(Tabela2[[#This Row],[Dividendo / Ação]]&gt;0,Tabela2[[#This Row],[Dividendo / Ação]]/Tabela2[[#This Row],[Cotação]],"")</f>
        <v>2.8090740122426267E-2</v>
      </c>
      <c r="J372" s="7">
        <f>SUMPRODUCT(N(Tabela1[Código]=Tabela2[[#This Row],[Ativo]]),Tabela1[Fechamento])</f>
        <v>0</v>
      </c>
      <c r="K372" s="7">
        <f>SUMPRODUCT(N(Tabela17[Código]=Tabela2[[#This Row],[Ativo]]),Tabela17[Fechamento])</f>
        <v>17.97</v>
      </c>
      <c r="L372" s="7">
        <f>SUMPRODUCT(N(Tabela2[Ativo]=Tabela2[[#This Row],[Ativo]]),N(Tabela2[Exercício]=Tabela2[[#This Row],[Exercício]]-1),Tabela2[Lucro Líquido])</f>
        <v>0</v>
      </c>
      <c r="M372" s="18" t="str">
        <f>IF(Tabela2[[#This Row],[Lucro Anterior]]=0,"",IF(Tabela2[[#This Row],[Lucro Líquido]]&gt;0,Tabela2[[#This Row],[Lucro Líquido]]/Tabela2[[#This Row],[Lucro Anterior]]-1,0))</f>
        <v/>
      </c>
    </row>
    <row r="373" spans="1:14" x14ac:dyDescent="0.2">
      <c r="A373" s="4" t="s">
        <v>416</v>
      </c>
      <c r="B373" s="4">
        <v>2012</v>
      </c>
      <c r="C373" s="6">
        <v>268308000</v>
      </c>
      <c r="D373" s="77">
        <f>SUMPRODUCT(N(Tabela3[PAPEL]=Tabela2[[#This Row],[Ativo]]),Tabela3[Total Ações])</f>
        <v>176611578</v>
      </c>
      <c r="E373" s="65">
        <f>(Tabela2[[#This Row],[Lucro Líquido]])/Tabela2[[#This Row],[Total Ações]]</f>
        <v>1.5191982487127769</v>
      </c>
      <c r="F373" s="65">
        <v>0.40200000000000002</v>
      </c>
      <c r="G373" s="44">
        <f>IF(AND(Tabela2[[#This Row],[Dividendo / Ação]]&gt;0,Tabela2[[#This Row],[Lucro por ação]]&gt;0),Tabela2[[#This Row],[Dividendo / Ação]]/Tabela2[[#This Row],[Lucro por ação]],"")</f>
        <v>0.26461325922447337</v>
      </c>
      <c r="H373" s="60">
        <f>MAX(Tabela2[[#This Row],[Cotação 1]],Tabela2[[#This Row],[Cotação 2]])</f>
        <v>21.35</v>
      </c>
      <c r="I373" s="45">
        <f>IF(Tabela2[[#This Row],[Dividendo / Ação]]&gt;0,Tabela2[[#This Row],[Dividendo / Ação]]/Tabela2[[#This Row],[Cotação]],"")</f>
        <v>1.8829039812646369E-2</v>
      </c>
      <c r="J373" s="17">
        <f>SUMPRODUCT(N(Tabela1[Código]=Tabela2[[#This Row],[Ativo]]),Tabela1[Fechamento])</f>
        <v>0</v>
      </c>
      <c r="K373" s="17">
        <f>SUMPRODUCT(N(Tabela17[Código]=Tabela2[[#This Row],[Ativo]]),Tabela17[Fechamento])</f>
        <v>21.35</v>
      </c>
      <c r="L373" s="17">
        <f>SUMPRODUCT(N(Tabela2[Ativo]=Tabela2[[#This Row],[Ativo]]),N(Tabela2[Exercício]=Tabela2[[#This Row],[Exercício]]-1),Tabela2[Lucro Líquido])</f>
        <v>151938000</v>
      </c>
      <c r="M373" s="19">
        <f>IF(Tabela2[[#This Row],[Lucro Anterior]]=0,"",IF(Tabela2[[#This Row],[Lucro Líquido]]&gt;0,Tabela2[[#This Row],[Lucro Líquido]]/Tabela2[[#This Row],[Lucro Anterior]]-1,0))</f>
        <v>0.765904513683213</v>
      </c>
    </row>
    <row r="374" spans="1:14" x14ac:dyDescent="0.2">
      <c r="A374" s="4" t="s">
        <v>416</v>
      </c>
      <c r="B374" s="4">
        <v>2011</v>
      </c>
      <c r="C374" s="6">
        <v>151938000</v>
      </c>
      <c r="D374" s="77">
        <f>SUMPRODUCT(N(Tabela3[PAPEL]=Tabela2[[#This Row],[Ativo]]),Tabela3[Total Ações])</f>
        <v>176611578</v>
      </c>
      <c r="E374" s="65">
        <f>(Tabela2[[#This Row],[Lucro Líquido]])/Tabela2[[#This Row],[Total Ações]]</f>
        <v>0.86029467445220376</v>
      </c>
      <c r="F374" s="65">
        <v>0.38</v>
      </c>
      <c r="G374" s="44">
        <f>IF(AND(Tabela2[[#This Row],[Dividendo / Ação]]&gt;0,Tabela2[[#This Row],[Lucro por ação]]&gt;0),Tabela2[[#This Row],[Dividendo / Ação]]/Tabela2[[#This Row],[Lucro por ação]],"")</f>
        <v>0.44170911582355965</v>
      </c>
      <c r="H374" s="60">
        <f>MAX(Tabela2[[#This Row],[Cotação 1]],Tabela2[[#This Row],[Cotação 2]])</f>
        <v>21.35</v>
      </c>
      <c r="I374" s="45">
        <f>IF(Tabela2[[#This Row],[Dividendo / Ação]]&gt;0,Tabela2[[#This Row],[Dividendo / Ação]]/Tabela2[[#This Row],[Cotação]],"")</f>
        <v>1.7798594847775174E-2</v>
      </c>
      <c r="J374" s="17">
        <f>SUMPRODUCT(N(Tabela1[Código]=Tabela2[[#This Row],[Ativo]]),Tabela1[Fechamento])</f>
        <v>0</v>
      </c>
      <c r="K374" s="17">
        <f>SUMPRODUCT(N(Tabela17[Código]=Tabela2[[#This Row],[Ativo]]),Tabela17[Fechamento])</f>
        <v>21.35</v>
      </c>
      <c r="L374" s="17">
        <f>SUMPRODUCT(N(Tabela2[Ativo]=Tabela2[[#This Row],[Ativo]]),N(Tabela2[Exercício]=Tabela2[[#This Row],[Exercício]]-1),Tabela2[Lucro Líquido])</f>
        <v>151547000</v>
      </c>
      <c r="M374" s="19">
        <f>IF(Tabela2[[#This Row],[Lucro Anterior]]=0,"",IF(Tabela2[[#This Row],[Lucro Líquido]]&gt;0,Tabela2[[#This Row],[Lucro Líquido]]/Tabela2[[#This Row],[Lucro Anterior]]-1,0))</f>
        <v>2.5800576718773005E-3</v>
      </c>
    </row>
    <row r="375" spans="1:14" x14ac:dyDescent="0.2">
      <c r="A375" s="4" t="s">
        <v>416</v>
      </c>
      <c r="B375" s="4">
        <v>2010</v>
      </c>
      <c r="C375" s="6">
        <v>151547000</v>
      </c>
      <c r="D375" s="77">
        <f>SUMPRODUCT(N(Tabela3[PAPEL]=Tabela2[[#This Row],[Ativo]]),Tabela3[Total Ações])</f>
        <v>176611578</v>
      </c>
      <c r="E375" s="65">
        <f>(Tabela2[[#This Row],[Lucro Líquido]])/Tabela2[[#This Row],[Total Ações]]</f>
        <v>0.85808077656154569</v>
      </c>
      <c r="F375" s="65">
        <v>0.36499999999999999</v>
      </c>
      <c r="G375" s="44">
        <f>IF(AND(Tabela2[[#This Row],[Dividendo / Ação]]&gt;0,Tabela2[[#This Row],[Lucro por ação]]&gt;0),Tabela2[[#This Row],[Dividendo / Ação]]/Tabela2[[#This Row],[Lucro por ação]],"")</f>
        <v>0.42536787907381868</v>
      </c>
      <c r="H375" s="60">
        <f>MAX(Tabela2[[#This Row],[Cotação 1]],Tabela2[[#This Row],[Cotação 2]])</f>
        <v>21.35</v>
      </c>
      <c r="I375" s="45">
        <f>IF(Tabela2[[#This Row],[Dividendo / Ação]]&gt;0,Tabela2[[#This Row],[Dividendo / Ação]]/Tabela2[[#This Row],[Cotação]],"")</f>
        <v>1.7096018735362997E-2</v>
      </c>
      <c r="J375" s="17">
        <f>SUMPRODUCT(N(Tabela1[Código]=Tabela2[[#This Row],[Ativo]]),Tabela1[Fechamento])</f>
        <v>0</v>
      </c>
      <c r="K375" s="17">
        <f>SUMPRODUCT(N(Tabela17[Código]=Tabela2[[#This Row],[Ativo]]),Tabela17[Fechamento])</f>
        <v>21.35</v>
      </c>
      <c r="L375" s="17">
        <f>SUMPRODUCT(N(Tabela2[Ativo]=Tabela2[[#This Row],[Ativo]]),N(Tabela2[Exercício]=Tabela2[[#This Row],[Exercício]]-1),Tabela2[Lucro Líquido])</f>
        <v>92927000</v>
      </c>
      <c r="M375" s="19">
        <f>IF(Tabela2[[#This Row],[Lucro Anterior]]=0,"",IF(Tabela2[[#This Row],[Lucro Líquido]]&gt;0,Tabela2[[#This Row],[Lucro Líquido]]/Tabela2[[#This Row],[Lucro Anterior]]-1,0))</f>
        <v>0.63081773865507329</v>
      </c>
    </row>
    <row r="376" spans="1:14" x14ac:dyDescent="0.2">
      <c r="A376" s="4" t="s">
        <v>416</v>
      </c>
      <c r="B376" s="4">
        <v>2009</v>
      </c>
      <c r="C376" s="6">
        <v>92927000</v>
      </c>
      <c r="D376" s="77">
        <f>SUMPRODUCT(N(Tabela3[PAPEL]=Tabela2[[#This Row],[Ativo]]),Tabela3[Total Ações])</f>
        <v>176611578</v>
      </c>
      <c r="E376" s="65">
        <f>(Tabela2[[#This Row],[Lucro Líquido]])/Tabela2[[#This Row],[Total Ações]]</f>
        <v>0.52616595725111526</v>
      </c>
      <c r="F376" s="65">
        <v>0.315</v>
      </c>
      <c r="G376" s="44">
        <f>IF(AND(Tabela2[[#This Row],[Dividendo / Ação]]&gt;0,Tabela2[[#This Row],[Lucro por ação]]&gt;0),Tabela2[[#This Row],[Dividendo / Ação]]/Tabela2[[#This Row],[Lucro por ação]],"")</f>
        <v>0.59867043023018063</v>
      </c>
      <c r="H376" s="60">
        <f>MAX(Tabela2[[#This Row],[Cotação 1]],Tabela2[[#This Row],[Cotação 2]])</f>
        <v>21.35</v>
      </c>
      <c r="I376" s="45">
        <f>IF(Tabela2[[#This Row],[Dividendo / Ação]]&gt;0,Tabela2[[#This Row],[Dividendo / Ação]]/Tabela2[[#This Row],[Cotação]],"")</f>
        <v>1.4754098360655736E-2</v>
      </c>
      <c r="J376" s="17">
        <f>SUMPRODUCT(N(Tabela1[Código]=Tabela2[[#This Row],[Ativo]]),Tabela1[Fechamento])</f>
        <v>0</v>
      </c>
      <c r="K376" s="17">
        <f>SUMPRODUCT(N(Tabela17[Código]=Tabela2[[#This Row],[Ativo]]),Tabela17[Fechamento])</f>
        <v>21.35</v>
      </c>
      <c r="L376" s="17">
        <f>SUMPRODUCT(N(Tabela2[Ativo]=Tabela2[[#This Row],[Ativo]]),N(Tabela2[Exercício]=Tabela2[[#This Row],[Exercício]]-1),Tabela2[Lucro Líquido])</f>
        <v>0</v>
      </c>
      <c r="M376" s="19" t="str">
        <f>IF(Tabela2[[#This Row],[Lucro Anterior]]=0,"",IF(Tabela2[[#This Row],[Lucro Líquido]]&gt;0,Tabela2[[#This Row],[Lucro Líquido]]/Tabela2[[#This Row],[Lucro Anterior]]-1,0))</f>
        <v/>
      </c>
    </row>
    <row r="377" spans="1:14" x14ac:dyDescent="0.2">
      <c r="A377" s="15" t="s">
        <v>263</v>
      </c>
      <c r="B377" s="3">
        <v>2012</v>
      </c>
      <c r="C377" s="5">
        <v>4539233257.3500004</v>
      </c>
      <c r="D377" s="61">
        <f>SUMPRODUCT(N(Tabela3[PAPEL]=Tabela2[[#This Row],[Ativo]]),Tabela3[Total Ações])</f>
        <v>5470667261</v>
      </c>
      <c r="E377" s="64">
        <f>(Tabela2[[#This Row],[Lucro Líquido]])/Tabela2[[#This Row],[Total Ações]]</f>
        <v>0.82974032979667278</v>
      </c>
      <c r="F377" s="64">
        <v>0.34289999999999998</v>
      </c>
      <c r="G377" s="22">
        <f>IF(AND(Tabela2[[#This Row],[Dividendo / Ação]]&gt;0,Tabela2[[#This Row],[Lucro por ação]]&gt;0),Tabela2[[#This Row],[Dividendo / Ação]]/Tabela2[[#This Row],[Lucro por ação]],"")</f>
        <v>0.41326182142312806</v>
      </c>
      <c r="H377" s="5">
        <f>MAX(Tabela2[[#This Row],[Cotação 1]],Tabela2[[#This Row],[Cotação 2]])</f>
        <v>10.56</v>
      </c>
      <c r="I377" s="18">
        <f>IF(Tabela2[[#This Row],[Dividendo / Ação]]&gt;0,Tabela2[[#This Row],[Dividendo / Ação]]/Tabela2[[#This Row],[Cotação]],"")</f>
        <v>3.2471590909090908E-2</v>
      </c>
      <c r="J377" s="59">
        <f>SUMPRODUCT(N(Tabela1[Código]=Tabela2[[#This Row],[Ativo]]),Tabela1[Fechamento])</f>
        <v>10.56</v>
      </c>
      <c r="K377" s="59">
        <f>SUMPRODUCT(N(Tabela17[Código]=Tabela2[[#This Row],[Ativo]]),Tabela17[Fechamento])</f>
        <v>0</v>
      </c>
      <c r="L377" s="59">
        <f>SUMPRODUCT(N(Tabela2[Ativo]=Tabela2[[#This Row],[Ativo]]),N(Tabela2[Exercício]=Tabela2[[#This Row],[Exercício]]-1),Tabela2[Lucro Líquido])</f>
        <v>4693567188.1000004</v>
      </c>
      <c r="M377" s="18">
        <f>IF(Tabela2[[#This Row],[Lucro Anterior]]=0,"",IF(Tabela2[[#This Row],[Lucro Líquido]]&gt;0,Tabela2[[#This Row],[Lucro Líquido]]/Tabela2[[#This Row],[Lucro Anterior]]-1,0))</f>
        <v>-3.2882011605436468E-2</v>
      </c>
    </row>
    <row r="378" spans="1:14" x14ac:dyDescent="0.2">
      <c r="A378" s="15" t="s">
        <v>263</v>
      </c>
      <c r="B378" s="3">
        <v>2011</v>
      </c>
      <c r="C378" s="5">
        <v>4693567188.1000004</v>
      </c>
      <c r="D378" s="61">
        <f>SUMPRODUCT(N(Tabela3[PAPEL]=Tabela2[[#This Row],[Ativo]]),Tabela3[Total Ações])</f>
        <v>5470667261</v>
      </c>
      <c r="E378" s="64">
        <f>(Tabela2[[#This Row],[Lucro Líquido]])/Tabela2[[#This Row],[Total Ações]]</f>
        <v>0.85795150100977791</v>
      </c>
      <c r="F378" s="64">
        <v>0.33350000000000002</v>
      </c>
      <c r="G378" s="22">
        <f>IF(AND(Tabela2[[#This Row],[Dividendo / Ação]]&gt;0,Tabela2[[#This Row],[Lucro por ação]]&gt;0),Tabela2[[#This Row],[Dividendo / Ação]]/Tabela2[[#This Row],[Lucro por ação]],"")</f>
        <v>0.38871661114583117</v>
      </c>
      <c r="H378" s="5">
        <f>MAX(Tabela2[[#This Row],[Cotação 1]],Tabela2[[#This Row],[Cotação 2]])</f>
        <v>10.56</v>
      </c>
      <c r="I378" s="18">
        <f>IF(Tabela2[[#This Row],[Dividendo / Ação]]&gt;0,Tabela2[[#This Row],[Dividendo / Ação]]/Tabela2[[#This Row],[Cotação]],"")</f>
        <v>3.1581439393939391E-2</v>
      </c>
      <c r="J378" s="59">
        <f>SUMPRODUCT(N(Tabela1[Código]=Tabela2[[#This Row],[Ativo]]),Tabela1[Fechamento])</f>
        <v>10.56</v>
      </c>
      <c r="K378" s="59">
        <f>SUMPRODUCT(N(Tabela17[Código]=Tabela2[[#This Row],[Ativo]]),Tabela17[Fechamento])</f>
        <v>0</v>
      </c>
      <c r="L378" s="59">
        <f>SUMPRODUCT(N(Tabela2[Ativo]=Tabela2[[#This Row],[Ativo]]),N(Tabela2[Exercício]=Tabela2[[#This Row],[Exercício]]-1),Tabela2[Lucro Líquido])</f>
        <v>4309548054.5299997</v>
      </c>
      <c r="M378" s="18">
        <f>IF(Tabela2[[#This Row],[Lucro Anterior]]=0,"",IF(Tabela2[[#This Row],[Lucro Líquido]]&gt;0,Tabela2[[#This Row],[Lucro Líquido]]/Tabela2[[#This Row],[Lucro Anterior]]-1,0))</f>
        <v>8.9108910890629778E-2</v>
      </c>
    </row>
    <row r="379" spans="1:14" x14ac:dyDescent="0.2">
      <c r="A379" s="15" t="s">
        <v>263</v>
      </c>
      <c r="B379" s="3">
        <v>2010</v>
      </c>
      <c r="C379" s="5">
        <v>4309548054.5299997</v>
      </c>
      <c r="D379" s="61">
        <f>SUMPRODUCT(N(Tabela3[PAPEL]=Tabela2[[#This Row],[Ativo]]),Tabela3[Total Ações])</f>
        <v>5470667261</v>
      </c>
      <c r="E379" s="64">
        <f>(Tabela2[[#This Row],[Lucro Líquido]])/Tabela2[[#This Row],[Total Ações]]</f>
        <v>0.78775546910931016</v>
      </c>
      <c r="F379" s="64">
        <v>0.29649999999999999</v>
      </c>
      <c r="G379" s="22">
        <f>IF(AND(Tabela2[[#This Row],[Dividendo / Ação]]&gt;0,Tabela2[[#This Row],[Lucro por ação]]&gt;0),Tabela2[[#This Row],[Dividendo / Ação]]/Tabela2[[#This Row],[Lucro por ação]],"")</f>
        <v>0.37638583497902339</v>
      </c>
      <c r="H379" s="5">
        <f>MAX(Tabela2[[#This Row],[Cotação 1]],Tabela2[[#This Row],[Cotação 2]])</f>
        <v>10.56</v>
      </c>
      <c r="I379" s="18">
        <f>IF(Tabela2[[#This Row],[Dividendo / Ação]]&gt;0,Tabela2[[#This Row],[Dividendo / Ação]]/Tabela2[[#This Row],[Cotação]],"")</f>
        <v>2.8077651515151514E-2</v>
      </c>
      <c r="J379" s="59">
        <f>SUMPRODUCT(N(Tabela1[Código]=Tabela2[[#This Row],[Ativo]]),Tabela1[Fechamento])</f>
        <v>10.56</v>
      </c>
      <c r="K379" s="59">
        <f>SUMPRODUCT(N(Tabela17[Código]=Tabela2[[#This Row],[Ativo]]),Tabela17[Fechamento])</f>
        <v>0</v>
      </c>
      <c r="L379" s="59">
        <f>SUMPRODUCT(N(Tabela2[Ativo]=Tabela2[[#This Row],[Ativo]]),N(Tabela2[Exercício]=Tabela2[[#This Row],[Exercício]]-1),Tabela2[Lucro Líquido])</f>
        <v>2858809105.48</v>
      </c>
      <c r="M379" s="18">
        <f>IF(Tabela2[[#This Row],[Lucro Anterior]]=0,"",IF(Tabela2[[#This Row],[Lucro Líquido]]&gt;0,Tabela2[[#This Row],[Lucro Líquido]]/Tabela2[[#This Row],[Lucro Anterior]]-1,0))</f>
        <v>0.50746268656732063</v>
      </c>
    </row>
    <row r="380" spans="1:14" x14ac:dyDescent="0.2">
      <c r="A380" s="15" t="s">
        <v>263</v>
      </c>
      <c r="B380" s="3">
        <v>2009</v>
      </c>
      <c r="C380" s="5">
        <v>2858809105.48</v>
      </c>
      <c r="D380" s="61">
        <f>SUMPRODUCT(N(Tabela3[PAPEL]=Tabela2[[#This Row],[Ativo]]),Tabela3[Total Ações])</f>
        <v>5470667261</v>
      </c>
      <c r="E380" s="64">
        <f>(Tabela2[[#This Row],[Lucro Líquido]])/Tabela2[[#This Row],[Total Ações]]</f>
        <v>0.52257045970612181</v>
      </c>
      <c r="F380" s="64">
        <v>0.25769999999999998</v>
      </c>
      <c r="G380" s="22">
        <f>IF(AND(Tabela2[[#This Row],[Dividendo / Ação]]&gt;0,Tabela2[[#This Row],[Lucro por ação]]&gt;0),Tabela2[[#This Row],[Dividendo / Ação]]/Tabela2[[#This Row],[Lucro por ação]],"")</f>
        <v>0.49313924125164449</v>
      </c>
      <c r="H380" s="5">
        <f>MAX(Tabela2[[#This Row],[Cotação 1]],Tabela2[[#This Row],[Cotação 2]])</f>
        <v>10.56</v>
      </c>
      <c r="I380" s="18">
        <f>IF(Tabela2[[#This Row],[Dividendo / Ação]]&gt;0,Tabela2[[#This Row],[Dividendo / Ação]]/Tabela2[[#This Row],[Cotação]],"")</f>
        <v>2.4403409090909087E-2</v>
      </c>
      <c r="J380" s="59">
        <f>SUMPRODUCT(N(Tabela1[Código]=Tabela2[[#This Row],[Ativo]]),Tabela1[Fechamento])</f>
        <v>10.56</v>
      </c>
      <c r="K380" s="59">
        <f>SUMPRODUCT(N(Tabela17[Código]=Tabela2[[#This Row],[Ativo]]),Tabela17[Fechamento])</f>
        <v>0</v>
      </c>
      <c r="L380" s="59">
        <f>SUMPRODUCT(N(Tabela2[Ativo]=Tabela2[[#This Row],[Ativo]]),N(Tabela2[Exercício]=Tabela2[[#This Row],[Exercício]]-1),Tabela2[Lucro Líquido])</f>
        <v>0</v>
      </c>
      <c r="M380" s="18" t="str">
        <f>IF(Tabela2[[#This Row],[Lucro Anterior]]=0,"",IF(Tabela2[[#This Row],[Lucro Líquido]]&gt;0,Tabela2[[#This Row],[Lucro Líquido]]/Tabela2[[#This Row],[Lucro Anterior]]-1,0))</f>
        <v/>
      </c>
    </row>
    <row r="381" spans="1:14" x14ac:dyDescent="0.2">
      <c r="A381" s="15" t="s">
        <v>16</v>
      </c>
      <c r="B381" s="4">
        <v>2012</v>
      </c>
      <c r="C381" s="5">
        <v>4539233257.3500004</v>
      </c>
      <c r="D381" s="8">
        <f>SUMPRODUCT(N(Tabela3[PAPEL]=Tabela2[[#This Row],[Ativo]]),Tabela3[Total Ações])</f>
        <v>5470667261</v>
      </c>
      <c r="E381" s="65">
        <f>(Tabela2[[#This Row],[Lucro Líquido]])/Tabela2[[#This Row],[Total Ações]]</f>
        <v>0.82974032979667278</v>
      </c>
      <c r="F381" s="64">
        <v>0.34289999999999998</v>
      </c>
      <c r="G381" s="45">
        <f>IF(AND(Tabela2[[#This Row],[Dividendo / Ação]]&gt;0,Tabela2[[#This Row],[Lucro por ação]]&gt;0),Tabela2[[#This Row],[Dividendo / Ação]]/Tabela2[[#This Row],[Lucro por ação]],"")</f>
        <v>0.41326182142312806</v>
      </c>
      <c r="H381" s="6">
        <f>MAX(Tabela2[[#This Row],[Cotação 1]],Tabela2[[#This Row],[Cotação 2]])</f>
        <v>8.6199999999999992</v>
      </c>
      <c r="I381" s="19">
        <f>IF(Tabela2[[#This Row],[Dividendo / Ação]]&gt;0,Tabela2[[#This Row],[Dividendo / Ação]]/Tabela2[[#This Row],[Cotação]],"")</f>
        <v>3.9779582366589329E-2</v>
      </c>
      <c r="J381" s="60">
        <f>SUMPRODUCT(N(Tabela1[Código]=Tabela2[[#This Row],[Ativo]]),Tabela1[Fechamento])</f>
        <v>8.6199999999999992</v>
      </c>
      <c r="K381" s="60">
        <f>SUMPRODUCT(N(Tabela17[Código]=Tabela2[[#This Row],[Ativo]]),Tabela17[Fechamento])</f>
        <v>0</v>
      </c>
      <c r="L381" s="60">
        <f>SUMPRODUCT(N(Tabela2[Ativo]=Tabela2[[#This Row],[Ativo]]),N(Tabela2[Exercício]=Tabela2[[#This Row],[Exercício]]-1),Tabela2[Lucro Líquido])</f>
        <v>4693567188.1000004</v>
      </c>
      <c r="M381" s="19">
        <f>IF(Tabela2[[#This Row],[Lucro Anterior]]=0,"",IF(Tabela2[[#This Row],[Lucro Líquido]]&gt;0,Tabela2[[#This Row],[Lucro Líquido]]/Tabela2[[#This Row],[Lucro Anterior]]-1,0))</f>
        <v>-3.2882011605436468E-2</v>
      </c>
    </row>
    <row r="382" spans="1:14" x14ac:dyDescent="0.2">
      <c r="A382" s="15" t="s">
        <v>16</v>
      </c>
      <c r="B382" s="4">
        <v>2011</v>
      </c>
      <c r="C382" s="5">
        <v>4693567188.1000004</v>
      </c>
      <c r="D382" s="8">
        <f>SUMPRODUCT(N(Tabela3[PAPEL]=Tabela2[[#This Row],[Ativo]]),Tabela3[Total Ações])</f>
        <v>5470667261</v>
      </c>
      <c r="E382" s="65">
        <f>(Tabela2[[#This Row],[Lucro Líquido]])/Tabela2[[#This Row],[Total Ações]]</f>
        <v>0.85795150100977791</v>
      </c>
      <c r="F382" s="65">
        <v>0.33350000000000002</v>
      </c>
      <c r="G382" s="45">
        <f>IF(AND(Tabela2[[#This Row],[Dividendo / Ação]]&gt;0,Tabela2[[#This Row],[Lucro por ação]]&gt;0),Tabela2[[#This Row],[Dividendo / Ação]]/Tabela2[[#This Row],[Lucro por ação]],"")</f>
        <v>0.38871661114583117</v>
      </c>
      <c r="H382" s="6">
        <f>MAX(Tabela2[[#This Row],[Cotação 1]],Tabela2[[#This Row],[Cotação 2]])</f>
        <v>8.6199999999999992</v>
      </c>
      <c r="I382" s="19">
        <f>IF(Tabela2[[#This Row],[Dividendo / Ação]]&gt;0,Tabela2[[#This Row],[Dividendo / Ação]]/Tabela2[[#This Row],[Cotação]],"")</f>
        <v>3.8689095127610214E-2</v>
      </c>
      <c r="J382" s="60">
        <f>SUMPRODUCT(N(Tabela1[Código]=Tabela2[[#This Row],[Ativo]]),Tabela1[Fechamento])</f>
        <v>8.6199999999999992</v>
      </c>
      <c r="K382" s="60">
        <f>SUMPRODUCT(N(Tabela17[Código]=Tabela2[[#This Row],[Ativo]]),Tabela17[Fechamento])</f>
        <v>0</v>
      </c>
      <c r="L382" s="60">
        <f>SUMPRODUCT(N(Tabela2[Ativo]=Tabela2[[#This Row],[Ativo]]),N(Tabela2[Exercício]=Tabela2[[#This Row],[Exercício]]-1),Tabela2[Lucro Líquido])</f>
        <v>4309548054.5299997</v>
      </c>
      <c r="M382" s="19">
        <f>IF(Tabela2[[#This Row],[Lucro Anterior]]=0,"",IF(Tabela2[[#This Row],[Lucro Líquido]]&gt;0,Tabela2[[#This Row],[Lucro Líquido]]/Tabela2[[#This Row],[Lucro Anterior]]-1,0))</f>
        <v>8.9108910890629778E-2</v>
      </c>
    </row>
    <row r="383" spans="1:14" x14ac:dyDescent="0.2">
      <c r="A383" s="15" t="s">
        <v>16</v>
      </c>
      <c r="B383" s="4">
        <v>2010</v>
      </c>
      <c r="C383" s="5">
        <v>4309548054.5299997</v>
      </c>
      <c r="D383" s="8">
        <f>SUMPRODUCT(N(Tabela3[PAPEL]=Tabela2[[#This Row],[Ativo]]),Tabela3[Total Ações])</f>
        <v>5470667261</v>
      </c>
      <c r="E383" s="65">
        <f>(Tabela2[[#This Row],[Lucro Líquido]])/Tabela2[[#This Row],[Total Ações]]</f>
        <v>0.78775546910931016</v>
      </c>
      <c r="F383" s="65">
        <v>0.29649999999999999</v>
      </c>
      <c r="G383" s="45">
        <f>IF(AND(Tabela2[[#This Row],[Dividendo / Ação]]&gt;0,Tabela2[[#This Row],[Lucro por ação]]&gt;0),Tabela2[[#This Row],[Dividendo / Ação]]/Tabela2[[#This Row],[Lucro por ação]],"")</f>
        <v>0.37638583497902339</v>
      </c>
      <c r="H383" s="6">
        <f>MAX(Tabela2[[#This Row],[Cotação 1]],Tabela2[[#This Row],[Cotação 2]])</f>
        <v>8.6199999999999992</v>
      </c>
      <c r="I383" s="19">
        <f>IF(Tabela2[[#This Row],[Dividendo / Ação]]&gt;0,Tabela2[[#This Row],[Dividendo / Ação]]/Tabela2[[#This Row],[Cotação]],"")</f>
        <v>3.439675174013921E-2</v>
      </c>
      <c r="J383" s="60">
        <f>SUMPRODUCT(N(Tabela1[Código]=Tabela2[[#This Row],[Ativo]]),Tabela1[Fechamento])</f>
        <v>8.6199999999999992</v>
      </c>
      <c r="K383" s="60">
        <f>SUMPRODUCT(N(Tabela17[Código]=Tabela2[[#This Row],[Ativo]]),Tabela17[Fechamento])</f>
        <v>0</v>
      </c>
      <c r="L383" s="60">
        <f>SUMPRODUCT(N(Tabela2[Ativo]=Tabela2[[#This Row],[Ativo]]),N(Tabela2[Exercício]=Tabela2[[#This Row],[Exercício]]-1),Tabela2[Lucro Líquido])</f>
        <v>2858809105.48</v>
      </c>
      <c r="M383" s="19">
        <f>IF(Tabela2[[#This Row],[Lucro Anterior]]=0,"",IF(Tabela2[[#This Row],[Lucro Líquido]]&gt;0,Tabela2[[#This Row],[Lucro Líquido]]/Tabela2[[#This Row],[Lucro Anterior]]-1,0))</f>
        <v>0.50746268656732063</v>
      </c>
      <c r="N383" s="5"/>
    </row>
    <row r="384" spans="1:14" x14ac:dyDescent="0.2">
      <c r="A384" s="15" t="s">
        <v>16</v>
      </c>
      <c r="B384" s="4">
        <v>2009</v>
      </c>
      <c r="C384" s="5">
        <v>2858809105.48</v>
      </c>
      <c r="D384" s="8">
        <f>SUMPRODUCT(N(Tabela3[PAPEL]=Tabela2[[#This Row],[Ativo]]),Tabela3[Total Ações])</f>
        <v>5470667261</v>
      </c>
      <c r="E384" s="65">
        <f>(Tabela2[[#This Row],[Lucro Líquido]])/Tabela2[[#This Row],[Total Ações]]</f>
        <v>0.52257045970612181</v>
      </c>
      <c r="F384" s="65">
        <v>0.25769999999999998</v>
      </c>
      <c r="G384" s="45">
        <f>IF(AND(Tabela2[[#This Row],[Dividendo / Ação]]&gt;0,Tabela2[[#This Row],[Lucro por ação]]&gt;0),Tabela2[[#This Row],[Dividendo / Ação]]/Tabela2[[#This Row],[Lucro por ação]],"")</f>
        <v>0.49313924125164449</v>
      </c>
      <c r="H384" s="6">
        <f>MAX(Tabela2[[#This Row],[Cotação 1]],Tabela2[[#This Row],[Cotação 2]])</f>
        <v>8.6199999999999992</v>
      </c>
      <c r="I384" s="19">
        <f>IF(Tabela2[[#This Row],[Dividendo / Ação]]&gt;0,Tabela2[[#This Row],[Dividendo / Ação]]/Tabela2[[#This Row],[Cotação]],"")</f>
        <v>2.9895591647331788E-2</v>
      </c>
      <c r="J384" s="60">
        <f>SUMPRODUCT(N(Tabela1[Código]=Tabela2[[#This Row],[Ativo]]),Tabela1[Fechamento])</f>
        <v>8.6199999999999992</v>
      </c>
      <c r="K384" s="60">
        <f>SUMPRODUCT(N(Tabela17[Código]=Tabela2[[#This Row],[Ativo]]),Tabela17[Fechamento])</f>
        <v>0</v>
      </c>
      <c r="L384" s="60">
        <f>SUMPRODUCT(N(Tabela2[Ativo]=Tabela2[[#This Row],[Ativo]]),N(Tabela2[Exercício]=Tabela2[[#This Row],[Exercício]]-1),Tabela2[Lucro Líquido])</f>
        <v>0</v>
      </c>
      <c r="M384" s="19" t="str">
        <f>IF(Tabela2[[#This Row],[Lucro Anterior]]=0,"",IF(Tabela2[[#This Row],[Lucro Líquido]]&gt;0,Tabela2[[#This Row],[Lucro Líquido]]/Tabela2[[#This Row],[Lucro Anterior]]-1,0))</f>
        <v/>
      </c>
    </row>
    <row r="385" spans="1:13" x14ac:dyDescent="0.2">
      <c r="A385" s="14" t="s">
        <v>261</v>
      </c>
      <c r="B385" s="3">
        <v>2012</v>
      </c>
      <c r="C385" s="5">
        <v>10799538178.68</v>
      </c>
      <c r="D385" s="61">
        <f>SUMPRODUCT(N(Tabela3[PAPEL]=Tabela2[[#This Row],[Ativo]]),Tabela3[Total Ações])</f>
        <v>5028029710</v>
      </c>
      <c r="E385" s="64">
        <f>(Tabela2[[#This Row],[Lucro Líquido]])/Tabela2[[#This Row],[Total Ações]]</f>
        <v>2.14786681892538</v>
      </c>
      <c r="F385" s="64">
        <v>1</v>
      </c>
      <c r="G385" s="22">
        <f>IF(AND(Tabela2[[#This Row],[Dividendo / Ação]]&gt;0,Tabela2[[#This Row],[Lucro por ação]]&gt;0),Tabela2[[#This Row],[Dividendo / Ação]]/Tabela2[[#This Row],[Lucro por ação]],"")</f>
        <v>0.46557821518017567</v>
      </c>
      <c r="H385" s="5">
        <f>MAX(Tabela2[[#This Row],[Cotação 1]],Tabela2[[#This Row],[Cotação 2]])</f>
        <v>28.99</v>
      </c>
      <c r="I385" s="18">
        <f>IF(Tabela2[[#This Row],[Dividendo / Ação]]&gt;0,Tabela2[[#This Row],[Dividendo / Ação]]/Tabela2[[#This Row],[Cotação]],"")</f>
        <v>3.4494653328734047E-2</v>
      </c>
      <c r="J385" s="59">
        <f>SUMPRODUCT(N(Tabela1[Código]=Tabela2[[#This Row],[Ativo]]),Tabela1[Fechamento])</f>
        <v>28.99</v>
      </c>
      <c r="K385" s="59">
        <f>SUMPRODUCT(N(Tabela17[Código]=Tabela2[[#This Row],[Ativo]]),Tabela17[Fechamento])</f>
        <v>0</v>
      </c>
      <c r="L385" s="59">
        <f>SUMPRODUCT(N(Tabela2[Ativo]=Tabela2[[#This Row],[Ativo]]),N(Tabela2[Exercício]=Tabela2[[#This Row],[Exercício]]-1),Tabela2[Lucro Líquido])</f>
        <v>11890195760.129999</v>
      </c>
      <c r="M385" s="18">
        <f>IF(Tabela2[[#This Row],[Lucro Anterior]]=0,"",IF(Tabela2[[#This Row],[Lucro Líquido]]&gt;0,Tabela2[[#This Row],[Lucro Líquido]]/Tabela2[[#This Row],[Lucro Anterior]]-1,0))</f>
        <v>-9.172747055243391E-2</v>
      </c>
    </row>
    <row r="386" spans="1:13" x14ac:dyDescent="0.2">
      <c r="A386" s="14" t="s">
        <v>261</v>
      </c>
      <c r="B386" s="3">
        <v>2011</v>
      </c>
      <c r="C386" s="5">
        <v>11890195760.129999</v>
      </c>
      <c r="D386" s="61">
        <f>SUMPRODUCT(N(Tabela3[PAPEL]=Tabela2[[#This Row],[Ativo]]),Tabela3[Total Ações])</f>
        <v>5028029710</v>
      </c>
      <c r="E386" s="64">
        <f>(Tabela2[[#This Row],[Lucro Líquido]])/Tabela2[[#This Row],[Total Ações]]</f>
        <v>2.364782319500256</v>
      </c>
      <c r="F386" s="64">
        <v>0.97270000000000001</v>
      </c>
      <c r="G386" s="22">
        <f>IF(AND(Tabela2[[#This Row],[Dividendo / Ação]]&gt;0,Tabela2[[#This Row],[Lucro por ação]]&gt;0),Tabela2[[#This Row],[Dividendo / Ação]]/Tabela2[[#This Row],[Lucro por ação]],"")</f>
        <v>0.41132750020118491</v>
      </c>
      <c r="H386" s="5">
        <f>MAX(Tabela2[[#This Row],[Cotação 1]],Tabela2[[#This Row],[Cotação 2]])</f>
        <v>28.99</v>
      </c>
      <c r="I386" s="18">
        <f>IF(Tabela2[[#This Row],[Dividendo / Ação]]&gt;0,Tabela2[[#This Row],[Dividendo / Ação]]/Tabela2[[#This Row],[Cotação]],"")</f>
        <v>3.355294929285961E-2</v>
      </c>
      <c r="J386" s="59">
        <f>SUMPRODUCT(N(Tabela1[Código]=Tabela2[[#This Row],[Ativo]]),Tabela1[Fechamento])</f>
        <v>28.99</v>
      </c>
      <c r="K386" s="59">
        <f>SUMPRODUCT(N(Tabela17[Código]=Tabela2[[#This Row],[Ativo]]),Tabela17[Fechamento])</f>
        <v>0</v>
      </c>
      <c r="L386" s="59">
        <f>SUMPRODUCT(N(Tabela2[Ativo]=Tabela2[[#This Row],[Ativo]]),N(Tabela2[Exercício]=Tabela2[[#This Row],[Exercício]]-1),Tabela2[Lucro Líquido])</f>
        <v>10272015528.35</v>
      </c>
      <c r="M386" s="18">
        <f>IF(Tabela2[[#This Row],[Lucro Anterior]]=0,"",IF(Tabela2[[#This Row],[Lucro Líquido]]&gt;0,Tabela2[[#This Row],[Lucro Líquido]]/Tabela2[[#This Row],[Lucro Anterior]]-1,0))</f>
        <v>0.15753288410769439</v>
      </c>
    </row>
    <row r="387" spans="1:13" x14ac:dyDescent="0.2">
      <c r="A387" s="14" t="s">
        <v>261</v>
      </c>
      <c r="B387" s="3">
        <v>2010</v>
      </c>
      <c r="C387" s="5">
        <v>10272015528.35</v>
      </c>
      <c r="D387" s="61">
        <f>SUMPRODUCT(N(Tabela3[PAPEL]=Tabela2[[#This Row],[Ativo]]),Tabela3[Total Ações])</f>
        <v>5028029710</v>
      </c>
      <c r="E387" s="64">
        <f>(Tabela2[[#This Row],[Lucro Líquido]])/Tabela2[[#This Row],[Total Ações]]</f>
        <v>2.0429504439722175</v>
      </c>
      <c r="F387" s="64">
        <v>0.86070000000000002</v>
      </c>
      <c r="G387" s="22">
        <f>IF(AND(Tabela2[[#This Row],[Dividendo / Ação]]&gt;0,Tabela2[[#This Row],[Lucro por ação]]&gt;0),Tabela2[[#This Row],[Dividendo / Ação]]/Tabela2[[#This Row],[Lucro por ação]],"")</f>
        <v>0.42130243664966005</v>
      </c>
      <c r="H387" s="5">
        <f>MAX(Tabela2[[#This Row],[Cotação 1]],Tabela2[[#This Row],[Cotação 2]])</f>
        <v>28.99</v>
      </c>
      <c r="I387" s="18">
        <f>IF(Tabela2[[#This Row],[Dividendo / Ação]]&gt;0,Tabela2[[#This Row],[Dividendo / Ação]]/Tabela2[[#This Row],[Cotação]],"")</f>
        <v>2.9689548120041397E-2</v>
      </c>
      <c r="J387" s="59">
        <f>SUMPRODUCT(N(Tabela1[Código]=Tabela2[[#This Row],[Ativo]]),Tabela1[Fechamento])</f>
        <v>28.99</v>
      </c>
      <c r="K387" s="59">
        <f>SUMPRODUCT(N(Tabela17[Código]=Tabela2[[#This Row],[Ativo]]),Tabela17[Fechamento])</f>
        <v>0</v>
      </c>
      <c r="L387" s="59">
        <f>SUMPRODUCT(N(Tabela2[Ativo]=Tabela2[[#This Row],[Ativo]]),N(Tabela2[Exercício]=Tabela2[[#This Row],[Exercício]]-1),Tabela2[Lucro Líquido])</f>
        <v>0</v>
      </c>
      <c r="M387" s="18" t="str">
        <f>IF(Tabela2[[#This Row],[Lucro Anterior]]=0,"",IF(Tabela2[[#This Row],[Lucro Líquido]]&gt;0,Tabela2[[#This Row],[Lucro Líquido]]/Tabela2[[#This Row],[Lucro Anterior]]-1,0))</f>
        <v/>
      </c>
    </row>
    <row r="388" spans="1:13" x14ac:dyDescent="0.2">
      <c r="A388" s="14" t="s">
        <v>82</v>
      </c>
      <c r="B388" s="4">
        <v>2012</v>
      </c>
      <c r="C388" s="5">
        <v>10799538178.68</v>
      </c>
      <c r="D388" s="8">
        <f>SUMPRODUCT(N(Tabela3[PAPEL]=Tabela2[[#This Row],[Ativo]]),Tabela3[Total Ações])</f>
        <v>5028029710</v>
      </c>
      <c r="E388" s="65">
        <f>(Tabela2[[#This Row],[Lucro Líquido]])/Tabela2[[#This Row],[Total Ações]]</f>
        <v>2.14786681892538</v>
      </c>
      <c r="F388" s="65">
        <v>1</v>
      </c>
      <c r="G388" s="45">
        <f>IF(AND(Tabela2[[#This Row],[Dividendo / Ação]]&gt;0,Tabela2[[#This Row],[Lucro por ação]]&gt;0),Tabela2[[#This Row],[Dividendo / Ação]]/Tabela2[[#This Row],[Lucro por ação]],"")</f>
        <v>0.46557821518017567</v>
      </c>
      <c r="H388" s="6">
        <f>MAX(Tabela2[[#This Row],[Cotação 1]],Tabela2[[#This Row],[Cotação 2]])</f>
        <v>31.25</v>
      </c>
      <c r="I388" s="19">
        <f>IF(Tabela2[[#This Row],[Dividendo / Ação]]&gt;0,Tabela2[[#This Row],[Dividendo / Ação]]/Tabela2[[#This Row],[Cotação]],"")</f>
        <v>3.2000000000000001E-2</v>
      </c>
      <c r="J388" s="60">
        <f>SUMPRODUCT(N(Tabela1[Código]=Tabela2[[#This Row],[Ativo]]),Tabela1[Fechamento])</f>
        <v>31.25</v>
      </c>
      <c r="K388" s="60">
        <f>SUMPRODUCT(N(Tabela17[Código]=Tabela2[[#This Row],[Ativo]]),Tabela17[Fechamento])</f>
        <v>0</v>
      </c>
      <c r="L388" s="60">
        <f>SUMPRODUCT(N(Tabela2[Ativo]=Tabela2[[#This Row],[Ativo]]),N(Tabela2[Exercício]=Tabela2[[#This Row],[Exercício]]-1),Tabela2[Lucro Líquido])</f>
        <v>11890195760.129999</v>
      </c>
      <c r="M388" s="19">
        <f>IF(Tabela2[[#This Row],[Lucro Anterior]]=0,"",IF(Tabela2[[#This Row],[Lucro Líquido]]&gt;0,Tabela2[[#This Row],[Lucro Líquido]]/Tabela2[[#This Row],[Lucro Anterior]]-1,0))</f>
        <v>-9.172747055243391E-2</v>
      </c>
    </row>
    <row r="389" spans="1:13" x14ac:dyDescent="0.2">
      <c r="A389" s="14" t="s">
        <v>82</v>
      </c>
      <c r="B389" s="4">
        <v>2011</v>
      </c>
      <c r="C389" s="5">
        <v>11890195760.129999</v>
      </c>
      <c r="D389" s="8">
        <f>SUMPRODUCT(N(Tabela3[PAPEL]=Tabela2[[#This Row],[Ativo]]),Tabela3[Total Ações])</f>
        <v>5028029710</v>
      </c>
      <c r="E389" s="65">
        <f>(Tabela2[[#This Row],[Lucro Líquido]])/Tabela2[[#This Row],[Total Ações]]</f>
        <v>2.364782319500256</v>
      </c>
      <c r="F389" s="65">
        <v>0.97270000000000001</v>
      </c>
      <c r="G389" s="45">
        <f>IF(AND(Tabela2[[#This Row],[Dividendo / Ação]]&gt;0,Tabela2[[#This Row],[Lucro por ação]]&gt;0),Tabela2[[#This Row],[Dividendo / Ação]]/Tabela2[[#This Row],[Lucro por ação]],"")</f>
        <v>0.41132750020118491</v>
      </c>
      <c r="H389" s="6">
        <f>MAX(Tabela2[[#This Row],[Cotação 1]],Tabela2[[#This Row],[Cotação 2]])</f>
        <v>31.25</v>
      </c>
      <c r="I389" s="19">
        <f>IF(Tabela2[[#This Row],[Dividendo / Ação]]&gt;0,Tabela2[[#This Row],[Dividendo / Ação]]/Tabela2[[#This Row],[Cotação]],"")</f>
        <v>3.1126400000000002E-2</v>
      </c>
      <c r="J389" s="60">
        <f>SUMPRODUCT(N(Tabela1[Código]=Tabela2[[#This Row],[Ativo]]),Tabela1[Fechamento])</f>
        <v>31.25</v>
      </c>
      <c r="K389" s="60">
        <f>SUMPRODUCT(N(Tabela17[Código]=Tabela2[[#This Row],[Ativo]]),Tabela17[Fechamento])</f>
        <v>0</v>
      </c>
      <c r="L389" s="60">
        <f>SUMPRODUCT(N(Tabela2[Ativo]=Tabela2[[#This Row],[Ativo]]),N(Tabela2[Exercício]=Tabela2[[#This Row],[Exercício]]-1),Tabela2[Lucro Líquido])</f>
        <v>10272015528.35</v>
      </c>
      <c r="M389" s="19">
        <f>IF(Tabela2[[#This Row],[Lucro Anterior]]=0,"",IF(Tabela2[[#This Row],[Lucro Líquido]]&gt;0,Tabela2[[#This Row],[Lucro Líquido]]/Tabela2[[#This Row],[Lucro Anterior]]-1,0))</f>
        <v>0.15753288410769439</v>
      </c>
    </row>
    <row r="390" spans="1:13" x14ac:dyDescent="0.2">
      <c r="A390" s="14" t="s">
        <v>82</v>
      </c>
      <c r="B390" s="4">
        <v>2010</v>
      </c>
      <c r="C390" s="5">
        <v>10272015528.35</v>
      </c>
      <c r="D390" s="8">
        <f>SUMPRODUCT(N(Tabela3[PAPEL]=Tabela2[[#This Row],[Ativo]]),Tabela3[Total Ações])</f>
        <v>5028029710</v>
      </c>
      <c r="E390" s="65">
        <f>(Tabela2[[#This Row],[Lucro Líquido]])/Tabela2[[#This Row],[Total Ações]]</f>
        <v>2.0429504439722175</v>
      </c>
      <c r="F390" s="65">
        <v>0.86070000000000002</v>
      </c>
      <c r="G390" s="45">
        <f>IF(AND(Tabela2[[#This Row],[Dividendo / Ação]]&gt;0,Tabela2[[#This Row],[Lucro por ação]]&gt;0),Tabela2[[#This Row],[Dividendo / Ação]]/Tabela2[[#This Row],[Lucro por ação]],"")</f>
        <v>0.42130243664966005</v>
      </c>
      <c r="H390" s="6">
        <f>MAX(Tabela2[[#This Row],[Cotação 1]],Tabela2[[#This Row],[Cotação 2]])</f>
        <v>31.25</v>
      </c>
      <c r="I390" s="19">
        <f>IF(Tabela2[[#This Row],[Dividendo / Ação]]&gt;0,Tabela2[[#This Row],[Dividendo / Ação]]/Tabela2[[#This Row],[Cotação]],"")</f>
        <v>2.7542400000000002E-2</v>
      </c>
      <c r="J390" s="60">
        <f>SUMPRODUCT(N(Tabela1[Código]=Tabela2[[#This Row],[Ativo]]),Tabela1[Fechamento])</f>
        <v>31.25</v>
      </c>
      <c r="K390" s="60">
        <f>SUMPRODUCT(N(Tabela17[Código]=Tabela2[[#This Row],[Ativo]]),Tabela17[Fechamento])</f>
        <v>0</v>
      </c>
      <c r="L390" s="60">
        <f>SUMPRODUCT(N(Tabela2[Ativo]=Tabela2[[#This Row],[Ativo]]),N(Tabela2[Exercício]=Tabela2[[#This Row],[Exercício]]-1),Tabela2[Lucro Líquido])</f>
        <v>0</v>
      </c>
      <c r="M390" s="19" t="str">
        <f>IF(Tabela2[[#This Row],[Lucro Anterior]]=0,"",IF(Tabela2[[#This Row],[Lucro Líquido]]&gt;0,Tabela2[[#This Row],[Lucro Líquido]]/Tabela2[[#This Row],[Lucro Anterior]]-1,0))</f>
        <v/>
      </c>
    </row>
    <row r="391" spans="1:13" x14ac:dyDescent="0.2">
      <c r="A391" s="3" t="s">
        <v>316</v>
      </c>
      <c r="B391" s="3">
        <v>2012</v>
      </c>
      <c r="C391" s="5">
        <v>718939800.83000004</v>
      </c>
      <c r="D391" s="61">
        <f>SUMPRODUCT(N(Tabela3[PAPEL]=Tabela2[[#This Row],[Ativo]]),Tabela3[Total Ações])</f>
        <v>2943644008</v>
      </c>
      <c r="E391" s="64">
        <f>(Tabela2[[#This Row],[Lucro Líquido]])/Tabela2[[#This Row],[Total Ações]]</f>
        <v>0.244234628533927</v>
      </c>
      <c r="F391" s="64">
        <v>5.8005724000000002E-2</v>
      </c>
      <c r="G391" s="22">
        <f>IF(AND(Tabela2[[#This Row],[Dividendo / Ação]]&gt;0,Tabela2[[#This Row],[Lucro por ação]]&gt;0),Tabela2[[#This Row],[Dividendo / Ação]]/Tabela2[[#This Row],[Lucro por ação]],"")</f>
        <v>0.23749999886663223</v>
      </c>
      <c r="H391" s="50">
        <f>MAX(Tabela2[[#This Row],[Cotação 1]],Tabela2[[#This Row],[Cotação 2]])</f>
        <v>8.9</v>
      </c>
      <c r="I391" s="18">
        <f>IF(Tabela2[[#This Row],[Dividendo / Ação]]&gt;0,Tabela2[[#This Row],[Dividendo / Ação]]/Tabela2[[#This Row],[Cotação]],"")</f>
        <v>6.5174970786516856E-3</v>
      </c>
      <c r="J391" s="7">
        <f>SUMPRODUCT(N(Tabela1[Código]=Tabela2[[#This Row],[Ativo]]),Tabela1[Fechamento])</f>
        <v>0</v>
      </c>
      <c r="K391" s="7">
        <f>SUMPRODUCT(N(Tabela17[Código]=Tabela2[[#This Row],[Ativo]]),Tabela17[Fechamento])</f>
        <v>8.9</v>
      </c>
      <c r="L391" s="7">
        <f>SUMPRODUCT(N(Tabela2[Ativo]=Tabela2[[#This Row],[Ativo]]),N(Tabela2[Exercício]=Tabela2[[#This Row],[Exercício]]-1),Tabela2[Lucro Líquido])</f>
        <v>-75180667.959999993</v>
      </c>
      <c r="M391" s="18">
        <f>IF(Tabela2[[#This Row],[Lucro Anterior]]=0,"",IF(Tabela2[[#This Row],[Lucro Líquido]]&gt;0,Tabela2[[#This Row],[Lucro Líquido]]/Tabela2[[#This Row],[Lucro Anterior]]-1,0))</f>
        <v>-10.562828055910773</v>
      </c>
    </row>
    <row r="392" spans="1:13" x14ac:dyDescent="0.2">
      <c r="A392" s="3" t="s">
        <v>316</v>
      </c>
      <c r="B392" s="3">
        <v>2011</v>
      </c>
      <c r="C392" s="5">
        <v>-75180667.959999993</v>
      </c>
      <c r="D392" s="61">
        <f>SUMPRODUCT(N(Tabela3[PAPEL]=Tabela2[[#This Row],[Ativo]]),Tabela3[Total Ações])</f>
        <v>2943644008</v>
      </c>
      <c r="E392" s="64">
        <f>(Tabela2[[#This Row],[Lucro Líquido]])/Tabela2[[#This Row],[Total Ações]]</f>
        <v>-2.5539999998532428E-2</v>
      </c>
      <c r="F392" s="64">
        <v>0</v>
      </c>
      <c r="G392" s="22" t="str">
        <f>IF(AND(Tabela2[[#This Row],[Dividendo / Ação]]&gt;0,Tabela2[[#This Row],[Lucro por ação]]&gt;0),Tabela2[[#This Row],[Dividendo / Ação]]/Tabela2[[#This Row],[Lucro por ação]],"")</f>
        <v/>
      </c>
      <c r="H392" s="50">
        <f>MAX(Tabela2[[#This Row],[Cotação 1]],Tabela2[[#This Row],[Cotação 2]])</f>
        <v>8.9</v>
      </c>
      <c r="I392" s="18" t="str">
        <f>IF(Tabela2[[#This Row],[Dividendo / Ação]]&gt;0,Tabela2[[#This Row],[Dividendo / Ação]]/Tabela2[[#This Row],[Cotação]],"")</f>
        <v/>
      </c>
      <c r="J392" s="7">
        <f>SUMPRODUCT(N(Tabela1[Código]=Tabela2[[#This Row],[Ativo]]),Tabela1[Fechamento])</f>
        <v>0</v>
      </c>
      <c r="K392" s="7">
        <f>SUMPRODUCT(N(Tabela17[Código]=Tabela2[[#This Row],[Ativo]]),Tabela17[Fechamento])</f>
        <v>8.9</v>
      </c>
      <c r="L392" s="7">
        <f>SUMPRODUCT(N(Tabela2[Ativo]=Tabela2[[#This Row],[Ativo]]),N(Tabela2[Exercício]=Tabela2[[#This Row],[Exercício]]-1),Tabela2[Lucro Líquido])</f>
        <v>-357505564.80000001</v>
      </c>
      <c r="M392" s="18">
        <f>IF(Tabela2[[#This Row],[Lucro Anterior]]=0,"",IF(Tabela2[[#This Row],[Lucro Líquido]]&gt;0,Tabela2[[#This Row],[Lucro Líquido]]/Tabela2[[#This Row],[Lucro Anterior]]-1,0))</f>
        <v>0</v>
      </c>
    </row>
    <row r="393" spans="1:13" x14ac:dyDescent="0.2">
      <c r="A393" s="3" t="s">
        <v>316</v>
      </c>
      <c r="B393" s="3">
        <v>2010</v>
      </c>
      <c r="C393" s="5">
        <v>-357505564.80000001</v>
      </c>
      <c r="D393" s="61">
        <f>SUMPRODUCT(N(Tabela3[PAPEL]=Tabela2[[#This Row],[Ativo]]),Tabela3[Total Ações])</f>
        <v>2943644008</v>
      </c>
      <c r="E393" s="64">
        <f>(Tabela2[[#This Row],[Lucro Líquido]])/Tabela2[[#This Row],[Total Ações]]</f>
        <v>-0.12145000000964791</v>
      </c>
      <c r="F393" s="64">
        <v>0</v>
      </c>
      <c r="G393" s="22" t="str">
        <f>IF(AND(Tabela2[[#This Row],[Dividendo / Ação]]&gt;0,Tabela2[[#This Row],[Lucro por ação]]&gt;0),Tabela2[[#This Row],[Dividendo / Ação]]/Tabela2[[#This Row],[Lucro por ação]],"")</f>
        <v/>
      </c>
      <c r="H393" s="50">
        <f>MAX(Tabela2[[#This Row],[Cotação 1]],Tabela2[[#This Row],[Cotação 2]])</f>
        <v>8.9</v>
      </c>
      <c r="I393" s="18" t="str">
        <f>IF(Tabela2[[#This Row],[Dividendo / Ação]]&gt;0,Tabela2[[#This Row],[Dividendo / Ação]]/Tabela2[[#This Row],[Cotação]],"")</f>
        <v/>
      </c>
      <c r="J393" s="7">
        <f>SUMPRODUCT(N(Tabela1[Código]=Tabela2[[#This Row],[Ativo]]),Tabela1[Fechamento])</f>
        <v>0</v>
      </c>
      <c r="K393" s="7">
        <f>SUMPRODUCT(N(Tabela17[Código]=Tabela2[[#This Row],[Ativo]]),Tabela17[Fechamento])</f>
        <v>8.9</v>
      </c>
      <c r="L393" s="7">
        <f>SUMPRODUCT(N(Tabela2[Ativo]=Tabela2[[#This Row],[Ativo]]),N(Tabela2[Exercício]=Tabela2[[#This Row],[Exercício]]-1),Tabela2[Lucro Líquido])</f>
        <v>0</v>
      </c>
      <c r="M393" s="18" t="str">
        <f>IF(Tabela2[[#This Row],[Lucro Anterior]]=0,"",IF(Tabela2[[#This Row],[Lucro Líquido]]&gt;0,Tabela2[[#This Row],[Lucro Líquido]]/Tabela2[[#This Row],[Lucro Anterior]]-1,0))</f>
        <v/>
      </c>
    </row>
    <row r="394" spans="1:13" x14ac:dyDescent="0.2">
      <c r="A394" s="4" t="s">
        <v>205</v>
      </c>
      <c r="B394" s="4">
        <v>2012</v>
      </c>
      <c r="C394" s="6">
        <v>751965362.53999996</v>
      </c>
      <c r="D394" s="8">
        <f>SUMPRODUCT(N(Tabela3[PAPEL]=Tabela2[[#This Row],[Ativo]]),Tabela3[Total Ações])</f>
        <v>917683296</v>
      </c>
      <c r="E394" s="65">
        <f>(Tabela2[[#This Row],[Lucro Líquido]])/Tabela2[[#This Row],[Total Ações]]</f>
        <v>0.81941707538719322</v>
      </c>
      <c r="F394" s="65">
        <v>0.2064</v>
      </c>
      <c r="G394" s="45">
        <f>IF(AND(Tabela2[[#This Row],[Dividendo / Ação]]&gt;0,Tabela2[[#This Row],[Lucro por ação]]&gt;0),Tabela2[[#This Row],[Dividendo / Ação]]/Tabela2[[#This Row],[Lucro por ação]],"")</f>
        <v>0.25188637898773503</v>
      </c>
      <c r="H394" s="6">
        <f>MAX(Tabela2[[#This Row],[Cotação 1]],Tabela2[[#This Row],[Cotação 2]])</f>
        <v>11</v>
      </c>
      <c r="I394" s="19">
        <f>IF(Tabela2[[#This Row],[Dividendo / Ação]]&gt;0,Tabela2[[#This Row],[Dividendo / Ação]]/Tabela2[[#This Row],[Cotação]],"")</f>
        <v>1.8763636363636364E-2</v>
      </c>
      <c r="J394" s="60">
        <f>SUMPRODUCT(N(Tabela1[Código]=Tabela2[[#This Row],[Ativo]]),Tabela1[Fechamento])</f>
        <v>11</v>
      </c>
      <c r="K394" s="60">
        <f>SUMPRODUCT(N(Tabela17[Código]=Tabela2[[#This Row],[Ativo]]),Tabela17[Fechamento])</f>
        <v>0</v>
      </c>
      <c r="L394" s="60">
        <f>SUMPRODUCT(N(Tabela2[Ativo]=Tabela2[[#This Row],[Ativo]]),N(Tabela2[Exercício]=Tabela2[[#This Row],[Exercício]]-1),Tabela2[Lucro Líquido])</f>
        <v>182710744</v>
      </c>
      <c r="M394" s="19">
        <f>IF(Tabela2[[#This Row],[Lucro Anterior]]=0,"",IF(Tabela2[[#This Row],[Lucro Líquido]]&gt;0,Tabela2[[#This Row],[Lucro Líquido]]/Tabela2[[#This Row],[Lucro Anterior]]-1,0))</f>
        <v>3.1156056074075202</v>
      </c>
    </row>
    <row r="395" spans="1:13" x14ac:dyDescent="0.2">
      <c r="A395" s="4" t="s">
        <v>205</v>
      </c>
      <c r="B395" s="3">
        <v>2011</v>
      </c>
      <c r="C395" s="5">
        <v>182710744</v>
      </c>
      <c r="D395" s="61">
        <f>SUMPRODUCT(N(Tabela3[PAPEL]=Tabela2[[#This Row],[Ativo]]),Tabela3[Total Ações])</f>
        <v>917683296</v>
      </c>
      <c r="E395" s="64">
        <f>(Tabela2[[#This Row],[Lucro Líquido]])/Tabela2[[#This Row],[Total Ações]]</f>
        <v>0.19909999974544595</v>
      </c>
      <c r="F395" s="64">
        <v>0.1447</v>
      </c>
      <c r="G395" s="22">
        <f>IF(AND(Tabela2[[#This Row],[Dividendo / Ação]]&gt;0,Tabela2[[#This Row],[Lucro por ação]]&gt;0),Tabela2[[#This Row],[Dividendo / Ação]]/Tabela2[[#This Row],[Lucro por ação]],"")</f>
        <v>0.72677046803115197</v>
      </c>
      <c r="H395" s="5">
        <f>MAX(Tabela2[[#This Row],[Cotação 1]],Tabela2[[#This Row],[Cotação 2]])</f>
        <v>11</v>
      </c>
      <c r="I395" s="18">
        <f>IF(Tabela2[[#This Row],[Dividendo / Ação]]&gt;0,Tabela2[[#This Row],[Dividendo / Ação]]/Tabela2[[#This Row],[Cotação]],"")</f>
        <v>1.3154545454545453E-2</v>
      </c>
      <c r="J395" s="59">
        <f>SUMPRODUCT(N(Tabela1[Código]=Tabela2[[#This Row],[Ativo]]),Tabela1[Fechamento])</f>
        <v>11</v>
      </c>
      <c r="K395" s="59">
        <f>SUMPRODUCT(N(Tabela17[Código]=Tabela2[[#This Row],[Ativo]]),Tabela17[Fechamento])</f>
        <v>0</v>
      </c>
      <c r="L395" s="59">
        <f>SUMPRODUCT(N(Tabela2[Ativo]=Tabela2[[#This Row],[Ativo]]),N(Tabela2[Exercício]=Tabela2[[#This Row],[Exercício]]-1),Tabela2[Lucro Líquido])</f>
        <v>559786811</v>
      </c>
      <c r="M395" s="18">
        <f>IF(Tabela2[[#This Row],[Lucro Anterior]]=0,"",IF(Tabela2[[#This Row],[Lucro Líquido]]&gt;0,Tabela2[[#This Row],[Lucro Líquido]]/Tabela2[[#This Row],[Lucro Anterior]]-1,0))</f>
        <v>-0.67360655805090053</v>
      </c>
    </row>
    <row r="396" spans="1:13" x14ac:dyDescent="0.2">
      <c r="A396" s="4" t="s">
        <v>205</v>
      </c>
      <c r="B396" s="3">
        <v>2010</v>
      </c>
      <c r="C396" s="5">
        <v>559786811</v>
      </c>
      <c r="D396" s="61">
        <f>SUMPRODUCT(N(Tabela3[PAPEL]=Tabela2[[#This Row],[Ativo]]),Tabela3[Total Ações])</f>
        <v>917683296</v>
      </c>
      <c r="E396" s="64">
        <f>(Tabela2[[#This Row],[Lucro Líquido]])/Tabela2[[#This Row],[Total Ações]]</f>
        <v>0.61000000047946823</v>
      </c>
      <c r="F396" s="64">
        <v>0.12509999999999999</v>
      </c>
      <c r="G396" s="22">
        <f>IF(AND(Tabela2[[#This Row],[Dividendo / Ação]]&gt;0,Tabela2[[#This Row],[Lucro por ação]]&gt;0),Tabela2[[#This Row],[Dividendo / Ação]]/Tabela2[[#This Row],[Lucro por ação]],"")</f>
        <v>0.20508196705191753</v>
      </c>
      <c r="H396" s="5">
        <f>MAX(Tabela2[[#This Row],[Cotação 1]],Tabela2[[#This Row],[Cotação 2]])</f>
        <v>11</v>
      </c>
      <c r="I396" s="18">
        <f>IF(Tabela2[[#This Row],[Dividendo / Ação]]&gt;0,Tabela2[[#This Row],[Dividendo / Ação]]/Tabela2[[#This Row],[Cotação]],"")</f>
        <v>1.1372727272727272E-2</v>
      </c>
      <c r="J396" s="59">
        <f>SUMPRODUCT(N(Tabela1[Código]=Tabela2[[#This Row],[Ativo]]),Tabela1[Fechamento])</f>
        <v>11</v>
      </c>
      <c r="K396" s="59">
        <f>SUMPRODUCT(N(Tabela17[Código]=Tabela2[[#This Row],[Ativo]]),Tabela17[Fechamento])</f>
        <v>0</v>
      </c>
      <c r="L396" s="59">
        <f>SUMPRODUCT(N(Tabela2[Ativo]=Tabela2[[#This Row],[Ativo]]),N(Tabela2[Exercício]=Tabela2[[#This Row],[Exercício]]-1),Tabela2[Lucro Líquido])</f>
        <v>0</v>
      </c>
      <c r="M396" s="18" t="str">
        <f>IF(Tabela2[[#This Row],[Lucro Anterior]]=0,"",IF(Tabela2[[#This Row],[Lucro Líquido]]&gt;0,Tabela2[[#This Row],[Lucro Líquido]]/Tabela2[[#This Row],[Lucro Anterior]]-1,0))</f>
        <v/>
      </c>
    </row>
    <row r="397" spans="1:13" x14ac:dyDescent="0.2">
      <c r="A397" s="4" t="s">
        <v>54</v>
      </c>
      <c r="B397" s="4">
        <v>2012</v>
      </c>
      <c r="C397" s="6">
        <v>751965362.53999996</v>
      </c>
      <c r="D397" s="8">
        <f>SUMPRODUCT(N(Tabela3[PAPEL]=Tabela2[[#This Row],[Ativo]]),Tabela3[Total Ações])</f>
        <v>917683296</v>
      </c>
      <c r="E397" s="65">
        <f>(Tabela2[[#This Row],[Lucro Líquido]])/Tabela2[[#This Row],[Total Ações]]</f>
        <v>0.81941707538719322</v>
      </c>
      <c r="F397" s="65">
        <v>0.22700000000000001</v>
      </c>
      <c r="G397" s="45">
        <f>IF(AND(Tabela2[[#This Row],[Dividendo / Ação]]&gt;0,Tabela2[[#This Row],[Lucro por ação]]&gt;0),Tabela2[[#This Row],[Dividendo / Ação]]/Tabela2[[#This Row],[Lucro por ação]],"")</f>
        <v>0.27702620169678221</v>
      </c>
      <c r="H397" s="6">
        <f>MAX(Tabela2[[#This Row],[Cotação 1]],Tabela2[[#This Row],[Cotação 2]])</f>
        <v>12.71</v>
      </c>
      <c r="I397" s="19">
        <f>IF(Tabela2[[#This Row],[Dividendo / Ação]]&gt;0,Tabela2[[#This Row],[Dividendo / Ação]]/Tabela2[[#This Row],[Cotação]],"")</f>
        <v>1.7859952793076318E-2</v>
      </c>
      <c r="J397" s="60">
        <f>SUMPRODUCT(N(Tabela1[Código]=Tabela2[[#This Row],[Ativo]]),Tabela1[Fechamento])</f>
        <v>12.71</v>
      </c>
      <c r="K397" s="60">
        <f>SUMPRODUCT(N(Tabela17[Código]=Tabela2[[#This Row],[Ativo]]),Tabela17[Fechamento])</f>
        <v>0</v>
      </c>
      <c r="L397" s="60">
        <f>SUMPRODUCT(N(Tabela2[Ativo]=Tabela2[[#This Row],[Ativo]]),N(Tabela2[Exercício]=Tabela2[[#This Row],[Exercício]]-1),Tabela2[Lucro Líquido])</f>
        <v>182710744</v>
      </c>
      <c r="M397" s="19">
        <f>IF(Tabela2[[#This Row],[Lucro Anterior]]=0,"",IF(Tabela2[[#This Row],[Lucro Líquido]]&gt;0,Tabela2[[#This Row],[Lucro Líquido]]/Tabela2[[#This Row],[Lucro Anterior]]-1,0))</f>
        <v>3.1156056074075202</v>
      </c>
    </row>
    <row r="398" spans="1:13" x14ac:dyDescent="0.2">
      <c r="A398" s="4" t="s">
        <v>54</v>
      </c>
      <c r="B398" s="4">
        <v>2011</v>
      </c>
      <c r="C398" s="5">
        <v>182710744</v>
      </c>
      <c r="D398" s="8">
        <f>SUMPRODUCT(N(Tabela3[PAPEL]=Tabela2[[#This Row],[Ativo]]),Tabela3[Total Ações])</f>
        <v>917683296</v>
      </c>
      <c r="E398" s="65">
        <f>(Tabela2[[#This Row],[Lucro Líquido]])/Tabela2[[#This Row],[Total Ações]]</f>
        <v>0.19909999974544595</v>
      </c>
      <c r="F398" s="65">
        <v>0.15920000000000001</v>
      </c>
      <c r="G398" s="45">
        <f>IF(AND(Tabela2[[#This Row],[Dividendo / Ação]]&gt;0,Tabela2[[#This Row],[Lucro por ação]]&gt;0),Tabela2[[#This Row],[Dividendo / Ação]]/Tabela2[[#This Row],[Lucro por ação]],"")</f>
        <v>0.79959819288569045</v>
      </c>
      <c r="H398" s="6">
        <f>MAX(Tabela2[[#This Row],[Cotação 1]],Tabela2[[#This Row],[Cotação 2]])</f>
        <v>12.71</v>
      </c>
      <c r="I398" s="19">
        <f>IF(Tabela2[[#This Row],[Dividendo / Ação]]&gt;0,Tabela2[[#This Row],[Dividendo / Ação]]/Tabela2[[#This Row],[Cotação]],"")</f>
        <v>1.2525570416994493E-2</v>
      </c>
      <c r="J398" s="60">
        <f>SUMPRODUCT(N(Tabela1[Código]=Tabela2[[#This Row],[Ativo]]),Tabela1[Fechamento])</f>
        <v>12.71</v>
      </c>
      <c r="K398" s="60">
        <f>SUMPRODUCT(N(Tabela17[Código]=Tabela2[[#This Row],[Ativo]]),Tabela17[Fechamento])</f>
        <v>0</v>
      </c>
      <c r="L398" s="60">
        <f>SUMPRODUCT(N(Tabela2[Ativo]=Tabela2[[#This Row],[Ativo]]),N(Tabela2[Exercício]=Tabela2[[#This Row],[Exercício]]-1),Tabela2[Lucro Líquido])</f>
        <v>559786811</v>
      </c>
      <c r="M398" s="19">
        <f>IF(Tabela2[[#This Row],[Lucro Anterior]]=0,"",IF(Tabela2[[#This Row],[Lucro Líquido]]&gt;0,Tabela2[[#This Row],[Lucro Líquido]]/Tabela2[[#This Row],[Lucro Anterior]]-1,0))</f>
        <v>-0.67360655805090053</v>
      </c>
    </row>
    <row r="399" spans="1:13" x14ac:dyDescent="0.2">
      <c r="A399" s="4" t="s">
        <v>54</v>
      </c>
      <c r="B399" s="4">
        <v>2010</v>
      </c>
      <c r="C399" s="5">
        <v>559786811</v>
      </c>
      <c r="D399" s="8">
        <f>SUMPRODUCT(N(Tabela3[PAPEL]=Tabela2[[#This Row],[Ativo]]),Tabela3[Total Ações])</f>
        <v>917683296</v>
      </c>
      <c r="E399" s="65">
        <f>(Tabela2[[#This Row],[Lucro Líquido]])/Tabela2[[#This Row],[Total Ações]]</f>
        <v>0.61000000047946823</v>
      </c>
      <c r="F399" s="65">
        <v>0.1376</v>
      </c>
      <c r="G399" s="45">
        <f>IF(AND(Tabela2[[#This Row],[Dividendo / Ação]]&gt;0,Tabela2[[#This Row],[Lucro por ação]]&gt;0),Tabela2[[#This Row],[Dividendo / Ação]]/Tabela2[[#This Row],[Lucro por ação]],"")</f>
        <v>0.22557377031449924</v>
      </c>
      <c r="H399" s="6">
        <f>MAX(Tabela2[[#This Row],[Cotação 1]],Tabela2[[#This Row],[Cotação 2]])</f>
        <v>12.71</v>
      </c>
      <c r="I399" s="19">
        <f>IF(Tabela2[[#This Row],[Dividendo / Ação]]&gt;0,Tabela2[[#This Row],[Dividendo / Ação]]/Tabela2[[#This Row],[Cotação]],"")</f>
        <v>1.0826121164437451E-2</v>
      </c>
      <c r="J399" s="60">
        <f>SUMPRODUCT(N(Tabela1[Código]=Tabela2[[#This Row],[Ativo]]),Tabela1[Fechamento])</f>
        <v>12.71</v>
      </c>
      <c r="K399" s="60">
        <f>SUMPRODUCT(N(Tabela17[Código]=Tabela2[[#This Row],[Ativo]]),Tabela17[Fechamento])</f>
        <v>0</v>
      </c>
      <c r="L399" s="60">
        <f>SUMPRODUCT(N(Tabela2[Ativo]=Tabela2[[#This Row],[Ativo]]),N(Tabela2[Exercício]=Tabela2[[#This Row],[Exercício]]-1),Tabela2[Lucro Líquido])</f>
        <v>0</v>
      </c>
      <c r="M399" s="19" t="str">
        <f>IF(Tabela2[[#This Row],[Lucro Anterior]]=0,"",IF(Tabela2[[#This Row],[Lucro Líquido]]&gt;0,Tabela2[[#This Row],[Lucro Líquido]]/Tabela2[[#This Row],[Lucro Anterior]]-1,0))</f>
        <v/>
      </c>
    </row>
    <row r="400" spans="1:13" x14ac:dyDescent="0.2">
      <c r="A400" s="3" t="s">
        <v>355</v>
      </c>
      <c r="B400" s="3">
        <v>2012</v>
      </c>
      <c r="C400" s="5">
        <v>3722000</v>
      </c>
      <c r="D400" s="66">
        <f>SUMPRODUCT(N(Tabela3[PAPEL]=Tabela2[[#This Row],[Ativo]]),Tabela3[Total Ações])</f>
        <v>65075322</v>
      </c>
      <c r="E400" s="64">
        <f>(Tabela2[[#This Row],[Lucro Líquido]])/Tabela2[[#This Row],[Total Ações]]</f>
        <v>5.7195260593562641E-2</v>
      </c>
      <c r="F400" s="76">
        <v>0.15492519799999999</v>
      </c>
      <c r="G400" s="18">
        <f>IF(AND(Tabela2[[#This Row],[Dividendo / Ação]]&gt;0,Tabela2[[#This Row],[Lucro por ação]]&gt;0),Tabela2[[#This Row],[Dividendo / Ação]]/Tabela2[[#This Row],[Lucro por ação]],"")</f>
        <v>2.7087069171853182</v>
      </c>
      <c r="H400" s="7">
        <f>MAX(Tabela2[[#This Row],[Cotação 1]],Tabela2[[#This Row],[Cotação 2]])</f>
        <v>6.5</v>
      </c>
      <c r="I400" s="22">
        <f>IF(Tabela2[[#This Row],[Dividendo / Ação]]&gt;0,Tabela2[[#This Row],[Dividendo / Ação]]/Tabela2[[#This Row],[Cotação]],"")</f>
        <v>2.3834645846153843E-2</v>
      </c>
      <c r="J400" s="7">
        <f>SUMPRODUCT(N(Tabela1[Código]=Tabela2[[#This Row],[Ativo]]),Tabela1[Fechamento])</f>
        <v>0</v>
      </c>
      <c r="K400" s="7">
        <f>SUMPRODUCT(N(Tabela17[Código]=Tabela2[[#This Row],[Ativo]]),Tabela17[Fechamento])</f>
        <v>6.5</v>
      </c>
      <c r="L400" s="7">
        <f>SUMPRODUCT(N(Tabela2[Ativo]=Tabela2[[#This Row],[Ativo]]),N(Tabela2[Exercício]=Tabela2[[#This Row],[Exercício]]-1),Tabela2[Lucro Líquido])</f>
        <v>22576000</v>
      </c>
      <c r="M400" s="18">
        <f>IF(Tabela2[[#This Row],[Lucro Anterior]]=0,"",IF(Tabela2[[#This Row],[Lucro Líquido]]&gt;0,Tabela2[[#This Row],[Lucro Líquido]]/Tabela2[[#This Row],[Lucro Anterior]]-1,0))</f>
        <v>-0.83513465627214745</v>
      </c>
    </row>
    <row r="401" spans="1:13" x14ac:dyDescent="0.2">
      <c r="A401" s="3" t="s">
        <v>355</v>
      </c>
      <c r="B401" s="3">
        <v>2011</v>
      </c>
      <c r="C401" s="5">
        <v>22576000</v>
      </c>
      <c r="D401" s="66">
        <f>SUMPRODUCT(N(Tabela3[PAPEL]=Tabela2[[#This Row],[Ativo]]),Tabela3[Total Ações])</f>
        <v>65075322</v>
      </c>
      <c r="E401" s="64">
        <f>(Tabela2[[#This Row],[Lucro Líquido]])/Tabela2[[#This Row],[Total Ações]]</f>
        <v>0.34692106479319457</v>
      </c>
      <c r="F401" s="76">
        <v>0.22154209999999999</v>
      </c>
      <c r="G401" s="18">
        <f>IF(AND(Tabela2[[#This Row],[Dividendo / Ação]]&gt;0,Tabela2[[#This Row],[Lucro por ação]]&gt;0),Tabela2[[#This Row],[Dividendo / Ação]]/Tabela2[[#This Row],[Lucro por ação]],"")</f>
        <v>0.63859512287633768</v>
      </c>
      <c r="H401" s="7">
        <f>MAX(Tabela2[[#This Row],[Cotação 1]],Tabela2[[#This Row],[Cotação 2]])</f>
        <v>6.5</v>
      </c>
      <c r="I401" s="22">
        <f>IF(Tabela2[[#This Row],[Dividendo / Ação]]&gt;0,Tabela2[[#This Row],[Dividendo / Ação]]/Tabela2[[#This Row],[Cotação]],"")</f>
        <v>3.40834E-2</v>
      </c>
      <c r="J401" s="7">
        <f>SUMPRODUCT(N(Tabela1[Código]=Tabela2[[#This Row],[Ativo]]),Tabela1[Fechamento])</f>
        <v>0</v>
      </c>
      <c r="K401" s="7">
        <f>SUMPRODUCT(N(Tabela17[Código]=Tabela2[[#This Row],[Ativo]]),Tabela17[Fechamento])</f>
        <v>6.5</v>
      </c>
      <c r="L401" s="7">
        <f>SUMPRODUCT(N(Tabela2[Ativo]=Tabela2[[#This Row],[Ativo]]),N(Tabela2[Exercício]=Tabela2[[#This Row],[Exercício]]-1),Tabela2[Lucro Líquido])</f>
        <v>0</v>
      </c>
      <c r="M401" s="18" t="str">
        <f>IF(Tabela2[[#This Row],[Lucro Anterior]]=0,"",IF(Tabela2[[#This Row],[Lucro Líquido]]&gt;0,Tabela2[[#This Row],[Lucro Líquido]]/Tabela2[[#This Row],[Lucro Anterior]]-1,0))</f>
        <v/>
      </c>
    </row>
    <row r="402" spans="1:13" x14ac:dyDescent="0.2">
      <c r="A402" s="4" t="s">
        <v>55</v>
      </c>
      <c r="B402" s="4">
        <v>2012</v>
      </c>
      <c r="C402" s="6">
        <v>423923458.43000001</v>
      </c>
      <c r="D402" s="8">
        <f>SUMPRODUCT(N(Tabela3[PAPEL]=Tabela2[[#This Row],[Ativo]]),Tabela3[Total Ações])</f>
        <v>203934060</v>
      </c>
      <c r="E402" s="65">
        <f>(Tabela2[[#This Row],[Lucro Líquido]])/Tabela2[[#This Row],[Total Ações]]</f>
        <v>2.0787280870591212</v>
      </c>
      <c r="F402" s="65">
        <v>1.71</v>
      </c>
      <c r="G402" s="45">
        <f>IF(AND(Tabela2[[#This Row],[Dividendo / Ação]]&gt;0,Tabela2[[#This Row],[Lucro por ação]]&gt;0),Tabela2[[#This Row],[Dividendo / Ação]]/Tabela2[[#This Row],[Lucro por ação]],"")</f>
        <v>0.82261841298311467</v>
      </c>
      <c r="H402" s="6">
        <f>MAX(Tabela2[[#This Row],[Cotação 1]],Tabela2[[#This Row],[Cotação 2]])</f>
        <v>20.61</v>
      </c>
      <c r="I402" s="19">
        <f>IF(Tabela2[[#This Row],[Dividendo / Ação]]&gt;0,Tabela2[[#This Row],[Dividendo / Ação]]/Tabela2[[#This Row],[Cotação]],"")</f>
        <v>8.296943231441048E-2</v>
      </c>
      <c r="J402" s="60">
        <f>SUMPRODUCT(N(Tabela1[Código]=Tabela2[[#This Row],[Ativo]]),Tabela1[Fechamento])</f>
        <v>20.61</v>
      </c>
      <c r="K402" s="60">
        <f>SUMPRODUCT(N(Tabela17[Código]=Tabela2[[#This Row],[Ativo]]),Tabela17[Fechamento])</f>
        <v>0</v>
      </c>
      <c r="L402" s="60">
        <f>SUMPRODUCT(N(Tabela2[Ativo]=Tabela2[[#This Row],[Ativo]]),N(Tabela2[Exercício]=Tabela2[[#This Row],[Exercício]]-1),Tabela2[Lucro Líquido])</f>
        <v>310647000</v>
      </c>
      <c r="M402" s="19">
        <f>IF(Tabela2[[#This Row],[Lucro Anterior]]=0,"",IF(Tabela2[[#This Row],[Lucro Líquido]]&gt;0,Tabela2[[#This Row],[Lucro Líquido]]/Tabela2[[#This Row],[Lucro Anterior]]-1,0))</f>
        <v>0.36464687709844301</v>
      </c>
    </row>
    <row r="403" spans="1:13" x14ac:dyDescent="0.2">
      <c r="A403" s="4" t="s">
        <v>55</v>
      </c>
      <c r="B403" s="4">
        <v>2011</v>
      </c>
      <c r="C403" s="6">
        <v>310647000</v>
      </c>
      <c r="D403" s="8">
        <f>SUMPRODUCT(N(Tabela3[PAPEL]=Tabela2[[#This Row],[Ativo]]),Tabela3[Total Ações])</f>
        <v>203934060</v>
      </c>
      <c r="E403" s="65">
        <f>(Tabela2[[#This Row],[Lucro Líquido]])/Tabela2[[#This Row],[Total Ações]]</f>
        <v>1.523271786968788</v>
      </c>
      <c r="F403" s="65">
        <v>1.45</v>
      </c>
      <c r="G403" s="45">
        <f>IF(AND(Tabela2[[#This Row],[Dividendo / Ação]]&gt;0,Tabela2[[#This Row],[Lucro por ação]]&gt;0),Tabela2[[#This Row],[Dividendo / Ação]]/Tabela2[[#This Row],[Lucro por ação]],"")</f>
        <v>0.95189841524302499</v>
      </c>
      <c r="H403" s="6">
        <f>MAX(Tabela2[[#This Row],[Cotação 1]],Tabela2[[#This Row],[Cotação 2]])</f>
        <v>20.61</v>
      </c>
      <c r="I403" s="19">
        <f>IF(Tabela2[[#This Row],[Dividendo / Ação]]&gt;0,Tabela2[[#This Row],[Dividendo / Ação]]/Tabela2[[#This Row],[Cotação]],"")</f>
        <v>7.0354196991751577E-2</v>
      </c>
      <c r="J403" s="60">
        <f>SUMPRODUCT(N(Tabela1[Código]=Tabela2[[#This Row],[Ativo]]),Tabela1[Fechamento])</f>
        <v>20.61</v>
      </c>
      <c r="K403" s="60">
        <f>SUMPRODUCT(N(Tabela17[Código]=Tabela2[[#This Row],[Ativo]]),Tabela17[Fechamento])</f>
        <v>0</v>
      </c>
      <c r="L403" s="60">
        <f>SUMPRODUCT(N(Tabela2[Ativo]=Tabela2[[#This Row],[Ativo]]),N(Tabela2[Exercício]=Tabela2[[#This Row],[Exercício]]-1),Tabela2[Lucro Líquido])</f>
        <v>575150000</v>
      </c>
      <c r="M403" s="19">
        <f>IF(Tabela2[[#This Row],[Lucro Anterior]]=0,"",IF(Tabela2[[#This Row],[Lucro Líquido]]&gt;0,Tabela2[[#This Row],[Lucro Líquido]]/Tabela2[[#This Row],[Lucro Anterior]]-1,0))</f>
        <v>-0.45988524732678426</v>
      </c>
    </row>
    <row r="404" spans="1:13" x14ac:dyDescent="0.2">
      <c r="A404" s="4" t="s">
        <v>55</v>
      </c>
      <c r="B404" s="4">
        <v>2010</v>
      </c>
      <c r="C404" s="6">
        <v>575150000</v>
      </c>
      <c r="D404" s="8">
        <f>SUMPRODUCT(N(Tabela3[PAPEL]=Tabela2[[#This Row],[Ativo]]),Tabela3[Total Ações])</f>
        <v>203934060</v>
      </c>
      <c r="E404" s="65">
        <f>(Tabela2[[#This Row],[Lucro Líquido]])/Tabela2[[#This Row],[Total Ações]]</f>
        <v>2.8202743573094167</v>
      </c>
      <c r="F404" s="65">
        <v>1.72</v>
      </c>
      <c r="G404" s="45">
        <f>IF(AND(Tabela2[[#This Row],[Dividendo / Ação]]&gt;0,Tabela2[[#This Row],[Lucro por ação]]&gt;0),Tabela2[[#This Row],[Dividendo / Ação]]/Tabela2[[#This Row],[Lucro por ação]],"")</f>
        <v>0.6098697438928975</v>
      </c>
      <c r="H404" s="6">
        <f>MAX(Tabela2[[#This Row],[Cotação 1]],Tabela2[[#This Row],[Cotação 2]])</f>
        <v>20.61</v>
      </c>
      <c r="I404" s="19">
        <f>IF(Tabela2[[#This Row],[Dividendo / Ação]]&gt;0,Tabela2[[#This Row],[Dividendo / Ação]]/Tabela2[[#This Row],[Cotação]],"")</f>
        <v>8.3454633672974288E-2</v>
      </c>
      <c r="J404" s="60">
        <f>SUMPRODUCT(N(Tabela1[Código]=Tabela2[[#This Row],[Ativo]]),Tabela1[Fechamento])</f>
        <v>20.61</v>
      </c>
      <c r="K404" s="60">
        <f>SUMPRODUCT(N(Tabela17[Código]=Tabela2[[#This Row],[Ativo]]),Tabela17[Fechamento])</f>
        <v>0</v>
      </c>
      <c r="L404" s="60">
        <f>SUMPRODUCT(N(Tabela2[Ativo]=Tabela2[[#This Row],[Ativo]]),N(Tabela2[Exercício]=Tabela2[[#This Row],[Exercício]]-1),Tabela2[Lucro Líquido])</f>
        <v>0</v>
      </c>
      <c r="M404" s="19" t="str">
        <f>IF(Tabela2[[#This Row],[Lucro Anterior]]=0,"",IF(Tabela2[[#This Row],[Lucro Líquido]]&gt;0,Tabela2[[#This Row],[Lucro Líquido]]/Tabela2[[#This Row],[Lucro Anterior]]-1,0))</f>
        <v/>
      </c>
    </row>
    <row r="405" spans="1:13" x14ac:dyDescent="0.2">
      <c r="A405" s="4" t="s">
        <v>180</v>
      </c>
      <c r="B405" s="4">
        <v>2012</v>
      </c>
      <c r="C405" s="6">
        <v>13335000</v>
      </c>
      <c r="D405" s="8">
        <f>SUMPRODUCT(N(Tabela3[PAPEL]=Tabela2[[#This Row],[Ativo]]),Tabela3[Total Ações])</f>
        <v>11764889</v>
      </c>
      <c r="E405" s="65">
        <f>(Tabela2[[#This Row],[Lucro Líquido]])/Tabela2[[#This Row],[Total Ações]]</f>
        <v>1.1334573577362268</v>
      </c>
      <c r="F405" s="65">
        <v>0.27145999999999998</v>
      </c>
      <c r="G405" s="45">
        <f>IF(AND(Tabela2[[#This Row],[Dividendo / Ação]]&gt;0,Tabela2[[#This Row],[Lucro por ação]]&gt;0),Tabela2[[#This Row],[Dividendo / Ação]]/Tabela2[[#This Row],[Lucro por ação]],"")</f>
        <v>0.23949732043044619</v>
      </c>
      <c r="H405" s="6">
        <f>MAX(Tabela2[[#This Row],[Cotação 1]],Tabela2[[#This Row],[Cotação 2]])</f>
        <v>49.6</v>
      </c>
      <c r="I405" s="19">
        <f>IF(Tabela2[[#This Row],[Dividendo / Ação]]&gt;0,Tabela2[[#This Row],[Dividendo / Ação]]/Tabela2[[#This Row],[Cotação]],"")</f>
        <v>5.4729838709677413E-3</v>
      </c>
      <c r="J405" s="60">
        <f>SUMPRODUCT(N(Tabela1[Código]=Tabela2[[#This Row],[Ativo]]),Tabela1[Fechamento])</f>
        <v>49.6</v>
      </c>
      <c r="K405" s="60">
        <f>SUMPRODUCT(N(Tabela17[Código]=Tabela2[[#This Row],[Ativo]]),Tabela17[Fechamento])</f>
        <v>0</v>
      </c>
      <c r="L405" s="60">
        <f>SUMPRODUCT(N(Tabela2[Ativo]=Tabela2[[#This Row],[Ativo]]),N(Tabela2[Exercício]=Tabela2[[#This Row],[Exercício]]-1),Tabela2[Lucro Líquido])</f>
        <v>23655000</v>
      </c>
      <c r="M405" s="19">
        <f>IF(Tabela2[[#This Row],[Lucro Anterior]]=0,"",IF(Tabela2[[#This Row],[Lucro Líquido]]&gt;0,Tabela2[[#This Row],[Lucro Líquido]]/Tabela2[[#This Row],[Lucro Anterior]]-1,0))</f>
        <v>-0.43627140139505394</v>
      </c>
    </row>
    <row r="406" spans="1:13" x14ac:dyDescent="0.2">
      <c r="A406" s="4" t="s">
        <v>180</v>
      </c>
      <c r="B406" s="4">
        <v>2011</v>
      </c>
      <c r="C406" s="6">
        <v>23655000</v>
      </c>
      <c r="D406" s="8">
        <f>SUMPRODUCT(N(Tabela3[PAPEL]=Tabela2[[#This Row],[Ativo]]),Tabela3[Total Ações])</f>
        <v>11764889</v>
      </c>
      <c r="E406" s="65">
        <f>(Tabela2[[#This Row],[Lucro Líquido]])/Tabela2[[#This Row],[Total Ações]]</f>
        <v>2.0106437043307421</v>
      </c>
      <c r="F406" s="65">
        <v>1.9100999999999999</v>
      </c>
      <c r="G406" s="45">
        <f>IF(AND(Tabela2[[#This Row],[Dividendo / Ação]]&gt;0,Tabela2[[#This Row],[Lucro por ação]]&gt;0),Tabela2[[#This Row],[Dividendo / Ação]]/Tabela2[[#This Row],[Lucro por ação]],"")</f>
        <v>0.94999427093214961</v>
      </c>
      <c r="H406" s="6">
        <f>MAX(Tabela2[[#This Row],[Cotação 1]],Tabela2[[#This Row],[Cotação 2]])</f>
        <v>49.6</v>
      </c>
      <c r="I406" s="19">
        <f>IF(Tabela2[[#This Row],[Dividendo / Ação]]&gt;0,Tabela2[[#This Row],[Dividendo / Ação]]/Tabela2[[#This Row],[Cotação]],"")</f>
        <v>3.8510080645161288E-2</v>
      </c>
      <c r="J406" s="60">
        <f>SUMPRODUCT(N(Tabela1[Código]=Tabela2[[#This Row],[Ativo]]),Tabela1[Fechamento])</f>
        <v>49.6</v>
      </c>
      <c r="K406" s="60">
        <f>SUMPRODUCT(N(Tabela17[Código]=Tabela2[[#This Row],[Ativo]]),Tabela17[Fechamento])</f>
        <v>0</v>
      </c>
      <c r="L406" s="60">
        <f>SUMPRODUCT(N(Tabela2[Ativo]=Tabela2[[#This Row],[Ativo]]),N(Tabela2[Exercício]=Tabela2[[#This Row],[Exercício]]-1),Tabela2[Lucro Líquido])</f>
        <v>23252000</v>
      </c>
      <c r="M406" s="19">
        <f>IF(Tabela2[[#This Row],[Lucro Anterior]]=0,"",IF(Tabela2[[#This Row],[Lucro Líquido]]&gt;0,Tabela2[[#This Row],[Lucro Líquido]]/Tabela2[[#This Row],[Lucro Anterior]]-1,0))</f>
        <v>1.7331842422157129E-2</v>
      </c>
    </row>
    <row r="407" spans="1:13" x14ac:dyDescent="0.2">
      <c r="A407" s="4" t="s">
        <v>180</v>
      </c>
      <c r="B407" s="4">
        <v>2010</v>
      </c>
      <c r="C407" s="5">
        <v>23252000</v>
      </c>
      <c r="D407" s="61">
        <f>SUMPRODUCT(N(Tabela3[PAPEL]=Tabela2[[#This Row],[Ativo]]),Tabela3[Total Ações])</f>
        <v>11764889</v>
      </c>
      <c r="E407" s="64">
        <f>(Tabela2[[#This Row],[Lucro Líquido]])/Tabela2[[#This Row],[Total Ações]]</f>
        <v>1.9763892375015182</v>
      </c>
      <c r="F407" s="64">
        <v>0.92493999999999998</v>
      </c>
      <c r="G407" s="22">
        <f>IF(AND(Tabela2[[#This Row],[Dividendo / Ação]]&gt;0,Tabela2[[#This Row],[Lucro por ação]]&gt;0),Tabela2[[#This Row],[Dividendo / Ação]]/Tabela2[[#This Row],[Lucro por ação]],"")</f>
        <v>0.46799485771804578</v>
      </c>
      <c r="H407" s="5">
        <f>MAX(Tabela2[[#This Row],[Cotação 1]],Tabela2[[#This Row],[Cotação 2]])</f>
        <v>49.6</v>
      </c>
      <c r="I407" s="18">
        <f>IF(Tabela2[[#This Row],[Dividendo / Ação]]&gt;0,Tabela2[[#This Row],[Dividendo / Ação]]/Tabela2[[#This Row],[Cotação]],"")</f>
        <v>1.8647983870967742E-2</v>
      </c>
      <c r="J407" s="59">
        <f>SUMPRODUCT(N(Tabela1[Código]=Tabela2[[#This Row],[Ativo]]),Tabela1[Fechamento])</f>
        <v>49.6</v>
      </c>
      <c r="K407" s="59">
        <f>SUMPRODUCT(N(Tabela17[Código]=Tabela2[[#This Row],[Ativo]]),Tabela17[Fechamento])</f>
        <v>0</v>
      </c>
      <c r="L407" s="59">
        <f>SUMPRODUCT(N(Tabela2[Ativo]=Tabela2[[#This Row],[Ativo]]),N(Tabela2[Exercício]=Tabela2[[#This Row],[Exercício]]-1),Tabela2[Lucro Líquido])</f>
        <v>11051000</v>
      </c>
      <c r="M407" s="18">
        <f>IF(Tabela2[[#This Row],[Lucro Anterior]]=0,"",IF(Tabela2[[#This Row],[Lucro Líquido]]&gt;0,Tabela2[[#This Row],[Lucro Líquido]]/Tabela2[[#This Row],[Lucro Anterior]]-1,0))</f>
        <v>1.1040629807257263</v>
      </c>
    </row>
    <row r="408" spans="1:13" x14ac:dyDescent="0.2">
      <c r="A408" s="4" t="s">
        <v>180</v>
      </c>
      <c r="B408" s="4">
        <v>2009</v>
      </c>
      <c r="C408" s="5">
        <v>11051000</v>
      </c>
      <c r="D408" s="61">
        <f>SUMPRODUCT(N(Tabela3[PAPEL]=Tabela2[[#This Row],[Ativo]]),Tabela3[Total Ações])</f>
        <v>11764889</v>
      </c>
      <c r="E408" s="64">
        <f>(Tabela2[[#This Row],[Lucro Líquido]])/Tabela2[[#This Row],[Total Ações]]</f>
        <v>0.93932037947829339</v>
      </c>
      <c r="F408" s="64">
        <v>6.5060000000000007E-2</v>
      </c>
      <c r="G408" s="22">
        <f>IF(AND(Tabela2[[#This Row],[Dividendo / Ação]]&gt;0,Tabela2[[#This Row],[Lucro por ação]]&gt;0),Tabela2[[#This Row],[Dividendo / Ação]]/Tabela2[[#This Row],[Lucro por ação]],"")</f>
        <v>6.9262843031399887E-2</v>
      </c>
      <c r="H408" s="5">
        <f>MAX(Tabela2[[#This Row],[Cotação 1]],Tabela2[[#This Row],[Cotação 2]])</f>
        <v>49.6</v>
      </c>
      <c r="I408" s="18">
        <f>IF(Tabela2[[#This Row],[Dividendo / Ação]]&gt;0,Tabela2[[#This Row],[Dividendo / Ação]]/Tabela2[[#This Row],[Cotação]],"")</f>
        <v>1.3116935483870969E-3</v>
      </c>
      <c r="J408" s="59">
        <f>SUMPRODUCT(N(Tabela1[Código]=Tabela2[[#This Row],[Ativo]]),Tabela1[Fechamento])</f>
        <v>49.6</v>
      </c>
      <c r="K408" s="59">
        <f>SUMPRODUCT(N(Tabela17[Código]=Tabela2[[#This Row],[Ativo]]),Tabela17[Fechamento])</f>
        <v>0</v>
      </c>
      <c r="L408" s="59">
        <f>SUMPRODUCT(N(Tabela2[Ativo]=Tabela2[[#This Row],[Ativo]]),N(Tabela2[Exercício]=Tabela2[[#This Row],[Exercício]]-1),Tabela2[Lucro Líquido])</f>
        <v>0</v>
      </c>
      <c r="M408" s="18" t="str">
        <f>IF(Tabela2[[#This Row],[Lucro Anterior]]=0,"",IF(Tabela2[[#This Row],[Lucro Líquido]]&gt;0,Tabela2[[#This Row],[Lucro Líquido]]/Tabela2[[#This Row],[Lucro Anterior]]-1,0))</f>
        <v/>
      </c>
    </row>
    <row r="409" spans="1:13" x14ac:dyDescent="0.2">
      <c r="A409" s="4" t="s">
        <v>372</v>
      </c>
      <c r="B409" s="4">
        <v>2012</v>
      </c>
      <c r="C409" s="6">
        <v>70727730.280000001</v>
      </c>
      <c r="D409" s="77">
        <f>SUMPRODUCT(N(Tabela3[PAPEL]=Tabela2[[#This Row],[Ativo]]),Tabela3[Total Ações])</f>
        <v>290677834</v>
      </c>
      <c r="E409" s="65">
        <f>(Tabela2[[#This Row],[Lucro Líquido]])/Tabela2[[#This Row],[Total Ações]]</f>
        <v>0.24331999900618498</v>
      </c>
      <c r="F409" s="65">
        <v>5.7530390000000001E-2</v>
      </c>
      <c r="G409" s="44">
        <f>IF(AND(Tabela2[[#This Row],[Dividendo / Ação]]&gt;0,Tabela2[[#This Row],[Lucro por ação]]&gt;0),Tabela2[[#This Row],[Dividendo / Ação]]/Tabela2[[#This Row],[Lucro por ação]],"")</f>
        <v>0.23643921681315488</v>
      </c>
      <c r="H409" s="60">
        <f>MAX(Tabela2[[#This Row],[Cotação 1]],Tabela2[[#This Row],[Cotação 2]])</f>
        <v>5.65</v>
      </c>
      <c r="I409" s="45">
        <f>IF(Tabela2[[#This Row],[Dividendo / Ação]]&gt;0,Tabela2[[#This Row],[Dividendo / Ação]]/Tabela2[[#This Row],[Cotação]],"")</f>
        <v>1.0182369911504424E-2</v>
      </c>
      <c r="J409" s="17">
        <f>SUMPRODUCT(N(Tabela1[Código]=Tabela2[[#This Row],[Ativo]]),Tabela1[Fechamento])</f>
        <v>0</v>
      </c>
      <c r="K409" s="17">
        <f>SUMPRODUCT(N(Tabela17[Código]=Tabela2[[#This Row],[Ativo]]),Tabela17[Fechamento])</f>
        <v>5.65</v>
      </c>
      <c r="L409" s="17">
        <f>SUMPRODUCT(N(Tabela2[Ativo]=Tabela2[[#This Row],[Ativo]]),N(Tabela2[Exercício]=Tabela2[[#This Row],[Exercício]]-1),Tabela2[Lucro Líquido])</f>
        <v>97911000</v>
      </c>
      <c r="M409" s="19">
        <f>IF(Tabela2[[#This Row],[Lucro Anterior]]=0,"",IF(Tabela2[[#This Row],[Lucro Líquido]]&gt;0,Tabela2[[#This Row],[Lucro Líquido]]/Tabela2[[#This Row],[Lucro Anterior]]-1,0))</f>
        <v>-0.27763243884752475</v>
      </c>
    </row>
    <row r="410" spans="1:13" x14ac:dyDescent="0.2">
      <c r="A410" s="4" t="s">
        <v>372</v>
      </c>
      <c r="B410" s="4">
        <v>2011</v>
      </c>
      <c r="C410" s="6">
        <v>97911000</v>
      </c>
      <c r="D410" s="77">
        <f>SUMPRODUCT(N(Tabela3[PAPEL]=Tabela2[[#This Row],[Ativo]]),Tabela3[Total Ações])</f>
        <v>290677834</v>
      </c>
      <c r="E410" s="65">
        <f>(Tabela2[[#This Row],[Lucro Líquido]])/Tabela2[[#This Row],[Total Ações]]</f>
        <v>0.33683682946392124</v>
      </c>
      <c r="F410" s="65">
        <v>0.03</v>
      </c>
      <c r="G410" s="44">
        <f>IF(AND(Tabela2[[#This Row],[Dividendo / Ação]]&gt;0,Tabela2[[#This Row],[Lucro por ação]]&gt;0),Tabela2[[#This Row],[Dividendo / Ação]]/Tabela2[[#This Row],[Lucro por ação]],"")</f>
        <v>8.9063894965836304E-2</v>
      </c>
      <c r="H410" s="60">
        <f>MAX(Tabela2[[#This Row],[Cotação 1]],Tabela2[[#This Row],[Cotação 2]])</f>
        <v>5.65</v>
      </c>
      <c r="I410" s="45">
        <f>IF(Tabela2[[#This Row],[Dividendo / Ação]]&gt;0,Tabela2[[#This Row],[Dividendo / Ação]]/Tabela2[[#This Row],[Cotação]],"")</f>
        <v>5.3097345132743353E-3</v>
      </c>
      <c r="J410" s="17">
        <f>SUMPRODUCT(N(Tabela1[Código]=Tabela2[[#This Row],[Ativo]]),Tabela1[Fechamento])</f>
        <v>0</v>
      </c>
      <c r="K410" s="17">
        <f>SUMPRODUCT(N(Tabela17[Código]=Tabela2[[#This Row],[Ativo]]),Tabela17[Fechamento])</f>
        <v>5.65</v>
      </c>
      <c r="L410" s="17">
        <f>SUMPRODUCT(N(Tabela2[Ativo]=Tabela2[[#This Row],[Ativo]]),N(Tabela2[Exercício]=Tabela2[[#This Row],[Exercício]]-1),Tabela2[Lucro Líquido])</f>
        <v>91765000</v>
      </c>
      <c r="M410" s="19">
        <f>IF(Tabela2[[#This Row],[Lucro Anterior]]=0,"",IF(Tabela2[[#This Row],[Lucro Líquido]]&gt;0,Tabela2[[#This Row],[Lucro Líquido]]/Tabela2[[#This Row],[Lucro Anterior]]-1,0))</f>
        <v>6.6975426360812884E-2</v>
      </c>
    </row>
    <row r="411" spans="1:13" x14ac:dyDescent="0.2">
      <c r="A411" s="4" t="s">
        <v>372</v>
      </c>
      <c r="B411" s="4">
        <v>2010</v>
      </c>
      <c r="C411" s="6">
        <v>91765000</v>
      </c>
      <c r="D411" s="77">
        <f>SUMPRODUCT(N(Tabela3[PAPEL]=Tabela2[[#This Row],[Ativo]]),Tabela3[Total Ações])</f>
        <v>290677834</v>
      </c>
      <c r="E411" s="65">
        <f>(Tabela2[[#This Row],[Lucro Líquido]])/Tabela2[[#This Row],[Total Ações]]</f>
        <v>0.31569314638556167</v>
      </c>
      <c r="F411" s="65">
        <v>0</v>
      </c>
      <c r="G411" s="44" t="str">
        <f>IF(AND(Tabela2[[#This Row],[Dividendo / Ação]]&gt;0,Tabela2[[#This Row],[Lucro por ação]]&gt;0),Tabela2[[#This Row],[Dividendo / Ação]]/Tabela2[[#This Row],[Lucro por ação]],"")</f>
        <v/>
      </c>
      <c r="H411" s="60">
        <f>MAX(Tabela2[[#This Row],[Cotação 1]],Tabela2[[#This Row],[Cotação 2]])</f>
        <v>5.65</v>
      </c>
      <c r="I411" s="45" t="str">
        <f>IF(Tabela2[[#This Row],[Dividendo / Ação]]&gt;0,Tabela2[[#This Row],[Dividendo / Ação]]/Tabela2[[#This Row],[Cotação]],"")</f>
        <v/>
      </c>
      <c r="J411" s="17">
        <f>SUMPRODUCT(N(Tabela1[Código]=Tabela2[[#This Row],[Ativo]]),Tabela1[Fechamento])</f>
        <v>0</v>
      </c>
      <c r="K411" s="17">
        <f>SUMPRODUCT(N(Tabela17[Código]=Tabela2[[#This Row],[Ativo]]),Tabela17[Fechamento])</f>
        <v>5.65</v>
      </c>
      <c r="L411" s="17">
        <f>SUMPRODUCT(N(Tabela2[Ativo]=Tabela2[[#This Row],[Ativo]]),N(Tabela2[Exercício]=Tabela2[[#This Row],[Exercício]]-1),Tabela2[Lucro Líquido])</f>
        <v>0</v>
      </c>
      <c r="M411" s="19" t="str">
        <f>IF(Tabela2[[#This Row],[Lucro Anterior]]=0,"",IF(Tabela2[[#This Row],[Lucro Líquido]]&gt;0,Tabela2[[#This Row],[Lucro Líquido]]/Tabela2[[#This Row],[Lucro Anterior]]-1,0))</f>
        <v/>
      </c>
    </row>
    <row r="412" spans="1:13" x14ac:dyDescent="0.2">
      <c r="A412" s="4" t="s">
        <v>424</v>
      </c>
      <c r="B412" s="4">
        <v>2012</v>
      </c>
      <c r="C412" s="6">
        <v>16768000</v>
      </c>
      <c r="D412" s="77">
        <f>SUMPRODUCT(N(Tabela3[PAPEL]=Tabela2[[#This Row],[Ativo]]),Tabela3[Total Ações])</f>
        <v>11759999</v>
      </c>
      <c r="E412" s="65">
        <f>(Tabela2[[#This Row],[Lucro Líquido]])/Tabela2[[#This Row],[Total Ações]]</f>
        <v>1.4258504613818419</v>
      </c>
      <c r="F412" s="65">
        <v>0.42399999999999999</v>
      </c>
      <c r="G412" s="44">
        <f>IF(AND(Tabela2[[#This Row],[Dividendo / Ação]]&gt;0,Tabela2[[#This Row],[Lucro por ação]]&gt;0),Tabela2[[#This Row],[Dividendo / Ação]]/Tabela2[[#This Row],[Lucro por ação]],"")</f>
        <v>0.29736638692748091</v>
      </c>
      <c r="H412" s="60">
        <f>MAX(Tabela2[[#This Row],[Cotação 1]],Tabela2[[#This Row],[Cotação 2]])</f>
        <v>83.91</v>
      </c>
      <c r="I412" s="45">
        <f>IF(Tabela2[[#This Row],[Dividendo / Ação]]&gt;0,Tabela2[[#This Row],[Dividendo / Ação]]/Tabela2[[#This Row],[Cotação]],"")</f>
        <v>5.0530330115600049E-3</v>
      </c>
      <c r="J412" s="17">
        <f>SUMPRODUCT(N(Tabela1[Código]=Tabela2[[#This Row],[Ativo]]),Tabela1[Fechamento])</f>
        <v>0</v>
      </c>
      <c r="K412" s="17">
        <f>SUMPRODUCT(N(Tabela17[Código]=Tabela2[[#This Row],[Ativo]]),Tabela17[Fechamento])</f>
        <v>83.91</v>
      </c>
      <c r="L412" s="17">
        <f>SUMPRODUCT(N(Tabela2[Ativo]=Tabela2[[#This Row],[Ativo]]),N(Tabela2[Exercício]=Tabela2[[#This Row],[Exercício]]-1),Tabela2[Lucro Líquido])</f>
        <v>8649000</v>
      </c>
      <c r="M412" s="19">
        <f>IF(Tabela2[[#This Row],[Lucro Anterior]]=0,"",IF(Tabela2[[#This Row],[Lucro Líquido]]&gt;0,Tabela2[[#This Row],[Lucro Líquido]]/Tabela2[[#This Row],[Lucro Anterior]]-1,0))</f>
        <v>0.93872123944964736</v>
      </c>
    </row>
    <row r="413" spans="1:13" x14ac:dyDescent="0.2">
      <c r="A413" s="4" t="s">
        <v>424</v>
      </c>
      <c r="B413" s="3">
        <v>2011</v>
      </c>
      <c r="C413" s="5">
        <v>8649000</v>
      </c>
      <c r="D413" s="66">
        <f>SUMPRODUCT(N(Tabela3[PAPEL]=Tabela2[[#This Row],[Ativo]]),Tabela3[Total Ações])</f>
        <v>11759999</v>
      </c>
      <c r="E413" s="64">
        <f>(Tabela2[[#This Row],[Lucro Líquido]])/Tabela2[[#This Row],[Total Ações]]</f>
        <v>0.7354592462125209</v>
      </c>
      <c r="F413" s="64">
        <v>0.18870000000000001</v>
      </c>
      <c r="G413" s="74">
        <f>IF(AND(Tabela2[[#This Row],[Dividendo / Ação]]&gt;0,Tabela2[[#This Row],[Lucro por ação]]&gt;0),Tabela2[[#This Row],[Dividendo / Ação]]/Tabela2[[#This Row],[Lucro por ação]],"")</f>
        <v>0.25657437984738124</v>
      </c>
      <c r="H413" s="59">
        <f>MAX(Tabela2[[#This Row],[Cotação 1]],Tabela2[[#This Row],[Cotação 2]])</f>
        <v>83.91</v>
      </c>
      <c r="I413" s="22">
        <f>IF(Tabela2[[#This Row],[Dividendo / Ação]]&gt;0,Tabela2[[#This Row],[Dividendo / Ação]]/Tabela2[[#This Row],[Cotação]],"")</f>
        <v>2.2488380407579551E-3</v>
      </c>
      <c r="J413" s="7">
        <f>SUMPRODUCT(N(Tabela1[Código]=Tabela2[[#This Row],[Ativo]]),Tabela1[Fechamento])</f>
        <v>0</v>
      </c>
      <c r="K413" s="7">
        <f>SUMPRODUCT(N(Tabela17[Código]=Tabela2[[#This Row],[Ativo]]),Tabela17[Fechamento])</f>
        <v>83.91</v>
      </c>
      <c r="L413" s="7">
        <f>SUMPRODUCT(N(Tabela2[Ativo]=Tabela2[[#This Row],[Ativo]]),N(Tabela2[Exercício]=Tabela2[[#This Row],[Exercício]]-1),Tabela2[Lucro Líquido])</f>
        <v>24344000</v>
      </c>
      <c r="M413" s="18">
        <f>IF(Tabela2[[#This Row],[Lucro Anterior]]=0,"",IF(Tabela2[[#This Row],[Lucro Líquido]]&gt;0,Tabela2[[#This Row],[Lucro Líquido]]/Tabela2[[#This Row],[Lucro Anterior]]-1,0))</f>
        <v>-0.64471738416036806</v>
      </c>
    </row>
    <row r="414" spans="1:13" x14ac:dyDescent="0.2">
      <c r="A414" s="4" t="s">
        <v>424</v>
      </c>
      <c r="B414" s="3">
        <v>2010</v>
      </c>
      <c r="C414" s="5">
        <v>24344000</v>
      </c>
      <c r="D414" s="66">
        <f>SUMPRODUCT(N(Tabela3[PAPEL]=Tabela2[[#This Row],[Ativo]]),Tabela3[Total Ações])</f>
        <v>11759999</v>
      </c>
      <c r="E414" s="64">
        <f>(Tabela2[[#This Row],[Lucro Líquido]])/Tabela2[[#This Row],[Total Ações]]</f>
        <v>2.0700682032370921</v>
      </c>
      <c r="F414" s="64">
        <v>0.54059999999999997</v>
      </c>
      <c r="G414" s="74">
        <f>IF(AND(Tabela2[[#This Row],[Dividendo / Ação]]&gt;0,Tabela2[[#This Row],[Lucro por ação]]&gt;0),Tabela2[[#This Row],[Dividendo / Ação]]/Tabela2[[#This Row],[Lucro por ação]],"")</f>
        <v>0.2611508157821229</v>
      </c>
      <c r="H414" s="59">
        <f>MAX(Tabela2[[#This Row],[Cotação 1]],Tabela2[[#This Row],[Cotação 2]])</f>
        <v>83.91</v>
      </c>
      <c r="I414" s="22">
        <f>IF(Tabela2[[#This Row],[Dividendo / Ação]]&gt;0,Tabela2[[#This Row],[Dividendo / Ação]]/Tabela2[[#This Row],[Cotação]],"")</f>
        <v>6.4426170897390056E-3</v>
      </c>
      <c r="J414" s="7">
        <f>SUMPRODUCT(N(Tabela1[Código]=Tabela2[[#This Row],[Ativo]]),Tabela1[Fechamento])</f>
        <v>0</v>
      </c>
      <c r="K414" s="7">
        <f>SUMPRODUCT(N(Tabela17[Código]=Tabela2[[#This Row],[Ativo]]),Tabela17[Fechamento])</f>
        <v>83.91</v>
      </c>
      <c r="L414" s="7">
        <f>SUMPRODUCT(N(Tabela2[Ativo]=Tabela2[[#This Row],[Ativo]]),N(Tabela2[Exercício]=Tabela2[[#This Row],[Exercício]]-1),Tabela2[Lucro Líquido])</f>
        <v>0</v>
      </c>
      <c r="M414" s="18" t="str">
        <f>IF(Tabela2[[#This Row],[Lucro Anterior]]=0,"",IF(Tabela2[[#This Row],[Lucro Líquido]]&gt;0,Tabela2[[#This Row],[Lucro Líquido]]/Tabela2[[#This Row],[Lucro Anterior]]-1,0))</f>
        <v/>
      </c>
    </row>
    <row r="415" spans="1:13" x14ac:dyDescent="0.2">
      <c r="A415" s="4" t="s">
        <v>425</v>
      </c>
      <c r="B415" s="4">
        <v>2012</v>
      </c>
      <c r="C415" s="6">
        <v>16768000</v>
      </c>
      <c r="D415" s="77">
        <f>SUMPRODUCT(N(Tabela3[PAPEL]=Tabela2[[#This Row],[Ativo]]),Tabela3[Total Ações])</f>
        <v>11759999</v>
      </c>
      <c r="E415" s="65">
        <f>(Tabela2[[#This Row],[Lucro Líquido]])/Tabela2[[#This Row],[Total Ações]]</f>
        <v>1.4258504613818419</v>
      </c>
      <c r="F415" s="65">
        <v>0.52300000000000002</v>
      </c>
      <c r="G415" s="44">
        <f>IF(AND(Tabela2[[#This Row],[Dividendo / Ação]]&gt;0,Tabela2[[#This Row],[Lucro por ação]]&gt;0),Tabela2[[#This Row],[Dividendo / Ação]]/Tabela2[[#This Row],[Lucro por ação]],"")</f>
        <v>0.36679863293177484</v>
      </c>
      <c r="H415" s="60">
        <f>MAX(Tabela2[[#This Row],[Cotação 1]],Tabela2[[#This Row],[Cotação 2]])</f>
        <v>6.58</v>
      </c>
      <c r="I415" s="45">
        <f>IF(Tabela2[[#This Row],[Dividendo / Ação]]&gt;0,Tabela2[[#This Row],[Dividendo / Ação]]/Tabela2[[#This Row],[Cotação]],"")</f>
        <v>7.9483282674772032E-2</v>
      </c>
      <c r="J415" s="17">
        <f>SUMPRODUCT(N(Tabela1[Código]=Tabela2[[#This Row],[Ativo]]),Tabela1[Fechamento])</f>
        <v>0</v>
      </c>
      <c r="K415" s="17">
        <f>SUMPRODUCT(N(Tabela17[Código]=Tabela2[[#This Row],[Ativo]]),Tabela17[Fechamento])</f>
        <v>6.58</v>
      </c>
      <c r="L415" s="17">
        <f>SUMPRODUCT(N(Tabela2[Ativo]=Tabela2[[#This Row],[Ativo]]),N(Tabela2[Exercício]=Tabela2[[#This Row],[Exercício]]-1),Tabela2[Lucro Líquido])</f>
        <v>8649000</v>
      </c>
      <c r="M415" s="19">
        <f>IF(Tabela2[[#This Row],[Lucro Anterior]]=0,"",IF(Tabela2[[#This Row],[Lucro Líquido]]&gt;0,Tabela2[[#This Row],[Lucro Líquido]]/Tabela2[[#This Row],[Lucro Anterior]]-1,0))</f>
        <v>0.93872123944964736</v>
      </c>
    </row>
    <row r="416" spans="1:13" x14ac:dyDescent="0.2">
      <c r="A416" s="4" t="s">
        <v>425</v>
      </c>
      <c r="B416" s="4">
        <v>2011</v>
      </c>
      <c r="C416" s="5">
        <v>8649000</v>
      </c>
      <c r="D416" s="77">
        <f>SUMPRODUCT(N(Tabela3[PAPEL]=Tabela2[[#This Row],[Ativo]]),Tabela3[Total Ações])</f>
        <v>11759999</v>
      </c>
      <c r="E416" s="65">
        <f>(Tabela2[[#This Row],[Lucro Líquido]])/Tabela2[[#This Row],[Total Ações]]</f>
        <v>0.7354592462125209</v>
      </c>
      <c r="F416" s="65">
        <v>0.38419999999999999</v>
      </c>
      <c r="G416" s="44">
        <f>IF(AND(Tabela2[[#This Row],[Dividendo / Ação]]&gt;0,Tabela2[[#This Row],[Lucro por ação]]&gt;0),Tabela2[[#This Row],[Dividendo / Ação]]/Tabela2[[#This Row],[Lucro por ação]],"")</f>
        <v>0.5223946832928662</v>
      </c>
      <c r="H416" s="60">
        <f>MAX(Tabela2[[#This Row],[Cotação 1]],Tabela2[[#This Row],[Cotação 2]])</f>
        <v>6.58</v>
      </c>
      <c r="I416" s="45">
        <f>IF(Tabela2[[#This Row],[Dividendo / Ação]]&gt;0,Tabela2[[#This Row],[Dividendo / Ação]]/Tabela2[[#This Row],[Cotação]],"")</f>
        <v>5.8389057750759879E-2</v>
      </c>
      <c r="J416" s="17">
        <f>SUMPRODUCT(N(Tabela1[Código]=Tabela2[[#This Row],[Ativo]]),Tabela1[Fechamento])</f>
        <v>0</v>
      </c>
      <c r="K416" s="17">
        <f>SUMPRODUCT(N(Tabela17[Código]=Tabela2[[#This Row],[Ativo]]),Tabela17[Fechamento])</f>
        <v>6.58</v>
      </c>
      <c r="L416" s="17">
        <f>SUMPRODUCT(N(Tabela2[Ativo]=Tabela2[[#This Row],[Ativo]]),N(Tabela2[Exercício]=Tabela2[[#This Row],[Exercício]]-1),Tabela2[Lucro Líquido])</f>
        <v>24344000</v>
      </c>
      <c r="M416" s="19">
        <f>IF(Tabela2[[#This Row],[Lucro Anterior]]=0,"",IF(Tabela2[[#This Row],[Lucro Líquido]]&gt;0,Tabela2[[#This Row],[Lucro Líquido]]/Tabela2[[#This Row],[Lucro Anterior]]-1,0))</f>
        <v>-0.64471738416036806</v>
      </c>
    </row>
    <row r="417" spans="1:13" x14ac:dyDescent="0.2">
      <c r="A417" s="4" t="s">
        <v>425</v>
      </c>
      <c r="B417" s="4">
        <v>2010</v>
      </c>
      <c r="C417" s="5">
        <v>24344000</v>
      </c>
      <c r="D417" s="77">
        <f>SUMPRODUCT(N(Tabela3[PAPEL]=Tabela2[[#This Row],[Ativo]]),Tabela3[Total Ações])</f>
        <v>11759999</v>
      </c>
      <c r="E417" s="65">
        <f>(Tabela2[[#This Row],[Lucro Líquido]])/Tabela2[[#This Row],[Total Ações]]</f>
        <v>2.0700682032370921</v>
      </c>
      <c r="F417" s="65">
        <v>0.62594000000000005</v>
      </c>
      <c r="G417" s="44">
        <f>IF(AND(Tabela2[[#This Row],[Dividendo / Ação]]&gt;0,Tabela2[[#This Row],[Lucro por ação]]&gt;0),Tabela2[[#This Row],[Dividendo / Ação]]/Tabela2[[#This Row],[Lucro por ação]],"")</f>
        <v>0.3023765106005587</v>
      </c>
      <c r="H417" s="60">
        <f>MAX(Tabela2[[#This Row],[Cotação 1]],Tabela2[[#This Row],[Cotação 2]])</f>
        <v>6.58</v>
      </c>
      <c r="I417" s="45">
        <f>IF(Tabela2[[#This Row],[Dividendo / Ação]]&gt;0,Tabela2[[#This Row],[Dividendo / Ação]]/Tabela2[[#This Row],[Cotação]],"")</f>
        <v>9.5127659574468088E-2</v>
      </c>
      <c r="J417" s="17">
        <f>SUMPRODUCT(N(Tabela1[Código]=Tabela2[[#This Row],[Ativo]]),Tabela1[Fechamento])</f>
        <v>0</v>
      </c>
      <c r="K417" s="17">
        <f>SUMPRODUCT(N(Tabela17[Código]=Tabela2[[#This Row],[Ativo]]),Tabela17[Fechamento])</f>
        <v>6.58</v>
      </c>
      <c r="L417" s="17">
        <f>SUMPRODUCT(N(Tabela2[Ativo]=Tabela2[[#This Row],[Ativo]]),N(Tabela2[Exercício]=Tabela2[[#This Row],[Exercício]]-1),Tabela2[Lucro Líquido])</f>
        <v>0</v>
      </c>
      <c r="M417" s="19" t="str">
        <f>IF(Tabela2[[#This Row],[Lucro Anterior]]=0,"",IF(Tabela2[[#This Row],[Lucro Líquido]]&gt;0,Tabela2[[#This Row],[Lucro Líquido]]/Tabela2[[#This Row],[Lucro Anterior]]-1,0))</f>
        <v/>
      </c>
    </row>
    <row r="418" spans="1:13" x14ac:dyDescent="0.2">
      <c r="A418" s="3" t="s">
        <v>342</v>
      </c>
      <c r="B418" s="3">
        <v>2012</v>
      </c>
      <c r="C418" s="5">
        <v>172669675.86000001</v>
      </c>
      <c r="D418" s="66">
        <f>SUMPRODUCT(N(Tabela3[PAPEL]=Tabela2[[#This Row],[Ativo]]),Tabela3[Total Ações])</f>
        <v>12251221</v>
      </c>
      <c r="E418" s="64">
        <f>(Tabela2[[#This Row],[Lucro Líquido]])/Tabela2[[#This Row],[Total Ações]]</f>
        <v>14.094078937927902</v>
      </c>
      <c r="F418" s="64">
        <v>3.8149609419999999</v>
      </c>
      <c r="G418" s="74">
        <f>IF(AND(Tabela2[[#This Row],[Dividendo / Ação]]&gt;0,Tabela2[[#This Row],[Lucro por ação]]&gt;0),Tabela2[[#This Row],[Dividendo / Ação]]/Tabela2[[#This Row],[Lucro por ação]],"")</f>
        <v>0.27067827268469036</v>
      </c>
      <c r="H418" s="59">
        <f>MAX(Tabela2[[#This Row],[Cotação 1]],Tabela2[[#This Row],[Cotação 2]])</f>
        <v>158.99</v>
      </c>
      <c r="I418" s="22">
        <f>IF(Tabela2[[#This Row],[Dividendo / Ação]]&gt;0,Tabela2[[#This Row],[Dividendo / Ação]]/Tabela2[[#This Row],[Cotação]],"")</f>
        <v>2.3994974161896974E-2</v>
      </c>
      <c r="J418" s="7">
        <f>SUMPRODUCT(N(Tabela1[Código]=Tabela2[[#This Row],[Ativo]]),Tabela1[Fechamento])</f>
        <v>0</v>
      </c>
      <c r="K418" s="7">
        <f>SUMPRODUCT(N(Tabela17[Código]=Tabela2[[#This Row],[Ativo]]),Tabela17[Fechamento])</f>
        <v>158.99</v>
      </c>
      <c r="L418" s="7">
        <f>SUMPRODUCT(N(Tabela2[Ativo]=Tabela2[[#This Row],[Ativo]]),N(Tabela2[Exercício]=Tabela2[[#This Row],[Exercício]]-1),Tabela2[Lucro Líquido])</f>
        <v>181046595.15000001</v>
      </c>
      <c r="M418" s="18">
        <f>IF(Tabela2[[#This Row],[Lucro Anterior]]=0,"",IF(Tabela2[[#This Row],[Lucro Líquido]]&gt;0,Tabela2[[#This Row],[Lucro Líquido]]/Tabela2[[#This Row],[Lucro Anterior]]-1,0))</f>
        <v>-4.6269410827967095E-2</v>
      </c>
    </row>
    <row r="419" spans="1:13" x14ac:dyDescent="0.2">
      <c r="A419" s="3" t="s">
        <v>342</v>
      </c>
      <c r="B419" s="3">
        <v>2011</v>
      </c>
      <c r="C419" s="5">
        <v>181046595.15000001</v>
      </c>
      <c r="D419" s="66">
        <f>SUMPRODUCT(N(Tabela3[PAPEL]=Tabela2[[#This Row],[Ativo]]),Tabela3[Total Ações])</f>
        <v>12251221</v>
      </c>
      <c r="E419" s="64">
        <f>(Tabela2[[#This Row],[Lucro Líquido]])/Tabela2[[#This Row],[Total Ações]]</f>
        <v>14.777840931120254</v>
      </c>
      <c r="F419" s="64">
        <v>5.4828608059999997</v>
      </c>
      <c r="G419" s="74">
        <f>IF(AND(Tabela2[[#This Row],[Dividendo / Ação]]&gt;0,Tabela2[[#This Row],[Lucro por ação]]&gt;0),Tabela2[[#This Row],[Dividendo / Ação]]/Tabela2[[#This Row],[Lucro por ação]],"")</f>
        <v>0.37101907048233224</v>
      </c>
      <c r="H419" s="59">
        <f>MAX(Tabela2[[#This Row],[Cotação 1]],Tabela2[[#This Row],[Cotação 2]])</f>
        <v>158.99</v>
      </c>
      <c r="I419" s="22">
        <f>IF(Tabela2[[#This Row],[Dividendo / Ação]]&gt;0,Tabela2[[#This Row],[Dividendo / Ação]]/Tabela2[[#This Row],[Cotação]],"")</f>
        <v>3.4485570199383607E-2</v>
      </c>
      <c r="J419" s="7">
        <f>SUMPRODUCT(N(Tabela1[Código]=Tabela2[[#This Row],[Ativo]]),Tabela1[Fechamento])</f>
        <v>0</v>
      </c>
      <c r="K419" s="7">
        <f>SUMPRODUCT(N(Tabela17[Código]=Tabela2[[#This Row],[Ativo]]),Tabela17[Fechamento])</f>
        <v>158.99</v>
      </c>
      <c r="L419" s="7">
        <f>SUMPRODUCT(N(Tabela2[Ativo]=Tabela2[[#This Row],[Ativo]]),N(Tabela2[Exercício]=Tabela2[[#This Row],[Exercício]]-1),Tabela2[Lucro Líquido])</f>
        <v>111311611.06999999</v>
      </c>
      <c r="M419" s="18">
        <f>IF(Tabela2[[#This Row],[Lucro Anterior]]=0,"",IF(Tabela2[[#This Row],[Lucro Líquido]]&gt;0,Tabela2[[#This Row],[Lucro Líquido]]/Tabela2[[#This Row],[Lucro Anterior]]-1,0))</f>
        <v>0.62648436591350842</v>
      </c>
    </row>
    <row r="420" spans="1:13" x14ac:dyDescent="0.2">
      <c r="A420" s="3" t="s">
        <v>342</v>
      </c>
      <c r="B420" s="3">
        <v>2010</v>
      </c>
      <c r="C420" s="5">
        <v>111311611.06999999</v>
      </c>
      <c r="D420" s="66">
        <f>SUMPRODUCT(N(Tabela3[PAPEL]=Tabela2[[#This Row],[Ativo]]),Tabela3[Total Ações])</f>
        <v>12251221</v>
      </c>
      <c r="E420" s="64">
        <f>(Tabela2[[#This Row],[Lucro Líquido]])/Tabela2[[#This Row],[Total Ações]]</f>
        <v>9.0857565192889744</v>
      </c>
      <c r="F420" s="64">
        <v>3.6731054410000001</v>
      </c>
      <c r="G420" s="74">
        <f>IF(AND(Tabela2[[#This Row],[Dividendo / Ação]]&gt;0,Tabela2[[#This Row],[Lucro por ação]]&gt;0),Tabela2[[#This Row],[Dividendo / Ação]]/Tabela2[[#This Row],[Lucro por ação]],"")</f>
        <v>0.40427073223919574</v>
      </c>
      <c r="H420" s="59">
        <f>MAX(Tabela2[[#This Row],[Cotação 1]],Tabela2[[#This Row],[Cotação 2]])</f>
        <v>158.99</v>
      </c>
      <c r="I420" s="22">
        <f>IF(Tabela2[[#This Row],[Dividendo / Ação]]&gt;0,Tabela2[[#This Row],[Dividendo / Ação]]/Tabela2[[#This Row],[Cotação]],"")</f>
        <v>2.3102745084596515E-2</v>
      </c>
      <c r="J420" s="7">
        <f>SUMPRODUCT(N(Tabela1[Código]=Tabela2[[#This Row],[Ativo]]),Tabela1[Fechamento])</f>
        <v>0</v>
      </c>
      <c r="K420" s="7">
        <f>SUMPRODUCT(N(Tabela17[Código]=Tabela2[[#This Row],[Ativo]]),Tabela17[Fechamento])</f>
        <v>158.99</v>
      </c>
      <c r="L420" s="7">
        <f>SUMPRODUCT(N(Tabela2[Ativo]=Tabela2[[#This Row],[Ativo]]),N(Tabela2[Exercício]=Tabela2[[#This Row],[Exercício]]-1),Tabela2[Lucro Líquido])</f>
        <v>74101153.209999993</v>
      </c>
      <c r="M420" s="18">
        <f>IF(Tabela2[[#This Row],[Lucro Anterior]]=0,"",IF(Tabela2[[#This Row],[Lucro Líquido]]&gt;0,Tabela2[[#This Row],[Lucro Líquido]]/Tabela2[[#This Row],[Lucro Anterior]]-1,0))</f>
        <v>0.50215760818926669</v>
      </c>
    </row>
    <row r="421" spans="1:13" x14ac:dyDescent="0.2">
      <c r="A421" s="3" t="s">
        <v>342</v>
      </c>
      <c r="B421" s="3">
        <v>2009</v>
      </c>
      <c r="C421" s="5">
        <v>74101153.209999993</v>
      </c>
      <c r="D421" s="66">
        <f>SUMPRODUCT(N(Tabela3[PAPEL]=Tabela2[[#This Row],[Ativo]]),Tabela3[Total Ações])</f>
        <v>12251221</v>
      </c>
      <c r="E421" s="64">
        <f>(Tabela2[[#This Row],[Lucro Líquido]])/Tabela2[[#This Row],[Total Ações]]</f>
        <v>6.0484708593535288</v>
      </c>
      <c r="F421" s="64">
        <v>3.9996022359999999</v>
      </c>
      <c r="G421" s="74">
        <f>IF(AND(Tabela2[[#This Row],[Dividendo / Ação]]&gt;0,Tabela2[[#This Row],[Lucro por ação]]&gt;0),Tabela2[[#This Row],[Dividendo / Ação]]/Tabela2[[#This Row],[Lucro por ação]],"")</f>
        <v>0.66125841208524638</v>
      </c>
      <c r="H421" s="59">
        <f>MAX(Tabela2[[#This Row],[Cotação 1]],Tabela2[[#This Row],[Cotação 2]])</f>
        <v>158.99</v>
      </c>
      <c r="I421" s="22">
        <f>IF(Tabela2[[#This Row],[Dividendo / Ação]]&gt;0,Tabela2[[#This Row],[Dividendo / Ação]]/Tabela2[[#This Row],[Cotação]],"")</f>
        <v>2.5156313202088179E-2</v>
      </c>
      <c r="J421" s="7">
        <f>SUMPRODUCT(N(Tabela1[Código]=Tabela2[[#This Row],[Ativo]]),Tabela1[Fechamento])</f>
        <v>0</v>
      </c>
      <c r="K421" s="7">
        <f>SUMPRODUCT(N(Tabela17[Código]=Tabela2[[#This Row],[Ativo]]),Tabela17[Fechamento])</f>
        <v>158.99</v>
      </c>
      <c r="L421" s="7">
        <f>SUMPRODUCT(N(Tabela2[Ativo]=Tabela2[[#This Row],[Ativo]]),N(Tabela2[Exercício]=Tabela2[[#This Row],[Exercício]]-1),Tabela2[Lucro Líquido])</f>
        <v>0</v>
      </c>
      <c r="M421" s="18" t="str">
        <f>IF(Tabela2[[#This Row],[Lucro Anterior]]=0,"",IF(Tabela2[[#This Row],[Lucro Líquido]]&gt;0,Tabela2[[#This Row],[Lucro Líquido]]/Tabela2[[#This Row],[Lucro Anterior]]-1,0))</f>
        <v/>
      </c>
    </row>
    <row r="422" spans="1:13" x14ac:dyDescent="0.2">
      <c r="A422" s="4" t="s">
        <v>418</v>
      </c>
      <c r="B422" s="4">
        <v>2012</v>
      </c>
      <c r="C422" s="6">
        <v>386792226.60000002</v>
      </c>
      <c r="D422" s="77">
        <f>SUMPRODUCT(N(Tabela3[PAPEL]=Tabela2[[#This Row],[Ativo]]),Tabela3[Total Ações])</f>
        <v>189997214</v>
      </c>
      <c r="E422" s="65">
        <f>(Tabela2[[#This Row],[Lucro Líquido]])/Tabela2[[#This Row],[Total Ações]]</f>
        <v>2.0357784119929256</v>
      </c>
      <c r="F422" s="65">
        <v>1.0304815780000001</v>
      </c>
      <c r="G422" s="44">
        <f>IF(AND(Tabela2[[#This Row],[Dividendo / Ação]]&gt;0,Tabela2[[#This Row],[Lucro por ação]]&gt;0),Tabela2[[#This Row],[Dividendo / Ação]]/Tabela2[[#This Row],[Lucro por ação]],"")</f>
        <v>0.50618553175009351</v>
      </c>
      <c r="H422" s="60">
        <f>MAX(Tabela2[[#This Row],[Cotação 1]],Tabela2[[#This Row],[Cotação 2]])</f>
        <v>47.25</v>
      </c>
      <c r="I422" s="45">
        <f>IF(Tabela2[[#This Row],[Dividendo / Ação]]&gt;0,Tabela2[[#This Row],[Dividendo / Ação]]/Tabela2[[#This Row],[Cotação]],"")</f>
        <v>2.1809133925925928E-2</v>
      </c>
      <c r="J422" s="17">
        <f>SUMPRODUCT(N(Tabela1[Código]=Tabela2[[#This Row],[Ativo]]),Tabela1[Fechamento])</f>
        <v>0</v>
      </c>
      <c r="K422" s="17">
        <f>SUMPRODUCT(N(Tabela17[Código]=Tabela2[[#This Row],[Ativo]]),Tabela17[Fechamento])</f>
        <v>47.25</v>
      </c>
      <c r="L422" s="17">
        <f>SUMPRODUCT(N(Tabela2[Ativo]=Tabela2[[#This Row],[Ativo]]),N(Tabela2[Exercício]=Tabela2[[#This Row],[Exercício]]-1),Tabela2[Lucro Líquido])</f>
        <v>296889622.02999997</v>
      </c>
      <c r="M422" s="19">
        <f>IF(Tabela2[[#This Row],[Lucro Anterior]]=0,"",IF(Tabela2[[#This Row],[Lucro Líquido]]&gt;0,Tabela2[[#This Row],[Lucro Líquido]]/Tabela2[[#This Row],[Lucro Anterior]]-1,0))</f>
        <v>0.30281491133063465</v>
      </c>
    </row>
    <row r="423" spans="1:13" x14ac:dyDescent="0.2">
      <c r="A423" s="4" t="s">
        <v>418</v>
      </c>
      <c r="B423" s="4">
        <v>2011</v>
      </c>
      <c r="C423" s="6">
        <v>296889622.02999997</v>
      </c>
      <c r="D423" s="77">
        <f>SUMPRODUCT(N(Tabela3[PAPEL]=Tabela2[[#This Row],[Ativo]]),Tabela3[Total Ações])</f>
        <v>189997214</v>
      </c>
      <c r="E423" s="65">
        <f>(Tabela2[[#This Row],[Lucro Líquido]])/Tabela2[[#This Row],[Total Ações]]</f>
        <v>1.5625998707012618</v>
      </c>
      <c r="F423" s="65">
        <v>0.784386535</v>
      </c>
      <c r="G423" s="44">
        <f>IF(AND(Tabela2[[#This Row],[Dividendo / Ação]]&gt;0,Tabela2[[#This Row],[Lucro por ação]]&gt;0),Tabela2[[#This Row],[Dividendo / Ação]]/Tabela2[[#This Row],[Lucro por ação]],"")</f>
        <v>0.50197529752001313</v>
      </c>
      <c r="H423" s="60">
        <f>MAX(Tabela2[[#This Row],[Cotação 1]],Tabela2[[#This Row],[Cotação 2]])</f>
        <v>47.25</v>
      </c>
      <c r="I423" s="45">
        <f>IF(Tabela2[[#This Row],[Dividendo / Ação]]&gt;0,Tabela2[[#This Row],[Dividendo / Ação]]/Tabela2[[#This Row],[Cotação]],"")</f>
        <v>1.6600773227513226E-2</v>
      </c>
      <c r="J423" s="17">
        <f>SUMPRODUCT(N(Tabela1[Código]=Tabela2[[#This Row],[Ativo]]),Tabela1[Fechamento])</f>
        <v>0</v>
      </c>
      <c r="K423" s="17">
        <f>SUMPRODUCT(N(Tabela17[Código]=Tabela2[[#This Row],[Ativo]]),Tabela17[Fechamento])</f>
        <v>47.25</v>
      </c>
      <c r="L423" s="17">
        <f>SUMPRODUCT(N(Tabela2[Ativo]=Tabela2[[#This Row],[Ativo]]),N(Tabela2[Exercício]=Tabela2[[#This Row],[Exercício]]-1),Tabela2[Lucro Líquido])</f>
        <v>216710069.06</v>
      </c>
      <c r="M423" s="19">
        <f>IF(Tabela2[[#This Row],[Lucro Anterior]]=0,"",IF(Tabela2[[#This Row],[Lucro Líquido]]&gt;0,Tabela2[[#This Row],[Lucro Líquido]]/Tabela2[[#This Row],[Lucro Anterior]]-1,0))</f>
        <v>0.36998536024554007</v>
      </c>
    </row>
    <row r="424" spans="1:13" x14ac:dyDescent="0.2">
      <c r="A424" s="4" t="s">
        <v>418</v>
      </c>
      <c r="B424" s="4">
        <v>2010</v>
      </c>
      <c r="C424" s="6">
        <v>216710069.06</v>
      </c>
      <c r="D424" s="77">
        <f>SUMPRODUCT(N(Tabela3[PAPEL]=Tabela2[[#This Row],[Ativo]]),Tabela3[Total Ações])</f>
        <v>189997214</v>
      </c>
      <c r="E424" s="65">
        <f>(Tabela2[[#This Row],[Lucro Líquido]])/Tabela2[[#This Row],[Total Ações]]</f>
        <v>1.1405960355818692</v>
      </c>
      <c r="F424" s="65">
        <v>0.54198311700000001</v>
      </c>
      <c r="G424" s="44">
        <f>IF(AND(Tabela2[[#This Row],[Dividendo / Ação]]&gt;0,Tabela2[[#This Row],[Lucro por ação]]&gt;0),Tabela2[[#This Row],[Dividendo / Ação]]/Tabela2[[#This Row],[Lucro por ação]],"")</f>
        <v>0.47517534700487551</v>
      </c>
      <c r="H424" s="60">
        <f>MAX(Tabela2[[#This Row],[Cotação 1]],Tabela2[[#This Row],[Cotação 2]])</f>
        <v>47.25</v>
      </c>
      <c r="I424" s="45">
        <f>IF(Tabela2[[#This Row],[Dividendo / Ação]]&gt;0,Tabela2[[#This Row],[Dividendo / Ação]]/Tabela2[[#This Row],[Cotação]],"")</f>
        <v>1.1470542158730159E-2</v>
      </c>
      <c r="J424" s="17">
        <f>SUMPRODUCT(N(Tabela1[Código]=Tabela2[[#This Row],[Ativo]]),Tabela1[Fechamento])</f>
        <v>0</v>
      </c>
      <c r="K424" s="17">
        <f>SUMPRODUCT(N(Tabela17[Código]=Tabela2[[#This Row],[Ativo]]),Tabela17[Fechamento])</f>
        <v>47.25</v>
      </c>
      <c r="L424" s="17">
        <f>SUMPRODUCT(N(Tabela2[Ativo]=Tabela2[[#This Row],[Ativo]]),N(Tabela2[Exercício]=Tabela2[[#This Row],[Exercício]]-1),Tabela2[Lucro Líquido])</f>
        <v>170612814.30000001</v>
      </c>
      <c r="M424" s="19">
        <f>IF(Tabela2[[#This Row],[Lucro Anterior]]=0,"",IF(Tabela2[[#This Row],[Lucro Líquido]]&gt;0,Tabela2[[#This Row],[Lucro Líquido]]/Tabela2[[#This Row],[Lucro Anterior]]-1,0))</f>
        <v>0.2701863570396541</v>
      </c>
    </row>
    <row r="425" spans="1:13" x14ac:dyDescent="0.2">
      <c r="A425" s="4" t="s">
        <v>418</v>
      </c>
      <c r="B425" s="4">
        <v>2009</v>
      </c>
      <c r="C425" s="6">
        <v>170612814.30000001</v>
      </c>
      <c r="D425" s="77">
        <f>SUMPRODUCT(N(Tabela3[PAPEL]=Tabela2[[#This Row],[Ativo]]),Tabela3[Total Ações])</f>
        <v>189997214</v>
      </c>
      <c r="E425" s="65">
        <f>(Tabela2[[#This Row],[Lucro Líquido]])/Tabela2[[#This Row],[Total Ações]]</f>
        <v>0.89797534768062448</v>
      </c>
      <c r="F425" s="65">
        <v>0.32047732699999998</v>
      </c>
      <c r="G425" s="44">
        <f>IF(AND(Tabela2[[#This Row],[Dividendo / Ação]]&gt;0,Tabela2[[#This Row],[Lucro por ação]]&gt;0),Tabela2[[#This Row],[Dividendo / Ação]]/Tabela2[[#This Row],[Lucro por ação]],"")</f>
        <v>0.35688878077528419</v>
      </c>
      <c r="H425" s="60">
        <f>MAX(Tabela2[[#This Row],[Cotação 1]],Tabela2[[#This Row],[Cotação 2]])</f>
        <v>47.25</v>
      </c>
      <c r="I425" s="45">
        <f>IF(Tabela2[[#This Row],[Dividendo / Ação]]&gt;0,Tabela2[[#This Row],[Dividendo / Ação]]/Tabela2[[#This Row],[Cotação]],"")</f>
        <v>6.7825889312169308E-3</v>
      </c>
      <c r="J425" s="17">
        <f>SUMPRODUCT(N(Tabela1[Código]=Tabela2[[#This Row],[Ativo]]),Tabela1[Fechamento])</f>
        <v>0</v>
      </c>
      <c r="K425" s="17">
        <f>SUMPRODUCT(N(Tabela17[Código]=Tabela2[[#This Row],[Ativo]]),Tabela17[Fechamento])</f>
        <v>47.25</v>
      </c>
      <c r="L425" s="17">
        <f>SUMPRODUCT(N(Tabela2[Ativo]=Tabela2[[#This Row],[Ativo]]),N(Tabela2[Exercício]=Tabela2[[#This Row],[Exercício]]-1),Tabela2[Lucro Líquido])</f>
        <v>0</v>
      </c>
      <c r="M425" s="19" t="str">
        <f>IF(Tabela2[[#This Row],[Lucro Anterior]]=0,"",IF(Tabela2[[#This Row],[Lucro Líquido]]&gt;0,Tabela2[[#This Row],[Lucro Líquido]]/Tabela2[[#This Row],[Lucro Anterior]]-1,0))</f>
        <v/>
      </c>
    </row>
    <row r="426" spans="1:13" x14ac:dyDescent="0.2">
      <c r="A426" s="14" t="s">
        <v>324</v>
      </c>
      <c r="B426" s="3">
        <v>2012</v>
      </c>
      <c r="C426" s="5">
        <v>837439831.94000006</v>
      </c>
      <c r="D426" s="61">
        <f>SUMPRODUCT(N(Tabela3[PAPEL]=Tabela2[[#This Row],[Ativo]]),Tabela3[Total Ações])</f>
        <v>1797086404</v>
      </c>
      <c r="E426" s="64">
        <f>(Tabela2[[#This Row],[Lucro Líquido]])/Tabela2[[#This Row],[Total Ações]]</f>
        <v>0.46599864651805584</v>
      </c>
      <c r="F426" s="64">
        <v>4.07</v>
      </c>
      <c r="G426" s="22">
        <f>IF(AND(Tabela2[[#This Row],[Dividendo / Ação]]&gt;0,Tabela2[[#This Row],[Lucro por ação]]&gt;0),Tabela2[[#This Row],[Dividendo / Ação]]/Tabela2[[#This Row],[Lucro por ação]],"")</f>
        <v>8.7339309468193953</v>
      </c>
      <c r="H426" s="50">
        <f>MAX(Tabela2[[#This Row],[Cotação 1]],Tabela2[[#This Row],[Cotação 2]])</f>
        <v>4.6900000000000004</v>
      </c>
      <c r="I426" s="18">
        <f>IF(Tabela2[[#This Row],[Dividendo / Ação]]&gt;0,Tabela2[[#This Row],[Dividendo / Ação]]/Tabela2[[#This Row],[Cotação]],"")</f>
        <v>0.86780383795309168</v>
      </c>
      <c r="J426" s="7">
        <f>SUMPRODUCT(N(Tabela1[Código]=Tabela2[[#This Row],[Ativo]]),Tabela1[Fechamento])</f>
        <v>0</v>
      </c>
      <c r="K426" s="7">
        <f>SUMPRODUCT(N(Tabela17[Código]=Tabela2[[#This Row],[Ativo]]),Tabela17[Fechamento])</f>
        <v>4.6900000000000004</v>
      </c>
      <c r="L426" s="7">
        <f>SUMPRODUCT(N(Tabela2[Ativo]=Tabela2[[#This Row],[Ativo]]),N(Tabela2[Exercício]=Tabela2[[#This Row],[Exercício]]-1),Tabela2[Lucro Líquido])</f>
        <v>1005731443.8099999</v>
      </c>
      <c r="M426" s="18">
        <f>IF(Tabela2[[#This Row],[Lucro Anterior]]=0,"",IF(Tabela2[[#This Row],[Lucro Líquido]]&gt;0,Tabela2[[#This Row],[Lucro Líquido]]/Tabela2[[#This Row],[Lucro Anterior]]-1,0))</f>
        <v>-0.16733255473495279</v>
      </c>
    </row>
    <row r="427" spans="1:13" x14ac:dyDescent="0.2">
      <c r="A427" s="14" t="s">
        <v>324</v>
      </c>
      <c r="B427" s="3">
        <v>2011</v>
      </c>
      <c r="C427" s="5">
        <v>1005731443.8099999</v>
      </c>
      <c r="D427" s="61">
        <f>SUMPRODUCT(N(Tabela3[PAPEL]=Tabela2[[#This Row],[Ativo]]),Tabela3[Total Ações])</f>
        <v>1797086404</v>
      </c>
      <c r="E427" s="64">
        <f>(Tabela2[[#This Row],[Lucro Líquido]])/Tabela2[[#This Row],[Total Ações]]</f>
        <v>0.55964556939021837</v>
      </c>
      <c r="F427" s="64">
        <v>0.92</v>
      </c>
      <c r="G427" s="22">
        <f>IF(AND(Tabela2[[#This Row],[Dividendo / Ação]]&gt;0,Tabela2[[#This Row],[Lucro por ação]]&gt;0),Tabela2[[#This Row],[Dividendo / Ação]]/Tabela2[[#This Row],[Lucro por ação]],"")</f>
        <v>1.6438975850419375</v>
      </c>
      <c r="H427" s="50">
        <f>MAX(Tabela2[[#This Row],[Cotação 1]],Tabela2[[#This Row],[Cotação 2]])</f>
        <v>4.6900000000000004</v>
      </c>
      <c r="I427" s="18">
        <f>IF(Tabela2[[#This Row],[Dividendo / Ação]]&gt;0,Tabela2[[#This Row],[Dividendo / Ação]]/Tabela2[[#This Row],[Cotação]],"")</f>
        <v>0.19616204690831557</v>
      </c>
      <c r="J427" s="7">
        <f>SUMPRODUCT(N(Tabela1[Código]=Tabela2[[#This Row],[Ativo]]),Tabela1[Fechamento])</f>
        <v>0</v>
      </c>
      <c r="K427" s="7">
        <f>SUMPRODUCT(N(Tabela17[Código]=Tabela2[[#This Row],[Ativo]]),Tabela17[Fechamento])</f>
        <v>4.6900000000000004</v>
      </c>
      <c r="L427" s="7">
        <f>SUMPRODUCT(N(Tabela2[Ativo]=Tabela2[[#This Row],[Ativo]]),N(Tabela2[Exercício]=Tabela2[[#This Row],[Exercício]]-1),Tabela2[Lucro Líquido])</f>
        <v>1971024029.29</v>
      </c>
      <c r="M427" s="18">
        <f>IF(Tabela2[[#This Row],[Lucro Anterior]]=0,"",IF(Tabela2[[#This Row],[Lucro Líquido]]&gt;0,Tabela2[[#This Row],[Lucro Líquido]]/Tabela2[[#This Row],[Lucro Anterior]]-1,0))</f>
        <v>-0.48974166277806197</v>
      </c>
    </row>
    <row r="428" spans="1:13" x14ac:dyDescent="0.2">
      <c r="A428" s="14" t="s">
        <v>324</v>
      </c>
      <c r="B428" s="3">
        <v>2010</v>
      </c>
      <c r="C428" s="5">
        <v>1971024029.29</v>
      </c>
      <c r="D428" s="61">
        <f>SUMPRODUCT(N(Tabela3[PAPEL]=Tabela2[[#This Row],[Ativo]]),Tabela3[Total Ações])</f>
        <v>1797086404</v>
      </c>
      <c r="E428" s="64">
        <f>(Tabela2[[#This Row],[Lucro Líquido]])/Tabela2[[#This Row],[Total Ações]]</f>
        <v>1.0967886824489046</v>
      </c>
      <c r="F428" s="64">
        <v>0</v>
      </c>
      <c r="G428" s="22" t="str">
        <f>IF(AND(Tabela2[[#This Row],[Dividendo / Ação]]&gt;0,Tabela2[[#This Row],[Lucro por ação]]&gt;0),Tabela2[[#This Row],[Dividendo / Ação]]/Tabela2[[#This Row],[Lucro por ação]],"")</f>
        <v/>
      </c>
      <c r="H428" s="50">
        <f>MAX(Tabela2[[#This Row],[Cotação 1]],Tabela2[[#This Row],[Cotação 2]])</f>
        <v>4.6900000000000004</v>
      </c>
      <c r="I428" s="18" t="str">
        <f>IF(Tabela2[[#This Row],[Dividendo / Ação]]&gt;0,Tabela2[[#This Row],[Dividendo / Ação]]/Tabela2[[#This Row],[Cotação]],"")</f>
        <v/>
      </c>
      <c r="J428" s="7">
        <f>SUMPRODUCT(N(Tabela1[Código]=Tabela2[[#This Row],[Ativo]]),Tabela1[Fechamento])</f>
        <v>0</v>
      </c>
      <c r="K428" s="7">
        <f>SUMPRODUCT(N(Tabela17[Código]=Tabela2[[#This Row],[Ativo]]),Tabela17[Fechamento])</f>
        <v>4.6900000000000004</v>
      </c>
      <c r="L428" s="7">
        <f>SUMPRODUCT(N(Tabela2[Ativo]=Tabela2[[#This Row],[Ativo]]),N(Tabela2[Exercício]=Tabela2[[#This Row],[Exercício]]-1),Tabela2[Lucro Líquido])</f>
        <v>0</v>
      </c>
      <c r="M428" s="18" t="str">
        <f>IF(Tabela2[[#This Row],[Lucro Anterior]]=0,"",IF(Tabela2[[#This Row],[Lucro Líquido]]&gt;0,Tabela2[[#This Row],[Lucro Líquido]]/Tabela2[[#This Row],[Lucro Anterior]]-1,0))</f>
        <v/>
      </c>
    </row>
    <row r="429" spans="1:13" x14ac:dyDescent="0.2">
      <c r="A429" s="10" t="s">
        <v>325</v>
      </c>
      <c r="B429" s="3">
        <v>2012</v>
      </c>
      <c r="C429" s="5">
        <v>837439831.94000006</v>
      </c>
      <c r="D429" s="61">
        <f>SUMPRODUCT(N(Tabela3[PAPEL]=Tabela2[[#This Row],[Ativo]]),Tabela3[Total Ações])</f>
        <v>1797086404</v>
      </c>
      <c r="E429" s="64">
        <f>(Tabela2[[#This Row],[Lucro Líquido]])/Tabela2[[#This Row],[Total Ações]]</f>
        <v>0.46599864651805584</v>
      </c>
      <c r="F429" s="64">
        <v>4.07</v>
      </c>
      <c r="G429" s="22">
        <f>IF(AND(Tabela2[[#This Row],[Dividendo / Ação]]&gt;0,Tabela2[[#This Row],[Lucro por ação]]&gt;0),Tabela2[[#This Row],[Dividendo / Ação]]/Tabela2[[#This Row],[Lucro por ação]],"")</f>
        <v>8.7339309468193953</v>
      </c>
      <c r="H429" s="50">
        <f>MAX(Tabela2[[#This Row],[Cotação 1]],Tabela2[[#This Row],[Cotação 2]])</f>
        <v>4.37</v>
      </c>
      <c r="I429" s="18">
        <f>IF(Tabela2[[#This Row],[Dividendo / Ação]]&gt;0,Tabela2[[#This Row],[Dividendo / Ação]]/Tabela2[[#This Row],[Cotação]],"")</f>
        <v>0.93135011441647597</v>
      </c>
      <c r="J429" s="7">
        <f>SUMPRODUCT(N(Tabela1[Código]=Tabela2[[#This Row],[Ativo]]),Tabela1[Fechamento])</f>
        <v>0</v>
      </c>
      <c r="K429" s="7">
        <f>SUMPRODUCT(N(Tabela17[Código]=Tabela2[[#This Row],[Ativo]]),Tabela17[Fechamento])</f>
        <v>4.37</v>
      </c>
      <c r="L429" s="7">
        <f>SUMPRODUCT(N(Tabela2[Ativo]=Tabela2[[#This Row],[Ativo]]),N(Tabela2[Exercício]=Tabela2[[#This Row],[Exercício]]-1),Tabela2[Lucro Líquido])</f>
        <v>1005731443.8099999</v>
      </c>
      <c r="M429" s="18">
        <f>IF(Tabela2[[#This Row],[Lucro Anterior]]=0,"",IF(Tabela2[[#This Row],[Lucro Líquido]]&gt;0,Tabela2[[#This Row],[Lucro Líquido]]/Tabela2[[#This Row],[Lucro Anterior]]-1,0))</f>
        <v>-0.16733255473495279</v>
      </c>
    </row>
    <row r="430" spans="1:13" x14ac:dyDescent="0.2">
      <c r="A430" s="10" t="s">
        <v>325</v>
      </c>
      <c r="B430" s="3">
        <v>2011</v>
      </c>
      <c r="C430" s="5">
        <v>1005731443.8099999</v>
      </c>
      <c r="D430" s="61">
        <f>SUMPRODUCT(N(Tabela3[PAPEL]=Tabela2[[#This Row],[Ativo]]),Tabela3[Total Ações])</f>
        <v>1797086404</v>
      </c>
      <c r="E430" s="64">
        <f>(Tabela2[[#This Row],[Lucro Líquido]])/Tabela2[[#This Row],[Total Ações]]</f>
        <v>0.55964556939021837</v>
      </c>
      <c r="F430" s="64">
        <v>0.92</v>
      </c>
      <c r="G430" s="22">
        <f>IF(AND(Tabela2[[#This Row],[Dividendo / Ação]]&gt;0,Tabela2[[#This Row],[Lucro por ação]]&gt;0),Tabela2[[#This Row],[Dividendo / Ação]]/Tabela2[[#This Row],[Lucro por ação]],"")</f>
        <v>1.6438975850419375</v>
      </c>
      <c r="H430" s="50">
        <f>MAX(Tabela2[[#This Row],[Cotação 1]],Tabela2[[#This Row],[Cotação 2]])</f>
        <v>4.37</v>
      </c>
      <c r="I430" s="18">
        <f>IF(Tabela2[[#This Row],[Dividendo / Ação]]&gt;0,Tabela2[[#This Row],[Dividendo / Ação]]/Tabela2[[#This Row],[Cotação]],"")</f>
        <v>0.2105263157894737</v>
      </c>
      <c r="J430" s="7">
        <f>SUMPRODUCT(N(Tabela1[Código]=Tabela2[[#This Row],[Ativo]]),Tabela1[Fechamento])</f>
        <v>0</v>
      </c>
      <c r="K430" s="7">
        <f>SUMPRODUCT(N(Tabela17[Código]=Tabela2[[#This Row],[Ativo]]),Tabela17[Fechamento])</f>
        <v>4.37</v>
      </c>
      <c r="L430" s="7">
        <f>SUMPRODUCT(N(Tabela2[Ativo]=Tabela2[[#This Row],[Ativo]]),N(Tabela2[Exercício]=Tabela2[[#This Row],[Exercício]]-1),Tabela2[Lucro Líquido])</f>
        <v>1971024029.29</v>
      </c>
      <c r="M430" s="18">
        <f>IF(Tabela2[[#This Row],[Lucro Anterior]]=0,"",IF(Tabela2[[#This Row],[Lucro Líquido]]&gt;0,Tabela2[[#This Row],[Lucro Líquido]]/Tabela2[[#This Row],[Lucro Anterior]]-1,0))</f>
        <v>-0.48974166277806197</v>
      </c>
    </row>
    <row r="431" spans="1:13" x14ac:dyDescent="0.2">
      <c r="A431" s="10" t="s">
        <v>325</v>
      </c>
      <c r="B431" s="3">
        <v>2010</v>
      </c>
      <c r="C431" s="5">
        <v>1971024029.29</v>
      </c>
      <c r="D431" s="61">
        <f>SUMPRODUCT(N(Tabela3[PAPEL]=Tabela2[[#This Row],[Ativo]]),Tabela3[Total Ações])</f>
        <v>1797086404</v>
      </c>
      <c r="E431" s="64">
        <f>(Tabela2[[#This Row],[Lucro Líquido]])/Tabela2[[#This Row],[Total Ações]]</f>
        <v>1.0967886824489046</v>
      </c>
      <c r="F431" s="64">
        <v>0</v>
      </c>
      <c r="G431" s="22" t="str">
        <f>IF(AND(Tabela2[[#This Row],[Dividendo / Ação]]&gt;0,Tabela2[[#This Row],[Lucro por ação]]&gt;0),Tabela2[[#This Row],[Dividendo / Ação]]/Tabela2[[#This Row],[Lucro por ação]],"")</f>
        <v/>
      </c>
      <c r="H431" s="50">
        <f>MAX(Tabela2[[#This Row],[Cotação 1]],Tabela2[[#This Row],[Cotação 2]])</f>
        <v>4.37</v>
      </c>
      <c r="I431" s="18" t="str">
        <f>IF(Tabela2[[#This Row],[Dividendo / Ação]]&gt;0,Tabela2[[#This Row],[Dividendo / Ação]]/Tabela2[[#This Row],[Cotação]],"")</f>
        <v/>
      </c>
      <c r="J431" s="7">
        <f>SUMPRODUCT(N(Tabela1[Código]=Tabela2[[#This Row],[Ativo]]),Tabela1[Fechamento])</f>
        <v>0</v>
      </c>
      <c r="K431" s="7">
        <f>SUMPRODUCT(N(Tabela17[Código]=Tabela2[[#This Row],[Ativo]]),Tabela17[Fechamento])</f>
        <v>4.37</v>
      </c>
      <c r="L431" s="7">
        <f>SUMPRODUCT(N(Tabela2[Ativo]=Tabela2[[#This Row],[Ativo]]),N(Tabela2[Exercício]=Tabela2[[#This Row],[Exercício]]-1),Tabela2[Lucro Líquido])</f>
        <v>0</v>
      </c>
      <c r="M431" s="18" t="str">
        <f>IF(Tabela2[[#This Row],[Lucro Anterior]]=0,"",IF(Tabela2[[#This Row],[Lucro Líquido]]&gt;0,Tabela2[[#This Row],[Lucro Líquido]]/Tabela2[[#This Row],[Lucro Anterior]]-1,0))</f>
        <v/>
      </c>
    </row>
    <row r="432" spans="1:13" x14ac:dyDescent="0.2">
      <c r="A432" s="4" t="s">
        <v>379</v>
      </c>
      <c r="B432" s="4">
        <v>2012</v>
      </c>
      <c r="C432" s="6">
        <v>15469895.77</v>
      </c>
      <c r="D432" s="77">
        <f>SUMPRODUCT(N(Tabela3[PAPEL]=Tabela2[[#This Row],[Ativo]]),Tabela3[Total Ações])</f>
        <v>12587262</v>
      </c>
      <c r="E432" s="65">
        <f>(Tabela2[[#This Row],[Lucro Líquido]])/Tabela2[[#This Row],[Total Ações]]</f>
        <v>1.2290119781410762</v>
      </c>
      <c r="F432" s="65">
        <v>1.0680540000000001</v>
      </c>
      <c r="G432" s="44">
        <f>IF(AND(Tabela2[[#This Row],[Dividendo / Ação]]&gt;0,Tabela2[[#This Row],[Lucro por ação]]&gt;0),Tabela2[[#This Row],[Dividendo / Ação]]/Tabela2[[#This Row],[Lucro por ação]],"")</f>
        <v>0.86903465466257634</v>
      </c>
      <c r="H432" s="60">
        <f>MAX(Tabela2[[#This Row],[Cotação 1]],Tabela2[[#This Row],[Cotação 2]])</f>
        <v>20</v>
      </c>
      <c r="I432" s="45">
        <f>IF(Tabela2[[#This Row],[Dividendo / Ação]]&gt;0,Tabela2[[#This Row],[Dividendo / Ação]]/Tabela2[[#This Row],[Cotação]],"")</f>
        <v>5.3402700000000004E-2</v>
      </c>
      <c r="J432" s="17">
        <f>SUMPRODUCT(N(Tabela1[Código]=Tabela2[[#This Row],[Ativo]]),Tabela1[Fechamento])</f>
        <v>0</v>
      </c>
      <c r="K432" s="17">
        <f>SUMPRODUCT(N(Tabela17[Código]=Tabela2[[#This Row],[Ativo]]),Tabela17[Fechamento])</f>
        <v>20</v>
      </c>
      <c r="L432" s="17">
        <f>SUMPRODUCT(N(Tabela2[Ativo]=Tabela2[[#This Row],[Ativo]]),N(Tabela2[Exercício]=Tabela2[[#This Row],[Exercício]]-1),Tabela2[Lucro Líquido])</f>
        <v>13306306.460000001</v>
      </c>
      <c r="M432" s="19">
        <f>IF(Tabela2[[#This Row],[Lucro Anterior]]=0,"",IF(Tabela2[[#This Row],[Lucro Líquido]]&gt;0,Tabela2[[#This Row],[Lucro Líquido]]/Tabela2[[#This Row],[Lucro Anterior]]-1,0))</f>
        <v>0.1625987885146003</v>
      </c>
    </row>
    <row r="433" spans="1:13" x14ac:dyDescent="0.2">
      <c r="A433" s="4" t="s">
        <v>379</v>
      </c>
      <c r="B433" s="4">
        <v>2011</v>
      </c>
      <c r="C433" s="6">
        <v>13306306.460000001</v>
      </c>
      <c r="D433" s="77">
        <f>SUMPRODUCT(N(Tabela3[PAPEL]=Tabela2[[#This Row],[Ativo]]),Tabela3[Total Ações])</f>
        <v>12587262</v>
      </c>
      <c r="E433" s="65">
        <f>(Tabela2[[#This Row],[Lucro Líquido]])/Tabela2[[#This Row],[Total Ações]]</f>
        <v>1.0571247710582334</v>
      </c>
      <c r="F433" s="65">
        <v>1.003811</v>
      </c>
      <c r="G433" s="44">
        <f>IF(AND(Tabela2[[#This Row],[Dividendo / Ação]]&gt;0,Tabela2[[#This Row],[Lucro por ação]]&gt;0),Tabela2[[#This Row],[Dividendo / Ação]]/Tabela2[[#This Row],[Lucro por ação]],"")</f>
        <v>0.9495671915767675</v>
      </c>
      <c r="H433" s="60">
        <f>MAX(Tabela2[[#This Row],[Cotação 1]],Tabela2[[#This Row],[Cotação 2]])</f>
        <v>20</v>
      </c>
      <c r="I433" s="45">
        <f>IF(Tabela2[[#This Row],[Dividendo / Ação]]&gt;0,Tabela2[[#This Row],[Dividendo / Ação]]/Tabela2[[#This Row],[Cotação]],"")</f>
        <v>5.019055E-2</v>
      </c>
      <c r="J433" s="17">
        <f>SUMPRODUCT(N(Tabela1[Código]=Tabela2[[#This Row],[Ativo]]),Tabela1[Fechamento])</f>
        <v>0</v>
      </c>
      <c r="K433" s="17">
        <f>SUMPRODUCT(N(Tabela17[Código]=Tabela2[[#This Row],[Ativo]]),Tabela17[Fechamento])</f>
        <v>20</v>
      </c>
      <c r="L433" s="17">
        <f>SUMPRODUCT(N(Tabela2[Ativo]=Tabela2[[#This Row],[Ativo]]),N(Tabela2[Exercício]=Tabela2[[#This Row],[Exercício]]-1),Tabela2[Lucro Líquido])</f>
        <v>19966613.23</v>
      </c>
      <c r="M433" s="19">
        <f>IF(Tabela2[[#This Row],[Lucro Anterior]]=0,"",IF(Tabela2[[#This Row],[Lucro Líquido]]&gt;0,Tabela2[[#This Row],[Lucro Líquido]]/Tabela2[[#This Row],[Lucro Anterior]]-1,0))</f>
        <v>-0.333572183388259</v>
      </c>
    </row>
    <row r="434" spans="1:13" x14ac:dyDescent="0.2">
      <c r="A434" s="4" t="s">
        <v>379</v>
      </c>
      <c r="B434" s="4">
        <v>2010</v>
      </c>
      <c r="C434" s="6">
        <v>19966613.23</v>
      </c>
      <c r="D434" s="77">
        <f>SUMPRODUCT(N(Tabela3[PAPEL]=Tabela2[[#This Row],[Ativo]]),Tabela3[Total Ações])</f>
        <v>12587262</v>
      </c>
      <c r="E434" s="65">
        <f>(Tabela2[[#This Row],[Lucro Líquido]])/Tabela2[[#This Row],[Total Ações]]</f>
        <v>1.5862554723974125</v>
      </c>
      <c r="F434" s="65">
        <v>0.962588</v>
      </c>
      <c r="G434" s="44">
        <f>IF(AND(Tabela2[[#This Row],[Dividendo / Ação]]&gt;0,Tabela2[[#This Row],[Lucro por ação]]&gt;0),Tabela2[[#This Row],[Dividendo / Ação]]/Tabela2[[#This Row],[Lucro por ação]],"")</f>
        <v>0.6068303730074307</v>
      </c>
      <c r="H434" s="60">
        <f>MAX(Tabela2[[#This Row],[Cotação 1]],Tabela2[[#This Row],[Cotação 2]])</f>
        <v>20</v>
      </c>
      <c r="I434" s="45">
        <f>IF(Tabela2[[#This Row],[Dividendo / Ação]]&gt;0,Tabela2[[#This Row],[Dividendo / Ação]]/Tabela2[[#This Row],[Cotação]],"")</f>
        <v>4.8129400000000003E-2</v>
      </c>
      <c r="J434" s="17">
        <f>SUMPRODUCT(N(Tabela1[Código]=Tabela2[[#This Row],[Ativo]]),Tabela1[Fechamento])</f>
        <v>0</v>
      </c>
      <c r="K434" s="17">
        <f>SUMPRODUCT(N(Tabela17[Código]=Tabela2[[#This Row],[Ativo]]),Tabela17[Fechamento])</f>
        <v>20</v>
      </c>
      <c r="L434" s="17">
        <f>SUMPRODUCT(N(Tabela2[Ativo]=Tabela2[[#This Row],[Ativo]]),N(Tabela2[Exercício]=Tabela2[[#This Row],[Exercício]]-1),Tabela2[Lucro Líquido])</f>
        <v>8984823.1899999995</v>
      </c>
      <c r="M434" s="19">
        <f>IF(Tabela2[[#This Row],[Lucro Anterior]]=0,"",IF(Tabela2[[#This Row],[Lucro Líquido]]&gt;0,Tabela2[[#This Row],[Lucro Líquido]]/Tabela2[[#This Row],[Lucro Anterior]]-1,0))</f>
        <v>1.2222600053190362</v>
      </c>
    </row>
    <row r="435" spans="1:13" x14ac:dyDescent="0.2">
      <c r="A435" s="4" t="s">
        <v>379</v>
      </c>
      <c r="B435" s="4">
        <v>2009</v>
      </c>
      <c r="C435" s="6">
        <v>8984823.1899999995</v>
      </c>
      <c r="D435" s="77">
        <f>SUMPRODUCT(N(Tabela3[PAPEL]=Tabela2[[#This Row],[Ativo]]),Tabela3[Total Ações])</f>
        <v>12587262</v>
      </c>
      <c r="E435" s="65">
        <f>(Tabela2[[#This Row],[Lucro Líquido]])/Tabela2[[#This Row],[Total Ações]]</f>
        <v>0.71380282622225544</v>
      </c>
      <c r="F435" s="65">
        <v>0.86186600000000002</v>
      </c>
      <c r="G435" s="44">
        <f>IF(AND(Tabela2[[#This Row],[Dividendo / Ação]]&gt;0,Tabela2[[#This Row],[Lucro por ação]]&gt;0),Tabela2[[#This Row],[Dividendo / Ação]]/Tabela2[[#This Row],[Lucro por ação]],"")</f>
        <v>1.2074286740518487</v>
      </c>
      <c r="H435" s="60">
        <f>MAX(Tabela2[[#This Row],[Cotação 1]],Tabela2[[#This Row],[Cotação 2]])</f>
        <v>20</v>
      </c>
      <c r="I435" s="45">
        <f>IF(Tabela2[[#This Row],[Dividendo / Ação]]&gt;0,Tabela2[[#This Row],[Dividendo / Ação]]/Tabela2[[#This Row],[Cotação]],"")</f>
        <v>4.3093300000000001E-2</v>
      </c>
      <c r="J435" s="17">
        <f>SUMPRODUCT(N(Tabela1[Código]=Tabela2[[#This Row],[Ativo]]),Tabela1[Fechamento])</f>
        <v>0</v>
      </c>
      <c r="K435" s="17">
        <f>SUMPRODUCT(N(Tabela17[Código]=Tabela2[[#This Row],[Ativo]]),Tabela17[Fechamento])</f>
        <v>20</v>
      </c>
      <c r="L435" s="17">
        <f>SUMPRODUCT(N(Tabela2[Ativo]=Tabela2[[#This Row],[Ativo]]),N(Tabela2[Exercício]=Tabela2[[#This Row],[Exercício]]-1),Tabela2[Lucro Líquido])</f>
        <v>0</v>
      </c>
      <c r="M435" s="19" t="str">
        <f>IF(Tabela2[[#This Row],[Lucro Anterior]]=0,"",IF(Tabela2[[#This Row],[Lucro Líquido]]&gt;0,Tabela2[[#This Row],[Lucro Líquido]]/Tabela2[[#This Row],[Lucro Anterior]]-1,0))</f>
        <v/>
      </c>
    </row>
    <row r="436" spans="1:13" x14ac:dyDescent="0.2">
      <c r="A436" s="4" t="s">
        <v>20</v>
      </c>
      <c r="B436" s="4">
        <v>2012</v>
      </c>
      <c r="C436" s="6">
        <v>20894905121.599998</v>
      </c>
      <c r="D436" s="8">
        <f>SUMPRODUCT(N(Tabela3[PAPEL]=Tabela2[[#This Row],[Ativo]]),Tabela3[Total Ações])</f>
        <v>13044496930</v>
      </c>
      <c r="E436" s="65">
        <f>(Tabela2[[#This Row],[Lucro Líquido]])/Tabela2[[#This Row],[Total Ações]]</f>
        <v>1.6018176272896711</v>
      </c>
      <c r="F436" s="65">
        <v>0.47</v>
      </c>
      <c r="G436" s="45">
        <f>IF(AND(Tabela2[[#This Row],[Dividendo / Ação]]&gt;0,Tabela2[[#This Row],[Lucro por ação]]&gt;0),Tabela2[[#This Row],[Dividendo / Ação]]/Tabela2[[#This Row],[Lucro por ação]],"")</f>
        <v>0.29341667365420099</v>
      </c>
      <c r="H436" s="13">
        <f>MAX(Tabela2[[#This Row],[Cotação 1]],Tabela2[[#This Row],[Cotação 2]])</f>
        <v>15.12</v>
      </c>
      <c r="I436" s="19">
        <f>IF(Tabela2[[#This Row],[Dividendo / Ação]]&gt;0,Tabela2[[#This Row],[Dividendo / Ação]]/Tabela2[[#This Row],[Cotação]],"")</f>
        <v>3.1084656084656083E-2</v>
      </c>
      <c r="J436" s="17">
        <f>SUMPRODUCT(N(Tabela1[Código]=Tabela2[[#This Row],[Ativo]]),Tabela1[Fechamento])</f>
        <v>0</v>
      </c>
      <c r="K436" s="17">
        <f>SUMPRODUCT(N(Tabela17[Código]=Tabela2[[#This Row],[Ativo]]),Tabela17[Fechamento])</f>
        <v>15.12</v>
      </c>
      <c r="L436" s="17">
        <f>SUMPRODUCT(N(Tabela2[Ativo]=Tabela2[[#This Row],[Ativo]]),N(Tabela2[Exercício]=Tabela2[[#This Row],[Exercício]]-1),Tabela2[Lucro Líquido])</f>
        <v>33133022202</v>
      </c>
      <c r="M436" s="19">
        <f>IF(Tabela2[[#This Row],[Lucro Anterior]]=0,"",IF(Tabela2[[#This Row],[Lucro Líquido]]&gt;0,Tabela2[[#This Row],[Lucro Líquido]]/Tabela2[[#This Row],[Lucro Anterior]]-1,0))</f>
        <v>-0.36936313885852756</v>
      </c>
    </row>
    <row r="437" spans="1:13" x14ac:dyDescent="0.2">
      <c r="A437" s="4" t="s">
        <v>20</v>
      </c>
      <c r="B437" s="3">
        <v>2011</v>
      </c>
      <c r="C437" s="5">
        <v>33133022202</v>
      </c>
      <c r="D437" s="61">
        <f>SUMPRODUCT(N(Tabela3[PAPEL]=Tabela2[[#This Row],[Ativo]]),Tabela3[Total Ações])</f>
        <v>13044496930</v>
      </c>
      <c r="E437" s="64">
        <f>(Tabela2[[#This Row],[Lucro Líquido]])/Tabela2[[#This Row],[Total Ações]]</f>
        <v>2.5399999999846679</v>
      </c>
      <c r="F437" s="64">
        <v>0.92</v>
      </c>
      <c r="G437" s="22">
        <f>IF(AND(Tabela2[[#This Row],[Dividendo / Ação]]&gt;0,Tabela2[[#This Row],[Lucro por ação]]&gt;0),Tabela2[[#This Row],[Dividendo / Ação]]/Tabela2[[#This Row],[Lucro por ação]],"")</f>
        <v>0.3622047244116352</v>
      </c>
      <c r="H437" s="50">
        <f>MAX(Tabela2[[#This Row],[Cotação 1]],Tabela2[[#This Row],[Cotação 2]])</f>
        <v>15.12</v>
      </c>
      <c r="I437" s="18">
        <f>IF(Tabela2[[#This Row],[Dividendo / Ação]]&gt;0,Tabela2[[#This Row],[Dividendo / Ação]]/Tabela2[[#This Row],[Cotação]],"")</f>
        <v>6.084656084656085E-2</v>
      </c>
      <c r="J437" s="7">
        <f>SUMPRODUCT(N(Tabela1[Código]=Tabela2[[#This Row],[Ativo]]),Tabela1[Fechamento])</f>
        <v>0</v>
      </c>
      <c r="K437" s="7">
        <f>SUMPRODUCT(N(Tabela17[Código]=Tabela2[[#This Row],[Ativo]]),Tabela17[Fechamento])</f>
        <v>15.12</v>
      </c>
      <c r="L437" s="7">
        <f>SUMPRODUCT(N(Tabela2[Ativo]=Tabela2[[#This Row],[Ativo]]),N(Tabela2[Exercício]=Tabela2[[#This Row],[Exercício]]-1),Tabela2[Lucro Líquido])</f>
        <v>46307964102</v>
      </c>
      <c r="M437" s="18">
        <f>IF(Tabela2[[#This Row],[Lucro Anterior]]=0,"",IF(Tabela2[[#This Row],[Lucro Líquido]]&gt;0,Tabela2[[#This Row],[Lucro Líquido]]/Tabela2[[#This Row],[Lucro Anterior]]-1,0))</f>
        <v>-0.28450704226556545</v>
      </c>
    </row>
    <row r="438" spans="1:13" x14ac:dyDescent="0.2">
      <c r="A438" s="4" t="s">
        <v>20</v>
      </c>
      <c r="B438" s="3">
        <v>2010</v>
      </c>
      <c r="C438" s="5">
        <v>46307964102</v>
      </c>
      <c r="D438" s="61">
        <f>SUMPRODUCT(N(Tabela3[PAPEL]=Tabela2[[#This Row],[Ativo]]),Tabela3[Total Ações])</f>
        <v>13044496930</v>
      </c>
      <c r="E438" s="64">
        <f>(Tabela2[[#This Row],[Lucro Líquido]])/Tabela2[[#This Row],[Total Ações]]</f>
        <v>3.5500000000383305</v>
      </c>
      <c r="F438" s="64">
        <v>1.03</v>
      </c>
      <c r="G438" s="22">
        <f>IF(AND(Tabela2[[#This Row],[Dividendo / Ação]]&gt;0,Tabela2[[#This Row],[Lucro por ação]]&gt;0),Tabela2[[#This Row],[Dividendo / Ação]]/Tabela2[[#This Row],[Lucro por ação]],"")</f>
        <v>0.29014084506728982</v>
      </c>
      <c r="H438" s="50">
        <f>MAX(Tabela2[[#This Row],[Cotação 1]],Tabela2[[#This Row],[Cotação 2]])</f>
        <v>15.12</v>
      </c>
      <c r="I438" s="18">
        <f>IF(Tabela2[[#This Row],[Dividendo / Ação]]&gt;0,Tabela2[[#This Row],[Dividendo / Ação]]/Tabela2[[#This Row],[Cotação]],"")</f>
        <v>6.8121693121693125E-2</v>
      </c>
      <c r="J438" s="7">
        <f>SUMPRODUCT(N(Tabela1[Código]=Tabela2[[#This Row],[Ativo]]),Tabela1[Fechamento])</f>
        <v>0</v>
      </c>
      <c r="K438" s="7">
        <f>SUMPRODUCT(N(Tabela17[Código]=Tabela2[[#This Row],[Ativo]]),Tabela17[Fechamento])</f>
        <v>15.12</v>
      </c>
      <c r="L438" s="7">
        <f>SUMPRODUCT(N(Tabela2[Ativo]=Tabela2[[#This Row],[Ativo]]),N(Tabela2[Exercício]=Tabela2[[#This Row],[Exercício]]-1),Tabela2[Lucro Líquido])</f>
        <v>44612179501</v>
      </c>
      <c r="M438" s="18">
        <f>IF(Tabela2[[#This Row],[Lucro Anterior]]=0,"",IF(Tabela2[[#This Row],[Lucro Líquido]]&gt;0,Tabela2[[#This Row],[Lucro Líquido]]/Tabela2[[#This Row],[Lucro Anterior]]-1,0))</f>
        <v>3.801169590833342E-2</v>
      </c>
    </row>
    <row r="439" spans="1:13" x14ac:dyDescent="0.2">
      <c r="A439" s="4" t="s">
        <v>20</v>
      </c>
      <c r="B439" s="3">
        <v>2009</v>
      </c>
      <c r="C439" s="5">
        <v>44612179501</v>
      </c>
      <c r="D439" s="61">
        <f>SUMPRODUCT(N(Tabela3[PAPEL]=Tabela2[[#This Row],[Ativo]]),Tabela3[Total Ações])</f>
        <v>13044496930</v>
      </c>
      <c r="E439" s="64">
        <f>(Tabela2[[#This Row],[Lucro Líquido]])/Tabela2[[#This Row],[Total Ações]]</f>
        <v>3.4200000000306643</v>
      </c>
      <c r="F439" s="64">
        <v>0.95</v>
      </c>
      <c r="G439" s="22">
        <f>IF(AND(Tabela2[[#This Row],[Dividendo / Ação]]&gt;0,Tabela2[[#This Row],[Lucro por ação]]&gt;0),Tabela2[[#This Row],[Dividendo / Ação]]/Tabela2[[#This Row],[Lucro por ação]],"")</f>
        <v>0.27777777777528717</v>
      </c>
      <c r="H439" s="50">
        <f>MAX(Tabela2[[#This Row],[Cotação 1]],Tabela2[[#This Row],[Cotação 2]])</f>
        <v>15.12</v>
      </c>
      <c r="I439" s="18">
        <f>IF(Tabela2[[#This Row],[Dividendo / Ação]]&gt;0,Tabela2[[#This Row],[Dividendo / Ação]]/Tabela2[[#This Row],[Cotação]],"")</f>
        <v>6.2830687830687834E-2</v>
      </c>
      <c r="J439" s="7">
        <f>SUMPRODUCT(N(Tabela1[Código]=Tabela2[[#This Row],[Ativo]]),Tabela1[Fechamento])</f>
        <v>0</v>
      </c>
      <c r="K439" s="7">
        <f>SUMPRODUCT(N(Tabela17[Código]=Tabela2[[#This Row],[Ativo]]),Tabela17[Fechamento])</f>
        <v>15.12</v>
      </c>
      <c r="L439" s="7">
        <f>SUMPRODUCT(N(Tabela2[Ativo]=Tabela2[[#This Row],[Ativo]]),N(Tabela2[Exercício]=Tabela2[[#This Row],[Exercício]]-1),Tabela2[Lucro Líquido])</f>
        <v>0</v>
      </c>
      <c r="M439" s="18" t="str">
        <f>IF(Tabela2[[#This Row],[Lucro Anterior]]=0,"",IF(Tabela2[[#This Row],[Lucro Líquido]]&gt;0,Tabela2[[#This Row],[Lucro Líquido]]/Tabela2[[#This Row],[Lucro Anterior]]-1,0))</f>
        <v/>
      </c>
    </row>
    <row r="440" spans="1:13" x14ac:dyDescent="0.2">
      <c r="A440" s="4" t="s">
        <v>21</v>
      </c>
      <c r="B440" s="4">
        <v>2012</v>
      </c>
      <c r="C440" s="6">
        <v>20894905121.599998</v>
      </c>
      <c r="D440" s="8">
        <f>SUMPRODUCT(N(Tabela3[PAPEL]=Tabela2[[#This Row],[Ativo]]),Tabela3[Total Ações])</f>
        <v>13044496930</v>
      </c>
      <c r="E440" s="65">
        <f>(Tabela2[[#This Row],[Lucro Líquido]])/Tabela2[[#This Row],[Total Ações]]</f>
        <v>1.6018176272896711</v>
      </c>
      <c r="F440" s="65">
        <v>0.96</v>
      </c>
      <c r="G440" s="45">
        <f>IF(AND(Tabela2[[#This Row],[Dividendo / Ação]]&gt;0,Tabela2[[#This Row],[Lucro por ação]]&gt;0),Tabela2[[#This Row],[Dividendo / Ação]]/Tabela2[[#This Row],[Lucro por ação]],"")</f>
        <v>0.5993191632085807</v>
      </c>
      <c r="H440" s="13">
        <f>MAX(Tabela2[[#This Row],[Cotação 1]],Tabela2[[#This Row],[Cotação 2]])</f>
        <v>16.04</v>
      </c>
      <c r="I440" s="19">
        <f>IF(Tabela2[[#This Row],[Dividendo / Ação]]&gt;0,Tabela2[[#This Row],[Dividendo / Ação]]/Tabela2[[#This Row],[Cotação]],"")</f>
        <v>5.9850374064837904E-2</v>
      </c>
      <c r="J440" s="17">
        <f>SUMPRODUCT(N(Tabela1[Código]=Tabela2[[#This Row],[Ativo]]),Tabela1[Fechamento])</f>
        <v>0</v>
      </c>
      <c r="K440" s="17">
        <f>SUMPRODUCT(N(Tabela17[Código]=Tabela2[[#This Row],[Ativo]]),Tabela17[Fechamento])</f>
        <v>16.04</v>
      </c>
      <c r="L440" s="17">
        <f>SUMPRODUCT(N(Tabela2[Ativo]=Tabela2[[#This Row],[Ativo]]),N(Tabela2[Exercício]=Tabela2[[#This Row],[Exercício]]-1),Tabela2[Lucro Líquido])</f>
        <v>33133022202</v>
      </c>
      <c r="M440" s="19">
        <f>IF(Tabela2[[#This Row],[Lucro Anterior]]=0,"",IF(Tabela2[[#This Row],[Lucro Líquido]]&gt;0,Tabela2[[#This Row],[Lucro Líquido]]/Tabela2[[#This Row],[Lucro Anterior]]-1,0))</f>
        <v>-0.36936313885852756</v>
      </c>
    </row>
    <row r="441" spans="1:13" x14ac:dyDescent="0.2">
      <c r="A441" s="4" t="s">
        <v>21</v>
      </c>
      <c r="B441" s="4">
        <v>2011</v>
      </c>
      <c r="C441" s="5">
        <v>33133022202</v>
      </c>
      <c r="D441" s="8">
        <f>SUMPRODUCT(N(Tabela3[PAPEL]=Tabela2[[#This Row],[Ativo]]),Tabela3[Total Ações])</f>
        <v>13044496930</v>
      </c>
      <c r="E441" s="65">
        <f>(Tabela2[[#This Row],[Lucro Líquido]])/Tabela2[[#This Row],[Total Ações]]</f>
        <v>2.5399999999846679</v>
      </c>
      <c r="F441" s="65">
        <v>0.92</v>
      </c>
      <c r="G441" s="45">
        <f>IF(AND(Tabela2[[#This Row],[Dividendo / Ação]]&gt;0,Tabela2[[#This Row],[Lucro por ação]]&gt;0),Tabela2[[#This Row],[Dividendo / Ação]]/Tabela2[[#This Row],[Lucro por ação]],"")</f>
        <v>0.3622047244116352</v>
      </c>
      <c r="H441" s="13">
        <f>MAX(Tabela2[[#This Row],[Cotação 1]],Tabela2[[#This Row],[Cotação 2]])</f>
        <v>16.04</v>
      </c>
      <c r="I441" s="19">
        <f>IF(Tabela2[[#This Row],[Dividendo / Ação]]&gt;0,Tabela2[[#This Row],[Dividendo / Ação]]/Tabela2[[#This Row],[Cotação]],"")</f>
        <v>5.7356608478803001E-2</v>
      </c>
      <c r="J441" s="17">
        <f>SUMPRODUCT(N(Tabela1[Código]=Tabela2[[#This Row],[Ativo]]),Tabela1[Fechamento])</f>
        <v>0</v>
      </c>
      <c r="K441" s="17">
        <f>SUMPRODUCT(N(Tabela17[Código]=Tabela2[[#This Row],[Ativo]]),Tabela17[Fechamento])</f>
        <v>16.04</v>
      </c>
      <c r="L441" s="17">
        <f>SUMPRODUCT(N(Tabela2[Ativo]=Tabela2[[#This Row],[Ativo]]),N(Tabela2[Exercício]=Tabela2[[#This Row],[Exercício]]-1),Tabela2[Lucro Líquido])</f>
        <v>46307964102</v>
      </c>
      <c r="M441" s="19">
        <f>IF(Tabela2[[#This Row],[Lucro Anterior]]=0,"",IF(Tabela2[[#This Row],[Lucro Líquido]]&gt;0,Tabela2[[#This Row],[Lucro Líquido]]/Tabela2[[#This Row],[Lucro Anterior]]-1,0))</f>
        <v>-0.28450704226556545</v>
      </c>
    </row>
    <row r="442" spans="1:13" x14ac:dyDescent="0.2">
      <c r="A442" s="4" t="s">
        <v>21</v>
      </c>
      <c r="B442" s="4">
        <v>2010</v>
      </c>
      <c r="C442" s="5">
        <v>46307964102</v>
      </c>
      <c r="D442" s="8">
        <f>SUMPRODUCT(N(Tabela3[PAPEL]=Tabela2[[#This Row],[Ativo]]),Tabela3[Total Ações])</f>
        <v>13044496930</v>
      </c>
      <c r="E442" s="65">
        <f>(Tabela2[[#This Row],[Lucro Líquido]])/Tabela2[[#This Row],[Total Ações]]</f>
        <v>3.5500000000383305</v>
      </c>
      <c r="F442" s="65">
        <v>1.03</v>
      </c>
      <c r="G442" s="45">
        <f>IF(AND(Tabela2[[#This Row],[Dividendo / Ação]]&gt;0,Tabela2[[#This Row],[Lucro por ação]]&gt;0),Tabela2[[#This Row],[Dividendo / Ação]]/Tabela2[[#This Row],[Lucro por ação]],"")</f>
        <v>0.29014084506728982</v>
      </c>
      <c r="H442" s="13">
        <f>MAX(Tabela2[[#This Row],[Cotação 1]],Tabela2[[#This Row],[Cotação 2]])</f>
        <v>16.04</v>
      </c>
      <c r="I442" s="19">
        <f>IF(Tabela2[[#This Row],[Dividendo / Ação]]&gt;0,Tabela2[[#This Row],[Dividendo / Ação]]/Tabela2[[#This Row],[Cotação]],"")</f>
        <v>6.4214463840399014E-2</v>
      </c>
      <c r="J442" s="17">
        <f>SUMPRODUCT(N(Tabela1[Código]=Tabela2[[#This Row],[Ativo]]),Tabela1[Fechamento])</f>
        <v>0</v>
      </c>
      <c r="K442" s="17">
        <f>SUMPRODUCT(N(Tabela17[Código]=Tabela2[[#This Row],[Ativo]]),Tabela17[Fechamento])</f>
        <v>16.04</v>
      </c>
      <c r="L442" s="17">
        <f>SUMPRODUCT(N(Tabela2[Ativo]=Tabela2[[#This Row],[Ativo]]),N(Tabela2[Exercício]=Tabela2[[#This Row],[Exercício]]-1),Tabela2[Lucro Líquido])</f>
        <v>44612179501</v>
      </c>
      <c r="M442" s="19">
        <f>IF(Tabela2[[#This Row],[Lucro Anterior]]=0,"",IF(Tabela2[[#This Row],[Lucro Líquido]]&gt;0,Tabela2[[#This Row],[Lucro Líquido]]/Tabela2[[#This Row],[Lucro Anterior]]-1,0))</f>
        <v>3.801169590833342E-2</v>
      </c>
    </row>
    <row r="443" spans="1:13" x14ac:dyDescent="0.2">
      <c r="A443" s="4" t="s">
        <v>21</v>
      </c>
      <c r="B443" s="4">
        <v>2009</v>
      </c>
      <c r="C443" s="5">
        <v>44612179501</v>
      </c>
      <c r="D443" s="8">
        <f>SUMPRODUCT(N(Tabela3[PAPEL]=Tabela2[[#This Row],[Ativo]]),Tabela3[Total Ações])</f>
        <v>13044496930</v>
      </c>
      <c r="E443" s="65">
        <f>(Tabela2[[#This Row],[Lucro Líquido]])/Tabela2[[#This Row],[Total Ações]]</f>
        <v>3.4200000000306643</v>
      </c>
      <c r="F443" s="65">
        <v>0.95</v>
      </c>
      <c r="G443" s="45">
        <f>IF(AND(Tabela2[[#This Row],[Dividendo / Ação]]&gt;0,Tabela2[[#This Row],[Lucro por ação]]&gt;0),Tabela2[[#This Row],[Dividendo / Ação]]/Tabela2[[#This Row],[Lucro por ação]],"")</f>
        <v>0.27777777777528717</v>
      </c>
      <c r="H443" s="13">
        <f>MAX(Tabela2[[#This Row],[Cotação 1]],Tabela2[[#This Row],[Cotação 2]])</f>
        <v>16.04</v>
      </c>
      <c r="I443" s="19">
        <f>IF(Tabela2[[#This Row],[Dividendo / Ação]]&gt;0,Tabela2[[#This Row],[Dividendo / Ação]]/Tabela2[[#This Row],[Cotação]],"")</f>
        <v>5.922693266832918E-2</v>
      </c>
      <c r="J443" s="17">
        <f>SUMPRODUCT(N(Tabela1[Código]=Tabela2[[#This Row],[Ativo]]),Tabela1[Fechamento])</f>
        <v>0</v>
      </c>
      <c r="K443" s="17">
        <f>SUMPRODUCT(N(Tabela17[Código]=Tabela2[[#This Row],[Ativo]]),Tabela17[Fechamento])</f>
        <v>16.04</v>
      </c>
      <c r="L443" s="17">
        <f>SUMPRODUCT(N(Tabela2[Ativo]=Tabela2[[#This Row],[Ativo]]),N(Tabela2[Exercício]=Tabela2[[#This Row],[Exercício]]-1),Tabela2[Lucro Líquido])</f>
        <v>0</v>
      </c>
      <c r="M443" s="19" t="str">
        <f>IF(Tabela2[[#This Row],[Lucro Anterior]]=0,"",IF(Tabela2[[#This Row],[Lucro Líquido]]&gt;0,Tabela2[[#This Row],[Lucro Líquido]]/Tabela2[[#This Row],[Lucro Anterior]]-1,0))</f>
        <v/>
      </c>
    </row>
    <row r="444" spans="1:13" x14ac:dyDescent="0.2">
      <c r="A444" s="4" t="s">
        <v>76</v>
      </c>
      <c r="B444" s="4">
        <v>2012</v>
      </c>
      <c r="C444" s="6">
        <v>187453404.96000001</v>
      </c>
      <c r="D444" s="8">
        <f>SUMPRODUCT(N(Tabela3[PAPEL]=Tabela2[[#This Row],[Ativo]]),Tabela3[Total Ações])</f>
        <v>110842313</v>
      </c>
      <c r="E444" s="65">
        <f>(Tabela2[[#This Row],[Lucro Líquido]])/Tabela2[[#This Row],[Total Ações]]</f>
        <v>1.6911718989480129</v>
      </c>
      <c r="F444" s="65">
        <v>0.92906</v>
      </c>
      <c r="G444" s="45">
        <f>IF(AND(Tabela2[[#This Row],[Dividendo / Ação]]&gt;0,Tabela2[[#This Row],[Lucro por ação]]&gt;0),Tabela2[[#This Row],[Dividendo / Ação]]/Tabela2[[#This Row],[Lucro por ação]],"")</f>
        <v>0.54935870243463614</v>
      </c>
      <c r="H444" s="6">
        <f>MAX(Tabela2[[#This Row],[Cotação 1]],Tabela2[[#This Row],[Cotação 2]])</f>
        <v>8.6999999999999993</v>
      </c>
      <c r="I444" s="19">
        <f>IF(Tabela2[[#This Row],[Dividendo / Ação]]&gt;0,Tabela2[[#This Row],[Dividendo / Ação]]/Tabela2[[#This Row],[Cotação]],"")</f>
        <v>0.10678850574712645</v>
      </c>
      <c r="J444" s="60">
        <f>SUMPRODUCT(N(Tabela1[Código]=Tabela2[[#This Row],[Ativo]]),Tabela1[Fechamento])</f>
        <v>8.6999999999999993</v>
      </c>
      <c r="K444" s="60">
        <f>SUMPRODUCT(N(Tabela17[Código]=Tabela2[[#This Row],[Ativo]]),Tabela17[Fechamento])</f>
        <v>0</v>
      </c>
      <c r="L444" s="60">
        <f>SUMPRODUCT(N(Tabela2[Ativo]=Tabela2[[#This Row],[Ativo]]),N(Tabela2[Exercício]=Tabela2[[#This Row],[Exercício]]-1),Tabela2[Lucro Líquido])</f>
        <v>161513908.16999999</v>
      </c>
      <c r="M444" s="19">
        <f>IF(Tabela2[[#This Row],[Lucro Anterior]]=0,"",IF(Tabela2[[#This Row],[Lucro Líquido]]&gt;0,Tabela2[[#This Row],[Lucro Líquido]]/Tabela2[[#This Row],[Lucro Anterior]]-1,0))</f>
        <v>0.16060224833825232</v>
      </c>
    </row>
    <row r="445" spans="1:13" x14ac:dyDescent="0.2">
      <c r="A445" s="4" t="s">
        <v>76</v>
      </c>
      <c r="B445" s="4">
        <v>2011</v>
      </c>
      <c r="C445" s="6">
        <v>161513908.16999999</v>
      </c>
      <c r="D445" s="8">
        <f>SUMPRODUCT(N(Tabela3[PAPEL]=Tabela2[[#This Row],[Ativo]]),Tabela3[Total Ações])</f>
        <v>110842313</v>
      </c>
      <c r="E445" s="65">
        <f>(Tabela2[[#This Row],[Lucro Líquido]])/Tabela2[[#This Row],[Total Ações]]</f>
        <v>1.4571502867321073</v>
      </c>
      <c r="F445" s="65">
        <v>0.83615399999999995</v>
      </c>
      <c r="G445" s="45">
        <f>IF(AND(Tabela2[[#This Row],[Dividendo / Ação]]&gt;0,Tabela2[[#This Row],[Lucro por ação]]&gt;0),Tabela2[[#This Row],[Dividendo / Ação]]/Tabela2[[#This Row],[Lucro por ação]],"")</f>
        <v>0.57382825067084131</v>
      </c>
      <c r="H445" s="6">
        <f>MAX(Tabela2[[#This Row],[Cotação 1]],Tabela2[[#This Row],[Cotação 2]])</f>
        <v>8.6999999999999993</v>
      </c>
      <c r="I445" s="19">
        <f>IF(Tabela2[[#This Row],[Dividendo / Ação]]&gt;0,Tabela2[[#This Row],[Dividendo / Ação]]/Tabela2[[#This Row],[Cotação]],"")</f>
        <v>9.6109655172413794E-2</v>
      </c>
      <c r="J445" s="60">
        <f>SUMPRODUCT(N(Tabela1[Código]=Tabela2[[#This Row],[Ativo]]),Tabela1[Fechamento])</f>
        <v>8.6999999999999993</v>
      </c>
      <c r="K445" s="60">
        <f>SUMPRODUCT(N(Tabela17[Código]=Tabela2[[#This Row],[Ativo]]),Tabela17[Fechamento])</f>
        <v>0</v>
      </c>
      <c r="L445" s="60">
        <f>SUMPRODUCT(N(Tabela2[Ativo]=Tabela2[[#This Row],[Ativo]]),N(Tabela2[Exercício]=Tabela2[[#This Row],[Exercício]]-1),Tabela2[Lucro Líquido])</f>
        <v>116428578.18000001</v>
      </c>
      <c r="M445" s="19">
        <f>IF(Tabela2[[#This Row],[Lucro Anterior]]=0,"",IF(Tabela2[[#This Row],[Lucro Líquido]]&gt;0,Tabela2[[#This Row],[Lucro Líquido]]/Tabela2[[#This Row],[Lucro Anterior]]-1,0))</f>
        <v>0.38723594064936107</v>
      </c>
    </row>
    <row r="446" spans="1:13" x14ac:dyDescent="0.2">
      <c r="A446" s="4" t="s">
        <v>76</v>
      </c>
      <c r="B446" s="4">
        <v>2010</v>
      </c>
      <c r="C446" s="6">
        <v>116428578.18000001</v>
      </c>
      <c r="D446" s="8">
        <f>SUMPRODUCT(N(Tabela3[PAPEL]=Tabela2[[#This Row],[Ativo]]),Tabela3[Total Ações])</f>
        <v>110842313</v>
      </c>
      <c r="E446" s="65">
        <f>(Tabela2[[#This Row],[Lucro Líquido]])/Tabela2[[#This Row],[Total Ações]]</f>
        <v>1.0503983093532161</v>
      </c>
      <c r="F446" s="65">
        <v>0.69679500000000005</v>
      </c>
      <c r="G446" s="45">
        <f>IF(AND(Tabela2[[#This Row],[Dividendo / Ação]]&gt;0,Tabela2[[#This Row],[Lucro por ação]]&gt;0),Tabela2[[#This Row],[Dividendo / Ação]]/Tabela2[[#This Row],[Lucro por ação]],"")</f>
        <v>0.66336264424211833</v>
      </c>
      <c r="H446" s="6">
        <f>MAX(Tabela2[[#This Row],[Cotação 1]],Tabela2[[#This Row],[Cotação 2]])</f>
        <v>8.6999999999999993</v>
      </c>
      <c r="I446" s="19">
        <f>IF(Tabela2[[#This Row],[Dividendo / Ação]]&gt;0,Tabela2[[#This Row],[Dividendo / Ação]]/Tabela2[[#This Row],[Cotação]],"")</f>
        <v>8.0091379310344837E-2</v>
      </c>
      <c r="J446" s="60">
        <f>SUMPRODUCT(N(Tabela1[Código]=Tabela2[[#This Row],[Ativo]]),Tabela1[Fechamento])</f>
        <v>8.6999999999999993</v>
      </c>
      <c r="K446" s="60">
        <f>SUMPRODUCT(N(Tabela17[Código]=Tabela2[[#This Row],[Ativo]]),Tabela17[Fechamento])</f>
        <v>0</v>
      </c>
      <c r="L446" s="60">
        <f>SUMPRODUCT(N(Tabela2[Ativo]=Tabela2[[#This Row],[Ativo]]),N(Tabela2[Exercício]=Tabela2[[#This Row],[Exercício]]-1),Tabela2[Lucro Líquido])</f>
        <v>86911496.730000004</v>
      </c>
      <c r="M446" s="19">
        <f>IF(Tabela2[[#This Row],[Lucro Anterior]]=0,"",IF(Tabela2[[#This Row],[Lucro Líquido]]&gt;0,Tabela2[[#This Row],[Lucro Líquido]]/Tabela2[[#This Row],[Lucro Anterior]]-1,0))</f>
        <v>0.3396222888865672</v>
      </c>
    </row>
    <row r="447" spans="1:13" x14ac:dyDescent="0.2">
      <c r="A447" s="4" t="s">
        <v>76</v>
      </c>
      <c r="B447" s="4">
        <v>2009</v>
      </c>
      <c r="C447" s="6">
        <v>86911496.730000004</v>
      </c>
      <c r="D447" s="8">
        <f>SUMPRODUCT(N(Tabela3[PAPEL]=Tabela2[[#This Row],[Ativo]]),Tabela3[Total Ações])</f>
        <v>110842313</v>
      </c>
      <c r="E447" s="65">
        <f>(Tabela2[[#This Row],[Lucro Líquido]])/Tabela2[[#This Row],[Total Ações]]</f>
        <v>0.78410035281382129</v>
      </c>
      <c r="F447" s="65">
        <v>0.69679500000000005</v>
      </c>
      <c r="G447" s="45">
        <f>IF(AND(Tabela2[[#This Row],[Dividendo / Ação]]&gt;0,Tabela2[[#This Row],[Lucro por ação]]&gt;0),Tabela2[[#This Row],[Dividendo / Ação]]/Tabela2[[#This Row],[Lucro por ação]],"")</f>
        <v>0.88865538384147214</v>
      </c>
      <c r="H447" s="6">
        <f>MAX(Tabela2[[#This Row],[Cotação 1]],Tabela2[[#This Row],[Cotação 2]])</f>
        <v>8.6999999999999993</v>
      </c>
      <c r="I447" s="19">
        <f>IF(Tabela2[[#This Row],[Dividendo / Ação]]&gt;0,Tabela2[[#This Row],[Dividendo / Ação]]/Tabela2[[#This Row],[Cotação]],"")</f>
        <v>8.0091379310344837E-2</v>
      </c>
      <c r="J447" s="60">
        <f>SUMPRODUCT(N(Tabela1[Código]=Tabela2[[#This Row],[Ativo]]),Tabela1[Fechamento])</f>
        <v>8.6999999999999993</v>
      </c>
      <c r="K447" s="60">
        <f>SUMPRODUCT(N(Tabela17[Código]=Tabela2[[#This Row],[Ativo]]),Tabela17[Fechamento])</f>
        <v>0</v>
      </c>
      <c r="L447" s="60">
        <f>SUMPRODUCT(N(Tabela2[Ativo]=Tabela2[[#This Row],[Ativo]]),N(Tabela2[Exercício]=Tabela2[[#This Row],[Exercício]]-1),Tabela2[Lucro Líquido])</f>
        <v>0</v>
      </c>
      <c r="M447" s="19" t="str">
        <f>IF(Tabela2[[#This Row],[Lucro Anterior]]=0,"",IF(Tabela2[[#This Row],[Lucro Líquido]]&gt;0,Tabela2[[#This Row],[Lucro Líquido]]/Tabela2[[#This Row],[Lucro Anterior]]-1,0))</f>
        <v/>
      </c>
    </row>
    <row r="448" spans="1:13" x14ac:dyDescent="0.2">
      <c r="A448" s="15" t="s">
        <v>84</v>
      </c>
      <c r="B448" s="4">
        <v>2012</v>
      </c>
      <c r="C448" s="6">
        <v>196691606.94</v>
      </c>
      <c r="D448" s="8">
        <f>SUMPRODUCT(N(Tabela3[PAPEL]=Tabela2[[#This Row],[Ativo]]),Tabela3[Total Ações])</f>
        <v>87289932</v>
      </c>
      <c r="E448" s="65">
        <f>(Tabela2[[#This Row],[Lucro Líquido]])/Tabela2[[#This Row],[Total Ações]]</f>
        <v>2.2533137835414969</v>
      </c>
      <c r="F448" s="65">
        <v>0.72</v>
      </c>
      <c r="G448" s="45">
        <f>IF(AND(Tabela2[[#This Row],[Dividendo / Ação]]&gt;0,Tabela2[[#This Row],[Lucro por ação]]&gt;0),Tabela2[[#This Row],[Dividendo / Ação]]/Tabela2[[#This Row],[Lucro por ação]],"")</f>
        <v>0.31952939943783043</v>
      </c>
      <c r="H448" s="6">
        <f>MAX(Tabela2[[#This Row],[Cotação 1]],Tabela2[[#This Row],[Cotação 2]])</f>
        <v>11.32</v>
      </c>
      <c r="I448" s="19">
        <f>IF(Tabela2[[#This Row],[Dividendo / Ação]]&gt;0,Tabela2[[#This Row],[Dividendo / Ação]]/Tabela2[[#This Row],[Cotação]],"")</f>
        <v>6.3604240282685506E-2</v>
      </c>
      <c r="J448" s="60">
        <f>SUMPRODUCT(N(Tabela1[Código]=Tabela2[[#This Row],[Ativo]]),Tabela1[Fechamento])</f>
        <v>11.32</v>
      </c>
      <c r="K448" s="60">
        <f>SUMPRODUCT(N(Tabela17[Código]=Tabela2[[#This Row],[Ativo]]),Tabela17[Fechamento])</f>
        <v>0</v>
      </c>
      <c r="L448" s="60">
        <f>SUMPRODUCT(N(Tabela2[Ativo]=Tabela2[[#This Row],[Ativo]]),N(Tabela2[Exercício]=Tabela2[[#This Row],[Exercício]]-1),Tabela2[Lucro Líquido])</f>
        <v>359474959.12</v>
      </c>
      <c r="M448" s="19">
        <f>IF(Tabela2[[#This Row],[Lucro Anterior]]=0,"",IF(Tabela2[[#This Row],[Lucro Líquido]]&gt;0,Tabela2[[#This Row],[Lucro Líquido]]/Tabela2[[#This Row],[Lucro Anterior]]-1,0))</f>
        <v>-0.45283641614007286</v>
      </c>
    </row>
    <row r="449" spans="1:13" x14ac:dyDescent="0.2">
      <c r="A449" s="15" t="s">
        <v>84</v>
      </c>
      <c r="B449" s="4">
        <v>2011</v>
      </c>
      <c r="C449" s="6">
        <v>359474959.12</v>
      </c>
      <c r="D449" s="8">
        <f>SUMPRODUCT(N(Tabela3[PAPEL]=Tabela2[[#This Row],[Ativo]]),Tabela3[Total Ações])</f>
        <v>87289932</v>
      </c>
      <c r="E449" s="65">
        <f>(Tabela2[[#This Row],[Lucro Líquido]])/Tabela2[[#This Row],[Total Ações]]</f>
        <v>4.118172060438769</v>
      </c>
      <c r="F449" s="65">
        <v>1.0900000000000001</v>
      </c>
      <c r="G449" s="45">
        <f>IF(AND(Tabela2[[#This Row],[Dividendo / Ação]]&gt;0,Tabela2[[#This Row],[Lucro por ação]]&gt;0),Tabela2[[#This Row],[Dividendo / Ação]]/Tabela2[[#This Row],[Lucro por ação]],"")</f>
        <v>0.26468053884175652</v>
      </c>
      <c r="H449" s="6">
        <f>MAX(Tabela2[[#This Row],[Cotação 1]],Tabela2[[#This Row],[Cotação 2]])</f>
        <v>11.32</v>
      </c>
      <c r="I449" s="19">
        <f>IF(Tabela2[[#This Row],[Dividendo / Ação]]&gt;0,Tabela2[[#This Row],[Dividendo / Ação]]/Tabela2[[#This Row],[Cotação]],"")</f>
        <v>9.6289752650176683E-2</v>
      </c>
      <c r="J449" s="60">
        <f>SUMPRODUCT(N(Tabela1[Código]=Tabela2[[#This Row],[Ativo]]),Tabela1[Fechamento])</f>
        <v>11.32</v>
      </c>
      <c r="K449" s="60">
        <f>SUMPRODUCT(N(Tabela17[Código]=Tabela2[[#This Row],[Ativo]]),Tabela17[Fechamento])</f>
        <v>0</v>
      </c>
      <c r="L449" s="60">
        <f>SUMPRODUCT(N(Tabela2[Ativo]=Tabela2[[#This Row],[Ativo]]),N(Tabela2[Exercício]=Tabela2[[#This Row],[Exercício]]-1),Tabela2[Lucro Líquido])</f>
        <v>117452154.81999999</v>
      </c>
      <c r="M449" s="19">
        <f>IF(Tabela2[[#This Row],[Lucro Anterior]]=0,"",IF(Tabela2[[#This Row],[Lucro Líquido]]&gt;0,Tabela2[[#This Row],[Lucro Líquido]]/Tabela2[[#This Row],[Lucro Anterior]]-1,0))</f>
        <v>2.0606076122733499</v>
      </c>
    </row>
    <row r="450" spans="1:13" x14ac:dyDescent="0.2">
      <c r="A450" s="15" t="s">
        <v>84</v>
      </c>
      <c r="B450" s="4">
        <v>2010</v>
      </c>
      <c r="C450" s="6">
        <v>117452154.81999999</v>
      </c>
      <c r="D450" s="8">
        <f>SUMPRODUCT(N(Tabela3[PAPEL]=Tabela2[[#This Row],[Ativo]]),Tabela3[Total Ações])</f>
        <v>87289932</v>
      </c>
      <c r="E450" s="65">
        <f>(Tabela2[[#This Row],[Lucro Líquido]])/Tabela2[[#This Row],[Total Ações]]</f>
        <v>1.3455406841192177</v>
      </c>
      <c r="F450" s="65">
        <v>0.52</v>
      </c>
      <c r="G450" s="45">
        <f>IF(AND(Tabela2[[#This Row],[Dividendo / Ação]]&gt;0,Tabela2[[#This Row],[Lucro por ação]]&gt;0),Tabela2[[#This Row],[Dividendo / Ação]]/Tabela2[[#This Row],[Lucro por ação]],"")</f>
        <v>0.38646174444022008</v>
      </c>
      <c r="H450" s="6">
        <f>MAX(Tabela2[[#This Row],[Cotação 1]],Tabela2[[#This Row],[Cotação 2]])</f>
        <v>11.32</v>
      </c>
      <c r="I450" s="19">
        <f>IF(Tabela2[[#This Row],[Dividendo / Ação]]&gt;0,Tabela2[[#This Row],[Dividendo / Ação]]/Tabela2[[#This Row],[Cotação]],"")</f>
        <v>4.5936395759717315E-2</v>
      </c>
      <c r="J450" s="60">
        <f>SUMPRODUCT(N(Tabela1[Código]=Tabela2[[#This Row],[Ativo]]),Tabela1[Fechamento])</f>
        <v>11.32</v>
      </c>
      <c r="K450" s="60">
        <f>SUMPRODUCT(N(Tabela17[Código]=Tabela2[[#This Row],[Ativo]]),Tabela17[Fechamento])</f>
        <v>0</v>
      </c>
      <c r="L450" s="60">
        <f>SUMPRODUCT(N(Tabela2[Ativo]=Tabela2[[#This Row],[Ativo]]),N(Tabela2[Exercício]=Tabela2[[#This Row],[Exercício]]-1),Tabela2[Lucro Líquido])</f>
        <v>0</v>
      </c>
      <c r="M450" s="19" t="str">
        <f>IF(Tabela2[[#This Row],[Lucro Anterior]]=0,"",IF(Tabela2[[#This Row],[Lucro Líquido]]&gt;0,Tabela2[[#This Row],[Lucro Líquido]]/Tabela2[[#This Row],[Lucro Anterior]]-1,0))</f>
        <v/>
      </c>
    </row>
    <row r="451" spans="1:13" x14ac:dyDescent="0.2">
      <c r="A451" s="4" t="s">
        <v>370</v>
      </c>
      <c r="B451" s="4">
        <v>2012</v>
      </c>
      <c r="C451" s="6">
        <v>45071000</v>
      </c>
      <c r="D451" s="77">
        <f>SUMPRODUCT(N(Tabela3[PAPEL]=Tabela2[[#This Row],[Ativo]]),Tabela3[Total Ações])</f>
        <v>80041132</v>
      </c>
      <c r="E451" s="65">
        <f>(Tabela2[[#This Row],[Lucro Líquido]])/Tabela2[[#This Row],[Total Ações]]</f>
        <v>0.56309798317195214</v>
      </c>
      <c r="F451" s="65">
        <v>0.66</v>
      </c>
      <c r="G451" s="44">
        <f>IF(AND(Tabela2[[#This Row],[Dividendo / Ação]]&gt;0,Tabela2[[#This Row],[Lucro por ação]]&gt;0),Tabela2[[#This Row],[Dividendo / Ação]]/Tabela2[[#This Row],[Lucro por ação]],"")</f>
        <v>1.1720873093563489</v>
      </c>
      <c r="H451" s="60">
        <f>MAX(Tabela2[[#This Row],[Cotação 1]],Tabela2[[#This Row],[Cotação 2]])</f>
        <v>7.7</v>
      </c>
      <c r="I451" s="45">
        <f>IF(Tabela2[[#This Row],[Dividendo / Ação]]&gt;0,Tabela2[[#This Row],[Dividendo / Ação]]/Tabela2[[#This Row],[Cotação]],"")</f>
        <v>8.5714285714285715E-2</v>
      </c>
      <c r="J451" s="17">
        <f>SUMPRODUCT(N(Tabela1[Código]=Tabela2[[#This Row],[Ativo]]),Tabela1[Fechamento])</f>
        <v>0</v>
      </c>
      <c r="K451" s="17">
        <f>SUMPRODUCT(N(Tabela17[Código]=Tabela2[[#This Row],[Ativo]]),Tabela17[Fechamento])</f>
        <v>7.7</v>
      </c>
      <c r="L451" s="17">
        <f>SUMPRODUCT(N(Tabela2[Ativo]=Tabela2[[#This Row],[Ativo]]),N(Tabela2[Exercício]=Tabela2[[#This Row],[Exercício]]-1),Tabela2[Lucro Líquido])</f>
        <v>29451000</v>
      </c>
      <c r="M451" s="19">
        <f>IF(Tabela2[[#This Row],[Lucro Anterior]]=0,"",IF(Tabela2[[#This Row],[Lucro Líquido]]&gt;0,Tabela2[[#This Row],[Lucro Líquido]]/Tabela2[[#This Row],[Lucro Anterior]]-1,0))</f>
        <v>0.53037248310753449</v>
      </c>
    </row>
    <row r="452" spans="1:13" x14ac:dyDescent="0.2">
      <c r="A452" s="4" t="s">
        <v>370</v>
      </c>
      <c r="B452" s="4">
        <v>2011</v>
      </c>
      <c r="C452" s="6">
        <v>29451000</v>
      </c>
      <c r="D452" s="77">
        <f>SUMPRODUCT(N(Tabela3[PAPEL]=Tabela2[[#This Row],[Ativo]]),Tabela3[Total Ações])</f>
        <v>80041132</v>
      </c>
      <c r="E452" s="65">
        <f>(Tabela2[[#This Row],[Lucro Líquido]])/Tabela2[[#This Row],[Total Ações]]</f>
        <v>0.36794831937159511</v>
      </c>
      <c r="F452" s="65">
        <v>0.5</v>
      </c>
      <c r="G452" s="44">
        <f>IF(AND(Tabela2[[#This Row],[Dividendo / Ação]]&gt;0,Tabela2[[#This Row],[Lucro por ação]]&gt;0),Tabela2[[#This Row],[Dividendo / Ação]]/Tabela2[[#This Row],[Lucro por ação]],"")</f>
        <v>1.3588864894231094</v>
      </c>
      <c r="H452" s="60">
        <f>MAX(Tabela2[[#This Row],[Cotação 1]],Tabela2[[#This Row],[Cotação 2]])</f>
        <v>7.7</v>
      </c>
      <c r="I452" s="45">
        <f>IF(Tabela2[[#This Row],[Dividendo / Ação]]&gt;0,Tabela2[[#This Row],[Dividendo / Ação]]/Tabela2[[#This Row],[Cotação]],"")</f>
        <v>6.4935064935064929E-2</v>
      </c>
      <c r="J452" s="17">
        <f>SUMPRODUCT(N(Tabela1[Código]=Tabela2[[#This Row],[Ativo]]),Tabela1[Fechamento])</f>
        <v>0</v>
      </c>
      <c r="K452" s="17">
        <f>SUMPRODUCT(N(Tabela17[Código]=Tabela2[[#This Row],[Ativo]]),Tabela17[Fechamento])</f>
        <v>7.7</v>
      </c>
      <c r="L452" s="17">
        <f>SUMPRODUCT(N(Tabela2[Ativo]=Tabela2[[#This Row],[Ativo]]),N(Tabela2[Exercício]=Tabela2[[#This Row],[Exercício]]-1),Tabela2[Lucro Líquido])</f>
        <v>23814000</v>
      </c>
      <c r="M452" s="19">
        <f>IF(Tabela2[[#This Row],[Lucro Anterior]]=0,"",IF(Tabela2[[#This Row],[Lucro Líquido]]&gt;0,Tabela2[[#This Row],[Lucro Líquido]]/Tabela2[[#This Row],[Lucro Anterior]]-1,0))</f>
        <v>0.23670949861426061</v>
      </c>
    </row>
    <row r="453" spans="1:13" x14ac:dyDescent="0.2">
      <c r="A453" s="4" t="s">
        <v>370</v>
      </c>
      <c r="B453" s="4">
        <v>2010</v>
      </c>
      <c r="C453" s="6">
        <v>23814000</v>
      </c>
      <c r="D453" s="77">
        <f>SUMPRODUCT(N(Tabela3[PAPEL]=Tabela2[[#This Row],[Ativo]]),Tabela3[Total Ações])</f>
        <v>80041132</v>
      </c>
      <c r="E453" s="65">
        <f>(Tabela2[[#This Row],[Lucro Líquido]])/Tabela2[[#This Row],[Total Ações]]</f>
        <v>0.29752202904876457</v>
      </c>
      <c r="F453" s="65">
        <v>0.41</v>
      </c>
      <c r="G453" s="44">
        <f>IF(AND(Tabela2[[#This Row],[Dividendo / Ação]]&gt;0,Tabela2[[#This Row],[Lucro por ação]]&gt;0),Tabela2[[#This Row],[Dividendo / Ação]]/Tabela2[[#This Row],[Lucro por ação]],"")</f>
        <v>1.37804921978668</v>
      </c>
      <c r="H453" s="60">
        <f>MAX(Tabela2[[#This Row],[Cotação 1]],Tabela2[[#This Row],[Cotação 2]])</f>
        <v>7.7</v>
      </c>
      <c r="I453" s="45">
        <f>IF(Tabela2[[#This Row],[Dividendo / Ação]]&gt;0,Tabela2[[#This Row],[Dividendo / Ação]]/Tabela2[[#This Row],[Cotação]],"")</f>
        <v>5.3246753246753244E-2</v>
      </c>
      <c r="J453" s="17">
        <f>SUMPRODUCT(N(Tabela1[Código]=Tabela2[[#This Row],[Ativo]]),Tabela1[Fechamento])</f>
        <v>0</v>
      </c>
      <c r="K453" s="17">
        <f>SUMPRODUCT(N(Tabela17[Código]=Tabela2[[#This Row],[Ativo]]),Tabela17[Fechamento])</f>
        <v>7.7</v>
      </c>
      <c r="L453" s="17">
        <f>SUMPRODUCT(N(Tabela2[Ativo]=Tabela2[[#This Row],[Ativo]]),N(Tabela2[Exercício]=Tabela2[[#This Row],[Exercício]]-1),Tabela2[Lucro Líquido])</f>
        <v>0</v>
      </c>
      <c r="M453" s="19" t="str">
        <f>IF(Tabela2[[#This Row],[Lucro Anterior]]=0,"",IF(Tabela2[[#This Row],[Lucro Líquido]]&gt;0,Tabela2[[#This Row],[Lucro Líquido]]/Tabela2[[#This Row],[Lucro Anterior]]-1,0))</f>
        <v/>
      </c>
    </row>
    <row r="454" spans="1:13" x14ac:dyDescent="0.2">
      <c r="A454" s="4" t="s">
        <v>265</v>
      </c>
      <c r="B454" s="4">
        <v>2012</v>
      </c>
      <c r="C454" s="6">
        <v>682580077</v>
      </c>
      <c r="D454" s="8">
        <f>SUMPRODUCT(N(Tabela3[PAPEL]=Tabela2[[#This Row],[Ativo]]),Tabela3[Total Ações])</f>
        <v>323293030</v>
      </c>
      <c r="E454" s="65">
        <f>(Tabela2[[#This Row],[Lucro Líquido]])/Tabela2[[#This Row],[Total Ações]]</f>
        <v>2.111335579984511</v>
      </c>
      <c r="F454" s="65">
        <v>1.05</v>
      </c>
      <c r="G454" s="45">
        <f>IF(AND(Tabela2[[#This Row],[Dividendo / Ação]]&gt;0,Tabela2[[#This Row],[Lucro por ação]]&gt;0),Tabela2[[#This Row],[Dividendo / Ação]]/Tabela2[[#This Row],[Lucro por ação]],"")</f>
        <v>0.49731554280333917</v>
      </c>
      <c r="H454" s="6">
        <f>MAX(Tabela2[[#This Row],[Cotação 1]],Tabela2[[#This Row],[Cotação 2]])</f>
        <v>29</v>
      </c>
      <c r="I454" s="19">
        <f>IF(Tabela2[[#This Row],[Dividendo / Ação]]&gt;0,Tabela2[[#This Row],[Dividendo / Ação]]/Tabela2[[#This Row],[Cotação]],"")</f>
        <v>3.6206896551724141E-2</v>
      </c>
      <c r="J454" s="60">
        <f>SUMPRODUCT(N(Tabela1[Código]=Tabela2[[#This Row],[Ativo]]),Tabela1[Fechamento])</f>
        <v>29</v>
      </c>
      <c r="K454" s="60">
        <f>SUMPRODUCT(N(Tabela17[Código]=Tabela2[[#This Row],[Ativo]]),Tabela17[Fechamento])</f>
        <v>0</v>
      </c>
      <c r="L454" s="60">
        <f>SUMPRODUCT(N(Tabela2[Ativo]=Tabela2[[#This Row],[Ativo]]),N(Tabela2[Exercício]=Tabela2[[#This Row],[Exercício]]-1),Tabela2[Lucro Líquido])</f>
        <v>580084000</v>
      </c>
      <c r="M454" s="19">
        <f>IF(Tabela2[[#This Row],[Lucro Anterior]]=0,"",IF(Tabela2[[#This Row],[Lucro Líquido]]&gt;0,Tabela2[[#This Row],[Lucro Líquido]]/Tabela2[[#This Row],[Lucro Anterior]]-1,0))</f>
        <v>0.17669178429330934</v>
      </c>
    </row>
    <row r="455" spans="1:13" x14ac:dyDescent="0.2">
      <c r="A455" s="4" t="s">
        <v>265</v>
      </c>
      <c r="B455" s="4">
        <v>2011</v>
      </c>
      <c r="C455" s="6">
        <v>580084000</v>
      </c>
      <c r="D455" s="8">
        <f>SUMPRODUCT(N(Tabela3[PAPEL]=Tabela2[[#This Row],[Ativo]]),Tabela3[Total Ações])</f>
        <v>323293030</v>
      </c>
      <c r="E455" s="65">
        <f>(Tabela2[[#This Row],[Lucro Líquido]])/Tabela2[[#This Row],[Total Ações]]</f>
        <v>1.7942978851106068</v>
      </c>
      <c r="F455" s="65">
        <v>0.84</v>
      </c>
      <c r="G455" s="45">
        <f>IF(AND(Tabela2[[#This Row],[Dividendo / Ação]]&gt;0,Tabela2[[#This Row],[Lucro por ação]]&gt;0),Tabela2[[#This Row],[Dividendo / Ação]]/Tabela2[[#This Row],[Lucro por ação]],"")</f>
        <v>0.46814969073444535</v>
      </c>
      <c r="H455" s="6">
        <f>MAX(Tabela2[[#This Row],[Cotação 1]],Tabela2[[#This Row],[Cotação 2]])</f>
        <v>29</v>
      </c>
      <c r="I455" s="19">
        <f>IF(Tabela2[[#This Row],[Dividendo / Ação]]&gt;0,Tabela2[[#This Row],[Dividendo / Ação]]/Tabela2[[#This Row],[Cotação]],"")</f>
        <v>2.8965517241379309E-2</v>
      </c>
      <c r="J455" s="60">
        <f>SUMPRODUCT(N(Tabela1[Código]=Tabela2[[#This Row],[Ativo]]),Tabela1[Fechamento])</f>
        <v>29</v>
      </c>
      <c r="K455" s="60">
        <f>SUMPRODUCT(N(Tabela17[Código]=Tabela2[[#This Row],[Ativo]]),Tabela17[Fechamento])</f>
        <v>0</v>
      </c>
      <c r="L455" s="60">
        <f>SUMPRODUCT(N(Tabela2[Ativo]=Tabela2[[#This Row],[Ativo]]),N(Tabela2[Exercício]=Tabela2[[#This Row],[Exercício]]-1),Tabela2[Lucro Líquido])</f>
        <v>623912000</v>
      </c>
      <c r="M455" s="19">
        <f>IF(Tabela2[[#This Row],[Lucro Anterior]]=0,"",IF(Tabela2[[#This Row],[Lucro Líquido]]&gt;0,Tabela2[[#This Row],[Lucro Líquido]]/Tabela2[[#This Row],[Lucro Anterior]]-1,0))</f>
        <v>-7.0247086127530833E-2</v>
      </c>
    </row>
    <row r="456" spans="1:13" x14ac:dyDescent="0.2">
      <c r="A456" s="4" t="s">
        <v>265</v>
      </c>
      <c r="B456" s="4">
        <v>2010</v>
      </c>
      <c r="C456" s="6">
        <v>623912000</v>
      </c>
      <c r="D456" s="8">
        <f>SUMPRODUCT(N(Tabela3[PAPEL]=Tabela2[[#This Row],[Ativo]]),Tabela3[Total Ações])</f>
        <v>323293030</v>
      </c>
      <c r="E456" s="65">
        <f>(Tabela2[[#This Row],[Lucro Líquido]])/Tabela2[[#This Row],[Total Ações]]</f>
        <v>1.9298652989827836</v>
      </c>
      <c r="F456" s="65">
        <v>0.72</v>
      </c>
      <c r="G456" s="45">
        <f>IF(AND(Tabela2[[#This Row],[Dividendo / Ação]]&gt;0,Tabela2[[#This Row],[Lucro por ação]]&gt;0),Tabela2[[#This Row],[Dividendo / Ação]]/Tabela2[[#This Row],[Lucro por ação]],"")</f>
        <v>0.37308303350472499</v>
      </c>
      <c r="H456" s="6">
        <f>MAX(Tabela2[[#This Row],[Cotação 1]],Tabela2[[#This Row],[Cotação 2]])</f>
        <v>29</v>
      </c>
      <c r="I456" s="19">
        <f>IF(Tabela2[[#This Row],[Dividendo / Ação]]&gt;0,Tabela2[[#This Row],[Dividendo / Ação]]/Tabela2[[#This Row],[Cotação]],"")</f>
        <v>2.4827586206896551E-2</v>
      </c>
      <c r="J456" s="60">
        <f>SUMPRODUCT(N(Tabela1[Código]=Tabela2[[#This Row],[Ativo]]),Tabela1[Fechamento])</f>
        <v>29</v>
      </c>
      <c r="K456" s="60">
        <f>SUMPRODUCT(N(Tabela17[Código]=Tabela2[[#This Row],[Ativo]]),Tabela17[Fechamento])</f>
        <v>0</v>
      </c>
      <c r="L456" s="60">
        <f>SUMPRODUCT(N(Tabela2[Ativo]=Tabela2[[#This Row],[Ativo]]),N(Tabela2[Exercício]=Tabela2[[#This Row],[Exercício]]-1),Tabela2[Lucro Líquido])</f>
        <v>328416000</v>
      </c>
      <c r="M456" s="19">
        <f>IF(Tabela2[[#This Row],[Lucro Anterior]]=0,"",IF(Tabela2[[#This Row],[Lucro Líquido]]&gt;0,Tabela2[[#This Row],[Lucro Líquido]]/Tabela2[[#This Row],[Lucro Anterior]]-1,0))</f>
        <v>0.89976127837864173</v>
      </c>
    </row>
    <row r="457" spans="1:13" x14ac:dyDescent="0.2">
      <c r="A457" s="4" t="s">
        <v>265</v>
      </c>
      <c r="B457" s="4">
        <v>2009</v>
      </c>
      <c r="C457" s="6">
        <v>328416000</v>
      </c>
      <c r="D457" s="8">
        <f>SUMPRODUCT(N(Tabela3[PAPEL]=Tabela2[[#This Row],[Ativo]]),Tabela3[Total Ações])</f>
        <v>323293030</v>
      </c>
      <c r="E457" s="65">
        <f>(Tabela2[[#This Row],[Lucro Líquido]])/Tabela2[[#This Row],[Total Ações]]</f>
        <v>1.0158462123356016</v>
      </c>
      <c r="F457" s="65">
        <v>0.4</v>
      </c>
      <c r="G457" s="45">
        <f>IF(AND(Tabela2[[#This Row],[Dividendo / Ação]]&gt;0,Tabela2[[#This Row],[Lucro por ação]]&gt;0),Tabela2[[#This Row],[Dividendo / Ação]]/Tabela2[[#This Row],[Lucro por ação]],"")</f>
        <v>0.39376038926239892</v>
      </c>
      <c r="H457" s="6">
        <f>MAX(Tabela2[[#This Row],[Cotação 1]],Tabela2[[#This Row],[Cotação 2]])</f>
        <v>29</v>
      </c>
      <c r="I457" s="19">
        <f>IF(Tabela2[[#This Row],[Dividendo / Ação]]&gt;0,Tabela2[[#This Row],[Dividendo / Ação]]/Tabela2[[#This Row],[Cotação]],"")</f>
        <v>1.3793103448275864E-2</v>
      </c>
      <c r="J457" s="60">
        <f>SUMPRODUCT(N(Tabela1[Código]=Tabela2[[#This Row],[Ativo]]),Tabela1[Fechamento])</f>
        <v>29</v>
      </c>
      <c r="K457" s="60">
        <f>SUMPRODUCT(N(Tabela17[Código]=Tabela2[[#This Row],[Ativo]]),Tabela17[Fechamento])</f>
        <v>0</v>
      </c>
      <c r="L457" s="60">
        <f>SUMPRODUCT(N(Tabela2[Ativo]=Tabela2[[#This Row],[Ativo]]),N(Tabela2[Exercício]=Tabela2[[#This Row],[Exercício]]-1),Tabela2[Lucro Líquido])</f>
        <v>0</v>
      </c>
      <c r="M457" s="19" t="str">
        <f>IF(Tabela2[[#This Row],[Lucro Anterior]]=0,"",IF(Tabela2[[#This Row],[Lucro Líquido]]&gt;0,Tabela2[[#This Row],[Lucro Líquido]]/Tabela2[[#This Row],[Lucro Anterior]]-1,0))</f>
        <v/>
      </c>
    </row>
    <row r="458" spans="1:13" x14ac:dyDescent="0.2">
      <c r="A458" s="4" t="s">
        <v>360</v>
      </c>
      <c r="B458" s="4">
        <v>2012</v>
      </c>
      <c r="C458" s="6">
        <v>313688976.75999999</v>
      </c>
      <c r="D458" s="77">
        <f>SUMPRODUCT(N(Tabela3[PAPEL]=Tabela2[[#This Row],[Ativo]]),Tabela3[Total Ações])</f>
        <v>17887362</v>
      </c>
      <c r="E458" s="65">
        <f>(Tabela2[[#This Row],[Lucro Líquido]])/Tabela2[[#This Row],[Total Ações]]</f>
        <v>17.53690548444203</v>
      </c>
      <c r="F458" s="65">
        <v>5.0837892499999997</v>
      </c>
      <c r="G458" s="44">
        <f>IF(AND(Tabela2[[#This Row],[Dividendo / Ação]]&gt;0,Tabela2[[#This Row],[Lucro por ação]]&gt;0),Tabela2[[#This Row],[Dividendo / Ação]]/Tabela2[[#This Row],[Lucro por ação]],"")</f>
        <v>0.28989089634486048</v>
      </c>
      <c r="H458" s="60">
        <f>MAX(Tabela2[[#This Row],[Cotação 1]],Tabela2[[#This Row],[Cotação 2]])</f>
        <v>58</v>
      </c>
      <c r="I458" s="45">
        <f>IF(Tabela2[[#This Row],[Dividendo / Ação]]&gt;0,Tabela2[[#This Row],[Dividendo / Ação]]/Tabela2[[#This Row],[Cotação]],"")</f>
        <v>8.7651538793103445E-2</v>
      </c>
      <c r="J458" s="17">
        <f>SUMPRODUCT(N(Tabela1[Código]=Tabela2[[#This Row],[Ativo]]),Tabela1[Fechamento])</f>
        <v>0</v>
      </c>
      <c r="K458" s="17">
        <f>SUMPRODUCT(N(Tabela17[Código]=Tabela2[[#This Row],[Ativo]]),Tabela17[Fechamento])</f>
        <v>58</v>
      </c>
      <c r="L458" s="17">
        <f>SUMPRODUCT(N(Tabela2[Ativo]=Tabela2[[#This Row],[Ativo]]),N(Tabela2[Exercício]=Tabela2[[#This Row],[Exercício]]-1),Tabela2[Lucro Líquido])</f>
        <v>96465537.109999999</v>
      </c>
      <c r="M458" s="19">
        <f>IF(Tabela2[[#This Row],[Lucro Anterior]]=0,"",IF(Tabela2[[#This Row],[Lucro Líquido]]&gt;0,Tabela2[[#This Row],[Lucro Líquido]]/Tabela2[[#This Row],[Lucro Anterior]]-1,0))</f>
        <v>2.2518242903919079</v>
      </c>
    </row>
    <row r="459" spans="1:13" x14ac:dyDescent="0.2">
      <c r="A459" s="4" t="s">
        <v>360</v>
      </c>
      <c r="B459" s="4">
        <v>2011</v>
      </c>
      <c r="C459" s="6">
        <v>96465537.109999999</v>
      </c>
      <c r="D459" s="77">
        <f>SUMPRODUCT(N(Tabela3[PAPEL]=Tabela2[[#This Row],[Ativo]]),Tabela3[Total Ações])</f>
        <v>17887362</v>
      </c>
      <c r="E459" s="65">
        <f>(Tabela2[[#This Row],[Lucro Líquido]])/Tabela2[[#This Row],[Total Ações]]</f>
        <v>5.392943750453532</v>
      </c>
      <c r="F459" s="65">
        <v>2.3852000000000002</v>
      </c>
      <c r="G459" s="44">
        <f>IF(AND(Tabela2[[#This Row],[Dividendo / Ação]]&gt;0,Tabela2[[#This Row],[Lucro por ação]]&gt;0),Tabela2[[#This Row],[Dividendo / Ação]]/Tabela2[[#This Row],[Lucro por ação]],"")</f>
        <v>0.44228163881728072</v>
      </c>
      <c r="H459" s="60">
        <f>MAX(Tabela2[[#This Row],[Cotação 1]],Tabela2[[#This Row],[Cotação 2]])</f>
        <v>58</v>
      </c>
      <c r="I459" s="45">
        <f>IF(Tabela2[[#This Row],[Dividendo / Ação]]&gt;0,Tabela2[[#This Row],[Dividendo / Ação]]/Tabela2[[#This Row],[Cotação]],"")</f>
        <v>4.1124137931034484E-2</v>
      </c>
      <c r="J459" s="17">
        <f>SUMPRODUCT(N(Tabela1[Código]=Tabela2[[#This Row],[Ativo]]),Tabela1[Fechamento])</f>
        <v>0</v>
      </c>
      <c r="K459" s="17">
        <f>SUMPRODUCT(N(Tabela17[Código]=Tabela2[[#This Row],[Ativo]]),Tabela17[Fechamento])</f>
        <v>58</v>
      </c>
      <c r="L459" s="17">
        <f>SUMPRODUCT(N(Tabela2[Ativo]=Tabela2[[#This Row],[Ativo]]),N(Tabela2[Exercício]=Tabela2[[#This Row],[Exercício]]-1),Tabela2[Lucro Líquido])</f>
        <v>86203563.489999995</v>
      </c>
      <c r="M459" s="19">
        <f>IF(Tabela2[[#This Row],[Lucro Anterior]]=0,"",IF(Tabela2[[#This Row],[Lucro Líquido]]&gt;0,Tabela2[[#This Row],[Lucro Líquido]]/Tabela2[[#This Row],[Lucro Anterior]]-1,0))</f>
        <v>0.11904349663213676</v>
      </c>
    </row>
    <row r="460" spans="1:13" x14ac:dyDescent="0.2">
      <c r="A460" s="4" t="s">
        <v>360</v>
      </c>
      <c r="B460" s="4">
        <v>2010</v>
      </c>
      <c r="C460" s="6">
        <v>86203563.489999995</v>
      </c>
      <c r="D460" s="77">
        <f>SUMPRODUCT(N(Tabela3[PAPEL]=Tabela2[[#This Row],[Ativo]]),Tabela3[Total Ações])</f>
        <v>17887362</v>
      </c>
      <c r="E460" s="65">
        <f>(Tabela2[[#This Row],[Lucro Líquido]])/Tabela2[[#This Row],[Total Ações]]</f>
        <v>4.8192440836161303</v>
      </c>
      <c r="F460" s="65">
        <v>1.2701</v>
      </c>
      <c r="G460" s="44">
        <f>IF(AND(Tabela2[[#This Row],[Dividendo / Ação]]&gt;0,Tabela2[[#This Row],[Lucro por ação]]&gt;0),Tabela2[[#This Row],[Dividendo / Ação]]/Tabela2[[#This Row],[Lucro por ação]],"")</f>
        <v>0.26354755599906815</v>
      </c>
      <c r="H460" s="60">
        <f>MAX(Tabela2[[#This Row],[Cotação 1]],Tabela2[[#This Row],[Cotação 2]])</f>
        <v>58</v>
      </c>
      <c r="I460" s="45">
        <f>IF(Tabela2[[#This Row],[Dividendo / Ação]]&gt;0,Tabela2[[#This Row],[Dividendo / Ação]]/Tabela2[[#This Row],[Cotação]],"")</f>
        <v>2.1898275862068967E-2</v>
      </c>
      <c r="J460" s="17">
        <f>SUMPRODUCT(N(Tabela1[Código]=Tabela2[[#This Row],[Ativo]]),Tabela1[Fechamento])</f>
        <v>0</v>
      </c>
      <c r="K460" s="17">
        <f>SUMPRODUCT(N(Tabela17[Código]=Tabela2[[#This Row],[Ativo]]),Tabela17[Fechamento])</f>
        <v>58</v>
      </c>
      <c r="L460" s="17">
        <f>SUMPRODUCT(N(Tabela2[Ativo]=Tabela2[[#This Row],[Ativo]]),N(Tabela2[Exercício]=Tabela2[[#This Row],[Exercício]]-1),Tabela2[Lucro Líquido])</f>
        <v>74229898.859999999</v>
      </c>
      <c r="M460" s="19">
        <f>IF(Tabela2[[#This Row],[Lucro Anterior]]=0,"",IF(Tabela2[[#This Row],[Lucro Líquido]]&gt;0,Tabela2[[#This Row],[Lucro Líquido]]/Tabela2[[#This Row],[Lucro Anterior]]-1,0))</f>
        <v>0.16130514541832697</v>
      </c>
    </row>
    <row r="461" spans="1:13" x14ac:dyDescent="0.2">
      <c r="A461" s="4" t="s">
        <v>360</v>
      </c>
      <c r="B461" s="4">
        <v>2009</v>
      </c>
      <c r="C461" s="6">
        <v>74229898.859999999</v>
      </c>
      <c r="D461" s="77">
        <f>SUMPRODUCT(N(Tabela3[PAPEL]=Tabela2[[#This Row],[Ativo]]),Tabela3[Total Ações])</f>
        <v>17887362</v>
      </c>
      <c r="E461" s="65">
        <f>(Tabela2[[#This Row],[Lucro Líquido]])/Tabela2[[#This Row],[Total Ações]]</f>
        <v>4.1498516583943452</v>
      </c>
      <c r="F461" s="65">
        <v>0.79869999999999997</v>
      </c>
      <c r="G461" s="44">
        <f>IF(AND(Tabela2[[#This Row],[Dividendo / Ação]]&gt;0,Tabela2[[#This Row],[Lucro por ação]]&gt;0),Tabela2[[#This Row],[Dividendo / Ação]]/Tabela2[[#This Row],[Lucro por ação]],"")</f>
        <v>0.1924647109697005</v>
      </c>
      <c r="H461" s="60">
        <f>MAX(Tabela2[[#This Row],[Cotação 1]],Tabela2[[#This Row],[Cotação 2]])</f>
        <v>58</v>
      </c>
      <c r="I461" s="45">
        <f>IF(Tabela2[[#This Row],[Dividendo / Ação]]&gt;0,Tabela2[[#This Row],[Dividendo / Ação]]/Tabela2[[#This Row],[Cotação]],"")</f>
        <v>1.3770689655172414E-2</v>
      </c>
      <c r="J461" s="17">
        <f>SUMPRODUCT(N(Tabela1[Código]=Tabela2[[#This Row],[Ativo]]),Tabela1[Fechamento])</f>
        <v>0</v>
      </c>
      <c r="K461" s="17">
        <f>SUMPRODUCT(N(Tabela17[Código]=Tabela2[[#This Row],[Ativo]]),Tabela17[Fechamento])</f>
        <v>58</v>
      </c>
      <c r="L461" s="17">
        <f>SUMPRODUCT(N(Tabela2[Ativo]=Tabela2[[#This Row],[Ativo]]),N(Tabela2[Exercício]=Tabela2[[#This Row],[Exercício]]-1),Tabela2[Lucro Líquido])</f>
        <v>0</v>
      </c>
      <c r="M461" s="19" t="str">
        <f>IF(Tabela2[[#This Row],[Lucro Anterior]]=0,"",IF(Tabela2[[#This Row],[Lucro Líquido]]&gt;0,Tabela2[[#This Row],[Lucro Líquido]]/Tabela2[[#This Row],[Lucro Anterior]]-1,0))</f>
        <v/>
      </c>
    </row>
    <row r="462" spans="1:13" x14ac:dyDescent="0.2">
      <c r="A462" s="4" t="s">
        <v>279</v>
      </c>
      <c r="B462" s="4">
        <v>2012</v>
      </c>
      <c r="C462" s="6">
        <v>82468112.400000006</v>
      </c>
      <c r="D462" s="8">
        <f>SUMPRODUCT(N(Tabela3[PAPEL]=Tabela2[[#This Row],[Ativo]]),Tabela3[Total Ações])</f>
        <v>265806905</v>
      </c>
      <c r="E462" s="65">
        <f>(Tabela2[[#This Row],[Lucro Líquido]])/Tabela2[[#This Row],[Total Ações]]</f>
        <v>0.31025571890241155</v>
      </c>
      <c r="F462" s="65">
        <v>3.0000000000000001E-6</v>
      </c>
      <c r="G462" s="45">
        <f>IF(AND(Tabela2[[#This Row],[Dividendo / Ação]]&gt;0,Tabela2[[#This Row],[Lucro por ação]]&gt;0),Tabela2[[#This Row],[Dividendo / Ação]]/Tabela2[[#This Row],[Lucro por ação]],"")</f>
        <v>9.6694430343236506E-6</v>
      </c>
      <c r="H462" s="6">
        <f>MAX(Tabela2[[#This Row],[Cotação 1]],Tabela2[[#This Row],[Cotação 2]])</f>
        <v>9.6999999999999993</v>
      </c>
      <c r="I462" s="19">
        <f>IF(Tabela2[[#This Row],[Dividendo / Ação]]&gt;0,Tabela2[[#This Row],[Dividendo / Ação]]/Tabela2[[#This Row],[Cotação]],"")</f>
        <v>3.0927835051546394E-7</v>
      </c>
      <c r="J462" s="60">
        <f>SUMPRODUCT(N(Tabela1[Código]=Tabela2[[#This Row],[Ativo]]),Tabela1[Fechamento])</f>
        <v>0</v>
      </c>
      <c r="K462" s="60">
        <f>SUMPRODUCT(N(Tabela17[Código]=Tabela2[[#This Row],[Ativo]]),Tabela17[Fechamento])</f>
        <v>9.6999999999999993</v>
      </c>
      <c r="L462" s="60">
        <f>SUMPRODUCT(N(Tabela2[Ativo]=Tabela2[[#This Row],[Ativo]]),N(Tabela2[Exercício]=Tabela2[[#This Row],[Exercício]]-1),Tabela2[Lucro Líquido])</f>
        <v>92137357.700000003</v>
      </c>
      <c r="M462" s="19">
        <f>IF(Tabela2[[#This Row],[Lucro Anterior]]=0,"",IF(Tabela2[[#This Row],[Lucro Líquido]]&gt;0,Tabela2[[#This Row],[Lucro Líquido]]/Tabela2[[#This Row],[Lucro Anterior]]-1,0))</f>
        <v>-0.10494380934477343</v>
      </c>
    </row>
    <row r="463" spans="1:13" x14ac:dyDescent="0.2">
      <c r="A463" s="4" t="s">
        <v>279</v>
      </c>
      <c r="B463" s="4">
        <v>2011</v>
      </c>
      <c r="C463" s="6">
        <v>92137357.700000003</v>
      </c>
      <c r="D463" s="8">
        <f>SUMPRODUCT(N(Tabela3[PAPEL]=Tabela2[[#This Row],[Ativo]]),Tabela3[Total Ações])</f>
        <v>265806905</v>
      </c>
      <c r="E463" s="65">
        <f>(Tabela2[[#This Row],[Lucro Líquido]])/Tabela2[[#This Row],[Total Ações]]</f>
        <v>0.34663267193905289</v>
      </c>
      <c r="F463" s="65">
        <v>3.0000000000000001E-6</v>
      </c>
      <c r="G463" s="45">
        <f>IF(AND(Tabela2[[#This Row],[Dividendo / Ação]]&gt;0,Tabela2[[#This Row],[Lucro por ação]]&gt;0),Tabela2[[#This Row],[Dividendo / Ação]]/Tabela2[[#This Row],[Lucro por ação]],"")</f>
        <v>8.6546948480594434E-6</v>
      </c>
      <c r="H463" s="6">
        <f>MAX(Tabela2[[#This Row],[Cotação 1]],Tabela2[[#This Row],[Cotação 2]])</f>
        <v>9.6999999999999993</v>
      </c>
      <c r="I463" s="19">
        <f>IF(Tabela2[[#This Row],[Dividendo / Ação]]&gt;0,Tabela2[[#This Row],[Dividendo / Ação]]/Tabela2[[#This Row],[Cotação]],"")</f>
        <v>3.0927835051546394E-7</v>
      </c>
      <c r="J463" s="60">
        <f>SUMPRODUCT(N(Tabela1[Código]=Tabela2[[#This Row],[Ativo]]),Tabela1[Fechamento])</f>
        <v>0</v>
      </c>
      <c r="K463" s="60">
        <f>SUMPRODUCT(N(Tabela17[Código]=Tabela2[[#This Row],[Ativo]]),Tabela17[Fechamento])</f>
        <v>9.6999999999999993</v>
      </c>
      <c r="L463" s="60">
        <f>SUMPRODUCT(N(Tabela2[Ativo]=Tabela2[[#This Row],[Ativo]]),N(Tabela2[Exercício]=Tabela2[[#This Row],[Exercício]]-1),Tabela2[Lucro Líquido])</f>
        <v>35594641.18</v>
      </c>
      <c r="M463" s="19">
        <f>IF(Tabela2[[#This Row],[Lucro Anterior]]=0,"",IF(Tabela2[[#This Row],[Lucro Líquido]]&gt;0,Tabela2[[#This Row],[Lucro Líquido]]/Tabela2[[#This Row],[Lucro Anterior]]-1,0))</f>
        <v>1.5885176713558318</v>
      </c>
    </row>
    <row r="464" spans="1:13" x14ac:dyDescent="0.2">
      <c r="A464" s="4" t="s">
        <v>279</v>
      </c>
      <c r="B464" s="4">
        <v>2010</v>
      </c>
      <c r="C464" s="6">
        <v>35594641.18</v>
      </c>
      <c r="D464" s="8">
        <f>SUMPRODUCT(N(Tabela3[PAPEL]=Tabela2[[#This Row],[Ativo]]),Tabela3[Total Ações])</f>
        <v>265806905</v>
      </c>
      <c r="E464" s="65">
        <f>(Tabela2[[#This Row],[Lucro Líquido]])/Tabela2[[#This Row],[Total Ações]]</f>
        <v>0.13391164981210701</v>
      </c>
      <c r="F464" s="65">
        <v>0.18173600000000001</v>
      </c>
      <c r="G464" s="45">
        <f>IF(AND(Tabela2[[#This Row],[Dividendo / Ação]]&gt;0,Tabela2[[#This Row],[Lucro por ação]]&gt;0),Tabela2[[#This Row],[Dividendo / Ação]]/Tabela2[[#This Row],[Lucro por ação]],"")</f>
        <v>1.3571336045444582</v>
      </c>
      <c r="H464" s="6">
        <f>MAX(Tabela2[[#This Row],[Cotação 1]],Tabela2[[#This Row],[Cotação 2]])</f>
        <v>9.6999999999999993</v>
      </c>
      <c r="I464" s="19">
        <f>IF(Tabela2[[#This Row],[Dividendo / Ação]]&gt;0,Tabela2[[#This Row],[Dividendo / Ação]]/Tabela2[[#This Row],[Cotação]],"")</f>
        <v>1.8735670103092787E-2</v>
      </c>
      <c r="J464" s="60">
        <f>SUMPRODUCT(N(Tabela1[Código]=Tabela2[[#This Row],[Ativo]]),Tabela1[Fechamento])</f>
        <v>0</v>
      </c>
      <c r="K464" s="60">
        <f>SUMPRODUCT(N(Tabela17[Código]=Tabela2[[#This Row],[Ativo]]),Tabela17[Fechamento])</f>
        <v>9.6999999999999993</v>
      </c>
      <c r="L464" s="60">
        <f>SUMPRODUCT(N(Tabela2[Ativo]=Tabela2[[#This Row],[Ativo]]),N(Tabela2[Exercício]=Tabela2[[#This Row],[Exercício]]-1),Tabela2[Lucro Líquido])</f>
        <v>0</v>
      </c>
      <c r="M464" s="19" t="str">
        <f>IF(Tabela2[[#This Row],[Lucro Anterior]]=0,"",IF(Tabela2[[#This Row],[Lucro Líquido]]&gt;0,Tabela2[[#This Row],[Lucro Líquido]]/Tabela2[[#This Row],[Lucro Anterior]]-1,0))</f>
        <v/>
      </c>
    </row>
    <row r="465" spans="1:13" x14ac:dyDescent="0.2">
      <c r="A465" s="4" t="s">
        <v>201</v>
      </c>
      <c r="B465" s="4">
        <v>2012</v>
      </c>
      <c r="C465" s="6">
        <v>26381000</v>
      </c>
      <c r="D465" s="8">
        <f>SUMPRODUCT(N(Tabela3[PAPEL]=Tabela2[[#This Row],[Ativo]]),Tabela3[Total Ações])</f>
        <v>166720235</v>
      </c>
      <c r="E465" s="65">
        <f>(Tabela2[[#This Row],[Lucro Líquido]])/Tabela2[[#This Row],[Total Ações]]</f>
        <v>0.15823514164312449</v>
      </c>
      <c r="F465" s="65">
        <v>6.1899999999999997E-2</v>
      </c>
      <c r="G465" s="45">
        <f>IF(AND(Tabela2[[#This Row],[Dividendo / Ação]]&gt;0,Tabela2[[#This Row],[Lucro por ação]]&gt;0),Tabela2[[#This Row],[Dividendo / Ação]]/Tabela2[[#This Row],[Lucro por ação]],"")</f>
        <v>0.39118996802623096</v>
      </c>
      <c r="H465" s="6">
        <f>MAX(Tabela2[[#This Row],[Cotação 1]],Tabela2[[#This Row],[Cotação 2]])</f>
        <v>3.25</v>
      </c>
      <c r="I465" s="19">
        <f>IF(Tabela2[[#This Row],[Dividendo / Ação]]&gt;0,Tabela2[[#This Row],[Dividendo / Ação]]/Tabela2[[#This Row],[Cotação]],"")</f>
        <v>1.9046153846153845E-2</v>
      </c>
      <c r="J465" s="60">
        <f>SUMPRODUCT(N(Tabela1[Código]=Tabela2[[#This Row],[Ativo]]),Tabela1[Fechamento])</f>
        <v>3.25</v>
      </c>
      <c r="K465" s="60">
        <f>SUMPRODUCT(N(Tabela17[Código]=Tabela2[[#This Row],[Ativo]]),Tabela17[Fechamento])</f>
        <v>0</v>
      </c>
      <c r="L465" s="60">
        <f>SUMPRODUCT(N(Tabela2[Ativo]=Tabela2[[#This Row],[Ativo]]),N(Tabela2[Exercício]=Tabela2[[#This Row],[Exercício]]-1),Tabela2[Lucro Líquido])</f>
        <v>9354000</v>
      </c>
      <c r="M465" s="19">
        <f>IF(Tabela2[[#This Row],[Lucro Anterior]]=0,"",IF(Tabela2[[#This Row],[Lucro Líquido]]&gt;0,Tabela2[[#This Row],[Lucro Líquido]]/Tabela2[[#This Row],[Lucro Anterior]]-1,0))</f>
        <v>1.8202907846910414</v>
      </c>
    </row>
    <row r="466" spans="1:13" x14ac:dyDescent="0.2">
      <c r="A466" s="4" t="s">
        <v>201</v>
      </c>
      <c r="B466" s="3">
        <v>2011</v>
      </c>
      <c r="C466" s="5">
        <v>9354000</v>
      </c>
      <c r="D466" s="61">
        <f>SUMPRODUCT(N(Tabela3[PAPEL]=Tabela2[[#This Row],[Ativo]]),Tabela3[Total Ações])</f>
        <v>166720235</v>
      </c>
      <c r="E466" s="64">
        <f>(Tabela2[[#This Row],[Lucro Líquido]])/Tabela2[[#This Row],[Total Ações]]</f>
        <v>5.610596698115259E-2</v>
      </c>
      <c r="F466" s="64">
        <v>6.0350000000000001E-2</v>
      </c>
      <c r="G466" s="22">
        <f>IF(AND(Tabela2[[#This Row],[Dividendo / Ação]]&gt;0,Tabela2[[#This Row],[Lucro por ação]]&gt;0),Tabela2[[#This Row],[Dividendo / Ação]]/Tabela2[[#This Row],[Lucro por ação]],"")</f>
        <v>1.0756431668002993</v>
      </c>
      <c r="H466" s="5">
        <f>MAX(Tabela2[[#This Row],[Cotação 1]],Tabela2[[#This Row],[Cotação 2]])</f>
        <v>3.25</v>
      </c>
      <c r="I466" s="18">
        <f>IF(Tabela2[[#This Row],[Dividendo / Ação]]&gt;0,Tabela2[[#This Row],[Dividendo / Ação]]/Tabela2[[#This Row],[Cotação]],"")</f>
        <v>1.8569230769230768E-2</v>
      </c>
      <c r="J466" s="59">
        <f>SUMPRODUCT(N(Tabela1[Código]=Tabela2[[#This Row],[Ativo]]),Tabela1[Fechamento])</f>
        <v>3.25</v>
      </c>
      <c r="K466" s="59">
        <f>SUMPRODUCT(N(Tabela17[Código]=Tabela2[[#This Row],[Ativo]]),Tabela17[Fechamento])</f>
        <v>0</v>
      </c>
      <c r="L466" s="59">
        <f>SUMPRODUCT(N(Tabela2[Ativo]=Tabela2[[#This Row],[Ativo]]),N(Tabela2[Exercício]=Tabela2[[#This Row],[Exercício]]-1),Tabela2[Lucro Líquido])</f>
        <v>34360000</v>
      </c>
      <c r="M466" s="18">
        <f>IF(Tabela2[[#This Row],[Lucro Anterior]]=0,"",IF(Tabela2[[#This Row],[Lucro Líquido]]&gt;0,Tabela2[[#This Row],[Lucro Líquido]]/Tabela2[[#This Row],[Lucro Anterior]]-1,0))</f>
        <v>-0.72776484284051224</v>
      </c>
    </row>
    <row r="467" spans="1:13" x14ac:dyDescent="0.2">
      <c r="A467" s="4" t="s">
        <v>201</v>
      </c>
      <c r="B467" s="3">
        <v>2010</v>
      </c>
      <c r="C467" s="5">
        <v>34360000</v>
      </c>
      <c r="D467" s="61">
        <f>SUMPRODUCT(N(Tabela3[PAPEL]=Tabela2[[#This Row],[Ativo]]),Tabela3[Total Ações])</f>
        <v>166720235</v>
      </c>
      <c r="E467" s="64">
        <f>(Tabela2[[#This Row],[Lucro Líquido]])/Tabela2[[#This Row],[Total Ações]]</f>
        <v>0.20609375940478972</v>
      </c>
      <c r="F467" s="64">
        <v>5.9830000000000001E-2</v>
      </c>
      <c r="G467" s="22">
        <f>IF(AND(Tabela2[[#This Row],[Dividendo / Ação]]&gt;0,Tabela2[[#This Row],[Lucro por ação]]&gt;0),Tabela2[[#This Row],[Dividendo / Ação]]/Tabela2[[#This Row],[Lucro por ação]],"")</f>
        <v>0.29030476309807918</v>
      </c>
      <c r="H467" s="5">
        <f>MAX(Tabela2[[#This Row],[Cotação 1]],Tabela2[[#This Row],[Cotação 2]])</f>
        <v>3.25</v>
      </c>
      <c r="I467" s="18">
        <f>IF(Tabela2[[#This Row],[Dividendo / Ação]]&gt;0,Tabela2[[#This Row],[Dividendo / Ação]]/Tabela2[[#This Row],[Cotação]],"")</f>
        <v>1.8409230769230768E-2</v>
      </c>
      <c r="J467" s="59">
        <f>SUMPRODUCT(N(Tabela1[Código]=Tabela2[[#This Row],[Ativo]]),Tabela1[Fechamento])</f>
        <v>3.25</v>
      </c>
      <c r="K467" s="59">
        <f>SUMPRODUCT(N(Tabela17[Código]=Tabela2[[#This Row],[Ativo]]),Tabela17[Fechamento])</f>
        <v>0</v>
      </c>
      <c r="L467" s="59">
        <f>SUMPRODUCT(N(Tabela2[Ativo]=Tabela2[[#This Row],[Ativo]]),N(Tabela2[Exercício]=Tabela2[[#This Row],[Exercício]]-1),Tabela2[Lucro Líquido])</f>
        <v>0</v>
      </c>
      <c r="M467" s="18" t="str">
        <f>IF(Tabela2[[#This Row],[Lucro Anterior]]=0,"",IF(Tabela2[[#This Row],[Lucro Líquido]]&gt;0,Tabela2[[#This Row],[Lucro Líquido]]/Tabela2[[#This Row],[Lucro Anterior]]-1,0))</f>
        <v/>
      </c>
    </row>
    <row r="468" spans="1:13" x14ac:dyDescent="0.2">
      <c r="A468" s="4" t="s">
        <v>202</v>
      </c>
      <c r="B468" s="4">
        <v>2012</v>
      </c>
      <c r="C468" s="6">
        <v>26381000</v>
      </c>
      <c r="D468" s="8">
        <f>SUMPRODUCT(N(Tabela3[PAPEL]=Tabela2[[#This Row],[Ativo]]),Tabela3[Total Ações])</f>
        <v>166720235</v>
      </c>
      <c r="E468" s="65">
        <f>(Tabela2[[#This Row],[Lucro Líquido]])/Tabela2[[#This Row],[Total Ações]]</f>
        <v>0.15823514164312449</v>
      </c>
      <c r="F468" s="65">
        <v>6.1899999999999997E-2</v>
      </c>
      <c r="G468" s="45">
        <f>IF(AND(Tabela2[[#This Row],[Dividendo / Ação]]&gt;0,Tabela2[[#This Row],[Lucro por ação]]&gt;0),Tabela2[[#This Row],[Dividendo / Ação]]/Tabela2[[#This Row],[Lucro por ação]],"")</f>
        <v>0.39118996802623096</v>
      </c>
      <c r="H468" s="6">
        <f>MAX(Tabela2[[#This Row],[Cotação 1]],Tabela2[[#This Row],[Cotação 2]])</f>
        <v>3.36</v>
      </c>
      <c r="I468" s="19">
        <f>IF(Tabela2[[#This Row],[Dividendo / Ação]]&gt;0,Tabela2[[#This Row],[Dividendo / Ação]]/Tabela2[[#This Row],[Cotação]],"")</f>
        <v>1.8422619047619049E-2</v>
      </c>
      <c r="J468" s="60">
        <f>SUMPRODUCT(N(Tabela1[Código]=Tabela2[[#This Row],[Ativo]]),Tabela1[Fechamento])</f>
        <v>3.36</v>
      </c>
      <c r="K468" s="60">
        <f>SUMPRODUCT(N(Tabela17[Código]=Tabela2[[#This Row],[Ativo]]),Tabela17[Fechamento])</f>
        <v>0</v>
      </c>
      <c r="L468" s="60">
        <f>SUMPRODUCT(N(Tabela2[Ativo]=Tabela2[[#This Row],[Ativo]]),N(Tabela2[Exercício]=Tabela2[[#This Row],[Exercício]]-1),Tabela2[Lucro Líquido])</f>
        <v>9354000</v>
      </c>
      <c r="M468" s="19">
        <f>IF(Tabela2[[#This Row],[Lucro Anterior]]=0,"",IF(Tabela2[[#This Row],[Lucro Líquido]]&gt;0,Tabela2[[#This Row],[Lucro Líquido]]/Tabela2[[#This Row],[Lucro Anterior]]-1,0))</f>
        <v>1.8202907846910414</v>
      </c>
    </row>
    <row r="469" spans="1:13" x14ac:dyDescent="0.2">
      <c r="A469" s="4" t="s">
        <v>202</v>
      </c>
      <c r="B469" s="4">
        <v>2011</v>
      </c>
      <c r="C469" s="5">
        <v>9354000</v>
      </c>
      <c r="D469" s="8">
        <f>SUMPRODUCT(N(Tabela3[PAPEL]=Tabela2[[#This Row],[Ativo]]),Tabela3[Total Ações])</f>
        <v>166720235</v>
      </c>
      <c r="E469" s="65">
        <f>(Tabela2[[#This Row],[Lucro Líquido]])/Tabela2[[#This Row],[Total Ações]]</f>
        <v>5.610596698115259E-2</v>
      </c>
      <c r="F469" s="65">
        <v>6.6379999999999995E-2</v>
      </c>
      <c r="G469" s="45">
        <f>IF(AND(Tabela2[[#This Row],[Dividendo / Ação]]&gt;0,Tabela2[[#This Row],[Lucro por ação]]&gt;0),Tabela2[[#This Row],[Dividendo / Ação]]/Tabela2[[#This Row],[Lucro por ação]],"")</f>
        <v>1.1831183663994012</v>
      </c>
      <c r="H469" s="6">
        <f>MAX(Tabela2[[#This Row],[Cotação 1]],Tabela2[[#This Row],[Cotação 2]])</f>
        <v>3.36</v>
      </c>
      <c r="I469" s="19">
        <f>IF(Tabela2[[#This Row],[Dividendo / Ação]]&gt;0,Tabela2[[#This Row],[Dividendo / Ação]]/Tabela2[[#This Row],[Cotação]],"")</f>
        <v>1.9755952380952381E-2</v>
      </c>
      <c r="J469" s="60">
        <f>SUMPRODUCT(N(Tabela1[Código]=Tabela2[[#This Row],[Ativo]]),Tabela1[Fechamento])</f>
        <v>3.36</v>
      </c>
      <c r="K469" s="60">
        <f>SUMPRODUCT(N(Tabela17[Código]=Tabela2[[#This Row],[Ativo]]),Tabela17[Fechamento])</f>
        <v>0</v>
      </c>
      <c r="L469" s="60">
        <f>SUMPRODUCT(N(Tabela2[Ativo]=Tabela2[[#This Row],[Ativo]]),N(Tabela2[Exercício]=Tabela2[[#This Row],[Exercício]]-1),Tabela2[Lucro Líquido])</f>
        <v>34360000</v>
      </c>
      <c r="M469" s="19">
        <f>IF(Tabela2[[#This Row],[Lucro Anterior]]=0,"",IF(Tabela2[[#This Row],[Lucro Líquido]]&gt;0,Tabela2[[#This Row],[Lucro Líquido]]/Tabela2[[#This Row],[Lucro Anterior]]-1,0))</f>
        <v>-0.72776484284051224</v>
      </c>
    </row>
    <row r="470" spans="1:13" x14ac:dyDescent="0.2">
      <c r="A470" s="4" t="s">
        <v>202</v>
      </c>
      <c r="B470" s="4">
        <v>2010</v>
      </c>
      <c r="C470" s="5">
        <v>34360000</v>
      </c>
      <c r="D470" s="8">
        <f>SUMPRODUCT(N(Tabela3[PAPEL]=Tabela2[[#This Row],[Ativo]]),Tabela3[Total Ações])</f>
        <v>166720235</v>
      </c>
      <c r="E470" s="65">
        <f>(Tabela2[[#This Row],[Lucro Líquido]])/Tabela2[[#This Row],[Total Ações]]</f>
        <v>0.20609375940478972</v>
      </c>
      <c r="F470" s="65">
        <v>6.5809999999999994E-2</v>
      </c>
      <c r="G470" s="45">
        <f>IF(AND(Tabela2[[#This Row],[Dividendo / Ação]]&gt;0,Tabela2[[#This Row],[Lucro por ação]]&gt;0),Tabela2[[#This Row],[Dividendo / Ação]]/Tabela2[[#This Row],[Lucro por ação]],"")</f>
        <v>0.31932068292636784</v>
      </c>
      <c r="H470" s="6">
        <f>MAX(Tabela2[[#This Row],[Cotação 1]],Tabela2[[#This Row],[Cotação 2]])</f>
        <v>3.36</v>
      </c>
      <c r="I470" s="19">
        <f>IF(Tabela2[[#This Row],[Dividendo / Ação]]&gt;0,Tabela2[[#This Row],[Dividendo / Ação]]/Tabela2[[#This Row],[Cotação]],"")</f>
        <v>1.9586309523809523E-2</v>
      </c>
      <c r="J470" s="60">
        <f>SUMPRODUCT(N(Tabela1[Código]=Tabela2[[#This Row],[Ativo]]),Tabela1[Fechamento])</f>
        <v>3.36</v>
      </c>
      <c r="K470" s="60">
        <f>SUMPRODUCT(N(Tabela17[Código]=Tabela2[[#This Row],[Ativo]]),Tabela17[Fechamento])</f>
        <v>0</v>
      </c>
      <c r="L470" s="60">
        <f>SUMPRODUCT(N(Tabela2[Ativo]=Tabela2[[#This Row],[Ativo]]),N(Tabela2[Exercício]=Tabela2[[#This Row],[Exercício]]-1),Tabela2[Lucro Líquido])</f>
        <v>0</v>
      </c>
      <c r="M470" s="19" t="str">
        <f>IF(Tabela2[[#This Row],[Lucro Anterior]]=0,"",IF(Tabela2[[#This Row],[Lucro Líquido]]&gt;0,Tabela2[[#This Row],[Lucro Líquido]]/Tabela2[[#This Row],[Lucro Anterior]]-1,0))</f>
        <v/>
      </c>
    </row>
    <row r="471" spans="1:13" x14ac:dyDescent="0.2">
      <c r="A471" s="4" t="s">
        <v>66</v>
      </c>
      <c r="B471" s="4">
        <v>2012</v>
      </c>
      <c r="C471" s="6">
        <v>50944000</v>
      </c>
      <c r="D471" s="8">
        <f>SUMPRODUCT(N(Tabela3[PAPEL]=Tabela2[[#This Row],[Ativo]]),Tabela3[Total Ações])</f>
        <v>108480828</v>
      </c>
      <c r="E471" s="63">
        <f>(Tabela2[[#This Row],[Lucro Líquido]])/Tabela2[[#This Row],[Total Ações]]</f>
        <v>0.46961293473903054</v>
      </c>
      <c r="F471" s="63">
        <v>0.25598361800000002</v>
      </c>
      <c r="G471" s="18">
        <f>IF(AND(Tabela2[[#This Row],[Dividendo / Ação]]&gt;0,Tabela2[[#This Row],[Lucro por ação]]&gt;0),Tabela2[[#This Row],[Dividendo / Ação]]/Tabela2[[#This Row],[Lucro por ação]],"")</f>
        <v>0.5450949048970577</v>
      </c>
      <c r="H471" s="5">
        <f>MAX(Tabela2[[#This Row],[Cotação 1]],Tabela2[[#This Row],[Cotação 2]])</f>
        <v>5.96</v>
      </c>
      <c r="I471" s="18">
        <f>IF(Tabela2[[#This Row],[Dividendo / Ação]]&gt;0,Tabela2[[#This Row],[Dividendo / Ação]]/Tabela2[[#This Row],[Cotação]],"")</f>
        <v>4.2950271476510073E-2</v>
      </c>
      <c r="J471" s="59">
        <f>SUMPRODUCT(N(Tabela1[Código]=Tabela2[[#This Row],[Ativo]]),Tabela1[Fechamento])</f>
        <v>5.96</v>
      </c>
      <c r="K471" s="59">
        <f>SUMPRODUCT(N(Tabela17[Código]=Tabela2[[#This Row],[Ativo]]),Tabela17[Fechamento])</f>
        <v>0</v>
      </c>
      <c r="L471" s="59">
        <f>SUMPRODUCT(N(Tabela2[Ativo]=Tabela2[[#This Row],[Ativo]]),N(Tabela2[Exercício]=Tabela2[[#This Row],[Exercício]]-1),Tabela2[Lucro Líquido])</f>
        <v>42494000</v>
      </c>
      <c r="M471" s="18">
        <f>IF(Tabela2[[#This Row],[Lucro Anterior]]=0,"",IF(Tabela2[[#This Row],[Lucro Líquido]]&gt;0,Tabela2[[#This Row],[Lucro Líquido]]/Tabela2[[#This Row],[Lucro Anterior]]-1,0))</f>
        <v>0.19885160257918755</v>
      </c>
    </row>
    <row r="472" spans="1:13" x14ac:dyDescent="0.2">
      <c r="A472" s="4" t="s">
        <v>66</v>
      </c>
      <c r="B472" s="4">
        <v>2011</v>
      </c>
      <c r="C472" s="6">
        <v>42494000</v>
      </c>
      <c r="D472" s="8">
        <f>SUMPRODUCT(N(Tabela3[PAPEL]=Tabela2[[#This Row],[Ativo]]),Tabela3[Total Ações])</f>
        <v>108480828</v>
      </c>
      <c r="E472" s="63">
        <f>(Tabela2[[#This Row],[Lucro Líquido]])/Tabela2[[#This Row],[Total Ações]]</f>
        <v>0.39171898651068554</v>
      </c>
      <c r="F472" s="63">
        <v>0.36250183699999999</v>
      </c>
      <c r="G472" s="19">
        <f>IF(AND(Tabela2[[#This Row],[Dividendo / Ação]]&gt;0,Tabela2[[#This Row],[Lucro por ação]]&gt;0),Tabela2[[#This Row],[Dividendo / Ação]]/Tabela2[[#This Row],[Lucro por ação]],"")</f>
        <v>0.9254129860517023</v>
      </c>
      <c r="H472" s="6">
        <f>MAX(Tabela2[[#This Row],[Cotação 1]],Tabela2[[#This Row],[Cotação 2]])</f>
        <v>5.96</v>
      </c>
      <c r="I472" s="18">
        <f>IF(Tabela2[[#This Row],[Dividendo / Ação]]&gt;0,Tabela2[[#This Row],[Dividendo / Ação]]/Tabela2[[#This Row],[Cotação]],"")</f>
        <v>6.0822455872483222E-2</v>
      </c>
      <c r="J472" s="59">
        <f>SUMPRODUCT(N(Tabela1[Código]=Tabela2[[#This Row],[Ativo]]),Tabela1[Fechamento])</f>
        <v>5.96</v>
      </c>
      <c r="K472" s="59">
        <f>SUMPRODUCT(N(Tabela17[Código]=Tabela2[[#This Row],[Ativo]]),Tabela17[Fechamento])</f>
        <v>0</v>
      </c>
      <c r="L472" s="59">
        <f>SUMPRODUCT(N(Tabela2[Ativo]=Tabela2[[#This Row],[Ativo]]),N(Tabela2[Exercício]=Tabela2[[#This Row],[Exercício]]-1),Tabela2[Lucro Líquido])</f>
        <v>60637000</v>
      </c>
      <c r="M472" s="18">
        <f>IF(Tabela2[[#This Row],[Lucro Anterior]]=0,"",IF(Tabela2[[#This Row],[Lucro Líquido]]&gt;0,Tabela2[[#This Row],[Lucro Líquido]]/Tabela2[[#This Row],[Lucro Anterior]]-1,0))</f>
        <v>-0.29920675495159721</v>
      </c>
    </row>
    <row r="473" spans="1:13" x14ac:dyDescent="0.2">
      <c r="A473" s="4" t="s">
        <v>66</v>
      </c>
      <c r="B473" s="4">
        <v>2010</v>
      </c>
      <c r="C473" s="6">
        <v>60637000</v>
      </c>
      <c r="D473" s="8">
        <f>SUMPRODUCT(N(Tabela3[PAPEL]=Tabela2[[#This Row],[Ativo]]),Tabela3[Total Ações])</f>
        <v>108480828</v>
      </c>
      <c r="E473" s="63">
        <f>(Tabela2[[#This Row],[Lucro Líquido]])/Tabela2[[#This Row],[Total Ações]]</f>
        <v>0.55896512884285876</v>
      </c>
      <c r="F473" s="63">
        <v>0.41899999999999998</v>
      </c>
      <c r="G473" s="19">
        <f>IF(AND(Tabela2[[#This Row],[Dividendo / Ação]]&gt;0,Tabela2[[#This Row],[Lucro por ação]]&gt;0),Tabela2[[#This Row],[Dividendo / Ação]]/Tabela2[[#This Row],[Lucro por ação]],"")</f>
        <v>0.74959953381598687</v>
      </c>
      <c r="H473" s="6">
        <f>MAX(Tabela2[[#This Row],[Cotação 1]],Tabela2[[#This Row],[Cotação 2]])</f>
        <v>5.96</v>
      </c>
      <c r="I473" s="18">
        <f>IF(Tabela2[[#This Row],[Dividendo / Ação]]&gt;0,Tabela2[[#This Row],[Dividendo / Ação]]/Tabela2[[#This Row],[Cotação]],"")</f>
        <v>7.030201342281879E-2</v>
      </c>
      <c r="J473" s="59">
        <f>SUMPRODUCT(N(Tabela1[Código]=Tabela2[[#This Row],[Ativo]]),Tabela1[Fechamento])</f>
        <v>5.96</v>
      </c>
      <c r="K473" s="59">
        <f>SUMPRODUCT(N(Tabela17[Código]=Tabela2[[#This Row],[Ativo]]),Tabela17[Fechamento])</f>
        <v>0</v>
      </c>
      <c r="L473" s="59">
        <f>SUMPRODUCT(N(Tabela2[Ativo]=Tabela2[[#This Row],[Ativo]]),N(Tabela2[Exercício]=Tabela2[[#This Row],[Exercício]]-1),Tabela2[Lucro Líquido])</f>
        <v>0</v>
      </c>
      <c r="M473" s="18" t="str">
        <f>IF(Tabela2[[#This Row],[Lucro Anterior]]=0,"",IF(Tabela2[[#This Row],[Lucro Líquido]]&gt;0,Tabela2[[#This Row],[Lucro Líquido]]/Tabela2[[#This Row],[Lucro Anterior]]-1,0))</f>
        <v/>
      </c>
    </row>
    <row r="474" spans="1:13" x14ac:dyDescent="0.2">
      <c r="A474" s="14" t="s">
        <v>210</v>
      </c>
      <c r="B474" s="3">
        <v>2012</v>
      </c>
      <c r="C474" s="5">
        <v>52406000</v>
      </c>
      <c r="D474" s="61">
        <f>SUMPRODUCT(N(Tabela3[PAPEL]=Tabela2[[#This Row],[Ativo]]),Tabela3[Total Ações])</f>
        <v>84682269</v>
      </c>
      <c r="E474" s="64">
        <f>(Tabela2[[#This Row],[Lucro Líquido]])/Tabela2[[#This Row],[Total Ações]]</f>
        <v>0.61885446172917258</v>
      </c>
      <c r="F474" s="64">
        <v>1.0399999999999999E-3</v>
      </c>
      <c r="G474" s="22">
        <f>IF(AND(Tabela2[[#This Row],[Dividendo / Ação]]&gt;0,Tabela2[[#This Row],[Lucro por ação]]&gt;0),Tabela2[[#This Row],[Dividendo / Ação]]/Tabela2[[#This Row],[Lucro por ação]],"")</f>
        <v>1.6805243628592145E-3</v>
      </c>
      <c r="H474" s="5">
        <f>MAX(Tabela2[[#This Row],[Cotação 1]],Tabela2[[#This Row],[Cotação 2]])</f>
        <v>3.08</v>
      </c>
      <c r="I474" s="18">
        <f>IF(Tabela2[[#This Row],[Dividendo / Ação]]&gt;0,Tabela2[[#This Row],[Dividendo / Ação]]/Tabela2[[#This Row],[Cotação]],"")</f>
        <v>3.3766233766233762E-4</v>
      </c>
      <c r="J474" s="59">
        <f>SUMPRODUCT(N(Tabela1[Código]=Tabela2[[#This Row],[Ativo]]),Tabela1[Fechamento])</f>
        <v>3.08</v>
      </c>
      <c r="K474" s="59">
        <f>SUMPRODUCT(N(Tabela17[Código]=Tabela2[[#This Row],[Ativo]]),Tabela17[Fechamento])</f>
        <v>0</v>
      </c>
      <c r="L474" s="59">
        <f>SUMPRODUCT(N(Tabela2[Ativo]=Tabela2[[#This Row],[Ativo]]),N(Tabela2[Exercício]=Tabela2[[#This Row],[Exercício]]-1),Tabela2[Lucro Líquido])</f>
        <v>47835000</v>
      </c>
      <c r="M474" s="18">
        <f>IF(Tabela2[[#This Row],[Lucro Anterior]]=0,"",IF(Tabela2[[#This Row],[Lucro Líquido]]&gt;0,Tabela2[[#This Row],[Lucro Líquido]]/Tabela2[[#This Row],[Lucro Anterior]]-1,0))</f>
        <v>9.5557646075049574E-2</v>
      </c>
    </row>
    <row r="475" spans="1:13" x14ac:dyDescent="0.2">
      <c r="A475" s="14" t="s">
        <v>210</v>
      </c>
      <c r="B475" s="3">
        <v>2011</v>
      </c>
      <c r="C475" s="5">
        <v>47835000</v>
      </c>
      <c r="D475" s="61">
        <f>SUMPRODUCT(N(Tabela3[PAPEL]=Tabela2[[#This Row],[Ativo]]),Tabela3[Total Ações])</f>
        <v>84682269</v>
      </c>
      <c r="E475" s="64">
        <f>(Tabela2[[#This Row],[Lucro Líquido]])/Tabela2[[#This Row],[Total Ações]]</f>
        <v>0.56487621983770886</v>
      </c>
      <c r="F475" s="64">
        <v>0</v>
      </c>
      <c r="G475" s="22" t="str">
        <f>IF(AND(Tabela2[[#This Row],[Dividendo / Ação]]&gt;0,Tabela2[[#This Row],[Lucro por ação]]&gt;0),Tabela2[[#This Row],[Dividendo / Ação]]/Tabela2[[#This Row],[Lucro por ação]],"")</f>
        <v/>
      </c>
      <c r="H475" s="5">
        <f>MAX(Tabela2[[#This Row],[Cotação 1]],Tabela2[[#This Row],[Cotação 2]])</f>
        <v>3.08</v>
      </c>
      <c r="I475" s="18" t="str">
        <f>IF(Tabela2[[#This Row],[Dividendo / Ação]]&gt;0,Tabela2[[#This Row],[Dividendo / Ação]]/Tabela2[[#This Row],[Cotação]],"")</f>
        <v/>
      </c>
      <c r="J475" s="59">
        <f>SUMPRODUCT(N(Tabela1[Código]=Tabela2[[#This Row],[Ativo]]),Tabela1[Fechamento])</f>
        <v>3.08</v>
      </c>
      <c r="K475" s="59">
        <f>SUMPRODUCT(N(Tabela17[Código]=Tabela2[[#This Row],[Ativo]]),Tabela17[Fechamento])</f>
        <v>0</v>
      </c>
      <c r="L475" s="59">
        <f>SUMPRODUCT(N(Tabela2[Ativo]=Tabela2[[#This Row],[Ativo]]),N(Tabela2[Exercício]=Tabela2[[#This Row],[Exercício]]-1),Tabela2[Lucro Líquido])</f>
        <v>43244000</v>
      </c>
      <c r="M475" s="18">
        <f>IF(Tabela2[[#This Row],[Lucro Anterior]]=0,"",IF(Tabela2[[#This Row],[Lucro Líquido]]&gt;0,Tabela2[[#This Row],[Lucro Líquido]]/Tabela2[[#This Row],[Lucro Anterior]]-1,0))</f>
        <v>0.10616501711220061</v>
      </c>
    </row>
    <row r="476" spans="1:13" x14ac:dyDescent="0.2">
      <c r="A476" s="14" t="s">
        <v>210</v>
      </c>
      <c r="B476" s="3">
        <v>2010</v>
      </c>
      <c r="C476" s="5">
        <v>43244000</v>
      </c>
      <c r="D476" s="61">
        <f>SUMPRODUCT(N(Tabela3[PAPEL]=Tabela2[[#This Row],[Ativo]]),Tabela3[Total Ações])</f>
        <v>84682269</v>
      </c>
      <c r="E476" s="64">
        <f>(Tabela2[[#This Row],[Lucro Líquido]])/Tabela2[[#This Row],[Total Ações]]</f>
        <v>0.51066180099638092</v>
      </c>
      <c r="F476" s="64">
        <v>4.8799999999999998E-3</v>
      </c>
      <c r="G476" s="22">
        <f>IF(AND(Tabela2[[#This Row],[Dividendo / Ação]]&gt;0,Tabela2[[#This Row],[Lucro por ação]]&gt;0),Tabela2[[#This Row],[Dividendo / Ação]]/Tabela2[[#This Row],[Lucro por ação]],"")</f>
        <v>9.5562268226806035E-3</v>
      </c>
      <c r="H476" s="5">
        <f>MAX(Tabela2[[#This Row],[Cotação 1]],Tabela2[[#This Row],[Cotação 2]])</f>
        <v>3.08</v>
      </c>
      <c r="I476" s="18">
        <f>IF(Tabela2[[#This Row],[Dividendo / Ação]]&gt;0,Tabela2[[#This Row],[Dividendo / Ação]]/Tabela2[[#This Row],[Cotação]],"")</f>
        <v>1.5844155844155843E-3</v>
      </c>
      <c r="J476" s="59">
        <f>SUMPRODUCT(N(Tabela1[Código]=Tabela2[[#This Row],[Ativo]]),Tabela1[Fechamento])</f>
        <v>3.08</v>
      </c>
      <c r="K476" s="59">
        <f>SUMPRODUCT(N(Tabela17[Código]=Tabela2[[#This Row],[Ativo]]),Tabela17[Fechamento])</f>
        <v>0</v>
      </c>
      <c r="L476" s="59">
        <f>SUMPRODUCT(N(Tabela2[Ativo]=Tabela2[[#This Row],[Ativo]]),N(Tabela2[Exercício]=Tabela2[[#This Row],[Exercício]]-1),Tabela2[Lucro Líquido])</f>
        <v>40621000</v>
      </c>
      <c r="M476" s="18">
        <f>IF(Tabela2[[#This Row],[Lucro Anterior]]=0,"",IF(Tabela2[[#This Row],[Lucro Líquido]]&gt;0,Tabela2[[#This Row],[Lucro Líquido]]/Tabela2[[#This Row],[Lucro Anterior]]-1,0))</f>
        <v>6.4572511755003559E-2</v>
      </c>
    </row>
    <row r="477" spans="1:13" x14ac:dyDescent="0.2">
      <c r="A477" s="14" t="s">
        <v>210</v>
      </c>
      <c r="B477" s="3">
        <v>2009</v>
      </c>
      <c r="C477" s="5">
        <v>40621000</v>
      </c>
      <c r="D477" s="61">
        <f>SUMPRODUCT(N(Tabela3[PAPEL]=Tabela2[[#This Row],[Ativo]]),Tabela3[Total Ações])</f>
        <v>84682269</v>
      </c>
      <c r="E477" s="64">
        <f>(Tabela2[[#This Row],[Lucro Líquido]])/Tabela2[[#This Row],[Total Ações]]</f>
        <v>0.47968719402169063</v>
      </c>
      <c r="F477" s="64">
        <v>3.2800000000000003E-2</v>
      </c>
      <c r="G477" s="22">
        <f>IF(AND(Tabela2[[#This Row],[Dividendo / Ação]]&gt;0,Tabela2[[#This Row],[Lucro por ação]]&gt;0),Tabela2[[#This Row],[Dividendo / Ação]]/Tabela2[[#This Row],[Lucro por ação]],"")</f>
        <v>6.8377893779079796E-2</v>
      </c>
      <c r="H477" s="5">
        <f>MAX(Tabela2[[#This Row],[Cotação 1]],Tabela2[[#This Row],[Cotação 2]])</f>
        <v>3.08</v>
      </c>
      <c r="I477" s="18">
        <f>IF(Tabela2[[#This Row],[Dividendo / Ação]]&gt;0,Tabela2[[#This Row],[Dividendo / Ação]]/Tabela2[[#This Row],[Cotação]],"")</f>
        <v>1.064935064935065E-2</v>
      </c>
      <c r="J477" s="59">
        <f>SUMPRODUCT(N(Tabela1[Código]=Tabela2[[#This Row],[Ativo]]),Tabela1[Fechamento])</f>
        <v>3.08</v>
      </c>
      <c r="K477" s="59">
        <f>SUMPRODUCT(N(Tabela17[Código]=Tabela2[[#This Row],[Ativo]]),Tabela17[Fechamento])</f>
        <v>0</v>
      </c>
      <c r="L477" s="59">
        <f>SUMPRODUCT(N(Tabela2[Ativo]=Tabela2[[#This Row],[Ativo]]),N(Tabela2[Exercício]=Tabela2[[#This Row],[Exercício]]-1),Tabela2[Lucro Líquido])</f>
        <v>0</v>
      </c>
      <c r="M477" s="18" t="str">
        <f>IF(Tabela2[[#This Row],[Lucro Anterior]]=0,"",IF(Tabela2[[#This Row],[Lucro Líquido]]&gt;0,Tabela2[[#This Row],[Lucro Líquido]]/Tabela2[[#This Row],[Lucro Anterior]]-1,0))</f>
        <v/>
      </c>
    </row>
    <row r="478" spans="1:13" x14ac:dyDescent="0.2">
      <c r="A478" s="14" t="s">
        <v>78</v>
      </c>
      <c r="B478" s="3">
        <v>2012</v>
      </c>
      <c r="C478" s="5">
        <v>52406000</v>
      </c>
      <c r="D478" s="61">
        <f>SUMPRODUCT(N(Tabela3[PAPEL]=Tabela2[[#This Row],[Ativo]]),Tabela3[Total Ações])</f>
        <v>84682269</v>
      </c>
      <c r="E478" s="64">
        <f>(Tabela2[[#This Row],[Lucro Líquido]])/Tabela2[[#This Row],[Total Ações]]</f>
        <v>0.61885446172917258</v>
      </c>
      <c r="F478" s="64">
        <v>0.38174999999999998</v>
      </c>
      <c r="G478" s="22">
        <f>IF(AND(Tabela2[[#This Row],[Dividendo / Ação]]&gt;0,Tabela2[[#This Row],[Lucro por ação]]&gt;0),Tabela2[[#This Row],[Dividendo / Ação]]/Tabela2[[#This Row],[Lucro por ação]],"")</f>
        <v>0.61686555338606264</v>
      </c>
      <c r="H478" s="5">
        <f>MAX(Tabela2[[#This Row],[Cotação 1]],Tabela2[[#This Row],[Cotação 2]])</f>
        <v>6.8</v>
      </c>
      <c r="I478" s="18">
        <f>IF(Tabela2[[#This Row],[Dividendo / Ação]]&gt;0,Tabela2[[#This Row],[Dividendo / Ação]]/Tabela2[[#This Row],[Cotação]],"")</f>
        <v>5.6139705882352939E-2</v>
      </c>
      <c r="J478" s="59">
        <f>SUMPRODUCT(N(Tabela1[Código]=Tabela2[[#This Row],[Ativo]]),Tabela1[Fechamento])</f>
        <v>6.8</v>
      </c>
      <c r="K478" s="59">
        <f>SUMPRODUCT(N(Tabela17[Código]=Tabela2[[#This Row],[Ativo]]),Tabela17[Fechamento])</f>
        <v>0</v>
      </c>
      <c r="L478" s="59">
        <f>SUMPRODUCT(N(Tabela2[Ativo]=Tabela2[[#This Row],[Ativo]]),N(Tabela2[Exercício]=Tabela2[[#This Row],[Exercício]]-1),Tabela2[Lucro Líquido])</f>
        <v>47835000</v>
      </c>
      <c r="M478" s="18">
        <f>IF(Tabela2[[#This Row],[Lucro Anterior]]=0,"",IF(Tabela2[[#This Row],[Lucro Líquido]]&gt;0,Tabela2[[#This Row],[Lucro Líquido]]/Tabela2[[#This Row],[Lucro Anterior]]-1,0))</f>
        <v>9.5557646075049574E-2</v>
      </c>
    </row>
    <row r="479" spans="1:13" x14ac:dyDescent="0.2">
      <c r="A479" s="14" t="s">
        <v>78</v>
      </c>
      <c r="B479" s="3">
        <v>2011</v>
      </c>
      <c r="C479" s="5">
        <v>47835000</v>
      </c>
      <c r="D479" s="61">
        <f>SUMPRODUCT(N(Tabela3[PAPEL]=Tabela2[[#This Row],[Ativo]]),Tabela3[Total Ações])</f>
        <v>84682269</v>
      </c>
      <c r="E479" s="64">
        <f>(Tabela2[[#This Row],[Lucro Líquido]])/Tabela2[[#This Row],[Total Ações]]</f>
        <v>0.56487621983770886</v>
      </c>
      <c r="F479" s="64">
        <v>0.34691</v>
      </c>
      <c r="G479" s="22">
        <f>IF(AND(Tabela2[[#This Row],[Dividendo / Ação]]&gt;0,Tabela2[[#This Row],[Lucro por ação]]&gt;0),Tabela2[[#This Row],[Dividendo / Ação]]/Tabela2[[#This Row],[Lucro por ação]],"")</f>
        <v>0.61413454455503291</v>
      </c>
      <c r="H479" s="5">
        <f>MAX(Tabela2[[#This Row],[Cotação 1]],Tabela2[[#This Row],[Cotação 2]])</f>
        <v>6.8</v>
      </c>
      <c r="I479" s="18">
        <f>IF(Tabela2[[#This Row],[Dividendo / Ação]]&gt;0,Tabela2[[#This Row],[Dividendo / Ação]]/Tabela2[[#This Row],[Cotação]],"")</f>
        <v>5.1016176470588238E-2</v>
      </c>
      <c r="J479" s="59">
        <f>SUMPRODUCT(N(Tabela1[Código]=Tabela2[[#This Row],[Ativo]]),Tabela1[Fechamento])</f>
        <v>6.8</v>
      </c>
      <c r="K479" s="59">
        <f>SUMPRODUCT(N(Tabela17[Código]=Tabela2[[#This Row],[Ativo]]),Tabela17[Fechamento])</f>
        <v>0</v>
      </c>
      <c r="L479" s="59">
        <f>SUMPRODUCT(N(Tabela2[Ativo]=Tabela2[[#This Row],[Ativo]]),N(Tabela2[Exercício]=Tabela2[[#This Row],[Exercício]]-1),Tabela2[Lucro Líquido])</f>
        <v>43244000</v>
      </c>
      <c r="M479" s="18">
        <f>IF(Tabela2[[#This Row],[Lucro Anterior]]=0,"",IF(Tabela2[[#This Row],[Lucro Líquido]]&gt;0,Tabela2[[#This Row],[Lucro Líquido]]/Tabela2[[#This Row],[Lucro Anterior]]-1,0))</f>
        <v>0.10616501711220061</v>
      </c>
    </row>
    <row r="480" spans="1:13" x14ac:dyDescent="0.2">
      <c r="A480" s="14" t="s">
        <v>78</v>
      </c>
      <c r="B480" s="3">
        <v>2010</v>
      </c>
      <c r="C480" s="5">
        <v>43244000</v>
      </c>
      <c r="D480" s="61">
        <f>SUMPRODUCT(N(Tabela3[PAPEL]=Tabela2[[#This Row],[Ativo]]),Tabela3[Total Ações])</f>
        <v>84682269</v>
      </c>
      <c r="E480" s="64">
        <f>(Tabela2[[#This Row],[Lucro Líquido]])/Tabela2[[#This Row],[Total Ações]]</f>
        <v>0.51066180099638092</v>
      </c>
      <c r="F480" s="64">
        <v>0.34364</v>
      </c>
      <c r="G480" s="22">
        <f>IF(AND(Tabela2[[#This Row],[Dividendo / Ação]]&gt;0,Tabela2[[#This Row],[Lucro por ação]]&gt;0),Tabela2[[#This Row],[Dividendo / Ação]]/Tabela2[[#This Row],[Lucro por ação]],"")</f>
        <v>0.67293069371843495</v>
      </c>
      <c r="H480" s="5">
        <f>MAX(Tabela2[[#This Row],[Cotação 1]],Tabela2[[#This Row],[Cotação 2]])</f>
        <v>6.8</v>
      </c>
      <c r="I480" s="18">
        <f>IF(Tabela2[[#This Row],[Dividendo / Ação]]&gt;0,Tabela2[[#This Row],[Dividendo / Ação]]/Tabela2[[#This Row],[Cotação]],"")</f>
        <v>5.053529411764706E-2</v>
      </c>
      <c r="J480" s="59">
        <f>SUMPRODUCT(N(Tabela1[Código]=Tabela2[[#This Row],[Ativo]]),Tabela1[Fechamento])</f>
        <v>6.8</v>
      </c>
      <c r="K480" s="59">
        <f>SUMPRODUCT(N(Tabela17[Código]=Tabela2[[#This Row],[Ativo]]),Tabela17[Fechamento])</f>
        <v>0</v>
      </c>
      <c r="L480" s="59">
        <f>SUMPRODUCT(N(Tabela2[Ativo]=Tabela2[[#This Row],[Ativo]]),N(Tabela2[Exercício]=Tabela2[[#This Row],[Exercício]]-1),Tabela2[Lucro Líquido])</f>
        <v>40621000</v>
      </c>
      <c r="M480" s="18">
        <f>IF(Tabela2[[#This Row],[Lucro Anterior]]=0,"",IF(Tabela2[[#This Row],[Lucro Líquido]]&gt;0,Tabela2[[#This Row],[Lucro Líquido]]/Tabela2[[#This Row],[Lucro Anterior]]-1,0))</f>
        <v>6.4572511755003559E-2</v>
      </c>
    </row>
    <row r="481" spans="1:14" x14ac:dyDescent="0.2">
      <c r="A481" s="14" t="s">
        <v>78</v>
      </c>
      <c r="B481" s="3">
        <v>2009</v>
      </c>
      <c r="C481" s="5">
        <v>40621000</v>
      </c>
      <c r="D481" s="61">
        <f>SUMPRODUCT(N(Tabela3[PAPEL]=Tabela2[[#This Row],[Ativo]]),Tabela3[Total Ações])</f>
        <v>84682269</v>
      </c>
      <c r="E481" s="64">
        <f>(Tabela2[[#This Row],[Lucro Líquido]])/Tabela2[[#This Row],[Total Ações]]</f>
        <v>0.47968719402169063</v>
      </c>
      <c r="F481" s="64">
        <v>0.29580000000000001</v>
      </c>
      <c r="G481" s="22">
        <f>IF(AND(Tabela2[[#This Row],[Dividendo / Ação]]&gt;0,Tabela2[[#This Row],[Lucro por ação]]&gt;0),Tabela2[[#This Row],[Dividendo / Ação]]/Tabela2[[#This Row],[Lucro por ação]],"")</f>
        <v>0.61665185914182319</v>
      </c>
      <c r="H481" s="5">
        <f>MAX(Tabela2[[#This Row],[Cotação 1]],Tabela2[[#This Row],[Cotação 2]])</f>
        <v>6.8</v>
      </c>
      <c r="I481" s="18">
        <f>IF(Tabela2[[#This Row],[Dividendo / Ação]]&gt;0,Tabela2[[#This Row],[Dividendo / Ação]]/Tabela2[[#This Row],[Cotação]],"")</f>
        <v>4.3500000000000004E-2</v>
      </c>
      <c r="J481" s="59">
        <f>SUMPRODUCT(N(Tabela1[Código]=Tabela2[[#This Row],[Ativo]]),Tabela1[Fechamento])</f>
        <v>6.8</v>
      </c>
      <c r="K481" s="59">
        <f>SUMPRODUCT(N(Tabela17[Código]=Tabela2[[#This Row],[Ativo]]),Tabela17[Fechamento])</f>
        <v>0</v>
      </c>
      <c r="L481" s="59">
        <f>SUMPRODUCT(N(Tabela2[Ativo]=Tabela2[[#This Row],[Ativo]]),N(Tabela2[Exercício]=Tabela2[[#This Row],[Exercício]]-1),Tabela2[Lucro Líquido])</f>
        <v>0</v>
      </c>
      <c r="M481" s="18" t="str">
        <f>IF(Tabela2[[#This Row],[Lucro Anterior]]=0,"",IF(Tabela2[[#This Row],[Lucro Líquido]]&gt;0,Tabela2[[#This Row],[Lucro Líquido]]/Tabela2[[#This Row],[Lucro Anterior]]-1,0))</f>
        <v/>
      </c>
    </row>
    <row r="482" spans="1:14" x14ac:dyDescent="0.2">
      <c r="A482" s="14" t="s">
        <v>211</v>
      </c>
      <c r="B482" s="4">
        <v>2012</v>
      </c>
      <c r="C482" s="5">
        <v>52406000</v>
      </c>
      <c r="D482" s="8">
        <f>SUMPRODUCT(N(Tabela3[PAPEL]=Tabela2[[#This Row],[Ativo]]),Tabela3[Total Ações])</f>
        <v>84682269</v>
      </c>
      <c r="E482" s="65">
        <f>(Tabela2[[#This Row],[Lucro Líquido]])/Tabela2[[#This Row],[Total Ações]]</f>
        <v>0.61885446172917258</v>
      </c>
      <c r="F482" s="65">
        <v>1.14E-3</v>
      </c>
      <c r="G482" s="45">
        <f>IF(AND(Tabela2[[#This Row],[Dividendo / Ação]]&gt;0,Tabela2[[#This Row],[Lucro por ação]]&gt;0),Tabela2[[#This Row],[Dividendo / Ação]]/Tabela2[[#This Row],[Lucro por ação]],"")</f>
        <v>1.8421132439033698E-3</v>
      </c>
      <c r="H482" s="6">
        <f>MAX(Tabela2[[#This Row],[Cotação 1]],Tabela2[[#This Row],[Cotação 2]])</f>
        <v>2.99</v>
      </c>
      <c r="I482" s="19">
        <f>IF(Tabela2[[#This Row],[Dividendo / Ação]]&gt;0,Tabela2[[#This Row],[Dividendo / Ação]]/Tabela2[[#This Row],[Cotação]],"")</f>
        <v>3.8127090301003341E-4</v>
      </c>
      <c r="J482" s="60">
        <f>SUMPRODUCT(N(Tabela1[Código]=Tabela2[[#This Row],[Ativo]]),Tabela1[Fechamento])</f>
        <v>2.99</v>
      </c>
      <c r="K482" s="60">
        <f>SUMPRODUCT(N(Tabela17[Código]=Tabela2[[#This Row],[Ativo]]),Tabela17[Fechamento])</f>
        <v>0</v>
      </c>
      <c r="L482" s="60">
        <f>SUMPRODUCT(N(Tabela2[Ativo]=Tabela2[[#This Row],[Ativo]]),N(Tabela2[Exercício]=Tabela2[[#This Row],[Exercício]]-1),Tabela2[Lucro Líquido])</f>
        <v>47835000</v>
      </c>
      <c r="M482" s="19">
        <f>IF(Tabela2[[#This Row],[Lucro Anterior]]=0,"",IF(Tabela2[[#This Row],[Lucro Líquido]]&gt;0,Tabela2[[#This Row],[Lucro Líquido]]/Tabela2[[#This Row],[Lucro Anterior]]-1,0))</f>
        <v>9.5557646075049574E-2</v>
      </c>
    </row>
    <row r="483" spans="1:14" x14ac:dyDescent="0.2">
      <c r="A483" s="14" t="s">
        <v>211</v>
      </c>
      <c r="B483" s="3">
        <v>2011</v>
      </c>
      <c r="C483" s="5">
        <v>47835000</v>
      </c>
      <c r="D483" s="8">
        <f>SUMPRODUCT(N(Tabela3[PAPEL]=Tabela2[[#This Row],[Ativo]]),Tabela3[Total Ações])</f>
        <v>84682269</v>
      </c>
      <c r="E483" s="65">
        <f>(Tabela2[[#This Row],[Lucro Líquido]])/Tabela2[[#This Row],[Total Ações]]</f>
        <v>0.56487621983770886</v>
      </c>
      <c r="F483" s="65">
        <v>0</v>
      </c>
      <c r="G483" s="45" t="str">
        <f>IF(AND(Tabela2[[#This Row],[Dividendo / Ação]]&gt;0,Tabela2[[#This Row],[Lucro por ação]]&gt;0),Tabela2[[#This Row],[Dividendo / Ação]]/Tabela2[[#This Row],[Lucro por ação]],"")</f>
        <v/>
      </c>
      <c r="H483" s="6">
        <f>MAX(Tabela2[[#This Row],[Cotação 1]],Tabela2[[#This Row],[Cotação 2]])</f>
        <v>2.99</v>
      </c>
      <c r="I483" s="19" t="str">
        <f>IF(Tabela2[[#This Row],[Dividendo / Ação]]&gt;0,Tabela2[[#This Row],[Dividendo / Ação]]/Tabela2[[#This Row],[Cotação]],"")</f>
        <v/>
      </c>
      <c r="J483" s="60">
        <f>SUMPRODUCT(N(Tabela1[Código]=Tabela2[[#This Row],[Ativo]]),Tabela1[Fechamento])</f>
        <v>2.99</v>
      </c>
      <c r="K483" s="60">
        <f>SUMPRODUCT(N(Tabela17[Código]=Tabela2[[#This Row],[Ativo]]),Tabela17[Fechamento])</f>
        <v>0</v>
      </c>
      <c r="L483" s="60">
        <f>SUMPRODUCT(N(Tabela2[Ativo]=Tabela2[[#This Row],[Ativo]]),N(Tabela2[Exercício]=Tabela2[[#This Row],[Exercício]]-1),Tabela2[Lucro Líquido])</f>
        <v>43244000</v>
      </c>
      <c r="M483" s="19">
        <f>IF(Tabela2[[#This Row],[Lucro Anterior]]=0,"",IF(Tabela2[[#This Row],[Lucro Líquido]]&gt;0,Tabela2[[#This Row],[Lucro Líquido]]/Tabela2[[#This Row],[Lucro Anterior]]-1,0))</f>
        <v>0.10616501711220061</v>
      </c>
    </row>
    <row r="484" spans="1:14" x14ac:dyDescent="0.2">
      <c r="A484" s="14" t="s">
        <v>211</v>
      </c>
      <c r="B484" s="4">
        <v>2010</v>
      </c>
      <c r="C484" s="5">
        <v>43244000</v>
      </c>
      <c r="D484" s="8">
        <f>SUMPRODUCT(N(Tabela3[PAPEL]=Tabela2[[#This Row],[Ativo]]),Tabela3[Total Ações])</f>
        <v>84682269</v>
      </c>
      <c r="E484" s="65">
        <f>(Tabela2[[#This Row],[Lucro Líquido]])/Tabela2[[#This Row],[Total Ações]]</f>
        <v>0.51066180099638092</v>
      </c>
      <c r="F484" s="65">
        <v>5.3800000000000002E-3</v>
      </c>
      <c r="G484" s="45">
        <f>IF(AND(Tabela2[[#This Row],[Dividendo / Ação]]&gt;0,Tabela2[[#This Row],[Lucro por ação]]&gt;0),Tabela2[[#This Row],[Dividendo / Ação]]/Tabela2[[#This Row],[Lucro por ação]],"")</f>
        <v>1.0535348423365093E-2</v>
      </c>
      <c r="H484" s="6">
        <f>MAX(Tabela2[[#This Row],[Cotação 1]],Tabela2[[#This Row],[Cotação 2]])</f>
        <v>2.99</v>
      </c>
      <c r="I484" s="19">
        <f>IF(Tabela2[[#This Row],[Dividendo / Ação]]&gt;0,Tabela2[[#This Row],[Dividendo / Ação]]/Tabela2[[#This Row],[Cotação]],"")</f>
        <v>1.7993311036789297E-3</v>
      </c>
      <c r="J484" s="60">
        <f>SUMPRODUCT(N(Tabela1[Código]=Tabela2[[#This Row],[Ativo]]),Tabela1[Fechamento])</f>
        <v>2.99</v>
      </c>
      <c r="K484" s="60">
        <f>SUMPRODUCT(N(Tabela17[Código]=Tabela2[[#This Row],[Ativo]]),Tabela17[Fechamento])</f>
        <v>0</v>
      </c>
      <c r="L484" s="60">
        <f>SUMPRODUCT(N(Tabela2[Ativo]=Tabela2[[#This Row],[Ativo]]),N(Tabela2[Exercício]=Tabela2[[#This Row],[Exercício]]-1),Tabela2[Lucro Líquido])</f>
        <v>40621000</v>
      </c>
      <c r="M484" s="19">
        <f>IF(Tabela2[[#This Row],[Lucro Anterior]]=0,"",IF(Tabela2[[#This Row],[Lucro Líquido]]&gt;0,Tabela2[[#This Row],[Lucro Líquido]]/Tabela2[[#This Row],[Lucro Anterior]]-1,0))</f>
        <v>6.4572511755003559E-2</v>
      </c>
    </row>
    <row r="485" spans="1:14" x14ac:dyDescent="0.2">
      <c r="A485" s="14" t="s">
        <v>211</v>
      </c>
      <c r="B485" s="4">
        <v>2009</v>
      </c>
      <c r="C485" s="5">
        <v>40621000</v>
      </c>
      <c r="D485" s="8">
        <f>SUMPRODUCT(N(Tabela3[PAPEL]=Tabela2[[#This Row],[Ativo]]),Tabela3[Total Ações])</f>
        <v>84682269</v>
      </c>
      <c r="E485" s="65">
        <f>(Tabela2[[#This Row],[Lucro Líquido]])/Tabela2[[#This Row],[Total Ações]]</f>
        <v>0.47968719402169063</v>
      </c>
      <c r="F485" s="65">
        <v>3.6089999999999997E-2</v>
      </c>
      <c r="G485" s="45">
        <f>IF(AND(Tabela2[[#This Row],[Dividendo / Ação]]&gt;0,Tabela2[[#This Row],[Lucro por ação]]&gt;0),Tabela2[[#This Row],[Dividendo / Ação]]/Tabela2[[#This Row],[Lucro por ação]],"")</f>
        <v>7.5236530075822844E-2</v>
      </c>
      <c r="H485" s="6">
        <f>MAX(Tabela2[[#This Row],[Cotação 1]],Tabela2[[#This Row],[Cotação 2]])</f>
        <v>2.99</v>
      </c>
      <c r="I485" s="19">
        <f>IF(Tabela2[[#This Row],[Dividendo / Ação]]&gt;0,Tabela2[[#This Row],[Dividendo / Ação]]/Tabela2[[#This Row],[Cotação]],"")</f>
        <v>1.2070234113712372E-2</v>
      </c>
      <c r="J485" s="60">
        <f>SUMPRODUCT(N(Tabela1[Código]=Tabela2[[#This Row],[Ativo]]),Tabela1[Fechamento])</f>
        <v>2.99</v>
      </c>
      <c r="K485" s="60">
        <f>SUMPRODUCT(N(Tabela17[Código]=Tabela2[[#This Row],[Ativo]]),Tabela17[Fechamento])</f>
        <v>0</v>
      </c>
      <c r="L485" s="60">
        <f>SUMPRODUCT(N(Tabela2[Ativo]=Tabela2[[#This Row],[Ativo]]),N(Tabela2[Exercício]=Tabela2[[#This Row],[Exercício]]-1),Tabela2[Lucro Líquido])</f>
        <v>0</v>
      </c>
      <c r="M485" s="19" t="str">
        <f>IF(Tabela2[[#This Row],[Lucro Anterior]]=0,"",IF(Tabela2[[#This Row],[Lucro Líquido]]&gt;0,Tabela2[[#This Row],[Lucro Líquido]]/Tabela2[[#This Row],[Lucro Anterior]]-1,0))</f>
        <v/>
      </c>
    </row>
    <row r="486" spans="1:14" x14ac:dyDescent="0.2">
      <c r="A486" s="4" t="s">
        <v>199</v>
      </c>
      <c r="B486" s="4">
        <v>2012</v>
      </c>
      <c r="C486" s="6">
        <v>335756000</v>
      </c>
      <c r="D486" s="8">
        <f>SUMPRODUCT(N(Tabela3[PAPEL]=Tabela2[[#This Row],[Ativo]]),Tabela3[Total Ações])</f>
        <v>476620206</v>
      </c>
      <c r="E486" s="65">
        <f>(Tabela2[[#This Row],[Lucro Líquido]])/Tabela2[[#This Row],[Total Ações]]</f>
        <v>0.70445187965866474</v>
      </c>
      <c r="F486" s="65">
        <v>0.37269999999999998</v>
      </c>
      <c r="G486" s="45">
        <f>IF(AND(Tabela2[[#This Row],[Dividendo / Ação]]&gt;0,Tabela2[[#This Row],[Lucro por ação]]&gt;0),Tabela2[[#This Row],[Dividendo / Ação]]/Tabela2[[#This Row],[Lucro por ação]],"")</f>
        <v>0.52906381651020384</v>
      </c>
      <c r="H486" s="6">
        <f>MAX(Tabela2[[#This Row],[Cotação 1]],Tabela2[[#This Row],[Cotação 2]])</f>
        <v>8.19</v>
      </c>
      <c r="I486" s="19">
        <f>IF(Tabela2[[#This Row],[Dividendo / Ação]]&gt;0,Tabela2[[#This Row],[Dividendo / Ação]]/Tabela2[[#This Row],[Cotação]],"")</f>
        <v>4.5506715506715506E-2</v>
      </c>
      <c r="J486" s="60">
        <f>SUMPRODUCT(N(Tabela1[Código]=Tabela2[[#This Row],[Ativo]]),Tabela1[Fechamento])</f>
        <v>8.19</v>
      </c>
      <c r="K486" s="60">
        <f>SUMPRODUCT(N(Tabela17[Código]=Tabela2[[#This Row],[Ativo]]),Tabela17[Fechamento])</f>
        <v>0</v>
      </c>
      <c r="L486" s="60">
        <f>SUMPRODUCT(N(Tabela2[Ativo]=Tabela2[[#This Row],[Ativo]]),N(Tabela2[Exercício]=Tabela2[[#This Row],[Exercício]]-1),Tabela2[Lucro Líquido])</f>
        <v>249170000</v>
      </c>
      <c r="M486" s="19">
        <f>IF(Tabela2[[#This Row],[Lucro Anterior]]=0,"",IF(Tabela2[[#This Row],[Lucro Líquido]]&gt;0,Tabela2[[#This Row],[Lucro Líquido]]/Tabela2[[#This Row],[Lucro Anterior]]-1,0))</f>
        <v>0.34749769233856398</v>
      </c>
    </row>
    <row r="487" spans="1:14" x14ac:dyDescent="0.2">
      <c r="A487" s="4" t="s">
        <v>199</v>
      </c>
      <c r="B487" s="3">
        <v>2011</v>
      </c>
      <c r="C487" s="5">
        <v>249170000</v>
      </c>
      <c r="D487" s="61">
        <f>SUMPRODUCT(N(Tabela3[PAPEL]=Tabela2[[#This Row],[Ativo]]),Tabela3[Total Ações])</f>
        <v>476620206</v>
      </c>
      <c r="E487" s="64">
        <f>(Tabela2[[#This Row],[Lucro Líquido]])/Tabela2[[#This Row],[Total Ações]]</f>
        <v>0.52278522157325402</v>
      </c>
      <c r="F487" s="64">
        <v>0.27800000000000002</v>
      </c>
      <c r="G487" s="22">
        <f>IF(AND(Tabela2[[#This Row],[Dividendo / Ação]]&gt;0,Tabela2[[#This Row],[Lucro por ação]]&gt;0),Tabela2[[#This Row],[Dividendo / Ação]]/Tabela2[[#This Row],[Lucro por ação]],"")</f>
        <v>0.53176713596339853</v>
      </c>
      <c r="H487" s="5">
        <f>MAX(Tabela2[[#This Row],[Cotação 1]],Tabela2[[#This Row],[Cotação 2]])</f>
        <v>8.19</v>
      </c>
      <c r="I487" s="18">
        <f>IF(Tabela2[[#This Row],[Dividendo / Ação]]&gt;0,Tabela2[[#This Row],[Dividendo / Ação]]/Tabela2[[#This Row],[Cotação]],"")</f>
        <v>3.3943833943833948E-2</v>
      </c>
      <c r="J487" s="59">
        <f>SUMPRODUCT(N(Tabela1[Código]=Tabela2[[#This Row],[Ativo]]),Tabela1[Fechamento])</f>
        <v>8.19</v>
      </c>
      <c r="K487" s="59">
        <f>SUMPRODUCT(N(Tabela17[Código]=Tabela2[[#This Row],[Ativo]]),Tabela17[Fechamento])</f>
        <v>0</v>
      </c>
      <c r="L487" s="59">
        <f>SUMPRODUCT(N(Tabela2[Ativo]=Tabela2[[#This Row],[Ativo]]),N(Tabela2[Exercício]=Tabela2[[#This Row],[Exercício]]-1),Tabela2[Lucro Líquido])</f>
        <v>135511000</v>
      </c>
      <c r="M487" s="18">
        <f>IF(Tabela2[[#This Row],[Lucro Anterior]]=0,"",IF(Tabela2[[#This Row],[Lucro Líquido]]&gt;0,Tabela2[[#This Row],[Lucro Líquido]]/Tabela2[[#This Row],[Lucro Anterior]]-1,0))</f>
        <v>0.83874371822213689</v>
      </c>
    </row>
    <row r="488" spans="1:14" x14ac:dyDescent="0.2">
      <c r="A488" s="4" t="s">
        <v>199</v>
      </c>
      <c r="B488" s="3">
        <v>2010</v>
      </c>
      <c r="C488" s="5">
        <v>135511000</v>
      </c>
      <c r="D488" s="61">
        <f>SUMPRODUCT(N(Tabela3[PAPEL]=Tabela2[[#This Row],[Ativo]]),Tabela3[Total Ações])</f>
        <v>476620206</v>
      </c>
      <c r="E488" s="64">
        <f>(Tabela2[[#This Row],[Lucro Líquido]])/Tabela2[[#This Row],[Total Ações]]</f>
        <v>0.28431652350047448</v>
      </c>
      <c r="F488" s="64">
        <v>8.72E-2</v>
      </c>
      <c r="G488" s="22">
        <f>IF(AND(Tabela2[[#This Row],[Dividendo / Ação]]&gt;0,Tabela2[[#This Row],[Lucro por ação]]&gt;0),Tabela2[[#This Row],[Dividendo / Ação]]/Tabela2[[#This Row],[Lucro por ação]],"")</f>
        <v>0.30670042995181207</v>
      </c>
      <c r="H488" s="5">
        <f>MAX(Tabela2[[#This Row],[Cotação 1]],Tabela2[[#This Row],[Cotação 2]])</f>
        <v>8.19</v>
      </c>
      <c r="I488" s="18">
        <f>IF(Tabela2[[#This Row],[Dividendo / Ação]]&gt;0,Tabela2[[#This Row],[Dividendo / Ação]]/Tabela2[[#This Row],[Cotação]],"")</f>
        <v>1.0647130647130647E-2</v>
      </c>
      <c r="J488" s="59">
        <f>SUMPRODUCT(N(Tabela1[Código]=Tabela2[[#This Row],[Ativo]]),Tabela1[Fechamento])</f>
        <v>8.19</v>
      </c>
      <c r="K488" s="59">
        <f>SUMPRODUCT(N(Tabela17[Código]=Tabela2[[#This Row],[Ativo]]),Tabela17[Fechamento])</f>
        <v>0</v>
      </c>
      <c r="L488" s="59">
        <f>SUMPRODUCT(N(Tabela2[Ativo]=Tabela2[[#This Row],[Ativo]]),N(Tabela2[Exercício]=Tabela2[[#This Row],[Exercício]]-1),Tabela2[Lucro Líquido])</f>
        <v>137871000</v>
      </c>
      <c r="M488" s="18">
        <f>IF(Tabela2[[#This Row],[Lucro Anterior]]=0,"",IF(Tabela2[[#This Row],[Lucro Líquido]]&gt;0,Tabela2[[#This Row],[Lucro Líquido]]/Tabela2[[#This Row],[Lucro Anterior]]-1,0))</f>
        <v>-1.7117450370273679E-2</v>
      </c>
    </row>
    <row r="489" spans="1:14" x14ac:dyDescent="0.2">
      <c r="A489" s="4" t="s">
        <v>199</v>
      </c>
      <c r="B489" s="3">
        <v>2009</v>
      </c>
      <c r="C489" s="5">
        <v>137871000</v>
      </c>
      <c r="D489" s="61">
        <f>SUMPRODUCT(N(Tabela3[PAPEL]=Tabela2[[#This Row],[Ativo]]),Tabela3[Total Ações])</f>
        <v>476620206</v>
      </c>
      <c r="E489" s="64">
        <f>(Tabela2[[#This Row],[Lucro Líquido]])/Tabela2[[#This Row],[Total Ações]]</f>
        <v>0.28926805507695996</v>
      </c>
      <c r="F489" s="64">
        <v>9.1499999999999998E-2</v>
      </c>
      <c r="G489" s="22">
        <f>IF(AND(Tabela2[[#This Row],[Dividendo / Ação]]&gt;0,Tabela2[[#This Row],[Lucro por ação]]&gt;0),Tabela2[[#This Row],[Dividendo / Ação]]/Tabela2[[#This Row],[Lucro por ação]],"")</f>
        <v>0.31631560552255367</v>
      </c>
      <c r="H489" s="5">
        <f>MAX(Tabela2[[#This Row],[Cotação 1]],Tabela2[[#This Row],[Cotação 2]])</f>
        <v>8.19</v>
      </c>
      <c r="I489" s="18">
        <f>IF(Tabela2[[#This Row],[Dividendo / Ação]]&gt;0,Tabela2[[#This Row],[Dividendo / Ação]]/Tabela2[[#This Row],[Cotação]],"")</f>
        <v>1.1172161172161172E-2</v>
      </c>
      <c r="J489" s="59">
        <f>SUMPRODUCT(N(Tabela1[Código]=Tabela2[[#This Row],[Ativo]]),Tabela1[Fechamento])</f>
        <v>8.19</v>
      </c>
      <c r="K489" s="59">
        <f>SUMPRODUCT(N(Tabela17[Código]=Tabela2[[#This Row],[Ativo]]),Tabela17[Fechamento])</f>
        <v>0</v>
      </c>
      <c r="L489" s="59">
        <f>SUMPRODUCT(N(Tabela2[Ativo]=Tabela2[[#This Row],[Ativo]]),N(Tabela2[Exercício]=Tabela2[[#This Row],[Exercício]]-1),Tabela2[Lucro Líquido])</f>
        <v>0</v>
      </c>
      <c r="M489" s="18" t="str">
        <f>IF(Tabela2[[#This Row],[Lucro Anterior]]=0,"",IF(Tabela2[[#This Row],[Lucro Líquido]]&gt;0,Tabela2[[#This Row],[Lucro Líquido]]/Tabela2[[#This Row],[Lucro Anterior]]-1,0))</f>
        <v/>
      </c>
      <c r="N489" s="3">
        <v>6.6270000000000001E-3</v>
      </c>
    </row>
    <row r="490" spans="1:14" x14ac:dyDescent="0.2">
      <c r="A490" s="4" t="s">
        <v>67</v>
      </c>
      <c r="B490" s="4">
        <v>2012</v>
      </c>
      <c r="C490" s="6">
        <v>335756000</v>
      </c>
      <c r="D490" s="8">
        <f>SUMPRODUCT(N(Tabela3[PAPEL]=Tabela2[[#This Row],[Ativo]]),Tabela3[Total Ações])</f>
        <v>476620206</v>
      </c>
      <c r="E490" s="65">
        <f>(Tabela2[[#This Row],[Lucro Líquido]])/Tabela2[[#This Row],[Total Ações]]</f>
        <v>0.70445187965866474</v>
      </c>
      <c r="F490" s="65">
        <v>0.40989999999999999</v>
      </c>
      <c r="G490" s="45">
        <f>IF(AND(Tabela2[[#This Row],[Dividendo / Ação]]&gt;0,Tabela2[[#This Row],[Lucro por ação]]&gt;0),Tabela2[[#This Row],[Dividendo / Ação]]/Tabela2[[#This Row],[Lucro por ação]],"")</f>
        <v>0.58187083012485252</v>
      </c>
      <c r="H490" s="6">
        <f>MAX(Tabela2[[#This Row],[Cotação 1]],Tabela2[[#This Row],[Cotação 2]])</f>
        <v>5.8</v>
      </c>
      <c r="I490" s="19">
        <f>IF(Tabela2[[#This Row],[Dividendo / Ação]]&gt;0,Tabela2[[#This Row],[Dividendo / Ação]]/Tabela2[[#This Row],[Cotação]],"")</f>
        <v>7.0672413793103447E-2</v>
      </c>
      <c r="J490" s="60">
        <f>SUMPRODUCT(N(Tabela1[Código]=Tabela2[[#This Row],[Ativo]]),Tabela1[Fechamento])</f>
        <v>5.8</v>
      </c>
      <c r="K490" s="60">
        <f>SUMPRODUCT(N(Tabela17[Código]=Tabela2[[#This Row],[Ativo]]),Tabela17[Fechamento])</f>
        <v>0</v>
      </c>
      <c r="L490" s="60">
        <f>SUMPRODUCT(N(Tabela2[Ativo]=Tabela2[[#This Row],[Ativo]]),N(Tabela2[Exercício]=Tabela2[[#This Row],[Exercício]]-1),Tabela2[Lucro Líquido])</f>
        <v>249170000</v>
      </c>
      <c r="M490" s="19">
        <f>IF(Tabela2[[#This Row],[Lucro Anterior]]=0,"",IF(Tabela2[[#This Row],[Lucro Líquido]]&gt;0,Tabela2[[#This Row],[Lucro Líquido]]/Tabela2[[#This Row],[Lucro Anterior]]-1,0))</f>
        <v>0.34749769233856398</v>
      </c>
      <c r="N490" s="3">
        <v>0.273698</v>
      </c>
    </row>
    <row r="491" spans="1:14" x14ac:dyDescent="0.2">
      <c r="A491" s="4" t="s">
        <v>67</v>
      </c>
      <c r="B491" s="4">
        <v>2011</v>
      </c>
      <c r="C491" s="5">
        <v>249170000</v>
      </c>
      <c r="D491" s="8">
        <f>SUMPRODUCT(N(Tabela3[PAPEL]=Tabela2[[#This Row],[Ativo]]),Tabela3[Total Ações])</f>
        <v>476620206</v>
      </c>
      <c r="E491" s="65">
        <f>(Tabela2[[#This Row],[Lucro Líquido]])/Tabela2[[#This Row],[Total Ações]]</f>
        <v>0.52278522157325402</v>
      </c>
      <c r="F491" s="65">
        <v>0.30580000000000002</v>
      </c>
      <c r="G491" s="45">
        <f>IF(AND(Tabela2[[#This Row],[Dividendo / Ação]]&gt;0,Tabela2[[#This Row],[Lucro por ação]]&gt;0),Tabela2[[#This Row],[Dividendo / Ação]]/Tabela2[[#This Row],[Lucro por ação]],"")</f>
        <v>0.58494384955973844</v>
      </c>
      <c r="H491" s="6">
        <f>MAX(Tabela2[[#This Row],[Cotação 1]],Tabela2[[#This Row],[Cotação 2]])</f>
        <v>5.8</v>
      </c>
      <c r="I491" s="19">
        <f>IF(Tabela2[[#This Row],[Dividendo / Ação]]&gt;0,Tabela2[[#This Row],[Dividendo / Ação]]/Tabela2[[#This Row],[Cotação]],"")</f>
        <v>5.272413793103449E-2</v>
      </c>
      <c r="J491" s="60">
        <f>SUMPRODUCT(N(Tabela1[Código]=Tabela2[[#This Row],[Ativo]]),Tabela1[Fechamento])</f>
        <v>5.8</v>
      </c>
      <c r="K491" s="60">
        <f>SUMPRODUCT(N(Tabela17[Código]=Tabela2[[#This Row],[Ativo]]),Tabela17[Fechamento])</f>
        <v>0</v>
      </c>
      <c r="L491" s="60">
        <f>SUMPRODUCT(N(Tabela2[Ativo]=Tabela2[[#This Row],[Ativo]]),N(Tabela2[Exercício]=Tabela2[[#This Row],[Exercício]]-1),Tabela2[Lucro Líquido])</f>
        <v>135511000</v>
      </c>
      <c r="M491" s="19">
        <f>IF(Tabela2[[#This Row],[Lucro Anterior]]=0,"",IF(Tabela2[[#This Row],[Lucro Líquido]]&gt;0,Tabela2[[#This Row],[Lucro Líquido]]/Tabela2[[#This Row],[Lucro Anterior]]-1,0))</f>
        <v>0.83874371822213689</v>
      </c>
      <c r="N491" s="3">
        <f>SUM(N489:N490)</f>
        <v>0.28032499999999999</v>
      </c>
    </row>
    <row r="492" spans="1:14" x14ac:dyDescent="0.2">
      <c r="A492" s="4" t="s">
        <v>67</v>
      </c>
      <c r="B492" s="4">
        <v>2010</v>
      </c>
      <c r="C492" s="5">
        <v>135511000</v>
      </c>
      <c r="D492" s="8">
        <f>SUMPRODUCT(N(Tabela3[PAPEL]=Tabela2[[#This Row],[Ativo]]),Tabela3[Total Ações])</f>
        <v>476620206</v>
      </c>
      <c r="E492" s="65">
        <f>(Tabela2[[#This Row],[Lucro Líquido]])/Tabela2[[#This Row],[Total Ações]]</f>
        <v>0.28431652350047448</v>
      </c>
      <c r="F492" s="65">
        <v>9.5899999999999999E-2</v>
      </c>
      <c r="G492" s="45">
        <f>IF(AND(Tabela2[[#This Row],[Dividendo / Ação]]&gt;0,Tabela2[[#This Row],[Lucro por ação]]&gt;0),Tabela2[[#This Row],[Dividendo / Ação]]/Tabela2[[#This Row],[Lucro por ação]],"")</f>
        <v>0.3373001288116832</v>
      </c>
      <c r="H492" s="6">
        <f>MAX(Tabela2[[#This Row],[Cotação 1]],Tabela2[[#This Row],[Cotação 2]])</f>
        <v>5.8</v>
      </c>
      <c r="I492" s="19">
        <f>IF(Tabela2[[#This Row],[Dividendo / Ação]]&gt;0,Tabela2[[#This Row],[Dividendo / Ação]]/Tabela2[[#This Row],[Cotação]],"")</f>
        <v>1.653448275862069E-2</v>
      </c>
      <c r="J492" s="60">
        <f>SUMPRODUCT(N(Tabela1[Código]=Tabela2[[#This Row],[Ativo]]),Tabela1[Fechamento])</f>
        <v>5.8</v>
      </c>
      <c r="K492" s="60">
        <f>SUMPRODUCT(N(Tabela17[Código]=Tabela2[[#This Row],[Ativo]]),Tabela17[Fechamento])</f>
        <v>0</v>
      </c>
      <c r="L492" s="60">
        <f>SUMPRODUCT(N(Tabela2[Ativo]=Tabela2[[#This Row],[Ativo]]),N(Tabela2[Exercício]=Tabela2[[#This Row],[Exercício]]-1),Tabela2[Lucro Líquido])</f>
        <v>137871000</v>
      </c>
      <c r="M492" s="19">
        <f>IF(Tabela2[[#This Row],[Lucro Anterior]]=0,"",IF(Tabela2[[#This Row],[Lucro Líquido]]&gt;0,Tabela2[[#This Row],[Lucro Líquido]]/Tabela2[[#This Row],[Lucro Anterior]]-1,0))</f>
        <v>-1.7117450370273679E-2</v>
      </c>
      <c r="N492" s="3">
        <f>Tabela2[[#This Row],[Total Ações]]*0.81</f>
        <v>386062366.86000001</v>
      </c>
    </row>
    <row r="493" spans="1:14" x14ac:dyDescent="0.2">
      <c r="A493" s="4" t="s">
        <v>67</v>
      </c>
      <c r="B493" s="4">
        <v>2009</v>
      </c>
      <c r="C493" s="5">
        <v>137871000</v>
      </c>
      <c r="D493" s="8">
        <f>SUMPRODUCT(N(Tabela3[PAPEL]=Tabela2[[#This Row],[Ativo]]),Tabela3[Total Ações])</f>
        <v>476620206</v>
      </c>
      <c r="E493" s="65">
        <f>(Tabela2[[#This Row],[Lucro Líquido]])/Tabela2[[#This Row],[Total Ações]]</f>
        <v>0.28926805507695996</v>
      </c>
      <c r="F493" s="65">
        <v>0.10059999999999999</v>
      </c>
      <c r="G493" s="45">
        <f>IF(AND(Tabela2[[#This Row],[Dividendo / Ação]]&gt;0,Tabela2[[#This Row],[Lucro por ação]]&gt;0),Tabela2[[#This Row],[Dividendo / Ação]]/Tabela2[[#This Row],[Lucro por ação]],"")</f>
        <v>0.34777431601714642</v>
      </c>
      <c r="H493" s="6">
        <f>MAX(Tabela2[[#This Row],[Cotação 1]],Tabela2[[#This Row],[Cotação 2]])</f>
        <v>5.8</v>
      </c>
      <c r="I493" s="19">
        <f>IF(Tabela2[[#This Row],[Dividendo / Ação]]&gt;0,Tabela2[[#This Row],[Dividendo / Ação]]/Tabela2[[#This Row],[Cotação]],"")</f>
        <v>1.7344827586206896E-2</v>
      </c>
      <c r="J493" s="60">
        <f>SUMPRODUCT(N(Tabela1[Código]=Tabela2[[#This Row],[Ativo]]),Tabela1[Fechamento])</f>
        <v>5.8</v>
      </c>
      <c r="K493" s="60">
        <f>SUMPRODUCT(N(Tabela17[Código]=Tabela2[[#This Row],[Ativo]]),Tabela17[Fechamento])</f>
        <v>0</v>
      </c>
      <c r="L493" s="60">
        <f>SUMPRODUCT(N(Tabela2[Ativo]=Tabela2[[#This Row],[Ativo]]),N(Tabela2[Exercício]=Tabela2[[#This Row],[Exercício]]-1),Tabela2[Lucro Líquido])</f>
        <v>0</v>
      </c>
      <c r="M493" s="19" t="str">
        <f>IF(Tabela2[[#This Row],[Lucro Anterior]]=0,"",IF(Tabela2[[#This Row],[Lucro Líquido]]&gt;0,Tabela2[[#This Row],[Lucro Líquido]]/Tabela2[[#This Row],[Lucro Anterior]]-1,0))</f>
        <v/>
      </c>
    </row>
    <row r="494" spans="1:14" x14ac:dyDescent="0.2">
      <c r="A494" s="4" t="s">
        <v>36</v>
      </c>
      <c r="B494" s="4">
        <v>2012</v>
      </c>
      <c r="C494" s="6">
        <v>1911900245.4200001</v>
      </c>
      <c r="D494" s="8">
        <f>SUMPRODUCT(N(Tabela3[PAPEL]=Tabela2[[#This Row],[Ativo]]),Tabela3[Total Ações])</f>
        <v>683509869</v>
      </c>
      <c r="E494" s="65">
        <f>(Tabela2[[#This Row],[Lucro Líquido]])/Tabela2[[#This Row],[Total Ações]]</f>
        <v>2.7971801610080336</v>
      </c>
      <c r="F494" s="65">
        <v>2.3450000000000002</v>
      </c>
      <c r="G494" s="45">
        <f>IF(AND(Tabela2[[#This Row],[Dividendo / Ação]]&gt;0,Tabela2[[#This Row],[Lucro por ação]]&gt;0),Tabela2[[#This Row],[Dividendo / Ação]]/Tabela2[[#This Row],[Lucro por ação]],"")</f>
        <v>0.83834428425050789</v>
      </c>
      <c r="H494" s="6">
        <f>MAX(Tabela2[[#This Row],[Cotação 1]],Tabela2[[#This Row],[Cotação 2]])</f>
        <v>23.46</v>
      </c>
      <c r="I494" s="19">
        <f>IF(Tabela2[[#This Row],[Dividendo / Ação]]&gt;0,Tabela2[[#This Row],[Dividendo / Ação]]/Tabela2[[#This Row],[Cotação]],"")</f>
        <v>9.995737425404945E-2</v>
      </c>
      <c r="J494" s="60">
        <f>SUMPRODUCT(N(Tabela1[Código]=Tabela2[[#This Row],[Ativo]]),Tabela1[Fechamento])</f>
        <v>23.46</v>
      </c>
      <c r="K494" s="60">
        <f>SUMPRODUCT(N(Tabela17[Código]=Tabela2[[#This Row],[Ativo]]),Tabela17[Fechamento])</f>
        <v>0</v>
      </c>
      <c r="L494" s="60">
        <f>SUMPRODUCT(N(Tabela2[Ativo]=Tabela2[[#This Row],[Ativo]]),N(Tabela2[Exercício]=Tabela2[[#This Row],[Exercício]]-1),Tabela2[Lucro Líquido])</f>
        <v>1223420217</v>
      </c>
      <c r="M494" s="19">
        <f>IF(Tabela2[[#This Row],[Lucro Anterior]]=0,"",IF(Tabela2[[#This Row],[Lucro Líquido]]&gt;0,Tabela2[[#This Row],[Lucro Líquido]]/Tabela2[[#This Row],[Lucro Anterior]]-1,0))</f>
        <v>0.56275024627944337</v>
      </c>
    </row>
    <row r="495" spans="1:14" x14ac:dyDescent="0.2">
      <c r="A495" s="4" t="s">
        <v>36</v>
      </c>
      <c r="B495" s="4">
        <v>2011</v>
      </c>
      <c r="C495" s="6">
        <v>1223420217</v>
      </c>
      <c r="D495" s="8">
        <f>SUMPRODUCT(N(Tabela3[PAPEL]=Tabela2[[#This Row],[Ativo]]),Tabela3[Total Ações])</f>
        <v>683509869</v>
      </c>
      <c r="E495" s="65">
        <f>(Tabela2[[#This Row],[Lucro Líquido]])/Tabela2[[#This Row],[Total Ações]]</f>
        <v>1.7899086355401257</v>
      </c>
      <c r="F495" s="65">
        <v>2.54</v>
      </c>
      <c r="G495" s="45">
        <f>IF(AND(Tabela2[[#This Row],[Dividendo / Ação]]&gt;0,Tabela2[[#This Row],[Lucro por ação]]&gt;0),Tabela2[[#This Row],[Dividendo / Ação]]/Tabela2[[#This Row],[Lucro por ação]],"")</f>
        <v>1.4190668448468184</v>
      </c>
      <c r="H495" s="6">
        <f>MAX(Tabela2[[#This Row],[Cotação 1]],Tabela2[[#This Row],[Cotação 2]])</f>
        <v>23.46</v>
      </c>
      <c r="I495" s="19">
        <f>IF(Tabela2[[#This Row],[Dividendo / Ação]]&gt;0,Tabela2[[#This Row],[Dividendo / Ação]]/Tabela2[[#This Row],[Cotação]],"")</f>
        <v>0.1082693947144075</v>
      </c>
      <c r="J495" s="60">
        <f>SUMPRODUCT(N(Tabela1[Código]=Tabela2[[#This Row],[Ativo]]),Tabela1[Fechamento])</f>
        <v>23.46</v>
      </c>
      <c r="K495" s="60">
        <f>SUMPRODUCT(N(Tabela17[Código]=Tabela2[[#This Row],[Ativo]]),Tabela17[Fechamento])</f>
        <v>0</v>
      </c>
      <c r="L495" s="60">
        <f>SUMPRODUCT(N(Tabela2[Ativo]=Tabela2[[#This Row],[Ativo]]),N(Tabela2[Exercício]=Tabela2[[#This Row],[Exercício]]-1),Tabela2[Lucro Líquido])</f>
        <v>1630452307</v>
      </c>
      <c r="M495" s="19">
        <f>IF(Tabela2[[#This Row],[Lucro Anterior]]=0,"",IF(Tabela2[[#This Row],[Lucro Líquido]]&gt;0,Tabela2[[#This Row],[Lucro Líquido]]/Tabela2[[#This Row],[Lucro Anterior]]-1,0))</f>
        <v>-0.24964366528998994</v>
      </c>
      <c r="N495" s="3">
        <f>0.067*D490</f>
        <v>31933553.802000001</v>
      </c>
    </row>
    <row r="496" spans="1:14" x14ac:dyDescent="0.2">
      <c r="A496" s="4" t="s">
        <v>36</v>
      </c>
      <c r="B496" s="4">
        <v>2010</v>
      </c>
      <c r="C496" s="6">
        <v>1630452307</v>
      </c>
      <c r="D496" s="8">
        <f>SUMPRODUCT(N(Tabela3[PAPEL]=Tabela2[[#This Row],[Ativo]]),Tabela3[Total Ações])</f>
        <v>683509869</v>
      </c>
      <c r="E496" s="65">
        <f>(Tabela2[[#This Row],[Lucro Líquido]])/Tabela2[[#This Row],[Total Ações]]</f>
        <v>2.385411507496463</v>
      </c>
      <c r="F496" s="65">
        <v>2</v>
      </c>
      <c r="G496" s="45">
        <f>IF(AND(Tabela2[[#This Row],[Dividendo / Ação]]&gt;0,Tabela2[[#This Row],[Lucro por ação]]&gt;0),Tabela2[[#This Row],[Dividendo / Ação]]/Tabela2[[#This Row],[Lucro por ação]],"")</f>
        <v>0.83842976095098998</v>
      </c>
      <c r="H496" s="6">
        <f>MAX(Tabela2[[#This Row],[Cotação 1]],Tabela2[[#This Row],[Cotação 2]])</f>
        <v>23.46</v>
      </c>
      <c r="I496" s="19">
        <f>IF(Tabela2[[#This Row],[Dividendo / Ação]]&gt;0,Tabela2[[#This Row],[Dividendo / Ação]]/Tabela2[[#This Row],[Cotação]],"")</f>
        <v>8.525149190110827E-2</v>
      </c>
      <c r="J496" s="60">
        <f>SUMPRODUCT(N(Tabela1[Código]=Tabela2[[#This Row],[Ativo]]),Tabela1[Fechamento])</f>
        <v>23.46</v>
      </c>
      <c r="K496" s="60">
        <f>SUMPRODUCT(N(Tabela17[Código]=Tabela2[[#This Row],[Ativo]]),Tabela17[Fechamento])</f>
        <v>0</v>
      </c>
      <c r="L496" s="60">
        <f>SUMPRODUCT(N(Tabela2[Ativo]=Tabela2[[#This Row],[Ativo]]),N(Tabela2[Exercício]=Tabela2[[#This Row],[Exercício]]-1),Tabela2[Lucro Líquido])</f>
        <v>0</v>
      </c>
      <c r="M496" s="19" t="str">
        <f>IF(Tabela2[[#This Row],[Lucro Anterior]]=0,"",IF(Tabela2[[#This Row],[Lucro Líquido]]&gt;0,Tabela2[[#This Row],[Lucro Líquido]]/Tabela2[[#This Row],[Lucro Anterior]]-1,0))</f>
        <v/>
      </c>
    </row>
    <row r="497" spans="1:14" x14ac:dyDescent="0.2">
      <c r="A497" s="4" t="s">
        <v>421</v>
      </c>
      <c r="B497" s="4">
        <v>2012</v>
      </c>
      <c r="C497" s="6">
        <v>221047209.75999999</v>
      </c>
      <c r="D497" s="77">
        <f>SUMPRODUCT(N(Tabela3[PAPEL]=Tabela2[[#This Row],[Ativo]]),Tabela3[Total Ações])</f>
        <v>57737317</v>
      </c>
      <c r="E497" s="65">
        <f>(Tabela2[[#This Row],[Lucro Líquido]])/Tabela2[[#This Row],[Total Ações]]</f>
        <v>3.8284981229730501</v>
      </c>
      <c r="F497" s="65">
        <v>1.0118932270000001</v>
      </c>
      <c r="G497" s="44">
        <f>IF(AND(Tabela2[[#This Row],[Dividendo / Ação]]&gt;0,Tabela2[[#This Row],[Lucro por ação]]&gt;0),Tabela2[[#This Row],[Dividendo / Ação]]/Tabela2[[#This Row],[Lucro por ação]],"")</f>
        <v>0.26430553039273963</v>
      </c>
      <c r="H497" s="60">
        <f>MAX(Tabela2[[#This Row],[Cotação 1]],Tabela2[[#This Row],[Cotação 2]])</f>
        <v>34.28</v>
      </c>
      <c r="I497" s="45">
        <f>IF(Tabela2[[#This Row],[Dividendo / Ação]]&gt;0,Tabela2[[#This Row],[Dividendo / Ação]]/Tabela2[[#This Row],[Cotação]],"")</f>
        <v>2.9518472199533255E-2</v>
      </c>
      <c r="J497" s="17">
        <f>SUMPRODUCT(N(Tabela1[Código]=Tabela2[[#This Row],[Ativo]]),Tabela1[Fechamento])</f>
        <v>0</v>
      </c>
      <c r="K497" s="17">
        <f>SUMPRODUCT(N(Tabela17[Código]=Tabela2[[#This Row],[Ativo]]),Tabela17[Fechamento])</f>
        <v>34.28</v>
      </c>
      <c r="L497" s="17">
        <f>SUMPRODUCT(N(Tabela2[Ativo]=Tabela2[[#This Row],[Ativo]]),N(Tabela2[Exercício]=Tabela2[[#This Row],[Exercício]]-1),Tabela2[Lucro Líquido])</f>
        <v>96359523.819999993</v>
      </c>
      <c r="M497" s="19">
        <f>IF(Tabela2[[#This Row],[Lucro Anterior]]=0,"",IF(Tabela2[[#This Row],[Lucro Líquido]]&gt;0,Tabela2[[#This Row],[Lucro Líquido]]/Tabela2[[#This Row],[Lucro Anterior]]-1,0))</f>
        <v>1.2939840401548386</v>
      </c>
    </row>
    <row r="498" spans="1:14" x14ac:dyDescent="0.2">
      <c r="A498" s="4" t="s">
        <v>421</v>
      </c>
      <c r="B498" s="4">
        <v>2011</v>
      </c>
      <c r="C498" s="6">
        <v>96359523.819999993</v>
      </c>
      <c r="D498" s="77">
        <f>SUMPRODUCT(N(Tabela3[PAPEL]=Tabela2[[#This Row],[Ativo]]),Tabela3[Total Ações])</f>
        <v>57737317</v>
      </c>
      <c r="E498" s="65">
        <f>(Tabela2[[#This Row],[Lucro Líquido]])/Tabela2[[#This Row],[Total Ações]]</f>
        <v>1.6689297117841482</v>
      </c>
      <c r="F498" s="65">
        <v>0</v>
      </c>
      <c r="G498" s="44" t="str">
        <f>IF(AND(Tabela2[[#This Row],[Dividendo / Ação]]&gt;0,Tabela2[[#This Row],[Lucro por ação]]&gt;0),Tabela2[[#This Row],[Dividendo / Ação]]/Tabela2[[#This Row],[Lucro por ação]],"")</f>
        <v/>
      </c>
      <c r="H498" s="60">
        <f>MAX(Tabela2[[#This Row],[Cotação 1]],Tabela2[[#This Row],[Cotação 2]])</f>
        <v>34.28</v>
      </c>
      <c r="I498" s="45" t="str">
        <f>IF(Tabela2[[#This Row],[Dividendo / Ação]]&gt;0,Tabela2[[#This Row],[Dividendo / Ação]]/Tabela2[[#This Row],[Cotação]],"")</f>
        <v/>
      </c>
      <c r="J498" s="17">
        <f>SUMPRODUCT(N(Tabela1[Código]=Tabela2[[#This Row],[Ativo]]),Tabela1[Fechamento])</f>
        <v>0</v>
      </c>
      <c r="K498" s="17">
        <f>SUMPRODUCT(N(Tabela17[Código]=Tabela2[[#This Row],[Ativo]]),Tabela17[Fechamento])</f>
        <v>34.28</v>
      </c>
      <c r="L498" s="17">
        <f>SUMPRODUCT(N(Tabela2[Ativo]=Tabela2[[#This Row],[Ativo]]),N(Tabela2[Exercício]=Tabela2[[#This Row],[Exercício]]-1),Tabela2[Lucro Líquido])</f>
        <v>91934228.780000001</v>
      </c>
      <c r="M498" s="19">
        <f>IF(Tabela2[[#This Row],[Lucro Anterior]]=0,"",IF(Tabela2[[#This Row],[Lucro Líquido]]&gt;0,Tabela2[[#This Row],[Lucro Líquido]]/Tabela2[[#This Row],[Lucro Anterior]]-1,0))</f>
        <v>4.8135445293066903E-2</v>
      </c>
    </row>
    <row r="499" spans="1:14" x14ac:dyDescent="0.2">
      <c r="A499" s="4" t="s">
        <v>421</v>
      </c>
      <c r="B499" s="4">
        <v>2010</v>
      </c>
      <c r="C499" s="6">
        <v>91934228.780000001</v>
      </c>
      <c r="D499" s="77">
        <f>SUMPRODUCT(N(Tabela3[PAPEL]=Tabela2[[#This Row],[Ativo]]),Tabela3[Total Ações])</f>
        <v>57737317</v>
      </c>
      <c r="E499" s="65">
        <f>(Tabela2[[#This Row],[Lucro Líquido]])/Tabela2[[#This Row],[Total Ações]]</f>
        <v>1.5922843934712103</v>
      </c>
      <c r="F499" s="65">
        <v>0.74785255399999995</v>
      </c>
      <c r="G499" s="44">
        <f>IF(AND(Tabela2[[#This Row],[Dividendo / Ação]]&gt;0,Tabela2[[#This Row],[Lucro por ação]]&gt;0),Tabela2[[#This Row],[Dividendo / Ação]]/Tabela2[[#This Row],[Lucro por ação]],"")</f>
        <v>0.46967272747657041</v>
      </c>
      <c r="H499" s="60">
        <f>MAX(Tabela2[[#This Row],[Cotação 1]],Tabela2[[#This Row],[Cotação 2]])</f>
        <v>34.28</v>
      </c>
      <c r="I499" s="45">
        <f>IF(Tabela2[[#This Row],[Dividendo / Ação]]&gt;0,Tabela2[[#This Row],[Dividendo / Ação]]/Tabela2[[#This Row],[Cotação]],"")</f>
        <v>2.1816002158693112E-2</v>
      </c>
      <c r="J499" s="17">
        <f>SUMPRODUCT(N(Tabela1[Código]=Tabela2[[#This Row],[Ativo]]),Tabela1[Fechamento])</f>
        <v>0</v>
      </c>
      <c r="K499" s="17">
        <f>SUMPRODUCT(N(Tabela17[Código]=Tabela2[[#This Row],[Ativo]]),Tabela17[Fechamento])</f>
        <v>34.28</v>
      </c>
      <c r="L499" s="17">
        <f>SUMPRODUCT(N(Tabela2[Ativo]=Tabela2[[#This Row],[Ativo]]),N(Tabela2[Exercício]=Tabela2[[#This Row],[Exercício]]-1),Tabela2[Lucro Líquido])</f>
        <v>0</v>
      </c>
      <c r="M499" s="19" t="str">
        <f>IF(Tabela2[[#This Row],[Lucro Anterior]]=0,"",IF(Tabela2[[#This Row],[Lucro Líquido]]&gt;0,Tabela2[[#This Row],[Lucro Líquido]]/Tabela2[[#This Row],[Lucro Anterior]]-1,0))</f>
        <v/>
      </c>
      <c r="N499" s="68">
        <f>1.3*Tabela2[[#This Row],[Total Ações]]</f>
        <v>75058512.100000009</v>
      </c>
    </row>
    <row r="500" spans="1:14" x14ac:dyDescent="0.2">
      <c r="A500" s="4" t="s">
        <v>77</v>
      </c>
      <c r="B500" s="4">
        <v>2012</v>
      </c>
      <c r="C500" s="6">
        <v>26389234.239999998</v>
      </c>
      <c r="D500" s="8">
        <f>SUMPRODUCT(N(Tabela3[PAPEL]=Tabela2[[#This Row],[Ativo]]),Tabela3[Total Ações])</f>
        <v>137747421</v>
      </c>
      <c r="E500" s="65">
        <f>(Tabela2[[#This Row],[Lucro Líquido]])/Tabela2[[#This Row],[Total Ações]]</f>
        <v>0.19157697507817587</v>
      </c>
      <c r="F500" s="65">
        <v>0.59209073000000001</v>
      </c>
      <c r="G500" s="45">
        <f>IF(AND(Tabela2[[#This Row],[Dividendo / Ação]]&gt;0,Tabela2[[#This Row],[Lucro por ação]]&gt;0),Tabela2[[#This Row],[Dividendo / Ação]]/Tabela2[[#This Row],[Lucro por ação]],"")</f>
        <v>3.090615298411453</v>
      </c>
      <c r="H500" s="6">
        <f>MAX(Tabela2[[#This Row],[Cotação 1]],Tabela2[[#This Row],[Cotação 2]])</f>
        <v>2.85</v>
      </c>
      <c r="I500" s="19">
        <f>IF(Tabela2[[#This Row],[Dividendo / Ação]]&gt;0,Tabela2[[#This Row],[Dividendo / Ação]]/Tabela2[[#This Row],[Cotação]],"")</f>
        <v>0.20775113333333334</v>
      </c>
      <c r="J500" s="60">
        <f>SUMPRODUCT(N(Tabela1[Código]=Tabela2[[#This Row],[Ativo]]),Tabela1[Fechamento])</f>
        <v>2.85</v>
      </c>
      <c r="K500" s="60">
        <f>SUMPRODUCT(N(Tabela17[Código]=Tabela2[[#This Row],[Ativo]]),Tabela17[Fechamento])</f>
        <v>0</v>
      </c>
      <c r="L500" s="60">
        <f>SUMPRODUCT(N(Tabela2[Ativo]=Tabela2[[#This Row],[Ativo]]),N(Tabela2[Exercício]=Tabela2[[#This Row],[Exercício]]-1),Tabela2[Lucro Líquido])</f>
        <v>27175402.329999998</v>
      </c>
      <c r="M500" s="19">
        <f>IF(Tabela2[[#This Row],[Lucro Anterior]]=0,"",IF(Tabela2[[#This Row],[Lucro Líquido]]&gt;0,Tabela2[[#This Row],[Lucro Líquido]]/Tabela2[[#This Row],[Lucro Anterior]]-1,0))</f>
        <v>-2.8929400214697809E-2</v>
      </c>
    </row>
    <row r="501" spans="1:14" x14ac:dyDescent="0.2">
      <c r="A501" s="4" t="s">
        <v>77</v>
      </c>
      <c r="B501" s="4">
        <v>2011</v>
      </c>
      <c r="C501" s="6">
        <v>27175402.329999998</v>
      </c>
      <c r="D501" s="8">
        <f>SUMPRODUCT(N(Tabela3[PAPEL]=Tabela2[[#This Row],[Ativo]]),Tabela3[Total Ações])</f>
        <v>137747421</v>
      </c>
      <c r="E501" s="65">
        <f>(Tabela2[[#This Row],[Lucro Líquido]])/Tabela2[[#This Row],[Total Ações]]</f>
        <v>0.19728429129718514</v>
      </c>
      <c r="F501" s="65">
        <v>0.28363851000000001</v>
      </c>
      <c r="G501" s="45">
        <f>IF(AND(Tabela2[[#This Row],[Dividendo / Ação]]&gt;0,Tabela2[[#This Row],[Lucro por ação]]&gt;0),Tabela2[[#This Row],[Dividendo / Ação]]/Tabela2[[#This Row],[Lucro por ação]],"")</f>
        <v>1.4377146205357658</v>
      </c>
      <c r="H501" s="6">
        <f>MAX(Tabela2[[#This Row],[Cotação 1]],Tabela2[[#This Row],[Cotação 2]])</f>
        <v>2.85</v>
      </c>
      <c r="I501" s="19">
        <f>IF(Tabela2[[#This Row],[Dividendo / Ação]]&gt;0,Tabela2[[#This Row],[Dividendo / Ação]]/Tabela2[[#This Row],[Cotação]],"")</f>
        <v>9.9522284210526321E-2</v>
      </c>
      <c r="J501" s="60">
        <f>SUMPRODUCT(N(Tabela1[Código]=Tabela2[[#This Row],[Ativo]]),Tabela1[Fechamento])</f>
        <v>2.85</v>
      </c>
      <c r="K501" s="60">
        <f>SUMPRODUCT(N(Tabela17[Código]=Tabela2[[#This Row],[Ativo]]),Tabela17[Fechamento])</f>
        <v>0</v>
      </c>
      <c r="L501" s="60">
        <f>SUMPRODUCT(N(Tabela2[Ativo]=Tabela2[[#This Row],[Ativo]]),N(Tabela2[Exercício]=Tabela2[[#This Row],[Exercício]]-1),Tabela2[Lucro Líquido])</f>
        <v>76030857.450000003</v>
      </c>
      <c r="M501" s="19">
        <f>IF(Tabela2[[#This Row],[Lucro Anterior]]=0,"",IF(Tabela2[[#This Row],[Lucro Líquido]]&gt;0,Tabela2[[#This Row],[Lucro Líquido]]/Tabela2[[#This Row],[Lucro Anterior]]-1,0))</f>
        <v>-0.64257403847021854</v>
      </c>
    </row>
    <row r="502" spans="1:14" x14ac:dyDescent="0.2">
      <c r="A502" s="4" t="s">
        <v>77</v>
      </c>
      <c r="B502" s="4">
        <v>2010</v>
      </c>
      <c r="C502" s="6">
        <v>76030857.450000003</v>
      </c>
      <c r="D502" s="8">
        <f>SUMPRODUCT(N(Tabela3[PAPEL]=Tabela2[[#This Row],[Ativo]]),Tabela3[Total Ações])</f>
        <v>137747421</v>
      </c>
      <c r="E502" s="65">
        <f>(Tabela2[[#This Row],[Lucro Líquido]])/Tabela2[[#This Row],[Total Ações]]</f>
        <v>0.55195848240236745</v>
      </c>
      <c r="F502" s="65">
        <v>0.69388981999999999</v>
      </c>
      <c r="G502" s="45">
        <f>IF(AND(Tabela2[[#This Row],[Dividendo / Ação]]&gt;0,Tabela2[[#This Row],[Lucro por ação]]&gt;0),Tabela2[[#This Row],[Dividendo / Ação]]/Tabela2[[#This Row],[Lucro por ação]],"")</f>
        <v>1.2571413287823472</v>
      </c>
      <c r="H502" s="6">
        <f>MAX(Tabela2[[#This Row],[Cotação 1]],Tabela2[[#This Row],[Cotação 2]])</f>
        <v>2.85</v>
      </c>
      <c r="I502" s="19">
        <f>IF(Tabela2[[#This Row],[Dividendo / Ação]]&gt;0,Tabela2[[#This Row],[Dividendo / Ação]]/Tabela2[[#This Row],[Cotação]],"")</f>
        <v>0.24347011228070176</v>
      </c>
      <c r="J502" s="60">
        <f>SUMPRODUCT(N(Tabela1[Código]=Tabela2[[#This Row],[Ativo]]),Tabela1[Fechamento])</f>
        <v>2.85</v>
      </c>
      <c r="K502" s="60">
        <f>SUMPRODUCT(N(Tabela17[Código]=Tabela2[[#This Row],[Ativo]]),Tabela17[Fechamento])</f>
        <v>0</v>
      </c>
      <c r="L502" s="60">
        <f>SUMPRODUCT(N(Tabela2[Ativo]=Tabela2[[#This Row],[Ativo]]),N(Tabela2[Exercício]=Tabela2[[#This Row],[Exercício]]-1),Tabela2[Lucro Líquido])</f>
        <v>0</v>
      </c>
      <c r="M502" s="19" t="str">
        <f>IF(Tabela2[[#This Row],[Lucro Anterior]]=0,"",IF(Tabela2[[#This Row],[Lucro Líquido]]&gt;0,Tabela2[[#This Row],[Lucro Líquido]]/Tabela2[[#This Row],[Lucro Anterior]]-1,0))</f>
        <v/>
      </c>
    </row>
    <row r="503" spans="1:14" x14ac:dyDescent="0.2">
      <c r="A503" s="3" t="s">
        <v>307</v>
      </c>
      <c r="B503" s="3">
        <v>2012</v>
      </c>
      <c r="C503" s="5">
        <v>72949906.010000005</v>
      </c>
      <c r="D503" s="61">
        <f>SUMPRODUCT(N(Tabela3[PAPEL]=Tabela2[[#This Row],[Ativo]]),Tabela3[Total Ações])</f>
        <v>113000000</v>
      </c>
      <c r="E503" s="64">
        <f>(Tabela2[[#This Row],[Lucro Líquido]])/Tabela2[[#This Row],[Total Ações]]</f>
        <v>0.64557438946902657</v>
      </c>
      <c r="F503" s="64">
        <v>0.26730199999999998</v>
      </c>
      <c r="G503" s="22">
        <f>IF(AND(Tabela2[[#This Row],[Dividendo / Ação]]&gt;0,Tabela2[[#This Row],[Lucro por ação]]&gt;0),Tabela2[[#This Row],[Dividendo / Ação]]/Tabela2[[#This Row],[Lucro por ação]],"")</f>
        <v>0.41405298035421001</v>
      </c>
      <c r="H503" s="50">
        <f>MAX(Tabela2[[#This Row],[Cotação 1]],Tabela2[[#This Row],[Cotação 2]])</f>
        <v>26.8</v>
      </c>
      <c r="I503" s="18">
        <f>IF(Tabela2[[#This Row],[Dividendo / Ação]]&gt;0,Tabela2[[#This Row],[Dividendo / Ação]]/Tabela2[[#This Row],[Cotação]],"")</f>
        <v>9.973955223880596E-3</v>
      </c>
      <c r="J503" s="7">
        <f>SUMPRODUCT(N(Tabela1[Código]=Tabela2[[#This Row],[Ativo]]),Tabela1[Fechamento])</f>
        <v>0</v>
      </c>
      <c r="K503" s="7">
        <f>SUMPRODUCT(N(Tabela17[Código]=Tabela2[[#This Row],[Ativo]]),Tabela17[Fechamento])</f>
        <v>26.8</v>
      </c>
      <c r="L503" s="7">
        <f>SUMPRODUCT(N(Tabela2[Ativo]=Tabela2[[#This Row],[Ativo]]),N(Tabela2[Exercício]=Tabela2[[#This Row],[Exercício]]-1),Tabela2[Lucro Líquido])</f>
        <v>126610718.51000001</v>
      </c>
      <c r="M503" s="18">
        <f>IF(Tabela2[[#This Row],[Lucro Anterior]]=0,"",IF(Tabela2[[#This Row],[Lucro Líquido]]&gt;0,Tabela2[[#This Row],[Lucro Líquido]]/Tabela2[[#This Row],[Lucro Anterior]]-1,0))</f>
        <v>-0.42382519530336404</v>
      </c>
    </row>
    <row r="504" spans="1:14" x14ac:dyDescent="0.2">
      <c r="A504" s="3" t="s">
        <v>307</v>
      </c>
      <c r="B504" s="3">
        <v>2011</v>
      </c>
      <c r="C504" s="5">
        <v>126610718.51000001</v>
      </c>
      <c r="D504" s="61">
        <f>SUMPRODUCT(N(Tabela3[PAPEL]=Tabela2[[#This Row],[Ativo]]),Tabela3[Total Ações])</f>
        <v>113000000</v>
      </c>
      <c r="E504" s="64">
        <f>(Tabela2[[#This Row],[Lucro Líquido]])/Tabela2[[#This Row],[Total Ações]]</f>
        <v>1.1204488363716814</v>
      </c>
      <c r="F504" s="64">
        <v>0.32134299999999999</v>
      </c>
      <c r="G504" s="22">
        <f>IF(AND(Tabela2[[#This Row],[Dividendo / Ação]]&gt;0,Tabela2[[#This Row],[Lucro por ação]]&gt;0),Tabela2[[#This Row],[Dividendo / Ação]]/Tabela2[[#This Row],[Lucro por ação]],"")</f>
        <v>0.28679845930368064</v>
      </c>
      <c r="H504" s="50">
        <f>MAX(Tabela2[[#This Row],[Cotação 1]],Tabela2[[#This Row],[Cotação 2]])</f>
        <v>26.8</v>
      </c>
      <c r="I504" s="18">
        <f>IF(Tabela2[[#This Row],[Dividendo / Ação]]&gt;0,Tabela2[[#This Row],[Dividendo / Ação]]/Tabela2[[#This Row],[Cotação]],"")</f>
        <v>1.1990410447761193E-2</v>
      </c>
      <c r="J504" s="7">
        <f>SUMPRODUCT(N(Tabela1[Código]=Tabela2[[#This Row],[Ativo]]),Tabela1[Fechamento])</f>
        <v>0</v>
      </c>
      <c r="K504" s="7">
        <f>SUMPRODUCT(N(Tabela17[Código]=Tabela2[[#This Row],[Ativo]]),Tabela17[Fechamento])</f>
        <v>26.8</v>
      </c>
      <c r="L504" s="7">
        <f>SUMPRODUCT(N(Tabela2[Ativo]=Tabela2[[#This Row],[Ativo]]),N(Tabela2[Exercício]=Tabela2[[#This Row],[Exercício]]-1),Tabela2[Lucro Líquido])</f>
        <v>142288162.75</v>
      </c>
      <c r="M504" s="18">
        <f>IF(Tabela2[[#This Row],[Lucro Anterior]]=0,"",IF(Tabela2[[#This Row],[Lucro Líquido]]&gt;0,Tabela2[[#This Row],[Lucro Líquido]]/Tabela2[[#This Row],[Lucro Anterior]]-1,0))</f>
        <v>-0.1101809450414033</v>
      </c>
    </row>
    <row r="505" spans="1:14" x14ac:dyDescent="0.2">
      <c r="A505" s="3" t="s">
        <v>307</v>
      </c>
      <c r="B505" s="3">
        <v>2010</v>
      </c>
      <c r="C505" s="5">
        <v>142288162.75</v>
      </c>
      <c r="D505" s="61">
        <f>SUMPRODUCT(N(Tabela3[PAPEL]=Tabela2[[#This Row],[Ativo]]),Tabela3[Total Ações])</f>
        <v>113000000</v>
      </c>
      <c r="E505" s="64">
        <f>(Tabela2[[#This Row],[Lucro Líquido]])/Tabela2[[#This Row],[Total Ações]]</f>
        <v>1.2591872809734512</v>
      </c>
      <c r="F505" s="64">
        <v>0.41675099999999998</v>
      </c>
      <c r="G505" s="22">
        <f>IF(AND(Tabela2[[#This Row],[Dividendo / Ação]]&gt;0,Tabela2[[#This Row],[Lucro por ação]]&gt;0),Tabela2[[#This Row],[Dividendo / Ação]]/Tabela2[[#This Row],[Lucro por ação]],"")</f>
        <v>0.33096824141824127</v>
      </c>
      <c r="H505" s="50">
        <f>MAX(Tabela2[[#This Row],[Cotação 1]],Tabela2[[#This Row],[Cotação 2]])</f>
        <v>26.8</v>
      </c>
      <c r="I505" s="18">
        <f>IF(Tabela2[[#This Row],[Dividendo / Ação]]&gt;0,Tabela2[[#This Row],[Dividendo / Ação]]/Tabela2[[#This Row],[Cotação]],"")</f>
        <v>1.5550410447761193E-2</v>
      </c>
      <c r="J505" s="7">
        <f>SUMPRODUCT(N(Tabela1[Código]=Tabela2[[#This Row],[Ativo]]),Tabela1[Fechamento])</f>
        <v>0</v>
      </c>
      <c r="K505" s="7">
        <f>SUMPRODUCT(N(Tabela17[Código]=Tabela2[[#This Row],[Ativo]]),Tabela17[Fechamento])</f>
        <v>26.8</v>
      </c>
      <c r="L505" s="7">
        <f>SUMPRODUCT(N(Tabela2[Ativo]=Tabela2[[#This Row],[Ativo]]),N(Tabela2[Exercício]=Tabela2[[#This Row],[Exercício]]-1),Tabela2[Lucro Líquido])</f>
        <v>93031657.010000005</v>
      </c>
      <c r="M505" s="18">
        <f>IF(Tabela2[[#This Row],[Lucro Anterior]]=0,"",IF(Tabela2[[#This Row],[Lucro Líquido]]&gt;0,Tabela2[[#This Row],[Lucro Líquido]]/Tabela2[[#This Row],[Lucro Anterior]]-1,0))</f>
        <v>0.52945961969381461</v>
      </c>
    </row>
    <row r="506" spans="1:14" x14ac:dyDescent="0.2">
      <c r="A506" s="3" t="s">
        <v>307</v>
      </c>
      <c r="B506" s="3">
        <v>2009</v>
      </c>
      <c r="C506" s="5">
        <v>93031657.010000005</v>
      </c>
      <c r="D506" s="61">
        <f>SUMPRODUCT(N(Tabela3[PAPEL]=Tabela2[[#This Row],[Ativo]]),Tabela3[Total Ações])</f>
        <v>113000000</v>
      </c>
      <c r="E506" s="64">
        <f>(Tabela2[[#This Row],[Lucro Líquido]])/Tabela2[[#This Row],[Total Ações]]</f>
        <v>0.82328900008849559</v>
      </c>
      <c r="F506" s="64">
        <v>0.24957299999999999</v>
      </c>
      <c r="G506" s="22">
        <f>IF(AND(Tabela2[[#This Row],[Dividendo / Ação]]&gt;0,Tabela2[[#This Row],[Lucro por ação]]&gt;0),Tabela2[[#This Row],[Dividendo / Ação]]/Tabela2[[#This Row],[Lucro por ação]],"")</f>
        <v>0.30314142418175549</v>
      </c>
      <c r="H506" s="50">
        <f>MAX(Tabela2[[#This Row],[Cotação 1]],Tabela2[[#This Row],[Cotação 2]])</f>
        <v>26.8</v>
      </c>
      <c r="I506" s="18">
        <f>IF(Tabela2[[#This Row],[Dividendo / Ação]]&gt;0,Tabela2[[#This Row],[Dividendo / Ação]]/Tabela2[[#This Row],[Cotação]],"")</f>
        <v>9.3124253731343282E-3</v>
      </c>
      <c r="J506" s="7">
        <f>SUMPRODUCT(N(Tabela1[Código]=Tabela2[[#This Row],[Ativo]]),Tabela1[Fechamento])</f>
        <v>0</v>
      </c>
      <c r="K506" s="7">
        <f>SUMPRODUCT(N(Tabela17[Código]=Tabela2[[#This Row],[Ativo]]),Tabela17[Fechamento])</f>
        <v>26.8</v>
      </c>
      <c r="L506" s="7">
        <f>SUMPRODUCT(N(Tabela2[Ativo]=Tabela2[[#This Row],[Ativo]]),N(Tabela2[Exercício]=Tabela2[[#This Row],[Exercício]]-1),Tabela2[Lucro Líquido])</f>
        <v>0</v>
      </c>
      <c r="M506" s="18" t="str">
        <f>IF(Tabela2[[#This Row],[Lucro Anterior]]=0,"",IF(Tabela2[[#This Row],[Lucro Líquido]]&gt;0,Tabela2[[#This Row],[Lucro Líquido]]/Tabela2[[#This Row],[Lucro Anterior]]-1,0))</f>
        <v/>
      </c>
    </row>
    <row r="507" spans="1:14" x14ac:dyDescent="0.2">
      <c r="A507" s="4" t="s">
        <v>420</v>
      </c>
      <c r="B507" s="4">
        <v>2012</v>
      </c>
      <c r="C507" s="6">
        <v>185531000</v>
      </c>
      <c r="D507" s="77">
        <f>SUMPRODUCT(N(Tabela3[PAPEL]=Tabela2[[#This Row],[Ativo]]),Tabela3[Total Ações])</f>
        <v>76423831</v>
      </c>
      <c r="E507" s="65">
        <f>(Tabela2[[#This Row],[Lucro Líquido]])/Tabela2[[#This Row],[Total Ações]]</f>
        <v>2.4276589850618717</v>
      </c>
      <c r="F507" s="65">
        <v>0.35</v>
      </c>
      <c r="G507" s="44">
        <f>IF(AND(Tabela2[[#This Row],[Dividendo / Ação]]&gt;0,Tabela2[[#This Row],[Lucro por ação]]&gt;0),Tabela2[[#This Row],[Dividendo / Ação]]/Tabela2[[#This Row],[Lucro por ação]],"")</f>
        <v>0.14417181414426697</v>
      </c>
      <c r="H507" s="60">
        <f>MAX(Tabela2[[#This Row],[Cotação 1]],Tabela2[[#This Row],[Cotação 2]])</f>
        <v>17.350000000000001</v>
      </c>
      <c r="I507" s="45">
        <f>IF(Tabela2[[#This Row],[Dividendo / Ação]]&gt;0,Tabela2[[#This Row],[Dividendo / Ação]]/Tabela2[[#This Row],[Cotação]],"")</f>
        <v>2.0172910662824204E-2</v>
      </c>
      <c r="J507" s="17">
        <f>SUMPRODUCT(N(Tabela1[Código]=Tabela2[[#This Row],[Ativo]]),Tabela1[Fechamento])</f>
        <v>0</v>
      </c>
      <c r="K507" s="17">
        <f>SUMPRODUCT(N(Tabela17[Código]=Tabela2[[#This Row],[Ativo]]),Tabela17[Fechamento])</f>
        <v>17.350000000000001</v>
      </c>
      <c r="L507" s="17">
        <f>SUMPRODUCT(N(Tabela2[Ativo]=Tabela2[[#This Row],[Ativo]]),N(Tabela2[Exercício]=Tabela2[[#This Row],[Exercício]]-1),Tabela2[Lucro Líquido])</f>
        <v>239206591.03</v>
      </c>
      <c r="M507" s="19">
        <f>IF(Tabela2[[#This Row],[Lucro Anterior]]=0,"",IF(Tabela2[[#This Row],[Lucro Líquido]]&gt;0,Tabela2[[#This Row],[Lucro Líquido]]/Tabela2[[#This Row],[Lucro Anterior]]-1,0))</f>
        <v>-0.22439010061921039</v>
      </c>
    </row>
    <row r="508" spans="1:14" x14ac:dyDescent="0.2">
      <c r="A508" s="4" t="s">
        <v>420</v>
      </c>
      <c r="B508" s="4">
        <v>2011</v>
      </c>
      <c r="C508" s="6">
        <v>239206591.03</v>
      </c>
      <c r="D508" s="77">
        <f>SUMPRODUCT(N(Tabela3[PAPEL]=Tabela2[[#This Row],[Ativo]]),Tabela3[Total Ações])</f>
        <v>76423831</v>
      </c>
      <c r="E508" s="65">
        <f>(Tabela2[[#This Row],[Lucro Líquido]])/Tabela2[[#This Row],[Total Ações]]</f>
        <v>3.13</v>
      </c>
      <c r="F508" s="65">
        <v>0.32</v>
      </c>
      <c r="G508" s="44">
        <f>IF(AND(Tabela2[[#This Row],[Dividendo / Ação]]&gt;0,Tabela2[[#This Row],[Lucro por ação]]&gt;0),Tabela2[[#This Row],[Dividendo / Ação]]/Tabela2[[#This Row],[Lucro por ação]],"")</f>
        <v>0.10223642172523963</v>
      </c>
      <c r="H508" s="60">
        <f>MAX(Tabela2[[#This Row],[Cotação 1]],Tabela2[[#This Row],[Cotação 2]])</f>
        <v>17.350000000000001</v>
      </c>
      <c r="I508" s="45">
        <f>IF(Tabela2[[#This Row],[Dividendo / Ação]]&gt;0,Tabela2[[#This Row],[Dividendo / Ação]]/Tabela2[[#This Row],[Cotação]],"")</f>
        <v>1.844380403458213E-2</v>
      </c>
      <c r="J508" s="17">
        <f>SUMPRODUCT(N(Tabela1[Código]=Tabela2[[#This Row],[Ativo]]),Tabela1[Fechamento])</f>
        <v>0</v>
      </c>
      <c r="K508" s="17">
        <f>SUMPRODUCT(N(Tabela17[Código]=Tabela2[[#This Row],[Ativo]]),Tabela17[Fechamento])</f>
        <v>17.350000000000001</v>
      </c>
      <c r="L508" s="17">
        <f>SUMPRODUCT(N(Tabela2[Ativo]=Tabela2[[#This Row],[Ativo]]),N(Tabela2[Exercício]=Tabela2[[#This Row],[Exercício]]-1),Tabela2[Lucro Líquido])</f>
        <v>200230437.22</v>
      </c>
      <c r="M508" s="19">
        <f>IF(Tabela2[[#This Row],[Lucro Anterior]]=0,"",IF(Tabela2[[#This Row],[Lucro Líquido]]&gt;0,Tabela2[[#This Row],[Lucro Líquido]]/Tabela2[[#This Row],[Lucro Anterior]]-1,0))</f>
        <v>0.19465648854961826</v>
      </c>
      <c r="N508" s="68">
        <f>6.91*D509</f>
        <v>528088672.21000004</v>
      </c>
    </row>
    <row r="509" spans="1:14" x14ac:dyDescent="0.2">
      <c r="A509" s="4" t="s">
        <v>420</v>
      </c>
      <c r="B509" s="4">
        <v>2010</v>
      </c>
      <c r="C509" s="6">
        <v>200230437.22</v>
      </c>
      <c r="D509" s="77">
        <f>SUMPRODUCT(N(Tabela3[PAPEL]=Tabela2[[#This Row],[Ativo]]),Tabela3[Total Ações])</f>
        <v>76423831</v>
      </c>
      <c r="E509" s="65">
        <f>(Tabela2[[#This Row],[Lucro Líquido]])/Tabela2[[#This Row],[Total Ações]]</f>
        <v>2.62</v>
      </c>
      <c r="F509" s="65">
        <v>0.26</v>
      </c>
      <c r="G509" s="44">
        <f>IF(AND(Tabela2[[#This Row],[Dividendo / Ação]]&gt;0,Tabela2[[#This Row],[Lucro por ação]]&gt;0),Tabela2[[#This Row],[Dividendo / Ação]]/Tabela2[[#This Row],[Lucro por ação]],"")</f>
        <v>9.9236641221374045E-2</v>
      </c>
      <c r="H509" s="60">
        <f>MAX(Tabela2[[#This Row],[Cotação 1]],Tabela2[[#This Row],[Cotação 2]])</f>
        <v>17.350000000000001</v>
      </c>
      <c r="I509" s="45">
        <f>IF(Tabela2[[#This Row],[Dividendo / Ação]]&gt;0,Tabela2[[#This Row],[Dividendo / Ação]]/Tabela2[[#This Row],[Cotação]],"")</f>
        <v>1.4985590778097982E-2</v>
      </c>
      <c r="J509" s="17">
        <f>SUMPRODUCT(N(Tabela1[Código]=Tabela2[[#This Row],[Ativo]]),Tabela1[Fechamento])</f>
        <v>0</v>
      </c>
      <c r="K509" s="17">
        <f>SUMPRODUCT(N(Tabela17[Código]=Tabela2[[#This Row],[Ativo]]),Tabela17[Fechamento])</f>
        <v>17.350000000000001</v>
      </c>
      <c r="L509" s="17">
        <f>SUMPRODUCT(N(Tabela2[Ativo]=Tabela2[[#This Row],[Ativo]]),N(Tabela2[Exercício]=Tabela2[[#This Row],[Exercício]]-1),Tabela2[Lucro Líquido])</f>
        <v>0</v>
      </c>
      <c r="M509" s="19" t="str">
        <f>IF(Tabela2[[#This Row],[Lucro Anterior]]=0,"",IF(Tabela2[[#This Row],[Lucro Líquido]]&gt;0,Tabela2[[#This Row],[Lucro Líquido]]/Tabela2[[#This Row],[Lucro Anterior]]-1,0))</f>
        <v/>
      </c>
    </row>
    <row r="510" spans="1:14" x14ac:dyDescent="0.2">
      <c r="A510" s="4" t="s">
        <v>57</v>
      </c>
      <c r="B510" s="4">
        <v>2012</v>
      </c>
      <c r="C510" s="6">
        <v>483247945.06999999</v>
      </c>
      <c r="D510" s="8">
        <f>SUMPRODUCT(N(Tabela3[PAPEL]=Tabela2[[#This Row],[Ativo]]),Tabela3[Total Ações])</f>
        <v>1022205493</v>
      </c>
      <c r="E510" s="65">
        <f>(Tabela2[[#This Row],[Lucro Líquido]])/Tabela2[[#This Row],[Total Ações]]</f>
        <v>0.47275029177523703</v>
      </c>
      <c r="F510" s="65">
        <v>0.30062499999999998</v>
      </c>
      <c r="G510" s="45">
        <f>IF(AND(Tabela2[[#This Row],[Dividendo / Ação]]&gt;0,Tabela2[[#This Row],[Lucro por ação]]&gt;0),Tabela2[[#This Row],[Dividendo / Ação]]/Tabela2[[#This Row],[Lucro por ação]],"")</f>
        <v>0.63590653507820194</v>
      </c>
      <c r="H510" s="13">
        <f>MAX(Tabela2[[#This Row],[Cotação 1]],Tabela2[[#This Row],[Cotação 2]])</f>
        <v>14.07</v>
      </c>
      <c r="I510" s="19">
        <f>IF(Tabela2[[#This Row],[Dividendo / Ação]]&gt;0,Tabela2[[#This Row],[Dividendo / Ação]]/Tabela2[[#This Row],[Cotação]],"")</f>
        <v>2.1366382373845059E-2</v>
      </c>
      <c r="J510" s="17">
        <f>SUMPRODUCT(N(Tabela1[Código]=Tabela2[[#This Row],[Ativo]]),Tabela1[Fechamento])</f>
        <v>0</v>
      </c>
      <c r="K510" s="17">
        <f>SUMPRODUCT(N(Tabela17[Código]=Tabela2[[#This Row],[Ativo]]),Tabela17[Fechamento])</f>
        <v>14.07</v>
      </c>
      <c r="L510" s="17">
        <f>SUMPRODUCT(N(Tabela2[Ativo]=Tabela2[[#This Row],[Ativo]]),N(Tabela2[Exercício]=Tabela2[[#This Row],[Exercício]]-1),Tabela2[Lucro Líquido])</f>
        <v>445682000</v>
      </c>
      <c r="M510" s="19">
        <f>IF(Tabela2[[#This Row],[Lucro Anterior]]=0,"",IF(Tabela2[[#This Row],[Lucro Líquido]]&gt;0,Tabela2[[#This Row],[Lucro Líquido]]/Tabela2[[#This Row],[Lucro Anterior]]-1,0))</f>
        <v>8.4288674593095525E-2</v>
      </c>
    </row>
    <row r="511" spans="1:14" x14ac:dyDescent="0.2">
      <c r="A511" s="4" t="s">
        <v>57</v>
      </c>
      <c r="B511" s="4">
        <v>2011</v>
      </c>
      <c r="C511" s="6">
        <v>445682000</v>
      </c>
      <c r="D511" s="8">
        <f>SUMPRODUCT(N(Tabela3[PAPEL]=Tabela2[[#This Row],[Ativo]]),Tabela3[Total Ações])</f>
        <v>1022205493</v>
      </c>
      <c r="E511" s="65">
        <f>(Tabela2[[#This Row],[Lucro Líquido]])/Tabela2[[#This Row],[Total Ações]]</f>
        <v>0.43600039625300663</v>
      </c>
      <c r="F511" s="65">
        <v>0.76497757200000005</v>
      </c>
      <c r="G511" s="45">
        <f>IF(AND(Tabela2[[#This Row],[Dividendo / Ação]]&gt;0,Tabela2[[#This Row],[Lucro por ação]]&gt;0),Tabela2[[#This Row],[Dividendo / Ação]]/Tabela2[[#This Row],[Lucro por ação]],"")</f>
        <v>1.7545341210105032</v>
      </c>
      <c r="H511" s="13">
        <f>MAX(Tabela2[[#This Row],[Cotação 1]],Tabela2[[#This Row],[Cotação 2]])</f>
        <v>14.07</v>
      </c>
      <c r="I511" s="19">
        <f>IF(Tabela2[[#This Row],[Dividendo / Ação]]&gt;0,Tabela2[[#This Row],[Dividendo / Ação]]/Tabela2[[#This Row],[Cotação]],"")</f>
        <v>5.4369408102345418E-2</v>
      </c>
      <c r="J511" s="17">
        <f>SUMPRODUCT(N(Tabela1[Código]=Tabela2[[#This Row],[Ativo]]),Tabela1[Fechamento])</f>
        <v>0</v>
      </c>
      <c r="K511" s="17">
        <f>SUMPRODUCT(N(Tabela17[Código]=Tabela2[[#This Row],[Ativo]]),Tabela17[Fechamento])</f>
        <v>14.07</v>
      </c>
      <c r="L511" s="17">
        <f>SUMPRODUCT(N(Tabela2[Ativo]=Tabela2[[#This Row],[Ativo]]),N(Tabela2[Exercício]=Tabela2[[#This Row],[Exercício]]-1),Tabela2[Lucro Líquido])</f>
        <v>614021000</v>
      </c>
      <c r="M511" s="19">
        <f>IF(Tabela2[[#This Row],[Lucro Anterior]]=0,"",IF(Tabela2[[#This Row],[Lucro Líquido]]&gt;0,Tabela2[[#This Row],[Lucro Líquido]]/Tabela2[[#This Row],[Lucro Anterior]]-1,0))</f>
        <v>-0.27415837569073376</v>
      </c>
    </row>
    <row r="512" spans="1:14" x14ac:dyDescent="0.2">
      <c r="A512" s="4" t="s">
        <v>57</v>
      </c>
      <c r="B512" s="4">
        <v>2010</v>
      </c>
      <c r="C512" s="6">
        <v>614021000</v>
      </c>
      <c r="D512" s="8">
        <f>SUMPRODUCT(N(Tabela3[PAPEL]=Tabela2[[#This Row],[Ativo]]),Tabela3[Total Ações])</f>
        <v>1022205493</v>
      </c>
      <c r="E512" s="65">
        <f>(Tabela2[[#This Row],[Lucro Líquido]])/Tabela2[[#This Row],[Total Ações]]</f>
        <v>0.6006825478876584</v>
      </c>
      <c r="F512" s="65">
        <v>1.0517938200000001</v>
      </c>
      <c r="G512" s="45">
        <f>IF(AND(Tabela2[[#This Row],[Dividendo / Ação]]&gt;0,Tabela2[[#This Row],[Lucro por ação]]&gt;0),Tabela2[[#This Row],[Dividendo / Ação]]/Tabela2[[#This Row],[Lucro por ação]],"")</f>
        <v>1.7509978002502413</v>
      </c>
      <c r="H512" s="13">
        <f>MAX(Tabela2[[#This Row],[Cotação 1]],Tabela2[[#This Row],[Cotação 2]])</f>
        <v>14.07</v>
      </c>
      <c r="I512" s="19">
        <f>IF(Tabela2[[#This Row],[Dividendo / Ação]]&gt;0,Tabela2[[#This Row],[Dividendo / Ação]]/Tabela2[[#This Row],[Cotação]],"")</f>
        <v>7.4754358208955235E-2</v>
      </c>
      <c r="J512" s="17">
        <f>SUMPRODUCT(N(Tabela1[Código]=Tabela2[[#This Row],[Ativo]]),Tabela1[Fechamento])</f>
        <v>0</v>
      </c>
      <c r="K512" s="17">
        <f>SUMPRODUCT(N(Tabela17[Código]=Tabela2[[#This Row],[Ativo]]),Tabela17[Fechamento])</f>
        <v>14.07</v>
      </c>
      <c r="L512" s="17">
        <f>SUMPRODUCT(N(Tabela2[Ativo]=Tabela2[[#This Row],[Ativo]]),N(Tabela2[Exercício]=Tabela2[[#This Row],[Exercício]]-1),Tabela2[Lucro Líquido])</f>
        <v>419093000</v>
      </c>
      <c r="M512" s="19">
        <f>IF(Tabela2[[#This Row],[Lucro Anterior]]=0,"",IF(Tabela2[[#This Row],[Lucro Líquido]]&gt;0,Tabela2[[#This Row],[Lucro Líquido]]/Tabela2[[#This Row],[Lucro Anterior]]-1,0))</f>
        <v>0.46511872066581872</v>
      </c>
    </row>
    <row r="513" spans="1:14" x14ac:dyDescent="0.2">
      <c r="A513" s="4" t="s">
        <v>57</v>
      </c>
      <c r="B513" s="4">
        <v>2009</v>
      </c>
      <c r="C513" s="6">
        <v>419093000</v>
      </c>
      <c r="D513" s="8">
        <f>SUMPRODUCT(N(Tabela3[PAPEL]=Tabela2[[#This Row],[Ativo]]),Tabela3[Total Ações])</f>
        <v>1022205493</v>
      </c>
      <c r="E513" s="65">
        <f>(Tabela2[[#This Row],[Lucro Líquido]])/Tabela2[[#This Row],[Total Ações]]</f>
        <v>0.40998899230137476</v>
      </c>
      <c r="F513" s="65">
        <v>2.1419339700000002</v>
      </c>
      <c r="G513" s="45">
        <f>IF(AND(Tabela2[[#This Row],[Dividendo / Ação]]&gt;0,Tabela2[[#This Row],[Lucro por ação]]&gt;0),Tabela2[[#This Row],[Dividendo / Ação]]/Tabela2[[#This Row],[Lucro por ação]],"")</f>
        <v>5.2243694592305223</v>
      </c>
      <c r="H513" s="13">
        <f>MAX(Tabela2[[#This Row],[Cotação 1]],Tabela2[[#This Row],[Cotação 2]])</f>
        <v>14.07</v>
      </c>
      <c r="I513" s="19">
        <f>IF(Tabela2[[#This Row],[Dividendo / Ação]]&gt;0,Tabela2[[#This Row],[Dividendo / Ação]]/Tabela2[[#This Row],[Cotação]],"")</f>
        <v>0.15223411300639661</v>
      </c>
      <c r="J513" s="17">
        <f>SUMPRODUCT(N(Tabela1[Código]=Tabela2[[#This Row],[Ativo]]),Tabela1[Fechamento])</f>
        <v>0</v>
      </c>
      <c r="K513" s="17">
        <f>SUMPRODUCT(N(Tabela17[Código]=Tabela2[[#This Row],[Ativo]]),Tabela17[Fechamento])</f>
        <v>14.07</v>
      </c>
      <c r="L513" s="17">
        <f>SUMPRODUCT(N(Tabela2[Ativo]=Tabela2[[#This Row],[Ativo]]),N(Tabela2[Exercício]=Tabela2[[#This Row],[Exercício]]-1),Tabela2[Lucro Líquido])</f>
        <v>0</v>
      </c>
      <c r="M513" s="19" t="str">
        <f>IF(Tabela2[[#This Row],[Lucro Anterior]]=0,"",IF(Tabela2[[#This Row],[Lucro Líquido]]&gt;0,Tabela2[[#This Row],[Lucro Líquido]]/Tabela2[[#This Row],[Lucro Anterior]]-1,0))</f>
        <v/>
      </c>
    </row>
    <row r="514" spans="1:14" x14ac:dyDescent="0.2">
      <c r="A514" s="4" t="s">
        <v>18</v>
      </c>
      <c r="B514" s="4">
        <v>2012</v>
      </c>
      <c r="C514" s="6">
        <v>-182125692.53</v>
      </c>
      <c r="D514" s="8">
        <f>SUMPRODUCT(N(Tabela3[PAPEL]=Tabela2[[#This Row],[Ativo]]),Tabela3[Total Ações])</f>
        <v>1107677313</v>
      </c>
      <c r="E514" s="65">
        <f>(Tabela2[[#This Row],[Lucro Líquido]])/Tabela2[[#This Row],[Total Ações]]</f>
        <v>-0.16442125372843128</v>
      </c>
      <c r="F514" s="65">
        <v>0</v>
      </c>
      <c r="G514" s="45" t="str">
        <f>IF(AND(Tabela2[[#This Row],[Dividendo / Ação]]&gt;0,Tabela2[[#This Row],[Lucro por ação]]&gt;0),Tabela2[[#This Row],[Dividendo / Ação]]/Tabela2[[#This Row],[Lucro por ação]],"")</f>
        <v/>
      </c>
      <c r="H514" s="6">
        <f>MAX(Tabela2[[#This Row],[Cotação 1]],Tabela2[[#This Row],[Cotação 2]])</f>
        <v>9.43</v>
      </c>
      <c r="I514" s="19" t="str">
        <f>IF(Tabela2[[#This Row],[Dividendo / Ação]]&gt;0,Tabela2[[#This Row],[Dividendo / Ação]]/Tabela2[[#This Row],[Cotação]],"")</f>
        <v/>
      </c>
      <c r="J514" s="60">
        <f>SUMPRODUCT(N(Tabela1[Código]=Tabela2[[#This Row],[Ativo]]),Tabela1[Fechamento])</f>
        <v>9.43</v>
      </c>
      <c r="K514" s="60">
        <f>SUMPRODUCT(N(Tabela17[Código]=Tabela2[[#This Row],[Ativo]]),Tabela17[Fechamento])</f>
        <v>0</v>
      </c>
      <c r="L514" s="60">
        <f>SUMPRODUCT(N(Tabela2[Ativo]=Tabela2[[#This Row],[Ativo]]),N(Tabela2[Exercício]=Tabela2[[#This Row],[Exercício]]-1),Tabela2[Lucro Líquido])</f>
        <v>78013713</v>
      </c>
      <c r="M514" s="19">
        <f>IF(Tabela2[[#This Row],[Lucro Anterior]]=0,"",IF(Tabela2[[#This Row],[Lucro Líquido]]&gt;0,Tabela2[[#This Row],[Lucro Líquido]]/Tabela2[[#This Row],[Lucro Anterior]]-1,0))</f>
        <v>0</v>
      </c>
    </row>
    <row r="515" spans="1:14" x14ac:dyDescent="0.2">
      <c r="A515" s="4" t="s">
        <v>18</v>
      </c>
      <c r="B515" s="4">
        <v>2011</v>
      </c>
      <c r="C515" s="6">
        <v>78013713</v>
      </c>
      <c r="D515" s="8">
        <f>SUMPRODUCT(N(Tabela3[PAPEL]=Tabela2[[#This Row],[Ativo]]),Tabela3[Total Ações])</f>
        <v>1107677313</v>
      </c>
      <c r="E515" s="65">
        <f>(Tabela2[[#This Row],[Lucro Líquido]])/Tabela2[[#This Row],[Total Ações]]</f>
        <v>7.04299998604377E-2</v>
      </c>
      <c r="F515" s="65">
        <v>0.24881</v>
      </c>
      <c r="G515" s="45">
        <f>IF(AND(Tabela2[[#This Row],[Dividendo / Ação]]&gt;0,Tabela2[[#This Row],[Lucro por ação]]&gt;0),Tabela2[[#This Row],[Dividendo / Ação]]/Tabela2[[#This Row],[Lucro por ação]],"")</f>
        <v>3.5327275378820899</v>
      </c>
      <c r="H515" s="6">
        <f>MAX(Tabela2[[#This Row],[Cotação 1]],Tabela2[[#This Row],[Cotação 2]])</f>
        <v>9.43</v>
      </c>
      <c r="I515" s="19">
        <f>IF(Tabela2[[#This Row],[Dividendo / Ação]]&gt;0,Tabela2[[#This Row],[Dividendo / Ação]]/Tabela2[[#This Row],[Cotação]],"")</f>
        <v>2.6384941675503714E-2</v>
      </c>
      <c r="J515" s="60">
        <f>SUMPRODUCT(N(Tabela1[Código]=Tabela2[[#This Row],[Ativo]]),Tabela1[Fechamento])</f>
        <v>9.43</v>
      </c>
      <c r="K515" s="60">
        <f>SUMPRODUCT(N(Tabela17[Código]=Tabela2[[#This Row],[Ativo]]),Tabela17[Fechamento])</f>
        <v>0</v>
      </c>
      <c r="L515" s="60">
        <f>SUMPRODUCT(N(Tabela2[Ativo]=Tabela2[[#This Row],[Ativo]]),N(Tabela2[Exercício]=Tabela2[[#This Row],[Exercício]]-1),Tabela2[Lucro Líquido])</f>
        <v>2190730959</v>
      </c>
      <c r="M515" s="19">
        <f>IF(Tabela2[[#This Row],[Lucro Anterior]]=0,"",IF(Tabela2[[#This Row],[Lucro Líquido]]&gt;0,Tabela2[[#This Row],[Lucro Líquido]]/Tabela2[[#This Row],[Lucro Anterior]]-1,0))</f>
        <v>-0.96438918586533751</v>
      </c>
    </row>
    <row r="516" spans="1:14" x14ac:dyDescent="0.2">
      <c r="A516" s="4" t="s">
        <v>18</v>
      </c>
      <c r="B516" s="3">
        <v>2010</v>
      </c>
      <c r="C516" s="5">
        <v>2190730959</v>
      </c>
      <c r="D516" s="61">
        <f>SUMPRODUCT(N(Tabela3[PAPEL]=Tabela2[[#This Row],[Ativo]]),Tabela3[Total Ações])</f>
        <v>1107677313</v>
      </c>
      <c r="E516" s="65">
        <f>(Tabela2[[#This Row],[Lucro Líquido]])/Tabela2[[#This Row],[Total Ações]]</f>
        <v>1.9777699997002647</v>
      </c>
      <c r="F516" s="64">
        <v>0.64239000000000002</v>
      </c>
      <c r="G516" s="22">
        <f>IF(AND(Tabela2[[#This Row],[Dividendo / Ação]]&gt;0,Tabela2[[#This Row],[Lucro por ação]]&gt;0),Tabela2[[#This Row],[Dividendo / Ação]]/Tabela2[[#This Row],[Lucro por ação]],"")</f>
        <v>0.32480520995735379</v>
      </c>
      <c r="H516" s="5">
        <f>MAX(Tabela2[[#This Row],[Cotação 1]],Tabela2[[#This Row],[Cotação 2]])</f>
        <v>9.43</v>
      </c>
      <c r="I516" s="18">
        <f>IF(Tabela2[[#This Row],[Dividendo / Ação]]&gt;0,Tabela2[[#This Row],[Dividendo / Ação]]/Tabela2[[#This Row],[Cotação]],"")</f>
        <v>6.81219512195122E-2</v>
      </c>
      <c r="J516" s="59">
        <f>SUMPRODUCT(N(Tabela1[Código]=Tabela2[[#This Row],[Ativo]]),Tabela1[Fechamento])</f>
        <v>9.43</v>
      </c>
      <c r="K516" s="59">
        <f>SUMPRODUCT(N(Tabela17[Código]=Tabela2[[#This Row],[Ativo]]),Tabela17[Fechamento])</f>
        <v>0</v>
      </c>
      <c r="L516" s="59">
        <f>SUMPRODUCT(N(Tabela2[Ativo]=Tabela2[[#This Row],[Ativo]]),N(Tabela2[Exercício]=Tabela2[[#This Row],[Exercício]]-1),Tabela2[Lucro Líquido])</f>
        <v>3206936280</v>
      </c>
      <c r="M516" s="18">
        <f>IF(Tabela2[[#This Row],[Lucro Anterior]]=0,"",IF(Tabela2[[#This Row],[Lucro Líquido]]&gt;0,Tabela2[[#This Row],[Lucro Líquido]]/Tabela2[[#This Row],[Lucro Anterior]]-1,0))</f>
        <v>-0.31687730353033394</v>
      </c>
      <c r="N516" s="68">
        <f>7.161*Tabela2[[#This Row],[Total Ações]]</f>
        <v>7932077238.3929996</v>
      </c>
    </row>
    <row r="517" spans="1:14" x14ac:dyDescent="0.2">
      <c r="A517" s="4" t="s">
        <v>18</v>
      </c>
      <c r="B517" s="3">
        <v>2009</v>
      </c>
      <c r="C517" s="5">
        <v>3206936280</v>
      </c>
      <c r="D517" s="61">
        <f>SUMPRODUCT(N(Tabela3[PAPEL]=Tabela2[[#This Row],[Ativo]]),Tabela3[Total Ações])</f>
        <v>1107677313</v>
      </c>
      <c r="E517" s="65">
        <f>(Tabela2[[#This Row],[Lucro Líquido]])/Tabela2[[#This Row],[Total Ações]]</f>
        <v>2.8951900001584669</v>
      </c>
      <c r="F517" s="64">
        <v>0.77659999999999996</v>
      </c>
      <c r="G517" s="22">
        <f>IF(AND(Tabela2[[#This Row],[Dividendo / Ação]]&gt;0,Tabela2[[#This Row],[Lucro por ação]]&gt;0),Tabela2[[#This Row],[Dividendo / Ação]]/Tabela2[[#This Row],[Lucro por ação]],"")</f>
        <v>0.26823800854434188</v>
      </c>
      <c r="H517" s="5">
        <f>MAX(Tabela2[[#This Row],[Cotação 1]],Tabela2[[#This Row],[Cotação 2]])</f>
        <v>9.43</v>
      </c>
      <c r="I517" s="18">
        <f>IF(Tabela2[[#This Row],[Dividendo / Ação]]&gt;0,Tabela2[[#This Row],[Dividendo / Ação]]/Tabela2[[#This Row],[Cotação]],"")</f>
        <v>8.2354188759278898E-2</v>
      </c>
      <c r="J517" s="59">
        <f>SUMPRODUCT(N(Tabela1[Código]=Tabela2[[#This Row],[Ativo]]),Tabela1[Fechamento])</f>
        <v>9.43</v>
      </c>
      <c r="K517" s="59">
        <f>SUMPRODUCT(N(Tabela17[Código]=Tabela2[[#This Row],[Ativo]]),Tabela17[Fechamento])</f>
        <v>0</v>
      </c>
      <c r="L517" s="59">
        <f>SUMPRODUCT(N(Tabela2[Ativo]=Tabela2[[#This Row],[Ativo]]),N(Tabela2[Exercício]=Tabela2[[#This Row],[Exercício]]-1),Tabela2[Lucro Líquido])</f>
        <v>0</v>
      </c>
      <c r="M517" s="18" t="str">
        <f>IF(Tabela2[[#This Row],[Lucro Anterior]]=0,"",IF(Tabela2[[#This Row],[Lucro Líquido]]&gt;0,Tabela2[[#This Row],[Lucro Líquido]]/Tabela2[[#This Row],[Lucro Anterior]]-1,0))</f>
        <v/>
      </c>
    </row>
    <row r="518" spans="1:14" x14ac:dyDescent="0.2">
      <c r="A518" s="4" t="s">
        <v>207</v>
      </c>
      <c r="B518" s="4">
        <v>2012</v>
      </c>
      <c r="C518" s="6">
        <v>-182125692.53</v>
      </c>
      <c r="D518" s="8">
        <f>SUMPRODUCT(N(Tabela3[PAPEL]=Tabela2[[#This Row],[Ativo]]),Tabela3[Total Ações])</f>
        <v>1107677313</v>
      </c>
      <c r="E518" s="65">
        <f>(Tabela2[[#This Row],[Lucro Líquido]])/Tabela2[[#This Row],[Total Ações]]</f>
        <v>-0.16442125372843128</v>
      </c>
      <c r="F518" s="65">
        <v>0</v>
      </c>
      <c r="G518" s="45" t="str">
        <f>IF(AND(Tabela2[[#This Row],[Dividendo / Ação]]&gt;0,Tabela2[[#This Row],[Lucro por ação]]&gt;0),Tabela2[[#This Row],[Dividendo / Ação]]/Tabela2[[#This Row],[Lucro por ação]],"")</f>
        <v/>
      </c>
      <c r="H518" s="6">
        <f>MAX(Tabela2[[#This Row],[Cotação 1]],Tabela2[[#This Row],[Cotação 2]])</f>
        <v>5.7</v>
      </c>
      <c r="I518" s="19" t="str">
        <f>IF(Tabela2[[#This Row],[Dividendo / Ação]]&gt;0,Tabela2[[#This Row],[Dividendo / Ação]]/Tabela2[[#This Row],[Cotação]],"")</f>
        <v/>
      </c>
      <c r="J518" s="60">
        <f>SUMPRODUCT(N(Tabela1[Código]=Tabela2[[#This Row],[Ativo]]),Tabela1[Fechamento])</f>
        <v>5.7</v>
      </c>
      <c r="K518" s="60">
        <f>SUMPRODUCT(N(Tabela17[Código]=Tabela2[[#This Row],[Ativo]]),Tabela17[Fechamento])</f>
        <v>0</v>
      </c>
      <c r="L518" s="60">
        <f>SUMPRODUCT(N(Tabela2[Ativo]=Tabela2[[#This Row],[Ativo]]),N(Tabela2[Exercício]=Tabela2[[#This Row],[Exercício]]-1),Tabela2[Lucro Líquido])</f>
        <v>78013713</v>
      </c>
      <c r="M518" s="19">
        <f>IF(Tabela2[[#This Row],[Lucro Anterior]]=0,"",IF(Tabela2[[#This Row],[Lucro Líquido]]&gt;0,Tabela2[[#This Row],[Lucro Líquido]]/Tabela2[[#This Row],[Lucro Anterior]]-1,0))</f>
        <v>0</v>
      </c>
    </row>
    <row r="519" spans="1:14" x14ac:dyDescent="0.2">
      <c r="A519" s="4" t="s">
        <v>207</v>
      </c>
      <c r="B519" s="3">
        <v>2011</v>
      </c>
      <c r="C519" s="6">
        <v>78013713</v>
      </c>
      <c r="D519" s="61">
        <f>SUMPRODUCT(N(Tabela3[PAPEL]=Tabela2[[#This Row],[Ativo]]),Tabela3[Total Ações])</f>
        <v>1107677313</v>
      </c>
      <c r="E519" s="65">
        <f>(Tabela2[[#This Row],[Lucro Líquido]])/Tabela2[[#This Row],[Total Ações]]</f>
        <v>7.04299998604377E-2</v>
      </c>
      <c r="F519" s="65">
        <v>0.24881</v>
      </c>
      <c r="G519" s="22">
        <f>IF(AND(Tabela2[[#This Row],[Dividendo / Ação]]&gt;0,Tabela2[[#This Row],[Lucro por ação]]&gt;0),Tabela2[[#This Row],[Dividendo / Ação]]/Tabela2[[#This Row],[Lucro por ação]],"")</f>
        <v>3.5327275378820899</v>
      </c>
      <c r="H519" s="5">
        <f>MAX(Tabela2[[#This Row],[Cotação 1]],Tabela2[[#This Row],[Cotação 2]])</f>
        <v>5.7</v>
      </c>
      <c r="I519" s="18">
        <f>IF(Tabela2[[#This Row],[Dividendo / Ação]]&gt;0,Tabela2[[#This Row],[Dividendo / Ação]]/Tabela2[[#This Row],[Cotação]],"")</f>
        <v>4.3650877192982454E-2</v>
      </c>
      <c r="J519" s="59">
        <f>SUMPRODUCT(N(Tabela1[Código]=Tabela2[[#This Row],[Ativo]]),Tabela1[Fechamento])</f>
        <v>5.7</v>
      </c>
      <c r="K519" s="59">
        <f>SUMPRODUCT(N(Tabela17[Código]=Tabela2[[#This Row],[Ativo]]),Tabela17[Fechamento])</f>
        <v>0</v>
      </c>
      <c r="L519" s="59">
        <f>SUMPRODUCT(N(Tabela2[Ativo]=Tabela2[[#This Row],[Ativo]]),N(Tabela2[Exercício]=Tabela2[[#This Row],[Exercício]]-1),Tabela2[Lucro Líquido])</f>
        <v>2190730959</v>
      </c>
      <c r="M519" s="18">
        <f>IF(Tabela2[[#This Row],[Lucro Anterior]]=0,"",IF(Tabela2[[#This Row],[Lucro Líquido]]&gt;0,Tabela2[[#This Row],[Lucro Líquido]]/Tabela2[[#This Row],[Lucro Anterior]]-1,0))</f>
        <v>-0.96438918586533751</v>
      </c>
      <c r="N519" s="78">
        <f>11278000/D517</f>
        <v>1.0181665605712374E-2</v>
      </c>
    </row>
    <row r="520" spans="1:14" x14ac:dyDescent="0.2">
      <c r="A520" s="4" t="s">
        <v>207</v>
      </c>
      <c r="B520" s="4">
        <v>2010</v>
      </c>
      <c r="C520" s="5">
        <v>2190730959</v>
      </c>
      <c r="D520" s="8">
        <f>SUMPRODUCT(N(Tabela3[PAPEL]=Tabela2[[#This Row],[Ativo]]),Tabela3[Total Ações])</f>
        <v>1107677313</v>
      </c>
      <c r="E520" s="65">
        <f>(Tabela2[[#This Row],[Lucro Líquido]])/Tabela2[[#This Row],[Total Ações]]</f>
        <v>1.9777699997002647</v>
      </c>
      <c r="F520" s="65">
        <v>0.59360000000000002</v>
      </c>
      <c r="G520" s="45">
        <f>IF(AND(Tabela2[[#This Row],[Dividendo / Ação]]&gt;0,Tabela2[[#This Row],[Lucro por ação]]&gt;0),Tabela2[[#This Row],[Dividendo / Ação]]/Tabela2[[#This Row],[Lucro por ação]],"")</f>
        <v>0.3001360118163191</v>
      </c>
      <c r="H520" s="6">
        <f>MAX(Tabela2[[#This Row],[Cotação 1]],Tabela2[[#This Row],[Cotação 2]])</f>
        <v>5.7</v>
      </c>
      <c r="I520" s="19">
        <f>IF(Tabela2[[#This Row],[Dividendo / Ação]]&gt;0,Tabela2[[#This Row],[Dividendo / Ação]]/Tabela2[[#This Row],[Cotação]],"")</f>
        <v>0.10414035087719298</v>
      </c>
      <c r="J520" s="60">
        <f>SUMPRODUCT(N(Tabela1[Código]=Tabela2[[#This Row],[Ativo]]),Tabela1[Fechamento])</f>
        <v>5.7</v>
      </c>
      <c r="K520" s="60">
        <f>SUMPRODUCT(N(Tabela17[Código]=Tabela2[[#This Row],[Ativo]]),Tabela17[Fechamento])</f>
        <v>0</v>
      </c>
      <c r="L520" s="60">
        <f>SUMPRODUCT(N(Tabela2[Ativo]=Tabela2[[#This Row],[Ativo]]),N(Tabela2[Exercício]=Tabela2[[#This Row],[Exercício]]-1),Tabela2[Lucro Líquido])</f>
        <v>3206936280</v>
      </c>
      <c r="M520" s="19">
        <f>IF(Tabela2[[#This Row],[Lucro Anterior]]=0,"",IF(Tabela2[[#This Row],[Lucro Líquido]]&gt;0,Tabela2[[#This Row],[Lucro Líquido]]/Tabela2[[#This Row],[Lucro Anterior]]-1,0))</f>
        <v>-0.31687730353033394</v>
      </c>
    </row>
    <row r="521" spans="1:14" x14ac:dyDescent="0.2">
      <c r="A521" s="4" t="s">
        <v>207</v>
      </c>
      <c r="B521" s="4">
        <v>2009</v>
      </c>
      <c r="C521" s="5">
        <v>3206936280</v>
      </c>
      <c r="D521" s="8">
        <f>SUMPRODUCT(N(Tabela3[PAPEL]=Tabela2[[#This Row],[Ativo]]),Tabela3[Total Ações])</f>
        <v>1107677313</v>
      </c>
      <c r="E521" s="65">
        <f>(Tabela2[[#This Row],[Lucro Líquido]])/Tabela2[[#This Row],[Total Ações]]</f>
        <v>2.8951900001584669</v>
      </c>
      <c r="F521" s="65">
        <v>0.77659999999999996</v>
      </c>
      <c r="G521" s="45">
        <f>IF(AND(Tabela2[[#This Row],[Dividendo / Ação]]&gt;0,Tabela2[[#This Row],[Lucro por ação]]&gt;0),Tabela2[[#This Row],[Dividendo / Ação]]/Tabela2[[#This Row],[Lucro por ação]],"")</f>
        <v>0.26823800854434188</v>
      </c>
      <c r="H521" s="6">
        <f>MAX(Tabela2[[#This Row],[Cotação 1]],Tabela2[[#This Row],[Cotação 2]])</f>
        <v>5.7</v>
      </c>
      <c r="I521" s="19">
        <f>IF(Tabela2[[#This Row],[Dividendo / Ação]]&gt;0,Tabela2[[#This Row],[Dividendo / Ação]]/Tabela2[[#This Row],[Cotação]],"")</f>
        <v>0.1362456140350877</v>
      </c>
      <c r="J521" s="60">
        <f>SUMPRODUCT(N(Tabela1[Código]=Tabela2[[#This Row],[Ativo]]),Tabela1[Fechamento])</f>
        <v>5.7</v>
      </c>
      <c r="K521" s="60">
        <f>SUMPRODUCT(N(Tabela17[Código]=Tabela2[[#This Row],[Ativo]]),Tabela17[Fechamento])</f>
        <v>0</v>
      </c>
      <c r="L521" s="60">
        <f>SUMPRODUCT(N(Tabela2[Ativo]=Tabela2[[#This Row],[Ativo]]),N(Tabela2[Exercício]=Tabela2[[#This Row],[Exercício]]-1),Tabela2[Lucro Líquido])</f>
        <v>0</v>
      </c>
      <c r="M521" s="19" t="str">
        <f>IF(Tabela2[[#This Row],[Lucro Anterior]]=0,"",IF(Tabela2[[#This Row],[Lucro Líquido]]&gt;0,Tabela2[[#This Row],[Lucro Líquido]]/Tabela2[[#This Row],[Lucro Anterior]]-1,0))</f>
        <v/>
      </c>
    </row>
    <row r="522" spans="1:14" x14ac:dyDescent="0.2">
      <c r="A522" s="4" t="s">
        <v>56</v>
      </c>
      <c r="B522" s="4">
        <v>2012</v>
      </c>
      <c r="C522" s="6">
        <v>589182430.70000005</v>
      </c>
      <c r="D522" s="8">
        <f>SUMPRODUCT(N(Tabela3[PAPEL]=Tabela2[[#This Row],[Ativo]]),Tabela3[Total Ações])</f>
        <v>1033496721</v>
      </c>
      <c r="E522" s="65">
        <f>(Tabela2[[#This Row],[Lucro Líquido]])/Tabela2[[#This Row],[Total Ações]]</f>
        <v>0.57008640543137246</v>
      </c>
      <c r="F522" s="65">
        <v>1.51</v>
      </c>
      <c r="G522" s="45">
        <f>IF(AND(Tabela2[[#This Row],[Dividendo / Ação]]&gt;0,Tabela2[[#This Row],[Lucro por ação]]&gt;0),Tabela2[[#This Row],[Dividendo / Ação]]/Tabela2[[#This Row],[Lucro por ação]],"")</f>
        <v>2.6487212913933891</v>
      </c>
      <c r="H522" s="6">
        <f>MAX(Tabela2[[#This Row],[Cotação 1]],Tabela2[[#This Row],[Cotação 2]])</f>
        <v>17.95</v>
      </c>
      <c r="I522" s="19">
        <f>IF(Tabela2[[#This Row],[Dividendo / Ação]]&gt;0,Tabela2[[#This Row],[Dividendo / Ação]]/Tabela2[[#This Row],[Cotação]],"")</f>
        <v>8.4122562674094709E-2</v>
      </c>
      <c r="J522" s="60">
        <f>SUMPRODUCT(N(Tabela1[Código]=Tabela2[[#This Row],[Ativo]]),Tabela1[Fechamento])</f>
        <v>17.95</v>
      </c>
      <c r="K522" s="60">
        <f>SUMPRODUCT(N(Tabela17[Código]=Tabela2[[#This Row],[Ativo]]),Tabela17[Fechamento])</f>
        <v>0</v>
      </c>
      <c r="L522" s="60">
        <f>SUMPRODUCT(N(Tabela2[Ativo]=Tabela2[[#This Row],[Ativo]]),N(Tabela2[Exercício]=Tabela2[[#This Row],[Exercício]]-1),Tabela2[Lucro Líquido])</f>
        <v>495399428.38999999</v>
      </c>
      <c r="M522" s="19">
        <f>IF(Tabela2[[#This Row],[Lucro Anterior]]=0,"",IF(Tabela2[[#This Row],[Lucro Líquido]]&gt;0,Tabela2[[#This Row],[Lucro Líquido]]/Tabela2[[#This Row],[Lucro Anterior]]-1,0))</f>
        <v>0.18930785329079947</v>
      </c>
    </row>
    <row r="523" spans="1:14" x14ac:dyDescent="0.2">
      <c r="A523" s="4" t="s">
        <v>56</v>
      </c>
      <c r="B523" s="4">
        <v>2011</v>
      </c>
      <c r="C523" s="6">
        <v>495399428.38999999</v>
      </c>
      <c r="D523" s="8">
        <f>SUMPRODUCT(N(Tabela3[PAPEL]=Tabela2[[#This Row],[Ativo]]),Tabela3[Total Ações])</f>
        <v>1033496721</v>
      </c>
      <c r="E523" s="65">
        <f>(Tabela2[[#This Row],[Lucro Líquido]])/Tabela2[[#This Row],[Total Ações]]</f>
        <v>0.47934300934274565</v>
      </c>
      <c r="F523" s="65">
        <v>1.88</v>
      </c>
      <c r="G523" s="45">
        <f>IF(AND(Tabela2[[#This Row],[Dividendo / Ação]]&gt;0,Tabela2[[#This Row],[Lucro por ação]]&gt;0),Tabela2[[#This Row],[Dividendo / Ação]]/Tabela2[[#This Row],[Lucro por ação]],"")</f>
        <v>3.9220348755638983</v>
      </c>
      <c r="H523" s="6">
        <f>MAX(Tabela2[[#This Row],[Cotação 1]],Tabela2[[#This Row],[Cotação 2]])</f>
        <v>17.95</v>
      </c>
      <c r="I523" s="19">
        <f>IF(Tabela2[[#This Row],[Dividendo / Ação]]&gt;0,Tabela2[[#This Row],[Dividendo / Ação]]/Tabela2[[#This Row],[Cotação]],"")</f>
        <v>0.10473537604456824</v>
      </c>
      <c r="J523" s="60">
        <f>SUMPRODUCT(N(Tabela1[Código]=Tabela2[[#This Row],[Ativo]]),Tabela1[Fechamento])</f>
        <v>17.95</v>
      </c>
      <c r="K523" s="60">
        <f>SUMPRODUCT(N(Tabela17[Código]=Tabela2[[#This Row],[Ativo]]),Tabela17[Fechamento])</f>
        <v>0</v>
      </c>
      <c r="L523" s="60">
        <f>SUMPRODUCT(N(Tabela2[Ativo]=Tabela2[[#This Row],[Ativo]]),N(Tabela2[Exercício]=Tabela2[[#This Row],[Exercício]]-1),Tabela2[Lucro Líquido])</f>
        <v>428630102.26999998</v>
      </c>
      <c r="M523" s="19">
        <f>IF(Tabela2[[#This Row],[Lucro Anterior]]=0,"",IF(Tabela2[[#This Row],[Lucro Líquido]]&gt;0,Tabela2[[#This Row],[Lucro Líquido]]/Tabela2[[#This Row],[Lucro Anterior]]-1,0))</f>
        <v>0.15577376802607557</v>
      </c>
    </row>
    <row r="524" spans="1:14" x14ac:dyDescent="0.2">
      <c r="A524" s="4" t="s">
        <v>56</v>
      </c>
      <c r="B524" s="4">
        <v>2010</v>
      </c>
      <c r="C524" s="6">
        <v>428630102.26999998</v>
      </c>
      <c r="D524" s="8">
        <f>SUMPRODUCT(N(Tabela3[PAPEL]=Tabela2[[#This Row],[Ativo]]),Tabela3[Total Ações])</f>
        <v>1033496721</v>
      </c>
      <c r="E524" s="65">
        <f>(Tabela2[[#This Row],[Lucro Líquido]])/Tabela2[[#This Row],[Total Ações]]</f>
        <v>0.41473774764883842</v>
      </c>
      <c r="F524" s="65">
        <v>1.63</v>
      </c>
      <c r="G524" s="45">
        <f>IF(AND(Tabela2[[#This Row],[Dividendo / Ação]]&gt;0,Tabela2[[#This Row],[Lucro por ação]]&gt;0),Tabela2[[#This Row],[Dividendo / Ação]]/Tabela2[[#This Row],[Lucro por ação]],"")</f>
        <v>3.9301944644308895</v>
      </c>
      <c r="H524" s="6">
        <f>MAX(Tabela2[[#This Row],[Cotação 1]],Tabela2[[#This Row],[Cotação 2]])</f>
        <v>17.95</v>
      </c>
      <c r="I524" s="19">
        <f>IF(Tabela2[[#This Row],[Dividendo / Ação]]&gt;0,Tabela2[[#This Row],[Dividendo / Ação]]/Tabela2[[#This Row],[Cotação]],"")</f>
        <v>9.0807799442896936E-2</v>
      </c>
      <c r="J524" s="60">
        <f>SUMPRODUCT(N(Tabela1[Código]=Tabela2[[#This Row],[Ativo]]),Tabela1[Fechamento])</f>
        <v>17.95</v>
      </c>
      <c r="K524" s="60">
        <f>SUMPRODUCT(N(Tabela17[Código]=Tabela2[[#This Row],[Ativo]]),Tabela17[Fechamento])</f>
        <v>0</v>
      </c>
      <c r="L524" s="60">
        <f>SUMPRODUCT(N(Tabela2[Ativo]=Tabela2[[#This Row],[Ativo]]),N(Tabela2[Exercício]=Tabela2[[#This Row],[Exercício]]-1),Tabela2[Lucro Líquido])</f>
        <v>287794829.95999998</v>
      </c>
      <c r="M524" s="19">
        <f>IF(Tabela2[[#This Row],[Lucro Anterior]]=0,"",IF(Tabela2[[#This Row],[Lucro Líquido]]&gt;0,Tabela2[[#This Row],[Lucro Líquido]]/Tabela2[[#This Row],[Lucro Anterior]]-1,0))</f>
        <v>0.48935998026640859</v>
      </c>
    </row>
    <row r="525" spans="1:14" x14ac:dyDescent="0.2">
      <c r="A525" s="4" t="s">
        <v>56</v>
      </c>
      <c r="B525" s="4">
        <v>2009</v>
      </c>
      <c r="C525" s="6">
        <v>287794829.95999998</v>
      </c>
      <c r="D525" s="8">
        <f>SUMPRODUCT(N(Tabela3[PAPEL]=Tabela2[[#This Row],[Ativo]]),Tabela3[Total Ações])</f>
        <v>1033496721</v>
      </c>
      <c r="E525" s="65">
        <f>(Tabela2[[#This Row],[Lucro Líquido]])/Tabela2[[#This Row],[Total Ações]]</f>
        <v>0.2784670953590766</v>
      </c>
      <c r="F525" s="65">
        <v>1.0900000000000001</v>
      </c>
      <c r="G525" s="45">
        <f>IF(AND(Tabela2[[#This Row],[Dividendo / Ação]]&gt;0,Tabela2[[#This Row],[Lucro por ação]]&gt;0),Tabela2[[#This Row],[Dividendo / Ação]]/Tabela2[[#This Row],[Lucro por ação]],"")</f>
        <v>3.9142865285195416</v>
      </c>
      <c r="H525" s="6">
        <f>MAX(Tabela2[[#This Row],[Cotação 1]],Tabela2[[#This Row],[Cotação 2]])</f>
        <v>17.95</v>
      </c>
      <c r="I525" s="19">
        <f>IF(Tabela2[[#This Row],[Dividendo / Ação]]&gt;0,Tabela2[[#This Row],[Dividendo / Ação]]/Tabela2[[#This Row],[Cotação]],"")</f>
        <v>6.0724233983286913E-2</v>
      </c>
      <c r="J525" s="60">
        <f>SUMPRODUCT(N(Tabela1[Código]=Tabela2[[#This Row],[Ativo]]),Tabela1[Fechamento])</f>
        <v>17.95</v>
      </c>
      <c r="K525" s="60">
        <f>SUMPRODUCT(N(Tabela17[Código]=Tabela2[[#This Row],[Ativo]]),Tabela17[Fechamento])</f>
        <v>0</v>
      </c>
      <c r="L525" s="60">
        <f>SUMPRODUCT(N(Tabela2[Ativo]=Tabela2[[#This Row],[Ativo]]),N(Tabela2[Exercício]=Tabela2[[#This Row],[Exercício]]-1),Tabela2[Lucro Líquido])</f>
        <v>0</v>
      </c>
      <c r="M525" s="19" t="str">
        <f>IF(Tabela2[[#This Row],[Lucro Anterior]]=0,"",IF(Tabela2[[#This Row],[Lucro Líquido]]&gt;0,Tabela2[[#This Row],[Lucro Líquido]]/Tabela2[[#This Row],[Lucro Anterior]]-1,0))</f>
        <v/>
      </c>
    </row>
    <row r="526" spans="1:14" x14ac:dyDescent="0.2">
      <c r="A526" s="4" t="s">
        <v>193</v>
      </c>
      <c r="B526" s="4">
        <v>2012</v>
      </c>
      <c r="C526" s="6">
        <v>1499500000</v>
      </c>
      <c r="D526" s="8">
        <f>SUMPRODUCT(N(Tabela3[PAPEL]=Tabela2[[#This Row],[Ativo]]),Tabela3[Total Ações])</f>
        <v>652742192</v>
      </c>
      <c r="E526" s="65">
        <f>(Tabela2[[#This Row],[Lucro Líquido]])/Tabela2[[#This Row],[Total Ações]]</f>
        <v>2.2972316151427821</v>
      </c>
      <c r="F526" s="65">
        <v>2.3690660666999999</v>
      </c>
      <c r="G526" s="45">
        <f>IF(AND(Tabela2[[#This Row],[Dividendo / Ação]]&gt;0,Tabela2[[#This Row],[Lucro por ação]]&gt;0),Tabela2[[#This Row],[Dividendo / Ação]]/Tabela2[[#This Row],[Lucro por ação]],"")</f>
        <v>1.0312700082498008</v>
      </c>
      <c r="H526" s="6">
        <f>MAX(Tabela2[[#This Row],[Cotação 1]],Tabela2[[#This Row],[Cotação 2]])</f>
        <v>35.17</v>
      </c>
      <c r="I526" s="19">
        <f>IF(Tabela2[[#This Row],[Dividendo / Ação]]&gt;0,Tabela2[[#This Row],[Dividendo / Ação]]/Tabela2[[#This Row],[Cotação]],"")</f>
        <v>6.736042270969575E-2</v>
      </c>
      <c r="J526" s="60">
        <f>SUMPRODUCT(N(Tabela1[Código]=Tabela2[[#This Row],[Ativo]]),Tabela1[Fechamento])</f>
        <v>35.17</v>
      </c>
      <c r="K526" s="60">
        <f>SUMPRODUCT(N(Tabela17[Código]=Tabela2[[#This Row],[Ativo]]),Tabela17[Fechamento])</f>
        <v>0</v>
      </c>
      <c r="L526" s="60">
        <f>SUMPRODUCT(N(Tabela2[Ativo]=Tabela2[[#This Row],[Ativo]]),N(Tabela2[Exercício]=Tabela2[[#This Row],[Exercício]]-1),Tabela2[Lucro Líquido])</f>
        <v>1447636528</v>
      </c>
      <c r="M526" s="19">
        <f>IF(Tabela2[[#This Row],[Lucro Anterior]]=0,"",IF(Tabela2[[#This Row],[Lucro Líquido]]&gt;0,Tabela2[[#This Row],[Lucro Líquido]]/Tabela2[[#This Row],[Lucro Anterior]]-1,0))</f>
        <v>3.5826307914219813E-2</v>
      </c>
    </row>
    <row r="527" spans="1:14" x14ac:dyDescent="0.2">
      <c r="A527" s="4" t="s">
        <v>193</v>
      </c>
      <c r="B527" s="4">
        <v>2011</v>
      </c>
      <c r="C527" s="6">
        <v>1447636528</v>
      </c>
      <c r="D527" s="8">
        <f>SUMPRODUCT(N(Tabela3[PAPEL]=Tabela2[[#This Row],[Ativo]]),Tabela3[Total Ações])</f>
        <v>652742192</v>
      </c>
      <c r="E527" s="65">
        <f>(Tabela2[[#This Row],[Lucro Líquido]])/Tabela2[[#This Row],[Total Ações]]</f>
        <v>2.2177768585242608</v>
      </c>
      <c r="F527" s="65">
        <v>2.1897556102000002</v>
      </c>
      <c r="G527" s="45">
        <f>IF(AND(Tabela2[[#This Row],[Dividendo / Ação]]&gt;0,Tabela2[[#This Row],[Lucro por ação]]&gt;0),Tabela2[[#This Row],[Dividendo / Ação]]/Tabela2[[#This Row],[Lucro por ação]],"")</f>
        <v>0.98736516335421309</v>
      </c>
      <c r="H527" s="6">
        <f>MAX(Tabela2[[#This Row],[Cotação 1]],Tabela2[[#This Row],[Cotação 2]])</f>
        <v>35.17</v>
      </c>
      <c r="I527" s="19">
        <f>IF(Tabela2[[#This Row],[Dividendo / Ação]]&gt;0,Tabela2[[#This Row],[Dividendo / Ação]]/Tabela2[[#This Row],[Cotação]],"")</f>
        <v>6.2262030429343196E-2</v>
      </c>
      <c r="J527" s="60">
        <f>SUMPRODUCT(N(Tabela1[Código]=Tabela2[[#This Row],[Ativo]]),Tabela1[Fechamento])</f>
        <v>35.17</v>
      </c>
      <c r="K527" s="60">
        <f>SUMPRODUCT(N(Tabela17[Código]=Tabela2[[#This Row],[Ativo]]),Tabela17[Fechamento])</f>
        <v>0</v>
      </c>
      <c r="L527" s="60">
        <f>SUMPRODUCT(N(Tabela2[Ativo]=Tabela2[[#This Row],[Ativo]]),N(Tabela2[Exercício]=Tabela2[[#This Row],[Exercício]]-1),Tabela2[Lucro Líquido])</f>
        <v>1211648449</v>
      </c>
      <c r="M527" s="19">
        <f>IF(Tabela2[[#This Row],[Lucro Anterior]]=0,"",IF(Tabela2[[#This Row],[Lucro Líquido]]&gt;0,Tabela2[[#This Row],[Lucro Líquido]]/Tabela2[[#This Row],[Lucro Anterior]]-1,0))</f>
        <v>0.19476612972580143</v>
      </c>
      <c r="N527" s="68">
        <f>4.8755*Tabela2[[#This Row],[Total Ações]]</f>
        <v>3182444557.0959997</v>
      </c>
    </row>
    <row r="528" spans="1:14" x14ac:dyDescent="0.2">
      <c r="A528" s="4" t="s">
        <v>193</v>
      </c>
      <c r="B528" s="4">
        <v>2010</v>
      </c>
      <c r="C528" s="6">
        <v>1211648449</v>
      </c>
      <c r="D528" s="8">
        <f>SUMPRODUCT(N(Tabela3[PAPEL]=Tabela2[[#This Row],[Ativo]]),Tabela3[Total Ações])</f>
        <v>652742192</v>
      </c>
      <c r="E528" s="65">
        <f>(Tabela2[[#This Row],[Lucro Líquido]])/Tabela2[[#This Row],[Total Ações]]</f>
        <v>1.8562434968199513</v>
      </c>
      <c r="F528" s="65">
        <v>1.0178134248999999</v>
      </c>
      <c r="G528" s="45">
        <f>IF(AND(Tabela2[[#This Row],[Dividendo / Ação]]&gt;0,Tabela2[[#This Row],[Lucro por ação]]&gt;0),Tabela2[[#This Row],[Dividendo / Ação]]/Tabela2[[#This Row],[Lucro por ação]],"")</f>
        <v>0.5483189175577885</v>
      </c>
      <c r="H528" s="6">
        <f>MAX(Tabela2[[#This Row],[Cotação 1]],Tabela2[[#This Row],[Cotação 2]])</f>
        <v>35.17</v>
      </c>
      <c r="I528" s="19">
        <f>IF(Tabela2[[#This Row],[Dividendo / Ação]]&gt;0,Tabela2[[#This Row],[Dividendo / Ação]]/Tabela2[[#This Row],[Cotação]],"")</f>
        <v>2.8939818734717085E-2</v>
      </c>
      <c r="J528" s="60">
        <f>SUMPRODUCT(N(Tabela1[Código]=Tabela2[[#This Row],[Ativo]]),Tabela1[Fechamento])</f>
        <v>35.17</v>
      </c>
      <c r="K528" s="60">
        <f>SUMPRODUCT(N(Tabela17[Código]=Tabela2[[#This Row],[Ativo]]),Tabela17[Fechamento])</f>
        <v>0</v>
      </c>
      <c r="L528" s="60">
        <f>SUMPRODUCT(N(Tabela2[Ativo]=Tabela2[[#This Row],[Ativo]]),N(Tabela2[Exercício]=Tabela2[[#This Row],[Exercício]]-1),Tabela2[Lucro Líquido])</f>
        <v>0</v>
      </c>
      <c r="M528" s="19" t="str">
        <f>IF(Tabela2[[#This Row],[Lucro Anterior]]=0,"",IF(Tabela2[[#This Row],[Lucro Líquido]]&gt;0,Tabela2[[#This Row],[Lucro Líquido]]/Tabela2[[#This Row],[Lucro Anterior]]-1,0))</f>
        <v/>
      </c>
    </row>
    <row r="529" spans="1:14" x14ac:dyDescent="0.2">
      <c r="A529" s="4" t="s">
        <v>80</v>
      </c>
      <c r="B529" s="4">
        <v>2012</v>
      </c>
      <c r="C529" s="6"/>
      <c r="D529" s="8">
        <f>SUMPRODUCT(N(Tabela3[PAPEL]=Tabela2[[#This Row],[Ativo]]),Tabela3[Total Ações])</f>
        <v>817720079</v>
      </c>
      <c r="E529" s="65">
        <f>(Tabela2[[#This Row],[Lucro Líquido]])/Tabela2[[#This Row],[Total Ações]]</f>
        <v>0</v>
      </c>
      <c r="F529" s="65">
        <v>0</v>
      </c>
      <c r="G529" s="45" t="str">
        <f>IF(AND(Tabela2[[#This Row],[Dividendo / Ação]]&gt;0,Tabela2[[#This Row],[Lucro por ação]]&gt;0),Tabela2[[#This Row],[Dividendo / Ação]]/Tabela2[[#This Row],[Lucro por ação]],"")</f>
        <v/>
      </c>
      <c r="H529" s="13">
        <f>MAX(Tabela2[[#This Row],[Cotação 1]],Tabela2[[#This Row],[Cotação 2]])</f>
        <v>2.41</v>
      </c>
      <c r="I529" s="19" t="str">
        <f>IF(Tabela2[[#This Row],[Dividendo / Ação]]&gt;0,Tabela2[[#This Row],[Dividendo / Ação]]/Tabela2[[#This Row],[Cotação]],"")</f>
        <v/>
      </c>
      <c r="J529" s="17">
        <f>SUMPRODUCT(N(Tabela1[Código]=Tabela2[[#This Row],[Ativo]]),Tabela1[Fechamento])</f>
        <v>0</v>
      </c>
      <c r="K529" s="17">
        <f>SUMPRODUCT(N(Tabela17[Código]=Tabela2[[#This Row],[Ativo]]),Tabela17[Fechamento])</f>
        <v>2.41</v>
      </c>
      <c r="L529" s="17">
        <f>SUMPRODUCT(N(Tabela2[Ativo]=Tabela2[[#This Row],[Ativo]]),N(Tabela2[Exercício]=Tabela2[[#This Row],[Exercício]]-1),Tabela2[Lucro Líquido])</f>
        <v>166896668.09999999</v>
      </c>
      <c r="M529" s="19">
        <f>IF(Tabela2[[#This Row],[Lucro Anterior]]=0,"",IF(Tabela2[[#This Row],[Lucro Líquido]]&gt;0,Tabela2[[#This Row],[Lucro Líquido]]/Tabela2[[#This Row],[Lucro Anterior]]-1,0))</f>
        <v>0</v>
      </c>
    </row>
    <row r="530" spans="1:14" x14ac:dyDescent="0.2">
      <c r="A530" s="4" t="s">
        <v>80</v>
      </c>
      <c r="B530" s="4">
        <v>2011</v>
      </c>
      <c r="C530" s="6">
        <v>166896668.09999999</v>
      </c>
      <c r="D530" s="8">
        <f>SUMPRODUCT(N(Tabela3[PAPEL]=Tabela2[[#This Row],[Ativo]]),Tabela3[Total Ações])</f>
        <v>817720079</v>
      </c>
      <c r="E530" s="65">
        <f>(Tabela2[[#This Row],[Lucro Líquido]])/Tabela2[[#This Row],[Total Ações]]</f>
        <v>0.20409999997077238</v>
      </c>
      <c r="F530" s="65">
        <v>6.6000000000000003E-2</v>
      </c>
      <c r="G530" s="45">
        <f>IF(AND(Tabela2[[#This Row],[Dividendo / Ação]]&gt;0,Tabela2[[#This Row],[Lucro por ação]]&gt;0),Tabela2[[#This Row],[Dividendo / Ação]]/Tabela2[[#This Row],[Lucro por ação]],"")</f>
        <v>0.32337089666561175</v>
      </c>
      <c r="H530" s="13">
        <f>MAX(Tabela2[[#This Row],[Cotação 1]],Tabela2[[#This Row],[Cotação 2]])</f>
        <v>2.41</v>
      </c>
      <c r="I530" s="19">
        <f>IF(Tabela2[[#This Row],[Dividendo / Ação]]&gt;0,Tabela2[[#This Row],[Dividendo / Ação]]/Tabela2[[#This Row],[Cotação]],"")</f>
        <v>2.7385892116182572E-2</v>
      </c>
      <c r="J530" s="17">
        <f>SUMPRODUCT(N(Tabela1[Código]=Tabela2[[#This Row],[Ativo]]),Tabela1[Fechamento])</f>
        <v>0</v>
      </c>
      <c r="K530" s="17">
        <f>SUMPRODUCT(N(Tabela17[Código]=Tabela2[[#This Row],[Ativo]]),Tabela17[Fechamento])</f>
        <v>2.41</v>
      </c>
      <c r="L530" s="17">
        <f>SUMPRODUCT(N(Tabela2[Ativo]=Tabela2[[#This Row],[Ativo]]),N(Tabela2[Exercício]=Tabela2[[#This Row],[Exercício]]-1),Tabela2[Lucro Líquido])</f>
        <v>234522118.69999999</v>
      </c>
      <c r="M530" s="19">
        <f>IF(Tabela2[[#This Row],[Lucro Anterior]]=0,"",IF(Tabela2[[#This Row],[Lucro Líquido]]&gt;0,Tabela2[[#This Row],[Lucro Líquido]]/Tabela2[[#This Row],[Lucro Anterior]]-1,0))</f>
        <v>-0.28835425406720927</v>
      </c>
    </row>
    <row r="531" spans="1:14" x14ac:dyDescent="0.2">
      <c r="A531" s="4" t="s">
        <v>80</v>
      </c>
      <c r="B531" s="4">
        <v>2010</v>
      </c>
      <c r="C531" s="80">
        <v>234522118.69999999</v>
      </c>
      <c r="D531" s="8">
        <f>SUMPRODUCT(N(Tabela3[PAPEL]=Tabela2[[#This Row],[Ativo]]),Tabela3[Total Ações])</f>
        <v>817720079</v>
      </c>
      <c r="E531" s="65">
        <f>(Tabela2[[#This Row],[Lucro Líquido]])/Tabela2[[#This Row],[Total Ações]]</f>
        <v>0.28680000005234063</v>
      </c>
      <c r="F531" s="65">
        <v>6.6400000000000001E-2</v>
      </c>
      <c r="G531" s="45">
        <f>IF(AND(Tabela2[[#This Row],[Dividendo / Ação]]&gt;0,Tabela2[[#This Row],[Lucro por ação]]&gt;0),Tabela2[[#This Row],[Dividendo / Ação]]/Tabela2[[#This Row],[Lucro por ação]],"")</f>
        <v>0.23152022310977016</v>
      </c>
      <c r="H531" s="13">
        <f>MAX(Tabela2[[#This Row],[Cotação 1]],Tabela2[[#This Row],[Cotação 2]])</f>
        <v>2.41</v>
      </c>
      <c r="I531" s="19">
        <f>IF(Tabela2[[#This Row],[Dividendo / Ação]]&gt;0,Tabela2[[#This Row],[Dividendo / Ação]]/Tabela2[[#This Row],[Cotação]],"")</f>
        <v>2.7551867219917012E-2</v>
      </c>
      <c r="J531" s="17">
        <f>SUMPRODUCT(N(Tabela1[Código]=Tabela2[[#This Row],[Ativo]]),Tabela1[Fechamento])</f>
        <v>0</v>
      </c>
      <c r="K531" s="17">
        <f>SUMPRODUCT(N(Tabela17[Código]=Tabela2[[#This Row],[Ativo]]),Tabela17[Fechamento])</f>
        <v>2.41</v>
      </c>
      <c r="L531" s="17">
        <f>SUMPRODUCT(N(Tabela2[Ativo]=Tabela2[[#This Row],[Ativo]]),N(Tabela2[Exercício]=Tabela2[[#This Row],[Exercício]]-1),Tabela2[Lucro Líquido])</f>
        <v>106303610.3</v>
      </c>
      <c r="M531" s="19">
        <f>IF(Tabela2[[#This Row],[Lucro Anterior]]=0,"",IF(Tabela2[[#This Row],[Lucro Líquido]]&gt;0,Tabela2[[#This Row],[Lucro Líquido]]/Tabela2[[#This Row],[Lucro Anterior]]-1,0))</f>
        <v>1.2061538459338665</v>
      </c>
    </row>
    <row r="532" spans="1:14" x14ac:dyDescent="0.2">
      <c r="A532" s="4" t="s">
        <v>80</v>
      </c>
      <c r="B532" s="4">
        <v>2009</v>
      </c>
      <c r="C532" s="6">
        <v>106303610.3</v>
      </c>
      <c r="D532" s="8">
        <f>SUMPRODUCT(N(Tabela3[PAPEL]=Tabela2[[#This Row],[Ativo]]),Tabela3[Total Ações])</f>
        <v>817720079</v>
      </c>
      <c r="E532" s="65">
        <f>(Tabela2[[#This Row],[Lucro Líquido]])/Tabela2[[#This Row],[Total Ações]]</f>
        <v>0.13000000003668738</v>
      </c>
      <c r="F532" s="65">
        <v>0</v>
      </c>
      <c r="G532" s="45" t="str">
        <f>IF(AND(Tabela2[[#This Row],[Dividendo / Ação]]&gt;0,Tabela2[[#This Row],[Lucro por ação]]&gt;0),Tabela2[[#This Row],[Dividendo / Ação]]/Tabela2[[#This Row],[Lucro por ação]],"")</f>
        <v/>
      </c>
      <c r="H532" s="13">
        <f>MAX(Tabela2[[#This Row],[Cotação 1]],Tabela2[[#This Row],[Cotação 2]])</f>
        <v>2.41</v>
      </c>
      <c r="I532" s="19" t="str">
        <f>IF(Tabela2[[#This Row],[Dividendo / Ação]]&gt;0,Tabela2[[#This Row],[Dividendo / Ação]]/Tabela2[[#This Row],[Cotação]],"")</f>
        <v/>
      </c>
      <c r="J532" s="17">
        <f>SUMPRODUCT(N(Tabela1[Código]=Tabela2[[#This Row],[Ativo]]),Tabela1[Fechamento])</f>
        <v>0</v>
      </c>
      <c r="K532" s="17">
        <f>SUMPRODUCT(N(Tabela17[Código]=Tabela2[[#This Row],[Ativo]]),Tabela17[Fechamento])</f>
        <v>2.41</v>
      </c>
      <c r="L532" s="17">
        <f>SUMPRODUCT(N(Tabela2[Ativo]=Tabela2[[#This Row],[Ativo]]),N(Tabela2[Exercício]=Tabela2[[#This Row],[Exercício]]-1),Tabela2[Lucro Líquido])</f>
        <v>0</v>
      </c>
      <c r="M532" s="19" t="str">
        <f>IF(Tabela2[[#This Row],[Lucro Anterior]]=0,"",IF(Tabela2[[#This Row],[Lucro Líquido]]&gt;0,Tabela2[[#This Row],[Lucro Líquido]]/Tabela2[[#This Row],[Lucro Anterior]]-1,0))</f>
        <v/>
      </c>
    </row>
    <row r="533" spans="1:14" x14ac:dyDescent="0.2">
      <c r="A533" s="3" t="s">
        <v>321</v>
      </c>
      <c r="B533" s="3">
        <v>2012</v>
      </c>
      <c r="C533" s="80"/>
      <c r="D533" s="61">
        <f>SUMPRODUCT(N(Tabela3[PAPEL]=Tabela2[[#This Row],[Ativo]]),Tabela3[Total Ações])</f>
        <v>2417632647</v>
      </c>
      <c r="E533" s="64">
        <f>(Tabela2[[#This Row],[Lucro Líquido]])/Tabela2[[#This Row],[Total Ações]]</f>
        <v>0</v>
      </c>
      <c r="F533" s="64"/>
      <c r="G533" s="22" t="str">
        <f>IF(AND(Tabela2[[#This Row],[Dividendo / Ação]]&gt;0,Tabela2[[#This Row],[Lucro por ação]]&gt;0),Tabela2[[#This Row],[Dividendo / Ação]]/Tabela2[[#This Row],[Lucro por ação]],"")</f>
        <v/>
      </c>
      <c r="H533" s="50">
        <f>MAX(Tabela2[[#This Row],[Cotação 1]],Tabela2[[#This Row],[Cotação 2]])</f>
        <v>13.46</v>
      </c>
      <c r="I533" s="18" t="str">
        <f>IF(Tabela2[[#This Row],[Dividendo / Ação]]&gt;0,Tabela2[[#This Row],[Dividendo / Ação]]/Tabela2[[#This Row],[Cotação]],"")</f>
        <v/>
      </c>
      <c r="J533" s="7">
        <f>SUMPRODUCT(N(Tabela1[Código]=Tabela2[[#This Row],[Ativo]]),Tabela1[Fechamento])</f>
        <v>0</v>
      </c>
      <c r="K533" s="7">
        <f>SUMPRODUCT(N(Tabela17[Código]=Tabela2[[#This Row],[Ativo]]),Tabela17[Fechamento])</f>
        <v>13.46</v>
      </c>
      <c r="L533" s="7">
        <f>SUMPRODUCT(N(Tabela2[Ativo]=Tabela2[[#This Row],[Ativo]]),N(Tabela2[Exercício]=Tabela2[[#This Row],[Exercício]]-1),Tabela2[Lucro Líquido])</f>
        <v>1281227722.3699999</v>
      </c>
      <c r="M533" s="18">
        <f>IF(Tabela2[[#This Row],[Lucro Anterior]]=0,"",IF(Tabela2[[#This Row],[Lucro Líquido]]&gt;0,Tabela2[[#This Row],[Lucro Líquido]]/Tabela2[[#This Row],[Lucro Anterior]]-1,0))</f>
        <v>0</v>
      </c>
    </row>
    <row r="534" spans="1:14" x14ac:dyDescent="0.2">
      <c r="A534" s="3" t="s">
        <v>321</v>
      </c>
      <c r="B534" s="3">
        <v>2011</v>
      </c>
      <c r="C534" s="5">
        <v>1281227722.3699999</v>
      </c>
      <c r="D534" s="61">
        <f>SUMPRODUCT(N(Tabela3[PAPEL]=Tabela2[[#This Row],[Ativo]]),Tabela3[Total Ações])</f>
        <v>2417632647</v>
      </c>
      <c r="E534" s="64">
        <f>(Tabela2[[#This Row],[Lucro Líquido]])/Tabela2[[#This Row],[Total Ações]]</f>
        <v>0.52995136542346666</v>
      </c>
      <c r="F534" s="64">
        <v>0.22</v>
      </c>
      <c r="G534" s="22">
        <f>IF(AND(Tabela2[[#This Row],[Dividendo / Ação]]&gt;0,Tabela2[[#This Row],[Lucro por ação]]&gt;0),Tabela2[[#This Row],[Dividendo / Ação]]/Tabela2[[#This Row],[Lucro por ação]],"")</f>
        <v>0.41513243356624857</v>
      </c>
      <c r="H534" s="50">
        <f>MAX(Tabela2[[#This Row],[Cotação 1]],Tabela2[[#This Row],[Cotação 2]])</f>
        <v>13.46</v>
      </c>
      <c r="I534" s="18">
        <f>IF(Tabela2[[#This Row],[Dividendo / Ação]]&gt;0,Tabela2[[#This Row],[Dividendo / Ação]]/Tabela2[[#This Row],[Cotação]],"")</f>
        <v>1.6344725111441305E-2</v>
      </c>
      <c r="J534" s="7">
        <f>SUMPRODUCT(N(Tabela1[Código]=Tabela2[[#This Row],[Ativo]]),Tabela1[Fechamento])</f>
        <v>0</v>
      </c>
      <c r="K534" s="7">
        <f>SUMPRODUCT(N(Tabela17[Código]=Tabela2[[#This Row],[Ativo]]),Tabela17[Fechamento])</f>
        <v>13.46</v>
      </c>
      <c r="L534" s="7">
        <f>SUMPRODUCT(N(Tabela2[Ativo]=Tabela2[[#This Row],[Ativo]]),N(Tabela2[Exercício]=Tabela2[[#This Row],[Exercício]]-1),Tabela2[Lucro Líquido])</f>
        <v>2216909132.75</v>
      </c>
      <c r="M534" s="18">
        <f>IF(Tabela2[[#This Row],[Lucro Anterior]]=0,"",IF(Tabela2[[#This Row],[Lucro Líquido]]&gt;0,Tabela2[[#This Row],[Lucro Líquido]]/Tabela2[[#This Row],[Lucro Anterior]]-1,0))</f>
        <v>-0.4220657475569688</v>
      </c>
    </row>
    <row r="535" spans="1:14" x14ac:dyDescent="0.2">
      <c r="A535" s="3" t="s">
        <v>321</v>
      </c>
      <c r="B535" s="3">
        <v>2010</v>
      </c>
      <c r="C535" s="5">
        <v>2216909132.75</v>
      </c>
      <c r="D535" s="61">
        <f>SUMPRODUCT(N(Tabela3[PAPEL]=Tabela2[[#This Row],[Ativo]]),Tabela3[Total Ações])</f>
        <v>2417632647</v>
      </c>
      <c r="E535" s="64">
        <f>(Tabela2[[#This Row],[Lucro Líquido]])/Tabela2[[#This Row],[Total Ações]]</f>
        <v>0.9169751804522186</v>
      </c>
      <c r="F535" s="64">
        <v>0.2</v>
      </c>
      <c r="G535" s="22">
        <f>IF(AND(Tabela2[[#This Row],[Dividendo / Ação]]&gt;0,Tabela2[[#This Row],[Lucro por ação]]&gt;0),Tabela2[[#This Row],[Dividendo / Ação]]/Tabela2[[#This Row],[Lucro por ação]],"")</f>
        <v>0.21810841150724203</v>
      </c>
      <c r="H535" s="50">
        <f>MAX(Tabela2[[#This Row],[Cotação 1]],Tabela2[[#This Row],[Cotação 2]])</f>
        <v>13.46</v>
      </c>
      <c r="I535" s="18">
        <f>IF(Tabela2[[#This Row],[Dividendo / Ação]]&gt;0,Tabela2[[#This Row],[Dividendo / Ação]]/Tabela2[[#This Row],[Cotação]],"")</f>
        <v>1.4858841010401188E-2</v>
      </c>
      <c r="J535" s="7">
        <f>SUMPRODUCT(N(Tabela1[Código]=Tabela2[[#This Row],[Ativo]]),Tabela1[Fechamento])</f>
        <v>0</v>
      </c>
      <c r="K535" s="7">
        <f>SUMPRODUCT(N(Tabela17[Código]=Tabela2[[#This Row],[Ativo]]),Tabela17[Fechamento])</f>
        <v>13.46</v>
      </c>
      <c r="L535" s="7">
        <f>SUMPRODUCT(N(Tabela2[Ativo]=Tabela2[[#This Row],[Ativo]]),N(Tabela2[Exercício]=Tabela2[[#This Row],[Exercício]]-1),Tabela2[Lucro Líquido])</f>
        <v>0</v>
      </c>
      <c r="M535" s="18" t="str">
        <f>IF(Tabela2[[#This Row],[Lucro Anterior]]=0,"",IF(Tabela2[[#This Row],[Lucro Líquido]]&gt;0,Tabela2[[#This Row],[Lucro Líquido]]/Tabela2[[#This Row],[Lucro Anterior]]-1,0))</f>
        <v/>
      </c>
    </row>
    <row r="536" spans="1:14" x14ac:dyDescent="0.2">
      <c r="A536" s="4" t="s">
        <v>383</v>
      </c>
      <c r="B536" s="4">
        <v>2012</v>
      </c>
      <c r="C536" s="6">
        <v>21385000</v>
      </c>
      <c r="D536" s="77">
        <f>SUMPRODUCT(N(Tabela3[PAPEL]=Tabela2[[#This Row],[Ativo]]),Tabela3[Total Ações])</f>
        <v>2857301</v>
      </c>
      <c r="E536" s="65">
        <f>(Tabela2[[#This Row],[Lucro Líquido]])/Tabela2[[#This Row],[Total Ações]]</f>
        <v>7.4843357420166789</v>
      </c>
      <c r="F536" s="65">
        <v>5.7389999999999999</v>
      </c>
      <c r="G536" s="44">
        <f>IF(AND(Tabela2[[#This Row],[Dividendo / Ação]]&gt;0,Tabela2[[#This Row],[Lucro por ação]]&gt;0),Tabela2[[#This Row],[Dividendo / Ação]]/Tabela2[[#This Row],[Lucro por ação]],"")</f>
        <v>0.76680151690437226</v>
      </c>
      <c r="H536" s="60">
        <f>MAX(Tabela2[[#This Row],[Cotação 1]],Tabela2[[#This Row],[Cotação 2]])</f>
        <v>88</v>
      </c>
      <c r="I536" s="45">
        <f>IF(Tabela2[[#This Row],[Dividendo / Ação]]&gt;0,Tabela2[[#This Row],[Dividendo / Ação]]/Tabela2[[#This Row],[Cotação]],"")</f>
        <v>6.5215909090909088E-2</v>
      </c>
      <c r="J536" s="17">
        <f>SUMPRODUCT(N(Tabela1[Código]=Tabela2[[#This Row],[Ativo]]),Tabela1[Fechamento])</f>
        <v>0</v>
      </c>
      <c r="K536" s="17">
        <f>SUMPRODUCT(N(Tabela17[Código]=Tabela2[[#This Row],[Ativo]]),Tabela17[Fechamento])</f>
        <v>88</v>
      </c>
      <c r="L536" s="17">
        <f>SUMPRODUCT(N(Tabela2[Ativo]=Tabela2[[#This Row],[Ativo]]),N(Tabela2[Exercício]=Tabela2[[#This Row],[Exercício]]-1),Tabela2[Lucro Líquido])</f>
        <v>27650101.780000001</v>
      </c>
      <c r="M536" s="19">
        <f>IF(Tabela2[[#This Row],[Lucro Anterior]]=0,"",IF(Tabela2[[#This Row],[Lucro Líquido]]&gt;0,Tabela2[[#This Row],[Lucro Líquido]]/Tabela2[[#This Row],[Lucro Anterior]]-1,0))</f>
        <v>-0.22658512543095599</v>
      </c>
    </row>
    <row r="537" spans="1:14" x14ac:dyDescent="0.2">
      <c r="A537" s="4" t="s">
        <v>383</v>
      </c>
      <c r="B537" s="4">
        <v>2011</v>
      </c>
      <c r="C537" s="6">
        <v>27650101.780000001</v>
      </c>
      <c r="D537" s="77">
        <f>SUMPRODUCT(N(Tabela3[PAPEL]=Tabela2[[#This Row],[Ativo]]),Tabela3[Total Ações])</f>
        <v>2857301</v>
      </c>
      <c r="E537" s="65">
        <f>(Tabela2[[#This Row],[Lucro Líquido]])/Tabela2[[#This Row],[Total Ações]]</f>
        <v>9.677000001049942</v>
      </c>
      <c r="F537" s="65">
        <v>9.48</v>
      </c>
      <c r="G537" s="44">
        <f>IF(AND(Tabela2[[#This Row],[Dividendo / Ação]]&gt;0,Tabela2[[#This Row],[Lucro por ação]]&gt;0),Tabela2[[#This Row],[Dividendo / Ação]]/Tabela2[[#This Row],[Lucro por ação]],"")</f>
        <v>0.97964245106659431</v>
      </c>
      <c r="H537" s="60">
        <f>MAX(Tabela2[[#This Row],[Cotação 1]],Tabela2[[#This Row],[Cotação 2]])</f>
        <v>88</v>
      </c>
      <c r="I537" s="45">
        <f>IF(Tabela2[[#This Row],[Dividendo / Ação]]&gt;0,Tabela2[[#This Row],[Dividendo / Ação]]/Tabela2[[#This Row],[Cotação]],"")</f>
        <v>0.10772727272727273</v>
      </c>
      <c r="J537" s="17">
        <f>SUMPRODUCT(N(Tabela1[Código]=Tabela2[[#This Row],[Ativo]]),Tabela1[Fechamento])</f>
        <v>0</v>
      </c>
      <c r="K537" s="17">
        <f>SUMPRODUCT(N(Tabela17[Código]=Tabela2[[#This Row],[Ativo]]),Tabela17[Fechamento])</f>
        <v>88</v>
      </c>
      <c r="L537" s="17">
        <f>SUMPRODUCT(N(Tabela2[Ativo]=Tabela2[[#This Row],[Ativo]]),N(Tabela2[Exercício]=Tabela2[[#This Row],[Exercício]]-1),Tabela2[Lucro Líquido])</f>
        <v>27290081.850000001</v>
      </c>
      <c r="M537" s="19">
        <f>IF(Tabela2[[#This Row],[Lucro Anterior]]=0,"",IF(Tabela2[[#This Row],[Lucro Líquido]]&gt;0,Tabela2[[#This Row],[Lucro Líquido]]/Tabela2[[#This Row],[Lucro Anterior]]-1,0))</f>
        <v>1.3192336028116314E-2</v>
      </c>
    </row>
    <row r="538" spans="1:14" x14ac:dyDescent="0.2">
      <c r="A538" s="4" t="s">
        <v>383</v>
      </c>
      <c r="B538" s="4">
        <v>2010</v>
      </c>
      <c r="C538" s="6">
        <v>27290081.850000001</v>
      </c>
      <c r="D538" s="77">
        <f>SUMPRODUCT(N(Tabela3[PAPEL]=Tabela2[[#This Row],[Ativo]]),Tabela3[Total Ações])</f>
        <v>2857301</v>
      </c>
      <c r="E538" s="65">
        <f>(Tabela2[[#This Row],[Lucro Líquido]])/Tabela2[[#This Row],[Total Ações]]</f>
        <v>9.5509999996500206</v>
      </c>
      <c r="F538" s="65">
        <v>6.27</v>
      </c>
      <c r="G538" s="44">
        <f>IF(AND(Tabela2[[#This Row],[Dividendo / Ação]]&gt;0,Tabela2[[#This Row],[Lucro por ação]]&gt;0),Tabela2[[#This Row],[Dividendo / Ação]]/Tabela2[[#This Row],[Lucro por ação]],"")</f>
        <v>0.65647576172440081</v>
      </c>
      <c r="H538" s="60">
        <f>MAX(Tabela2[[#This Row],[Cotação 1]],Tabela2[[#This Row],[Cotação 2]])</f>
        <v>88</v>
      </c>
      <c r="I538" s="45">
        <f>IF(Tabela2[[#This Row],[Dividendo / Ação]]&gt;0,Tabela2[[#This Row],[Dividendo / Ação]]/Tabela2[[#This Row],[Cotação]],"")</f>
        <v>7.1249999999999994E-2</v>
      </c>
      <c r="J538" s="17">
        <f>SUMPRODUCT(N(Tabela1[Código]=Tabela2[[#This Row],[Ativo]]),Tabela1[Fechamento])</f>
        <v>0</v>
      </c>
      <c r="K538" s="17">
        <f>SUMPRODUCT(N(Tabela17[Código]=Tabela2[[#This Row],[Ativo]]),Tabela17[Fechamento])</f>
        <v>88</v>
      </c>
      <c r="L538" s="17">
        <f>SUMPRODUCT(N(Tabela2[Ativo]=Tabela2[[#This Row],[Ativo]]),N(Tabela2[Exercício]=Tabela2[[#This Row],[Exercício]]-1),Tabela2[Lucro Líquido])</f>
        <v>20461132.460000001</v>
      </c>
      <c r="M538" s="19">
        <f>IF(Tabela2[[#This Row],[Lucro Anterior]]=0,"",IF(Tabela2[[#This Row],[Lucro Líquido]]&gt;0,Tabela2[[#This Row],[Lucro Líquido]]/Tabela2[[#This Row],[Lucro Anterior]]-1,0))</f>
        <v>0.33375226925245172</v>
      </c>
    </row>
    <row r="539" spans="1:14" x14ac:dyDescent="0.2">
      <c r="A539" s="4" t="s">
        <v>383</v>
      </c>
      <c r="B539" s="4">
        <v>2009</v>
      </c>
      <c r="C539" s="6">
        <v>20461132.460000001</v>
      </c>
      <c r="D539" s="77">
        <f>SUMPRODUCT(N(Tabela3[PAPEL]=Tabela2[[#This Row],[Ativo]]),Tabela3[Total Ações])</f>
        <v>2857301</v>
      </c>
      <c r="E539" s="65">
        <f>(Tabela2[[#This Row],[Lucro Líquido]])/Tabela2[[#This Row],[Total Ações]]</f>
        <v>7.16099999965002</v>
      </c>
      <c r="F539" s="65">
        <v>3.63</v>
      </c>
      <c r="G539" s="44">
        <f>IF(AND(Tabela2[[#This Row],[Dividendo / Ação]]&gt;0,Tabela2[[#This Row],[Lucro por ação]]&gt;0),Tabela2[[#This Row],[Dividendo / Ação]]/Tabela2[[#This Row],[Lucro por ação]],"")</f>
        <v>0.50691244242108768</v>
      </c>
      <c r="H539" s="60">
        <f>MAX(Tabela2[[#This Row],[Cotação 1]],Tabela2[[#This Row],[Cotação 2]])</f>
        <v>88</v>
      </c>
      <c r="I539" s="45">
        <f>IF(Tabela2[[#This Row],[Dividendo / Ação]]&gt;0,Tabela2[[#This Row],[Dividendo / Ação]]/Tabela2[[#This Row],[Cotação]],"")</f>
        <v>4.1250000000000002E-2</v>
      </c>
      <c r="J539" s="17">
        <f>SUMPRODUCT(N(Tabela1[Código]=Tabela2[[#This Row],[Ativo]]),Tabela1[Fechamento])</f>
        <v>0</v>
      </c>
      <c r="K539" s="17">
        <f>SUMPRODUCT(N(Tabela17[Código]=Tabela2[[#This Row],[Ativo]]),Tabela17[Fechamento])</f>
        <v>88</v>
      </c>
      <c r="L539" s="17">
        <f>SUMPRODUCT(N(Tabela2[Ativo]=Tabela2[[#This Row],[Ativo]]),N(Tabela2[Exercício]=Tabela2[[#This Row],[Exercício]]-1),Tabela2[Lucro Líquido])</f>
        <v>0</v>
      </c>
      <c r="M539" s="19" t="str">
        <f>IF(Tabela2[[#This Row],[Lucro Anterior]]=0,"",IF(Tabela2[[#This Row],[Lucro Líquido]]&gt;0,Tabela2[[#This Row],[Lucro Líquido]]/Tabela2[[#This Row],[Lucro Anterior]]-1,0))</f>
        <v/>
      </c>
    </row>
    <row r="540" spans="1:14" x14ac:dyDescent="0.2">
      <c r="A540" s="4" t="s">
        <v>170</v>
      </c>
      <c r="B540" s="4">
        <v>2012</v>
      </c>
      <c r="C540" s="6">
        <v>843488000</v>
      </c>
      <c r="D540" s="8">
        <f>SUMPRODUCT(N(Tabela3[PAPEL]=Tabela2[[#This Row],[Ativo]]),Tabela3[Total Ações])</f>
        <v>152661565</v>
      </c>
      <c r="E540" s="65">
        <f>(Tabela2[[#This Row],[Lucro Líquido]])/Tabela2[[#This Row],[Total Ações]]</f>
        <v>5.5252152039709532</v>
      </c>
      <c r="F540" s="65">
        <v>1.8032159999999999</v>
      </c>
      <c r="G540" s="45">
        <f>IF(AND(Tabela2[[#This Row],[Dividendo / Ação]]&gt;0,Tabela2[[#This Row],[Lucro por ação]]&gt;0),Tabela2[[#This Row],[Dividendo / Ação]]/Tabela2[[#This Row],[Lucro por ação]],"")</f>
        <v>0.32636122457348538</v>
      </c>
      <c r="H540" s="6">
        <f>MAX(Tabela2[[#This Row],[Cotação 1]],Tabela2[[#This Row],[Cotação 2]])</f>
        <v>42</v>
      </c>
      <c r="I540" s="19">
        <f>IF(Tabela2[[#This Row],[Dividendo / Ação]]&gt;0,Tabela2[[#This Row],[Dividendo / Ação]]/Tabela2[[#This Row],[Cotação]],"")</f>
        <v>4.2933714285714283E-2</v>
      </c>
      <c r="J540" s="60">
        <f>SUMPRODUCT(N(Tabela1[Código]=Tabela2[[#This Row],[Ativo]]),Tabela1[Fechamento])</f>
        <v>42</v>
      </c>
      <c r="K540" s="60">
        <f>SUMPRODUCT(N(Tabela17[Código]=Tabela2[[#This Row],[Ativo]]),Tabela17[Fechamento])</f>
        <v>0</v>
      </c>
      <c r="L540" s="60">
        <f>SUMPRODUCT(N(Tabela2[Ativo]=Tabela2[[#This Row],[Ativo]]),N(Tabela2[Exercício]=Tabela2[[#This Row],[Exercício]]-1),Tabela2[Lucro Líquido])</f>
        <v>920137051</v>
      </c>
      <c r="M540" s="19">
        <f>IF(Tabela2[[#This Row],[Lucro Anterior]]=0,"",IF(Tabela2[[#This Row],[Lucro Líquido]]&gt;0,Tabela2[[#This Row],[Lucro Líquido]]/Tabela2[[#This Row],[Lucro Anterior]]-1,0))</f>
        <v>-8.330177653067905E-2</v>
      </c>
    </row>
    <row r="541" spans="1:14" x14ac:dyDescent="0.2">
      <c r="A541" s="4" t="s">
        <v>170</v>
      </c>
      <c r="B541" s="3">
        <v>2011</v>
      </c>
      <c r="C541" s="5">
        <v>920137051</v>
      </c>
      <c r="D541" s="61">
        <f>SUMPRODUCT(N(Tabela3[PAPEL]=Tabela2[[#This Row],[Ativo]]),Tabela3[Total Ações])</f>
        <v>152661565</v>
      </c>
      <c r="E541" s="64">
        <f>(Tabela2[[#This Row],[Lucro Líquido]])/Tabela2[[#This Row],[Total Ações]]</f>
        <v>6.0273000018046456</v>
      </c>
      <c r="F541" s="64">
        <v>4.9819000000000004</v>
      </c>
      <c r="G541" s="22">
        <f>IF(AND(Tabela2[[#This Row],[Dividendo / Ação]]&gt;0,Tabela2[[#This Row],[Lucro por ação]]&gt;0),Tabela2[[#This Row],[Dividendo / Ação]]/Tabela2[[#This Row],[Lucro por ação]],"")</f>
        <v>0.82655583735808069</v>
      </c>
      <c r="H541" s="5">
        <f>MAX(Tabela2[[#This Row],[Cotação 1]],Tabela2[[#This Row],[Cotação 2]])</f>
        <v>42</v>
      </c>
      <c r="I541" s="18">
        <f>IF(Tabela2[[#This Row],[Dividendo / Ação]]&gt;0,Tabela2[[#This Row],[Dividendo / Ação]]/Tabela2[[#This Row],[Cotação]],"")</f>
        <v>0.11861666666666668</v>
      </c>
      <c r="J541" s="59">
        <f>SUMPRODUCT(N(Tabela1[Código]=Tabela2[[#This Row],[Ativo]]),Tabela1[Fechamento])</f>
        <v>42</v>
      </c>
      <c r="K541" s="59">
        <f>SUMPRODUCT(N(Tabela17[Código]=Tabela2[[#This Row],[Ativo]]),Tabela17[Fechamento])</f>
        <v>0</v>
      </c>
      <c r="L541" s="59">
        <f>SUMPRODUCT(N(Tabela2[Ativo]=Tabela2[[#This Row],[Ativo]]),N(Tabela2[Exercício]=Tabela2[[#This Row],[Exercício]]-1),Tabela2[Lucro Líquido])</f>
        <v>818571312</v>
      </c>
      <c r="M541" s="18">
        <f>IF(Tabela2[[#This Row],[Lucro Anterior]]=0,"",IF(Tabela2[[#This Row],[Lucro Líquido]]&gt;0,Tabela2[[#This Row],[Lucro Líquido]]/Tabela2[[#This Row],[Lucro Anterior]]-1,0))</f>
        <v>0.12407683669226843</v>
      </c>
    </row>
    <row r="542" spans="1:14" x14ac:dyDescent="0.2">
      <c r="A542" s="4" t="s">
        <v>170</v>
      </c>
      <c r="B542" s="3">
        <v>2010</v>
      </c>
      <c r="C542" s="5">
        <v>818571312</v>
      </c>
      <c r="D542" s="61">
        <f>SUMPRODUCT(N(Tabela3[PAPEL]=Tabela2[[#This Row],[Ativo]]),Tabela3[Total Ações])</f>
        <v>152661565</v>
      </c>
      <c r="E542" s="64">
        <f>(Tabela2[[#This Row],[Lucro Líquido]])/Tabela2[[#This Row],[Total Ações]]</f>
        <v>5.3620000030787054</v>
      </c>
      <c r="F542" s="64">
        <v>5.0853999999999999</v>
      </c>
      <c r="G542" s="22">
        <f>IF(AND(Tabela2[[#This Row],[Dividendo / Ação]]&gt;0,Tabela2[[#This Row],[Lucro por ação]]&gt;0),Tabela2[[#This Row],[Dividendo / Ação]]/Tabela2[[#This Row],[Lucro por ação]],"")</f>
        <v>0.94841477006342978</v>
      </c>
      <c r="H542" s="5">
        <f>MAX(Tabela2[[#This Row],[Cotação 1]],Tabela2[[#This Row],[Cotação 2]])</f>
        <v>42</v>
      </c>
      <c r="I542" s="18">
        <f>IF(Tabela2[[#This Row],[Dividendo / Ação]]&gt;0,Tabela2[[#This Row],[Dividendo / Ação]]/Tabela2[[#This Row],[Cotação]],"")</f>
        <v>0.12108095238095237</v>
      </c>
      <c r="J542" s="59">
        <f>SUMPRODUCT(N(Tabela1[Código]=Tabela2[[#This Row],[Ativo]]),Tabela1[Fechamento])</f>
        <v>42</v>
      </c>
      <c r="K542" s="59">
        <f>SUMPRODUCT(N(Tabela17[Código]=Tabela2[[#This Row],[Ativo]]),Tabela17[Fechamento])</f>
        <v>0</v>
      </c>
      <c r="L542" s="59">
        <f>SUMPRODUCT(N(Tabela2[Ativo]=Tabela2[[#This Row],[Ativo]]),N(Tabela2[Exercício]=Tabela2[[#This Row],[Exercício]]-1),Tabela2[Lucro Líquido])</f>
        <v>0</v>
      </c>
      <c r="M542" s="18" t="str">
        <f>IF(Tabela2[[#This Row],[Lucro Anterior]]=0,"",IF(Tabela2[[#This Row],[Lucro Líquido]]&gt;0,Tabela2[[#This Row],[Lucro Líquido]]/Tabela2[[#This Row],[Lucro Anterior]]-1,0))</f>
        <v/>
      </c>
    </row>
    <row r="543" spans="1:14" x14ac:dyDescent="0.2">
      <c r="A543" s="4" t="s">
        <v>171</v>
      </c>
      <c r="B543" s="4">
        <v>2012</v>
      </c>
      <c r="C543" s="6">
        <v>843488000</v>
      </c>
      <c r="D543" s="8">
        <f>SUMPRODUCT(N(Tabela3[PAPEL]=Tabela2[[#This Row],[Ativo]]),Tabela3[Total Ações])</f>
        <v>152661565</v>
      </c>
      <c r="E543" s="65">
        <f>(Tabela2[[#This Row],[Lucro Líquido]])/Tabela2[[#This Row],[Total Ações]]</f>
        <v>5.5252152039709532</v>
      </c>
      <c r="F543" s="65">
        <v>1.8032159999999999</v>
      </c>
      <c r="G543" s="45">
        <f>IF(AND(Tabela2[[#This Row],[Dividendo / Ação]]&gt;0,Tabela2[[#This Row],[Lucro por ação]]&gt;0),Tabela2[[#This Row],[Dividendo / Ação]]/Tabela2[[#This Row],[Lucro por ação]],"")</f>
        <v>0.32636122457348538</v>
      </c>
      <c r="H543" s="6">
        <f>MAX(Tabela2[[#This Row],[Cotação 1]],Tabela2[[#This Row],[Cotação 2]])</f>
        <v>26.83</v>
      </c>
      <c r="I543" s="19">
        <f>IF(Tabela2[[#This Row],[Dividendo / Ação]]&gt;0,Tabela2[[#This Row],[Dividendo / Ação]]/Tabela2[[#This Row],[Cotação]],"")</f>
        <v>6.7208945210585166E-2</v>
      </c>
      <c r="J543" s="60">
        <f>SUMPRODUCT(N(Tabela1[Código]=Tabela2[[#This Row],[Ativo]]),Tabela1[Fechamento])</f>
        <v>26.83</v>
      </c>
      <c r="K543" s="60">
        <f>SUMPRODUCT(N(Tabela17[Código]=Tabela2[[#This Row],[Ativo]]),Tabela17[Fechamento])</f>
        <v>0</v>
      </c>
      <c r="L543" s="60">
        <f>SUMPRODUCT(N(Tabela2[Ativo]=Tabela2[[#This Row],[Ativo]]),N(Tabela2[Exercício]=Tabela2[[#This Row],[Exercício]]-1),Tabela2[Lucro Líquido])</f>
        <v>920137051</v>
      </c>
      <c r="M543" s="19">
        <f>IF(Tabela2[[#This Row],[Lucro Anterior]]=0,"",IF(Tabela2[[#This Row],[Lucro Líquido]]&gt;0,Tabela2[[#This Row],[Lucro Líquido]]/Tabela2[[#This Row],[Lucro Anterior]]-1,0))</f>
        <v>-8.330177653067905E-2</v>
      </c>
    </row>
    <row r="544" spans="1:14" x14ac:dyDescent="0.2">
      <c r="A544" s="4" t="s">
        <v>171</v>
      </c>
      <c r="B544" s="4">
        <v>2011</v>
      </c>
      <c r="C544" s="5">
        <v>920137051</v>
      </c>
      <c r="D544" s="8">
        <f>SUMPRODUCT(N(Tabela3[PAPEL]=Tabela2[[#This Row],[Ativo]]),Tabela3[Total Ações])</f>
        <v>152661565</v>
      </c>
      <c r="E544" s="65">
        <f>(Tabela2[[#This Row],[Lucro Líquido]])/Tabela2[[#This Row],[Total Ações]]</f>
        <v>6.0273000018046456</v>
      </c>
      <c r="F544" s="64">
        <v>4.9819000000000004</v>
      </c>
      <c r="G544" s="45">
        <f>IF(AND(Tabela2[[#This Row],[Dividendo / Ação]]&gt;0,Tabela2[[#This Row],[Lucro por ação]]&gt;0),Tabela2[[#This Row],[Dividendo / Ação]]/Tabela2[[#This Row],[Lucro por ação]],"")</f>
        <v>0.82655583735808069</v>
      </c>
      <c r="H544" s="6">
        <f>MAX(Tabela2[[#This Row],[Cotação 1]],Tabela2[[#This Row],[Cotação 2]])</f>
        <v>26.83</v>
      </c>
      <c r="I544" s="19">
        <f>IF(Tabela2[[#This Row],[Dividendo / Ação]]&gt;0,Tabela2[[#This Row],[Dividendo / Ação]]/Tabela2[[#This Row],[Cotação]],"")</f>
        <v>0.1856839358926575</v>
      </c>
      <c r="J544" s="60">
        <f>SUMPRODUCT(N(Tabela1[Código]=Tabela2[[#This Row],[Ativo]]),Tabela1[Fechamento])</f>
        <v>26.83</v>
      </c>
      <c r="K544" s="60">
        <f>SUMPRODUCT(N(Tabela17[Código]=Tabela2[[#This Row],[Ativo]]),Tabela17[Fechamento])</f>
        <v>0</v>
      </c>
      <c r="L544" s="60">
        <f>SUMPRODUCT(N(Tabela2[Ativo]=Tabela2[[#This Row],[Ativo]]),N(Tabela2[Exercício]=Tabela2[[#This Row],[Exercício]]-1),Tabela2[Lucro Líquido])</f>
        <v>818571312</v>
      </c>
      <c r="M544" s="19">
        <f>IF(Tabela2[[#This Row],[Lucro Anterior]]=0,"",IF(Tabela2[[#This Row],[Lucro Líquido]]&gt;0,Tabela2[[#This Row],[Lucro Líquido]]/Tabela2[[#This Row],[Lucro Anterior]]-1,0))</f>
        <v>0.12407683669226843</v>
      </c>
      <c r="N544" s="68">
        <f>2.62*Tabela2[[#This Row],[Total Ações]]</f>
        <v>399973300.30000001</v>
      </c>
    </row>
    <row r="545" spans="1:14" x14ac:dyDescent="0.2">
      <c r="A545" s="4" t="s">
        <v>171</v>
      </c>
      <c r="B545" s="4">
        <v>2010</v>
      </c>
      <c r="C545" s="5">
        <v>818571312</v>
      </c>
      <c r="D545" s="8">
        <f>SUMPRODUCT(N(Tabela3[PAPEL]=Tabela2[[#This Row],[Ativo]]),Tabela3[Total Ações])</f>
        <v>152661565</v>
      </c>
      <c r="E545" s="65">
        <f>(Tabela2[[#This Row],[Lucro Líquido]])/Tabela2[[#This Row],[Total Ações]]</f>
        <v>5.3620000030787054</v>
      </c>
      <c r="F545" s="64">
        <v>5.0853999999999999</v>
      </c>
      <c r="G545" s="45">
        <f>IF(AND(Tabela2[[#This Row],[Dividendo / Ação]]&gt;0,Tabela2[[#This Row],[Lucro por ação]]&gt;0),Tabela2[[#This Row],[Dividendo / Ação]]/Tabela2[[#This Row],[Lucro por ação]],"")</f>
        <v>0.94841477006342978</v>
      </c>
      <c r="H545" s="6">
        <f>MAX(Tabela2[[#This Row],[Cotação 1]],Tabela2[[#This Row],[Cotação 2]])</f>
        <v>26.83</v>
      </c>
      <c r="I545" s="19">
        <f>IF(Tabela2[[#This Row],[Dividendo / Ação]]&gt;0,Tabela2[[#This Row],[Dividendo / Ação]]/Tabela2[[#This Row],[Cotação]],"")</f>
        <v>0.18954155795751026</v>
      </c>
      <c r="J545" s="60">
        <f>SUMPRODUCT(N(Tabela1[Código]=Tabela2[[#This Row],[Ativo]]),Tabela1[Fechamento])</f>
        <v>26.83</v>
      </c>
      <c r="K545" s="60">
        <f>SUMPRODUCT(N(Tabela17[Código]=Tabela2[[#This Row],[Ativo]]),Tabela17[Fechamento])</f>
        <v>0</v>
      </c>
      <c r="L545" s="60">
        <f>SUMPRODUCT(N(Tabela2[Ativo]=Tabela2[[#This Row],[Ativo]]),N(Tabela2[Exercício]=Tabela2[[#This Row],[Exercício]]-1),Tabela2[Lucro Líquido])</f>
        <v>0</v>
      </c>
      <c r="M545" s="19" t="str">
        <f>IF(Tabela2[[#This Row],[Lucro Anterior]]=0,"",IF(Tabela2[[#This Row],[Lucro Líquido]]&gt;0,Tabela2[[#This Row],[Lucro Líquido]]/Tabela2[[#This Row],[Lucro Anterior]]-1,0))</f>
        <v/>
      </c>
    </row>
    <row r="546" spans="1:14" x14ac:dyDescent="0.2">
      <c r="A546" s="3" t="s">
        <v>345</v>
      </c>
      <c r="B546" s="3">
        <v>2012</v>
      </c>
      <c r="C546" s="5">
        <v>1011009000</v>
      </c>
      <c r="D546" s="61">
        <f>SUMPRODUCT(N(Tabela3[PAPEL]=Tabela2[[#This Row],[Ativo]]),Tabela3[Total Ações])</f>
        <v>544383996</v>
      </c>
      <c r="E546" s="64">
        <f>(Tabela2[[#This Row],[Lucro Líquido]])/Tabela2[[#This Row],[Total Ações]]</f>
        <v>1.8571615025949439</v>
      </c>
      <c r="F546" s="64">
        <v>1.17</v>
      </c>
      <c r="G546" s="22">
        <f>IF(AND(Tabela2[[#This Row],[Dividendo / Ação]]&gt;0,Tabela2[[#This Row],[Lucro por ação]]&gt;0),Tabela2[[#This Row],[Dividendo / Ação]]/Tabela2[[#This Row],[Lucro por ação]],"")</f>
        <v>0.62999367495244851</v>
      </c>
      <c r="H546" s="50">
        <f>MAX(Tabela2[[#This Row],[Cotação 1]],Tabela2[[#This Row],[Cotação 2]])</f>
        <v>53.92</v>
      </c>
      <c r="I546" s="18">
        <f>IF(Tabela2[[#This Row],[Dividendo / Ação]]&gt;0,Tabela2[[#This Row],[Dividendo / Ação]]/Tabela2[[#This Row],[Cotação]],"")</f>
        <v>2.1698813056379818E-2</v>
      </c>
      <c r="J546" s="7">
        <f>SUMPRODUCT(N(Tabela1[Código]=Tabela2[[#This Row],[Ativo]]),Tabela1[Fechamento])</f>
        <v>0</v>
      </c>
      <c r="K546" s="7">
        <f>SUMPRODUCT(N(Tabela17[Código]=Tabela2[[#This Row],[Ativo]]),Tabela17[Fechamento])</f>
        <v>53.92</v>
      </c>
      <c r="L546" s="7">
        <f>SUMPRODUCT(N(Tabela2[Ativo]=Tabela2[[#This Row],[Ativo]]),N(Tabela2[Exercício]=Tabela2[[#This Row],[Exercício]]-1),Tabela2[Lucro Líquido])</f>
        <v>860126713.70000005</v>
      </c>
      <c r="M546" s="18">
        <f>IF(Tabela2[[#This Row],[Lucro Anterior]]=0,"",IF(Tabela2[[#This Row],[Lucro Líquido]]&gt;0,Tabela2[[#This Row],[Lucro Líquido]]/Tabela2[[#This Row],[Lucro Anterior]]-1,0))</f>
        <v>0.1754186725011142</v>
      </c>
    </row>
    <row r="547" spans="1:14" x14ac:dyDescent="0.2">
      <c r="A547" s="3" t="s">
        <v>345</v>
      </c>
      <c r="B547" s="3">
        <v>2011</v>
      </c>
      <c r="C547" s="5">
        <v>860126713.70000005</v>
      </c>
      <c r="D547" s="61">
        <f>SUMPRODUCT(N(Tabela3[PAPEL]=Tabela2[[#This Row],[Ativo]]),Tabela3[Total Ações])</f>
        <v>544383996</v>
      </c>
      <c r="E547" s="64">
        <f>(Tabela2[[#This Row],[Lucro Líquido]])/Tabela2[[#This Row],[Total Ações]]</f>
        <v>1.5800000000367389</v>
      </c>
      <c r="F547" s="64">
        <v>0.98</v>
      </c>
      <c r="G547" s="22">
        <f>IF(AND(Tabela2[[#This Row],[Dividendo / Ação]]&gt;0,Tabela2[[#This Row],[Lucro por ação]]&gt;0),Tabela2[[#This Row],[Dividendo / Ação]]/Tabela2[[#This Row],[Lucro por ação]],"")</f>
        <v>0.62025316454253965</v>
      </c>
      <c r="H547" s="50">
        <f>MAX(Tabela2[[#This Row],[Cotação 1]],Tabela2[[#This Row],[Cotação 2]])</f>
        <v>53.92</v>
      </c>
      <c r="I547" s="18">
        <f>IF(Tabela2[[#This Row],[Dividendo / Ação]]&gt;0,Tabela2[[#This Row],[Dividendo / Ação]]/Tabela2[[#This Row],[Cotação]],"")</f>
        <v>1.8175074183976261E-2</v>
      </c>
      <c r="J547" s="7">
        <f>SUMPRODUCT(N(Tabela1[Código]=Tabela2[[#This Row],[Ativo]]),Tabela1[Fechamento])</f>
        <v>0</v>
      </c>
      <c r="K547" s="7">
        <f>SUMPRODUCT(N(Tabela17[Código]=Tabela2[[#This Row],[Ativo]]),Tabela17[Fechamento])</f>
        <v>53.92</v>
      </c>
      <c r="L547" s="7">
        <f>SUMPRODUCT(N(Tabela2[Ativo]=Tabela2[[#This Row],[Ativo]]),N(Tabela2[Exercício]=Tabela2[[#This Row],[Exercício]]-1),Tabela2[Lucro Líquido])</f>
        <v>773025274.29999995</v>
      </c>
      <c r="M547" s="18">
        <f>IF(Tabela2[[#This Row],[Lucro Anterior]]=0,"",IF(Tabela2[[#This Row],[Lucro Líquido]]&gt;0,Tabela2[[#This Row],[Lucro Líquido]]/Tabela2[[#This Row],[Lucro Anterior]]-1,0))</f>
        <v>0.1126760563926883</v>
      </c>
    </row>
    <row r="548" spans="1:14" x14ac:dyDescent="0.2">
      <c r="A548" s="3" t="s">
        <v>345</v>
      </c>
      <c r="B548" s="3">
        <v>2010</v>
      </c>
      <c r="C548" s="5">
        <v>773025274.29999995</v>
      </c>
      <c r="D548" s="61">
        <f>SUMPRODUCT(N(Tabela3[PAPEL]=Tabela2[[#This Row],[Ativo]]),Tabela3[Total Ações])</f>
        <v>544383996</v>
      </c>
      <c r="E548" s="64">
        <f>(Tabela2[[#This Row],[Lucro Líquido]])/Tabela2[[#This Row],[Total Ações]]</f>
        <v>1.4199999999632611</v>
      </c>
      <c r="F548" s="64">
        <v>0.8</v>
      </c>
      <c r="G548" s="22">
        <f>IF(AND(Tabela2[[#This Row],[Dividendo / Ação]]&gt;0,Tabela2[[#This Row],[Lucro por ação]]&gt;0),Tabela2[[#This Row],[Dividendo / Ação]]/Tabela2[[#This Row],[Lucro por ação]],"")</f>
        <v>0.56338028170471688</v>
      </c>
      <c r="H548" s="50">
        <f>MAX(Tabela2[[#This Row],[Cotação 1]],Tabela2[[#This Row],[Cotação 2]])</f>
        <v>53.92</v>
      </c>
      <c r="I548" s="18">
        <f>IF(Tabela2[[#This Row],[Dividendo / Ação]]&gt;0,Tabela2[[#This Row],[Dividendo / Ação]]/Tabela2[[#This Row],[Cotação]],"")</f>
        <v>1.483679525222552E-2</v>
      </c>
      <c r="J548" s="7">
        <f>SUMPRODUCT(N(Tabela1[Código]=Tabela2[[#This Row],[Ativo]]),Tabela1[Fechamento])</f>
        <v>0</v>
      </c>
      <c r="K548" s="7">
        <f>SUMPRODUCT(N(Tabela17[Código]=Tabela2[[#This Row],[Ativo]]),Tabela17[Fechamento])</f>
        <v>53.92</v>
      </c>
      <c r="L548" s="7">
        <f>SUMPRODUCT(N(Tabela2[Ativo]=Tabela2[[#This Row],[Ativo]]),N(Tabela2[Exercício]=Tabela2[[#This Row],[Exercício]]-1),Tabela2[Lucro Líquido])</f>
        <v>0</v>
      </c>
      <c r="M548" s="18" t="str">
        <f>IF(Tabela2[[#This Row],[Lucro Anterior]]=0,"",IF(Tabela2[[#This Row],[Lucro Líquido]]&gt;0,Tabela2[[#This Row],[Lucro Líquido]]/Tabela2[[#This Row],[Lucro Anterior]]-1,0))</f>
        <v/>
      </c>
      <c r="N548" s="3">
        <f>43179000/Tabela2[[#This Row],[Total Ações]]</f>
        <v>7.9317173754681794E-2</v>
      </c>
    </row>
    <row r="549" spans="1:14" x14ac:dyDescent="0.2">
      <c r="A549" s="4" t="s">
        <v>39</v>
      </c>
      <c r="B549" s="4">
        <v>2012</v>
      </c>
      <c r="C549" s="6">
        <v>39281689.020000003</v>
      </c>
      <c r="D549" s="8">
        <f>SUMPRODUCT(N(Tabela3[PAPEL]=Tabela2[[#This Row],[Ativo]]),Tabela3[Total Ações])</f>
        <v>835502072</v>
      </c>
      <c r="E549" s="63">
        <f>(Tabela2[[#This Row],[Lucro Líquido]])/Tabela2[[#This Row],[Total Ações]]</f>
        <v>4.7015669184360807E-2</v>
      </c>
      <c r="F549" s="63">
        <v>9.6799999999999994E-3</v>
      </c>
      <c r="G549" s="19">
        <f>IF(AND(Tabela2[[#This Row],[Dividendo / Ação]]&gt;0,Tabela2[[#This Row],[Lucro por ação]]&gt;0),Tabela2[[#This Row],[Dividendo / Ação]]/Tabela2[[#This Row],[Lucro por ação]],"")</f>
        <v>0.20588880617740807</v>
      </c>
      <c r="H549" s="6">
        <f>MAX(Tabela2[[#This Row],[Cotação 1]],Tabela2[[#This Row],[Cotação 2]])</f>
        <v>0.51</v>
      </c>
      <c r="I549" s="18">
        <f>IF(Tabela2[[#This Row],[Dividendo / Ação]]&gt;0,Tabela2[[#This Row],[Dividendo / Ação]]/Tabela2[[#This Row],[Cotação]],"")</f>
        <v>1.8980392156862744E-2</v>
      </c>
      <c r="J549" s="59">
        <f>SUMPRODUCT(N(Tabela1[Código]=Tabela2[[#This Row],[Ativo]]),Tabela1[Fechamento])</f>
        <v>0.51</v>
      </c>
      <c r="K549" s="59">
        <f>SUMPRODUCT(N(Tabela17[Código]=Tabela2[[#This Row],[Ativo]]),Tabela17[Fechamento])</f>
        <v>0</v>
      </c>
      <c r="L549" s="59">
        <f>SUMPRODUCT(N(Tabela2[Ativo]=Tabela2[[#This Row],[Ativo]]),N(Tabela2[Exercício]=Tabela2[[#This Row],[Exercício]]-1),Tabela2[Lucro Líquido])</f>
        <v>4448000</v>
      </c>
      <c r="M549" s="18">
        <f>IF(Tabela2[[#This Row],[Lucro Anterior]]=0,"",IF(Tabela2[[#This Row],[Lucro Líquido]]&gt;0,Tabela2[[#This Row],[Lucro Líquido]]/Tabela2[[#This Row],[Lucro Anterior]]-1,0))</f>
        <v>7.8313149775179856</v>
      </c>
    </row>
    <row r="550" spans="1:14" x14ac:dyDescent="0.2">
      <c r="A550" s="4" t="s">
        <v>39</v>
      </c>
      <c r="B550" s="4">
        <v>2011</v>
      </c>
      <c r="C550" s="6">
        <v>4448000</v>
      </c>
      <c r="D550" s="8">
        <f>SUMPRODUCT(N(Tabela3[PAPEL]=Tabela2[[#This Row],[Ativo]]),Tabela3[Total Ações])</f>
        <v>835502072</v>
      </c>
      <c r="E550" s="63">
        <f>(Tabela2[[#This Row],[Lucro Líquido]])/Tabela2[[#This Row],[Total Ações]]</f>
        <v>5.323745025972838E-3</v>
      </c>
      <c r="F550" s="63">
        <v>0</v>
      </c>
      <c r="G550" s="19" t="str">
        <f>IF(AND(Tabela2[[#This Row],[Dividendo / Ação]]&gt;0,Tabela2[[#This Row],[Lucro por ação]]&gt;0),Tabela2[[#This Row],[Dividendo / Ação]]/Tabela2[[#This Row],[Lucro por ação]],"")</f>
        <v/>
      </c>
      <c r="H550" s="6">
        <f>MAX(Tabela2[[#This Row],[Cotação 1]],Tabela2[[#This Row],[Cotação 2]])</f>
        <v>0.51</v>
      </c>
      <c r="I550" s="18" t="str">
        <f>IF(Tabela2[[#This Row],[Dividendo / Ação]]&gt;0,Tabela2[[#This Row],[Dividendo / Ação]]/Tabela2[[#This Row],[Cotação]],"")</f>
        <v/>
      </c>
      <c r="J550" s="59">
        <f>SUMPRODUCT(N(Tabela1[Código]=Tabela2[[#This Row],[Ativo]]),Tabela1[Fechamento])</f>
        <v>0.51</v>
      </c>
      <c r="K550" s="59">
        <f>SUMPRODUCT(N(Tabela17[Código]=Tabela2[[#This Row],[Ativo]]),Tabela17[Fechamento])</f>
        <v>0</v>
      </c>
      <c r="L550" s="59">
        <f>SUMPRODUCT(N(Tabela2[Ativo]=Tabela2[[#This Row],[Ativo]]),N(Tabela2[Exercício]=Tabela2[[#This Row],[Exercício]]-1),Tabela2[Lucro Líquido])</f>
        <v>30296000</v>
      </c>
      <c r="M550" s="18">
        <f>IF(Tabela2[[#This Row],[Lucro Anterior]]=0,"",IF(Tabela2[[#This Row],[Lucro Líquido]]&gt;0,Tabela2[[#This Row],[Lucro Líquido]]/Tabela2[[#This Row],[Lucro Anterior]]-1,0))</f>
        <v>-0.85318193820966459</v>
      </c>
    </row>
    <row r="551" spans="1:14" x14ac:dyDescent="0.2">
      <c r="A551" s="4" t="s">
        <v>39</v>
      </c>
      <c r="B551" s="4">
        <v>2010</v>
      </c>
      <c r="C551" s="6">
        <v>30296000</v>
      </c>
      <c r="D551" s="8">
        <f>SUMPRODUCT(N(Tabela3[PAPEL]=Tabela2[[#This Row],[Ativo]]),Tabela3[Total Ações])</f>
        <v>835502072</v>
      </c>
      <c r="E551" s="63">
        <f>(Tabela2[[#This Row],[Lucro Líquido]])/Tabela2[[#This Row],[Total Ações]]</f>
        <v>3.6260831678703483E-2</v>
      </c>
      <c r="F551" s="63">
        <v>0</v>
      </c>
      <c r="G551" s="19" t="str">
        <f>IF(AND(Tabela2[[#This Row],[Dividendo / Ação]]&gt;0,Tabela2[[#This Row],[Lucro por ação]]&gt;0),Tabela2[[#This Row],[Dividendo / Ação]]/Tabela2[[#This Row],[Lucro por ação]],"")</f>
        <v/>
      </c>
      <c r="H551" s="6">
        <f>MAX(Tabela2[[#This Row],[Cotação 1]],Tabela2[[#This Row],[Cotação 2]])</f>
        <v>0.51</v>
      </c>
      <c r="I551" s="18" t="str">
        <f>IF(Tabela2[[#This Row],[Dividendo / Ação]]&gt;0,Tabela2[[#This Row],[Dividendo / Ação]]/Tabela2[[#This Row],[Cotação]],"")</f>
        <v/>
      </c>
      <c r="J551" s="59">
        <f>SUMPRODUCT(N(Tabela1[Código]=Tabela2[[#This Row],[Ativo]]),Tabela1[Fechamento])</f>
        <v>0.51</v>
      </c>
      <c r="K551" s="59">
        <f>SUMPRODUCT(N(Tabela17[Código]=Tabela2[[#This Row],[Ativo]]),Tabela17[Fechamento])</f>
        <v>0</v>
      </c>
      <c r="L551" s="59">
        <f>SUMPRODUCT(N(Tabela2[Ativo]=Tabela2[[#This Row],[Ativo]]),N(Tabela2[Exercício]=Tabela2[[#This Row],[Exercício]]-1),Tabela2[Lucro Líquido])</f>
        <v>0</v>
      </c>
      <c r="M551" s="18" t="str">
        <f>IF(Tabela2[[#This Row],[Lucro Anterior]]=0,"",IF(Tabela2[[#This Row],[Lucro Líquido]]&gt;0,Tabela2[[#This Row],[Lucro Líquido]]/Tabela2[[#This Row],[Lucro Anterior]]-1,0))</f>
        <v/>
      </c>
    </row>
    <row r="552" spans="1:14" x14ac:dyDescent="0.2">
      <c r="A552" s="4" t="s">
        <v>375</v>
      </c>
      <c r="B552" s="4">
        <v>2012</v>
      </c>
      <c r="C552" s="6">
        <v>9733695883.3700008</v>
      </c>
      <c r="D552" s="77">
        <f>SUMPRODUCT(N(Tabela3[PAPEL]=Tabela2[[#This Row],[Ativo]]),Tabela3[Total Ações])</f>
        <v>5365304100</v>
      </c>
      <c r="E552" s="65">
        <f>(Tabela2[[#This Row],[Lucro Líquido]])/Tabela2[[#This Row],[Total Ações]]</f>
        <v>1.8141927655824766</v>
      </c>
      <c r="F552" s="65">
        <v>1.8288805334</v>
      </c>
      <c r="G552" s="44">
        <f>IF(AND(Tabela2[[#This Row],[Dividendo / Ação]]&gt;0,Tabela2[[#This Row],[Lucro por ação]]&gt;0),Tabela2[[#This Row],[Dividendo / Ação]]/Tabela2[[#This Row],[Lucro por ação]],"")</f>
        <v>1.0080960348294674</v>
      </c>
      <c r="H552" s="60">
        <f>MAX(Tabela2[[#This Row],[Cotação 1]],Tabela2[[#This Row],[Cotação 2]])</f>
        <v>30.23</v>
      </c>
      <c r="I552" s="45">
        <f>IF(Tabela2[[#This Row],[Dividendo / Ação]]&gt;0,Tabela2[[#This Row],[Dividendo / Ação]]/Tabela2[[#This Row],[Cotação]],"")</f>
        <v>6.0498859854449222E-2</v>
      </c>
      <c r="J552" s="17">
        <f>SUMPRODUCT(N(Tabela1[Código]=Tabela2[[#This Row],[Ativo]]),Tabela1[Fechamento])</f>
        <v>0</v>
      </c>
      <c r="K552" s="17">
        <f>SUMPRODUCT(N(Tabela17[Código]=Tabela2[[#This Row],[Ativo]]),Tabela17[Fechamento])</f>
        <v>30.23</v>
      </c>
      <c r="L552" s="17">
        <f>SUMPRODUCT(N(Tabela2[Ativo]=Tabela2[[#This Row],[Ativo]]),N(Tabela2[Exercício]=Tabela2[[#This Row],[Exercício]]-1),Tabela2[Lucro Líquido])</f>
        <v>39810556422</v>
      </c>
      <c r="M552" s="19">
        <f>IF(Tabela2[[#This Row],[Lucro Anterior]]=0,"",IF(Tabela2[[#This Row],[Lucro Líquido]]&gt;0,Tabela2[[#This Row],[Lucro Líquido]]/Tabela2[[#This Row],[Lucro Anterior]]-1,0))</f>
        <v>-0.75549962727998965</v>
      </c>
    </row>
    <row r="553" spans="1:14" x14ac:dyDescent="0.2">
      <c r="A553" s="4" t="s">
        <v>375</v>
      </c>
      <c r="B553" s="4">
        <v>2011</v>
      </c>
      <c r="C553" s="6">
        <v>39810556422</v>
      </c>
      <c r="D553" s="77">
        <f>SUMPRODUCT(N(Tabela3[PAPEL]=Tabela2[[#This Row],[Ativo]]),Tabela3[Total Ações])</f>
        <v>5365304100</v>
      </c>
      <c r="E553" s="65">
        <f>(Tabela2[[#This Row],[Lucro Líquido]])/Tabela2[[#This Row],[Total Ações]]</f>
        <v>7.42</v>
      </c>
      <c r="F553" s="65">
        <v>1.7557325829999999</v>
      </c>
      <c r="G553" s="44">
        <f>IF(AND(Tabela2[[#This Row],[Dividendo / Ação]]&gt;0,Tabela2[[#This Row],[Lucro por ação]]&gt;0),Tabela2[[#This Row],[Dividendo / Ação]]/Tabela2[[#This Row],[Lucro por ação]],"")</f>
        <v>0.23662164191374663</v>
      </c>
      <c r="H553" s="60">
        <f>MAX(Tabela2[[#This Row],[Cotação 1]],Tabela2[[#This Row],[Cotação 2]])</f>
        <v>30.23</v>
      </c>
      <c r="I553" s="45">
        <f>IF(Tabela2[[#This Row],[Dividendo / Ação]]&gt;0,Tabela2[[#This Row],[Dividendo / Ação]]/Tabela2[[#This Row],[Cotação]],"")</f>
        <v>5.8079145980813755E-2</v>
      </c>
      <c r="J553" s="17">
        <f>SUMPRODUCT(N(Tabela1[Código]=Tabela2[[#This Row],[Ativo]]),Tabela1[Fechamento])</f>
        <v>0</v>
      </c>
      <c r="K553" s="17">
        <f>SUMPRODUCT(N(Tabela17[Código]=Tabela2[[#This Row],[Ativo]]),Tabela17[Fechamento])</f>
        <v>30.23</v>
      </c>
      <c r="L553" s="17">
        <f>SUMPRODUCT(N(Tabela2[Ativo]=Tabela2[[#This Row],[Ativo]]),N(Tabela2[Exercício]=Tabela2[[#This Row],[Exercício]]-1),Tabela2[Lucro Líquido])</f>
        <v>37074251331</v>
      </c>
      <c r="M553" s="19">
        <f>IF(Tabela2[[#This Row],[Lucro Anterior]]=0,"",IF(Tabela2[[#This Row],[Lucro Líquido]]&gt;0,Tabela2[[#This Row],[Lucro Líquido]]/Tabela2[[#This Row],[Lucro Anterior]]-1,0))</f>
        <v>7.3806078147612197E-2</v>
      </c>
    </row>
    <row r="554" spans="1:14" x14ac:dyDescent="0.2">
      <c r="A554" s="4" t="s">
        <v>375</v>
      </c>
      <c r="B554" s="4">
        <v>2010</v>
      </c>
      <c r="C554" s="6">
        <v>37074251331</v>
      </c>
      <c r="D554" s="77">
        <f>SUMPRODUCT(N(Tabela3[PAPEL]=Tabela2[[#This Row],[Ativo]]),Tabela3[Total Ações])</f>
        <v>5365304100</v>
      </c>
      <c r="E554" s="65">
        <f>(Tabela2[[#This Row],[Lucro Líquido]])/Tabela2[[#This Row],[Total Ações]]</f>
        <v>6.91</v>
      </c>
      <c r="F554" s="65">
        <v>1.873923027</v>
      </c>
      <c r="G554" s="44">
        <f>IF(AND(Tabela2[[#This Row],[Dividendo / Ação]]&gt;0,Tabela2[[#This Row],[Lucro por ação]]&gt;0),Tabela2[[#This Row],[Dividendo / Ação]]/Tabela2[[#This Row],[Lucro por ação]],"")</f>
        <v>0.27119001837916062</v>
      </c>
      <c r="H554" s="60">
        <f>MAX(Tabela2[[#This Row],[Cotação 1]],Tabela2[[#This Row],[Cotação 2]])</f>
        <v>30.23</v>
      </c>
      <c r="I554" s="45">
        <f>IF(Tabela2[[#This Row],[Dividendo / Ação]]&gt;0,Tabela2[[#This Row],[Dividendo / Ação]]/Tabela2[[#This Row],[Cotação]],"")</f>
        <v>6.1988853026794577E-2</v>
      </c>
      <c r="J554" s="17">
        <f>SUMPRODUCT(N(Tabela1[Código]=Tabela2[[#This Row],[Ativo]]),Tabela1[Fechamento])</f>
        <v>0</v>
      </c>
      <c r="K554" s="17">
        <f>SUMPRODUCT(N(Tabela17[Código]=Tabela2[[#This Row],[Ativo]]),Tabela17[Fechamento])</f>
        <v>30.23</v>
      </c>
      <c r="L554" s="17">
        <f>SUMPRODUCT(N(Tabela2[Ativo]=Tabela2[[#This Row],[Ativo]]),N(Tabela2[Exercício]=Tabela2[[#This Row],[Exercício]]-1),Tabela2[Lucro Líquido])</f>
        <v>0</v>
      </c>
      <c r="M554" s="19" t="str">
        <f>IF(Tabela2[[#This Row],[Lucro Anterior]]=0,"",IF(Tabela2[[#This Row],[Lucro Líquido]]&gt;0,Tabela2[[#This Row],[Lucro Líquido]]/Tabela2[[#This Row],[Lucro Anterior]]-1,0))</f>
        <v/>
      </c>
    </row>
    <row r="555" spans="1:14" x14ac:dyDescent="0.2">
      <c r="A555" s="3" t="s">
        <v>318</v>
      </c>
      <c r="B555" s="3">
        <v>2012</v>
      </c>
      <c r="C555" s="5">
        <v>30653409.600000001</v>
      </c>
      <c r="D555" s="61">
        <f>SUMPRODUCT(N(Tabela3[PAPEL]=Tabela2[[#This Row],[Ativo]]),Tabela3[Total Ações])</f>
        <v>149714346</v>
      </c>
      <c r="E555" s="64">
        <f>(Tabela2[[#This Row],[Lucro Líquido]])/Tabela2[[#This Row],[Total Ações]]</f>
        <v>0.20474597404312878</v>
      </c>
      <c r="F555" s="64">
        <v>4.87E-2</v>
      </c>
      <c r="G555" s="22">
        <f>IF(AND(Tabela2[[#This Row],[Dividendo / Ação]]&gt;0,Tabela2[[#This Row],[Lucro por ação]]&gt;0),Tabela2[[#This Row],[Dividendo / Ação]]/Tabela2[[#This Row],[Lucro por ação]],"")</f>
        <v>0.23785571475872622</v>
      </c>
      <c r="H555" s="50">
        <f>MAX(Tabela2[[#This Row],[Cotação 1]],Tabela2[[#This Row],[Cotação 2]])</f>
        <v>9.15</v>
      </c>
      <c r="I555" s="18">
        <f>IF(Tabela2[[#This Row],[Dividendo / Ação]]&gt;0,Tabela2[[#This Row],[Dividendo / Ação]]/Tabela2[[#This Row],[Cotação]],"")</f>
        <v>5.322404371584699E-3</v>
      </c>
      <c r="J555" s="7">
        <f>SUMPRODUCT(N(Tabela1[Código]=Tabela2[[#This Row],[Ativo]]),Tabela1[Fechamento])</f>
        <v>0</v>
      </c>
      <c r="K555" s="7">
        <f>SUMPRODUCT(N(Tabela17[Código]=Tabela2[[#This Row],[Ativo]]),Tabela17[Fechamento])</f>
        <v>9.15</v>
      </c>
      <c r="L555" s="7">
        <f>SUMPRODUCT(N(Tabela2[Ativo]=Tabela2[[#This Row],[Ativo]]),N(Tabela2[Exercício]=Tabela2[[#This Row],[Exercício]]-1),Tabela2[Lucro Líquido])</f>
        <v>0</v>
      </c>
      <c r="M555" s="18" t="str">
        <f>IF(Tabela2[[#This Row],[Lucro Anterior]]=0,"",IF(Tabela2[[#This Row],[Lucro Líquido]]&gt;0,Tabela2[[#This Row],[Lucro Líquido]]/Tabela2[[#This Row],[Lucro Anterior]]-1,0))</f>
        <v/>
      </c>
    </row>
    <row r="556" spans="1:14" x14ac:dyDescent="0.2">
      <c r="A556" s="3" t="s">
        <v>318</v>
      </c>
      <c r="B556" s="3">
        <v>2011</v>
      </c>
      <c r="D556" s="61">
        <f>SUMPRODUCT(N(Tabela3[PAPEL]=Tabela2[[#This Row],[Ativo]]),Tabela3[Total Ações])</f>
        <v>149714346</v>
      </c>
      <c r="E556" s="64">
        <f>(Tabela2[[#This Row],[Lucro Líquido]])/Tabela2[[#This Row],[Total Ações]]</f>
        <v>0</v>
      </c>
      <c r="F556" s="64">
        <v>0</v>
      </c>
      <c r="G556" s="22" t="str">
        <f>IF(AND(Tabela2[[#This Row],[Dividendo / Ação]]&gt;0,Tabela2[[#This Row],[Lucro por ação]]&gt;0),Tabela2[[#This Row],[Dividendo / Ação]]/Tabela2[[#This Row],[Lucro por ação]],"")</f>
        <v/>
      </c>
      <c r="H556" s="50">
        <f>MAX(Tabela2[[#This Row],[Cotação 1]],Tabela2[[#This Row],[Cotação 2]])</f>
        <v>9.15</v>
      </c>
      <c r="I556" s="18" t="str">
        <f>IF(Tabela2[[#This Row],[Dividendo / Ação]]&gt;0,Tabela2[[#This Row],[Dividendo / Ação]]/Tabela2[[#This Row],[Cotação]],"")</f>
        <v/>
      </c>
      <c r="J556" s="7">
        <f>SUMPRODUCT(N(Tabela1[Código]=Tabela2[[#This Row],[Ativo]]),Tabela1[Fechamento])</f>
        <v>0</v>
      </c>
      <c r="K556" s="7">
        <f>SUMPRODUCT(N(Tabela17[Código]=Tabela2[[#This Row],[Ativo]]),Tabela17[Fechamento])</f>
        <v>9.15</v>
      </c>
      <c r="L556" s="7">
        <f>SUMPRODUCT(N(Tabela2[Ativo]=Tabela2[[#This Row],[Ativo]]),N(Tabela2[Exercício]=Tabela2[[#This Row],[Exercício]]-1),Tabela2[Lucro Líquido])</f>
        <v>0</v>
      </c>
      <c r="M556" s="18" t="str">
        <f>IF(Tabela2[[#This Row],[Lucro Anterior]]=0,"",IF(Tabela2[[#This Row],[Lucro Líquido]]&gt;0,Tabela2[[#This Row],[Lucro Líquido]]/Tabela2[[#This Row],[Lucro Anterior]]-1,0))</f>
        <v/>
      </c>
    </row>
    <row r="557" spans="1:14" x14ac:dyDescent="0.2">
      <c r="A557" s="3" t="s">
        <v>318</v>
      </c>
      <c r="B557" s="3">
        <v>2010</v>
      </c>
      <c r="D557" s="61">
        <f>SUMPRODUCT(N(Tabela3[PAPEL]=Tabela2[[#This Row],[Ativo]]),Tabela3[Total Ações])</f>
        <v>149714346</v>
      </c>
      <c r="E557" s="64">
        <f>(Tabela2[[#This Row],[Lucro Líquido]])/Tabela2[[#This Row],[Total Ações]]</f>
        <v>0</v>
      </c>
      <c r="F557" s="64">
        <v>0</v>
      </c>
      <c r="G557" s="22" t="str">
        <f>IF(AND(Tabela2[[#This Row],[Dividendo / Ação]]&gt;0,Tabela2[[#This Row],[Lucro por ação]]&gt;0),Tabela2[[#This Row],[Dividendo / Ação]]/Tabela2[[#This Row],[Lucro por ação]],"")</f>
        <v/>
      </c>
      <c r="H557" s="50">
        <f>MAX(Tabela2[[#This Row],[Cotação 1]],Tabela2[[#This Row],[Cotação 2]])</f>
        <v>9.15</v>
      </c>
      <c r="I557" s="18" t="str">
        <f>IF(Tabela2[[#This Row],[Dividendo / Ação]]&gt;0,Tabela2[[#This Row],[Dividendo / Ação]]/Tabela2[[#This Row],[Cotação]],"")</f>
        <v/>
      </c>
      <c r="J557" s="7">
        <f>SUMPRODUCT(N(Tabela1[Código]=Tabela2[[#This Row],[Ativo]]),Tabela1[Fechamento])</f>
        <v>0</v>
      </c>
      <c r="K557" s="7">
        <f>SUMPRODUCT(N(Tabela17[Código]=Tabela2[[#This Row],[Ativo]]),Tabela17[Fechamento])</f>
        <v>9.15</v>
      </c>
      <c r="L557" s="7">
        <f>SUMPRODUCT(N(Tabela2[Ativo]=Tabela2[[#This Row],[Ativo]]),N(Tabela2[Exercício]=Tabela2[[#This Row],[Exercício]]-1),Tabela2[Lucro Líquido])</f>
        <v>0</v>
      </c>
      <c r="M557" s="18" t="str">
        <f>IF(Tabela2[[#This Row],[Lucro Anterior]]=0,"",IF(Tabela2[[#This Row],[Lucro Líquido]]&gt;0,Tabela2[[#This Row],[Lucro Líquido]]/Tabela2[[#This Row],[Lucro Anterior]]-1,0))</f>
        <v/>
      </c>
      <c r="N557" s="68">
        <f>0.6415*D559</f>
        <v>722073638.09499991</v>
      </c>
    </row>
    <row r="558" spans="1:14" x14ac:dyDescent="0.2">
      <c r="A558" s="10" t="s">
        <v>329</v>
      </c>
      <c r="B558" s="3">
        <v>2012</v>
      </c>
      <c r="C558" s="5">
        <v>4453572915.3800001</v>
      </c>
      <c r="D558" s="61">
        <f>SUMPRODUCT(N(Tabela3[PAPEL]=Tabela2[[#This Row],[Ativo]]),Tabela3[Total Ações])</f>
        <v>1125601930</v>
      </c>
      <c r="E558" s="64">
        <f>(Tabela2[[#This Row],[Lucro Líquido]])/Tabela2[[#This Row],[Total Ações]]</f>
        <v>3.9566144981467826</v>
      </c>
      <c r="F558" s="64">
        <v>3.566950672031</v>
      </c>
      <c r="G558" s="22">
        <f>IF(AND(Tabela2[[#This Row],[Dividendo / Ação]]&gt;0,Tabela2[[#This Row],[Lucro por ação]]&gt;0),Tabela2[[#This Row],[Dividendo / Ação]]/Tabela2[[#This Row],[Lucro por ação]],"")</f>
        <v>0.90151584737449275</v>
      </c>
      <c r="H558" s="50">
        <f>MAX(Tabela2[[#This Row],[Cotação 1]],Tabela2[[#This Row],[Cotação 2]])</f>
        <v>41.55</v>
      </c>
      <c r="I558" s="18">
        <f>IF(Tabela2[[#This Row],[Dividendo / Ação]]&gt;0,Tabela2[[#This Row],[Dividendo / Ação]]/Tabela2[[#This Row],[Cotação]],"")</f>
        <v>8.5847188255860421E-2</v>
      </c>
      <c r="J558" s="7">
        <f>SUMPRODUCT(N(Tabela1[Código]=Tabela2[[#This Row],[Ativo]]),Tabela1[Fechamento])</f>
        <v>0</v>
      </c>
      <c r="K558" s="7">
        <f>SUMPRODUCT(N(Tabela17[Código]=Tabela2[[#This Row],[Ativo]]),Tabela17[Fechamento])</f>
        <v>41.55</v>
      </c>
      <c r="L558" s="7">
        <f>SUMPRODUCT(N(Tabela2[Ativo]=Tabela2[[#This Row],[Ativo]]),N(Tabela2[Exercício]=Tabela2[[#This Row],[Exercício]]-1),Tabela2[Lucro Líquido])</f>
        <v>4091563016</v>
      </c>
      <c r="M558" s="18">
        <f>IF(Tabela2[[#This Row],[Lucro Anterior]]=0,"",IF(Tabela2[[#This Row],[Lucro Líquido]]&gt;0,Tabela2[[#This Row],[Lucro Líquido]]/Tabela2[[#This Row],[Lucro Anterior]]-1,0))</f>
        <v>8.847716580787468E-2</v>
      </c>
    </row>
    <row r="559" spans="1:14" x14ac:dyDescent="0.2">
      <c r="A559" s="10" t="s">
        <v>329</v>
      </c>
      <c r="B559" s="3">
        <v>2011</v>
      </c>
      <c r="C559" s="5">
        <v>4091563016</v>
      </c>
      <c r="D559" s="61">
        <f>SUMPRODUCT(N(Tabela3[PAPEL]=Tabela2[[#This Row],[Ativo]]),Tabela3[Total Ações])</f>
        <v>1125601930</v>
      </c>
      <c r="E559" s="64">
        <f>(Tabela2[[#This Row],[Lucro Líquido]])/Tabela2[[#This Row],[Total Ações]]</f>
        <v>3.6350000003997862</v>
      </c>
      <c r="F559" s="64">
        <v>3.5070000000000001</v>
      </c>
      <c r="G559" s="22">
        <f>IF(AND(Tabela2[[#This Row],[Dividendo / Ação]]&gt;0,Tabela2[[#This Row],[Lucro por ação]]&gt;0),Tabela2[[#This Row],[Dividendo / Ação]]/Tabela2[[#This Row],[Lucro por ação]],"")</f>
        <v>0.96478679494203345</v>
      </c>
      <c r="H559" s="50">
        <f>MAX(Tabela2[[#This Row],[Cotação 1]],Tabela2[[#This Row],[Cotação 2]])</f>
        <v>41.55</v>
      </c>
      <c r="I559" s="18">
        <f>IF(Tabela2[[#This Row],[Dividendo / Ação]]&gt;0,Tabela2[[#This Row],[Dividendo / Ação]]/Tabela2[[#This Row],[Cotação]],"")</f>
        <v>8.4404332129963913E-2</v>
      </c>
      <c r="J559" s="7">
        <f>SUMPRODUCT(N(Tabela1[Código]=Tabela2[[#This Row],[Ativo]]),Tabela1[Fechamento])</f>
        <v>0</v>
      </c>
      <c r="K559" s="7">
        <f>SUMPRODUCT(N(Tabela17[Código]=Tabela2[[#This Row],[Ativo]]),Tabela17[Fechamento])</f>
        <v>41.55</v>
      </c>
      <c r="L559" s="7">
        <f>SUMPRODUCT(N(Tabela2[Ativo]=Tabela2[[#This Row],[Ativo]]),N(Tabela2[Exercício]=Tabela2[[#This Row],[Exercício]]-1),Tabela2[Lucro Líquido])</f>
        <v>5004201060</v>
      </c>
      <c r="M559" s="18">
        <f>IF(Tabela2[[#This Row],[Lucro Anterior]]=0,"",IF(Tabela2[[#This Row],[Lucro Líquido]]&gt;0,Tabela2[[#This Row],[Lucro Líquido]]/Tabela2[[#This Row],[Lucro Anterior]]-1,0))</f>
        <v>-0.18237437566107706</v>
      </c>
    </row>
    <row r="560" spans="1:14" x14ac:dyDescent="0.2">
      <c r="A560" s="10" t="s">
        <v>329</v>
      </c>
      <c r="B560" s="3">
        <v>2010</v>
      </c>
      <c r="C560" s="5">
        <v>5004201060</v>
      </c>
      <c r="D560" s="61">
        <f>SUMPRODUCT(N(Tabela3[PAPEL]=Tabela2[[#This Row],[Ativo]]),Tabela3[Total Ações])</f>
        <v>1125601930</v>
      </c>
      <c r="E560" s="64">
        <f>(Tabela2[[#This Row],[Lucro Líquido]])/Tabela2[[#This Row],[Total Ações]]</f>
        <v>4.4457999996499646</v>
      </c>
      <c r="F560" s="64">
        <v>4.6006999999999998</v>
      </c>
      <c r="G560" s="22">
        <f>IF(AND(Tabela2[[#This Row],[Dividendo / Ação]]&gt;0,Tabela2[[#This Row],[Lucro por ação]]&gt;0),Tabela2[[#This Row],[Dividendo / Ação]]/Tabela2[[#This Row],[Lucro por ação]],"")</f>
        <v>1.0348418733101423</v>
      </c>
      <c r="H560" s="50">
        <f>MAX(Tabela2[[#This Row],[Cotação 1]],Tabela2[[#This Row],[Cotação 2]])</f>
        <v>41.55</v>
      </c>
      <c r="I560" s="18">
        <f>IF(Tabela2[[#This Row],[Dividendo / Ação]]&gt;0,Tabela2[[#This Row],[Dividendo / Ação]]/Tabela2[[#This Row],[Cotação]],"")</f>
        <v>0.11072683513838749</v>
      </c>
      <c r="J560" s="7">
        <f>SUMPRODUCT(N(Tabela1[Código]=Tabela2[[#This Row],[Ativo]]),Tabela1[Fechamento])</f>
        <v>0</v>
      </c>
      <c r="K560" s="7">
        <f>SUMPRODUCT(N(Tabela17[Código]=Tabela2[[#This Row],[Ativo]]),Tabela17[Fechamento])</f>
        <v>41.55</v>
      </c>
      <c r="L560" s="7">
        <f>SUMPRODUCT(N(Tabela2[Ativo]=Tabela2[[#This Row],[Ativo]]),N(Tabela2[Exercício]=Tabela2[[#This Row],[Exercício]]-1),Tabela2[Lucro Líquido])</f>
        <v>0</v>
      </c>
      <c r="M560" s="18" t="str">
        <f>IF(Tabela2[[#This Row],[Lucro Anterior]]=0,"",IF(Tabela2[[#This Row],[Lucro Líquido]]&gt;0,Tabela2[[#This Row],[Lucro Líquido]]/Tabela2[[#This Row],[Lucro Anterior]]-1,0))</f>
        <v/>
      </c>
    </row>
    <row r="561" spans="1:14" x14ac:dyDescent="0.2">
      <c r="A561" s="10" t="s">
        <v>330</v>
      </c>
      <c r="B561" s="3">
        <v>2012</v>
      </c>
      <c r="C561" s="5">
        <v>4453572915.3800001</v>
      </c>
      <c r="D561" s="61">
        <f>SUMPRODUCT(N(Tabela3[PAPEL]=Tabela2[[#This Row],[Ativo]]),Tabela3[Total Ações])</f>
        <v>1125601930</v>
      </c>
      <c r="E561" s="64">
        <f>(Tabela2[[#This Row],[Lucro Líquido]])/Tabela2[[#This Row],[Total Ações]]</f>
        <v>3.9566144981467826</v>
      </c>
      <c r="F561" s="64">
        <v>3.9236457392339998</v>
      </c>
      <c r="G561" s="22">
        <f>IF(AND(Tabela2[[#This Row],[Dividendo / Ação]]&gt;0,Tabela2[[#This Row],[Lucro por ação]]&gt;0),Tabela2[[#This Row],[Dividendo / Ação]]/Tabela2[[#This Row],[Lucro por ação]],"")</f>
        <v>0.99166743211191666</v>
      </c>
      <c r="H561" s="50">
        <f>MAX(Tabela2[[#This Row],[Cotação 1]],Tabela2[[#This Row],[Cotação 2]])</f>
        <v>46.9</v>
      </c>
      <c r="I561" s="18">
        <f>IF(Tabela2[[#This Row],[Dividendo / Ação]]&gt;0,Tabela2[[#This Row],[Dividendo / Ação]]/Tabela2[[#This Row],[Cotação]],"")</f>
        <v>8.365982386426439E-2</v>
      </c>
      <c r="J561" s="7">
        <f>SUMPRODUCT(N(Tabela1[Código]=Tabela2[[#This Row],[Ativo]]),Tabela1[Fechamento])</f>
        <v>0</v>
      </c>
      <c r="K561" s="7">
        <f>SUMPRODUCT(N(Tabela17[Código]=Tabela2[[#This Row],[Ativo]]),Tabela17[Fechamento])</f>
        <v>46.9</v>
      </c>
      <c r="L561" s="7">
        <f>SUMPRODUCT(N(Tabela2[Ativo]=Tabela2[[#This Row],[Ativo]]),N(Tabela2[Exercício]=Tabela2[[#This Row],[Exercício]]-1),Tabela2[Lucro Líquido])</f>
        <v>4091563016</v>
      </c>
      <c r="M561" s="18">
        <f>IF(Tabela2[[#This Row],[Lucro Anterior]]=0,"",IF(Tabela2[[#This Row],[Lucro Líquido]]&gt;0,Tabela2[[#This Row],[Lucro Líquido]]/Tabela2[[#This Row],[Lucro Anterior]]-1,0))</f>
        <v>8.847716580787468E-2</v>
      </c>
    </row>
    <row r="562" spans="1:14" x14ac:dyDescent="0.2">
      <c r="A562" s="10" t="s">
        <v>330</v>
      </c>
      <c r="B562" s="3">
        <v>2011</v>
      </c>
      <c r="C562" s="5">
        <v>4091563016</v>
      </c>
      <c r="D562" s="61">
        <f>SUMPRODUCT(N(Tabela3[PAPEL]=Tabela2[[#This Row],[Ativo]]),Tabela3[Total Ações])</f>
        <v>1125601930</v>
      </c>
      <c r="E562" s="64">
        <f>(Tabela2[[#This Row],[Lucro Líquido]])/Tabela2[[#This Row],[Total Ações]]</f>
        <v>3.6350000003997862</v>
      </c>
      <c r="F562" s="64">
        <v>3.8576999999999999</v>
      </c>
      <c r="G562" s="22">
        <f>IF(AND(Tabela2[[#This Row],[Dividendo / Ação]]&gt;0,Tabela2[[#This Row],[Lucro por ação]]&gt;0),Tabela2[[#This Row],[Dividendo / Ação]]/Tabela2[[#This Row],[Lucro por ação]],"")</f>
        <v>1.0612654744362366</v>
      </c>
      <c r="H562" s="50">
        <f>MAX(Tabela2[[#This Row],[Cotação 1]],Tabela2[[#This Row],[Cotação 2]])</f>
        <v>46.9</v>
      </c>
      <c r="I562" s="18">
        <f>IF(Tabela2[[#This Row],[Dividendo / Ação]]&gt;0,Tabela2[[#This Row],[Dividendo / Ação]]/Tabela2[[#This Row],[Cotação]],"")</f>
        <v>8.2253731343283579E-2</v>
      </c>
      <c r="J562" s="7">
        <f>SUMPRODUCT(N(Tabela1[Código]=Tabela2[[#This Row],[Ativo]]),Tabela1[Fechamento])</f>
        <v>0</v>
      </c>
      <c r="K562" s="7">
        <f>SUMPRODUCT(N(Tabela17[Código]=Tabela2[[#This Row],[Ativo]]),Tabela17[Fechamento])</f>
        <v>46.9</v>
      </c>
      <c r="L562" s="7">
        <f>SUMPRODUCT(N(Tabela2[Ativo]=Tabela2[[#This Row],[Ativo]]),N(Tabela2[Exercício]=Tabela2[[#This Row],[Exercício]]-1),Tabela2[Lucro Líquido])</f>
        <v>5004201060</v>
      </c>
      <c r="M562" s="18">
        <f>IF(Tabela2[[#This Row],[Lucro Anterior]]=0,"",IF(Tabela2[[#This Row],[Lucro Líquido]]&gt;0,Tabela2[[#This Row],[Lucro Líquido]]/Tabela2[[#This Row],[Lucro Anterior]]-1,0))</f>
        <v>-0.18237437566107706</v>
      </c>
    </row>
    <row r="563" spans="1:14" x14ac:dyDescent="0.2">
      <c r="A563" s="10" t="s">
        <v>330</v>
      </c>
      <c r="B563" s="3">
        <v>2010</v>
      </c>
      <c r="C563" s="5">
        <v>5004201060</v>
      </c>
      <c r="D563" s="61">
        <f>SUMPRODUCT(N(Tabela3[PAPEL]=Tabela2[[#This Row],[Ativo]]),Tabela3[Total Ações])</f>
        <v>1125601930</v>
      </c>
      <c r="E563" s="64">
        <f>(Tabela2[[#This Row],[Lucro Líquido]])/Tabela2[[#This Row],[Total Ações]]</f>
        <v>4.4457999996499646</v>
      </c>
      <c r="F563" s="64">
        <v>5.0608000000000004</v>
      </c>
      <c r="G563" s="22">
        <f>IF(AND(Tabela2[[#This Row],[Dividendo / Ação]]&gt;0,Tabela2[[#This Row],[Lucro por ação]]&gt;0),Tabela2[[#This Row],[Dividendo / Ação]]/Tabela2[[#This Row],[Lucro por ação]],"")</f>
        <v>1.1383328085830351</v>
      </c>
      <c r="H563" s="50">
        <f>MAX(Tabela2[[#This Row],[Cotação 1]],Tabela2[[#This Row],[Cotação 2]])</f>
        <v>46.9</v>
      </c>
      <c r="I563" s="18">
        <f>IF(Tabela2[[#This Row],[Dividendo / Ação]]&gt;0,Tabela2[[#This Row],[Dividendo / Ação]]/Tabela2[[#This Row],[Cotação]],"")</f>
        <v>0.10790618336886995</v>
      </c>
      <c r="J563" s="7">
        <f>SUMPRODUCT(N(Tabela1[Código]=Tabela2[[#This Row],[Ativo]]),Tabela1[Fechamento])</f>
        <v>0</v>
      </c>
      <c r="K563" s="7">
        <f>SUMPRODUCT(N(Tabela17[Código]=Tabela2[[#This Row],[Ativo]]),Tabela17[Fechamento])</f>
        <v>46.9</v>
      </c>
      <c r="L563" s="7">
        <f>SUMPRODUCT(N(Tabela2[Ativo]=Tabela2[[#This Row],[Ativo]]),N(Tabela2[Exercício]=Tabela2[[#This Row],[Exercício]]-1),Tabela2[Lucro Líquido])</f>
        <v>0</v>
      </c>
      <c r="M563" s="18" t="str">
        <f>IF(Tabela2[[#This Row],[Lucro Anterior]]=0,"",IF(Tabela2[[#This Row],[Lucro Líquido]]&gt;0,Tabela2[[#This Row],[Lucro Líquido]]/Tabela2[[#This Row],[Lucro Anterior]]-1,0))</f>
        <v/>
      </c>
    </row>
    <row r="564" spans="1:14" x14ac:dyDescent="0.2">
      <c r="A564" s="4" t="s">
        <v>434</v>
      </c>
      <c r="B564" s="4">
        <v>2012</v>
      </c>
      <c r="C564" s="6">
        <v>109798096.84</v>
      </c>
      <c r="D564" s="77">
        <f>SUMPRODUCT(N(Tabela3[PAPEL]=Tabela2[[#This Row],[Ativo]]),Tabela3[Total Ações])</f>
        <v>98312688</v>
      </c>
      <c r="E564" s="65">
        <f>(Tabela2[[#This Row],[Lucro Líquido]])/Tabela2[[#This Row],[Total Ações]]</f>
        <v>1.1168252956322382</v>
      </c>
      <c r="F564" s="65">
        <v>1.072465845</v>
      </c>
      <c r="G564" s="44">
        <f>IF(AND(Tabela2[[#This Row],[Dividendo / Ação]]&gt;0,Tabela2[[#This Row],[Lucro por ação]]&gt;0),Tabela2[[#This Row],[Dividendo / Ação]]/Tabela2[[#This Row],[Lucro por ação]],"")</f>
        <v>0.96028076118465222</v>
      </c>
      <c r="H564" s="60">
        <f>MAX(Tabela2[[#This Row],[Cotação 1]],Tabela2[[#This Row],[Cotação 2]])</f>
        <v>18.2</v>
      </c>
      <c r="I564" s="45">
        <f>IF(Tabela2[[#This Row],[Dividendo / Ação]]&gt;0,Tabela2[[#This Row],[Dividendo / Ação]]/Tabela2[[#This Row],[Cotação]],"")</f>
        <v>5.8926694780219779E-2</v>
      </c>
      <c r="J564" s="17">
        <f>SUMPRODUCT(N(Tabela1[Código]=Tabela2[[#This Row],[Ativo]]),Tabela1[Fechamento])</f>
        <v>0</v>
      </c>
      <c r="K564" s="17">
        <f>SUMPRODUCT(N(Tabela17[Código]=Tabela2[[#This Row],[Ativo]]),Tabela17[Fechamento])</f>
        <v>18.2</v>
      </c>
      <c r="L564" s="17">
        <f>SUMPRODUCT(N(Tabela2[Ativo]=Tabela2[[#This Row],[Ativo]]),N(Tabela2[Exercício]=Tabela2[[#This Row],[Exercício]]-1),Tabela2[Lucro Líquido])</f>
        <v>106752609.08</v>
      </c>
      <c r="M564" s="19">
        <f>IF(Tabela2[[#This Row],[Lucro Anterior]]=0,"",IF(Tabela2[[#This Row],[Lucro Líquido]]&gt;0,Tabela2[[#This Row],[Lucro Líquido]]/Tabela2[[#This Row],[Lucro Anterior]]-1,0))</f>
        <v>2.8528462079252082E-2</v>
      </c>
    </row>
    <row r="565" spans="1:14" x14ac:dyDescent="0.2">
      <c r="A565" s="4" t="s">
        <v>434</v>
      </c>
      <c r="B565" s="4">
        <v>2011</v>
      </c>
      <c r="C565" s="6">
        <v>106752609.08</v>
      </c>
      <c r="D565" s="77">
        <f>SUMPRODUCT(N(Tabela3[PAPEL]=Tabela2[[#This Row],[Ativo]]),Tabela3[Total Ações])</f>
        <v>98312688</v>
      </c>
      <c r="E565" s="65">
        <f>(Tabela2[[#This Row],[Lucro Líquido]])/Tabela2[[#This Row],[Total Ações]]</f>
        <v>1.0858477298474434</v>
      </c>
      <c r="F565" s="65">
        <v>0.91520231900000004</v>
      </c>
      <c r="G565" s="44">
        <f>IF(AND(Tabela2[[#This Row],[Dividendo / Ação]]&gt;0,Tabela2[[#This Row],[Lucro por ação]]&gt;0),Tabela2[[#This Row],[Dividendo / Ação]]/Tabela2[[#This Row],[Lucro por ação]],"")</f>
        <v>0.84284591093502748</v>
      </c>
      <c r="H565" s="60">
        <f>MAX(Tabela2[[#This Row],[Cotação 1]],Tabela2[[#This Row],[Cotação 2]])</f>
        <v>18.2</v>
      </c>
      <c r="I565" s="45">
        <f>IF(Tabela2[[#This Row],[Dividendo / Ação]]&gt;0,Tabela2[[#This Row],[Dividendo / Ação]]/Tabela2[[#This Row],[Cotação]],"")</f>
        <v>5.028584170329671E-2</v>
      </c>
      <c r="J565" s="17">
        <f>SUMPRODUCT(N(Tabela1[Código]=Tabela2[[#This Row],[Ativo]]),Tabela1[Fechamento])</f>
        <v>0</v>
      </c>
      <c r="K565" s="17">
        <f>SUMPRODUCT(N(Tabela17[Código]=Tabela2[[#This Row],[Ativo]]),Tabela17[Fechamento])</f>
        <v>18.2</v>
      </c>
      <c r="L565" s="17">
        <f>SUMPRODUCT(N(Tabela2[Ativo]=Tabela2[[#This Row],[Ativo]]),N(Tabela2[Exercício]=Tabela2[[#This Row],[Exercício]]-1),Tabela2[Lucro Líquido])</f>
        <v>13071107.109999999</v>
      </c>
      <c r="M565" s="19">
        <f>IF(Tabela2[[#This Row],[Lucro Anterior]]=0,"",IF(Tabela2[[#This Row],[Lucro Líquido]]&gt;0,Tabela2[[#This Row],[Lucro Líquido]]/Tabela2[[#This Row],[Lucro Anterior]]-1,0))</f>
        <v>7.1670671184638461</v>
      </c>
      <c r="N565" s="3">
        <v>0.116161</v>
      </c>
    </row>
    <row r="566" spans="1:14" x14ac:dyDescent="0.2">
      <c r="A566" s="4" t="s">
        <v>434</v>
      </c>
      <c r="B566" s="4">
        <v>2010</v>
      </c>
      <c r="C566" s="6">
        <v>13071107.109999999</v>
      </c>
      <c r="D566" s="77">
        <f>SUMPRODUCT(N(Tabela3[PAPEL]=Tabela2[[#This Row],[Ativo]]),Tabela3[Total Ações])</f>
        <v>98312688</v>
      </c>
      <c r="E566" s="65">
        <f>(Tabela2[[#This Row],[Lucro Líquido]])/Tabela2[[#This Row],[Total Ações]]</f>
        <v>0.13295442710304087</v>
      </c>
      <c r="F566" s="65">
        <v>6.6522439999999999E-3</v>
      </c>
      <c r="G566" s="44">
        <f>IF(AND(Tabela2[[#This Row],[Dividendo / Ação]]&gt;0,Tabela2[[#This Row],[Lucro por ação]]&gt;0),Tabela2[[#This Row],[Dividendo / Ação]]/Tabela2[[#This Row],[Lucro por ação]],"")</f>
        <v>5.0034016504350409E-2</v>
      </c>
      <c r="H566" s="60">
        <f>MAX(Tabela2[[#This Row],[Cotação 1]],Tabela2[[#This Row],[Cotação 2]])</f>
        <v>18.2</v>
      </c>
      <c r="I566" s="45">
        <f>IF(Tabela2[[#This Row],[Dividendo / Ação]]&gt;0,Tabela2[[#This Row],[Dividendo / Ação]]/Tabela2[[#This Row],[Cotação]],"")</f>
        <v>3.6550791208791208E-4</v>
      </c>
      <c r="J566" s="17">
        <f>SUMPRODUCT(N(Tabela1[Código]=Tabela2[[#This Row],[Ativo]]),Tabela1[Fechamento])</f>
        <v>0</v>
      </c>
      <c r="K566" s="17">
        <f>SUMPRODUCT(N(Tabela17[Código]=Tabela2[[#This Row],[Ativo]]),Tabela17[Fechamento])</f>
        <v>18.2</v>
      </c>
      <c r="L566" s="17">
        <f>SUMPRODUCT(N(Tabela2[Ativo]=Tabela2[[#This Row],[Ativo]]),N(Tabela2[Exercício]=Tabela2[[#This Row],[Exercício]]-1),Tabela2[Lucro Líquido])</f>
        <v>0</v>
      </c>
      <c r="M566" s="19" t="str">
        <f>IF(Tabela2[[#This Row],[Lucro Anterior]]=0,"",IF(Tabela2[[#This Row],[Lucro Líquido]]&gt;0,Tabela2[[#This Row],[Lucro Líquido]]/Tabela2[[#This Row],[Lucro Anterior]]-1,0))</f>
        <v/>
      </c>
      <c r="N566" s="3">
        <v>0.124359</v>
      </c>
    </row>
    <row r="567" spans="1:14" x14ac:dyDescent="0.2">
      <c r="A567" s="4" t="s">
        <v>437</v>
      </c>
      <c r="B567" s="4">
        <v>2012</v>
      </c>
      <c r="C567" s="6">
        <v>40688154.170000002</v>
      </c>
      <c r="D567" s="77">
        <f>SUMPRODUCT(N(Tabela3[PAPEL]=Tabela2[[#This Row],[Ativo]]),Tabela3[Total Ações])</f>
        <v>46288258</v>
      </c>
      <c r="E567" s="65">
        <f>(Tabela2[[#This Row],[Lucro Líquido]])/Tabela2[[#This Row],[Total Ações]]</f>
        <v>0.87901675128927947</v>
      </c>
      <c r="F567" s="65">
        <v>0.63615900000000003</v>
      </c>
      <c r="G567" s="44">
        <f>IF(AND(Tabela2[[#This Row],[Dividendo / Ação]]&gt;0,Tabela2[[#This Row],[Lucro por ação]]&gt;0),Tabela2[[#This Row],[Dividendo / Ação]]/Tabela2[[#This Row],[Lucro por ação]],"")</f>
        <v>0.72371658340631972</v>
      </c>
      <c r="H567" s="60">
        <f>MAX(Tabela2[[#This Row],[Cotação 1]],Tabela2[[#This Row],[Cotação 2]])</f>
        <v>15.1</v>
      </c>
      <c r="I567" s="45">
        <f>IF(Tabela2[[#This Row],[Dividendo / Ação]]&gt;0,Tabela2[[#This Row],[Dividendo / Ação]]/Tabela2[[#This Row],[Cotação]],"")</f>
        <v>4.2129735099337755E-2</v>
      </c>
      <c r="J567" s="17">
        <f>SUMPRODUCT(N(Tabela1[Código]=Tabela2[[#This Row],[Ativo]]),Tabela1[Fechamento])</f>
        <v>0</v>
      </c>
      <c r="K567" s="17">
        <f>SUMPRODUCT(N(Tabela17[Código]=Tabela2[[#This Row],[Ativo]]),Tabela17[Fechamento])</f>
        <v>15.1</v>
      </c>
      <c r="L567" s="17">
        <f>SUMPRODUCT(N(Tabela2[Ativo]=Tabela2[[#This Row],[Ativo]]),N(Tabela2[Exercício]=Tabela2[[#This Row],[Exercício]]-1),Tabela2[Lucro Líquido])</f>
        <v>105074345.66</v>
      </c>
      <c r="M567" s="19">
        <f>IF(Tabela2[[#This Row],[Lucro Anterior]]=0,"",IF(Tabela2[[#This Row],[Lucro Líquido]]&gt;0,Tabela2[[#This Row],[Lucro Líquido]]/Tabela2[[#This Row],[Lucro Anterior]]-1,0))</f>
        <v>-0.6127679509738857</v>
      </c>
      <c r="N567" s="68">
        <v>6.7920999999999995E-2</v>
      </c>
    </row>
    <row r="568" spans="1:14" x14ac:dyDescent="0.2">
      <c r="A568" s="4" t="s">
        <v>437</v>
      </c>
      <c r="B568" s="4">
        <v>2011</v>
      </c>
      <c r="C568" s="6">
        <v>105074345.66</v>
      </c>
      <c r="D568" s="77">
        <f>SUMPRODUCT(N(Tabela3[PAPEL]=Tabela2[[#This Row],[Ativo]]),Tabela3[Total Ações])</f>
        <v>46288258</v>
      </c>
      <c r="E568" s="65">
        <f>(Tabela2[[#This Row],[Lucro Líquido]])/Tabela2[[#This Row],[Total Ações]]</f>
        <v>2.27</v>
      </c>
      <c r="F568" s="65">
        <v>2.1378400000000002</v>
      </c>
      <c r="G568" s="44">
        <f>IF(AND(Tabela2[[#This Row],[Dividendo / Ação]]&gt;0,Tabela2[[#This Row],[Lucro por ação]]&gt;0),Tabela2[[#This Row],[Dividendo / Ação]]/Tabela2[[#This Row],[Lucro por ação]],"")</f>
        <v>0.94177973568281947</v>
      </c>
      <c r="H568" s="60">
        <f>MAX(Tabela2[[#This Row],[Cotação 1]],Tabela2[[#This Row],[Cotação 2]])</f>
        <v>15.1</v>
      </c>
      <c r="I568" s="45">
        <f>IF(Tabela2[[#This Row],[Dividendo / Ação]]&gt;0,Tabela2[[#This Row],[Dividendo / Ação]]/Tabela2[[#This Row],[Cotação]],"")</f>
        <v>0.14157880794701988</v>
      </c>
      <c r="J568" s="17">
        <f>SUMPRODUCT(N(Tabela1[Código]=Tabela2[[#This Row],[Ativo]]),Tabela1[Fechamento])</f>
        <v>0</v>
      </c>
      <c r="K568" s="17">
        <f>SUMPRODUCT(N(Tabela17[Código]=Tabela2[[#This Row],[Ativo]]),Tabela17[Fechamento])</f>
        <v>15.1</v>
      </c>
      <c r="L568" s="17">
        <f>SUMPRODUCT(N(Tabela2[Ativo]=Tabela2[[#This Row],[Ativo]]),N(Tabela2[Exercício]=Tabela2[[#This Row],[Exercício]]-1),Tabela2[Lucro Líquido])</f>
        <v>155991429.46000001</v>
      </c>
      <c r="M568" s="19">
        <f>IF(Tabela2[[#This Row],[Lucro Anterior]]=0,"",IF(Tabela2[[#This Row],[Lucro Líquido]]&gt;0,Tabela2[[#This Row],[Lucro Líquido]]/Tabela2[[#This Row],[Lucro Anterior]]-1,0))</f>
        <v>-0.32640949554896148</v>
      </c>
      <c r="N568" s="3">
        <v>4.6599000000000002E-2</v>
      </c>
    </row>
    <row r="569" spans="1:14" x14ac:dyDescent="0.2">
      <c r="A569" s="4" t="s">
        <v>437</v>
      </c>
      <c r="B569" s="4">
        <v>2010</v>
      </c>
      <c r="C569" s="6">
        <v>155991429.46000001</v>
      </c>
      <c r="D569" s="77">
        <f>SUMPRODUCT(N(Tabela3[PAPEL]=Tabela2[[#This Row],[Ativo]]),Tabela3[Total Ações])</f>
        <v>46288258</v>
      </c>
      <c r="E569" s="65">
        <f>(Tabela2[[#This Row],[Lucro Líquido]])/Tabela2[[#This Row],[Total Ações]]</f>
        <v>3.37</v>
      </c>
      <c r="F569" s="65">
        <v>3.2867000000000002</v>
      </c>
      <c r="G569" s="44">
        <f>IF(AND(Tabela2[[#This Row],[Dividendo / Ação]]&gt;0,Tabela2[[#This Row],[Lucro por ação]]&gt;0),Tabela2[[#This Row],[Dividendo / Ação]]/Tabela2[[#This Row],[Lucro por ação]],"")</f>
        <v>0.97528189910979235</v>
      </c>
      <c r="H569" s="60">
        <f>MAX(Tabela2[[#This Row],[Cotação 1]],Tabela2[[#This Row],[Cotação 2]])</f>
        <v>15.1</v>
      </c>
      <c r="I569" s="45">
        <f>IF(Tabela2[[#This Row],[Dividendo / Ação]]&gt;0,Tabela2[[#This Row],[Dividendo / Ação]]/Tabela2[[#This Row],[Cotação]],"")</f>
        <v>0.21766225165562916</v>
      </c>
      <c r="J569" s="17">
        <f>SUMPRODUCT(N(Tabela1[Código]=Tabela2[[#This Row],[Ativo]]),Tabela1[Fechamento])</f>
        <v>0</v>
      </c>
      <c r="K569" s="17">
        <f>SUMPRODUCT(N(Tabela17[Código]=Tabela2[[#This Row],[Ativo]]),Tabela17[Fechamento])</f>
        <v>15.1</v>
      </c>
      <c r="L569" s="17">
        <f>SUMPRODUCT(N(Tabela2[Ativo]=Tabela2[[#This Row],[Ativo]]),N(Tabela2[Exercício]=Tabela2[[#This Row],[Exercício]]-1),Tabela2[Lucro Líquido])</f>
        <v>0</v>
      </c>
      <c r="M569" s="19" t="str">
        <f>IF(Tabela2[[#This Row],[Lucro Anterior]]=0,"",IF(Tabela2[[#This Row],[Lucro Líquido]]&gt;0,Tabela2[[#This Row],[Lucro Líquido]]/Tabela2[[#This Row],[Lucro Anterior]]-1,0))</f>
        <v/>
      </c>
      <c r="N569" s="3">
        <v>0</v>
      </c>
    </row>
    <row r="570" spans="1:14" x14ac:dyDescent="0.2">
      <c r="A570" s="4" t="s">
        <v>440</v>
      </c>
      <c r="B570" s="4">
        <v>2012</v>
      </c>
      <c r="C570" s="6">
        <v>1074289736.8800001</v>
      </c>
      <c r="D570" s="77">
        <f>SUMPRODUCT(N(Tabela3[PAPEL]=Tabela2[[#This Row],[Ativo]]),Tabela3[Total Ações])</f>
        <v>1980000000</v>
      </c>
      <c r="E570" s="65">
        <f>(Tabela2[[#This Row],[Lucro Líquido]])/Tabela2[[#This Row],[Total Ações]]</f>
        <v>0.5425705741818182</v>
      </c>
      <c r="F570" s="65">
        <v>0.35504000000000002</v>
      </c>
      <c r="G570" s="44">
        <f>IF(AND(Tabela2[[#This Row],[Dividendo / Ação]]&gt;0,Tabela2[[#This Row],[Lucro por ação]]&gt;0),Tabela2[[#This Row],[Dividendo / Ação]]/Tabela2[[#This Row],[Lucro por ação]],"")</f>
        <v>0.65436648593667424</v>
      </c>
      <c r="H570" s="60">
        <f>MAX(Tabela2[[#This Row],[Cotação 1]],Tabela2[[#This Row],[Cotação 2]])</f>
        <v>10.34</v>
      </c>
      <c r="I570" s="45">
        <f>IF(Tabela2[[#This Row],[Dividendo / Ação]]&gt;0,Tabela2[[#This Row],[Dividendo / Ação]]/Tabela2[[#This Row],[Cotação]],"")</f>
        <v>3.4336557059961317E-2</v>
      </c>
      <c r="J570" s="17">
        <f>SUMPRODUCT(N(Tabela1[Código]=Tabela2[[#This Row],[Ativo]]),Tabela1[Fechamento])</f>
        <v>0</v>
      </c>
      <c r="K570" s="17">
        <f>SUMPRODUCT(N(Tabela17[Código]=Tabela2[[#This Row],[Ativo]]),Tabela17[Fechamento])</f>
        <v>10.34</v>
      </c>
      <c r="L570" s="17">
        <f>SUMPRODUCT(N(Tabela2[Ativo]=Tabela2[[#This Row],[Ativo]]),N(Tabela2[Exercício]=Tabela2[[#This Row],[Exercício]]-1),Tabela2[Lucro Líquido])</f>
        <v>1047998632.27</v>
      </c>
      <c r="M570" s="19">
        <f>IF(Tabela2[[#This Row],[Lucro Anterior]]=0,"",IF(Tabela2[[#This Row],[Lucro Líquido]]&gt;0,Tabela2[[#This Row],[Lucro Líquido]]/Tabela2[[#This Row],[Lucro Anterior]]-1,0))</f>
        <v>2.5086964620414376E-2</v>
      </c>
      <c r="N570" s="3">
        <v>0</v>
      </c>
    </row>
    <row r="571" spans="1:14" x14ac:dyDescent="0.2">
      <c r="A571" s="4" t="s">
        <v>440</v>
      </c>
      <c r="B571" s="4">
        <v>2011</v>
      </c>
      <c r="C571" s="6">
        <v>1047998632.27</v>
      </c>
      <c r="D571" s="77">
        <f>SUMPRODUCT(N(Tabela3[PAPEL]=Tabela2[[#This Row],[Ativo]]),Tabela3[Total Ações])</f>
        <v>1980000000</v>
      </c>
      <c r="E571" s="65">
        <f>(Tabela2[[#This Row],[Lucro Líquido]])/Tabela2[[#This Row],[Total Ações]]</f>
        <v>0.52929223852020202</v>
      </c>
      <c r="F571" s="65">
        <v>0.470941</v>
      </c>
      <c r="G571" s="44">
        <f>IF(AND(Tabela2[[#This Row],[Dividendo / Ação]]&gt;0,Tabela2[[#This Row],[Lucro por ação]]&gt;0),Tabela2[[#This Row],[Dividendo / Ação]]/Tabela2[[#This Row],[Lucro por ação]],"")</f>
        <v>0.88975610395621763</v>
      </c>
      <c r="H571" s="60">
        <f>MAX(Tabela2[[#This Row],[Cotação 1]],Tabela2[[#This Row],[Cotação 2]])</f>
        <v>10.34</v>
      </c>
      <c r="I571" s="45">
        <f>IF(Tabela2[[#This Row],[Dividendo / Ação]]&gt;0,Tabela2[[#This Row],[Dividendo / Ação]]/Tabela2[[#This Row],[Cotação]],"")</f>
        <v>4.5545551257253389E-2</v>
      </c>
      <c r="J571" s="17">
        <f>SUMPRODUCT(N(Tabela1[Código]=Tabela2[[#This Row],[Ativo]]),Tabela1[Fechamento])</f>
        <v>0</v>
      </c>
      <c r="K571" s="17">
        <f>SUMPRODUCT(N(Tabela17[Código]=Tabela2[[#This Row],[Ativo]]),Tabela17[Fechamento])</f>
        <v>10.34</v>
      </c>
      <c r="L571" s="17">
        <f>SUMPRODUCT(N(Tabela2[Ativo]=Tabela2[[#This Row],[Ativo]]),N(Tabela2[Exercício]=Tabela2[[#This Row],[Exercício]]-1),Tabela2[Lucro Líquido])</f>
        <v>1144560312.5999999</v>
      </c>
      <c r="M571" s="19">
        <f>IF(Tabela2[[#This Row],[Lucro Anterior]]=0,"",IF(Tabela2[[#This Row],[Lucro Líquido]]&gt;0,Tabela2[[#This Row],[Lucro Líquido]]/Tabela2[[#This Row],[Lucro Anterior]]-1,0))</f>
        <v>-8.4365742256647835E-2</v>
      </c>
      <c r="N571" s="3">
        <v>0</v>
      </c>
    </row>
    <row r="572" spans="1:14" x14ac:dyDescent="0.2">
      <c r="A572" s="4" t="s">
        <v>440</v>
      </c>
      <c r="B572" s="4">
        <v>2010</v>
      </c>
      <c r="C572" s="6">
        <v>1144560312.5999999</v>
      </c>
      <c r="D572" s="77">
        <f>SUMPRODUCT(N(Tabela3[PAPEL]=Tabela2[[#This Row],[Ativo]]),Tabela3[Total Ações])</f>
        <v>1980000000</v>
      </c>
      <c r="E572" s="65">
        <f>(Tabela2[[#This Row],[Lucro Líquido]])/Tabela2[[#This Row],[Total Ações]]</f>
        <v>0.57806076393939387</v>
      </c>
      <c r="F572" s="65">
        <v>0.57673300000000005</v>
      </c>
      <c r="G572" s="44">
        <f>IF(AND(Tabela2[[#This Row],[Dividendo / Ação]]&gt;0,Tabela2[[#This Row],[Lucro por ação]]&gt;0),Tabela2[[#This Row],[Dividendo / Ação]]/Tabela2[[#This Row],[Lucro por ação]],"")</f>
        <v>0.99770307202594877</v>
      </c>
      <c r="H572" s="60">
        <f>MAX(Tabela2[[#This Row],[Cotação 1]],Tabela2[[#This Row],[Cotação 2]])</f>
        <v>10.34</v>
      </c>
      <c r="I572" s="45">
        <f>IF(Tabela2[[#This Row],[Dividendo / Ação]]&gt;0,Tabela2[[#This Row],[Dividendo / Ação]]/Tabela2[[#This Row],[Cotação]],"")</f>
        <v>5.5776885880077377E-2</v>
      </c>
      <c r="J572" s="17">
        <f>SUMPRODUCT(N(Tabela1[Código]=Tabela2[[#This Row],[Ativo]]),Tabela1[Fechamento])</f>
        <v>0</v>
      </c>
      <c r="K572" s="17">
        <f>SUMPRODUCT(N(Tabela17[Código]=Tabela2[[#This Row],[Ativo]]),Tabela17[Fechamento])</f>
        <v>10.34</v>
      </c>
      <c r="L572" s="17">
        <f>SUMPRODUCT(N(Tabela2[Ativo]=Tabela2[[#This Row],[Ativo]]),N(Tabela2[Exercício]=Tabela2[[#This Row],[Exercício]]-1),Tabela2[Lucro Líquido])</f>
        <v>0</v>
      </c>
      <c r="M572" s="19" t="str">
        <f>IF(Tabela2[[#This Row],[Lucro Anterior]]=0,"",IF(Tabela2[[#This Row],[Lucro Líquido]]&gt;0,Tabela2[[#This Row],[Lucro Líquido]]/Tabela2[[#This Row],[Lucro Anterior]]-1,0))</f>
        <v/>
      </c>
      <c r="N572" s="3">
        <v>0</v>
      </c>
    </row>
    <row r="573" spans="1:14" x14ac:dyDescent="0.2">
      <c r="A573" s="4" t="s">
        <v>444</v>
      </c>
      <c r="B573" s="4">
        <v>2012</v>
      </c>
      <c r="C573" s="6">
        <v>2314615815.0500002</v>
      </c>
      <c r="D573" s="77">
        <f>SUMPRODUCT(N(Tabela3[PAPEL]=Tabela2[[#This Row],[Ativo]]),Tabela3[Total Ações])</f>
        <v>786115469</v>
      </c>
      <c r="E573" s="65">
        <f>(Tabela2[[#This Row],[Lucro Líquido]])/Tabela2[[#This Row],[Total Ações]]</f>
        <v>2.9443712868217329</v>
      </c>
      <c r="F573" s="65">
        <v>2.4300000000000002</v>
      </c>
      <c r="G573" s="44">
        <f>IF(AND(Tabela2[[#This Row],[Dividendo / Ação]]&gt;0,Tabela2[[#This Row],[Lucro por ação]]&gt;0),Tabela2[[#This Row],[Dividendo / Ação]]/Tabela2[[#This Row],[Lucro por ação]],"")</f>
        <v>0.8253035243469703</v>
      </c>
      <c r="H573" s="60">
        <f>MAX(Tabela2[[#This Row],[Cotação 1]],Tabela2[[#This Row],[Cotação 2]])</f>
        <v>66.599999999999994</v>
      </c>
      <c r="I573" s="45">
        <f>IF(Tabela2[[#This Row],[Dividendo / Ação]]&gt;0,Tabela2[[#This Row],[Dividendo / Ação]]/Tabela2[[#This Row],[Cotação]],"")</f>
        <v>3.6486486486486495E-2</v>
      </c>
      <c r="J573" s="17">
        <f>SUMPRODUCT(N(Tabela1[Código]=Tabela2[[#This Row],[Ativo]]),Tabela1[Fechamento])</f>
        <v>0</v>
      </c>
      <c r="K573" s="17">
        <f>SUMPRODUCT(N(Tabela17[Código]=Tabela2[[#This Row],[Ativo]]),Tabela17[Fechamento])</f>
        <v>66.599999999999994</v>
      </c>
      <c r="L573" s="17">
        <f>SUMPRODUCT(N(Tabela2[Ativo]=Tabela2[[#This Row],[Ativo]]),N(Tabela2[Exercício]=Tabela2[[#This Row],[Exercício]]-1),Tabela2[Lucro Líquido])</f>
        <v>1810326710.1800001</v>
      </c>
      <c r="M573" s="19">
        <f>IF(Tabela2[[#This Row],[Lucro Anterior]]=0,"",IF(Tabela2[[#This Row],[Lucro Líquido]]&gt;0,Tabela2[[#This Row],[Lucro Líquido]]/Tabela2[[#This Row],[Lucro Anterior]]-1,0))</f>
        <v>0.2785624837960099</v>
      </c>
      <c r="N573" s="3">
        <f>SUM(N565:N572)</f>
        <v>0.35504000000000002</v>
      </c>
    </row>
    <row r="574" spans="1:14" x14ac:dyDescent="0.2">
      <c r="A574" s="4" t="s">
        <v>444</v>
      </c>
      <c r="B574" s="4">
        <v>2011</v>
      </c>
      <c r="C574" s="6">
        <v>1810326710.1800001</v>
      </c>
      <c r="D574" s="77">
        <f>SUMPRODUCT(N(Tabela3[PAPEL]=Tabela2[[#This Row],[Ativo]]),Tabela3[Total Ações])</f>
        <v>786115469</v>
      </c>
      <c r="E574" s="65">
        <f>(Tabela2[[#This Row],[Lucro Líquido]])/Tabela2[[#This Row],[Total Ações]]</f>
        <v>2.3028763350540302</v>
      </c>
      <c r="F574" s="65">
        <v>2.25</v>
      </c>
      <c r="G574" s="44">
        <f>IF(AND(Tabela2[[#This Row],[Dividendo / Ação]]&gt;0,Tabela2[[#This Row],[Lucro por ação]]&gt;0),Tabela2[[#This Row],[Dividendo / Ação]]/Tabela2[[#This Row],[Lucro por ação]],"")</f>
        <v>0.97703900368024332</v>
      </c>
      <c r="H574" s="60">
        <f>MAX(Tabela2[[#This Row],[Cotação 1]],Tabela2[[#This Row],[Cotação 2]])</f>
        <v>66.599999999999994</v>
      </c>
      <c r="I574" s="45">
        <f>IF(Tabela2[[#This Row],[Dividendo / Ação]]&gt;0,Tabela2[[#This Row],[Dividendo / Ação]]/Tabela2[[#This Row],[Cotação]],"")</f>
        <v>3.3783783783783786E-2</v>
      </c>
      <c r="J574" s="17">
        <f>SUMPRODUCT(N(Tabela1[Código]=Tabela2[[#This Row],[Ativo]]),Tabela1[Fechamento])</f>
        <v>0</v>
      </c>
      <c r="K574" s="17">
        <f>SUMPRODUCT(N(Tabela17[Código]=Tabela2[[#This Row],[Ativo]]),Tabela17[Fechamento])</f>
        <v>66.599999999999994</v>
      </c>
      <c r="L574" s="17">
        <f>SUMPRODUCT(N(Tabela2[Ativo]=Tabela2[[#This Row],[Ativo]]),N(Tabela2[Exercício]=Tabela2[[#This Row],[Exercício]]-1),Tabela2[Lucro Líquido])</f>
        <v>1829334179.3199999</v>
      </c>
      <c r="M574" s="19">
        <f>IF(Tabela2[[#This Row],[Lucro Anterior]]=0,"",IF(Tabela2[[#This Row],[Lucro Líquido]]&gt;0,Tabela2[[#This Row],[Lucro Líquido]]/Tabela2[[#This Row],[Lucro Anterior]]-1,0))</f>
        <v>-1.0390375555692777E-2</v>
      </c>
    </row>
    <row r="575" spans="1:14" x14ac:dyDescent="0.2">
      <c r="A575" s="4" t="s">
        <v>444</v>
      </c>
      <c r="B575" s="4">
        <v>2010</v>
      </c>
      <c r="C575" s="6">
        <v>1829334179.3199999</v>
      </c>
      <c r="D575" s="77">
        <f>SUMPRODUCT(N(Tabela3[PAPEL]=Tabela2[[#This Row],[Ativo]]),Tabela3[Total Ações])</f>
        <v>786115469</v>
      </c>
      <c r="E575" s="65">
        <f>(Tabela2[[#This Row],[Lucro Líquido]])/Tabela2[[#This Row],[Total Ações]]</f>
        <v>2.3270553137022674</v>
      </c>
      <c r="F575" s="65">
        <v>1.19</v>
      </c>
      <c r="G575" s="44">
        <f>IF(AND(Tabela2[[#This Row],[Dividendo / Ação]]&gt;0,Tabela2[[#This Row],[Lucro por ação]]&gt;0),Tabela2[[#This Row],[Dividendo / Ação]]/Tabela2[[#This Row],[Lucro por ação]],"")</f>
        <v>0.51137589768192904</v>
      </c>
      <c r="H575" s="60">
        <f>MAX(Tabela2[[#This Row],[Cotação 1]],Tabela2[[#This Row],[Cotação 2]])</f>
        <v>66.599999999999994</v>
      </c>
      <c r="I575" s="45">
        <f>IF(Tabela2[[#This Row],[Dividendo / Ação]]&gt;0,Tabela2[[#This Row],[Dividendo / Ação]]/Tabela2[[#This Row],[Cotação]],"")</f>
        <v>1.7867867867867867E-2</v>
      </c>
      <c r="J575" s="17">
        <f>SUMPRODUCT(N(Tabela1[Código]=Tabela2[[#This Row],[Ativo]]),Tabela1[Fechamento])</f>
        <v>0</v>
      </c>
      <c r="K575" s="17">
        <f>SUMPRODUCT(N(Tabela17[Código]=Tabela2[[#This Row],[Ativo]]),Tabela17[Fechamento])</f>
        <v>66.599999999999994</v>
      </c>
      <c r="L575" s="17">
        <f>SUMPRODUCT(N(Tabela2[Ativo]=Tabela2[[#This Row],[Ativo]]),N(Tabela2[Exercício]=Tabela2[[#This Row],[Exercício]]-1),Tabela2[Lucro Líquido])</f>
        <v>0</v>
      </c>
      <c r="M575" s="19" t="str">
        <f>IF(Tabela2[[#This Row],[Lucro Anterior]]=0,"",IF(Tabela2[[#This Row],[Lucro Líquido]]&gt;0,Tabela2[[#This Row],[Lucro Líquido]]/Tabela2[[#This Row],[Lucro Anterior]]-1,0))</f>
        <v/>
      </c>
    </row>
    <row r="576" spans="1:14" x14ac:dyDescent="0.2">
      <c r="A576" s="4" t="s">
        <v>443</v>
      </c>
      <c r="B576" s="4">
        <v>2012</v>
      </c>
      <c r="C576" s="6">
        <v>275394800.88</v>
      </c>
      <c r="D576" s="77">
        <f>SUMPRODUCT(N(Tabela3[PAPEL]=Tabela2[[#This Row],[Ativo]]),Tabela3[Total Ações])</f>
        <v>260378479</v>
      </c>
      <c r="E576" s="65">
        <f>(Tabela2[[#This Row],[Lucro Líquido]])/Tabela2[[#This Row],[Total Ações]]</f>
        <v>1.0576711329510455</v>
      </c>
      <c r="F576" s="65">
        <v>0.53490000000000004</v>
      </c>
      <c r="G576" s="44">
        <f>IF(AND(Tabela2[[#This Row],[Dividendo / Ação]]&gt;0,Tabela2[[#This Row],[Lucro por ação]]&gt;0),Tabela2[[#This Row],[Dividendo / Ação]]/Tabela2[[#This Row],[Lucro por ação]],"")</f>
        <v>0.50573376102981715</v>
      </c>
      <c r="H576" s="60">
        <f>MAX(Tabela2[[#This Row],[Cotação 1]],Tabela2[[#This Row],[Cotação 2]])</f>
        <v>23.41</v>
      </c>
      <c r="I576" s="45">
        <f>IF(Tabela2[[#This Row],[Dividendo / Ação]]&gt;0,Tabela2[[#This Row],[Dividendo / Ação]]/Tabela2[[#This Row],[Cotação]],"")</f>
        <v>2.2849209739427598E-2</v>
      </c>
      <c r="J576" s="17">
        <f>SUMPRODUCT(N(Tabela1[Código]=Tabela2[[#This Row],[Ativo]]),Tabela1[Fechamento])</f>
        <v>0</v>
      </c>
      <c r="K576" s="17">
        <f>SUMPRODUCT(N(Tabela17[Código]=Tabela2[[#This Row],[Ativo]]),Tabela17[Fechamento])</f>
        <v>23.41</v>
      </c>
      <c r="L576" s="17">
        <f>SUMPRODUCT(N(Tabela2[Ativo]=Tabela2[[#This Row],[Ativo]]),N(Tabela2[Exercício]=Tabela2[[#This Row],[Exercício]]-1),Tabela2[Lucro Líquido])</f>
        <v>220517318.09</v>
      </c>
      <c r="M576" s="19">
        <f>IF(Tabela2[[#This Row],[Lucro Anterior]]=0,"",IF(Tabela2[[#This Row],[Lucro Líquido]]&gt;0,Tabela2[[#This Row],[Lucro Líquido]]/Tabela2[[#This Row],[Lucro Anterior]]-1,0))</f>
        <v>0.24885792764631209</v>
      </c>
    </row>
    <row r="577" spans="1:13" x14ac:dyDescent="0.2">
      <c r="A577" s="4" t="s">
        <v>443</v>
      </c>
      <c r="B577" s="4">
        <v>2011</v>
      </c>
      <c r="C577" s="6">
        <v>220517318.09</v>
      </c>
      <c r="D577" s="77">
        <f>SUMPRODUCT(N(Tabela3[PAPEL]=Tabela2[[#This Row],[Ativo]]),Tabela3[Total Ações])</f>
        <v>260378479</v>
      </c>
      <c r="E577" s="65">
        <f>(Tabela2[[#This Row],[Lucro Líquido]])/Tabela2[[#This Row],[Total Ações]]</f>
        <v>0.84691069299164312</v>
      </c>
      <c r="F577" s="65">
        <v>0.254</v>
      </c>
      <c r="G577" s="44">
        <f>IF(AND(Tabela2[[#This Row],[Dividendo / Ação]]&gt;0,Tabela2[[#This Row],[Lucro por ação]]&gt;0),Tabela2[[#This Row],[Dividendo / Ação]]/Tabela2[[#This Row],[Lucro por ação]],"")</f>
        <v>0.29991355889340077</v>
      </c>
      <c r="H577" s="60">
        <f>MAX(Tabela2[[#This Row],[Cotação 1]],Tabela2[[#This Row],[Cotação 2]])</f>
        <v>23.41</v>
      </c>
      <c r="I577" s="45">
        <f>IF(Tabela2[[#This Row],[Dividendo / Ação]]&gt;0,Tabela2[[#This Row],[Dividendo / Ação]]/Tabela2[[#This Row],[Cotação]],"")</f>
        <v>1.0850064075181546E-2</v>
      </c>
      <c r="J577" s="17">
        <f>SUMPRODUCT(N(Tabela1[Código]=Tabela2[[#This Row],[Ativo]]),Tabela1[Fechamento])</f>
        <v>0</v>
      </c>
      <c r="K577" s="17">
        <f>SUMPRODUCT(N(Tabela17[Código]=Tabela2[[#This Row],[Ativo]]),Tabela17[Fechamento])</f>
        <v>23.41</v>
      </c>
      <c r="L577" s="17">
        <f>SUMPRODUCT(N(Tabela2[Ativo]=Tabela2[[#This Row],[Ativo]]),N(Tabela2[Exercício]=Tabela2[[#This Row],[Exercício]]-1),Tabela2[Lucro Líquido])</f>
        <v>112319339.34999999</v>
      </c>
      <c r="M577" s="19">
        <f>IF(Tabela2[[#This Row],[Lucro Anterior]]=0,"",IF(Tabela2[[#This Row],[Lucro Líquido]]&gt;0,Tabela2[[#This Row],[Lucro Líquido]]/Tabela2[[#This Row],[Lucro Anterior]]-1,0))</f>
        <v>0.96330675880172922</v>
      </c>
    </row>
    <row r="578" spans="1:13" x14ac:dyDescent="0.2">
      <c r="A578" s="4" t="s">
        <v>443</v>
      </c>
      <c r="B578" s="4">
        <v>2010</v>
      </c>
      <c r="C578" s="6">
        <v>112319339.34999999</v>
      </c>
      <c r="D578" s="77">
        <f>SUMPRODUCT(N(Tabela3[PAPEL]=Tabela2[[#This Row],[Ativo]]),Tabela3[Total Ações])</f>
        <v>260378479</v>
      </c>
      <c r="E578" s="65">
        <f>(Tabela2[[#This Row],[Lucro Líquido]])/Tabela2[[#This Row],[Total Ações]]</f>
        <v>0.43136951940640222</v>
      </c>
      <c r="F578" s="65">
        <v>0.13089999999999999</v>
      </c>
      <c r="G578" s="44">
        <f>IF(AND(Tabela2[[#This Row],[Dividendo / Ação]]&gt;0,Tabela2[[#This Row],[Lucro por ação]]&gt;0),Tabela2[[#This Row],[Dividendo / Ação]]/Tabela2[[#This Row],[Lucro por ação]],"")</f>
        <v>0.30345213120326281</v>
      </c>
      <c r="H578" s="60">
        <f>MAX(Tabela2[[#This Row],[Cotação 1]],Tabela2[[#This Row],[Cotação 2]])</f>
        <v>23.41</v>
      </c>
      <c r="I578" s="45">
        <f>IF(Tabela2[[#This Row],[Dividendo / Ação]]&gt;0,Tabela2[[#This Row],[Dividendo / Ação]]/Tabela2[[#This Row],[Cotação]],"")</f>
        <v>5.5916275096112768E-3</v>
      </c>
      <c r="J578" s="17">
        <f>SUMPRODUCT(N(Tabela1[Código]=Tabela2[[#This Row],[Ativo]]),Tabela1[Fechamento])</f>
        <v>0</v>
      </c>
      <c r="K578" s="17">
        <f>SUMPRODUCT(N(Tabela17[Código]=Tabela2[[#This Row],[Ativo]]),Tabela17[Fechamento])</f>
        <v>23.41</v>
      </c>
      <c r="L578" s="17">
        <f>SUMPRODUCT(N(Tabela2[Ativo]=Tabela2[[#This Row],[Ativo]]),N(Tabela2[Exercício]=Tabela2[[#This Row],[Exercício]]-1),Tabela2[Lucro Líquido])</f>
        <v>66605139.840000004</v>
      </c>
      <c r="M578" s="19">
        <f>IF(Tabela2[[#This Row],[Lucro Anterior]]=0,"",IF(Tabela2[[#This Row],[Lucro Líquido]]&gt;0,Tabela2[[#This Row],[Lucro Líquido]]/Tabela2[[#This Row],[Lucro Anterior]]-1,0))</f>
        <v>0.68634642341139762</v>
      </c>
    </row>
    <row r="579" spans="1:13" x14ac:dyDescent="0.2">
      <c r="A579" s="4" t="s">
        <v>443</v>
      </c>
      <c r="B579" s="4">
        <v>2009</v>
      </c>
      <c r="C579" s="6">
        <v>66605139.840000004</v>
      </c>
      <c r="D579" s="77">
        <f>SUMPRODUCT(N(Tabela3[PAPEL]=Tabela2[[#This Row],[Ativo]]),Tabela3[Total Ações])</f>
        <v>260378479</v>
      </c>
      <c r="E579" s="65">
        <f>(Tabela2[[#This Row],[Lucro Líquido]])/Tabela2[[#This Row],[Total Ações]]</f>
        <v>0.2558012478442967</v>
      </c>
      <c r="F579" s="65">
        <v>0.29799999999999999</v>
      </c>
      <c r="G579" s="44">
        <f>IF(AND(Tabela2[[#This Row],[Dividendo / Ação]]&gt;0,Tabela2[[#This Row],[Lucro por ação]]&gt;0),Tabela2[[#This Row],[Dividendo / Ação]]/Tabela2[[#This Row],[Lucro por ação]],"")</f>
        <v>1.164966951925853</v>
      </c>
      <c r="H579" s="60">
        <f>MAX(Tabela2[[#This Row],[Cotação 1]],Tabela2[[#This Row],[Cotação 2]])</f>
        <v>23.41</v>
      </c>
      <c r="I579" s="45">
        <f>IF(Tabela2[[#This Row],[Dividendo / Ação]]&gt;0,Tabela2[[#This Row],[Dividendo / Ação]]/Tabela2[[#This Row],[Cotação]],"")</f>
        <v>1.2729602733874412E-2</v>
      </c>
      <c r="J579" s="17">
        <f>SUMPRODUCT(N(Tabela1[Código]=Tabela2[[#This Row],[Ativo]]),Tabela1[Fechamento])</f>
        <v>0</v>
      </c>
      <c r="K579" s="17">
        <f>SUMPRODUCT(N(Tabela17[Código]=Tabela2[[#This Row],[Ativo]]),Tabela17[Fechamento])</f>
        <v>23.41</v>
      </c>
      <c r="L579" s="17">
        <f>SUMPRODUCT(N(Tabela2[Ativo]=Tabela2[[#This Row],[Ativo]]),N(Tabela2[Exercício]=Tabela2[[#This Row],[Exercício]]-1),Tabela2[Lucro Líquido])</f>
        <v>0</v>
      </c>
      <c r="M579" s="19" t="str">
        <f>IF(Tabela2[[#This Row],[Lucro Anterior]]=0,"",IF(Tabela2[[#This Row],[Lucro Líquido]]&gt;0,Tabela2[[#This Row],[Lucro Líquido]]/Tabela2[[#This Row],[Lucro Anterior]]-1,0))</f>
        <v/>
      </c>
    </row>
    <row r="580" spans="1:13" x14ac:dyDescent="0.2">
      <c r="A580" s="4" t="s">
        <v>451</v>
      </c>
      <c r="B580" s="4">
        <v>2012</v>
      </c>
      <c r="C580" s="6">
        <v>796111000</v>
      </c>
      <c r="D580" s="77">
        <f>SUMPRODUCT(N(Tabela3[PAPEL]=Tabela2[[#This Row],[Ativo]]),Tabela3[Total Ações])</f>
        <v>1231364363</v>
      </c>
      <c r="E580" s="65">
        <f>(Tabela2[[#This Row],[Lucro Líquido]])/Tabela2[[#This Row],[Total Ações]]</f>
        <v>0.64652756237026165</v>
      </c>
      <c r="F580" s="65">
        <v>0.33180395810000002</v>
      </c>
      <c r="G580" s="44">
        <f>IF(AND(Tabela2[[#This Row],[Dividendo / Ação]]&gt;0,Tabela2[[#This Row],[Lucro por ação]]&gt;0),Tabela2[[#This Row],[Dividendo / Ação]]/Tabela2[[#This Row],[Lucro por ação]],"")</f>
        <v>0.51320930059587822</v>
      </c>
      <c r="H580" s="60">
        <f>MAX(Tabela2[[#This Row],[Cotação 1]],Tabela2[[#This Row],[Cotação 2]])</f>
        <v>8.9600000000000009</v>
      </c>
      <c r="I580" s="45">
        <f>IF(Tabela2[[#This Row],[Dividendo / Ação]]&gt;0,Tabela2[[#This Row],[Dividendo / Ação]]/Tabela2[[#This Row],[Cotação]],"")</f>
        <v>3.7031691752232143E-2</v>
      </c>
      <c r="J580" s="17">
        <f>SUMPRODUCT(N(Tabela1[Código]=Tabela2[[#This Row],[Ativo]]),Tabela1[Fechamento])</f>
        <v>0</v>
      </c>
      <c r="K580" s="17">
        <f>SUMPRODUCT(N(Tabela17[Código]=Tabela2[[#This Row],[Ativo]]),Tabela17[Fechamento])</f>
        <v>8.9600000000000009</v>
      </c>
      <c r="L580" s="17">
        <f>SUMPRODUCT(N(Tabela2[Ativo]=Tabela2[[#This Row],[Ativo]]),N(Tabela2[Exercício]=Tabela2[[#This Row],[Exercício]]-1),Tabela2[Lucro Líquido])</f>
        <v>391378000</v>
      </c>
      <c r="M580" s="19">
        <f>IF(Tabela2[[#This Row],[Lucro Anterior]]=0,"",IF(Tabela2[[#This Row],[Lucro Líquido]]&gt;0,Tabela2[[#This Row],[Lucro Líquido]]/Tabela2[[#This Row],[Lucro Anterior]]-1,0))</f>
        <v>1.0341230217334649</v>
      </c>
    </row>
    <row r="581" spans="1:13" x14ac:dyDescent="0.2">
      <c r="A581" s="4" t="s">
        <v>451</v>
      </c>
      <c r="B581" s="4">
        <v>2011</v>
      </c>
      <c r="C581" s="6">
        <v>391378000</v>
      </c>
      <c r="D581" s="77">
        <f>SUMPRODUCT(N(Tabela3[PAPEL]=Tabela2[[#This Row],[Ativo]]),Tabela3[Total Ações])</f>
        <v>1231364363</v>
      </c>
      <c r="E581" s="65">
        <f>(Tabela2[[#This Row],[Lucro Líquido]])/Tabela2[[#This Row],[Total Ações]]</f>
        <v>0.31784093462513174</v>
      </c>
      <c r="F581" s="65">
        <v>0.33180395810000002</v>
      </c>
      <c r="G581" s="44">
        <f>IF(AND(Tabela2[[#This Row],[Dividendo / Ação]]&gt;0,Tabela2[[#This Row],[Lucro por ação]]&gt;0),Tabela2[[#This Row],[Dividendo / Ação]]/Tabela2[[#This Row],[Lucro por ação]],"")</f>
        <v>1.043930853309806</v>
      </c>
      <c r="H581" s="60">
        <f>MAX(Tabela2[[#This Row],[Cotação 1]],Tabela2[[#This Row],[Cotação 2]])</f>
        <v>8.9600000000000009</v>
      </c>
      <c r="I581" s="45">
        <f>IF(Tabela2[[#This Row],[Dividendo / Ação]]&gt;0,Tabela2[[#This Row],[Dividendo / Ação]]/Tabela2[[#This Row],[Cotação]],"")</f>
        <v>3.7031691752232143E-2</v>
      </c>
      <c r="J581" s="17">
        <f>SUMPRODUCT(N(Tabela1[Código]=Tabela2[[#This Row],[Ativo]]),Tabela1[Fechamento])</f>
        <v>0</v>
      </c>
      <c r="K581" s="17">
        <f>SUMPRODUCT(N(Tabela17[Código]=Tabela2[[#This Row],[Ativo]]),Tabela17[Fechamento])</f>
        <v>8.9600000000000009</v>
      </c>
      <c r="L581" s="17">
        <f>SUMPRODUCT(N(Tabela2[Ativo]=Tabela2[[#This Row],[Ativo]]),N(Tabela2[Exercício]=Tabela2[[#This Row],[Exercício]]-1),Tabela2[Lucro Líquido])</f>
        <v>723006000</v>
      </c>
      <c r="M581" s="19">
        <f>IF(Tabela2[[#This Row],[Lucro Anterior]]=0,"",IF(Tabela2[[#This Row],[Lucro Líquido]]&gt;0,Tabela2[[#This Row],[Lucro Líquido]]/Tabela2[[#This Row],[Lucro Anterior]]-1,0))</f>
        <v>-0.45867945770851137</v>
      </c>
    </row>
    <row r="582" spans="1:13" x14ac:dyDescent="0.2">
      <c r="A582" s="4" t="s">
        <v>451</v>
      </c>
      <c r="B582" s="4">
        <v>2010</v>
      </c>
      <c r="C582" s="6">
        <v>723006000</v>
      </c>
      <c r="D582" s="77">
        <f>SUMPRODUCT(N(Tabela3[PAPEL]=Tabela2[[#This Row],[Ativo]]),Tabela3[Total Ações])</f>
        <v>1231364363</v>
      </c>
      <c r="E582" s="65">
        <f>(Tabela2[[#This Row],[Lucro Líquido]])/Tabela2[[#This Row],[Total Ações]]</f>
        <v>0.58715845750036544</v>
      </c>
      <c r="F582" s="65">
        <v>0.33180395810000002</v>
      </c>
      <c r="G582" s="44">
        <f>IF(AND(Tabela2[[#This Row],[Dividendo / Ação]]&gt;0,Tabela2[[#This Row],[Lucro por ação]]&gt;0),Tabela2[[#This Row],[Dividendo / Ação]]/Tabela2[[#This Row],[Lucro por ação]],"")</f>
        <v>0.56510121562848048</v>
      </c>
      <c r="H582" s="60">
        <f>MAX(Tabela2[[#This Row],[Cotação 1]],Tabela2[[#This Row],[Cotação 2]])</f>
        <v>8.9600000000000009</v>
      </c>
      <c r="I582" s="45">
        <f>IF(Tabela2[[#This Row],[Dividendo / Ação]]&gt;0,Tabela2[[#This Row],[Dividendo / Ação]]/Tabela2[[#This Row],[Cotação]],"")</f>
        <v>3.7031691752232143E-2</v>
      </c>
      <c r="J582" s="17">
        <f>SUMPRODUCT(N(Tabela1[Código]=Tabela2[[#This Row],[Ativo]]),Tabela1[Fechamento])</f>
        <v>0</v>
      </c>
      <c r="K582" s="17">
        <f>SUMPRODUCT(N(Tabela17[Código]=Tabela2[[#This Row],[Ativo]]),Tabela17[Fechamento])</f>
        <v>8.9600000000000009</v>
      </c>
      <c r="L582" s="17">
        <f>SUMPRODUCT(N(Tabela2[Ativo]=Tabela2[[#This Row],[Ativo]]),N(Tabela2[Exercício]=Tabela2[[#This Row],[Exercício]]-1),Tabela2[Lucro Líquido])</f>
        <v>0</v>
      </c>
      <c r="M582" s="19" t="str">
        <f>IF(Tabela2[[#This Row],[Lucro Anterior]]=0,"",IF(Tabela2[[#This Row],[Lucro Líquido]]&gt;0,Tabela2[[#This Row],[Lucro Líquido]]/Tabela2[[#This Row],[Lucro Anterior]]-1,0))</f>
        <v/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3:H168"/>
  <sheetViews>
    <sheetView topLeftCell="A128" workbookViewId="0">
      <selection activeCell="A131" sqref="A131"/>
    </sheetView>
  </sheetViews>
  <sheetFormatPr defaultRowHeight="15" x14ac:dyDescent="0.25"/>
  <cols>
    <col min="1" max="1" width="13.140625" bestFit="1" customWidth="1"/>
    <col min="2" max="2" width="24.5703125" customWidth="1"/>
    <col min="3" max="3" width="16.42578125" bestFit="1" customWidth="1"/>
    <col min="4" max="4" width="13.42578125" bestFit="1" customWidth="1"/>
    <col min="5" max="5" width="13.28515625" bestFit="1" customWidth="1"/>
    <col min="6" max="6" width="7.5703125" customWidth="1"/>
    <col min="7" max="7" width="21.42578125" bestFit="1" customWidth="1"/>
    <col min="8" max="8" width="23.140625" bestFit="1" customWidth="1"/>
    <col min="9" max="9" width="9" bestFit="1" customWidth="1"/>
    <col min="10" max="10" width="11" bestFit="1" customWidth="1"/>
    <col min="11" max="13" width="8" bestFit="1" customWidth="1"/>
    <col min="14" max="14" width="12" bestFit="1" customWidth="1"/>
    <col min="15" max="15" width="10" bestFit="1" customWidth="1"/>
    <col min="16" max="16" width="7.140625" bestFit="1" customWidth="1"/>
    <col min="17" max="18" width="8" bestFit="1" customWidth="1"/>
    <col min="19" max="19" width="7.140625" bestFit="1" customWidth="1"/>
    <col min="20" max="20" width="8" bestFit="1" customWidth="1"/>
    <col min="21" max="21" width="7.140625" bestFit="1" customWidth="1"/>
    <col min="22" max="22" width="9" bestFit="1" customWidth="1"/>
    <col min="23" max="23" width="7.140625" bestFit="1" customWidth="1"/>
    <col min="24" max="24" width="10" bestFit="1" customWidth="1"/>
    <col min="25" max="26" width="9" bestFit="1" customWidth="1"/>
    <col min="27" max="27" width="11" bestFit="1" customWidth="1"/>
    <col min="28" max="31" width="12" bestFit="1" customWidth="1"/>
    <col min="32" max="32" width="8" bestFit="1" customWidth="1"/>
    <col min="33" max="33" width="9" bestFit="1" customWidth="1"/>
    <col min="34" max="34" width="7.140625" bestFit="1" customWidth="1"/>
    <col min="35" max="35" width="8" bestFit="1" customWidth="1"/>
    <col min="36" max="36" width="12" bestFit="1" customWidth="1"/>
    <col min="37" max="37" width="7.140625" bestFit="1" customWidth="1"/>
    <col min="38" max="42" width="8" bestFit="1" customWidth="1"/>
    <col min="43" max="43" width="9" bestFit="1" customWidth="1"/>
    <col min="44" max="44" width="7.140625" bestFit="1" customWidth="1"/>
    <col min="45" max="46" width="8" bestFit="1" customWidth="1"/>
    <col min="47" max="47" width="11" bestFit="1" customWidth="1"/>
    <col min="48" max="48" width="12" bestFit="1" customWidth="1"/>
    <col min="49" max="50" width="8" bestFit="1" customWidth="1"/>
    <col min="51" max="51" width="7.140625" bestFit="1" customWidth="1"/>
    <col min="52" max="54" width="8" bestFit="1" customWidth="1"/>
    <col min="55" max="55" width="7.140625" bestFit="1" customWidth="1"/>
    <col min="56" max="56" width="8" bestFit="1" customWidth="1"/>
    <col min="57" max="57" width="7.140625" bestFit="1" customWidth="1"/>
    <col min="58" max="58" width="8" bestFit="1" customWidth="1"/>
    <col min="59" max="59" width="10" bestFit="1" customWidth="1"/>
    <col min="60" max="60" width="7.140625" bestFit="1" customWidth="1"/>
    <col min="61" max="61" width="11" bestFit="1" customWidth="1"/>
    <col min="62" max="62" width="8" bestFit="1" customWidth="1"/>
    <col min="63" max="63" width="7.140625" bestFit="1" customWidth="1"/>
    <col min="64" max="64" width="12" bestFit="1" customWidth="1"/>
    <col min="65" max="65" width="7.140625" bestFit="1" customWidth="1"/>
    <col min="66" max="66" width="8" bestFit="1" customWidth="1"/>
    <col min="67" max="67" width="7.140625" bestFit="1" customWidth="1"/>
    <col min="68" max="68" width="12" bestFit="1" customWidth="1"/>
    <col min="69" max="70" width="7.140625" bestFit="1" customWidth="1"/>
    <col min="71" max="71" width="8" bestFit="1" customWidth="1"/>
    <col min="72" max="74" width="7.140625" bestFit="1" customWidth="1"/>
    <col min="75" max="75" width="8" bestFit="1" customWidth="1"/>
    <col min="76" max="76" width="7.140625" bestFit="1" customWidth="1"/>
    <col min="77" max="77" width="8" bestFit="1" customWidth="1"/>
    <col min="78" max="83" width="7.140625" bestFit="1" customWidth="1"/>
    <col min="84" max="84" width="11" bestFit="1" customWidth="1"/>
    <col min="85" max="85" width="12" bestFit="1" customWidth="1"/>
    <col min="86" max="87" width="7.140625" bestFit="1" customWidth="1"/>
    <col min="88" max="88" width="8" bestFit="1" customWidth="1"/>
    <col min="89" max="89" width="7.140625" bestFit="1" customWidth="1"/>
    <col min="90" max="90" width="12" bestFit="1" customWidth="1"/>
    <col min="91" max="93" width="7.140625" bestFit="1" customWidth="1"/>
    <col min="94" max="94" width="9" bestFit="1" customWidth="1"/>
    <col min="95" max="95" width="12" bestFit="1" customWidth="1"/>
    <col min="96" max="96" width="8" bestFit="1" customWidth="1"/>
    <col min="97" max="97" width="12" bestFit="1" customWidth="1"/>
    <col min="98" max="99" width="7.140625" bestFit="1" customWidth="1"/>
    <col min="100" max="100" width="9" bestFit="1" customWidth="1"/>
    <col min="101" max="101" width="7.140625" bestFit="1" customWidth="1"/>
    <col min="102" max="103" width="8" bestFit="1" customWidth="1"/>
    <col min="104" max="105" width="7.140625" bestFit="1" customWidth="1"/>
    <col min="106" max="106" width="10" bestFit="1" customWidth="1"/>
    <col min="107" max="107" width="7.140625" bestFit="1" customWidth="1"/>
    <col min="108" max="108" width="8" bestFit="1" customWidth="1"/>
    <col min="109" max="109" width="12" bestFit="1" customWidth="1"/>
    <col min="110" max="111" width="7.140625" bestFit="1" customWidth="1"/>
    <col min="112" max="112" width="8" bestFit="1" customWidth="1"/>
    <col min="113" max="114" width="10" bestFit="1" customWidth="1"/>
    <col min="115" max="116" width="8" bestFit="1" customWidth="1"/>
    <col min="117" max="117" width="7.140625" bestFit="1" customWidth="1"/>
    <col min="118" max="118" width="8" bestFit="1" customWidth="1"/>
    <col min="119" max="120" width="12" bestFit="1" customWidth="1"/>
    <col min="121" max="122" width="7.140625" bestFit="1" customWidth="1"/>
    <col min="123" max="123" width="12" bestFit="1" customWidth="1"/>
    <col min="124" max="124" width="8" bestFit="1" customWidth="1"/>
    <col min="125" max="125" width="12" bestFit="1" customWidth="1"/>
    <col min="126" max="127" width="8" bestFit="1" customWidth="1"/>
    <col min="128" max="128" width="9" bestFit="1" customWidth="1"/>
    <col min="129" max="130" width="7.140625" bestFit="1" customWidth="1"/>
    <col min="131" max="131" width="12" bestFit="1" customWidth="1"/>
    <col min="132" max="135" width="7.140625" bestFit="1" customWidth="1"/>
    <col min="136" max="136" width="8" bestFit="1" customWidth="1"/>
    <col min="137" max="137" width="9" bestFit="1" customWidth="1"/>
    <col min="138" max="138" width="12" bestFit="1" customWidth="1"/>
    <col min="139" max="139" width="8" bestFit="1" customWidth="1"/>
    <col min="140" max="140" width="7.140625" bestFit="1" customWidth="1"/>
    <col min="141" max="141" width="9" bestFit="1" customWidth="1"/>
    <col min="142" max="142" width="11" bestFit="1" customWidth="1"/>
    <col min="143" max="143" width="9" bestFit="1" customWidth="1"/>
    <col min="144" max="144" width="12" bestFit="1" customWidth="1"/>
    <col min="145" max="145" width="8" bestFit="1" customWidth="1"/>
    <col min="146" max="148" width="7.140625" bestFit="1" customWidth="1"/>
    <col min="149" max="149" width="9" bestFit="1" customWidth="1"/>
    <col min="150" max="150" width="12" bestFit="1" customWidth="1"/>
    <col min="151" max="151" width="7.140625" bestFit="1" customWidth="1"/>
    <col min="152" max="152" width="12" bestFit="1" customWidth="1"/>
    <col min="153" max="153" width="8" bestFit="1" customWidth="1"/>
    <col min="154" max="154" width="7.140625" bestFit="1" customWidth="1"/>
    <col min="155" max="155" width="11" bestFit="1" customWidth="1"/>
    <col min="156" max="156" width="7.140625" bestFit="1" customWidth="1"/>
    <col min="157" max="157" width="12" bestFit="1" customWidth="1"/>
    <col min="158" max="158" width="9" bestFit="1" customWidth="1"/>
    <col min="159" max="160" width="7.140625" bestFit="1" customWidth="1"/>
    <col min="161" max="161" width="12" bestFit="1" customWidth="1"/>
    <col min="162" max="162" width="7.140625" bestFit="1" customWidth="1"/>
    <col min="163" max="163" width="8" bestFit="1" customWidth="1"/>
    <col min="164" max="165" width="12" bestFit="1" customWidth="1"/>
    <col min="166" max="166" width="8" bestFit="1" customWidth="1"/>
    <col min="167" max="167" width="10" bestFit="1" customWidth="1"/>
    <col min="168" max="169" width="7.140625" bestFit="1" customWidth="1"/>
    <col min="170" max="170" width="8" bestFit="1" customWidth="1"/>
    <col min="171" max="171" width="12" bestFit="1" customWidth="1"/>
    <col min="172" max="172" width="7.140625" bestFit="1" customWidth="1"/>
    <col min="173" max="173" width="12" bestFit="1" customWidth="1"/>
    <col min="174" max="176" width="7.140625" bestFit="1" customWidth="1"/>
    <col min="177" max="178" width="8" bestFit="1" customWidth="1"/>
    <col min="179" max="182" width="7.140625" bestFit="1" customWidth="1"/>
    <col min="183" max="183" width="12" bestFit="1" customWidth="1"/>
    <col min="184" max="185" width="7.140625" bestFit="1" customWidth="1"/>
    <col min="186" max="186" width="9" bestFit="1" customWidth="1"/>
    <col min="187" max="189" width="7.140625" bestFit="1" customWidth="1"/>
    <col min="190" max="190" width="8" bestFit="1" customWidth="1"/>
    <col min="191" max="192" width="7.140625" bestFit="1" customWidth="1"/>
    <col min="193" max="193" width="12" bestFit="1" customWidth="1"/>
    <col min="194" max="194" width="7.140625" bestFit="1" customWidth="1"/>
    <col min="195" max="195" width="9" bestFit="1" customWidth="1"/>
    <col min="196" max="198" width="12" bestFit="1" customWidth="1"/>
    <col min="199" max="199" width="8" bestFit="1" customWidth="1"/>
    <col min="200" max="200" width="7.140625" bestFit="1" customWidth="1"/>
    <col min="201" max="201" width="10" bestFit="1" customWidth="1"/>
    <col min="202" max="203" width="7.140625" bestFit="1" customWidth="1"/>
    <col min="204" max="204" width="12" bestFit="1" customWidth="1"/>
    <col min="205" max="208" width="7.140625" bestFit="1" customWidth="1"/>
    <col min="209" max="209" width="12" bestFit="1" customWidth="1"/>
    <col min="210" max="211" width="7.140625" bestFit="1" customWidth="1"/>
    <col min="212" max="212" width="9" bestFit="1" customWidth="1"/>
    <col min="213" max="214" width="12" bestFit="1" customWidth="1"/>
    <col min="215" max="215" width="11" bestFit="1" customWidth="1"/>
    <col min="216" max="217" width="7.140625" bestFit="1" customWidth="1"/>
    <col min="218" max="218" width="12" bestFit="1" customWidth="1"/>
    <col min="219" max="219" width="11" bestFit="1" customWidth="1"/>
    <col min="220" max="220" width="12" bestFit="1" customWidth="1"/>
    <col min="221" max="221" width="7.140625" bestFit="1" customWidth="1"/>
    <col min="222" max="222" width="8" bestFit="1" customWidth="1"/>
    <col min="223" max="223" width="7.140625" bestFit="1" customWidth="1"/>
    <col min="224" max="224" width="9" bestFit="1" customWidth="1"/>
    <col min="225" max="225" width="8" bestFit="1" customWidth="1"/>
    <col min="226" max="226" width="12" bestFit="1" customWidth="1"/>
    <col min="227" max="227" width="11" bestFit="1" customWidth="1"/>
    <col min="228" max="228" width="7.140625" bestFit="1" customWidth="1"/>
    <col min="229" max="229" width="11" bestFit="1" customWidth="1"/>
    <col min="230" max="230" width="9" bestFit="1" customWidth="1"/>
    <col min="231" max="231" width="10" bestFit="1" customWidth="1"/>
    <col min="232" max="232" width="7.140625" bestFit="1" customWidth="1"/>
    <col min="233" max="237" width="12" bestFit="1" customWidth="1"/>
    <col min="238" max="238" width="7.140625" bestFit="1" customWidth="1"/>
    <col min="239" max="239" width="8" bestFit="1" customWidth="1"/>
    <col min="240" max="240" width="12" bestFit="1" customWidth="1"/>
    <col min="241" max="241" width="7.140625" bestFit="1" customWidth="1"/>
    <col min="242" max="242" width="9" bestFit="1" customWidth="1"/>
    <col min="243" max="244" width="7.140625" bestFit="1" customWidth="1"/>
    <col min="245" max="245" width="9" bestFit="1" customWidth="1"/>
    <col min="246" max="246" width="8" bestFit="1" customWidth="1"/>
    <col min="247" max="248" width="11" bestFit="1" customWidth="1"/>
    <col min="249" max="250" width="9" bestFit="1" customWidth="1"/>
    <col min="251" max="251" width="7.140625" bestFit="1" customWidth="1"/>
    <col min="252" max="253" width="9" bestFit="1" customWidth="1"/>
    <col min="254" max="254" width="7.140625" bestFit="1" customWidth="1"/>
    <col min="255" max="255" width="9" bestFit="1" customWidth="1"/>
    <col min="256" max="256" width="12" bestFit="1" customWidth="1"/>
    <col min="257" max="257" width="8" bestFit="1" customWidth="1"/>
    <col min="258" max="258" width="9" bestFit="1" customWidth="1"/>
    <col min="259" max="259" width="12" bestFit="1" customWidth="1"/>
    <col min="260" max="260" width="7.140625" bestFit="1" customWidth="1"/>
    <col min="261" max="261" width="12" bestFit="1" customWidth="1"/>
    <col min="262" max="262" width="11" bestFit="1" customWidth="1"/>
    <col min="263" max="263" width="9" bestFit="1" customWidth="1"/>
    <col min="264" max="264" width="7.140625" bestFit="1" customWidth="1"/>
    <col min="265" max="266" width="8" bestFit="1" customWidth="1"/>
    <col min="267" max="267" width="9" bestFit="1" customWidth="1"/>
    <col min="268" max="268" width="8" bestFit="1" customWidth="1"/>
    <col min="269" max="269" width="7.140625" bestFit="1" customWidth="1"/>
    <col min="270" max="270" width="10" bestFit="1" customWidth="1"/>
    <col min="271" max="271" width="12" bestFit="1" customWidth="1"/>
    <col min="272" max="272" width="8" bestFit="1" customWidth="1"/>
    <col min="273" max="273" width="7.140625" bestFit="1" customWidth="1"/>
    <col min="274" max="275" width="9" bestFit="1" customWidth="1"/>
    <col min="276" max="276" width="12" bestFit="1" customWidth="1"/>
    <col min="277" max="277" width="7.140625" bestFit="1" customWidth="1"/>
    <col min="278" max="278" width="11" bestFit="1" customWidth="1"/>
    <col min="279" max="279" width="7.140625" bestFit="1" customWidth="1"/>
    <col min="280" max="280" width="8" bestFit="1" customWidth="1"/>
    <col min="281" max="281" width="7.140625" bestFit="1" customWidth="1"/>
    <col min="282" max="282" width="9" bestFit="1" customWidth="1"/>
    <col min="283" max="284" width="12" bestFit="1" customWidth="1"/>
    <col min="285" max="285" width="9" bestFit="1" customWidth="1"/>
    <col min="286" max="286" width="8" bestFit="1" customWidth="1"/>
    <col min="287" max="287" width="7.140625" bestFit="1" customWidth="1"/>
    <col min="288" max="288" width="12" bestFit="1" customWidth="1"/>
    <col min="289" max="289" width="10" bestFit="1" customWidth="1"/>
    <col min="290" max="290" width="7.140625" bestFit="1" customWidth="1"/>
    <col min="291" max="291" width="11" bestFit="1" customWidth="1"/>
    <col min="292" max="292" width="9" bestFit="1" customWidth="1"/>
    <col min="293" max="293" width="11" bestFit="1" customWidth="1"/>
    <col min="294" max="294" width="12" bestFit="1" customWidth="1"/>
    <col min="295" max="295" width="8" bestFit="1" customWidth="1"/>
    <col min="296" max="296" width="7.140625" bestFit="1" customWidth="1"/>
    <col min="297" max="299" width="12" bestFit="1" customWidth="1"/>
    <col min="300" max="302" width="7.140625" bestFit="1" customWidth="1"/>
    <col min="303" max="303" width="12" bestFit="1" customWidth="1"/>
    <col min="304" max="304" width="7.140625" bestFit="1" customWidth="1"/>
    <col min="305" max="305" width="12" bestFit="1" customWidth="1"/>
    <col min="306" max="306" width="7.140625" bestFit="1" customWidth="1"/>
    <col min="307" max="307" width="11" bestFit="1" customWidth="1"/>
    <col min="308" max="308" width="7.140625" bestFit="1" customWidth="1"/>
    <col min="309" max="309" width="11" bestFit="1" customWidth="1"/>
    <col min="310" max="312" width="7.140625" bestFit="1" customWidth="1"/>
    <col min="313" max="313" width="10" bestFit="1" customWidth="1"/>
    <col min="314" max="314" width="12" bestFit="1" customWidth="1"/>
    <col min="315" max="315" width="10" bestFit="1" customWidth="1"/>
    <col min="316" max="316" width="7.140625" bestFit="1" customWidth="1"/>
    <col min="317" max="317" width="8" bestFit="1" customWidth="1"/>
    <col min="318" max="319" width="12" bestFit="1" customWidth="1"/>
    <col min="320" max="324" width="7.140625" bestFit="1" customWidth="1"/>
    <col min="325" max="327" width="12" bestFit="1" customWidth="1"/>
    <col min="328" max="329" width="8" bestFit="1" customWidth="1"/>
    <col min="330" max="330" width="7.140625" bestFit="1" customWidth="1"/>
    <col min="331" max="332" width="11" bestFit="1" customWidth="1"/>
    <col min="333" max="334" width="12" bestFit="1" customWidth="1"/>
    <col min="335" max="335" width="10" bestFit="1" customWidth="1"/>
    <col min="336" max="336" width="11" bestFit="1" customWidth="1"/>
    <col min="337" max="337" width="10" bestFit="1" customWidth="1"/>
    <col min="338" max="338" width="12" bestFit="1" customWidth="1"/>
    <col min="339" max="342" width="7.140625" bestFit="1" customWidth="1"/>
    <col min="343" max="344" width="12" bestFit="1" customWidth="1"/>
    <col min="345" max="345" width="7.140625" bestFit="1" customWidth="1"/>
    <col min="346" max="346" width="9" bestFit="1" customWidth="1"/>
    <col min="347" max="347" width="7.140625" bestFit="1" customWidth="1"/>
    <col min="348" max="350" width="12" bestFit="1" customWidth="1"/>
    <col min="351" max="351" width="9" bestFit="1" customWidth="1"/>
    <col min="352" max="352" width="12" bestFit="1" customWidth="1"/>
    <col min="353" max="356" width="7.140625" bestFit="1" customWidth="1"/>
    <col min="357" max="360" width="12" bestFit="1" customWidth="1"/>
    <col min="361" max="361" width="11" bestFit="1" customWidth="1"/>
    <col min="362" max="362" width="7.140625" bestFit="1" customWidth="1"/>
    <col min="363" max="363" width="12" bestFit="1" customWidth="1"/>
    <col min="364" max="364" width="11" bestFit="1" customWidth="1"/>
    <col min="365" max="365" width="12" bestFit="1" customWidth="1"/>
    <col min="366" max="366" width="8" bestFit="1" customWidth="1"/>
    <col min="367" max="367" width="11" bestFit="1" customWidth="1"/>
    <col min="368" max="371" width="12" bestFit="1" customWidth="1"/>
    <col min="372" max="373" width="11" bestFit="1" customWidth="1"/>
    <col min="374" max="374" width="8" bestFit="1" customWidth="1"/>
    <col min="375" max="375" width="7.140625" bestFit="1" customWidth="1"/>
    <col min="376" max="380" width="12" bestFit="1" customWidth="1"/>
    <col min="381" max="381" width="9" bestFit="1" customWidth="1"/>
    <col min="382" max="382" width="7.140625" bestFit="1" customWidth="1"/>
    <col min="383" max="384" width="12" bestFit="1" customWidth="1"/>
    <col min="385" max="386" width="7.140625" bestFit="1" customWidth="1"/>
    <col min="387" max="387" width="12" bestFit="1" customWidth="1"/>
    <col min="388" max="389" width="7.140625" bestFit="1" customWidth="1"/>
    <col min="390" max="390" width="12" bestFit="1" customWidth="1"/>
    <col min="391" max="391" width="7.140625" bestFit="1" customWidth="1"/>
    <col min="392" max="392" width="11" bestFit="1" customWidth="1"/>
    <col min="393" max="393" width="8" bestFit="1" customWidth="1"/>
    <col min="394" max="394" width="12" bestFit="1" customWidth="1"/>
    <col min="395" max="395" width="7.140625" bestFit="1" customWidth="1"/>
    <col min="396" max="401" width="12" bestFit="1" customWidth="1"/>
    <col min="402" max="402" width="7.140625" bestFit="1" customWidth="1"/>
    <col min="403" max="403" width="12" bestFit="1" customWidth="1"/>
    <col min="404" max="404" width="7.140625" bestFit="1" customWidth="1"/>
    <col min="405" max="405" width="9" bestFit="1" customWidth="1"/>
    <col min="406" max="408" width="12" bestFit="1" customWidth="1"/>
    <col min="409" max="409" width="11" bestFit="1" customWidth="1"/>
    <col min="410" max="410" width="9" bestFit="1" customWidth="1"/>
    <col min="411" max="411" width="7.140625" bestFit="1" customWidth="1"/>
    <col min="412" max="412" width="11" bestFit="1" customWidth="1"/>
    <col min="413" max="413" width="7.140625" bestFit="1" customWidth="1"/>
    <col min="414" max="416" width="12" bestFit="1" customWidth="1"/>
    <col min="417" max="417" width="10" bestFit="1" customWidth="1"/>
    <col min="418" max="418" width="11" bestFit="1" customWidth="1"/>
    <col min="419" max="419" width="12" bestFit="1" customWidth="1"/>
    <col min="420" max="420" width="7.140625" bestFit="1" customWidth="1"/>
    <col min="421" max="421" width="9" bestFit="1" customWidth="1"/>
    <col min="422" max="423" width="12" bestFit="1" customWidth="1"/>
    <col min="424" max="424" width="8" bestFit="1" customWidth="1"/>
    <col min="425" max="425" width="12" bestFit="1" customWidth="1"/>
    <col min="426" max="426" width="7.140625" bestFit="1" customWidth="1"/>
    <col min="427" max="429" width="12" bestFit="1" customWidth="1"/>
    <col min="430" max="430" width="7.140625" bestFit="1" customWidth="1"/>
    <col min="431" max="431" width="12" bestFit="1" customWidth="1"/>
    <col min="432" max="432" width="9" bestFit="1" customWidth="1"/>
    <col min="433" max="433" width="12" bestFit="1" customWidth="1"/>
    <col min="434" max="434" width="9" bestFit="1" customWidth="1"/>
    <col min="435" max="435" width="8" bestFit="1" customWidth="1"/>
    <col min="436" max="436" width="7.140625" bestFit="1" customWidth="1"/>
    <col min="437" max="437" width="10" bestFit="1" customWidth="1"/>
    <col min="438" max="438" width="12" bestFit="1" customWidth="1"/>
    <col min="439" max="440" width="7.140625" bestFit="1" customWidth="1"/>
    <col min="441" max="441" width="11" bestFit="1" customWidth="1"/>
    <col min="442" max="442" width="7.140625" bestFit="1" customWidth="1"/>
    <col min="443" max="447" width="12" bestFit="1" customWidth="1"/>
    <col min="448" max="448" width="7.140625" bestFit="1" customWidth="1"/>
    <col min="449" max="450" width="12" bestFit="1" customWidth="1"/>
    <col min="451" max="451" width="7.140625" bestFit="1" customWidth="1"/>
    <col min="452" max="453" width="12" bestFit="1" customWidth="1"/>
    <col min="454" max="454" width="7.140625" bestFit="1" customWidth="1"/>
    <col min="455" max="455" width="12" bestFit="1" customWidth="1"/>
    <col min="456" max="456" width="7" bestFit="1" customWidth="1"/>
    <col min="457" max="457" width="13.42578125" bestFit="1" customWidth="1"/>
    <col min="458" max="458" width="9" bestFit="1" customWidth="1"/>
    <col min="459" max="460" width="8" bestFit="1" customWidth="1"/>
    <col min="461" max="461" width="7.140625" bestFit="1" customWidth="1"/>
    <col min="462" max="462" width="7" bestFit="1" customWidth="1"/>
    <col min="463" max="464" width="9" bestFit="1" customWidth="1"/>
    <col min="465" max="465" width="11" bestFit="1" customWidth="1"/>
    <col min="466" max="468" width="8" bestFit="1" customWidth="1"/>
    <col min="469" max="469" width="12" bestFit="1" customWidth="1"/>
    <col min="470" max="470" width="10" bestFit="1" customWidth="1"/>
    <col min="471" max="471" width="7.140625" bestFit="1" customWidth="1"/>
    <col min="472" max="473" width="8" bestFit="1" customWidth="1"/>
    <col min="474" max="474" width="8.140625" bestFit="1" customWidth="1"/>
    <col min="475" max="475" width="8" bestFit="1" customWidth="1"/>
    <col min="476" max="476" width="8.140625" bestFit="1" customWidth="1"/>
    <col min="477" max="477" width="9" bestFit="1" customWidth="1"/>
    <col min="478" max="478" width="7.140625" bestFit="1" customWidth="1"/>
    <col min="479" max="479" width="10" bestFit="1" customWidth="1"/>
    <col min="480" max="481" width="9" bestFit="1" customWidth="1"/>
    <col min="482" max="482" width="11" bestFit="1" customWidth="1"/>
    <col min="483" max="486" width="12" bestFit="1" customWidth="1"/>
    <col min="487" max="487" width="8" bestFit="1" customWidth="1"/>
    <col min="488" max="488" width="9" bestFit="1" customWidth="1"/>
    <col min="489" max="489" width="6.140625" bestFit="1" customWidth="1"/>
    <col min="490" max="490" width="8" bestFit="1" customWidth="1"/>
    <col min="491" max="491" width="12" bestFit="1" customWidth="1"/>
    <col min="492" max="492" width="7" bestFit="1" customWidth="1"/>
    <col min="493" max="497" width="8" bestFit="1" customWidth="1"/>
    <col min="498" max="498" width="9" bestFit="1" customWidth="1"/>
    <col min="499" max="499" width="7.140625" bestFit="1" customWidth="1"/>
    <col min="500" max="501" width="8" bestFit="1" customWidth="1"/>
    <col min="502" max="502" width="11" bestFit="1" customWidth="1"/>
    <col min="503" max="503" width="12" bestFit="1" customWidth="1"/>
    <col min="504" max="504" width="8" bestFit="1" customWidth="1"/>
    <col min="505" max="505" width="8.140625" bestFit="1" customWidth="1"/>
    <col min="506" max="506" width="7.140625" bestFit="1" customWidth="1"/>
    <col min="507" max="509" width="8" bestFit="1" customWidth="1"/>
    <col min="510" max="510" width="7.140625" bestFit="1" customWidth="1"/>
    <col min="511" max="511" width="8.140625" bestFit="1" customWidth="1"/>
    <col min="512" max="512" width="7.140625" bestFit="1" customWidth="1"/>
    <col min="513" max="513" width="8" bestFit="1" customWidth="1"/>
    <col min="514" max="514" width="10" bestFit="1" customWidth="1"/>
    <col min="515" max="515" width="7.140625" bestFit="1" customWidth="1"/>
    <col min="516" max="516" width="11" bestFit="1" customWidth="1"/>
    <col min="517" max="517" width="8" bestFit="1" customWidth="1"/>
    <col min="518" max="518" width="7.140625" bestFit="1" customWidth="1"/>
    <col min="519" max="519" width="12" bestFit="1" customWidth="1"/>
    <col min="520" max="520" width="7.140625" bestFit="1" customWidth="1"/>
    <col min="521" max="521" width="8" bestFit="1" customWidth="1"/>
    <col min="522" max="522" width="7.140625" bestFit="1" customWidth="1"/>
    <col min="523" max="523" width="12" bestFit="1" customWidth="1"/>
    <col min="524" max="525" width="7.140625" bestFit="1" customWidth="1"/>
    <col min="526" max="526" width="8" bestFit="1" customWidth="1"/>
    <col min="527" max="529" width="7.140625" bestFit="1" customWidth="1"/>
    <col min="530" max="530" width="8" bestFit="1" customWidth="1"/>
    <col min="531" max="531" width="6.140625" bestFit="1" customWidth="1"/>
    <col min="532" max="532" width="8" bestFit="1" customWidth="1"/>
    <col min="533" max="538" width="7.140625" bestFit="1" customWidth="1"/>
    <col min="539" max="539" width="11" bestFit="1" customWidth="1"/>
    <col min="540" max="540" width="12" bestFit="1" customWidth="1"/>
    <col min="541" max="542" width="7.140625" bestFit="1" customWidth="1"/>
    <col min="543" max="543" width="8" bestFit="1" customWidth="1"/>
    <col min="544" max="544" width="7.140625" bestFit="1" customWidth="1"/>
    <col min="545" max="545" width="12" bestFit="1" customWidth="1"/>
    <col min="546" max="548" width="7.140625" bestFit="1" customWidth="1"/>
    <col min="549" max="549" width="9" bestFit="1" customWidth="1"/>
    <col min="550" max="550" width="12" bestFit="1" customWidth="1"/>
    <col min="551" max="551" width="8" bestFit="1" customWidth="1"/>
    <col min="552" max="552" width="12" bestFit="1" customWidth="1"/>
    <col min="553" max="554" width="7.140625" bestFit="1" customWidth="1"/>
    <col min="555" max="555" width="9" bestFit="1" customWidth="1"/>
    <col min="556" max="556" width="7.140625" bestFit="1" customWidth="1"/>
    <col min="557" max="558" width="8" bestFit="1" customWidth="1"/>
    <col min="559" max="560" width="7.140625" bestFit="1" customWidth="1"/>
    <col min="561" max="561" width="10" bestFit="1" customWidth="1"/>
    <col min="562" max="562" width="7.140625" bestFit="1" customWidth="1"/>
    <col min="563" max="563" width="8" bestFit="1" customWidth="1"/>
    <col min="564" max="564" width="12" bestFit="1" customWidth="1"/>
    <col min="565" max="566" width="7.140625" bestFit="1" customWidth="1"/>
    <col min="567" max="567" width="8" bestFit="1" customWidth="1"/>
    <col min="568" max="569" width="10" bestFit="1" customWidth="1"/>
    <col min="570" max="571" width="8" bestFit="1" customWidth="1"/>
    <col min="572" max="572" width="7.140625" bestFit="1" customWidth="1"/>
    <col min="573" max="573" width="8" bestFit="1" customWidth="1"/>
    <col min="574" max="575" width="12" bestFit="1" customWidth="1"/>
    <col min="576" max="577" width="7.140625" bestFit="1" customWidth="1"/>
    <col min="578" max="578" width="12" bestFit="1" customWidth="1"/>
    <col min="579" max="579" width="8" bestFit="1" customWidth="1"/>
    <col min="580" max="580" width="12" bestFit="1" customWidth="1"/>
    <col min="581" max="581" width="8" bestFit="1" customWidth="1"/>
    <col min="582" max="582" width="8.140625" bestFit="1" customWidth="1"/>
    <col min="583" max="583" width="9" bestFit="1" customWidth="1"/>
    <col min="584" max="585" width="7.140625" bestFit="1" customWidth="1"/>
    <col min="586" max="586" width="12" bestFit="1" customWidth="1"/>
    <col min="587" max="587" width="7.140625" bestFit="1" customWidth="1"/>
    <col min="588" max="588" width="6.140625" bestFit="1" customWidth="1"/>
    <col min="589" max="590" width="7.140625" bestFit="1" customWidth="1"/>
    <col min="591" max="591" width="8" bestFit="1" customWidth="1"/>
    <col min="592" max="592" width="9" bestFit="1" customWidth="1"/>
    <col min="593" max="593" width="12" bestFit="1" customWidth="1"/>
    <col min="594" max="594" width="8" bestFit="1" customWidth="1"/>
    <col min="595" max="595" width="7.140625" bestFit="1" customWidth="1"/>
    <col min="596" max="596" width="9" bestFit="1" customWidth="1"/>
    <col min="597" max="597" width="11" bestFit="1" customWidth="1"/>
    <col min="598" max="598" width="9" bestFit="1" customWidth="1"/>
    <col min="599" max="599" width="12" bestFit="1" customWidth="1"/>
    <col min="600" max="600" width="8" bestFit="1" customWidth="1"/>
    <col min="601" max="602" width="7.140625" bestFit="1" customWidth="1"/>
    <col min="603" max="603" width="8.140625" bestFit="1" customWidth="1"/>
    <col min="604" max="604" width="9" bestFit="1" customWidth="1"/>
    <col min="605" max="605" width="12" bestFit="1" customWidth="1"/>
    <col min="606" max="606" width="7.140625" bestFit="1" customWidth="1"/>
    <col min="607" max="607" width="12" bestFit="1" customWidth="1"/>
    <col min="608" max="608" width="8" bestFit="1" customWidth="1"/>
    <col min="609" max="609" width="7.140625" bestFit="1" customWidth="1"/>
    <col min="610" max="610" width="11" bestFit="1" customWidth="1"/>
    <col min="611" max="611" width="7.140625" bestFit="1" customWidth="1"/>
    <col min="612" max="612" width="12" bestFit="1" customWidth="1"/>
    <col min="613" max="613" width="9" bestFit="1" customWidth="1"/>
    <col min="614" max="615" width="7.140625" bestFit="1" customWidth="1"/>
    <col min="616" max="616" width="12" bestFit="1" customWidth="1"/>
    <col min="617" max="617" width="7.140625" bestFit="1" customWidth="1"/>
    <col min="618" max="618" width="8" bestFit="1" customWidth="1"/>
    <col min="619" max="620" width="12" bestFit="1" customWidth="1"/>
    <col min="621" max="621" width="8" bestFit="1" customWidth="1"/>
    <col min="622" max="622" width="10" bestFit="1" customWidth="1"/>
    <col min="623" max="624" width="7.140625" bestFit="1" customWidth="1"/>
    <col min="625" max="625" width="8" bestFit="1" customWidth="1"/>
    <col min="626" max="626" width="12" bestFit="1" customWidth="1"/>
    <col min="627" max="627" width="7.140625" bestFit="1" customWidth="1"/>
    <col min="628" max="628" width="12" bestFit="1" customWidth="1"/>
    <col min="629" max="631" width="7.140625" bestFit="1" customWidth="1"/>
    <col min="632" max="633" width="8" bestFit="1" customWidth="1"/>
    <col min="634" max="637" width="7.140625" bestFit="1" customWidth="1"/>
    <col min="638" max="638" width="12" bestFit="1" customWidth="1"/>
    <col min="639" max="639" width="7.140625" bestFit="1" customWidth="1"/>
    <col min="640" max="640" width="8.140625" bestFit="1" customWidth="1"/>
    <col min="641" max="641" width="9" bestFit="1" customWidth="1"/>
    <col min="642" max="644" width="7.140625" bestFit="1" customWidth="1"/>
    <col min="645" max="645" width="8" bestFit="1" customWidth="1"/>
    <col min="646" max="647" width="7.140625" bestFit="1" customWidth="1"/>
    <col min="648" max="648" width="12" bestFit="1" customWidth="1"/>
    <col min="649" max="649" width="7.140625" bestFit="1" customWidth="1"/>
    <col min="650" max="650" width="9" bestFit="1" customWidth="1"/>
    <col min="651" max="653" width="12" bestFit="1" customWidth="1"/>
    <col min="654" max="654" width="8" bestFit="1" customWidth="1"/>
    <col min="655" max="655" width="8.140625" bestFit="1" customWidth="1"/>
    <col min="656" max="656" width="10" bestFit="1" customWidth="1"/>
    <col min="657" max="658" width="7.140625" bestFit="1" customWidth="1"/>
    <col min="659" max="659" width="12" bestFit="1" customWidth="1"/>
    <col min="660" max="663" width="7.140625" bestFit="1" customWidth="1"/>
    <col min="664" max="664" width="12" bestFit="1" customWidth="1"/>
    <col min="665" max="666" width="7.140625" bestFit="1" customWidth="1"/>
    <col min="667" max="667" width="9" bestFit="1" customWidth="1"/>
    <col min="668" max="669" width="12" bestFit="1" customWidth="1"/>
    <col min="670" max="670" width="11" bestFit="1" customWidth="1"/>
    <col min="671" max="672" width="7.140625" bestFit="1" customWidth="1"/>
    <col min="673" max="673" width="12" bestFit="1" customWidth="1"/>
    <col min="674" max="674" width="11" bestFit="1" customWidth="1"/>
    <col min="675" max="675" width="12" bestFit="1" customWidth="1"/>
    <col min="676" max="676" width="7.140625" bestFit="1" customWidth="1"/>
    <col min="677" max="677" width="8" bestFit="1" customWidth="1"/>
    <col min="678" max="678" width="7.140625" bestFit="1" customWidth="1"/>
    <col min="679" max="679" width="9" bestFit="1" customWidth="1"/>
    <col min="680" max="680" width="8" bestFit="1" customWidth="1"/>
    <col min="681" max="681" width="12" bestFit="1" customWidth="1"/>
    <col min="682" max="682" width="11" bestFit="1" customWidth="1"/>
    <col min="683" max="683" width="8.140625" bestFit="1" customWidth="1"/>
    <col min="684" max="684" width="11" bestFit="1" customWidth="1"/>
    <col min="685" max="685" width="9" bestFit="1" customWidth="1"/>
    <col min="686" max="686" width="10" bestFit="1" customWidth="1"/>
    <col min="687" max="687" width="7.140625" bestFit="1" customWidth="1"/>
    <col min="688" max="692" width="12" bestFit="1" customWidth="1"/>
    <col min="693" max="693" width="7.140625" bestFit="1" customWidth="1"/>
    <col min="694" max="694" width="8.140625" bestFit="1" customWidth="1"/>
    <col min="695" max="695" width="12" bestFit="1" customWidth="1"/>
    <col min="696" max="696" width="8.140625" bestFit="1" customWidth="1"/>
    <col min="697" max="697" width="9" bestFit="1" customWidth="1"/>
    <col min="698" max="699" width="7.140625" bestFit="1" customWidth="1"/>
    <col min="700" max="700" width="9" bestFit="1" customWidth="1"/>
    <col min="701" max="701" width="8" bestFit="1" customWidth="1"/>
    <col min="702" max="703" width="11" bestFit="1" customWidth="1"/>
    <col min="704" max="705" width="9" bestFit="1" customWidth="1"/>
    <col min="706" max="706" width="7.140625" bestFit="1" customWidth="1"/>
    <col min="707" max="708" width="9" bestFit="1" customWidth="1"/>
    <col min="709" max="709" width="7.140625" bestFit="1" customWidth="1"/>
    <col min="710" max="710" width="9" bestFit="1" customWidth="1"/>
    <col min="711" max="711" width="12" bestFit="1" customWidth="1"/>
    <col min="712" max="712" width="8" bestFit="1" customWidth="1"/>
    <col min="713" max="713" width="9" bestFit="1" customWidth="1"/>
    <col min="714" max="714" width="12" bestFit="1" customWidth="1"/>
    <col min="715" max="715" width="7.140625" bestFit="1" customWidth="1"/>
    <col min="716" max="716" width="12" bestFit="1" customWidth="1"/>
    <col min="717" max="717" width="11" bestFit="1" customWidth="1"/>
    <col min="718" max="718" width="9" bestFit="1" customWidth="1"/>
    <col min="719" max="719" width="8.140625" bestFit="1" customWidth="1"/>
    <col min="720" max="721" width="8" bestFit="1" customWidth="1"/>
    <col min="722" max="722" width="9" bestFit="1" customWidth="1"/>
    <col min="723" max="723" width="8" bestFit="1" customWidth="1"/>
    <col min="724" max="724" width="7.140625" bestFit="1" customWidth="1"/>
    <col min="725" max="725" width="10" bestFit="1" customWidth="1"/>
    <col min="726" max="726" width="12" bestFit="1" customWidth="1"/>
    <col min="727" max="727" width="8" bestFit="1" customWidth="1"/>
    <col min="728" max="728" width="7.140625" bestFit="1" customWidth="1"/>
    <col min="729" max="730" width="9" bestFit="1" customWidth="1"/>
    <col min="731" max="731" width="12" bestFit="1" customWidth="1"/>
    <col min="732" max="732" width="7.140625" bestFit="1" customWidth="1"/>
    <col min="733" max="733" width="11" bestFit="1" customWidth="1"/>
    <col min="734" max="734" width="7.140625" bestFit="1" customWidth="1"/>
    <col min="735" max="735" width="8" bestFit="1" customWidth="1"/>
    <col min="736" max="736" width="7.7109375" bestFit="1" customWidth="1"/>
    <col min="737" max="737" width="9" bestFit="1" customWidth="1"/>
    <col min="738" max="739" width="12" bestFit="1" customWidth="1"/>
    <col min="740" max="740" width="9" bestFit="1" customWidth="1"/>
    <col min="741" max="741" width="8" bestFit="1" customWidth="1"/>
    <col min="742" max="742" width="7.140625" bestFit="1" customWidth="1"/>
    <col min="743" max="743" width="12" bestFit="1" customWidth="1"/>
    <col min="744" max="744" width="10" bestFit="1" customWidth="1"/>
    <col min="745" max="745" width="7.140625" bestFit="1" customWidth="1"/>
    <col min="746" max="746" width="11" bestFit="1" customWidth="1"/>
    <col min="747" max="747" width="9" bestFit="1" customWidth="1"/>
    <col min="748" max="748" width="11" bestFit="1" customWidth="1"/>
    <col min="749" max="749" width="12" bestFit="1" customWidth="1"/>
    <col min="750" max="750" width="8" bestFit="1" customWidth="1"/>
    <col min="751" max="751" width="8.140625" bestFit="1" customWidth="1"/>
    <col min="752" max="754" width="12" bestFit="1" customWidth="1"/>
    <col min="755" max="755" width="8.140625" bestFit="1" customWidth="1"/>
    <col min="756" max="757" width="7.140625" bestFit="1" customWidth="1"/>
    <col min="758" max="758" width="12" bestFit="1" customWidth="1"/>
    <col min="759" max="759" width="7.140625" bestFit="1" customWidth="1"/>
    <col min="760" max="760" width="12" bestFit="1" customWidth="1"/>
    <col min="761" max="761" width="7.140625" bestFit="1" customWidth="1"/>
    <col min="762" max="762" width="11" bestFit="1" customWidth="1"/>
    <col min="763" max="763" width="7.140625" bestFit="1" customWidth="1"/>
    <col min="764" max="764" width="11" bestFit="1" customWidth="1"/>
    <col min="765" max="767" width="7.140625" bestFit="1" customWidth="1"/>
    <col min="768" max="768" width="10" bestFit="1" customWidth="1"/>
    <col min="769" max="769" width="12" bestFit="1" customWidth="1"/>
    <col min="770" max="770" width="10" bestFit="1" customWidth="1"/>
    <col min="771" max="771" width="7.140625" bestFit="1" customWidth="1"/>
    <col min="772" max="772" width="8" bestFit="1" customWidth="1"/>
    <col min="773" max="774" width="12" bestFit="1" customWidth="1"/>
    <col min="775" max="775" width="7.140625" bestFit="1" customWidth="1"/>
    <col min="776" max="776" width="8.140625" bestFit="1" customWidth="1"/>
    <col min="777" max="779" width="7.140625" bestFit="1" customWidth="1"/>
    <col min="780" max="782" width="12" bestFit="1" customWidth="1"/>
    <col min="783" max="784" width="8" bestFit="1" customWidth="1"/>
    <col min="786" max="787" width="11" bestFit="1" customWidth="1"/>
    <col min="788" max="789" width="12" bestFit="1" customWidth="1"/>
    <col min="790" max="790" width="10" bestFit="1" customWidth="1"/>
    <col min="791" max="791" width="11" bestFit="1" customWidth="1"/>
    <col min="792" max="792" width="10" bestFit="1" customWidth="1"/>
    <col min="793" max="793" width="12" bestFit="1" customWidth="1"/>
    <col min="794" max="797" width="7.140625" bestFit="1" customWidth="1"/>
    <col min="798" max="799" width="12" bestFit="1" customWidth="1"/>
    <col min="800" max="800" width="8.140625" bestFit="1" customWidth="1"/>
    <col min="801" max="801" width="9" bestFit="1" customWidth="1"/>
    <col min="802" max="802" width="8.140625" bestFit="1" customWidth="1"/>
    <col min="803" max="805" width="12" bestFit="1" customWidth="1"/>
    <col min="806" max="806" width="9" bestFit="1" customWidth="1"/>
    <col min="807" max="807" width="12" bestFit="1" customWidth="1"/>
    <col min="808" max="808" width="8.140625" bestFit="1" customWidth="1"/>
    <col min="809" max="811" width="7.140625" bestFit="1" customWidth="1"/>
    <col min="812" max="815" width="12" bestFit="1" customWidth="1"/>
    <col min="816" max="816" width="11" bestFit="1" customWidth="1"/>
    <col min="817" max="817" width="7.140625" bestFit="1" customWidth="1"/>
    <col min="818" max="818" width="12" bestFit="1" customWidth="1"/>
    <col min="819" max="819" width="11" bestFit="1" customWidth="1"/>
    <col min="820" max="820" width="12" bestFit="1" customWidth="1"/>
    <col min="821" max="821" width="8" bestFit="1" customWidth="1"/>
    <col min="822" max="822" width="11" bestFit="1" customWidth="1"/>
    <col min="823" max="826" width="12" bestFit="1" customWidth="1"/>
    <col min="827" max="828" width="11" bestFit="1" customWidth="1"/>
    <col min="829" max="829" width="8.140625" bestFit="1" customWidth="1"/>
    <col min="830" max="830" width="7.140625" bestFit="1" customWidth="1"/>
    <col min="831" max="835" width="12" bestFit="1" customWidth="1"/>
    <col min="836" max="836" width="9" bestFit="1" customWidth="1"/>
    <col min="837" max="837" width="7.140625" bestFit="1" customWidth="1"/>
    <col min="838" max="839" width="12" bestFit="1" customWidth="1"/>
    <col min="840" max="841" width="7.140625" bestFit="1" customWidth="1"/>
    <col min="842" max="842" width="12" bestFit="1" customWidth="1"/>
    <col min="843" max="844" width="7.140625" bestFit="1" customWidth="1"/>
    <col min="845" max="845" width="12" bestFit="1" customWidth="1"/>
    <col min="846" max="846" width="7.140625" bestFit="1" customWidth="1"/>
    <col min="847" max="847" width="11" bestFit="1" customWidth="1"/>
    <col min="848" max="848" width="8" bestFit="1" customWidth="1"/>
    <col min="849" max="849" width="12" bestFit="1" customWidth="1"/>
    <col min="850" max="850" width="8.140625" bestFit="1" customWidth="1"/>
    <col min="851" max="856" width="12" bestFit="1" customWidth="1"/>
    <col min="857" max="857" width="7.140625" bestFit="1" customWidth="1"/>
    <col min="858" max="858" width="12" bestFit="1" customWidth="1"/>
    <col min="859" max="859" width="7.140625" bestFit="1" customWidth="1"/>
    <col min="860" max="860" width="9" bestFit="1" customWidth="1"/>
    <col min="861" max="863" width="12" bestFit="1" customWidth="1"/>
    <col min="864" max="864" width="11" bestFit="1" customWidth="1"/>
    <col min="865" max="865" width="9" bestFit="1" customWidth="1"/>
    <col min="866" max="866" width="7.140625" bestFit="1" customWidth="1"/>
    <col min="867" max="867" width="11" bestFit="1" customWidth="1"/>
    <col min="868" max="868" width="7.140625" bestFit="1" customWidth="1"/>
    <col min="869" max="871" width="12" bestFit="1" customWidth="1"/>
    <col min="872" max="872" width="10" bestFit="1" customWidth="1"/>
    <col min="873" max="873" width="11" bestFit="1" customWidth="1"/>
    <col min="874" max="874" width="12" bestFit="1" customWidth="1"/>
    <col min="875" max="875" width="7.140625" bestFit="1" customWidth="1"/>
    <col min="876" max="876" width="9" bestFit="1" customWidth="1"/>
    <col min="877" max="878" width="12" bestFit="1" customWidth="1"/>
    <col min="879" max="879" width="8" bestFit="1" customWidth="1"/>
    <col min="880" max="880" width="12" bestFit="1" customWidth="1"/>
    <col min="881" max="881" width="8.140625" bestFit="1" customWidth="1"/>
    <col min="882" max="884" width="12" bestFit="1" customWidth="1"/>
    <col min="885" max="885" width="8.140625" bestFit="1" customWidth="1"/>
    <col min="886" max="886" width="12" bestFit="1" customWidth="1"/>
    <col min="887" max="887" width="9" bestFit="1" customWidth="1"/>
    <col min="888" max="888" width="12" bestFit="1" customWidth="1"/>
    <col min="889" max="889" width="9" bestFit="1" customWidth="1"/>
    <col min="890" max="890" width="8" bestFit="1" customWidth="1"/>
    <col min="891" max="891" width="8.140625" bestFit="1" customWidth="1"/>
    <col min="892" max="892" width="10" bestFit="1" customWidth="1"/>
    <col min="893" max="893" width="12" bestFit="1" customWidth="1"/>
    <col min="894" max="894" width="7.140625" bestFit="1" customWidth="1"/>
    <col min="895" max="895" width="8.140625" bestFit="1" customWidth="1"/>
    <col min="896" max="896" width="11" bestFit="1" customWidth="1"/>
    <col min="897" max="897" width="7.140625" bestFit="1" customWidth="1"/>
    <col min="898" max="902" width="12" bestFit="1" customWidth="1"/>
    <col min="903" max="903" width="7.140625" bestFit="1" customWidth="1"/>
    <col min="904" max="905" width="12" bestFit="1" customWidth="1"/>
    <col min="906" max="906" width="7.140625" bestFit="1" customWidth="1"/>
    <col min="907" max="908" width="12" bestFit="1" customWidth="1"/>
    <col min="909" max="909" width="7.140625" bestFit="1" customWidth="1"/>
    <col min="910" max="910" width="12" bestFit="1" customWidth="1"/>
    <col min="911" max="911" width="7.7109375" bestFit="1" customWidth="1"/>
    <col min="912" max="912" width="13.28515625" bestFit="1" customWidth="1"/>
    <col min="913" max="913" width="9" bestFit="1" customWidth="1"/>
    <col min="914" max="915" width="8" bestFit="1" customWidth="1"/>
    <col min="916" max="916" width="8.140625" bestFit="1" customWidth="1"/>
    <col min="917" max="917" width="7.140625" bestFit="1" customWidth="1"/>
    <col min="918" max="919" width="9" bestFit="1" customWidth="1"/>
    <col min="920" max="920" width="11" bestFit="1" customWidth="1"/>
    <col min="921" max="923" width="8" bestFit="1" customWidth="1"/>
    <col min="924" max="924" width="12" bestFit="1" customWidth="1"/>
    <col min="925" max="925" width="10" bestFit="1" customWidth="1"/>
    <col min="926" max="926" width="7.140625" bestFit="1" customWidth="1"/>
    <col min="927" max="928" width="8" bestFit="1" customWidth="1"/>
    <col min="929" max="929" width="7.140625" bestFit="1" customWidth="1"/>
    <col min="930" max="930" width="8" bestFit="1" customWidth="1"/>
    <col min="931" max="931" width="7.140625" bestFit="1" customWidth="1"/>
    <col min="932" max="932" width="9" bestFit="1" customWidth="1"/>
    <col min="933" max="933" width="7.140625" bestFit="1" customWidth="1"/>
    <col min="934" max="934" width="10" bestFit="1" customWidth="1"/>
    <col min="935" max="936" width="9" bestFit="1" customWidth="1"/>
    <col min="937" max="937" width="11" bestFit="1" customWidth="1"/>
    <col min="938" max="941" width="12" bestFit="1" customWidth="1"/>
    <col min="942" max="942" width="8" bestFit="1" customWidth="1"/>
    <col min="943" max="943" width="9" bestFit="1" customWidth="1"/>
    <col min="944" max="944" width="7.140625" bestFit="1" customWidth="1"/>
    <col min="945" max="945" width="8" bestFit="1" customWidth="1"/>
    <col min="946" max="946" width="12" bestFit="1" customWidth="1"/>
    <col min="947" max="947" width="7.140625" bestFit="1" customWidth="1"/>
    <col min="948" max="952" width="8" bestFit="1" customWidth="1"/>
    <col min="953" max="953" width="9" bestFit="1" customWidth="1"/>
    <col min="954" max="954" width="7.140625" bestFit="1" customWidth="1"/>
    <col min="955" max="955" width="8" bestFit="1" customWidth="1"/>
    <col min="956" max="956" width="8.140625" bestFit="1" customWidth="1"/>
    <col min="957" max="957" width="11" bestFit="1" customWidth="1"/>
    <col min="958" max="958" width="12" bestFit="1" customWidth="1"/>
    <col min="959" max="960" width="8" bestFit="1" customWidth="1"/>
    <col min="961" max="961" width="7.140625" bestFit="1" customWidth="1"/>
    <col min="962" max="962" width="8" bestFit="1" customWidth="1"/>
    <col min="963" max="963" width="8.140625" bestFit="1" customWidth="1"/>
    <col min="964" max="964" width="8" bestFit="1" customWidth="1"/>
    <col min="965" max="965" width="7.140625" bestFit="1" customWidth="1"/>
    <col min="966" max="966" width="8" bestFit="1" customWidth="1"/>
    <col min="967" max="967" width="7.140625" bestFit="1" customWidth="1"/>
    <col min="968" max="968" width="8" bestFit="1" customWidth="1"/>
    <col min="969" max="969" width="10" bestFit="1" customWidth="1"/>
    <col min="970" max="970" width="7.140625" bestFit="1" customWidth="1"/>
    <col min="971" max="971" width="11" bestFit="1" customWidth="1"/>
    <col min="972" max="972" width="8" bestFit="1" customWidth="1"/>
    <col min="973" max="973" width="7.140625" bestFit="1" customWidth="1"/>
    <col min="974" max="974" width="12" bestFit="1" customWidth="1"/>
    <col min="975" max="976" width="8.140625" bestFit="1" customWidth="1"/>
    <col min="977" max="977" width="7.140625" bestFit="1" customWidth="1"/>
    <col min="978" max="978" width="12" bestFit="1" customWidth="1"/>
    <col min="979" max="979" width="7.140625" bestFit="1" customWidth="1"/>
    <col min="980" max="980" width="8.140625" bestFit="1" customWidth="1"/>
    <col min="981" max="981" width="8" bestFit="1" customWidth="1"/>
    <col min="982" max="984" width="7.140625" bestFit="1" customWidth="1"/>
    <col min="985" max="988" width="8.140625" bestFit="1" customWidth="1"/>
    <col min="989" max="989" width="7.140625" bestFit="1" customWidth="1"/>
    <col min="990" max="993" width="8.140625" bestFit="1" customWidth="1"/>
    <col min="994" max="994" width="11" bestFit="1" customWidth="1"/>
    <col min="995" max="995" width="12" bestFit="1" customWidth="1"/>
    <col min="996" max="996" width="7.140625" bestFit="1" customWidth="1"/>
    <col min="997" max="997" width="8.140625" bestFit="1" customWidth="1"/>
    <col min="998" max="998" width="8" bestFit="1" customWidth="1"/>
    <col min="999" max="999" width="7.140625" bestFit="1" customWidth="1"/>
    <col min="1000" max="1000" width="12" bestFit="1" customWidth="1"/>
    <col min="1001" max="1001" width="8.140625" bestFit="1" customWidth="1"/>
    <col min="1002" max="1003" width="7.140625" bestFit="1" customWidth="1"/>
    <col min="1004" max="1004" width="9" bestFit="1" customWidth="1"/>
    <col min="1005" max="1005" width="12" bestFit="1" customWidth="1"/>
    <col min="1006" max="1006" width="8" bestFit="1" customWidth="1"/>
    <col min="1007" max="1007" width="12" bestFit="1" customWidth="1"/>
    <col min="1008" max="1009" width="8.140625" bestFit="1" customWidth="1"/>
    <col min="1010" max="1010" width="9" bestFit="1" customWidth="1"/>
    <col min="1011" max="1011" width="7.140625" bestFit="1" customWidth="1"/>
    <col min="1012" max="1013" width="8" bestFit="1" customWidth="1"/>
    <col min="1014" max="1014" width="7.140625" bestFit="1" customWidth="1"/>
    <col min="1015" max="1015" width="8.140625" bestFit="1" customWidth="1"/>
    <col min="1016" max="1016" width="10" bestFit="1" customWidth="1"/>
    <col min="1017" max="1017" width="8.140625" bestFit="1" customWidth="1"/>
    <col min="1018" max="1018" width="8" bestFit="1" customWidth="1"/>
    <col min="1019" max="1019" width="12" bestFit="1" customWidth="1"/>
    <col min="1020" max="1020" width="7.140625" bestFit="1" customWidth="1"/>
    <col min="1021" max="1022" width="8.140625" bestFit="1" customWidth="1"/>
    <col min="1023" max="1024" width="10" bestFit="1" customWidth="1"/>
    <col min="1025" max="1026" width="8" bestFit="1" customWidth="1"/>
    <col min="1027" max="1027" width="8.140625" bestFit="1" customWidth="1"/>
    <col min="1028" max="1028" width="8" bestFit="1" customWidth="1"/>
    <col min="1029" max="1030" width="12" bestFit="1" customWidth="1"/>
    <col min="1031" max="1032" width="7.140625" bestFit="1" customWidth="1"/>
    <col min="1033" max="1033" width="12" bestFit="1" customWidth="1"/>
    <col min="1034" max="1034" width="8.140625" bestFit="1" customWidth="1"/>
    <col min="1035" max="1035" width="12" bestFit="1" customWidth="1"/>
    <col min="1036" max="1037" width="8" bestFit="1" customWidth="1"/>
    <col min="1038" max="1038" width="9" bestFit="1" customWidth="1"/>
    <col min="1039" max="1040" width="8.140625" bestFit="1" customWidth="1"/>
    <col min="1041" max="1041" width="12" bestFit="1" customWidth="1"/>
    <col min="1042" max="1043" width="8.140625" bestFit="1" customWidth="1"/>
    <col min="1044" max="1045" width="7.140625" bestFit="1" customWidth="1"/>
    <col min="1046" max="1046" width="8" bestFit="1" customWidth="1"/>
    <col min="1047" max="1047" width="9" bestFit="1" customWidth="1"/>
    <col min="1048" max="1048" width="12" bestFit="1" customWidth="1"/>
    <col min="1049" max="1049" width="8.140625" bestFit="1" customWidth="1"/>
    <col min="1050" max="1050" width="7.140625" bestFit="1" customWidth="1"/>
    <col min="1051" max="1051" width="9" bestFit="1" customWidth="1"/>
    <col min="1052" max="1052" width="11" bestFit="1" customWidth="1"/>
    <col min="1053" max="1053" width="9" bestFit="1" customWidth="1"/>
    <col min="1054" max="1054" width="12" bestFit="1" customWidth="1"/>
    <col min="1055" max="1055" width="8" bestFit="1" customWidth="1"/>
    <col min="1056" max="1056" width="7.140625" bestFit="1" customWidth="1"/>
    <col min="1057" max="1058" width="8.140625" bestFit="1" customWidth="1"/>
    <col min="1059" max="1059" width="9" bestFit="1" customWidth="1"/>
    <col min="1060" max="1060" width="12" bestFit="1" customWidth="1"/>
    <col min="1061" max="1061" width="7.140625" bestFit="1" customWidth="1"/>
    <col min="1062" max="1062" width="12" bestFit="1" customWidth="1"/>
    <col min="1063" max="1064" width="8.140625" bestFit="1" customWidth="1"/>
    <col min="1065" max="1065" width="11" bestFit="1" customWidth="1"/>
    <col min="1066" max="1066" width="8.140625" bestFit="1" customWidth="1"/>
    <col min="1067" max="1067" width="12" bestFit="1" customWidth="1"/>
    <col min="1068" max="1068" width="9" bestFit="1" customWidth="1"/>
    <col min="1069" max="1069" width="7.140625" bestFit="1" customWidth="1"/>
    <col min="1070" max="1070" width="8.140625" bestFit="1" customWidth="1"/>
    <col min="1071" max="1071" width="12" bestFit="1" customWidth="1"/>
    <col min="1072" max="1072" width="8.140625" bestFit="1" customWidth="1"/>
    <col min="1073" max="1073" width="8" bestFit="1" customWidth="1"/>
    <col min="1074" max="1075" width="12" bestFit="1" customWidth="1"/>
    <col min="1076" max="1076" width="8" bestFit="1" customWidth="1"/>
    <col min="1077" max="1077" width="10" bestFit="1" customWidth="1"/>
    <col min="1078" max="1078" width="7.140625" bestFit="1" customWidth="1"/>
    <col min="1079" max="1080" width="8.140625" bestFit="1" customWidth="1"/>
    <col min="1081" max="1081" width="12" bestFit="1" customWidth="1"/>
    <col min="1082" max="1082" width="8.140625" bestFit="1" customWidth="1"/>
    <col min="1083" max="1083" width="12" bestFit="1" customWidth="1"/>
    <col min="1084" max="1085" width="7.140625" bestFit="1" customWidth="1"/>
    <col min="1086" max="1086" width="8.140625" bestFit="1" customWidth="1"/>
    <col min="1087" max="1088" width="8" bestFit="1" customWidth="1"/>
    <col min="1089" max="1090" width="7.140625" bestFit="1" customWidth="1"/>
    <col min="1091" max="1092" width="8.140625" bestFit="1" customWidth="1"/>
    <col min="1093" max="1093" width="12" bestFit="1" customWidth="1"/>
    <col min="1094" max="1095" width="7.140625" bestFit="1" customWidth="1"/>
    <col min="1096" max="1096" width="9" bestFit="1" customWidth="1"/>
    <col min="1097" max="1097" width="7.140625" bestFit="1" customWidth="1"/>
    <col min="1098" max="1098" width="8.140625" bestFit="1" customWidth="1"/>
    <col min="1099" max="1099" width="7.140625" bestFit="1" customWidth="1"/>
    <col min="1100" max="1100" width="8" bestFit="1" customWidth="1"/>
    <col min="1101" max="1101" width="7.140625" bestFit="1" customWidth="1"/>
    <col min="1102" max="1102" width="8.140625" bestFit="1" customWidth="1"/>
    <col min="1103" max="1103" width="12" bestFit="1" customWidth="1"/>
    <col min="1104" max="1104" width="8.140625" bestFit="1" customWidth="1"/>
    <col min="1105" max="1105" width="9" bestFit="1" customWidth="1"/>
    <col min="1106" max="1108" width="12" bestFit="1" customWidth="1"/>
    <col min="1109" max="1109" width="8" bestFit="1" customWidth="1"/>
    <col min="1110" max="1110" width="7.140625" bestFit="1" customWidth="1"/>
    <col min="1111" max="1111" width="10" bestFit="1" customWidth="1"/>
    <col min="1112" max="1113" width="8.140625" bestFit="1" customWidth="1"/>
    <col min="1114" max="1114" width="12" bestFit="1" customWidth="1"/>
    <col min="1115" max="1115" width="7.140625" bestFit="1" customWidth="1"/>
    <col min="1116" max="1118" width="8.140625" bestFit="1" customWidth="1"/>
    <col min="1119" max="1119" width="12" bestFit="1" customWidth="1"/>
    <col min="1120" max="1120" width="8.140625" bestFit="1" customWidth="1"/>
    <col min="1121" max="1121" width="7.140625" bestFit="1" customWidth="1"/>
    <col min="1122" max="1122" width="9" bestFit="1" customWidth="1"/>
    <col min="1123" max="1124" width="12" bestFit="1" customWidth="1"/>
    <col min="1125" max="1125" width="11" bestFit="1" customWidth="1"/>
    <col min="1126" max="1126" width="7.140625" bestFit="1" customWidth="1"/>
    <col min="1127" max="1127" width="8.140625" bestFit="1" customWidth="1"/>
    <col min="1128" max="1128" width="12" bestFit="1" customWidth="1"/>
    <col min="1129" max="1129" width="11" bestFit="1" customWidth="1"/>
    <col min="1130" max="1130" width="12" bestFit="1" customWidth="1"/>
    <col min="1131" max="1131" width="8.140625" bestFit="1" customWidth="1"/>
    <col min="1132" max="1132" width="8" bestFit="1" customWidth="1"/>
    <col min="1133" max="1133" width="7.140625" bestFit="1" customWidth="1"/>
    <col min="1134" max="1134" width="9" bestFit="1" customWidth="1"/>
    <col min="1135" max="1135" width="8" bestFit="1" customWidth="1"/>
    <col min="1136" max="1136" width="12" bestFit="1" customWidth="1"/>
    <col min="1137" max="1137" width="11" bestFit="1" customWidth="1"/>
    <col min="1138" max="1138" width="7.140625" bestFit="1" customWidth="1"/>
    <col min="1139" max="1139" width="11" bestFit="1" customWidth="1"/>
    <col min="1140" max="1140" width="9" bestFit="1" customWidth="1"/>
    <col min="1141" max="1141" width="10" bestFit="1" customWidth="1"/>
    <col min="1142" max="1142" width="8.140625" bestFit="1" customWidth="1"/>
    <col min="1143" max="1147" width="12" bestFit="1" customWidth="1"/>
    <col min="1148" max="1148" width="7.140625" bestFit="1" customWidth="1"/>
    <col min="1149" max="1149" width="8.140625" bestFit="1" customWidth="1"/>
    <col min="1150" max="1150" width="12" bestFit="1" customWidth="1"/>
    <col min="1151" max="1151" width="8.140625" bestFit="1" customWidth="1"/>
    <col min="1152" max="1152" width="9" bestFit="1" customWidth="1"/>
    <col min="1153" max="1154" width="8.140625" bestFit="1" customWidth="1"/>
    <col min="1155" max="1155" width="9" bestFit="1" customWidth="1"/>
    <col min="1156" max="1156" width="8.140625" bestFit="1" customWidth="1"/>
    <col min="1157" max="1158" width="11" bestFit="1" customWidth="1"/>
    <col min="1159" max="1160" width="9" bestFit="1" customWidth="1"/>
    <col min="1161" max="1161" width="8.140625" bestFit="1" customWidth="1"/>
    <col min="1162" max="1163" width="9" bestFit="1" customWidth="1"/>
    <col min="1164" max="1164" width="8.140625" bestFit="1" customWidth="1"/>
    <col min="1165" max="1165" width="9" bestFit="1" customWidth="1"/>
    <col min="1166" max="1166" width="12" bestFit="1" customWidth="1"/>
    <col min="1167" max="1167" width="8.140625" bestFit="1" customWidth="1"/>
    <col min="1168" max="1168" width="9" bestFit="1" customWidth="1"/>
    <col min="1169" max="1169" width="12" bestFit="1" customWidth="1"/>
    <col min="1170" max="1170" width="7.140625" bestFit="1" customWidth="1"/>
    <col min="1171" max="1171" width="12" bestFit="1" customWidth="1"/>
    <col min="1172" max="1172" width="11" bestFit="1" customWidth="1"/>
    <col min="1173" max="1173" width="9" bestFit="1" customWidth="1"/>
    <col min="1174" max="1176" width="8.140625" bestFit="1" customWidth="1"/>
    <col min="1177" max="1177" width="9" bestFit="1" customWidth="1"/>
    <col min="1178" max="1179" width="8.140625" bestFit="1" customWidth="1"/>
    <col min="1180" max="1180" width="10" bestFit="1" customWidth="1"/>
    <col min="1181" max="1181" width="12" bestFit="1" customWidth="1"/>
    <col min="1182" max="1183" width="8.140625" bestFit="1" customWidth="1"/>
    <col min="1184" max="1185" width="9" bestFit="1" customWidth="1"/>
    <col min="1186" max="1186" width="12" bestFit="1" customWidth="1"/>
    <col min="1187" max="1187" width="8.140625" bestFit="1" customWidth="1"/>
    <col min="1188" max="1188" width="11" bestFit="1" customWidth="1"/>
    <col min="1189" max="1191" width="8.140625" bestFit="1" customWidth="1"/>
    <col min="1192" max="1192" width="9" bestFit="1" customWidth="1"/>
    <col min="1193" max="1194" width="12" bestFit="1" customWidth="1"/>
    <col min="1195" max="1195" width="9" bestFit="1" customWidth="1"/>
    <col min="1196" max="1197" width="8.140625" bestFit="1" customWidth="1"/>
    <col min="1198" max="1198" width="12" bestFit="1" customWidth="1"/>
    <col min="1199" max="1199" width="10" bestFit="1" customWidth="1"/>
    <col min="1200" max="1200" width="8.140625" bestFit="1" customWidth="1"/>
    <col min="1201" max="1201" width="11" bestFit="1" customWidth="1"/>
    <col min="1202" max="1202" width="9" bestFit="1" customWidth="1"/>
    <col min="1203" max="1203" width="11" bestFit="1" customWidth="1"/>
    <col min="1204" max="1204" width="12" bestFit="1" customWidth="1"/>
    <col min="1205" max="1206" width="8.140625" bestFit="1" customWidth="1"/>
    <col min="1207" max="1209" width="12" bestFit="1" customWidth="1"/>
    <col min="1210" max="1212" width="8.140625" bestFit="1" customWidth="1"/>
    <col min="1213" max="1213" width="12" bestFit="1" customWidth="1"/>
    <col min="1214" max="1214" width="8.140625" bestFit="1" customWidth="1"/>
    <col min="1215" max="1215" width="12" bestFit="1" customWidth="1"/>
    <col min="1216" max="1216" width="8.140625" bestFit="1" customWidth="1"/>
    <col min="1217" max="1217" width="11" bestFit="1" customWidth="1"/>
    <col min="1218" max="1218" width="8.140625" bestFit="1" customWidth="1"/>
    <col min="1219" max="1219" width="11" bestFit="1" customWidth="1"/>
    <col min="1220" max="1222" width="8.140625" bestFit="1" customWidth="1"/>
    <col min="1223" max="1223" width="10" bestFit="1" customWidth="1"/>
    <col min="1224" max="1224" width="12" bestFit="1" customWidth="1"/>
    <col min="1225" max="1225" width="10" bestFit="1" customWidth="1"/>
    <col min="1226" max="1227" width="8.140625" bestFit="1" customWidth="1"/>
    <col min="1228" max="1229" width="12" bestFit="1" customWidth="1"/>
    <col min="1230" max="1232" width="8.140625" bestFit="1" customWidth="1"/>
    <col min="1233" max="1233" width="7.140625" bestFit="1" customWidth="1"/>
    <col min="1234" max="1234" width="8.140625" bestFit="1" customWidth="1"/>
    <col min="1235" max="1237" width="12" bestFit="1" customWidth="1"/>
    <col min="1238" max="1240" width="8.140625" bestFit="1" customWidth="1"/>
    <col min="1241" max="1242" width="11" bestFit="1" customWidth="1"/>
    <col min="1243" max="1244" width="12" bestFit="1" customWidth="1"/>
    <col min="1245" max="1245" width="10" bestFit="1" customWidth="1"/>
    <col min="1246" max="1246" width="11" bestFit="1" customWidth="1"/>
    <col min="1247" max="1247" width="10" bestFit="1" customWidth="1"/>
    <col min="1248" max="1248" width="12" bestFit="1" customWidth="1"/>
    <col min="1249" max="1252" width="8.140625" bestFit="1" customWidth="1"/>
    <col min="1253" max="1254" width="12" bestFit="1" customWidth="1"/>
    <col min="1255" max="1255" width="8.140625" bestFit="1" customWidth="1"/>
    <col min="1256" max="1256" width="9" bestFit="1" customWidth="1"/>
    <col min="1257" max="1257" width="8.140625" bestFit="1" customWidth="1"/>
    <col min="1258" max="1260" width="12" bestFit="1" customWidth="1"/>
    <col min="1261" max="1261" width="9" bestFit="1" customWidth="1"/>
    <col min="1262" max="1262" width="12" bestFit="1" customWidth="1"/>
    <col min="1263" max="1266" width="8.140625" bestFit="1" customWidth="1"/>
    <col min="1267" max="1270" width="12" bestFit="1" customWidth="1"/>
    <col min="1271" max="1271" width="11" bestFit="1" customWidth="1"/>
    <col min="1272" max="1272" width="8.140625" bestFit="1" customWidth="1"/>
    <col min="1273" max="1273" width="12" bestFit="1" customWidth="1"/>
    <col min="1274" max="1274" width="11" bestFit="1" customWidth="1"/>
    <col min="1275" max="1275" width="12" bestFit="1" customWidth="1"/>
    <col min="1276" max="1276" width="8.140625" bestFit="1" customWidth="1"/>
    <col min="1277" max="1277" width="11" bestFit="1" customWidth="1"/>
    <col min="1278" max="1281" width="12" bestFit="1" customWidth="1"/>
    <col min="1282" max="1283" width="11" bestFit="1" customWidth="1"/>
    <col min="1284" max="1285" width="8.140625" bestFit="1" customWidth="1"/>
    <col min="1286" max="1290" width="12" bestFit="1" customWidth="1"/>
    <col min="1291" max="1291" width="9" bestFit="1" customWidth="1"/>
    <col min="1292" max="1292" width="8.140625" bestFit="1" customWidth="1"/>
    <col min="1293" max="1294" width="12" bestFit="1" customWidth="1"/>
    <col min="1295" max="1296" width="8.140625" bestFit="1" customWidth="1"/>
    <col min="1297" max="1297" width="12" bestFit="1" customWidth="1"/>
    <col min="1298" max="1299" width="8.140625" bestFit="1" customWidth="1"/>
    <col min="1300" max="1300" width="12" bestFit="1" customWidth="1"/>
    <col min="1301" max="1301" width="8.140625" bestFit="1" customWidth="1"/>
    <col min="1302" max="1302" width="11" bestFit="1" customWidth="1"/>
    <col min="1303" max="1303" width="8.140625" bestFit="1" customWidth="1"/>
    <col min="1304" max="1304" width="12" bestFit="1" customWidth="1"/>
    <col min="1305" max="1305" width="8.140625" bestFit="1" customWidth="1"/>
    <col min="1306" max="1311" width="12" bestFit="1" customWidth="1"/>
    <col min="1312" max="1312" width="8.140625" bestFit="1" customWidth="1"/>
    <col min="1313" max="1313" width="12" bestFit="1" customWidth="1"/>
    <col min="1314" max="1314" width="8.140625" bestFit="1" customWidth="1"/>
    <col min="1315" max="1315" width="9" bestFit="1" customWidth="1"/>
    <col min="1316" max="1318" width="12" bestFit="1" customWidth="1"/>
    <col min="1319" max="1319" width="11" bestFit="1" customWidth="1"/>
    <col min="1320" max="1320" width="9" bestFit="1" customWidth="1"/>
    <col min="1321" max="1321" width="8.140625" bestFit="1" customWidth="1"/>
    <col min="1322" max="1322" width="11" bestFit="1" customWidth="1"/>
    <col min="1323" max="1323" width="8.140625" bestFit="1" customWidth="1"/>
    <col min="1324" max="1326" width="12" bestFit="1" customWidth="1"/>
    <col min="1327" max="1327" width="10" bestFit="1" customWidth="1"/>
    <col min="1328" max="1328" width="11" bestFit="1" customWidth="1"/>
    <col min="1329" max="1329" width="12" bestFit="1" customWidth="1"/>
    <col min="1330" max="1330" width="8.140625" bestFit="1" customWidth="1"/>
    <col min="1331" max="1331" width="9" bestFit="1" customWidth="1"/>
    <col min="1332" max="1333" width="12" bestFit="1" customWidth="1"/>
    <col min="1334" max="1334" width="8.140625" bestFit="1" customWidth="1"/>
    <col min="1335" max="1335" width="12" bestFit="1" customWidth="1"/>
    <col min="1336" max="1336" width="8.140625" bestFit="1" customWidth="1"/>
    <col min="1337" max="1339" width="12" bestFit="1" customWidth="1"/>
    <col min="1340" max="1340" width="7.140625" bestFit="1" customWidth="1"/>
    <col min="1341" max="1341" width="12" bestFit="1" customWidth="1"/>
    <col min="1342" max="1342" width="9" bestFit="1" customWidth="1"/>
    <col min="1343" max="1343" width="12" bestFit="1" customWidth="1"/>
    <col min="1344" max="1344" width="9" bestFit="1" customWidth="1"/>
    <col min="1345" max="1346" width="8.140625" bestFit="1" customWidth="1"/>
    <col min="1347" max="1347" width="10" bestFit="1" customWidth="1"/>
    <col min="1348" max="1348" width="12" bestFit="1" customWidth="1"/>
    <col min="1349" max="1350" width="8.140625" bestFit="1" customWidth="1"/>
    <col min="1351" max="1351" width="11" bestFit="1" customWidth="1"/>
    <col min="1352" max="1352" width="8.140625" bestFit="1" customWidth="1"/>
    <col min="1353" max="1357" width="12" bestFit="1" customWidth="1"/>
    <col min="1358" max="1358" width="8.140625" bestFit="1" customWidth="1"/>
    <col min="1359" max="1360" width="12" bestFit="1" customWidth="1"/>
    <col min="1361" max="1361" width="8.140625" bestFit="1" customWidth="1"/>
    <col min="1362" max="1363" width="12" bestFit="1" customWidth="1"/>
    <col min="1364" max="1364" width="8.140625" bestFit="1" customWidth="1"/>
    <col min="1365" max="1365" width="12" bestFit="1" customWidth="1"/>
    <col min="1366" max="1366" width="8.140625" bestFit="1" customWidth="1"/>
    <col min="1367" max="1367" width="7.7109375" bestFit="1" customWidth="1"/>
    <col min="1368" max="1368" width="9" bestFit="1" customWidth="1"/>
    <col min="1369" max="1370" width="8" bestFit="1" customWidth="1"/>
    <col min="1371" max="1371" width="6.140625" bestFit="1" customWidth="1"/>
    <col min="1372" max="1372" width="7" bestFit="1" customWidth="1"/>
    <col min="1373" max="1374" width="9" bestFit="1" customWidth="1"/>
    <col min="1375" max="1375" width="11" bestFit="1" customWidth="1"/>
    <col min="1376" max="1378" width="8" bestFit="1" customWidth="1"/>
    <col min="1379" max="1379" width="12" bestFit="1" customWidth="1"/>
    <col min="1380" max="1380" width="10" bestFit="1" customWidth="1"/>
    <col min="1381" max="1381" width="6.140625" bestFit="1" customWidth="1"/>
    <col min="1382" max="1383" width="8" bestFit="1" customWidth="1"/>
    <col min="1384" max="1384" width="7" bestFit="1" customWidth="1"/>
    <col min="1385" max="1385" width="8" bestFit="1" customWidth="1"/>
    <col min="1386" max="1386" width="7" bestFit="1" customWidth="1"/>
    <col min="1387" max="1387" width="9" bestFit="1" customWidth="1"/>
    <col min="1388" max="1388" width="7" bestFit="1" customWidth="1"/>
    <col min="1389" max="1389" width="10" bestFit="1" customWidth="1"/>
    <col min="1390" max="1391" width="9" bestFit="1" customWidth="1"/>
    <col min="1392" max="1392" width="11" bestFit="1" customWidth="1"/>
    <col min="1393" max="1396" width="12" bestFit="1" customWidth="1"/>
    <col min="1397" max="1397" width="8" bestFit="1" customWidth="1"/>
    <col min="1398" max="1398" width="9" bestFit="1" customWidth="1"/>
    <col min="1399" max="1399" width="6.140625" bestFit="1" customWidth="1"/>
    <col min="1400" max="1400" width="8" bestFit="1" customWidth="1"/>
    <col min="1401" max="1401" width="12" bestFit="1" customWidth="1"/>
    <col min="1402" max="1402" width="7" bestFit="1" customWidth="1"/>
    <col min="1403" max="1407" width="8" bestFit="1" customWidth="1"/>
    <col min="1408" max="1408" width="9" bestFit="1" customWidth="1"/>
    <col min="1409" max="1409" width="7" bestFit="1" customWidth="1"/>
    <col min="1410" max="1411" width="8" bestFit="1" customWidth="1"/>
    <col min="1412" max="1412" width="11" bestFit="1" customWidth="1"/>
    <col min="1413" max="1413" width="12" bestFit="1" customWidth="1"/>
    <col min="1414" max="1415" width="8" bestFit="1" customWidth="1"/>
    <col min="1416" max="1416" width="7" bestFit="1" customWidth="1"/>
    <col min="1417" max="1419" width="8" bestFit="1" customWidth="1"/>
    <col min="1420" max="1420" width="6.140625" bestFit="1" customWidth="1"/>
    <col min="1421" max="1421" width="8" bestFit="1" customWidth="1"/>
    <col min="1422" max="1422" width="7" bestFit="1" customWidth="1"/>
    <col min="1423" max="1423" width="8" bestFit="1" customWidth="1"/>
    <col min="1424" max="1424" width="10" bestFit="1" customWidth="1"/>
    <col min="1425" max="1425" width="7" bestFit="1" customWidth="1"/>
    <col min="1426" max="1426" width="11" bestFit="1" customWidth="1"/>
    <col min="1427" max="1427" width="8" bestFit="1" customWidth="1"/>
    <col min="1428" max="1428" width="7" bestFit="1" customWidth="1"/>
    <col min="1429" max="1429" width="12" bestFit="1" customWidth="1"/>
    <col min="1430" max="1430" width="6.140625" bestFit="1" customWidth="1"/>
    <col min="1431" max="1431" width="8" bestFit="1" customWidth="1"/>
    <col min="1432" max="1432" width="7" bestFit="1" customWidth="1"/>
    <col min="1433" max="1433" width="12" bestFit="1" customWidth="1"/>
    <col min="1434" max="1434" width="7" bestFit="1" customWidth="1"/>
    <col min="1435" max="1435" width="6.140625" bestFit="1" customWidth="1"/>
    <col min="1436" max="1436" width="8" bestFit="1" customWidth="1"/>
    <col min="1437" max="1437" width="7" bestFit="1" customWidth="1"/>
    <col min="1438" max="1438" width="6.140625" bestFit="1" customWidth="1"/>
    <col min="1439" max="1439" width="7" bestFit="1" customWidth="1"/>
    <col min="1440" max="1440" width="8" bestFit="1" customWidth="1"/>
    <col min="1441" max="1441" width="6.140625" bestFit="1" customWidth="1"/>
    <col min="1442" max="1442" width="8" bestFit="1" customWidth="1"/>
    <col min="1443" max="1443" width="6.140625" bestFit="1" customWidth="1"/>
    <col min="1444" max="1448" width="7" bestFit="1" customWidth="1"/>
    <col min="1449" max="1449" width="11" bestFit="1" customWidth="1"/>
    <col min="1450" max="1450" width="12" bestFit="1" customWidth="1"/>
    <col min="1451" max="1451" width="6.140625" bestFit="1" customWidth="1"/>
    <col min="1452" max="1452" width="7" bestFit="1" customWidth="1"/>
    <col min="1453" max="1453" width="8" bestFit="1" customWidth="1"/>
    <col min="1454" max="1454" width="7" bestFit="1" customWidth="1"/>
    <col min="1455" max="1455" width="12" bestFit="1" customWidth="1"/>
    <col min="1456" max="1456" width="6.140625" bestFit="1" customWidth="1"/>
    <col min="1457" max="1458" width="7" bestFit="1" customWidth="1"/>
    <col min="1459" max="1459" width="9" bestFit="1" customWidth="1"/>
    <col min="1460" max="1460" width="12" bestFit="1" customWidth="1"/>
    <col min="1461" max="1461" width="8" bestFit="1" customWidth="1"/>
    <col min="1462" max="1462" width="12" bestFit="1" customWidth="1"/>
    <col min="1463" max="1463" width="7" bestFit="1" customWidth="1"/>
    <col min="1464" max="1464" width="6.140625" bestFit="1" customWidth="1"/>
    <col min="1465" max="1465" width="9" bestFit="1" customWidth="1"/>
    <col min="1466" max="1466" width="7" bestFit="1" customWidth="1"/>
    <col min="1467" max="1468" width="8" bestFit="1" customWidth="1"/>
    <col min="1469" max="1469" width="7" bestFit="1" customWidth="1"/>
    <col min="1470" max="1470" width="6.140625" bestFit="1" customWidth="1"/>
    <col min="1471" max="1471" width="10" bestFit="1" customWidth="1"/>
    <col min="1472" max="1472" width="7" bestFit="1" customWidth="1"/>
    <col min="1473" max="1473" width="8" bestFit="1" customWidth="1"/>
    <col min="1474" max="1474" width="12" bestFit="1" customWidth="1"/>
    <col min="1475" max="1475" width="7" bestFit="1" customWidth="1"/>
    <col min="1476" max="1476" width="6.140625" bestFit="1" customWidth="1"/>
    <col min="1477" max="1477" width="8" bestFit="1" customWidth="1"/>
    <col min="1478" max="1479" width="10" bestFit="1" customWidth="1"/>
    <col min="1480" max="1481" width="8" bestFit="1" customWidth="1"/>
    <col min="1482" max="1482" width="6.140625" bestFit="1" customWidth="1"/>
    <col min="1483" max="1483" width="8" bestFit="1" customWidth="1"/>
    <col min="1484" max="1485" width="12" bestFit="1" customWidth="1"/>
    <col min="1486" max="1487" width="7" bestFit="1" customWidth="1"/>
    <col min="1488" max="1488" width="12" bestFit="1" customWidth="1"/>
    <col min="1489" max="1489" width="8" bestFit="1" customWidth="1"/>
    <col min="1490" max="1490" width="12" bestFit="1" customWidth="1"/>
    <col min="1491" max="1492" width="8" bestFit="1" customWidth="1"/>
    <col min="1493" max="1493" width="9" bestFit="1" customWidth="1"/>
    <col min="1494" max="1495" width="6.140625" bestFit="1" customWidth="1"/>
    <col min="1496" max="1496" width="12" bestFit="1" customWidth="1"/>
    <col min="1497" max="1497" width="7" bestFit="1" customWidth="1"/>
    <col min="1498" max="1498" width="6.140625" bestFit="1" customWidth="1"/>
    <col min="1499" max="1500" width="7" bestFit="1" customWidth="1"/>
    <col min="1501" max="1501" width="8" bestFit="1" customWidth="1"/>
    <col min="1502" max="1502" width="9" bestFit="1" customWidth="1"/>
    <col min="1503" max="1503" width="12" bestFit="1" customWidth="1"/>
    <col min="1504" max="1504" width="8" bestFit="1" customWidth="1"/>
    <col min="1505" max="1505" width="6.140625" bestFit="1" customWidth="1"/>
    <col min="1506" max="1506" width="9" bestFit="1" customWidth="1"/>
    <col min="1507" max="1507" width="11" bestFit="1" customWidth="1"/>
    <col min="1508" max="1508" width="9" bestFit="1" customWidth="1"/>
    <col min="1509" max="1509" width="12" bestFit="1" customWidth="1"/>
    <col min="1510" max="1510" width="8" bestFit="1" customWidth="1"/>
    <col min="1511" max="1512" width="7" bestFit="1" customWidth="1"/>
    <col min="1513" max="1513" width="6.140625" bestFit="1" customWidth="1"/>
    <col min="1514" max="1514" width="9" bestFit="1" customWidth="1"/>
    <col min="1515" max="1515" width="12" bestFit="1" customWidth="1"/>
    <col min="1516" max="1516" width="7" bestFit="1" customWidth="1"/>
    <col min="1517" max="1517" width="12" bestFit="1" customWidth="1"/>
    <col min="1518" max="1518" width="8" bestFit="1" customWidth="1"/>
    <col min="1519" max="1519" width="6.140625" bestFit="1" customWidth="1"/>
    <col min="1520" max="1520" width="11" bestFit="1" customWidth="1"/>
    <col min="1521" max="1521" width="6.140625" bestFit="1" customWidth="1"/>
    <col min="1522" max="1522" width="12" bestFit="1" customWidth="1"/>
    <col min="1523" max="1523" width="9" bestFit="1" customWidth="1"/>
    <col min="1524" max="1525" width="7" bestFit="1" customWidth="1"/>
    <col min="1526" max="1526" width="12" bestFit="1" customWidth="1"/>
    <col min="1527" max="1527" width="7" bestFit="1" customWidth="1"/>
    <col min="1528" max="1528" width="8" bestFit="1" customWidth="1"/>
    <col min="1529" max="1530" width="12" bestFit="1" customWidth="1"/>
    <col min="1531" max="1531" width="8" bestFit="1" customWidth="1"/>
    <col min="1532" max="1532" width="10" bestFit="1" customWidth="1"/>
    <col min="1533" max="1533" width="7" bestFit="1" customWidth="1"/>
    <col min="1534" max="1534" width="6.140625" bestFit="1" customWidth="1"/>
    <col min="1535" max="1535" width="8" bestFit="1" customWidth="1"/>
    <col min="1536" max="1536" width="12" bestFit="1" customWidth="1"/>
    <col min="1537" max="1537" width="6.140625" bestFit="1" customWidth="1"/>
    <col min="1538" max="1538" width="12" bestFit="1" customWidth="1"/>
    <col min="1539" max="1540" width="7" bestFit="1" customWidth="1"/>
    <col min="1541" max="1541" width="6.140625" bestFit="1" customWidth="1"/>
    <col min="1542" max="1543" width="8" bestFit="1" customWidth="1"/>
    <col min="1544" max="1545" width="7" bestFit="1" customWidth="1"/>
    <col min="1546" max="1547" width="6.140625" bestFit="1" customWidth="1"/>
    <col min="1548" max="1548" width="12" bestFit="1" customWidth="1"/>
    <col min="1549" max="1549" width="7" bestFit="1" customWidth="1"/>
    <col min="1550" max="1550" width="6.140625" bestFit="1" customWidth="1"/>
    <col min="1551" max="1551" width="9" bestFit="1" customWidth="1"/>
    <col min="1552" max="1553" width="6.140625" bestFit="1" customWidth="1"/>
    <col min="1554" max="1554" width="7" bestFit="1" customWidth="1"/>
    <col min="1555" max="1555" width="8" bestFit="1" customWidth="1"/>
    <col min="1556" max="1556" width="7" bestFit="1" customWidth="1"/>
    <col min="1557" max="1557" width="6.140625" bestFit="1" customWidth="1"/>
    <col min="1558" max="1558" width="12" bestFit="1" customWidth="1"/>
    <col min="1559" max="1559" width="6.140625" bestFit="1" customWidth="1"/>
    <col min="1560" max="1560" width="9" bestFit="1" customWidth="1"/>
    <col min="1561" max="1563" width="12" bestFit="1" customWidth="1"/>
    <col min="1564" max="1564" width="8" bestFit="1" customWidth="1"/>
    <col min="1565" max="1565" width="6.140625" bestFit="1" customWidth="1"/>
    <col min="1566" max="1566" width="10" bestFit="1" customWidth="1"/>
    <col min="1567" max="1568" width="6.140625" bestFit="1" customWidth="1"/>
    <col min="1569" max="1569" width="12" bestFit="1" customWidth="1"/>
    <col min="1570" max="1570" width="6.140625" bestFit="1" customWidth="1"/>
    <col min="1571" max="1571" width="7" bestFit="1" customWidth="1"/>
    <col min="1572" max="1572" width="6.140625" bestFit="1" customWidth="1"/>
    <col min="1573" max="1573" width="7" bestFit="1" customWidth="1"/>
    <col min="1574" max="1574" width="12" bestFit="1" customWidth="1"/>
    <col min="1575" max="1575" width="6.140625" bestFit="1" customWidth="1"/>
    <col min="1576" max="1576" width="7" bestFit="1" customWidth="1"/>
    <col min="1577" max="1577" width="9" bestFit="1" customWidth="1"/>
    <col min="1578" max="1579" width="12" bestFit="1" customWidth="1"/>
    <col min="1580" max="1580" width="11" bestFit="1" customWidth="1"/>
    <col min="1581" max="1581" width="7.140625" bestFit="1" customWidth="1"/>
    <col min="1582" max="1582" width="6.140625" bestFit="1" customWidth="1"/>
    <col min="1583" max="1583" width="12" bestFit="1" customWidth="1"/>
    <col min="1584" max="1584" width="11" bestFit="1" customWidth="1"/>
    <col min="1585" max="1585" width="12" bestFit="1" customWidth="1"/>
    <col min="1586" max="1586" width="6.140625" bestFit="1" customWidth="1"/>
    <col min="1587" max="1587" width="8" bestFit="1" customWidth="1"/>
    <col min="1588" max="1588" width="7" bestFit="1" customWidth="1"/>
    <col min="1589" max="1589" width="9" bestFit="1" customWidth="1"/>
    <col min="1590" max="1590" width="8" bestFit="1" customWidth="1"/>
    <col min="1591" max="1591" width="12" bestFit="1" customWidth="1"/>
    <col min="1592" max="1592" width="11" bestFit="1" customWidth="1"/>
    <col min="1593" max="1593" width="6.140625" bestFit="1" customWidth="1"/>
    <col min="1594" max="1594" width="11" bestFit="1" customWidth="1"/>
    <col min="1595" max="1595" width="9" bestFit="1" customWidth="1"/>
    <col min="1596" max="1596" width="10" bestFit="1" customWidth="1"/>
    <col min="1597" max="1597" width="6.140625" bestFit="1" customWidth="1"/>
    <col min="1598" max="1602" width="12" bestFit="1" customWidth="1"/>
    <col min="1603" max="1603" width="7.140625" bestFit="1" customWidth="1"/>
    <col min="1604" max="1604" width="8" bestFit="1" customWidth="1"/>
    <col min="1605" max="1605" width="12" bestFit="1" customWidth="1"/>
    <col min="1606" max="1606" width="6.140625" bestFit="1" customWidth="1"/>
    <col min="1607" max="1607" width="9" bestFit="1" customWidth="1"/>
    <col min="1608" max="1608" width="7" bestFit="1" customWidth="1"/>
    <col min="1609" max="1609" width="6.140625" bestFit="1" customWidth="1"/>
    <col min="1610" max="1610" width="9" bestFit="1" customWidth="1"/>
    <col min="1611" max="1611" width="8" bestFit="1" customWidth="1"/>
    <col min="1612" max="1613" width="11" bestFit="1" customWidth="1"/>
    <col min="1614" max="1615" width="9" bestFit="1" customWidth="1"/>
    <col min="1616" max="1616" width="6.140625" bestFit="1" customWidth="1"/>
    <col min="1617" max="1618" width="9" bestFit="1" customWidth="1"/>
    <col min="1619" max="1619" width="7" bestFit="1" customWidth="1"/>
    <col min="1620" max="1620" width="9" bestFit="1" customWidth="1"/>
    <col min="1621" max="1621" width="12" bestFit="1" customWidth="1"/>
    <col min="1622" max="1622" width="8" bestFit="1" customWidth="1"/>
    <col min="1623" max="1623" width="9" bestFit="1" customWidth="1"/>
    <col min="1624" max="1624" width="12" bestFit="1" customWidth="1"/>
    <col min="1625" max="1625" width="7.140625" bestFit="1" customWidth="1"/>
    <col min="1626" max="1626" width="12" bestFit="1" customWidth="1"/>
    <col min="1627" max="1627" width="11" bestFit="1" customWidth="1"/>
    <col min="1628" max="1628" width="9" bestFit="1" customWidth="1"/>
    <col min="1629" max="1629" width="7.140625" bestFit="1" customWidth="1"/>
    <col min="1630" max="1631" width="8" bestFit="1" customWidth="1"/>
    <col min="1632" max="1632" width="9" bestFit="1" customWidth="1"/>
    <col min="1633" max="1633" width="8" bestFit="1" customWidth="1"/>
    <col min="1634" max="1634" width="6.140625" bestFit="1" customWidth="1"/>
    <col min="1635" max="1635" width="10" bestFit="1" customWidth="1"/>
    <col min="1636" max="1636" width="12" bestFit="1" customWidth="1"/>
    <col min="1637" max="1637" width="8" bestFit="1" customWidth="1"/>
    <col min="1638" max="1638" width="6.140625" bestFit="1" customWidth="1"/>
    <col min="1639" max="1640" width="9" bestFit="1" customWidth="1"/>
    <col min="1641" max="1641" width="12" bestFit="1" customWidth="1"/>
    <col min="1642" max="1642" width="7" bestFit="1" customWidth="1"/>
    <col min="1643" max="1643" width="11" bestFit="1" customWidth="1"/>
    <col min="1644" max="1644" width="6.140625" bestFit="1" customWidth="1"/>
    <col min="1645" max="1645" width="8" bestFit="1" customWidth="1"/>
    <col min="1646" max="1646" width="7.140625" bestFit="1" customWidth="1"/>
    <col min="1647" max="1647" width="9" bestFit="1" customWidth="1"/>
    <col min="1648" max="1649" width="12" bestFit="1" customWidth="1"/>
    <col min="1650" max="1650" width="9" bestFit="1" customWidth="1"/>
    <col min="1651" max="1651" width="8" bestFit="1" customWidth="1"/>
    <col min="1652" max="1652" width="6.140625" bestFit="1" customWidth="1"/>
    <col min="1653" max="1653" width="12" bestFit="1" customWidth="1"/>
    <col min="1654" max="1654" width="10" bestFit="1" customWidth="1"/>
    <col min="1655" max="1655" width="6.140625" bestFit="1" customWidth="1"/>
    <col min="1656" max="1656" width="11" bestFit="1" customWidth="1"/>
    <col min="1657" max="1657" width="9" bestFit="1" customWidth="1"/>
    <col min="1658" max="1658" width="11" bestFit="1" customWidth="1"/>
    <col min="1659" max="1659" width="12" bestFit="1" customWidth="1"/>
    <col min="1660" max="1660" width="8" bestFit="1" customWidth="1"/>
    <col min="1661" max="1661" width="6.140625" bestFit="1" customWidth="1"/>
    <col min="1662" max="1664" width="12" bestFit="1" customWidth="1"/>
    <col min="1665" max="1667" width="6.140625" bestFit="1" customWidth="1"/>
    <col min="1668" max="1668" width="12" bestFit="1" customWidth="1"/>
    <col min="1669" max="1669" width="6.140625" bestFit="1" customWidth="1"/>
    <col min="1670" max="1670" width="12" bestFit="1" customWidth="1"/>
    <col min="1671" max="1671" width="7" bestFit="1" customWidth="1"/>
    <col min="1672" max="1672" width="11" bestFit="1" customWidth="1"/>
    <col min="1673" max="1673" width="6.140625" bestFit="1" customWidth="1"/>
    <col min="1674" max="1674" width="11" bestFit="1" customWidth="1"/>
    <col min="1675" max="1675" width="7" bestFit="1" customWidth="1"/>
    <col min="1676" max="1677" width="6.140625" bestFit="1" customWidth="1"/>
    <col min="1678" max="1678" width="10" bestFit="1" customWidth="1"/>
    <col min="1679" max="1679" width="12" bestFit="1" customWidth="1"/>
    <col min="1680" max="1680" width="10" bestFit="1" customWidth="1"/>
    <col min="1681" max="1681" width="6.140625" bestFit="1" customWidth="1"/>
    <col min="1682" max="1682" width="8" bestFit="1" customWidth="1"/>
    <col min="1683" max="1684" width="12" bestFit="1" customWidth="1"/>
    <col min="1685" max="1685" width="7.140625" bestFit="1" customWidth="1"/>
    <col min="1686" max="1687" width="6.140625" bestFit="1" customWidth="1"/>
    <col min="1688" max="1689" width="7.140625" bestFit="1" customWidth="1"/>
    <col min="1690" max="1692" width="12" bestFit="1" customWidth="1"/>
    <col min="1693" max="1694" width="8" bestFit="1" customWidth="1"/>
    <col min="1695" max="1695" width="7.140625" bestFit="1" customWidth="1"/>
    <col min="1696" max="1697" width="11" bestFit="1" customWidth="1"/>
    <col min="1698" max="1699" width="12" bestFit="1" customWidth="1"/>
    <col min="1700" max="1700" width="10" bestFit="1" customWidth="1"/>
    <col min="1701" max="1701" width="11" bestFit="1" customWidth="1"/>
    <col min="1702" max="1702" width="10" bestFit="1" customWidth="1"/>
    <col min="1703" max="1703" width="12" bestFit="1" customWidth="1"/>
    <col min="1704" max="1706" width="6.140625" bestFit="1" customWidth="1"/>
    <col min="1707" max="1707" width="7.140625" bestFit="1" customWidth="1"/>
    <col min="1708" max="1709" width="12" bestFit="1" customWidth="1"/>
    <col min="1710" max="1710" width="6.140625" bestFit="1" customWidth="1"/>
    <col min="1711" max="1711" width="9" bestFit="1" customWidth="1"/>
    <col min="1712" max="1712" width="6.140625" bestFit="1" customWidth="1"/>
    <col min="1713" max="1715" width="12" bestFit="1" customWidth="1"/>
    <col min="1716" max="1716" width="9" bestFit="1" customWidth="1"/>
    <col min="1717" max="1717" width="12" bestFit="1" customWidth="1"/>
    <col min="1718" max="1719" width="7.140625" bestFit="1" customWidth="1"/>
    <col min="1720" max="1720" width="7" bestFit="1" customWidth="1"/>
    <col min="1721" max="1721" width="6.140625" bestFit="1" customWidth="1"/>
    <col min="1722" max="1725" width="12" bestFit="1" customWidth="1"/>
    <col min="1726" max="1726" width="11" bestFit="1" customWidth="1"/>
    <col min="1727" max="1727" width="6.140625" bestFit="1" customWidth="1"/>
    <col min="1728" max="1728" width="12" bestFit="1" customWidth="1"/>
    <col min="1729" max="1729" width="11" bestFit="1" customWidth="1"/>
    <col min="1730" max="1730" width="12" bestFit="1" customWidth="1"/>
    <col min="1731" max="1731" width="8" bestFit="1" customWidth="1"/>
    <col min="1732" max="1732" width="11" bestFit="1" customWidth="1"/>
    <col min="1733" max="1736" width="12" bestFit="1" customWidth="1"/>
    <col min="1737" max="1738" width="11" bestFit="1" customWidth="1"/>
    <col min="1739" max="1739" width="8" bestFit="1" customWidth="1"/>
    <col min="1740" max="1740" width="6.140625" bestFit="1" customWidth="1"/>
    <col min="1741" max="1745" width="12" bestFit="1" customWidth="1"/>
    <col min="1746" max="1746" width="9" bestFit="1" customWidth="1"/>
    <col min="1747" max="1747" width="6.140625" bestFit="1" customWidth="1"/>
    <col min="1748" max="1749" width="12" bestFit="1" customWidth="1"/>
    <col min="1750" max="1750" width="7" bestFit="1" customWidth="1"/>
    <col min="1751" max="1751" width="6.140625" bestFit="1" customWidth="1"/>
    <col min="1752" max="1752" width="12" bestFit="1" customWidth="1"/>
    <col min="1753" max="1753" width="7.140625" bestFit="1" customWidth="1"/>
    <col min="1754" max="1754" width="6.140625" bestFit="1" customWidth="1"/>
    <col min="1755" max="1755" width="12" bestFit="1" customWidth="1"/>
    <col min="1756" max="1756" width="6.140625" bestFit="1" customWidth="1"/>
    <col min="1757" max="1757" width="11" bestFit="1" customWidth="1"/>
    <col min="1758" max="1758" width="8" bestFit="1" customWidth="1"/>
    <col min="1759" max="1759" width="12" bestFit="1" customWidth="1"/>
    <col min="1760" max="1760" width="6.140625" bestFit="1" customWidth="1"/>
    <col min="1761" max="1766" width="12" bestFit="1" customWidth="1"/>
    <col min="1767" max="1767" width="6.140625" bestFit="1" customWidth="1"/>
    <col min="1768" max="1768" width="12" bestFit="1" customWidth="1"/>
    <col min="1769" max="1769" width="6.140625" bestFit="1" customWidth="1"/>
    <col min="1770" max="1770" width="9" bestFit="1" customWidth="1"/>
    <col min="1771" max="1773" width="12" bestFit="1" customWidth="1"/>
    <col min="1774" max="1774" width="11" bestFit="1" customWidth="1"/>
    <col min="1775" max="1775" width="9" bestFit="1" customWidth="1"/>
    <col min="1776" max="1776" width="7.140625" bestFit="1" customWidth="1"/>
    <col min="1777" max="1777" width="11" bestFit="1" customWidth="1"/>
    <col min="1778" max="1778" width="6.140625" bestFit="1" customWidth="1"/>
    <col min="1779" max="1781" width="12" bestFit="1" customWidth="1"/>
    <col min="1782" max="1782" width="10" bestFit="1" customWidth="1"/>
    <col min="1783" max="1783" width="11" bestFit="1" customWidth="1"/>
    <col min="1784" max="1784" width="12" bestFit="1" customWidth="1"/>
    <col min="1785" max="1785" width="6.140625" bestFit="1" customWidth="1"/>
    <col min="1786" max="1786" width="9" bestFit="1" customWidth="1"/>
    <col min="1787" max="1788" width="12" bestFit="1" customWidth="1"/>
    <col min="1789" max="1789" width="8" bestFit="1" customWidth="1"/>
    <col min="1790" max="1790" width="12" bestFit="1" customWidth="1"/>
    <col min="1791" max="1791" width="7" bestFit="1" customWidth="1"/>
    <col min="1792" max="1794" width="12" bestFit="1" customWidth="1"/>
    <col min="1795" max="1795" width="8.140625" bestFit="1" customWidth="1"/>
    <col min="1796" max="1796" width="12" bestFit="1" customWidth="1"/>
    <col min="1797" max="1797" width="9" bestFit="1" customWidth="1"/>
    <col min="1798" max="1798" width="12" bestFit="1" customWidth="1"/>
    <col min="1799" max="1799" width="9" bestFit="1" customWidth="1"/>
    <col min="1800" max="1800" width="8" bestFit="1" customWidth="1"/>
    <col min="1801" max="1801" width="7.140625" bestFit="1" customWidth="1"/>
    <col min="1802" max="1802" width="10" bestFit="1" customWidth="1"/>
    <col min="1803" max="1803" width="12" bestFit="1" customWidth="1"/>
    <col min="1804" max="1805" width="7.140625" bestFit="1" customWidth="1"/>
    <col min="1806" max="1806" width="11" bestFit="1" customWidth="1"/>
    <col min="1807" max="1807" width="7.140625" bestFit="1" customWidth="1"/>
    <col min="1808" max="1812" width="12" bestFit="1" customWidth="1"/>
    <col min="1813" max="1813" width="6.140625" bestFit="1" customWidth="1"/>
    <col min="1814" max="1815" width="12" bestFit="1" customWidth="1"/>
    <col min="1816" max="1816" width="6.140625" bestFit="1" customWidth="1"/>
    <col min="1817" max="1818" width="12" bestFit="1" customWidth="1"/>
    <col min="1819" max="1819" width="7.140625" bestFit="1" customWidth="1"/>
    <col min="1820" max="1820" width="12" bestFit="1" customWidth="1"/>
    <col min="1821" max="1821" width="7.7109375" bestFit="1" customWidth="1"/>
    <col min="1822" max="1822" width="21.5703125" bestFit="1" customWidth="1"/>
    <col min="1823" max="1823" width="18.42578125" bestFit="1" customWidth="1"/>
    <col min="1824" max="1824" width="18.28515625" bestFit="1" customWidth="1"/>
    <col min="1825" max="1825" width="12.42578125" bestFit="1" customWidth="1"/>
  </cols>
  <sheetData>
    <row r="3" spans="1:8" x14ac:dyDescent="0.25">
      <c r="B3" s="1" t="s">
        <v>11</v>
      </c>
    </row>
    <row r="4" spans="1:8" x14ac:dyDescent="0.25">
      <c r="A4" s="1" t="s">
        <v>807</v>
      </c>
      <c r="B4" t="s">
        <v>450</v>
      </c>
      <c r="C4" t="s">
        <v>339</v>
      </c>
      <c r="D4" t="s">
        <v>337</v>
      </c>
      <c r="E4" t="s">
        <v>336</v>
      </c>
      <c r="F4" t="s">
        <v>338</v>
      </c>
      <c r="G4" t="s">
        <v>804</v>
      </c>
      <c r="H4" t="s">
        <v>809</v>
      </c>
    </row>
    <row r="5" spans="1:8" x14ac:dyDescent="0.25">
      <c r="A5" s="2" t="s">
        <v>22</v>
      </c>
      <c r="B5" s="82">
        <v>2.27</v>
      </c>
      <c r="C5" s="24">
        <v>0.5675</v>
      </c>
      <c r="D5" s="55">
        <v>0.38903884611110762</v>
      </c>
      <c r="E5" s="24">
        <v>12.19</v>
      </c>
      <c r="F5" s="55">
        <v>4.6554552912223136E-2</v>
      </c>
      <c r="G5" s="55">
        <v>0.12759118241051279</v>
      </c>
      <c r="H5" s="97">
        <v>218224873.02250001</v>
      </c>
    </row>
    <row r="6" spans="1:8" x14ac:dyDescent="0.25">
      <c r="A6" s="2" t="s">
        <v>68</v>
      </c>
      <c r="B6" s="82">
        <v>9.9347384349999999</v>
      </c>
      <c r="C6" s="24">
        <v>2.48368460875</v>
      </c>
      <c r="D6" s="55">
        <v>0.83226612425770607</v>
      </c>
      <c r="E6" s="24">
        <v>8.3000000000000007</v>
      </c>
      <c r="F6" s="55">
        <v>0.39898547931726908</v>
      </c>
      <c r="G6" s="55">
        <v>9.475616105118341E-2</v>
      </c>
      <c r="H6" s="97">
        <v>279339150.70499998</v>
      </c>
    </row>
    <row r="7" spans="1:8" x14ac:dyDescent="0.25">
      <c r="A7" s="2" t="s">
        <v>408</v>
      </c>
      <c r="B7" s="82">
        <v>0.70115961299999996</v>
      </c>
      <c r="C7" s="24">
        <v>0.17528990324999999</v>
      </c>
      <c r="D7" s="55">
        <v>0.31390723596420989</v>
      </c>
      <c r="E7" s="24">
        <v>18</v>
      </c>
      <c r="F7" s="55">
        <v>9.7383279583333343E-3</v>
      </c>
      <c r="G7" s="55">
        <v>0.41952609927422868</v>
      </c>
      <c r="H7" s="97">
        <v>82778888.165000007</v>
      </c>
    </row>
    <row r="8" spans="1:8" x14ac:dyDescent="0.25">
      <c r="A8" s="2" t="s">
        <v>347</v>
      </c>
      <c r="B8" s="82">
        <v>3.5139</v>
      </c>
      <c r="C8" s="24">
        <v>1.1713</v>
      </c>
      <c r="D8" s="55">
        <v>0.19103666588090965</v>
      </c>
      <c r="E8" s="24">
        <v>4.8099999999999996</v>
      </c>
      <c r="F8" s="55">
        <v>0.2435135135135135</v>
      </c>
      <c r="G8" s="55">
        <v>0</v>
      </c>
      <c r="H8" s="97">
        <v>14234629.530000001</v>
      </c>
    </row>
    <row r="9" spans="1:8" x14ac:dyDescent="0.25">
      <c r="A9" s="2" t="s">
        <v>63</v>
      </c>
      <c r="B9" s="82">
        <v>9.0676000000000007E-2</v>
      </c>
      <c r="C9" s="24">
        <v>3.0225333333333337E-2</v>
      </c>
      <c r="D9" s="55">
        <v>0.75262718633546799</v>
      </c>
      <c r="E9" s="24">
        <v>0.33</v>
      </c>
      <c r="F9" s="55">
        <v>9.1591919191919183E-2</v>
      </c>
      <c r="G9" s="55">
        <v>0.3324169821980405</v>
      </c>
      <c r="H9" s="97">
        <v>128893042.28000002</v>
      </c>
    </row>
    <row r="10" spans="1:8" x14ac:dyDescent="0.25">
      <c r="A10" s="2" t="s">
        <v>24</v>
      </c>
      <c r="B10" s="82">
        <v>6.4904219379999999</v>
      </c>
      <c r="C10" s="24">
        <v>1.6226054845</v>
      </c>
      <c r="D10" s="55">
        <v>0.40025891489587845</v>
      </c>
      <c r="E10" s="24">
        <v>23.17</v>
      </c>
      <c r="F10" s="55">
        <v>7.0030448187311162E-2</v>
      </c>
      <c r="G10" s="55">
        <v>6.8476899026523722E-2</v>
      </c>
      <c r="H10" s="97">
        <v>11615704014.0725</v>
      </c>
    </row>
    <row r="11" spans="1:8" x14ac:dyDescent="0.25">
      <c r="A11" s="2" t="s">
        <v>219</v>
      </c>
      <c r="B11" s="82">
        <v>3.615661427</v>
      </c>
      <c r="C11" s="24">
        <v>0.90391535675000001</v>
      </c>
      <c r="D11" s="55">
        <v>0.37734094800257278</v>
      </c>
      <c r="E11" s="24">
        <v>30.03</v>
      </c>
      <c r="F11" s="55">
        <v>3.0100411480186478E-2</v>
      </c>
      <c r="G11" s="55">
        <v>0.12214477503472325</v>
      </c>
      <c r="H11" s="97">
        <v>10178193450.567501</v>
      </c>
    </row>
    <row r="12" spans="1:8" x14ac:dyDescent="0.25">
      <c r="A12" s="2" t="s">
        <v>220</v>
      </c>
      <c r="B12" s="82">
        <v>3.9772269699999998</v>
      </c>
      <c r="C12" s="24">
        <v>0.99430674249999995</v>
      </c>
      <c r="D12" s="55">
        <v>0.41507496875695749</v>
      </c>
      <c r="E12" s="24">
        <v>27.83</v>
      </c>
      <c r="F12" s="55">
        <v>3.5727874326266618E-2</v>
      </c>
      <c r="G12" s="55">
        <v>0.12214477503472325</v>
      </c>
      <c r="H12" s="97">
        <v>10178193450.567501</v>
      </c>
    </row>
    <row r="13" spans="1:8" x14ac:dyDescent="0.25">
      <c r="A13" s="2" t="s">
        <v>25</v>
      </c>
      <c r="B13" s="82">
        <v>0.25</v>
      </c>
      <c r="C13" s="24">
        <v>0.25</v>
      </c>
      <c r="D13" s="55">
        <v>0.25</v>
      </c>
      <c r="E13" s="24">
        <v>23.96</v>
      </c>
      <c r="F13" s="55">
        <v>1.0434056761268781E-2</v>
      </c>
      <c r="G13" s="55" t="e">
        <v>#DIV/0!</v>
      </c>
      <c r="H13" s="97">
        <v>2000000000</v>
      </c>
    </row>
    <row r="14" spans="1:8" x14ac:dyDescent="0.25">
      <c r="A14" s="2" t="s">
        <v>59</v>
      </c>
      <c r="B14" s="82">
        <v>9.8954472679999989E-2</v>
      </c>
      <c r="C14" s="24">
        <v>2.4738618169999997E-2</v>
      </c>
      <c r="D14" s="55">
        <v>0.36351567797691797</v>
      </c>
      <c r="E14" s="24">
        <v>0.47</v>
      </c>
      <c r="F14" s="55">
        <v>5.2635357808510641E-2</v>
      </c>
      <c r="G14" s="55">
        <v>-9.5701446679039903E-2</v>
      </c>
      <c r="H14" s="97">
        <v>117201500</v>
      </c>
    </row>
    <row r="15" spans="1:8" x14ac:dyDescent="0.25">
      <c r="A15" s="2" t="s">
        <v>60</v>
      </c>
      <c r="B15" s="82">
        <v>9.8954472679999989E-2</v>
      </c>
      <c r="C15" s="24">
        <v>2.4738618169999997E-2</v>
      </c>
      <c r="D15" s="55">
        <v>0.36351567797691797</v>
      </c>
      <c r="E15" s="24">
        <v>0.46</v>
      </c>
      <c r="F15" s="55">
        <v>5.3779604717391301E-2</v>
      </c>
      <c r="G15" s="55">
        <v>-9.5701446679039903E-2</v>
      </c>
      <c r="H15" s="97">
        <v>117201500</v>
      </c>
    </row>
    <row r="16" spans="1:8" x14ac:dyDescent="0.25">
      <c r="A16" s="2" t="s">
        <v>224</v>
      </c>
      <c r="B16" s="82">
        <v>14.742487617</v>
      </c>
      <c r="C16" s="24">
        <v>3.68562190425</v>
      </c>
      <c r="D16" s="55">
        <v>0.55210929465239156</v>
      </c>
      <c r="E16" s="24">
        <v>43.25</v>
      </c>
      <c r="F16" s="55">
        <v>8.5216691427745669E-2</v>
      </c>
      <c r="G16" s="55">
        <v>0.34330094742158207</v>
      </c>
      <c r="H16" s="97">
        <v>68133179.454999998</v>
      </c>
    </row>
    <row r="17" spans="1:8" x14ac:dyDescent="0.25">
      <c r="A17" s="2" t="s">
        <v>225</v>
      </c>
      <c r="B17" s="82">
        <v>16.217936407</v>
      </c>
      <c r="C17" s="24">
        <v>4.05448410175</v>
      </c>
      <c r="D17" s="55">
        <v>0.60740107618893502</v>
      </c>
      <c r="E17" s="24">
        <v>45</v>
      </c>
      <c r="F17" s="55">
        <v>9.0099646705555536E-2</v>
      </c>
      <c r="G17" s="55">
        <v>0.34330094742158207</v>
      </c>
      <c r="H17" s="97">
        <v>68133179.454999998</v>
      </c>
    </row>
    <row r="18" spans="1:8" x14ac:dyDescent="0.25">
      <c r="A18" s="2" t="s">
        <v>231</v>
      </c>
      <c r="B18" s="82">
        <v>1.5524389780000001</v>
      </c>
      <c r="C18" s="24">
        <v>0.5174796593333334</v>
      </c>
      <c r="D18" s="55">
        <v>0.69029873873004899</v>
      </c>
      <c r="E18" s="24">
        <v>9.65</v>
      </c>
      <c r="F18" s="55">
        <v>5.3624835164075992E-2</v>
      </c>
      <c r="G18" s="55">
        <v>-0.4322891755513425</v>
      </c>
      <c r="H18" s="97">
        <v>229919316.20666668</v>
      </c>
    </row>
    <row r="19" spans="1:8" x14ac:dyDescent="0.25">
      <c r="A19" s="2" t="s">
        <v>10</v>
      </c>
      <c r="B19" s="82">
        <v>1.5524389780000001</v>
      </c>
      <c r="C19" s="24">
        <v>0.5174796593333334</v>
      </c>
      <c r="D19" s="55">
        <v>0.69029873873004899</v>
      </c>
      <c r="E19" s="24">
        <v>7.4000000000000012</v>
      </c>
      <c r="F19" s="55">
        <v>6.9929683693693692E-2</v>
      </c>
      <c r="G19" s="55">
        <v>-0.4322891755513425</v>
      </c>
      <c r="H19" s="97">
        <v>229919316.20666668</v>
      </c>
    </row>
    <row r="20" spans="1:8" x14ac:dyDescent="0.25">
      <c r="A20" s="2" t="s">
        <v>235</v>
      </c>
      <c r="B20" s="82">
        <v>2.1909999999999999E-2</v>
      </c>
      <c r="C20" s="24">
        <v>7.3033333333333327E-3</v>
      </c>
      <c r="D20" s="55">
        <v>0.29293027940656419</v>
      </c>
      <c r="E20" s="24">
        <v>1.1000000000000001</v>
      </c>
      <c r="F20" s="55">
        <v>6.639393939393938E-3</v>
      </c>
      <c r="G20" s="55">
        <v>0.52033347386754958</v>
      </c>
      <c r="H20" s="97">
        <v>4478666.666666667</v>
      </c>
    </row>
    <row r="21" spans="1:8" x14ac:dyDescent="0.25">
      <c r="A21" s="2" t="s">
        <v>62</v>
      </c>
      <c r="B21" s="82">
        <v>3.3812500000000002E-2</v>
      </c>
      <c r="C21" s="24">
        <v>1.1270833333333334E-2</v>
      </c>
      <c r="D21" s="55">
        <v>0.49690562667042543</v>
      </c>
      <c r="E21" s="24">
        <v>0.26</v>
      </c>
      <c r="F21" s="55">
        <v>4.334935897435898E-2</v>
      </c>
      <c r="G21" s="55">
        <v>0.52033347386754958</v>
      </c>
      <c r="H21" s="97">
        <v>4478666.666666667</v>
      </c>
    </row>
    <row r="22" spans="1:8" x14ac:dyDescent="0.25">
      <c r="A22" s="2" t="s">
        <v>237</v>
      </c>
      <c r="B22" s="82">
        <v>8.8817249693799987</v>
      </c>
      <c r="C22" s="24">
        <v>2.2204312423449997</v>
      </c>
      <c r="D22" s="55">
        <v>0.50160075598307408</v>
      </c>
      <c r="E22" s="24">
        <v>28.74</v>
      </c>
      <c r="F22" s="55">
        <v>7.7259263825504521E-2</v>
      </c>
      <c r="G22" s="55">
        <v>0.10064036546498956</v>
      </c>
      <c r="H22" s="97">
        <v>398941256.19500005</v>
      </c>
    </row>
    <row r="23" spans="1:8" x14ac:dyDescent="0.25">
      <c r="A23" s="2" t="s">
        <v>238</v>
      </c>
      <c r="B23" s="82">
        <v>9.7698974651009998</v>
      </c>
      <c r="C23" s="24">
        <v>2.4424743662752499</v>
      </c>
      <c r="D23" s="55">
        <v>0.55176083148968624</v>
      </c>
      <c r="E23" s="24">
        <v>23.54</v>
      </c>
      <c r="F23" s="55">
        <v>0.10375846925553314</v>
      </c>
      <c r="G23" s="55">
        <v>0.10064036546498956</v>
      </c>
      <c r="H23" s="97">
        <v>398941256.19500005</v>
      </c>
    </row>
    <row r="24" spans="1:8" x14ac:dyDescent="0.25">
      <c r="A24" s="2" t="s">
        <v>331</v>
      </c>
      <c r="B24" s="82">
        <v>4.7659533490000001</v>
      </c>
      <c r="C24" s="24">
        <v>1.19148833725</v>
      </c>
      <c r="D24" s="55">
        <v>0.33996836443315553</v>
      </c>
      <c r="E24" s="24">
        <v>18.16</v>
      </c>
      <c r="F24" s="55">
        <v>6.5610591258259923E-2</v>
      </c>
      <c r="G24" s="55">
        <v>7.1913364382687958E-2</v>
      </c>
      <c r="H24" s="97">
        <v>1305025696.7574999</v>
      </c>
    </row>
    <row r="25" spans="1:8" x14ac:dyDescent="0.25">
      <c r="A25" s="2" t="s">
        <v>332</v>
      </c>
      <c r="B25" s="82">
        <v>5.2425486910000005</v>
      </c>
      <c r="C25" s="24">
        <v>1.3106371727500001</v>
      </c>
      <c r="D25" s="55">
        <v>0.37396520131393723</v>
      </c>
      <c r="E25" s="24">
        <v>22.41</v>
      </c>
      <c r="F25" s="55">
        <v>5.8484478926818385E-2</v>
      </c>
      <c r="G25" s="55">
        <v>7.1913364382687958E-2</v>
      </c>
      <c r="H25" s="97">
        <v>1305025696.7574999</v>
      </c>
    </row>
    <row r="26" spans="1:8" x14ac:dyDescent="0.25">
      <c r="A26" s="2" t="s">
        <v>313</v>
      </c>
      <c r="B26" s="82">
        <v>1.3453999240000001</v>
      </c>
      <c r="C26" s="24">
        <v>0.44846664133333336</v>
      </c>
      <c r="D26" s="55">
        <v>0.37734950584130339</v>
      </c>
      <c r="E26" s="24">
        <v>44.71</v>
      </c>
      <c r="F26" s="55">
        <v>1.0030566793409379E-2</v>
      </c>
      <c r="G26" s="55">
        <v>0.14762718713391032</v>
      </c>
      <c r="H26" s="97">
        <v>994914000</v>
      </c>
    </row>
    <row r="27" spans="1:8" x14ac:dyDescent="0.25">
      <c r="A27" s="2" t="s">
        <v>250</v>
      </c>
      <c r="B27" s="82">
        <v>0.89261000000000001</v>
      </c>
      <c r="C27" s="24">
        <v>0.2231525</v>
      </c>
      <c r="D27" s="55">
        <v>0.3043021650591613</v>
      </c>
      <c r="E27" s="24">
        <v>3.82</v>
      </c>
      <c r="F27" s="55">
        <v>5.8416884816753931E-2</v>
      </c>
      <c r="G27" s="55">
        <v>0.10909453294176023</v>
      </c>
      <c r="H27" s="97">
        <v>54203000</v>
      </c>
    </row>
    <row r="28" spans="1:8" x14ac:dyDescent="0.25">
      <c r="A28" s="2" t="s">
        <v>251</v>
      </c>
      <c r="B28" s="82">
        <v>0.15121000000000001</v>
      </c>
      <c r="C28" s="24">
        <v>3.7802500000000003E-2</v>
      </c>
      <c r="D28" s="55">
        <v>5.4484299057845742E-2</v>
      </c>
      <c r="E28" s="24">
        <v>4</v>
      </c>
      <c r="F28" s="55">
        <v>9.4506250000000007E-3</v>
      </c>
      <c r="G28" s="55">
        <v>0.10909453294176023</v>
      </c>
      <c r="H28" s="97">
        <v>54203000</v>
      </c>
    </row>
    <row r="29" spans="1:8" x14ac:dyDescent="0.25">
      <c r="A29" s="2" t="s">
        <v>246</v>
      </c>
      <c r="B29" s="82">
        <v>0.13079000000000002</v>
      </c>
      <c r="C29" s="24">
        <v>3.2697500000000004E-2</v>
      </c>
      <c r="D29" s="55">
        <v>4.7361278676921532E-2</v>
      </c>
      <c r="E29" s="24">
        <v>4.2</v>
      </c>
      <c r="F29" s="55">
        <v>7.7851190476190468E-3</v>
      </c>
      <c r="G29" s="55">
        <v>0.10909453294176023</v>
      </c>
      <c r="H29" s="97">
        <v>54203000</v>
      </c>
    </row>
    <row r="30" spans="1:8" x14ac:dyDescent="0.25">
      <c r="A30" s="2" t="s">
        <v>247</v>
      </c>
      <c r="B30" s="82">
        <v>0.74415000000000009</v>
      </c>
      <c r="C30" s="24">
        <v>0.18603750000000002</v>
      </c>
      <c r="D30" s="55">
        <v>0.25370503766276303</v>
      </c>
      <c r="E30" s="24">
        <v>3.27</v>
      </c>
      <c r="F30" s="55">
        <v>5.6892201834862384E-2</v>
      </c>
      <c r="G30" s="55">
        <v>0.10909453294176023</v>
      </c>
      <c r="H30" s="97">
        <v>54203000</v>
      </c>
    </row>
    <row r="31" spans="1:8" x14ac:dyDescent="0.25">
      <c r="A31" s="2" t="s">
        <v>79</v>
      </c>
      <c r="B31" s="82">
        <v>1.7833599999999998</v>
      </c>
      <c r="C31" s="24">
        <v>0.44583999999999996</v>
      </c>
      <c r="D31" s="55">
        <v>0.60787593639212112</v>
      </c>
      <c r="E31" s="24">
        <v>5.97</v>
      </c>
      <c r="F31" s="55">
        <v>7.4680067001675038E-2</v>
      </c>
      <c r="G31" s="55">
        <v>0.10909453294176023</v>
      </c>
      <c r="H31" s="97">
        <v>54203000</v>
      </c>
    </row>
    <row r="32" spans="1:8" x14ac:dyDescent="0.25">
      <c r="A32" s="2" t="s">
        <v>248</v>
      </c>
      <c r="B32" s="82">
        <v>1.0410699999999999</v>
      </c>
      <c r="C32" s="24">
        <v>0.26026749999999998</v>
      </c>
      <c r="D32" s="55">
        <v>0.35489823087446021</v>
      </c>
      <c r="E32" s="24">
        <v>3.6</v>
      </c>
      <c r="F32" s="55">
        <v>7.2296527777777786E-2</v>
      </c>
      <c r="G32" s="55">
        <v>0.10909453294176023</v>
      </c>
      <c r="H32" s="97">
        <v>54203000</v>
      </c>
    </row>
    <row r="33" spans="1:8" x14ac:dyDescent="0.25">
      <c r="A33" s="2" t="s">
        <v>249</v>
      </c>
      <c r="B33" s="82">
        <v>0.74415000000000009</v>
      </c>
      <c r="C33" s="24">
        <v>0.18603750000000002</v>
      </c>
      <c r="D33" s="55">
        <v>0.25370503766276303</v>
      </c>
      <c r="E33" s="24">
        <v>3.81</v>
      </c>
      <c r="F33" s="55">
        <v>4.8828740157480316E-2</v>
      </c>
      <c r="G33" s="55">
        <v>0.10909453294176023</v>
      </c>
      <c r="H33" s="97">
        <v>54203000</v>
      </c>
    </row>
    <row r="34" spans="1:8" x14ac:dyDescent="0.25">
      <c r="A34" s="2" t="s">
        <v>434</v>
      </c>
      <c r="B34" s="82">
        <v>1.9943204080000001</v>
      </c>
      <c r="C34" s="24">
        <v>0.66477346933333337</v>
      </c>
      <c r="D34" s="55">
        <v>0.61772022954134342</v>
      </c>
      <c r="E34" s="24">
        <v>18.2</v>
      </c>
      <c r="F34" s="55">
        <v>3.6526014798534796E-2</v>
      </c>
      <c r="G34" s="55">
        <v>3.597797790271549</v>
      </c>
      <c r="H34" s="97">
        <v>76540604.343333349</v>
      </c>
    </row>
    <row r="35" spans="1:8" x14ac:dyDescent="0.25">
      <c r="A35" s="2" t="s">
        <v>215</v>
      </c>
      <c r="B35" s="82">
        <v>0.54610000000000003</v>
      </c>
      <c r="C35" s="24">
        <v>0.13652500000000001</v>
      </c>
      <c r="D35" s="55">
        <v>0.16455420283136202</v>
      </c>
      <c r="E35" s="24">
        <v>6.61</v>
      </c>
      <c r="F35" s="55">
        <v>2.0654311649016641E-2</v>
      </c>
      <c r="G35" s="55">
        <v>-4.2733507991087293E-2</v>
      </c>
      <c r="H35" s="97">
        <v>73144079</v>
      </c>
    </row>
    <row r="36" spans="1:8" x14ac:dyDescent="0.25">
      <c r="A36" s="2" t="s">
        <v>216</v>
      </c>
      <c r="B36" s="82">
        <v>1.4411</v>
      </c>
      <c r="C36" s="24">
        <v>0.36027500000000001</v>
      </c>
      <c r="D36" s="55">
        <v>0.45013216229230024</v>
      </c>
      <c r="E36" s="24">
        <v>5.64</v>
      </c>
      <c r="F36" s="55">
        <v>6.3878546099290778E-2</v>
      </c>
      <c r="G36" s="55">
        <v>-4.2733507991087293E-2</v>
      </c>
      <c r="H36" s="97">
        <v>73144079</v>
      </c>
    </row>
    <row r="37" spans="1:8" x14ac:dyDescent="0.25">
      <c r="A37" s="2" t="s">
        <v>298</v>
      </c>
      <c r="B37" s="82">
        <v>0.83324714</v>
      </c>
      <c r="C37" s="24">
        <v>0.208311785</v>
      </c>
      <c r="D37" s="55">
        <v>0.35050699967240423</v>
      </c>
      <c r="E37" s="24">
        <v>16</v>
      </c>
      <c r="F37" s="55">
        <v>5.207794625E-2</v>
      </c>
      <c r="G37" s="55">
        <v>1.2520717741011298</v>
      </c>
      <c r="H37" s="97">
        <v>259378741.72000003</v>
      </c>
    </row>
    <row r="38" spans="1:8" x14ac:dyDescent="0.25">
      <c r="A38" s="2" t="s">
        <v>299</v>
      </c>
      <c r="B38" s="82">
        <v>0.83324714</v>
      </c>
      <c r="C38" s="24">
        <v>0.208311785</v>
      </c>
      <c r="D38" s="55">
        <v>0.35050699967240423</v>
      </c>
      <c r="E38" s="24">
        <v>20.170000000000002</v>
      </c>
      <c r="F38" s="55">
        <v>4.1311211700545358E-2</v>
      </c>
      <c r="G38" s="55">
        <v>1.2520717741011298</v>
      </c>
      <c r="H38" s="97">
        <v>259378741.72000003</v>
      </c>
    </row>
    <row r="39" spans="1:8" x14ac:dyDescent="0.25">
      <c r="A39" s="2" t="s">
        <v>300</v>
      </c>
      <c r="B39" s="82">
        <v>0.60198830400000003</v>
      </c>
      <c r="C39" s="24">
        <v>0.15049707600000001</v>
      </c>
      <c r="D39" s="55">
        <v>0.25322752895727813</v>
      </c>
      <c r="E39" s="24">
        <v>10.5</v>
      </c>
      <c r="F39" s="55">
        <v>5.7332219428571432E-2</v>
      </c>
      <c r="G39" s="55">
        <v>1.2520717741011298</v>
      </c>
      <c r="H39" s="97">
        <v>259378741.72000003</v>
      </c>
    </row>
    <row r="40" spans="1:8" x14ac:dyDescent="0.25">
      <c r="A40" s="2" t="s">
        <v>410</v>
      </c>
      <c r="B40" s="82">
        <v>1.0334625082238409</v>
      </c>
      <c r="C40" s="24">
        <v>0.25836562705596022</v>
      </c>
      <c r="D40" s="55">
        <v>0.11310764362768161</v>
      </c>
      <c r="E40" s="24">
        <v>17.14</v>
      </c>
      <c r="F40" s="55">
        <v>1.5073840551689628E-2</v>
      </c>
      <c r="G40" s="55">
        <v>0.58045517209595399</v>
      </c>
      <c r="H40" s="97">
        <v>1252973366.4925001</v>
      </c>
    </row>
    <row r="41" spans="1:8" x14ac:dyDescent="0.25">
      <c r="A41" s="2" t="s">
        <v>412</v>
      </c>
      <c r="B41" s="82">
        <v>0.80999999999999994</v>
      </c>
      <c r="C41" s="24">
        <v>0.26999999999999996</v>
      </c>
      <c r="D41" s="55">
        <v>0.11682654188083424</v>
      </c>
      <c r="E41" s="24">
        <v>18</v>
      </c>
      <c r="F41" s="55">
        <v>1.4999999999999999E-2</v>
      </c>
      <c r="G41" s="55">
        <v>1.0194971747815544</v>
      </c>
      <c r="H41" s="97">
        <v>788391812.39333344</v>
      </c>
    </row>
    <row r="42" spans="1:8" x14ac:dyDescent="0.25">
      <c r="A42" s="2" t="s">
        <v>226</v>
      </c>
      <c r="B42" s="82">
        <v>1.6382859999999999</v>
      </c>
      <c r="C42" s="24">
        <v>0.81914299999999995</v>
      </c>
      <c r="D42" s="55">
        <v>0.38934546499886002</v>
      </c>
      <c r="E42" s="24">
        <v>12.2</v>
      </c>
      <c r="F42" s="55">
        <v>6.7142868852459014E-2</v>
      </c>
      <c r="G42" s="55">
        <v>-9.4829076023192793E-2</v>
      </c>
      <c r="H42" s="97">
        <v>861469655.89499998</v>
      </c>
    </row>
    <row r="43" spans="1:8" x14ac:dyDescent="0.25">
      <c r="A43" s="2" t="s">
        <v>227</v>
      </c>
      <c r="B43" s="82">
        <v>1.6497329999999999</v>
      </c>
      <c r="C43" s="24">
        <v>0.82486649999999995</v>
      </c>
      <c r="D43" s="55">
        <v>0.39260782255861065</v>
      </c>
      <c r="E43" s="24">
        <v>15.72</v>
      </c>
      <c r="F43" s="55">
        <v>5.2472423664122136E-2</v>
      </c>
      <c r="G43" s="55">
        <v>-9.4829076023192793E-2</v>
      </c>
      <c r="H43" s="97">
        <v>861469655.89499998</v>
      </c>
    </row>
    <row r="44" spans="1:8" x14ac:dyDescent="0.25">
      <c r="A44" s="2" t="s">
        <v>23</v>
      </c>
      <c r="B44" s="82">
        <v>1.6385939999999999</v>
      </c>
      <c r="C44" s="24">
        <v>0.81929699999999994</v>
      </c>
      <c r="D44" s="55">
        <v>0.38941510854732531</v>
      </c>
      <c r="E44" s="24">
        <v>11.85</v>
      </c>
      <c r="F44" s="55">
        <v>6.9138987341772151E-2</v>
      </c>
      <c r="G44" s="55">
        <v>-9.4829076023192793E-2</v>
      </c>
      <c r="H44" s="97">
        <v>861469655.89499998</v>
      </c>
    </row>
    <row r="45" spans="1:8" x14ac:dyDescent="0.25">
      <c r="A45" s="2" t="s">
        <v>241</v>
      </c>
      <c r="B45" s="82">
        <v>2.676293442</v>
      </c>
      <c r="C45" s="24">
        <v>0.66907336049999999</v>
      </c>
      <c r="D45" s="55">
        <v>0.14691424979139903</v>
      </c>
      <c r="E45" s="24">
        <v>27.5</v>
      </c>
      <c r="F45" s="55">
        <v>2.4329940381818183E-2</v>
      </c>
      <c r="G45" s="55">
        <v>0.25397813630419103</v>
      </c>
      <c r="H45" s="97">
        <v>174481003.4675</v>
      </c>
    </row>
    <row r="46" spans="1:8" x14ac:dyDescent="0.25">
      <c r="A46" s="2" t="s">
        <v>242</v>
      </c>
      <c r="B46" s="82">
        <v>5.6071633800000003</v>
      </c>
      <c r="C46" s="24">
        <v>1.4017908450000001</v>
      </c>
      <c r="D46" s="55">
        <v>0.28664546825986631</v>
      </c>
      <c r="E46" s="24">
        <v>29.99</v>
      </c>
      <c r="F46" s="55">
        <v>4.6741942147382462E-2</v>
      </c>
      <c r="G46" s="55">
        <v>0.25397813630419103</v>
      </c>
      <c r="H46" s="97">
        <v>174481003.4675</v>
      </c>
    </row>
    <row r="47" spans="1:8" x14ac:dyDescent="0.25">
      <c r="A47" s="2" t="s">
        <v>440</v>
      </c>
      <c r="B47" s="82">
        <v>1.402714</v>
      </c>
      <c r="C47" s="24">
        <v>0.46757133333333334</v>
      </c>
      <c r="D47" s="55">
        <v>0.84727522063961358</v>
      </c>
      <c r="E47" s="24">
        <v>10.34</v>
      </c>
      <c r="F47" s="55">
        <v>4.5219664732430692E-2</v>
      </c>
      <c r="G47" s="55">
        <v>-2.963938881811673E-2</v>
      </c>
      <c r="H47" s="97">
        <v>1088949560.5833333</v>
      </c>
    </row>
    <row r="48" spans="1:8" x14ac:dyDescent="0.25">
      <c r="A48" s="2" t="s">
        <v>195</v>
      </c>
      <c r="B48" s="82">
        <v>2.227204E-2</v>
      </c>
      <c r="C48" s="24">
        <v>5.56801E-3</v>
      </c>
      <c r="D48" s="55">
        <v>0.26641697668818037</v>
      </c>
      <c r="E48" s="24">
        <v>4.12</v>
      </c>
      <c r="F48" s="55">
        <v>1.8019449838187701E-3</v>
      </c>
      <c r="G48" s="55">
        <v>7.095310279900513E-3</v>
      </c>
      <c r="H48" s="97">
        <v>12589874.190000001</v>
      </c>
    </row>
    <row r="49" spans="1:8" x14ac:dyDescent="0.25">
      <c r="A49" s="2" t="s">
        <v>414</v>
      </c>
      <c r="B49" s="82">
        <v>0.87951522900000001</v>
      </c>
      <c r="C49" s="24">
        <v>0.29317174299999998</v>
      </c>
      <c r="D49" s="55">
        <v>0.47701052442027075</v>
      </c>
      <c r="E49" s="24">
        <v>20.6</v>
      </c>
      <c r="F49" s="55">
        <v>4.2694914029126209E-2</v>
      </c>
      <c r="G49" s="55">
        <v>0.27844222447784883</v>
      </c>
      <c r="H49" s="97">
        <v>120220721.29333334</v>
      </c>
    </row>
    <row r="50" spans="1:8" x14ac:dyDescent="0.25">
      <c r="A50" s="2" t="s">
        <v>95</v>
      </c>
      <c r="B50" s="82">
        <v>5.3443459999999998</v>
      </c>
      <c r="C50" s="24">
        <v>1.3360865</v>
      </c>
      <c r="D50" s="55">
        <v>0.47419139568365454</v>
      </c>
      <c r="E50" s="24">
        <v>16.510000000000002</v>
      </c>
      <c r="F50" s="55">
        <v>0.16185178679588128</v>
      </c>
      <c r="G50" s="55">
        <v>3.9809298538636013</v>
      </c>
      <c r="H50" s="97">
        <v>33164288.072499998</v>
      </c>
    </row>
    <row r="51" spans="1:8" x14ac:dyDescent="0.25">
      <c r="A51" s="2" t="s">
        <v>96</v>
      </c>
      <c r="B51" s="82">
        <v>4.5993199999999996</v>
      </c>
      <c r="C51" s="24">
        <v>1.1498299999999999</v>
      </c>
      <c r="D51" s="55">
        <v>0.76106388540309444</v>
      </c>
      <c r="E51" s="24">
        <v>24</v>
      </c>
      <c r="F51" s="55">
        <v>0.19163833333333333</v>
      </c>
      <c r="G51" s="55">
        <v>3.9809298538636013</v>
      </c>
      <c r="H51" s="97">
        <v>33164288.072499998</v>
      </c>
    </row>
    <row r="52" spans="1:8" x14ac:dyDescent="0.25">
      <c r="A52" s="2" t="s">
        <v>70</v>
      </c>
      <c r="B52" s="82">
        <v>8.1674670000000003</v>
      </c>
      <c r="C52" s="24">
        <v>2.0418667500000001</v>
      </c>
      <c r="D52" s="55">
        <v>0.7246803815404973</v>
      </c>
      <c r="E52" s="24">
        <v>17.079999999999998</v>
      </c>
      <c r="F52" s="55">
        <v>0.23909446721311478</v>
      </c>
      <c r="G52" s="55">
        <v>3.9809298538636013</v>
      </c>
      <c r="H52" s="97">
        <v>33164288.072499998</v>
      </c>
    </row>
    <row r="53" spans="1:8" x14ac:dyDescent="0.25">
      <c r="A53" s="2" t="s">
        <v>93</v>
      </c>
      <c r="B53" s="82">
        <v>13.652122757800001</v>
      </c>
      <c r="C53" s="24">
        <v>3.4130306894500002</v>
      </c>
      <c r="D53" s="55">
        <v>0.76692732207874426</v>
      </c>
      <c r="E53" s="24">
        <v>31.98</v>
      </c>
      <c r="F53" s="55">
        <v>0.10672391148999376</v>
      </c>
      <c r="G53" s="55">
        <v>-2.2563446090603456E-2</v>
      </c>
      <c r="H53" s="97">
        <v>847332851.38999999</v>
      </c>
    </row>
    <row r="54" spans="1:8" x14ac:dyDescent="0.25">
      <c r="A54" s="2" t="s">
        <v>94</v>
      </c>
      <c r="B54" s="82">
        <v>13.652122757800001</v>
      </c>
      <c r="C54" s="24">
        <v>3.4130306894500002</v>
      </c>
      <c r="D54" s="55">
        <v>0.76692732207874426</v>
      </c>
      <c r="E54" s="24">
        <v>32.01</v>
      </c>
      <c r="F54" s="55">
        <v>0.106623889079975</v>
      </c>
      <c r="G54" s="55">
        <v>-2.2563446090603456E-2</v>
      </c>
      <c r="H54" s="97">
        <v>847332851.38999999</v>
      </c>
    </row>
    <row r="55" spans="1:8" x14ac:dyDescent="0.25">
      <c r="A55" s="2" t="s">
        <v>71</v>
      </c>
      <c r="B55" s="82">
        <v>11.21449413</v>
      </c>
      <c r="C55" s="24">
        <v>2.8036235325000001</v>
      </c>
      <c r="D55" s="55">
        <v>0.74283278628036531</v>
      </c>
      <c r="E55" s="24">
        <v>18</v>
      </c>
      <c r="F55" s="55">
        <v>0.15575686291666668</v>
      </c>
      <c r="G55" s="55">
        <v>-0.83642626870386794</v>
      </c>
      <c r="H55" s="97">
        <v>333446119.99250001</v>
      </c>
    </row>
    <row r="56" spans="1:8" x14ac:dyDescent="0.25">
      <c r="A56" s="2" t="s">
        <v>97</v>
      </c>
      <c r="B56" s="82">
        <v>12.336044999999999</v>
      </c>
      <c r="C56" s="24">
        <v>3.0840112499999996</v>
      </c>
      <c r="D56" s="55">
        <v>0.81719301958088741</v>
      </c>
      <c r="E56" s="24">
        <v>21.51</v>
      </c>
      <c r="F56" s="55">
        <v>0.14337569735006972</v>
      </c>
      <c r="G56" s="55">
        <v>-0.83642626870386794</v>
      </c>
      <c r="H56" s="97">
        <v>333446119.99250001</v>
      </c>
    </row>
    <row r="57" spans="1:8" x14ac:dyDescent="0.25">
      <c r="A57" s="2" t="s">
        <v>73</v>
      </c>
      <c r="B57" s="82">
        <v>3.5611462</v>
      </c>
      <c r="C57" s="24">
        <v>1.1870487333333333</v>
      </c>
      <c r="D57" s="55">
        <v>3.3879538155207976</v>
      </c>
      <c r="E57" s="24">
        <v>19.399999999999999</v>
      </c>
      <c r="F57" s="55">
        <v>6.1188079037800693E-2</v>
      </c>
      <c r="G57" s="55">
        <v>0.26494127735261697</v>
      </c>
      <c r="H57" s="97">
        <v>116535000</v>
      </c>
    </row>
    <row r="58" spans="1:8" x14ac:dyDescent="0.25">
      <c r="A58" s="2" t="s">
        <v>91</v>
      </c>
      <c r="B58" s="82">
        <v>5.4690898827999996</v>
      </c>
      <c r="C58" s="24">
        <v>1.8230299609333331</v>
      </c>
      <c r="D58" s="55">
        <v>5.3177960130440907</v>
      </c>
      <c r="E58" s="24">
        <v>21.64</v>
      </c>
      <c r="F58" s="55">
        <v>8.4243528693776951E-2</v>
      </c>
      <c r="G58" s="55">
        <v>0.26494127735261697</v>
      </c>
      <c r="H58" s="97">
        <v>116535000</v>
      </c>
    </row>
    <row r="59" spans="1:8" x14ac:dyDescent="0.25">
      <c r="A59" s="2" t="s">
        <v>92</v>
      </c>
      <c r="B59" s="82">
        <v>3.2741251999999998</v>
      </c>
      <c r="C59" s="24">
        <v>1.0913750666666666</v>
      </c>
      <c r="D59" s="55">
        <v>3.0993823198719794</v>
      </c>
      <c r="E59" s="24">
        <v>21.47</v>
      </c>
      <c r="F59" s="55">
        <v>5.0832560161465618E-2</v>
      </c>
      <c r="G59" s="55">
        <v>0.26494127735261697</v>
      </c>
      <c r="H59" s="97">
        <v>116535000</v>
      </c>
    </row>
    <row r="60" spans="1:8" x14ac:dyDescent="0.25">
      <c r="A60" s="2" t="s">
        <v>444</v>
      </c>
      <c r="B60" s="82">
        <v>5.8699999999999992</v>
      </c>
      <c r="C60" s="24">
        <v>1.9566666666666663</v>
      </c>
      <c r="D60" s="55">
        <v>0.77123947523638092</v>
      </c>
      <c r="E60" s="24">
        <v>66.599999999999994</v>
      </c>
      <c r="F60" s="55">
        <v>2.9379379379379383E-2</v>
      </c>
      <c r="G60" s="55">
        <v>0.13408605412015856</v>
      </c>
      <c r="H60" s="97">
        <v>1984758901.5166667</v>
      </c>
    </row>
    <row r="61" spans="1:8" x14ac:dyDescent="0.25">
      <c r="A61" s="2" t="s">
        <v>309</v>
      </c>
      <c r="B61" s="82">
        <v>0.23272999999999999</v>
      </c>
      <c r="C61" s="24">
        <v>5.8182499999999998E-2</v>
      </c>
      <c r="D61" s="55">
        <v>0.2032996796183045</v>
      </c>
      <c r="E61" s="24">
        <v>7.08</v>
      </c>
      <c r="F61" s="55">
        <v>1.0957156308851225E-2</v>
      </c>
      <c r="G61" s="55">
        <v>-0.71900474844169671</v>
      </c>
      <c r="H61" s="97">
        <v>4973609.2349999994</v>
      </c>
    </row>
    <row r="62" spans="1:8" x14ac:dyDescent="0.25">
      <c r="A62" s="2" t="s">
        <v>310</v>
      </c>
      <c r="B62" s="82">
        <v>0.25600000000000001</v>
      </c>
      <c r="C62" s="24">
        <v>6.4000000000000001E-2</v>
      </c>
      <c r="D62" s="55">
        <v>0.22362663562799309</v>
      </c>
      <c r="E62" s="24">
        <v>13.08</v>
      </c>
      <c r="F62" s="55">
        <v>6.5239551478083599E-3</v>
      </c>
      <c r="G62" s="55">
        <v>-0.71900474844169671</v>
      </c>
      <c r="H62" s="97">
        <v>4973609.2349999994</v>
      </c>
    </row>
    <row r="63" spans="1:8" x14ac:dyDescent="0.25">
      <c r="A63" s="2" t="s">
        <v>72</v>
      </c>
      <c r="B63" s="82">
        <v>7.2758506000000001</v>
      </c>
      <c r="C63" s="24">
        <v>1.45517012</v>
      </c>
      <c r="D63" s="55">
        <v>0.29963156324701223</v>
      </c>
      <c r="E63" s="24">
        <v>15.9</v>
      </c>
      <c r="F63" s="55">
        <v>0.11440016666666665</v>
      </c>
      <c r="G63" s="55">
        <v>0.22196555778188157</v>
      </c>
      <c r="H63" s="97">
        <v>138360433.014</v>
      </c>
    </row>
    <row r="64" spans="1:8" x14ac:dyDescent="0.25">
      <c r="A64" s="2" t="s">
        <v>31</v>
      </c>
      <c r="B64" s="82">
        <v>6.5786055000000001</v>
      </c>
      <c r="C64" s="24">
        <v>1.644651375</v>
      </c>
      <c r="D64" s="55">
        <v>0.65026428573600636</v>
      </c>
      <c r="E64" s="24">
        <v>13.81</v>
      </c>
      <c r="F64" s="55">
        <v>0.1190913377986966</v>
      </c>
      <c r="G64" s="55">
        <v>0.35042531299927765</v>
      </c>
      <c r="H64" s="97">
        <v>2701628500</v>
      </c>
    </row>
    <row r="65" spans="1:8" x14ac:dyDescent="0.25">
      <c r="A65" s="2" t="s">
        <v>30</v>
      </c>
      <c r="B65" s="82">
        <v>6.5786055000000001</v>
      </c>
      <c r="C65" s="24">
        <v>1.644651375</v>
      </c>
      <c r="D65" s="55">
        <v>0.65026428573600636</v>
      </c>
      <c r="E65" s="24">
        <v>13.3</v>
      </c>
      <c r="F65" s="55">
        <v>0.12365799812030075</v>
      </c>
      <c r="G65" s="55">
        <v>0.35042531299927765</v>
      </c>
      <c r="H65" s="97">
        <v>2701628500</v>
      </c>
    </row>
    <row r="66" spans="1:8" x14ac:dyDescent="0.25">
      <c r="A66" s="2" t="s">
        <v>98</v>
      </c>
      <c r="B66" s="82">
        <v>10.566447375500001</v>
      </c>
      <c r="C66" s="24">
        <v>3.522149125166667</v>
      </c>
      <c r="D66" s="55">
        <v>0.61566379005177641</v>
      </c>
      <c r="E66" s="24">
        <v>48.35</v>
      </c>
      <c r="F66" s="55">
        <v>7.2846931234057222E-2</v>
      </c>
      <c r="G66" s="55">
        <v>-6.1205470315345623E-2</v>
      </c>
      <c r="H66" s="97">
        <v>443078655.77999997</v>
      </c>
    </row>
    <row r="67" spans="1:8" x14ac:dyDescent="0.25">
      <c r="A67" s="2" t="s">
        <v>83</v>
      </c>
      <c r="B67" s="82">
        <v>10.566447375500001</v>
      </c>
      <c r="C67" s="24">
        <v>3.522149125166667</v>
      </c>
      <c r="D67" s="55">
        <v>0.61566379005177641</v>
      </c>
      <c r="E67" s="24">
        <v>48.1</v>
      </c>
      <c r="F67" s="55">
        <v>7.3225553537768537E-2</v>
      </c>
      <c r="G67" s="55">
        <v>-6.1205470315345623E-2</v>
      </c>
      <c r="H67" s="97">
        <v>443078655.77999997</v>
      </c>
    </row>
    <row r="68" spans="1:8" x14ac:dyDescent="0.25">
      <c r="A68" s="2" t="s">
        <v>32</v>
      </c>
      <c r="B68" s="82">
        <v>7.8802902929999998</v>
      </c>
      <c r="C68" s="24">
        <v>1.97007257325</v>
      </c>
      <c r="D68" s="55">
        <v>1.230827463809369</v>
      </c>
      <c r="E68" s="24">
        <v>18.73</v>
      </c>
      <c r="F68" s="55">
        <v>0.10518273215429792</v>
      </c>
      <c r="G68" s="55">
        <v>-8.9269394902354013E-2</v>
      </c>
      <c r="H68" s="97">
        <v>1510816374.6675</v>
      </c>
    </row>
    <row r="69" spans="1:8" x14ac:dyDescent="0.25">
      <c r="A69" s="2" t="s">
        <v>34</v>
      </c>
      <c r="B69" s="82">
        <v>4.25352</v>
      </c>
      <c r="C69" s="24">
        <v>1.06338</v>
      </c>
      <c r="D69" s="55">
        <v>0.30524903922734314</v>
      </c>
      <c r="E69" s="24">
        <v>22.2</v>
      </c>
      <c r="F69" s="55">
        <v>4.7900000000000005E-2</v>
      </c>
      <c r="G69" s="55">
        <v>-3.5420413330163471E-2</v>
      </c>
      <c r="H69" s="97">
        <v>961540041.83500004</v>
      </c>
    </row>
    <row r="70" spans="1:8" x14ac:dyDescent="0.25">
      <c r="A70" s="2" t="s">
        <v>104</v>
      </c>
      <c r="B70" s="82">
        <v>9.2050000000000001</v>
      </c>
      <c r="C70" s="24">
        <v>2.30125</v>
      </c>
      <c r="D70" s="55">
        <v>0.67976520829611575</v>
      </c>
      <c r="E70" s="24">
        <v>30</v>
      </c>
      <c r="F70" s="55">
        <v>7.6708333333333323E-2</v>
      </c>
      <c r="G70" s="55">
        <v>-3.5420413330163471E-2</v>
      </c>
      <c r="H70" s="97">
        <v>961540041.83500004</v>
      </c>
    </row>
    <row r="71" spans="1:8" x14ac:dyDescent="0.25">
      <c r="A71" s="2" t="s">
        <v>105</v>
      </c>
      <c r="B71" s="82">
        <v>4.6796800000000003</v>
      </c>
      <c r="C71" s="24">
        <v>1.1699200000000001</v>
      </c>
      <c r="D71" s="55">
        <v>0.33582916423156933</v>
      </c>
      <c r="E71" s="24">
        <v>30.83</v>
      </c>
      <c r="F71" s="55">
        <v>3.7947453778786902E-2</v>
      </c>
      <c r="G71" s="55">
        <v>-3.5420413330163471E-2</v>
      </c>
      <c r="H71" s="97">
        <v>961540041.83500004</v>
      </c>
    </row>
    <row r="72" spans="1:8" x14ac:dyDescent="0.25">
      <c r="A72" s="2" t="s">
        <v>430</v>
      </c>
      <c r="B72" s="82">
        <v>0.69240000000000002</v>
      </c>
      <c r="C72" s="24">
        <v>0.1731</v>
      </c>
      <c r="D72" s="55">
        <v>0.2407568567064774</v>
      </c>
      <c r="E72" s="24">
        <v>3.85</v>
      </c>
      <c r="F72" s="55">
        <v>4.4961038961038965E-2</v>
      </c>
      <c r="G72" s="55">
        <v>0.12860148283157405</v>
      </c>
      <c r="H72" s="97">
        <v>75075422.43249999</v>
      </c>
    </row>
    <row r="73" spans="1:8" x14ac:dyDescent="0.25">
      <c r="A73" s="2" t="s">
        <v>431</v>
      </c>
      <c r="B73" s="82">
        <v>0.92269999999999996</v>
      </c>
      <c r="C73" s="24">
        <v>0.23067499999999999</v>
      </c>
      <c r="D73" s="55">
        <v>0.32895734501185681</v>
      </c>
      <c r="E73" s="24">
        <v>4.01</v>
      </c>
      <c r="F73" s="55">
        <v>5.7524937655860343E-2</v>
      </c>
      <c r="G73" s="55">
        <v>0.12860148283157405</v>
      </c>
      <c r="H73" s="97">
        <v>75075422.43249999</v>
      </c>
    </row>
    <row r="74" spans="1:8" x14ac:dyDescent="0.25">
      <c r="A74" s="2" t="s">
        <v>282</v>
      </c>
      <c r="B74" s="82">
        <v>6.22</v>
      </c>
      <c r="C74" s="24">
        <v>2.0733333333333333</v>
      </c>
      <c r="D74" s="55">
        <v>0.72895763504872801</v>
      </c>
      <c r="E74" s="24">
        <v>30.01</v>
      </c>
      <c r="F74" s="55">
        <v>6.9088081750527594E-2</v>
      </c>
      <c r="G74" s="55">
        <v>-0.15500134189726833</v>
      </c>
      <c r="H74" s="97">
        <v>21809302.580000002</v>
      </c>
    </row>
    <row r="75" spans="1:8" x14ac:dyDescent="0.25">
      <c r="A75" s="2" t="s">
        <v>283</v>
      </c>
      <c r="B75" s="82">
        <v>6.86</v>
      </c>
      <c r="C75" s="24">
        <v>2.2866666666666666</v>
      </c>
      <c r="D75" s="55">
        <v>0.80406042099383901</v>
      </c>
      <c r="E75" s="24">
        <v>30.05</v>
      </c>
      <c r="F75" s="55">
        <v>7.6095396561286749E-2</v>
      </c>
      <c r="G75" s="55">
        <v>-0.15500134189726833</v>
      </c>
      <c r="H75" s="97">
        <v>21809302.580000002</v>
      </c>
    </row>
    <row r="76" spans="1:8" x14ac:dyDescent="0.25">
      <c r="A76" s="2" t="s">
        <v>305</v>
      </c>
      <c r="B76" s="82">
        <v>1.851298388</v>
      </c>
      <c r="C76" s="24">
        <v>0.61709946266666671</v>
      </c>
      <c r="D76" s="55">
        <v>0.27635601621607192</v>
      </c>
      <c r="E76" s="24">
        <v>38.26</v>
      </c>
      <c r="F76" s="55">
        <v>1.6129102526572573E-2</v>
      </c>
      <c r="G76" s="55">
        <v>0.81124566977489321</v>
      </c>
      <c r="H76" s="97">
        <v>1338500000</v>
      </c>
    </row>
    <row r="77" spans="1:8" x14ac:dyDescent="0.25">
      <c r="A77" s="2" t="s">
        <v>197</v>
      </c>
      <c r="B77" s="82">
        <v>6.1364000000000001</v>
      </c>
      <c r="C77" s="24">
        <v>1.5341</v>
      </c>
      <c r="D77" s="55">
        <v>0.33954720063196125</v>
      </c>
      <c r="E77" s="24">
        <v>32.880000000000003</v>
      </c>
      <c r="F77" s="55">
        <v>4.6657542579075423E-2</v>
      </c>
      <c r="G77" s="55">
        <v>6.2728299262066649E-3</v>
      </c>
      <c r="H77" s="97">
        <v>539949168.63750005</v>
      </c>
    </row>
    <row r="78" spans="1:8" x14ac:dyDescent="0.25">
      <c r="A78" s="2" t="s">
        <v>100</v>
      </c>
      <c r="B78" s="82">
        <v>3.4569644519999994</v>
      </c>
      <c r="C78" s="24">
        <v>0.86424111299999984</v>
      </c>
      <c r="D78" s="55">
        <v>0.59725401518756449</v>
      </c>
      <c r="E78" s="24">
        <v>9.5</v>
      </c>
      <c r="F78" s="55">
        <v>9.0972748736842093E-2</v>
      </c>
      <c r="G78" s="55">
        <v>3.5229833217191122E-3</v>
      </c>
      <c r="H78" s="97">
        <v>244113000</v>
      </c>
    </row>
    <row r="79" spans="1:8" x14ac:dyDescent="0.25">
      <c r="A79" s="2" t="s">
        <v>101</v>
      </c>
      <c r="B79" s="82">
        <v>3.8026608390000005</v>
      </c>
      <c r="C79" s="24">
        <v>0.95066520975000013</v>
      </c>
      <c r="D79" s="55">
        <v>0.65697940671349686</v>
      </c>
      <c r="E79" s="24">
        <v>10.119999999999999</v>
      </c>
      <c r="F79" s="55">
        <v>9.3939249975296457E-2</v>
      </c>
      <c r="G79" s="55">
        <v>3.5229833217191122E-3</v>
      </c>
      <c r="H79" s="97">
        <v>244113000</v>
      </c>
    </row>
    <row r="80" spans="1:8" x14ac:dyDescent="0.25">
      <c r="A80" s="2" t="s">
        <v>69</v>
      </c>
      <c r="B80" s="82">
        <v>3.8026608390000005</v>
      </c>
      <c r="C80" s="24">
        <v>0.95066520975000013</v>
      </c>
      <c r="D80" s="55">
        <v>0.65697940671349686</v>
      </c>
      <c r="E80" s="24">
        <v>9</v>
      </c>
      <c r="F80" s="55">
        <v>0.10562946775000001</v>
      </c>
      <c r="G80" s="55">
        <v>3.5229833217191122E-3</v>
      </c>
      <c r="H80" s="97">
        <v>244113000</v>
      </c>
    </row>
    <row r="81" spans="1:8" x14ac:dyDescent="0.25">
      <c r="A81" s="2" t="s">
        <v>443</v>
      </c>
      <c r="B81" s="82">
        <v>1.2178</v>
      </c>
      <c r="C81" s="24">
        <v>0.30445</v>
      </c>
      <c r="D81" s="55">
        <v>0.56851660076308341</v>
      </c>
      <c r="E81" s="24">
        <v>23.41</v>
      </c>
      <c r="F81" s="55">
        <v>1.3005126014523709E-2</v>
      </c>
      <c r="G81" s="55">
        <v>0.63283703661981294</v>
      </c>
      <c r="H81" s="97">
        <v>168709149.54000002</v>
      </c>
    </row>
    <row r="82" spans="1:8" x14ac:dyDescent="0.25">
      <c r="A82" s="2" t="s">
        <v>15</v>
      </c>
      <c r="B82" s="82">
        <v>2.3901704720000003</v>
      </c>
      <c r="C82" s="24">
        <v>0.59754261800000008</v>
      </c>
      <c r="D82" s="55">
        <v>0.50462500883942174</v>
      </c>
      <c r="E82" s="24">
        <v>7.78</v>
      </c>
      <c r="F82" s="55">
        <v>7.6804963753213371E-2</v>
      </c>
      <c r="G82" s="55">
        <v>0.19508994649071379</v>
      </c>
      <c r="H82" s="97">
        <v>287632362.33750004</v>
      </c>
    </row>
    <row r="83" spans="1:8" x14ac:dyDescent="0.25">
      <c r="A83" s="2" t="s">
        <v>364</v>
      </c>
      <c r="B83" s="82">
        <v>0.94928045000000005</v>
      </c>
      <c r="C83" s="24">
        <v>0.23732011250000001</v>
      </c>
      <c r="D83" s="55">
        <v>0.3688272793184682</v>
      </c>
      <c r="E83" s="24">
        <v>12.54</v>
      </c>
      <c r="F83" s="55">
        <v>1.8925048843700162E-2</v>
      </c>
      <c r="G83" s="55">
        <v>0.54342806884281236</v>
      </c>
      <c r="H83" s="97">
        <v>369958008.62749994</v>
      </c>
    </row>
    <row r="84" spans="1:8" x14ac:dyDescent="0.25">
      <c r="A84" s="2" t="s">
        <v>451</v>
      </c>
      <c r="B84" s="82">
        <v>0.9954118743</v>
      </c>
      <c r="C84" s="24">
        <v>0.33180395810000002</v>
      </c>
      <c r="D84" s="55">
        <v>0.70741378984472159</v>
      </c>
      <c r="E84" s="24">
        <v>8.9600000000000009</v>
      </c>
      <c r="F84" s="55">
        <v>3.7031691752232143E-2</v>
      </c>
      <c r="G84" s="55">
        <v>0.28772178201247678</v>
      </c>
      <c r="H84" s="97">
        <v>636831666.66666663</v>
      </c>
    </row>
    <row r="85" spans="1:8" x14ac:dyDescent="0.25">
      <c r="A85" s="2" t="s">
        <v>102</v>
      </c>
      <c r="B85" s="82">
        <v>0.1</v>
      </c>
      <c r="C85" s="24">
        <v>0.05</v>
      </c>
      <c r="D85" s="55">
        <v>0.43917014853198871</v>
      </c>
      <c r="E85" s="24">
        <v>1.4</v>
      </c>
      <c r="F85" s="55">
        <v>7.1428571428571438E-2</v>
      </c>
      <c r="G85" s="55">
        <v>0</v>
      </c>
      <c r="H85" s="97">
        <v>-21013462.094999999</v>
      </c>
    </row>
    <row r="86" spans="1:8" x14ac:dyDescent="0.25">
      <c r="A86" s="2" t="s">
        <v>103</v>
      </c>
      <c r="B86" s="82">
        <v>0.1</v>
      </c>
      <c r="C86" s="24">
        <v>0.05</v>
      </c>
      <c r="D86" s="55">
        <v>0.43917014853198871</v>
      </c>
      <c r="E86" s="24">
        <v>1.85</v>
      </c>
      <c r="F86" s="55">
        <v>5.4054054054054057E-2</v>
      </c>
      <c r="G86" s="55">
        <v>0</v>
      </c>
      <c r="H86" s="97">
        <v>-21013462.094999999</v>
      </c>
    </row>
    <row r="87" spans="1:8" x14ac:dyDescent="0.25">
      <c r="A87" s="2" t="s">
        <v>295</v>
      </c>
      <c r="B87" s="82">
        <v>0.46623500000000001</v>
      </c>
      <c r="C87" s="24">
        <v>0.11655875</v>
      </c>
      <c r="D87" s="55">
        <v>0.27024411411752097</v>
      </c>
      <c r="E87" s="24">
        <v>10</v>
      </c>
      <c r="F87" s="55">
        <v>1.5541166666666668E-2</v>
      </c>
      <c r="G87" s="55">
        <v>3.0538205512268206</v>
      </c>
      <c r="H87" s="97">
        <v>16079205.995000001</v>
      </c>
    </row>
    <row r="88" spans="1:8" x14ac:dyDescent="0.25">
      <c r="A88" s="2" t="s">
        <v>296</v>
      </c>
      <c r="B88" s="82">
        <v>0.46823500000000001</v>
      </c>
      <c r="C88" s="24">
        <v>0.11705875</v>
      </c>
      <c r="D88" s="55">
        <v>0.23695478536753822</v>
      </c>
      <c r="E88" s="24">
        <v>9.5</v>
      </c>
      <c r="F88" s="55">
        <v>1.2321973684210527E-2</v>
      </c>
      <c r="G88" s="55">
        <v>3.0538205512268206</v>
      </c>
      <c r="H88" s="97">
        <v>16079205.995000001</v>
      </c>
    </row>
    <row r="89" spans="1:8" x14ac:dyDescent="0.25">
      <c r="A89" s="2" t="s">
        <v>2</v>
      </c>
      <c r="B89" s="82">
        <v>4.4248321872199998</v>
      </c>
      <c r="C89" s="24">
        <v>0.88496643744399994</v>
      </c>
      <c r="D89" s="55">
        <v>1.1348239525562784</v>
      </c>
      <c r="E89" s="24">
        <v>5.65</v>
      </c>
      <c r="F89" s="55">
        <v>0.15663122786619468</v>
      </c>
      <c r="G89" s="55">
        <v>2.967619259695716</v>
      </c>
      <c r="H89" s="97">
        <v>1081717000</v>
      </c>
    </row>
    <row r="90" spans="1:8" x14ac:dyDescent="0.25">
      <c r="A90" s="2" t="s">
        <v>27</v>
      </c>
      <c r="B90" s="82">
        <v>8.2625549730899994</v>
      </c>
      <c r="C90" s="24">
        <v>1.6525109946179999</v>
      </c>
      <c r="D90" s="55">
        <v>3.7191222820393564</v>
      </c>
      <c r="E90" s="24">
        <v>9.57</v>
      </c>
      <c r="F90" s="55">
        <v>0.17267617498620688</v>
      </c>
      <c r="G90" s="55">
        <v>2.967619259695716</v>
      </c>
      <c r="H90" s="97">
        <v>1081717000</v>
      </c>
    </row>
    <row r="91" spans="1:8" x14ac:dyDescent="0.25">
      <c r="A91" s="2" t="s">
        <v>183</v>
      </c>
      <c r="B91" s="82">
        <v>20.221576670000001</v>
      </c>
      <c r="C91" s="24">
        <v>5.0553941675000003</v>
      </c>
      <c r="D91" s="55">
        <v>0.76568194912363652</v>
      </c>
      <c r="E91" s="24">
        <v>11</v>
      </c>
      <c r="F91" s="55">
        <v>0.45958128795454545</v>
      </c>
      <c r="G91" s="55">
        <v>-0.16551120804683273</v>
      </c>
      <c r="H91" s="97">
        <v>1022983198.0549999</v>
      </c>
    </row>
    <row r="92" spans="1:8" x14ac:dyDescent="0.25">
      <c r="A92" s="2" t="s">
        <v>1</v>
      </c>
      <c r="B92" s="82">
        <v>22.243734336999999</v>
      </c>
      <c r="C92" s="24">
        <v>5.5609335842499998</v>
      </c>
      <c r="D92" s="55">
        <v>0.84225014371489515</v>
      </c>
      <c r="E92" s="24">
        <v>9.15</v>
      </c>
      <c r="F92" s="55">
        <v>0.60775230428961757</v>
      </c>
      <c r="G92" s="55">
        <v>-0.16551120804683273</v>
      </c>
      <c r="H92" s="97">
        <v>1022983198.0549999</v>
      </c>
    </row>
    <row r="93" spans="1:8" x14ac:dyDescent="0.25">
      <c r="A93" s="2" t="s">
        <v>185</v>
      </c>
      <c r="B93" s="82">
        <v>0.45271806019999999</v>
      </c>
      <c r="C93" s="24">
        <v>9.0543612039999999E-2</v>
      </c>
      <c r="D93" s="55">
        <v>0.23175290878610291</v>
      </c>
      <c r="E93" s="24">
        <v>5.67</v>
      </c>
      <c r="F93" s="55">
        <v>3.9922227530864197E-2</v>
      </c>
      <c r="G93" s="55">
        <v>-0.95226608645584199</v>
      </c>
      <c r="H93" s="97">
        <v>-54712245.433333337</v>
      </c>
    </row>
    <row r="94" spans="1:8" x14ac:dyDescent="0.25">
      <c r="A94" s="2" t="s">
        <v>28</v>
      </c>
      <c r="B94" s="82">
        <v>7.2077080000000002</v>
      </c>
      <c r="C94" s="24">
        <v>1.8019270000000001</v>
      </c>
      <c r="D94" s="55">
        <v>1.6072307401235155</v>
      </c>
      <c r="E94" s="24">
        <v>10.25</v>
      </c>
      <c r="F94" s="55">
        <v>0.17579775609756099</v>
      </c>
      <c r="G94" s="55">
        <v>-0.20787389768445139</v>
      </c>
      <c r="H94" s="97">
        <v>529427002.1825</v>
      </c>
    </row>
    <row r="95" spans="1:8" x14ac:dyDescent="0.25">
      <c r="A95" s="2" t="s">
        <v>89</v>
      </c>
      <c r="B95" s="82">
        <v>1.093</v>
      </c>
      <c r="C95" s="24">
        <v>0.27324999999999999</v>
      </c>
      <c r="D95" s="55">
        <v>1.2629191615984803</v>
      </c>
      <c r="E95" s="24">
        <v>12.4</v>
      </c>
      <c r="F95" s="55">
        <v>2.2036290322580643E-2</v>
      </c>
      <c r="G95" s="55">
        <v>5.4049294495932876E-2</v>
      </c>
      <c r="H95" s="97">
        <v>243499589.95749998</v>
      </c>
    </row>
    <row r="96" spans="1:8" x14ac:dyDescent="0.25">
      <c r="A96" s="2" t="s">
        <v>187</v>
      </c>
      <c r="B96" s="82">
        <v>0.45699999999999996</v>
      </c>
      <c r="C96" s="24">
        <v>0.11424999999999999</v>
      </c>
      <c r="D96" s="55">
        <v>0.58097440486745289</v>
      </c>
      <c r="E96" s="24">
        <v>3.4</v>
      </c>
      <c r="F96" s="55">
        <v>3.3602941176470592E-2</v>
      </c>
      <c r="G96" s="55">
        <v>5.4049294495932876E-2</v>
      </c>
      <c r="H96" s="97">
        <v>243499589.95749998</v>
      </c>
    </row>
    <row r="97" spans="1:8" x14ac:dyDescent="0.25">
      <c r="A97" s="2" t="s">
        <v>65</v>
      </c>
      <c r="B97" s="82">
        <v>0.45699999999999996</v>
      </c>
      <c r="C97" s="24">
        <v>0.11424999999999999</v>
      </c>
      <c r="D97" s="55">
        <v>0.58097440486745289</v>
      </c>
      <c r="E97" s="24">
        <v>2.1</v>
      </c>
      <c r="F97" s="55">
        <v>5.44047619047619E-2</v>
      </c>
      <c r="G97" s="55">
        <v>5.4049294495932876E-2</v>
      </c>
      <c r="H97" s="97">
        <v>243499589.95749998</v>
      </c>
    </row>
    <row r="98" spans="1:8" x14ac:dyDescent="0.25">
      <c r="A98" s="2" t="s">
        <v>99</v>
      </c>
      <c r="B98" s="82">
        <v>2.5499999999999998</v>
      </c>
      <c r="C98" s="24">
        <v>0.85</v>
      </c>
      <c r="D98" s="55">
        <v>0.49000251641148956</v>
      </c>
      <c r="E98" s="24">
        <v>15.4</v>
      </c>
      <c r="F98" s="55">
        <v>5.5194805194805192E-2</v>
      </c>
      <c r="G98" s="55">
        <v>0.2218197315635379</v>
      </c>
      <c r="H98" s="97">
        <v>303689997.77999997</v>
      </c>
    </row>
    <row r="99" spans="1:8" x14ac:dyDescent="0.25">
      <c r="A99" s="2" t="s">
        <v>35</v>
      </c>
      <c r="B99" s="82">
        <v>2.4300000000000002</v>
      </c>
      <c r="C99" s="24">
        <v>0.81</v>
      </c>
      <c r="D99" s="55">
        <v>0.90036243172799468</v>
      </c>
      <c r="E99" s="24">
        <v>23.649999999999995</v>
      </c>
      <c r="F99" s="55">
        <v>3.4249471458773786E-2</v>
      </c>
      <c r="G99" s="55">
        <v>-0.13582067243796347</v>
      </c>
      <c r="H99" s="97">
        <v>163287333.33333334</v>
      </c>
    </row>
    <row r="100" spans="1:8" x14ac:dyDescent="0.25">
      <c r="A100" s="2" t="s">
        <v>386</v>
      </c>
      <c r="B100" s="82">
        <v>2.5</v>
      </c>
      <c r="C100" s="24">
        <v>0.83333333333333337</v>
      </c>
      <c r="D100" s="55">
        <v>0.72124852747572954</v>
      </c>
      <c r="E100" s="24">
        <v>8.2799999999999994</v>
      </c>
      <c r="F100" s="55">
        <v>0.10064412238325282</v>
      </c>
      <c r="G100" s="55">
        <v>5.737773707741195E-2</v>
      </c>
      <c r="H100" s="97">
        <v>104094000</v>
      </c>
    </row>
    <row r="101" spans="1:8" x14ac:dyDescent="0.25">
      <c r="A101" s="2" t="s">
        <v>367</v>
      </c>
      <c r="B101" s="82">
        <v>0.75937399999999999</v>
      </c>
      <c r="C101" s="24">
        <v>0.25312466666666666</v>
      </c>
      <c r="D101" s="55">
        <v>0.2386150637582162</v>
      </c>
      <c r="E101" s="24">
        <v>6.61</v>
      </c>
      <c r="F101" s="55">
        <v>3.8294200706001001E-2</v>
      </c>
      <c r="G101" s="55">
        <v>-0.13377777760739223</v>
      </c>
      <c r="H101" s="97">
        <v>99232999.176666677</v>
      </c>
    </row>
    <row r="102" spans="1:8" x14ac:dyDescent="0.25">
      <c r="A102" s="2" t="s">
        <v>269</v>
      </c>
      <c r="B102" s="82">
        <v>0.78071854900000004</v>
      </c>
      <c r="C102" s="24">
        <v>0.26023951633333336</v>
      </c>
      <c r="D102" s="55">
        <v>0.22491646614074809</v>
      </c>
      <c r="E102" s="24">
        <v>19</v>
      </c>
      <c r="F102" s="55">
        <v>1.3696816649122806E-2</v>
      </c>
      <c r="G102" s="55">
        <v>-0.19056545890434123</v>
      </c>
      <c r="H102" s="97">
        <v>103252971.56999999</v>
      </c>
    </row>
    <row r="103" spans="1:8" x14ac:dyDescent="0.25">
      <c r="A103" s="2" t="s">
        <v>81</v>
      </c>
      <c r="B103" s="82">
        <v>0.85880996100000007</v>
      </c>
      <c r="C103" s="24">
        <v>0.286269987</v>
      </c>
      <c r="D103" s="55">
        <v>0.24741229164584114</v>
      </c>
      <c r="E103" s="24">
        <v>12.35</v>
      </c>
      <c r="F103" s="55">
        <v>2.317975603238866E-2</v>
      </c>
      <c r="G103" s="55">
        <v>-0.19056545890434123</v>
      </c>
      <c r="H103" s="97">
        <v>103252971.56999999</v>
      </c>
    </row>
    <row r="104" spans="1:8" x14ac:dyDescent="0.25">
      <c r="A104" s="2" t="s">
        <v>178</v>
      </c>
      <c r="B104" s="82">
        <v>11.74951832</v>
      </c>
      <c r="C104" s="24">
        <v>2.93737958</v>
      </c>
      <c r="D104" s="55">
        <v>1.2793462988233146</v>
      </c>
      <c r="E104" s="24">
        <v>62.04</v>
      </c>
      <c r="F104" s="55">
        <v>4.7346543842682137E-2</v>
      </c>
      <c r="G104" s="55">
        <v>0.49534053840640252</v>
      </c>
      <c r="H104" s="97">
        <v>222811924.5</v>
      </c>
    </row>
    <row r="105" spans="1:8" x14ac:dyDescent="0.25">
      <c r="A105" s="2" t="s">
        <v>38</v>
      </c>
      <c r="B105" s="82">
        <v>12.448366675999999</v>
      </c>
      <c r="C105" s="24">
        <v>3.1120916689999998</v>
      </c>
      <c r="D105" s="55">
        <v>1.4411167513828902</v>
      </c>
      <c r="E105" s="24">
        <v>61.99</v>
      </c>
      <c r="F105" s="55">
        <v>5.0203124197451196E-2</v>
      </c>
      <c r="G105" s="55">
        <v>0.49534053840640252</v>
      </c>
      <c r="H105" s="97">
        <v>222811924.5</v>
      </c>
    </row>
    <row r="106" spans="1:8" x14ac:dyDescent="0.25">
      <c r="A106" s="2" t="s">
        <v>29</v>
      </c>
      <c r="B106" s="82">
        <v>8.8610510949999988</v>
      </c>
      <c r="C106" s="24">
        <v>2.2152627737499997</v>
      </c>
      <c r="D106" s="55">
        <v>1.036148069258843</v>
      </c>
      <c r="E106" s="24">
        <v>17.239999999999998</v>
      </c>
      <c r="F106" s="55">
        <v>0.12849552051914154</v>
      </c>
      <c r="G106" s="55">
        <v>5.253493037631507E-2</v>
      </c>
      <c r="H106" s="97">
        <v>815925411.80749989</v>
      </c>
    </row>
    <row r="107" spans="1:8" x14ac:dyDescent="0.25">
      <c r="A107" s="2" t="s">
        <v>33</v>
      </c>
      <c r="B107" s="82">
        <v>9.7471562050000013</v>
      </c>
      <c r="C107" s="24">
        <v>2.4367890512500003</v>
      </c>
      <c r="D107" s="55">
        <v>1.1397628762293932</v>
      </c>
      <c r="E107" s="24">
        <v>18.760000000000002</v>
      </c>
      <c r="F107" s="55">
        <v>0.12989280656982941</v>
      </c>
      <c r="G107" s="55">
        <v>5.253493037631507E-2</v>
      </c>
      <c r="H107" s="97">
        <v>815925411.80749989</v>
      </c>
    </row>
    <row r="108" spans="1:8" x14ac:dyDescent="0.25">
      <c r="A108" s="2" t="s">
        <v>189</v>
      </c>
      <c r="B108" s="82">
        <v>4.3981410399999997E-2</v>
      </c>
      <c r="C108" s="24">
        <v>1.0995352599999999E-2</v>
      </c>
      <c r="D108" s="55">
        <v>0.74850005072085457</v>
      </c>
      <c r="E108" s="24">
        <v>0.13</v>
      </c>
      <c r="F108" s="55">
        <v>8.4579635384615368E-2</v>
      </c>
      <c r="G108" s="55">
        <v>0.25807211377255368</v>
      </c>
      <c r="H108" s="97">
        <v>2495826.5375000001</v>
      </c>
    </row>
    <row r="109" spans="1:8" x14ac:dyDescent="0.25">
      <c r="A109" s="2" t="s">
        <v>190</v>
      </c>
      <c r="B109" s="82">
        <v>4.84078514E-2</v>
      </c>
      <c r="C109" s="24">
        <v>1.210196285E-2</v>
      </c>
      <c r="D109" s="55">
        <v>0.8237247935120684</v>
      </c>
      <c r="E109" s="24">
        <v>0.12</v>
      </c>
      <c r="F109" s="55">
        <v>0.10084969041666668</v>
      </c>
      <c r="G109" s="55">
        <v>0.25807211377255368</v>
      </c>
      <c r="H109" s="97">
        <v>2495826.5375000001</v>
      </c>
    </row>
    <row r="110" spans="1:8" x14ac:dyDescent="0.25">
      <c r="A110" s="2" t="s">
        <v>340</v>
      </c>
      <c r="B110" s="82">
        <v>2.7716524199999997</v>
      </c>
      <c r="C110" s="24">
        <v>0.92388413999999985</v>
      </c>
      <c r="D110" s="55">
        <v>6.7345118256579717</v>
      </c>
      <c r="E110" s="24">
        <v>17.97</v>
      </c>
      <c r="F110" s="55">
        <v>5.1412584307178634E-2</v>
      </c>
      <c r="G110" s="55">
        <v>-0.70574242958279554</v>
      </c>
      <c r="H110" s="97">
        <v>9675802.3699999992</v>
      </c>
    </row>
    <row r="111" spans="1:8" x14ac:dyDescent="0.25">
      <c r="A111" s="2" t="s">
        <v>416</v>
      </c>
      <c r="B111" s="82">
        <v>1.462</v>
      </c>
      <c r="C111" s="24">
        <v>0.36549999999999999</v>
      </c>
      <c r="D111" s="55">
        <v>0.43259017108800807</v>
      </c>
      <c r="E111" s="24">
        <v>21.35</v>
      </c>
      <c r="F111" s="55">
        <v>1.7119437939110069E-2</v>
      </c>
      <c r="G111" s="55">
        <v>0.4664341033367212</v>
      </c>
      <c r="H111" s="97">
        <v>166180000</v>
      </c>
    </row>
    <row r="112" spans="1:8" x14ac:dyDescent="0.25">
      <c r="A112" s="2" t="s">
        <v>263</v>
      </c>
      <c r="B112" s="82">
        <v>1.2305999999999999</v>
      </c>
      <c r="C112" s="24">
        <v>0.30764999999999998</v>
      </c>
      <c r="D112" s="55">
        <v>0.41787587719990676</v>
      </c>
      <c r="E112" s="24">
        <v>10.56</v>
      </c>
      <c r="F112" s="55">
        <v>2.9133522727272727E-2</v>
      </c>
      <c r="G112" s="55">
        <v>0.18789652861750464</v>
      </c>
      <c r="H112" s="97">
        <v>4100289401.3649998</v>
      </c>
    </row>
    <row r="113" spans="1:8" x14ac:dyDescent="0.25">
      <c r="A113" s="2" t="s">
        <v>16</v>
      </c>
      <c r="B113" s="82">
        <v>1.2305999999999999</v>
      </c>
      <c r="C113" s="24">
        <v>0.30764999999999998</v>
      </c>
      <c r="D113" s="55">
        <v>0.41787587719990676</v>
      </c>
      <c r="E113" s="24">
        <v>8.6199999999999992</v>
      </c>
      <c r="F113" s="55">
        <v>3.569025522041764E-2</v>
      </c>
      <c r="G113" s="55">
        <v>0.18789652861750464</v>
      </c>
      <c r="H113" s="97">
        <v>4100289401.3649998</v>
      </c>
    </row>
    <row r="114" spans="1:8" x14ac:dyDescent="0.25">
      <c r="A114" s="2" t="s">
        <v>261</v>
      </c>
      <c r="B114" s="82">
        <v>2.8334000000000001</v>
      </c>
      <c r="C114" s="24">
        <v>0.94446666666666668</v>
      </c>
      <c r="D114" s="55">
        <v>0.43273605067700688</v>
      </c>
      <c r="E114" s="24">
        <v>28.99</v>
      </c>
      <c r="F114" s="55">
        <v>3.2579050247211687E-2</v>
      </c>
      <c r="G114" s="55">
        <v>3.2902706777630242E-2</v>
      </c>
      <c r="H114" s="97">
        <v>10987249822.386665</v>
      </c>
    </row>
    <row r="115" spans="1:8" x14ac:dyDescent="0.25">
      <c r="A115" s="2" t="s">
        <v>82</v>
      </c>
      <c r="B115" s="82">
        <v>2.8334000000000001</v>
      </c>
      <c r="C115" s="24">
        <v>0.94446666666666668</v>
      </c>
      <c r="D115" s="55">
        <v>0.43273605067700688</v>
      </c>
      <c r="E115" s="24">
        <v>31.25</v>
      </c>
      <c r="F115" s="55">
        <v>3.022293333333333E-2</v>
      </c>
      <c r="G115" s="55">
        <v>3.2902706777630242E-2</v>
      </c>
      <c r="H115" s="97">
        <v>10987249822.386665</v>
      </c>
    </row>
    <row r="116" spans="1:8" x14ac:dyDescent="0.25">
      <c r="A116" s="2" t="s">
        <v>316</v>
      </c>
      <c r="B116" s="82">
        <v>5.8005724000000002E-2</v>
      </c>
      <c r="C116" s="24">
        <v>1.9335241333333333E-2</v>
      </c>
      <c r="D116" s="55">
        <v>0.23749999886663223</v>
      </c>
      <c r="E116" s="24">
        <v>8.9</v>
      </c>
      <c r="F116" s="55">
        <v>6.5174970786516856E-3</v>
      </c>
      <c r="G116" s="55">
        <v>-5.2814140279553863</v>
      </c>
      <c r="H116" s="97">
        <v>95417856.023333326</v>
      </c>
    </row>
    <row r="117" spans="1:8" x14ac:dyDescent="0.25">
      <c r="A117" s="2" t="s">
        <v>205</v>
      </c>
      <c r="B117" s="82">
        <v>0.47619999999999996</v>
      </c>
      <c r="C117" s="24">
        <v>0.15873333333333331</v>
      </c>
      <c r="D117" s="55">
        <v>0.39457960469026815</v>
      </c>
      <c r="E117" s="24">
        <v>11</v>
      </c>
      <c r="F117" s="55">
        <v>1.4430303030303029E-2</v>
      </c>
      <c r="G117" s="55">
        <v>1.2209995246783099</v>
      </c>
      <c r="H117" s="97">
        <v>498154305.84666663</v>
      </c>
    </row>
    <row r="118" spans="1:8" x14ac:dyDescent="0.25">
      <c r="A118" s="2" t="s">
        <v>54</v>
      </c>
      <c r="B118" s="82">
        <v>0.52380000000000004</v>
      </c>
      <c r="C118" s="24">
        <v>0.17460000000000001</v>
      </c>
      <c r="D118" s="55">
        <v>0.43406605496565737</v>
      </c>
      <c r="E118" s="24">
        <v>12.71</v>
      </c>
      <c r="F118" s="55">
        <v>1.3737214791502755E-2</v>
      </c>
      <c r="G118" s="55">
        <v>1.2209995246783099</v>
      </c>
      <c r="H118" s="97">
        <v>498154305.84666663</v>
      </c>
    </row>
    <row r="119" spans="1:8" x14ac:dyDescent="0.25">
      <c r="A119" s="2" t="s">
        <v>355</v>
      </c>
      <c r="B119" s="82">
        <v>0.37646729800000001</v>
      </c>
      <c r="C119" s="24">
        <v>0.188233649</v>
      </c>
      <c r="D119" s="55">
        <v>1.6736510200308279</v>
      </c>
      <c r="E119" s="24">
        <v>6.5</v>
      </c>
      <c r="F119" s="55">
        <v>2.8959022923076921E-2</v>
      </c>
      <c r="G119" s="55">
        <v>-0.83513465627214745</v>
      </c>
      <c r="H119" s="97">
        <v>13149000</v>
      </c>
    </row>
    <row r="120" spans="1:8" x14ac:dyDescent="0.25">
      <c r="A120" s="2" t="s">
        <v>55</v>
      </c>
      <c r="B120" s="82">
        <v>4.88</v>
      </c>
      <c r="C120" s="24">
        <v>1.6266666666666667</v>
      </c>
      <c r="D120" s="55">
        <v>0.79479552403967901</v>
      </c>
      <c r="E120" s="24">
        <v>20.61</v>
      </c>
      <c r="F120" s="55">
        <v>7.892608765971211E-2</v>
      </c>
      <c r="G120" s="55">
        <v>-4.7619185114170626E-2</v>
      </c>
      <c r="H120" s="97">
        <v>436573486.14333338</v>
      </c>
    </row>
    <row r="121" spans="1:8" x14ac:dyDescent="0.25">
      <c r="A121" s="2" t="s">
        <v>180</v>
      </c>
      <c r="B121" s="82">
        <v>3.1715599999999995</v>
      </c>
      <c r="C121" s="24">
        <v>0.79288999999999987</v>
      </c>
      <c r="D121" s="55">
        <v>0.43168732302801038</v>
      </c>
      <c r="E121" s="24">
        <v>49.6</v>
      </c>
      <c r="F121" s="55">
        <v>1.5985685483870967E-2</v>
      </c>
      <c r="G121" s="55">
        <v>0.22837447391760982</v>
      </c>
      <c r="H121" s="97">
        <v>17823250</v>
      </c>
    </row>
    <row r="122" spans="1:8" x14ac:dyDescent="0.25">
      <c r="A122" s="2" t="s">
        <v>372</v>
      </c>
      <c r="B122" s="82">
        <v>8.753039E-2</v>
      </c>
      <c r="C122" s="24">
        <v>2.9176796666666668E-2</v>
      </c>
      <c r="D122" s="55">
        <v>0.16275155588949558</v>
      </c>
      <c r="E122" s="24">
        <v>5.6500000000000012</v>
      </c>
      <c r="F122" s="55">
        <v>7.7460522123893802E-3</v>
      </c>
      <c r="G122" s="55">
        <v>-0.10532850624335593</v>
      </c>
      <c r="H122" s="97">
        <v>86801243.426666662</v>
      </c>
    </row>
    <row r="123" spans="1:8" x14ac:dyDescent="0.25">
      <c r="A123" s="2" t="s">
        <v>424</v>
      </c>
      <c r="B123" s="82">
        <v>1.1533</v>
      </c>
      <c r="C123" s="24">
        <v>0.38443333333333335</v>
      </c>
      <c r="D123" s="55">
        <v>0.27169719418566168</v>
      </c>
      <c r="E123" s="24">
        <v>83.91</v>
      </c>
      <c r="F123" s="55">
        <v>4.5814960473523217E-3</v>
      </c>
      <c r="G123" s="55">
        <v>0.14700192764463965</v>
      </c>
      <c r="H123" s="97">
        <v>16587000</v>
      </c>
    </row>
    <row r="124" spans="1:8" x14ac:dyDescent="0.25">
      <c r="A124" s="2" t="s">
        <v>425</v>
      </c>
      <c r="B124" s="82">
        <v>1.5331399999999999</v>
      </c>
      <c r="C124" s="24">
        <v>0.51104666666666665</v>
      </c>
      <c r="D124" s="55">
        <v>0.3971899422750666</v>
      </c>
      <c r="E124" s="24">
        <v>6.580000000000001</v>
      </c>
      <c r="F124" s="55">
        <v>7.7666666666666676E-2</v>
      </c>
      <c r="G124" s="55">
        <v>0.14700192764463965</v>
      </c>
      <c r="H124" s="97">
        <v>16587000</v>
      </c>
    </row>
    <row r="125" spans="1:8" x14ac:dyDescent="0.25">
      <c r="A125" s="2" t="s">
        <v>342</v>
      </c>
      <c r="B125" s="82">
        <v>16.970529425000002</v>
      </c>
      <c r="C125" s="24">
        <v>4.2426323562500006</v>
      </c>
      <c r="D125" s="55">
        <v>0.42680662187286622</v>
      </c>
      <c r="E125" s="24">
        <v>158.99</v>
      </c>
      <c r="F125" s="55">
        <v>2.668490066199132E-2</v>
      </c>
      <c r="G125" s="55">
        <v>0.36079085442493602</v>
      </c>
      <c r="H125" s="97">
        <v>134782258.82249999</v>
      </c>
    </row>
    <row r="126" spans="1:8" x14ac:dyDescent="0.25">
      <c r="A126" s="2" t="s">
        <v>418</v>
      </c>
      <c r="B126" s="82">
        <v>2.6773285570000001</v>
      </c>
      <c r="C126" s="24">
        <v>0.66933213925000001</v>
      </c>
      <c r="D126" s="55">
        <v>0.46005623926256656</v>
      </c>
      <c r="E126" s="24">
        <v>47.25</v>
      </c>
      <c r="F126" s="55">
        <v>1.4165759560846562E-2</v>
      </c>
      <c r="G126" s="55">
        <v>0.31432887620527628</v>
      </c>
      <c r="H126" s="97">
        <v>267751182.9975</v>
      </c>
    </row>
    <row r="127" spans="1:8" x14ac:dyDescent="0.25">
      <c r="A127" s="2" t="s">
        <v>324</v>
      </c>
      <c r="B127" s="82">
        <v>4.99</v>
      </c>
      <c r="C127" s="24">
        <v>1.6633333333333333</v>
      </c>
      <c r="D127" s="55">
        <v>5.1889142659306664</v>
      </c>
      <c r="E127" s="24">
        <v>4.6900000000000004</v>
      </c>
      <c r="F127" s="55">
        <v>0.53198294243070365</v>
      </c>
      <c r="G127" s="55">
        <v>-0.32853710875650738</v>
      </c>
      <c r="H127" s="97">
        <v>1271398435.0133333</v>
      </c>
    </row>
    <row r="128" spans="1:8" x14ac:dyDescent="0.25">
      <c r="A128" s="2" t="s">
        <v>325</v>
      </c>
      <c r="B128" s="82">
        <v>4.99</v>
      </c>
      <c r="C128" s="24">
        <v>1.6633333333333333</v>
      </c>
      <c r="D128" s="55">
        <v>5.1889142659306664</v>
      </c>
      <c r="E128" s="24">
        <v>4.37</v>
      </c>
      <c r="F128" s="55">
        <v>0.57093821510297482</v>
      </c>
      <c r="G128" s="55">
        <v>-0.32853710875650738</v>
      </c>
      <c r="H128" s="97">
        <v>1271398435.0133333</v>
      </c>
    </row>
    <row r="129" spans="1:8" x14ac:dyDescent="0.25">
      <c r="A129" s="2" t="s">
        <v>379</v>
      </c>
      <c r="B129" s="82">
        <v>3.8963190000000001</v>
      </c>
      <c r="C129" s="24">
        <v>0.97407975000000002</v>
      </c>
      <c r="D129" s="55">
        <v>0.90821522332465576</v>
      </c>
      <c r="E129" s="24">
        <v>20</v>
      </c>
      <c r="F129" s="55">
        <v>4.8703987500000004E-2</v>
      </c>
      <c r="G129" s="55">
        <v>0.35042887014845919</v>
      </c>
      <c r="H129" s="97">
        <v>14431909.6625</v>
      </c>
    </row>
    <row r="130" spans="1:8" x14ac:dyDescent="0.25">
      <c r="A130" s="2" t="s">
        <v>20</v>
      </c>
      <c r="B130" s="82">
        <v>3.37</v>
      </c>
      <c r="C130" s="24">
        <v>0.84250000000000003</v>
      </c>
      <c r="D130" s="55">
        <v>0.30588500522710332</v>
      </c>
      <c r="E130" s="24">
        <v>15.12</v>
      </c>
      <c r="F130" s="55">
        <v>5.5720899470899476E-2</v>
      </c>
      <c r="G130" s="55">
        <v>-0.20528616173858652</v>
      </c>
      <c r="H130" s="97">
        <v>36237017731.650002</v>
      </c>
    </row>
    <row r="131" spans="1:8" x14ac:dyDescent="0.25">
      <c r="A131" s="2" t="s">
        <v>21</v>
      </c>
      <c r="B131" s="82">
        <v>3.8600000000000003</v>
      </c>
      <c r="C131" s="24">
        <v>0.96500000000000008</v>
      </c>
      <c r="D131" s="55">
        <v>0.38236062761569822</v>
      </c>
      <c r="E131" s="24">
        <v>16.04</v>
      </c>
      <c r="F131" s="55">
        <v>6.0162094763092269E-2</v>
      </c>
      <c r="G131" s="55">
        <v>-0.20528616173858652</v>
      </c>
      <c r="H131" s="97">
        <v>36237017731.650002</v>
      </c>
    </row>
    <row r="132" spans="1:8" x14ac:dyDescent="0.25">
      <c r="A132" s="2" t="s">
        <v>76</v>
      </c>
      <c r="B132" s="82">
        <v>3.1588039999999999</v>
      </c>
      <c r="C132" s="24">
        <v>0.78970099999999999</v>
      </c>
      <c r="D132" s="55">
        <v>0.66880124529726692</v>
      </c>
      <c r="E132" s="24">
        <v>8.6999999999999993</v>
      </c>
      <c r="F132" s="55">
        <v>9.077022988505748E-2</v>
      </c>
      <c r="G132" s="55">
        <v>0.29582015929139355</v>
      </c>
      <c r="H132" s="97">
        <v>138076847.00999999</v>
      </c>
    </row>
    <row r="133" spans="1:8" x14ac:dyDescent="0.25">
      <c r="A133" s="2" t="s">
        <v>84</v>
      </c>
      <c r="B133" s="82">
        <v>2.33</v>
      </c>
      <c r="C133" s="24">
        <v>0.77666666666666673</v>
      </c>
      <c r="D133" s="55">
        <v>0.32355722757326899</v>
      </c>
      <c r="E133" s="24">
        <v>11.32</v>
      </c>
      <c r="F133" s="55">
        <v>6.861012956419317E-2</v>
      </c>
      <c r="G133" s="55">
        <v>0.80388559806663851</v>
      </c>
      <c r="H133" s="97">
        <v>224539573.62666664</v>
      </c>
    </row>
    <row r="134" spans="1:8" x14ac:dyDescent="0.25">
      <c r="A134" s="2" t="s">
        <v>370</v>
      </c>
      <c r="B134" s="82">
        <v>1.57</v>
      </c>
      <c r="C134" s="24">
        <v>0.52333333333333332</v>
      </c>
      <c r="D134" s="55">
        <v>1.3030076728553794</v>
      </c>
      <c r="E134" s="24">
        <v>7.7</v>
      </c>
      <c r="F134" s="55">
        <v>6.7965367965367965E-2</v>
      </c>
      <c r="G134" s="55">
        <v>0.38354099086089755</v>
      </c>
      <c r="H134" s="97">
        <v>32778666.666666668</v>
      </c>
    </row>
    <row r="135" spans="1:8" x14ac:dyDescent="0.25">
      <c r="A135" s="2" t="s">
        <v>265</v>
      </c>
      <c r="B135" s="82">
        <v>3.0100000000000002</v>
      </c>
      <c r="C135" s="24">
        <v>0.75250000000000006</v>
      </c>
      <c r="D135" s="55">
        <v>0.43307716407622709</v>
      </c>
      <c r="E135" s="24">
        <v>29</v>
      </c>
      <c r="F135" s="55">
        <v>2.5948275862068968E-2</v>
      </c>
      <c r="G135" s="55">
        <v>0.33540199218147343</v>
      </c>
      <c r="H135" s="97">
        <v>553748019.25</v>
      </c>
    </row>
    <row r="136" spans="1:8" x14ac:dyDescent="0.25">
      <c r="A136" s="2" t="s">
        <v>360</v>
      </c>
      <c r="B136" s="82">
        <v>9.5377892499999994</v>
      </c>
      <c r="C136" s="24">
        <v>2.3844473124999999</v>
      </c>
      <c r="D136" s="55">
        <v>0.29704620053272746</v>
      </c>
      <c r="E136" s="24">
        <v>58</v>
      </c>
      <c r="F136" s="55">
        <v>4.1111160560344827E-2</v>
      </c>
      <c r="G136" s="55">
        <v>0.8440576441474571</v>
      </c>
      <c r="H136" s="97">
        <v>142646994.05500001</v>
      </c>
    </row>
    <row r="137" spans="1:8" x14ac:dyDescent="0.25">
      <c r="A137" s="2" t="s">
        <v>279</v>
      </c>
      <c r="B137" s="82">
        <v>0.18174200000000001</v>
      </c>
      <c r="C137" s="24">
        <v>6.0580666666666672E-2</v>
      </c>
      <c r="D137" s="55">
        <v>0.45238397622744686</v>
      </c>
      <c r="E137" s="24">
        <v>9.6999999999999993</v>
      </c>
      <c r="F137" s="55">
        <v>6.2454295532646054E-3</v>
      </c>
      <c r="G137" s="55">
        <v>0.74178693100552917</v>
      </c>
      <c r="H137" s="97">
        <v>70066703.760000005</v>
      </c>
    </row>
    <row r="138" spans="1:8" x14ac:dyDescent="0.25">
      <c r="A138" s="2" t="s">
        <v>201</v>
      </c>
      <c r="B138" s="82">
        <v>0.18207999999999999</v>
      </c>
      <c r="C138" s="24">
        <v>6.0693333333333328E-2</v>
      </c>
      <c r="D138" s="55">
        <v>0.5857126326415365</v>
      </c>
      <c r="E138" s="24">
        <v>3.25</v>
      </c>
      <c r="F138" s="55">
        <v>1.8674871794871793E-2</v>
      </c>
      <c r="G138" s="55">
        <v>0.54626297092526466</v>
      </c>
      <c r="H138" s="97">
        <v>23365000</v>
      </c>
    </row>
    <row r="139" spans="1:8" x14ac:dyDescent="0.25">
      <c r="A139" s="2" t="s">
        <v>202</v>
      </c>
      <c r="B139" s="82">
        <v>0.19408999999999998</v>
      </c>
      <c r="C139" s="24">
        <v>6.4696666666666666E-2</v>
      </c>
      <c r="D139" s="55">
        <v>0.63120967245066673</v>
      </c>
      <c r="E139" s="24">
        <v>3.36</v>
      </c>
      <c r="F139" s="55">
        <v>1.925496031746032E-2</v>
      </c>
      <c r="G139" s="55">
        <v>0.54626297092526466</v>
      </c>
      <c r="H139" s="97">
        <v>23365000</v>
      </c>
    </row>
    <row r="140" spans="1:8" x14ac:dyDescent="0.25">
      <c r="A140" s="2" t="s">
        <v>66</v>
      </c>
      <c r="B140" s="82">
        <v>1.0374854550000001</v>
      </c>
      <c r="C140" s="24">
        <v>0.34582848500000002</v>
      </c>
      <c r="D140" s="55">
        <v>0.74003580825491566</v>
      </c>
      <c r="E140" s="24">
        <v>5.96</v>
      </c>
      <c r="F140" s="55">
        <v>5.8024913590604021E-2</v>
      </c>
      <c r="G140" s="55">
        <v>-5.0177576186204831E-2</v>
      </c>
      <c r="H140" s="97">
        <v>51358333.333333336</v>
      </c>
    </row>
    <row r="141" spans="1:8" x14ac:dyDescent="0.25">
      <c r="A141" s="2" t="s">
        <v>210</v>
      </c>
      <c r="B141" s="82">
        <v>3.8720000000000004E-2</v>
      </c>
      <c r="C141" s="24">
        <v>9.6800000000000011E-3</v>
      </c>
      <c r="D141" s="55">
        <v>2.6538214988206538E-2</v>
      </c>
      <c r="E141" s="24">
        <v>3.08</v>
      </c>
      <c r="F141" s="55">
        <v>4.1904761904761906E-3</v>
      </c>
      <c r="G141" s="55">
        <v>8.8765058314084586E-2</v>
      </c>
      <c r="H141" s="97">
        <v>46026500</v>
      </c>
    </row>
    <row r="142" spans="1:8" x14ac:dyDescent="0.25">
      <c r="A142" s="2" t="s">
        <v>78</v>
      </c>
      <c r="B142" s="82">
        <v>1.3681000000000001</v>
      </c>
      <c r="C142" s="24">
        <v>0.34202500000000002</v>
      </c>
      <c r="D142" s="55">
        <v>0.63014566270033845</v>
      </c>
      <c r="E142" s="24">
        <v>6.8</v>
      </c>
      <c r="F142" s="55">
        <v>5.0297794117647066E-2</v>
      </c>
      <c r="G142" s="55">
        <v>8.8765058314084586E-2</v>
      </c>
      <c r="H142" s="97">
        <v>46026500</v>
      </c>
    </row>
    <row r="143" spans="1:8" x14ac:dyDescent="0.25">
      <c r="A143" s="2" t="s">
        <v>211</v>
      </c>
      <c r="B143" s="82">
        <v>4.2609999999999995E-2</v>
      </c>
      <c r="C143" s="24">
        <v>1.0652499999999999E-2</v>
      </c>
      <c r="D143" s="55">
        <v>2.9204663914363771E-2</v>
      </c>
      <c r="E143" s="24">
        <v>2.99</v>
      </c>
      <c r="F143" s="55">
        <v>4.7502787068004447E-3</v>
      </c>
      <c r="G143" s="55">
        <v>8.8765058314084586E-2</v>
      </c>
      <c r="H143" s="97">
        <v>46026500</v>
      </c>
    </row>
    <row r="144" spans="1:8" x14ac:dyDescent="0.25">
      <c r="A144" s="2" t="s">
        <v>199</v>
      </c>
      <c r="B144" s="82">
        <v>0.82940000000000003</v>
      </c>
      <c r="C144" s="24">
        <v>0.20735000000000001</v>
      </c>
      <c r="D144" s="55">
        <v>0.42096174698699207</v>
      </c>
      <c r="E144" s="24">
        <v>8.19</v>
      </c>
      <c r="F144" s="55">
        <v>2.5317460317460318E-2</v>
      </c>
      <c r="G144" s="55">
        <v>0.38970798673014234</v>
      </c>
      <c r="H144" s="97">
        <v>214577000</v>
      </c>
    </row>
    <row r="145" spans="1:8" x14ac:dyDescent="0.25">
      <c r="A145" s="2" t="s">
        <v>67</v>
      </c>
      <c r="B145" s="82">
        <v>0.91220000000000001</v>
      </c>
      <c r="C145" s="24">
        <v>0.22805</v>
      </c>
      <c r="D145" s="55">
        <v>0.46297228112835515</v>
      </c>
      <c r="E145" s="24">
        <v>5.8</v>
      </c>
      <c r="F145" s="55">
        <v>3.9318965517241379E-2</v>
      </c>
      <c r="G145" s="55">
        <v>0.38970798673014234</v>
      </c>
      <c r="H145" s="97">
        <v>214577000</v>
      </c>
    </row>
    <row r="146" spans="1:8" x14ac:dyDescent="0.25">
      <c r="A146" s="2" t="s">
        <v>36</v>
      </c>
      <c r="B146" s="82">
        <v>6.8849999999999998</v>
      </c>
      <c r="C146" s="24">
        <v>2.2949999999999999</v>
      </c>
      <c r="D146" s="55">
        <v>1.0319469633494387</v>
      </c>
      <c r="E146" s="24">
        <v>23.459999999999997</v>
      </c>
      <c r="F146" s="55">
        <v>9.7826086956521729E-2</v>
      </c>
      <c r="G146" s="55">
        <v>0.15655329049472672</v>
      </c>
      <c r="H146" s="97">
        <v>1588590923.1400001</v>
      </c>
    </row>
    <row r="147" spans="1:8" x14ac:dyDescent="0.25">
      <c r="A147" s="2" t="s">
        <v>421</v>
      </c>
      <c r="B147" s="82">
        <v>1.7597457809999999</v>
      </c>
      <c r="C147" s="24">
        <v>0.586581927</v>
      </c>
      <c r="D147" s="55">
        <v>0.36698912893465502</v>
      </c>
      <c r="E147" s="24">
        <v>34.28</v>
      </c>
      <c r="F147" s="55">
        <v>2.5667237179113185E-2</v>
      </c>
      <c r="G147" s="55">
        <v>0.67105974272395275</v>
      </c>
      <c r="H147" s="97">
        <v>136446987.45333335</v>
      </c>
    </row>
    <row r="148" spans="1:8" x14ac:dyDescent="0.25">
      <c r="A148" s="2" t="s">
        <v>77</v>
      </c>
      <c r="B148" s="82">
        <v>1.56961906</v>
      </c>
      <c r="C148" s="24">
        <v>0.52320635333333332</v>
      </c>
      <c r="D148" s="55">
        <v>1.9284904159098553</v>
      </c>
      <c r="E148" s="24">
        <v>2.85</v>
      </c>
      <c r="F148" s="55">
        <v>0.18358117660818715</v>
      </c>
      <c r="G148" s="55">
        <v>-0.33575171934245818</v>
      </c>
      <c r="H148" s="97">
        <v>43198498.006666668</v>
      </c>
    </row>
    <row r="149" spans="1:8" x14ac:dyDescent="0.25">
      <c r="A149" s="2" t="s">
        <v>307</v>
      </c>
      <c r="B149" s="82">
        <v>1.254969</v>
      </c>
      <c r="C149" s="24">
        <v>0.31374225</v>
      </c>
      <c r="D149" s="55">
        <v>0.3337402763144719</v>
      </c>
      <c r="E149" s="24">
        <v>26.8</v>
      </c>
      <c r="F149" s="55">
        <v>1.1706800373134329E-2</v>
      </c>
      <c r="G149" s="55">
        <v>-1.5155068836509116E-3</v>
      </c>
      <c r="H149" s="97">
        <v>108720111.06999999</v>
      </c>
    </row>
    <row r="150" spans="1:8" x14ac:dyDescent="0.25">
      <c r="A150" s="2" t="s">
        <v>420</v>
      </c>
      <c r="B150" s="82">
        <v>0.92999999999999994</v>
      </c>
      <c r="C150" s="24">
        <v>0.31</v>
      </c>
      <c r="D150" s="55">
        <v>0.11521495903029355</v>
      </c>
      <c r="E150" s="24">
        <v>17.350000000000001</v>
      </c>
      <c r="F150" s="55">
        <v>1.7867435158501439E-2</v>
      </c>
      <c r="G150" s="55">
        <v>-1.4866806034796065E-2</v>
      </c>
      <c r="H150" s="97">
        <v>208322676.08333334</v>
      </c>
    </row>
    <row r="151" spans="1:8" x14ac:dyDescent="0.25">
      <c r="A151" s="2" t="s">
        <v>57</v>
      </c>
      <c r="B151" s="82">
        <v>4.259330362</v>
      </c>
      <c r="C151" s="24">
        <v>1.0648325905</v>
      </c>
      <c r="D151" s="55">
        <v>2.3414519788923673</v>
      </c>
      <c r="E151" s="24">
        <v>14.07</v>
      </c>
      <c r="F151" s="55">
        <v>7.5681065422885579E-2</v>
      </c>
      <c r="G151" s="55">
        <v>9.1749673189393491E-2</v>
      </c>
      <c r="H151" s="97">
        <v>490510986.26749998</v>
      </c>
    </row>
    <row r="152" spans="1:8" x14ac:dyDescent="0.25">
      <c r="A152" s="2" t="s">
        <v>18</v>
      </c>
      <c r="B152" s="82">
        <v>1.6677999999999999</v>
      </c>
      <c r="C152" s="24">
        <v>0.41694999999999999</v>
      </c>
      <c r="D152" s="55">
        <v>1.3752569187945951</v>
      </c>
      <c r="E152" s="24">
        <v>9.43</v>
      </c>
      <c r="F152" s="55">
        <v>5.8953693884764936E-2</v>
      </c>
      <c r="G152" s="55">
        <v>-0.42708882979855717</v>
      </c>
      <c r="H152" s="97">
        <v>1323388814.8675001</v>
      </c>
    </row>
    <row r="153" spans="1:8" x14ac:dyDescent="0.25">
      <c r="A153" s="2" t="s">
        <v>207</v>
      </c>
      <c r="B153" s="82">
        <v>1.6190099999999998</v>
      </c>
      <c r="C153" s="24">
        <v>0.40475249999999996</v>
      </c>
      <c r="D153" s="55">
        <v>1.3670338527475838</v>
      </c>
      <c r="E153" s="24">
        <v>5.7</v>
      </c>
      <c r="F153" s="55">
        <v>9.4678947368421043E-2</v>
      </c>
      <c r="G153" s="55">
        <v>-0.42708882979855717</v>
      </c>
      <c r="H153" s="97">
        <v>1323388814.8675001</v>
      </c>
    </row>
    <row r="154" spans="1:8" x14ac:dyDescent="0.25">
      <c r="A154" s="2" t="s">
        <v>56</v>
      </c>
      <c r="B154" s="82">
        <v>6.1099999999999994</v>
      </c>
      <c r="C154" s="24">
        <v>1.5274999999999999</v>
      </c>
      <c r="D154" s="55">
        <v>3.6038092899769296</v>
      </c>
      <c r="E154" s="24">
        <v>17.95</v>
      </c>
      <c r="F154" s="55">
        <v>8.509749303621171E-2</v>
      </c>
      <c r="G154" s="55">
        <v>0.27814720052776121</v>
      </c>
      <c r="H154" s="97">
        <v>450251697.83000004</v>
      </c>
    </row>
    <row r="155" spans="1:8" x14ac:dyDescent="0.25">
      <c r="A155" s="2" t="s">
        <v>193</v>
      </c>
      <c r="B155" s="82">
        <v>5.5766351018</v>
      </c>
      <c r="C155" s="24">
        <v>1.8588783672666667</v>
      </c>
      <c r="D155" s="55">
        <v>0.85565136305393408</v>
      </c>
      <c r="E155" s="24">
        <v>35.17</v>
      </c>
      <c r="F155" s="55">
        <v>5.2854090624585348E-2</v>
      </c>
      <c r="G155" s="55">
        <v>0.11529621882001062</v>
      </c>
      <c r="H155" s="97">
        <v>1386261659</v>
      </c>
    </row>
    <row r="156" spans="1:8" x14ac:dyDescent="0.25">
      <c r="A156" s="2" t="s">
        <v>80</v>
      </c>
      <c r="B156" s="82">
        <v>0.13240000000000002</v>
      </c>
      <c r="C156" s="24">
        <v>3.3100000000000004E-2</v>
      </c>
      <c r="D156" s="55">
        <v>0.27744555988769093</v>
      </c>
      <c r="E156" s="24">
        <v>2.41</v>
      </c>
      <c r="F156" s="55">
        <v>2.7468879668049791E-2</v>
      </c>
      <c r="G156" s="55">
        <v>0.30593319728888574</v>
      </c>
      <c r="H156" s="97">
        <v>169240799.03333333</v>
      </c>
    </row>
    <row r="157" spans="1:8" x14ac:dyDescent="0.25">
      <c r="A157" s="2" t="s">
        <v>321</v>
      </c>
      <c r="B157" s="82">
        <v>0.42000000000000004</v>
      </c>
      <c r="C157" s="24">
        <v>0.21000000000000002</v>
      </c>
      <c r="D157" s="55">
        <v>0.31662042253674527</v>
      </c>
      <c r="E157" s="24">
        <v>13.46</v>
      </c>
      <c r="F157" s="55">
        <v>1.5601783060921246E-2</v>
      </c>
      <c r="G157" s="55">
        <v>-0.2110328737784844</v>
      </c>
      <c r="H157" s="97">
        <v>1749068427.5599999</v>
      </c>
    </row>
    <row r="158" spans="1:8" x14ac:dyDescent="0.25">
      <c r="A158" s="2" t="s">
        <v>383</v>
      </c>
      <c r="B158" s="82">
        <v>25.119</v>
      </c>
      <c r="C158" s="24">
        <v>6.2797499999999999</v>
      </c>
      <c r="D158" s="55">
        <v>0.72745804302911377</v>
      </c>
      <c r="E158" s="24">
        <v>88</v>
      </c>
      <c r="F158" s="55">
        <v>7.1360795454545448E-2</v>
      </c>
      <c r="G158" s="55">
        <v>4.0119826616537346E-2</v>
      </c>
      <c r="H158" s="97">
        <v>24196579.022500001</v>
      </c>
    </row>
    <row r="159" spans="1:8" x14ac:dyDescent="0.25">
      <c r="A159" s="2" t="s">
        <v>170</v>
      </c>
      <c r="B159" s="82">
        <v>11.870516</v>
      </c>
      <c r="C159" s="24">
        <v>3.9568386666666666</v>
      </c>
      <c r="D159" s="55">
        <v>0.70044394399833187</v>
      </c>
      <c r="E159" s="24">
        <v>42</v>
      </c>
      <c r="F159" s="55">
        <v>9.4210444444444444E-2</v>
      </c>
      <c r="G159" s="55">
        <v>2.0387530080794691E-2</v>
      </c>
      <c r="H159" s="97">
        <v>860732121</v>
      </c>
    </row>
    <row r="160" spans="1:8" x14ac:dyDescent="0.25">
      <c r="A160" s="2" t="s">
        <v>171</v>
      </c>
      <c r="B160" s="82">
        <v>11.870516</v>
      </c>
      <c r="C160" s="24">
        <v>3.9568386666666666</v>
      </c>
      <c r="D160" s="55">
        <v>0.70044394399833187</v>
      </c>
      <c r="E160" s="24">
        <v>26.83</v>
      </c>
      <c r="F160" s="55">
        <v>0.14747814635358431</v>
      </c>
      <c r="G160" s="55">
        <v>2.0387530080794691E-2</v>
      </c>
      <c r="H160" s="97">
        <v>860732121</v>
      </c>
    </row>
    <row r="161" spans="1:8" x14ac:dyDescent="0.25">
      <c r="A161" s="2" t="s">
        <v>437</v>
      </c>
      <c r="B161" s="82">
        <v>6.0606990000000005</v>
      </c>
      <c r="C161" s="24">
        <v>2.0202330000000002</v>
      </c>
      <c r="D161" s="55">
        <v>0.88025940606631048</v>
      </c>
      <c r="E161" s="24">
        <v>15.1</v>
      </c>
      <c r="F161" s="55">
        <v>0.13379026490066226</v>
      </c>
      <c r="G161" s="55">
        <v>-0.46958872326142359</v>
      </c>
      <c r="H161" s="97">
        <v>100584643.09666665</v>
      </c>
    </row>
    <row r="162" spans="1:8" x14ac:dyDescent="0.25">
      <c r="A162" s="2" t="s">
        <v>345</v>
      </c>
      <c r="B162" s="82">
        <v>2.95</v>
      </c>
      <c r="C162" s="24">
        <v>0.98333333333333339</v>
      </c>
      <c r="D162" s="55">
        <v>0.60454237373323505</v>
      </c>
      <c r="E162" s="24">
        <v>53.919999999999995</v>
      </c>
      <c r="F162" s="55">
        <v>1.8236894164193867E-2</v>
      </c>
      <c r="G162" s="55">
        <v>0.14404736444690125</v>
      </c>
      <c r="H162" s="97">
        <v>881386996</v>
      </c>
    </row>
    <row r="163" spans="1:8" x14ac:dyDescent="0.25">
      <c r="A163" s="2" t="s">
        <v>39</v>
      </c>
      <c r="B163" s="82">
        <v>9.6799999999999994E-3</v>
      </c>
      <c r="C163" s="24">
        <v>3.2266666666666663E-3</v>
      </c>
      <c r="D163" s="55">
        <v>0.20588880617740807</v>
      </c>
      <c r="E163" s="24">
        <v>0.51</v>
      </c>
      <c r="F163" s="55">
        <v>1.8980392156862744E-2</v>
      </c>
      <c r="G163" s="55">
        <v>3.4890665196541604</v>
      </c>
      <c r="H163" s="97">
        <v>24675229.673333336</v>
      </c>
    </row>
    <row r="164" spans="1:8" x14ac:dyDescent="0.25">
      <c r="A164" s="2" t="s">
        <v>375</v>
      </c>
      <c r="B164" s="82">
        <v>5.4585361433999999</v>
      </c>
      <c r="C164" s="24">
        <v>1.8195120478</v>
      </c>
      <c r="D164" s="55">
        <v>0.50530256504079152</v>
      </c>
      <c r="E164" s="24">
        <v>30.23</v>
      </c>
      <c r="F164" s="55">
        <v>6.0188952954019187E-2</v>
      </c>
      <c r="G164" s="55">
        <v>-0.34084677456618873</v>
      </c>
      <c r="H164" s="97">
        <v>28872834545.456665</v>
      </c>
    </row>
    <row r="165" spans="1:8" x14ac:dyDescent="0.25">
      <c r="A165" s="2" t="s">
        <v>318</v>
      </c>
      <c r="B165" s="82">
        <v>4.87E-2</v>
      </c>
      <c r="C165" s="24">
        <v>1.6233333333333332E-2</v>
      </c>
      <c r="D165" s="55">
        <v>0.23785571475872622</v>
      </c>
      <c r="E165" s="24">
        <v>9.15</v>
      </c>
      <c r="F165" s="55">
        <v>5.322404371584699E-3</v>
      </c>
      <c r="G165" s="55" t="e">
        <v>#DIV/0!</v>
      </c>
      <c r="H165" s="97">
        <v>30653409.600000001</v>
      </c>
    </row>
    <row r="166" spans="1:8" x14ac:dyDescent="0.25">
      <c r="A166" s="2" t="s">
        <v>329</v>
      </c>
      <c r="B166" s="82">
        <v>11.674650672030999</v>
      </c>
      <c r="C166" s="24">
        <v>3.891550224010333</v>
      </c>
      <c r="D166" s="55">
        <v>0.96704817187555625</v>
      </c>
      <c r="E166" s="24">
        <v>41.55</v>
      </c>
      <c r="F166" s="55">
        <v>9.3659451841403937E-2</v>
      </c>
      <c r="G166" s="55">
        <v>-4.694860492660119E-2</v>
      </c>
      <c r="H166" s="97">
        <v>4516445663.793334</v>
      </c>
    </row>
    <row r="167" spans="1:8" x14ac:dyDescent="0.25">
      <c r="A167" s="2" t="s">
        <v>330</v>
      </c>
      <c r="B167" s="82">
        <v>12.842145739234001</v>
      </c>
      <c r="C167" s="24">
        <v>4.2807152464113338</v>
      </c>
      <c r="D167" s="55">
        <v>1.0637552383770628</v>
      </c>
      <c r="E167" s="24">
        <v>46.9</v>
      </c>
      <c r="F167" s="55">
        <v>9.1273246192139321E-2</v>
      </c>
      <c r="G167" s="55">
        <v>-4.694860492660119E-2</v>
      </c>
      <c r="H167" s="97">
        <v>4516445663.793334</v>
      </c>
    </row>
    <row r="168" spans="1:8" x14ac:dyDescent="0.25">
      <c r="A168" s="2" t="s">
        <v>808</v>
      </c>
      <c r="B168" s="82">
        <v>647.3646063585403</v>
      </c>
      <c r="C168" s="24">
        <v>1.116145873031966</v>
      </c>
      <c r="D168" s="55">
        <v>0.74871655115919022</v>
      </c>
      <c r="E168" s="24">
        <v>18.922719449225475</v>
      </c>
      <c r="F168" s="55">
        <v>7.3604105325427813E-2</v>
      </c>
      <c r="G168" s="55">
        <v>0.3125607174254818</v>
      </c>
      <c r="H168" s="97">
        <v>1471340194.2587819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"/>
  <sheetViews>
    <sheetView workbookViewId="0">
      <selection activeCell="F9" sqref="F9"/>
    </sheetView>
  </sheetViews>
  <sheetFormatPr defaultRowHeight="11.25" x14ac:dyDescent="0.2"/>
  <cols>
    <col min="1" max="1" width="13.5703125" style="56" bestFit="1" customWidth="1"/>
    <col min="2" max="2" width="5.28515625" style="16" hidden="1" customWidth="1"/>
    <col min="3" max="3" width="6" style="16" hidden="1" customWidth="1"/>
    <col min="4" max="4" width="5.85546875" style="16" hidden="1" customWidth="1"/>
    <col min="5" max="5" width="7.140625" style="5" bestFit="1" customWidth="1"/>
    <col min="6" max="6" width="10.42578125" style="93" bestFit="1" customWidth="1"/>
    <col min="7" max="7" width="7.42578125" style="94" bestFit="1" customWidth="1"/>
    <col min="8" max="8" width="9.7109375" style="95" bestFit="1" customWidth="1"/>
    <col min="9" max="9" width="10.85546875" style="95" bestFit="1" customWidth="1"/>
    <col min="10" max="10" width="7.7109375" style="5" bestFit="1" customWidth="1"/>
    <col min="11" max="11" width="11" style="3" bestFit="1" customWidth="1"/>
    <col min="12" max="12" width="12.5703125" style="3" bestFit="1" customWidth="1"/>
    <col min="13" max="13" width="13.140625" style="3" bestFit="1" customWidth="1"/>
    <col min="14" max="14" width="12.42578125" style="3" bestFit="1" customWidth="1"/>
    <col min="15" max="16384" width="9.140625" style="3"/>
  </cols>
  <sheetData>
    <row r="1" spans="1:19" x14ac:dyDescent="0.2">
      <c r="A1" s="34" t="s">
        <v>349</v>
      </c>
      <c r="B1" s="91" t="s">
        <v>463</v>
      </c>
      <c r="C1" s="91" t="s">
        <v>464</v>
      </c>
      <c r="D1" s="91" t="s">
        <v>465</v>
      </c>
      <c r="E1" s="33" t="s">
        <v>455</v>
      </c>
      <c r="F1" s="92" t="s">
        <v>352</v>
      </c>
      <c r="G1" s="92" t="s">
        <v>350</v>
      </c>
      <c r="H1" s="92" t="s">
        <v>351</v>
      </c>
      <c r="I1" s="92" t="s">
        <v>467</v>
      </c>
      <c r="J1" s="12" t="s">
        <v>468</v>
      </c>
      <c r="K1" s="86" t="s">
        <v>456</v>
      </c>
      <c r="L1" s="87" t="s">
        <v>457</v>
      </c>
      <c r="M1" s="87" t="s">
        <v>458</v>
      </c>
      <c r="N1" s="83" t="s">
        <v>17</v>
      </c>
    </row>
    <row r="2" spans="1:19" x14ac:dyDescent="0.2">
      <c r="A2" s="84">
        <v>41645</v>
      </c>
      <c r="B2" s="16">
        <f>DAY(Table4[Data Liquidação])</f>
        <v>6</v>
      </c>
      <c r="C2" s="16">
        <f>MONTH(Table4[Data Liquidação])</f>
        <v>1</v>
      </c>
      <c r="D2" s="16">
        <f>YEAR(Table4[Data Liquidação])</f>
        <v>2014</v>
      </c>
      <c r="E2" s="84" t="s">
        <v>68</v>
      </c>
      <c r="F2" s="93">
        <v>940.06</v>
      </c>
      <c r="G2" s="93">
        <v>0</v>
      </c>
      <c r="H2" s="93">
        <v>0</v>
      </c>
      <c r="I2" s="93">
        <v>0</v>
      </c>
      <c r="K2" s="16">
        <v>100</v>
      </c>
      <c r="L2" s="88">
        <f>SUMPRODUCT(N(Table4[Nome]=Table4[[#This Row],[Nome]]),N(DATE(YEAR(Table4[Data Liquidação]),MONTH(Table4[Data Liquidação]),DAY(Table4[Data Liquidação]))&lt;=DATE(YEAR(Table4[[#This Row],[Data Liquidação]]),MONTH(Table4[[#This Row],[Data Liquidação]]),DAY(Table4[[#This Row],[Data Liquidação]]))),Table4[Aplicação])/SUMPRODUCT(N(Table4[Nome]=Table4[[#This Row],[Nome]]),N(DATE(YEAR(Table4[Data Liquidação]),MONTH(Table4[Data Liquidação]),DAY(Table4[Data Liquidação]))&lt;=DATE(YEAR(Table4[[#This Row],[Data Liquidação]]),MONTH(Table4[[#This Row],[Data Liquidação]]),DAY(Table4[[#This Row],[Data Liquidação]]))),Table4[Quantidade])</f>
        <v>9.400599999999999</v>
      </c>
      <c r="M2" s="88">
        <f>IF(OR(Table4[Dividendo]&gt;0,Table4[JPC]&gt;0),(Table4[[#This Row],[Dividendo]]+Table4[[#This Row],[JPC]])/SUMPRODUCT(N(Table4[Nome]=Table4[[#This Row],[Nome]]),N(DATE(YEAR(Table4[Data Liquidação]),MONTH(Table4[Data Liquidação]),DAY(Table4[Data Liquidação]))&lt;=DATE(YEAR(Table4[[#This Row],[Data Liquidação]]),MONTH(Table4[[#This Row],[Data Liquidação]]),DAY(Table4[[#This Row],[Data Liquidação]]))),Table4[Quantidade]),0)</f>
        <v>0</v>
      </c>
      <c r="N2" s="18" t="str">
        <f>IF(Table4[Lucro p/ Ação]&gt;0,Table4[Lucro p/ Ação]/Table4[Preço Médio],"")</f>
        <v/>
      </c>
    </row>
    <row r="3" spans="1:19" x14ac:dyDescent="0.2">
      <c r="A3" s="56" t="s">
        <v>353</v>
      </c>
      <c r="B3" s="10"/>
      <c r="C3" s="10"/>
      <c r="D3" s="10"/>
      <c r="E3" s="10"/>
      <c r="F3" s="94">
        <f>SUBTOTAL(109,Table4[Aplicação])</f>
        <v>940.06</v>
      </c>
      <c r="G3" s="94">
        <f>SUBTOTAL(105,Table4[Taxas])</f>
        <v>0</v>
      </c>
      <c r="H3" s="94">
        <f>SUBTOTAL(109,Table4[Resgates])</f>
        <v>0</v>
      </c>
      <c r="I3" s="94">
        <f>SUBTOTAL(109,Table4[Dividendo])</f>
        <v>0</v>
      </c>
      <c r="J3" s="50">
        <f>SUBTOTAL(109,Table4[JPC])</f>
        <v>0</v>
      </c>
      <c r="K3" s="10"/>
      <c r="L3" s="73"/>
      <c r="M3" s="73"/>
      <c r="N3" s="22">
        <f>(Table4[[#Totals],[JPC]]+Table4[[#Totals],[Dividendo]])/Table4[[#Totals],[Aplicação]]</f>
        <v>0</v>
      </c>
      <c r="Q3" s="58"/>
      <c r="R3" s="18"/>
      <c r="S3" s="85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6"/>
  <sheetViews>
    <sheetView workbookViewId="0">
      <selection activeCell="A5" sqref="A5"/>
    </sheetView>
  </sheetViews>
  <sheetFormatPr defaultRowHeight="15" x14ac:dyDescent="0.25"/>
  <cols>
    <col min="1" max="1" width="17.85546875" bestFit="1" customWidth="1"/>
    <col min="2" max="2" width="13.7109375" customWidth="1"/>
    <col min="3" max="3" width="14.28515625" customWidth="1"/>
    <col min="4" max="4" width="15.140625" customWidth="1"/>
    <col min="5" max="5" width="9.5703125" customWidth="1"/>
    <col min="6" max="6" width="18" customWidth="1"/>
    <col min="7" max="7" width="15.5703125" bestFit="1" customWidth="1"/>
  </cols>
  <sheetData>
    <row r="3" spans="1:7" x14ac:dyDescent="0.25">
      <c r="B3" s="1" t="s">
        <v>11</v>
      </c>
    </row>
    <row r="4" spans="1:7" x14ac:dyDescent="0.25">
      <c r="A4" s="1" t="s">
        <v>362</v>
      </c>
      <c r="B4" t="s">
        <v>459</v>
      </c>
      <c r="C4" t="s">
        <v>460</v>
      </c>
      <c r="D4" t="s">
        <v>469</v>
      </c>
      <c r="E4" t="s">
        <v>470</v>
      </c>
      <c r="F4" t="s">
        <v>461</v>
      </c>
      <c r="G4" t="s">
        <v>462</v>
      </c>
    </row>
    <row r="5" spans="1:7" x14ac:dyDescent="0.25">
      <c r="A5" s="2" t="s">
        <v>68</v>
      </c>
      <c r="B5" s="90">
        <v>940.06</v>
      </c>
      <c r="C5" s="89">
        <v>100</v>
      </c>
      <c r="D5" s="90">
        <v>94</v>
      </c>
      <c r="E5" s="90">
        <v>94</v>
      </c>
      <c r="F5" s="90">
        <v>1.88</v>
      </c>
      <c r="G5" s="55">
        <v>0.19998723485734954</v>
      </c>
    </row>
    <row r="6" spans="1:7" x14ac:dyDescent="0.25">
      <c r="A6" s="2" t="s">
        <v>363</v>
      </c>
      <c r="B6" s="90">
        <v>940.06</v>
      </c>
      <c r="C6" s="89">
        <v>100</v>
      </c>
      <c r="D6" s="90">
        <v>94</v>
      </c>
      <c r="E6" s="90">
        <v>94</v>
      </c>
      <c r="F6" s="90">
        <v>1.88</v>
      </c>
      <c r="G6" s="55">
        <v>0.19998723485734954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497</vt:i4>
      </vt:variant>
    </vt:vector>
  </HeadingPairs>
  <TitlesOfParts>
    <vt:vector size="504" baseType="lpstr">
      <vt:lpstr>Patrimonio</vt:lpstr>
      <vt:lpstr>Cotacao</vt:lpstr>
      <vt:lpstr>Cotacao 2</vt:lpstr>
      <vt:lpstr>Lucro Líquido</vt:lpstr>
      <vt:lpstr>Tabela LL</vt:lpstr>
      <vt:lpstr>Historia</vt:lpstr>
      <vt:lpstr>Tabela Hist</vt:lpstr>
      <vt:lpstr>Cotacao!DadosExternos_1</vt:lpstr>
      <vt:lpstr>'Cotacao 2'!DadosExternos_1</vt:lpstr>
      <vt:lpstr>Cotacao!DadosExternos_10</vt:lpstr>
      <vt:lpstr>'Cotacao 2'!DadosExternos_10</vt:lpstr>
      <vt:lpstr>Cotacao!DadosExternos_103</vt:lpstr>
      <vt:lpstr>'Cotacao 2'!DadosExternos_103</vt:lpstr>
      <vt:lpstr>Cotacao!DadosExternos_104</vt:lpstr>
      <vt:lpstr>'Cotacao 2'!DadosExternos_104</vt:lpstr>
      <vt:lpstr>Cotacao!DadosExternos_106</vt:lpstr>
      <vt:lpstr>'Cotacao 2'!DadosExternos_106</vt:lpstr>
      <vt:lpstr>Cotacao!DadosExternos_107</vt:lpstr>
      <vt:lpstr>'Cotacao 2'!DadosExternos_107</vt:lpstr>
      <vt:lpstr>Cotacao!DadosExternos_108</vt:lpstr>
      <vt:lpstr>'Cotacao 2'!DadosExternos_108</vt:lpstr>
      <vt:lpstr>Cotacao!DadosExternos_109</vt:lpstr>
      <vt:lpstr>'Cotacao 2'!DadosExternos_109</vt:lpstr>
      <vt:lpstr>Cotacao!DadosExternos_11</vt:lpstr>
      <vt:lpstr>'Cotacao 2'!DadosExternos_11</vt:lpstr>
      <vt:lpstr>Cotacao!DadosExternos_110</vt:lpstr>
      <vt:lpstr>'Cotacao 2'!DadosExternos_110</vt:lpstr>
      <vt:lpstr>Cotacao!DadosExternos_111</vt:lpstr>
      <vt:lpstr>'Cotacao 2'!DadosExternos_111</vt:lpstr>
      <vt:lpstr>Cotacao!DadosExternos_112</vt:lpstr>
      <vt:lpstr>'Cotacao 2'!DadosExternos_112</vt:lpstr>
      <vt:lpstr>Cotacao!DadosExternos_113</vt:lpstr>
      <vt:lpstr>'Cotacao 2'!DadosExternos_113</vt:lpstr>
      <vt:lpstr>Cotacao!DadosExternos_114</vt:lpstr>
      <vt:lpstr>'Cotacao 2'!DadosExternos_114</vt:lpstr>
      <vt:lpstr>Cotacao!DadosExternos_115</vt:lpstr>
      <vt:lpstr>'Cotacao 2'!DadosExternos_115</vt:lpstr>
      <vt:lpstr>Cotacao!DadosExternos_116</vt:lpstr>
      <vt:lpstr>'Cotacao 2'!DadosExternos_116</vt:lpstr>
      <vt:lpstr>Cotacao!DadosExternos_117</vt:lpstr>
      <vt:lpstr>'Cotacao 2'!DadosExternos_117</vt:lpstr>
      <vt:lpstr>Cotacao!DadosExternos_118</vt:lpstr>
      <vt:lpstr>'Cotacao 2'!DadosExternos_118</vt:lpstr>
      <vt:lpstr>Cotacao!DadosExternos_119</vt:lpstr>
      <vt:lpstr>'Cotacao 2'!DadosExternos_119</vt:lpstr>
      <vt:lpstr>Cotacao!DadosExternos_12</vt:lpstr>
      <vt:lpstr>'Cotacao 2'!DadosExternos_12</vt:lpstr>
      <vt:lpstr>Cotacao!DadosExternos_120</vt:lpstr>
      <vt:lpstr>'Cotacao 2'!DadosExternos_120</vt:lpstr>
      <vt:lpstr>Cotacao!DadosExternos_121</vt:lpstr>
      <vt:lpstr>'Cotacao 2'!DadosExternos_121</vt:lpstr>
      <vt:lpstr>Cotacao!DadosExternos_122</vt:lpstr>
      <vt:lpstr>'Cotacao 2'!DadosExternos_122</vt:lpstr>
      <vt:lpstr>Cotacao!DadosExternos_123</vt:lpstr>
      <vt:lpstr>'Cotacao 2'!DadosExternos_123</vt:lpstr>
      <vt:lpstr>Cotacao!DadosExternos_124</vt:lpstr>
      <vt:lpstr>'Cotacao 2'!DadosExternos_124</vt:lpstr>
      <vt:lpstr>Cotacao!DadosExternos_125</vt:lpstr>
      <vt:lpstr>'Cotacao 2'!DadosExternos_125</vt:lpstr>
      <vt:lpstr>Cotacao!DadosExternos_126</vt:lpstr>
      <vt:lpstr>'Cotacao 2'!DadosExternos_126</vt:lpstr>
      <vt:lpstr>Cotacao!DadosExternos_127</vt:lpstr>
      <vt:lpstr>'Cotacao 2'!DadosExternos_127</vt:lpstr>
      <vt:lpstr>Cotacao!DadosExternos_128</vt:lpstr>
      <vt:lpstr>'Cotacao 2'!DadosExternos_128</vt:lpstr>
      <vt:lpstr>Cotacao!DadosExternos_129</vt:lpstr>
      <vt:lpstr>'Cotacao 2'!DadosExternos_129</vt:lpstr>
      <vt:lpstr>Cotacao!DadosExternos_130</vt:lpstr>
      <vt:lpstr>'Cotacao 2'!DadosExternos_130</vt:lpstr>
      <vt:lpstr>Cotacao!DadosExternos_131</vt:lpstr>
      <vt:lpstr>'Cotacao 2'!DadosExternos_131</vt:lpstr>
      <vt:lpstr>Cotacao!DadosExternos_132</vt:lpstr>
      <vt:lpstr>'Cotacao 2'!DadosExternos_132</vt:lpstr>
      <vt:lpstr>Cotacao!DadosExternos_133</vt:lpstr>
      <vt:lpstr>'Cotacao 2'!DadosExternos_133</vt:lpstr>
      <vt:lpstr>Cotacao!DadosExternos_134</vt:lpstr>
      <vt:lpstr>'Cotacao 2'!DadosExternos_134</vt:lpstr>
      <vt:lpstr>Cotacao!DadosExternos_135</vt:lpstr>
      <vt:lpstr>'Cotacao 2'!DadosExternos_135</vt:lpstr>
      <vt:lpstr>Cotacao!DadosExternos_136</vt:lpstr>
      <vt:lpstr>'Cotacao 2'!DadosExternos_136</vt:lpstr>
      <vt:lpstr>Cotacao!DadosExternos_137</vt:lpstr>
      <vt:lpstr>'Cotacao 2'!DadosExternos_137</vt:lpstr>
      <vt:lpstr>Cotacao!DadosExternos_138</vt:lpstr>
      <vt:lpstr>'Cotacao 2'!DadosExternos_138</vt:lpstr>
      <vt:lpstr>Cotacao!DadosExternos_139</vt:lpstr>
      <vt:lpstr>'Cotacao 2'!DadosExternos_139</vt:lpstr>
      <vt:lpstr>Cotacao!DadosExternos_14</vt:lpstr>
      <vt:lpstr>'Cotacao 2'!DadosExternos_14</vt:lpstr>
      <vt:lpstr>Cotacao!DadosExternos_140</vt:lpstr>
      <vt:lpstr>'Cotacao 2'!DadosExternos_140</vt:lpstr>
      <vt:lpstr>Cotacao!DadosExternos_141</vt:lpstr>
      <vt:lpstr>'Cotacao 2'!DadosExternos_141</vt:lpstr>
      <vt:lpstr>Cotacao!DadosExternos_142</vt:lpstr>
      <vt:lpstr>'Cotacao 2'!DadosExternos_142</vt:lpstr>
      <vt:lpstr>Cotacao!DadosExternos_143</vt:lpstr>
      <vt:lpstr>'Cotacao 2'!DadosExternos_143</vt:lpstr>
      <vt:lpstr>Cotacao!DadosExternos_144</vt:lpstr>
      <vt:lpstr>'Cotacao 2'!DadosExternos_144</vt:lpstr>
      <vt:lpstr>Cotacao!DadosExternos_145</vt:lpstr>
      <vt:lpstr>'Cotacao 2'!DadosExternos_145</vt:lpstr>
      <vt:lpstr>Cotacao!DadosExternos_146</vt:lpstr>
      <vt:lpstr>'Cotacao 2'!DadosExternos_146</vt:lpstr>
      <vt:lpstr>Cotacao!DadosExternos_147</vt:lpstr>
      <vt:lpstr>'Cotacao 2'!DadosExternos_147</vt:lpstr>
      <vt:lpstr>Cotacao!DadosExternos_148</vt:lpstr>
      <vt:lpstr>'Cotacao 2'!DadosExternos_148</vt:lpstr>
      <vt:lpstr>Cotacao!DadosExternos_149</vt:lpstr>
      <vt:lpstr>'Cotacao 2'!DadosExternos_149</vt:lpstr>
      <vt:lpstr>Cotacao!DadosExternos_15</vt:lpstr>
      <vt:lpstr>'Cotacao 2'!DadosExternos_15</vt:lpstr>
      <vt:lpstr>Cotacao!DadosExternos_150</vt:lpstr>
      <vt:lpstr>'Cotacao 2'!DadosExternos_150</vt:lpstr>
      <vt:lpstr>Cotacao!DadosExternos_151</vt:lpstr>
      <vt:lpstr>'Cotacao 2'!DadosExternos_151</vt:lpstr>
      <vt:lpstr>Cotacao!DadosExternos_152</vt:lpstr>
      <vt:lpstr>'Cotacao 2'!DadosExternos_152</vt:lpstr>
      <vt:lpstr>Cotacao!DadosExternos_153</vt:lpstr>
      <vt:lpstr>'Cotacao 2'!DadosExternos_153</vt:lpstr>
      <vt:lpstr>Cotacao!DadosExternos_154</vt:lpstr>
      <vt:lpstr>'Cotacao 2'!DadosExternos_154</vt:lpstr>
      <vt:lpstr>Cotacao!DadosExternos_155</vt:lpstr>
      <vt:lpstr>'Cotacao 2'!DadosExternos_155</vt:lpstr>
      <vt:lpstr>Cotacao!DadosExternos_156</vt:lpstr>
      <vt:lpstr>'Cotacao 2'!DadosExternos_156</vt:lpstr>
      <vt:lpstr>Cotacao!DadosExternos_157</vt:lpstr>
      <vt:lpstr>'Cotacao 2'!DadosExternos_157</vt:lpstr>
      <vt:lpstr>Cotacao!DadosExternos_158</vt:lpstr>
      <vt:lpstr>'Cotacao 2'!DadosExternos_158</vt:lpstr>
      <vt:lpstr>Cotacao!DadosExternos_159</vt:lpstr>
      <vt:lpstr>'Cotacao 2'!DadosExternos_159</vt:lpstr>
      <vt:lpstr>Cotacao!DadosExternos_16</vt:lpstr>
      <vt:lpstr>'Cotacao 2'!DadosExternos_16</vt:lpstr>
      <vt:lpstr>Cotacao!DadosExternos_160</vt:lpstr>
      <vt:lpstr>'Cotacao 2'!DadosExternos_160</vt:lpstr>
      <vt:lpstr>Cotacao!DadosExternos_161</vt:lpstr>
      <vt:lpstr>'Cotacao 2'!DadosExternos_161</vt:lpstr>
      <vt:lpstr>Cotacao!DadosExternos_162</vt:lpstr>
      <vt:lpstr>'Cotacao 2'!DadosExternos_162</vt:lpstr>
      <vt:lpstr>Cotacao!DadosExternos_163</vt:lpstr>
      <vt:lpstr>'Cotacao 2'!DadosExternos_163</vt:lpstr>
      <vt:lpstr>Cotacao!DadosExternos_164</vt:lpstr>
      <vt:lpstr>'Cotacao 2'!DadosExternos_164</vt:lpstr>
      <vt:lpstr>Cotacao!DadosExternos_165</vt:lpstr>
      <vt:lpstr>'Cotacao 2'!DadosExternos_165</vt:lpstr>
      <vt:lpstr>Cotacao!DadosExternos_166</vt:lpstr>
      <vt:lpstr>'Cotacao 2'!DadosExternos_166</vt:lpstr>
      <vt:lpstr>Cotacao!DadosExternos_167</vt:lpstr>
      <vt:lpstr>'Cotacao 2'!DadosExternos_167</vt:lpstr>
      <vt:lpstr>Cotacao!DadosExternos_168</vt:lpstr>
      <vt:lpstr>'Cotacao 2'!DadosExternos_168</vt:lpstr>
      <vt:lpstr>Cotacao!DadosExternos_169</vt:lpstr>
      <vt:lpstr>'Cotacao 2'!DadosExternos_169</vt:lpstr>
      <vt:lpstr>Cotacao!DadosExternos_17</vt:lpstr>
      <vt:lpstr>'Cotacao 2'!DadosExternos_17</vt:lpstr>
      <vt:lpstr>Cotacao!DadosExternos_170</vt:lpstr>
      <vt:lpstr>'Cotacao 2'!DadosExternos_170</vt:lpstr>
      <vt:lpstr>Cotacao!DadosExternos_171</vt:lpstr>
      <vt:lpstr>'Cotacao 2'!DadosExternos_171</vt:lpstr>
      <vt:lpstr>Cotacao!DadosExternos_172</vt:lpstr>
      <vt:lpstr>'Cotacao 2'!DadosExternos_172</vt:lpstr>
      <vt:lpstr>Cotacao!DadosExternos_173</vt:lpstr>
      <vt:lpstr>'Cotacao 2'!DadosExternos_173</vt:lpstr>
      <vt:lpstr>Cotacao!DadosExternos_174</vt:lpstr>
      <vt:lpstr>'Cotacao 2'!DadosExternos_174</vt:lpstr>
      <vt:lpstr>Cotacao!DadosExternos_175</vt:lpstr>
      <vt:lpstr>'Cotacao 2'!DadosExternos_175</vt:lpstr>
      <vt:lpstr>Cotacao!DadosExternos_176</vt:lpstr>
      <vt:lpstr>'Cotacao 2'!DadosExternos_176</vt:lpstr>
      <vt:lpstr>Cotacao!DadosExternos_177</vt:lpstr>
      <vt:lpstr>'Cotacao 2'!DadosExternos_177</vt:lpstr>
      <vt:lpstr>Cotacao!DadosExternos_178</vt:lpstr>
      <vt:lpstr>'Cotacao 2'!DadosExternos_178</vt:lpstr>
      <vt:lpstr>Cotacao!DadosExternos_179</vt:lpstr>
      <vt:lpstr>'Cotacao 2'!DadosExternos_179</vt:lpstr>
      <vt:lpstr>Cotacao!DadosExternos_18</vt:lpstr>
      <vt:lpstr>'Cotacao 2'!DadosExternos_18</vt:lpstr>
      <vt:lpstr>Cotacao!DadosExternos_180</vt:lpstr>
      <vt:lpstr>'Cotacao 2'!DadosExternos_180</vt:lpstr>
      <vt:lpstr>Cotacao!DadosExternos_181</vt:lpstr>
      <vt:lpstr>'Cotacao 2'!DadosExternos_181</vt:lpstr>
      <vt:lpstr>Cotacao!DadosExternos_182</vt:lpstr>
      <vt:lpstr>'Cotacao 2'!DadosExternos_182</vt:lpstr>
      <vt:lpstr>Cotacao!DadosExternos_183</vt:lpstr>
      <vt:lpstr>'Cotacao 2'!DadosExternos_183</vt:lpstr>
      <vt:lpstr>Cotacao!DadosExternos_184</vt:lpstr>
      <vt:lpstr>'Cotacao 2'!DadosExternos_184</vt:lpstr>
      <vt:lpstr>Cotacao!DadosExternos_185</vt:lpstr>
      <vt:lpstr>'Cotacao 2'!DadosExternos_185</vt:lpstr>
      <vt:lpstr>Cotacao!DadosExternos_186</vt:lpstr>
      <vt:lpstr>'Cotacao 2'!DadosExternos_186</vt:lpstr>
      <vt:lpstr>Cotacao!DadosExternos_187</vt:lpstr>
      <vt:lpstr>'Cotacao 2'!DadosExternos_187</vt:lpstr>
      <vt:lpstr>Cotacao!DadosExternos_188</vt:lpstr>
      <vt:lpstr>'Cotacao 2'!DadosExternos_188</vt:lpstr>
      <vt:lpstr>Cotacao!DadosExternos_189</vt:lpstr>
      <vt:lpstr>'Cotacao 2'!DadosExternos_189</vt:lpstr>
      <vt:lpstr>Cotacao!DadosExternos_190</vt:lpstr>
      <vt:lpstr>'Cotacao 2'!DadosExternos_190</vt:lpstr>
      <vt:lpstr>Cotacao!DadosExternos_191</vt:lpstr>
      <vt:lpstr>'Cotacao 2'!DadosExternos_191</vt:lpstr>
      <vt:lpstr>Cotacao!DadosExternos_192</vt:lpstr>
      <vt:lpstr>'Cotacao 2'!DadosExternos_192</vt:lpstr>
      <vt:lpstr>Cotacao!DadosExternos_193</vt:lpstr>
      <vt:lpstr>'Cotacao 2'!DadosExternos_193</vt:lpstr>
      <vt:lpstr>Cotacao!DadosExternos_194</vt:lpstr>
      <vt:lpstr>'Cotacao 2'!DadosExternos_194</vt:lpstr>
      <vt:lpstr>Cotacao!DadosExternos_195</vt:lpstr>
      <vt:lpstr>'Cotacao 2'!DadosExternos_195</vt:lpstr>
      <vt:lpstr>Cotacao!DadosExternos_196</vt:lpstr>
      <vt:lpstr>'Cotacao 2'!DadosExternos_196</vt:lpstr>
      <vt:lpstr>Cotacao!DadosExternos_197</vt:lpstr>
      <vt:lpstr>'Cotacao 2'!DadosExternos_197</vt:lpstr>
      <vt:lpstr>Cotacao!DadosExternos_198</vt:lpstr>
      <vt:lpstr>'Cotacao 2'!DadosExternos_198</vt:lpstr>
      <vt:lpstr>'Cotacao 2'!DadosExternos_199</vt:lpstr>
      <vt:lpstr>Cotacao!DadosExternos_2</vt:lpstr>
      <vt:lpstr>'Cotacao 2'!DadosExternos_2</vt:lpstr>
      <vt:lpstr>Cotacao!DadosExternos_20</vt:lpstr>
      <vt:lpstr>'Cotacao 2'!DadosExternos_20</vt:lpstr>
      <vt:lpstr>Cotacao!DadosExternos_200</vt:lpstr>
      <vt:lpstr>'Cotacao 2'!DadosExternos_200</vt:lpstr>
      <vt:lpstr>Cotacao!DadosExternos_201</vt:lpstr>
      <vt:lpstr>'Cotacao 2'!DadosExternos_201</vt:lpstr>
      <vt:lpstr>Cotacao!DadosExternos_202</vt:lpstr>
      <vt:lpstr>'Cotacao 2'!DadosExternos_202</vt:lpstr>
      <vt:lpstr>Cotacao!DadosExternos_203</vt:lpstr>
      <vt:lpstr>'Cotacao 2'!DadosExternos_203</vt:lpstr>
      <vt:lpstr>Cotacao!DadosExternos_204</vt:lpstr>
      <vt:lpstr>'Cotacao 2'!DadosExternos_204</vt:lpstr>
      <vt:lpstr>Cotacao!DadosExternos_205</vt:lpstr>
      <vt:lpstr>'Cotacao 2'!DadosExternos_205</vt:lpstr>
      <vt:lpstr>Cotacao!DadosExternos_206</vt:lpstr>
      <vt:lpstr>'Cotacao 2'!DadosExternos_206</vt:lpstr>
      <vt:lpstr>Cotacao!DadosExternos_207</vt:lpstr>
      <vt:lpstr>'Cotacao 2'!DadosExternos_207</vt:lpstr>
      <vt:lpstr>'Cotacao 2'!DadosExternos_208</vt:lpstr>
      <vt:lpstr>Cotacao!DadosExternos_209</vt:lpstr>
      <vt:lpstr>'Cotacao 2'!DadosExternos_209</vt:lpstr>
      <vt:lpstr>Cotacao!DadosExternos_21</vt:lpstr>
      <vt:lpstr>'Cotacao 2'!DadosExternos_21</vt:lpstr>
      <vt:lpstr>'Cotacao 2'!DadosExternos_210</vt:lpstr>
      <vt:lpstr>Cotacao!DadosExternos_211</vt:lpstr>
      <vt:lpstr>'Cotacao 2'!DadosExternos_211</vt:lpstr>
      <vt:lpstr>Cotacao!DadosExternos_212</vt:lpstr>
      <vt:lpstr>'Cotacao 2'!DadosExternos_212</vt:lpstr>
      <vt:lpstr>Cotacao!DadosExternos_213</vt:lpstr>
      <vt:lpstr>'Cotacao 2'!DadosExternos_213</vt:lpstr>
      <vt:lpstr>'Cotacao 2'!DadosExternos_214</vt:lpstr>
      <vt:lpstr>Cotacao!DadosExternos_215</vt:lpstr>
      <vt:lpstr>'Cotacao 2'!DadosExternos_215</vt:lpstr>
      <vt:lpstr>Cotacao!DadosExternos_216</vt:lpstr>
      <vt:lpstr>'Cotacao 2'!DadosExternos_216</vt:lpstr>
      <vt:lpstr>Cotacao!DadosExternos_217</vt:lpstr>
      <vt:lpstr>'Cotacao 2'!DadosExternos_217</vt:lpstr>
      <vt:lpstr>Cotacao!DadosExternos_218</vt:lpstr>
      <vt:lpstr>Cotacao!DadosExternos_219</vt:lpstr>
      <vt:lpstr>'Cotacao 2'!DadosExternos_219</vt:lpstr>
      <vt:lpstr>Cotacao!DadosExternos_220</vt:lpstr>
      <vt:lpstr>'Cotacao 2'!DadosExternos_220</vt:lpstr>
      <vt:lpstr>Cotacao!DadosExternos_221</vt:lpstr>
      <vt:lpstr>'Cotacao 2'!DadosExternos_221</vt:lpstr>
      <vt:lpstr>Cotacao!DadosExternos_222</vt:lpstr>
      <vt:lpstr>'Cotacao 2'!DadosExternos_222</vt:lpstr>
      <vt:lpstr>'Cotacao 2'!DadosExternos_223</vt:lpstr>
      <vt:lpstr>Cotacao!DadosExternos_224</vt:lpstr>
      <vt:lpstr>'Cotacao 2'!DadosExternos_224</vt:lpstr>
      <vt:lpstr>Cotacao!DadosExternos_225</vt:lpstr>
      <vt:lpstr>'Cotacao 2'!DadosExternos_225</vt:lpstr>
      <vt:lpstr>Cotacao!DadosExternos_226</vt:lpstr>
      <vt:lpstr>'Cotacao 2'!DadosExternos_227</vt:lpstr>
      <vt:lpstr>Cotacao!DadosExternos_228</vt:lpstr>
      <vt:lpstr>'Cotacao 2'!DadosExternos_228</vt:lpstr>
      <vt:lpstr>Cotacao!DadosExternos_229</vt:lpstr>
      <vt:lpstr>'Cotacao 2'!DadosExternos_229</vt:lpstr>
      <vt:lpstr>Cotacao!DadosExternos_230</vt:lpstr>
      <vt:lpstr>'Cotacao 2'!DadosExternos_230</vt:lpstr>
      <vt:lpstr>Cotacao!DadosExternos_231</vt:lpstr>
      <vt:lpstr>Cotacao!DadosExternos_232</vt:lpstr>
      <vt:lpstr>Cotacao!DadosExternos_233</vt:lpstr>
      <vt:lpstr>'Cotacao 2'!DadosExternos_233</vt:lpstr>
      <vt:lpstr>'Cotacao 2'!DadosExternos_234</vt:lpstr>
      <vt:lpstr>Cotacao!DadosExternos_235</vt:lpstr>
      <vt:lpstr>'Cotacao 2'!DadosExternos_235</vt:lpstr>
      <vt:lpstr>Cotacao!DadosExternos_237</vt:lpstr>
      <vt:lpstr>'Cotacao 2'!DadosExternos_237</vt:lpstr>
      <vt:lpstr>Cotacao!DadosExternos_238</vt:lpstr>
      <vt:lpstr>'Cotacao 2'!DadosExternos_238</vt:lpstr>
      <vt:lpstr>'Cotacao 2'!DadosExternos_239</vt:lpstr>
      <vt:lpstr>Cotacao!DadosExternos_24</vt:lpstr>
      <vt:lpstr>'Cotacao 2'!DadosExternos_24</vt:lpstr>
      <vt:lpstr>Cotacao!DadosExternos_240</vt:lpstr>
      <vt:lpstr>'Cotacao 2'!DadosExternos_240</vt:lpstr>
      <vt:lpstr>'Cotacao 2'!DadosExternos_241</vt:lpstr>
      <vt:lpstr>'Cotacao 2'!DadosExternos_242</vt:lpstr>
      <vt:lpstr>'Cotacao 2'!DadosExternos_243</vt:lpstr>
      <vt:lpstr>'Cotacao 2'!DadosExternos_244</vt:lpstr>
      <vt:lpstr>'Cotacao 2'!DadosExternos_246</vt:lpstr>
      <vt:lpstr>'Cotacao 2'!DadosExternos_249</vt:lpstr>
      <vt:lpstr>'Cotacao 2'!DadosExternos_250</vt:lpstr>
      <vt:lpstr>'Cotacao 2'!DadosExternos_251</vt:lpstr>
      <vt:lpstr>'Cotacao 2'!DadosExternos_253</vt:lpstr>
      <vt:lpstr>'Cotacao 2'!DadosExternos_256</vt:lpstr>
      <vt:lpstr>'Cotacao 2'!DadosExternos_257</vt:lpstr>
      <vt:lpstr>'Cotacao 2'!DadosExternos_258</vt:lpstr>
      <vt:lpstr>'Cotacao 2'!DadosExternos_259</vt:lpstr>
      <vt:lpstr>Cotacao!DadosExternos_26</vt:lpstr>
      <vt:lpstr>'Cotacao 2'!DadosExternos_26</vt:lpstr>
      <vt:lpstr>'Cotacao 2'!DadosExternos_260</vt:lpstr>
      <vt:lpstr>'Cotacao 2'!DadosExternos_261</vt:lpstr>
      <vt:lpstr>'Cotacao 2'!DadosExternos_262</vt:lpstr>
      <vt:lpstr>'Cotacao 2'!DadosExternos_263</vt:lpstr>
      <vt:lpstr>'Cotacao 2'!DadosExternos_265</vt:lpstr>
      <vt:lpstr>'Cotacao 2'!DadosExternos_268</vt:lpstr>
      <vt:lpstr>'Cotacao 2'!DadosExternos_269</vt:lpstr>
      <vt:lpstr>Cotacao!DadosExternos_27</vt:lpstr>
      <vt:lpstr>'Cotacao 2'!DadosExternos_27</vt:lpstr>
      <vt:lpstr>'Cotacao 2'!DadosExternos_270</vt:lpstr>
      <vt:lpstr>'Cotacao 2'!DadosExternos_271</vt:lpstr>
      <vt:lpstr>'Cotacao 2'!DadosExternos_272</vt:lpstr>
      <vt:lpstr>'Cotacao 2'!DadosExternos_275</vt:lpstr>
      <vt:lpstr>'Cotacao 2'!DadosExternos_276</vt:lpstr>
      <vt:lpstr>'Cotacao 2'!DadosExternos_277</vt:lpstr>
      <vt:lpstr>'Cotacao 2'!DadosExternos_278</vt:lpstr>
      <vt:lpstr>'Cotacao 2'!DadosExternos_279</vt:lpstr>
      <vt:lpstr>Cotacao!DadosExternos_28</vt:lpstr>
      <vt:lpstr>'Cotacao 2'!DadosExternos_28</vt:lpstr>
      <vt:lpstr>'Cotacao 2'!DadosExternos_280</vt:lpstr>
      <vt:lpstr>'Cotacao 2'!DadosExternos_281</vt:lpstr>
      <vt:lpstr>'Cotacao 2'!DadosExternos_282</vt:lpstr>
      <vt:lpstr>'Cotacao 2'!DadosExternos_287</vt:lpstr>
      <vt:lpstr>'Cotacao 2'!DadosExternos_288</vt:lpstr>
      <vt:lpstr>Cotacao!DadosExternos_29</vt:lpstr>
      <vt:lpstr>'Cotacao 2'!DadosExternos_29</vt:lpstr>
      <vt:lpstr>'Cotacao 2'!DadosExternos_290</vt:lpstr>
      <vt:lpstr>Cotacao!DadosExternos_3</vt:lpstr>
      <vt:lpstr>'Cotacao 2'!DadosExternos_3</vt:lpstr>
      <vt:lpstr>Cotacao!DadosExternos_30</vt:lpstr>
      <vt:lpstr>'Cotacao 2'!DadosExternos_30</vt:lpstr>
      <vt:lpstr>Cotacao!DadosExternos_31</vt:lpstr>
      <vt:lpstr>'Cotacao 2'!DadosExternos_31</vt:lpstr>
      <vt:lpstr>Cotacao!DadosExternos_32</vt:lpstr>
      <vt:lpstr>'Cotacao 2'!DadosExternos_32</vt:lpstr>
      <vt:lpstr>Cotacao!DadosExternos_33</vt:lpstr>
      <vt:lpstr>'Cotacao 2'!DadosExternos_33</vt:lpstr>
      <vt:lpstr>Cotacao!DadosExternos_34</vt:lpstr>
      <vt:lpstr>'Cotacao 2'!DadosExternos_34</vt:lpstr>
      <vt:lpstr>Cotacao!DadosExternos_35</vt:lpstr>
      <vt:lpstr>'Cotacao 2'!DadosExternos_35</vt:lpstr>
      <vt:lpstr>Cotacao!DadosExternos_36</vt:lpstr>
      <vt:lpstr>'Cotacao 2'!DadosExternos_36</vt:lpstr>
      <vt:lpstr>Cotacao!DadosExternos_37</vt:lpstr>
      <vt:lpstr>'Cotacao 2'!DadosExternos_37</vt:lpstr>
      <vt:lpstr>Cotacao!DadosExternos_38</vt:lpstr>
      <vt:lpstr>'Cotacao 2'!DadosExternos_38</vt:lpstr>
      <vt:lpstr>Cotacao!DadosExternos_39</vt:lpstr>
      <vt:lpstr>'Cotacao 2'!DadosExternos_39</vt:lpstr>
      <vt:lpstr>Cotacao!DadosExternos_4</vt:lpstr>
      <vt:lpstr>'Cotacao 2'!DadosExternos_4</vt:lpstr>
      <vt:lpstr>Cotacao!DadosExternos_40</vt:lpstr>
      <vt:lpstr>'Cotacao 2'!DadosExternos_40</vt:lpstr>
      <vt:lpstr>Cotacao!DadosExternos_41</vt:lpstr>
      <vt:lpstr>'Cotacao 2'!DadosExternos_41</vt:lpstr>
      <vt:lpstr>Cotacao!DadosExternos_42</vt:lpstr>
      <vt:lpstr>'Cotacao 2'!DadosExternos_42</vt:lpstr>
      <vt:lpstr>Cotacao!DadosExternos_43</vt:lpstr>
      <vt:lpstr>'Cotacao 2'!DadosExternos_43</vt:lpstr>
      <vt:lpstr>Cotacao!DadosExternos_44</vt:lpstr>
      <vt:lpstr>'Cotacao 2'!DadosExternos_44</vt:lpstr>
      <vt:lpstr>Cotacao!DadosExternos_45</vt:lpstr>
      <vt:lpstr>'Cotacao 2'!DadosExternos_45</vt:lpstr>
      <vt:lpstr>Cotacao!DadosExternos_46</vt:lpstr>
      <vt:lpstr>'Cotacao 2'!DadosExternos_46</vt:lpstr>
      <vt:lpstr>Cotacao!DadosExternos_47</vt:lpstr>
      <vt:lpstr>'Cotacao 2'!DadosExternos_47</vt:lpstr>
      <vt:lpstr>Cotacao!DadosExternos_48</vt:lpstr>
      <vt:lpstr>'Cotacao 2'!DadosExternos_48</vt:lpstr>
      <vt:lpstr>Cotacao!DadosExternos_49</vt:lpstr>
      <vt:lpstr>'Cotacao 2'!DadosExternos_49</vt:lpstr>
      <vt:lpstr>Cotacao!DadosExternos_50</vt:lpstr>
      <vt:lpstr>'Cotacao 2'!DadosExternos_50</vt:lpstr>
      <vt:lpstr>Cotacao!DadosExternos_51</vt:lpstr>
      <vt:lpstr>'Cotacao 2'!DadosExternos_51</vt:lpstr>
      <vt:lpstr>Cotacao!DadosExternos_52</vt:lpstr>
      <vt:lpstr>'Cotacao 2'!DadosExternos_52</vt:lpstr>
      <vt:lpstr>Cotacao!DadosExternos_53</vt:lpstr>
      <vt:lpstr>'Cotacao 2'!DadosExternos_53</vt:lpstr>
      <vt:lpstr>Cotacao!DadosExternos_54</vt:lpstr>
      <vt:lpstr>'Cotacao 2'!DadosExternos_54</vt:lpstr>
      <vt:lpstr>Cotacao!DadosExternos_55</vt:lpstr>
      <vt:lpstr>'Cotacao 2'!DadosExternos_55</vt:lpstr>
      <vt:lpstr>Cotacao!DadosExternos_56</vt:lpstr>
      <vt:lpstr>'Cotacao 2'!DadosExternos_56</vt:lpstr>
      <vt:lpstr>Cotacao!DadosExternos_57</vt:lpstr>
      <vt:lpstr>'Cotacao 2'!DadosExternos_57</vt:lpstr>
      <vt:lpstr>Cotacao!DadosExternos_58</vt:lpstr>
      <vt:lpstr>'Cotacao 2'!DadosExternos_58</vt:lpstr>
      <vt:lpstr>Cotacao!DadosExternos_59</vt:lpstr>
      <vt:lpstr>'Cotacao 2'!DadosExternos_59</vt:lpstr>
      <vt:lpstr>Cotacao!DadosExternos_6</vt:lpstr>
      <vt:lpstr>'Cotacao 2'!DadosExternos_6</vt:lpstr>
      <vt:lpstr>Cotacao!DadosExternos_60</vt:lpstr>
      <vt:lpstr>'Cotacao 2'!DadosExternos_60</vt:lpstr>
      <vt:lpstr>Cotacao!DadosExternos_61</vt:lpstr>
      <vt:lpstr>'Cotacao 2'!DadosExternos_61</vt:lpstr>
      <vt:lpstr>Cotacao!DadosExternos_62</vt:lpstr>
      <vt:lpstr>'Cotacao 2'!DadosExternos_62</vt:lpstr>
      <vt:lpstr>Cotacao!DadosExternos_63</vt:lpstr>
      <vt:lpstr>'Cotacao 2'!DadosExternos_63</vt:lpstr>
      <vt:lpstr>Cotacao!DadosExternos_64</vt:lpstr>
      <vt:lpstr>'Cotacao 2'!DadosExternos_64</vt:lpstr>
      <vt:lpstr>Cotacao!DadosExternos_65</vt:lpstr>
      <vt:lpstr>'Cotacao 2'!DadosExternos_65</vt:lpstr>
      <vt:lpstr>Cotacao!DadosExternos_66</vt:lpstr>
      <vt:lpstr>'Cotacao 2'!DadosExternos_66</vt:lpstr>
      <vt:lpstr>Cotacao!DadosExternos_67</vt:lpstr>
      <vt:lpstr>'Cotacao 2'!DadosExternos_67</vt:lpstr>
      <vt:lpstr>Cotacao!DadosExternos_68</vt:lpstr>
      <vt:lpstr>'Cotacao 2'!DadosExternos_68</vt:lpstr>
      <vt:lpstr>Cotacao!DadosExternos_69</vt:lpstr>
      <vt:lpstr>'Cotacao 2'!DadosExternos_69</vt:lpstr>
      <vt:lpstr>Cotacao!DadosExternos_7</vt:lpstr>
      <vt:lpstr>'Cotacao 2'!DadosExternos_7</vt:lpstr>
      <vt:lpstr>Cotacao!DadosExternos_70</vt:lpstr>
      <vt:lpstr>'Cotacao 2'!DadosExternos_70</vt:lpstr>
      <vt:lpstr>Cotacao!DadosExternos_71</vt:lpstr>
      <vt:lpstr>'Cotacao 2'!DadosExternos_71</vt:lpstr>
      <vt:lpstr>Cotacao!DadosExternos_72</vt:lpstr>
      <vt:lpstr>'Cotacao 2'!DadosExternos_72</vt:lpstr>
      <vt:lpstr>Cotacao!DadosExternos_73</vt:lpstr>
      <vt:lpstr>'Cotacao 2'!DadosExternos_73</vt:lpstr>
      <vt:lpstr>Cotacao!DadosExternos_8</vt:lpstr>
      <vt:lpstr>'Cotacao 2'!DadosExternos_8</vt:lpstr>
      <vt:lpstr>Cotacao!DadosExternos_9</vt:lpstr>
      <vt:lpstr>'Cotacao 2'!DadosExternos_9</vt:lpstr>
      <vt:lpstr>Cotacao!DadosExternos_90</vt:lpstr>
      <vt:lpstr>'Cotacao 2'!DadosExternos_90</vt:lpstr>
      <vt:lpstr>Cotacao!DadosExternos_96</vt:lpstr>
      <vt:lpstr>'Cotacao 2'!DadosExternos_96</vt:lpstr>
      <vt:lpstr>Cotacao!DadosExternos_97</vt:lpstr>
      <vt:lpstr>'Cotacao 2'!DadosExternos_97</vt:lpstr>
      <vt:lpstr>Cotacao!DadosExternos_98</vt:lpstr>
      <vt:lpstr>'Cotacao 2'!DadosExternos_98</vt:lpstr>
      <vt:lpstr>Cotacao!ExternalData_1</vt:lpstr>
      <vt:lpstr>'Cotacao 2'!ExternalData_1</vt:lpstr>
      <vt:lpstr>Cotacao!ExternalData_10</vt:lpstr>
      <vt:lpstr>'Cotacao 2'!ExternalData_10</vt:lpstr>
      <vt:lpstr>Cotacao!ExternalData_11</vt:lpstr>
      <vt:lpstr>'Cotacao 2'!ExternalData_11</vt:lpstr>
      <vt:lpstr>Cotacao!ExternalData_12</vt:lpstr>
      <vt:lpstr>'Cotacao 2'!ExternalData_12</vt:lpstr>
      <vt:lpstr>Cotacao!ExternalData_13</vt:lpstr>
      <vt:lpstr>'Cotacao 2'!ExternalData_13</vt:lpstr>
      <vt:lpstr>Cotacao!ExternalData_14</vt:lpstr>
      <vt:lpstr>'Cotacao 2'!ExternalData_14</vt:lpstr>
      <vt:lpstr>Cotacao!ExternalData_15</vt:lpstr>
      <vt:lpstr>'Cotacao 2'!ExternalData_15</vt:lpstr>
      <vt:lpstr>Cotacao!ExternalData_16</vt:lpstr>
      <vt:lpstr>'Cotacao 2'!ExternalData_16</vt:lpstr>
      <vt:lpstr>Cotacao!ExternalData_17</vt:lpstr>
      <vt:lpstr>'Cotacao 2'!ExternalData_17</vt:lpstr>
      <vt:lpstr>Cotacao!ExternalData_18</vt:lpstr>
      <vt:lpstr>'Cotacao 2'!ExternalData_18</vt:lpstr>
      <vt:lpstr>Cotacao!ExternalData_19</vt:lpstr>
      <vt:lpstr>'Cotacao 2'!ExternalData_19</vt:lpstr>
      <vt:lpstr>Cotacao!ExternalData_2</vt:lpstr>
      <vt:lpstr>'Cotacao 2'!ExternalData_2</vt:lpstr>
      <vt:lpstr>Cotacao!ExternalData_20</vt:lpstr>
      <vt:lpstr>'Cotacao 2'!ExternalData_20</vt:lpstr>
      <vt:lpstr>Cotacao!ExternalData_21</vt:lpstr>
      <vt:lpstr>'Cotacao 2'!ExternalData_21</vt:lpstr>
      <vt:lpstr>'Cotacao 2'!ExternalData_22</vt:lpstr>
      <vt:lpstr>'Cotacao 2'!ExternalData_23</vt:lpstr>
      <vt:lpstr>'Cotacao 2'!ExternalData_24</vt:lpstr>
      <vt:lpstr>'Cotacao 2'!ExternalData_25</vt:lpstr>
      <vt:lpstr>'Cotacao 2'!ExternalData_26</vt:lpstr>
      <vt:lpstr>'Cotacao 2'!ExternalData_27</vt:lpstr>
      <vt:lpstr>'Cotacao 2'!ExternalData_28</vt:lpstr>
      <vt:lpstr>'Cotacao 2'!ExternalData_29</vt:lpstr>
      <vt:lpstr>Cotacao!ExternalData_3</vt:lpstr>
      <vt:lpstr>'Cotacao 2'!ExternalData_3</vt:lpstr>
      <vt:lpstr>'Cotacao 2'!ExternalData_30</vt:lpstr>
      <vt:lpstr>'Cotacao 2'!ExternalData_31</vt:lpstr>
      <vt:lpstr>'Cotacao 2'!ExternalData_32</vt:lpstr>
      <vt:lpstr>'Cotacao 2'!ExternalData_33</vt:lpstr>
      <vt:lpstr>'Cotacao 2'!ExternalData_34</vt:lpstr>
      <vt:lpstr>'Cotacao 2'!ExternalData_35</vt:lpstr>
      <vt:lpstr>'Cotacao 2'!ExternalData_36</vt:lpstr>
      <vt:lpstr>'Cotacao 2'!ExternalData_37</vt:lpstr>
      <vt:lpstr>'Cotacao 2'!ExternalData_38</vt:lpstr>
      <vt:lpstr>'Cotacao 2'!ExternalData_39</vt:lpstr>
      <vt:lpstr>Cotacao!ExternalData_4</vt:lpstr>
      <vt:lpstr>'Cotacao 2'!ExternalData_4</vt:lpstr>
      <vt:lpstr>'Cotacao 2'!ExternalData_40</vt:lpstr>
      <vt:lpstr>Cotacao!ExternalData_5</vt:lpstr>
      <vt:lpstr>'Cotacao 2'!ExternalData_5</vt:lpstr>
      <vt:lpstr>Cotacao!ExternalData_6</vt:lpstr>
      <vt:lpstr>'Cotacao 2'!ExternalData_6</vt:lpstr>
      <vt:lpstr>Cotacao!ExternalData_7</vt:lpstr>
      <vt:lpstr>'Cotacao 2'!ExternalData_7</vt:lpstr>
      <vt:lpstr>Cotacao!ExternalData_8</vt:lpstr>
      <vt:lpstr>'Cotacao 2'!ExternalData_8</vt:lpstr>
      <vt:lpstr>Cotacao!ExternalData_9</vt:lpstr>
      <vt:lpstr>'Cotacao 2'!ExternalData_9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Engelbert</dc:creator>
  <cp:lastModifiedBy>Engelbert</cp:lastModifiedBy>
  <dcterms:created xsi:type="dcterms:W3CDTF">2013-12-06T00:58:41Z</dcterms:created>
  <dcterms:modified xsi:type="dcterms:W3CDTF">2014-01-15T23:33:58Z</dcterms:modified>
</cp:coreProperties>
</file>